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Back_final_15_2_26/35gps/"/>
    </mc:Choice>
  </mc:AlternateContent>
  <xr:revisionPtr revIDLastSave="0" documentId="13_ncr:1_{0F7DEF0E-EF20-E84C-B7A1-AB41395601D6}" xr6:coauthVersionLast="47" xr6:coauthVersionMax="47" xr10:uidLastSave="{00000000-0000-0000-0000-000000000000}"/>
  <bookViews>
    <workbookView xWindow="0" yWindow="660" windowWidth="30240" windowHeight="17520" xr2:uid="{1C60444A-BEFD-BC4F-B8F6-C471D470F8DA}"/>
  </bookViews>
  <sheets>
    <sheet name="Results" sheetId="13" r:id="rId1"/>
    <sheet name="1mps" sheetId="54" r:id="rId2"/>
    <sheet name="2mps" sheetId="56" r:id="rId3"/>
    <sheet name="3mps" sheetId="57" r:id="rId4"/>
    <sheet name="4mps" sheetId="58" r:id="rId5"/>
    <sheet name="5mps" sheetId="59" r:id="rId6"/>
    <sheet name="6mps" sheetId="60" r:id="rId7"/>
    <sheet name="7mps" sheetId="61" r:id="rId8"/>
  </sheets>
  <externalReferences>
    <externalReference r:id="rId9"/>
  </externalReferences>
  <definedNames>
    <definedName name="ExternalData_1" localSheetId="2" hidden="1">'2mps'!$A$1:$O$11</definedName>
    <definedName name="ExternalData_1" localSheetId="3" hidden="1">'3mps'!$A$1:$O$15</definedName>
    <definedName name="ExternalData_1" localSheetId="4" hidden="1">'4mps'!$A$1:$O$15</definedName>
    <definedName name="ExternalData_1" localSheetId="5" hidden="1">'5mps'!$A$1:$O$9</definedName>
    <definedName name="ExternalData_1" localSheetId="6" hidden="1">'6mps'!$A$1:$O$18</definedName>
    <definedName name="ExternalData_1" localSheetId="7" hidden="1">'7mps'!$A$1:$O$15</definedName>
    <definedName name="ExternalData_3" localSheetId="1" hidden="1">'1mps'!$A$1:$O$9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1" l="1"/>
  <c r="E21" i="60"/>
  <c r="E12" i="59"/>
  <c r="E18" i="58"/>
  <c r="E18" i="57"/>
  <c r="D14" i="56"/>
  <c r="D12" i="54"/>
  <c r="P10" i="56"/>
  <c r="P11" i="56"/>
  <c r="P10" i="57"/>
  <c r="P11" i="57"/>
  <c r="P12" i="57"/>
  <c r="P13" i="57"/>
  <c r="P14" i="57"/>
  <c r="P15" i="57"/>
  <c r="P10" i="58"/>
  <c r="P11" i="58"/>
  <c r="P12" i="58"/>
  <c r="P13" i="58"/>
  <c r="P14" i="58"/>
  <c r="P15" i="58"/>
  <c r="P10" i="60"/>
  <c r="P11" i="60"/>
  <c r="P12" i="60"/>
  <c r="P13" i="60"/>
  <c r="P14" i="60"/>
  <c r="P15" i="60"/>
  <c r="P16" i="60"/>
  <c r="P17" i="60"/>
  <c r="P18" i="60"/>
  <c r="P10" i="61"/>
  <c r="P11" i="61"/>
  <c r="P12" i="61"/>
  <c r="P13" i="61"/>
  <c r="P14" i="61"/>
  <c r="P15" i="61"/>
  <c r="P9" i="61"/>
  <c r="P8" i="61"/>
  <c r="P7" i="61"/>
  <c r="P6" i="61"/>
  <c r="P5" i="61"/>
  <c r="P4" i="61"/>
  <c r="P3" i="61"/>
  <c r="P2" i="61"/>
  <c r="P9" i="60"/>
  <c r="P8" i="60"/>
  <c r="P7" i="60"/>
  <c r="P6" i="60"/>
  <c r="P5" i="60"/>
  <c r="P4" i="60"/>
  <c r="P3" i="60"/>
  <c r="P2" i="60"/>
  <c r="P9" i="59"/>
  <c r="P8" i="59"/>
  <c r="P7" i="59"/>
  <c r="P6" i="59"/>
  <c r="P5" i="59"/>
  <c r="P4" i="59"/>
  <c r="P3" i="59"/>
  <c r="P2" i="59"/>
  <c r="P9" i="58"/>
  <c r="P8" i="58"/>
  <c r="P7" i="58"/>
  <c r="P6" i="58"/>
  <c r="P5" i="58"/>
  <c r="P4" i="58"/>
  <c r="P3" i="58"/>
  <c r="P2" i="58"/>
  <c r="P9" i="57"/>
  <c r="P8" i="57"/>
  <c r="P7" i="57"/>
  <c r="P6" i="57"/>
  <c r="P5" i="57"/>
  <c r="P4" i="57"/>
  <c r="P3" i="57"/>
  <c r="P2" i="57"/>
  <c r="P9" i="56"/>
  <c r="P8" i="56"/>
  <c r="P7" i="56"/>
  <c r="P6" i="56"/>
  <c r="P5" i="56"/>
  <c r="P4" i="56"/>
  <c r="P3" i="56"/>
  <c r="P2" i="56"/>
  <c r="P9" i="54"/>
  <c r="P8" i="54"/>
  <c r="P7" i="54"/>
  <c r="P6" i="54"/>
  <c r="P5" i="54"/>
  <c r="P4" i="54"/>
  <c r="P3" i="54"/>
  <c r="P2" i="54"/>
  <c r="Q11" i="56" a="1"/>
  <c r="Q10" i="56" a="1"/>
  <c r="R11" i="56" a="1"/>
  <c r="R10" i="56" a="1"/>
  <c r="T11" i="56" a="1"/>
  <c r="T10" i="56" a="1"/>
  <c r="U11" i="56" a="1"/>
  <c r="U10" i="56" a="1"/>
  <c r="Q11" i="57" a="1"/>
  <c r="R13" i="57" a="1"/>
  <c r="T14" i="57" a="1"/>
  <c r="Q10" i="57" a="1"/>
  <c r="R12" i="57" a="1"/>
  <c r="T15" i="57" a="1"/>
  <c r="T13" i="57" a="1"/>
  <c r="U15" i="57" a="1"/>
  <c r="R11" i="57" a="1"/>
  <c r="R10" i="57" a="1"/>
  <c r="T12" i="57" a="1"/>
  <c r="U14" i="57" a="1"/>
  <c r="T11" i="57" a="1"/>
  <c r="U13" i="57" a="1"/>
  <c r="T10" i="57" a="1"/>
  <c r="U12" i="57" a="1"/>
  <c r="R15" i="57" a="1"/>
  <c r="U11" i="57" a="1"/>
  <c r="Q13" i="57" a="1"/>
  <c r="R14" i="57" a="1"/>
  <c r="U10" i="57" a="1"/>
  <c r="Q15" i="57" a="1"/>
  <c r="Q14" i="57" a="1"/>
  <c r="Q12" i="57" a="1"/>
  <c r="Q11" i="58" a="1"/>
  <c r="R13" i="58" a="1"/>
  <c r="U15" i="58" a="1"/>
  <c r="T12" i="58" a="1"/>
  <c r="T11" i="58" a="1"/>
  <c r="U13" i="58" a="1"/>
  <c r="U10" i="58" a="1"/>
  <c r="Q15" i="58" a="1"/>
  <c r="R15" i="58" a="1"/>
  <c r="Q12" i="58" a="1"/>
  <c r="Q10" i="58" a="1"/>
  <c r="R12" i="58" a="1"/>
  <c r="T15" i="58" a="1"/>
  <c r="R10" i="58" a="1"/>
  <c r="R11" i="58" a="1"/>
  <c r="T14" i="58" a="1"/>
  <c r="T13" i="58" a="1"/>
  <c r="U14" i="58" a="1"/>
  <c r="Q14" i="58" a="1"/>
  <c r="R14" i="58" a="1"/>
  <c r="T10" i="58" a="1"/>
  <c r="U12" i="58" a="1"/>
  <c r="U11" i="58" a="1"/>
  <c r="Q13" i="58" a="1"/>
  <c r="Q11" i="60" a="1"/>
  <c r="R13" i="60" a="1"/>
  <c r="Q10" i="60" a="1"/>
  <c r="R12" i="60" a="1"/>
  <c r="T15" i="60" a="1"/>
  <c r="U17" i="60" a="1"/>
  <c r="U15" i="60" a="1"/>
  <c r="T12" i="60" a="1"/>
  <c r="T11" i="60" a="1"/>
  <c r="U13" i="60" a="1"/>
  <c r="Q18" i="60" a="1"/>
  <c r="U12" i="60" a="1"/>
  <c r="R11" i="60" a="1"/>
  <c r="T14" i="60" a="1"/>
  <c r="U16" i="60" a="1"/>
  <c r="T13" i="60" a="1"/>
  <c r="U14" i="60" a="1"/>
  <c r="T10" i="60" a="1"/>
  <c r="Q17" i="60" a="1"/>
  <c r="R10" i="60" a="1"/>
  <c r="U11" i="60" a="1"/>
  <c r="Q16" i="60" a="1"/>
  <c r="R18" i="60" a="1"/>
  <c r="Q14" i="60" a="1"/>
  <c r="Q13" i="60" a="1"/>
  <c r="R15" i="60" a="1"/>
  <c r="T18" i="60" a="1"/>
  <c r="Q12" i="60" a="1"/>
  <c r="R14" i="60" a="1"/>
  <c r="T17" i="60" a="1"/>
  <c r="T16" i="60" a="1"/>
  <c r="U18" i="60" a="1"/>
  <c r="U10" i="60" a="1"/>
  <c r="Q15" i="60" a="1"/>
  <c r="R17" i="60" a="1"/>
  <c r="R16" i="60" a="1"/>
  <c r="Q11" i="61" a="1"/>
  <c r="R13" i="61" a="1"/>
  <c r="U15" i="61" a="1"/>
  <c r="T11" i="61" a="1"/>
  <c r="U13" i="61" a="1"/>
  <c r="Q13" i="61" a="1"/>
  <c r="R14" i="61" a="1"/>
  <c r="Q10" i="61" a="1"/>
  <c r="R12" i="61" a="1"/>
  <c r="T15" i="61" a="1"/>
  <c r="T13" i="61" a="1"/>
  <c r="T12" i="61" a="1"/>
  <c r="Q14" i="61" a="1"/>
  <c r="R11" i="61" a="1"/>
  <c r="T14" i="61" a="1"/>
  <c r="R10" i="61" a="1"/>
  <c r="U14" i="61" a="1"/>
  <c r="Q15" i="61" a="1"/>
  <c r="R15" i="61" a="1"/>
  <c r="T10" i="61" a="1"/>
  <c r="U12" i="61" a="1"/>
  <c r="U11" i="61" a="1"/>
  <c r="U10" i="61" a="1"/>
  <c r="Q12" i="61" a="1"/>
  <c r="U7" i="61" a="1"/>
  <c r="T5" i="61" a="1"/>
  <c r="R2" i="61" a="1"/>
  <c r="T8" i="61" a="1"/>
  <c r="Q3" i="61" a="1"/>
  <c r="R6" i="61" a="1"/>
  <c r="Q6" i="61" a="1"/>
  <c r="U3" i="61" a="1"/>
  <c r="U4" i="61" a="1"/>
  <c r="T4" i="61" a="1"/>
  <c r="U8" i="61" a="1"/>
  <c r="T6" i="61" a="1"/>
  <c r="R3" i="61" a="1"/>
  <c r="R5" i="61" a="1"/>
  <c r="T9" i="61" a="1"/>
  <c r="Q4" i="61" a="1"/>
  <c r="R7" i="61" a="1"/>
  <c r="Q5" i="61" a="1"/>
  <c r="Q8" i="61" a="1"/>
  <c r="T2" i="61" a="1"/>
  <c r="T3" i="61" a="1"/>
  <c r="U6" i="61" a="1"/>
  <c r="U9" i="61" a="1"/>
  <c r="T7" i="61" a="1"/>
  <c r="R4" i="61" a="1"/>
  <c r="Q2" i="61" a="1"/>
  <c r="U5" i="61" a="1"/>
  <c r="R8" i="61" a="1"/>
  <c r="R9" i="61" a="1"/>
  <c r="Q7" i="61" a="1"/>
  <c r="U2" i="61" a="1"/>
  <c r="Q9" i="61" a="1"/>
  <c r="U7" i="60" a="1"/>
  <c r="T5" i="60" a="1"/>
  <c r="R2" i="60" a="1"/>
  <c r="R5" i="60" a="1"/>
  <c r="T9" i="60" a="1"/>
  <c r="Q4" i="60" a="1"/>
  <c r="R7" i="60" a="1"/>
  <c r="U6" i="60" a="1"/>
  <c r="U8" i="60" a="1"/>
  <c r="T6" i="60" a="1"/>
  <c r="R3" i="60" a="1"/>
  <c r="T8" i="60" a="1"/>
  <c r="Q5" i="60" a="1"/>
  <c r="Q8" i="60" a="1"/>
  <c r="T2" i="60" a="1"/>
  <c r="T3" i="60" a="1"/>
  <c r="U9" i="60" a="1"/>
  <c r="T7" i="60" a="1"/>
  <c r="R4" i="60" a="1"/>
  <c r="Q2" i="60" a="1"/>
  <c r="Q3" i="60" a="1"/>
  <c r="R6" i="60" a="1"/>
  <c r="Q9" i="60" a="1"/>
  <c r="U5" i="60" a="1"/>
  <c r="R8" i="60" a="1"/>
  <c r="Q6" i="60" a="1"/>
  <c r="R9" i="60" a="1"/>
  <c r="Q7" i="60" a="1"/>
  <c r="U2" i="60" a="1"/>
  <c r="U3" i="60" a="1"/>
  <c r="U4" i="60" a="1"/>
  <c r="T4" i="60" a="1"/>
  <c r="U7" i="59" a="1"/>
  <c r="T5" i="59" a="1"/>
  <c r="R2" i="59" a="1"/>
  <c r="T8" i="59" a="1"/>
  <c r="Q5" i="59" a="1"/>
  <c r="R8" i="59" a="1"/>
  <c r="T2" i="59" a="1"/>
  <c r="T4" i="59" a="1"/>
  <c r="U8" i="59" a="1"/>
  <c r="T6" i="59" a="1"/>
  <c r="R3" i="59" a="1"/>
  <c r="Q3" i="59" a="1"/>
  <c r="R6" i="59" a="1"/>
  <c r="Q6" i="59" a="1"/>
  <c r="U4" i="59" a="1"/>
  <c r="T3" i="59" a="1"/>
  <c r="U9" i="59" a="1"/>
  <c r="T7" i="59" a="1"/>
  <c r="R4" i="59" a="1"/>
  <c r="Q2" i="59" a="1"/>
  <c r="R5" i="59" a="1"/>
  <c r="T9" i="59" a="1"/>
  <c r="Q4" i="59" a="1"/>
  <c r="R7" i="59" a="1"/>
  <c r="Q9" i="59" a="1"/>
  <c r="U5" i="59" a="1"/>
  <c r="R9" i="59" a="1"/>
  <c r="Q7" i="59" a="1"/>
  <c r="U2" i="59" a="1"/>
  <c r="Q8" i="59" a="1"/>
  <c r="U3" i="59" a="1"/>
  <c r="U6" i="59" a="1"/>
  <c r="U7" i="58" a="1"/>
  <c r="U8" i="58" a="1"/>
  <c r="T6" i="58" a="1"/>
  <c r="R3" i="58" a="1"/>
  <c r="T7" i="58" a="1"/>
  <c r="R4" i="58" a="1"/>
  <c r="Q2" i="58" a="1"/>
  <c r="T8" i="58" a="1"/>
  <c r="U9" i="58" a="1"/>
  <c r="R8" i="58" a="1"/>
  <c r="Q6" i="58" a="1"/>
  <c r="U4" i="58" a="1"/>
  <c r="U5" i="58" a="1"/>
  <c r="T3" i="58" a="1"/>
  <c r="R5" i="58" a="1"/>
  <c r="R7" i="58" a="1"/>
  <c r="R9" i="58" a="1"/>
  <c r="Q7" i="58" a="1"/>
  <c r="U2" i="58" a="1"/>
  <c r="T2" i="58" a="1"/>
  <c r="U6" i="58" a="1"/>
  <c r="T5" i="58" a="1"/>
  <c r="Q3" i="58" a="1"/>
  <c r="Q8" i="58" a="1"/>
  <c r="U3" i="58" a="1"/>
  <c r="Q9" i="58" a="1"/>
  <c r="T4" i="58" a="1"/>
  <c r="R2" i="58" a="1"/>
  <c r="T9" i="58" a="1"/>
  <c r="R6" i="58" a="1"/>
  <c r="Q4" i="58" a="1"/>
  <c r="Q5" i="58" a="1"/>
  <c r="U7" i="57" a="1"/>
  <c r="T5" i="57" a="1"/>
  <c r="R2" i="57" a="1"/>
  <c r="R5" i="57" a="1"/>
  <c r="T9" i="57" a="1"/>
  <c r="Q4" i="57" a="1"/>
  <c r="R7" i="57" a="1"/>
  <c r="Q5" i="57" a="1"/>
  <c r="Q7" i="57" a="1"/>
  <c r="Q9" i="57" a="1"/>
  <c r="U5" i="57" a="1"/>
  <c r="T4" i="57" a="1"/>
  <c r="U8" i="57" a="1"/>
  <c r="T6" i="57" a="1"/>
  <c r="R3" i="57" a="1"/>
  <c r="Q3" i="57" a="1"/>
  <c r="R6" i="57" a="1"/>
  <c r="R9" i="57" a="1"/>
  <c r="Q8" i="57" a="1"/>
  <c r="U9" i="57" a="1"/>
  <c r="T7" i="57" a="1"/>
  <c r="R4" i="57" a="1"/>
  <c r="Q2" i="57" a="1"/>
  <c r="T8" i="57" a="1"/>
  <c r="U2" i="57" a="1"/>
  <c r="U4" i="57" a="1"/>
  <c r="T3" i="57" a="1"/>
  <c r="R8" i="57" a="1"/>
  <c r="Q6" i="57" a="1"/>
  <c r="U3" i="57" a="1"/>
  <c r="T2" i="57" a="1"/>
  <c r="U6" i="57" a="1"/>
  <c r="U7" i="56" a="1"/>
  <c r="T5" i="56" a="1"/>
  <c r="R2" i="56" a="1"/>
  <c r="R8" i="56" a="1"/>
  <c r="Q6" i="56" a="1"/>
  <c r="U8" i="56" a="1"/>
  <c r="T6" i="56" a="1"/>
  <c r="R3" i="56" a="1"/>
  <c r="T7" i="56" a="1"/>
  <c r="R4" i="56" a="1"/>
  <c r="Q2" i="56" a="1"/>
  <c r="R6" i="56" a="1"/>
  <c r="Q4" i="56" a="1"/>
  <c r="U9" i="56" a="1"/>
  <c r="R7" i="56" a="1"/>
  <c r="Q5" i="56" a="1"/>
  <c r="T8" i="56" a="1"/>
  <c r="R5" i="56" a="1"/>
  <c r="Q3" i="56" a="1"/>
  <c r="T9" i="56" a="1"/>
  <c r="R9" i="56" a="1"/>
  <c r="Q7" i="56" a="1"/>
  <c r="Q8" i="56" a="1"/>
  <c r="Q9" i="56" a="1"/>
  <c r="U6" i="56" a="1"/>
  <c r="T4" i="56" a="1"/>
  <c r="U2" i="56" a="1"/>
  <c r="U3" i="56" a="1"/>
  <c r="U4" i="56" a="1"/>
  <c r="T2" i="56" a="1"/>
  <c r="U5" i="56" a="1"/>
  <c r="T3" i="56" a="1"/>
  <c r="Q3" i="54" a="1"/>
  <c r="T7" i="54" a="1"/>
  <c r="R7" i="54" a="1"/>
  <c r="Q5" i="54" a="1"/>
  <c r="U2" i="54" a="1"/>
  <c r="U3" i="54" a="1"/>
  <c r="U4" i="54" a="1"/>
  <c r="T2" i="54" a="1"/>
  <c r="R9" i="54" a="1"/>
  <c r="R8" i="54" a="1"/>
  <c r="Q6" i="54" a="1"/>
  <c r="T8" i="54" a="1"/>
  <c r="R5" i="54" a="1"/>
  <c r="U5" i="54" a="1"/>
  <c r="R4" i="54" a="1"/>
  <c r="T3" i="54" a="1"/>
  <c r="Q2" i="54" a="1"/>
  <c r="U6" i="54" a="1"/>
  <c r="T9" i="54" a="1"/>
  <c r="T4" i="54" a="1"/>
  <c r="R6" i="54" a="1"/>
  <c r="U7" i="54" a="1"/>
  <c r="Q4" i="54" a="1"/>
  <c r="T5" i="54" a="1"/>
  <c r="R2" i="54" a="1"/>
  <c r="U8" i="54" a="1"/>
  <c r="T6" i="54" a="1"/>
  <c r="Q7" i="54" a="1"/>
  <c r="R3" i="54" a="1"/>
  <c r="Q8" i="54" a="1"/>
  <c r="U9" i="54" a="1"/>
  <c r="Q9" i="54" a="1"/>
  <c r="U10" i="56" l="1"/>
  <c r="U11" i="56"/>
  <c r="T10" i="56"/>
  <c r="T11" i="56"/>
  <c r="R10" i="56"/>
  <c r="R11" i="56"/>
  <c r="Q10" i="56"/>
  <c r="S10" i="56" s="1"/>
  <c r="V10" i="56" s="1"/>
  <c r="Q11" i="56"/>
  <c r="S11" i="56" s="1"/>
  <c r="V11" i="56" s="1"/>
  <c r="Q12" i="57"/>
  <c r="Q14" i="57"/>
  <c r="Q15" i="57"/>
  <c r="U10" i="57"/>
  <c r="R14" i="57"/>
  <c r="Q13" i="57"/>
  <c r="U11" i="57"/>
  <c r="R15" i="57"/>
  <c r="U12" i="57"/>
  <c r="T10" i="57"/>
  <c r="U13" i="57"/>
  <c r="T11" i="57"/>
  <c r="U14" i="57"/>
  <c r="T12" i="57"/>
  <c r="R10" i="57"/>
  <c r="R11" i="57"/>
  <c r="U15" i="57"/>
  <c r="T13" i="57"/>
  <c r="T15" i="57"/>
  <c r="R12" i="57"/>
  <c r="Q10" i="57"/>
  <c r="S10" i="57" s="1"/>
  <c r="V10" i="57" s="1"/>
  <c r="T14" i="57"/>
  <c r="R13" i="57"/>
  <c r="Q11" i="57"/>
  <c r="S11" i="57" s="1"/>
  <c r="V11" i="57" s="1"/>
  <c r="Q13" i="58"/>
  <c r="U11" i="58"/>
  <c r="U12" i="58"/>
  <c r="T10" i="58"/>
  <c r="R14" i="58"/>
  <c r="Q14" i="58"/>
  <c r="S14" i="58" s="1"/>
  <c r="U14" i="58"/>
  <c r="T13" i="58"/>
  <c r="T14" i="58"/>
  <c r="R11" i="58"/>
  <c r="R10" i="58"/>
  <c r="T15" i="58"/>
  <c r="R12" i="58"/>
  <c r="Q10" i="58"/>
  <c r="Q12" i="58"/>
  <c r="S12" i="58" s="1"/>
  <c r="R15" i="58"/>
  <c r="Q15" i="58"/>
  <c r="S15" i="58" s="1"/>
  <c r="U10" i="58"/>
  <c r="U13" i="58"/>
  <c r="T11" i="58"/>
  <c r="T12" i="58"/>
  <c r="U15" i="58"/>
  <c r="R13" i="58"/>
  <c r="Q11" i="58"/>
  <c r="S11" i="58" s="1"/>
  <c r="V11" i="58" s="1"/>
  <c r="R16" i="60"/>
  <c r="R17" i="60"/>
  <c r="Q15" i="60"/>
  <c r="U10" i="60"/>
  <c r="U18" i="60"/>
  <c r="T16" i="60"/>
  <c r="T17" i="60"/>
  <c r="R14" i="60"/>
  <c r="Q12" i="60"/>
  <c r="S12" i="60" s="1"/>
  <c r="V12" i="60" s="1"/>
  <c r="T18" i="60"/>
  <c r="R15" i="60"/>
  <c r="Q13" i="60"/>
  <c r="S13" i="60" s="1"/>
  <c r="V13" i="60" s="1"/>
  <c r="Q14" i="60"/>
  <c r="R18" i="60"/>
  <c r="Q16" i="60"/>
  <c r="S16" i="60" s="1"/>
  <c r="U11" i="60"/>
  <c r="R10" i="60"/>
  <c r="Q17" i="60"/>
  <c r="S17" i="60" s="1"/>
  <c r="T10" i="60"/>
  <c r="U14" i="60"/>
  <c r="T13" i="60"/>
  <c r="U16" i="60"/>
  <c r="T14" i="60"/>
  <c r="R11" i="60"/>
  <c r="U12" i="60"/>
  <c r="Q18" i="60"/>
  <c r="S18" i="60" s="1"/>
  <c r="U13" i="60"/>
  <c r="T11" i="60"/>
  <c r="T12" i="60"/>
  <c r="U15" i="60"/>
  <c r="U17" i="60"/>
  <c r="T15" i="60"/>
  <c r="R12" i="60"/>
  <c r="Q10" i="60"/>
  <c r="S10" i="60" s="1"/>
  <c r="V10" i="60" s="1"/>
  <c r="R13" i="60"/>
  <c r="Q11" i="60"/>
  <c r="S11" i="60" s="1"/>
  <c r="V11" i="60" s="1"/>
  <c r="Q12" i="61"/>
  <c r="U10" i="61"/>
  <c r="U11" i="61"/>
  <c r="U12" i="61"/>
  <c r="T10" i="61"/>
  <c r="R15" i="61"/>
  <c r="Q15" i="61"/>
  <c r="S15" i="61" s="1"/>
  <c r="V15" i="61" s="1"/>
  <c r="U14" i="61"/>
  <c r="R10" i="61"/>
  <c r="T14" i="61"/>
  <c r="R11" i="61"/>
  <c r="Q14" i="61"/>
  <c r="S14" i="61" s="1"/>
  <c r="V14" i="61" s="1"/>
  <c r="T12" i="61"/>
  <c r="T13" i="61"/>
  <c r="T15" i="61"/>
  <c r="R12" i="61"/>
  <c r="Q10" i="61"/>
  <c r="R14" i="61"/>
  <c r="Q13" i="61"/>
  <c r="U13" i="61"/>
  <c r="T11" i="61"/>
  <c r="U15" i="61"/>
  <c r="R13" i="61"/>
  <c r="Q11" i="61"/>
  <c r="S11" i="61" s="1"/>
  <c r="V11" i="61" s="1"/>
  <c r="Q9" i="61"/>
  <c r="U2" i="61"/>
  <c r="Q7" i="61"/>
  <c r="R9" i="61"/>
  <c r="R8" i="61"/>
  <c r="U5" i="61"/>
  <c r="Q2" i="61"/>
  <c r="S2" i="61" s="1"/>
  <c r="V2" i="61" s="1"/>
  <c r="R4" i="61"/>
  <c r="T7" i="61"/>
  <c r="U9" i="61"/>
  <c r="U6" i="61"/>
  <c r="T3" i="61"/>
  <c r="T2" i="61"/>
  <c r="Q8" i="61"/>
  <c r="Q5" i="61"/>
  <c r="R7" i="61"/>
  <c r="Q4" i="61"/>
  <c r="T9" i="61"/>
  <c r="R5" i="61"/>
  <c r="R3" i="61"/>
  <c r="T6" i="61"/>
  <c r="U8" i="61"/>
  <c r="T4" i="61"/>
  <c r="U4" i="61"/>
  <c r="U3" i="61"/>
  <c r="Q6" i="61"/>
  <c r="R6" i="61"/>
  <c r="Q3" i="61"/>
  <c r="T8" i="61"/>
  <c r="R2" i="61"/>
  <c r="T5" i="61"/>
  <c r="U7" i="61"/>
  <c r="T4" i="60"/>
  <c r="U4" i="60"/>
  <c r="U3" i="60"/>
  <c r="U2" i="60"/>
  <c r="Q7" i="60"/>
  <c r="R9" i="60"/>
  <c r="Q6" i="60"/>
  <c r="R8" i="60"/>
  <c r="U5" i="60"/>
  <c r="Q9" i="60"/>
  <c r="S9" i="60" s="1"/>
  <c r="R6" i="60"/>
  <c r="Q3" i="60"/>
  <c r="S3" i="60" s="1"/>
  <c r="Q2" i="60"/>
  <c r="R4" i="60"/>
  <c r="T7" i="60"/>
  <c r="U9" i="60"/>
  <c r="T3" i="60"/>
  <c r="T2" i="60"/>
  <c r="Q8" i="60"/>
  <c r="Q5" i="60"/>
  <c r="S5" i="60" s="1"/>
  <c r="T8" i="60"/>
  <c r="R3" i="60"/>
  <c r="T6" i="60"/>
  <c r="U8" i="60"/>
  <c r="U6" i="60"/>
  <c r="R7" i="60"/>
  <c r="Q4" i="60"/>
  <c r="S4" i="60" s="1"/>
  <c r="V4" i="60" s="1"/>
  <c r="T9" i="60"/>
  <c r="R5" i="60"/>
  <c r="R2" i="60"/>
  <c r="T5" i="60"/>
  <c r="U7" i="60"/>
  <c r="U6" i="59"/>
  <c r="U3" i="59"/>
  <c r="Q8" i="59"/>
  <c r="U2" i="59"/>
  <c r="Q7" i="59"/>
  <c r="R9" i="59"/>
  <c r="U5" i="59"/>
  <c r="Q9" i="59"/>
  <c r="S9" i="59" s="1"/>
  <c r="V9" i="59" s="1"/>
  <c r="R7" i="59"/>
  <c r="Q4" i="59"/>
  <c r="S4" i="59" s="1"/>
  <c r="V4" i="59" s="1"/>
  <c r="T9" i="59"/>
  <c r="R5" i="59"/>
  <c r="Q2" i="59"/>
  <c r="R4" i="59"/>
  <c r="T7" i="59"/>
  <c r="U9" i="59"/>
  <c r="T3" i="59"/>
  <c r="U4" i="59"/>
  <c r="Q6" i="59"/>
  <c r="R6" i="59"/>
  <c r="Q3" i="59"/>
  <c r="R3" i="59"/>
  <c r="T6" i="59"/>
  <c r="U8" i="59"/>
  <c r="T4" i="59"/>
  <c r="T2" i="59"/>
  <c r="R8" i="59"/>
  <c r="Q5" i="59"/>
  <c r="T8" i="59"/>
  <c r="R2" i="59"/>
  <c r="T5" i="59"/>
  <c r="U7" i="59"/>
  <c r="Q5" i="58"/>
  <c r="Q4" i="58"/>
  <c r="R6" i="58"/>
  <c r="T9" i="58"/>
  <c r="R2" i="58"/>
  <c r="T4" i="58"/>
  <c r="Q9" i="58"/>
  <c r="S9" i="58" s="1"/>
  <c r="U3" i="58"/>
  <c r="Q8" i="58"/>
  <c r="Q3" i="58"/>
  <c r="S3" i="58" s="1"/>
  <c r="V3" i="58" s="1"/>
  <c r="T5" i="58"/>
  <c r="U6" i="58"/>
  <c r="T2" i="58"/>
  <c r="U2" i="58"/>
  <c r="Q7" i="58"/>
  <c r="R9" i="58"/>
  <c r="R7" i="58"/>
  <c r="R5" i="58"/>
  <c r="T3" i="58"/>
  <c r="U5" i="58"/>
  <c r="U4" i="58"/>
  <c r="Q6" i="58"/>
  <c r="S6" i="58" s="1"/>
  <c r="V6" i="58" s="1"/>
  <c r="R8" i="58"/>
  <c r="U9" i="58"/>
  <c r="T8" i="58"/>
  <c r="Q2" i="58"/>
  <c r="R4" i="58"/>
  <c r="T7" i="58"/>
  <c r="R3" i="58"/>
  <c r="T6" i="58"/>
  <c r="U8" i="58"/>
  <c r="U7" i="58"/>
  <c r="U6" i="57"/>
  <c r="T2" i="57"/>
  <c r="U3" i="57"/>
  <c r="Q6" i="57"/>
  <c r="S6" i="57" s="1"/>
  <c r="V6" i="57" s="1"/>
  <c r="R8" i="57"/>
  <c r="T3" i="57"/>
  <c r="U4" i="57"/>
  <c r="U2" i="57"/>
  <c r="T8" i="57"/>
  <c r="Q2" i="57"/>
  <c r="S2" i="57" s="1"/>
  <c r="R4" i="57"/>
  <c r="T7" i="57"/>
  <c r="U9" i="57"/>
  <c r="Q8" i="57"/>
  <c r="R9" i="57"/>
  <c r="R6" i="57"/>
  <c r="Q3" i="57"/>
  <c r="R3" i="57"/>
  <c r="T6" i="57"/>
  <c r="U8" i="57"/>
  <c r="T4" i="57"/>
  <c r="U5" i="57"/>
  <c r="Q9" i="57"/>
  <c r="Q7" i="57"/>
  <c r="Q5" i="57"/>
  <c r="R7" i="57"/>
  <c r="Q4" i="57"/>
  <c r="T9" i="57"/>
  <c r="R5" i="57"/>
  <c r="R2" i="57"/>
  <c r="T5" i="57"/>
  <c r="U7" i="57"/>
  <c r="T3" i="56"/>
  <c r="U5" i="56"/>
  <c r="T2" i="56"/>
  <c r="U4" i="56"/>
  <c r="U3" i="56"/>
  <c r="U2" i="56"/>
  <c r="T4" i="56"/>
  <c r="U6" i="56"/>
  <c r="Q9" i="56"/>
  <c r="Q8" i="56"/>
  <c r="S8" i="56" s="1"/>
  <c r="V8" i="56" s="1"/>
  <c r="Q7" i="56"/>
  <c r="S7" i="56" s="1"/>
  <c r="V7" i="56" s="1"/>
  <c r="R9" i="56"/>
  <c r="T9" i="56"/>
  <c r="Q3" i="56"/>
  <c r="S3" i="56" s="1"/>
  <c r="V3" i="56" s="1"/>
  <c r="R5" i="56"/>
  <c r="T8" i="56"/>
  <c r="Q5" i="56"/>
  <c r="S5" i="56" s="1"/>
  <c r="V5" i="56" s="1"/>
  <c r="R7" i="56"/>
  <c r="U9" i="56"/>
  <c r="Q4" i="56"/>
  <c r="R6" i="56"/>
  <c r="Q2" i="56"/>
  <c r="S2" i="56" s="1"/>
  <c r="V2" i="56" s="1"/>
  <c r="R4" i="56"/>
  <c r="T7" i="56"/>
  <c r="R3" i="56"/>
  <c r="T6" i="56"/>
  <c r="U8" i="56"/>
  <c r="Q6" i="56"/>
  <c r="S6" i="56" s="1"/>
  <c r="V6" i="56" s="1"/>
  <c r="R8" i="56"/>
  <c r="R2" i="56"/>
  <c r="T5" i="56"/>
  <c r="U7" i="56"/>
  <c r="Q4" i="54"/>
  <c r="R6" i="54"/>
  <c r="T9" i="54"/>
  <c r="Q2" i="54"/>
  <c r="R4" i="54"/>
  <c r="T7" i="54"/>
  <c r="U9" i="54"/>
  <c r="R3" i="54"/>
  <c r="T6" i="54"/>
  <c r="U8" i="54"/>
  <c r="R2" i="54"/>
  <c r="T5" i="54"/>
  <c r="U7" i="54"/>
  <c r="T4" i="54"/>
  <c r="U6" i="54"/>
  <c r="T3" i="54"/>
  <c r="U5" i="54"/>
  <c r="Q9" i="54"/>
  <c r="Q8" i="54"/>
  <c r="S8" i="54" s="1"/>
  <c r="Q7" i="54"/>
  <c r="S7" i="54" s="1"/>
  <c r="V7" i="54" s="1"/>
  <c r="R9" i="54"/>
  <c r="T2" i="54"/>
  <c r="U4" i="54"/>
  <c r="U3" i="54"/>
  <c r="U2" i="54"/>
  <c r="Q5" i="54"/>
  <c r="R7" i="54"/>
  <c r="Q3" i="54"/>
  <c r="S3" i="54" s="1"/>
  <c r="V3" i="54" s="1"/>
  <c r="R5" i="54"/>
  <c r="T8" i="54"/>
  <c r="Q6" i="54"/>
  <c r="S6" i="54" s="1"/>
  <c r="R8" i="54"/>
  <c r="S15" i="57" l="1"/>
  <c r="V15" i="57" s="1"/>
  <c r="S13" i="57"/>
  <c r="V13" i="57" s="1"/>
  <c r="S14" i="57"/>
  <c r="V14" i="57" s="1"/>
  <c r="S12" i="57"/>
  <c r="V12" i="57" s="1"/>
  <c r="S7" i="57"/>
  <c r="V7" i="57" s="1"/>
  <c r="V2" i="57"/>
  <c r="S9" i="57"/>
  <c r="V9" i="57" s="1"/>
  <c r="V15" i="58"/>
  <c r="V12" i="58"/>
  <c r="V14" i="58"/>
  <c r="S10" i="58"/>
  <c r="V10" i="58" s="1"/>
  <c r="S13" i="58"/>
  <c r="V13" i="58" s="1"/>
  <c r="V16" i="60"/>
  <c r="S15" i="60"/>
  <c r="V15" i="60" s="1"/>
  <c r="V18" i="60"/>
  <c r="V17" i="60"/>
  <c r="S14" i="60"/>
  <c r="V14" i="60" s="1"/>
  <c r="V9" i="60"/>
  <c r="V3" i="60"/>
  <c r="S7" i="60"/>
  <c r="S13" i="61"/>
  <c r="V13" i="61" s="1"/>
  <c r="S10" i="61"/>
  <c r="V10" i="61" s="1"/>
  <c r="S12" i="61"/>
  <c r="V12" i="61" s="1"/>
  <c r="S5" i="61"/>
  <c r="V5" i="61" s="1"/>
  <c r="S7" i="61"/>
  <c r="V7" i="61" s="1"/>
  <c r="S4" i="61"/>
  <c r="V4" i="61" s="1"/>
  <c r="S3" i="61"/>
  <c r="V3" i="61" s="1"/>
  <c r="S6" i="61"/>
  <c r="V6" i="61" s="1"/>
  <c r="S8" i="61"/>
  <c r="V8" i="61" s="1"/>
  <c r="S9" i="61"/>
  <c r="V9" i="61" s="1"/>
  <c r="V5" i="60"/>
  <c r="S8" i="60"/>
  <c r="V8" i="60" s="1"/>
  <c r="V7" i="60"/>
  <c r="S6" i="60"/>
  <c r="V6" i="60" s="1"/>
  <c r="S2" i="60"/>
  <c r="V2" i="60" s="1"/>
  <c r="S3" i="59"/>
  <c r="V3" i="59" s="1"/>
  <c r="S6" i="59"/>
  <c r="V6" i="59" s="1"/>
  <c r="S8" i="59"/>
  <c r="V8" i="59" s="1"/>
  <c r="S7" i="59"/>
  <c r="V7" i="59" s="1"/>
  <c r="S5" i="59"/>
  <c r="V5" i="59" s="1"/>
  <c r="S2" i="59"/>
  <c r="V2" i="59" s="1"/>
  <c r="V9" i="58"/>
  <c r="S7" i="58"/>
  <c r="V7" i="58" s="1"/>
  <c r="S8" i="58"/>
  <c r="V8" i="58" s="1"/>
  <c r="S2" i="58"/>
  <c r="V2" i="58" s="1"/>
  <c r="S4" i="58"/>
  <c r="V4" i="58" s="1"/>
  <c r="S5" i="58"/>
  <c r="V5" i="58" s="1"/>
  <c r="S3" i="57"/>
  <c r="V3" i="57" s="1"/>
  <c r="S4" i="57"/>
  <c r="V4" i="57" s="1"/>
  <c r="S8" i="57"/>
  <c r="V8" i="57" s="1"/>
  <c r="S5" i="57"/>
  <c r="V5" i="57" s="1"/>
  <c r="S4" i="56"/>
  <c r="V4" i="56" s="1"/>
  <c r="S9" i="56"/>
  <c r="V9" i="56" s="1"/>
  <c r="S5" i="54"/>
  <c r="V5" i="54" s="1"/>
  <c r="S9" i="54"/>
  <c r="V9" i="54" s="1"/>
  <c r="S2" i="54"/>
  <c r="V2" i="54" s="1"/>
  <c r="V6" i="54"/>
  <c r="V8" i="54"/>
  <c r="S4" i="54"/>
  <c r="V4" i="5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DBACF-D104-FF45-ADB6-6616B8F1CA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C0AA7BC-F3D2-2C4A-83D2-569391CA22B2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23B743B9-C177-3F41-A44D-E43B65BB7A57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C1BFF373-BE82-294A-9655-7CE46EF3DDE0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80419DA5-31A4-5247-8707-75359CAFAAAA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3BDF2326-4B76-714F-89DB-686E3E87F3D6}" keepAlive="1" name="Query - sheet1 (14)" description="Connection to the 'sheet1 (14)' query in the workbook." type="5" refreshedVersion="8" background="1" saveData="1">
    <dbPr connection="Provider=Microsoft.Mashup.OleDb.1;Data Source=$Workbook$;Location=&quot;sheet1 (14)&quot;;Extended Properties=&quot;&quot;" command="SELECT * FROM [sheet1 (14)]"/>
  </connection>
  <connection id="7" xr16:uid="{0F6383C8-57CC-FD43-9C99-D1AEC746D05B}" keepAlive="1" name="Query - sheet1 (15)" description="Connection to the 'sheet1 (15)' query in the workbook." type="5" refreshedVersion="8" background="1" saveData="1">
    <dbPr connection="Provider=Microsoft.Mashup.OleDb.1;Data Source=$Workbook$;Location=&quot;sheet1 (15)&quot;;Extended Properties=&quot;&quot;" command="SELECT * FROM [sheet1 (15)]"/>
  </connection>
  <connection id="8" xr16:uid="{8D2445E9-2AF7-9442-B1CC-FFDCE0B0AFDB}" keepAlive="1" name="Query - sheet1 (16)" description="Connection to the 'sheet1 (16)' query in the workbook." type="5" refreshedVersion="8" background="1" saveData="1">
    <dbPr connection="Provider=Microsoft.Mashup.OleDb.1;Data Source=$Workbook$;Location=&quot;sheet1 (16)&quot;;Extended Properties=&quot;&quot;" command="SELECT * FROM [sheet1 (16)]"/>
  </connection>
  <connection id="9" xr16:uid="{C0F95801-D0AC-654E-952C-39406C4DE3E9}" keepAlive="1" name="Query - sheet1 (17)" description="Connection to the 'sheet1 (17)' query in the workbook." type="5" refreshedVersion="8" background="1" saveData="1">
    <dbPr connection="Provider=Microsoft.Mashup.OleDb.1;Data Source=$Workbook$;Location=&quot;sheet1 (17)&quot;;Extended Properties=&quot;&quot;" command="SELECT * FROM [sheet1 (17)]"/>
  </connection>
  <connection id="10" xr16:uid="{F1E47B32-1BF0-2F4E-89DB-653532964071}" keepAlive="1" name="Query - sheet1 (18)" description="Connection to the 'sheet1 (18)' query in the workbook." type="5" refreshedVersion="8" background="1" saveData="1">
    <dbPr connection="Provider=Microsoft.Mashup.OleDb.1;Data Source=$Workbook$;Location=&quot;sheet1 (18)&quot;;Extended Properties=&quot;&quot;" command="SELECT * FROM [sheet1 (18)]"/>
  </connection>
  <connection id="11" xr16:uid="{241D4006-6AE1-014B-8BD1-87C2B8BEADE9}" keepAlive="1" name="Query - sheet1 (19)" description="Connection to the 'sheet1 (19)' query in the workbook." type="5" refreshedVersion="8" background="1" saveData="1">
    <dbPr connection="Provider=Microsoft.Mashup.OleDb.1;Data Source=$Workbook$;Location=&quot;sheet1 (19)&quot;;Extended Properties=&quot;&quot;" command="SELECT * FROM [sheet1 (19)]"/>
  </connection>
  <connection id="12" xr16:uid="{1918B5ED-FFDE-7F46-A02A-F90748244A4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13" xr16:uid="{24FACAED-5DB3-DA4F-AEF4-6E7C2F5E357F}" keepAlive="1" name="Query - sheet1 (20)" description="Connection to the 'sheet1 (20)' query in the workbook." type="5" refreshedVersion="8" background="1" saveData="1">
    <dbPr connection="Provider=Microsoft.Mashup.OleDb.1;Data Source=$Workbook$;Location=&quot;sheet1 (20)&quot;;Extended Properties=&quot;&quot;" command="SELECT * FROM [sheet1 (20)]"/>
  </connection>
  <connection id="14" xr16:uid="{F28315A7-7B6B-CD40-A1D0-7430BB740627}" keepAlive="1" name="Query - sheet1 (21)" description="Connection to the 'sheet1 (21)' query in the workbook." type="5" refreshedVersion="8" background="1" saveData="1">
    <dbPr connection="Provider=Microsoft.Mashup.OleDb.1;Data Source=$Workbook$;Location=&quot;sheet1 (21)&quot;;Extended Properties=&quot;&quot;" command="SELECT * FROM [sheet1 (21)]"/>
  </connection>
  <connection id="15" xr16:uid="{B78EA54C-E701-0743-840F-E5EAD8E09A9D}" keepAlive="1" name="Query - sheet1 (22)" description="Connection to the 'sheet1 (22)' query in the workbook." type="5" refreshedVersion="8" background="1" saveData="1">
    <dbPr connection="Provider=Microsoft.Mashup.OleDb.1;Data Source=$Workbook$;Location=&quot;sheet1 (22)&quot;;Extended Properties=&quot;&quot;" command="SELECT * FROM [sheet1 (22)]"/>
  </connection>
  <connection id="16" xr16:uid="{932FF392-9AF2-D54F-9595-71E867FCDA7E}" keepAlive="1" name="Query - sheet1 (23)" description="Connection to the 'sheet1 (23)' query in the workbook." type="5" refreshedVersion="0" background="1">
    <dbPr connection="Provider=Microsoft.Mashup.OleDb.1;Data Source=$Workbook$;Location=&quot;sheet1 (23)&quot;;Extended Properties=&quot;&quot;" command="SELECT * FROM [sheet1 (23)]"/>
  </connection>
  <connection id="17" xr16:uid="{409B9E33-144B-C042-A2BE-6F9B2DEE639F}" keepAlive="1" name="Query - sheet1 (24)" description="Connection to the 'sheet1 (24)' query in the workbook." type="5" refreshedVersion="0" background="1">
    <dbPr connection="Provider=Microsoft.Mashup.OleDb.1;Data Source=$Workbook$;Location=&quot;sheet1 (24)&quot;;Extended Properties=&quot;&quot;" command="SELECT * FROM [sheet1 (24)]"/>
  </connection>
  <connection id="18" xr16:uid="{71B861DB-E4E4-AC45-9884-82000470789D}" keepAlive="1" name="Query - sheet1 (25)" description="Connection to the 'sheet1 (25)' query in the workbook." type="5" refreshedVersion="0" background="1">
    <dbPr connection="Provider=Microsoft.Mashup.OleDb.1;Data Source=$Workbook$;Location=&quot;sheet1 (25)&quot;;Extended Properties=&quot;&quot;" command="SELECT * FROM [sheet1 (25)]"/>
  </connection>
  <connection id="19" xr16:uid="{0259432B-1DD1-6F48-97E7-FF78E3177706}" keepAlive="1" name="Query - sheet1 (26)" description="Connection to the 'sheet1 (26)' query in the workbook." type="5" refreshedVersion="0" background="1">
    <dbPr connection="Provider=Microsoft.Mashup.OleDb.1;Data Source=$Workbook$;Location=&quot;sheet1 (26)&quot;;Extended Properties=&quot;&quot;" command="SELECT * FROM [sheet1 (26)]"/>
  </connection>
  <connection id="20" xr16:uid="{54BAFF37-2D34-BF4D-A403-C0D8593DF8A0}" keepAlive="1" name="Query - sheet1 (27)" description="Connection to the 'sheet1 (27)' query in the workbook." type="5" refreshedVersion="0" background="1">
    <dbPr connection="Provider=Microsoft.Mashup.OleDb.1;Data Source=$Workbook$;Location=&quot;sheet1 (27)&quot;;Extended Properties=&quot;&quot;" command="SELECT * FROM [sheet1 (27)]"/>
  </connection>
  <connection id="21" xr16:uid="{A5A5D3DE-FE19-B64B-AA47-ADBAD51C6D90}" keepAlive="1" name="Query - sheet1 (28)" description="Connection to the 'sheet1 (28)' query in the workbook." type="5" refreshedVersion="0" background="1">
    <dbPr connection="Provider=Microsoft.Mashup.OleDb.1;Data Source=$Workbook$;Location=&quot;sheet1 (28)&quot;;Extended Properties=&quot;&quot;" command="SELECT * FROM [sheet1 (28)]"/>
  </connection>
  <connection id="22" xr16:uid="{F672478A-D60F-5E4C-976B-615A98671E11}" keepAlive="1" name="Query - sheet1 (29)" description="Connection to the 'sheet1 (29)' query in the workbook." type="5" refreshedVersion="0" background="1">
    <dbPr connection="Provider=Microsoft.Mashup.OleDb.1;Data Source=$Workbook$;Location=&quot;sheet1 (29)&quot;;Extended Properties=&quot;&quot;" command="SELECT * FROM [sheet1 (29)]"/>
  </connection>
  <connection id="23" xr16:uid="{0022E35C-8554-0D47-A1EE-1B27F0CA55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24" xr16:uid="{DE2D7258-D7AA-6049-8805-DFA7E9373502}" keepAlive="1" name="Query - sheet1 (30)" description="Connection to the 'sheet1 (30)' query in the workbook." type="5" refreshedVersion="0" background="1" saveData="1">
    <dbPr connection="Provider=Microsoft.Mashup.OleDb.1;Data Source=$Workbook$;Location=&quot;sheet1 (30)&quot;;Extended Properties=&quot;&quot;" command="SELECT * FROM [sheet1 (30)]"/>
  </connection>
  <connection id="25" xr16:uid="{95705D8B-C761-684C-8E59-E29871A58BCF}" keepAlive="1" name="Query - sheet1 (31)" description="Connection to the 'sheet1 (31)' query in the workbook." type="5" refreshedVersion="8" background="1" saveData="1">
    <dbPr connection="Provider=Microsoft.Mashup.OleDb.1;Data Source=$Workbook$;Location=&quot;sheet1 (31)&quot;;Extended Properties=&quot;&quot;" command="SELECT * FROM [sheet1 (31)]"/>
  </connection>
  <connection id="26" xr16:uid="{67D38F59-9847-8241-804A-D253402DE1E8}" keepAlive="1" name="Query - sheet1 (32)" description="Connection to the 'sheet1 (32)' query in the workbook." type="5" refreshedVersion="8" background="1" saveData="1">
    <dbPr connection="Provider=Microsoft.Mashup.OleDb.1;Data Source=$Workbook$;Location=&quot;sheet1 (32)&quot;;Extended Properties=&quot;&quot;" command="SELECT * FROM [sheet1 (32)]"/>
  </connection>
  <connection id="27" xr16:uid="{3668AFA0-DE6A-DC4F-86E3-42AEDAF56C90}" keepAlive="1" name="Query - sheet1 (33)" description="Connection to the 'sheet1 (33)' query in the workbook." type="5" refreshedVersion="8" background="1" saveData="1">
    <dbPr connection="Provider=Microsoft.Mashup.OleDb.1;Data Source=$Workbook$;Location=&quot;sheet1 (33)&quot;;Extended Properties=&quot;&quot;" command="SELECT * FROM [sheet1 (33)]"/>
  </connection>
  <connection id="28" xr16:uid="{90C4A09B-285E-0A4E-9EA7-72F8E959EDEB}" keepAlive="1" name="Query - sheet1 (34)" description="Connection to the 'sheet1 (34)' query in the workbook." type="5" refreshedVersion="8" background="1" saveData="1">
    <dbPr connection="Provider=Microsoft.Mashup.OleDb.1;Data Source=$Workbook$;Location=&quot;sheet1 (34)&quot;;Extended Properties=&quot;&quot;" command="SELECT * FROM [sheet1 (34)]"/>
  </connection>
  <connection id="29" xr16:uid="{7BE00E1C-6290-F64F-9495-7C8A2C535096}" keepAlive="1" name="Query - sheet1 (35)" description="Connection to the 'sheet1 (35)' query in the workbook." type="5" refreshedVersion="8" background="1" saveData="1">
    <dbPr connection="Provider=Microsoft.Mashup.OleDb.1;Data Source=$Workbook$;Location=&quot;sheet1 (35)&quot;;Extended Properties=&quot;&quot;" command="SELECT * FROM [sheet1 (35)]"/>
  </connection>
  <connection id="30" xr16:uid="{14D6D479-9552-134D-9C08-7D39011448EC}" keepAlive="1" name="Query - sheet1 (36)" description="Connection to the 'sheet1 (36)' query in the workbook." type="5" refreshedVersion="8" background="1" saveData="1">
    <dbPr connection="Provider=Microsoft.Mashup.OleDb.1;Data Source=$Workbook$;Location=&quot;sheet1 (36)&quot;;Extended Properties=&quot;&quot;" command="SELECT * FROM [sheet1 (36)]"/>
  </connection>
  <connection id="31" xr16:uid="{61804B12-37CD-9F42-93E4-303963A3C272}" keepAlive="1" name="Query - sheet1 (37)" description="Connection to the 'sheet1 (37)' query in the workbook." type="5" refreshedVersion="8" background="1" saveData="1">
    <dbPr connection="Provider=Microsoft.Mashup.OleDb.1;Data Source=$Workbook$;Location=&quot;sheet1 (37)&quot;;Extended Properties=&quot;&quot;" command="SELECT * FROM [sheet1 (37)]"/>
  </connection>
  <connection id="32" xr16:uid="{8FE0D7F6-7236-7640-B552-DC27861A5AFD}" keepAlive="1" name="Query - sheet1 (38)" description="Connection to the 'sheet1 (38)' query in the workbook." type="5" refreshedVersion="0" background="1">
    <dbPr connection="Provider=Microsoft.Mashup.OleDb.1;Data Source=$Workbook$;Location=&quot;sheet1 (38)&quot;;Extended Properties=&quot;&quot;" command="SELECT * FROM [sheet1 (38)]"/>
  </connection>
  <connection id="33" xr16:uid="{30D48C25-7DE1-F64D-8A59-203997D04569}" keepAlive="1" name="Query - sheet1 (39)" description="Connection to the 'sheet1 (39)' query in the workbook." type="5" refreshedVersion="8" background="1" saveData="1">
    <dbPr connection="Provider=Microsoft.Mashup.OleDb.1;Data Source=$Workbook$;Location=&quot;sheet1 (39)&quot;;Extended Properties=&quot;&quot;" command="SELECT * FROM [sheet1 (39)]"/>
  </connection>
  <connection id="34" xr16:uid="{7E4C528A-39BD-6948-B11D-E58679F4781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35" xr16:uid="{55410905-B6F7-8F4F-B828-5386464C05D7}" keepAlive="1" name="Query - sheet1 (40)" description="Connection to the 'sheet1 (40)' query in the workbook." type="5" refreshedVersion="8" background="1" saveData="1">
    <dbPr connection="Provider=Microsoft.Mashup.OleDb.1;Data Source=$Workbook$;Location=&quot;sheet1 (40)&quot;;Extended Properties=&quot;&quot;" command="SELECT * FROM [sheet1 (40)]"/>
  </connection>
  <connection id="36" xr16:uid="{8AABA4AC-8585-6848-BA15-98B500DBA81F}" keepAlive="1" name="Query - sheet1 (41)" description="Connection to the 'sheet1 (41)' query in the workbook." type="5" refreshedVersion="8" background="1" saveData="1">
    <dbPr connection="Provider=Microsoft.Mashup.OleDb.1;Data Source=$Workbook$;Location=&quot;sheet1 (41)&quot;;Extended Properties=&quot;&quot;" command="SELECT * FROM [sheet1 (41)]"/>
  </connection>
  <connection id="37" xr16:uid="{AAB40340-C849-C94D-A855-6904E49E0F34}" keepAlive="1" name="Query - sheet1 (42)" description="Connection to the 'sheet1 (42)' query in the workbook." type="5" refreshedVersion="8" background="1" saveData="1">
    <dbPr connection="Provider=Microsoft.Mashup.OleDb.1;Data Source=$Workbook$;Location=&quot;sheet1 (42)&quot;;Extended Properties=&quot;&quot;" command="SELECT * FROM [sheet1 (42)]"/>
  </connection>
  <connection id="38" xr16:uid="{76932B1D-A56B-2E4C-9E19-BC60DA342DF8}" keepAlive="1" name="Query - sheet1 (43)" description="Connection to the 'sheet1 (43)' query in the workbook." type="5" refreshedVersion="8" background="1" saveData="1">
    <dbPr connection="Provider=Microsoft.Mashup.OleDb.1;Data Source=$Workbook$;Location=&quot;sheet1 (43)&quot;;Extended Properties=&quot;&quot;" command="SELECT * FROM [sheet1 (43)]"/>
  </connection>
  <connection id="39" xr16:uid="{AAA37462-7172-8A4C-B41A-2F2EAF422AF1}" keepAlive="1" name="Query - sheet1 (44)" description="Connection to the 'sheet1 (44)' query in the workbook." type="5" refreshedVersion="8" background="1" saveData="1">
    <dbPr connection="Provider=Microsoft.Mashup.OleDb.1;Data Source=$Workbook$;Location=&quot;sheet1 (44)&quot;;Extended Properties=&quot;&quot;" command="SELECT * FROM [sheet1 (44)]"/>
  </connection>
  <connection id="40" xr16:uid="{DB13BAAE-57E6-1A42-8FE9-F5AE070F5CFE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41" xr16:uid="{B2668136-3C3A-6241-8434-C931FF61956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42" xr16:uid="{0479212A-23B6-A34D-9CF1-0E32E8C014E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43" xr16:uid="{42E9B9EB-B1B9-9D40-951B-5BCF411EDECA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44" xr16:uid="{8DCE3752-386D-5945-AEA0-8281C6C1DE1A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<sst xmlns="http://schemas.openxmlformats.org/spreadsheetml/2006/main" count="163" uniqueCount="25">
  <si>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</si>
  <si>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</si>
  <si>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</si>
  <si>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</si>
  <si>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</si>
  <si>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</si>
  <si>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</si>
  <si>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</si>
  <si>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</si>
  <si>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</si>
  <si>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</si>
  <si>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</si>
  <si>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</si>
  <si>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</si>
  <si>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</si>
  <si>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</si>
  <si>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</si>
  <si>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</si>
  <si>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</si>
  <si>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</si>
  <si>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</si>
  <si>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</si>
  <si>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</si>
  <si>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Velocity (m/s)</t>
  </si>
  <si>
    <t>Q_steady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</si>
</sst>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1" xr16:uid="{8BE51A9A-D00A-0541-A644-5239B95A820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E1434FB6-5AE3-8C47-97E9-4DCD47186850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5" xr16:uid="{18831BF2-E15D-FC46-A926-4B0C71ECECC2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EBDD54B8-E4EA-B84E-81C9-3DBAFFB57648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C51AD717-D3F4-6D44-8FBB-C97A0AD55105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58B07BA4-6891-E446-BB68-61EFAC941BDB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9" xr16:uid="{AF435F41-B2B7-2142-AA3B-B397C3D84780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61DAA4-1402-EA44-8D73-7CA7627AB9FE}" name="sheet1__37" displayName="sheet1__37" ref="A1:O9" tableType="queryTable" totalsRowShown="0">
  <autoFilter ref="A1:O9" xr:uid="{4C61DAA4-1402-EA44-8D73-7CA7627AB9FE}"/>
  <tableColumns count="15">
    <tableColumn id="1" xr3:uid="{DDAB7140-479E-274A-A272-F685A04DEE75}" uniqueName="1" name="Time" queryTableFieldId="1"/>
    <tableColumn id="2" xr3:uid="{6100F6EE-084E-D241-9766-10AA634F8F65}" uniqueName="2" name="T1" queryTableFieldId="2"/>
    <tableColumn id="3" xr3:uid="{25792EEE-0DBE-3142-B54C-45CD75F9DA34}" uniqueName="3" name="T2" queryTableFieldId="3"/>
    <tableColumn id="4" xr3:uid="{E3024A3F-EBAD-1A4B-BA16-EAA56091ED1A}" uniqueName="4" name="T3" queryTableFieldId="4"/>
    <tableColumn id="5" xr3:uid="{72225AA5-668B-D44B-97AF-7D78BFC91086}" uniqueName="5" name="T4" queryTableFieldId="5"/>
    <tableColumn id="6" xr3:uid="{68853CF1-7ED9-DC45-BE46-EBACB930979B}" uniqueName="6" name="T5" queryTableFieldId="6"/>
    <tableColumn id="7" xr3:uid="{F1BA87D0-E66C-DE42-8ADF-76E99365D848}" uniqueName="7" name="T6" queryTableFieldId="7"/>
    <tableColumn id="8" xr3:uid="{AA7102AA-A4B9-0A47-87ED-5CC9CB71336F}" uniqueName="8" name="T7" queryTableFieldId="8"/>
    <tableColumn id="9" xr3:uid="{0D75A0E3-162C-484F-8375-ACB2D1093849}" uniqueName="9" name="T8" queryTableFieldId="9"/>
    <tableColumn id="10" xr3:uid="{B36D86BD-F4F5-3F4D-99F0-6F51449F90B2}" uniqueName="10" name="RTD_IN" queryTableFieldId="10"/>
    <tableColumn id="11" xr3:uid="{F0AE616A-B7F7-E745-8FFA-8F214D0B5778}" uniqueName="11" name="RTD_OUT" queryTableFieldId="11"/>
    <tableColumn id="12" xr3:uid="{03D577CF-9A0E-2647-AC59-960D668541F5}" uniqueName="12" name="DPT_TS" queryTableFieldId="12"/>
    <tableColumn id="13" xr3:uid="{B5DF7966-2DB6-1F4A-8959-E1F44075012E}" uniqueName="13" name="DPT_nozzle" queryTableFieldId="13"/>
    <tableColumn id="14" xr3:uid="{2B598E46-0A7C-3D4F-BBBC-2F3DBB2B741F}" uniqueName="14" name="Flow_gps" queryTableFieldId="14"/>
    <tableColumn id="15" xr3:uid="{9C7BAAE6-7751-254C-AC56-001112E4F789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B9520-C4F9-B844-8E61-6800F5E6C6B6}" name="sheet1__39" displayName="sheet1__39" ref="A1:O11" tableType="queryTable" totalsRowShown="0">
  <autoFilter ref="A1:O11" xr:uid="{9C1B9520-C4F9-B844-8E61-6800F5E6C6B6}"/>
  <tableColumns count="15">
    <tableColumn id="1" xr3:uid="{2C3EAAC4-8982-5A4B-9F03-2B2A3C57570B}" uniqueName="1" name="Time" queryTableFieldId="1"/>
    <tableColumn id="2" xr3:uid="{074A5A92-C514-E04F-81B1-288AA5BFCCC8}" uniqueName="2" name="T1" queryTableFieldId="2"/>
    <tableColumn id="3" xr3:uid="{CCC5DCA3-B0CA-2842-974B-1CEE2384E6A4}" uniqueName="3" name="T2" queryTableFieldId="3"/>
    <tableColumn id="4" xr3:uid="{0C364B83-20A5-2A44-8D71-970CDCF1DCD3}" uniqueName="4" name="T3" queryTableFieldId="4"/>
    <tableColumn id="5" xr3:uid="{846554CB-CB03-4C46-B895-437E5C5F85D2}" uniqueName="5" name="T4" queryTableFieldId="5"/>
    <tableColumn id="6" xr3:uid="{633ECC8B-3052-4A42-9B39-39008678EA29}" uniqueName="6" name="T5" queryTableFieldId="6"/>
    <tableColumn id="7" xr3:uid="{069C6BCF-9E67-C946-B0AA-019CABFCD3DE}" uniqueName="7" name="T6" queryTableFieldId="7"/>
    <tableColumn id="8" xr3:uid="{0BA74C61-1C2D-0F4D-9732-9C146FEE864C}" uniqueName="8" name="T7" queryTableFieldId="8"/>
    <tableColumn id="9" xr3:uid="{A6313F39-4B96-BC47-84AF-7AFC7A721686}" uniqueName="9" name="T8" queryTableFieldId="9"/>
    <tableColumn id="10" xr3:uid="{21A99CF1-1C32-E140-8967-E7BAA2F5D741}" uniqueName="10" name="RTD_IN" queryTableFieldId="10"/>
    <tableColumn id="11" xr3:uid="{5E8BE6C1-E871-044D-89E1-10C6C3C66CF7}" uniqueName="11" name="RTD_OUT" queryTableFieldId="11"/>
    <tableColumn id="12" xr3:uid="{00665C21-9344-8C4D-A02B-8E2A48C4AE15}" uniqueName="12" name="DPT_TS" queryTableFieldId="12"/>
    <tableColumn id="13" xr3:uid="{F6EBC184-0163-584E-81CF-9CB104257E13}" uniqueName="13" name="DPT_nozzle" queryTableFieldId="13"/>
    <tableColumn id="14" xr3:uid="{61E4F5E3-89B7-FB4E-9596-1AD1263F52A0}" uniqueName="14" name="Flow_gps" queryTableFieldId="14"/>
    <tableColumn id="15" xr3:uid="{8F469730-FD5D-3048-9D3B-B524D0DF9D13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8A3B61-F077-D348-92CA-AD317F9AFEC2}" name="sheet1__40" displayName="sheet1__40" ref="A1:O15" tableType="queryTable" totalsRowShown="0">
  <autoFilter ref="A1:O15" xr:uid="{9B8A3B61-F077-D348-92CA-AD317F9AFEC2}"/>
  <tableColumns count="15">
    <tableColumn id="1" xr3:uid="{1706F7E9-E0DC-2D46-BC6A-3235B976C19B}" uniqueName="1" name="Time" queryTableFieldId="1"/>
    <tableColumn id="2" xr3:uid="{DF891516-1335-9943-B6C4-E51EDBC69F11}" uniqueName="2" name="T1" queryTableFieldId="2"/>
    <tableColumn id="3" xr3:uid="{0E2EB58B-0C45-7547-B614-CD0B5687866A}" uniqueName="3" name="T2" queryTableFieldId="3"/>
    <tableColumn id="4" xr3:uid="{2DD31558-2431-5D46-8B5B-6C4D3C76D6A6}" uniqueName="4" name="T3" queryTableFieldId="4"/>
    <tableColumn id="5" xr3:uid="{A5056117-F578-7349-92C4-C747396C5AA5}" uniqueName="5" name="T4" queryTableFieldId="5"/>
    <tableColumn id="6" xr3:uid="{1653A4B8-1ADB-6D4E-8E9B-8CE7E84990E4}" uniqueName="6" name="T5" queryTableFieldId="6"/>
    <tableColumn id="7" xr3:uid="{EF016DB6-781F-774E-8464-5EE3CE04CEA1}" uniqueName="7" name="T6" queryTableFieldId="7"/>
    <tableColumn id="8" xr3:uid="{8C9C9B1A-08FF-F243-943B-57105278679B}" uniqueName="8" name="T7" queryTableFieldId="8"/>
    <tableColumn id="9" xr3:uid="{C58EE577-9FA6-8A41-97F9-48F8367DC206}" uniqueName="9" name="T8" queryTableFieldId="9"/>
    <tableColumn id="10" xr3:uid="{71B4284D-7E47-904B-A1AC-CD2B75DCC921}" uniqueName="10" name="RTD_IN" queryTableFieldId="10"/>
    <tableColumn id="11" xr3:uid="{B27D622C-75B7-B044-9BD8-4D9EB2A48C23}" uniqueName="11" name="RTD_OUT" queryTableFieldId="11"/>
    <tableColumn id="12" xr3:uid="{82935843-A12B-6740-9806-CB919EBA1015}" uniqueName="12" name="DPT_TS" queryTableFieldId="12"/>
    <tableColumn id="13" xr3:uid="{6C2D99F8-90A1-554C-B4BB-6926F035164D}" uniqueName="13" name="DPT_nozzle" queryTableFieldId="13"/>
    <tableColumn id="14" xr3:uid="{84F7028D-4BB5-674D-BEA7-6AB6BB0A6EF5}" uniqueName="14" name="Flow_gps" queryTableFieldId="14"/>
    <tableColumn id="15" xr3:uid="{E2B9691B-1D2F-4542-9620-B4ACA99A8938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9283D9-8993-A54F-B5F6-281DB0BC986A}" name="sheet1__41" displayName="sheet1__41" ref="A1:O15" tableType="queryTable" totalsRowShown="0">
  <autoFilter ref="A1:O15" xr:uid="{CC9283D9-8993-A54F-B5F6-281DB0BC986A}"/>
  <tableColumns count="15">
    <tableColumn id="1" xr3:uid="{D693AB36-33D5-7640-9902-FCFAF151A559}" uniqueName="1" name="Time" queryTableFieldId="1"/>
    <tableColumn id="2" xr3:uid="{133F5736-42F2-FB4F-B8BE-8A74FD287A6C}" uniqueName="2" name="T1" queryTableFieldId="2"/>
    <tableColumn id="3" xr3:uid="{C3160294-2A82-ED42-8174-F83C86BA7A6A}" uniqueName="3" name="T2" queryTableFieldId="3"/>
    <tableColumn id="4" xr3:uid="{1C8152D9-9B28-CE45-8FA6-F1A01CB110CF}" uniqueName="4" name="T3" queryTableFieldId="4"/>
    <tableColumn id="5" xr3:uid="{D27B2E71-5B72-9E47-8F3D-20A99AEBB75A}" uniqueName="5" name="T4" queryTableFieldId="5"/>
    <tableColumn id="6" xr3:uid="{FCB4F99A-B222-D642-A05A-10D20107A89E}" uniqueName="6" name="T5" queryTableFieldId="6"/>
    <tableColumn id="7" xr3:uid="{7526D3FC-D253-BB41-B012-B1D713F0CBAA}" uniqueName="7" name="T6" queryTableFieldId="7"/>
    <tableColumn id="8" xr3:uid="{756C41D5-E969-824A-88A4-E9DA387FBD0E}" uniqueName="8" name="T7" queryTableFieldId="8"/>
    <tableColumn id="9" xr3:uid="{CA312D9D-D9BF-924D-90F2-76D374436710}" uniqueName="9" name="T8" queryTableFieldId="9"/>
    <tableColumn id="10" xr3:uid="{5BB2D1AB-21BB-EE4F-8CDB-CD4412ADE60D}" uniqueName="10" name="RTD_IN" queryTableFieldId="10"/>
    <tableColumn id="11" xr3:uid="{D131C9A1-5BEE-9749-AC24-93C2CC946DEE}" uniqueName="11" name="RTD_OUT" queryTableFieldId="11"/>
    <tableColumn id="12" xr3:uid="{1C657589-A49D-CB40-8FA1-F492ED7E1F99}" uniqueName="12" name="DPT_TS" queryTableFieldId="12"/>
    <tableColumn id="13" xr3:uid="{B7C168D1-DAB2-DF4E-A827-89C46ACFBDA3}" uniqueName="13" name="DPT_nozzle" queryTableFieldId="13"/>
    <tableColumn id="14" xr3:uid="{61A3E6A2-8B9D-C44B-8449-01624459A5D4}" uniqueName="14" name="Flow_gps" queryTableFieldId="14"/>
    <tableColumn id="15" xr3:uid="{EF60AA35-9F55-D34F-89D3-CCCE672101F0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0F5702-0E2F-F749-B919-9F38132285AD}" name="sheet1__42" displayName="sheet1__42" ref="A1:O9" tableType="queryTable" totalsRowShown="0">
  <autoFilter ref="A1:O9" xr:uid="{410F5702-0E2F-F749-B919-9F38132285AD}"/>
  <tableColumns count="15">
    <tableColumn id="1" xr3:uid="{781C22EF-D8D9-6A40-943D-FEEFCA955DF1}" uniqueName="1" name="Time" queryTableFieldId="1"/>
    <tableColumn id="2" xr3:uid="{8BB06057-9A16-A64F-8D3F-C711A3359762}" uniqueName="2" name="T1" queryTableFieldId="2"/>
    <tableColumn id="3" xr3:uid="{D03885C6-20F5-1942-9BEF-7DA151EA930B}" uniqueName="3" name="T2" queryTableFieldId="3"/>
    <tableColumn id="4" xr3:uid="{A634955D-5966-174E-BD24-6FB3055B3F99}" uniqueName="4" name="T3" queryTableFieldId="4"/>
    <tableColumn id="5" xr3:uid="{711D7013-0E5F-B043-A8D5-386EDCAC1C87}" uniqueName="5" name="T4" queryTableFieldId="5"/>
    <tableColumn id="6" xr3:uid="{E4441793-6D4D-C640-ABF2-EC160DF8AC85}" uniqueName="6" name="T5" queryTableFieldId="6"/>
    <tableColumn id="7" xr3:uid="{CB83AD88-91BD-3D4A-8A3B-0BBBB97269A0}" uniqueName="7" name="T6" queryTableFieldId="7"/>
    <tableColumn id="8" xr3:uid="{FD36A17E-7454-5B4F-87D7-1002805F0AE7}" uniqueName="8" name="T7" queryTableFieldId="8"/>
    <tableColumn id="9" xr3:uid="{BF2E47D2-6FC4-1D40-8D83-4198D251C881}" uniqueName="9" name="T8" queryTableFieldId="9"/>
    <tableColumn id="10" xr3:uid="{E99E8213-AB94-5D49-AA5A-7439D7E392E0}" uniqueName="10" name="RTD_IN" queryTableFieldId="10"/>
    <tableColumn id="11" xr3:uid="{50812291-7722-244E-8D95-D649F1120CD2}" uniqueName="11" name="RTD_OUT" queryTableFieldId="11"/>
    <tableColumn id="12" xr3:uid="{83938E3C-D9FB-C847-BDF4-087315F94670}" uniqueName="12" name="DPT_TS" queryTableFieldId="12"/>
    <tableColumn id="13" xr3:uid="{532AA52A-2B8B-974A-A15F-531A5CEDA2CF}" uniqueName="13" name="DPT_nozzle" queryTableFieldId="13"/>
    <tableColumn id="14" xr3:uid="{9EC5B905-93AD-FA43-AEB0-F2FDA34220C7}" uniqueName="14" name="Flow_gps" queryTableFieldId="14"/>
    <tableColumn id="15" xr3:uid="{897B37C9-F465-DD4B-867B-1BCC83FAF99D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4AF2C4-5155-0646-8584-CA4123ED9E1F}" name="sheet1__43" displayName="sheet1__43" ref="A1:O18" tableType="queryTable" totalsRowShown="0">
  <autoFilter ref="A1:O18" xr:uid="{CB4AF2C4-5155-0646-8584-CA4123ED9E1F}"/>
  <tableColumns count="15">
    <tableColumn id="1" xr3:uid="{76570D2B-1079-F54C-A062-BD5D452A3272}" uniqueName="1" name="Time" queryTableFieldId="1"/>
    <tableColumn id="2" xr3:uid="{AD07B285-1C76-6F42-92C8-BB637E09955A}" uniqueName="2" name="T1" queryTableFieldId="2"/>
    <tableColumn id="3" xr3:uid="{0DCFC55E-E54F-9A40-8D2B-81D11EF5E529}" uniqueName="3" name="T2" queryTableFieldId="3"/>
    <tableColumn id="4" xr3:uid="{2FD7FB41-9632-E04B-9C1E-89CB0C3353A4}" uniqueName="4" name="T3" queryTableFieldId="4"/>
    <tableColumn id="5" xr3:uid="{5DE77DEE-B602-2949-BDAB-EF572651DA5A}" uniqueName="5" name="T4" queryTableFieldId="5"/>
    <tableColumn id="6" xr3:uid="{150F148B-3D7B-7F4D-B3F2-798FEF6859BD}" uniqueName="6" name="T5" queryTableFieldId="6"/>
    <tableColumn id="7" xr3:uid="{FAB4C259-875E-CA45-9C0F-5E6107B782CC}" uniqueName="7" name="T6" queryTableFieldId="7"/>
    <tableColumn id="8" xr3:uid="{C1F14FD6-1C6F-F346-BBDB-DE26CB2F2064}" uniqueName="8" name="T7" queryTableFieldId="8"/>
    <tableColumn id="9" xr3:uid="{8047FAEF-67B0-AC42-B937-4C0C87C9B207}" uniqueName="9" name="T8" queryTableFieldId="9"/>
    <tableColumn id="10" xr3:uid="{FA6857DB-4111-4D4A-A680-8F4A9E3398DC}" uniqueName="10" name="RTD_IN" queryTableFieldId="10"/>
    <tableColumn id="11" xr3:uid="{5409A7C2-F801-2342-BC81-C98061C1A82F}" uniqueName="11" name="RTD_OUT" queryTableFieldId="11"/>
    <tableColumn id="12" xr3:uid="{EDDA8C73-0601-594C-BCF7-0066E4C3C4DA}" uniqueName="12" name="DPT_TS" queryTableFieldId="12"/>
    <tableColumn id="13" xr3:uid="{F8AE6966-8E6C-F24C-B7AC-51AE8AFBECB7}" uniqueName="13" name="DPT_nozzle" queryTableFieldId="13"/>
    <tableColumn id="14" xr3:uid="{C44034F1-F86C-6D42-BA1B-17BD2A7227CE}" uniqueName="14" name="Flow_gps" queryTableFieldId="14"/>
    <tableColumn id="15" xr3:uid="{1030AAA6-6C75-5645-902F-CE12195EF008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581037-A23A-4147-8044-8AFB8BF4C99C}" name="sheet1__44" displayName="sheet1__44" ref="A1:O15" tableType="queryTable" totalsRowShown="0">
  <autoFilter ref="A1:O15" xr:uid="{0B581037-A23A-4147-8044-8AFB8BF4C99C}"/>
  <tableColumns count="15">
    <tableColumn id="1" xr3:uid="{DDF1550F-DD21-084A-902A-E07AF590CF5E}" uniqueName="1" name="Time" queryTableFieldId="1"/>
    <tableColumn id="2" xr3:uid="{32EFC9B9-308F-9349-9148-809A28EB4440}" uniqueName="2" name="T1" queryTableFieldId="2"/>
    <tableColumn id="3" xr3:uid="{63FC65E5-B737-6A40-8C9C-392B33D80AE2}" uniqueName="3" name="T2" queryTableFieldId="3"/>
    <tableColumn id="4" xr3:uid="{E74AD8C9-F4D0-0B47-859A-385038D15FEF}" uniqueName="4" name="T3" queryTableFieldId="4"/>
    <tableColumn id="5" xr3:uid="{12A06BA9-5D36-6045-A261-E8B571ED7039}" uniqueName="5" name="T4" queryTableFieldId="5"/>
    <tableColumn id="6" xr3:uid="{F4675DE7-494A-DC44-9F98-FE8F29750309}" uniqueName="6" name="T5" queryTableFieldId="6"/>
    <tableColumn id="7" xr3:uid="{615A6ECF-B387-4041-9711-A5DE965A9B5F}" uniqueName="7" name="T6" queryTableFieldId="7"/>
    <tableColumn id="8" xr3:uid="{FDEDBCB6-F142-B745-BFD3-437EA41F7E73}" uniqueName="8" name="T7" queryTableFieldId="8"/>
    <tableColumn id="9" xr3:uid="{6CD60588-CE5C-3D4B-98AA-51E73F539591}" uniqueName="9" name="T8" queryTableFieldId="9"/>
    <tableColumn id="10" xr3:uid="{45528A48-6789-F44F-BFD4-09CD8F88BC44}" uniqueName="10" name="RTD_IN" queryTableFieldId="10"/>
    <tableColumn id="11" xr3:uid="{64E20C15-FB33-954E-866A-F54D36318643}" uniqueName="11" name="RTD_OUT" queryTableFieldId="11"/>
    <tableColumn id="12" xr3:uid="{4991A7B9-0435-AC44-95FC-B597DDF28D1C}" uniqueName="12" name="DPT_TS" queryTableFieldId="12"/>
    <tableColumn id="13" xr3:uid="{83B234CA-3DDC-D246-A075-D65473B6CF1F}" uniqueName="13" name="DPT_nozzle" queryTableFieldId="13"/>
    <tableColumn id="14" xr3:uid="{D1B567C0-AB5A-8545-BE6C-85E522C82C78}" uniqueName="14" name="Flow_gps" queryTableFieldId="14"/>
    <tableColumn id="15" xr3:uid="{21CF90D6-6849-0A4F-B0EF-669C94E185A5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tabSelected="1" workbookViewId="0">
      <selection activeCell="F17" sqref="F17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>
        <v>1</v>
      </c>
      <c r="B2">
        <v>254.84469169270832</v>
      </c>
    </row>
    <row r="3" spans="1:2" x14ac:dyDescent="0.2">
      <c r="A3">
        <v>2</v>
      </c>
      <c r="B3">
        <v>433.51068088419601</v>
      </c>
    </row>
    <row r="4" spans="1:2" x14ac:dyDescent="0.2">
      <c r="A4">
        <v>3</v>
      </c>
      <c r="B4">
        <v>573.7754174181307</v>
      </c>
    </row>
    <row r="5" spans="1:2" x14ac:dyDescent="0.2">
      <c r="A5">
        <v>4</v>
      </c>
      <c r="B5">
        <v>669.17088859923683</v>
      </c>
    </row>
    <row r="6" spans="1:2" x14ac:dyDescent="0.2">
      <c r="A6">
        <v>5</v>
      </c>
      <c r="B6">
        <v>751.5184797981774</v>
      </c>
    </row>
    <row r="7" spans="1:2" x14ac:dyDescent="0.2">
      <c r="A7">
        <v>6</v>
      </c>
      <c r="B7">
        <v>804.12724345856009</v>
      </c>
    </row>
    <row r="8" spans="1:2" x14ac:dyDescent="0.2">
      <c r="A8">
        <v>7</v>
      </c>
      <c r="B8">
        <v>846.8422794926845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CCCF-F30A-0142-AF2A-E90B0C4A887E}">
  <dimension ref="A1:V36"/>
  <sheetViews>
    <sheetView workbookViewId="0">
      <selection activeCell="D12" sqref="D1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44606.656770117697</v>
      </c>
      <c r="B2">
        <v>19.378225</v>
      </c>
      <c r="C2">
        <v>19.519165999999998</v>
      </c>
      <c r="D2">
        <v>19.766251</v>
      </c>
      <c r="E2">
        <v>19.639589000000001</v>
      </c>
      <c r="F2">
        <v>41.158597999999998</v>
      </c>
      <c r="G2">
        <v>37.411757999999999</v>
      </c>
      <c r="H2">
        <v>28.019442000000002</v>
      </c>
      <c r="I2">
        <v>30.423981000000001</v>
      </c>
      <c r="J2">
        <v>56.929966</v>
      </c>
      <c r="K2">
        <v>55.193697999999998</v>
      </c>
      <c r="L2">
        <v>19.203379999999999</v>
      </c>
      <c r="M2">
        <v>-622.519183</v>
      </c>
      <c r="N2">
        <v>2.1670769999999999</v>
      </c>
      <c r="O2">
        <v>3.802772</v>
      </c>
      <c r="P2">
        <f xml:space="preserve"> N2*0.001/60</f>
        <v>3.6117949999999999E-5</v>
      </c>
      <c r="Q2" cm="1">
        <f t="array" ref="Q2">[1]!PropsSI("D","T",J2+273.15,"P",101325,"Water")</f>
        <v>984.74712458938552</v>
      </c>
      <c r="R2" cm="1">
        <f t="array" ref="R2">[1]!PropsSI("D","T",K2+273.15,"P",101325,"Water")</f>
        <v>985.5991830633061</v>
      </c>
      <c r="S2">
        <f>(Q2+R2)/2</f>
        <v>985.17315382634581</v>
      </c>
      <c r="T2" cm="1">
        <f t="array" ref="T2">[1]!PropsSI("H","T",J2+273.15,"P",101325,"Water")</f>
        <v>238402.7306517002</v>
      </c>
      <c r="U2" cm="1">
        <f t="array" ref="U2">[1]!PropsSI("H","T",K2+273.15,"P",101325,"Water")</f>
        <v>231139.3120404713</v>
      </c>
      <c r="V2">
        <f>S2*P2*(T2-U2)</f>
        <v>258.45011851447435</v>
      </c>
    </row>
    <row r="3" spans="1:22" x14ac:dyDescent="0.2">
      <c r="A3">
        <v>44606.656886437202</v>
      </c>
      <c r="B3">
        <v>19.372326000000001</v>
      </c>
      <c r="C3">
        <v>19.505123000000001</v>
      </c>
      <c r="D3">
        <v>19.811689000000001</v>
      </c>
      <c r="E3">
        <v>19.618244000000001</v>
      </c>
      <c r="F3">
        <v>41.463470000000001</v>
      </c>
      <c r="G3">
        <v>37.735449000000003</v>
      </c>
      <c r="H3">
        <v>28.195122999999999</v>
      </c>
      <c r="I3">
        <v>28.650005</v>
      </c>
      <c r="J3">
        <v>56.934742</v>
      </c>
      <c r="K3">
        <v>55.211522000000002</v>
      </c>
      <c r="L3">
        <v>17.780186</v>
      </c>
      <c r="M3">
        <v>-622.49306200000001</v>
      </c>
      <c r="N3">
        <v>2.1697690000000001</v>
      </c>
      <c r="O3">
        <v>6.8433489999999999</v>
      </c>
      <c r="P3">
        <f t="shared" ref="P3" si="0" xml:space="preserve"> N3*0.001/60</f>
        <v>3.6162816666666669E-5</v>
      </c>
      <c r="Q3" cm="1">
        <f t="array" ref="Q3">[1]!PropsSI("D","T",J3+273.15,"P",101325,"Water")</f>
        <v>984.74475535611737</v>
      </c>
      <c r="R3" cm="1">
        <f t="array" ref="R3">[1]!PropsSI("D","T",K3+273.15,"P",101325,"Water")</f>
        <v>985.59053040020149</v>
      </c>
      <c r="S3">
        <f>(Q3+R3)/2</f>
        <v>985.16764287815943</v>
      </c>
      <c r="T3" cm="1">
        <f t="array" ref="T3">[1]!PropsSI("H","T",J3+273.15,"P",101325,"Water")</f>
        <v>238422.7119255914</v>
      </c>
      <c r="U3" cm="1">
        <f t="array" ref="U3">[1]!PropsSI("H","T",K3+273.15,"P",101325,"Water")</f>
        <v>231213.87036917495</v>
      </c>
      <c r="V3">
        <f t="shared" ref="V3:V9" si="1">S3*P3*(T3-U3)</f>
        <v>256.82533850978558</v>
      </c>
    </row>
    <row r="4" spans="1:22" x14ac:dyDescent="0.2">
      <c r="A4">
        <v>44606.657002756598</v>
      </c>
      <c r="B4">
        <v>19.367111000000001</v>
      </c>
      <c r="C4">
        <v>19.500771</v>
      </c>
      <c r="D4">
        <v>19.815778999999999</v>
      </c>
      <c r="E4">
        <v>19.610175000000002</v>
      </c>
      <c r="F4">
        <v>42.150739999999999</v>
      </c>
      <c r="G4">
        <v>37.841962000000002</v>
      </c>
      <c r="H4">
        <v>27.541924999999999</v>
      </c>
      <c r="I4">
        <v>28.003219000000001</v>
      </c>
      <c r="J4">
        <v>56.932353999999997</v>
      </c>
      <c r="K4">
        <v>55.220592000000003</v>
      </c>
      <c r="L4">
        <v>12.995936</v>
      </c>
      <c r="M4">
        <v>-622.49877600000002</v>
      </c>
      <c r="N4">
        <v>2.1619510000000002</v>
      </c>
      <c r="O4">
        <v>6.7511409999999996</v>
      </c>
      <c r="P4">
        <f xml:space="preserve"> N4*0.001/60</f>
        <v>3.6032516666666668E-5</v>
      </c>
      <c r="Q4" cm="1">
        <f t="array" ref="Q4">[1]!PropsSI("D","T",J4+273.15,"P",101325,"Water")</f>
        <v>984.74593999010915</v>
      </c>
      <c r="R4" cm="1">
        <f t="array" ref="R4">[1]!PropsSI("D","T",K4+273.15,"P",101325,"Water")</f>
        <v>985.58612661201641</v>
      </c>
      <c r="S4">
        <f t="shared" ref="S4:S9" si="2">(Q4+R4)/2</f>
        <v>985.16603330106273</v>
      </c>
      <c r="T4" cm="1">
        <f t="array" ref="T4">[1]!PropsSI("H","T",J4+273.15,"P",101325,"Water")</f>
        <v>238412.72128753018</v>
      </c>
      <c r="U4" cm="1">
        <f t="array" ref="U4">[1]!PropsSI("H","T",K4+273.15,"P",101325,"Water")</f>
        <v>231251.81049679717</v>
      </c>
      <c r="V4">
        <f t="shared" si="1"/>
        <v>254.19809370270505</v>
      </c>
    </row>
    <row r="5" spans="1:22" x14ac:dyDescent="0.2">
      <c r="A5">
        <v>44606.657119076102</v>
      </c>
      <c r="B5">
        <v>19.396989999999999</v>
      </c>
      <c r="C5">
        <v>19.493725999999999</v>
      </c>
      <c r="D5">
        <v>19.822336</v>
      </c>
      <c r="E5">
        <v>19.617725</v>
      </c>
      <c r="F5">
        <v>41.137016000000003</v>
      </c>
      <c r="G5">
        <v>37.29813</v>
      </c>
      <c r="H5">
        <v>27.767654</v>
      </c>
      <c r="I5">
        <v>28.261818000000002</v>
      </c>
      <c r="J5">
        <v>56.931876000000003</v>
      </c>
      <c r="K5">
        <v>55.223457000000003</v>
      </c>
      <c r="L5">
        <v>10.375659000000001</v>
      </c>
      <c r="M5">
        <v>-622.47632799999997</v>
      </c>
      <c r="N5">
        <v>2.1643729999999999</v>
      </c>
      <c r="O5">
        <v>5.4100710000000003</v>
      </c>
      <c r="P5">
        <f t="shared" ref="P5:P9" si="3" xml:space="preserve"> N5*0.001/60</f>
        <v>3.6072883333333328E-5</v>
      </c>
      <c r="Q5" cm="1">
        <f t="array" ref="Q5">[1]!PropsSI("D","T",J5+273.15,"P",101325,"Water")</f>
        <v>984.74617711115661</v>
      </c>
      <c r="R5" cm="1">
        <f t="array" ref="R5">[1]!PropsSI("D","T",K5+273.15,"P",101325,"Water")</f>
        <v>985.5847354528313</v>
      </c>
      <c r="S5">
        <f t="shared" si="2"/>
        <v>985.16545628199401</v>
      </c>
      <c r="T5" cm="1">
        <f t="array" ref="T5">[1]!PropsSI("H","T",J5+273.15,"P",101325,"Water")</f>
        <v>238410.72148672468</v>
      </c>
      <c r="U5" cm="1">
        <f t="array" ref="U5">[1]!PropsSI("H","T",K5+273.15,"P",101325,"Water")</f>
        <v>231263.79489839595</v>
      </c>
      <c r="V5">
        <f t="shared" si="1"/>
        <v>253.98575160275166</v>
      </c>
    </row>
    <row r="6" spans="1:22" x14ac:dyDescent="0.2">
      <c r="A6">
        <v>46068.657234814818</v>
      </c>
      <c r="B6">
        <v>19.429539999999999</v>
      </c>
      <c r="C6">
        <v>19.495077999999999</v>
      </c>
      <c r="D6">
        <v>19.790690999999999</v>
      </c>
      <c r="E6">
        <v>19.614996999999999</v>
      </c>
      <c r="F6">
        <v>41.429921</v>
      </c>
      <c r="G6">
        <v>38.241900999999999</v>
      </c>
      <c r="H6">
        <v>27.732151000000002</v>
      </c>
      <c r="I6">
        <v>28.129290999999998</v>
      </c>
      <c r="J6">
        <v>56.932353999999997</v>
      </c>
      <c r="K6">
        <v>55.225206999999997</v>
      </c>
      <c r="L6">
        <v>18.901762000000002</v>
      </c>
      <c r="M6">
        <v>-622.51183600000002</v>
      </c>
      <c r="N6">
        <v>2.1669830000000001</v>
      </c>
      <c r="O6">
        <v>4.8356519999999996</v>
      </c>
      <c r="P6">
        <f t="shared" si="3"/>
        <v>3.6116383333333342E-5</v>
      </c>
      <c r="Q6" cm="1">
        <f t="array" ref="Q6">[1]!PropsSI("D","T",J6+273.15,"P",101325,"Water")</f>
        <v>984.74593999010915</v>
      </c>
      <c r="R6" cm="1">
        <f t="array" ref="R6">[1]!PropsSI("D","T",K6+273.15,"P",101325,"Water")</f>
        <v>985.58388567965221</v>
      </c>
      <c r="S6">
        <f t="shared" si="2"/>
        <v>985.16491283488062</v>
      </c>
      <c r="T6" cm="1">
        <f t="array" ref="T6">[1]!PropsSI("H","T",J6+273.15,"P",101325,"Water")</f>
        <v>238412.72128753018</v>
      </c>
      <c r="U6" cm="1">
        <f t="array" ref="U6">[1]!PropsSI("H","T",K6+273.15,"P",101325,"Water")</f>
        <v>231271.11521491871</v>
      </c>
      <c r="V6">
        <f t="shared" si="1"/>
        <v>254.10258359579311</v>
      </c>
    </row>
    <row r="7" spans="1:22" x14ac:dyDescent="0.2">
      <c r="A7">
        <v>46068.657350555557</v>
      </c>
      <c r="B7">
        <v>19.435728999999998</v>
      </c>
      <c r="C7">
        <v>19.507285</v>
      </c>
      <c r="D7">
        <v>19.791518</v>
      </c>
      <c r="E7">
        <v>19.609331999999998</v>
      </c>
      <c r="F7">
        <v>42.047395000000002</v>
      </c>
      <c r="G7">
        <v>37.466752999999997</v>
      </c>
      <c r="H7">
        <v>27.544101000000001</v>
      </c>
      <c r="I7">
        <v>27.962447999999998</v>
      </c>
      <c r="J7">
        <v>56.932831999999998</v>
      </c>
      <c r="K7">
        <v>55.226640000000003</v>
      </c>
      <c r="L7">
        <v>20.952272000000001</v>
      </c>
      <c r="M7">
        <v>-622.50857099999996</v>
      </c>
      <c r="N7">
        <v>2.1689579999999999</v>
      </c>
      <c r="O7">
        <v>4.7826469999999999</v>
      </c>
      <c r="P7">
        <f t="shared" si="3"/>
        <v>3.6149299999999996E-5</v>
      </c>
      <c r="Q7" cm="1">
        <f t="array" ref="Q7">[1]!PropsSI("D","T",J7+273.15,"P",101325,"Water")</f>
        <v>984.74570286765106</v>
      </c>
      <c r="R7" cm="1">
        <f t="array" ref="R7">[1]!PropsSI("D","T",K7+273.15,"P",101325,"Water")</f>
        <v>985.58318982268781</v>
      </c>
      <c r="S7">
        <f t="shared" si="2"/>
        <v>985.16444634516938</v>
      </c>
      <c r="T7" cm="1">
        <f t="array" ref="T7">[1]!PropsSI("H","T",J7+273.15,"P",101325,"Water")</f>
        <v>238414.72108844286</v>
      </c>
      <c r="U7" cm="1">
        <f t="array" ref="U7">[1]!PropsSI("H","T",K7+273.15,"P",101325,"Water")</f>
        <v>231277.10950927588</v>
      </c>
      <c r="V7">
        <f t="shared" si="1"/>
        <v>254.1917977153397</v>
      </c>
    </row>
    <row r="8" spans="1:22" x14ac:dyDescent="0.2">
      <c r="A8">
        <v>46068.657466875004</v>
      </c>
      <c r="B8">
        <v>19.457919</v>
      </c>
      <c r="C8">
        <v>19.555163</v>
      </c>
      <c r="D8">
        <v>19.813866000000001</v>
      </c>
      <c r="E8">
        <v>19.635010999999999</v>
      </c>
      <c r="F8">
        <v>41.882750999999999</v>
      </c>
      <c r="G8">
        <v>37.731636999999999</v>
      </c>
      <c r="H8">
        <v>26.631139999999998</v>
      </c>
      <c r="I8">
        <v>28.615390999999999</v>
      </c>
      <c r="J8">
        <v>56.935696999999998</v>
      </c>
      <c r="K8">
        <v>55.233801</v>
      </c>
      <c r="L8">
        <v>15.761103</v>
      </c>
      <c r="M8">
        <v>-622.51020400000004</v>
      </c>
      <c r="N8">
        <v>2.1693060000000002</v>
      </c>
      <c r="O8">
        <v>4.1963590000000002</v>
      </c>
      <c r="P8">
        <f t="shared" si="3"/>
        <v>3.6155100000000002E-5</v>
      </c>
      <c r="Q8" cm="1">
        <f t="array" ref="Q8">[1]!PropsSI("D","T",J8+273.15,"P",101325,"Water")</f>
        <v>984.74428159202955</v>
      </c>
      <c r="R8" cm="1">
        <f t="array" ref="R8">[1]!PropsSI("D","T",K8+273.15,"P",101325,"Water")</f>
        <v>985.57971228965334</v>
      </c>
      <c r="S8">
        <f t="shared" si="2"/>
        <v>985.16199694084139</v>
      </c>
      <c r="T8" cm="1">
        <f t="array" ref="T8">[1]!PropsSI("H","T",J8+273.15,"P",101325,"Water")</f>
        <v>238426.70734468277</v>
      </c>
      <c r="U8" cm="1">
        <f t="array" ref="U8">[1]!PropsSI("H","T",K8+273.15,"P",101325,"Water")</f>
        <v>231307.06426002804</v>
      </c>
      <c r="V8">
        <f t="shared" si="1"/>
        <v>253.59193643523369</v>
      </c>
    </row>
    <row r="9" spans="1:22" x14ac:dyDescent="0.2">
      <c r="A9">
        <v>46068.657583194443</v>
      </c>
      <c r="B9">
        <v>19.453624999999999</v>
      </c>
      <c r="C9">
        <v>19.557192000000001</v>
      </c>
      <c r="D9">
        <v>19.807264</v>
      </c>
      <c r="E9">
        <v>19.628623000000001</v>
      </c>
      <c r="F9">
        <v>41.067852000000002</v>
      </c>
      <c r="G9">
        <v>38.373057000000003</v>
      </c>
      <c r="H9">
        <v>27.650613</v>
      </c>
      <c r="I9">
        <v>27.329913999999999</v>
      </c>
      <c r="J9">
        <v>56.933787000000002</v>
      </c>
      <c r="K9">
        <v>55.235233000000001</v>
      </c>
      <c r="L9">
        <v>15.251741000000001</v>
      </c>
      <c r="M9">
        <v>-622.49795900000004</v>
      </c>
      <c r="N9">
        <v>2.172031</v>
      </c>
      <c r="O9">
        <v>4.6799429999999997</v>
      </c>
      <c r="P9">
        <f t="shared" si="3"/>
        <v>3.620051666666667E-5</v>
      </c>
      <c r="Q9" cm="1">
        <f t="array" ref="Q9">[1]!PropsSI("D","T",J9+273.15,"P",101325,"Water")</f>
        <v>984.74522911466806</v>
      </c>
      <c r="R9" cm="1">
        <f t="array" ref="R9">[1]!PropsSI("D","T",K9+273.15,"P",101325,"Water")</f>
        <v>985.57901684205945</v>
      </c>
      <c r="S9">
        <f t="shared" si="2"/>
        <v>985.16212297836375</v>
      </c>
      <c r="T9" cm="1">
        <f t="array" ref="T9">[1]!PropsSI("H","T",J9+273.15,"P",101325,"Water")</f>
        <v>238418.71650681776</v>
      </c>
      <c r="U9" cm="1">
        <f t="array" ref="U9">[1]!PropsSI("H","T",K9+273.15,"P",101325,"Water")</f>
        <v>231313.05437589268</v>
      </c>
      <c r="V9">
        <f t="shared" si="1"/>
        <v>253.41191346558344</v>
      </c>
    </row>
    <row r="11" spans="1:22" x14ac:dyDescent="0.2">
      <c r="D11" s="1" t="s">
        <v>22</v>
      </c>
    </row>
    <row r="12" spans="1:22" x14ac:dyDescent="0.2">
      <c r="D12">
        <f>AVERAGE(V2:V9)</f>
        <v>254.84469169270832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04A9-D5FC-954C-B04D-884A8FA1AF57}">
  <dimension ref="A1:V36"/>
  <sheetViews>
    <sheetView workbookViewId="0">
      <selection activeCell="D14" sqref="D14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44606.658511437199</v>
      </c>
      <c r="B2">
        <v>19.275119</v>
      </c>
      <c r="C2">
        <v>19.423399</v>
      </c>
      <c r="D2">
        <v>19.755682</v>
      </c>
      <c r="E2">
        <v>19.613845000000001</v>
      </c>
      <c r="F2">
        <v>40.860694000000002</v>
      </c>
      <c r="G2">
        <v>37.358663999999997</v>
      </c>
      <c r="H2">
        <v>27.328824999999998</v>
      </c>
      <c r="I2">
        <v>25.405640999999999</v>
      </c>
      <c r="J2">
        <v>56.895418999999997</v>
      </c>
      <c r="K2">
        <v>54.012486000000003</v>
      </c>
      <c r="L2">
        <v>38.946880999999998</v>
      </c>
      <c r="M2">
        <v>-622.48938799999996</v>
      </c>
      <c r="N2">
        <v>2.1662620000000001</v>
      </c>
      <c r="O2">
        <v>4.9530079999999996</v>
      </c>
      <c r="P2">
        <f xml:space="preserve"> N2*0.001/60</f>
        <v>3.6104366666666666E-5</v>
      </c>
      <c r="Q2" cm="1">
        <f t="array" ref="Q2">[1]!PropsSI("D","T",J2+273.15,"P",101325,"Water")</f>
        <v>984.76425820666043</v>
      </c>
      <c r="R2" cm="1">
        <f t="array" ref="R2">[1]!PropsSI("D","T",K2+273.15,"P",101325,"Water")</f>
        <v>986.16819729087024</v>
      </c>
      <c r="S2">
        <f>(Q2+R2)/2</f>
        <v>985.46622774876528</v>
      </c>
      <c r="T2" cm="1">
        <f t="array" ref="T2">[1]!PropsSI("H","T",J2+273.15,"P",101325,"Water")</f>
        <v>238258.19719241801</v>
      </c>
      <c r="U2" cm="1">
        <f t="array" ref="U2">[1]!PropsSI("H","T",K2+273.15,"P",101325,"Water")</f>
        <v>226198.52075339406</v>
      </c>
      <c r="V2">
        <f>S2*P2*(T2-U2)</f>
        <v>429.07887415144239</v>
      </c>
    </row>
    <row r="3" spans="1:22" x14ac:dyDescent="0.2">
      <c r="A3">
        <v>44606.658627177902</v>
      </c>
      <c r="B3">
        <v>19.244111</v>
      </c>
      <c r="C3">
        <v>19.410361000000002</v>
      </c>
      <c r="D3">
        <v>19.749628000000001</v>
      </c>
      <c r="E3">
        <v>19.609235999999999</v>
      </c>
      <c r="F3">
        <v>40.479343</v>
      </c>
      <c r="G3">
        <v>36.263472</v>
      </c>
      <c r="H3">
        <v>26.893242000000001</v>
      </c>
      <c r="I3">
        <v>27.377178000000001</v>
      </c>
      <c r="J3">
        <v>56.878064999999999</v>
      </c>
      <c r="K3">
        <v>53.984966</v>
      </c>
      <c r="L3">
        <v>49.340646</v>
      </c>
      <c r="M3">
        <v>-622.51102000000003</v>
      </c>
      <c r="N3">
        <v>2.1659670000000002</v>
      </c>
      <c r="O3">
        <v>5.0974579999999996</v>
      </c>
      <c r="P3">
        <f t="shared" ref="P3" si="0" xml:space="preserve"> N3*0.001/60</f>
        <v>3.6099450000000006E-5</v>
      </c>
      <c r="Q3" cm="1">
        <f t="array" ref="Q3">[1]!PropsSI("D","T",J3+273.15,"P",101325,"Water")</f>
        <v>984.77286219774294</v>
      </c>
      <c r="R3" cm="1">
        <f t="array" ref="R3">[1]!PropsSI("D","T",K3+273.15,"P",101325,"Water")</f>
        <v>986.18135033081671</v>
      </c>
      <c r="S3">
        <f>(Q3+R3)/2</f>
        <v>985.47710626427988</v>
      </c>
      <c r="T3" cm="1">
        <f t="array" ref="T3">[1]!PropsSI("H","T",J3+273.15,"P",101325,"Water")</f>
        <v>238185.59385267668</v>
      </c>
      <c r="U3" cm="1">
        <f t="array" ref="U3">[1]!PropsSI("H","T",K3+273.15,"P",101325,"Water")</f>
        <v>226083.41554761396</v>
      </c>
      <c r="V3">
        <f t="shared" ref="V3:V9" si="1">S3*P3*(T3-U3)</f>
        <v>430.53719003517853</v>
      </c>
    </row>
    <row r="4" spans="1:22" x14ac:dyDescent="0.2">
      <c r="A4">
        <v>44606.658742918698</v>
      </c>
      <c r="B4">
        <v>19.252507000000001</v>
      </c>
      <c r="C4">
        <v>19.400659999999998</v>
      </c>
      <c r="D4">
        <v>19.753118000000001</v>
      </c>
      <c r="E4">
        <v>19.628094000000001</v>
      </c>
      <c r="F4">
        <v>40.688805000000002</v>
      </c>
      <c r="G4">
        <v>37.723930000000003</v>
      </c>
      <c r="H4">
        <v>27.313948</v>
      </c>
      <c r="I4">
        <v>26.116157999999999</v>
      </c>
      <c r="J4">
        <v>56.864851999999999</v>
      </c>
      <c r="K4">
        <v>53.960149999999999</v>
      </c>
      <c r="L4">
        <v>48.151725999999996</v>
      </c>
      <c r="M4">
        <v>-622.49755100000004</v>
      </c>
      <c r="N4">
        <v>2.1638730000000002</v>
      </c>
      <c r="O4">
        <v>4.4177929999999996</v>
      </c>
      <c r="P4">
        <f xml:space="preserve"> N4*0.001/60</f>
        <v>3.6064550000000004E-5</v>
      </c>
      <c r="Q4" cm="1">
        <f t="array" ref="Q4">[1]!PropsSI("D","T",J4+273.15,"P",101325,"Water")</f>
        <v>984.77941188050943</v>
      </c>
      <c r="R4" cm="1">
        <f t="array" ref="R4">[1]!PropsSI("D","T",K4+273.15,"P",101325,"Water")</f>
        <v>986.19320693321242</v>
      </c>
      <c r="S4">
        <f t="shared" ref="S4:S9" si="2">(Q4+R4)/2</f>
        <v>985.48630940686098</v>
      </c>
      <c r="T4" cm="1">
        <f t="array" ref="T4">[1]!PropsSI("H","T",J4+273.15,"P",101325,"Water")</f>
        <v>238130.31515264898</v>
      </c>
      <c r="U4" cm="1">
        <f t="array" ref="U4">[1]!PropsSI("H","T",K4+273.15,"P",101325,"Water")</f>
        <v>225979.62032230475</v>
      </c>
      <c r="V4">
        <f t="shared" si="1"/>
        <v>431.8493064498569</v>
      </c>
    </row>
    <row r="5" spans="1:22" x14ac:dyDescent="0.2">
      <c r="A5">
        <v>44606.658858659401</v>
      </c>
      <c r="B5">
        <v>19.309771000000001</v>
      </c>
      <c r="C5">
        <v>19.419307</v>
      </c>
      <c r="D5">
        <v>19.780695000000001</v>
      </c>
      <c r="E5">
        <v>19.674486000000002</v>
      </c>
      <c r="F5">
        <v>41.253368000000002</v>
      </c>
      <c r="G5">
        <v>37.014079000000002</v>
      </c>
      <c r="H5">
        <v>28.258085000000001</v>
      </c>
      <c r="I5">
        <v>28.908508999999999</v>
      </c>
      <c r="J5">
        <v>56.852116000000002</v>
      </c>
      <c r="K5">
        <v>53.943447999999997</v>
      </c>
      <c r="L5">
        <v>46.218353999999998</v>
      </c>
      <c r="M5">
        <v>-622.50163299999997</v>
      </c>
      <c r="N5">
        <v>2.1679620000000002</v>
      </c>
      <c r="O5">
        <v>4.9207689999999999</v>
      </c>
      <c r="P5">
        <f t="shared" ref="P5:P9" si="3" xml:space="preserve"> N5*0.001/60</f>
        <v>3.6132700000000007E-5</v>
      </c>
      <c r="Q5" cm="1">
        <f t="array" ref="Q5">[1]!PropsSI("D","T",J5+273.15,"P",101325,"Water")</f>
        <v>984.78572410809261</v>
      </c>
      <c r="R5" cm="1">
        <f t="array" ref="R5">[1]!PropsSI("D","T",K5+273.15,"P",101325,"Water")</f>
        <v>986.20118464792768</v>
      </c>
      <c r="S5">
        <f t="shared" si="2"/>
        <v>985.49345437801014</v>
      </c>
      <c r="T5" cm="1">
        <f t="array" ref="T5">[1]!PropsSI("H","T",J5+273.15,"P",101325,"Water")</f>
        <v>238077.0321228877</v>
      </c>
      <c r="U5" cm="1">
        <f t="array" ref="U5">[1]!PropsSI("H","T",K5+273.15,"P",101325,"Water")</f>
        <v>225909.76277569155</v>
      </c>
      <c r="V5">
        <f t="shared" si="1"/>
        <v>433.25868919789582</v>
      </c>
    </row>
    <row r="6" spans="1:22" x14ac:dyDescent="0.2">
      <c r="A6">
        <v>46068.658974976854</v>
      </c>
      <c r="B6">
        <v>19.358989999999999</v>
      </c>
      <c r="C6">
        <v>19.470265999999999</v>
      </c>
      <c r="D6">
        <v>19.792128999999999</v>
      </c>
      <c r="E6">
        <v>19.669715</v>
      </c>
      <c r="F6">
        <v>40.424605</v>
      </c>
      <c r="G6">
        <v>36.321787</v>
      </c>
      <c r="H6">
        <v>27.808098000000001</v>
      </c>
      <c r="I6">
        <v>25.138604999999998</v>
      </c>
      <c r="J6">
        <v>56.837628000000002</v>
      </c>
      <c r="K6">
        <v>53.929448999999998</v>
      </c>
      <c r="L6">
        <v>45.613894000000002</v>
      </c>
      <c r="M6">
        <v>-622.46653200000003</v>
      </c>
      <c r="N6">
        <v>2.164037</v>
      </c>
      <c r="O6">
        <v>4.5196209999999999</v>
      </c>
      <c r="P6">
        <f t="shared" si="3"/>
        <v>3.6067283333333336E-5</v>
      </c>
      <c r="Q6" cm="1">
        <f t="array" ref="Q6">[1]!PropsSI("D","T",J6+273.15,"P",101325,"Water")</f>
        <v>984.7929034622814</v>
      </c>
      <c r="R6" cm="1">
        <f t="array" ref="R6">[1]!PropsSI("D","T",K6+273.15,"P",101325,"Water")</f>
        <v>986.20786992494425</v>
      </c>
      <c r="S6">
        <f t="shared" si="2"/>
        <v>985.50038669361288</v>
      </c>
      <c r="T6" cm="1">
        <f t="array" ref="T6">[1]!PropsSI("H","T",J6+273.15,"P",101325,"Water")</f>
        <v>238016.41940647663</v>
      </c>
      <c r="U6" cm="1">
        <f t="array" ref="U6">[1]!PropsSI("H","T",K6+273.15,"P",101325,"Water")</f>
        <v>225851.21083248543</v>
      </c>
      <c r="V6">
        <f t="shared" si="1"/>
        <v>432.40408676077089</v>
      </c>
    </row>
    <row r="7" spans="1:22" x14ac:dyDescent="0.2">
      <c r="A7">
        <v>46068.659091296293</v>
      </c>
      <c r="B7">
        <v>19.390526999999999</v>
      </c>
      <c r="C7">
        <v>19.496392</v>
      </c>
      <c r="D7">
        <v>19.776422</v>
      </c>
      <c r="E7">
        <v>19.69462</v>
      </c>
      <c r="F7">
        <v>40.796992000000003</v>
      </c>
      <c r="G7">
        <v>38.135005999999997</v>
      </c>
      <c r="H7">
        <v>27.322264000000001</v>
      </c>
      <c r="I7">
        <v>27.079183</v>
      </c>
      <c r="J7">
        <v>56.826324999999997</v>
      </c>
      <c r="K7">
        <v>53.914974000000001</v>
      </c>
      <c r="L7">
        <v>48.284373000000002</v>
      </c>
      <c r="M7">
        <v>-622.47183800000005</v>
      </c>
      <c r="N7">
        <v>2.1645940000000001</v>
      </c>
      <c r="O7">
        <v>4.1334039999999996</v>
      </c>
      <c r="P7">
        <f t="shared" si="3"/>
        <v>3.6076566666666666E-5</v>
      </c>
      <c r="Q7" cm="1">
        <f t="array" ref="Q7">[1]!PropsSI("D","T",J7+273.15,"P",101325,"Water")</f>
        <v>984.79850364011702</v>
      </c>
      <c r="R7" cm="1">
        <f t="array" ref="R7">[1]!PropsSI("D","T",K7+273.15,"P",101325,"Water")</f>
        <v>986.21478122367978</v>
      </c>
      <c r="S7">
        <f t="shared" si="2"/>
        <v>985.5066424318984</v>
      </c>
      <c r="T7" cm="1">
        <f t="array" ref="T7">[1]!PropsSI("H","T",J7+273.15,"P",101325,"Water")</f>
        <v>237969.13167098869</v>
      </c>
      <c r="U7" cm="1">
        <f t="array" ref="U7">[1]!PropsSI("H","T",K7+273.15,"P",101325,"Water")</f>
        <v>225790.66805218521</v>
      </c>
      <c r="V7">
        <f t="shared" si="1"/>
        <v>432.98939429901765</v>
      </c>
    </row>
    <row r="8" spans="1:22" x14ac:dyDescent="0.2">
      <c r="A8">
        <v>46068.659207037039</v>
      </c>
      <c r="B8">
        <v>19.438544</v>
      </c>
      <c r="C8">
        <v>19.521744999999999</v>
      </c>
      <c r="D8">
        <v>19.792000999999999</v>
      </c>
      <c r="E8">
        <v>19.701536999999998</v>
      </c>
      <c r="F8">
        <v>40.356611999999998</v>
      </c>
      <c r="G8">
        <v>36.925911999999997</v>
      </c>
      <c r="H8">
        <v>27.242232000000001</v>
      </c>
      <c r="I8">
        <v>26.965115000000001</v>
      </c>
      <c r="J8">
        <v>56.817092000000002</v>
      </c>
      <c r="K8">
        <v>53.902724999999997</v>
      </c>
      <c r="L8">
        <v>52.694355999999999</v>
      </c>
      <c r="M8">
        <v>-622.50979500000005</v>
      </c>
      <c r="N8">
        <v>2.1635650000000002</v>
      </c>
      <c r="O8">
        <v>5.9925980000000001</v>
      </c>
      <c r="P8">
        <f t="shared" si="3"/>
        <v>3.6059416666666666E-5</v>
      </c>
      <c r="Q8" cm="1">
        <f t="array" ref="Q8">[1]!PropsSI("D","T",J8+273.15,"P",101325,"Water")</f>
        <v>984.8030776393681</v>
      </c>
      <c r="R8" cm="1">
        <f t="array" ref="R8">[1]!PropsSI("D","T",K8+273.15,"P",101325,"Water")</f>
        <v>986.22062865858913</v>
      </c>
      <c r="S8">
        <f t="shared" si="2"/>
        <v>985.51185314897862</v>
      </c>
      <c r="T8" cm="1">
        <f t="array" ref="T8">[1]!PropsSI("H","T",J8+273.15,"P",101325,"Water")</f>
        <v>237930.50411686377</v>
      </c>
      <c r="U8" cm="1">
        <f t="array" ref="U8">[1]!PropsSI("H","T",K8+273.15,"P",101325,"Water")</f>
        <v>225739.43574143876</v>
      </c>
      <c r="V8">
        <f t="shared" si="1"/>
        <v>433.23378403358259</v>
      </c>
    </row>
    <row r="9" spans="1:22" x14ac:dyDescent="0.2">
      <c r="A9">
        <v>46068.659323356478</v>
      </c>
      <c r="B9">
        <v>19.457647000000001</v>
      </c>
      <c r="C9">
        <v>19.541392999999999</v>
      </c>
      <c r="D9">
        <v>19.811039999999998</v>
      </c>
      <c r="E9">
        <v>19.716474999999999</v>
      </c>
      <c r="F9">
        <v>40.688454</v>
      </c>
      <c r="G9">
        <v>36.799258999999999</v>
      </c>
      <c r="H9">
        <v>27.787624000000001</v>
      </c>
      <c r="I9">
        <v>25.367722000000001</v>
      </c>
      <c r="J9">
        <v>56.808495000000001</v>
      </c>
      <c r="K9">
        <v>53.892544000000001</v>
      </c>
      <c r="L9">
        <v>51.608288000000002</v>
      </c>
      <c r="M9">
        <v>-622.48938799999996</v>
      </c>
      <c r="N9">
        <v>2.1722320000000002</v>
      </c>
      <c r="O9">
        <v>3.8940009999999998</v>
      </c>
      <c r="P9">
        <f t="shared" si="3"/>
        <v>3.6203866666666667E-5</v>
      </c>
      <c r="Q9" cm="1">
        <f t="array" ref="Q9">[1]!PropsSI("D","T",J9+273.15,"P",101325,"Water")</f>
        <v>984.80733609923709</v>
      </c>
      <c r="R9" cm="1">
        <f t="array" ref="R9">[1]!PropsSI("D","T",K9+273.15,"P",101325,"Water")</f>
        <v>986.2254881533263</v>
      </c>
      <c r="S9">
        <f t="shared" si="2"/>
        <v>985.51641212628169</v>
      </c>
      <c r="T9" cm="1">
        <f t="array" ref="T9">[1]!PropsSI("H","T",J9+273.15,"P",101325,"Water")</f>
        <v>237894.53738804508</v>
      </c>
      <c r="U9" cm="1">
        <f t="array" ref="U9">[1]!PropsSI("H","T",K9+273.15,"P",101325,"Water")</f>
        <v>225696.85302666132</v>
      </c>
      <c r="V9">
        <f t="shared" si="1"/>
        <v>435.20733750658309</v>
      </c>
    </row>
    <row r="10" spans="1:22" x14ac:dyDescent="0.2">
      <c r="A10">
        <v>44606.659439099203</v>
      </c>
      <c r="B10">
        <v>19.438333</v>
      </c>
      <c r="C10">
        <v>19.513009</v>
      </c>
      <c r="D10">
        <v>19.811295999999999</v>
      </c>
      <c r="E10">
        <v>19.700869000000001</v>
      </c>
      <c r="F10">
        <v>40.798166000000002</v>
      </c>
      <c r="G10">
        <v>36.738245999999997</v>
      </c>
      <c r="H10">
        <v>26.946915000000001</v>
      </c>
      <c r="I10">
        <v>25.237442000000001</v>
      </c>
      <c r="J10">
        <v>56.799261000000001</v>
      </c>
      <c r="K10">
        <v>53.883955</v>
      </c>
      <c r="L10">
        <v>52.894345999999999</v>
      </c>
      <c r="M10">
        <v>-622.49755100000004</v>
      </c>
      <c r="N10">
        <v>2.1659009999999999</v>
      </c>
      <c r="O10">
        <v>5.4526300000000001</v>
      </c>
      <c r="P10">
        <f t="shared" ref="P10:P11" si="4" xml:space="preserve"> N10*0.001/60</f>
        <v>3.6098350000000003E-5</v>
      </c>
      <c r="Q10" cm="1">
        <f t="array" ref="Q10">[1]!PropsSI("D","T",J10+273.15,"P",101325,"Water")</f>
        <v>984.81190959065111</v>
      </c>
      <c r="R10" cm="1">
        <f t="array" ref="R10">[1]!PropsSI("D","T",K10+273.15,"P",101325,"Water")</f>
        <v>986.22958726395746</v>
      </c>
      <c r="S10">
        <f t="shared" ref="S10:S11" si="5">(Q10+R10)/2</f>
        <v>985.52074842730428</v>
      </c>
      <c r="T10" cm="1">
        <f t="array" ref="T10">[1]!PropsSI("H","T",J10+273.15,"P",101325,"Water")</f>
        <v>237855.90571436283</v>
      </c>
      <c r="U10" cm="1">
        <f t="array" ref="U10">[1]!PropsSI("H","T",K10+273.15,"P",101325,"Water")</f>
        <v>225660.92898637522</v>
      </c>
      <c r="V10">
        <f t="shared" ref="V10:V11" si="6">S10*P10*(T10-U10)</f>
        <v>433.84450320764188</v>
      </c>
    </row>
    <row r="11" spans="1:22" x14ac:dyDescent="0.2">
      <c r="A11">
        <v>44606.65955484</v>
      </c>
      <c r="B11">
        <v>19.445062</v>
      </c>
      <c r="C11">
        <v>19.518426000000002</v>
      </c>
      <c r="D11">
        <v>19.832861999999999</v>
      </c>
      <c r="E11">
        <v>19.746808999999999</v>
      </c>
      <c r="F11">
        <v>40.960731000000003</v>
      </c>
      <c r="G11">
        <v>37.623378000000002</v>
      </c>
      <c r="H11">
        <v>27.423826999999999</v>
      </c>
      <c r="I11">
        <v>25.936152</v>
      </c>
      <c r="J11">
        <v>56.794645000000003</v>
      </c>
      <c r="K11">
        <v>53.878864</v>
      </c>
      <c r="L11">
        <v>41.647562000000001</v>
      </c>
      <c r="M11">
        <v>-622.50530600000002</v>
      </c>
      <c r="N11">
        <v>2.1645080000000001</v>
      </c>
      <c r="O11">
        <v>5.8969839999999998</v>
      </c>
      <c r="P11">
        <f t="shared" si="4"/>
        <v>3.6075133333333336E-5</v>
      </c>
      <c r="Q11" cm="1">
        <f t="array" ref="Q11">[1]!PropsSI("D","T",J11+273.15,"P",101325,"Water")</f>
        <v>984.81419564624741</v>
      </c>
      <c r="R11" cm="1">
        <f t="array" ref="R11">[1]!PropsSI("D","T",K11+273.15,"P",101325,"Water")</f>
        <v>986.23201673110873</v>
      </c>
      <c r="S11">
        <f t="shared" si="5"/>
        <v>985.52310618867807</v>
      </c>
      <c r="T11" cm="1">
        <f t="array" ref="T11">[1]!PropsSI("H","T",J11+273.15,"P",101325,"Water")</f>
        <v>237836.59407358963</v>
      </c>
      <c r="U11" cm="1">
        <f t="array" ref="U11">[1]!PropsSI("H","T",K11+273.15,"P",101325,"Water")</f>
        <v>225639.63556619629</v>
      </c>
      <c r="V11">
        <f t="shared" si="6"/>
        <v>433.63697118387967</v>
      </c>
    </row>
    <row r="13" spans="1:22" x14ac:dyDescent="0.2">
      <c r="D13" s="1" t="s">
        <v>22</v>
      </c>
    </row>
    <row r="14" spans="1:22" x14ac:dyDescent="0.2">
      <c r="D14">
        <f>AVERAGE(V5:V11)</f>
        <v>433.51068088419601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44F9-02AB-1343-985E-C9A61688FA23}">
  <dimension ref="A1:V36"/>
  <sheetViews>
    <sheetView workbookViewId="0">
      <selection activeCell="E18" sqref="E18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44606.660678682601</v>
      </c>
      <c r="B2">
        <v>19.372700999999999</v>
      </c>
      <c r="C2">
        <v>19.436138</v>
      </c>
      <c r="D2">
        <v>19.746348999999999</v>
      </c>
      <c r="E2">
        <v>19.655851999999999</v>
      </c>
      <c r="F2">
        <v>37.957084999999999</v>
      </c>
      <c r="G2">
        <v>34.500909999999998</v>
      </c>
      <c r="H2">
        <v>27.053598999999998</v>
      </c>
      <c r="I2">
        <v>24.564257000000001</v>
      </c>
      <c r="J2">
        <v>56.730648000000002</v>
      </c>
      <c r="K2">
        <v>52.912821999999998</v>
      </c>
      <c r="L2">
        <v>87.905246000000005</v>
      </c>
      <c r="M2">
        <v>-622.48612300000002</v>
      </c>
      <c r="N2">
        <v>2.1569560000000001</v>
      </c>
      <c r="O2">
        <v>4.494866</v>
      </c>
      <c r="P2">
        <f xml:space="preserve"> N2*0.001/60</f>
        <v>3.5949266666666672E-5</v>
      </c>
      <c r="Q2" cm="1">
        <f t="array" ref="Q2">[1]!PropsSI("D","T",J2+273.15,"P",101325,"Water")</f>
        <v>984.84587652274752</v>
      </c>
      <c r="R2" cm="1">
        <f t="array" ref="R2">[1]!PropsSI("D","T",K2+273.15,"P",101325,"Water")</f>
        <v>986.69006289730783</v>
      </c>
      <c r="S2">
        <f>(Q2+R2)/2</f>
        <v>985.76796971002773</v>
      </c>
      <c r="T2" cm="1">
        <f t="array" ref="T2">[1]!PropsSI("H","T",J2+273.15,"P",101325,"Water")</f>
        <v>237568.85509250069</v>
      </c>
      <c r="U2" cm="1">
        <f t="array" ref="U2">[1]!PropsSI("H","T",K2+273.15,"P",101325,"Water")</f>
        <v>221599.26486885434</v>
      </c>
      <c r="V2">
        <f>S2*P2*(T2-U2)</f>
        <v>565.92451925948887</v>
      </c>
    </row>
    <row r="3" spans="1:22" x14ac:dyDescent="0.2">
      <c r="A3">
        <v>44606.660794423296</v>
      </c>
      <c r="B3">
        <v>19.258244999999999</v>
      </c>
      <c r="C3">
        <v>19.417382</v>
      </c>
      <c r="D3">
        <v>19.753264000000001</v>
      </c>
      <c r="E3">
        <v>19.627521000000002</v>
      </c>
      <c r="F3">
        <v>38.580986000000003</v>
      </c>
      <c r="G3">
        <v>34.475884999999998</v>
      </c>
      <c r="H3">
        <v>26.957915</v>
      </c>
      <c r="I3">
        <v>23.901584</v>
      </c>
      <c r="J3">
        <v>56.716479</v>
      </c>
      <c r="K3">
        <v>52.895806999999998</v>
      </c>
      <c r="L3">
        <v>77.021300999999994</v>
      </c>
      <c r="M3">
        <v>-622.48897999999997</v>
      </c>
      <c r="N3">
        <v>2.1654260000000001</v>
      </c>
      <c r="O3">
        <v>4.9322059999999999</v>
      </c>
      <c r="P3">
        <f t="shared" ref="P3" si="0" xml:space="preserve"> N3*0.001/60</f>
        <v>3.6090433333333336E-5</v>
      </c>
      <c r="Q3" cm="1">
        <f t="array" ref="Q3">[1]!PropsSI("D","T",J3+273.15,"P",101325,"Water")</f>
        <v>984.85288732409208</v>
      </c>
      <c r="R3" cm="1">
        <f t="array" ref="R3">[1]!PropsSI("D","T",K3+273.15,"P",101325,"Water")</f>
        <v>986.69807760261881</v>
      </c>
      <c r="S3">
        <f>(Q3+R3)/2</f>
        <v>985.7754824633555</v>
      </c>
      <c r="T3" cm="1">
        <f t="array" ref="T3">[1]!PropsSI("H","T",J3+273.15,"P",101325,"Water")</f>
        <v>237509.57762846714</v>
      </c>
      <c r="U3" cm="1">
        <f t="array" ref="U3">[1]!PropsSI("H","T",K3+273.15,"P",101325,"Water")</f>
        <v>221528.10418958127</v>
      </c>
      <c r="V3">
        <f t="shared" ref="V3:V9" si="1">S3*P3*(T3-U3)</f>
        <v>568.5739086470536</v>
      </c>
    </row>
    <row r="4" spans="1:22" x14ac:dyDescent="0.2">
      <c r="A4">
        <v>44606.660910742699</v>
      </c>
      <c r="B4">
        <v>19.378692999999998</v>
      </c>
      <c r="C4">
        <v>19.46377</v>
      </c>
      <c r="D4">
        <v>19.772987000000001</v>
      </c>
      <c r="E4">
        <v>19.63524</v>
      </c>
      <c r="F4">
        <v>38.646559000000003</v>
      </c>
      <c r="G4">
        <v>34.060982000000003</v>
      </c>
      <c r="H4">
        <v>26.587872000000001</v>
      </c>
      <c r="I4">
        <v>23.113330000000001</v>
      </c>
      <c r="J4">
        <v>56.706769000000001</v>
      </c>
      <c r="K4">
        <v>52.877997000000001</v>
      </c>
      <c r="L4">
        <v>92.621745000000004</v>
      </c>
      <c r="M4">
        <v>-622.49591899999996</v>
      </c>
      <c r="N4">
        <v>2.1606969999999999</v>
      </c>
      <c r="O4">
        <v>4.9286219999999998</v>
      </c>
      <c r="P4">
        <f xml:space="preserve"> N4*0.001/60</f>
        <v>3.6011616666666669E-5</v>
      </c>
      <c r="Q4" cm="1">
        <f t="array" ref="Q4">[1]!PropsSI("D","T",J4+273.15,"P",101325,"Water")</f>
        <v>984.85769111141951</v>
      </c>
      <c r="R4" cm="1">
        <f t="array" ref="R4">[1]!PropsSI("D","T",K4+273.15,"P",101325,"Water")</f>
        <v>986.70646481380152</v>
      </c>
      <c r="S4">
        <f t="shared" ref="S4:S9" si="2">(Q4+R4)/2</f>
        <v>985.78207796261051</v>
      </c>
      <c r="T4" cm="1">
        <f t="array" ref="T4">[1]!PropsSI("H","T",J4+273.15,"P",101325,"Water")</f>
        <v>237468.95489293366</v>
      </c>
      <c r="U4" cm="1">
        <f t="array" ref="U4">[1]!PropsSI("H","T",K4+273.15,"P",101325,"Water")</f>
        <v>221453.61873794123</v>
      </c>
      <c r="V4">
        <f t="shared" si="1"/>
        <v>568.5381283998712</v>
      </c>
    </row>
    <row r="5" spans="1:22" x14ac:dyDescent="0.2">
      <c r="A5">
        <v>44606.661027062197</v>
      </c>
      <c r="B5">
        <v>19.374952</v>
      </c>
      <c r="C5">
        <v>19.508738000000001</v>
      </c>
      <c r="D5">
        <v>19.789228000000001</v>
      </c>
      <c r="E5">
        <v>19.668451999999998</v>
      </c>
      <c r="F5">
        <v>38.488534999999999</v>
      </c>
      <c r="G5">
        <v>33.955347000000003</v>
      </c>
      <c r="H5">
        <v>27.533612999999999</v>
      </c>
      <c r="I5">
        <v>24.163468999999999</v>
      </c>
      <c r="J5">
        <v>56.696261999999997</v>
      </c>
      <c r="K5">
        <v>52.864956999999997</v>
      </c>
      <c r="L5">
        <v>85.239256999999995</v>
      </c>
      <c r="M5">
        <v>-622.47877700000004</v>
      </c>
      <c r="N5">
        <v>2.1628069999999999</v>
      </c>
      <c r="O5">
        <v>5.0190890000000001</v>
      </c>
      <c r="P5">
        <f t="shared" ref="P5:P9" si="3" xml:space="preserve"> N5*0.001/60</f>
        <v>3.6046783333333332E-5</v>
      </c>
      <c r="Q5" cm="1">
        <f t="array" ref="Q5">[1]!PropsSI("D","T",J5+273.15,"P",101325,"Water")</f>
        <v>984.86288854730833</v>
      </c>
      <c r="R5" cm="1">
        <f t="array" ref="R5">[1]!PropsSI("D","T",K5+273.15,"P",101325,"Water")</f>
        <v>986.71260442548203</v>
      </c>
      <c r="S5">
        <f t="shared" si="2"/>
        <v>985.78774648639524</v>
      </c>
      <c r="T5" cm="1">
        <f t="array" ref="T5">[1]!PropsSI("H","T",J5+273.15,"P",101325,"Water")</f>
        <v>237424.99787115469</v>
      </c>
      <c r="U5" cm="1">
        <f t="array" ref="U5">[1]!PropsSI("H","T",K5+273.15,"P",101325,"Water")</f>
        <v>221399.08257223314</v>
      </c>
      <c r="V5">
        <f t="shared" si="1"/>
        <v>569.47252356551644</v>
      </c>
    </row>
    <row r="6" spans="1:22" x14ac:dyDescent="0.2">
      <c r="A6">
        <v>46068.661142800927</v>
      </c>
      <c r="B6">
        <v>19.408035999999999</v>
      </c>
      <c r="C6">
        <v>19.473700000000001</v>
      </c>
      <c r="D6">
        <v>19.800141</v>
      </c>
      <c r="E6">
        <v>19.67144</v>
      </c>
      <c r="F6">
        <v>38.788713999999999</v>
      </c>
      <c r="G6">
        <v>35.580879000000003</v>
      </c>
      <c r="H6">
        <v>27.041167000000002</v>
      </c>
      <c r="I6">
        <v>23.688276999999999</v>
      </c>
      <c r="J6">
        <v>56.691645000000001</v>
      </c>
      <c r="K6">
        <v>52.855733999999998</v>
      </c>
      <c r="L6">
        <v>85.266194999999996</v>
      </c>
      <c r="M6">
        <v>-622.493878</v>
      </c>
      <c r="N6">
        <v>2.1654710000000001</v>
      </c>
      <c r="O6">
        <v>4.766343</v>
      </c>
      <c r="P6">
        <f t="shared" si="3"/>
        <v>3.6091183333333334E-5</v>
      </c>
      <c r="Q6" cm="1">
        <f t="array" ref="Q6">[1]!PropsSI("D","T",J6+273.15,"P",101325,"Water")</f>
        <v>984.8651721985849</v>
      </c>
      <c r="R6" cm="1">
        <f t="array" ref="R6">[1]!PropsSI("D","T",K6+273.15,"P",101325,"Water")</f>
        <v>986.71694623034546</v>
      </c>
      <c r="S6">
        <f t="shared" si="2"/>
        <v>985.79105921446512</v>
      </c>
      <c r="T6" cm="1">
        <f t="array" ref="T6">[1]!PropsSI("H","T",J6+273.15,"P",101325,"Water")</f>
        <v>237405.6822313162</v>
      </c>
      <c r="U6" cm="1">
        <f t="array" ref="U6">[1]!PropsSI("H","T",K6+273.15,"P",101325,"Water")</f>
        <v>221360.50997899051</v>
      </c>
      <c r="V6">
        <f t="shared" si="1"/>
        <v>570.86100846287434</v>
      </c>
    </row>
    <row r="7" spans="1:22" x14ac:dyDescent="0.2">
      <c r="A7">
        <v>46068.661259120374</v>
      </c>
      <c r="B7">
        <v>19.406122</v>
      </c>
      <c r="C7">
        <v>19.453053000000001</v>
      </c>
      <c r="D7">
        <v>19.797073000000001</v>
      </c>
      <c r="E7">
        <v>19.641458</v>
      </c>
      <c r="F7">
        <v>38.555453999999997</v>
      </c>
      <c r="G7">
        <v>35.570034</v>
      </c>
      <c r="H7">
        <v>26.966304000000001</v>
      </c>
      <c r="I7">
        <v>23.791782999999999</v>
      </c>
      <c r="J7">
        <v>56.685913999999997</v>
      </c>
      <c r="K7">
        <v>52.847942000000003</v>
      </c>
      <c r="L7">
        <v>79.190172000000004</v>
      </c>
      <c r="M7">
        <v>-622.48489900000004</v>
      </c>
      <c r="N7">
        <v>2.1668270000000001</v>
      </c>
      <c r="O7">
        <v>5.2346389999999996</v>
      </c>
      <c r="P7">
        <f t="shared" si="3"/>
        <v>3.6113783333333336E-5</v>
      </c>
      <c r="Q7" cm="1">
        <f t="array" ref="Q7">[1]!PropsSI("D","T",J7+273.15,"P",101325,"Water")</f>
        <v>984.86800667337002</v>
      </c>
      <c r="R7" cm="1">
        <f t="array" ref="R7">[1]!PropsSI("D","T",K7+273.15,"P",101325,"Water")</f>
        <v>986.72061395883577</v>
      </c>
      <c r="S7">
        <f t="shared" si="2"/>
        <v>985.79431031610284</v>
      </c>
      <c r="T7" cm="1">
        <f t="array" ref="T7">[1]!PropsSI("H","T",J7+273.15,"P",101325,"Water")</f>
        <v>237381.70608252197</v>
      </c>
      <c r="U7" cm="1">
        <f t="array" ref="U7">[1]!PropsSI("H","T",K7+273.15,"P",101325,"Water")</f>
        <v>221327.92216096909</v>
      </c>
      <c r="V7">
        <f t="shared" si="1"/>
        <v>571.52694274165333</v>
      </c>
    </row>
    <row r="8" spans="1:22" x14ac:dyDescent="0.2">
      <c r="A8">
        <v>46068.661375439813</v>
      </c>
      <c r="B8">
        <v>19.414947999999999</v>
      </c>
      <c r="C8">
        <v>19.459654</v>
      </c>
      <c r="D8">
        <v>19.798206</v>
      </c>
      <c r="E8">
        <v>19.653997</v>
      </c>
      <c r="F8">
        <v>38.412083000000003</v>
      </c>
      <c r="G8">
        <v>34.7087</v>
      </c>
      <c r="H8">
        <v>26.971081999999999</v>
      </c>
      <c r="I8">
        <v>23.144369000000001</v>
      </c>
      <c r="J8">
        <v>56.682411999999999</v>
      </c>
      <c r="K8">
        <v>52.834902999999997</v>
      </c>
      <c r="L8">
        <v>80.904371999999995</v>
      </c>
      <c r="M8">
        <v>-622.49142900000004</v>
      </c>
      <c r="N8">
        <v>2.1579920000000001</v>
      </c>
      <c r="O8">
        <v>5.0463089999999999</v>
      </c>
      <c r="P8">
        <f t="shared" si="3"/>
        <v>3.5966533333333335E-5</v>
      </c>
      <c r="Q8" cm="1">
        <f t="array" ref="Q8">[1]!PropsSI("D","T",J8+273.15,"P",101325,"Water")</f>
        <v>984.86973861638876</v>
      </c>
      <c r="R8" cm="1">
        <f t="array" ref="R8">[1]!PropsSI("D","T",K8+273.15,"P",101325,"Water")</f>
        <v>986.72675061042753</v>
      </c>
      <c r="S8">
        <f t="shared" si="2"/>
        <v>985.79824461340809</v>
      </c>
      <c r="T8" cm="1">
        <f t="array" ref="T8">[1]!PropsSI("H","T",J8+273.15,"P",101325,"Water")</f>
        <v>237367.05516002179</v>
      </c>
      <c r="U8" cm="1">
        <f t="array" ref="U8">[1]!PropsSI("H","T",K8+273.15,"P",101325,"Water")</f>
        <v>221273.3903062843</v>
      </c>
      <c r="V8">
        <f t="shared" si="1"/>
        <v>570.61288400664432</v>
      </c>
    </row>
    <row r="9" spans="1:22" x14ac:dyDescent="0.2">
      <c r="A9">
        <v>46068.66149175926</v>
      </c>
      <c r="B9">
        <v>19.429635000000001</v>
      </c>
      <c r="C9">
        <v>19.465817999999999</v>
      </c>
      <c r="D9">
        <v>19.800768999999999</v>
      </c>
      <c r="E9">
        <v>19.621379000000001</v>
      </c>
      <c r="F9">
        <v>38.245789000000002</v>
      </c>
      <c r="G9">
        <v>34.451951000000001</v>
      </c>
      <c r="H9">
        <v>27.331609</v>
      </c>
      <c r="I9">
        <v>24.181681000000001</v>
      </c>
      <c r="J9">
        <v>56.680342000000003</v>
      </c>
      <c r="K9">
        <v>52.831404999999997</v>
      </c>
      <c r="L9">
        <v>91.779746000000003</v>
      </c>
      <c r="M9">
        <v>-622.48979599999996</v>
      </c>
      <c r="N9">
        <v>2.161619</v>
      </c>
      <c r="O9">
        <v>4.8083549999999997</v>
      </c>
      <c r="P9">
        <f xml:space="preserve"> N9*0.001/60</f>
        <v>3.6026983333333336E-5</v>
      </c>
      <c r="Q9" cm="1">
        <f t="array" ref="Q9">[1]!PropsSI("D","T",J9+273.15,"P",101325,"Water")</f>
        <v>984.87076231680828</v>
      </c>
      <c r="R9" cm="1">
        <f t="array" ref="R9">[1]!PropsSI("D","T",K9+273.15,"P",101325,"Water")</f>
        <v>986.72839671909037</v>
      </c>
      <c r="S9">
        <f>(Q9+R9)/2</f>
        <v>985.79957951794927</v>
      </c>
      <c r="T9" cm="1">
        <f t="array" ref="T9">[1]!PropsSI("H","T",J9+273.15,"P",101325,"Water")</f>
        <v>237358.39513660537</v>
      </c>
      <c r="U9" cm="1">
        <f t="array" ref="U9">[1]!PropsSI("H","T",K9+273.15,"P",101325,"Water")</f>
        <v>221258.76094027254</v>
      </c>
      <c r="V9">
        <f>S9*P9*(T9-U9)</f>
        <v>571.78470718485096</v>
      </c>
    </row>
    <row r="10" spans="1:22" x14ac:dyDescent="0.2">
      <c r="A10">
        <v>44606.661607501999</v>
      </c>
      <c r="B10">
        <v>19.409089999999999</v>
      </c>
      <c r="C10">
        <v>19.429552999999999</v>
      </c>
      <c r="D10">
        <v>19.772631000000001</v>
      </c>
      <c r="E10">
        <v>19.604417000000002</v>
      </c>
      <c r="F10">
        <v>38.125535999999997</v>
      </c>
      <c r="G10">
        <v>34.161476</v>
      </c>
      <c r="H10">
        <v>26.859162999999999</v>
      </c>
      <c r="I10">
        <v>24.920316</v>
      </c>
      <c r="J10">
        <v>56.682253000000003</v>
      </c>
      <c r="K10">
        <v>52.827747000000002</v>
      </c>
      <c r="L10">
        <v>86.568578000000002</v>
      </c>
      <c r="M10">
        <v>-622.51673400000004</v>
      </c>
      <c r="N10">
        <v>2.169089</v>
      </c>
      <c r="O10">
        <v>4.6839579999999996</v>
      </c>
      <c r="P10">
        <f t="shared" ref="P10:P15" si="4" xml:space="preserve"> N10*0.001/60</f>
        <v>3.6151483333333331E-5</v>
      </c>
      <c r="Q10" cm="1">
        <f t="array" ref="Q10">[1]!PropsSI("D","T",J10+273.15,"P",101325,"Water")</f>
        <v>984.86981724937061</v>
      </c>
      <c r="R10" cm="1">
        <f t="array" ref="R10">[1]!PropsSI("D","T",K10+273.15,"P",101325,"Water")</f>
        <v>986.7301180383281</v>
      </c>
      <c r="S10">
        <f t="shared" ref="S10:S15" si="5">(Q10+R10)/2</f>
        <v>985.79996764384941</v>
      </c>
      <c r="T10" cm="1">
        <f t="array" ref="T10">[1]!PropsSI("H","T",J10+273.15,"P",101325,"Water")</f>
        <v>237366.38996978055</v>
      </c>
      <c r="U10" cm="1">
        <f t="array" ref="U10">[1]!PropsSI("H","T",K10+273.15,"P",101325,"Water")</f>
        <v>221243.46242511988</v>
      </c>
      <c r="V10">
        <f t="shared" ref="V10:V15" si="6">S10*P10*(T10-U10)</f>
        <v>574.59100555688644</v>
      </c>
    </row>
    <row r="11" spans="1:22" x14ac:dyDescent="0.2">
      <c r="A11">
        <v>44606.661723242702</v>
      </c>
      <c r="B11">
        <v>19.453292000000001</v>
      </c>
      <c r="C11">
        <v>19.477309999999999</v>
      </c>
      <c r="D11">
        <v>19.808325</v>
      </c>
      <c r="E11">
        <v>19.673794999999998</v>
      </c>
      <c r="F11">
        <v>38.722504000000001</v>
      </c>
      <c r="G11">
        <v>35.015470999999998</v>
      </c>
      <c r="H11">
        <v>27.062957000000001</v>
      </c>
      <c r="I11">
        <v>23.191558000000001</v>
      </c>
      <c r="J11">
        <v>56.684322000000002</v>
      </c>
      <c r="K11">
        <v>52.827905999999999</v>
      </c>
      <c r="L11">
        <v>88.802751999999998</v>
      </c>
      <c r="M11">
        <v>-622.50040799999999</v>
      </c>
      <c r="N11">
        <v>2.1712940000000001</v>
      </c>
      <c r="O11">
        <v>4.493798</v>
      </c>
      <c r="P11">
        <f t="shared" si="4"/>
        <v>3.618823333333334E-5</v>
      </c>
      <c r="Q11" cm="1">
        <f t="array" ref="Q11">[1]!PropsSI("D","T",J11+273.15,"P",101325,"Water")</f>
        <v>984.86879401938552</v>
      </c>
      <c r="R11" cm="1">
        <f t="array" ref="R11">[1]!PropsSI("D","T",K11+273.15,"P",101325,"Water")</f>
        <v>986.73004322061263</v>
      </c>
      <c r="S11">
        <f t="shared" si="5"/>
        <v>985.79941861999907</v>
      </c>
      <c r="T11" cm="1">
        <f t="array" ref="T11">[1]!PropsSI("H","T",J11+273.15,"P",101325,"Water")</f>
        <v>237375.04581106518</v>
      </c>
      <c r="U11" cm="1">
        <f t="array" ref="U11">[1]!PropsSI("H","T",K11+273.15,"P",101325,"Water")</f>
        <v>221244.12739600387</v>
      </c>
      <c r="V11">
        <f t="shared" si="6"/>
        <v>575.4598580642629</v>
      </c>
    </row>
    <row r="12" spans="1:22" x14ac:dyDescent="0.2">
      <c r="A12">
        <v>44606.661838983498</v>
      </c>
      <c r="B12">
        <v>19.485046000000001</v>
      </c>
      <c r="C12">
        <v>19.521650999999999</v>
      </c>
      <c r="D12">
        <v>19.81954</v>
      </c>
      <c r="E12">
        <v>19.672715</v>
      </c>
      <c r="F12">
        <v>38.712254000000001</v>
      </c>
      <c r="G12">
        <v>35.007955000000003</v>
      </c>
      <c r="H12">
        <v>26.755050000000001</v>
      </c>
      <c r="I12">
        <v>24.688666999999999</v>
      </c>
      <c r="J12">
        <v>56.682253000000003</v>
      </c>
      <c r="K12">
        <v>52.832518</v>
      </c>
      <c r="L12">
        <v>91.125493000000006</v>
      </c>
      <c r="M12">
        <v>-622.51510099999996</v>
      </c>
      <c r="N12">
        <v>2.1600579999999998</v>
      </c>
      <c r="O12">
        <v>4.5471329999999996</v>
      </c>
      <c r="P12">
        <f t="shared" si="4"/>
        <v>3.6000966666666663E-5</v>
      </c>
      <c r="Q12" cm="1">
        <f t="array" ref="Q12">[1]!PropsSI("D","T",J12+273.15,"P",101325,"Water")</f>
        <v>984.86981724937061</v>
      </c>
      <c r="R12" cm="1">
        <f t="array" ref="R12">[1]!PropsSI("D","T",K12+273.15,"P",101325,"Water")</f>
        <v>986.72787296566514</v>
      </c>
      <c r="S12">
        <f t="shared" si="5"/>
        <v>985.79884510751788</v>
      </c>
      <c r="T12" cm="1">
        <f t="array" ref="T12">[1]!PropsSI("H","T",J12+273.15,"P",101325,"Water")</f>
        <v>237366.38996978055</v>
      </c>
      <c r="U12" cm="1">
        <f t="array" ref="U12">[1]!PropsSI("H","T",K12+273.15,"P",101325,"Water")</f>
        <v>221263.41573812391</v>
      </c>
      <c r="V12">
        <f t="shared" si="6"/>
        <v>571.48990756336343</v>
      </c>
    </row>
    <row r="13" spans="1:22" x14ac:dyDescent="0.2">
      <c r="A13">
        <v>44606.661955302901</v>
      </c>
      <c r="B13">
        <v>19.478777999999998</v>
      </c>
      <c r="C13">
        <v>19.52262</v>
      </c>
      <c r="D13">
        <v>19.836745000000001</v>
      </c>
      <c r="E13">
        <v>19.672277000000001</v>
      </c>
      <c r="F13">
        <v>38.754007999999999</v>
      </c>
      <c r="G13">
        <v>36.244458000000002</v>
      </c>
      <c r="H13">
        <v>26.308281999999998</v>
      </c>
      <c r="I13">
        <v>23.321866</v>
      </c>
      <c r="J13">
        <v>56.683686000000002</v>
      </c>
      <c r="K13">
        <v>52.831882</v>
      </c>
      <c r="L13">
        <v>88.638678999999996</v>
      </c>
      <c r="M13">
        <v>-622.48571500000003</v>
      </c>
      <c r="N13">
        <v>2.165889</v>
      </c>
      <c r="O13">
        <v>4.4607200000000002</v>
      </c>
      <c r="P13">
        <f t="shared" si="4"/>
        <v>3.6098149999999996E-5</v>
      </c>
      <c r="Q13" cm="1">
        <f t="array" ref="Q13">[1]!PropsSI("D","T",J13+273.15,"P",101325,"Water")</f>
        <v>984.8691085578273</v>
      </c>
      <c r="R13" cm="1">
        <f t="array" ref="R13">[1]!PropsSI("D","T",K13+273.15,"P",101325,"Water")</f>
        <v>986.72817225431072</v>
      </c>
      <c r="S13">
        <f t="shared" si="5"/>
        <v>985.79864040606901</v>
      </c>
      <c r="T13" cm="1">
        <f t="array" ref="T13">[1]!PropsSI("H","T",J13+273.15,"P",101325,"Water")</f>
        <v>237372.38504960953</v>
      </c>
      <c r="U13" cm="1">
        <f t="array" ref="U13">[1]!PropsSI("H","T",K13+273.15,"P",101325,"Water")</f>
        <v>221260.75585356279</v>
      </c>
      <c r="V13">
        <f t="shared" si="6"/>
        <v>573.34049661745553</v>
      </c>
    </row>
    <row r="14" spans="1:22" x14ac:dyDescent="0.2">
      <c r="A14">
        <v>44606.662071622399</v>
      </c>
      <c r="B14">
        <v>19.411971000000001</v>
      </c>
      <c r="C14">
        <v>19.491665999999999</v>
      </c>
      <c r="D14">
        <v>19.779914000000002</v>
      </c>
      <c r="E14">
        <v>19.673252999999999</v>
      </c>
      <c r="F14">
        <v>37.905580999999998</v>
      </c>
      <c r="G14">
        <v>34.463344999999997</v>
      </c>
      <c r="H14">
        <v>26.960379</v>
      </c>
      <c r="I14">
        <v>23.527670000000001</v>
      </c>
      <c r="J14">
        <v>56.684322000000002</v>
      </c>
      <c r="K14">
        <v>52.829019000000002</v>
      </c>
      <c r="L14">
        <v>94.178400999999994</v>
      </c>
      <c r="M14">
        <v>-622.50449000000003</v>
      </c>
      <c r="N14">
        <v>2.164291</v>
      </c>
      <c r="O14">
        <v>5.0262180000000001</v>
      </c>
      <c r="P14">
        <f t="shared" si="4"/>
        <v>3.6071516666666665E-5</v>
      </c>
      <c r="Q14" cm="1">
        <f t="array" ref="Q14">[1]!PropsSI("D","T",J14+273.15,"P",101325,"Water")</f>
        <v>984.86879401938552</v>
      </c>
      <c r="R14" cm="1">
        <f t="array" ref="R14">[1]!PropsSI("D","T",K14+273.15,"P",101325,"Water")</f>
        <v>986.72951949191452</v>
      </c>
      <c r="S14">
        <f t="shared" si="5"/>
        <v>985.79915675565007</v>
      </c>
      <c r="T14" cm="1">
        <f t="array" ref="T14">[1]!PropsSI("H","T",J14+273.15,"P",101325,"Water")</f>
        <v>237375.04581106518</v>
      </c>
      <c r="U14" cm="1">
        <f t="array" ref="U14">[1]!PropsSI("H","T",K14+273.15,"P",101325,"Water")</f>
        <v>221248.78219258308</v>
      </c>
      <c r="V14">
        <f t="shared" si="6"/>
        <v>573.43817359715308</v>
      </c>
    </row>
    <row r="15" spans="1:22" x14ac:dyDescent="0.2">
      <c r="A15">
        <v>46068.662187939815</v>
      </c>
      <c r="B15">
        <v>19.417888999999999</v>
      </c>
      <c r="C15">
        <v>19.496970000000001</v>
      </c>
      <c r="D15">
        <v>19.761198</v>
      </c>
      <c r="E15">
        <v>19.66309</v>
      </c>
      <c r="F15">
        <v>38.749111999999997</v>
      </c>
      <c r="G15">
        <v>34.45776</v>
      </c>
      <c r="H15">
        <v>26.892287</v>
      </c>
      <c r="I15">
        <v>24.653244999999998</v>
      </c>
      <c r="J15">
        <v>56.691327000000001</v>
      </c>
      <c r="K15">
        <v>52.830928</v>
      </c>
      <c r="L15">
        <v>94.726129</v>
      </c>
      <c r="M15">
        <v>-622.50693799999999</v>
      </c>
      <c r="N15">
        <v>2.1648109999999998</v>
      </c>
      <c r="O15">
        <v>5.0580129999999999</v>
      </c>
      <c r="P15">
        <f t="shared" si="4"/>
        <v>3.608018333333333E-5</v>
      </c>
      <c r="Q15" cm="1">
        <f t="array" ref="Q15">[1]!PropsSI("D","T",J15+273.15,"P",101325,"Water")</f>
        <v>984.8653294822966</v>
      </c>
      <c r="R15" cm="1">
        <f t="array" ref="R15">[1]!PropsSI("D","T",K15+273.15,"P",101325,"Water")</f>
        <v>986.72862118244905</v>
      </c>
      <c r="S15">
        <f t="shared" si="5"/>
        <v>985.79697533237277</v>
      </c>
      <c r="T15" cm="1">
        <f t="array" ref="T15">[1]!PropsSI("H","T",J15+273.15,"P",101325,"Water")</f>
        <v>237404.35184968088</v>
      </c>
      <c r="U15" cm="1">
        <f t="array" ref="U15">[1]!PropsSI("H","T",K15+273.15,"P",101325,"Water")</f>
        <v>221256.76602701901</v>
      </c>
      <c r="V15">
        <f t="shared" si="6"/>
        <v>574.3330631096627</v>
      </c>
    </row>
    <row r="17" spans="5:16" x14ac:dyDescent="0.2">
      <c r="E17" s="1" t="s">
        <v>22</v>
      </c>
    </row>
    <row r="18" spans="5:16" x14ac:dyDescent="0.2">
      <c r="E18">
        <f>AVERAGE(V10:V15)</f>
        <v>573.7754174181307</v>
      </c>
    </row>
    <row r="19" spans="5:16" x14ac:dyDescent="0.2">
      <c r="P19" s="1"/>
    </row>
    <row r="20" spans="5:16" x14ac:dyDescent="0.2">
      <c r="P20" s="1"/>
    </row>
    <row r="21" spans="5:16" x14ac:dyDescent="0.2">
      <c r="P21" s="1"/>
    </row>
    <row r="22" spans="5:16" x14ac:dyDescent="0.2">
      <c r="P22" s="1"/>
    </row>
    <row r="23" spans="5:16" x14ac:dyDescent="0.2">
      <c r="P23" s="1"/>
    </row>
    <row r="24" spans="5:16" x14ac:dyDescent="0.2">
      <c r="P24" s="1"/>
    </row>
    <row r="25" spans="5:16" x14ac:dyDescent="0.2">
      <c r="P25" s="1"/>
    </row>
    <row r="26" spans="5:16" x14ac:dyDescent="0.2">
      <c r="P26" s="1"/>
    </row>
    <row r="27" spans="5:16" x14ac:dyDescent="0.2">
      <c r="P27" s="1"/>
    </row>
    <row r="28" spans="5:16" x14ac:dyDescent="0.2">
      <c r="P28" s="1"/>
    </row>
    <row r="29" spans="5:16" x14ac:dyDescent="0.2">
      <c r="P29" s="1"/>
    </row>
    <row r="30" spans="5:16" x14ac:dyDescent="0.2">
      <c r="P30" s="1"/>
    </row>
    <row r="31" spans="5:16" x14ac:dyDescent="0.2">
      <c r="P31" s="1"/>
    </row>
    <row r="32" spans="5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F165-39B4-DF45-A1AC-7769E19879CD}">
  <dimension ref="A1:V36"/>
  <sheetViews>
    <sheetView workbookViewId="0">
      <selection activeCell="E18" sqref="E18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44606.663095349199</v>
      </c>
      <c r="B2">
        <v>19.408493</v>
      </c>
      <c r="C2">
        <v>19.482924000000001</v>
      </c>
      <c r="D2">
        <v>19.798739000000001</v>
      </c>
      <c r="E2">
        <v>19.681314</v>
      </c>
      <c r="F2">
        <v>36.387770000000003</v>
      </c>
      <c r="G2">
        <v>32.352001000000001</v>
      </c>
      <c r="H2">
        <v>26.485537000000001</v>
      </c>
      <c r="I2">
        <v>22.264597999999999</v>
      </c>
      <c r="J2">
        <v>56.689416000000001</v>
      </c>
      <c r="K2">
        <v>52.222431</v>
      </c>
      <c r="L2">
        <v>144.859129</v>
      </c>
      <c r="M2">
        <v>-622.487348</v>
      </c>
      <c r="N2">
        <v>2.1641840000000001</v>
      </c>
      <c r="O2">
        <v>4.5573880000000004</v>
      </c>
      <c r="P2">
        <f xml:space="preserve"> N2*0.001/60</f>
        <v>3.6069733333333331E-5</v>
      </c>
      <c r="Q2" cm="1">
        <f t="array" ref="Q2">[1]!PropsSI("D","T",J2+273.15,"P",101325,"Water")</f>
        <v>984.8662746555209</v>
      </c>
      <c r="R2" cm="1">
        <f t="array" ref="R2">[1]!PropsSI("D","T",K2+273.15,"P",101325,"Water")</f>
        <v>987.01378360221156</v>
      </c>
      <c r="S2">
        <f>(Q2+R2)/2</f>
        <v>985.94002912886617</v>
      </c>
      <c r="T2" cm="1">
        <f t="array" ref="T2">[1]!PropsSI("H","T",J2+273.15,"P",101325,"Water")</f>
        <v>237396.35700987</v>
      </c>
      <c r="U2" cm="1">
        <f t="array" ref="U2">[1]!PropsSI("H","T",K2+273.15,"P",101325,"Water")</f>
        <v>218711.96521144247</v>
      </c>
      <c r="V2">
        <f>S2*P2*(T2-U2)</f>
        <v>664.46543841885239</v>
      </c>
    </row>
    <row r="3" spans="1:22" x14ac:dyDescent="0.2">
      <c r="A3">
        <v>44606.663211668703</v>
      </c>
      <c r="B3">
        <v>19.427781</v>
      </c>
      <c r="C3">
        <v>19.477664999999998</v>
      </c>
      <c r="D3">
        <v>19.850701000000001</v>
      </c>
      <c r="E3">
        <v>19.690460000000002</v>
      </c>
      <c r="F3">
        <v>35.986904000000003</v>
      </c>
      <c r="G3">
        <v>32.970798000000002</v>
      </c>
      <c r="H3">
        <v>26.965152</v>
      </c>
      <c r="I3">
        <v>22.440996999999999</v>
      </c>
      <c r="J3">
        <v>56.687984</v>
      </c>
      <c r="K3">
        <v>52.220046000000004</v>
      </c>
      <c r="L3">
        <v>140.27405200000001</v>
      </c>
      <c r="M3">
        <v>-622.50775499999997</v>
      </c>
      <c r="N3">
        <v>2.1643270000000001</v>
      </c>
      <c r="O3">
        <v>5.1235860000000004</v>
      </c>
      <c r="P3">
        <f t="shared" ref="P3" si="0" xml:space="preserve"> N3*0.001/60</f>
        <v>3.6072116666666666E-5</v>
      </c>
      <c r="Q3" cm="1">
        <f t="array" ref="Q3">[1]!PropsSI("D","T",J3+273.15,"P",101325,"Water")</f>
        <v>984.86698290258653</v>
      </c>
      <c r="R3" cm="1">
        <f t="array" ref="R3">[1]!PropsSI("D","T",K3+273.15,"P",101325,"Water")</f>
        <v>987.01489664506607</v>
      </c>
      <c r="S3">
        <f>(Q3+R3)/2</f>
        <v>985.94093977382636</v>
      </c>
      <c r="T3" cm="1">
        <f t="array" ref="T3">[1]!PropsSI("H","T",J3+273.15,"P",101325,"Water")</f>
        <v>237390.36611037268</v>
      </c>
      <c r="U3" cm="1">
        <f t="array" ref="U3">[1]!PropsSI("H","T",K3+273.15,"P",101325,"Water")</f>
        <v>218701.99111584542</v>
      </c>
      <c r="V3">
        <f t="shared" ref="V3:V9" si="1">S3*P3*(T3-U3)</f>
        <v>664.65161948385264</v>
      </c>
    </row>
    <row r="4" spans="1:22" x14ac:dyDescent="0.2">
      <c r="A4">
        <v>44606.663327409398</v>
      </c>
      <c r="B4">
        <v>19.490487999999999</v>
      </c>
      <c r="C4">
        <v>19.475809000000002</v>
      </c>
      <c r="D4">
        <v>19.863275999999999</v>
      </c>
      <c r="E4">
        <v>19.705435999999999</v>
      </c>
      <c r="F4">
        <v>35.710144</v>
      </c>
      <c r="G4">
        <v>32.048915000000001</v>
      </c>
      <c r="H4">
        <v>26.588066999999999</v>
      </c>
      <c r="I4">
        <v>21.4907</v>
      </c>
      <c r="J4">
        <v>56.683686000000002</v>
      </c>
      <c r="K4">
        <v>52.213051</v>
      </c>
      <c r="L4">
        <v>139.20675900000001</v>
      </c>
      <c r="M4">
        <v>-622.50285699999995</v>
      </c>
      <c r="N4">
        <v>2.166569</v>
      </c>
      <c r="O4">
        <v>4.8385740000000004</v>
      </c>
      <c r="P4">
        <f xml:space="preserve"> N4*0.001/60</f>
        <v>3.6109483333333334E-5</v>
      </c>
      <c r="Q4" cm="1">
        <f t="array" ref="Q4">[1]!PropsSI("D","T",J4+273.15,"P",101325,"Water")</f>
        <v>984.8691085578273</v>
      </c>
      <c r="R4" cm="1">
        <f t="array" ref="R4">[1]!PropsSI("D","T",K4+273.15,"P",101325,"Water")</f>
        <v>987.01816089420061</v>
      </c>
      <c r="S4">
        <f t="shared" ref="S4:S9" si="2">(Q4+R4)/2</f>
        <v>985.9436347260139</v>
      </c>
      <c r="T4" cm="1">
        <f t="array" ref="T4">[1]!PropsSI("H","T",J4+273.15,"P",101325,"Water")</f>
        <v>237372.38504960953</v>
      </c>
      <c r="U4" cm="1">
        <f t="array" ref="U4">[1]!PropsSI("H","T",K4+273.15,"P",101325,"Water")</f>
        <v>218672.73796124128</v>
      </c>
      <c r="V4">
        <f t="shared" si="1"/>
        <v>665.74325076543028</v>
      </c>
    </row>
    <row r="5" spans="1:22" x14ac:dyDescent="0.2">
      <c r="A5">
        <v>44606.663443728903</v>
      </c>
      <c r="B5">
        <v>19.484959</v>
      </c>
      <c r="C5">
        <v>19.526298000000001</v>
      </c>
      <c r="D5">
        <v>19.869838999999999</v>
      </c>
      <c r="E5">
        <v>19.768241</v>
      </c>
      <c r="F5">
        <v>36.192715</v>
      </c>
      <c r="G5">
        <v>32.372297000000003</v>
      </c>
      <c r="H5">
        <v>26.537773999999999</v>
      </c>
      <c r="I5">
        <v>21.652815</v>
      </c>
      <c r="J5">
        <v>56.679706000000003</v>
      </c>
      <c r="K5">
        <v>52.210030000000003</v>
      </c>
      <c r="L5">
        <v>157.50298599999999</v>
      </c>
      <c r="M5">
        <v>-622.48122499999999</v>
      </c>
      <c r="N5">
        <v>2.1683309999999998</v>
      </c>
      <c r="O5">
        <v>4.905735</v>
      </c>
      <c r="P5">
        <f t="shared" ref="P5:P9" si="3" xml:space="preserve"> N5*0.001/60</f>
        <v>3.6138849999999997E-5</v>
      </c>
      <c r="Q5" cm="1">
        <f t="array" ref="Q5">[1]!PropsSI("D","T",J5+273.15,"P",101325,"Water")</f>
        <v>984.87107683978604</v>
      </c>
      <c r="R5" cm="1">
        <f t="array" ref="R5">[1]!PropsSI("D","T",K5+273.15,"P",101325,"Water")</f>
        <v>987.01957056108211</v>
      </c>
      <c r="S5">
        <f t="shared" si="2"/>
        <v>985.94532370043407</v>
      </c>
      <c r="T5" cm="1">
        <f t="array" ref="T5">[1]!PropsSI("H","T",J5+273.15,"P",101325,"Water")</f>
        <v>237355.7343761698</v>
      </c>
      <c r="U5" cm="1">
        <f t="array" ref="U5">[1]!PropsSI("H","T",K5+273.15,"P",101325,"Water")</f>
        <v>218660.10411608548</v>
      </c>
      <c r="V5">
        <f t="shared" si="1"/>
        <v>666.14269612063458</v>
      </c>
    </row>
    <row r="6" spans="1:22" x14ac:dyDescent="0.2">
      <c r="A6">
        <v>46068.663560046298</v>
      </c>
      <c r="B6">
        <v>19.433067999999999</v>
      </c>
      <c r="C6">
        <v>19.492507</v>
      </c>
      <c r="D6">
        <v>19.765412999999999</v>
      </c>
      <c r="E6">
        <v>19.715211</v>
      </c>
      <c r="F6">
        <v>35.742455999999997</v>
      </c>
      <c r="G6">
        <v>32.655324</v>
      </c>
      <c r="H6">
        <v>26.820931000000002</v>
      </c>
      <c r="I6">
        <v>21.746863000000001</v>
      </c>
      <c r="J6">
        <v>56.677477000000003</v>
      </c>
      <c r="K6">
        <v>52.205578000000003</v>
      </c>
      <c r="L6">
        <v>157.50216900000001</v>
      </c>
      <c r="M6">
        <v>-622.50571400000001</v>
      </c>
      <c r="N6">
        <v>2.1627830000000001</v>
      </c>
      <c r="O6">
        <v>4.4944850000000001</v>
      </c>
      <c r="P6">
        <f t="shared" si="3"/>
        <v>3.6046383333333338E-5</v>
      </c>
      <c r="Q6" cm="1">
        <f t="array" ref="Q6">[1]!PropsSI("D","T",J6+273.15,"P",101325,"Water")</f>
        <v>984.87217913438383</v>
      </c>
      <c r="R6" cm="1">
        <f t="array" ref="R6">[1]!PropsSI("D","T",K6+273.15,"P",101325,"Water")</f>
        <v>987.02164785845468</v>
      </c>
      <c r="S6">
        <f t="shared" si="2"/>
        <v>985.94691349641926</v>
      </c>
      <c r="T6" cm="1">
        <f t="array" ref="T6">[1]!PropsSI("H","T",J6+273.15,"P",101325,"Water")</f>
        <v>237346.40916500238</v>
      </c>
      <c r="U6" cm="1">
        <f t="array" ref="U6">[1]!PropsSI("H","T",K6+273.15,"P",101325,"Water")</f>
        <v>218641.48582337642</v>
      </c>
      <c r="V6">
        <f t="shared" si="1"/>
        <v>664.76961597401009</v>
      </c>
    </row>
    <row r="7" spans="1:22" x14ac:dyDescent="0.2">
      <c r="A7">
        <v>46068.663675787036</v>
      </c>
      <c r="B7">
        <v>19.510023</v>
      </c>
      <c r="C7">
        <v>19.546322</v>
      </c>
      <c r="D7">
        <v>19.780348</v>
      </c>
      <c r="E7">
        <v>19.706091000000001</v>
      </c>
      <c r="F7">
        <v>35.881622</v>
      </c>
      <c r="G7">
        <v>33.161543999999999</v>
      </c>
      <c r="H7">
        <v>26.832674000000001</v>
      </c>
      <c r="I7">
        <v>21.554679</v>
      </c>
      <c r="J7">
        <v>56.677477000000003</v>
      </c>
      <c r="K7">
        <v>52.202399</v>
      </c>
      <c r="L7">
        <v>149.903774</v>
      </c>
      <c r="M7">
        <v>-622.50653</v>
      </c>
      <c r="N7">
        <v>2.1604920000000001</v>
      </c>
      <c r="O7">
        <v>5.0651549999999999</v>
      </c>
      <c r="P7">
        <f t="shared" si="3"/>
        <v>3.6008199999999999E-5</v>
      </c>
      <c r="Q7" cm="1">
        <f t="array" ref="Q7">[1]!PropsSI("D","T",J7+273.15,"P",101325,"Water")</f>
        <v>984.87217913438383</v>
      </c>
      <c r="R7" cm="1">
        <f t="array" ref="R7">[1]!PropsSI("D","T",K7+273.15,"P",101325,"Water")</f>
        <v>987.0231310980929</v>
      </c>
      <c r="S7">
        <f t="shared" si="2"/>
        <v>985.94765511623837</v>
      </c>
      <c r="T7" cm="1">
        <f t="array" ref="T7">[1]!PropsSI("H","T",J7+273.15,"P",101325,"Water")</f>
        <v>237346.40916500238</v>
      </c>
      <c r="U7" cm="1">
        <f t="array" ref="U7">[1]!PropsSI("H","T",K7+273.15,"P",101325,"Water")</f>
        <v>218628.19122872234</v>
      </c>
      <c r="V7">
        <f t="shared" si="1"/>
        <v>664.5379234615549</v>
      </c>
    </row>
    <row r="8" spans="1:22" x14ac:dyDescent="0.2">
      <c r="A8">
        <v>46068.663792106483</v>
      </c>
      <c r="B8">
        <v>19.509927000000001</v>
      </c>
      <c r="C8">
        <v>19.547408000000001</v>
      </c>
      <c r="D8">
        <v>19.784663999999999</v>
      </c>
      <c r="E8">
        <v>19.725532000000001</v>
      </c>
      <c r="F8">
        <v>36.104728000000001</v>
      </c>
      <c r="G8">
        <v>32.254030999999998</v>
      </c>
      <c r="H8">
        <v>26.611512000000001</v>
      </c>
      <c r="I8">
        <v>21.555771</v>
      </c>
      <c r="J8">
        <v>56.678590999999997</v>
      </c>
      <c r="K8">
        <v>52.198742000000003</v>
      </c>
      <c r="L8">
        <v>152.631393</v>
      </c>
      <c r="M8">
        <v>-622.47224600000004</v>
      </c>
      <c r="N8">
        <v>2.1676630000000001</v>
      </c>
      <c r="O8">
        <v>4.8529220000000004</v>
      </c>
      <c r="P8">
        <f t="shared" si="3"/>
        <v>3.6127716666666673E-5</v>
      </c>
      <c r="Q8" cm="1">
        <f t="array" ref="Q8">[1]!PropsSI("D","T",J8+273.15,"P",101325,"Water")</f>
        <v>984.87162823812832</v>
      </c>
      <c r="R8" cm="1">
        <f t="array" ref="R8">[1]!PropsSI("D","T",K8+273.15,"P",101325,"Water")</f>
        <v>987.02483728026903</v>
      </c>
      <c r="S8">
        <f t="shared" si="2"/>
        <v>985.94823275919862</v>
      </c>
      <c r="T8" cm="1">
        <f t="array" ref="T8">[1]!PropsSI("H","T",J8+273.15,"P",101325,"Water")</f>
        <v>237351.06967858644</v>
      </c>
      <c r="U8" cm="1">
        <f t="array" ref="U8">[1]!PropsSI("H","T",K8+273.15,"P",101325,"Water")</f>
        <v>218612.8976395338</v>
      </c>
      <c r="V8">
        <f t="shared" si="1"/>
        <v>667.45478236138376</v>
      </c>
    </row>
    <row r="9" spans="1:22" x14ac:dyDescent="0.2">
      <c r="A9">
        <v>46068.66390842593</v>
      </c>
      <c r="B9">
        <v>19.403141000000002</v>
      </c>
      <c r="C9">
        <v>19.501159000000001</v>
      </c>
      <c r="D9">
        <v>19.746963999999998</v>
      </c>
      <c r="E9">
        <v>19.732344999999999</v>
      </c>
      <c r="F9">
        <v>36.265984000000003</v>
      </c>
      <c r="G9">
        <v>32.835334000000003</v>
      </c>
      <c r="H9">
        <v>26.630198</v>
      </c>
      <c r="I9">
        <v>21.925899000000001</v>
      </c>
      <c r="J9">
        <v>56.681457000000002</v>
      </c>
      <c r="K9">
        <v>52.195244000000002</v>
      </c>
      <c r="L9">
        <v>142.698421</v>
      </c>
      <c r="M9">
        <v>-622.48204199999998</v>
      </c>
      <c r="N9">
        <v>2.1645080000000001</v>
      </c>
      <c r="O9">
        <v>5.2818360000000002</v>
      </c>
      <c r="P9">
        <f t="shared" si="3"/>
        <v>3.6075133333333336E-5</v>
      </c>
      <c r="Q9" cm="1">
        <f t="array" ref="Q9">[1]!PropsSI("D","T",J9+273.15,"P",101325,"Water")</f>
        <v>984.87021090651899</v>
      </c>
      <c r="R9" cm="1">
        <f t="array" ref="R9">[1]!PropsSI("D","T",K9+273.15,"P",101325,"Water")</f>
        <v>987.02646920054997</v>
      </c>
      <c r="S9">
        <f t="shared" si="2"/>
        <v>985.94834005353448</v>
      </c>
      <c r="T9" cm="1">
        <f t="array" ref="T9">[1]!PropsSI("H","T",J9+273.15,"P",101325,"Water")</f>
        <v>237363.05983501623</v>
      </c>
      <c r="U9" cm="1">
        <f t="array" ref="U9">[1]!PropsSI("H","T",K9+273.15,"P",101325,"Water")</f>
        <v>218598.26899292902</v>
      </c>
      <c r="V9">
        <f t="shared" si="1"/>
        <v>667.43016815339206</v>
      </c>
    </row>
    <row r="10" spans="1:22" x14ac:dyDescent="0.2">
      <c r="A10">
        <v>44606.664024168698</v>
      </c>
      <c r="B10">
        <v>19.386025</v>
      </c>
      <c r="C10">
        <v>19.471219999999999</v>
      </c>
      <c r="D10">
        <v>19.736174999999999</v>
      </c>
      <c r="E10">
        <v>19.675238</v>
      </c>
      <c r="F10">
        <v>36.198310999999997</v>
      </c>
      <c r="G10">
        <v>32.204244000000003</v>
      </c>
      <c r="H10">
        <v>26.885248000000001</v>
      </c>
      <c r="I10">
        <v>21.870835</v>
      </c>
      <c r="J10">
        <v>56.680819999999997</v>
      </c>
      <c r="K10">
        <v>52.192542000000003</v>
      </c>
      <c r="L10">
        <v>139.05982800000001</v>
      </c>
      <c r="M10">
        <v>-622.5</v>
      </c>
      <c r="N10">
        <v>2.162938</v>
      </c>
      <c r="O10">
        <v>4.909014</v>
      </c>
      <c r="P10">
        <f t="shared" ref="P10:P15" si="4" xml:space="preserve"> N10*0.001/60</f>
        <v>3.6048966666666667E-5</v>
      </c>
      <c r="Q10" cm="1">
        <f t="array" ref="Q10">[1]!PropsSI("D","T",J10+273.15,"P",101325,"Water")</f>
        <v>984.87052592840405</v>
      </c>
      <c r="R10" cm="1">
        <f t="array" ref="R10">[1]!PropsSI("D","T",K10+273.15,"P",101325,"Water")</f>
        <v>987.02772970972774</v>
      </c>
      <c r="S10">
        <f t="shared" ref="S10:S15" si="5">(Q10+R10)/2</f>
        <v>985.94912781906589</v>
      </c>
      <c r="T10" cm="1">
        <f t="array" ref="T10">[1]!PropsSI("H","T",J10+273.15,"P",101325,"Water")</f>
        <v>237360.39489068915</v>
      </c>
      <c r="U10" cm="1">
        <f t="array" ref="U10">[1]!PropsSI("H","T",K10+273.15,"P",101325,"Water")</f>
        <v>218586.96922349298</v>
      </c>
      <c r="V10">
        <f t="shared" ref="V10:V15" si="6">S10*P10*(T10-U10)</f>
        <v>667.25349136131831</v>
      </c>
    </row>
    <row r="11" spans="1:22" x14ac:dyDescent="0.2">
      <c r="A11">
        <v>44606.664139909401</v>
      </c>
      <c r="B11">
        <v>19.392918999999999</v>
      </c>
      <c r="C11">
        <v>19.466152000000001</v>
      </c>
      <c r="D11">
        <v>19.783681999999999</v>
      </c>
      <c r="E11">
        <v>19.649756</v>
      </c>
      <c r="F11">
        <v>35.594993000000002</v>
      </c>
      <c r="G11">
        <v>32.442121999999998</v>
      </c>
      <c r="H11">
        <v>26.714676000000001</v>
      </c>
      <c r="I11">
        <v>21.937823999999999</v>
      </c>
      <c r="J11">
        <v>56.680661000000001</v>
      </c>
      <c r="K11">
        <v>52.191906000000003</v>
      </c>
      <c r="L11">
        <v>139.60020900000001</v>
      </c>
      <c r="M11">
        <v>-622.53142700000001</v>
      </c>
      <c r="N11">
        <v>2.1699009999999999</v>
      </c>
      <c r="O11">
        <v>5.45648</v>
      </c>
      <c r="P11">
        <f t="shared" si="4"/>
        <v>3.616501666666666E-5</v>
      </c>
      <c r="Q11" cm="1">
        <f t="array" ref="Q11">[1]!PropsSI("D","T",J11+273.15,"P",101325,"Water")</f>
        <v>984.87060455982885</v>
      </c>
      <c r="R11" cm="1">
        <f t="array" ref="R11">[1]!PropsSI("D","T",K11+273.15,"P",101325,"Water")</f>
        <v>987.02802640309915</v>
      </c>
      <c r="S11">
        <f t="shared" si="5"/>
        <v>985.94931548146405</v>
      </c>
      <c r="T11" cm="1">
        <f t="array" ref="T11">[1]!PropsSI("H","T",J11+273.15,"P",101325,"Water")</f>
        <v>237359.72970051604</v>
      </c>
      <c r="U11" cm="1">
        <f t="array" ref="U11">[1]!PropsSI("H","T",K11+273.15,"P",101325,"Water")</f>
        <v>218584.30947050345</v>
      </c>
      <c r="V11">
        <f t="shared" si="6"/>
        <v>669.47278267796105</v>
      </c>
    </row>
    <row r="12" spans="1:22" x14ac:dyDescent="0.2">
      <c r="A12">
        <v>44606.664256228803</v>
      </c>
      <c r="B12">
        <v>19.285202999999999</v>
      </c>
      <c r="C12">
        <v>19.504432000000001</v>
      </c>
      <c r="D12">
        <v>19.594583</v>
      </c>
      <c r="E12">
        <v>19.420304000000002</v>
      </c>
      <c r="F12">
        <v>35.901634000000001</v>
      </c>
      <c r="G12">
        <v>31.374171</v>
      </c>
      <c r="H12">
        <v>26.284739999999999</v>
      </c>
      <c r="I12">
        <v>21.385249000000002</v>
      </c>
      <c r="J12">
        <v>56.681297999999998</v>
      </c>
      <c r="K12">
        <v>52.182844000000003</v>
      </c>
      <c r="L12">
        <v>155.26105699999999</v>
      </c>
      <c r="M12">
        <v>-622.525713</v>
      </c>
      <c r="N12">
        <v>2.165295</v>
      </c>
      <c r="O12">
        <v>5.2953320000000001</v>
      </c>
      <c r="P12">
        <f t="shared" si="4"/>
        <v>3.6088249999999995E-5</v>
      </c>
      <c r="Q12" cm="1">
        <f t="array" ref="Q12">[1]!PropsSI("D","T",J12+273.15,"P",101325,"Water")</f>
        <v>984.87028953861079</v>
      </c>
      <c r="R12" cm="1">
        <f t="array" ref="R12">[1]!PropsSI("D","T",K12+273.15,"P",101325,"Water")</f>
        <v>987.03225353591188</v>
      </c>
      <c r="S12">
        <f t="shared" si="5"/>
        <v>985.95127153726139</v>
      </c>
      <c r="T12" cm="1">
        <f t="array" ref="T12">[1]!PropsSI("H","T",J12+273.15,"P",101325,"Water")</f>
        <v>237362.39464480738</v>
      </c>
      <c r="U12" cm="1">
        <f t="array" ref="U12">[1]!PropsSI("H","T",K12+273.15,"P",101325,"Water")</f>
        <v>218546.41218697414</v>
      </c>
      <c r="V12">
        <f t="shared" si="6"/>
        <v>669.49628825430125</v>
      </c>
    </row>
    <row r="13" spans="1:22" x14ac:dyDescent="0.2">
      <c r="A13">
        <v>44606.6643719696</v>
      </c>
      <c r="B13">
        <v>19.363776000000001</v>
      </c>
      <c r="C13">
        <v>19.549226999999998</v>
      </c>
      <c r="D13">
        <v>19.72654</v>
      </c>
      <c r="E13">
        <v>19.629193000000001</v>
      </c>
      <c r="F13">
        <v>35.612679999999997</v>
      </c>
      <c r="G13">
        <v>31.598039</v>
      </c>
      <c r="H13">
        <v>26.194355999999999</v>
      </c>
      <c r="I13">
        <v>21.692993999999999</v>
      </c>
      <c r="J13">
        <v>56.681457000000002</v>
      </c>
      <c r="K13">
        <v>52.172668999999999</v>
      </c>
      <c r="L13">
        <v>155.267179</v>
      </c>
      <c r="M13">
        <v>-622.51428499999997</v>
      </c>
      <c r="N13">
        <v>2.1666430000000001</v>
      </c>
      <c r="O13">
        <v>4.8649690000000003</v>
      </c>
      <c r="P13">
        <f t="shared" si="4"/>
        <v>3.611071666666667E-5</v>
      </c>
      <c r="Q13" cm="1">
        <f t="array" ref="Q13">[1]!PropsSI("D","T",J13+273.15,"P",101325,"Water")</f>
        <v>984.87021090651899</v>
      </c>
      <c r="R13" cm="1">
        <f t="array" ref="R13">[1]!PropsSI("D","T",K13+273.15,"P",101325,"Water")</f>
        <v>987.03699922132762</v>
      </c>
      <c r="S13">
        <f t="shared" si="5"/>
        <v>985.95360506392331</v>
      </c>
      <c r="T13" cm="1">
        <f t="array" ref="T13">[1]!PropsSI("H","T",J13+273.15,"P",101325,"Water")</f>
        <v>237363.05983501623</v>
      </c>
      <c r="U13" cm="1">
        <f t="array" ref="U13">[1]!PropsSI("H","T",K13+273.15,"P",101325,"Water")</f>
        <v>218503.86036859977</v>
      </c>
      <c r="V13">
        <f t="shared" si="6"/>
        <v>671.45334373038452</v>
      </c>
    </row>
    <row r="14" spans="1:22" x14ac:dyDescent="0.2">
      <c r="A14">
        <v>44606.664488289003</v>
      </c>
      <c r="B14">
        <v>19.426881999999999</v>
      </c>
      <c r="C14">
        <v>19.581388</v>
      </c>
      <c r="D14">
        <v>19.693997</v>
      </c>
      <c r="E14">
        <v>19.679919000000002</v>
      </c>
      <c r="F14">
        <v>36.084167000000001</v>
      </c>
      <c r="G14">
        <v>31.677002999999999</v>
      </c>
      <c r="H14">
        <v>26.699290999999999</v>
      </c>
      <c r="I14">
        <v>22.137578000000001</v>
      </c>
      <c r="J14">
        <v>56.681137999999997</v>
      </c>
      <c r="K14">
        <v>52.178074000000002</v>
      </c>
      <c r="L14">
        <v>143.18982500000001</v>
      </c>
      <c r="M14">
        <v>-622.50326500000006</v>
      </c>
      <c r="N14">
        <v>2.1625899999999998</v>
      </c>
      <c r="O14">
        <v>5.0224060000000001</v>
      </c>
      <c r="P14">
        <f t="shared" si="4"/>
        <v>3.6043166666666661E-5</v>
      </c>
      <c r="Q14" cm="1">
        <f t="array" ref="Q14">[1]!PropsSI("D","T",J14+273.15,"P",101325,"Water")</f>
        <v>984.87036866505559</v>
      </c>
      <c r="R14" cm="1">
        <f t="array" ref="R14">[1]!PropsSI("D","T",K14+273.15,"P",101325,"Water")</f>
        <v>987.03447837708097</v>
      </c>
      <c r="S14">
        <f t="shared" si="5"/>
        <v>985.95242352106834</v>
      </c>
      <c r="T14" cm="1">
        <f t="array" ref="T14">[1]!PropsSI("H","T",J14+273.15,"P",101325,"Water")</f>
        <v>237361.72527103382</v>
      </c>
      <c r="U14" cm="1">
        <f t="array" ref="U14">[1]!PropsSI("H","T",K14+273.15,"P",101325,"Water")</f>
        <v>218526.46405767932</v>
      </c>
      <c r="V14">
        <f t="shared" si="6"/>
        <v>669.34580585840104</v>
      </c>
    </row>
    <row r="15" spans="1:22" x14ac:dyDescent="0.2">
      <c r="A15">
        <v>46068.664604606478</v>
      </c>
      <c r="B15">
        <v>19.414549000000001</v>
      </c>
      <c r="C15">
        <v>19.554652999999998</v>
      </c>
      <c r="D15">
        <v>19.743008</v>
      </c>
      <c r="E15">
        <v>19.634730999999999</v>
      </c>
      <c r="F15">
        <v>35.716822000000001</v>
      </c>
      <c r="G15">
        <v>32.011603999999998</v>
      </c>
      <c r="H15">
        <v>26.513231999999999</v>
      </c>
      <c r="I15">
        <v>21.799803000000001</v>
      </c>
      <c r="J15">
        <v>56.680342000000003</v>
      </c>
      <c r="K15">
        <v>52.176802000000002</v>
      </c>
      <c r="L15">
        <v>140.65729899999999</v>
      </c>
      <c r="M15">
        <v>-622.48285799999996</v>
      </c>
      <c r="N15">
        <v>2.1691919999999998</v>
      </c>
      <c r="O15">
        <v>4.2101090000000001</v>
      </c>
      <c r="P15">
        <f t="shared" si="4"/>
        <v>3.6153199999999998E-5</v>
      </c>
      <c r="Q15" cm="1">
        <f t="array" ref="Q15">[1]!PropsSI("D","T",J15+273.15,"P",101325,"Water")</f>
        <v>984.87076231680828</v>
      </c>
      <c r="R15" cm="1">
        <f t="array" ref="R15">[1]!PropsSI("D","T",K15+273.15,"P",101325,"Water")</f>
        <v>987.03507164348264</v>
      </c>
      <c r="S15">
        <f t="shared" si="5"/>
        <v>985.95291698014546</v>
      </c>
      <c r="T15" cm="1">
        <f t="array" ref="T15">[1]!PropsSI("H","T",J15+273.15,"P",101325,"Water")</f>
        <v>237358.39513660537</v>
      </c>
      <c r="U15" cm="1">
        <f t="array" ref="U15">[1]!PropsSI("H","T",K15+273.15,"P",101325,"Water")</f>
        <v>218521.14455779109</v>
      </c>
      <c r="V15">
        <f t="shared" si="6"/>
        <v>671.46044639675279</v>
      </c>
    </row>
    <row r="17" spans="5:16" x14ac:dyDescent="0.2">
      <c r="E17" s="1" t="s">
        <v>22</v>
      </c>
    </row>
    <row r="18" spans="5:16" x14ac:dyDescent="0.2">
      <c r="E18">
        <f>AVERAGE(V8:V15)</f>
        <v>669.17088859923683</v>
      </c>
    </row>
    <row r="19" spans="5:16" x14ac:dyDescent="0.2">
      <c r="P19" s="1"/>
    </row>
    <row r="20" spans="5:16" x14ac:dyDescent="0.2">
      <c r="P20" s="1"/>
    </row>
    <row r="21" spans="5:16" x14ac:dyDescent="0.2">
      <c r="P21" s="1"/>
    </row>
    <row r="22" spans="5:16" x14ac:dyDescent="0.2">
      <c r="P22" s="1"/>
    </row>
    <row r="23" spans="5:16" x14ac:dyDescent="0.2">
      <c r="P23" s="1"/>
    </row>
    <row r="24" spans="5:16" x14ac:dyDescent="0.2">
      <c r="P24" s="1"/>
    </row>
    <row r="25" spans="5:16" x14ac:dyDescent="0.2">
      <c r="P25" s="1"/>
    </row>
    <row r="26" spans="5:16" x14ac:dyDescent="0.2">
      <c r="P26" s="1"/>
    </row>
    <row r="27" spans="5:16" x14ac:dyDescent="0.2">
      <c r="P27" s="1"/>
    </row>
    <row r="28" spans="5:16" x14ac:dyDescent="0.2">
      <c r="P28" s="1"/>
    </row>
    <row r="29" spans="5:16" x14ac:dyDescent="0.2">
      <c r="P29" s="1"/>
    </row>
    <row r="30" spans="5:16" x14ac:dyDescent="0.2">
      <c r="P30" s="1"/>
    </row>
    <row r="31" spans="5:16" x14ac:dyDescent="0.2">
      <c r="P31" s="1"/>
    </row>
    <row r="32" spans="5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91D8-63F6-2145-9F1F-00AF193FB41D}">
  <dimension ref="A1:V36"/>
  <sheetViews>
    <sheetView workbookViewId="0">
      <selection activeCell="E12" sqref="E1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44606.665281113099</v>
      </c>
      <c r="B2">
        <v>19.43909</v>
      </c>
      <c r="C2">
        <v>19.529876000000002</v>
      </c>
      <c r="D2">
        <v>19.731940000000002</v>
      </c>
      <c r="E2">
        <v>19.658014000000001</v>
      </c>
      <c r="F2">
        <v>33.528832999999999</v>
      </c>
      <c r="G2">
        <v>29.703818999999999</v>
      </c>
      <c r="H2">
        <v>25.083148999999999</v>
      </c>
      <c r="I2">
        <v>21.461756999999999</v>
      </c>
      <c r="J2">
        <v>56.686709999999998</v>
      </c>
      <c r="K2">
        <v>51.667462</v>
      </c>
      <c r="L2">
        <v>236.60024999999999</v>
      </c>
      <c r="M2">
        <v>-622.49020499999995</v>
      </c>
      <c r="N2">
        <v>2.1658230000000001</v>
      </c>
      <c r="O2">
        <v>4.9339849999999998</v>
      </c>
      <c r="P2">
        <f xml:space="preserve"> N2*0.001/60</f>
        <v>3.6097050000000007E-5</v>
      </c>
      <c r="Q2" cm="1">
        <f t="array" ref="Q2">[1]!PropsSI("D","T",J2+273.15,"P",101325,"Water")</f>
        <v>984.86761299455702</v>
      </c>
      <c r="R2" cm="1">
        <f t="array" ref="R2">[1]!PropsSI("D","T",K2+273.15,"P",101325,"Water")</f>
        <v>987.27179627352234</v>
      </c>
      <c r="S2">
        <f>(Q2+R2)/2</f>
        <v>986.06970463403968</v>
      </c>
      <c r="T2" cm="1">
        <f t="array" ref="T2">[1]!PropsSI("H","T",J2+273.15,"P",101325,"Water")</f>
        <v>237385.03621866711</v>
      </c>
      <c r="U2" cm="1">
        <f t="array" ref="U2">[1]!PropsSI("H","T",K2+273.15,"P",101325,"Water")</f>
        <v>216391.1273145001</v>
      </c>
      <c r="V2">
        <f>S2*P2*(T2-U2)</f>
        <v>747.26154833629789</v>
      </c>
    </row>
    <row r="3" spans="1:22" x14ac:dyDescent="0.2">
      <c r="A3">
        <v>44606.665397432596</v>
      </c>
      <c r="B3">
        <v>19.186947</v>
      </c>
      <c r="C3">
        <v>19.417387999999999</v>
      </c>
      <c r="D3">
        <v>19.710311000000001</v>
      </c>
      <c r="E3">
        <v>19.501118999999999</v>
      </c>
      <c r="F3">
        <v>33.345059999999997</v>
      </c>
      <c r="G3">
        <v>31.289079000000001</v>
      </c>
      <c r="H3">
        <v>25.078531999999999</v>
      </c>
      <c r="I3">
        <v>21.879546999999999</v>
      </c>
      <c r="J3">
        <v>56.680819999999997</v>
      </c>
      <c r="K3">
        <v>51.644095</v>
      </c>
      <c r="L3">
        <v>224.43024700000001</v>
      </c>
      <c r="M3">
        <v>-622.48449100000005</v>
      </c>
      <c r="N3">
        <v>2.1665489999999998</v>
      </c>
      <c r="O3">
        <v>4.5511229999999996</v>
      </c>
      <c r="P3">
        <f t="shared" ref="P3" si="0" xml:space="preserve"> N3*0.001/60</f>
        <v>3.610915E-5</v>
      </c>
      <c r="Q3" cm="1">
        <f t="array" ref="Q3">[1]!PropsSI("D","T",J3+273.15,"P",101325,"Water")</f>
        <v>984.87052592840405</v>
      </c>
      <c r="R3" cm="1">
        <f t="array" ref="R3">[1]!PropsSI("D","T",K3+273.15,"P",101325,"Water")</f>
        <v>987.28261650768764</v>
      </c>
      <c r="S3">
        <f>(Q3+R3)/2</f>
        <v>986.07657121804584</v>
      </c>
      <c r="T3" cm="1">
        <f t="array" ref="T3">[1]!PropsSI("H","T",J3+273.15,"P",101325,"Water")</f>
        <v>237360.39489068915</v>
      </c>
      <c r="U3" cm="1">
        <f t="array" ref="U3">[1]!PropsSI("H","T",K3+273.15,"P",101325,"Water")</f>
        <v>216293.41042146084</v>
      </c>
      <c r="V3">
        <f t="shared" ref="V3:V9" si="1">S3*P3*(T3-U3)</f>
        <v>750.11919817594264</v>
      </c>
    </row>
    <row r="4" spans="1:22" x14ac:dyDescent="0.2">
      <c r="A4">
        <v>44606.665513173299</v>
      </c>
      <c r="B4">
        <v>19.189696999999999</v>
      </c>
      <c r="C4">
        <v>19.530742</v>
      </c>
      <c r="D4">
        <v>19.511596000000001</v>
      </c>
      <c r="E4">
        <v>19.477625</v>
      </c>
      <c r="F4">
        <v>33.650854000000002</v>
      </c>
      <c r="G4">
        <v>30.854662000000001</v>
      </c>
      <c r="H4">
        <v>25.520291</v>
      </c>
      <c r="I4">
        <v>21.313403999999998</v>
      </c>
      <c r="J4">
        <v>56.675248000000003</v>
      </c>
      <c r="K4">
        <v>51.628518</v>
      </c>
      <c r="L4">
        <v>233.77957499999999</v>
      </c>
      <c r="M4">
        <v>-622.49510199999997</v>
      </c>
      <c r="N4">
        <v>2.1679870000000001</v>
      </c>
      <c r="O4">
        <v>4.9564519999999996</v>
      </c>
      <c r="P4">
        <f xml:space="preserve"> N4*0.001/60</f>
        <v>3.6133116666666671E-5</v>
      </c>
      <c r="Q4" cm="1">
        <f t="array" ref="Q4">[1]!PropsSI("D","T",J4+273.15,"P",101325,"Water")</f>
        <v>984.87328139865406</v>
      </c>
      <c r="R4" cm="1">
        <f t="array" ref="R4">[1]!PropsSI("D","T",K4+273.15,"P",101325,"Water")</f>
        <v>987.28982758141228</v>
      </c>
      <c r="S4">
        <f t="shared" ref="S4:S9" si="2">(Q4+R4)/2</f>
        <v>986.08155449003311</v>
      </c>
      <c r="T4" cm="1">
        <f t="array" ref="T4">[1]!PropsSI("H","T",J4+273.15,"P",101325,"Water")</f>
        <v>237337.08395575715</v>
      </c>
      <c r="U4" cm="1">
        <f t="array" ref="U4">[1]!PropsSI("H","T",K4+273.15,"P",101325,"Water")</f>
        <v>216228.27010179119</v>
      </c>
      <c r="V4">
        <f t="shared" si="1"/>
        <v>752.11125623935459</v>
      </c>
    </row>
    <row r="5" spans="1:22" x14ac:dyDescent="0.2">
      <c r="A5">
        <v>44606.665628914001</v>
      </c>
      <c r="B5">
        <v>19.472967000000001</v>
      </c>
      <c r="C5">
        <v>19.618981000000002</v>
      </c>
      <c r="D5">
        <v>19.744575000000001</v>
      </c>
      <c r="E5">
        <v>19.725383000000001</v>
      </c>
      <c r="F5">
        <v>33.944546000000003</v>
      </c>
      <c r="G5">
        <v>29.546498</v>
      </c>
      <c r="H5">
        <v>25.358015999999999</v>
      </c>
      <c r="I5">
        <v>22.546319</v>
      </c>
      <c r="J5">
        <v>56.665537999999998</v>
      </c>
      <c r="K5">
        <v>51.615960000000001</v>
      </c>
      <c r="L5">
        <v>224.58738199999999</v>
      </c>
      <c r="M5">
        <v>-622.48816399999998</v>
      </c>
      <c r="N5">
        <v>2.168663</v>
      </c>
      <c r="O5">
        <v>4.2788449999999996</v>
      </c>
      <c r="P5">
        <f t="shared" ref="P5:P9" si="3" xml:space="preserve"> N5*0.001/60</f>
        <v>3.6144383333333329E-5</v>
      </c>
      <c r="Q5" cm="1">
        <f t="array" ref="Q5">[1]!PropsSI("D","T",J5+273.15,"P",101325,"Water")</f>
        <v>984.87808274349948</v>
      </c>
      <c r="R5" cm="1">
        <f t="array" ref="R5">[1]!PropsSI("D","T",K5+273.15,"P",101325,"Water")</f>
        <v>987.29563992948488</v>
      </c>
      <c r="S5">
        <f t="shared" si="2"/>
        <v>986.08686133649212</v>
      </c>
      <c r="T5" cm="1">
        <f t="array" ref="T5">[1]!PropsSI("H","T",J5+273.15,"P",101325,"Water")</f>
        <v>237296.46137536227</v>
      </c>
      <c r="U5" cm="1">
        <f t="array" ref="U5">[1]!PropsSI("H","T",K5+273.15,"P",101325,"Water")</f>
        <v>216175.75477256667</v>
      </c>
      <c r="V5">
        <f t="shared" si="1"/>
        <v>752.77369640484721</v>
      </c>
    </row>
    <row r="6" spans="1:22" x14ac:dyDescent="0.2">
      <c r="A6">
        <v>46068.665744652775</v>
      </c>
      <c r="B6">
        <v>19.528955</v>
      </c>
      <c r="C6">
        <v>19.669180999999998</v>
      </c>
      <c r="D6">
        <v>19.723054999999999</v>
      </c>
      <c r="E6">
        <v>19.713507</v>
      </c>
      <c r="F6">
        <v>34.006213000000002</v>
      </c>
      <c r="G6">
        <v>28.772993</v>
      </c>
      <c r="H6">
        <v>25.192409999999999</v>
      </c>
      <c r="I6">
        <v>22.048414999999999</v>
      </c>
      <c r="J6">
        <v>56.655509000000002</v>
      </c>
      <c r="K6">
        <v>51.613734999999998</v>
      </c>
      <c r="L6">
        <v>236.49168399999999</v>
      </c>
      <c r="M6">
        <v>-622.48979599999996</v>
      </c>
      <c r="N6">
        <v>2.169896</v>
      </c>
      <c r="O6">
        <v>5.1059219999999996</v>
      </c>
      <c r="P6">
        <f t="shared" si="3"/>
        <v>3.6164933333333337E-5</v>
      </c>
      <c r="Q6" cm="1">
        <f t="array" ref="Q6">[1]!PropsSI("D","T",J6+273.15,"P",101325,"Water")</f>
        <v>984.8830412216231</v>
      </c>
      <c r="R6" cm="1">
        <f t="array" ref="R6">[1]!PropsSI("D","T",K6+273.15,"P",101325,"Water")</f>
        <v>987.29666964313947</v>
      </c>
      <c r="S6">
        <f t="shared" si="2"/>
        <v>986.08985543238123</v>
      </c>
      <c r="T6" cm="1">
        <f t="array" ref="T6">[1]!PropsSI("H","T",J6+273.15,"P",101325,"Water")</f>
        <v>237254.50427059838</v>
      </c>
      <c r="U6" cm="1">
        <f t="array" ref="U6">[1]!PropsSI("H","T",K6+273.15,"P",101325,"Water")</f>
        <v>216166.45022219687</v>
      </c>
      <c r="V6">
        <f t="shared" si="1"/>
        <v>752.03952389908409</v>
      </c>
    </row>
    <row r="7" spans="1:22" x14ac:dyDescent="0.2">
      <c r="A7">
        <v>46068.665860972222</v>
      </c>
      <c r="B7">
        <v>19.488899</v>
      </c>
      <c r="C7">
        <v>19.688243</v>
      </c>
      <c r="D7">
        <v>19.731660000000002</v>
      </c>
      <c r="E7">
        <v>19.787296000000001</v>
      </c>
      <c r="F7">
        <v>33.870128000000001</v>
      </c>
      <c r="G7">
        <v>31.186809</v>
      </c>
      <c r="H7">
        <v>25.760397999999999</v>
      </c>
      <c r="I7">
        <v>22.260109</v>
      </c>
      <c r="J7">
        <v>56.649777999999998</v>
      </c>
      <c r="K7">
        <v>51.612622000000002</v>
      </c>
      <c r="L7">
        <v>213.95648600000001</v>
      </c>
      <c r="M7">
        <v>-622.49673499999994</v>
      </c>
      <c r="N7">
        <v>2.174334</v>
      </c>
      <c r="O7">
        <v>5.3430119999999999</v>
      </c>
      <c r="P7">
        <f t="shared" si="3"/>
        <v>3.6238900000000003E-5</v>
      </c>
      <c r="Q7" cm="1">
        <f t="array" ref="Q7">[1]!PropsSI("D","T",J7+273.15,"P",101325,"Water")</f>
        <v>984.8858744327224</v>
      </c>
      <c r="R7" cm="1">
        <f t="array" ref="R7">[1]!PropsSI("D","T",K7+273.15,"P",101325,"Water")</f>
        <v>987.29718471941555</v>
      </c>
      <c r="S7">
        <f t="shared" si="2"/>
        <v>986.09152957606898</v>
      </c>
      <c r="T7" cm="1">
        <f t="array" ref="T7">[1]!PropsSI("H","T",J7+273.15,"P",101325,"Water")</f>
        <v>237230.52820202566</v>
      </c>
      <c r="U7" cm="1">
        <f t="array" ref="U7">[1]!PropsSI("H","T",K7+273.15,"P",101325,"Water")</f>
        <v>216161.7958566889</v>
      </c>
      <c r="V7">
        <f t="shared" si="1"/>
        <v>752.88846053986822</v>
      </c>
    </row>
    <row r="8" spans="1:22" x14ac:dyDescent="0.2">
      <c r="A8">
        <v>46068.66597671296</v>
      </c>
      <c r="B8">
        <v>19.602938999999999</v>
      </c>
      <c r="C8">
        <v>19.780816000000002</v>
      </c>
      <c r="D8">
        <v>19.812358</v>
      </c>
      <c r="E8">
        <v>19.752714000000001</v>
      </c>
      <c r="F8">
        <v>33.450068000000002</v>
      </c>
      <c r="G8">
        <v>31.005396000000001</v>
      </c>
      <c r="H8">
        <v>25.462021</v>
      </c>
      <c r="I8">
        <v>22.628087000000001</v>
      </c>
      <c r="J8">
        <v>56.647390000000001</v>
      </c>
      <c r="K8">
        <v>51.613894000000002</v>
      </c>
      <c r="L8">
        <v>220.753288</v>
      </c>
      <c r="M8">
        <v>-622.49591899999996</v>
      </c>
      <c r="N8">
        <v>2.1691669999999998</v>
      </c>
      <c r="O8">
        <v>4.7527710000000001</v>
      </c>
      <c r="P8">
        <f t="shared" si="3"/>
        <v>3.6152783333333334E-5</v>
      </c>
      <c r="Q8" cm="1">
        <f t="array" ref="Q8">[1]!PropsSI("D","T",J8+273.15,"P",101325,"Water")</f>
        <v>984.8870549193806</v>
      </c>
      <c r="R8" cm="1">
        <f t="array" ref="R8">[1]!PropsSI("D","T",K8+273.15,"P",101325,"Water")</f>
        <v>987.29659606015559</v>
      </c>
      <c r="S8">
        <f t="shared" si="2"/>
        <v>986.0918254897681</v>
      </c>
      <c r="T8" cm="1">
        <f t="array" ref="T8">[1]!PropsSI("H","T",J8+273.15,"P",101325,"Water")</f>
        <v>237220.53782855737</v>
      </c>
      <c r="U8" cm="1">
        <f t="array" ref="U8">[1]!PropsSI("H","T",K8+273.15,"P",101325,"Water")</f>
        <v>216167.11513163513</v>
      </c>
      <c r="V8">
        <f t="shared" si="1"/>
        <v>750.55376361589219</v>
      </c>
    </row>
    <row r="9" spans="1:22" x14ac:dyDescent="0.2">
      <c r="A9">
        <v>46068.666093032407</v>
      </c>
      <c r="B9">
        <v>19.529216000000002</v>
      </c>
      <c r="C9">
        <v>19.719849</v>
      </c>
      <c r="D9">
        <v>19.817822</v>
      </c>
      <c r="E9">
        <v>19.633811999999999</v>
      </c>
      <c r="F9">
        <v>33.825754000000003</v>
      </c>
      <c r="G9">
        <v>30.379356000000001</v>
      </c>
      <c r="H9">
        <v>25.323747000000001</v>
      </c>
      <c r="I9">
        <v>22.029176</v>
      </c>
      <c r="J9">
        <v>56.644365000000001</v>
      </c>
      <c r="K9">
        <v>51.606264000000003</v>
      </c>
      <c r="L9">
        <v>233.052672</v>
      </c>
      <c r="M9">
        <v>-622.51224400000001</v>
      </c>
      <c r="N9">
        <v>2.1659950000000001</v>
      </c>
      <c r="O9">
        <v>4.7118010000000004</v>
      </c>
      <c r="P9">
        <f t="shared" si="3"/>
        <v>3.6099916666666666E-5</v>
      </c>
      <c r="Q9" cm="1">
        <f t="array" ref="Q9">[1]!PropsSI("D","T",J9+273.15,"P",101325,"Water")</f>
        <v>984.88855025137502</v>
      </c>
      <c r="R9" cm="1">
        <f t="array" ref="R9">[1]!PropsSI("D","T",K9+273.15,"P",101325,"Water")</f>
        <v>987.30012693387403</v>
      </c>
      <c r="S9">
        <f t="shared" si="2"/>
        <v>986.09433859262458</v>
      </c>
      <c r="T9" cm="1">
        <f t="array" ref="T9">[1]!PropsSI("H","T",J9+273.15,"P",101325,"Water")</f>
        <v>237207.88252190078</v>
      </c>
      <c r="U9" cm="1">
        <f t="array" ref="U9">[1]!PropsSI("H","T",K9+273.15,"P",101325,"Water")</f>
        <v>216135.20785327841</v>
      </c>
      <c r="V9">
        <f t="shared" si="1"/>
        <v>750.14345971225271</v>
      </c>
    </row>
    <row r="11" spans="1:22" x14ac:dyDescent="0.2">
      <c r="E11" s="1" t="s">
        <v>22</v>
      </c>
    </row>
    <row r="12" spans="1:22" x14ac:dyDescent="0.2">
      <c r="E12">
        <f>AVERAGE(V3:V9)</f>
        <v>751.5184797981774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12D7-1372-DE4E-958A-A75A15A9A920}">
  <dimension ref="A1:V36"/>
  <sheetViews>
    <sheetView workbookViewId="0">
      <selection activeCell="E21" sqref="E21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44606.666888751999</v>
      </c>
      <c r="B2">
        <v>19.438946999999999</v>
      </c>
      <c r="C2">
        <v>19.604536</v>
      </c>
      <c r="D2">
        <v>19.818874000000001</v>
      </c>
      <c r="E2">
        <v>19.621855</v>
      </c>
      <c r="F2">
        <v>32.188305999999997</v>
      </c>
      <c r="G2">
        <v>30.553827999999999</v>
      </c>
      <c r="H2">
        <v>24.547431</v>
      </c>
      <c r="I2">
        <v>21.62914</v>
      </c>
      <c r="J2">
        <v>56.614119000000002</v>
      </c>
      <c r="K2">
        <v>51.206043000000001</v>
      </c>
      <c r="L2">
        <v>319.96709600000003</v>
      </c>
      <c r="M2">
        <v>-622.51387699999998</v>
      </c>
      <c r="N2">
        <v>2.1632739999999999</v>
      </c>
      <c r="O2">
        <v>4.1733200000000004</v>
      </c>
      <c r="P2">
        <f xml:space="preserve"> N2*0.001/60</f>
        <v>3.6054566666666665E-5</v>
      </c>
      <c r="Q2" cm="1">
        <f t="array" ref="Q2">[1]!PropsSI("D","T",J2+273.15,"P",101325,"Water")</f>
        <v>984.90349852263932</v>
      </c>
      <c r="R2" cm="1">
        <f t="array" ref="R2">[1]!PropsSI("D","T",K2+273.15,"P",101325,"Water")</f>
        <v>987.48480756180606</v>
      </c>
      <c r="S2">
        <f>(Q2+R2)/2</f>
        <v>986.19415304222275</v>
      </c>
      <c r="T2" cm="1">
        <f t="array" ref="T2">[1]!PropsSI("H","T",J2+273.15,"P",101325,"Water")</f>
        <v>237081.34638453263</v>
      </c>
      <c r="U2" cm="1">
        <f t="array" ref="U2">[1]!PropsSI("H","T",K2+273.15,"P",101325,"Water")</f>
        <v>214461.58114635828</v>
      </c>
      <c r="V2">
        <f>S2*P2*(T2-U2)</f>
        <v>804.28653279610637</v>
      </c>
    </row>
    <row r="3" spans="1:22" x14ac:dyDescent="0.2">
      <c r="A3">
        <v>44606.667004492701</v>
      </c>
      <c r="B3">
        <v>19.347384999999999</v>
      </c>
      <c r="C3">
        <v>19.678626999999999</v>
      </c>
      <c r="D3">
        <v>19.842095</v>
      </c>
      <c r="E3">
        <v>19.680561999999998</v>
      </c>
      <c r="F3">
        <v>31.831444000000001</v>
      </c>
      <c r="G3">
        <v>29.505040000000001</v>
      </c>
      <c r="H3">
        <v>24.987888999999999</v>
      </c>
      <c r="I3">
        <v>22.216729999999998</v>
      </c>
      <c r="J3">
        <v>56.607593000000001</v>
      </c>
      <c r="K3">
        <v>51.198096999999997</v>
      </c>
      <c r="L3">
        <v>327.56875600000001</v>
      </c>
      <c r="M3">
        <v>-622.49428599999999</v>
      </c>
      <c r="N3">
        <v>2.161775</v>
      </c>
      <c r="O3">
        <v>4.6371929999999999</v>
      </c>
      <c r="P3">
        <f t="shared" ref="P3" si="0" xml:space="preserve"> N3*0.001/60</f>
        <v>3.6029583333333335E-5</v>
      </c>
      <c r="Q3" cm="1">
        <f t="array" ref="Q3">[1]!PropsSI("D","T",J3+273.15,"P",101325,"Water")</f>
        <v>984.90672308991714</v>
      </c>
      <c r="R3" cm="1">
        <f t="array" ref="R3">[1]!PropsSI("D","T",K3+273.15,"P",101325,"Water")</f>
        <v>987.48846374058917</v>
      </c>
      <c r="S3">
        <f>(Q3+R3)/2</f>
        <v>986.1975934152531</v>
      </c>
      <c r="T3" cm="1">
        <f t="array" ref="T3">[1]!PropsSI("H","T",J3+273.15,"P",101325,"Water")</f>
        <v>237054.04447914218</v>
      </c>
      <c r="U3" cm="1">
        <f t="array" ref="U3">[1]!PropsSI("H","T",K3+273.15,"P",101325,"Water")</f>
        <v>214428.35340444167</v>
      </c>
      <c r="V3">
        <f t="shared" ref="V3:V9" si="1">S3*P3*(T3-U3)</f>
        <v>803.94257995190503</v>
      </c>
    </row>
    <row r="4" spans="1:22" x14ac:dyDescent="0.2">
      <c r="A4">
        <v>44606.667120812199</v>
      </c>
      <c r="B4">
        <v>19.438447</v>
      </c>
      <c r="C4">
        <v>19.765466</v>
      </c>
      <c r="D4">
        <v>19.917983</v>
      </c>
      <c r="E4">
        <v>19.551245999999999</v>
      </c>
      <c r="F4">
        <v>32.376525000000001</v>
      </c>
      <c r="G4">
        <v>29.980036999999999</v>
      </c>
      <c r="H4">
        <v>24.554310999999998</v>
      </c>
      <c r="I4">
        <v>22.335840000000001</v>
      </c>
      <c r="J4">
        <v>56.598996</v>
      </c>
      <c r="K4">
        <v>51.190308999999999</v>
      </c>
      <c r="L4">
        <v>299.43016499999999</v>
      </c>
      <c r="M4">
        <v>-622.50081599999999</v>
      </c>
      <c r="N4">
        <v>2.1697000000000002</v>
      </c>
      <c r="O4">
        <v>5.1512380000000002</v>
      </c>
      <c r="P4">
        <f xml:space="preserve"> N4*0.001/60</f>
        <v>3.616166666666667E-5</v>
      </c>
      <c r="Q4" cm="1">
        <f t="array" ref="Q4">[1]!PropsSI("D","T",J4+273.15,"P",101325,"Water")</f>
        <v>984.91097056382364</v>
      </c>
      <c r="R4" cm="1">
        <f t="array" ref="R4">[1]!PropsSI("D","T",K4+273.15,"P",101325,"Water")</f>
        <v>987.49204682268351</v>
      </c>
      <c r="S4">
        <f t="shared" ref="S4:S9" si="2">(Q4+R4)/2</f>
        <v>986.20150869325357</v>
      </c>
      <c r="T4" cm="1">
        <f t="array" ref="T4">[1]!PropsSI("H","T",J4+273.15,"P",101325,"Water")</f>
        <v>237018.07844834786</v>
      </c>
      <c r="U4" cm="1">
        <f t="array" ref="U4">[1]!PropsSI("H","T",K4+273.15,"P",101325,"Water")</f>
        <v>214395.78638874993</v>
      </c>
      <c r="V4">
        <f t="shared" si="1"/>
        <v>806.77179386764578</v>
      </c>
    </row>
    <row r="5" spans="1:22" x14ac:dyDescent="0.2">
      <c r="A5">
        <v>44606.667236552901</v>
      </c>
      <c r="B5">
        <v>19.505434999999999</v>
      </c>
      <c r="C5">
        <v>19.727495999999999</v>
      </c>
      <c r="D5">
        <v>19.825233999999998</v>
      </c>
      <c r="E5">
        <v>19.760632000000001</v>
      </c>
      <c r="F5">
        <v>31.976966999999998</v>
      </c>
      <c r="G5">
        <v>30.478254</v>
      </c>
      <c r="H5">
        <v>24.627479999999998</v>
      </c>
      <c r="I5">
        <v>21.899035999999999</v>
      </c>
      <c r="J5">
        <v>56.590558999999999</v>
      </c>
      <c r="K5">
        <v>51.180773000000002</v>
      </c>
      <c r="L5">
        <v>333.41662700000001</v>
      </c>
      <c r="M5">
        <v>-622.46000200000003</v>
      </c>
      <c r="N5">
        <v>2.1614629999999999</v>
      </c>
      <c r="O5">
        <v>4.9065989999999999</v>
      </c>
      <c r="P5">
        <f t="shared" ref="P5:P9" si="3" xml:space="preserve"> N5*0.001/60</f>
        <v>3.602438333333333E-5</v>
      </c>
      <c r="Q5" cm="1">
        <f t="array" ref="Q5">[1]!PropsSI("D","T",J5+273.15,"P",101325,"Water")</f>
        <v>984.91513854860102</v>
      </c>
      <c r="R5" cm="1">
        <f t="array" ref="R5">[1]!PropsSI("D","T",K5+273.15,"P",101325,"Water")</f>
        <v>987.49643358543995</v>
      </c>
      <c r="S5">
        <f t="shared" si="2"/>
        <v>986.20578606702043</v>
      </c>
      <c r="T5" cm="1">
        <f t="array" ref="T5">[1]!PropsSI("H","T",J5+273.15,"P",101325,"Water")</f>
        <v>236982.78181425756</v>
      </c>
      <c r="U5" cm="1">
        <f t="array" ref="U5">[1]!PropsSI("H","T",K5+273.15,"P",101325,"Water")</f>
        <v>214355.90980065727</v>
      </c>
      <c r="V5">
        <f t="shared" si="1"/>
        <v>803.8751836534941</v>
      </c>
    </row>
    <row r="6" spans="1:22" x14ac:dyDescent="0.2">
      <c r="A6">
        <v>46068.667352870369</v>
      </c>
      <c r="B6">
        <v>19.542218999999999</v>
      </c>
      <c r="C6">
        <v>19.789722999999999</v>
      </c>
      <c r="D6">
        <v>19.905313</v>
      </c>
      <c r="E6">
        <v>19.790485</v>
      </c>
      <c r="F6">
        <v>31.860323000000001</v>
      </c>
      <c r="G6">
        <v>28.436252</v>
      </c>
      <c r="H6">
        <v>24.902450000000002</v>
      </c>
      <c r="I6">
        <v>21.283655</v>
      </c>
      <c r="J6">
        <v>56.585625</v>
      </c>
      <c r="K6">
        <v>51.184427999999997</v>
      </c>
      <c r="L6">
        <v>296.84131500000001</v>
      </c>
      <c r="M6">
        <v>-622.46653200000003</v>
      </c>
      <c r="N6">
        <v>2.16107</v>
      </c>
      <c r="O6">
        <v>4.7491490000000001</v>
      </c>
      <c r="P6">
        <f t="shared" si="3"/>
        <v>3.6017833333333339E-5</v>
      </c>
      <c r="Q6" cm="1">
        <f t="array" ref="Q6">[1]!PropsSI("D","T",J6+273.15,"P",101325,"Water")</f>
        <v>984.91757580557578</v>
      </c>
      <c r="R6" cm="1">
        <f t="array" ref="R6">[1]!PropsSI("D","T",K6+273.15,"P",101325,"Water")</f>
        <v>987.49475227728146</v>
      </c>
      <c r="S6">
        <f t="shared" si="2"/>
        <v>986.20616404142856</v>
      </c>
      <c r="T6" cm="1">
        <f t="array" ref="T6">[1]!PropsSI("H","T",J6+273.15,"P",101325,"Water")</f>
        <v>236962.14017794901</v>
      </c>
      <c r="U6" cm="1">
        <f t="array" ref="U6">[1]!PropsSI("H","T",K6+273.15,"P",101325,"Water")</f>
        <v>214371.19387136167</v>
      </c>
      <c r="V6">
        <f t="shared" si="1"/>
        <v>802.45321269430758</v>
      </c>
    </row>
    <row r="7" spans="1:22" x14ac:dyDescent="0.2">
      <c r="A7">
        <v>46068.667468611115</v>
      </c>
      <c r="B7">
        <v>19.627934</v>
      </c>
      <c r="C7">
        <v>19.726067</v>
      </c>
      <c r="D7">
        <v>19.914822000000001</v>
      </c>
      <c r="E7">
        <v>19.764044999999999</v>
      </c>
      <c r="F7">
        <v>32.082652000000003</v>
      </c>
      <c r="G7">
        <v>30.318445000000001</v>
      </c>
      <c r="H7">
        <v>24.569838000000001</v>
      </c>
      <c r="I7">
        <v>22.249365999999998</v>
      </c>
      <c r="J7">
        <v>56.579894000000003</v>
      </c>
      <c r="K7">
        <v>51.186335999999997</v>
      </c>
      <c r="L7">
        <v>339.331841</v>
      </c>
      <c r="M7">
        <v>-622.49347</v>
      </c>
      <c r="N7">
        <v>2.1634790000000002</v>
      </c>
      <c r="O7">
        <v>5.598452</v>
      </c>
      <c r="P7">
        <f t="shared" si="3"/>
        <v>3.6057983333333336E-5</v>
      </c>
      <c r="Q7" cm="1">
        <f t="array" ref="Q7">[1]!PropsSI("D","T",J7+273.15,"P",101325,"Water")</f>
        <v>984.92040657146583</v>
      </c>
      <c r="R7" cm="1">
        <f t="array" ref="R7">[1]!PropsSI("D","T",K7+273.15,"P",101325,"Water")</f>
        <v>987.49387455867736</v>
      </c>
      <c r="S7">
        <f t="shared" si="2"/>
        <v>986.20714056507154</v>
      </c>
      <c r="T7" cm="1">
        <f t="array" ref="T7">[1]!PropsSI("H","T",J7+273.15,"P",101325,"Water")</f>
        <v>236938.16426407572</v>
      </c>
      <c r="U7" cm="1">
        <f t="array" ref="U7">[1]!PropsSI("H","T",K7+273.15,"P",101325,"Water")</f>
        <v>214379.17253424946</v>
      </c>
      <c r="V7">
        <f t="shared" si="1"/>
        <v>802.21219805341616</v>
      </c>
    </row>
    <row r="8" spans="1:22" x14ac:dyDescent="0.2">
      <c r="A8">
        <v>46068.667584351853</v>
      </c>
      <c r="B8">
        <v>19.722224000000001</v>
      </c>
      <c r="C8">
        <v>19.739174999999999</v>
      </c>
      <c r="D8">
        <v>20.039361</v>
      </c>
      <c r="E8">
        <v>19.838835</v>
      </c>
      <c r="F8">
        <v>31.877654</v>
      </c>
      <c r="G8">
        <v>30.148256</v>
      </c>
      <c r="H8">
        <v>24.797084000000002</v>
      </c>
      <c r="I8">
        <v>22.371941</v>
      </c>
      <c r="J8">
        <v>56.570023999999997</v>
      </c>
      <c r="K8">
        <v>51.179501999999999</v>
      </c>
      <c r="L8">
        <v>318.129637</v>
      </c>
      <c r="M8">
        <v>-622.50204099999996</v>
      </c>
      <c r="N8">
        <v>2.1700110000000001</v>
      </c>
      <c r="O8">
        <v>5.0003830000000002</v>
      </c>
      <c r="P8">
        <f t="shared" si="3"/>
        <v>3.6166850000000004E-5</v>
      </c>
      <c r="Q8" cm="1">
        <f t="array" ref="Q8">[1]!PropsSI("D","T",J8+273.15,"P",101325,"Water")</f>
        <v>984.92528128170591</v>
      </c>
      <c r="R8" cm="1">
        <f t="array" ref="R8">[1]!PropsSI("D","T",K8+273.15,"P",101325,"Water")</f>
        <v>987.49701822804036</v>
      </c>
      <c r="S8">
        <f t="shared" si="2"/>
        <v>986.21114975487308</v>
      </c>
      <c r="T8" cm="1">
        <f t="array" ref="T8">[1]!PropsSI("H","T",J8+273.15,"P",101325,"Water")</f>
        <v>236896.87267438351</v>
      </c>
      <c r="U8" cm="1">
        <f t="array" ref="U8">[1]!PropsSI("H","T",K8+273.15,"P",101325,"Water")</f>
        <v>214350.59487576128</v>
      </c>
      <c r="V8">
        <f t="shared" si="1"/>
        <v>804.18403473033845</v>
      </c>
    </row>
    <row r="9" spans="1:22" x14ac:dyDescent="0.2">
      <c r="A9">
        <v>46068.667700092592</v>
      </c>
      <c r="B9">
        <v>19.678688999999999</v>
      </c>
      <c r="C9">
        <v>19.797281000000002</v>
      </c>
      <c r="D9">
        <v>19.976018</v>
      </c>
      <c r="E9">
        <v>19.746251999999998</v>
      </c>
      <c r="F9">
        <v>31.868613</v>
      </c>
      <c r="G9">
        <v>30.475618000000001</v>
      </c>
      <c r="H9">
        <v>24.573429000000001</v>
      </c>
      <c r="I9">
        <v>22.352954</v>
      </c>
      <c r="J9">
        <v>56.558404000000003</v>
      </c>
      <c r="K9">
        <v>51.177275999999999</v>
      </c>
      <c r="L9">
        <v>298.72489400000001</v>
      </c>
      <c r="M9">
        <v>-622.49061300000005</v>
      </c>
      <c r="N9">
        <v>2.1644749999999999</v>
      </c>
      <c r="O9">
        <v>4.8435940000000004</v>
      </c>
      <c r="P9">
        <f xml:space="preserve"> N9*0.001/60</f>
        <v>3.6074583333333332E-5</v>
      </c>
      <c r="Q9" cm="1">
        <f t="array" ref="Q9">[1]!PropsSI("D","T",J9+273.15,"P",101325,"Water")</f>
        <v>984.93101953961104</v>
      </c>
      <c r="R9" cm="1">
        <f t="array" ref="R9">[1]!PropsSI("D","T",K9+273.15,"P",101325,"Water")</f>
        <v>987.49804213233324</v>
      </c>
      <c r="S9">
        <f>(Q9+R9)/2</f>
        <v>986.21453083597214</v>
      </c>
      <c r="T9" cm="1">
        <f t="array" ref="T9">[1]!PropsSI("H","T",J9+273.15,"P",101325,"Water")</f>
        <v>236848.25992905241</v>
      </c>
      <c r="U9" cm="1">
        <f t="array" ref="U9">[1]!PropsSI("H","T",K9+273.15,"P",101325,"Water")</f>
        <v>214341.28644047296</v>
      </c>
      <c r="V9">
        <f>S9*P9*(T9-U9)</f>
        <v>800.73685898045028</v>
      </c>
    </row>
    <row r="10" spans="1:22" x14ac:dyDescent="0.2">
      <c r="A10">
        <v>44606.667816414003</v>
      </c>
      <c r="B10">
        <v>19.646570000000001</v>
      </c>
      <c r="C10">
        <v>19.801327000000001</v>
      </c>
      <c r="D10">
        <v>19.966363999999999</v>
      </c>
      <c r="E10">
        <v>19.828855000000001</v>
      </c>
      <c r="F10">
        <v>31.836942000000001</v>
      </c>
      <c r="G10">
        <v>30.881993999999999</v>
      </c>
      <c r="H10">
        <v>24.862552000000001</v>
      </c>
      <c r="I10">
        <v>21.833577999999999</v>
      </c>
      <c r="J10">
        <v>56.554105999999997</v>
      </c>
      <c r="K10">
        <v>51.169488999999999</v>
      </c>
      <c r="L10">
        <v>296.90947499999999</v>
      </c>
      <c r="M10">
        <v>-622.48857199999998</v>
      </c>
      <c r="N10">
        <v>2.16493</v>
      </c>
      <c r="O10">
        <v>4.9676859999999996</v>
      </c>
      <c r="P10">
        <f t="shared" ref="P10:P18" si="4" xml:space="preserve"> N10*0.001/60</f>
        <v>3.6082166666666672E-5</v>
      </c>
      <c r="Q10" cm="1">
        <f t="array" ref="Q10">[1]!PropsSI("D","T",J10+273.15,"P",101325,"Water")</f>
        <v>984.93314179471304</v>
      </c>
      <c r="R10" cm="1">
        <f t="array" ref="R10">[1]!PropsSI("D","T",K10+273.15,"P",101325,"Water")</f>
        <v>987.50162370519934</v>
      </c>
      <c r="S10">
        <f t="shared" ref="S10:S18" si="5">(Q10+R10)/2</f>
        <v>986.21738274995619</v>
      </c>
      <c r="T10" cm="1">
        <f t="array" ref="T10">[1]!PropsSI("H","T",J10+273.15,"P",101325,"Water")</f>
        <v>236830.2790833546</v>
      </c>
      <c r="U10" cm="1">
        <f t="array" ref="U10">[1]!PropsSI("H","T",K10+273.15,"P",101325,"Water")</f>
        <v>214308.72365543529</v>
      </c>
      <c r="V10">
        <f t="shared" ref="V10:V18" si="6">S10*P10*(T10-U10)</f>
        <v>801.42639629801101</v>
      </c>
    </row>
    <row r="11" spans="1:22" x14ac:dyDescent="0.2">
      <c r="A11">
        <v>44606.6679321548</v>
      </c>
      <c r="B11">
        <v>19.387672999999999</v>
      </c>
      <c r="C11">
        <v>19.755030000000001</v>
      </c>
      <c r="D11">
        <v>19.884798</v>
      </c>
      <c r="E11">
        <v>19.789023</v>
      </c>
      <c r="F11">
        <v>32.033124999999998</v>
      </c>
      <c r="G11">
        <v>30.561330999999999</v>
      </c>
      <c r="H11">
        <v>24.71048</v>
      </c>
      <c r="I11">
        <v>22.256426999999999</v>
      </c>
      <c r="J11">
        <v>56.542326000000003</v>
      </c>
      <c r="K11">
        <v>51.149622000000001</v>
      </c>
      <c r="L11">
        <v>301.39210800000001</v>
      </c>
      <c r="M11">
        <v>-622.48857199999998</v>
      </c>
      <c r="N11">
        <v>2.1656219999999999</v>
      </c>
      <c r="O11">
        <v>4.5859810000000003</v>
      </c>
      <c r="P11">
        <f t="shared" si="4"/>
        <v>3.6093699999999996E-5</v>
      </c>
      <c r="Q11" cm="1">
        <f t="array" ref="Q11">[1]!PropsSI("D","T",J11+273.15,"P",101325,"Water")</f>
        <v>984.93895791346279</v>
      </c>
      <c r="R11" cm="1">
        <f t="array" ref="R11">[1]!PropsSI("D","T",K11+273.15,"P",101325,"Water")</f>
        <v>987.51075960633045</v>
      </c>
      <c r="S11">
        <f t="shared" si="5"/>
        <v>986.22485875989662</v>
      </c>
      <c r="T11" cm="1">
        <f t="array" ref="T11">[1]!PropsSI("H","T",J11+273.15,"P",101325,"Water")</f>
        <v>236780.99704406373</v>
      </c>
      <c r="U11" cm="1">
        <f t="array" ref="U11">[1]!PropsSI("H","T",K11+273.15,"P",101325,"Water")</f>
        <v>214225.64619240063</v>
      </c>
      <c r="V11">
        <f t="shared" si="6"/>
        <v>802.89164097684454</v>
      </c>
    </row>
    <row r="12" spans="1:22" x14ac:dyDescent="0.2">
      <c r="A12">
        <v>44606.668047895502</v>
      </c>
      <c r="B12">
        <v>19.31596</v>
      </c>
      <c r="C12">
        <v>19.743697999999998</v>
      </c>
      <c r="D12">
        <v>19.922692999999999</v>
      </c>
      <c r="E12">
        <v>19.595786</v>
      </c>
      <c r="F12">
        <v>31.801521000000001</v>
      </c>
      <c r="G12">
        <v>28.726215</v>
      </c>
      <c r="H12">
        <v>24.723139</v>
      </c>
      <c r="I12">
        <v>21.825939999999999</v>
      </c>
      <c r="J12">
        <v>56.534047999999999</v>
      </c>
      <c r="K12">
        <v>51.133253000000003</v>
      </c>
      <c r="L12">
        <v>297.96738099999999</v>
      </c>
      <c r="M12">
        <v>-622.48530700000003</v>
      </c>
      <c r="N12">
        <v>2.1576599999999999</v>
      </c>
      <c r="O12">
        <v>4.6760789999999997</v>
      </c>
      <c r="P12">
        <f t="shared" si="4"/>
        <v>3.5961000000000003E-5</v>
      </c>
      <c r="Q12" cm="1">
        <f t="array" ref="Q12">[1]!PropsSI("D","T",J12+273.15,"P",101325,"Water")</f>
        <v>984.94304448865603</v>
      </c>
      <c r="R12" cm="1">
        <f t="array" ref="R12">[1]!PropsSI("D","T",K12+273.15,"P",101325,"Water")</f>
        <v>987.51828502149647</v>
      </c>
      <c r="S12">
        <f t="shared" si="5"/>
        <v>986.2306647550763</v>
      </c>
      <c r="T12" cm="1">
        <f t="array" ref="T12">[1]!PropsSI("H","T",J12+273.15,"P",101325,"Water")</f>
        <v>236746.36577539591</v>
      </c>
      <c r="U12" cm="1">
        <f t="array" ref="U12">[1]!PropsSI("H","T",K12+273.15,"P",101325,"Water")</f>
        <v>214157.19634008335</v>
      </c>
      <c r="V12">
        <f t="shared" si="6"/>
        <v>801.14389005237138</v>
      </c>
    </row>
    <row r="13" spans="1:22" x14ac:dyDescent="0.2">
      <c r="A13">
        <v>44606.668164215</v>
      </c>
      <c r="B13">
        <v>19.387222999999999</v>
      </c>
      <c r="C13">
        <v>19.682106000000001</v>
      </c>
      <c r="D13">
        <v>19.938677999999999</v>
      </c>
      <c r="E13">
        <v>19.728594000000001</v>
      </c>
      <c r="F13">
        <v>32.025199999999998</v>
      </c>
      <c r="G13">
        <v>30.684398999999999</v>
      </c>
      <c r="H13">
        <v>24.696508999999999</v>
      </c>
      <c r="I13">
        <v>22.376536000000002</v>
      </c>
      <c r="J13">
        <v>56.527203</v>
      </c>
      <c r="K13">
        <v>51.115769999999998</v>
      </c>
      <c r="L13">
        <v>312.08953100000002</v>
      </c>
      <c r="M13">
        <v>-622.50244899999996</v>
      </c>
      <c r="N13">
        <v>2.1625779999999999</v>
      </c>
      <c r="O13">
        <v>4.6756599999999997</v>
      </c>
      <c r="P13">
        <f t="shared" si="4"/>
        <v>3.6042966666666667E-5</v>
      </c>
      <c r="Q13" cm="1">
        <f t="array" ref="Q13">[1]!PropsSI("D","T",J13+273.15,"P",101325,"Water")</f>
        <v>984.94642332282285</v>
      </c>
      <c r="R13" cm="1">
        <f t="array" ref="R13">[1]!PropsSI("D","T",K13+273.15,"P",101325,"Water")</f>
        <v>987.52632066623858</v>
      </c>
      <c r="S13">
        <f t="shared" si="5"/>
        <v>986.23637199453071</v>
      </c>
      <c r="T13" cm="1">
        <f t="array" ref="T13">[1]!PropsSI("H","T",J13+273.15,"P",101325,"Water")</f>
        <v>236717.72952648409</v>
      </c>
      <c r="U13" cm="1">
        <f t="array" ref="U13">[1]!PropsSI("H","T",K13+273.15,"P",101325,"Water")</f>
        <v>214084.08819002533</v>
      </c>
      <c r="V13">
        <f t="shared" si="6"/>
        <v>804.55543850394383</v>
      </c>
    </row>
    <row r="14" spans="1:22" x14ac:dyDescent="0.2">
      <c r="A14">
        <v>44606.668279955702</v>
      </c>
      <c r="B14">
        <v>19.254929000000001</v>
      </c>
      <c r="C14">
        <v>19.707477999999998</v>
      </c>
      <c r="D14">
        <v>19.769465</v>
      </c>
      <c r="E14">
        <v>19.683596000000001</v>
      </c>
      <c r="F14">
        <v>31.746396000000001</v>
      </c>
      <c r="G14">
        <v>29.637419999999999</v>
      </c>
      <c r="H14">
        <v>25.048905999999999</v>
      </c>
      <c r="I14">
        <v>21.534483000000002</v>
      </c>
      <c r="J14">
        <v>56.521313999999997</v>
      </c>
      <c r="K14">
        <v>51.107506000000001</v>
      </c>
      <c r="L14">
        <v>315.883219</v>
      </c>
      <c r="M14">
        <v>-622.48000100000002</v>
      </c>
      <c r="N14">
        <v>2.1651760000000002</v>
      </c>
      <c r="O14">
        <v>4.4021369999999997</v>
      </c>
      <c r="P14">
        <f t="shared" si="4"/>
        <v>3.6086266666666674E-5</v>
      </c>
      <c r="Q14" cm="1">
        <f t="array" ref="Q14">[1]!PropsSI("D","T",J14+273.15,"P",101325,"Water")</f>
        <v>984.94933002638891</v>
      </c>
      <c r="R14" cm="1">
        <f t="array" ref="R14">[1]!PropsSI("D","T",K14+273.15,"P",101325,"Water")</f>
        <v>987.53011832817072</v>
      </c>
      <c r="S14">
        <f t="shared" si="5"/>
        <v>986.23972417727987</v>
      </c>
      <c r="T14" cm="1">
        <f t="array" ref="T14">[1]!PropsSI("H","T",J14+273.15,"P",101325,"Water")</f>
        <v>236693.09274468236</v>
      </c>
      <c r="U14" cm="1">
        <f t="array" ref="U14">[1]!PropsSI("H","T",K14+273.15,"P",101325,"Water")</f>
        <v>214049.53089484328</v>
      </c>
      <c r="V14">
        <f t="shared" si="6"/>
        <v>805.87779244568469</v>
      </c>
    </row>
    <row r="15" spans="1:22" x14ac:dyDescent="0.2">
      <c r="A15">
        <v>46068.668396273148</v>
      </c>
      <c r="B15">
        <v>19.574756000000001</v>
      </c>
      <c r="C15">
        <v>19.79917</v>
      </c>
      <c r="D15">
        <v>19.924275000000002</v>
      </c>
      <c r="E15">
        <v>19.782824999999999</v>
      </c>
      <c r="F15">
        <v>32.070563999999997</v>
      </c>
      <c r="G15">
        <v>30.290571</v>
      </c>
      <c r="H15">
        <v>24.372043000000001</v>
      </c>
      <c r="I15">
        <v>22.317551999999999</v>
      </c>
      <c r="J15">
        <v>56.512239999999998</v>
      </c>
      <c r="K15">
        <v>51.094315000000002</v>
      </c>
      <c r="L15">
        <v>300.968864</v>
      </c>
      <c r="M15">
        <v>-622.48285799999996</v>
      </c>
      <c r="N15">
        <v>2.1616719999999998</v>
      </c>
      <c r="O15">
        <v>4.3548260000000001</v>
      </c>
      <c r="P15">
        <f t="shared" si="4"/>
        <v>3.6027866666666668E-5</v>
      </c>
      <c r="Q15" cm="1">
        <f t="array" ref="Q15">[1]!PropsSI("D","T",J15+273.15,"P",101325,"Water")</f>
        <v>984.95380837329822</v>
      </c>
      <c r="R15" cm="1">
        <f t="array" ref="R15">[1]!PropsSI("D","T",K15+273.15,"P",101325,"Water")</f>
        <v>987.53617924104117</v>
      </c>
      <c r="S15">
        <f t="shared" si="5"/>
        <v>986.24499380716975</v>
      </c>
      <c r="T15" cm="1">
        <f t="array" ref="T15">[1]!PropsSI("H","T",J15+273.15,"P",101325,"Water")</f>
        <v>236655.13146020431</v>
      </c>
      <c r="U15" cm="1">
        <f t="array" ref="U15">[1]!PropsSI("H","T",K15+273.15,"P",101325,"Water")</f>
        <v>213994.37056939211</v>
      </c>
      <c r="V15">
        <f t="shared" si="6"/>
        <v>805.18902529992693</v>
      </c>
    </row>
    <row r="16" spans="1:22" x14ac:dyDescent="0.2">
      <c r="A16">
        <v>46068.668512013886</v>
      </c>
      <c r="B16">
        <v>19.461794999999999</v>
      </c>
      <c r="C16">
        <v>19.797571000000001</v>
      </c>
      <c r="D16">
        <v>19.916640000000001</v>
      </c>
      <c r="E16">
        <v>19.718959000000002</v>
      </c>
      <c r="F16">
        <v>32.260677999999999</v>
      </c>
      <c r="G16">
        <v>30.432143</v>
      </c>
      <c r="H16">
        <v>24.731148000000001</v>
      </c>
      <c r="I16">
        <v>21.801181</v>
      </c>
      <c r="J16">
        <v>56.508420000000001</v>
      </c>
      <c r="K16">
        <v>51.096063000000001</v>
      </c>
      <c r="L16">
        <v>313.21804600000002</v>
      </c>
      <c r="M16">
        <v>-622.51795800000002</v>
      </c>
      <c r="N16">
        <v>2.1695479999999998</v>
      </c>
      <c r="O16">
        <v>4.8554000000000004</v>
      </c>
      <c r="P16">
        <f t="shared" si="4"/>
        <v>3.6159133333333331E-5</v>
      </c>
      <c r="Q16" cm="1">
        <f t="array" ref="Q16">[1]!PropsSI("D","T",J16+273.15,"P",101325,"Water")</f>
        <v>984.95569353081146</v>
      </c>
      <c r="R16" cm="1">
        <f t="array" ref="R16">[1]!PropsSI("D","T",K16+273.15,"P",101325,"Water")</f>
        <v>987.53537614638503</v>
      </c>
      <c r="S16">
        <f t="shared" si="5"/>
        <v>986.24553483859825</v>
      </c>
      <c r="T16" cm="1">
        <f t="array" ref="T16">[1]!PropsSI("H","T",J16+273.15,"P",101325,"Water")</f>
        <v>236639.15041316685</v>
      </c>
      <c r="U16" cm="1">
        <f t="array" ref="U16">[1]!PropsSI("H","T",K16+273.15,"P",101325,"Water")</f>
        <v>214001.68011450753</v>
      </c>
      <c r="V16">
        <f t="shared" si="6"/>
        <v>807.2925714255889</v>
      </c>
    </row>
    <row r="17" spans="1:22" x14ac:dyDescent="0.2">
      <c r="A17">
        <v>46068.668628333333</v>
      </c>
      <c r="B17">
        <v>19.345452000000002</v>
      </c>
      <c r="C17">
        <v>19.607782</v>
      </c>
      <c r="D17">
        <v>19.910520000000002</v>
      </c>
      <c r="E17">
        <v>19.739791</v>
      </c>
      <c r="F17">
        <v>31.940286</v>
      </c>
      <c r="G17">
        <v>30.099022000000001</v>
      </c>
      <c r="H17">
        <v>24.681930999999999</v>
      </c>
      <c r="I17">
        <v>21.669284000000001</v>
      </c>
      <c r="J17">
        <v>56.496321999999999</v>
      </c>
      <c r="K17">
        <v>51.079376000000003</v>
      </c>
      <c r="L17">
        <v>305.866986</v>
      </c>
      <c r="M17">
        <v>-622.49918400000001</v>
      </c>
      <c r="N17">
        <v>2.1617540000000002</v>
      </c>
      <c r="O17">
        <v>4.9542789999999997</v>
      </c>
      <c r="P17">
        <f t="shared" si="4"/>
        <v>3.6029233333333337E-5</v>
      </c>
      <c r="Q17" cm="1">
        <f t="array" ref="Q17">[1]!PropsSI("D","T",J17+273.15,"P",101325,"Water")</f>
        <v>984.96166326578657</v>
      </c>
      <c r="R17" cm="1">
        <f t="array" ref="R17">[1]!PropsSI("D","T",K17+273.15,"P",101325,"Water")</f>
        <v>987.54304195221778</v>
      </c>
      <c r="S17">
        <f t="shared" si="5"/>
        <v>986.25235260900217</v>
      </c>
      <c r="T17" cm="1">
        <f t="array" ref="T17">[1]!PropsSI("H","T",J17+273.15,"P",101325,"Water")</f>
        <v>236588.53822326666</v>
      </c>
      <c r="U17" cm="1">
        <f t="array" ref="U17">[1]!PropsSI("H","T",K17+273.15,"P",101325,"Water")</f>
        <v>213931.90075915412</v>
      </c>
      <c r="V17">
        <f t="shared" si="6"/>
        <v>805.07905561201733</v>
      </c>
    </row>
    <row r="18" spans="1:22" x14ac:dyDescent="0.2">
      <c r="A18">
        <v>46068.668744074072</v>
      </c>
      <c r="B18">
        <v>19.449698000000001</v>
      </c>
      <c r="C18">
        <v>19.719774000000001</v>
      </c>
      <c r="D18">
        <v>19.822158999999999</v>
      </c>
      <c r="E18">
        <v>19.704497</v>
      </c>
      <c r="F18">
        <v>31.392997999999999</v>
      </c>
      <c r="G18">
        <v>29.551082000000001</v>
      </c>
      <c r="H18">
        <v>24.662447</v>
      </c>
      <c r="I18">
        <v>22.216287000000001</v>
      </c>
      <c r="J18">
        <v>56.487248000000001</v>
      </c>
      <c r="K18">
        <v>51.065230999999997</v>
      </c>
      <c r="L18">
        <v>301.06926700000002</v>
      </c>
      <c r="M18">
        <v>-622.49306200000001</v>
      </c>
      <c r="N18">
        <v>2.1681469999999998</v>
      </c>
      <c r="O18">
        <v>5.0302210000000001</v>
      </c>
      <c r="P18">
        <f t="shared" si="4"/>
        <v>3.6135783333333337E-5</v>
      </c>
      <c r="Q18" cm="1">
        <f t="array" ref="Q18">[1]!PropsSI("D","T",J18+273.15,"P",101325,"Water")</f>
        <v>984.96614022654637</v>
      </c>
      <c r="R18" cm="1">
        <f t="array" ref="R18">[1]!PropsSI("D","T",K18+273.15,"P",101325,"Water")</f>
        <v>987.54953858117267</v>
      </c>
      <c r="S18">
        <f t="shared" si="5"/>
        <v>986.25783940385952</v>
      </c>
      <c r="T18" cm="1">
        <f t="array" ref="T18">[1]!PropsSI("H","T",J18+273.15,"P",101325,"Water")</f>
        <v>236550.57702598613</v>
      </c>
      <c r="U18" cm="1">
        <f t="array" ref="U18">[1]!PropsSI("H","T",K18+273.15,"P",101325,"Water")</f>
        <v>213872.75124825953</v>
      </c>
      <c r="V18">
        <f t="shared" si="6"/>
        <v>808.21955928435807</v>
      </c>
    </row>
    <row r="19" spans="1:22" x14ac:dyDescent="0.2">
      <c r="P19" s="1"/>
    </row>
    <row r="20" spans="1:22" x14ac:dyDescent="0.2">
      <c r="E20" s="1" t="s">
        <v>22</v>
      </c>
      <c r="P20" s="1"/>
    </row>
    <row r="21" spans="1:22" x14ac:dyDescent="0.2">
      <c r="E21">
        <f>AVERAGE(V4:V18)</f>
        <v>804.12724345856009</v>
      </c>
      <c r="P21" s="1"/>
    </row>
    <row r="22" spans="1:22" x14ac:dyDescent="0.2">
      <c r="P22" s="1"/>
    </row>
    <row r="23" spans="1:22" x14ac:dyDescent="0.2">
      <c r="P23" s="1"/>
    </row>
    <row r="24" spans="1:22" x14ac:dyDescent="0.2">
      <c r="P24" s="1"/>
    </row>
    <row r="25" spans="1:22" x14ac:dyDescent="0.2">
      <c r="P25" s="1"/>
    </row>
    <row r="26" spans="1:22" x14ac:dyDescent="0.2">
      <c r="P26" s="1"/>
    </row>
    <row r="27" spans="1:22" x14ac:dyDescent="0.2"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ED48-8E59-664E-A55B-31D3F6ECF223}">
  <dimension ref="A1:V36"/>
  <sheetViews>
    <sheetView workbookViewId="0">
      <selection activeCell="E18" sqref="E18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44606.669241182601</v>
      </c>
      <c r="B2">
        <v>19.013629000000002</v>
      </c>
      <c r="C2">
        <v>19.497949999999999</v>
      </c>
      <c r="D2">
        <v>19.332014999999998</v>
      </c>
      <c r="E2">
        <v>19.291608</v>
      </c>
      <c r="F2">
        <v>30.600142999999999</v>
      </c>
      <c r="G2">
        <v>29.284008</v>
      </c>
      <c r="H2">
        <v>23.826329000000001</v>
      </c>
      <c r="I2">
        <v>20.993825000000001</v>
      </c>
      <c r="J2">
        <v>56.455094000000003</v>
      </c>
      <c r="K2">
        <v>50.805714999999999</v>
      </c>
      <c r="L2">
        <v>415.047641</v>
      </c>
      <c r="M2">
        <v>-622.52489700000001</v>
      </c>
      <c r="N2">
        <v>2.158525</v>
      </c>
      <c r="O2">
        <v>5.1229120000000004</v>
      </c>
      <c r="P2">
        <f xml:space="preserve"> N2*0.001/60</f>
        <v>3.5975416666666671E-5</v>
      </c>
      <c r="Q2" cm="1">
        <f t="array" ref="Q2">[1]!PropsSI("D","T",J2+273.15,"P",101325,"Water")</f>
        <v>984.98200042328119</v>
      </c>
      <c r="R2" cm="1">
        <f t="array" ref="R2">[1]!PropsSI("D","T",K2+273.15,"P",101325,"Water")</f>
        <v>987.66850085501358</v>
      </c>
      <c r="S2">
        <f>(Q2+R2)/2</f>
        <v>986.32525063914738</v>
      </c>
      <c r="T2" cm="1">
        <f t="array" ref="T2">[1]!PropsSI("H","T",J2+273.15,"P",101325,"Water")</f>
        <v>236416.06060249644</v>
      </c>
      <c r="U2" cm="1">
        <f t="array" ref="U2">[1]!PropsSI("H","T",K2+273.15,"P",101325,"Water")</f>
        <v>212787.55546770891</v>
      </c>
      <c r="V2">
        <f>S2*P2*(T2-U2)</f>
        <v>838.42116077317178</v>
      </c>
    </row>
    <row r="3" spans="1:22" x14ac:dyDescent="0.2">
      <c r="A3">
        <v>44606.669357502004</v>
      </c>
      <c r="B3">
        <v>19.195001999999999</v>
      </c>
      <c r="C3">
        <v>19.706738999999999</v>
      </c>
      <c r="D3">
        <v>19.557236</v>
      </c>
      <c r="E3">
        <v>19.491586999999999</v>
      </c>
      <c r="F3">
        <v>30.727643</v>
      </c>
      <c r="G3">
        <v>29.697984999999999</v>
      </c>
      <c r="H3">
        <v>24.173144000000001</v>
      </c>
      <c r="I3">
        <v>21.664126</v>
      </c>
      <c r="J3">
        <v>56.451751000000002</v>
      </c>
      <c r="K3">
        <v>50.743740000000003</v>
      </c>
      <c r="L3">
        <v>409.66301299999998</v>
      </c>
      <c r="M3">
        <v>-622.50571400000001</v>
      </c>
      <c r="N3">
        <v>2.161721</v>
      </c>
      <c r="O3">
        <v>4.2564799999999998</v>
      </c>
      <c r="P3">
        <f t="shared" ref="P3" si="0" xml:space="preserve"> N3*0.001/60</f>
        <v>3.6028683333333333E-5</v>
      </c>
      <c r="Q3" cm="1">
        <f t="array" ref="Q3">[1]!PropsSI("D","T",J3+273.15,"P",101325,"Water")</f>
        <v>984.98364901976242</v>
      </c>
      <c r="R3" cm="1">
        <f t="array" ref="R3">[1]!PropsSI("D","T",K3+273.15,"P",101325,"Water")</f>
        <v>987.69684553163961</v>
      </c>
      <c r="S3">
        <f>(Q3+R3)/2</f>
        <v>986.34024727570102</v>
      </c>
      <c r="T3" cm="1">
        <f t="array" ref="T3">[1]!PropsSI("H","T",J3+273.15,"P",101325,"Water")</f>
        <v>236402.07516769832</v>
      </c>
      <c r="U3" cm="1">
        <f t="array" ref="U3">[1]!PropsSI("H","T",K3+273.15,"P",101325,"Water")</f>
        <v>212528.40289015384</v>
      </c>
      <c r="V3">
        <f t="shared" ref="V3:V9" si="1">S3*P3*(T3-U3)</f>
        <v>848.38772005621013</v>
      </c>
    </row>
    <row r="4" spans="1:22" x14ac:dyDescent="0.2">
      <c r="A4">
        <v>44606.669473821399</v>
      </c>
      <c r="B4">
        <v>19.230473</v>
      </c>
      <c r="C4">
        <v>19.652414</v>
      </c>
      <c r="D4">
        <v>19.836348000000001</v>
      </c>
      <c r="E4">
        <v>19.699235999999999</v>
      </c>
      <c r="F4">
        <v>30.539826999999999</v>
      </c>
      <c r="G4">
        <v>29.311461999999999</v>
      </c>
      <c r="H4">
        <v>24.135390999999998</v>
      </c>
      <c r="I4">
        <v>21.978459000000001</v>
      </c>
      <c r="J4">
        <v>56.442518</v>
      </c>
      <c r="K4">
        <v>50.723875999999997</v>
      </c>
      <c r="L4">
        <v>390.639884</v>
      </c>
      <c r="M4">
        <v>-622.51020400000004</v>
      </c>
      <c r="N4">
        <v>2.1619100000000002</v>
      </c>
      <c r="O4">
        <v>4.4259259999999996</v>
      </c>
      <c r="P4">
        <f xml:space="preserve"> N4*0.001/60</f>
        <v>3.6031833333333343E-5</v>
      </c>
      <c r="Q4" cm="1">
        <f t="array" ref="Q4">[1]!PropsSI("D","T",J4+273.15,"P",101325,"Water")</f>
        <v>984.9882019077304</v>
      </c>
      <c r="R4" cm="1">
        <f t="array" ref="R4">[1]!PropsSI("D","T",K4+273.15,"P",101325,"Water")</f>
        <v>987.70592517809769</v>
      </c>
      <c r="S4">
        <f t="shared" ref="S4:S9" si="2">(Q4+R4)/2</f>
        <v>986.34706354291404</v>
      </c>
      <c r="T4" cm="1">
        <f t="array" ref="T4">[1]!PropsSI("H","T",J4+273.15,"P",101325,"Water")</f>
        <v>236363.44895014248</v>
      </c>
      <c r="U4" cm="1">
        <f t="array" ref="U4">[1]!PropsSI("H","T",K4+273.15,"P",101325,"Water")</f>
        <v>212445.34049520345</v>
      </c>
      <c r="V4">
        <f t="shared" si="1"/>
        <v>850.04701530835689</v>
      </c>
    </row>
    <row r="5" spans="1:22" x14ac:dyDescent="0.2">
      <c r="A5">
        <v>44606.669590140897</v>
      </c>
      <c r="B5">
        <v>19.347764000000002</v>
      </c>
      <c r="C5">
        <v>19.666228</v>
      </c>
      <c r="D5">
        <v>19.878926</v>
      </c>
      <c r="E5">
        <v>19.829865000000002</v>
      </c>
      <c r="F5">
        <v>30.782975</v>
      </c>
      <c r="G5">
        <v>30.505431000000002</v>
      </c>
      <c r="H5">
        <v>24.128101000000001</v>
      </c>
      <c r="I5">
        <v>21.545767999999999</v>
      </c>
      <c r="J5">
        <v>56.433923</v>
      </c>
      <c r="K5">
        <v>50.720061999999999</v>
      </c>
      <c r="L5">
        <v>393.39770499999997</v>
      </c>
      <c r="M5">
        <v>-622.49102100000005</v>
      </c>
      <c r="N5">
        <v>2.161025</v>
      </c>
      <c r="O5">
        <v>4.907972</v>
      </c>
      <c r="P5">
        <f t="shared" ref="P5:P9" si="3" xml:space="preserve"> N5*0.001/60</f>
        <v>3.6017083333333334E-5</v>
      </c>
      <c r="Q5" cm="1">
        <f t="array" ref="Q5">[1]!PropsSI("D","T",J5+273.15,"P",101325,"Water")</f>
        <v>984.99243972270824</v>
      </c>
      <c r="R5" cm="1">
        <f t="array" ref="R5">[1]!PropsSI("D","T",K5+273.15,"P",101325,"Water")</f>
        <v>987.70766822767791</v>
      </c>
      <c r="S5">
        <f t="shared" si="2"/>
        <v>986.35005397519308</v>
      </c>
      <c r="T5" cm="1">
        <f t="array" ref="T5">[1]!PropsSI("H","T",J5+273.15,"P",101325,"Water")</f>
        <v>236327.49183237954</v>
      </c>
      <c r="U5" cm="1">
        <f t="array" ref="U5">[1]!PropsSI("H","T",K5+273.15,"P",101325,"Water")</f>
        <v>212429.39206036826</v>
      </c>
      <c r="V5">
        <f t="shared" si="1"/>
        <v>848.99079848933729</v>
      </c>
    </row>
    <row r="6" spans="1:22" x14ac:dyDescent="0.2">
      <c r="A6">
        <v>46068.669706458335</v>
      </c>
      <c r="B6">
        <v>19.600908</v>
      </c>
      <c r="C6">
        <v>19.836393999999999</v>
      </c>
      <c r="D6">
        <v>19.91621</v>
      </c>
      <c r="E6">
        <v>19.900780000000001</v>
      </c>
      <c r="F6">
        <v>30.801506</v>
      </c>
      <c r="G6">
        <v>29.244015000000001</v>
      </c>
      <c r="H6">
        <v>24.107488</v>
      </c>
      <c r="I6">
        <v>21.269120000000001</v>
      </c>
      <c r="J6">
        <v>56.420074</v>
      </c>
      <c r="K6">
        <v>50.729120000000002</v>
      </c>
      <c r="L6">
        <v>383.74594300000001</v>
      </c>
      <c r="M6">
        <v>-622.48000100000002</v>
      </c>
      <c r="N6">
        <v>2.1647210000000001</v>
      </c>
      <c r="O6">
        <v>4.5392419999999998</v>
      </c>
      <c r="P6">
        <f t="shared" si="3"/>
        <v>3.6078683333333334E-5</v>
      </c>
      <c r="Q6" cm="1">
        <f t="array" ref="Q6">[1]!PropsSI("D","T",J6+273.15,"P",101325,"Water")</f>
        <v>984.99926710242221</v>
      </c>
      <c r="R6" cm="1">
        <f t="array" ref="R6">[1]!PropsSI("D","T",K6+273.15,"P",101325,"Water")</f>
        <v>987.70352844465401</v>
      </c>
      <c r="S6">
        <f t="shared" si="2"/>
        <v>986.35139777353811</v>
      </c>
      <c r="T6" cm="1">
        <f t="array" ref="T6">[1]!PropsSI("H","T",J6+273.15,"P",101325,"Water")</f>
        <v>236269.55470475668</v>
      </c>
      <c r="U6" cm="1">
        <f t="array" ref="U6">[1]!PropsSI("H","T",K6+273.15,"P",101325,"Water")</f>
        <v>212467.26855474792</v>
      </c>
      <c r="V6">
        <f t="shared" si="1"/>
        <v>847.03433723676642</v>
      </c>
    </row>
    <row r="7" spans="1:22" x14ac:dyDescent="0.2">
      <c r="A7">
        <v>46068.669822199074</v>
      </c>
      <c r="B7">
        <v>19.657699999999998</v>
      </c>
      <c r="C7">
        <v>19.854001</v>
      </c>
      <c r="D7">
        <v>20.027604</v>
      </c>
      <c r="E7">
        <v>19.924174000000001</v>
      </c>
      <c r="F7">
        <v>30.805322</v>
      </c>
      <c r="G7">
        <v>30.737497000000001</v>
      </c>
      <c r="H7">
        <v>24.071940000000001</v>
      </c>
      <c r="I7">
        <v>21.275262000000001</v>
      </c>
      <c r="J7">
        <v>56.406861999999997</v>
      </c>
      <c r="K7">
        <v>50.733887000000003</v>
      </c>
      <c r="L7">
        <v>404.295119</v>
      </c>
      <c r="M7">
        <v>-622.49591899999996</v>
      </c>
      <c r="N7">
        <v>2.1624059999999998</v>
      </c>
      <c r="O7">
        <v>4.5199639999999999</v>
      </c>
      <c r="P7">
        <f t="shared" si="3"/>
        <v>3.6040100000000001E-5</v>
      </c>
      <c r="Q7" cm="1">
        <f t="array" ref="Q7">[1]!PropsSI("D","T",J7+273.15,"P",101325,"Water")</f>
        <v>985.00577935568515</v>
      </c>
      <c r="R7" cm="1">
        <f t="array" ref="R7">[1]!PropsSI("D","T",K7+273.15,"P",101325,"Water")</f>
        <v>987.70134956550567</v>
      </c>
      <c r="S7">
        <f t="shared" si="2"/>
        <v>986.35356446059541</v>
      </c>
      <c r="T7" cm="1">
        <f t="array" ref="T7">[1]!PropsSI("H","T",J7+273.15,"P",101325,"Water")</f>
        <v>236214.28252759331</v>
      </c>
      <c r="U7" cm="1">
        <f t="array" ref="U7">[1]!PropsSI("H","T",K7+273.15,"P",101325,"Water")</f>
        <v>212487.20202090323</v>
      </c>
      <c r="V7">
        <f t="shared" si="1"/>
        <v>843.45692749894567</v>
      </c>
    </row>
    <row r="8" spans="1:22" x14ac:dyDescent="0.2">
      <c r="A8">
        <v>46068.669937939812</v>
      </c>
      <c r="B8">
        <v>19.419284999999999</v>
      </c>
      <c r="C8">
        <v>19.879916999999999</v>
      </c>
      <c r="D8">
        <v>19.846412999999998</v>
      </c>
      <c r="E8">
        <v>19.724367999999998</v>
      </c>
      <c r="F8">
        <v>30.899028000000001</v>
      </c>
      <c r="G8">
        <v>30.093526000000001</v>
      </c>
      <c r="H8">
        <v>24.164515999999999</v>
      </c>
      <c r="I8">
        <v>21.541715</v>
      </c>
      <c r="J8">
        <v>56.396515999999998</v>
      </c>
      <c r="K8">
        <v>50.713388000000002</v>
      </c>
      <c r="L8">
        <v>409.83565700000003</v>
      </c>
      <c r="M8">
        <v>-622.47836800000005</v>
      </c>
      <c r="N8">
        <v>2.1648849999999999</v>
      </c>
      <c r="O8">
        <v>5.0152130000000001</v>
      </c>
      <c r="P8">
        <f t="shared" si="3"/>
        <v>3.6081416666666667E-5</v>
      </c>
      <c r="Q8" cm="1">
        <f t="array" ref="Q8">[1]!PropsSI("D","T",J8+273.15,"P",101325,"Water")</f>
        <v>985.01087819926499</v>
      </c>
      <c r="R8" cm="1">
        <f t="array" ref="R8">[1]!PropsSI("D","T",K8+273.15,"P",101325,"Water")</f>
        <v>987.71071810829847</v>
      </c>
      <c r="S8">
        <f t="shared" si="2"/>
        <v>986.36079815378173</v>
      </c>
      <c r="T8" cm="1">
        <f t="array" ref="T8">[1]!PropsSI("H","T",J8+273.15,"P",101325,"Water")</f>
        <v>236171.00025939546</v>
      </c>
      <c r="U8" cm="1">
        <f t="array" ref="U8">[1]!PropsSI("H","T",K8+273.15,"P",101325,"Water")</f>
        <v>212401.4844004632</v>
      </c>
      <c r="V8">
        <f t="shared" si="1"/>
        <v>845.94031052858043</v>
      </c>
    </row>
    <row r="9" spans="1:22" x14ac:dyDescent="0.2">
      <c r="A9">
        <v>46068.670054259259</v>
      </c>
      <c r="B9">
        <v>19.429576000000001</v>
      </c>
      <c r="C9">
        <v>19.859052999999999</v>
      </c>
      <c r="D9">
        <v>19.820215000000001</v>
      </c>
      <c r="E9">
        <v>19.791518</v>
      </c>
      <c r="F9">
        <v>30.892707999999999</v>
      </c>
      <c r="G9">
        <v>30.050702000000001</v>
      </c>
      <c r="H9">
        <v>24.160176</v>
      </c>
      <c r="I9">
        <v>21.229503000000001</v>
      </c>
      <c r="J9">
        <v>56.386806</v>
      </c>
      <c r="K9">
        <v>50.699086000000001</v>
      </c>
      <c r="L9">
        <v>402.66254700000002</v>
      </c>
      <c r="M9">
        <v>-622.48571500000003</v>
      </c>
      <c r="N9">
        <v>2.16025</v>
      </c>
      <c r="O9">
        <v>5.3331629999999999</v>
      </c>
      <c r="P9">
        <f t="shared" si="3"/>
        <v>3.6004166666666663E-5</v>
      </c>
      <c r="Q9" cm="1">
        <f t="array" ref="Q9">[1]!PropsSI("D","T",J9+273.15,"P",101325,"Water")</f>
        <v>985.01566300563763</v>
      </c>
      <c r="R9" cm="1">
        <f t="array" ref="R9">[1]!PropsSI("D","T",K9+273.15,"P",101325,"Water")</f>
        <v>987.71725285195703</v>
      </c>
      <c r="S9">
        <f t="shared" si="2"/>
        <v>986.36645792879733</v>
      </c>
      <c r="T9" cm="1">
        <f t="array" ref="T9">[1]!PropsSI("H","T",J9+273.15,"P",101325,"Water")</f>
        <v>236130.37872072266</v>
      </c>
      <c r="U9" cm="1">
        <f t="array" ref="U9">[1]!PropsSI("H","T",K9+273.15,"P",101325,"Water")</f>
        <v>212341.67992684053</v>
      </c>
      <c r="V9">
        <f t="shared" si="1"/>
        <v>844.81525267740324</v>
      </c>
    </row>
    <row r="10" spans="1:22" x14ac:dyDescent="0.2">
      <c r="A10">
        <v>44606.670170001998</v>
      </c>
      <c r="B10">
        <v>19.456627999999998</v>
      </c>
      <c r="C10">
        <v>19.758970999999999</v>
      </c>
      <c r="D10">
        <v>19.816526</v>
      </c>
      <c r="E10">
        <v>19.668582000000001</v>
      </c>
      <c r="F10">
        <v>30.703306000000001</v>
      </c>
      <c r="G10">
        <v>30.012422999999998</v>
      </c>
      <c r="H10">
        <v>24.002977000000001</v>
      </c>
      <c r="I10">
        <v>21.816839999999999</v>
      </c>
      <c r="J10">
        <v>56.374231000000002</v>
      </c>
      <c r="K10">
        <v>50.685262000000002</v>
      </c>
      <c r="L10">
        <v>409.89728700000001</v>
      </c>
      <c r="M10">
        <v>-622.474695</v>
      </c>
      <c r="N10">
        <v>2.1664620000000001</v>
      </c>
      <c r="O10">
        <v>4.1230599999999997</v>
      </c>
      <c r="P10">
        <f t="shared" ref="P10:P15" si="4" xml:space="preserve"> N10*0.001/60</f>
        <v>3.61077E-5</v>
      </c>
      <c r="Q10" cm="1">
        <f t="array" ref="Q10">[1]!PropsSI("D","T",J10+273.15,"P",101325,"Water")</f>
        <v>985.0218587434299</v>
      </c>
      <c r="R10" cm="1">
        <f t="array" ref="R10">[1]!PropsSI("D","T",K10+273.15,"P",101325,"Water")</f>
        <v>987.72356792707808</v>
      </c>
      <c r="S10">
        <f t="shared" ref="S10:S15" si="5">(Q10+R10)/2</f>
        <v>986.37271333525405</v>
      </c>
      <c r="T10" cm="1">
        <f t="array" ref="T10">[1]!PropsSI("H","T",J10+273.15,"P",101325,"Water")</f>
        <v>236077.77158088688</v>
      </c>
      <c r="U10" cm="1">
        <f t="array" ref="U10">[1]!PropsSI("H","T",K10+273.15,"P",101325,"Water")</f>
        <v>212283.87428947931</v>
      </c>
      <c r="V10">
        <f t="shared" ref="V10:V15" si="6">S10*P10*(T10-U10)</f>
        <v>847.43511857341946</v>
      </c>
    </row>
    <row r="11" spans="1:22" x14ac:dyDescent="0.2">
      <c r="A11">
        <v>44606.670285742701</v>
      </c>
      <c r="B11">
        <v>19.510715000000001</v>
      </c>
      <c r="C11">
        <v>19.639818999999999</v>
      </c>
      <c r="D11">
        <v>19.984660999999999</v>
      </c>
      <c r="E11">
        <v>19.530507</v>
      </c>
      <c r="F11">
        <v>30.826225000000001</v>
      </c>
      <c r="G11">
        <v>30.475442000000001</v>
      </c>
      <c r="H11">
        <v>23.850148000000001</v>
      </c>
      <c r="I11">
        <v>21.849233999999999</v>
      </c>
      <c r="J11">
        <v>56.356243999999997</v>
      </c>
      <c r="K11">
        <v>50.670482999999997</v>
      </c>
      <c r="L11">
        <v>427.26784600000002</v>
      </c>
      <c r="M11">
        <v>-622.49836700000003</v>
      </c>
      <c r="N11">
        <v>2.1587459999999998</v>
      </c>
      <c r="O11">
        <v>4.7675890000000001</v>
      </c>
      <c r="P11">
        <f t="shared" si="4"/>
        <v>3.5979100000000003E-5</v>
      </c>
      <c r="Q11" cm="1">
        <f t="array" ref="Q11">[1]!PropsSI("D","T",J11+273.15,"P",101325,"Water")</f>
        <v>985.03071930650719</v>
      </c>
      <c r="R11" cm="1">
        <f t="array" ref="R11">[1]!PropsSI("D","T",K11+273.15,"P",101325,"Water")</f>
        <v>987.7303178894266</v>
      </c>
      <c r="S11">
        <f t="shared" si="5"/>
        <v>986.3805185979669</v>
      </c>
      <c r="T11" cm="1">
        <f t="array" ref="T11">[1]!PropsSI("H","T",J11+273.15,"P",101325,"Water")</f>
        <v>236002.5236046158</v>
      </c>
      <c r="U11" cm="1">
        <f t="array" ref="U11">[1]!PropsSI("H","T",K11+273.15,"P",101325,"Water")</f>
        <v>212222.07534170774</v>
      </c>
      <c r="V11">
        <f t="shared" si="6"/>
        <v>843.94630971053516</v>
      </c>
    </row>
    <row r="12" spans="1:22" x14ac:dyDescent="0.2">
      <c r="A12">
        <v>44606.670401483498</v>
      </c>
      <c r="B12">
        <v>19.594322999999999</v>
      </c>
      <c r="C12">
        <v>19.778497000000002</v>
      </c>
      <c r="D12">
        <v>19.952366999999999</v>
      </c>
      <c r="E12">
        <v>19.765128000000001</v>
      </c>
      <c r="F12">
        <v>30.681286</v>
      </c>
      <c r="G12">
        <v>30.114352</v>
      </c>
      <c r="H12">
        <v>24.095208</v>
      </c>
      <c r="I12">
        <v>21.436136000000001</v>
      </c>
      <c r="J12">
        <v>56.342078000000001</v>
      </c>
      <c r="K12">
        <v>50.658883000000003</v>
      </c>
      <c r="L12">
        <v>411.78576399999997</v>
      </c>
      <c r="M12">
        <v>-622.50326500000006</v>
      </c>
      <c r="N12">
        <v>2.166245</v>
      </c>
      <c r="O12">
        <v>5.309158</v>
      </c>
      <c r="P12">
        <f t="shared" si="4"/>
        <v>3.6104083333333335E-5</v>
      </c>
      <c r="Q12" cm="1">
        <f t="array" ref="Q12">[1]!PropsSI("D","T",J12+273.15,"P",101325,"Water")</f>
        <v>985.03769621544996</v>
      </c>
      <c r="R12" cm="1">
        <f t="array" ref="R12">[1]!PropsSI("D","T",K12+273.15,"P",101325,"Water")</f>
        <v>987.73561492204408</v>
      </c>
      <c r="S12">
        <f t="shared" si="5"/>
        <v>986.38665556874707</v>
      </c>
      <c r="T12" cm="1">
        <f t="array" ref="T12">[1]!PropsSI("H","T",J12+273.15,"P",101325,"Water")</f>
        <v>235943.26073329986</v>
      </c>
      <c r="U12" cm="1">
        <f t="array" ref="U12">[1]!PropsSI("H","T",K12+273.15,"P",101325,"Water")</f>
        <v>212173.56954763544</v>
      </c>
      <c r="V12">
        <f t="shared" si="6"/>
        <v>846.50017181726605</v>
      </c>
    </row>
    <row r="13" spans="1:22" x14ac:dyDescent="0.2">
      <c r="A13">
        <v>44606.6705172242</v>
      </c>
      <c r="B13">
        <v>19.246274</v>
      </c>
      <c r="C13">
        <v>19.670508999999999</v>
      </c>
      <c r="D13">
        <v>19.526620000000001</v>
      </c>
      <c r="E13">
        <v>19.596976999999999</v>
      </c>
      <c r="F13">
        <v>30.420957000000001</v>
      </c>
      <c r="G13">
        <v>30.664591999999999</v>
      </c>
      <c r="H13">
        <v>23.933157999999999</v>
      </c>
      <c r="I13">
        <v>21.721952000000002</v>
      </c>
      <c r="J13">
        <v>56.330298999999997</v>
      </c>
      <c r="K13">
        <v>50.645853000000002</v>
      </c>
      <c r="L13">
        <v>390.52886899999999</v>
      </c>
      <c r="M13">
        <v>-622.49510199999997</v>
      </c>
      <c r="N13">
        <v>2.1590210000000001</v>
      </c>
      <c r="O13">
        <v>5.0770999999999997</v>
      </c>
      <c r="P13">
        <f t="shared" si="4"/>
        <v>3.5983683333333336E-5</v>
      </c>
      <c r="Q13" cm="1">
        <f t="array" ref="Q13">[1]!PropsSI("D","T",J13+273.15,"P",101325,"Water")</f>
        <v>985.04349656542252</v>
      </c>
      <c r="R13" cm="1">
        <f t="array" ref="R13">[1]!PropsSI("D","T",K13+273.15,"P",101325,"Water")</f>
        <v>987.74156390638393</v>
      </c>
      <c r="S13">
        <f t="shared" si="5"/>
        <v>986.39253023590322</v>
      </c>
      <c r="T13" cm="1">
        <f t="array" ref="T13">[1]!PropsSI("H","T",J13+273.15,"P",101325,"Water")</f>
        <v>235893.98383552523</v>
      </c>
      <c r="U13" cm="1">
        <f t="array" ref="U13">[1]!PropsSI("H","T",K13+273.15,"P",101325,"Water")</f>
        <v>212119.08420715402</v>
      </c>
      <c r="V13">
        <f t="shared" si="6"/>
        <v>843.86715401339472</v>
      </c>
    </row>
    <row r="14" spans="1:22" x14ac:dyDescent="0.2">
      <c r="A14">
        <v>44606.670633543697</v>
      </c>
      <c r="B14">
        <v>19.127321999999999</v>
      </c>
      <c r="C14">
        <v>19.783061</v>
      </c>
      <c r="D14">
        <v>19.572683999999999</v>
      </c>
      <c r="E14">
        <v>19.496317000000001</v>
      </c>
      <c r="F14">
        <v>30.816355999999999</v>
      </c>
      <c r="G14">
        <v>30.059781999999998</v>
      </c>
      <c r="H14">
        <v>23.887398000000001</v>
      </c>
      <c r="I14">
        <v>21.037355999999999</v>
      </c>
      <c r="J14">
        <v>56.315973</v>
      </c>
      <c r="K14">
        <v>50.604061000000002</v>
      </c>
      <c r="L14">
        <v>421.01836300000002</v>
      </c>
      <c r="M14">
        <v>-622.50449000000003</v>
      </c>
      <c r="N14">
        <v>2.1636549999999999</v>
      </c>
      <c r="O14">
        <v>4.5857900000000003</v>
      </c>
      <c r="P14">
        <f t="shared" si="4"/>
        <v>3.6060916666666669E-5</v>
      </c>
      <c r="Q14" cm="1">
        <f t="array" ref="Q14">[1]!PropsSI("D","T",J14+273.15,"P",101325,"Water")</f>
        <v>985.05054999328752</v>
      </c>
      <c r="R14" cm="1">
        <f t="array" ref="R14">[1]!PropsSI("D","T",K14+273.15,"P",101325,"Water")</f>
        <v>987.76063702641613</v>
      </c>
      <c r="S14">
        <f t="shared" si="5"/>
        <v>986.40559350985177</v>
      </c>
      <c r="T14" cm="1">
        <f t="array" ref="T14">[1]!PropsSI("H","T",J14+273.15,"P",101325,"Water")</f>
        <v>235834.05175329655</v>
      </c>
      <c r="U14" cm="1">
        <f t="array" ref="U14">[1]!PropsSI("H","T",K14+273.15,"P",101325,"Water")</f>
        <v>211944.33002668445</v>
      </c>
      <c r="V14">
        <f t="shared" si="6"/>
        <v>849.77388350405283</v>
      </c>
    </row>
    <row r="15" spans="1:22" x14ac:dyDescent="0.2">
      <c r="A15">
        <v>46068.670749861114</v>
      </c>
      <c r="B15">
        <v>19.056968999999999</v>
      </c>
      <c r="C15">
        <v>19.390930000000001</v>
      </c>
      <c r="D15">
        <v>19.659794999999999</v>
      </c>
      <c r="E15">
        <v>19.509639</v>
      </c>
      <c r="F15">
        <v>30.524255</v>
      </c>
      <c r="G15">
        <v>28.812054</v>
      </c>
      <c r="H15">
        <v>23.868977999999998</v>
      </c>
      <c r="I15">
        <v>21.269476999999998</v>
      </c>
      <c r="J15">
        <v>56.308172999999996</v>
      </c>
      <c r="K15">
        <v>50.591031000000001</v>
      </c>
      <c r="L15">
        <v>396.25103200000001</v>
      </c>
      <c r="M15">
        <v>-622.48367399999995</v>
      </c>
      <c r="N15">
        <v>2.1590739999999999</v>
      </c>
      <c r="O15">
        <v>4.5417699999999996</v>
      </c>
      <c r="P15">
        <f t="shared" si="4"/>
        <v>3.5984566666666668E-5</v>
      </c>
      <c r="Q15" cm="1">
        <f t="array" ref="Q15">[1]!PropsSI("D","T",J15+273.15,"P",101325,"Water")</f>
        <v>985.05438980670738</v>
      </c>
      <c r="R15" cm="1">
        <f t="array" ref="R15">[1]!PropsSI("D","T",K15+273.15,"P",101325,"Water")</f>
        <v>987.76658135865125</v>
      </c>
      <c r="S15">
        <f t="shared" si="5"/>
        <v>986.41048558267926</v>
      </c>
      <c r="T15" cm="1">
        <f t="array" ref="T15">[1]!PropsSI("H","T",J15+273.15,"P",101325,"Water")</f>
        <v>235801.42088844531</v>
      </c>
      <c r="U15" cm="1">
        <f t="array" ref="U15">[1]!PropsSI("H","T",K15+273.15,"P",101325,"Water")</f>
        <v>211889.84489556547</v>
      </c>
      <c r="V15">
        <f t="shared" si="6"/>
        <v>848.75463399063108</v>
      </c>
    </row>
    <row r="17" spans="5:16" x14ac:dyDescent="0.2">
      <c r="E17" s="1" t="s">
        <v>22</v>
      </c>
    </row>
    <row r="18" spans="5:16" x14ac:dyDescent="0.2">
      <c r="E18">
        <f>AVERAGE(V3:V15)</f>
        <v>846.8422794926845</v>
      </c>
    </row>
    <row r="19" spans="5:16" x14ac:dyDescent="0.2">
      <c r="P19" s="1"/>
    </row>
    <row r="20" spans="5:16" x14ac:dyDescent="0.2">
      <c r="P20" s="1"/>
    </row>
    <row r="21" spans="5:16" x14ac:dyDescent="0.2">
      <c r="P21" s="1"/>
    </row>
    <row r="22" spans="5:16" x14ac:dyDescent="0.2">
      <c r="P22" s="1"/>
    </row>
    <row r="23" spans="5:16" x14ac:dyDescent="0.2">
      <c r="P23" s="1"/>
    </row>
    <row r="24" spans="5:16" x14ac:dyDescent="0.2">
      <c r="P24" s="1"/>
    </row>
    <row r="25" spans="5:16" x14ac:dyDescent="0.2">
      <c r="P25" s="1"/>
    </row>
    <row r="26" spans="5:16" x14ac:dyDescent="0.2">
      <c r="P26" s="1"/>
    </row>
    <row r="27" spans="5:16" x14ac:dyDescent="0.2">
      <c r="P27" s="1"/>
    </row>
    <row r="28" spans="5:16" x14ac:dyDescent="0.2">
      <c r="P28" s="1"/>
    </row>
    <row r="29" spans="5:16" x14ac:dyDescent="0.2">
      <c r="P29" s="1"/>
    </row>
    <row r="30" spans="5:16" x14ac:dyDescent="0.2">
      <c r="P30" s="1"/>
    </row>
    <row r="31" spans="5:16" x14ac:dyDescent="0.2">
      <c r="P31" s="1"/>
    </row>
    <row r="32" spans="5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8965AE-832C-D74C-8C30-C9D4CE793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2026-02-25T06:00:27Z</dcterms:modified>
</cp:coreProperties>
</file>