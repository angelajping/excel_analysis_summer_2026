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jping/Desktop/Research/NURBS IDX30/Final/Back_final_15_2_26/30gps/"/>
    </mc:Choice>
  </mc:AlternateContent>
  <xr:revisionPtr revIDLastSave="0" documentId="13_ncr:1_{C88CB63B-F442-A34D-AC5D-5B1115E7A5D9}" xr6:coauthVersionLast="47" xr6:coauthVersionMax="47" xr10:uidLastSave="{00000000-0000-0000-0000-000000000000}"/>
  <bookViews>
    <workbookView xWindow="0" yWindow="660" windowWidth="30240" windowHeight="17520" xr2:uid="{1C60444A-BEFD-BC4F-B8F6-C471D470F8DA}"/>
  </bookViews>
  <sheets>
    <sheet name="Results" sheetId="13" r:id="rId1"/>
    <sheet name="1mps" sheetId="54" r:id="rId2"/>
    <sheet name="2mps" sheetId="56" r:id="rId3"/>
    <sheet name="3mps" sheetId="57" r:id="rId4"/>
    <sheet name="4mps" sheetId="58" r:id="rId5"/>
    <sheet name="5mps" sheetId="59" r:id="rId6"/>
    <sheet name="6mps" sheetId="60" r:id="rId7"/>
    <sheet name="7mps" sheetId="61" r:id="rId8"/>
  </sheets>
  <externalReferences>
    <externalReference r:id="rId9"/>
  </externalReferences>
  <definedNames>
    <definedName name="ExternalData_1" localSheetId="2" hidden="1">'2mps'!$A$1:$O$12</definedName>
    <definedName name="ExternalData_1" localSheetId="3" hidden="1">'3mps'!$A$1:$O$18</definedName>
    <definedName name="ExternalData_1" localSheetId="4" hidden="1">'4mps'!$A$1:$O$17</definedName>
    <definedName name="ExternalData_1" localSheetId="5" hidden="1">'5mps'!$A$1:$O$9</definedName>
    <definedName name="ExternalData_1" localSheetId="6" hidden="1">'6mps'!$A$1:$O$14</definedName>
    <definedName name="ExternalData_1" localSheetId="7" hidden="1">'7mps'!$A$1:$O$12</definedName>
    <definedName name="ExternalData_3" localSheetId="1" hidden="1">'1mps'!$A$1:$O$15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61" l="1"/>
  <c r="D17" i="60"/>
  <c r="D12" i="59"/>
  <c r="D20" i="58"/>
  <c r="D21" i="57"/>
  <c r="D15" i="56"/>
  <c r="E18" i="54"/>
  <c r="P12" i="61"/>
  <c r="P12" i="60"/>
  <c r="P13" i="60"/>
  <c r="P14" i="60"/>
  <c r="P12" i="58"/>
  <c r="P13" i="58"/>
  <c r="P14" i="58"/>
  <c r="P15" i="58"/>
  <c r="P16" i="58"/>
  <c r="P17" i="58"/>
  <c r="P12" i="57"/>
  <c r="P13" i="57"/>
  <c r="P14" i="57"/>
  <c r="P15" i="57"/>
  <c r="P16" i="57"/>
  <c r="P17" i="57"/>
  <c r="P18" i="57"/>
  <c r="P12" i="56"/>
  <c r="P12" i="54"/>
  <c r="P13" i="54"/>
  <c r="P14" i="54"/>
  <c r="P15" i="54"/>
  <c r="P11" i="61"/>
  <c r="P10" i="61"/>
  <c r="P9" i="61"/>
  <c r="P8" i="61"/>
  <c r="P7" i="61"/>
  <c r="P6" i="61"/>
  <c r="P5" i="61"/>
  <c r="P4" i="61"/>
  <c r="P3" i="61"/>
  <c r="P2" i="61"/>
  <c r="P11" i="60"/>
  <c r="P10" i="60"/>
  <c r="P9" i="60"/>
  <c r="P8" i="60"/>
  <c r="P7" i="60"/>
  <c r="P6" i="60"/>
  <c r="P5" i="60"/>
  <c r="P4" i="60"/>
  <c r="P3" i="60"/>
  <c r="P2" i="60"/>
  <c r="P9" i="59"/>
  <c r="P8" i="59"/>
  <c r="P7" i="59"/>
  <c r="P6" i="59"/>
  <c r="P5" i="59"/>
  <c r="P4" i="59"/>
  <c r="P3" i="59"/>
  <c r="P2" i="59"/>
  <c r="P11" i="58"/>
  <c r="P10" i="58"/>
  <c r="P9" i="58"/>
  <c r="P8" i="58"/>
  <c r="P7" i="58"/>
  <c r="P6" i="58"/>
  <c r="P5" i="58"/>
  <c r="P4" i="58"/>
  <c r="P3" i="58"/>
  <c r="P2" i="58"/>
  <c r="P11" i="57"/>
  <c r="P10" i="57"/>
  <c r="P9" i="57"/>
  <c r="P8" i="57"/>
  <c r="P7" i="57"/>
  <c r="P6" i="57"/>
  <c r="P5" i="57"/>
  <c r="P4" i="57"/>
  <c r="P3" i="57"/>
  <c r="P2" i="57"/>
  <c r="P11" i="56"/>
  <c r="P10" i="56"/>
  <c r="P9" i="56"/>
  <c r="P8" i="56"/>
  <c r="P7" i="56"/>
  <c r="P6" i="56"/>
  <c r="P5" i="56"/>
  <c r="P4" i="56"/>
  <c r="P3" i="56"/>
  <c r="P2" i="56"/>
  <c r="P11" i="54"/>
  <c r="P10" i="54"/>
  <c r="P9" i="54"/>
  <c r="P8" i="54"/>
  <c r="P7" i="54"/>
  <c r="P6" i="54"/>
  <c r="P5" i="54"/>
  <c r="P4" i="54"/>
  <c r="P3" i="54"/>
  <c r="P2" i="54"/>
  <c r="Q12" i="61" a="1"/>
  <c r="U12" i="61" a="1"/>
  <c r="R12" i="61" a="1"/>
  <c r="T12" i="61" a="1"/>
  <c r="Q13" i="60" a="1"/>
  <c r="T14" i="60" a="1"/>
  <c r="Q12" i="60" a="1"/>
  <c r="R14" i="60" a="1"/>
  <c r="U13" i="60" a="1"/>
  <c r="R13" i="60" a="1"/>
  <c r="R12" i="60" a="1"/>
  <c r="T13" i="60" a="1"/>
  <c r="T12" i="60" a="1"/>
  <c r="U14" i="60" a="1"/>
  <c r="U12" i="60" a="1"/>
  <c r="Q14" i="60" a="1"/>
  <c r="Q13" i="58" a="1"/>
  <c r="R15" i="58" a="1"/>
  <c r="U16" i="58" a="1"/>
  <c r="U13" i="58" a="1"/>
  <c r="Q17" i="58" a="1"/>
  <c r="Q15" i="58" a="1"/>
  <c r="Q12" i="58" a="1"/>
  <c r="R14" i="58" a="1"/>
  <c r="T17" i="58" a="1"/>
  <c r="T14" i="58" a="1"/>
  <c r="T12" i="58" a="1"/>
  <c r="R17" i="58" a="1"/>
  <c r="R13" i="58" a="1"/>
  <c r="T16" i="58" a="1"/>
  <c r="T13" i="58" a="1"/>
  <c r="U14" i="58" a="1"/>
  <c r="U12" i="58" a="1"/>
  <c r="R16" i="58" a="1"/>
  <c r="R12" i="58" a="1"/>
  <c r="T15" i="58" a="1"/>
  <c r="U17" i="58" a="1"/>
  <c r="U15" i="58" a="1"/>
  <c r="Q16" i="58" a="1"/>
  <c r="Q14" i="58" a="1"/>
  <c r="Q13" i="57" a="1"/>
  <c r="R15" i="57" a="1"/>
  <c r="T18" i="57" a="1"/>
  <c r="U17" i="57" a="1"/>
  <c r="T12" i="57" a="1"/>
  <c r="Q15" i="57" a="1"/>
  <c r="Q12" i="57" a="1"/>
  <c r="R14" i="57" a="1"/>
  <c r="T17" i="57" a="1"/>
  <c r="T14" i="57" a="1"/>
  <c r="U16" i="57" a="1"/>
  <c r="T13" i="57" a="1"/>
  <c r="Q14" i="57" a="1"/>
  <c r="R13" i="57" a="1"/>
  <c r="T16" i="57" a="1"/>
  <c r="U18" i="57" a="1"/>
  <c r="T15" i="57" a="1"/>
  <c r="U15" i="57" a="1"/>
  <c r="U14" i="57" a="1"/>
  <c r="R17" i="57" a="1"/>
  <c r="R12" i="57" a="1"/>
  <c r="U13" i="57" a="1"/>
  <c r="Q18" i="57" a="1"/>
  <c r="U12" i="57" a="1"/>
  <c r="Q17" i="57" a="1"/>
  <c r="Q16" i="57" a="1"/>
  <c r="R18" i="57" a="1"/>
  <c r="R16" i="57" a="1"/>
  <c r="Q12" i="56" a="1"/>
  <c r="R12" i="56" a="1"/>
  <c r="T12" i="56" a="1"/>
  <c r="U12" i="56" a="1"/>
  <c r="Q13" i="54" a="1"/>
  <c r="R15" i="54" a="1"/>
  <c r="T15" i="54" a="1"/>
  <c r="U12" i="54" a="1"/>
  <c r="Q15" i="54" a="1"/>
  <c r="Q12" i="54" a="1"/>
  <c r="R14" i="54" a="1"/>
  <c r="T13" i="54" a="1"/>
  <c r="R13" i="54" a="1"/>
  <c r="T14" i="54" a="1"/>
  <c r="U15" i="54" a="1"/>
  <c r="Q14" i="54" a="1"/>
  <c r="R12" i="54" a="1"/>
  <c r="T12" i="54" a="1"/>
  <c r="U14" i="54" a="1"/>
  <c r="U13" i="54" a="1"/>
  <c r="U9" i="61" a="1"/>
  <c r="T7" i="61" a="1"/>
  <c r="R4" i="61" a="1"/>
  <c r="Q2" i="61" a="1"/>
  <c r="T10" i="61" a="1"/>
  <c r="R7" i="61" a="1"/>
  <c r="Q5" i="61" a="1"/>
  <c r="R9" i="61" a="1"/>
  <c r="Q8" i="61" a="1"/>
  <c r="U3" i="61" a="1"/>
  <c r="Q10" i="61" a="1"/>
  <c r="Q11" i="61" a="1"/>
  <c r="T4" i="61" a="1"/>
  <c r="R2" i="61" a="1"/>
  <c r="U8" i="61" a="1"/>
  <c r="U10" i="61" a="1"/>
  <c r="T8" i="61" a="1"/>
  <c r="R5" i="61" a="1"/>
  <c r="Q3" i="61" a="1"/>
  <c r="R8" i="61" a="1"/>
  <c r="Q6" i="61" a="1"/>
  <c r="U2" i="61" a="1"/>
  <c r="R11" i="61" a="1"/>
  <c r="U4" i="61" a="1"/>
  <c r="U5" i="61" a="1"/>
  <c r="U7" i="61" a="1"/>
  <c r="T6" i="61" a="1"/>
  <c r="U11" i="61" a="1"/>
  <c r="T9" i="61" a="1"/>
  <c r="R6" i="61" a="1"/>
  <c r="Q4" i="61" a="1"/>
  <c r="T11" i="61" a="1"/>
  <c r="Q7" i="61" a="1"/>
  <c r="R10" i="61" a="1"/>
  <c r="Q9" i="61" a="1"/>
  <c r="T2" i="61" a="1"/>
  <c r="T3" i="61" a="1"/>
  <c r="U6" i="61" a="1"/>
  <c r="T5" i="61" a="1"/>
  <c r="R3" i="61" a="1"/>
  <c r="U9" i="60" a="1"/>
  <c r="T7" i="60" a="1"/>
  <c r="R4" i="60" a="1"/>
  <c r="Q2" i="60" a="1"/>
  <c r="Q6" i="60" a="1"/>
  <c r="U10" i="60" a="1"/>
  <c r="T8" i="60" a="1"/>
  <c r="R5" i="60" a="1"/>
  <c r="Q3" i="60" a="1"/>
  <c r="T11" i="60" a="1"/>
  <c r="R9" i="60" a="1"/>
  <c r="Q7" i="60" a="1"/>
  <c r="U2" i="60" a="1"/>
  <c r="T2" i="60" a="1"/>
  <c r="T3" i="60" a="1"/>
  <c r="U7" i="60" a="1"/>
  <c r="T6" i="60" a="1"/>
  <c r="U11" i="60" a="1"/>
  <c r="T9" i="60" a="1"/>
  <c r="R6" i="60" a="1"/>
  <c r="Q4" i="60" a="1"/>
  <c r="T10" i="60" a="1"/>
  <c r="R7" i="60" a="1"/>
  <c r="Q5" i="60" a="1"/>
  <c r="R8" i="60" a="1"/>
  <c r="R10" i="60" a="1"/>
  <c r="Q8" i="60" a="1"/>
  <c r="U3" i="60" a="1"/>
  <c r="R11" i="60" a="1"/>
  <c r="U4" i="60" a="1"/>
  <c r="Q10" i="60" a="1"/>
  <c r="Q11" i="60" a="1"/>
  <c r="T4" i="60" a="1"/>
  <c r="U8" i="60" a="1"/>
  <c r="R3" i="60" a="1"/>
  <c r="Q9" i="60" a="1"/>
  <c r="U5" i="60" a="1"/>
  <c r="U6" i="60" a="1"/>
  <c r="T5" i="60" a="1"/>
  <c r="R2" i="60" a="1"/>
  <c r="U9" i="59" a="1"/>
  <c r="T7" i="59" a="1"/>
  <c r="R4" i="59" a="1"/>
  <c r="Q2" i="59" a="1"/>
  <c r="T8" i="59" a="1"/>
  <c r="R5" i="59" a="1"/>
  <c r="T9" i="59" a="1"/>
  <c r="R6" i="59" a="1"/>
  <c r="Q4" i="59" a="1"/>
  <c r="R7" i="59" a="1"/>
  <c r="R8" i="59" a="1"/>
  <c r="Q6" i="59" a="1"/>
  <c r="U2" i="59" a="1"/>
  <c r="Q8" i="59" a="1"/>
  <c r="U3" i="59" a="1"/>
  <c r="T4" i="59" a="1"/>
  <c r="T5" i="59" a="1"/>
  <c r="Q3" i="59" a="1"/>
  <c r="R9" i="59" a="1"/>
  <c r="Q7" i="59" a="1"/>
  <c r="U6" i="59" a="1"/>
  <c r="U7" i="59" a="1"/>
  <c r="R2" i="59" a="1"/>
  <c r="Q5" i="59" a="1"/>
  <c r="Q9" i="59" a="1"/>
  <c r="U4" i="59" a="1"/>
  <c r="T2" i="59" a="1"/>
  <c r="U5" i="59" a="1"/>
  <c r="T3" i="59" a="1"/>
  <c r="U8" i="59" a="1"/>
  <c r="T6" i="59" a="1"/>
  <c r="R3" i="59" a="1"/>
  <c r="U9" i="58" a="1"/>
  <c r="T7" i="58" a="1"/>
  <c r="R4" i="58" a="1"/>
  <c r="Q2" i="58" a="1"/>
  <c r="T10" i="58" a="1"/>
  <c r="Q6" i="58" a="1"/>
  <c r="R11" i="58" a="1"/>
  <c r="Q10" i="58" a="1"/>
  <c r="Q11" i="58" a="1"/>
  <c r="U6" i="58" a="1"/>
  <c r="U7" i="58" a="1"/>
  <c r="U8" i="58" a="1"/>
  <c r="U10" i="58" a="1"/>
  <c r="T8" i="58" a="1"/>
  <c r="R5" i="58" a="1"/>
  <c r="Q3" i="58" a="1"/>
  <c r="R7" i="58" a="1"/>
  <c r="R8" i="58" a="1"/>
  <c r="U5" i="58" a="1"/>
  <c r="U11" i="58" a="1"/>
  <c r="T9" i="58" a="1"/>
  <c r="R6" i="58" a="1"/>
  <c r="Q4" i="58" a="1"/>
  <c r="Q5" i="58" a="1"/>
  <c r="T11" i="58" a="1"/>
  <c r="Q9" i="58" a="1"/>
  <c r="U4" i="58" a="1"/>
  <c r="T4" i="58" a="1"/>
  <c r="R2" i="58" a="1"/>
  <c r="R3" i="58" a="1"/>
  <c r="R9" i="58" a="1"/>
  <c r="Q7" i="58" a="1"/>
  <c r="U2" i="58" a="1"/>
  <c r="R10" i="58" a="1"/>
  <c r="Q8" i="58" a="1"/>
  <c r="U3" i="58" a="1"/>
  <c r="T2" i="58" a="1"/>
  <c r="T3" i="58" a="1"/>
  <c r="T5" i="58" a="1"/>
  <c r="T6" i="58" a="1"/>
  <c r="U9" i="57" a="1"/>
  <c r="T7" i="57" a="1"/>
  <c r="R4" i="57" a="1"/>
  <c r="Q2" i="57" a="1"/>
  <c r="U11" i="57" a="1"/>
  <c r="T9" i="57" a="1"/>
  <c r="R6" i="57" a="1"/>
  <c r="Q4" i="57" a="1"/>
  <c r="T10" i="57" a="1"/>
  <c r="U10" i="57" a="1"/>
  <c r="T8" i="57" a="1"/>
  <c r="R5" i="57" a="1"/>
  <c r="Q3" i="57" a="1"/>
  <c r="R7" i="57" a="1"/>
  <c r="Q5" i="57" a="1"/>
  <c r="T11" i="57" a="1"/>
  <c r="R8" i="57" a="1"/>
  <c r="Q6" i="57" a="1"/>
  <c r="R9" i="57" a="1"/>
  <c r="Q7" i="57" a="1"/>
  <c r="U2" i="57" a="1"/>
  <c r="R10" i="57" a="1"/>
  <c r="Q8" i="57" a="1"/>
  <c r="U3" i="57" a="1"/>
  <c r="R11" i="57" a="1"/>
  <c r="Q9" i="57" a="1"/>
  <c r="U4" i="57" a="1"/>
  <c r="T2" i="57" a="1"/>
  <c r="Q10" i="57" a="1"/>
  <c r="U5" i="57" a="1"/>
  <c r="T3" i="57" a="1"/>
  <c r="Q11" i="57" a="1"/>
  <c r="U6" i="57" a="1"/>
  <c r="T4" i="57" a="1"/>
  <c r="T6" i="57" a="1"/>
  <c r="U7" i="57" a="1"/>
  <c r="T5" i="57" a="1"/>
  <c r="R2" i="57" a="1"/>
  <c r="U8" i="57" a="1"/>
  <c r="R3" i="57" a="1"/>
  <c r="T10" i="56" a="1"/>
  <c r="R7" i="56" a="1"/>
  <c r="Q5" i="56" a="1"/>
  <c r="U10" i="56" a="1"/>
  <c r="T8" i="56" a="1"/>
  <c r="R5" i="56" a="1"/>
  <c r="Q3" i="56" a="1"/>
  <c r="U11" i="56" a="1"/>
  <c r="U2" i="56" a="1"/>
  <c r="R10" i="56" a="1"/>
  <c r="Q8" i="56" a="1"/>
  <c r="R9" i="56" a="1"/>
  <c r="Q7" i="56" a="1"/>
  <c r="T11" i="56" a="1"/>
  <c r="R8" i="56" a="1"/>
  <c r="Q6" i="56" a="1"/>
  <c r="U3" i="56" a="1"/>
  <c r="Q9" i="56" a="1"/>
  <c r="R11" i="56" a="1"/>
  <c r="U4" i="56" a="1"/>
  <c r="T2" i="56" a="1"/>
  <c r="U5" i="56" a="1"/>
  <c r="T3" i="56" a="1"/>
  <c r="U6" i="56" a="1"/>
  <c r="T4" i="56" a="1"/>
  <c r="U7" i="56" a="1"/>
  <c r="T5" i="56" a="1"/>
  <c r="R2" i="56" a="1"/>
  <c r="Q10" i="56" a="1"/>
  <c r="Q11" i="56" a="1"/>
  <c r="U8" i="56" a="1"/>
  <c r="T6" i="56" a="1"/>
  <c r="R3" i="56" a="1"/>
  <c r="U9" i="56" a="1"/>
  <c r="T7" i="56" a="1"/>
  <c r="R4" i="56" a="1"/>
  <c r="Q2" i="56" a="1"/>
  <c r="T9" i="56" a="1"/>
  <c r="R6" i="56" a="1"/>
  <c r="Q4" i="56" a="1"/>
  <c r="R4" i="54" a="1"/>
  <c r="Q2" i="54" a="1"/>
  <c r="R7" i="54" a="1"/>
  <c r="Q5" i="54" a="1"/>
  <c r="T11" i="54" a="1"/>
  <c r="R8" i="54" a="1"/>
  <c r="Q6" i="54" a="1"/>
  <c r="U4" i="54" a="1"/>
  <c r="Q9" i="54" a="1"/>
  <c r="T2" i="54" a="1"/>
  <c r="Q10" i="54" a="1"/>
  <c r="U5" i="54" a="1"/>
  <c r="Q11" i="54" a="1"/>
  <c r="T3" i="54" a="1"/>
  <c r="U8" i="54" a="1"/>
  <c r="Q3" i="54" a="1"/>
  <c r="T4" i="54" a="1"/>
  <c r="T6" i="54" a="1"/>
  <c r="U11" i="54" a="1"/>
  <c r="U7" i="54" a="1"/>
  <c r="R3" i="54" a="1"/>
  <c r="T9" i="54" a="1"/>
  <c r="T5" i="54" a="1"/>
  <c r="R9" i="54" a="1"/>
  <c r="R6" i="54" a="1"/>
  <c r="R2" i="54" a="1"/>
  <c r="Q7" i="54" a="1"/>
  <c r="Q4" i="54" a="1"/>
  <c r="U6" i="54" a="1"/>
  <c r="T10" i="54" a="1"/>
  <c r="R10" i="54" a="1"/>
  <c r="U2" i="54" a="1"/>
  <c r="Q8" i="54" a="1"/>
  <c r="U3" i="54" a="1"/>
  <c r="R11" i="54" a="1"/>
  <c r="U10" i="54" a="1"/>
  <c r="T8" i="54" a="1"/>
  <c r="R5" i="54" a="1"/>
  <c r="U9" i="54" a="1"/>
  <c r="T7" i="54" a="1"/>
  <c r="T12" i="61" l="1"/>
  <c r="R12" i="61"/>
  <c r="U12" i="61"/>
  <c r="Q12" i="61"/>
  <c r="S12" i="61" s="1"/>
  <c r="V12" i="61" s="1"/>
  <c r="Q14" i="60"/>
  <c r="U12" i="60"/>
  <c r="U14" i="60"/>
  <c r="T12" i="60"/>
  <c r="T13" i="60"/>
  <c r="R12" i="60"/>
  <c r="R13" i="60"/>
  <c r="U13" i="60"/>
  <c r="R14" i="60"/>
  <c r="Q12" i="60"/>
  <c r="S12" i="60" s="1"/>
  <c r="V12" i="60" s="1"/>
  <c r="T14" i="60"/>
  <c r="Q13" i="60"/>
  <c r="S13" i="60" s="1"/>
  <c r="V13" i="60" s="1"/>
  <c r="Q14" i="58"/>
  <c r="Q16" i="58"/>
  <c r="U15" i="58"/>
  <c r="U17" i="58"/>
  <c r="T15" i="58"/>
  <c r="R12" i="58"/>
  <c r="R16" i="58"/>
  <c r="U12" i="58"/>
  <c r="U14" i="58"/>
  <c r="T13" i="58"/>
  <c r="T16" i="58"/>
  <c r="R13" i="58"/>
  <c r="R17" i="58"/>
  <c r="T12" i="58"/>
  <c r="T14" i="58"/>
  <c r="T17" i="58"/>
  <c r="R14" i="58"/>
  <c r="Q12" i="58"/>
  <c r="S12" i="58" s="1"/>
  <c r="V12" i="58" s="1"/>
  <c r="Q15" i="58"/>
  <c r="Q17" i="58"/>
  <c r="S17" i="58" s="1"/>
  <c r="V17" i="58" s="1"/>
  <c r="U13" i="58"/>
  <c r="U16" i="58"/>
  <c r="R15" i="58"/>
  <c r="Q13" i="58"/>
  <c r="S13" i="58" s="1"/>
  <c r="V13" i="58" s="1"/>
  <c r="R16" i="57"/>
  <c r="R18" i="57"/>
  <c r="Q16" i="57"/>
  <c r="S16" i="57" s="1"/>
  <c r="Q17" i="57"/>
  <c r="U12" i="57"/>
  <c r="Q18" i="57"/>
  <c r="S18" i="57" s="1"/>
  <c r="V18" i="57" s="1"/>
  <c r="U13" i="57"/>
  <c r="R12" i="57"/>
  <c r="R17" i="57"/>
  <c r="U14" i="57"/>
  <c r="U15" i="57"/>
  <c r="T15" i="57"/>
  <c r="U18" i="57"/>
  <c r="T16" i="57"/>
  <c r="R13" i="57"/>
  <c r="Q14" i="57"/>
  <c r="T13" i="57"/>
  <c r="U16" i="57"/>
  <c r="T14" i="57"/>
  <c r="T17" i="57"/>
  <c r="R14" i="57"/>
  <c r="Q12" i="57"/>
  <c r="S12" i="57" s="1"/>
  <c r="Q15" i="57"/>
  <c r="S15" i="57" s="1"/>
  <c r="T12" i="57"/>
  <c r="U17" i="57"/>
  <c r="T18" i="57"/>
  <c r="R15" i="57"/>
  <c r="Q13" i="57"/>
  <c r="S13" i="57" s="1"/>
  <c r="U12" i="56"/>
  <c r="T12" i="56"/>
  <c r="R12" i="56"/>
  <c r="Q12" i="56"/>
  <c r="S12" i="56" s="1"/>
  <c r="V12" i="56" s="1"/>
  <c r="U13" i="54"/>
  <c r="U14" i="54"/>
  <c r="T12" i="54"/>
  <c r="R12" i="54"/>
  <c r="Q14" i="54"/>
  <c r="U15" i="54"/>
  <c r="T14" i="54"/>
  <c r="R13" i="54"/>
  <c r="T13" i="54"/>
  <c r="R14" i="54"/>
  <c r="Q12" i="54"/>
  <c r="S12" i="54" s="1"/>
  <c r="V12" i="54" s="1"/>
  <c r="Q15" i="54"/>
  <c r="S15" i="54" s="1"/>
  <c r="V15" i="54" s="1"/>
  <c r="U12" i="54"/>
  <c r="T15" i="54"/>
  <c r="R15" i="54"/>
  <c r="Q13" i="54"/>
  <c r="R3" i="61"/>
  <c r="T5" i="61"/>
  <c r="U6" i="61"/>
  <c r="T3" i="61"/>
  <c r="T2" i="61"/>
  <c r="Q9" i="61"/>
  <c r="R10" i="61"/>
  <c r="Q7" i="61"/>
  <c r="T11" i="61"/>
  <c r="Q4" i="61"/>
  <c r="S4" i="61" s="1"/>
  <c r="V4" i="61" s="1"/>
  <c r="R6" i="61"/>
  <c r="T9" i="61"/>
  <c r="U11" i="61"/>
  <c r="T6" i="61"/>
  <c r="U7" i="61"/>
  <c r="U5" i="61"/>
  <c r="U4" i="61"/>
  <c r="R11" i="61"/>
  <c r="U2" i="61"/>
  <c r="Q6" i="61"/>
  <c r="R8" i="61"/>
  <c r="Q3" i="61"/>
  <c r="S3" i="61" s="1"/>
  <c r="V3" i="61" s="1"/>
  <c r="R5" i="61"/>
  <c r="T8" i="61"/>
  <c r="U10" i="61"/>
  <c r="U8" i="61"/>
  <c r="R2" i="61"/>
  <c r="T4" i="61"/>
  <c r="Q11" i="61"/>
  <c r="Q10" i="61"/>
  <c r="U3" i="61"/>
  <c r="Q8" i="61"/>
  <c r="R9" i="61"/>
  <c r="Q5" i="61"/>
  <c r="R7" i="61"/>
  <c r="T10" i="61"/>
  <c r="Q2" i="61"/>
  <c r="S2" i="61" s="1"/>
  <c r="R4" i="61"/>
  <c r="T7" i="61"/>
  <c r="U9" i="61"/>
  <c r="R2" i="60"/>
  <c r="T5" i="60"/>
  <c r="U6" i="60"/>
  <c r="U5" i="60"/>
  <c r="Q9" i="60"/>
  <c r="R3" i="60"/>
  <c r="U8" i="60"/>
  <c r="T4" i="60"/>
  <c r="Q11" i="60"/>
  <c r="Q10" i="60"/>
  <c r="S10" i="60" s="1"/>
  <c r="U4" i="60"/>
  <c r="R11" i="60"/>
  <c r="U3" i="60"/>
  <c r="Q8" i="60"/>
  <c r="R10" i="60"/>
  <c r="R8" i="60"/>
  <c r="Q5" i="60"/>
  <c r="R7" i="60"/>
  <c r="T10" i="60"/>
  <c r="Q4" i="60"/>
  <c r="S4" i="60" s="1"/>
  <c r="R6" i="60"/>
  <c r="T9" i="60"/>
  <c r="U11" i="60"/>
  <c r="T6" i="60"/>
  <c r="U7" i="60"/>
  <c r="T3" i="60"/>
  <c r="T2" i="60"/>
  <c r="U2" i="60"/>
  <c r="Q7" i="60"/>
  <c r="R9" i="60"/>
  <c r="T11" i="60"/>
  <c r="Q3" i="60"/>
  <c r="S3" i="60" s="1"/>
  <c r="V3" i="60" s="1"/>
  <c r="R5" i="60"/>
  <c r="T8" i="60"/>
  <c r="U10" i="60"/>
  <c r="Q6" i="60"/>
  <c r="S6" i="60" s="1"/>
  <c r="V6" i="60" s="1"/>
  <c r="Q2" i="60"/>
  <c r="S2" i="60" s="1"/>
  <c r="R4" i="60"/>
  <c r="T7" i="60"/>
  <c r="U9" i="60"/>
  <c r="R3" i="59"/>
  <c r="T6" i="59"/>
  <c r="U8" i="59"/>
  <c r="T3" i="59"/>
  <c r="U5" i="59"/>
  <c r="T2" i="59"/>
  <c r="U4" i="59"/>
  <c r="Q9" i="59"/>
  <c r="S9" i="59" s="1"/>
  <c r="V9" i="59" s="1"/>
  <c r="Q5" i="59"/>
  <c r="R2" i="59"/>
  <c r="U7" i="59"/>
  <c r="U6" i="59"/>
  <c r="Q7" i="59"/>
  <c r="R9" i="59"/>
  <c r="Q3" i="59"/>
  <c r="S3" i="59" s="1"/>
  <c r="T5" i="59"/>
  <c r="T4" i="59"/>
  <c r="U3" i="59"/>
  <c r="Q8" i="59"/>
  <c r="S8" i="59" s="1"/>
  <c r="V8" i="59" s="1"/>
  <c r="U2" i="59"/>
  <c r="Q6" i="59"/>
  <c r="R8" i="59"/>
  <c r="R7" i="59"/>
  <c r="Q4" i="59"/>
  <c r="S4" i="59" s="1"/>
  <c r="R6" i="59"/>
  <c r="T9" i="59"/>
  <c r="R5" i="59"/>
  <c r="T8" i="59"/>
  <c r="Q2" i="59"/>
  <c r="S2" i="59" s="1"/>
  <c r="R4" i="59"/>
  <c r="T7" i="59"/>
  <c r="U9" i="59"/>
  <c r="T6" i="58"/>
  <c r="T5" i="58"/>
  <c r="T3" i="58"/>
  <c r="T2" i="58"/>
  <c r="U3" i="58"/>
  <c r="Q8" i="58"/>
  <c r="R10" i="58"/>
  <c r="U2" i="58"/>
  <c r="Q7" i="58"/>
  <c r="R9" i="58"/>
  <c r="R3" i="58"/>
  <c r="R2" i="58"/>
  <c r="T4" i="58"/>
  <c r="U4" i="58"/>
  <c r="Q9" i="58"/>
  <c r="T11" i="58"/>
  <c r="Q5" i="58"/>
  <c r="S5" i="58" s="1"/>
  <c r="Q4" i="58"/>
  <c r="S4" i="58" s="1"/>
  <c r="V4" i="58" s="1"/>
  <c r="R6" i="58"/>
  <c r="T9" i="58"/>
  <c r="U11" i="58"/>
  <c r="U5" i="58"/>
  <c r="R8" i="58"/>
  <c r="R7" i="58"/>
  <c r="Q3" i="58"/>
  <c r="R5" i="58"/>
  <c r="T8" i="58"/>
  <c r="U10" i="58"/>
  <c r="U8" i="58"/>
  <c r="U7" i="58"/>
  <c r="U6" i="58"/>
  <c r="Q11" i="58"/>
  <c r="Q10" i="58"/>
  <c r="S10" i="58" s="1"/>
  <c r="R11" i="58"/>
  <c r="Q6" i="58"/>
  <c r="S6" i="58" s="1"/>
  <c r="V6" i="58" s="1"/>
  <c r="T10" i="58"/>
  <c r="Q2" i="58"/>
  <c r="R4" i="58"/>
  <c r="T7" i="58"/>
  <c r="U9" i="58"/>
  <c r="R3" i="57"/>
  <c r="U8" i="57"/>
  <c r="R2" i="57"/>
  <c r="T5" i="57"/>
  <c r="U7" i="57"/>
  <c r="T6" i="57"/>
  <c r="T4" i="57"/>
  <c r="U6" i="57"/>
  <c r="Q11" i="57"/>
  <c r="S11" i="57" s="1"/>
  <c r="T3" i="57"/>
  <c r="U5" i="57"/>
  <c r="Q10" i="57"/>
  <c r="S10" i="57" s="1"/>
  <c r="V10" i="57" s="1"/>
  <c r="T2" i="57"/>
  <c r="U4" i="57"/>
  <c r="Q9" i="57"/>
  <c r="R11" i="57"/>
  <c r="U3" i="57"/>
  <c r="Q8" i="57"/>
  <c r="R10" i="57"/>
  <c r="U2" i="57"/>
  <c r="Q7" i="57"/>
  <c r="S7" i="57" s="1"/>
  <c r="V7" i="57" s="1"/>
  <c r="R9" i="57"/>
  <c r="Q6" i="57"/>
  <c r="S6" i="57" s="1"/>
  <c r="V6" i="57" s="1"/>
  <c r="R8" i="57"/>
  <c r="T11" i="57"/>
  <c r="Q5" i="57"/>
  <c r="R7" i="57"/>
  <c r="Q3" i="57"/>
  <c r="S3" i="57" s="1"/>
  <c r="R5" i="57"/>
  <c r="T8" i="57"/>
  <c r="U10" i="57"/>
  <c r="T10" i="57"/>
  <c r="Q4" i="57"/>
  <c r="S4" i="57" s="1"/>
  <c r="V4" i="57" s="1"/>
  <c r="R6" i="57"/>
  <c r="T9" i="57"/>
  <c r="U11" i="57"/>
  <c r="Q2" i="57"/>
  <c r="S2" i="57" s="1"/>
  <c r="V2" i="57" s="1"/>
  <c r="R4" i="57"/>
  <c r="T7" i="57"/>
  <c r="U9" i="57"/>
  <c r="Q4" i="56"/>
  <c r="R6" i="56"/>
  <c r="T9" i="56"/>
  <c r="Q2" i="56"/>
  <c r="R4" i="56"/>
  <c r="T7" i="56"/>
  <c r="U9" i="56"/>
  <c r="R3" i="56"/>
  <c r="T6" i="56"/>
  <c r="U8" i="56"/>
  <c r="Q11" i="56"/>
  <c r="S11" i="56" s="1"/>
  <c r="V11" i="56" s="1"/>
  <c r="Q10" i="56"/>
  <c r="S10" i="56" s="1"/>
  <c r="V10" i="56" s="1"/>
  <c r="R2" i="56"/>
  <c r="T5" i="56"/>
  <c r="U7" i="56"/>
  <c r="T4" i="56"/>
  <c r="U6" i="56"/>
  <c r="T3" i="56"/>
  <c r="U5" i="56"/>
  <c r="T2" i="56"/>
  <c r="U4" i="56"/>
  <c r="R11" i="56"/>
  <c r="Q9" i="56"/>
  <c r="S9" i="56" s="1"/>
  <c r="V9" i="56" s="1"/>
  <c r="U3" i="56"/>
  <c r="Q6" i="56"/>
  <c r="S6" i="56" s="1"/>
  <c r="R8" i="56"/>
  <c r="T11" i="56"/>
  <c r="Q7" i="56"/>
  <c r="S7" i="56" s="1"/>
  <c r="R9" i="56"/>
  <c r="Q8" i="56"/>
  <c r="S8" i="56" s="1"/>
  <c r="R10" i="56"/>
  <c r="U2" i="56"/>
  <c r="U11" i="56"/>
  <c r="Q3" i="56"/>
  <c r="S3" i="56" s="1"/>
  <c r="R5" i="56"/>
  <c r="T8" i="56"/>
  <c r="U10" i="56"/>
  <c r="Q5" i="56"/>
  <c r="R7" i="56"/>
  <c r="T10" i="56"/>
  <c r="Q7" i="54"/>
  <c r="R9" i="54"/>
  <c r="R3" i="54"/>
  <c r="T6" i="54"/>
  <c r="U8" i="54"/>
  <c r="Q11" i="54"/>
  <c r="Q10" i="54"/>
  <c r="Q9" i="54"/>
  <c r="S9" i="54" s="1"/>
  <c r="V9" i="54" s="1"/>
  <c r="R11" i="54"/>
  <c r="Q8" i="54"/>
  <c r="R10" i="54"/>
  <c r="U6" i="54"/>
  <c r="R2" i="54"/>
  <c r="T5" i="54"/>
  <c r="U7" i="54"/>
  <c r="T4" i="54"/>
  <c r="T3" i="54"/>
  <c r="U5" i="54"/>
  <c r="T2" i="54"/>
  <c r="U4" i="54"/>
  <c r="U3" i="54"/>
  <c r="U2" i="54"/>
  <c r="T10" i="54"/>
  <c r="Q4" i="54"/>
  <c r="S4" i="54" s="1"/>
  <c r="V4" i="54" s="1"/>
  <c r="R6" i="54"/>
  <c r="T9" i="54"/>
  <c r="U11" i="54"/>
  <c r="Q3" i="54"/>
  <c r="S3" i="54" s="1"/>
  <c r="R5" i="54"/>
  <c r="T8" i="54"/>
  <c r="U10" i="54"/>
  <c r="Q6" i="54"/>
  <c r="S6" i="54" s="1"/>
  <c r="R8" i="54"/>
  <c r="T11" i="54"/>
  <c r="Q5" i="54"/>
  <c r="R7" i="54"/>
  <c r="Q2" i="54"/>
  <c r="S2" i="54" s="1"/>
  <c r="R4" i="54"/>
  <c r="T7" i="54"/>
  <c r="U9" i="54"/>
  <c r="S14" i="60" l="1"/>
  <c r="V14" i="60" s="1"/>
  <c r="S15" i="58"/>
  <c r="V15" i="58" s="1"/>
  <c r="S16" i="58"/>
  <c r="V16" i="58" s="1"/>
  <c r="S14" i="58"/>
  <c r="V14" i="58" s="1"/>
  <c r="V15" i="57"/>
  <c r="V16" i="57"/>
  <c r="V12" i="57"/>
  <c r="S14" i="57"/>
  <c r="V14" i="57" s="1"/>
  <c r="V13" i="57"/>
  <c r="S17" i="57"/>
  <c r="V17" i="57" s="1"/>
  <c r="S13" i="54"/>
  <c r="V13" i="54" s="1"/>
  <c r="S14" i="54"/>
  <c r="V14" i="54" s="1"/>
  <c r="S6" i="61"/>
  <c r="V6" i="61" s="1"/>
  <c r="S11" i="61"/>
  <c r="V11" i="61" s="1"/>
  <c r="S8" i="61"/>
  <c r="V8" i="61" s="1"/>
  <c r="S10" i="61"/>
  <c r="V10" i="61" s="1"/>
  <c r="S5" i="61"/>
  <c r="V5" i="61" s="1"/>
  <c r="S7" i="61"/>
  <c r="V7" i="61" s="1"/>
  <c r="S9" i="61"/>
  <c r="V9" i="61" s="1"/>
  <c r="V2" i="61"/>
  <c r="V4" i="60"/>
  <c r="S7" i="60"/>
  <c r="V7" i="60" s="1"/>
  <c r="S5" i="60"/>
  <c r="V5" i="60" s="1"/>
  <c r="S9" i="60"/>
  <c r="V9" i="60" s="1"/>
  <c r="S8" i="60"/>
  <c r="V8" i="60" s="1"/>
  <c r="V10" i="60"/>
  <c r="S11" i="60"/>
  <c r="V11" i="60" s="1"/>
  <c r="V2" i="60"/>
  <c r="V3" i="59"/>
  <c r="V4" i="59"/>
  <c r="S7" i="59"/>
  <c r="V7" i="59" s="1"/>
  <c r="V2" i="59"/>
  <c r="S6" i="59"/>
  <c r="V6" i="59" s="1"/>
  <c r="S5" i="59"/>
  <c r="V5" i="59" s="1"/>
  <c r="S9" i="58"/>
  <c r="V9" i="58" s="1"/>
  <c r="V10" i="58"/>
  <c r="V5" i="58"/>
  <c r="S7" i="58"/>
  <c r="V7" i="58" s="1"/>
  <c r="S11" i="58"/>
  <c r="V11" i="58" s="1"/>
  <c r="S8" i="58"/>
  <c r="V8" i="58" s="1"/>
  <c r="S2" i="58"/>
  <c r="V2" i="58" s="1"/>
  <c r="S3" i="58"/>
  <c r="V3" i="58" s="1"/>
  <c r="V11" i="57"/>
  <c r="S9" i="57"/>
  <c r="V9" i="57" s="1"/>
  <c r="S8" i="57"/>
  <c r="V8" i="57" s="1"/>
  <c r="V3" i="57"/>
  <c r="S5" i="57"/>
  <c r="V5" i="57" s="1"/>
  <c r="V3" i="56"/>
  <c r="V7" i="56"/>
  <c r="S2" i="56"/>
  <c r="V2" i="56" s="1"/>
  <c r="S5" i="56"/>
  <c r="V5" i="56" s="1"/>
  <c r="V8" i="56"/>
  <c r="V6" i="56"/>
  <c r="S4" i="56"/>
  <c r="V4" i="56" s="1"/>
  <c r="S5" i="54"/>
  <c r="V5" i="54" s="1"/>
  <c r="S8" i="54"/>
  <c r="V8" i="54" s="1"/>
  <c r="S11" i="54"/>
  <c r="V11" i="54" s="1"/>
  <c r="S10" i="54"/>
  <c r="V10" i="54" s="1"/>
  <c r="V3" i="54"/>
  <c r="V6" i="54"/>
  <c r="V2" i="54"/>
  <c r="S7" i="54"/>
  <c r="V7" i="5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EDBACF-D104-FF45-ADB6-6616B8F1CA31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xr16:uid="{AC0AA7BC-F3D2-2C4A-83D2-569391CA22B2}" keepAlive="1" name="Query - sheet1 (10)" description="Connection to the 'sheet1 (10)' query in the workbook." type="5" refreshedVersion="8" background="1" saveData="1">
    <dbPr connection="Provider=Microsoft.Mashup.OleDb.1;Data Source=$Workbook$;Location=&quot;sheet1 (10)&quot;;Extended Properties=&quot;&quot;" command="SELECT * FROM [sheet1 (10)]"/>
  </connection>
  <connection id="3" xr16:uid="{23B743B9-C177-3F41-A44D-E43B65BB7A57}" keepAlive="1" name="Query - sheet1 (11)" description="Connection to the 'sheet1 (11)' query in the workbook." type="5" refreshedVersion="8" background="1" saveData="1">
    <dbPr connection="Provider=Microsoft.Mashup.OleDb.1;Data Source=$Workbook$;Location=&quot;sheet1 (11)&quot;;Extended Properties=&quot;&quot;" command="SELECT * FROM [sheet1 (11)]"/>
  </connection>
  <connection id="4" xr16:uid="{C1BFF373-BE82-294A-9655-7CE46EF3DDE0}" keepAlive="1" name="Query - sheet1 (12)" description="Connection to the 'sheet1 (12)' query in the workbook." type="5" refreshedVersion="8" background="1" saveData="1">
    <dbPr connection="Provider=Microsoft.Mashup.OleDb.1;Data Source=$Workbook$;Location=&quot;sheet1 (12)&quot;;Extended Properties=&quot;&quot;" command="SELECT * FROM [sheet1 (12)]"/>
  </connection>
  <connection id="5" xr16:uid="{80419DA5-31A4-5247-8707-75359CAFAAAA}" keepAlive="1" name="Query - sheet1 (13)" description="Connection to the 'sheet1 (13)' query in the workbook." type="5" refreshedVersion="8" background="1" saveData="1">
    <dbPr connection="Provider=Microsoft.Mashup.OleDb.1;Data Source=$Workbook$;Location=&quot;sheet1 (13)&quot;;Extended Properties=&quot;&quot;" command="SELECT * FROM [sheet1 (13)]"/>
  </connection>
  <connection id="6" xr16:uid="{3BDF2326-4B76-714F-89DB-686E3E87F3D6}" keepAlive="1" name="Query - sheet1 (14)" description="Connection to the 'sheet1 (14)' query in the workbook." type="5" refreshedVersion="8" background="1" saveData="1">
    <dbPr connection="Provider=Microsoft.Mashup.OleDb.1;Data Source=$Workbook$;Location=&quot;sheet1 (14)&quot;;Extended Properties=&quot;&quot;" command="SELECT * FROM [sheet1 (14)]"/>
  </connection>
  <connection id="7" xr16:uid="{0F6383C8-57CC-FD43-9C99-D1AEC746D05B}" keepAlive="1" name="Query - sheet1 (15)" description="Connection to the 'sheet1 (15)' query in the workbook." type="5" refreshedVersion="8" background="1" saveData="1">
    <dbPr connection="Provider=Microsoft.Mashup.OleDb.1;Data Source=$Workbook$;Location=&quot;sheet1 (15)&quot;;Extended Properties=&quot;&quot;" command="SELECT * FROM [sheet1 (15)]"/>
  </connection>
  <connection id="8" xr16:uid="{8D2445E9-2AF7-9442-B1CC-FFDCE0B0AFDB}" keepAlive="1" name="Query - sheet1 (16)" description="Connection to the 'sheet1 (16)' query in the workbook." type="5" refreshedVersion="8" background="1" saveData="1">
    <dbPr connection="Provider=Microsoft.Mashup.OleDb.1;Data Source=$Workbook$;Location=&quot;sheet1 (16)&quot;;Extended Properties=&quot;&quot;" command="SELECT * FROM [sheet1 (16)]"/>
  </connection>
  <connection id="9" xr16:uid="{C0F95801-D0AC-654E-952C-39406C4DE3E9}" keepAlive="1" name="Query - sheet1 (17)" description="Connection to the 'sheet1 (17)' query in the workbook." type="5" refreshedVersion="8" background="1" saveData="1">
    <dbPr connection="Provider=Microsoft.Mashup.OleDb.1;Data Source=$Workbook$;Location=&quot;sheet1 (17)&quot;;Extended Properties=&quot;&quot;" command="SELECT * FROM [sheet1 (17)]"/>
  </connection>
  <connection id="10" xr16:uid="{F1E47B32-1BF0-2F4E-89DB-653532964071}" keepAlive="1" name="Query - sheet1 (18)" description="Connection to the 'sheet1 (18)' query in the workbook." type="5" refreshedVersion="8" background="1" saveData="1">
    <dbPr connection="Provider=Microsoft.Mashup.OleDb.1;Data Source=$Workbook$;Location=&quot;sheet1 (18)&quot;;Extended Properties=&quot;&quot;" command="SELECT * FROM [sheet1 (18)]"/>
  </connection>
  <connection id="11" xr16:uid="{241D4006-6AE1-014B-8BD1-87C2B8BEADE9}" keepAlive="1" name="Query - sheet1 (19)" description="Connection to the 'sheet1 (19)' query in the workbook." type="5" refreshedVersion="8" background="1" saveData="1">
    <dbPr connection="Provider=Microsoft.Mashup.OleDb.1;Data Source=$Workbook$;Location=&quot;sheet1 (19)&quot;;Extended Properties=&quot;&quot;" command="SELECT * FROM [sheet1 (19)]"/>
  </connection>
  <connection id="12" xr16:uid="{1918B5ED-FFDE-7F46-A02A-F90748244A4E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  <connection id="13" xr16:uid="{24FACAED-5DB3-DA4F-AEF4-6E7C2F5E357F}" keepAlive="1" name="Query - sheet1 (20)" description="Connection to the 'sheet1 (20)' query in the workbook." type="5" refreshedVersion="8" background="1" saveData="1">
    <dbPr connection="Provider=Microsoft.Mashup.OleDb.1;Data Source=$Workbook$;Location=&quot;sheet1 (20)&quot;;Extended Properties=&quot;&quot;" command="SELECT * FROM [sheet1 (20)]"/>
  </connection>
  <connection id="14" xr16:uid="{F28315A7-7B6B-CD40-A1D0-7430BB740627}" keepAlive="1" name="Query - sheet1 (21)" description="Connection to the 'sheet1 (21)' query in the workbook." type="5" refreshedVersion="8" background="1" saveData="1">
    <dbPr connection="Provider=Microsoft.Mashup.OleDb.1;Data Source=$Workbook$;Location=&quot;sheet1 (21)&quot;;Extended Properties=&quot;&quot;" command="SELECT * FROM [sheet1 (21)]"/>
  </connection>
  <connection id="15" xr16:uid="{B78EA54C-E701-0743-840F-E5EAD8E09A9D}" keepAlive="1" name="Query - sheet1 (22)" description="Connection to the 'sheet1 (22)' query in the workbook." type="5" refreshedVersion="8" background="1" saveData="1">
    <dbPr connection="Provider=Microsoft.Mashup.OleDb.1;Data Source=$Workbook$;Location=&quot;sheet1 (22)&quot;;Extended Properties=&quot;&quot;" command="SELECT * FROM [sheet1 (22)]"/>
  </connection>
  <connection id="16" xr16:uid="{932FF392-9AF2-D54F-9595-71E867FCDA7E}" keepAlive="1" name="Query - sheet1 (23)" description="Connection to the 'sheet1 (23)' query in the workbook." type="5" refreshedVersion="0" background="1">
    <dbPr connection="Provider=Microsoft.Mashup.OleDb.1;Data Source=$Workbook$;Location=&quot;sheet1 (23)&quot;;Extended Properties=&quot;&quot;" command="SELECT * FROM [sheet1 (23)]"/>
  </connection>
  <connection id="17" xr16:uid="{409B9E33-144B-C042-A2BE-6F9B2DEE639F}" keepAlive="1" name="Query - sheet1 (24)" description="Connection to the 'sheet1 (24)' query in the workbook." type="5" refreshedVersion="0" background="1">
    <dbPr connection="Provider=Microsoft.Mashup.OleDb.1;Data Source=$Workbook$;Location=&quot;sheet1 (24)&quot;;Extended Properties=&quot;&quot;" command="SELECT * FROM [sheet1 (24)]"/>
  </connection>
  <connection id="18" xr16:uid="{71B861DB-E4E4-AC45-9884-82000470789D}" keepAlive="1" name="Query - sheet1 (25)" description="Connection to the 'sheet1 (25)' query in the workbook." type="5" refreshedVersion="0" background="1">
    <dbPr connection="Provider=Microsoft.Mashup.OleDb.1;Data Source=$Workbook$;Location=&quot;sheet1 (25)&quot;;Extended Properties=&quot;&quot;" command="SELECT * FROM [sheet1 (25)]"/>
  </connection>
  <connection id="19" xr16:uid="{0259432B-1DD1-6F48-97E7-FF78E3177706}" keepAlive="1" name="Query - sheet1 (26)" description="Connection to the 'sheet1 (26)' query in the workbook." type="5" refreshedVersion="0" background="1">
    <dbPr connection="Provider=Microsoft.Mashup.OleDb.1;Data Source=$Workbook$;Location=&quot;sheet1 (26)&quot;;Extended Properties=&quot;&quot;" command="SELECT * FROM [sheet1 (26)]"/>
  </connection>
  <connection id="20" xr16:uid="{54BAFF37-2D34-BF4D-A403-C0D8593DF8A0}" keepAlive="1" name="Query - sheet1 (27)" description="Connection to the 'sheet1 (27)' query in the workbook." type="5" refreshedVersion="0" background="1">
    <dbPr connection="Provider=Microsoft.Mashup.OleDb.1;Data Source=$Workbook$;Location=&quot;sheet1 (27)&quot;;Extended Properties=&quot;&quot;" command="SELECT * FROM [sheet1 (27)]"/>
  </connection>
  <connection id="21" xr16:uid="{A5A5D3DE-FE19-B64B-AA47-ADBAD51C6D90}" keepAlive="1" name="Query - sheet1 (28)" description="Connection to the 'sheet1 (28)' query in the workbook." type="5" refreshedVersion="0" background="1">
    <dbPr connection="Provider=Microsoft.Mashup.OleDb.1;Data Source=$Workbook$;Location=&quot;sheet1 (28)&quot;;Extended Properties=&quot;&quot;" command="SELECT * FROM [sheet1 (28)]"/>
  </connection>
  <connection id="22" xr16:uid="{F672478A-D60F-5E4C-976B-615A98671E11}" keepAlive="1" name="Query - sheet1 (29)" description="Connection to the 'sheet1 (29)' query in the workbook." type="5" refreshedVersion="0" background="1">
    <dbPr connection="Provider=Microsoft.Mashup.OleDb.1;Data Source=$Workbook$;Location=&quot;sheet1 (29)&quot;;Extended Properties=&quot;&quot;" command="SELECT * FROM [sheet1 (29)]"/>
  </connection>
  <connection id="23" xr16:uid="{0022E35C-8554-0D47-A1EE-1B27F0CA5556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24" xr16:uid="{DE2D7258-D7AA-6049-8805-DFA7E9373502}" keepAlive="1" name="Query - sheet1 (30)" description="Connection to the 'sheet1 (30)' query in the workbook." type="5" refreshedVersion="0" background="1" saveData="1">
    <dbPr connection="Provider=Microsoft.Mashup.OleDb.1;Data Source=$Workbook$;Location=&quot;sheet1 (30)&quot;;Extended Properties=&quot;&quot;" command="SELECT * FROM [sheet1 (30)]"/>
  </connection>
  <connection id="25" xr16:uid="{95705D8B-C761-684C-8E59-E29871A58BCF}" keepAlive="1" name="Query - sheet1 (31)" description="Connection to the 'sheet1 (31)' query in the workbook." type="5" refreshedVersion="8" background="1" saveData="1">
    <dbPr connection="Provider=Microsoft.Mashup.OleDb.1;Data Source=$Workbook$;Location=&quot;sheet1 (31)&quot;;Extended Properties=&quot;&quot;" command="SELECT * FROM [sheet1 (31)]"/>
  </connection>
  <connection id="26" xr16:uid="{67D38F59-9847-8241-804A-D253402DE1E8}" keepAlive="1" name="Query - sheet1 (32)" description="Connection to the 'sheet1 (32)' query in the workbook." type="5" refreshedVersion="8" background="1" saveData="1">
    <dbPr connection="Provider=Microsoft.Mashup.OleDb.1;Data Source=$Workbook$;Location=&quot;sheet1 (32)&quot;;Extended Properties=&quot;&quot;" command="SELECT * FROM [sheet1 (32)]"/>
  </connection>
  <connection id="27" xr16:uid="{3668AFA0-DE6A-DC4F-86E3-42AEDAF56C90}" keepAlive="1" name="Query - sheet1 (33)" description="Connection to the 'sheet1 (33)' query in the workbook." type="5" refreshedVersion="8" background="1" saveData="1">
    <dbPr connection="Provider=Microsoft.Mashup.OleDb.1;Data Source=$Workbook$;Location=&quot;sheet1 (33)&quot;;Extended Properties=&quot;&quot;" command="SELECT * FROM [sheet1 (33)]"/>
  </connection>
  <connection id="28" xr16:uid="{90C4A09B-285E-0A4E-9EA7-72F8E959EDEB}" keepAlive="1" name="Query - sheet1 (34)" description="Connection to the 'sheet1 (34)' query in the workbook." type="5" refreshedVersion="8" background="1" saveData="1">
    <dbPr connection="Provider=Microsoft.Mashup.OleDb.1;Data Source=$Workbook$;Location=&quot;sheet1 (34)&quot;;Extended Properties=&quot;&quot;" command="SELECT * FROM [sheet1 (34)]"/>
  </connection>
  <connection id="29" xr16:uid="{7BE00E1C-6290-F64F-9495-7C8A2C535096}" keepAlive="1" name="Query - sheet1 (35)" description="Connection to the 'sheet1 (35)' query in the workbook." type="5" refreshedVersion="8" background="1" saveData="1">
    <dbPr connection="Provider=Microsoft.Mashup.OleDb.1;Data Source=$Workbook$;Location=&quot;sheet1 (35)&quot;;Extended Properties=&quot;&quot;" command="SELECT * FROM [sheet1 (35)]"/>
  </connection>
  <connection id="30" xr16:uid="{14D6D479-9552-134D-9C08-7D39011448EC}" keepAlive="1" name="Query - sheet1 (36)" description="Connection to the 'sheet1 (36)' query in the workbook." type="5" refreshedVersion="8" background="1" saveData="1">
    <dbPr connection="Provider=Microsoft.Mashup.OleDb.1;Data Source=$Workbook$;Location=&quot;sheet1 (36)&quot;;Extended Properties=&quot;&quot;" command="SELECT * FROM [sheet1 (36)]"/>
  </connection>
  <connection id="31" xr16:uid="{7615B0A1-C4EB-D042-9C98-BE8A62A26FAC}" keepAlive="1" name="Query - sheet1 (37)" description="Connection to the 'sheet1 (37)' query in the workbook." type="5" refreshedVersion="8" background="1" saveData="1">
    <dbPr connection="Provider=Microsoft.Mashup.OleDb.1;Data Source=$Workbook$;Location=&quot;sheet1 (37)&quot;;Extended Properties=&quot;&quot;" command="SELECT * FROM [sheet1 (37)]"/>
  </connection>
  <connection id="32" xr16:uid="{B665D929-890C-D74C-A7CB-5C6102A06F1E}" keepAlive="1" name="Query - sheet1 (38)" description="Connection to the 'sheet1 (38)' query in the workbook." type="5" refreshedVersion="0" background="1">
    <dbPr connection="Provider=Microsoft.Mashup.OleDb.1;Data Source=$Workbook$;Location=&quot;sheet1 (38)&quot;;Extended Properties=&quot;&quot;" command="SELECT * FROM [sheet1 (38)]"/>
  </connection>
  <connection id="33" xr16:uid="{B9317586-E421-1940-BCEF-C6EB82589CAC}" keepAlive="1" name="Query - sheet1 (39)" description="Connection to the 'sheet1 (39)' query in the workbook." type="5" refreshedVersion="8" background="1" saveData="1">
    <dbPr connection="Provider=Microsoft.Mashup.OleDb.1;Data Source=$Workbook$;Location=&quot;sheet1 (39)&quot;;Extended Properties=&quot;&quot;" command="SELECT * FROM [sheet1 (39)]"/>
  </connection>
  <connection id="34" xr16:uid="{7E4C528A-39BD-6948-B11D-E58679F47813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35" xr16:uid="{A5504215-0149-CF4E-8404-FD5329A5DEEA}" keepAlive="1" name="Query - sheet1 (40)" description="Connection to the 'sheet1 (40)' query in the workbook." type="5" refreshedVersion="8" background="1" saveData="1">
    <dbPr connection="Provider=Microsoft.Mashup.OleDb.1;Data Source=$Workbook$;Location=&quot;sheet1 (40)&quot;;Extended Properties=&quot;&quot;" command="SELECT * FROM [sheet1 (40)]"/>
  </connection>
  <connection id="36" xr16:uid="{1B53C669-7461-3743-B3D9-F1525B6AF28E}" keepAlive="1" name="Query - sheet1 (41)" description="Connection to the 'sheet1 (41)' query in the workbook." type="5" refreshedVersion="8" background="1" saveData="1">
    <dbPr connection="Provider=Microsoft.Mashup.OleDb.1;Data Source=$Workbook$;Location=&quot;sheet1 (41)&quot;;Extended Properties=&quot;&quot;" command="SELECT * FROM [sheet1 (41)]"/>
  </connection>
  <connection id="37" xr16:uid="{DE60D8ED-563F-8F4D-99FB-126B214E8CA0}" keepAlive="1" name="Query - sheet1 (42)" description="Connection to the 'sheet1 (42)' query in the workbook." type="5" refreshedVersion="8" background="1" saveData="1">
    <dbPr connection="Provider=Microsoft.Mashup.OleDb.1;Data Source=$Workbook$;Location=&quot;sheet1 (42)&quot;;Extended Properties=&quot;&quot;" command="SELECT * FROM [sheet1 (42)]"/>
  </connection>
  <connection id="38" xr16:uid="{5EF4C3A5-AFE3-2D46-BB3B-00DDA8F2432D}" keepAlive="1" name="Query - sheet1 (43)" description="Connection to the 'sheet1 (43)' query in the workbook." type="5" refreshedVersion="8" background="1" saveData="1">
    <dbPr connection="Provider=Microsoft.Mashup.OleDb.1;Data Source=$Workbook$;Location=&quot;sheet1 (43)&quot;;Extended Properties=&quot;&quot;" command="SELECT * FROM [sheet1 (43)]"/>
  </connection>
  <connection id="39" xr16:uid="{BF405F48-6A3C-8949-A934-5FE25CF085DC}" keepAlive="1" name="Query - sheet1 (44)" description="Connection to the 'sheet1 (44)' query in the workbook." type="5" refreshedVersion="8" background="1" saveData="1">
    <dbPr connection="Provider=Microsoft.Mashup.OleDb.1;Data Source=$Workbook$;Location=&quot;sheet1 (44)&quot;;Extended Properties=&quot;&quot;" command="SELECT * FROM [sheet1 (44)]"/>
  </connection>
  <connection id="40" xr16:uid="{DB13BAAE-57E6-1A42-8FE9-F5AE070F5CFE}" keepAlive="1" name="Query - sheet1 (5)" description="Connection to the 'sheet1 (5)' query in the workbook." type="5" refreshedVersion="8" background="1" saveData="1">
    <dbPr connection="Provider=Microsoft.Mashup.OleDb.1;Data Source=$Workbook$;Location=&quot;sheet1 (5)&quot;;Extended Properties=&quot;&quot;" command="SELECT * FROM [sheet1 (5)]"/>
  </connection>
  <connection id="41" xr16:uid="{B2668136-3C3A-6241-8434-C931FF61956A}" keepAlive="1" name="Query - sheet1 (6)" description="Connection to the 'sheet1 (6)' query in the workbook." type="5" refreshedVersion="8" background="1" saveData="1">
    <dbPr connection="Provider=Microsoft.Mashup.OleDb.1;Data Source=$Workbook$;Location=&quot;sheet1 (6)&quot;;Extended Properties=&quot;&quot;" command="SELECT * FROM [sheet1 (6)]"/>
  </connection>
  <connection id="42" xr16:uid="{0479212A-23B6-A34D-9CF1-0E32E8C014ED}" keepAlive="1" name="Query - sheet1 (7)" description="Connection to the 'sheet1 (7)' query in the workbook." type="5" refreshedVersion="8" background="1" saveData="1">
    <dbPr connection="Provider=Microsoft.Mashup.OleDb.1;Data Source=$Workbook$;Location=&quot;sheet1 (7)&quot;;Extended Properties=&quot;&quot;" command="SELECT * FROM [sheet1 (7)]"/>
  </connection>
  <connection id="43" xr16:uid="{42E9B9EB-B1B9-9D40-951B-5BCF411EDECA}" keepAlive="1" name="Query - sheet1 (8)" description="Connection to the 'sheet1 (8)' query in the workbook." type="5" refreshedVersion="8" background="1" saveData="1">
    <dbPr connection="Provider=Microsoft.Mashup.OleDb.1;Data Source=$Workbook$;Location=&quot;sheet1 (8)&quot;;Extended Properties=&quot;&quot;" command="SELECT * FROM [sheet1 (8)]"/>
  </connection>
  <connection id="44" xr16:uid="{8DCE3752-386D-5945-AEA0-8281C6C1DE1A}" keepAlive="1" name="Query - sheet1 (9)" description="Connection to the 'sheet1 (9)' query in the workbook." type="5" refreshedVersion="8" background="1" saveData="1">
    <dbPr connection="Provider=Microsoft.Mashup.OleDb.1;Data Source=$Workbook$;Location=&quot;sheet1 (9)&quot;;Extended Properties=&quot;&quot;" command="SELECT * FROM [sheet1 (9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<sst xmlns="http://schemas.openxmlformats.org/spreadsheetml/2006/main" count="163" uniqueCount="25">
  <si>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</si>
  <si>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</si>
  <si>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</si>
  <si>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</si>
  <si>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</si>
  <si>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</si>
  <si>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</si>
  <si>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</si>
  <si>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</si>
  <si>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</si>
  <si>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</si>
  <si>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</si>
  <si>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</si>
  <si>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</si>
  <si>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</si>
  <si>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</si>
  <si>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</si>
  <si>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</si>
  <si>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rho_avg</t>
  </si>
  <si>
    <t>h_in</t>
  </si>
  <si>
    <t>h_out</t>
  </si>
  <si>
    <t>Q</t>
  </si>
  <si>
    <t>average steady state Q</t>
  </si>
  <si>
    <t>Velocity (m/s)</t>
  </si>
  <si>
    <t>Q_steady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</si>
</sst>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Library/Group%20Containers/UBF8T346G9.Office/CoolProp.xlam" TargetMode="External"/><Relationship Id="rId2" Type="http://schemas.openxmlformats.org/officeDocument/2006/relationships/externalLinkPath" Target="/Users/angelajping/Library/Group%20Containers/UBF8T346G9.Office/CoolProp.xlam" TargetMode="External"/><Relationship Id="rId1" Type="http://schemas.openxmlformats.org/officeDocument/2006/relationships/externalLinkPath" Target="/Users/angelajping/Library/Group%20Containers/UBF8T346G9.Office/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1" xr16:uid="{22ECE38D-A87E-DD45-AA3E-D10C8C38DA1A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3" xr16:uid="{76A97893-2446-8D4A-AD2D-E660BAD40808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5" xr16:uid="{81392932-EA90-704E-800D-51244657207D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6" xr16:uid="{C5F43CF5-8244-B44E-B324-70229F305F15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7" xr16:uid="{34D5BE0D-C1D5-6B47-B98A-08CD05A969AD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8" xr16:uid="{E2B4018A-DC0E-AB46-A183-244E47B19EA7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9" xr16:uid="{7AB30FCB-1F01-4A46-AB49-495F4BB58F4C}" autoFormatId="16" applyNumberFormats="0" applyBorderFormats="0" applyFontFormats="0" applyPatternFormats="0" applyAlignmentFormats="0" applyWidthHeightFormats="0">
  <queryTableRefresh nextId="16">
    <queryTableFields count="15">
      <queryTableField id="1" name="Time" tableColumnId="1"/>
      <queryTableField id="2" name="T1" tableColumnId="2"/>
      <queryTableField id="3" name="T2" tableColumnId="3"/>
      <queryTableField id="4" name="T3" tableColumnId="4"/>
      <queryTableField id="5" name="T4" tableColumnId="5"/>
      <queryTableField id="6" name="T5" tableColumnId="6"/>
      <queryTableField id="7" name="T6" tableColumnId="7"/>
      <queryTableField id="8" name="T7" tableColumnId="8"/>
      <queryTableField id="9" name="T8" tableColumnId="9"/>
      <queryTableField id="10" name="RTD_IN" tableColumnId="10"/>
      <queryTableField id="11" name="RTD_OUT" tableColumnId="11"/>
      <queryTableField id="12" name="DPT_TS" tableColumnId="12"/>
      <queryTableField id="13" name="DPT_nozzle" tableColumnId="13"/>
      <queryTableField id="14" name="Flow_gps" tableColumnId="14"/>
      <queryTableField id="15" name="DP_liquid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A0AAF3E-49BB-DA46-9346-2451DD59AAC9}" name="sheet1__37" displayName="sheet1__37" ref="A1:O15" tableType="queryTable" totalsRowShown="0">
  <autoFilter ref="A1:O15" xr:uid="{DA0AAF3E-49BB-DA46-9346-2451DD59AAC9}"/>
  <tableColumns count="15">
    <tableColumn id="1" xr3:uid="{175B4766-0CA1-BD4D-9A86-B0D4E2795076}" uniqueName="1" name="Time" queryTableFieldId="1"/>
    <tableColumn id="2" xr3:uid="{59F76CFF-9E9A-2A46-9C9B-18A1BE827866}" uniqueName="2" name="T1" queryTableFieldId="2"/>
    <tableColumn id="3" xr3:uid="{305083DE-3E3E-4548-8D51-FAB22677F7B9}" uniqueName="3" name="T2" queryTableFieldId="3"/>
    <tableColumn id="4" xr3:uid="{8A62AFC7-712E-AB48-8FD1-76D3F3F70BB4}" uniqueName="4" name="T3" queryTableFieldId="4"/>
    <tableColumn id="5" xr3:uid="{89A9A8D6-4077-144E-AB3F-AE5FE47C0C38}" uniqueName="5" name="T4" queryTableFieldId="5"/>
    <tableColumn id="6" xr3:uid="{218EA251-0746-374E-B04A-819D25EE1B10}" uniqueName="6" name="T5" queryTableFieldId="6"/>
    <tableColumn id="7" xr3:uid="{CCB3EA83-8397-EC44-9764-58E842969372}" uniqueName="7" name="T6" queryTableFieldId="7"/>
    <tableColumn id="8" xr3:uid="{09145B9C-7C03-C140-92ED-75BD852B7D03}" uniqueName="8" name="T7" queryTableFieldId="8"/>
    <tableColumn id="9" xr3:uid="{E0FE138A-2CC4-E24F-BF9A-D3303AF09671}" uniqueName="9" name="T8" queryTableFieldId="9"/>
    <tableColumn id="10" xr3:uid="{15D2DFCB-5C4F-7A4D-BAA4-5D7EAED4EA69}" uniqueName="10" name="RTD_IN" queryTableFieldId="10"/>
    <tableColumn id="11" xr3:uid="{2B094CE0-AD77-E840-8A95-AFFF1F076AAC}" uniqueName="11" name="RTD_OUT" queryTableFieldId="11"/>
    <tableColumn id="12" xr3:uid="{A4F892D1-E412-FC41-8D4A-53EDB44A2411}" uniqueName="12" name="DPT_TS" queryTableFieldId="12"/>
    <tableColumn id="13" xr3:uid="{3C7B0BF1-FC71-E545-A5C7-7B187E0A8651}" uniqueName="13" name="DPT_nozzle" queryTableFieldId="13"/>
    <tableColumn id="14" xr3:uid="{A53DC479-BF68-0340-B455-79F6B753502B}" uniqueName="14" name="Flow_gps" queryTableFieldId="14"/>
    <tableColumn id="15" xr3:uid="{07573871-1A61-3B40-A35B-A29F74694AA7}" uniqueName="15" name="DP_liquid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E03A75-A586-AD42-90AD-96FF3383307F}" name="sheet1__39" displayName="sheet1__39" ref="A1:O12" tableType="queryTable" totalsRowShown="0">
  <autoFilter ref="A1:O12" xr:uid="{25E03A75-A586-AD42-90AD-96FF3383307F}"/>
  <tableColumns count="15">
    <tableColumn id="1" xr3:uid="{00F95C43-B115-4845-9376-5E31D986EACB}" uniqueName="1" name="Time" queryTableFieldId="1"/>
    <tableColumn id="2" xr3:uid="{B75877A0-AF6D-E443-BC7E-D6D588BF3E74}" uniqueName="2" name="T1" queryTableFieldId="2"/>
    <tableColumn id="3" xr3:uid="{D9955C44-E773-844C-A46E-CB15330F8D27}" uniqueName="3" name="T2" queryTableFieldId="3"/>
    <tableColumn id="4" xr3:uid="{A95F1AB8-F3B4-6B43-B05B-D8EAA3815D58}" uniqueName="4" name="T3" queryTableFieldId="4"/>
    <tableColumn id="5" xr3:uid="{A7EAE5A8-23FD-1F43-B5C3-7879B5288D3B}" uniqueName="5" name="T4" queryTableFieldId="5"/>
    <tableColumn id="6" xr3:uid="{85CB10A6-5AEB-5B4A-8CAC-B895D2BA92E2}" uniqueName="6" name="T5" queryTableFieldId="6"/>
    <tableColumn id="7" xr3:uid="{4AE7685B-5E30-B642-8DF8-B65F914D05F9}" uniqueName="7" name="T6" queryTableFieldId="7"/>
    <tableColumn id="8" xr3:uid="{0B4B2EE6-0D8C-4A4A-ABE1-E7DBF2C5E50D}" uniqueName="8" name="T7" queryTableFieldId="8"/>
    <tableColumn id="9" xr3:uid="{7BF40ECC-5B83-7B44-96D2-949DF8AB22FF}" uniqueName="9" name="T8" queryTableFieldId="9"/>
    <tableColumn id="10" xr3:uid="{EB3437D8-59C5-164C-8035-5A8CD65C2FAF}" uniqueName="10" name="RTD_IN" queryTableFieldId="10"/>
    <tableColumn id="11" xr3:uid="{3436D0FB-3279-4B40-86D2-D7313634EA92}" uniqueName="11" name="RTD_OUT" queryTableFieldId="11"/>
    <tableColumn id="12" xr3:uid="{187BABF7-8DD7-B241-B640-04359153C889}" uniqueName="12" name="DPT_TS" queryTableFieldId="12"/>
    <tableColumn id="13" xr3:uid="{5A26FD5C-2F2D-584C-AEAD-AE415E074690}" uniqueName="13" name="DPT_nozzle" queryTableFieldId="13"/>
    <tableColumn id="14" xr3:uid="{B3B0A947-EE86-3A47-80DD-0188897B2010}" uniqueName="14" name="Flow_gps" queryTableFieldId="14"/>
    <tableColumn id="15" xr3:uid="{22177F3A-172F-A544-AF4E-8F5D9BB83BBD}" uniqueName="15" name="DP_liquid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E4CD2C-5EFC-B14F-91CC-133743A0295C}" name="sheet1__40" displayName="sheet1__40" ref="A1:O18" tableType="queryTable" totalsRowShown="0">
  <autoFilter ref="A1:O18" xr:uid="{0BE4CD2C-5EFC-B14F-91CC-133743A0295C}"/>
  <tableColumns count="15">
    <tableColumn id="1" xr3:uid="{051D51B1-DF53-2F4F-8ACF-9393172B1922}" uniqueName="1" name="Time" queryTableFieldId="1"/>
    <tableColumn id="2" xr3:uid="{732D21D4-EF12-FA46-8383-F3D28E611FF8}" uniqueName="2" name="T1" queryTableFieldId="2"/>
    <tableColumn id="3" xr3:uid="{E18AD4C5-D0E1-3A4F-BB4E-EBEBE0AD1FC9}" uniqueName="3" name="T2" queryTableFieldId="3"/>
    <tableColumn id="4" xr3:uid="{53391090-44BC-ED4C-BA0E-66122A611A5D}" uniqueName="4" name="T3" queryTableFieldId="4"/>
    <tableColumn id="5" xr3:uid="{527494A6-9F78-464E-9A76-EE65FED8CA0D}" uniqueName="5" name="T4" queryTableFieldId="5"/>
    <tableColumn id="6" xr3:uid="{26EED28B-D283-A643-9232-12563FDAB7F6}" uniqueName="6" name="T5" queryTableFieldId="6"/>
    <tableColumn id="7" xr3:uid="{492C5EB1-4B22-DF4A-8D7E-08A2EBEACC1F}" uniqueName="7" name="T6" queryTableFieldId="7"/>
    <tableColumn id="8" xr3:uid="{28AF5C2C-C00A-C94C-8EE5-64F0197242CB}" uniqueName="8" name="T7" queryTableFieldId="8"/>
    <tableColumn id="9" xr3:uid="{3A70AB3E-C8D3-494D-A881-DDB7D9FC2064}" uniqueName="9" name="T8" queryTableFieldId="9"/>
    <tableColumn id="10" xr3:uid="{8C6832E2-7778-E74F-AB40-B4F22B24F4D6}" uniqueName="10" name="RTD_IN" queryTableFieldId="10"/>
    <tableColumn id="11" xr3:uid="{CE214D9F-BE30-9744-8874-F129980D70B6}" uniqueName="11" name="RTD_OUT" queryTableFieldId="11"/>
    <tableColumn id="12" xr3:uid="{478CF117-8131-FA48-860F-FA6BE2430393}" uniqueName="12" name="DPT_TS" queryTableFieldId="12"/>
    <tableColumn id="13" xr3:uid="{E16F6837-A090-B54C-8405-3E5F28B609BE}" uniqueName="13" name="DPT_nozzle" queryTableFieldId="13"/>
    <tableColumn id="14" xr3:uid="{3592E57B-886F-D346-A5E8-45FA23B00DF7}" uniqueName="14" name="Flow_gps" queryTableFieldId="14"/>
    <tableColumn id="15" xr3:uid="{0B3FDA7B-5B10-AD4C-9D78-3FD9846FC340}" uniqueName="15" name="DP_liquid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3A0988-A915-1F47-A7EE-794E68F69A83}" name="sheet1__41" displayName="sheet1__41" ref="A1:O17" tableType="queryTable" totalsRowShown="0">
  <autoFilter ref="A1:O17" xr:uid="{173A0988-A915-1F47-A7EE-794E68F69A83}"/>
  <tableColumns count="15">
    <tableColumn id="1" xr3:uid="{5E1F768D-2109-7E48-931F-B3B874F5D862}" uniqueName="1" name="Time" queryTableFieldId="1"/>
    <tableColumn id="2" xr3:uid="{B3C1C23E-77CD-5242-82B4-3B898AE44286}" uniqueName="2" name="T1" queryTableFieldId="2"/>
    <tableColumn id="3" xr3:uid="{828FD8BB-EB7B-9147-8C31-F117AFFBE720}" uniqueName="3" name="T2" queryTableFieldId="3"/>
    <tableColumn id="4" xr3:uid="{F0A2C970-4F3D-5E4A-B601-435E1CC6BF04}" uniqueName="4" name="T3" queryTableFieldId="4"/>
    <tableColumn id="5" xr3:uid="{3CA2A815-3F66-8240-A171-582E435710E6}" uniqueName="5" name="T4" queryTableFieldId="5"/>
    <tableColumn id="6" xr3:uid="{08C39790-71CA-7B4F-957D-DCE17C48A92A}" uniqueName="6" name="T5" queryTableFieldId="6"/>
    <tableColumn id="7" xr3:uid="{F2C11CDC-73EB-B243-822E-74A62B9F5139}" uniqueName="7" name="T6" queryTableFieldId="7"/>
    <tableColumn id="8" xr3:uid="{7B5B3BDE-57AE-1A4B-A845-A2D6D16E24AD}" uniqueName="8" name="T7" queryTableFieldId="8"/>
    <tableColumn id="9" xr3:uid="{ACB3DC41-724C-0046-9190-D490BD67F496}" uniqueName="9" name="T8" queryTableFieldId="9"/>
    <tableColumn id="10" xr3:uid="{228E30F6-4D47-6141-A9B1-668E2317D477}" uniqueName="10" name="RTD_IN" queryTableFieldId="10"/>
    <tableColumn id="11" xr3:uid="{956995F3-7424-6C4B-988A-2E35BC456FAF}" uniqueName="11" name="RTD_OUT" queryTableFieldId="11"/>
    <tableColumn id="12" xr3:uid="{22538CD2-E98A-5F48-82D8-9D972C30F667}" uniqueName="12" name="DPT_TS" queryTableFieldId="12"/>
    <tableColumn id="13" xr3:uid="{46436762-F652-5D48-A3A6-CAE6B9132726}" uniqueName="13" name="DPT_nozzle" queryTableFieldId="13"/>
    <tableColumn id="14" xr3:uid="{FE8F8BC6-B05D-A942-A1D2-2207AADDAA1F}" uniqueName="14" name="Flow_gps" queryTableFieldId="14"/>
    <tableColumn id="15" xr3:uid="{A996C756-4475-E24B-B66F-DE95746AFD09}" uniqueName="15" name="DP_liquid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4E52DD-1DAB-CB4E-A5B0-75F6D574AE85}" name="sheet1__42" displayName="sheet1__42" ref="A1:O9" tableType="queryTable" totalsRowShown="0">
  <autoFilter ref="A1:O9" xr:uid="{E84E52DD-1DAB-CB4E-A5B0-75F6D574AE85}"/>
  <tableColumns count="15">
    <tableColumn id="1" xr3:uid="{5F5655DB-B96A-C54F-AAE8-A9293B662308}" uniqueName="1" name="Time" queryTableFieldId="1"/>
    <tableColumn id="2" xr3:uid="{7BB4D46F-7158-914C-906A-C6671AE4D56B}" uniqueName="2" name="T1" queryTableFieldId="2"/>
    <tableColumn id="3" xr3:uid="{2B970BC7-9CDE-4344-8F99-C91DE96252E0}" uniqueName="3" name="T2" queryTableFieldId="3"/>
    <tableColumn id="4" xr3:uid="{4D23B5F1-FC70-6648-B9FC-B83BF9CE7CC0}" uniqueName="4" name="T3" queryTableFieldId="4"/>
    <tableColumn id="5" xr3:uid="{53D0FE62-DE89-C044-A94F-C41203891284}" uniqueName="5" name="T4" queryTableFieldId="5"/>
    <tableColumn id="6" xr3:uid="{15B55D3C-3299-C64F-B991-B8A4DFC5990D}" uniqueName="6" name="T5" queryTableFieldId="6"/>
    <tableColumn id="7" xr3:uid="{FE80D255-BCDF-E34B-815F-250F07EEF0B6}" uniqueName="7" name="T6" queryTableFieldId="7"/>
    <tableColumn id="8" xr3:uid="{19929002-3BA7-0F44-AF6D-B41400E3A993}" uniqueName="8" name="T7" queryTableFieldId="8"/>
    <tableColumn id="9" xr3:uid="{7A69FA7D-D3CE-CE45-B20F-2F1FB870DDD3}" uniqueName="9" name="T8" queryTableFieldId="9"/>
    <tableColumn id="10" xr3:uid="{6C84E742-C070-BC40-A042-D84A9E9DF926}" uniqueName="10" name="RTD_IN" queryTableFieldId="10"/>
    <tableColumn id="11" xr3:uid="{8662C508-9075-4748-87EE-F61B00EE1DC9}" uniqueName="11" name="RTD_OUT" queryTableFieldId="11"/>
    <tableColumn id="12" xr3:uid="{4B8F6A33-4E0B-E34C-B245-8D6ED84D1C61}" uniqueName="12" name="DPT_TS" queryTableFieldId="12"/>
    <tableColumn id="13" xr3:uid="{594B4FF6-E884-504F-BCA2-D80310F5E8FF}" uniqueName="13" name="DPT_nozzle" queryTableFieldId="13"/>
    <tableColumn id="14" xr3:uid="{8D5B4B5F-7BB7-A34F-A245-C9039F3B2582}" uniqueName="14" name="Flow_gps" queryTableFieldId="14"/>
    <tableColumn id="15" xr3:uid="{652154A4-C7ED-CF45-8EDC-42280073F7DD}" uniqueName="15" name="DP_liquid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C300B3-C5C0-5A49-9104-3865760A5041}" name="sheet1__43" displayName="sheet1__43" ref="A1:O14" tableType="queryTable" totalsRowShown="0">
  <autoFilter ref="A1:O14" xr:uid="{41C300B3-C5C0-5A49-9104-3865760A5041}"/>
  <tableColumns count="15">
    <tableColumn id="1" xr3:uid="{F5C036B6-D1C7-7D41-AEE6-EB9D05D264B6}" uniqueName="1" name="Time" queryTableFieldId="1"/>
    <tableColumn id="2" xr3:uid="{E3F34E71-6232-C14D-8D1E-5CCF862779BB}" uniqueName="2" name="T1" queryTableFieldId="2"/>
    <tableColumn id="3" xr3:uid="{F907CC64-7DA7-0A4B-92CA-BA0171FAB2C4}" uniqueName="3" name="T2" queryTableFieldId="3"/>
    <tableColumn id="4" xr3:uid="{B4A9AB39-6FCE-314E-ADC6-2E476FC2E519}" uniqueName="4" name="T3" queryTableFieldId="4"/>
    <tableColumn id="5" xr3:uid="{9A70B0AA-02A7-3C4D-B655-0B7BEAD15BFB}" uniqueName="5" name="T4" queryTableFieldId="5"/>
    <tableColumn id="6" xr3:uid="{32CA9789-E393-C845-B6AA-F4CAA2C4BF4D}" uniqueName="6" name="T5" queryTableFieldId="6"/>
    <tableColumn id="7" xr3:uid="{B13A4EC4-4515-A04B-929B-4AC242FFD570}" uniqueName="7" name="T6" queryTableFieldId="7"/>
    <tableColumn id="8" xr3:uid="{76B92F85-2A5A-E341-8FF8-1CD4CF4234ED}" uniqueName="8" name="T7" queryTableFieldId="8"/>
    <tableColumn id="9" xr3:uid="{5F0AA6BF-22CF-7C43-B02D-5DE22AB2B442}" uniqueName="9" name="T8" queryTableFieldId="9"/>
    <tableColumn id="10" xr3:uid="{F081EBF6-ADD6-9A42-B80C-D15140060047}" uniqueName="10" name="RTD_IN" queryTableFieldId="10"/>
    <tableColumn id="11" xr3:uid="{66F313BC-0684-7745-B721-64F923CA6D93}" uniqueName="11" name="RTD_OUT" queryTableFieldId="11"/>
    <tableColumn id="12" xr3:uid="{5D742F87-191F-DA4D-BBBF-37B083D992B6}" uniqueName="12" name="DPT_TS" queryTableFieldId="12"/>
    <tableColumn id="13" xr3:uid="{039C41B2-3607-804E-8BF7-F1E7B894A6D8}" uniqueName="13" name="DPT_nozzle" queryTableFieldId="13"/>
    <tableColumn id="14" xr3:uid="{0A76A3E9-4F55-994F-9952-800651A47EC4}" uniqueName="14" name="Flow_gps" queryTableFieldId="14"/>
    <tableColumn id="15" xr3:uid="{8C3D18ED-BF36-404D-962A-0D4766EEC52E}" uniqueName="15" name="DP_liquid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52801C6-AFAF-224E-A2FD-5DB0ABDF5326}" name="sheet1__44" displayName="sheet1__44" ref="A1:O12" tableType="queryTable" totalsRowShown="0">
  <autoFilter ref="A1:O12" xr:uid="{F52801C6-AFAF-224E-A2FD-5DB0ABDF5326}"/>
  <tableColumns count="15">
    <tableColumn id="1" xr3:uid="{A9142AB8-D471-CD4D-9B31-65689FD8B3EC}" uniqueName="1" name="Time" queryTableFieldId="1"/>
    <tableColumn id="2" xr3:uid="{2AACFD40-6175-814F-830C-6E78BCCAFA74}" uniqueName="2" name="T1" queryTableFieldId="2"/>
    <tableColumn id="3" xr3:uid="{3B855F52-342E-D040-9A05-DC33277F202A}" uniqueName="3" name="T2" queryTableFieldId="3"/>
    <tableColumn id="4" xr3:uid="{5B3E3F75-4D07-7046-ADE5-AE87B68C2CEF}" uniqueName="4" name="T3" queryTableFieldId="4"/>
    <tableColumn id="5" xr3:uid="{B2F9C6AA-43B1-C642-8AF5-8AF59EEBA31B}" uniqueName="5" name="T4" queryTableFieldId="5"/>
    <tableColumn id="6" xr3:uid="{C8070222-77B4-B949-9379-B6C0340DEEC0}" uniqueName="6" name="T5" queryTableFieldId="6"/>
    <tableColumn id="7" xr3:uid="{0501FBFC-F2B1-ED4C-9E91-8F9944041C81}" uniqueName="7" name="T6" queryTableFieldId="7"/>
    <tableColumn id="8" xr3:uid="{E5B5131D-D4B2-5641-97FF-F4172FE179E2}" uniqueName="8" name="T7" queryTableFieldId="8"/>
    <tableColumn id="9" xr3:uid="{A4A7D35B-8D77-2546-A8BD-FC9C3BA09BCA}" uniqueName="9" name="T8" queryTableFieldId="9"/>
    <tableColumn id="10" xr3:uid="{8441AACA-5D91-5C4F-A396-D794E06A7FAC}" uniqueName="10" name="RTD_IN" queryTableFieldId="10"/>
    <tableColumn id="11" xr3:uid="{4394F5BF-D83F-9040-AE78-9B8C0AA77D10}" uniqueName="11" name="RTD_OUT" queryTableFieldId="11"/>
    <tableColumn id="12" xr3:uid="{14FD41C1-E40A-A143-9C40-ACA67EF4E0BC}" uniqueName="12" name="DPT_TS" queryTableFieldId="12"/>
    <tableColumn id="13" xr3:uid="{473687AB-EFA6-7B4A-BC16-413CC9725597}" uniqueName="13" name="DPT_nozzle" queryTableFieldId="13"/>
    <tableColumn id="14" xr3:uid="{040007EE-9684-6442-B131-41554B1F0175}" uniqueName="14" name="Flow_gps" queryTableFieldId="14"/>
    <tableColumn id="15" xr3:uid="{E779A353-1626-7244-B405-F6DBF3CF060A}" uniqueName="15" name="DP_liquid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2463-65CE-6F45-9590-627AE751323C}">
  <dimension ref="A1:B8"/>
  <sheetViews>
    <sheetView tabSelected="1" workbookViewId="0">
      <selection activeCell="E19" sqref="E19"/>
    </sheetView>
  </sheetViews>
  <sheetFormatPr baseColWidth="10" defaultRowHeight="16" x14ac:dyDescent="0.2"/>
  <cols>
    <col min="1" max="1" width="20.6640625" customWidth="1"/>
    <col min="2" max="2" width="18.6640625" customWidth="1"/>
  </cols>
  <sheetData>
    <row r="1" spans="1:2" x14ac:dyDescent="0.2">
      <c r="A1" s="2" t="s">
        <v>23</v>
      </c>
      <c r="B1" s="2" t="s">
        <v>24</v>
      </c>
    </row>
    <row r="2" spans="1:2" x14ac:dyDescent="0.2">
      <c r="A2">
        <v>1</v>
      </c>
      <c r="B2">
        <v>252.76319424420652</v>
      </c>
    </row>
    <row r="3" spans="1:2" x14ac:dyDescent="0.2">
      <c r="A3">
        <v>2</v>
      </c>
      <c r="B3">
        <v>439.14082204628181</v>
      </c>
    </row>
    <row r="4" spans="1:2" x14ac:dyDescent="0.2">
      <c r="A4">
        <v>3</v>
      </c>
      <c r="B4">
        <v>568.14588698810053</v>
      </c>
    </row>
    <row r="5" spans="1:2" x14ac:dyDescent="0.2">
      <c r="A5">
        <v>4</v>
      </c>
      <c r="B5">
        <v>649.11691229599171</v>
      </c>
    </row>
    <row r="6" spans="1:2" x14ac:dyDescent="0.2">
      <c r="A6">
        <v>5</v>
      </c>
      <c r="B6">
        <v>720.74567938724931</v>
      </c>
    </row>
    <row r="7" spans="1:2" x14ac:dyDescent="0.2">
      <c r="A7">
        <v>6</v>
      </c>
      <c r="B7">
        <v>776.61577947822059</v>
      </c>
    </row>
    <row r="8" spans="1:2" x14ac:dyDescent="0.2">
      <c r="A8">
        <v>7</v>
      </c>
      <c r="B8">
        <v>818.5656072712635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067F4-0953-924C-8DC3-9C26D1CEF7C2}">
  <dimension ref="A1:V36"/>
  <sheetViews>
    <sheetView workbookViewId="0">
      <selection activeCell="E18" sqref="E18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44606.654365603797</v>
      </c>
      <c r="B2">
        <v>19.521386</v>
      </c>
      <c r="C2">
        <v>19.621545999999999</v>
      </c>
      <c r="D2">
        <v>19.881067000000002</v>
      </c>
      <c r="E2">
        <v>19.717991000000001</v>
      </c>
      <c r="F2">
        <v>41.472465999999997</v>
      </c>
      <c r="G2">
        <v>38.276327000000002</v>
      </c>
      <c r="H2">
        <v>27.456213000000002</v>
      </c>
      <c r="I2">
        <v>27.934961000000001</v>
      </c>
      <c r="J2">
        <v>56.766944000000002</v>
      </c>
      <c r="K2">
        <v>54.712026000000002</v>
      </c>
      <c r="L2">
        <v>11.051135</v>
      </c>
      <c r="M2">
        <v>-622.474287</v>
      </c>
      <c r="N2">
        <v>1.8823110000000001</v>
      </c>
      <c r="O2">
        <v>3.9708199999999998</v>
      </c>
      <c r="P2">
        <f xml:space="preserve"> N2*0.001/60</f>
        <v>3.137185E-5</v>
      </c>
      <c r="Q2" cm="1">
        <f t="array" ref="Q2">[1]!PropsSI("D","T",J2+273.15,"P",101325,"Water")</f>
        <v>984.82791172813165</v>
      </c>
      <c r="R2" cm="1">
        <f t="array" ref="R2">[1]!PropsSI("D","T",K2+273.15,"P",101325,"Water")</f>
        <v>985.83226429691172</v>
      </c>
      <c r="S2">
        <f>(Q2+R2)/2</f>
        <v>985.33008801252163</v>
      </c>
      <c r="T2" cm="1">
        <f t="array" ref="T2">[1]!PropsSI("H","T",J2+273.15,"P",101325,"Water")</f>
        <v>237720.70348477579</v>
      </c>
      <c r="U2" cm="1">
        <f t="array" ref="U2">[1]!PropsSI("H","T",K2+273.15,"P",101325,"Water")</f>
        <v>229124.50714968445</v>
      </c>
      <c r="V2">
        <f>S2*P2*(T2-U2)</f>
        <v>265.72242093226021</v>
      </c>
    </row>
    <row r="3" spans="1:22" x14ac:dyDescent="0.2">
      <c r="A3">
        <v>44606.654481344602</v>
      </c>
      <c r="B3">
        <v>19.528531000000001</v>
      </c>
      <c r="C3">
        <v>19.627859999999998</v>
      </c>
      <c r="D3">
        <v>19.905601999999998</v>
      </c>
      <c r="E3">
        <v>19.719984</v>
      </c>
      <c r="F3">
        <v>41.621102999999998</v>
      </c>
      <c r="G3">
        <v>38.437103</v>
      </c>
      <c r="H3">
        <v>27.420231999999999</v>
      </c>
      <c r="I3">
        <v>27.233115999999999</v>
      </c>
      <c r="J3">
        <v>56.776974000000003</v>
      </c>
      <c r="K3">
        <v>54.762466000000003</v>
      </c>
      <c r="L3">
        <v>12.800435</v>
      </c>
      <c r="M3">
        <v>-622.50204099999996</v>
      </c>
      <c r="N3">
        <v>1.8584700000000001</v>
      </c>
      <c r="O3">
        <v>3.608304</v>
      </c>
      <c r="P3">
        <f t="shared" ref="P3" si="0" xml:space="preserve"> N3*0.001/60</f>
        <v>3.09745E-5</v>
      </c>
      <c r="Q3" cm="1">
        <f t="array" ref="Q3">[1]!PropsSI("D","T",J3+273.15,"P",101325,"Water")</f>
        <v>984.82294593850111</v>
      </c>
      <c r="R3" cm="1">
        <f t="array" ref="R3">[1]!PropsSI("D","T",K3+273.15,"P",101325,"Water")</f>
        <v>985.8079239599133</v>
      </c>
      <c r="S3">
        <f>(Q3+R3)/2</f>
        <v>985.3154349492072</v>
      </c>
      <c r="T3" cm="1">
        <f t="array" ref="T3">[1]!PropsSI("H","T",J3+273.15,"P",101325,"Water")</f>
        <v>237762.66520646913</v>
      </c>
      <c r="U3" cm="1">
        <f t="array" ref="U3">[1]!PropsSI("H","T",K3+273.15,"P",101325,"Water")</f>
        <v>229335.49070798024</v>
      </c>
      <c r="V3">
        <f t="shared" ref="V3:V11" si="1">S3*P3*(T3-U3)</f>
        <v>257.1944409573025</v>
      </c>
    </row>
    <row r="4" spans="1:22" x14ac:dyDescent="0.2">
      <c r="A4">
        <v>44606.654597663997</v>
      </c>
      <c r="B4">
        <v>19.540102999999998</v>
      </c>
      <c r="C4">
        <v>19.617604</v>
      </c>
      <c r="D4">
        <v>19.895543</v>
      </c>
      <c r="E4">
        <v>19.727952999999999</v>
      </c>
      <c r="F4">
        <v>41.756165000000003</v>
      </c>
      <c r="G4">
        <v>36.760236999999996</v>
      </c>
      <c r="H4">
        <v>27.691129</v>
      </c>
      <c r="I4">
        <v>28.658940999999999</v>
      </c>
      <c r="J4">
        <v>56.785888999999997</v>
      </c>
      <c r="K4">
        <v>54.790151999999999</v>
      </c>
      <c r="L4">
        <v>12.743703</v>
      </c>
      <c r="M4">
        <v>-622.51510099999996</v>
      </c>
      <c r="N4">
        <v>1.893626</v>
      </c>
      <c r="O4">
        <v>3.1045150000000001</v>
      </c>
      <c r="P4">
        <f xml:space="preserve"> N4*0.001/60</f>
        <v>3.1560433333333337E-5</v>
      </c>
      <c r="Q4" cm="1">
        <f t="array" ref="Q4">[1]!PropsSI("D","T",J4+273.15,"P",101325,"Water")</f>
        <v>984.818531663621</v>
      </c>
      <c r="R4" cm="1">
        <f t="array" ref="R4">[1]!PropsSI("D","T",K4+273.15,"P",101325,"Water")</f>
        <v>985.79455706666249</v>
      </c>
      <c r="S4">
        <f t="shared" ref="S4:S11" si="2">(Q4+R4)/2</f>
        <v>985.30654436514169</v>
      </c>
      <c r="T4" cm="1">
        <f t="array" ref="T4">[1]!PropsSI("H","T",J4+273.15,"P",101325,"Water")</f>
        <v>237799.96222317568</v>
      </c>
      <c r="U4" cm="1">
        <f t="array" ref="U4">[1]!PropsSI("H","T",K4+273.15,"P",101325,"Water")</f>
        <v>229451.29781199212</v>
      </c>
      <c r="V4">
        <f t="shared" si="1"/>
        <v>259.61592517112143</v>
      </c>
    </row>
    <row r="5" spans="1:22" x14ac:dyDescent="0.2">
      <c r="A5">
        <v>44606.654713983502</v>
      </c>
      <c r="B5">
        <v>19.567098999999999</v>
      </c>
      <c r="C5">
        <v>19.639590999999999</v>
      </c>
      <c r="D5">
        <v>19.899695000000001</v>
      </c>
      <c r="E5">
        <v>19.732523</v>
      </c>
      <c r="F5">
        <v>41.778736000000002</v>
      </c>
      <c r="G5">
        <v>37.978904</v>
      </c>
      <c r="H5">
        <v>26.967442999999999</v>
      </c>
      <c r="I5">
        <v>27.522144000000001</v>
      </c>
      <c r="J5">
        <v>56.796554999999998</v>
      </c>
      <c r="K5">
        <v>54.817202000000002</v>
      </c>
      <c r="L5">
        <v>8.5622799999999994</v>
      </c>
      <c r="M5">
        <v>-622.50693799999999</v>
      </c>
      <c r="N5">
        <v>1.8540000000000001</v>
      </c>
      <c r="O5">
        <v>3.6693910000000001</v>
      </c>
      <c r="P5">
        <f t="shared" ref="P5:P11" si="3" xml:space="preserve"> N5*0.001/60</f>
        <v>3.0900000000000006E-5</v>
      </c>
      <c r="Q5" cm="1">
        <f t="array" ref="Q5">[1]!PropsSI("D","T",J5+273.15,"P",101325,"Water")</f>
        <v>984.81324974212885</v>
      </c>
      <c r="R5" cm="1">
        <f t="array" ref="R5">[1]!PropsSI("D","T",K5+273.15,"P",101325,"Water")</f>
        <v>985.78149263036528</v>
      </c>
      <c r="S5">
        <f t="shared" si="2"/>
        <v>985.29737118624712</v>
      </c>
      <c r="T5" cm="1">
        <f t="array" ref="T5">[1]!PropsSI("H","T",J5+273.15,"P",101325,"Water")</f>
        <v>237844.58480780077</v>
      </c>
      <c r="U5" cm="1">
        <f t="array" ref="U5">[1]!PropsSI("H","T",K5+273.15,"P",101325,"Water")</f>
        <v>229564.44487226373</v>
      </c>
      <c r="V5">
        <f t="shared" si="1"/>
        <v>252.09456344655223</v>
      </c>
    </row>
    <row r="6" spans="1:22" x14ac:dyDescent="0.2">
      <c r="A6">
        <v>46068.654829722225</v>
      </c>
      <c r="B6">
        <v>19.584959000000001</v>
      </c>
      <c r="C6">
        <v>19.645667</v>
      </c>
      <c r="D6">
        <v>19.905422000000002</v>
      </c>
      <c r="E6">
        <v>19.750374000000001</v>
      </c>
      <c r="F6">
        <v>41.727366000000004</v>
      </c>
      <c r="G6">
        <v>37.753720000000001</v>
      </c>
      <c r="H6">
        <v>26.777678999999999</v>
      </c>
      <c r="I6">
        <v>28.620487000000001</v>
      </c>
      <c r="J6">
        <v>56.804833000000002</v>
      </c>
      <c r="K6">
        <v>54.835977999999997</v>
      </c>
      <c r="L6">
        <v>8.5500360000000004</v>
      </c>
      <c r="M6">
        <v>-622.50244899999996</v>
      </c>
      <c r="N6">
        <v>1.891724</v>
      </c>
      <c r="O6">
        <v>4.0132389999999996</v>
      </c>
      <c r="P6">
        <f t="shared" si="3"/>
        <v>3.1528733333333335E-5</v>
      </c>
      <c r="Q6" cm="1">
        <f t="array" ref="Q6">[1]!PropsSI("D","T",J6+273.15,"P",101325,"Water")</f>
        <v>984.80914990685096</v>
      </c>
      <c r="R6" cm="1">
        <f t="array" ref="R6">[1]!PropsSI("D","T",K6+273.15,"P",101325,"Water")</f>
        <v>985.77242164175334</v>
      </c>
      <c r="S6">
        <f t="shared" si="2"/>
        <v>985.29078577430209</v>
      </c>
      <c r="T6" cm="1">
        <f t="array" ref="T6">[1]!PropsSI("H","T",J6+273.15,"P",101325,"Water")</f>
        <v>237879.21691742676</v>
      </c>
      <c r="U6" cm="1">
        <f t="array" ref="U6">[1]!PropsSI("H","T",K6+273.15,"P",101325,"Water")</f>
        <v>229642.98289004911</v>
      </c>
      <c r="V6">
        <f t="shared" si="1"/>
        <v>255.85836660126697</v>
      </c>
    </row>
    <row r="7" spans="1:22" x14ac:dyDescent="0.2">
      <c r="A7">
        <v>46068.654945462964</v>
      </c>
      <c r="B7">
        <v>19.562051</v>
      </c>
      <c r="C7">
        <v>19.633278000000001</v>
      </c>
      <c r="D7">
        <v>19.880036</v>
      </c>
      <c r="E7">
        <v>19.743400999999999</v>
      </c>
      <c r="F7">
        <v>41.816093000000002</v>
      </c>
      <c r="G7">
        <v>37.663311999999998</v>
      </c>
      <c r="H7">
        <v>27.918876999999998</v>
      </c>
      <c r="I7">
        <v>28.385929999999998</v>
      </c>
      <c r="J7">
        <v>56.810563999999999</v>
      </c>
      <c r="K7">
        <v>54.850776000000003</v>
      </c>
      <c r="L7">
        <v>14.769724</v>
      </c>
      <c r="M7">
        <v>-622.468165</v>
      </c>
      <c r="N7">
        <v>1.8673869999999999</v>
      </c>
      <c r="O7">
        <v>4.0597500000000002</v>
      </c>
      <c r="P7">
        <f t="shared" si="3"/>
        <v>3.1123116666666664E-5</v>
      </c>
      <c r="Q7" cm="1">
        <f t="array" ref="Q7">[1]!PropsSI("D","T",J7+273.15,"P",101325,"Water")</f>
        <v>984.80631127665379</v>
      </c>
      <c r="R7" cm="1">
        <f t="array" ref="R7">[1]!PropsSI("D","T",K7+273.15,"P",101325,"Water")</f>
        <v>985.76527094430355</v>
      </c>
      <c r="S7">
        <f t="shared" si="2"/>
        <v>985.28579111047861</v>
      </c>
      <c r="T7" cm="1">
        <f t="array" ref="T7">[1]!PropsSI("H","T",J7+273.15,"P",101325,"Water")</f>
        <v>237903.19333073264</v>
      </c>
      <c r="U7" cm="1">
        <f t="array" ref="U7">[1]!PropsSI("H","T",K7+273.15,"P",101325,"Water")</f>
        <v>229704.88144472305</v>
      </c>
      <c r="V7">
        <f t="shared" si="1"/>
        <v>251.40258364584642</v>
      </c>
    </row>
    <row r="8" spans="1:22" x14ac:dyDescent="0.2">
      <c r="A8">
        <v>46068.65506178241</v>
      </c>
      <c r="B8">
        <v>19.576145</v>
      </c>
      <c r="C8">
        <v>19.658487999999998</v>
      </c>
      <c r="D8">
        <v>19.906389000000001</v>
      </c>
      <c r="E8">
        <v>19.727428</v>
      </c>
      <c r="F8">
        <v>41.642434999999999</v>
      </c>
      <c r="G8">
        <v>37.653339000000003</v>
      </c>
      <c r="H8">
        <v>28.024367000000002</v>
      </c>
      <c r="I8">
        <v>30.154489000000002</v>
      </c>
      <c r="J8">
        <v>56.819479999999999</v>
      </c>
      <c r="K8">
        <v>54.863982999999998</v>
      </c>
      <c r="L8">
        <v>11.891093</v>
      </c>
      <c r="M8">
        <v>-622.49510199999997</v>
      </c>
      <c r="N8">
        <v>1.869116</v>
      </c>
      <c r="O8">
        <v>3.9111950000000002</v>
      </c>
      <c r="P8">
        <f t="shared" si="3"/>
        <v>3.1151933333333336E-5</v>
      </c>
      <c r="Q8" cm="1">
        <f t="array" ref="Q8">[1]!PropsSI("D","T",J8+273.15,"P",101325,"Water")</f>
        <v>984.80189468145443</v>
      </c>
      <c r="R8" cm="1">
        <f t="array" ref="R8">[1]!PropsSI("D","T",K8+273.15,"P",101325,"Water")</f>
        <v>985.75888790086594</v>
      </c>
      <c r="S8">
        <f t="shared" si="2"/>
        <v>985.28039129116019</v>
      </c>
      <c r="T8" cm="1">
        <f t="array" ref="T8">[1]!PropsSI("H","T",J8+273.15,"P",101325,"Water")</f>
        <v>237940.4946475653</v>
      </c>
      <c r="U8" cm="1">
        <f t="array" ref="U8">[1]!PropsSI("H","T",K8+273.15,"P",101325,"Water")</f>
        <v>229760.12507192348</v>
      </c>
      <c r="V8">
        <f t="shared" si="1"/>
        <v>251.08326607365103</v>
      </c>
    </row>
    <row r="9" spans="1:22" x14ac:dyDescent="0.2">
      <c r="A9">
        <v>46068.655177523149</v>
      </c>
      <c r="B9">
        <v>19.599520999999999</v>
      </c>
      <c r="C9">
        <v>19.667999999999999</v>
      </c>
      <c r="D9">
        <v>19.882555</v>
      </c>
      <c r="E9">
        <v>19.724979999999999</v>
      </c>
      <c r="F9">
        <v>41.578783000000001</v>
      </c>
      <c r="G9">
        <v>37.711883</v>
      </c>
      <c r="H9">
        <v>27.272881000000002</v>
      </c>
      <c r="I9">
        <v>30.355485999999999</v>
      </c>
      <c r="J9">
        <v>56.828076000000003</v>
      </c>
      <c r="K9">
        <v>54.875917000000001</v>
      </c>
      <c r="L9">
        <v>6.2460690000000003</v>
      </c>
      <c r="M9">
        <v>-622.50081599999999</v>
      </c>
      <c r="N9">
        <v>1.8764190000000001</v>
      </c>
      <c r="O9">
        <v>4.0264300000000004</v>
      </c>
      <c r="P9">
        <f t="shared" si="3"/>
        <v>3.1273650000000002E-5</v>
      </c>
      <c r="Q9" cm="1">
        <f t="array" ref="Q9">[1]!PropsSI("D","T",J9+273.15,"P",101325,"Water")</f>
        <v>984.79763614162073</v>
      </c>
      <c r="R9" cm="1">
        <f t="array" ref="R9">[1]!PropsSI("D","T",K9+273.15,"P",101325,"Water")</f>
        <v>985.75311917534771</v>
      </c>
      <c r="S9">
        <f t="shared" si="2"/>
        <v>985.27537765848422</v>
      </c>
      <c r="T9" cm="1">
        <f t="array" ref="T9">[1]!PropsSI("H","T",J9+273.15,"P",101325,"Water")</f>
        <v>237976.45722951696</v>
      </c>
      <c r="U9" cm="1">
        <f t="array" ref="U9">[1]!PropsSI("H","T",K9+273.15,"P",101325,"Water")</f>
        <v>229810.04391493503</v>
      </c>
      <c r="V9">
        <f t="shared" si="1"/>
        <v>251.63297815751616</v>
      </c>
    </row>
    <row r="10" spans="1:22" x14ac:dyDescent="0.2">
      <c r="A10">
        <v>44606.655293844597</v>
      </c>
      <c r="B10">
        <v>19.583051000000001</v>
      </c>
      <c r="C10">
        <v>19.654143000000001</v>
      </c>
      <c r="D10">
        <v>19.874033000000001</v>
      </c>
      <c r="E10">
        <v>19.714016000000001</v>
      </c>
      <c r="F10">
        <v>42.280144</v>
      </c>
      <c r="G10">
        <v>37.677790000000002</v>
      </c>
      <c r="H10">
        <v>27.500509999999998</v>
      </c>
      <c r="I10">
        <v>28.659023000000001</v>
      </c>
      <c r="J10">
        <v>56.836354999999998</v>
      </c>
      <c r="K10">
        <v>54.890397</v>
      </c>
      <c r="L10">
        <v>15.973337000000001</v>
      </c>
      <c r="M10">
        <v>-622.50897899999995</v>
      </c>
      <c r="N10">
        <v>1.8810249999999999</v>
      </c>
      <c r="O10">
        <v>4.076829</v>
      </c>
      <c r="P10">
        <f t="shared" si="3"/>
        <v>3.1350416666666667E-5</v>
      </c>
      <c r="Q10" cm="1">
        <f t="array" ref="Q10">[1]!PropsSI("D","T",J10+273.15,"P",101325,"Water")</f>
        <v>984.79353422102236</v>
      </c>
      <c r="R10" cm="1">
        <f t="array" ref="R10">[1]!PropsSI("D","T",K10+273.15,"P",101325,"Water")</f>
        <v>985.74611856097795</v>
      </c>
      <c r="S10">
        <f t="shared" si="2"/>
        <v>985.26982639100015</v>
      </c>
      <c r="T10" cm="1">
        <f t="array" ref="T10">[1]!PropsSI("H","T",J10+273.15,"P",101325,"Water")</f>
        <v>238011.09362431336</v>
      </c>
      <c r="U10" cm="1">
        <f t="array" ref="U10">[1]!PropsSI("H","T",K10+273.15,"P",101325,"Water")</f>
        <v>229870.61251459247</v>
      </c>
      <c r="V10">
        <f t="shared" si="1"/>
        <v>251.44822424886863</v>
      </c>
    </row>
    <row r="11" spans="1:22" x14ac:dyDescent="0.2">
      <c r="A11">
        <v>44606.655409585299</v>
      </c>
      <c r="B11">
        <v>19.578128</v>
      </c>
      <c r="C11">
        <v>19.664054</v>
      </c>
      <c r="D11">
        <v>19.892344999999999</v>
      </c>
      <c r="E11">
        <v>19.740876</v>
      </c>
      <c r="F11">
        <v>41.990068000000001</v>
      </c>
      <c r="G11">
        <v>38.154314999999997</v>
      </c>
      <c r="H11">
        <v>27.080769</v>
      </c>
      <c r="I11">
        <v>29.614374999999999</v>
      </c>
      <c r="J11">
        <v>56.842722999999999</v>
      </c>
      <c r="K11">
        <v>54.903922000000001</v>
      </c>
      <c r="L11">
        <v>13.180823999999999</v>
      </c>
      <c r="M11">
        <v>-622.49673499999994</v>
      </c>
      <c r="N11">
        <v>1.855102</v>
      </c>
      <c r="O11">
        <v>3.9177270000000002</v>
      </c>
      <c r="P11">
        <f t="shared" si="3"/>
        <v>3.0918366666666665E-5</v>
      </c>
      <c r="Q11" cm="1">
        <f t="array" ref="Q11">[1]!PropsSI("D","T",J11+273.15,"P",101325,"Water")</f>
        <v>984.79037884207287</v>
      </c>
      <c r="R11" cm="1">
        <f t="array" ref="R11">[1]!PropsSI("D","T",K11+273.15,"P",101325,"Water")</f>
        <v>985.739578481325</v>
      </c>
      <c r="S11">
        <f t="shared" si="2"/>
        <v>985.26497866169893</v>
      </c>
      <c r="T11" cm="1">
        <f t="array" ref="T11">[1]!PropsSI("H","T",J11+273.15,"P",101325,"Water")</f>
        <v>238037.73509218119</v>
      </c>
      <c r="U11" cm="1">
        <f t="array" ref="U11">[1]!PropsSI("H","T",K11+273.15,"P",101325,"Water")</f>
        <v>229927.18649923985</v>
      </c>
      <c r="V11">
        <f t="shared" si="1"/>
        <v>247.06988888705993</v>
      </c>
    </row>
    <row r="12" spans="1:22" x14ac:dyDescent="0.2">
      <c r="A12">
        <v>44606.655525904796</v>
      </c>
      <c r="B12">
        <v>19.562577000000001</v>
      </c>
      <c r="C12">
        <v>19.643754000000001</v>
      </c>
      <c r="D12">
        <v>19.877078000000001</v>
      </c>
      <c r="E12">
        <v>19.745298999999999</v>
      </c>
      <c r="F12">
        <v>41.904043999999999</v>
      </c>
      <c r="G12">
        <v>37.642049</v>
      </c>
      <c r="H12">
        <v>27.013107000000002</v>
      </c>
      <c r="I12">
        <v>27.705998000000001</v>
      </c>
      <c r="J12">
        <v>56.848771999999997</v>
      </c>
      <c r="K12">
        <v>54.916333999999999</v>
      </c>
      <c r="L12">
        <v>13.886911</v>
      </c>
      <c r="M12">
        <v>-622.48693900000001</v>
      </c>
      <c r="N12">
        <v>1.884012</v>
      </c>
      <c r="O12">
        <v>4.0310170000000003</v>
      </c>
      <c r="P12">
        <f t="shared" ref="P12:P15" si="4" xml:space="preserve"> N12*0.001/60</f>
        <v>3.1400199999999998E-5</v>
      </c>
      <c r="Q12" cm="1">
        <f t="array" ref="Q12">[1]!PropsSI("D","T",J12+273.15,"P",101325,"Water")</f>
        <v>984.78738130057877</v>
      </c>
      <c r="R12" cm="1">
        <f t="array" ref="R12">[1]!PropsSI("D","T",K12+273.15,"P",101325,"Water")</f>
        <v>985.73357559798535</v>
      </c>
      <c r="S12">
        <f t="shared" ref="S12:S15" si="5">(Q12+R12)/2</f>
        <v>985.26047844928212</v>
      </c>
      <c r="T12" cm="1">
        <f t="array" ref="T12">[1]!PropsSI("H","T",J12+273.15,"P",101325,"Water")</f>
        <v>238063.04199113912</v>
      </c>
      <c r="U12" cm="1">
        <f t="array" ref="U12">[1]!PropsSI("H","T",K12+273.15,"P",101325,"Water")</f>
        <v>229979.10495255998</v>
      </c>
      <c r="V12">
        <f t="shared" ref="V12:V15" si="6">S12*P12*(T12-U12)</f>
        <v>250.09580033240368</v>
      </c>
    </row>
    <row r="13" spans="1:22" x14ac:dyDescent="0.2">
      <c r="A13">
        <v>44606.655641645499</v>
      </c>
      <c r="B13">
        <v>19.555288999999998</v>
      </c>
      <c r="C13">
        <v>19.630193999999999</v>
      </c>
      <c r="D13">
        <v>19.877244000000001</v>
      </c>
      <c r="E13">
        <v>19.725698000000001</v>
      </c>
      <c r="F13">
        <v>41.913694999999997</v>
      </c>
      <c r="G13">
        <v>38.515884999999997</v>
      </c>
      <c r="H13">
        <v>26.991536</v>
      </c>
      <c r="I13">
        <v>28.873090999999999</v>
      </c>
      <c r="J13">
        <v>56.851320000000001</v>
      </c>
      <c r="K13">
        <v>54.922539999999998</v>
      </c>
      <c r="L13">
        <v>5.5865109999999998</v>
      </c>
      <c r="M13">
        <v>-622.5</v>
      </c>
      <c r="N13">
        <v>1.8871469999999999</v>
      </c>
      <c r="O13">
        <v>4.1213949999999997</v>
      </c>
      <c r="P13">
        <f t="shared" si="4"/>
        <v>3.1452450000000001E-5</v>
      </c>
      <c r="Q13" cm="1">
        <f t="array" ref="Q13">[1]!PropsSI("D","T",J13+273.15,"P",101325,"Water")</f>
        <v>984.78611858951706</v>
      </c>
      <c r="R13" cm="1">
        <f t="array" ref="R13">[1]!PropsSI("D","T",K13+273.15,"P",101325,"Water")</f>
        <v>985.73057379733643</v>
      </c>
      <c r="S13">
        <f t="shared" si="5"/>
        <v>985.25834619342675</v>
      </c>
      <c r="T13" cm="1">
        <f t="array" ref="T13">[1]!PropsSI("H","T",J13+273.15,"P",101325,"Water")</f>
        <v>238073.70193561807</v>
      </c>
      <c r="U13" cm="1">
        <f t="array" ref="U13">[1]!PropsSI("H","T",K13+273.15,"P",101325,"Water")</f>
        <v>230005.06420010352</v>
      </c>
      <c r="V13">
        <f t="shared" si="6"/>
        <v>250.03731126027714</v>
      </c>
    </row>
    <row r="14" spans="1:22" x14ac:dyDescent="0.2">
      <c r="A14">
        <v>44606.655757965003</v>
      </c>
      <c r="B14">
        <v>19.574926000000001</v>
      </c>
      <c r="C14">
        <v>19.650383999999999</v>
      </c>
      <c r="D14">
        <v>19.866864</v>
      </c>
      <c r="E14">
        <v>19.73358</v>
      </c>
      <c r="F14">
        <v>40.886434000000001</v>
      </c>
      <c r="G14">
        <v>38.347321999999998</v>
      </c>
      <c r="H14">
        <v>27.983626999999998</v>
      </c>
      <c r="I14">
        <v>27.020999</v>
      </c>
      <c r="J14">
        <v>56.850045999999999</v>
      </c>
      <c r="K14">
        <v>54.922857999999998</v>
      </c>
      <c r="L14">
        <v>12.471880000000001</v>
      </c>
      <c r="M14">
        <v>-622.49673499999994</v>
      </c>
      <c r="N14">
        <v>1.850258</v>
      </c>
      <c r="O14">
        <v>3.727338</v>
      </c>
      <c r="P14">
        <f t="shared" si="4"/>
        <v>3.0837633333333331E-5</v>
      </c>
      <c r="Q14" cm="1">
        <f t="array" ref="Q14">[1]!PropsSI("D","T",J14+273.15,"P",101325,"Water")</f>
        <v>984.78674994998676</v>
      </c>
      <c r="R14" cm="1">
        <f t="array" ref="R14">[1]!PropsSI("D","T",K14+273.15,"P",101325,"Water")</f>
        <v>985.73041997643099</v>
      </c>
      <c r="S14">
        <f t="shared" si="5"/>
        <v>985.25858496320893</v>
      </c>
      <c r="T14" cm="1">
        <f t="array" ref="T14">[1]!PropsSI("H","T",J14+273.15,"P",101325,"Water")</f>
        <v>238068.37196305557</v>
      </c>
      <c r="U14" cm="1">
        <f t="array" ref="U14">[1]!PropsSI("H","T",K14+273.15,"P",101325,"Water")</f>
        <v>230006.39437139741</v>
      </c>
      <c r="V14">
        <f t="shared" si="6"/>
        <v>244.94741168416095</v>
      </c>
    </row>
    <row r="15" spans="1:22" x14ac:dyDescent="0.2">
      <c r="A15">
        <v>46068.655874282405</v>
      </c>
      <c r="B15">
        <v>19.569564</v>
      </c>
      <c r="C15">
        <v>19.649906999999999</v>
      </c>
      <c r="D15">
        <v>19.904706000000001</v>
      </c>
      <c r="E15">
        <v>19.740931</v>
      </c>
      <c r="F15">
        <v>41.687575000000002</v>
      </c>
      <c r="G15">
        <v>37.540470999999997</v>
      </c>
      <c r="H15">
        <v>27.141902999999999</v>
      </c>
      <c r="I15">
        <v>27.299665999999998</v>
      </c>
      <c r="J15">
        <v>56.848931999999998</v>
      </c>
      <c r="K15">
        <v>54.92604</v>
      </c>
      <c r="L15">
        <v>19.131139000000001</v>
      </c>
      <c r="M15">
        <v>-622.49673499999994</v>
      </c>
      <c r="N15">
        <v>1.8962889999999999</v>
      </c>
      <c r="O15">
        <v>4.364293</v>
      </c>
      <c r="P15">
        <f t="shared" si="4"/>
        <v>3.1604816666666669E-5</v>
      </c>
      <c r="Q15" cm="1">
        <f t="array" ref="Q15">[1]!PropsSI("D","T",J15+273.15,"P",101325,"Water")</f>
        <v>984.78730201062672</v>
      </c>
      <c r="R15" cm="1">
        <f t="array" ref="R15">[1]!PropsSI("D","T",K15+273.15,"P",101325,"Water")</f>
        <v>985.72888076523452</v>
      </c>
      <c r="S15">
        <f t="shared" si="5"/>
        <v>985.25809138793056</v>
      </c>
      <c r="T15" cm="1">
        <f t="array" ref="T15">[1]!PropsSI("H","T",J15+273.15,"P",101325,"Water")</f>
        <v>238063.71137533267</v>
      </c>
      <c r="U15" cm="1">
        <f t="array" ref="U15">[1]!PropsSI("H","T",K15+273.15,"P",101325,"Water")</f>
        <v>230019.70445216022</v>
      </c>
      <c r="V15">
        <f t="shared" si="6"/>
        <v>250.48153802060483</v>
      </c>
    </row>
    <row r="17" spans="5:16" x14ac:dyDescent="0.2">
      <c r="E17" s="1" t="s">
        <v>22</v>
      </c>
    </row>
    <row r="18" spans="5:16" x14ac:dyDescent="0.2">
      <c r="E18">
        <f>AVERAGE(V2:V15)</f>
        <v>252.76319424420652</v>
      </c>
    </row>
    <row r="19" spans="5:16" x14ac:dyDescent="0.2">
      <c r="P19" s="1"/>
    </row>
    <row r="20" spans="5:16" x14ac:dyDescent="0.2">
      <c r="P20" s="1"/>
    </row>
    <row r="21" spans="5:16" x14ac:dyDescent="0.2">
      <c r="P21" s="1"/>
    </row>
    <row r="22" spans="5:16" x14ac:dyDescent="0.2">
      <c r="P22" s="1"/>
    </row>
    <row r="23" spans="5:16" x14ac:dyDescent="0.2">
      <c r="P23" s="1"/>
    </row>
    <row r="24" spans="5:16" x14ac:dyDescent="0.2">
      <c r="P24" s="1"/>
    </row>
    <row r="25" spans="5:16" x14ac:dyDescent="0.2">
      <c r="P25" s="1"/>
    </row>
    <row r="26" spans="5:16" x14ac:dyDescent="0.2">
      <c r="P26" s="1"/>
    </row>
    <row r="27" spans="5:16" x14ac:dyDescent="0.2">
      <c r="P27" s="1"/>
    </row>
    <row r="28" spans="5:16" x14ac:dyDescent="0.2">
      <c r="P28" s="1"/>
    </row>
    <row r="29" spans="5:16" x14ac:dyDescent="0.2">
      <c r="P29" s="1"/>
    </row>
    <row r="30" spans="5:16" x14ac:dyDescent="0.2">
      <c r="P30" s="1"/>
    </row>
    <row r="31" spans="5:16" x14ac:dyDescent="0.2">
      <c r="P31" s="1"/>
    </row>
    <row r="32" spans="5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781D8-56E9-A041-A34C-B7F1F23DBB27}">
  <dimension ref="A1:V36"/>
  <sheetViews>
    <sheetView workbookViewId="0">
      <selection activeCell="D15" sqref="D15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44606.652492339999</v>
      </c>
      <c r="B2">
        <v>19.534791999999999</v>
      </c>
      <c r="C2">
        <v>19.631143999999999</v>
      </c>
      <c r="D2">
        <v>19.883980000000001</v>
      </c>
      <c r="E2">
        <v>19.818549999999998</v>
      </c>
      <c r="F2">
        <v>40.730780000000003</v>
      </c>
      <c r="G2">
        <v>38.218476000000003</v>
      </c>
      <c r="H2">
        <v>28.159323000000001</v>
      </c>
      <c r="I2">
        <v>24.323740000000001</v>
      </c>
      <c r="J2">
        <v>56.670791000000001</v>
      </c>
      <c r="K2">
        <v>53.226427000000001</v>
      </c>
      <c r="L2">
        <v>36.767806999999998</v>
      </c>
      <c r="M2">
        <v>-622.49020499999995</v>
      </c>
      <c r="N2">
        <v>1.8921829999999999</v>
      </c>
      <c r="O2">
        <v>3.8258619999999999</v>
      </c>
      <c r="P2">
        <f xml:space="preserve"> N2*0.001/60</f>
        <v>3.1536383333333335E-5</v>
      </c>
      <c r="Q2" cm="1">
        <f t="array" ref="Q2">[1]!PropsSI("D","T",J2+273.15,"P",101325,"Water")</f>
        <v>984.87548534175937</v>
      </c>
      <c r="R2" cm="1">
        <f t="array" ref="R2">[1]!PropsSI("D","T",K2+273.15,"P",101325,"Water")</f>
        <v>986.54201439095743</v>
      </c>
      <c r="S2">
        <f>(Q2+R2)/2</f>
        <v>985.7087498663584</v>
      </c>
      <c r="T2" cm="1">
        <f t="array" ref="T2">[1]!PropsSI("H","T",J2+273.15,"P",101325,"Water")</f>
        <v>237318.43772665071</v>
      </c>
      <c r="U2" cm="1">
        <f t="array" ref="U2">[1]!PropsSI("H","T",K2+273.15,"P",101325,"Water")</f>
        <v>222910.85093350167</v>
      </c>
      <c r="V2">
        <f>S2*P2*(T2-U2)</f>
        <v>447.86976215987869</v>
      </c>
    </row>
    <row r="3" spans="1:22" x14ac:dyDescent="0.2">
      <c r="A3">
        <v>44606.652608080702</v>
      </c>
      <c r="B3">
        <v>19.598196999999999</v>
      </c>
      <c r="C3">
        <v>19.67876</v>
      </c>
      <c r="D3">
        <v>19.91583</v>
      </c>
      <c r="E3">
        <v>19.845020000000002</v>
      </c>
      <c r="F3">
        <v>41.144627999999997</v>
      </c>
      <c r="G3">
        <v>35.650539000000002</v>
      </c>
      <c r="H3">
        <v>28.405926000000001</v>
      </c>
      <c r="I3">
        <v>24.652763</v>
      </c>
      <c r="J3">
        <v>56.684004000000002</v>
      </c>
      <c r="K3">
        <v>53.251873000000003</v>
      </c>
      <c r="L3">
        <v>35.598069000000002</v>
      </c>
      <c r="M3">
        <v>-622.49877600000002</v>
      </c>
      <c r="N3">
        <v>1.8593919999999999</v>
      </c>
      <c r="O3">
        <v>3.8338930000000002</v>
      </c>
      <c r="P3">
        <f t="shared" ref="P3" si="0" xml:space="preserve"> N3*0.001/60</f>
        <v>3.0989866666666666E-5</v>
      </c>
      <c r="Q3" cm="1">
        <f t="array" ref="Q3">[1]!PropsSI("D","T",J3+273.15,"P",101325,"Water")</f>
        <v>984.86895128891388</v>
      </c>
      <c r="R3" cm="1">
        <f t="array" ref="R3">[1]!PropsSI("D","T",K3+273.15,"P",101325,"Water")</f>
        <v>986.52997437277418</v>
      </c>
      <c r="S3">
        <f>(Q3+R3)/2</f>
        <v>985.69946283084403</v>
      </c>
      <c r="T3" cm="1">
        <f t="array" ref="T3">[1]!PropsSI("H","T",J3+273.15,"P",101325,"Water")</f>
        <v>237373.71543032627</v>
      </c>
      <c r="U3" cm="1">
        <f t="array" ref="U3">[1]!PropsSI("H","T",K3+273.15,"P",101325,"Water")</f>
        <v>223017.27484071036</v>
      </c>
      <c r="V3">
        <f t="shared" ref="V3:V11" si="1">S3*P3*(T3-U3)</f>
        <v>438.54181092188975</v>
      </c>
    </row>
    <row r="4" spans="1:22" x14ac:dyDescent="0.2">
      <c r="A4">
        <v>44606.652724400097</v>
      </c>
      <c r="B4">
        <v>19.542328999999999</v>
      </c>
      <c r="C4">
        <v>19.653005</v>
      </c>
      <c r="D4">
        <v>19.894278</v>
      </c>
      <c r="E4">
        <v>19.837706000000001</v>
      </c>
      <c r="F4">
        <v>40.052163999999998</v>
      </c>
      <c r="G4">
        <v>38.451590000000003</v>
      </c>
      <c r="H4">
        <v>28.171287</v>
      </c>
      <c r="I4">
        <v>26.583086000000002</v>
      </c>
      <c r="J4">
        <v>56.698808999999997</v>
      </c>
      <c r="K4">
        <v>53.277954999999999</v>
      </c>
      <c r="L4">
        <v>37.647762</v>
      </c>
      <c r="M4">
        <v>-622.49959200000001</v>
      </c>
      <c r="N4">
        <v>1.871837</v>
      </c>
      <c r="O4">
        <v>4.2016830000000001</v>
      </c>
      <c r="P4">
        <f xml:space="preserve"> N4*0.001/60</f>
        <v>3.1197283333333337E-5</v>
      </c>
      <c r="Q4" cm="1">
        <f t="array" ref="Q4">[1]!PropsSI("D","T",J4+273.15,"P",101325,"Water")</f>
        <v>984.86162869964676</v>
      </c>
      <c r="R4" cm="1">
        <f t="array" ref="R4">[1]!PropsSI("D","T",K4+273.15,"P",101325,"Water")</f>
        <v>986.51762917497933</v>
      </c>
      <c r="S4">
        <f t="shared" ref="S4:S11" si="2">(Q4+R4)/2</f>
        <v>985.68962893731305</v>
      </c>
      <c r="T4" cm="1">
        <f t="array" ref="T4">[1]!PropsSI("H","T",J4+273.15,"P",101325,"Water")</f>
        <v>237435.65348106061</v>
      </c>
      <c r="U4" cm="1">
        <f t="array" ref="U4">[1]!PropsSI("H","T",K4+273.15,"P",101325,"Water")</f>
        <v>223126.35894325809</v>
      </c>
      <c r="V4">
        <f t="shared" si="1"/>
        <v>440.02280727953411</v>
      </c>
    </row>
    <row r="5" spans="1:22" x14ac:dyDescent="0.2">
      <c r="A5">
        <v>44606.652840140901</v>
      </c>
      <c r="B5">
        <v>19.529434999999999</v>
      </c>
      <c r="C5">
        <v>19.624044000000001</v>
      </c>
      <c r="D5">
        <v>19.881426999999999</v>
      </c>
      <c r="E5">
        <v>19.798787000000001</v>
      </c>
      <c r="F5">
        <v>41.550113000000003</v>
      </c>
      <c r="G5">
        <v>37.703662000000001</v>
      </c>
      <c r="H5">
        <v>27.353193999999998</v>
      </c>
      <c r="I5">
        <v>25.110339</v>
      </c>
      <c r="J5">
        <v>56.712021999999997</v>
      </c>
      <c r="K5">
        <v>53.294018000000001</v>
      </c>
      <c r="L5">
        <v>34.484247000000003</v>
      </c>
      <c r="M5">
        <v>-622.49265300000002</v>
      </c>
      <c r="N5">
        <v>1.878595</v>
      </c>
      <c r="O5">
        <v>3.8272979999999999</v>
      </c>
      <c r="P5">
        <f t="shared" ref="P5:P11" si="3" xml:space="preserve"> N5*0.001/60</f>
        <v>3.1309916666666667E-5</v>
      </c>
      <c r="Q5" cm="1">
        <f t="array" ref="Q5">[1]!PropsSI("D","T",J5+273.15,"P",101325,"Water")</f>
        <v>984.85509238829843</v>
      </c>
      <c r="R5" cm="1">
        <f t="array" ref="R5">[1]!PropsSI("D","T",K5+273.15,"P",101325,"Water")</f>
        <v>986.51002405510599</v>
      </c>
      <c r="S5">
        <f t="shared" si="2"/>
        <v>985.68255822170227</v>
      </c>
      <c r="T5" cm="1">
        <f t="array" ref="T5">[1]!PropsSI("H","T",J5+273.15,"P",101325,"Water")</f>
        <v>237490.93132813691</v>
      </c>
      <c r="U5" cm="1">
        <f t="array" ref="U5">[1]!PropsSI("H","T",K5+273.15,"P",101325,"Water")</f>
        <v>223193.54017555184</v>
      </c>
      <c r="V5">
        <f t="shared" si="1"/>
        <v>441.24092092873536</v>
      </c>
    </row>
    <row r="6" spans="1:22" x14ac:dyDescent="0.2">
      <c r="A6">
        <v>46068.652956458332</v>
      </c>
      <c r="B6">
        <v>19.511133000000001</v>
      </c>
      <c r="C6">
        <v>19.583669</v>
      </c>
      <c r="D6">
        <v>19.895924999999998</v>
      </c>
      <c r="E6">
        <v>19.810148999999999</v>
      </c>
      <c r="F6">
        <v>40.768422999999999</v>
      </c>
      <c r="G6">
        <v>39.330835</v>
      </c>
      <c r="H6">
        <v>27.420534</v>
      </c>
      <c r="I6">
        <v>27.653713</v>
      </c>
      <c r="J6">
        <v>56.727145</v>
      </c>
      <c r="K6">
        <v>53.311036000000001</v>
      </c>
      <c r="L6">
        <v>36.208243000000003</v>
      </c>
      <c r="M6">
        <v>-622.47510299999999</v>
      </c>
      <c r="N6">
        <v>1.8574949999999999</v>
      </c>
      <c r="O6">
        <v>3.9758779999999998</v>
      </c>
      <c r="P6">
        <f t="shared" si="3"/>
        <v>3.0958250000000001E-5</v>
      </c>
      <c r="Q6" cm="1">
        <f t="array" ref="Q6">[1]!PropsSI("D","T",J6+273.15,"P",101325,"Water")</f>
        <v>984.84760991617043</v>
      </c>
      <c r="R6" cm="1">
        <f t="array" ref="R6">[1]!PropsSI("D","T",K6+273.15,"P",101325,"Water")</f>
        <v>986.50196500545474</v>
      </c>
      <c r="S6">
        <f t="shared" si="2"/>
        <v>985.67478746081258</v>
      </c>
      <c r="T6" cm="1">
        <f t="array" ref="T6">[1]!PropsSI("H","T",J6+273.15,"P",101325,"Water")</f>
        <v>237554.19992566321</v>
      </c>
      <c r="U6" cm="1">
        <f t="array" ref="U6">[1]!PropsSI("H","T",K6+273.15,"P",101325,"Water")</f>
        <v>223264.71565503548</v>
      </c>
      <c r="V6">
        <f t="shared" si="1"/>
        <v>436.04027576513897</v>
      </c>
    </row>
    <row r="7" spans="1:22" x14ac:dyDescent="0.2">
      <c r="A7">
        <v>46068.653072199071</v>
      </c>
      <c r="B7">
        <v>19.527899000000001</v>
      </c>
      <c r="C7">
        <v>19.608754000000001</v>
      </c>
      <c r="D7">
        <v>19.874555999999998</v>
      </c>
      <c r="E7">
        <v>19.792446000000002</v>
      </c>
      <c r="F7">
        <v>41.115290000000002</v>
      </c>
      <c r="G7">
        <v>38.022849999999998</v>
      </c>
      <c r="H7">
        <v>28.538948999999999</v>
      </c>
      <c r="I7">
        <v>26.41863</v>
      </c>
      <c r="J7">
        <v>56.73415</v>
      </c>
      <c r="K7">
        <v>53.323759000000003</v>
      </c>
      <c r="L7">
        <v>38.811785999999998</v>
      </c>
      <c r="M7">
        <v>-622.48571500000003</v>
      </c>
      <c r="N7">
        <v>1.883065</v>
      </c>
      <c r="O7">
        <v>3.4981650000000002</v>
      </c>
      <c r="P7">
        <f t="shared" si="3"/>
        <v>3.1384416666666667E-5</v>
      </c>
      <c r="Q7" cm="1">
        <f t="array" ref="Q7">[1]!PropsSI("D","T",J7+273.15,"P",101325,"Water")</f>
        <v>984.84414354933347</v>
      </c>
      <c r="R7" cm="1">
        <f t="array" ref="R7">[1]!PropsSI("D","T",K7+273.15,"P",101325,"Water")</f>
        <v>986.49593870148749</v>
      </c>
      <c r="S7">
        <f t="shared" si="2"/>
        <v>985.67004112541053</v>
      </c>
      <c r="T7" cm="1">
        <f t="array" ref="T7">[1]!PropsSI("H","T",J7+273.15,"P",101325,"Water")</f>
        <v>237583.50608050675</v>
      </c>
      <c r="U7" cm="1">
        <f t="array" ref="U7">[1]!PropsSI("H","T",K7+273.15,"P",101325,"Water")</f>
        <v>223317.92794246352</v>
      </c>
      <c r="V7">
        <f t="shared" si="1"/>
        <v>441.30108425199461</v>
      </c>
    </row>
    <row r="8" spans="1:22" x14ac:dyDescent="0.2">
      <c r="A8">
        <v>46068.653187939817</v>
      </c>
      <c r="B8">
        <v>19.543220000000002</v>
      </c>
      <c r="C8">
        <v>19.598756000000002</v>
      </c>
      <c r="D8">
        <v>19.833172999999999</v>
      </c>
      <c r="E8">
        <v>19.756539</v>
      </c>
      <c r="F8">
        <v>40.742581000000001</v>
      </c>
      <c r="G8">
        <v>38.178642000000004</v>
      </c>
      <c r="H8">
        <v>28.515364000000002</v>
      </c>
      <c r="I8">
        <v>27.466037</v>
      </c>
      <c r="J8">
        <v>56.738767000000003</v>
      </c>
      <c r="K8">
        <v>53.331392999999998</v>
      </c>
      <c r="L8">
        <v>34.321807</v>
      </c>
      <c r="M8">
        <v>-622.48979599999996</v>
      </c>
      <c r="N8">
        <v>1.8767750000000001</v>
      </c>
      <c r="O8">
        <v>3.5428839999999999</v>
      </c>
      <c r="P8">
        <f t="shared" si="3"/>
        <v>3.1279583333333334E-5</v>
      </c>
      <c r="Q8" cm="1">
        <f t="array" ref="Q8">[1]!PropsSI("D","T",J8+273.15,"P",101325,"Water")</f>
        <v>984.84185870113163</v>
      </c>
      <c r="R8" cm="1">
        <f t="array" ref="R8">[1]!PropsSI("D","T",K8+273.15,"P",101325,"Water")</f>
        <v>986.49232233330042</v>
      </c>
      <c r="S8">
        <f t="shared" si="2"/>
        <v>985.66709051721602</v>
      </c>
      <c r="T8" cm="1">
        <f t="array" ref="T8">[1]!PropsSI("H","T",J8+273.15,"P",101325,"Water")</f>
        <v>237602.82179642675</v>
      </c>
      <c r="U8" cm="1">
        <f t="array" ref="U8">[1]!PropsSI("H","T",K8+273.15,"P",101325,"Water")</f>
        <v>223349.85617745211</v>
      </c>
      <c r="V8">
        <f t="shared" si="1"/>
        <v>439.43683028629351</v>
      </c>
    </row>
    <row r="9" spans="1:22" x14ac:dyDescent="0.2">
      <c r="A9">
        <v>46068.653303680556</v>
      </c>
      <c r="B9">
        <v>19.562794</v>
      </c>
      <c r="C9">
        <v>19.625983999999999</v>
      </c>
      <c r="D9">
        <v>19.869864</v>
      </c>
      <c r="E9">
        <v>19.772403000000001</v>
      </c>
      <c r="F9">
        <v>40.924633</v>
      </c>
      <c r="G9">
        <v>39.590820999999998</v>
      </c>
      <c r="H9">
        <v>27.687563000000001</v>
      </c>
      <c r="I9">
        <v>24.75966</v>
      </c>
      <c r="J9">
        <v>56.746248999999999</v>
      </c>
      <c r="K9">
        <v>53.339663000000002</v>
      </c>
      <c r="L9">
        <v>34.579345000000004</v>
      </c>
      <c r="M9">
        <v>-622.49061300000005</v>
      </c>
      <c r="N9">
        <v>1.859999</v>
      </c>
      <c r="O9">
        <v>4.4286830000000004</v>
      </c>
      <c r="P9">
        <f t="shared" si="3"/>
        <v>3.0999983333333331E-5</v>
      </c>
      <c r="Q9" cm="1">
        <f t="array" ref="Q9">[1]!PropsSI("D","T",J9+273.15,"P",101325,"Water")</f>
        <v>984.83815575364065</v>
      </c>
      <c r="R9" cm="1">
        <f t="array" ref="R9">[1]!PropsSI("D","T",K9+273.15,"P",101325,"Water")</f>
        <v>986.4884042644851</v>
      </c>
      <c r="S9">
        <f t="shared" si="2"/>
        <v>985.66328000906287</v>
      </c>
      <c r="T9" cm="1">
        <f t="array" ref="T9">[1]!PropsSI("H","T",J9+273.15,"P",101325,"Water")</f>
        <v>237634.12356544763</v>
      </c>
      <c r="U9" cm="1">
        <f t="array" ref="U9">[1]!PropsSI("H","T",K9+273.15,"P",101325,"Water")</f>
        <v>223384.44442377772</v>
      </c>
      <c r="V9">
        <f t="shared" si="1"/>
        <v>435.40671584774981</v>
      </c>
    </row>
    <row r="10" spans="1:22" x14ac:dyDescent="0.2">
      <c r="A10">
        <v>44606.653420002003</v>
      </c>
      <c r="B10">
        <v>19.554842000000001</v>
      </c>
      <c r="C10">
        <v>19.604174</v>
      </c>
      <c r="D10">
        <v>19.870063999999999</v>
      </c>
      <c r="E10">
        <v>19.753755000000002</v>
      </c>
      <c r="F10">
        <v>40.800677999999998</v>
      </c>
      <c r="G10">
        <v>38.002600000000001</v>
      </c>
      <c r="H10">
        <v>27.550339000000001</v>
      </c>
      <c r="I10">
        <v>24.359365</v>
      </c>
      <c r="J10">
        <v>56.753731000000002</v>
      </c>
      <c r="K10">
        <v>53.353977</v>
      </c>
      <c r="L10">
        <v>35.887850999999998</v>
      </c>
      <c r="M10">
        <v>-622.46285899999998</v>
      </c>
      <c r="N10">
        <v>1.8795249999999999</v>
      </c>
      <c r="O10">
        <v>3.3865020000000001</v>
      </c>
      <c r="P10">
        <f t="shared" si="3"/>
        <v>3.1325416666666667E-5</v>
      </c>
      <c r="Q10" cm="1">
        <f t="array" ref="Q10">[1]!PropsSI("D","T",J10+273.15,"P",101325,"Water")</f>
        <v>984.83445246481131</v>
      </c>
      <c r="R10" cm="1">
        <f t="array" ref="R10">[1]!PropsSI("D","T",K10+273.15,"P",101325,"Water")</f>
        <v>986.4816217150975</v>
      </c>
      <c r="S10">
        <f t="shared" si="2"/>
        <v>985.65803708995441</v>
      </c>
      <c r="T10" cm="1">
        <f t="array" ref="T10">[1]!PropsSI("H","T",J10+273.15,"P",101325,"Water")</f>
        <v>237665.42535618794</v>
      </c>
      <c r="U10" cm="1">
        <f t="array" ref="U10">[1]!PropsSI("H","T",K10+273.15,"P",101325,"Water")</f>
        <v>223444.3110026104</v>
      </c>
      <c r="V10">
        <f t="shared" si="1"/>
        <v>439.09324149904245</v>
      </c>
    </row>
    <row r="11" spans="1:22" x14ac:dyDescent="0.2">
      <c r="A11">
        <v>44606.653535742698</v>
      </c>
      <c r="B11">
        <v>19.535913999999998</v>
      </c>
      <c r="C11">
        <v>19.581863999999999</v>
      </c>
      <c r="D11">
        <v>19.853290000000001</v>
      </c>
      <c r="E11">
        <v>19.763121999999999</v>
      </c>
      <c r="F11">
        <v>40.132603000000003</v>
      </c>
      <c r="G11">
        <v>35.632769000000003</v>
      </c>
      <c r="H11">
        <v>27.646547999999999</v>
      </c>
      <c r="I11">
        <v>24.623249000000001</v>
      </c>
      <c r="J11">
        <v>56.756278000000002</v>
      </c>
      <c r="K11">
        <v>53.359544</v>
      </c>
      <c r="L11">
        <v>40.879029000000003</v>
      </c>
      <c r="M11">
        <v>-622.49020499999995</v>
      </c>
      <c r="N11">
        <v>1.871575</v>
      </c>
      <c r="O11">
        <v>3.4463940000000002</v>
      </c>
      <c r="P11">
        <f t="shared" si="3"/>
        <v>3.1192916666666668E-5</v>
      </c>
      <c r="Q11" cm="1">
        <f t="array" ref="Q11">[1]!PropsSI("D","T",J11+273.15,"P",101325,"Water")</f>
        <v>984.83319172446966</v>
      </c>
      <c r="R11" cm="1">
        <f t="array" ref="R11">[1]!PropsSI("D","T",K11+273.15,"P",101325,"Water")</f>
        <v>986.47898349678735</v>
      </c>
      <c r="S11">
        <f t="shared" si="2"/>
        <v>985.65608761062845</v>
      </c>
      <c r="T11" cm="1">
        <f t="array" ref="T11">[1]!PropsSI("H","T",J11+273.15,"P",101325,"Water")</f>
        <v>237676.08102285161</v>
      </c>
      <c r="U11" cm="1">
        <f t="array" ref="U11">[1]!PropsSI("H","T",K11+273.15,"P",101325,"Water")</f>
        <v>223467.59432740402</v>
      </c>
      <c r="V11">
        <f t="shared" si="1"/>
        <v>436.84686007496549</v>
      </c>
    </row>
    <row r="12" spans="1:22" x14ac:dyDescent="0.2">
      <c r="A12">
        <v>44606.653652062203</v>
      </c>
      <c r="B12">
        <v>19.572882</v>
      </c>
      <c r="C12">
        <v>19.590785</v>
      </c>
      <c r="D12">
        <v>19.847180000000002</v>
      </c>
      <c r="E12">
        <v>19.754315999999999</v>
      </c>
      <c r="F12">
        <v>41.279214000000003</v>
      </c>
      <c r="G12">
        <v>38.050604</v>
      </c>
      <c r="H12">
        <v>28.000136000000001</v>
      </c>
      <c r="I12">
        <v>27.784649000000002</v>
      </c>
      <c r="J12">
        <v>56.759303000000003</v>
      </c>
      <c r="K12">
        <v>53.363360999999998</v>
      </c>
      <c r="L12">
        <v>36.692300000000003</v>
      </c>
      <c r="M12">
        <v>-622.49510199999997</v>
      </c>
      <c r="N12">
        <v>1.8630230000000001</v>
      </c>
      <c r="O12">
        <v>3.9921820000000001</v>
      </c>
      <c r="P12">
        <f t="shared" ref="P12" si="4" xml:space="preserve"> N12*0.001/60</f>
        <v>3.1050383333333333E-5</v>
      </c>
      <c r="Q12" cm="1">
        <f t="array" ref="Q12">[1]!PropsSI("D","T",J12+273.15,"P",101325,"Water")</f>
        <v>984.83169432736463</v>
      </c>
      <c r="R12" cm="1">
        <f t="array" ref="R12">[1]!PropsSI("D","T",K12+273.15,"P",101325,"Water")</f>
        <v>986.47717449567551</v>
      </c>
      <c r="S12">
        <f t="shared" ref="S12" si="5">(Q12+R12)/2</f>
        <v>985.65443441152001</v>
      </c>
      <c r="T12" cm="1">
        <f t="array" ref="T12">[1]!PropsSI("H","T",J12+273.15,"P",101325,"Water")</f>
        <v>237688.73646066608</v>
      </c>
      <c r="U12" cm="1">
        <f t="array" ref="U12">[1]!PropsSI("H","T",K12+273.15,"P",101325,"Water")</f>
        <v>223483.55848840688</v>
      </c>
      <c r="V12">
        <f t="shared" ref="V12" si="6">S12*P12*(T12-U12)</f>
        <v>434.74873349387707</v>
      </c>
    </row>
    <row r="14" spans="1:22" x14ac:dyDescent="0.2">
      <c r="D14" s="1" t="s">
        <v>22</v>
      </c>
    </row>
    <row r="15" spans="1:22" x14ac:dyDescent="0.2">
      <c r="D15">
        <f>AVERAGE(V2:V12)</f>
        <v>439.14082204628181</v>
      </c>
    </row>
    <row r="19" spans="16:16" x14ac:dyDescent="0.2">
      <c r="P19" s="1"/>
    </row>
    <row r="20" spans="16:16" x14ac:dyDescent="0.2">
      <c r="P20" s="1"/>
    </row>
    <row r="21" spans="16:16" x14ac:dyDescent="0.2">
      <c r="P21" s="1"/>
    </row>
    <row r="22" spans="16:16" x14ac:dyDescent="0.2">
      <c r="P22" s="1"/>
    </row>
    <row r="23" spans="16:16" x14ac:dyDescent="0.2">
      <c r="P23" s="1"/>
    </row>
    <row r="24" spans="16:16" x14ac:dyDescent="0.2">
      <c r="P24" s="1"/>
    </row>
    <row r="25" spans="16:16" x14ac:dyDescent="0.2">
      <c r="P25" s="1"/>
    </row>
    <row r="26" spans="16:16" x14ac:dyDescent="0.2">
      <c r="P26" s="1"/>
    </row>
    <row r="27" spans="16:16" x14ac:dyDescent="0.2">
      <c r="P27" s="1"/>
    </row>
    <row r="28" spans="16:16" x14ac:dyDescent="0.2">
      <c r="P28" s="1"/>
    </row>
    <row r="29" spans="16:16" x14ac:dyDescent="0.2">
      <c r="P29" s="1"/>
    </row>
    <row r="30" spans="16:16" x14ac:dyDescent="0.2">
      <c r="P30" s="1"/>
    </row>
    <row r="31" spans="16:16" x14ac:dyDescent="0.2">
      <c r="P31" s="1"/>
    </row>
    <row r="32" spans="16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5B491-7D0F-3A4F-A7BD-B9F5B3788D67}">
  <dimension ref="A1:V36"/>
  <sheetViews>
    <sheetView workbookViewId="0">
      <selection activeCell="D21" sqref="D21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1" width="11.1640625" bestFit="1" customWidth="1"/>
    <col min="12" max="12" width="10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44606.6497035668</v>
      </c>
      <c r="B2">
        <v>19.610717999999999</v>
      </c>
      <c r="C2">
        <v>19.707274000000002</v>
      </c>
      <c r="D2">
        <v>19.925988</v>
      </c>
      <c r="E2">
        <v>19.846342</v>
      </c>
      <c r="F2">
        <v>36.853914000000003</v>
      </c>
      <c r="G2">
        <v>33.996009000000001</v>
      </c>
      <c r="H2">
        <v>27.215254999999999</v>
      </c>
      <c r="I2">
        <v>22.340233999999999</v>
      </c>
      <c r="J2">
        <v>56.304671999999997</v>
      </c>
      <c r="K2">
        <v>51.885877000000001</v>
      </c>
      <c r="L2">
        <v>78.031047000000001</v>
      </c>
      <c r="M2">
        <v>-622.50244899999996</v>
      </c>
      <c r="N2">
        <v>1.892884</v>
      </c>
      <c r="O2">
        <v>4.1516529999999996</v>
      </c>
      <c r="P2">
        <f xml:space="preserve"> N2*0.001/60</f>
        <v>3.154806666666667E-5</v>
      </c>
      <c r="Q2" cm="1">
        <f t="array" ref="Q2">[1]!PropsSI("D","T",J2+273.15,"P",101325,"Water")</f>
        <v>985.05611317103285</v>
      </c>
      <c r="R2" cm="1">
        <f t="array" ref="R2">[1]!PropsSI("D","T",K2+273.15,"P",101325,"Water")</f>
        <v>987.17048803370847</v>
      </c>
      <c r="S2">
        <f>(Q2+R2)/2</f>
        <v>986.1133006023706</v>
      </c>
      <c r="T2" cm="1">
        <f t="array" ref="T2">[1]!PropsSI("H","T",J2+273.15,"P",101325,"Water")</f>
        <v>235786.77465782536</v>
      </c>
      <c r="U2" cm="1">
        <f t="array" ref="U2">[1]!PropsSI("H","T",K2+273.15,"P",101325,"Water")</f>
        <v>217304.51059215961</v>
      </c>
      <c r="V2">
        <f>S2*P2*(T2-U2)</f>
        <v>574.98264639115166</v>
      </c>
    </row>
    <row r="3" spans="1:22" x14ac:dyDescent="0.2">
      <c r="A3">
        <v>44606.649819307597</v>
      </c>
      <c r="B3">
        <v>19.566314999999999</v>
      </c>
      <c r="C3">
        <v>19.662701999999999</v>
      </c>
      <c r="D3">
        <v>19.878017</v>
      </c>
      <c r="E3">
        <v>19.788747000000001</v>
      </c>
      <c r="F3">
        <v>37.807940000000002</v>
      </c>
      <c r="G3">
        <v>34.859439000000002</v>
      </c>
      <c r="H3">
        <v>26.966215999999999</v>
      </c>
      <c r="I3">
        <v>22.298947999999999</v>
      </c>
      <c r="J3">
        <v>56.323771999999998</v>
      </c>
      <c r="K3">
        <v>51.908290999999998</v>
      </c>
      <c r="L3">
        <v>80.317870999999997</v>
      </c>
      <c r="M3">
        <v>-622.5</v>
      </c>
      <c r="N3">
        <v>1.865383</v>
      </c>
      <c r="O3">
        <v>4.2085080000000001</v>
      </c>
      <c r="P3">
        <f t="shared" ref="P3" si="0" xml:space="preserve"> N3*0.001/60</f>
        <v>3.1089716666666665E-5</v>
      </c>
      <c r="Q3" cm="1">
        <f t="array" ref="Q3">[1]!PropsSI("D","T",J3+273.15,"P",101325,"Water")</f>
        <v>985.04671029965095</v>
      </c>
      <c r="R3" cm="1">
        <f t="array" ref="R3">[1]!PropsSI("D","T",K3+273.15,"P",101325,"Water")</f>
        <v>987.16007432351159</v>
      </c>
      <c r="S3">
        <f>(Q3+R3)/2</f>
        <v>986.10339231158127</v>
      </c>
      <c r="T3" cm="1">
        <f t="array" ref="T3">[1]!PropsSI("H","T",J3+273.15,"P",101325,"Water")</f>
        <v>235866.67845785088</v>
      </c>
      <c r="U3" cm="1">
        <f t="array" ref="U3">[1]!PropsSI("H","T",K3+273.15,"P",101325,"Water")</f>
        <v>217398.24388397951</v>
      </c>
      <c r="V3">
        <f t="shared" ref="V3:V11" si="1">S3*P3*(T3-U3)</f>
        <v>566.19926623588003</v>
      </c>
    </row>
    <row r="4" spans="1:22" x14ac:dyDescent="0.2">
      <c r="A4">
        <v>44606.649935627</v>
      </c>
      <c r="B4">
        <v>19.584537000000001</v>
      </c>
      <c r="C4">
        <v>19.641214000000002</v>
      </c>
      <c r="D4">
        <v>19.907323999999999</v>
      </c>
      <c r="E4">
        <v>19.780525000000001</v>
      </c>
      <c r="F4">
        <v>38.128310999999997</v>
      </c>
      <c r="G4">
        <v>36.236648000000002</v>
      </c>
      <c r="H4">
        <v>26.966953</v>
      </c>
      <c r="I4">
        <v>23.16123</v>
      </c>
      <c r="J4">
        <v>56.341121999999999</v>
      </c>
      <c r="K4">
        <v>51.927208999999998</v>
      </c>
      <c r="L4">
        <v>75.124661000000003</v>
      </c>
      <c r="M4">
        <v>-622.49306200000001</v>
      </c>
      <c r="N4">
        <v>1.869842</v>
      </c>
      <c r="O4">
        <v>3.456585</v>
      </c>
      <c r="P4">
        <f xml:space="preserve"> N4*0.001/60</f>
        <v>3.1164033333333335E-5</v>
      </c>
      <c r="Q4" cm="1">
        <f t="array" ref="Q4">[1]!PropsSI("D","T",J4+273.15,"P",101325,"Water")</f>
        <v>985.03816701156779</v>
      </c>
      <c r="R4" cm="1">
        <f t="array" ref="R4">[1]!PropsSI("D","T",K4+273.15,"P",101325,"Water")</f>
        <v>987.15128237119859</v>
      </c>
      <c r="S4">
        <f t="shared" ref="S4:S11" si="2">(Q4+R4)/2</f>
        <v>986.09472469138313</v>
      </c>
      <c r="T4" cm="1">
        <f t="array" ref="T4">[1]!PropsSI("H","T",J4+273.15,"P",101325,"Water")</f>
        <v>235939.26134986337</v>
      </c>
      <c r="U4" cm="1">
        <f t="array" ref="U4">[1]!PropsSI("H","T",K4+273.15,"P",101325,"Water")</f>
        <v>217477.35734703764</v>
      </c>
      <c r="V4">
        <f t="shared" si="1"/>
        <v>567.34702786060984</v>
      </c>
    </row>
    <row r="5" spans="1:22" x14ac:dyDescent="0.2">
      <c r="A5">
        <v>44606.650051367702</v>
      </c>
      <c r="B5">
        <v>19.620218999999999</v>
      </c>
      <c r="C5">
        <v>19.690034000000001</v>
      </c>
      <c r="D5">
        <v>19.889254000000001</v>
      </c>
      <c r="E5">
        <v>19.825838999999998</v>
      </c>
      <c r="F5">
        <v>37.87894</v>
      </c>
      <c r="G5">
        <v>34.929865999999997</v>
      </c>
      <c r="H5">
        <v>26.745725</v>
      </c>
      <c r="I5">
        <v>22.546104</v>
      </c>
      <c r="J5">
        <v>56.360860000000002</v>
      </c>
      <c r="K5">
        <v>51.946762</v>
      </c>
      <c r="L5">
        <v>75.636064000000005</v>
      </c>
      <c r="M5">
        <v>-622.48163399999999</v>
      </c>
      <c r="N5">
        <v>1.876878</v>
      </c>
      <c r="O5">
        <v>4.213095</v>
      </c>
      <c r="P5">
        <f t="shared" ref="P5:P11" si="3" xml:space="preserve"> N5*0.001/60</f>
        <v>3.1281300000000002E-5</v>
      </c>
      <c r="Q5" cm="1">
        <f t="array" ref="Q5">[1]!PropsSI("D","T",J5+273.15,"P",101325,"Water")</f>
        <v>985.02844561100096</v>
      </c>
      <c r="R5" cm="1">
        <f t="array" ref="R5">[1]!PropsSI("D","T",K5+273.15,"P",101325,"Water")</f>
        <v>987.14219289523328</v>
      </c>
      <c r="S5">
        <f t="shared" si="2"/>
        <v>986.08531925311718</v>
      </c>
      <c r="T5" cm="1">
        <f t="array" ref="T5">[1]!PropsSI("H","T",J5+273.15,"P",101325,"Water")</f>
        <v>236021.83446501801</v>
      </c>
      <c r="U5" cm="1">
        <f t="array" ref="U5">[1]!PropsSI("H","T",K5+273.15,"P",101325,"Water")</f>
        <v>217559.12644414912</v>
      </c>
      <c r="V5">
        <f t="shared" si="1"/>
        <v>569.50125836428606</v>
      </c>
    </row>
    <row r="6" spans="1:22" x14ac:dyDescent="0.2">
      <c r="A6">
        <v>46068.650167106483</v>
      </c>
      <c r="B6">
        <v>19.602443000000001</v>
      </c>
      <c r="C6">
        <v>19.643076000000001</v>
      </c>
      <c r="D6">
        <v>19.886396000000001</v>
      </c>
      <c r="E6">
        <v>19.757739999999998</v>
      </c>
      <c r="F6">
        <v>37.173470999999999</v>
      </c>
      <c r="G6">
        <v>34.257303</v>
      </c>
      <c r="H6">
        <v>27.645309999999998</v>
      </c>
      <c r="I6">
        <v>23.222031000000001</v>
      </c>
      <c r="J6">
        <v>56.382986000000002</v>
      </c>
      <c r="K6">
        <v>51.966633999999999</v>
      </c>
      <c r="L6">
        <v>72.079915999999997</v>
      </c>
      <c r="M6">
        <v>-622.47796000000005</v>
      </c>
      <c r="N6">
        <v>1.863375</v>
      </c>
      <c r="O6">
        <v>4.3899369999999998</v>
      </c>
      <c r="P6">
        <f t="shared" si="3"/>
        <v>3.1056249999999999E-5</v>
      </c>
      <c r="Q6" cm="1">
        <f t="array" ref="Q6">[1]!PropsSI("D","T",J6+273.15,"P",101325,"Water")</f>
        <v>985.01754523269801</v>
      </c>
      <c r="R6" cm="1">
        <f t="array" ref="R6">[1]!PropsSI("D","T",K6+273.15,"P",101325,"Water")</f>
        <v>987.13295261446024</v>
      </c>
      <c r="S6">
        <f t="shared" si="2"/>
        <v>986.07524892357912</v>
      </c>
      <c r="T6" cm="1">
        <f t="array" ref="T6">[1]!PropsSI("H","T",J6+273.15,"P",101325,"Water")</f>
        <v>236114.39785753464</v>
      </c>
      <c r="U6" cm="1">
        <f t="array" ref="U6">[1]!PropsSI("H","T",K6+273.15,"P",101325,"Water")</f>
        <v>217642.22969709348</v>
      </c>
      <c r="V6">
        <f t="shared" si="1"/>
        <v>565.68797314062624</v>
      </c>
    </row>
    <row r="7" spans="1:22" x14ac:dyDescent="0.2">
      <c r="A7">
        <v>46068.650283425923</v>
      </c>
      <c r="B7">
        <v>19.579542</v>
      </c>
      <c r="C7">
        <v>19.639451999999999</v>
      </c>
      <c r="D7">
        <v>19.870768000000002</v>
      </c>
      <c r="E7">
        <v>19.749625000000002</v>
      </c>
      <c r="F7">
        <v>38.312192000000003</v>
      </c>
      <c r="G7">
        <v>35.311205999999999</v>
      </c>
      <c r="H7">
        <v>26.786545</v>
      </c>
      <c r="I7">
        <v>23.803750999999998</v>
      </c>
      <c r="J7">
        <v>56.398426000000001</v>
      </c>
      <c r="K7">
        <v>51.983167000000002</v>
      </c>
      <c r="L7">
        <v>79.153846999999999</v>
      </c>
      <c r="M7">
        <v>-622.48897999999997</v>
      </c>
      <c r="N7">
        <v>1.8680669999999999</v>
      </c>
      <c r="O7">
        <v>3.5219670000000001</v>
      </c>
      <c r="P7">
        <f t="shared" si="3"/>
        <v>3.1134450000000001E-5</v>
      </c>
      <c r="Q7" cm="1">
        <f t="array" ref="Q7">[1]!PropsSI("D","T",J7+273.15,"P",101325,"Water")</f>
        <v>985.00993693875</v>
      </c>
      <c r="R7" cm="1">
        <f t="array" ref="R7">[1]!PropsSI("D","T",K7+273.15,"P",101325,"Water")</f>
        <v>987.12526300470097</v>
      </c>
      <c r="S7">
        <f t="shared" si="2"/>
        <v>986.06759997172549</v>
      </c>
      <c r="T7" cm="1">
        <f t="array" ref="T7">[1]!PropsSI("H","T",J7+273.15,"P",101325,"Water")</f>
        <v>236178.990700208</v>
      </c>
      <c r="U7" cm="1">
        <f t="array" ref="U7">[1]!PropsSI("H","T",K7+273.15,"P",101325,"Water")</f>
        <v>217711.3695906135</v>
      </c>
      <c r="V7">
        <f t="shared" si="1"/>
        <v>566.96838547026005</v>
      </c>
    </row>
    <row r="8" spans="1:22" x14ac:dyDescent="0.2">
      <c r="A8">
        <v>46068.650399745369</v>
      </c>
      <c r="B8">
        <v>19.558541000000002</v>
      </c>
      <c r="C8">
        <v>19.645098000000001</v>
      </c>
      <c r="D8">
        <v>19.85866</v>
      </c>
      <c r="E8">
        <v>19.747983000000001</v>
      </c>
      <c r="F8">
        <v>37.434412999999999</v>
      </c>
      <c r="G8">
        <v>35.779108000000001</v>
      </c>
      <c r="H8">
        <v>27.048036</v>
      </c>
      <c r="I8">
        <v>22.870660999999998</v>
      </c>
      <c r="J8">
        <v>56.416572000000002</v>
      </c>
      <c r="K8">
        <v>51.999859000000001</v>
      </c>
      <c r="L8">
        <v>76.951509000000001</v>
      </c>
      <c r="M8">
        <v>-622.50122399999998</v>
      </c>
      <c r="N8">
        <v>1.876177</v>
      </c>
      <c r="O8">
        <v>3.9833759999999998</v>
      </c>
      <c r="P8">
        <f t="shared" si="3"/>
        <v>3.1269616666666666E-5</v>
      </c>
      <c r="Q8" cm="1">
        <f t="array" ref="Q8">[1]!PropsSI("D","T",J8+273.15,"P",101325,"Water")</f>
        <v>985.00099335773382</v>
      </c>
      <c r="R8" cm="1">
        <f t="array" ref="R8">[1]!PropsSI("D","T",K8+273.15,"P",101325,"Water")</f>
        <v>987.1174976645292</v>
      </c>
      <c r="S8">
        <f t="shared" si="2"/>
        <v>986.05924551113151</v>
      </c>
      <c r="T8" cm="1">
        <f t="array" ref="T8">[1]!PropsSI("H","T",J8+273.15,"P",101325,"Water")</f>
        <v>236254.90414085003</v>
      </c>
      <c r="U8" cm="1">
        <f t="array" ref="U8">[1]!PropsSI("H","T",K8+273.15,"P",101325,"Water")</f>
        <v>217781.17449866273</v>
      </c>
      <c r="V8">
        <f t="shared" si="1"/>
        <v>569.61333823818347</v>
      </c>
    </row>
    <row r="9" spans="1:22" x14ac:dyDescent="0.2">
      <c r="A9">
        <v>46068.650515486108</v>
      </c>
      <c r="B9">
        <v>19.600033</v>
      </c>
      <c r="C9">
        <v>19.617902000000001</v>
      </c>
      <c r="D9">
        <v>19.90164</v>
      </c>
      <c r="E9">
        <v>19.745481000000002</v>
      </c>
      <c r="F9">
        <v>38.109389</v>
      </c>
      <c r="G9">
        <v>34.174787999999999</v>
      </c>
      <c r="H9">
        <v>26.796149</v>
      </c>
      <c r="I9">
        <v>23.079128999999998</v>
      </c>
      <c r="J9">
        <v>56.434719000000001</v>
      </c>
      <c r="K9">
        <v>52.014325999999997</v>
      </c>
      <c r="L9">
        <v>75.098132000000007</v>
      </c>
      <c r="M9">
        <v>-622.47714399999995</v>
      </c>
      <c r="N9">
        <v>1.861138</v>
      </c>
      <c r="O9">
        <v>4.1441420000000004</v>
      </c>
      <c r="P9">
        <f t="shared" si="3"/>
        <v>3.1018966666666669E-5</v>
      </c>
      <c r="Q9" cm="1">
        <f t="array" ref="Q9">[1]!PropsSI("D","T",J9+273.15,"P",101325,"Water")</f>
        <v>984.99204726923836</v>
      </c>
      <c r="R9" cm="1">
        <f t="array" ref="R9">[1]!PropsSI("D","T",K9+273.15,"P",101325,"Water")</f>
        <v>987.11076597861916</v>
      </c>
      <c r="S9">
        <f t="shared" si="2"/>
        <v>986.05140662392876</v>
      </c>
      <c r="T9" cm="1">
        <f t="array" ref="T9">[1]!PropsSI("H","T",J9+273.15,"P",101325,"Water")</f>
        <v>236330.82189119092</v>
      </c>
      <c r="U9" cm="1">
        <f t="array" ref="U9">[1]!PropsSI("H","T",K9+273.15,"P",101325,"Water")</f>
        <v>217841.67466589593</v>
      </c>
      <c r="V9">
        <f t="shared" si="1"/>
        <v>565.51452452677597</v>
      </c>
    </row>
    <row r="10" spans="1:22" x14ac:dyDescent="0.2">
      <c r="A10">
        <v>44606.650631807497</v>
      </c>
      <c r="B10">
        <v>19.51763</v>
      </c>
      <c r="C10">
        <v>19.572516</v>
      </c>
      <c r="D10">
        <v>19.892880000000002</v>
      </c>
      <c r="E10">
        <v>19.773812</v>
      </c>
      <c r="F10">
        <v>38.123674999999999</v>
      </c>
      <c r="G10">
        <v>35.216822000000001</v>
      </c>
      <c r="H10">
        <v>26.925263999999999</v>
      </c>
      <c r="I10">
        <v>23.076578999999999</v>
      </c>
      <c r="J10">
        <v>56.455252999999999</v>
      </c>
      <c r="K10">
        <v>52.033880000000003</v>
      </c>
      <c r="L10">
        <v>76.597240999999997</v>
      </c>
      <c r="M10">
        <v>-622.50489800000003</v>
      </c>
      <c r="N10">
        <v>1.861917</v>
      </c>
      <c r="O10">
        <v>4.0277770000000004</v>
      </c>
      <c r="P10">
        <f t="shared" si="3"/>
        <v>3.103195E-5</v>
      </c>
      <c r="Q10" cm="1">
        <f t="array" ref="Q10">[1]!PropsSI("D","T",J10+273.15,"P",101325,"Water")</f>
        <v>984.98192201089648</v>
      </c>
      <c r="R10" cm="1">
        <f t="array" ref="R10">[1]!PropsSI("D","T",K10+273.15,"P",101325,"Water")</f>
        <v>987.10166511199236</v>
      </c>
      <c r="S10">
        <f t="shared" si="2"/>
        <v>986.04179356144436</v>
      </c>
      <c r="T10" cm="1">
        <f t="array" ref="T10">[1]!PropsSI("H","T",J10+273.15,"P",101325,"Water")</f>
        <v>236416.72577883548</v>
      </c>
      <c r="U10" cm="1">
        <f t="array" ref="U10">[1]!PropsSI("H","T",K10+273.15,"P",101325,"Water")</f>
        <v>217923.44848130841</v>
      </c>
      <c r="V10">
        <f t="shared" si="1"/>
        <v>565.87208663463787</v>
      </c>
    </row>
    <row r="11" spans="1:22" x14ac:dyDescent="0.2">
      <c r="A11">
        <v>44606.650747548301</v>
      </c>
      <c r="B11">
        <v>19.587789000000001</v>
      </c>
      <c r="C11">
        <v>19.634813000000001</v>
      </c>
      <c r="D11">
        <v>19.917762</v>
      </c>
      <c r="E11">
        <v>19.776838000000001</v>
      </c>
      <c r="F11">
        <v>38.258147999999998</v>
      </c>
      <c r="G11">
        <v>33.579244000000003</v>
      </c>
      <c r="H11">
        <v>27.112217999999999</v>
      </c>
      <c r="I11">
        <v>22.964203000000001</v>
      </c>
      <c r="J11">
        <v>56.475628</v>
      </c>
      <c r="K11">
        <v>52.052320999999999</v>
      </c>
      <c r="L11">
        <v>76.807434000000001</v>
      </c>
      <c r="M11">
        <v>-622.5</v>
      </c>
      <c r="N11">
        <v>1.886598</v>
      </c>
      <c r="O11">
        <v>4.0319830000000003</v>
      </c>
      <c r="P11">
        <f t="shared" si="3"/>
        <v>3.1443299999999998E-5</v>
      </c>
      <c r="Q11" cm="1">
        <f t="array" ref="Q11">[1]!PropsSI("D","T",J11+273.15,"P",101325,"Water")</f>
        <v>984.97187260638555</v>
      </c>
      <c r="R11" cm="1">
        <f t="array" ref="R11">[1]!PropsSI("D","T",K11+273.15,"P",101325,"Water")</f>
        <v>987.0930800147022</v>
      </c>
      <c r="S11">
        <f t="shared" si="2"/>
        <v>986.03247631054387</v>
      </c>
      <c r="T11" cm="1">
        <f t="array" ref="T11">[1]!PropsSI("H","T",J11+273.15,"P",101325,"Water")</f>
        <v>236501.96465073465</v>
      </c>
      <c r="U11" cm="1">
        <f t="array" ref="U11">[1]!PropsSI("H","T",K11+273.15,"P",101325,"Water")</f>
        <v>218000.56789899347</v>
      </c>
      <c r="V11">
        <f t="shared" si="1"/>
        <v>573.61943185550092</v>
      </c>
    </row>
    <row r="12" spans="1:22" x14ac:dyDescent="0.2">
      <c r="A12">
        <v>44606.650863867697</v>
      </c>
      <c r="B12">
        <v>19.616087</v>
      </c>
      <c r="C12">
        <v>19.614806000000002</v>
      </c>
      <c r="D12">
        <v>19.871437</v>
      </c>
      <c r="E12">
        <v>19.754425000000001</v>
      </c>
      <c r="F12">
        <v>38.087344000000002</v>
      </c>
      <c r="G12">
        <v>35.242476000000003</v>
      </c>
      <c r="H12">
        <v>27.65916</v>
      </c>
      <c r="I12">
        <v>22.617018000000002</v>
      </c>
      <c r="J12">
        <v>56.493774999999999</v>
      </c>
      <c r="K12">
        <v>52.077120999999998</v>
      </c>
      <c r="L12">
        <v>76.317255000000003</v>
      </c>
      <c r="M12">
        <v>-622.46612400000004</v>
      </c>
      <c r="N12">
        <v>1.841915</v>
      </c>
      <c r="O12">
        <v>3.6841189999999999</v>
      </c>
      <c r="P12">
        <f t="shared" ref="P12:P18" si="4" xml:space="preserve"> N12*0.001/60</f>
        <v>3.0698583333333334E-5</v>
      </c>
      <c r="Q12" cm="1">
        <f t="array" ref="Q12">[1]!PropsSI("D","T",J12+273.15,"P",101325,"Water")</f>
        <v>984.96291996404443</v>
      </c>
      <c r="R12" cm="1">
        <f t="array" ref="R12">[1]!PropsSI("D","T",K12+273.15,"P",101325,"Water")</f>
        <v>987.08153108682814</v>
      </c>
      <c r="S12">
        <f t="shared" ref="S12:S18" si="5">(Q12+R12)/2</f>
        <v>986.02222552543628</v>
      </c>
      <c r="T12" cm="1">
        <f t="array" ref="T12">[1]!PropsSI("H","T",J12+273.15,"P",101325,"Water")</f>
        <v>236577.88281237546</v>
      </c>
      <c r="U12" cm="1">
        <f t="array" ref="U12">[1]!PropsSI("H","T",K12+273.15,"P",101325,"Water")</f>
        <v>218104.28053294492</v>
      </c>
      <c r="V12">
        <f t="shared" ref="V12:V18" si="6">S12*P12*(T12-U12)</f>
        <v>559.18643556908808</v>
      </c>
    </row>
    <row r="13" spans="1:22" x14ac:dyDescent="0.2">
      <c r="A13">
        <v>44606.650980187202</v>
      </c>
      <c r="B13">
        <v>19.616555999999999</v>
      </c>
      <c r="C13">
        <v>19.649842</v>
      </c>
      <c r="D13">
        <v>19.880727</v>
      </c>
      <c r="E13">
        <v>19.765919</v>
      </c>
      <c r="F13">
        <v>38.199992000000002</v>
      </c>
      <c r="G13">
        <v>34.461796999999997</v>
      </c>
      <c r="H13">
        <v>26.794301000000001</v>
      </c>
      <c r="I13">
        <v>23.083389</v>
      </c>
      <c r="J13">
        <v>56.511125999999997</v>
      </c>
      <c r="K13">
        <v>52.090792999999998</v>
      </c>
      <c r="L13">
        <v>76.207873000000006</v>
      </c>
      <c r="M13">
        <v>-622.46530800000005</v>
      </c>
      <c r="N13">
        <v>1.891167</v>
      </c>
      <c r="O13">
        <v>3.7236910000000001</v>
      </c>
      <c r="P13">
        <f t="shared" si="4"/>
        <v>3.1519449999999999E-5</v>
      </c>
      <c r="Q13" cm="1">
        <f t="array" ref="Q13">[1]!PropsSI("D","T",J13+273.15,"P",101325,"Water")</f>
        <v>984.9543581378648</v>
      </c>
      <c r="R13" cm="1">
        <f t="array" ref="R13">[1]!PropsSI("D","T",K13+273.15,"P",101325,"Water")</f>
        <v>987.07516258960663</v>
      </c>
      <c r="S13">
        <f t="shared" si="5"/>
        <v>986.01476036373572</v>
      </c>
      <c r="T13" cm="1">
        <f t="array" ref="T13">[1]!PropsSI("H","T",J13+273.15,"P",101325,"Water")</f>
        <v>236650.47101815359</v>
      </c>
      <c r="U13" cm="1">
        <f t="array" ref="U13">[1]!PropsSI("H","T",K13+273.15,"P",101325,"Water")</f>
        <v>218161.45638762467</v>
      </c>
      <c r="V13">
        <f t="shared" si="6"/>
        <v>574.61348398777523</v>
      </c>
    </row>
    <row r="14" spans="1:22" x14ac:dyDescent="0.2">
      <c r="A14">
        <v>44606.651095927897</v>
      </c>
      <c r="B14">
        <v>19.578782</v>
      </c>
      <c r="C14">
        <v>19.603883</v>
      </c>
      <c r="D14">
        <v>19.904838000000002</v>
      </c>
      <c r="E14">
        <v>19.756001000000001</v>
      </c>
      <c r="F14">
        <v>37.478234</v>
      </c>
      <c r="G14">
        <v>32.763911999999998</v>
      </c>
      <c r="H14">
        <v>27.467963000000001</v>
      </c>
      <c r="I14">
        <v>23.735997999999999</v>
      </c>
      <c r="J14">
        <v>56.527999000000001</v>
      </c>
      <c r="K14">
        <v>52.104784000000002</v>
      </c>
      <c r="L14">
        <v>76.650707999999995</v>
      </c>
      <c r="M14">
        <v>-622.48244999999997</v>
      </c>
      <c r="N14">
        <v>1.857499</v>
      </c>
      <c r="O14">
        <v>3.8941029999999999</v>
      </c>
      <c r="P14">
        <f t="shared" si="4"/>
        <v>3.0958316666666668E-5</v>
      </c>
      <c r="Q14" cm="1">
        <f t="array" ref="Q14">[1]!PropsSI("D","T",J14+273.15,"P",101325,"Water")</f>
        <v>984.9460304154137</v>
      </c>
      <c r="R14" cm="1">
        <f t="array" ref="R14">[1]!PropsSI("D","T",K14+273.15,"P",101325,"Water")</f>
        <v>987.06864426068728</v>
      </c>
      <c r="S14">
        <f t="shared" si="5"/>
        <v>986.00733733805055</v>
      </c>
      <c r="T14" cm="1">
        <f t="array" ref="T14">[1]!PropsSI("H","T",J14+273.15,"P",101325,"Water")</f>
        <v>236721.05961378227</v>
      </c>
      <c r="U14" cm="1">
        <f t="array" ref="U14">[1]!PropsSI("H","T",K14+273.15,"P",101325,"Water")</f>
        <v>218219.96635103229</v>
      </c>
      <c r="V14">
        <f t="shared" si="6"/>
        <v>564.74822860662016</v>
      </c>
    </row>
    <row r="15" spans="1:22" x14ac:dyDescent="0.2">
      <c r="A15">
        <v>46068.651212245371</v>
      </c>
      <c r="B15">
        <v>19.58006</v>
      </c>
      <c r="C15">
        <v>19.605418</v>
      </c>
      <c r="D15">
        <v>19.86966</v>
      </c>
      <c r="E15">
        <v>19.759329999999999</v>
      </c>
      <c r="F15">
        <v>37.841445</v>
      </c>
      <c r="G15">
        <v>35.499881000000002</v>
      </c>
      <c r="H15">
        <v>26.922287000000001</v>
      </c>
      <c r="I15">
        <v>22.839611000000001</v>
      </c>
      <c r="J15">
        <v>56.544235999999998</v>
      </c>
      <c r="K15">
        <v>52.123066000000001</v>
      </c>
      <c r="L15">
        <v>79.146908999999994</v>
      </c>
      <c r="M15">
        <v>-622.50244899999996</v>
      </c>
      <c r="N15">
        <v>1.8697429999999999</v>
      </c>
      <c r="O15">
        <v>4.2962680000000004</v>
      </c>
      <c r="P15">
        <f t="shared" si="4"/>
        <v>3.1162383333333328E-5</v>
      </c>
      <c r="Q15" cm="1">
        <f t="array" ref="Q15">[1]!PropsSI("D","T",J15+273.15,"P",101325,"Water")</f>
        <v>984.93801495010962</v>
      </c>
      <c r="R15" cm="1">
        <f t="array" ref="R15">[1]!PropsSI("D","T",K15+273.15,"P",101325,"Water")</f>
        <v>987.06012488928707</v>
      </c>
      <c r="S15">
        <f t="shared" si="5"/>
        <v>985.99906991969829</v>
      </c>
      <c r="T15" cm="1">
        <f t="array" ref="T15">[1]!PropsSI("H","T",J15+273.15,"P",101325,"Water")</f>
        <v>236788.98759183721</v>
      </c>
      <c r="U15" cm="1">
        <f t="array" ref="U15">[1]!PropsSI("H","T",K15+273.15,"P",101325,"Water")</f>
        <v>218296.42124771877</v>
      </c>
      <c r="V15">
        <f t="shared" si="6"/>
        <v>568.20409107561613</v>
      </c>
    </row>
    <row r="16" spans="1:22" x14ac:dyDescent="0.2">
      <c r="A16">
        <v>46068.65132798611</v>
      </c>
      <c r="B16">
        <v>19.576421</v>
      </c>
      <c r="C16">
        <v>19.594618000000001</v>
      </c>
      <c r="D16">
        <v>19.866032000000001</v>
      </c>
      <c r="E16">
        <v>19.714600000000001</v>
      </c>
      <c r="F16">
        <v>37.787143</v>
      </c>
      <c r="G16">
        <v>35.439776999999999</v>
      </c>
      <c r="H16">
        <v>27.087329</v>
      </c>
      <c r="I16">
        <v>22.401532</v>
      </c>
      <c r="J16">
        <v>56.561269000000003</v>
      </c>
      <c r="K16">
        <v>52.139918000000002</v>
      </c>
      <c r="L16">
        <v>78.255932999999999</v>
      </c>
      <c r="M16">
        <v>-622.50367300000005</v>
      </c>
      <c r="N16">
        <v>1.875345</v>
      </c>
      <c r="O16">
        <v>4.1115339999999998</v>
      </c>
      <c r="P16">
        <f t="shared" si="4"/>
        <v>3.1255750000000003E-5</v>
      </c>
      <c r="Q16" cm="1">
        <f t="array" ref="Q16">[1]!PropsSI("D","T",J16+273.15,"P",101325,"Water")</f>
        <v>984.92960480478519</v>
      </c>
      <c r="R16" cm="1">
        <f t="array" ref="R16">[1]!PropsSI("D","T",K16+273.15,"P",101325,"Water")</f>
        <v>987.05226999902345</v>
      </c>
      <c r="S16">
        <f t="shared" si="5"/>
        <v>985.99093740190438</v>
      </c>
      <c r="T16" cm="1">
        <f t="array" ref="T16">[1]!PropsSI("H","T",J16+273.15,"P",101325,"Water")</f>
        <v>236860.24576892494</v>
      </c>
      <c r="U16" cm="1">
        <f t="array" ref="U16">[1]!PropsSI("H","T",K16+273.15,"P",101325,"Water")</f>
        <v>218366.89601174023</v>
      </c>
      <c r="V16">
        <f t="shared" si="6"/>
        <v>569.92594904488089</v>
      </c>
    </row>
    <row r="17" spans="1:22" x14ac:dyDescent="0.2">
      <c r="A17">
        <v>46068.651444305557</v>
      </c>
      <c r="B17">
        <v>19.517301</v>
      </c>
      <c r="C17">
        <v>19.526492999999999</v>
      </c>
      <c r="D17">
        <v>19.805713000000001</v>
      </c>
      <c r="E17">
        <v>19.639576000000002</v>
      </c>
      <c r="F17">
        <v>37.852137999999997</v>
      </c>
      <c r="G17">
        <v>35.540219</v>
      </c>
      <c r="H17">
        <v>26.971844000000001</v>
      </c>
      <c r="I17">
        <v>23.644333</v>
      </c>
      <c r="J17">
        <v>56.576709999999999</v>
      </c>
      <c r="K17">
        <v>52.150570000000002</v>
      </c>
      <c r="L17">
        <v>70.399184000000005</v>
      </c>
      <c r="M17">
        <v>-622.46694000000002</v>
      </c>
      <c r="N17">
        <v>1.8553930000000001</v>
      </c>
      <c r="O17">
        <v>3.797587</v>
      </c>
      <c r="P17">
        <f t="shared" si="4"/>
        <v>3.0923216666666666E-5</v>
      </c>
      <c r="Q17" cm="1">
        <f t="array" ref="Q17">[1]!PropsSI("D","T",J17+273.15,"P",101325,"Water")</f>
        <v>984.9219791873835</v>
      </c>
      <c r="R17" cm="1">
        <f t="array" ref="R17">[1]!PropsSI("D","T",K17+273.15,"P",101325,"Water")</f>
        <v>987.0473040545362</v>
      </c>
      <c r="S17">
        <f t="shared" si="5"/>
        <v>985.98464162095979</v>
      </c>
      <c r="T17" cm="1">
        <f t="array" ref="T17">[1]!PropsSI("H","T",J17+273.15,"P",101325,"Water")</f>
        <v>236924.84385250139</v>
      </c>
      <c r="U17" cm="1">
        <f t="array" ref="U17">[1]!PropsSI("H","T",K17+273.15,"P",101325,"Water")</f>
        <v>218411.44253259644</v>
      </c>
      <c r="V17">
        <f t="shared" si="6"/>
        <v>564.47021279021476</v>
      </c>
    </row>
    <row r="18" spans="1:22" x14ac:dyDescent="0.2">
      <c r="A18">
        <v>46068.651560046295</v>
      </c>
      <c r="B18">
        <v>19.454732</v>
      </c>
      <c r="C18">
        <v>19.519255999999999</v>
      </c>
      <c r="D18">
        <v>19.776555999999999</v>
      </c>
      <c r="E18">
        <v>19.678894</v>
      </c>
      <c r="F18">
        <v>37.775818000000001</v>
      </c>
      <c r="G18">
        <v>33.166015000000002</v>
      </c>
      <c r="H18">
        <v>27.058651999999999</v>
      </c>
      <c r="I18">
        <v>22.755704999999999</v>
      </c>
      <c r="J18">
        <v>56.590558999999999</v>
      </c>
      <c r="K18">
        <v>52.155340000000002</v>
      </c>
      <c r="L18">
        <v>75.620147000000003</v>
      </c>
      <c r="M18">
        <v>-622.48693900000001</v>
      </c>
      <c r="N18">
        <v>1.8763860000000001</v>
      </c>
      <c r="O18">
        <v>3.4897269999999998</v>
      </c>
      <c r="P18">
        <f t="shared" si="4"/>
        <v>3.1273100000000004E-5</v>
      </c>
      <c r="Q18" cm="1">
        <f t="array" ref="Q18">[1]!PropsSI("D","T",J18+273.15,"P",101325,"Water")</f>
        <v>984.91513854860102</v>
      </c>
      <c r="R18" cm="1">
        <f t="array" ref="R18">[1]!PropsSI("D","T",K18+273.15,"P",101325,"Water")</f>
        <v>987.04508005308151</v>
      </c>
      <c r="S18">
        <f t="shared" si="5"/>
        <v>985.98010930084126</v>
      </c>
      <c r="T18" cm="1">
        <f t="array" ref="T18">[1]!PropsSI("H","T",J18+273.15,"P",101325,"Water")</f>
        <v>236982.78181425756</v>
      </c>
      <c r="U18" cm="1">
        <f t="array" ref="U18">[1]!PropsSI("H","T",K18+273.15,"P",101325,"Water")</f>
        <v>218431.39062018861</v>
      </c>
      <c r="V18">
        <f t="shared" si="6"/>
        <v>572.0257390056039</v>
      </c>
    </row>
    <row r="19" spans="1:22" x14ac:dyDescent="0.2">
      <c r="P19" s="1"/>
    </row>
    <row r="20" spans="1:22" x14ac:dyDescent="0.2">
      <c r="D20" s="1" t="s">
        <v>22</v>
      </c>
      <c r="P20" s="1"/>
    </row>
    <row r="21" spans="1:22" x14ac:dyDescent="0.2">
      <c r="D21">
        <f>AVERAGE(V2:V18)</f>
        <v>568.14588698810053</v>
      </c>
      <c r="P21" s="1"/>
    </row>
    <row r="22" spans="1:22" x14ac:dyDescent="0.2">
      <c r="P22" s="1"/>
    </row>
    <row r="23" spans="1:22" x14ac:dyDescent="0.2">
      <c r="P23" s="1"/>
    </row>
    <row r="24" spans="1:22" x14ac:dyDescent="0.2">
      <c r="P24" s="1"/>
    </row>
    <row r="25" spans="1:22" x14ac:dyDescent="0.2">
      <c r="P25" s="1"/>
    </row>
    <row r="26" spans="1:22" x14ac:dyDescent="0.2">
      <c r="P26" s="1"/>
    </row>
    <row r="27" spans="1:22" x14ac:dyDescent="0.2">
      <c r="P27" s="1"/>
    </row>
    <row r="28" spans="1:22" x14ac:dyDescent="0.2">
      <c r="P28" s="1"/>
    </row>
    <row r="29" spans="1:22" x14ac:dyDescent="0.2">
      <c r="P29" s="1"/>
    </row>
    <row r="30" spans="1:22" x14ac:dyDescent="0.2">
      <c r="P30" s="1"/>
    </row>
    <row r="31" spans="1:22" x14ac:dyDescent="0.2">
      <c r="P31" s="1"/>
    </row>
    <row r="32" spans="1:22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19E89-54DE-B348-B0E3-9BEF15B9DA2D}">
  <dimension ref="A1:V36"/>
  <sheetViews>
    <sheetView workbookViewId="0">
      <selection activeCell="D20" sqref="D20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44606.646916529797</v>
      </c>
      <c r="B2">
        <v>19.638697000000001</v>
      </c>
      <c r="C2">
        <v>19.732852000000001</v>
      </c>
      <c r="D2">
        <v>20.040006000000002</v>
      </c>
      <c r="E2">
        <v>19.960578999999999</v>
      </c>
      <c r="F2">
        <v>35.623506999999996</v>
      </c>
      <c r="G2">
        <v>33.267327000000002</v>
      </c>
      <c r="H2">
        <v>26.232153</v>
      </c>
      <c r="I2">
        <v>22.146196</v>
      </c>
      <c r="J2">
        <v>56.011806999999997</v>
      </c>
      <c r="K2">
        <v>50.965586000000002</v>
      </c>
      <c r="L2">
        <v>127.247766</v>
      </c>
      <c r="M2">
        <v>-622.48775599999999</v>
      </c>
      <c r="N2">
        <v>1.8719889999999999</v>
      </c>
      <c r="O2">
        <v>3.9269660000000002</v>
      </c>
      <c r="P2">
        <f xml:space="preserve"> N2*0.001/60</f>
        <v>3.1199816666666662E-5</v>
      </c>
      <c r="Q2" cm="1">
        <f t="array" ref="Q2">[1]!PropsSI("D","T",J2+273.15,"P",101325,"Water")</f>
        <v>985.20000965876511</v>
      </c>
      <c r="R2" cm="1">
        <f t="array" ref="R2">[1]!PropsSI("D","T",K2+273.15,"P",101325,"Water")</f>
        <v>987.59526758682478</v>
      </c>
      <c r="S2">
        <f>(Q2+R2)/2</f>
        <v>986.39763862279494</v>
      </c>
      <c r="T2" cm="1">
        <f t="array" ref="T2">[1]!PropsSI("H","T",J2+273.15,"P",101325,"Water")</f>
        <v>234561.60739457465</v>
      </c>
      <c r="U2" cm="1">
        <f t="array" ref="U2">[1]!PropsSI("H","T",K2+273.15,"P",101325,"Water")</f>
        <v>213456.07192898678</v>
      </c>
      <c r="V2">
        <f>S2*P2*(T2-U2)</f>
        <v>649.53183405201946</v>
      </c>
    </row>
    <row r="3" spans="1:22" x14ac:dyDescent="0.2">
      <c r="A3">
        <v>44606.647032270499</v>
      </c>
      <c r="B3">
        <v>19.766742000000001</v>
      </c>
      <c r="C3">
        <v>19.84882</v>
      </c>
      <c r="D3">
        <v>19.972045999999999</v>
      </c>
      <c r="E3">
        <v>19.987984999999998</v>
      </c>
      <c r="F3">
        <v>35.895100999999997</v>
      </c>
      <c r="G3">
        <v>32.538404999999997</v>
      </c>
      <c r="H3">
        <v>26.640131</v>
      </c>
      <c r="I3">
        <v>21.930277</v>
      </c>
      <c r="J3">
        <v>56.023266999999997</v>
      </c>
      <c r="K3">
        <v>50.979730000000004</v>
      </c>
      <c r="L3">
        <v>125.991502</v>
      </c>
      <c r="M3">
        <v>-622.49918400000001</v>
      </c>
      <c r="N3">
        <v>1.8463160000000001</v>
      </c>
      <c r="O3">
        <v>4.0603720000000001</v>
      </c>
      <c r="P3">
        <f t="shared" ref="P3" si="0" xml:space="preserve"> N3*0.001/60</f>
        <v>3.0771933333333336E-5</v>
      </c>
      <c r="Q3" cm="1">
        <f t="array" ref="Q3">[1]!PropsSI("D","T",J3+273.15,"P",101325,"Water")</f>
        <v>985.19438878987171</v>
      </c>
      <c r="R3" cm="1">
        <f t="array" ref="R3">[1]!PropsSI("D","T",K3+273.15,"P",101325,"Water")</f>
        <v>987.58878055430546</v>
      </c>
      <c r="S3">
        <f>(Q3+R3)/2</f>
        <v>986.39158467208858</v>
      </c>
      <c r="T3" cm="1">
        <f t="array" ref="T3">[1]!PropsSI("H","T",J3+273.15,"P",101325,"Water")</f>
        <v>234609.54838458134</v>
      </c>
      <c r="U3" cm="1">
        <f t="array" ref="U3">[1]!PropsSI("H","T",K3+273.15,"P",101325,"Water")</f>
        <v>213515.21683597745</v>
      </c>
      <c r="V3">
        <f t="shared" ref="V3:V11" si="1">S3*P3*(T3-U3)</f>
        <v>640.27995987096017</v>
      </c>
    </row>
    <row r="4" spans="1:22" x14ac:dyDescent="0.2">
      <c r="A4">
        <v>44606.647148011303</v>
      </c>
      <c r="B4">
        <v>19.654467</v>
      </c>
      <c r="C4">
        <v>19.765765999999999</v>
      </c>
      <c r="D4">
        <v>19.940570999999998</v>
      </c>
      <c r="E4">
        <v>19.849744999999999</v>
      </c>
      <c r="F4">
        <v>35.772661999999997</v>
      </c>
      <c r="G4">
        <v>32.306468000000002</v>
      </c>
      <c r="H4">
        <v>26.427592000000001</v>
      </c>
      <c r="I4">
        <v>21.875188000000001</v>
      </c>
      <c r="J4">
        <v>56.035522</v>
      </c>
      <c r="K4">
        <v>50.988630000000001</v>
      </c>
      <c r="L4">
        <v>135.17675700000001</v>
      </c>
      <c r="M4">
        <v>-622.47796000000005</v>
      </c>
      <c r="N4">
        <v>1.8861270000000001</v>
      </c>
      <c r="O4">
        <v>4.2677509999999996</v>
      </c>
      <c r="P4">
        <f xml:space="preserve"> N4*0.001/60</f>
        <v>3.1435450000000004E-5</v>
      </c>
      <c r="Q4" cm="1">
        <f t="array" ref="Q4">[1]!PropsSI("D","T",J4+273.15,"P",101325,"Water")</f>
        <v>985.1883770990388</v>
      </c>
      <c r="R4" cm="1">
        <f t="array" ref="R4">[1]!PropsSI("D","T",K4+273.15,"P",101325,"Water")</f>
        <v>987.58469797532757</v>
      </c>
      <c r="S4">
        <f t="shared" ref="S4:S11" si="2">(Q4+R4)/2</f>
        <v>986.38653753718313</v>
      </c>
      <c r="T4" cm="1">
        <f t="array" ref="T4">[1]!PropsSI("H","T",J4+273.15,"P",101325,"Water")</f>
        <v>234660.81517872598</v>
      </c>
      <c r="U4" cm="1">
        <f t="array" ref="U4">[1]!PropsSI("H","T",K4+273.15,"P",101325,"Water")</f>
        <v>213552.43333104334</v>
      </c>
      <c r="V4">
        <f t="shared" si="1"/>
        <v>654.51824895928894</v>
      </c>
    </row>
    <row r="5" spans="1:22" x14ac:dyDescent="0.2">
      <c r="A5">
        <v>44606.647264330699</v>
      </c>
      <c r="B5">
        <v>19.683019999999999</v>
      </c>
      <c r="C5">
        <v>19.796233000000001</v>
      </c>
      <c r="D5">
        <v>19.926447</v>
      </c>
      <c r="E5">
        <v>19.891839000000001</v>
      </c>
      <c r="F5">
        <v>35.653599</v>
      </c>
      <c r="G5">
        <v>33.126814000000003</v>
      </c>
      <c r="H5">
        <v>26.339953999999999</v>
      </c>
      <c r="I5">
        <v>22.040555999999999</v>
      </c>
      <c r="J5">
        <v>56.047936</v>
      </c>
      <c r="K5">
        <v>51.000708000000003</v>
      </c>
      <c r="L5">
        <v>128.50933499999999</v>
      </c>
      <c r="M5">
        <v>-622.50285699999995</v>
      </c>
      <c r="N5">
        <v>1.869678</v>
      </c>
      <c r="O5">
        <v>4.1882890000000002</v>
      </c>
      <c r="P5">
        <f t="shared" ref="P5:P11" si="3" xml:space="preserve"> N5*0.001/60</f>
        <v>3.1161300000000003E-5</v>
      </c>
      <c r="Q5" cm="1">
        <f t="array" ref="Q5">[1]!PropsSI("D","T",J5+273.15,"P",101325,"Water")</f>
        <v>985.18228647029866</v>
      </c>
      <c r="R5" cm="1">
        <f t="array" ref="R5">[1]!PropsSI("D","T",K5+273.15,"P",101325,"Water")</f>
        <v>987.57915677291965</v>
      </c>
      <c r="S5">
        <f t="shared" si="2"/>
        <v>986.38072162160915</v>
      </c>
      <c r="T5" cm="1">
        <f t="array" ref="T5">[1]!PropsSI("H","T",J5+273.15,"P",101325,"Water")</f>
        <v>234712.74718119029</v>
      </c>
      <c r="U5" cm="1">
        <f t="array" ref="U5">[1]!PropsSI("H","T",K5+273.15,"P",101325,"Water")</f>
        <v>213602.93907985193</v>
      </c>
      <c r="V5">
        <f t="shared" si="1"/>
        <v>648.85017843684614</v>
      </c>
    </row>
    <row r="6" spans="1:22" x14ac:dyDescent="0.2">
      <c r="A6">
        <v>46068.647380069444</v>
      </c>
      <c r="B6">
        <v>19.595168999999999</v>
      </c>
      <c r="C6">
        <v>19.799316000000001</v>
      </c>
      <c r="D6">
        <v>19.909794000000002</v>
      </c>
      <c r="E6">
        <v>19.864094999999999</v>
      </c>
      <c r="F6">
        <v>35.514310000000002</v>
      </c>
      <c r="G6">
        <v>32.922029999999999</v>
      </c>
      <c r="H6">
        <v>26.803041</v>
      </c>
      <c r="I6">
        <v>22.448015000000002</v>
      </c>
      <c r="J6">
        <v>56.057803999999997</v>
      </c>
      <c r="K6">
        <v>51.004362999999998</v>
      </c>
      <c r="L6">
        <v>131.475718</v>
      </c>
      <c r="M6">
        <v>-622.49755100000004</v>
      </c>
      <c r="N6">
        <v>1.859523</v>
      </c>
      <c r="O6">
        <v>4.0428740000000003</v>
      </c>
      <c r="P6">
        <f t="shared" si="3"/>
        <v>3.0992050000000001E-5</v>
      </c>
      <c r="Q6" cm="1">
        <f t="array" ref="Q6">[1]!PropsSI("D","T",J6+273.15,"P",101325,"Water")</f>
        <v>985.17744429974971</v>
      </c>
      <c r="R6" cm="1">
        <f t="array" ref="R6">[1]!PropsSI("D","T",K6+273.15,"P",101325,"Water")</f>
        <v>987.5774797281332</v>
      </c>
      <c r="S6">
        <f t="shared" si="2"/>
        <v>986.37746201394145</v>
      </c>
      <c r="T6" cm="1">
        <f t="array" ref="T6">[1]!PropsSI("H","T",J6+273.15,"P",101325,"Water")</f>
        <v>234754.02843757073</v>
      </c>
      <c r="U6" cm="1">
        <f t="array" ref="U6">[1]!PropsSI("H","T",K6+273.15,"P",101325,"Water")</f>
        <v>213618.22295263081</v>
      </c>
      <c r="V6">
        <f t="shared" si="1"/>
        <v>646.11860666425059</v>
      </c>
    </row>
    <row r="7" spans="1:22" x14ac:dyDescent="0.2">
      <c r="A7">
        <v>46068.64749638889</v>
      </c>
      <c r="B7">
        <v>19.642385999999998</v>
      </c>
      <c r="C7">
        <v>19.796923</v>
      </c>
      <c r="D7">
        <v>19.891148999999999</v>
      </c>
      <c r="E7">
        <v>19.866092999999999</v>
      </c>
      <c r="F7">
        <v>35.451227000000003</v>
      </c>
      <c r="G7">
        <v>32.299446000000003</v>
      </c>
      <c r="H7">
        <v>26.576405000000001</v>
      </c>
      <c r="I7">
        <v>21.911618000000001</v>
      </c>
      <c r="J7">
        <v>56.067672000000002</v>
      </c>
      <c r="K7">
        <v>51.013739999999999</v>
      </c>
      <c r="L7">
        <v>129.78314900000001</v>
      </c>
      <c r="M7">
        <v>-622.48571500000003</v>
      </c>
      <c r="N7">
        <v>1.871149</v>
      </c>
      <c r="O7">
        <v>4.0596610000000002</v>
      </c>
      <c r="P7">
        <f t="shared" si="3"/>
        <v>3.1185816666666665E-5</v>
      </c>
      <c r="Q7" cm="1">
        <f t="array" ref="Q7">[1]!PropsSI("D","T",J7+273.15,"P",101325,"Water")</f>
        <v>985.17260153126563</v>
      </c>
      <c r="R7" cm="1">
        <f t="array" ref="R7">[1]!PropsSI("D","T",K7+273.15,"P",101325,"Water")</f>
        <v>987.57317682882103</v>
      </c>
      <c r="S7">
        <f t="shared" si="2"/>
        <v>986.37288918004333</v>
      </c>
      <c r="T7" cm="1">
        <f t="array" ref="T7">[1]!PropsSI("H","T",J7+273.15,"P",101325,"Water")</f>
        <v>234795.30973067626</v>
      </c>
      <c r="U7" cm="1">
        <f t="array" ref="U7">[1]!PropsSI("H","T",K7+273.15,"P",101325,"Water")</f>
        <v>213657.43415435293</v>
      </c>
      <c r="V7">
        <f t="shared" si="1"/>
        <v>650.2188949324011</v>
      </c>
    </row>
    <row r="8" spans="1:22" x14ac:dyDescent="0.2">
      <c r="A8">
        <v>46068.647612708337</v>
      </c>
      <c r="B8">
        <v>19.597849</v>
      </c>
      <c r="C8">
        <v>19.751351</v>
      </c>
      <c r="D8">
        <v>19.893426000000002</v>
      </c>
      <c r="E8">
        <v>19.831347999999998</v>
      </c>
      <c r="F8">
        <v>35.974953999999997</v>
      </c>
      <c r="G8">
        <v>33.314978000000004</v>
      </c>
      <c r="H8">
        <v>26.628315000000001</v>
      </c>
      <c r="I8">
        <v>22.436245</v>
      </c>
      <c r="J8">
        <v>56.080086999999999</v>
      </c>
      <c r="K8">
        <v>51.027724999999997</v>
      </c>
      <c r="L8">
        <v>131.77284499999999</v>
      </c>
      <c r="M8">
        <v>-622.50775499999997</v>
      </c>
      <c r="N8">
        <v>1.876439</v>
      </c>
      <c r="O8">
        <v>4.1173799999999998</v>
      </c>
      <c r="P8">
        <f t="shared" si="3"/>
        <v>3.1273983333333329E-5</v>
      </c>
      <c r="Q8" cm="1">
        <f t="array" ref="Q8">[1]!PropsSI("D","T",J8+273.15,"P",101325,"Water")</f>
        <v>985.16650796103045</v>
      </c>
      <c r="R8" cm="1">
        <f t="array" ref="R8">[1]!PropsSI("D","T",K8+273.15,"P",101325,"Water")</f>
        <v>987.56675836040188</v>
      </c>
      <c r="S8">
        <f t="shared" si="2"/>
        <v>986.36663316071622</v>
      </c>
      <c r="T8" cm="1">
        <f t="array" ref="T8">[1]!PropsSI("H","T",J8+273.15,"P",101325,"Water")</f>
        <v>234847.24606733207</v>
      </c>
      <c r="U8" cm="1">
        <f t="array" ref="U8">[1]!PropsSI("H","T",K8+273.15,"P",101325,"Water")</f>
        <v>213715.91438407445</v>
      </c>
      <c r="V8">
        <f t="shared" si="1"/>
        <v>651.85115559112455</v>
      </c>
    </row>
    <row r="9" spans="1:22" x14ac:dyDescent="0.2">
      <c r="A9">
        <v>46068.647729027776</v>
      </c>
      <c r="B9">
        <v>19.634730000000001</v>
      </c>
      <c r="C9">
        <v>19.737490000000001</v>
      </c>
      <c r="D9">
        <v>19.849387</v>
      </c>
      <c r="E9">
        <v>19.826826000000001</v>
      </c>
      <c r="F9">
        <v>35.388241000000001</v>
      </c>
      <c r="G9">
        <v>32.299249000000003</v>
      </c>
      <c r="H9">
        <v>26.135524</v>
      </c>
      <c r="I9">
        <v>21.923069000000002</v>
      </c>
      <c r="J9">
        <v>56.093933999999997</v>
      </c>
      <c r="K9">
        <v>51.039962000000003</v>
      </c>
      <c r="L9">
        <v>136.64729500000001</v>
      </c>
      <c r="M9">
        <v>-622.48571500000003</v>
      </c>
      <c r="N9">
        <v>1.8439110000000001</v>
      </c>
      <c r="O9">
        <v>3.7564139999999999</v>
      </c>
      <c r="P9">
        <f t="shared" si="3"/>
        <v>3.073185E-5</v>
      </c>
      <c r="Q9" cm="1">
        <f t="array" ref="Q9">[1]!PropsSI("D","T",J9+273.15,"P",101325,"Water")</f>
        <v>985.15971041574994</v>
      </c>
      <c r="R9" cm="1">
        <f t="array" ref="R9">[1]!PropsSI("D","T",K9+273.15,"P",101325,"Water")</f>
        <v>987.56114110306453</v>
      </c>
      <c r="S9">
        <f t="shared" si="2"/>
        <v>986.36042575940724</v>
      </c>
      <c r="T9" cm="1">
        <f t="array" ref="T9">[1]!PropsSI("H","T",J9+273.15,"P",101325,"Water")</f>
        <v>234905.17303527618</v>
      </c>
      <c r="U9" cm="1">
        <f t="array" ref="U9">[1]!PropsSI("H","T",K9+273.15,"P",101325,"Water")</f>
        <v>213767.0851558859</v>
      </c>
      <c r="V9">
        <f t="shared" si="1"/>
        <v>640.75210744750405</v>
      </c>
    </row>
    <row r="10" spans="1:22" x14ac:dyDescent="0.2">
      <c r="A10">
        <v>44606.647844770501</v>
      </c>
      <c r="B10">
        <v>19.589421000000002</v>
      </c>
      <c r="C10">
        <v>19.752471</v>
      </c>
      <c r="D10">
        <v>19.757552</v>
      </c>
      <c r="E10">
        <v>19.80143</v>
      </c>
      <c r="F10">
        <v>34.994303000000002</v>
      </c>
      <c r="G10">
        <v>31.947569999999999</v>
      </c>
      <c r="H10">
        <v>26.657111</v>
      </c>
      <c r="I10">
        <v>21.579148</v>
      </c>
      <c r="J10">
        <v>56.103960999999998</v>
      </c>
      <c r="K10">
        <v>51.047750000000001</v>
      </c>
      <c r="L10">
        <v>126.340464</v>
      </c>
      <c r="M10">
        <v>-622.46653200000003</v>
      </c>
      <c r="N10">
        <v>1.880603</v>
      </c>
      <c r="O10">
        <v>4.2399979999999999</v>
      </c>
      <c r="P10">
        <f t="shared" si="3"/>
        <v>3.1343383333333332E-5</v>
      </c>
      <c r="Q10" cm="1">
        <f t="array" ref="Q10">[1]!PropsSI("D","T",J10+273.15,"P",101325,"Water")</f>
        <v>985.1547873884025</v>
      </c>
      <c r="R10" cm="1">
        <f t="array" ref="R10">[1]!PropsSI("D","T",K10+273.15,"P",101325,"Water")</f>
        <v>987.55756560371879</v>
      </c>
      <c r="S10">
        <f t="shared" si="2"/>
        <v>986.3561764960607</v>
      </c>
      <c r="T10" cm="1">
        <f t="array" ref="T10">[1]!PropsSI("H","T",J10+273.15,"P",101325,"Water")</f>
        <v>234947.11961825434</v>
      </c>
      <c r="U10" cm="1">
        <f t="array" ref="U10">[1]!PropsSI("H","T",K10+273.15,"P",101325,"Water")</f>
        <v>213799.6518190449</v>
      </c>
      <c r="V10">
        <f t="shared" si="1"/>
        <v>653.78961070630658</v>
      </c>
    </row>
    <row r="11" spans="1:22" x14ac:dyDescent="0.2">
      <c r="A11">
        <v>44606.647961089999</v>
      </c>
      <c r="B11">
        <v>19.537845000000001</v>
      </c>
      <c r="C11">
        <v>19.611757999999998</v>
      </c>
      <c r="D11">
        <v>19.883075999999999</v>
      </c>
      <c r="E11">
        <v>19.783642</v>
      </c>
      <c r="F11">
        <v>35.58719</v>
      </c>
      <c r="G11">
        <v>32.534491000000003</v>
      </c>
      <c r="H11">
        <v>26.692035000000001</v>
      </c>
      <c r="I11">
        <v>21.856480000000001</v>
      </c>
      <c r="J11">
        <v>56.114148</v>
      </c>
      <c r="K11">
        <v>51.053947999999998</v>
      </c>
      <c r="L11">
        <v>130.78309899999999</v>
      </c>
      <c r="M11">
        <v>-622.46571600000004</v>
      </c>
      <c r="N11">
        <v>1.867686</v>
      </c>
      <c r="O11">
        <v>4.1449809999999996</v>
      </c>
      <c r="P11">
        <f t="shared" si="3"/>
        <v>3.1128099999999998E-5</v>
      </c>
      <c r="Q11" cm="1">
        <f t="array" ref="Q11">[1]!PropsSI("D","T",J11+273.15,"P",101325,"Water")</f>
        <v>985.14978517281145</v>
      </c>
      <c r="R11" cm="1">
        <f t="array" ref="R11">[1]!PropsSI("D","T",K11+273.15,"P",101325,"Water")</f>
        <v>987.55471979832021</v>
      </c>
      <c r="S11">
        <f t="shared" si="2"/>
        <v>986.35225248556583</v>
      </c>
      <c r="T11" cm="1">
        <f t="array" ref="T11">[1]!PropsSI("H","T",J11+273.15,"P",101325,"Water")</f>
        <v>234989.73557828879</v>
      </c>
      <c r="U11" cm="1">
        <f t="array" ref="U11">[1]!PropsSI("H","T",K11+273.15,"P",101325,"Water")</f>
        <v>213825.56967719633</v>
      </c>
      <c r="V11">
        <f t="shared" si="1"/>
        <v>649.80913280310483</v>
      </c>
    </row>
    <row r="12" spans="1:22" x14ac:dyDescent="0.2">
      <c r="A12">
        <v>44606.648077409402</v>
      </c>
      <c r="B12">
        <v>19.558644999999999</v>
      </c>
      <c r="C12">
        <v>19.654434999999999</v>
      </c>
      <c r="D12">
        <v>19.958134999999999</v>
      </c>
      <c r="E12">
        <v>19.758656999999999</v>
      </c>
      <c r="F12">
        <v>35.349919</v>
      </c>
      <c r="G12">
        <v>32.249965000000003</v>
      </c>
      <c r="H12">
        <v>26.997577</v>
      </c>
      <c r="I12">
        <v>21.649792999999999</v>
      </c>
      <c r="J12">
        <v>56.125129999999999</v>
      </c>
      <c r="K12">
        <v>51.064914000000002</v>
      </c>
      <c r="L12">
        <v>131.716522</v>
      </c>
      <c r="M12">
        <v>-622.46734900000001</v>
      </c>
      <c r="N12">
        <v>1.8547990000000001</v>
      </c>
      <c r="O12">
        <v>3.465951</v>
      </c>
      <c r="P12">
        <f t="shared" ref="P12:P17" si="4" xml:space="preserve"> N12*0.001/60</f>
        <v>3.0913316666666671E-5</v>
      </c>
      <c r="Q12" cm="1">
        <f t="array" ref="Q12">[1]!PropsSI("D","T",J12+273.15,"P",101325,"Water")</f>
        <v>985.14439186780282</v>
      </c>
      <c r="R12" cm="1">
        <f t="array" ref="R12">[1]!PropsSI("D","T",K12+273.15,"P",101325,"Water")</f>
        <v>987.54968416063036</v>
      </c>
      <c r="S12">
        <f t="shared" ref="S12:S17" si="5">(Q12+R12)/2</f>
        <v>986.34703801421665</v>
      </c>
      <c r="T12" cm="1">
        <f t="array" ref="T12">[1]!PropsSI("H","T",J12+273.15,"P",101325,"Water")</f>
        <v>235035.67735918754</v>
      </c>
      <c r="U12" cm="1">
        <f t="array" ref="U12">[1]!PropsSI("H","T",K12+273.15,"P",101325,"Water")</f>
        <v>213871.4256643109</v>
      </c>
      <c r="V12">
        <f t="shared" ref="V12:V17" si="6">S12*P12*(T12-U12)</f>
        <v>645.32466577612524</v>
      </c>
    </row>
    <row r="13" spans="1:22" x14ac:dyDescent="0.2">
      <c r="A13">
        <v>44606.648193728899</v>
      </c>
      <c r="B13">
        <v>19.523928000000002</v>
      </c>
      <c r="C13">
        <v>19.666955999999999</v>
      </c>
      <c r="D13">
        <v>19.922374999999999</v>
      </c>
      <c r="E13">
        <v>19.790597000000002</v>
      </c>
      <c r="F13">
        <v>35.648645999999999</v>
      </c>
      <c r="G13">
        <v>32.0413</v>
      </c>
      <c r="H13">
        <v>26.65502</v>
      </c>
      <c r="I13">
        <v>21.526762000000002</v>
      </c>
      <c r="J13">
        <v>56.134520000000002</v>
      </c>
      <c r="K13">
        <v>51.075561999999998</v>
      </c>
      <c r="L13">
        <v>132.72300200000001</v>
      </c>
      <c r="M13">
        <v>-622.51755000000003</v>
      </c>
      <c r="N13">
        <v>1.8832169999999999</v>
      </c>
      <c r="O13">
        <v>4.0941369999999999</v>
      </c>
      <c r="P13">
        <f t="shared" si="4"/>
        <v>3.1386949999999999E-5</v>
      </c>
      <c r="Q13" cm="1">
        <f t="array" ref="Q13">[1]!PropsSI("D","T",J13+273.15,"P",101325,"Water")</f>
        <v>985.13977981357709</v>
      </c>
      <c r="R13" cm="1">
        <f t="array" ref="R13">[1]!PropsSI("D","T",K13+273.15,"P",101325,"Water")</f>
        <v>987.54479380434088</v>
      </c>
      <c r="S13">
        <f t="shared" si="5"/>
        <v>986.34228680895899</v>
      </c>
      <c r="T13" cm="1">
        <f t="array" ref="T13">[1]!PropsSI("H","T",J13+273.15,"P",101325,"Water")</f>
        <v>235074.95924961928</v>
      </c>
      <c r="U13" cm="1">
        <f t="array" ref="U13">[1]!PropsSI("H","T",K13+273.15,"P",101325,"Water")</f>
        <v>213915.95192078929</v>
      </c>
      <c r="V13">
        <f t="shared" si="6"/>
        <v>655.04638959626379</v>
      </c>
    </row>
    <row r="14" spans="1:22" x14ac:dyDescent="0.2">
      <c r="A14">
        <v>44606.648310048302</v>
      </c>
      <c r="B14">
        <v>19.490190999999999</v>
      </c>
      <c r="C14">
        <v>19.593163000000001</v>
      </c>
      <c r="D14">
        <v>19.933330000000002</v>
      </c>
      <c r="E14">
        <v>19.806266999999998</v>
      </c>
      <c r="F14">
        <v>35.516464999999997</v>
      </c>
      <c r="G14">
        <v>32.357613000000001</v>
      </c>
      <c r="H14">
        <v>26.834246</v>
      </c>
      <c r="I14">
        <v>21.585583</v>
      </c>
      <c r="J14">
        <v>56.145820999999998</v>
      </c>
      <c r="K14">
        <v>51.079058000000003</v>
      </c>
      <c r="L14">
        <v>134.00416200000001</v>
      </c>
      <c r="M14">
        <v>-622.480817</v>
      </c>
      <c r="N14">
        <v>1.8459509999999999</v>
      </c>
      <c r="O14">
        <v>3.747188</v>
      </c>
      <c r="P14">
        <f t="shared" si="4"/>
        <v>3.076585E-5</v>
      </c>
      <c r="Q14" cm="1">
        <f t="array" ref="Q14">[1]!PropsSI("D","T",J14+273.15,"P",101325,"Water")</f>
        <v>985.13422842270131</v>
      </c>
      <c r="R14" cm="1">
        <f t="array" ref="R14">[1]!PropsSI("D","T",K14+273.15,"P",101325,"Water")</f>
        <v>987.5431880200407</v>
      </c>
      <c r="S14">
        <f t="shared" si="5"/>
        <v>986.33870822137101</v>
      </c>
      <c r="T14" cm="1">
        <f t="array" ref="T14">[1]!PropsSI("H","T",J14+273.15,"P",101325,"Water")</f>
        <v>235122.23561376604</v>
      </c>
      <c r="U14" cm="1">
        <f t="array" ref="U14">[1]!PropsSI("H","T",K14+273.15,"P",101325,"Water")</f>
        <v>213930.57099217756</v>
      </c>
      <c r="V14">
        <f t="shared" si="6"/>
        <v>643.07269179034256</v>
      </c>
    </row>
    <row r="15" spans="1:22" x14ac:dyDescent="0.2">
      <c r="A15">
        <v>46068.64842578704</v>
      </c>
      <c r="B15">
        <v>19.541716000000001</v>
      </c>
      <c r="C15">
        <v>19.651436</v>
      </c>
      <c r="D15">
        <v>19.864877</v>
      </c>
      <c r="E15">
        <v>19.795735000000001</v>
      </c>
      <c r="F15">
        <v>35.057851999999997</v>
      </c>
      <c r="G15">
        <v>32.672691</v>
      </c>
      <c r="H15">
        <v>26.599715</v>
      </c>
      <c r="I15">
        <v>22.550861000000001</v>
      </c>
      <c r="J15">
        <v>56.157918000000002</v>
      </c>
      <c r="K15">
        <v>51.093203000000003</v>
      </c>
      <c r="L15">
        <v>125.837632</v>
      </c>
      <c r="M15">
        <v>-622.49673499999994</v>
      </c>
      <c r="N15">
        <v>1.8890849999999999</v>
      </c>
      <c r="O15">
        <v>4.1075949999999999</v>
      </c>
      <c r="P15">
        <f t="shared" si="4"/>
        <v>3.1484749999999997E-5</v>
      </c>
      <c r="Q15" cm="1">
        <f t="array" ref="Q15">[1]!PropsSI("D","T",J15+273.15,"P",101325,"Water")</f>
        <v>985.12828514448142</v>
      </c>
      <c r="R15" cm="1">
        <f t="array" ref="R15">[1]!PropsSI("D","T",K15+273.15,"P",101325,"Water")</f>
        <v>987.53669012387377</v>
      </c>
      <c r="S15">
        <f t="shared" si="5"/>
        <v>986.3324876341776</v>
      </c>
      <c r="T15" cm="1">
        <f t="array" ref="T15">[1]!PropsSI("H","T",J15+273.15,"P",101325,"Water")</f>
        <v>235172.84200112807</v>
      </c>
      <c r="U15" cm="1">
        <f t="array" ref="U15">[1]!PropsSI("H","T",K15+273.15,"P",101325,"Water")</f>
        <v>213989.72056181432</v>
      </c>
      <c r="V15">
        <f t="shared" si="6"/>
        <v>657.82979983730638</v>
      </c>
    </row>
    <row r="16" spans="1:22" x14ac:dyDescent="0.2">
      <c r="A16">
        <v>46068.648541527778</v>
      </c>
      <c r="B16">
        <v>19.607289999999999</v>
      </c>
      <c r="C16">
        <v>19.679233</v>
      </c>
      <c r="D16">
        <v>19.908176999999998</v>
      </c>
      <c r="E16">
        <v>19.845718000000002</v>
      </c>
      <c r="F16">
        <v>35.851629000000003</v>
      </c>
      <c r="G16">
        <v>31.987558</v>
      </c>
      <c r="H16">
        <v>26.555197</v>
      </c>
      <c r="I16">
        <v>22.117933000000001</v>
      </c>
      <c r="J16">
        <v>56.166989999999998</v>
      </c>
      <c r="K16">
        <v>51.102578999999999</v>
      </c>
      <c r="L16">
        <v>135.824071</v>
      </c>
      <c r="M16">
        <v>-622.51102000000003</v>
      </c>
      <c r="N16">
        <v>1.860187</v>
      </c>
      <c r="O16">
        <v>4.1384489999999996</v>
      </c>
      <c r="P16">
        <f t="shared" si="4"/>
        <v>3.1003116666666671E-5</v>
      </c>
      <c r="Q16" cm="1">
        <f t="array" ref="Q16">[1]!PropsSI("D","T",J16+273.15,"P",101325,"Water")</f>
        <v>985.12382746531148</v>
      </c>
      <c r="R16" cm="1">
        <f t="array" ref="R16">[1]!PropsSI("D","T",K16+273.15,"P",101325,"Water")</f>
        <v>987.53238228517932</v>
      </c>
      <c r="S16">
        <f t="shared" si="5"/>
        <v>986.32810487524534</v>
      </c>
      <c r="T16" cm="1">
        <f t="array" ref="T16">[1]!PropsSI("H","T",J16+273.15,"P",101325,"Water")</f>
        <v>235210.79369053649</v>
      </c>
      <c r="U16" cm="1">
        <f t="array" ref="U16">[1]!PropsSI("H","T",K16+273.15,"P",101325,"Water")</f>
        <v>214028.92783181847</v>
      </c>
      <c r="V16">
        <f t="shared" si="6"/>
        <v>647.7254721549665</v>
      </c>
    </row>
    <row r="17" spans="1:22" x14ac:dyDescent="0.2">
      <c r="A17">
        <v>46068.648657268517</v>
      </c>
      <c r="B17">
        <v>19.569423</v>
      </c>
      <c r="C17">
        <v>19.777825</v>
      </c>
      <c r="D17">
        <v>19.840482000000002</v>
      </c>
      <c r="E17">
        <v>19.818472</v>
      </c>
      <c r="F17">
        <v>35.686191999999998</v>
      </c>
      <c r="G17">
        <v>32.403590999999999</v>
      </c>
      <c r="H17">
        <v>26.730378999999999</v>
      </c>
      <c r="I17">
        <v>22.105907999999999</v>
      </c>
      <c r="J17">
        <v>56.180996999999998</v>
      </c>
      <c r="K17">
        <v>51.113703999999998</v>
      </c>
      <c r="L17">
        <v>122.18026500000001</v>
      </c>
      <c r="M17">
        <v>-622.48816399999998</v>
      </c>
      <c r="N17">
        <v>1.868973</v>
      </c>
      <c r="O17">
        <v>3.5912760000000001</v>
      </c>
      <c r="P17">
        <f t="shared" si="4"/>
        <v>3.1149550000000001E-5</v>
      </c>
      <c r="Q17" cm="1">
        <f t="array" ref="Q17">[1]!PropsSI("D","T",J17+273.15,"P",101325,"Water")</f>
        <v>985.11694389983336</v>
      </c>
      <c r="R17" cm="1">
        <f t="array" ref="R17">[1]!PropsSI("D","T",K17+273.15,"P",101325,"Water")</f>
        <v>987.52727012319087</v>
      </c>
      <c r="S17">
        <f t="shared" si="5"/>
        <v>986.32210701151212</v>
      </c>
      <c r="T17" cm="1">
        <f t="array" ref="T17">[1]!PropsSI("H","T",J17+273.15,"P",101325,"Water")</f>
        <v>235269.39045750076</v>
      </c>
      <c r="U17" cm="1">
        <f t="array" ref="U17">[1]!PropsSI("H","T",K17+273.15,"P",101325,"Water")</f>
        <v>214075.44886426348</v>
      </c>
      <c r="V17">
        <f t="shared" si="6"/>
        <v>651.15184811705274</v>
      </c>
    </row>
    <row r="19" spans="1:22" x14ac:dyDescent="0.2">
      <c r="D19" s="1" t="s">
        <v>22</v>
      </c>
      <c r="P19" s="1"/>
    </row>
    <row r="20" spans="1:22" x14ac:dyDescent="0.2">
      <c r="D20">
        <f>AVERAGE(V2:V17)</f>
        <v>649.11691229599171</v>
      </c>
      <c r="P20" s="1"/>
    </row>
    <row r="21" spans="1:22" x14ac:dyDescent="0.2">
      <c r="P21" s="1"/>
    </row>
    <row r="22" spans="1:22" x14ac:dyDescent="0.2">
      <c r="P22" s="1"/>
    </row>
    <row r="23" spans="1:22" x14ac:dyDescent="0.2">
      <c r="P23" s="1"/>
    </row>
    <row r="24" spans="1:22" x14ac:dyDescent="0.2">
      <c r="P24" s="1"/>
    </row>
    <row r="25" spans="1:22" x14ac:dyDescent="0.2">
      <c r="P25" s="1"/>
    </row>
    <row r="26" spans="1:22" x14ac:dyDescent="0.2">
      <c r="P26" s="1"/>
    </row>
    <row r="27" spans="1:22" x14ac:dyDescent="0.2">
      <c r="P27" s="1"/>
    </row>
    <row r="28" spans="1:22" x14ac:dyDescent="0.2">
      <c r="P28" s="1"/>
    </row>
    <row r="29" spans="1:22" x14ac:dyDescent="0.2">
      <c r="P29" s="1"/>
    </row>
    <row r="30" spans="1:22" x14ac:dyDescent="0.2">
      <c r="P30" s="1"/>
    </row>
    <row r="31" spans="1:22" x14ac:dyDescent="0.2">
      <c r="P31" s="1"/>
    </row>
    <row r="32" spans="1:22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030AE-3E16-2F4C-B921-2BC724117212}">
  <dimension ref="A1:V36"/>
  <sheetViews>
    <sheetView workbookViewId="0">
      <selection activeCell="D12" sqref="D12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44606.645117918699</v>
      </c>
      <c r="B2">
        <v>19.765968999999998</v>
      </c>
      <c r="C2">
        <v>19.975095</v>
      </c>
      <c r="D2">
        <v>19.966404000000001</v>
      </c>
      <c r="E2">
        <v>19.984929000000001</v>
      </c>
      <c r="F2">
        <v>33.639561</v>
      </c>
      <c r="G2">
        <v>30.885223</v>
      </c>
      <c r="H2">
        <v>25.386977000000002</v>
      </c>
      <c r="I2">
        <v>22.389002999999999</v>
      </c>
      <c r="J2">
        <v>55.964219</v>
      </c>
      <c r="K2">
        <v>50.320591</v>
      </c>
      <c r="L2">
        <v>220.878996</v>
      </c>
      <c r="M2">
        <v>-622.48163399999999</v>
      </c>
      <c r="N2">
        <v>1.8823970000000001</v>
      </c>
      <c r="O2">
        <v>3.799925</v>
      </c>
      <c r="P2">
        <f xml:space="preserve"> N2*0.001/60</f>
        <v>3.1373283333333337E-5</v>
      </c>
      <c r="Q2" cm="1">
        <f t="array" ref="Q2">[1]!PropsSI("D","T",J2+273.15,"P",101325,"Water")</f>
        <v>985.22334185624948</v>
      </c>
      <c r="R2" cm="1">
        <f t="array" ref="R2">[1]!PropsSI("D","T",K2+273.15,"P",101325,"Water")</f>
        <v>987.88970707547332</v>
      </c>
      <c r="S2">
        <f>(Q2+R2)/2</f>
        <v>986.55652446586146</v>
      </c>
      <c r="T2" cm="1">
        <f t="array" ref="T2">[1]!PropsSI("H","T",J2+273.15,"P",101325,"Water")</f>
        <v>234362.53149894005</v>
      </c>
      <c r="U2" cm="1">
        <f t="array" ref="U2">[1]!PropsSI("H","T",K2+273.15,"P",101325,"Water")</f>
        <v>210759.00733432005</v>
      </c>
      <c r="V2">
        <f>S2*P2*(T2-U2)</f>
        <v>730.56488808985739</v>
      </c>
    </row>
    <row r="3" spans="1:22" x14ac:dyDescent="0.2">
      <c r="A3">
        <v>44606.645234238102</v>
      </c>
      <c r="B3">
        <v>19.756961</v>
      </c>
      <c r="C3">
        <v>19.980795000000001</v>
      </c>
      <c r="D3">
        <v>19.951440000000002</v>
      </c>
      <c r="E3">
        <v>20.007342999999999</v>
      </c>
      <c r="F3">
        <v>33.504897999999997</v>
      </c>
      <c r="G3">
        <v>30.212154999999999</v>
      </c>
      <c r="H3">
        <v>25.774726000000001</v>
      </c>
      <c r="I3">
        <v>22.374151000000001</v>
      </c>
      <c r="J3">
        <v>55.967562000000001</v>
      </c>
      <c r="K3">
        <v>50.333461</v>
      </c>
      <c r="L3">
        <v>220.98633799999999</v>
      </c>
      <c r="M3">
        <v>-622.50857099999996</v>
      </c>
      <c r="N3">
        <v>1.8355999999999999</v>
      </c>
      <c r="O3">
        <v>4.2091050000000001</v>
      </c>
      <c r="P3">
        <f t="shared" ref="P3" si="0" xml:space="preserve"> N3*0.001/60</f>
        <v>3.0593333333333331E-5</v>
      </c>
      <c r="Q3" cm="1">
        <f t="array" ref="Q3">[1]!PropsSI("D","T",J3+273.15,"P",101325,"Water")</f>
        <v>985.22170325178251</v>
      </c>
      <c r="R3" cm="1">
        <f t="array" ref="R3">[1]!PropsSI("D","T",K3+273.15,"P",101325,"Water")</f>
        <v>987.88385845187418</v>
      </c>
      <c r="S3">
        <f>(Q3+R3)/2</f>
        <v>986.5527808518284</v>
      </c>
      <c r="T3" cm="1">
        <f t="array" ref="T3">[1]!PropsSI("H","T",J3+273.15,"P",101325,"Water")</f>
        <v>234376.51631433677</v>
      </c>
      <c r="U3" cm="1">
        <f t="array" ref="U3">[1]!PropsSI("H","T",K3+273.15,"P",101325,"Water")</f>
        <v>210812.82241184224</v>
      </c>
      <c r="V3">
        <f t="shared" ref="V3:V11" si="1">S3*P3*(T3-U3)</f>
        <v>711.19795019576156</v>
      </c>
    </row>
    <row r="4" spans="1:22" x14ac:dyDescent="0.2">
      <c r="A4">
        <v>44606.645350557599</v>
      </c>
      <c r="B4">
        <v>19.893177999999999</v>
      </c>
      <c r="C4">
        <v>19.875482000000002</v>
      </c>
      <c r="D4">
        <v>20.069735999999999</v>
      </c>
      <c r="E4">
        <v>20.042856</v>
      </c>
      <c r="F4">
        <v>33.179653000000002</v>
      </c>
      <c r="G4">
        <v>31.363554000000001</v>
      </c>
      <c r="H4">
        <v>25.182362999999999</v>
      </c>
      <c r="I4">
        <v>21.920950999999999</v>
      </c>
      <c r="J4">
        <v>55.967084</v>
      </c>
      <c r="K4">
        <v>50.347760999999998</v>
      </c>
      <c r="L4">
        <v>213.85240899999999</v>
      </c>
      <c r="M4">
        <v>-622.51632600000005</v>
      </c>
      <c r="N4">
        <v>1.876349</v>
      </c>
      <c r="O4">
        <v>4.1081279999999998</v>
      </c>
      <c r="P4">
        <f xml:space="preserve"> N4*0.001/60</f>
        <v>3.1272483333333332E-5</v>
      </c>
      <c r="Q4" cm="1">
        <f t="array" ref="Q4">[1]!PropsSI("D","T",J4+273.15,"P",101325,"Water")</f>
        <v>985.22193755242552</v>
      </c>
      <c r="R4" cm="1">
        <f t="array" ref="R4">[1]!PropsSI("D","T",K4+273.15,"P",101325,"Water")</f>
        <v>987.87735871178518</v>
      </c>
      <c r="S4">
        <f t="shared" ref="S4:S11" si="2">(Q4+R4)/2</f>
        <v>986.5496481321054</v>
      </c>
      <c r="T4" cm="1">
        <f t="array" ref="T4">[1]!PropsSI("H","T",J4+273.15,"P",101325,"Water")</f>
        <v>234374.51669041257</v>
      </c>
      <c r="U4" cm="1">
        <f t="array" ref="U4">[1]!PropsSI("H","T",K4+273.15,"P",101325,"Water")</f>
        <v>210872.61699837248</v>
      </c>
      <c r="V4">
        <f t="shared" si="1"/>
        <v>725.07725860283165</v>
      </c>
    </row>
    <row r="5" spans="1:22" x14ac:dyDescent="0.2">
      <c r="A5">
        <v>44606.645466877002</v>
      </c>
      <c r="B5">
        <v>19.91976</v>
      </c>
      <c r="C5">
        <v>19.968496999999999</v>
      </c>
      <c r="D5">
        <v>20.010884999999998</v>
      </c>
      <c r="E5">
        <v>20.002528999999999</v>
      </c>
      <c r="F5">
        <v>33.721238</v>
      </c>
      <c r="G5">
        <v>31.720206999999998</v>
      </c>
      <c r="H5">
        <v>25.393757999999998</v>
      </c>
      <c r="I5">
        <v>22.212686000000001</v>
      </c>
      <c r="J5">
        <v>55.969152999999999</v>
      </c>
      <c r="K5">
        <v>50.356341</v>
      </c>
      <c r="L5">
        <v>226.138733</v>
      </c>
      <c r="M5">
        <v>-622.50326500000006</v>
      </c>
      <c r="N5">
        <v>1.8649530000000001</v>
      </c>
      <c r="O5">
        <v>4.1472300000000004</v>
      </c>
      <c r="P5">
        <f t="shared" ref="P5:P11" si="3" xml:space="preserve"> N5*0.001/60</f>
        <v>3.1082550000000003E-5</v>
      </c>
      <c r="Q5" cm="1">
        <f t="array" ref="Q5">[1]!PropsSI("D","T",J5+273.15,"P",101325,"Water")</f>
        <v>985.22092338331345</v>
      </c>
      <c r="R5" cm="1">
        <f t="array" ref="R5">[1]!PropsSI("D","T",K5+273.15,"P",101325,"Water")</f>
        <v>987.87345822645955</v>
      </c>
      <c r="S5">
        <f t="shared" si="2"/>
        <v>986.54719080488644</v>
      </c>
      <c r="T5" cm="1">
        <f t="array" ref="T5">[1]!PropsSI("H","T",J5+273.15,"P",101325,"Water")</f>
        <v>234383.17196674462</v>
      </c>
      <c r="U5" cm="1">
        <f t="array" ref="U5">[1]!PropsSI("H","T",K5+273.15,"P",101325,"Water")</f>
        <v>210908.49377863578</v>
      </c>
      <c r="V5">
        <f t="shared" si="1"/>
        <v>719.83697783152024</v>
      </c>
    </row>
    <row r="6" spans="1:22" x14ac:dyDescent="0.2">
      <c r="A6">
        <v>46068.64558261574</v>
      </c>
      <c r="B6">
        <v>19.763881000000001</v>
      </c>
      <c r="C6">
        <v>19.957697</v>
      </c>
      <c r="D6">
        <v>20.015411</v>
      </c>
      <c r="E6">
        <v>19.972080999999999</v>
      </c>
      <c r="F6">
        <v>33.117103</v>
      </c>
      <c r="G6">
        <v>31.094131000000001</v>
      </c>
      <c r="H6">
        <v>25.482769999999999</v>
      </c>
      <c r="I6">
        <v>21.982561</v>
      </c>
      <c r="J6">
        <v>55.970267</v>
      </c>
      <c r="K6">
        <v>50.363968</v>
      </c>
      <c r="L6">
        <v>209.76567499999999</v>
      </c>
      <c r="M6">
        <v>-622.47510299999999</v>
      </c>
      <c r="N6">
        <v>1.846193</v>
      </c>
      <c r="O6">
        <v>3.3217300000000001</v>
      </c>
      <c r="P6">
        <f t="shared" si="3"/>
        <v>3.0769883333333335E-5</v>
      </c>
      <c r="Q6" cm="1">
        <f t="array" ref="Q6">[1]!PropsSI("D","T",J6+273.15,"P",101325,"Water")</f>
        <v>985.22037731905175</v>
      </c>
      <c r="R6" cm="1">
        <f t="array" ref="R6">[1]!PropsSI("D","T",K6+273.15,"P",101325,"Water")</f>
        <v>987.86999057312312</v>
      </c>
      <c r="S6">
        <f t="shared" si="2"/>
        <v>986.54518394608749</v>
      </c>
      <c r="T6" cm="1">
        <f t="array" ref="T6">[1]!PropsSI("H","T",J6+273.15,"P",101325,"Water")</f>
        <v>234387.83217901259</v>
      </c>
      <c r="U6" cm="1">
        <f t="array" ref="U6">[1]!PropsSI("H","T",K6+273.15,"P",101325,"Water")</f>
        <v>210940.38566158622</v>
      </c>
      <c r="V6">
        <f t="shared" si="1"/>
        <v>711.76787778566484</v>
      </c>
    </row>
    <row r="7" spans="1:22" x14ac:dyDescent="0.2">
      <c r="A7">
        <v>46068.645698356479</v>
      </c>
      <c r="B7">
        <v>19.662917</v>
      </c>
      <c r="C7">
        <v>19.886842000000001</v>
      </c>
      <c r="D7">
        <v>19.878412000000001</v>
      </c>
      <c r="E7">
        <v>19.829585000000002</v>
      </c>
      <c r="F7">
        <v>33.526977000000002</v>
      </c>
      <c r="G7">
        <v>31.13625</v>
      </c>
      <c r="H7">
        <v>24.963915</v>
      </c>
      <c r="I7">
        <v>22.563057000000001</v>
      </c>
      <c r="J7">
        <v>55.970426000000003</v>
      </c>
      <c r="K7">
        <v>50.359200999999999</v>
      </c>
      <c r="L7">
        <v>201.573024</v>
      </c>
      <c r="M7">
        <v>-622.49959200000001</v>
      </c>
      <c r="N7">
        <v>1.886655</v>
      </c>
      <c r="O7">
        <v>4.0353130000000004</v>
      </c>
      <c r="P7">
        <f t="shared" si="3"/>
        <v>3.1444250000000003E-5</v>
      </c>
      <c r="Q7" cm="1">
        <f t="array" ref="Q7">[1]!PropsSI("D","T",J7+273.15,"P",101325,"Water")</f>
        <v>985.22029937927186</v>
      </c>
      <c r="R7" cm="1">
        <f t="array" ref="R7">[1]!PropsSI("D","T",K7+273.15,"P",101325,"Water")</f>
        <v>987.87215795780332</v>
      </c>
      <c r="S7">
        <f t="shared" si="2"/>
        <v>986.54622866853765</v>
      </c>
      <c r="T7" cm="1">
        <f t="array" ref="T7">[1]!PropsSI("H","T",J7+273.15,"P",101325,"Water")</f>
        <v>234388.49732609864</v>
      </c>
      <c r="U7" cm="1">
        <f t="array" ref="U7">[1]!PropsSI("H","T",K7+273.15,"P",101325,"Water")</f>
        <v>210920.45271009993</v>
      </c>
      <c r="V7">
        <f t="shared" si="1"/>
        <v>728.00705233612302</v>
      </c>
    </row>
    <row r="8" spans="1:22" x14ac:dyDescent="0.2">
      <c r="A8">
        <v>46068.645814097225</v>
      </c>
      <c r="B8">
        <v>19.690251</v>
      </c>
      <c r="C8">
        <v>19.828719</v>
      </c>
      <c r="D8">
        <v>19.923165000000001</v>
      </c>
      <c r="E8">
        <v>19.835504</v>
      </c>
      <c r="F8">
        <v>33.324148000000001</v>
      </c>
      <c r="G8">
        <v>30.814769999999999</v>
      </c>
      <c r="H8">
        <v>25.324596</v>
      </c>
      <c r="I8">
        <v>22.032436000000001</v>
      </c>
      <c r="J8">
        <v>55.971699999999998</v>
      </c>
      <c r="K8">
        <v>50.353481000000002</v>
      </c>
      <c r="L8">
        <v>218.555847</v>
      </c>
      <c r="M8">
        <v>-622.47387900000001</v>
      </c>
      <c r="N8">
        <v>1.847853</v>
      </c>
      <c r="O8">
        <v>4.0908579999999999</v>
      </c>
      <c r="P8">
        <f t="shared" si="3"/>
        <v>3.0797550000000001E-5</v>
      </c>
      <c r="Q8" cm="1">
        <f t="array" ref="Q8">[1]!PropsSI("D","T",J8+273.15,"P",101325,"Water")</f>
        <v>985.21967487509573</v>
      </c>
      <c r="R8" cm="1">
        <f t="array" ref="R8">[1]!PropsSI("D","T",K8+273.15,"P",101325,"Water")</f>
        <v>987.8747584416617</v>
      </c>
      <c r="S8">
        <f t="shared" si="2"/>
        <v>986.54721665837872</v>
      </c>
      <c r="T8" cm="1">
        <f t="array" ref="T8">[1]!PropsSI("H","T",J8+273.15,"P",101325,"Water")</f>
        <v>234393.82686932545</v>
      </c>
      <c r="U8" cm="1">
        <f t="array" ref="U8">[1]!PropsSI("H","T",K8+273.15,"P",101325,"Water")</f>
        <v>210896.53484950308</v>
      </c>
      <c r="V8">
        <f t="shared" si="1"/>
        <v>713.92379775717791</v>
      </c>
    </row>
    <row r="9" spans="1:22" x14ac:dyDescent="0.2">
      <c r="A9">
        <v>46068.645930416664</v>
      </c>
      <c r="B9">
        <v>19.70748</v>
      </c>
      <c r="C9">
        <v>19.838370000000001</v>
      </c>
      <c r="D9">
        <v>20.002230000000001</v>
      </c>
      <c r="E9">
        <v>19.920659000000001</v>
      </c>
      <c r="F9">
        <v>33.725931000000003</v>
      </c>
      <c r="G9">
        <v>31.441251000000001</v>
      </c>
      <c r="H9">
        <v>25.617532000000001</v>
      </c>
      <c r="I9">
        <v>21.713543000000001</v>
      </c>
      <c r="J9">
        <v>55.973928000000001</v>
      </c>
      <c r="K9">
        <v>50.354275999999999</v>
      </c>
      <c r="L9">
        <v>215.394373</v>
      </c>
      <c r="M9">
        <v>-622.487348</v>
      </c>
      <c r="N9">
        <v>1.87757</v>
      </c>
      <c r="O9">
        <v>4.1593030000000004</v>
      </c>
      <c r="P9">
        <f t="shared" si="3"/>
        <v>3.1292833333333333E-5</v>
      </c>
      <c r="Q9" cm="1">
        <f t="array" ref="Q9">[1]!PropsSI("D","T",J9+273.15,"P",101325,"Water")</f>
        <v>985.21858270409837</v>
      </c>
      <c r="R9" cm="1">
        <f t="array" ref="R9">[1]!PropsSI("D","T",K9+273.15,"P",101325,"Water")</f>
        <v>987.87439702355437</v>
      </c>
      <c r="S9">
        <f t="shared" si="2"/>
        <v>986.54648986382631</v>
      </c>
      <c r="T9" cm="1">
        <f t="array" ref="T9">[1]!PropsSI("H","T",J9+273.15,"P",101325,"Water")</f>
        <v>234403.14729650723</v>
      </c>
      <c r="U9" cm="1">
        <f t="array" ref="U9">[1]!PropsSI("H","T",K9+273.15,"P",101325,"Water")</f>
        <v>210899.85909703872</v>
      </c>
      <c r="V9">
        <f t="shared" si="1"/>
        <v>725.58963249905685</v>
      </c>
    </row>
    <row r="11" spans="1:22" x14ac:dyDescent="0.2">
      <c r="D11" s="1" t="s">
        <v>22</v>
      </c>
    </row>
    <row r="12" spans="1:22" x14ac:dyDescent="0.2">
      <c r="D12">
        <f>AVERAGE(V2:V9)</f>
        <v>720.74567938724931</v>
      </c>
    </row>
    <row r="19" spans="16:16" x14ac:dyDescent="0.2">
      <c r="P19" s="1"/>
    </row>
    <row r="20" spans="16:16" x14ac:dyDescent="0.2">
      <c r="P20" s="1"/>
    </row>
    <row r="21" spans="16:16" x14ac:dyDescent="0.2">
      <c r="P21" s="1"/>
    </row>
    <row r="22" spans="16:16" x14ac:dyDescent="0.2">
      <c r="P22" s="1"/>
    </row>
    <row r="23" spans="16:16" x14ac:dyDescent="0.2">
      <c r="P23" s="1"/>
    </row>
    <row r="24" spans="16:16" x14ac:dyDescent="0.2">
      <c r="P24" s="1"/>
    </row>
    <row r="25" spans="16:16" x14ac:dyDescent="0.2">
      <c r="P25" s="1"/>
    </row>
    <row r="26" spans="16:16" x14ac:dyDescent="0.2">
      <c r="P26" s="1"/>
    </row>
    <row r="27" spans="16:16" x14ac:dyDescent="0.2">
      <c r="P27" s="1"/>
    </row>
    <row r="28" spans="16:16" x14ac:dyDescent="0.2">
      <c r="P28" s="1"/>
    </row>
    <row r="29" spans="16:16" x14ac:dyDescent="0.2">
      <c r="P29" s="1"/>
    </row>
    <row r="30" spans="16:16" x14ac:dyDescent="0.2">
      <c r="P30" s="1"/>
    </row>
    <row r="31" spans="16:16" x14ac:dyDescent="0.2">
      <c r="P31" s="1"/>
    </row>
    <row r="32" spans="16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34D6-634F-D146-9DDE-C38D50DDBB88}">
  <dimension ref="A1:V36"/>
  <sheetViews>
    <sheetView workbookViewId="0">
      <selection activeCell="D17" sqref="D17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44606.642566413997</v>
      </c>
      <c r="B2">
        <v>19.506626000000001</v>
      </c>
      <c r="C2">
        <v>19.781876</v>
      </c>
      <c r="D2">
        <v>19.850567999999999</v>
      </c>
      <c r="E2">
        <v>19.824548</v>
      </c>
      <c r="F2">
        <v>31.29796</v>
      </c>
      <c r="G2">
        <v>28.715128</v>
      </c>
      <c r="H2">
        <v>24.979979</v>
      </c>
      <c r="I2">
        <v>21.932604999999999</v>
      </c>
      <c r="J2">
        <v>56.051755999999997</v>
      </c>
      <c r="K2">
        <v>49.984084000000003</v>
      </c>
      <c r="L2">
        <v>278.44917500000003</v>
      </c>
      <c r="M2">
        <v>-622.48530700000003</v>
      </c>
      <c r="N2">
        <v>1.871993</v>
      </c>
      <c r="O2">
        <v>3.7216450000000001</v>
      </c>
      <c r="P2">
        <f xml:space="preserve"> N2*0.001/60</f>
        <v>3.1199883333333336E-5</v>
      </c>
      <c r="Q2" cm="1">
        <f t="array" ref="Q2">[1]!PropsSI("D","T",J2+273.15,"P",101325,"Water")</f>
        <v>985.18041208932016</v>
      </c>
      <c r="R2" cm="1">
        <f t="array" ref="R2">[1]!PropsSI("D","T",K2+273.15,"P",101325,"Water")</f>
        <v>988.042244172609</v>
      </c>
      <c r="S2">
        <f>(Q2+R2)/2</f>
        <v>986.61132813096458</v>
      </c>
      <c r="T2" cm="1">
        <f t="array" ref="T2">[1]!PropsSI("H","T",J2+273.15,"P",101325,"Water")</f>
        <v>234728.72755778677</v>
      </c>
      <c r="U2" cm="1">
        <f t="array" ref="U2">[1]!PropsSI("H","T",K2+273.15,"P",101325,"Water")</f>
        <v>209351.94178684693</v>
      </c>
      <c r="V2">
        <f>S2*P2*(T2-U2)</f>
        <v>781.15223758448201</v>
      </c>
    </row>
    <row r="3" spans="1:22" x14ac:dyDescent="0.2">
      <c r="A3">
        <v>44606.642682154801</v>
      </c>
      <c r="B3">
        <v>19.665967999999999</v>
      </c>
      <c r="C3">
        <v>19.845289000000001</v>
      </c>
      <c r="D3">
        <v>20.076004999999999</v>
      </c>
      <c r="E3">
        <v>19.950254000000001</v>
      </c>
      <c r="F3">
        <v>31.863551999999999</v>
      </c>
      <c r="G3">
        <v>30.233481999999999</v>
      </c>
      <c r="H3">
        <v>24.998090999999999</v>
      </c>
      <c r="I3">
        <v>22.277971000000001</v>
      </c>
      <c r="J3">
        <v>56.047936</v>
      </c>
      <c r="K3">
        <v>49.989167999999999</v>
      </c>
      <c r="L3">
        <v>288.00992100000002</v>
      </c>
      <c r="M3">
        <v>-622.52856999999995</v>
      </c>
      <c r="N3">
        <v>1.871866</v>
      </c>
      <c r="O3">
        <v>4.0870839999999999</v>
      </c>
      <c r="P3">
        <f t="shared" ref="P3" si="0" xml:space="preserve"> N3*0.001/60</f>
        <v>3.1197766666666668E-5</v>
      </c>
      <c r="Q3" cm="1">
        <f t="array" ref="Q3">[1]!PropsSI("D","T",J3+273.15,"P",101325,"Water")</f>
        <v>985.18228647029866</v>
      </c>
      <c r="R3" cm="1">
        <f t="array" ref="R3">[1]!PropsSI("D","T",K3+273.15,"P",101325,"Water")</f>
        <v>988.03994513837381</v>
      </c>
      <c r="S3">
        <f>(Q3+R3)/2</f>
        <v>986.61111580433624</v>
      </c>
      <c r="T3" cm="1">
        <f t="array" ref="T3">[1]!PropsSI("H","T",J3+273.15,"P",101325,"Water")</f>
        <v>234712.74718119029</v>
      </c>
      <c r="U3" cm="1">
        <f t="array" ref="U3">[1]!PropsSI("H","T",K3+273.15,"P",101325,"Water")</f>
        <v>209373.19971189534</v>
      </c>
      <c r="V3">
        <f t="shared" ref="V3:V11" si="1">S3*P3*(T3-U3)</f>
        <v>779.9528771660448</v>
      </c>
    </row>
    <row r="4" spans="1:22" x14ac:dyDescent="0.2">
      <c r="A4">
        <v>44606.642798474197</v>
      </c>
      <c r="B4">
        <v>19.727516999999999</v>
      </c>
      <c r="C4">
        <v>19.896328</v>
      </c>
      <c r="D4">
        <v>20.055285999999999</v>
      </c>
      <c r="E4">
        <v>19.999600999999998</v>
      </c>
      <c r="F4">
        <v>31.816752000000001</v>
      </c>
      <c r="G4">
        <v>29.802492000000001</v>
      </c>
      <c r="H4">
        <v>24.606712999999999</v>
      </c>
      <c r="I4">
        <v>22.275770999999999</v>
      </c>
      <c r="J4">
        <v>56.041091999999999</v>
      </c>
      <c r="K4">
        <v>50.006008000000001</v>
      </c>
      <c r="L4">
        <v>294.37409200000002</v>
      </c>
      <c r="M4">
        <v>-622.48489900000004</v>
      </c>
      <c r="N4">
        <v>1.8646990000000001</v>
      </c>
      <c r="O4">
        <v>4.0009119999999996</v>
      </c>
      <c r="P4">
        <f xml:space="preserve"> N4*0.001/60</f>
        <v>3.1078316666666667E-5</v>
      </c>
      <c r="Q4" cm="1">
        <f t="array" ref="Q4">[1]!PropsSI("D","T",J4+273.15,"P",101325,"Water")</f>
        <v>985.18564443037872</v>
      </c>
      <c r="R4" cm="1">
        <f t="array" ref="R4">[1]!PropsSI("D","T",K4+273.15,"P",101325,"Water")</f>
        <v>988.03232871561806</v>
      </c>
      <c r="S4">
        <f t="shared" ref="S4:S11" si="2">(Q4+R4)/2</f>
        <v>986.60898657299845</v>
      </c>
      <c r="T4" cm="1">
        <f t="array" ref="T4">[1]!PropsSI("H","T",J4+273.15,"P",101325,"Water")</f>
        <v>234684.11638414781</v>
      </c>
      <c r="U4" cm="1">
        <f t="array" ref="U4">[1]!PropsSI("H","T",K4+273.15,"P",101325,"Water")</f>
        <v>209443.61350479687</v>
      </c>
      <c r="V4">
        <f t="shared" si="1"/>
        <v>773.92799729531873</v>
      </c>
    </row>
    <row r="5" spans="1:22" x14ac:dyDescent="0.2">
      <c r="A5">
        <v>44606.642914215001</v>
      </c>
      <c r="B5">
        <v>19.687624</v>
      </c>
      <c r="C5">
        <v>19.953624000000001</v>
      </c>
      <c r="D5">
        <v>20.112090999999999</v>
      </c>
      <c r="E5">
        <v>20.010331000000001</v>
      </c>
      <c r="F5">
        <v>31.717293000000002</v>
      </c>
      <c r="G5">
        <v>30.203949000000001</v>
      </c>
      <c r="H5">
        <v>24.756572999999999</v>
      </c>
      <c r="I5">
        <v>22.301859</v>
      </c>
      <c r="J5">
        <v>56.040773999999999</v>
      </c>
      <c r="K5">
        <v>50.012521999999997</v>
      </c>
      <c r="L5">
        <v>293.83248600000002</v>
      </c>
      <c r="M5">
        <v>-622.48367399999995</v>
      </c>
      <c r="N5">
        <v>1.8798319999999999</v>
      </c>
      <c r="O5">
        <v>4.0751390000000001</v>
      </c>
      <c r="P5">
        <f t="shared" ref="P5:P11" si="3" xml:space="preserve"> N5*0.001/60</f>
        <v>3.1330533333333334E-5</v>
      </c>
      <c r="Q5" cm="1">
        <f t="array" ref="Q5">[1]!PropsSI("D","T",J5+273.15,"P",101325,"Water")</f>
        <v>985.18580044781208</v>
      </c>
      <c r="R5" cm="1">
        <f t="array" ref="R5">[1]!PropsSI("D","T",K5+273.15,"P",101325,"Water")</f>
        <v>988.02938205413773</v>
      </c>
      <c r="S5">
        <f t="shared" si="2"/>
        <v>986.60759125097491</v>
      </c>
      <c r="T5" cm="1">
        <f t="array" ref="T5">[1]!PropsSI("H","T",J5+273.15,"P",101325,"Water")</f>
        <v>234682.7860816406</v>
      </c>
      <c r="U5" cm="1">
        <f t="array" ref="U5">[1]!PropsSI("H","T",K5+273.15,"P",101325,"Water")</f>
        <v>209470.8507856077</v>
      </c>
      <c r="V5">
        <f t="shared" si="1"/>
        <v>779.32467026385052</v>
      </c>
    </row>
    <row r="6" spans="1:22" x14ac:dyDescent="0.2">
      <c r="A6">
        <v>46068.64303053241</v>
      </c>
      <c r="B6">
        <v>19.640243000000002</v>
      </c>
      <c r="C6">
        <v>19.988952000000001</v>
      </c>
      <c r="D6">
        <v>20.046654</v>
      </c>
      <c r="E6">
        <v>19.975891000000001</v>
      </c>
      <c r="F6">
        <v>32.011155000000002</v>
      </c>
      <c r="G6">
        <v>29.418039</v>
      </c>
      <c r="H6">
        <v>24.994323000000001</v>
      </c>
      <c r="I6">
        <v>22.138736000000002</v>
      </c>
      <c r="J6">
        <v>56.03584</v>
      </c>
      <c r="K6">
        <v>50.016176000000002</v>
      </c>
      <c r="L6">
        <v>300.02809400000001</v>
      </c>
      <c r="M6">
        <v>-622.47510299999999</v>
      </c>
      <c r="N6">
        <v>1.8571839999999999</v>
      </c>
      <c r="O6">
        <v>4.0752410000000001</v>
      </c>
      <c r="P6">
        <f t="shared" si="3"/>
        <v>3.0953066666666667E-5</v>
      </c>
      <c r="Q6" cm="1">
        <f t="array" ref="Q6">[1]!PropsSI("D","T",J6+273.15,"P",101325,"Water")</f>
        <v>985.18822109184032</v>
      </c>
      <c r="R6" cm="1">
        <f t="array" ref="R6">[1]!PropsSI("D","T",K6+273.15,"P",101325,"Water")</f>
        <v>988.02772901535252</v>
      </c>
      <c r="S6">
        <f t="shared" si="2"/>
        <v>986.60797505359642</v>
      </c>
      <c r="T6" cm="1">
        <f t="array" ref="T6">[1]!PropsSI("H","T",J6+273.15,"P",101325,"Water")</f>
        <v>234662.14548061084</v>
      </c>
      <c r="U6" cm="1">
        <f t="array" ref="U6">[1]!PropsSI("H","T",K6+273.15,"P",101325,"Water")</f>
        <v>209486.12942523145</v>
      </c>
      <c r="V6">
        <f t="shared" si="1"/>
        <v>768.83883441728187</v>
      </c>
    </row>
    <row r="7" spans="1:22" x14ac:dyDescent="0.2">
      <c r="A7">
        <v>46068.643146851849</v>
      </c>
      <c r="B7">
        <v>19.723704999999999</v>
      </c>
      <c r="C7">
        <v>19.819386000000002</v>
      </c>
      <c r="D7">
        <v>20.049185999999999</v>
      </c>
      <c r="E7">
        <v>19.893833000000001</v>
      </c>
      <c r="F7">
        <v>32.026333999999999</v>
      </c>
      <c r="G7">
        <v>29.644656999999999</v>
      </c>
      <c r="H7">
        <v>24.645591</v>
      </c>
      <c r="I7">
        <v>22.164164</v>
      </c>
      <c r="J7">
        <v>56.029474</v>
      </c>
      <c r="K7">
        <v>50.013475</v>
      </c>
      <c r="L7">
        <v>287.60055299999999</v>
      </c>
      <c r="M7">
        <v>-622.48489900000004</v>
      </c>
      <c r="N7">
        <v>1.870444</v>
      </c>
      <c r="O7">
        <v>3.949522</v>
      </c>
      <c r="P7">
        <f t="shared" si="3"/>
        <v>3.1174066666666663E-5</v>
      </c>
      <c r="Q7" cm="1">
        <f t="array" ref="Q7">[1]!PropsSI("D","T",J7+273.15,"P",101325,"Water")</f>
        <v>985.19134406102216</v>
      </c>
      <c r="R7" cm="1">
        <f t="array" ref="R7">[1]!PropsSI("D","T",K7+273.15,"P",101325,"Water")</f>
        <v>988.02895093342624</v>
      </c>
      <c r="S7">
        <f t="shared" si="2"/>
        <v>986.61014749722426</v>
      </c>
      <c r="T7" cm="1">
        <f t="array" ref="T7">[1]!PropsSI("H","T",J7+273.15,"P",101325,"Water")</f>
        <v>234635.51434984957</v>
      </c>
      <c r="U7" cm="1">
        <f t="array" ref="U7">[1]!PropsSI("H","T",K7+273.15,"P",101325,"Water")</f>
        <v>209474.83560832494</v>
      </c>
      <c r="V7">
        <f t="shared" si="1"/>
        <v>773.85820270000283</v>
      </c>
    </row>
    <row r="8" spans="1:22" x14ac:dyDescent="0.2">
      <c r="A8">
        <v>46068.643262592595</v>
      </c>
      <c r="B8">
        <v>19.578790000000001</v>
      </c>
      <c r="C8">
        <v>19.752555000000001</v>
      </c>
      <c r="D8">
        <v>19.950583999999999</v>
      </c>
      <c r="E8">
        <v>19.850923999999999</v>
      </c>
      <c r="F8">
        <v>31.500166</v>
      </c>
      <c r="G8">
        <v>29.964627</v>
      </c>
      <c r="H8">
        <v>24.75779</v>
      </c>
      <c r="I8">
        <v>22.224164999999999</v>
      </c>
      <c r="J8">
        <v>56.025016999999998</v>
      </c>
      <c r="K8">
        <v>50.002035999999997</v>
      </c>
      <c r="L8">
        <v>292.62642399999999</v>
      </c>
      <c r="M8">
        <v>-622.48979599999996</v>
      </c>
      <c r="N8">
        <v>1.873972</v>
      </c>
      <c r="O8">
        <v>3.7957450000000001</v>
      </c>
      <c r="P8">
        <f t="shared" si="3"/>
        <v>3.1232866666666664E-5</v>
      </c>
      <c r="Q8" cm="1">
        <f t="array" ref="Q8">[1]!PropsSI("D","T",J8+273.15,"P",101325,"Water")</f>
        <v>985.193530383763</v>
      </c>
      <c r="R8" cm="1">
        <f t="array" ref="R8">[1]!PropsSI("D","T",K8+273.15,"P",101325,"Water")</f>
        <v>988.03412534591791</v>
      </c>
      <c r="S8">
        <f t="shared" si="2"/>
        <v>986.61382786484046</v>
      </c>
      <c r="T8" cm="1">
        <f t="array" ref="T8">[1]!PropsSI("H","T",J8+273.15,"P",101325,"Water")</f>
        <v>234616.86922073318</v>
      </c>
      <c r="U8" cm="1">
        <f t="array" ref="U8">[1]!PropsSI("H","T",K8+273.15,"P",101325,"Water")</f>
        <v>209427.00520861911</v>
      </c>
      <c r="V8">
        <f t="shared" si="1"/>
        <v>776.22007083933647</v>
      </c>
    </row>
    <row r="9" spans="1:22" x14ac:dyDescent="0.2">
      <c r="A9">
        <v>46068.643378912035</v>
      </c>
      <c r="B9">
        <v>19.598974999999999</v>
      </c>
      <c r="C9">
        <v>19.782437999999999</v>
      </c>
      <c r="D9">
        <v>19.908944000000002</v>
      </c>
      <c r="E9">
        <v>19.759834999999999</v>
      </c>
      <c r="F9">
        <v>31.749507000000001</v>
      </c>
      <c r="G9">
        <v>29.000129999999999</v>
      </c>
      <c r="H9">
        <v>24.617463999999998</v>
      </c>
      <c r="I9">
        <v>22.430499000000001</v>
      </c>
      <c r="J9">
        <v>56.022311999999999</v>
      </c>
      <c r="K9">
        <v>49.985830999999997</v>
      </c>
      <c r="L9">
        <v>287.813604</v>
      </c>
      <c r="M9">
        <v>-622.48449100000005</v>
      </c>
      <c r="N9">
        <v>1.8581300000000001</v>
      </c>
      <c r="O9">
        <v>4.0565350000000002</v>
      </c>
      <c r="P9">
        <f t="shared" si="3"/>
        <v>3.0968833333333334E-5</v>
      </c>
      <c r="Q9" cm="1">
        <f t="array" ref="Q9">[1]!PropsSI("D","T",J9+273.15,"P",101325,"Water")</f>
        <v>985.19485722641093</v>
      </c>
      <c r="R9" cm="1">
        <f t="array" ref="R9">[1]!PropsSI("D","T",K9+273.15,"P",101325,"Water")</f>
        <v>988.0414541813459</v>
      </c>
      <c r="S9">
        <f t="shared" si="2"/>
        <v>986.61815570387841</v>
      </c>
      <c r="T9" cm="1">
        <f t="array" ref="T9">[1]!PropsSI("H","T",J9+273.15,"P",101325,"Water")</f>
        <v>234605.55330019648</v>
      </c>
      <c r="U9" cm="1">
        <f t="array" ref="U9">[1]!PropsSI("H","T",K9+273.15,"P",101325,"Water")</f>
        <v>209359.24658440141</v>
      </c>
      <c r="V9">
        <f t="shared" si="1"/>
        <v>771.38608786599718</v>
      </c>
    </row>
    <row r="10" spans="1:22" x14ac:dyDescent="0.2">
      <c r="A10">
        <v>44606.643495233497</v>
      </c>
      <c r="B10">
        <v>19.377965</v>
      </c>
      <c r="C10">
        <v>19.722355</v>
      </c>
      <c r="D10">
        <v>20.003513999999999</v>
      </c>
      <c r="E10">
        <v>19.939395000000001</v>
      </c>
      <c r="F10">
        <v>31.685815000000002</v>
      </c>
      <c r="G10">
        <v>29.690966</v>
      </c>
      <c r="H10">
        <v>24.532281000000001</v>
      </c>
      <c r="I10">
        <v>22.209416000000001</v>
      </c>
      <c r="J10">
        <v>56.020401999999997</v>
      </c>
      <c r="K10">
        <v>49.980111999999998</v>
      </c>
      <c r="L10">
        <v>283.51953300000002</v>
      </c>
      <c r="M10">
        <v>-622.49632699999995</v>
      </c>
      <c r="N10">
        <v>1.8884339999999999</v>
      </c>
      <c r="O10">
        <v>3.8501850000000002</v>
      </c>
      <c r="P10">
        <f t="shared" si="3"/>
        <v>3.1473900000000004E-5</v>
      </c>
      <c r="Q10" cm="1">
        <f t="array" ref="Q10">[1]!PropsSI("D","T",J10+273.15,"P",101325,"Water")</f>
        <v>985.19579408273228</v>
      </c>
      <c r="R10" cm="1">
        <f t="array" ref="R10">[1]!PropsSI("D","T",K10+273.15,"P",101325,"Water")</f>
        <v>988.0440402316442</v>
      </c>
      <c r="S10">
        <f t="shared" si="2"/>
        <v>986.61991715718818</v>
      </c>
      <c r="T10" cm="1">
        <f t="array" ref="T10">[1]!PropsSI("H","T",J10+273.15,"P",101325,"Water")</f>
        <v>234597.56313239614</v>
      </c>
      <c r="U10" cm="1">
        <f t="array" ref="U10">[1]!PropsSI("H","T",K10+273.15,"P",101325,"Water")</f>
        <v>209335.33351533144</v>
      </c>
      <c r="V10">
        <f t="shared" si="1"/>
        <v>784.46237298473773</v>
      </c>
    </row>
    <row r="11" spans="1:22" x14ac:dyDescent="0.2">
      <c r="A11">
        <v>44606.6436115529</v>
      </c>
      <c r="B11">
        <v>19.477833</v>
      </c>
      <c r="C11">
        <v>19.781041999999999</v>
      </c>
      <c r="D11">
        <v>20.040113999999999</v>
      </c>
      <c r="E11">
        <v>19.861181999999999</v>
      </c>
      <c r="F11">
        <v>31.626277000000002</v>
      </c>
      <c r="G11">
        <v>29.542373000000001</v>
      </c>
      <c r="H11">
        <v>24.581975</v>
      </c>
      <c r="I11">
        <v>22.032610999999999</v>
      </c>
      <c r="J11">
        <v>56.015945000000002</v>
      </c>
      <c r="K11">
        <v>49.980429999999998</v>
      </c>
      <c r="L11">
        <v>292.35868199999999</v>
      </c>
      <c r="M11">
        <v>-622.49265300000002</v>
      </c>
      <c r="N11">
        <v>1.8470169999999999</v>
      </c>
      <c r="O11">
        <v>4.0951279999999999</v>
      </c>
      <c r="P11">
        <f t="shared" si="3"/>
        <v>3.0783616666666665E-5</v>
      </c>
      <c r="Q11" cm="1">
        <f t="array" ref="Q11">[1]!PropsSI("D","T",J11+273.15,"P",101325,"Water")</f>
        <v>985.19798015710853</v>
      </c>
      <c r="R11" cm="1">
        <f t="array" ref="R11">[1]!PropsSI("D","T",K11+273.15,"P",101325,"Water")</f>
        <v>988.04389644220566</v>
      </c>
      <c r="S11">
        <f t="shared" si="2"/>
        <v>986.62093829965715</v>
      </c>
      <c r="T11" cm="1">
        <f t="array" ref="T11">[1]!PropsSI("H","T",J11+273.15,"P",101325,"Water")</f>
        <v>234578.91801856214</v>
      </c>
      <c r="U11" cm="1">
        <f t="array" ref="U11">[1]!PropsSI("H","T",K11+273.15,"P",101325,"Water")</f>
        <v>209336.66318035469</v>
      </c>
      <c r="V11">
        <f t="shared" si="1"/>
        <v>766.65172498706124</v>
      </c>
    </row>
    <row r="12" spans="1:22" x14ac:dyDescent="0.2">
      <c r="A12">
        <v>44606.643727293696</v>
      </c>
      <c r="B12">
        <v>19.450161999999999</v>
      </c>
      <c r="C12">
        <v>19.823369</v>
      </c>
      <c r="D12">
        <v>20.044809999999998</v>
      </c>
      <c r="E12">
        <v>19.608111999999998</v>
      </c>
      <c r="F12">
        <v>31.573447000000002</v>
      </c>
      <c r="G12">
        <v>30.452442999999999</v>
      </c>
      <c r="H12">
        <v>24.537092999999999</v>
      </c>
      <c r="I12">
        <v>22.343278999999999</v>
      </c>
      <c r="J12">
        <v>56.009897000000002</v>
      </c>
      <c r="K12">
        <v>49.976616999999997</v>
      </c>
      <c r="L12">
        <v>292.399497</v>
      </c>
      <c r="M12">
        <v>-622.50571400000001</v>
      </c>
      <c r="N12">
        <v>1.8933390000000001</v>
      </c>
      <c r="O12">
        <v>4.083691</v>
      </c>
      <c r="P12">
        <f t="shared" ref="P12:P14" si="4" xml:space="preserve"> N12*0.001/60</f>
        <v>3.1555650000000003E-5</v>
      </c>
      <c r="Q12" cm="1">
        <f t="array" ref="Q12">[1]!PropsSI("D","T",J12+273.15,"P",101325,"Water")</f>
        <v>985.20094639179899</v>
      </c>
      <c r="R12" cm="1">
        <f t="array" ref="R12">[1]!PropsSI("D","T",K12+273.15,"P",101325,"Water")</f>
        <v>988.04562051520929</v>
      </c>
      <c r="S12">
        <f t="shared" ref="S12:S14" si="5">(Q12+R12)/2</f>
        <v>986.6232834535042</v>
      </c>
      <c r="T12" cm="1">
        <f t="array" ref="T12">[1]!PropsSI("H","T",J12+273.15,"P",101325,"Water")</f>
        <v>234553.61723436802</v>
      </c>
      <c r="U12" cm="1">
        <f t="array" ref="U12">[1]!PropsSI("H","T",K12+273.15,"P",101325,"Water")</f>
        <v>209320.71974533584</v>
      </c>
      <c r="V12">
        <f t="shared" ref="V12:V14" si="6">S12*P12*(T12-U12)</f>
        <v>785.58939842390419</v>
      </c>
    </row>
    <row r="13" spans="1:22" x14ac:dyDescent="0.2">
      <c r="A13">
        <v>44606.643843613099</v>
      </c>
      <c r="B13">
        <v>19.591649</v>
      </c>
      <c r="C13">
        <v>19.916350999999999</v>
      </c>
      <c r="D13">
        <v>20.017493999999999</v>
      </c>
      <c r="E13">
        <v>19.929563000000002</v>
      </c>
      <c r="F13">
        <v>31.883509</v>
      </c>
      <c r="G13">
        <v>29.294197</v>
      </c>
      <c r="H13">
        <v>24.927250999999998</v>
      </c>
      <c r="I13">
        <v>21.679220999999998</v>
      </c>
      <c r="J13">
        <v>56.005918000000001</v>
      </c>
      <c r="K13">
        <v>49.954692999999999</v>
      </c>
      <c r="L13">
        <v>300.75867</v>
      </c>
      <c r="M13">
        <v>-622.49428599999999</v>
      </c>
      <c r="N13">
        <v>1.844263</v>
      </c>
      <c r="O13">
        <v>4.1232379999999997</v>
      </c>
      <c r="P13">
        <f t="shared" si="4"/>
        <v>3.0737716666666665E-5</v>
      </c>
      <c r="Q13" cm="1">
        <f t="array" ref="Q13">[1]!PropsSI("D","T",J13+273.15,"P",101325,"Water")</f>
        <v>985.20289776524839</v>
      </c>
      <c r="R13" cm="1">
        <f t="array" ref="R13">[1]!PropsSI("D","T",K13+273.15,"P",101325,"Water")</f>
        <v>988.05553174454451</v>
      </c>
      <c r="S13">
        <f t="shared" si="5"/>
        <v>986.62921475489645</v>
      </c>
      <c r="T13" cm="1">
        <f t="array" ref="T13">[1]!PropsSI("H","T",J13+273.15,"P",101325,"Water")</f>
        <v>234536.97176893498</v>
      </c>
      <c r="U13" cm="1">
        <f t="array" ref="U13">[1]!PropsSI("H","T",K13+273.15,"P",101325,"Water")</f>
        <v>209229.04820947896</v>
      </c>
      <c r="V13">
        <f t="shared" si="6"/>
        <v>767.50654587463703</v>
      </c>
    </row>
    <row r="14" spans="1:22" x14ac:dyDescent="0.2">
      <c r="A14">
        <v>44606.643959932597</v>
      </c>
      <c r="B14">
        <v>19.732564</v>
      </c>
      <c r="C14">
        <v>19.888093000000001</v>
      </c>
      <c r="D14">
        <v>20.061216000000002</v>
      </c>
      <c r="E14">
        <v>19.834499999999998</v>
      </c>
      <c r="F14">
        <v>31.640324</v>
      </c>
      <c r="G14">
        <v>30.175872999999999</v>
      </c>
      <c r="H14">
        <v>24.733609999999999</v>
      </c>
      <c r="I14">
        <v>21.730456</v>
      </c>
      <c r="J14">
        <v>56.005440999999998</v>
      </c>
      <c r="K14">
        <v>49.966926000000001</v>
      </c>
      <c r="L14">
        <v>297.300476</v>
      </c>
      <c r="M14">
        <v>-622.48897999999997</v>
      </c>
      <c r="N14">
        <v>1.8954120000000001</v>
      </c>
      <c r="O14">
        <v>3.67624</v>
      </c>
      <c r="P14">
        <f t="shared" si="4"/>
        <v>3.1590200000000001E-5</v>
      </c>
      <c r="Q14" cm="1">
        <f t="array" ref="Q14">[1]!PropsSI("D","T",J14+273.15,"P",101325,"Water")</f>
        <v>985.20313168815107</v>
      </c>
      <c r="R14" cm="1">
        <f t="array" ref="R14">[1]!PropsSI("D","T",K14+273.15,"P",101325,"Water")</f>
        <v>988.05000193516514</v>
      </c>
      <c r="S14">
        <f t="shared" si="5"/>
        <v>986.62656681165811</v>
      </c>
      <c r="T14" cm="1">
        <f t="array" ref="T14">[1]!PropsSI("H","T",J14+273.15,"P",101325,"Water")</f>
        <v>234534.97632151225</v>
      </c>
      <c r="U14" cm="1">
        <f t="array" ref="U14">[1]!PropsSI("H","T",K14+273.15,"P",101325,"Water")</f>
        <v>209280.19843437002</v>
      </c>
      <c r="V14">
        <f t="shared" si="6"/>
        <v>787.13411281421179</v>
      </c>
    </row>
    <row r="16" spans="1:22" x14ac:dyDescent="0.2">
      <c r="D16" s="1" t="s">
        <v>22</v>
      </c>
    </row>
    <row r="17" spans="4:16" x14ac:dyDescent="0.2">
      <c r="D17">
        <f>AVERAGE(V2:V14)</f>
        <v>776.61577947822059</v>
      </c>
    </row>
    <row r="19" spans="4:16" x14ac:dyDescent="0.2">
      <c r="P19" s="1"/>
    </row>
    <row r="20" spans="4:16" x14ac:dyDescent="0.2">
      <c r="P20" s="1"/>
    </row>
    <row r="21" spans="4:16" x14ac:dyDescent="0.2">
      <c r="P21" s="1"/>
    </row>
    <row r="22" spans="4:16" x14ac:dyDescent="0.2">
      <c r="P22" s="1"/>
    </row>
    <row r="23" spans="4:16" x14ac:dyDescent="0.2">
      <c r="P23" s="1"/>
    </row>
    <row r="24" spans="4:16" x14ac:dyDescent="0.2">
      <c r="P24" s="1"/>
    </row>
    <row r="25" spans="4:16" x14ac:dyDescent="0.2">
      <c r="P25" s="1"/>
    </row>
    <row r="26" spans="4:16" x14ac:dyDescent="0.2">
      <c r="P26" s="1"/>
    </row>
    <row r="27" spans="4:16" x14ac:dyDescent="0.2">
      <c r="P27" s="1"/>
    </row>
    <row r="28" spans="4:16" x14ac:dyDescent="0.2">
      <c r="P28" s="1"/>
    </row>
    <row r="29" spans="4:16" x14ac:dyDescent="0.2">
      <c r="P29" s="1"/>
    </row>
    <row r="30" spans="4:16" x14ac:dyDescent="0.2">
      <c r="P30" s="1"/>
    </row>
    <row r="31" spans="4:16" x14ac:dyDescent="0.2">
      <c r="P31" s="1"/>
    </row>
    <row r="32" spans="4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372B-ECE7-2840-A65D-2B15A7D0B2B6}">
  <dimension ref="A1:V36"/>
  <sheetViews>
    <sheetView workbookViewId="0">
      <selection activeCell="D15" sqref="D15"/>
    </sheetView>
  </sheetViews>
  <sheetFormatPr baseColWidth="10" defaultRowHeight="16" x14ac:dyDescent="0.2"/>
  <cols>
    <col min="1" max="1" width="12.1640625" bestFit="1" customWidth="1"/>
    <col min="2" max="10" width="10.1640625" bestFit="1" customWidth="1"/>
    <col min="11" max="12" width="11.1640625" bestFit="1" customWidth="1"/>
    <col min="13" max="13" width="13" bestFit="1" customWidth="1"/>
    <col min="14" max="14" width="11.33203125" bestFit="1" customWidth="1"/>
    <col min="15" max="15" width="11.5" bestFit="1" customWidth="1"/>
    <col min="16" max="16" width="12.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44606.640403798301</v>
      </c>
      <c r="B2">
        <v>19.660658999999999</v>
      </c>
      <c r="C2">
        <v>19.790289999999999</v>
      </c>
      <c r="D2">
        <v>19.923293000000001</v>
      </c>
      <c r="E2">
        <v>19.705318999999999</v>
      </c>
      <c r="F2">
        <v>30.733933</v>
      </c>
      <c r="G2">
        <v>29.382648</v>
      </c>
      <c r="H2">
        <v>24.072333</v>
      </c>
      <c r="I2">
        <v>21.440128000000001</v>
      </c>
      <c r="J2">
        <v>56.200256000000003</v>
      </c>
      <c r="K2">
        <v>49.775016000000001</v>
      </c>
      <c r="L2">
        <v>384.65283699999998</v>
      </c>
      <c r="M2">
        <v>-622.49347</v>
      </c>
      <c r="N2">
        <v>1.875116</v>
      </c>
      <c r="O2">
        <v>3.062592</v>
      </c>
      <c r="P2">
        <f xml:space="preserve"> N2*0.001/60</f>
        <v>3.1251933333333331E-5</v>
      </c>
      <c r="Q2" cm="1">
        <f t="array" ref="Q2">[1]!PropsSI("D","T",J2+273.15,"P",101325,"Water")</f>
        <v>985.10747734001893</v>
      </c>
      <c r="R2" cm="1">
        <f t="array" ref="R2">[1]!PropsSI("D","T",K2+273.15,"P",101325,"Water")</f>
        <v>988.13663977294379</v>
      </c>
      <c r="S2">
        <f>(Q2+R2)/2</f>
        <v>986.62205855648131</v>
      </c>
      <c r="T2" cm="1">
        <f t="array" ref="T2">[1]!PropsSI("H","T",J2+273.15,"P",101325,"Water")</f>
        <v>235349.95851907125</v>
      </c>
      <c r="U2" cm="1">
        <f t="array" ref="U2">[1]!PropsSI("H","T",K2+273.15,"P",101325,"Water")</f>
        <v>208477.76400722229</v>
      </c>
      <c r="V2">
        <f>S2*P2*(T2-U2)</f>
        <v>828.5731287367413</v>
      </c>
    </row>
    <row r="3" spans="1:22" x14ac:dyDescent="0.2">
      <c r="A3">
        <v>44606.640519539003</v>
      </c>
      <c r="B3">
        <v>19.860771</v>
      </c>
      <c r="C3">
        <v>19.947164000000001</v>
      </c>
      <c r="D3">
        <v>19.649132999999999</v>
      </c>
      <c r="E3">
        <v>19.704726999999998</v>
      </c>
      <c r="F3">
        <v>30.895745000000002</v>
      </c>
      <c r="G3">
        <v>29.380011</v>
      </c>
      <c r="H3">
        <v>24.066437000000001</v>
      </c>
      <c r="I3">
        <v>21.614898</v>
      </c>
      <c r="J3">
        <v>56.191343000000003</v>
      </c>
      <c r="K3">
        <v>49.775492999999997</v>
      </c>
      <c r="L3">
        <v>397.38811700000002</v>
      </c>
      <c r="M3">
        <v>-622.48693900000001</v>
      </c>
      <c r="N3">
        <v>1.856217</v>
      </c>
      <c r="O3">
        <v>3.7068279999999998</v>
      </c>
      <c r="P3">
        <f t="shared" ref="P3" si="0" xml:space="preserve"> N3*0.001/60</f>
        <v>3.0936950000000002E-5</v>
      </c>
      <c r="Q3" cm="1">
        <f t="array" ref="Q3">[1]!PropsSI("D","T",J3+273.15,"P",101325,"Water")</f>
        <v>985.11185871458974</v>
      </c>
      <c r="R3" cm="1">
        <f t="array" ref="R3">[1]!PropsSI("D","T",K3+273.15,"P",101325,"Water")</f>
        <v>988.13642473116522</v>
      </c>
      <c r="S3">
        <f>(Q3+R3)/2</f>
        <v>986.62414172287754</v>
      </c>
      <c r="T3" cm="1">
        <f t="array" ref="T3">[1]!PropsSI("H","T",J3+273.15,"P",101325,"Water")</f>
        <v>235312.67187538691</v>
      </c>
      <c r="U3" cm="1">
        <f t="array" ref="U3">[1]!PropsSI("H","T",K3+273.15,"P",101325,"Water")</f>
        <v>208479.75847735986</v>
      </c>
      <c r="V3">
        <f t="shared" ref="V3:V11" si="1">S3*P3*(T3-U3)</f>
        <v>819.02481897929817</v>
      </c>
    </row>
    <row r="4" spans="1:22" x14ac:dyDescent="0.2">
      <c r="A4">
        <v>44606.640635858501</v>
      </c>
      <c r="B4">
        <v>19.883195000000001</v>
      </c>
      <c r="C4">
        <v>19.935956000000001</v>
      </c>
      <c r="D4">
        <v>20.019448000000001</v>
      </c>
      <c r="E4">
        <v>19.941838000000001</v>
      </c>
      <c r="F4">
        <v>31.073045</v>
      </c>
      <c r="G4">
        <v>29.640763</v>
      </c>
      <c r="H4">
        <v>24.401759999999999</v>
      </c>
      <c r="I4">
        <v>21.851813</v>
      </c>
      <c r="J4">
        <v>56.184817000000002</v>
      </c>
      <c r="K4">
        <v>49.777399000000003</v>
      </c>
      <c r="L4">
        <v>400.26593300000002</v>
      </c>
      <c r="M4">
        <v>-622.49877600000002</v>
      </c>
      <c r="N4">
        <v>1.860093</v>
      </c>
      <c r="O4">
        <v>2.9236059999999999</v>
      </c>
      <c r="P4">
        <f xml:space="preserve"> N4*0.001/60</f>
        <v>3.1001550000000001E-5</v>
      </c>
      <c r="Q4" cm="1">
        <f t="array" ref="Q4">[1]!PropsSI("D","T",J4+273.15,"P",101325,"Water")</f>
        <v>985.11506639966103</v>
      </c>
      <c r="R4" cm="1">
        <f t="array" ref="R4">[1]!PropsSI("D","T",K4+273.15,"P",101325,"Water")</f>
        <v>988.1355654507463</v>
      </c>
      <c r="S4">
        <f t="shared" ref="S4:S11" si="2">(Q4+R4)/2</f>
        <v>986.62531592520372</v>
      </c>
      <c r="T4" cm="1">
        <f t="array" ref="T4">[1]!PropsSI("H","T",J4+273.15,"P",101325,"Water")</f>
        <v>235285.3710265166</v>
      </c>
      <c r="U4" cm="1">
        <f t="array" ref="U4">[1]!PropsSI("H","T",K4+273.15,"P",101325,"Water")</f>
        <v>208487.72799605303</v>
      </c>
      <c r="V4">
        <f t="shared" si="1"/>
        <v>819.65720446162322</v>
      </c>
    </row>
    <row r="5" spans="1:22" x14ac:dyDescent="0.2">
      <c r="A5">
        <v>44606.640751599203</v>
      </c>
      <c r="B5">
        <v>19.991893999999998</v>
      </c>
      <c r="C5">
        <v>19.977785999999998</v>
      </c>
      <c r="D5">
        <v>20.152956</v>
      </c>
      <c r="E5">
        <v>20.028952</v>
      </c>
      <c r="F5">
        <v>30.965658999999999</v>
      </c>
      <c r="G5">
        <v>29.850777999999998</v>
      </c>
      <c r="H5">
        <v>24.348316000000001</v>
      </c>
      <c r="I5">
        <v>22.138480000000001</v>
      </c>
      <c r="J5">
        <v>56.175902999999998</v>
      </c>
      <c r="K5">
        <v>49.783912000000001</v>
      </c>
      <c r="L5">
        <v>395.82656300000002</v>
      </c>
      <c r="M5">
        <v>-622.49714300000005</v>
      </c>
      <c r="N5">
        <v>1.8923430000000001</v>
      </c>
      <c r="O5">
        <v>2.8900070000000002</v>
      </c>
      <c r="P5">
        <f t="shared" ref="P5:P11" si="3" xml:space="preserve"> N5*0.001/60</f>
        <v>3.1539050000000001E-5</v>
      </c>
      <c r="Q5" cm="1">
        <f t="array" ref="Q5">[1]!PropsSI("D","T",J5+273.15,"P",101325,"Water")</f>
        <v>985.11944742182413</v>
      </c>
      <c r="R5" cm="1">
        <f t="array" ref="R5">[1]!PropsSI("D","T",K5+273.15,"P",101325,"Water")</f>
        <v>988.13262902000827</v>
      </c>
      <c r="S5">
        <f t="shared" si="2"/>
        <v>986.62603822091614</v>
      </c>
      <c r="T5" cm="1">
        <f t="array" ref="T5">[1]!PropsSI("H","T",J5+273.15,"P",101325,"Water")</f>
        <v>235248.08025175717</v>
      </c>
      <c r="U5" cm="1">
        <f t="array" ref="U5">[1]!PropsSI("H","T",K5+273.15,"P",101325,"Water")</f>
        <v>208514.96067687077</v>
      </c>
      <c r="V5">
        <f t="shared" si="1"/>
        <v>831.86111030882546</v>
      </c>
    </row>
    <row r="6" spans="1:22" x14ac:dyDescent="0.2">
      <c r="A6">
        <v>46068.640867337963</v>
      </c>
      <c r="B6">
        <v>20.168528999999999</v>
      </c>
      <c r="C6">
        <v>20.047053999999999</v>
      </c>
      <c r="D6">
        <v>20.088716999999999</v>
      </c>
      <c r="E6">
        <v>20.032691</v>
      </c>
      <c r="F6">
        <v>31.099471000000001</v>
      </c>
      <c r="G6">
        <v>30.425352</v>
      </c>
      <c r="H6">
        <v>24.371886</v>
      </c>
      <c r="I6">
        <v>22.027463999999998</v>
      </c>
      <c r="J6">
        <v>56.168582000000001</v>
      </c>
      <c r="K6">
        <v>49.794238</v>
      </c>
      <c r="L6">
        <v>400.91814499999998</v>
      </c>
      <c r="M6">
        <v>-622.47673599999996</v>
      </c>
      <c r="N6">
        <v>1.8548929999999999</v>
      </c>
      <c r="O6">
        <v>4.3100300000000002</v>
      </c>
      <c r="P6">
        <f t="shared" si="3"/>
        <v>3.0914883333333334E-5</v>
      </c>
      <c r="Q6" cm="1">
        <f t="array" ref="Q6">[1]!PropsSI("D","T",J6+273.15,"P",101325,"Water")</f>
        <v>985.1230451573681</v>
      </c>
      <c r="R6" cm="1">
        <f t="array" ref="R6">[1]!PropsSI("D","T",K6+273.15,"P",101325,"Water")</f>
        <v>988.12797290036838</v>
      </c>
      <c r="S6">
        <f t="shared" si="2"/>
        <v>986.62550902886824</v>
      </c>
      <c r="T6" cm="1">
        <f t="array" ref="T6">[1]!PropsSI("H","T",J6+273.15,"P",101325,"Water")</f>
        <v>235217.45364630842</v>
      </c>
      <c r="U6" cm="1">
        <f t="array" ref="U6">[1]!PropsSI("H","T",K6+273.15,"P",101325,"Water")</f>
        <v>208558.13660508365</v>
      </c>
      <c r="V6">
        <f t="shared" si="1"/>
        <v>813.14682618445249</v>
      </c>
    </row>
    <row r="7" spans="1:22" x14ac:dyDescent="0.2">
      <c r="A7">
        <v>46068.640983657409</v>
      </c>
      <c r="B7">
        <v>20.184107999999998</v>
      </c>
      <c r="C7">
        <v>20.058091999999998</v>
      </c>
      <c r="D7">
        <v>20.036840000000002</v>
      </c>
      <c r="E7">
        <v>20.011444000000001</v>
      </c>
      <c r="F7">
        <v>31.222428000000001</v>
      </c>
      <c r="G7">
        <v>29.097180999999999</v>
      </c>
      <c r="H7">
        <v>24.187614</v>
      </c>
      <c r="I7">
        <v>22.278278</v>
      </c>
      <c r="J7">
        <v>56.155689000000002</v>
      </c>
      <c r="K7">
        <v>49.798051000000001</v>
      </c>
      <c r="L7">
        <v>391.86798599999997</v>
      </c>
      <c r="M7">
        <v>-622.51673400000004</v>
      </c>
      <c r="N7">
        <v>1.8642069999999999</v>
      </c>
      <c r="O7">
        <v>4.8430479999999996</v>
      </c>
      <c r="P7">
        <f t="shared" si="3"/>
        <v>3.1070116666666663E-5</v>
      </c>
      <c r="Q7" cm="1">
        <f t="array" ref="Q7">[1]!PropsSI("D","T",J7+273.15,"P",101325,"Water")</f>
        <v>985.12938032373484</v>
      </c>
      <c r="R7" cm="1">
        <f t="array" ref="R7">[1]!PropsSI("D","T",K7+273.15,"P",101325,"Water")</f>
        <v>988.12625339482156</v>
      </c>
      <c r="S7">
        <f t="shared" si="2"/>
        <v>986.62781685927825</v>
      </c>
      <c r="T7" cm="1">
        <f t="array" ref="T7">[1]!PropsSI("H","T",J7+273.15,"P",101325,"Water")</f>
        <v>235163.51723564073</v>
      </c>
      <c r="U7" cm="1">
        <f t="array" ref="U7">[1]!PropsSI("H","T",K7+273.15,"P",101325,"Water")</f>
        <v>208574.07984469677</v>
      </c>
      <c r="V7">
        <f t="shared" si="1"/>
        <v>815.08966761953241</v>
      </c>
    </row>
    <row r="8" spans="1:22" x14ac:dyDescent="0.2">
      <c r="A8">
        <v>46068.641099976849</v>
      </c>
      <c r="B8">
        <v>20.172279</v>
      </c>
      <c r="C8">
        <v>20.130423</v>
      </c>
      <c r="D8">
        <v>20.080131000000002</v>
      </c>
      <c r="E8">
        <v>20.082553999999998</v>
      </c>
      <c r="F8">
        <v>30.976396999999999</v>
      </c>
      <c r="G8">
        <v>28.848196999999999</v>
      </c>
      <c r="H8">
        <v>24.190261</v>
      </c>
      <c r="I8">
        <v>21.884262</v>
      </c>
      <c r="J8">
        <v>56.144548</v>
      </c>
      <c r="K8">
        <v>49.798369000000001</v>
      </c>
      <c r="L8">
        <v>405.40445099999999</v>
      </c>
      <c r="M8">
        <v>-622.50204099999996</v>
      </c>
      <c r="N8">
        <v>1.866465</v>
      </c>
      <c r="O8">
        <v>3.2314280000000002</v>
      </c>
      <c r="P8">
        <f t="shared" si="3"/>
        <v>3.1107750000000004E-5</v>
      </c>
      <c r="Q8" cm="1">
        <f t="array" ref="Q8">[1]!PropsSI("D","T",J8+273.15,"P",101325,"Water")</f>
        <v>985.13485379773886</v>
      </c>
      <c r="R8" cm="1">
        <f t="array" ref="R8">[1]!PropsSI("D","T",K8+273.15,"P",101325,"Water")</f>
        <v>988.12610998562172</v>
      </c>
      <c r="S8">
        <f t="shared" si="2"/>
        <v>986.63048189168035</v>
      </c>
      <c r="T8" cm="1">
        <f t="array" ref="T8">[1]!PropsSI("H","T",J8+273.15,"P",101325,"Water")</f>
        <v>235116.91017006003</v>
      </c>
      <c r="U8" cm="1">
        <f t="array" ref="U8">[1]!PropsSI("H","T",K8+273.15,"P",101325,"Water")</f>
        <v>208575.40949351713</v>
      </c>
      <c r="V8">
        <f t="shared" si="1"/>
        <v>814.60787360708537</v>
      </c>
    </row>
    <row r="9" spans="1:22" x14ac:dyDescent="0.2">
      <c r="A9">
        <v>46068.641216296295</v>
      </c>
      <c r="B9">
        <v>20.249711999999999</v>
      </c>
      <c r="C9">
        <v>20.039555</v>
      </c>
      <c r="D9">
        <v>20.171520999999998</v>
      </c>
      <c r="E9">
        <v>20.057669000000001</v>
      </c>
      <c r="F9">
        <v>31.105308999999998</v>
      </c>
      <c r="G9">
        <v>29.36881</v>
      </c>
      <c r="H9">
        <v>24.350154</v>
      </c>
      <c r="I9">
        <v>21.924631000000002</v>
      </c>
      <c r="J9">
        <v>56.137225999999998</v>
      </c>
      <c r="K9">
        <v>49.792490999999998</v>
      </c>
      <c r="L9">
        <v>386.42213600000002</v>
      </c>
      <c r="M9">
        <v>-622.45020699999998</v>
      </c>
      <c r="N9">
        <v>1.879324</v>
      </c>
      <c r="O9">
        <v>4.2575469999999997</v>
      </c>
      <c r="P9">
        <f t="shared" si="3"/>
        <v>3.1322066666666669E-5</v>
      </c>
      <c r="Q9" cm="1">
        <f t="array" ref="Q9">[1]!PropsSI("D","T",J9+273.15,"P",101325,"Water")</f>
        <v>985.13845061640154</v>
      </c>
      <c r="R9" cm="1">
        <f t="array" ref="R9">[1]!PropsSI("D","T",K9+273.15,"P",101325,"Water")</f>
        <v>988.12876069330548</v>
      </c>
      <c r="S9">
        <f t="shared" si="2"/>
        <v>986.63360565485345</v>
      </c>
      <c r="T9" cm="1">
        <f t="array" ref="T9">[1]!PropsSI("H","T",J9+273.15,"P",101325,"Water")</f>
        <v>235086.27946829548</v>
      </c>
      <c r="U9" cm="1">
        <f t="array" ref="U9">[1]!PropsSI("H","T",K9+273.15,"P",101325,"Water")</f>
        <v>208550.83190161726</v>
      </c>
      <c r="V9">
        <f t="shared" si="1"/>
        <v>820.03564511391721</v>
      </c>
    </row>
    <row r="10" spans="1:22" x14ac:dyDescent="0.2">
      <c r="A10">
        <v>44606.641332038998</v>
      </c>
      <c r="B10">
        <v>20.115010999999999</v>
      </c>
      <c r="C10">
        <v>20.025098</v>
      </c>
      <c r="D10">
        <v>20.190031999999999</v>
      </c>
      <c r="E10">
        <v>20.061976000000001</v>
      </c>
      <c r="F10">
        <v>30.808434999999999</v>
      </c>
      <c r="G10">
        <v>30.140519000000001</v>
      </c>
      <c r="H10">
        <v>24.319210999999999</v>
      </c>
      <c r="I10">
        <v>21.547931999999999</v>
      </c>
      <c r="J10">
        <v>56.128472000000002</v>
      </c>
      <c r="K10">
        <v>49.790267</v>
      </c>
      <c r="L10">
        <v>381.27749599999999</v>
      </c>
      <c r="M10">
        <v>-622.49469399999998</v>
      </c>
      <c r="N10">
        <v>1.842759</v>
      </c>
      <c r="O10">
        <v>3.6475590000000002</v>
      </c>
      <c r="P10">
        <f t="shared" si="3"/>
        <v>3.0712649999999998E-5</v>
      </c>
      <c r="Q10" cm="1">
        <f t="array" ref="Q10">[1]!PropsSI("D","T",J10+273.15,"P",101325,"Water")</f>
        <v>985.14275045109002</v>
      </c>
      <c r="R10" cm="1">
        <f t="array" ref="R10">[1]!PropsSI("D","T",K10+273.15,"P",101325,"Water")</f>
        <v>988.12976355579451</v>
      </c>
      <c r="S10">
        <f t="shared" si="2"/>
        <v>986.63625700344232</v>
      </c>
      <c r="T10" cm="1">
        <f t="array" ref="T10">[1]!PropsSI("H","T",J10+273.15,"P",101325,"Water")</f>
        <v>235049.65819431018</v>
      </c>
      <c r="U10" cm="1">
        <f t="array" ref="U10">[1]!PropsSI("H","T",K10+273.15,"P",101325,"Water")</f>
        <v>208541.53272677356</v>
      </c>
      <c r="V10">
        <f t="shared" si="1"/>
        <v>803.25489168086324</v>
      </c>
    </row>
    <row r="11" spans="1:22" x14ac:dyDescent="0.2">
      <c r="A11">
        <v>44606.641448358503</v>
      </c>
      <c r="B11">
        <v>19.717431999999999</v>
      </c>
      <c r="C11">
        <v>19.944391</v>
      </c>
      <c r="D11">
        <v>19.782003</v>
      </c>
      <c r="E11">
        <v>19.710028000000001</v>
      </c>
      <c r="F11">
        <v>30.673848</v>
      </c>
      <c r="G11">
        <v>29.891645</v>
      </c>
      <c r="H11">
        <v>23.944258999999999</v>
      </c>
      <c r="I11">
        <v>21.738641999999999</v>
      </c>
      <c r="J11">
        <v>56.120196</v>
      </c>
      <c r="K11">
        <v>49.778193000000002</v>
      </c>
      <c r="L11">
        <v>412.01758899999999</v>
      </c>
      <c r="M11">
        <v>-622.51224400000001</v>
      </c>
      <c r="N11">
        <v>1.8687480000000001</v>
      </c>
      <c r="O11">
        <v>3.663151</v>
      </c>
      <c r="P11">
        <f t="shared" si="3"/>
        <v>3.1145800000000003E-5</v>
      </c>
      <c r="Q11" cm="1">
        <f t="array" ref="Q11">[1]!PropsSI("D","T",J11+273.15,"P",101325,"Water")</f>
        <v>985.14681506688953</v>
      </c>
      <c r="R11" cm="1">
        <f t="array" ref="R11">[1]!PropsSI("D","T",K11+273.15,"P",101325,"Water")</f>
        <v>988.13520748532756</v>
      </c>
      <c r="S11">
        <f t="shared" si="2"/>
        <v>986.64101127610854</v>
      </c>
      <c r="T11" cm="1">
        <f t="array" ref="T11">[1]!PropsSI("H","T",J11+273.15,"P",101325,"Water")</f>
        <v>235015.03660080591</v>
      </c>
      <c r="U11" cm="1">
        <f t="array" ref="U11">[1]!PropsSI("H","T",K11+273.15,"P",101325,"Water")</f>
        <v>208491.04793218555</v>
      </c>
      <c r="V11">
        <f t="shared" si="1"/>
        <v>815.07484079504218</v>
      </c>
    </row>
    <row r="12" spans="1:22" x14ac:dyDescent="0.2">
      <c r="A12">
        <v>44606.641564099198</v>
      </c>
      <c r="B12">
        <v>19.836625000000002</v>
      </c>
      <c r="C12">
        <v>20.021460000000001</v>
      </c>
      <c r="D12">
        <v>20.115596</v>
      </c>
      <c r="E12">
        <v>20.059066000000001</v>
      </c>
      <c r="F12">
        <v>30.960450000000002</v>
      </c>
      <c r="G12">
        <v>29.919886999999999</v>
      </c>
      <c r="H12">
        <v>24.226628999999999</v>
      </c>
      <c r="I12">
        <v>21.650093999999999</v>
      </c>
      <c r="J12">
        <v>56.111601</v>
      </c>
      <c r="K12">
        <v>49.756906000000001</v>
      </c>
      <c r="L12">
        <v>382.714158</v>
      </c>
      <c r="M12">
        <v>-622.47877700000004</v>
      </c>
      <c r="N12">
        <v>1.8851880000000001</v>
      </c>
      <c r="O12">
        <v>4.5433719999999997</v>
      </c>
      <c r="P12">
        <f t="shared" ref="P12" si="4" xml:space="preserve"> N12*0.001/60</f>
        <v>3.14198E-5</v>
      </c>
      <c r="Q12" cm="1">
        <f t="array" ref="Q12">[1]!PropsSI("D","T",J12+273.15,"P",101325,"Water")</f>
        <v>985.15103590917738</v>
      </c>
      <c r="R12" cm="1">
        <f t="array" ref="R12">[1]!PropsSI("D","T",K12+273.15,"P",101325,"Water")</f>
        <v>988.14480304053848</v>
      </c>
      <c r="S12">
        <f t="shared" ref="S12" si="5">(Q12+R12)/2</f>
        <v>986.64791947485787</v>
      </c>
      <c r="T12" cm="1">
        <f t="array" ref="T12">[1]!PropsSI("H","T",J12+273.15,"P",101325,"Water")</f>
        <v>234979.08053878805</v>
      </c>
      <c r="U12" cm="1">
        <f t="array" ref="U12">[1]!PropsSI("H","T",K12+273.15,"P",101325,"Water")</f>
        <v>208402.04108898301</v>
      </c>
      <c r="V12">
        <f t="shared" ref="V12" si="6">S12*P12*(T12-U12)</f>
        <v>823.89567249651623</v>
      </c>
    </row>
    <row r="14" spans="1:22" x14ac:dyDescent="0.2">
      <c r="D14" s="1" t="s">
        <v>22</v>
      </c>
    </row>
    <row r="15" spans="1:22" x14ac:dyDescent="0.2">
      <c r="D15">
        <f>AVERAGE(V2:V12)</f>
        <v>818.5656072712635</v>
      </c>
    </row>
    <row r="19" spans="16:16" x14ac:dyDescent="0.2">
      <c r="P19" s="1"/>
    </row>
    <row r="20" spans="16:16" x14ac:dyDescent="0.2">
      <c r="P20" s="1"/>
    </row>
    <row r="21" spans="16:16" x14ac:dyDescent="0.2">
      <c r="P21" s="1"/>
    </row>
    <row r="22" spans="16:16" x14ac:dyDescent="0.2">
      <c r="P22" s="1"/>
    </row>
    <row r="23" spans="16:16" x14ac:dyDescent="0.2">
      <c r="P23" s="1"/>
    </row>
    <row r="24" spans="16:16" x14ac:dyDescent="0.2">
      <c r="P24" s="1"/>
    </row>
    <row r="25" spans="16:16" x14ac:dyDescent="0.2">
      <c r="P25" s="1"/>
    </row>
    <row r="26" spans="16:16" x14ac:dyDescent="0.2">
      <c r="P26" s="1"/>
    </row>
    <row r="27" spans="16:16" x14ac:dyDescent="0.2">
      <c r="P27" s="1"/>
    </row>
    <row r="28" spans="16:16" x14ac:dyDescent="0.2">
      <c r="P28" s="1"/>
    </row>
    <row r="29" spans="16:16" x14ac:dyDescent="0.2">
      <c r="P29" s="1"/>
    </row>
    <row r="30" spans="16:16" x14ac:dyDescent="0.2">
      <c r="P30" s="1"/>
    </row>
    <row r="31" spans="16:16" x14ac:dyDescent="0.2">
      <c r="P31" s="1"/>
    </row>
    <row r="32" spans="16:16" x14ac:dyDescent="0.2">
      <c r="P32" s="1"/>
    </row>
    <row r="33" spans="16:16" x14ac:dyDescent="0.2">
      <c r="P33" s="1"/>
    </row>
    <row r="34" spans="16:16" x14ac:dyDescent="0.2">
      <c r="P34" s="1"/>
    </row>
    <row r="35" spans="16:16" x14ac:dyDescent="0.2">
      <c r="P35" s="1"/>
    </row>
    <row r="36" spans="16:16" x14ac:dyDescent="0.2">
      <c r="P36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8965AE-832C-D74C-8C30-C9D4CE793B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Results</vt:lpstr>
      <vt:lpstr>1mps</vt:lpstr>
      <vt:lpstr>2mps</vt:lpstr>
      <vt:lpstr>3mps</vt:lpstr>
      <vt:lpstr>4mps</vt:lpstr>
      <vt:lpstr>5mps</vt:lpstr>
      <vt:lpstr>6mps</vt:lpstr>
      <vt:lpstr>7mps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Ping, Angela JiaYi</dc:creator>
  <cp:lastModifiedBy>Ping, Angela JiaYi</cp:lastModifiedBy>
  <dcterms:created xsi:type="dcterms:W3CDTF">2026-02-25T01:57:25Z</dcterms:created>
  <dcterms:modified xsi:type="dcterms:W3CDTF">2026-02-25T05:51:54Z</dcterms:modified>
</cp:coreProperties>
</file>