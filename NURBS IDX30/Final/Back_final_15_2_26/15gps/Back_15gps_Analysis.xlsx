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gelajping/Desktop/Research/NURBS IDX30/Final/Back_final_15_2_26/15gps/"/>
    </mc:Choice>
  </mc:AlternateContent>
  <xr:revisionPtr revIDLastSave="0" documentId="13_ncr:1_{FF71FE2A-3C4E-3F4F-80E1-3C57BB4AE8CB}" xr6:coauthVersionLast="47" xr6:coauthVersionMax="47" xr10:uidLastSave="{00000000-0000-0000-0000-000000000000}"/>
  <bookViews>
    <workbookView xWindow="0" yWindow="660" windowWidth="30240" windowHeight="17520" xr2:uid="{1C60444A-BEFD-BC4F-B8F6-C471D470F8DA}"/>
  </bookViews>
  <sheets>
    <sheet name="Results" sheetId="13" r:id="rId1"/>
    <sheet name="1mps" sheetId="54" r:id="rId2"/>
    <sheet name="2mps" sheetId="56" r:id="rId3"/>
    <sheet name="3mps" sheetId="57" r:id="rId4"/>
    <sheet name="4mps" sheetId="58" r:id="rId5"/>
    <sheet name="5mps" sheetId="59" r:id="rId6"/>
    <sheet name="6mps" sheetId="60" r:id="rId7"/>
    <sheet name="7mps" sheetId="61" r:id="rId8"/>
  </sheets>
  <externalReferences>
    <externalReference r:id="rId9"/>
  </externalReferences>
  <definedNames>
    <definedName name="ExternalData_1" localSheetId="2" hidden="1">'2mps'!$A$1:$O$57</definedName>
    <definedName name="ExternalData_1" localSheetId="3" hidden="1">'3mps'!$A$1:$O$39</definedName>
    <definedName name="ExternalData_1" localSheetId="4" hidden="1">'4mps'!$A$1:$O$32</definedName>
    <definedName name="ExternalData_1" localSheetId="5" hidden="1">'5mps'!$A$1:$O$36</definedName>
    <definedName name="ExternalData_1" localSheetId="6" hidden="1">'6mps'!$A$1:$O$49</definedName>
    <definedName name="ExternalData_1" localSheetId="7" hidden="1">'7mps'!$A$1:$O$49</definedName>
    <definedName name="ExternalData_3" localSheetId="1" hidden="1">'1mps'!$A$1:$O$35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" i="61" l="1"/>
  <c r="F52" i="60"/>
  <c r="F39" i="59"/>
  <c r="F35" i="58"/>
  <c r="F42" i="57"/>
  <c r="F60" i="56"/>
  <c r="E38" i="54"/>
  <c r="P49" i="61"/>
  <c r="P48" i="61"/>
  <c r="P47" i="61"/>
  <c r="P46" i="61"/>
  <c r="P45" i="61"/>
  <c r="P44" i="61"/>
  <c r="P43" i="61"/>
  <c r="P42" i="61"/>
  <c r="P41" i="61"/>
  <c r="P40" i="61"/>
  <c r="P39" i="61"/>
  <c r="P38" i="61"/>
  <c r="P37" i="61"/>
  <c r="P36" i="61"/>
  <c r="P35" i="61"/>
  <c r="P34" i="61"/>
  <c r="P33" i="61"/>
  <c r="P32" i="61"/>
  <c r="P31" i="61"/>
  <c r="P30" i="61"/>
  <c r="P29" i="61"/>
  <c r="P28" i="61"/>
  <c r="P27" i="61"/>
  <c r="P26" i="61"/>
  <c r="P25" i="61"/>
  <c r="P24" i="61"/>
  <c r="P23" i="61"/>
  <c r="P22" i="61"/>
  <c r="P21" i="61"/>
  <c r="P20" i="61"/>
  <c r="P19" i="61"/>
  <c r="P18" i="61"/>
  <c r="P17" i="61"/>
  <c r="P16" i="61"/>
  <c r="P15" i="61"/>
  <c r="P14" i="61"/>
  <c r="P13" i="61"/>
  <c r="P12" i="61"/>
  <c r="P11" i="61"/>
  <c r="P10" i="61"/>
  <c r="P9" i="61"/>
  <c r="P8" i="61"/>
  <c r="P7" i="61"/>
  <c r="P6" i="61"/>
  <c r="P5" i="61"/>
  <c r="P4" i="61"/>
  <c r="P3" i="61"/>
  <c r="P2" i="61"/>
  <c r="P37" i="60"/>
  <c r="P38" i="60"/>
  <c r="P39" i="60"/>
  <c r="P40" i="60"/>
  <c r="P41" i="60"/>
  <c r="P42" i="60"/>
  <c r="P43" i="60"/>
  <c r="P44" i="60"/>
  <c r="P45" i="60"/>
  <c r="P46" i="60"/>
  <c r="P47" i="60"/>
  <c r="P48" i="60"/>
  <c r="P49" i="60"/>
  <c r="P36" i="60"/>
  <c r="P35" i="60"/>
  <c r="P34" i="60"/>
  <c r="P33" i="60"/>
  <c r="P32" i="60"/>
  <c r="P31" i="60"/>
  <c r="P30" i="60"/>
  <c r="P29" i="60"/>
  <c r="P28" i="60"/>
  <c r="P27" i="60"/>
  <c r="P26" i="60"/>
  <c r="P25" i="60"/>
  <c r="P24" i="60"/>
  <c r="P23" i="60"/>
  <c r="P22" i="60"/>
  <c r="P21" i="60"/>
  <c r="P20" i="60"/>
  <c r="P19" i="60"/>
  <c r="P18" i="60"/>
  <c r="P17" i="60"/>
  <c r="P16" i="60"/>
  <c r="P15" i="60"/>
  <c r="P14" i="60"/>
  <c r="P13" i="60"/>
  <c r="P12" i="60"/>
  <c r="P11" i="60"/>
  <c r="P10" i="60"/>
  <c r="P9" i="60"/>
  <c r="P8" i="60"/>
  <c r="P7" i="60"/>
  <c r="P6" i="60"/>
  <c r="P5" i="60"/>
  <c r="P4" i="60"/>
  <c r="P3" i="60"/>
  <c r="P2" i="60"/>
  <c r="P33" i="59"/>
  <c r="P34" i="59"/>
  <c r="P35" i="59"/>
  <c r="P36" i="59"/>
  <c r="P32" i="59"/>
  <c r="P31" i="59"/>
  <c r="P30" i="59"/>
  <c r="P29" i="59"/>
  <c r="P28" i="59"/>
  <c r="P27" i="59"/>
  <c r="P26" i="59"/>
  <c r="P25" i="59"/>
  <c r="P24" i="59"/>
  <c r="P23" i="59"/>
  <c r="P22" i="59"/>
  <c r="P21" i="59"/>
  <c r="P20" i="59"/>
  <c r="P19" i="59"/>
  <c r="P18" i="59"/>
  <c r="P17" i="59"/>
  <c r="P16" i="59"/>
  <c r="P15" i="59"/>
  <c r="P14" i="59"/>
  <c r="P13" i="59"/>
  <c r="P12" i="59"/>
  <c r="P11" i="59"/>
  <c r="P10" i="59"/>
  <c r="P9" i="59"/>
  <c r="P8" i="59"/>
  <c r="P7" i="59"/>
  <c r="P6" i="59"/>
  <c r="P5" i="59"/>
  <c r="P4" i="59"/>
  <c r="P3" i="59"/>
  <c r="P2" i="59"/>
  <c r="P32" i="58"/>
  <c r="P31" i="58"/>
  <c r="P30" i="58"/>
  <c r="P29" i="58"/>
  <c r="P28" i="58"/>
  <c r="P27" i="58"/>
  <c r="P26" i="58"/>
  <c r="P25" i="58"/>
  <c r="P24" i="58"/>
  <c r="P23" i="58"/>
  <c r="P22" i="58"/>
  <c r="P21" i="58"/>
  <c r="P20" i="58"/>
  <c r="P19" i="58"/>
  <c r="P18" i="58"/>
  <c r="P17" i="58"/>
  <c r="P16" i="58"/>
  <c r="P15" i="58"/>
  <c r="P14" i="58"/>
  <c r="P13" i="58"/>
  <c r="P12" i="58"/>
  <c r="P11" i="58"/>
  <c r="P10" i="58"/>
  <c r="P9" i="58"/>
  <c r="P8" i="58"/>
  <c r="P7" i="58"/>
  <c r="P6" i="58"/>
  <c r="P5" i="58"/>
  <c r="P4" i="58"/>
  <c r="P3" i="58"/>
  <c r="P2" i="58"/>
  <c r="P39" i="57"/>
  <c r="P38" i="57"/>
  <c r="P37" i="57"/>
  <c r="P36" i="57"/>
  <c r="P35" i="57"/>
  <c r="P34" i="57"/>
  <c r="P33" i="57"/>
  <c r="P32" i="57"/>
  <c r="P31" i="57"/>
  <c r="P30" i="57"/>
  <c r="P29" i="57"/>
  <c r="P28" i="57"/>
  <c r="P27" i="57"/>
  <c r="P26" i="57"/>
  <c r="P25" i="57"/>
  <c r="P24" i="57"/>
  <c r="P23" i="57"/>
  <c r="P22" i="57"/>
  <c r="P21" i="57"/>
  <c r="P20" i="57"/>
  <c r="P19" i="57"/>
  <c r="P18" i="57"/>
  <c r="P17" i="57"/>
  <c r="P16" i="57"/>
  <c r="P15" i="57"/>
  <c r="P14" i="57"/>
  <c r="P13" i="57"/>
  <c r="P12" i="57"/>
  <c r="P11" i="57"/>
  <c r="P10" i="57"/>
  <c r="P9" i="57"/>
  <c r="P8" i="57"/>
  <c r="P7" i="57"/>
  <c r="P6" i="57"/>
  <c r="P5" i="57"/>
  <c r="P4" i="57"/>
  <c r="P3" i="57"/>
  <c r="P2" i="57"/>
  <c r="P36" i="56"/>
  <c r="P37" i="56"/>
  <c r="P38" i="56"/>
  <c r="P39" i="56"/>
  <c r="P40" i="56"/>
  <c r="P41" i="56"/>
  <c r="P42" i="56"/>
  <c r="P43" i="56"/>
  <c r="P44" i="56"/>
  <c r="P45" i="56"/>
  <c r="P46" i="56"/>
  <c r="P47" i="56"/>
  <c r="P48" i="56"/>
  <c r="P49" i="56"/>
  <c r="P50" i="56"/>
  <c r="P51" i="56"/>
  <c r="P52" i="56"/>
  <c r="P53" i="56"/>
  <c r="P54" i="56"/>
  <c r="P55" i="56"/>
  <c r="P56" i="56"/>
  <c r="P57" i="56"/>
  <c r="P35" i="56"/>
  <c r="P34" i="56"/>
  <c r="P33" i="56"/>
  <c r="P32" i="56"/>
  <c r="P31" i="56"/>
  <c r="P30" i="56"/>
  <c r="P29" i="56"/>
  <c r="P28" i="56"/>
  <c r="P27" i="56"/>
  <c r="P26" i="56"/>
  <c r="P25" i="56"/>
  <c r="P24" i="56"/>
  <c r="P23" i="56"/>
  <c r="P22" i="56"/>
  <c r="P21" i="56"/>
  <c r="P20" i="56"/>
  <c r="P19" i="56"/>
  <c r="P18" i="56"/>
  <c r="P17" i="56"/>
  <c r="P16" i="56"/>
  <c r="P15" i="56"/>
  <c r="P14" i="56"/>
  <c r="P13" i="56"/>
  <c r="P12" i="56"/>
  <c r="P11" i="56"/>
  <c r="P10" i="56"/>
  <c r="P9" i="56"/>
  <c r="P8" i="56"/>
  <c r="P7" i="56"/>
  <c r="P6" i="56"/>
  <c r="P5" i="56"/>
  <c r="P4" i="56"/>
  <c r="P3" i="56"/>
  <c r="P2" i="56"/>
  <c r="P12" i="54"/>
  <c r="P13" i="54"/>
  <c r="P14" i="54"/>
  <c r="P15" i="54"/>
  <c r="P16" i="54"/>
  <c r="P17" i="54"/>
  <c r="P18" i="54"/>
  <c r="P19" i="54"/>
  <c r="P20" i="54"/>
  <c r="P21" i="54"/>
  <c r="P22" i="54"/>
  <c r="P23" i="54"/>
  <c r="P24" i="54"/>
  <c r="P25" i="54"/>
  <c r="P26" i="54"/>
  <c r="P27" i="54"/>
  <c r="P28" i="54"/>
  <c r="P29" i="54"/>
  <c r="P30" i="54"/>
  <c r="P31" i="54"/>
  <c r="P32" i="54"/>
  <c r="P33" i="54"/>
  <c r="P34" i="54"/>
  <c r="P35" i="54"/>
  <c r="P11" i="54"/>
  <c r="P10" i="54"/>
  <c r="P9" i="54"/>
  <c r="P8" i="54"/>
  <c r="P7" i="54"/>
  <c r="P6" i="54"/>
  <c r="P5" i="54"/>
  <c r="P4" i="54"/>
  <c r="P3" i="54"/>
  <c r="P2" i="54"/>
  <c r="U47" i="61" a="1"/>
  <c r="T45" i="61" a="1"/>
  <c r="R42" i="61" a="1"/>
  <c r="Q40" i="61" a="1"/>
  <c r="U35" i="61" a="1"/>
  <c r="T33" i="61" a="1"/>
  <c r="R30" i="61" a="1"/>
  <c r="Q28" i="61" a="1"/>
  <c r="U23" i="61" a="1"/>
  <c r="T21" i="61" a="1"/>
  <c r="R18" i="61" a="1"/>
  <c r="Q16" i="61" a="1"/>
  <c r="U11" i="61" a="1"/>
  <c r="T9" i="61" a="1"/>
  <c r="R6" i="61" a="1"/>
  <c r="Q4" i="61" a="1"/>
  <c r="Q17" i="61" a="1"/>
  <c r="U12" i="61" a="1"/>
  <c r="T38" i="61" a="1"/>
  <c r="Q9" i="61" a="1"/>
  <c r="R14" i="61" a="1"/>
  <c r="T20" i="61" a="1"/>
  <c r="U48" i="61" a="1"/>
  <c r="T46" i="61" a="1"/>
  <c r="R43" i="61" a="1"/>
  <c r="Q41" i="61" a="1"/>
  <c r="U36" i="61" a="1"/>
  <c r="T34" i="61" a="1"/>
  <c r="R31" i="61" a="1"/>
  <c r="Q29" i="61" a="1"/>
  <c r="U24" i="61" a="1"/>
  <c r="T22" i="61" a="1"/>
  <c r="R19" i="61" a="1"/>
  <c r="T10" i="61" a="1"/>
  <c r="R7" i="61" a="1"/>
  <c r="Q5" i="61" a="1"/>
  <c r="R35" i="61" a="1"/>
  <c r="Q21" i="61" a="1"/>
  <c r="T5" i="61" a="1"/>
  <c r="T8" i="61" a="1"/>
  <c r="U49" i="61" a="1"/>
  <c r="T47" i="61" a="1"/>
  <c r="R44" i="61" a="1"/>
  <c r="Q42" i="61" a="1"/>
  <c r="U37" i="61" a="1"/>
  <c r="T35" i="61" a="1"/>
  <c r="R32" i="61" a="1"/>
  <c r="Q30" i="61" a="1"/>
  <c r="U25" i="61" a="1"/>
  <c r="T23" i="61" a="1"/>
  <c r="R20" i="61" a="1"/>
  <c r="Q18" i="61" a="1"/>
  <c r="U13" i="61" a="1"/>
  <c r="T11" i="61" a="1"/>
  <c r="R8" i="61" a="1"/>
  <c r="Q6" i="61" a="1"/>
  <c r="R46" i="61" a="1"/>
  <c r="Q44" i="61" a="1"/>
  <c r="T37" i="61" a="1"/>
  <c r="Q33" i="61" a="1"/>
  <c r="U28" i="61" a="1"/>
  <c r="R23" i="61" a="1"/>
  <c r="U16" i="61" a="1"/>
  <c r="T14" i="61" a="1"/>
  <c r="U4" i="61" a="1"/>
  <c r="Q12" i="61" a="1"/>
  <c r="U22" i="61" a="1"/>
  <c r="T48" i="61" a="1"/>
  <c r="R45" i="61" a="1"/>
  <c r="Q43" i="61" a="1"/>
  <c r="U38" i="61" a="1"/>
  <c r="T36" i="61" a="1"/>
  <c r="R33" i="61" a="1"/>
  <c r="Q31" i="61" a="1"/>
  <c r="U26" i="61" a="1"/>
  <c r="T24" i="61" a="1"/>
  <c r="R21" i="61" a="1"/>
  <c r="Q19" i="61" a="1"/>
  <c r="U14" i="61" a="1"/>
  <c r="T12" i="61" a="1"/>
  <c r="R9" i="61" a="1"/>
  <c r="Q7" i="61" a="1"/>
  <c r="U2" i="61" a="1"/>
  <c r="U39" i="61" a="1"/>
  <c r="R34" i="61" a="1"/>
  <c r="Q32" i="61" a="1"/>
  <c r="U27" i="61" a="1"/>
  <c r="T2" i="61" a="1"/>
  <c r="U7" i="61" a="1"/>
  <c r="R17" i="61" a="1"/>
  <c r="Q15" i="61" a="1"/>
  <c r="U10" i="61" a="1"/>
  <c r="Q3" i="61" a="1"/>
  <c r="T49" i="61" a="1"/>
  <c r="T25" i="61" a="1"/>
  <c r="R22" i="61" a="1"/>
  <c r="Q20" i="61" a="1"/>
  <c r="U15" i="61" a="1"/>
  <c r="T13" i="61" a="1"/>
  <c r="R10" i="61" a="1"/>
  <c r="Q8" i="61" a="1"/>
  <c r="U3" i="61" a="1"/>
  <c r="T26" i="61" a="1"/>
  <c r="R11" i="61" a="1"/>
  <c r="R2" i="61" a="1"/>
  <c r="R47" i="61" a="1"/>
  <c r="Q45" i="61" a="1"/>
  <c r="U40" i="61" a="1"/>
  <c r="R48" i="61" a="1"/>
  <c r="Q46" i="61" a="1"/>
  <c r="U41" i="61" a="1"/>
  <c r="T39" i="61" a="1"/>
  <c r="R36" i="61" a="1"/>
  <c r="Q34" i="61" a="1"/>
  <c r="U29" i="61" a="1"/>
  <c r="T27" i="61" a="1"/>
  <c r="R24" i="61" a="1"/>
  <c r="Q22" i="61" a="1"/>
  <c r="U17" i="61" a="1"/>
  <c r="T15" i="61" a="1"/>
  <c r="R12" i="61" a="1"/>
  <c r="Q10" i="61" a="1"/>
  <c r="U5" i="61" a="1"/>
  <c r="T3" i="61" a="1"/>
  <c r="R49" i="61" a="1"/>
  <c r="R25" i="61" a="1"/>
  <c r="T16" i="61" a="1"/>
  <c r="T29" i="61" a="1"/>
  <c r="R26" i="61" a="1"/>
  <c r="Q24" i="61" a="1"/>
  <c r="U19" i="61" a="1"/>
  <c r="T17" i="61" a="1"/>
  <c r="R5" i="61" a="1"/>
  <c r="Q47" i="61" a="1"/>
  <c r="U42" i="61" a="1"/>
  <c r="T40" i="61" a="1"/>
  <c r="R37" i="61" a="1"/>
  <c r="Q35" i="61" a="1"/>
  <c r="U30" i="61" a="1"/>
  <c r="T28" i="61" a="1"/>
  <c r="Q23" i="61" a="1"/>
  <c r="U18" i="61" a="1"/>
  <c r="R13" i="61" a="1"/>
  <c r="Q11" i="61" a="1"/>
  <c r="U6" i="61" a="1"/>
  <c r="T4" i="61" a="1"/>
  <c r="Q48" i="61" a="1"/>
  <c r="U43" i="61" a="1"/>
  <c r="T41" i="61" a="1"/>
  <c r="R38" i="61" a="1"/>
  <c r="Q36" i="61" a="1"/>
  <c r="U31" i="61" a="1"/>
  <c r="Q49" i="61" a="1"/>
  <c r="U44" i="61" a="1"/>
  <c r="T42" i="61" a="1"/>
  <c r="R39" i="61" a="1"/>
  <c r="Q37" i="61" a="1"/>
  <c r="U32" i="61" a="1"/>
  <c r="T30" i="61" a="1"/>
  <c r="R27" i="61" a="1"/>
  <c r="Q25" i="61" a="1"/>
  <c r="U20" i="61" a="1"/>
  <c r="T18" i="61" a="1"/>
  <c r="R15" i="61" a="1"/>
  <c r="Q13" i="61" a="1"/>
  <c r="U8" i="61" a="1"/>
  <c r="T6" i="61" a="1"/>
  <c r="R3" i="61" a="1"/>
  <c r="R29" i="61" a="1"/>
  <c r="U45" i="61" a="1"/>
  <c r="T43" i="61" a="1"/>
  <c r="R40" i="61" a="1"/>
  <c r="Q38" i="61" a="1"/>
  <c r="U33" i="61" a="1"/>
  <c r="T31" i="61" a="1"/>
  <c r="R28" i="61" a="1"/>
  <c r="Q26" i="61" a="1"/>
  <c r="U21" i="61" a="1"/>
  <c r="T19" i="61" a="1"/>
  <c r="R16" i="61" a="1"/>
  <c r="Q14" i="61" a="1"/>
  <c r="U9" i="61" a="1"/>
  <c r="T7" i="61" a="1"/>
  <c r="R4" i="61" a="1"/>
  <c r="Q2" i="61" a="1"/>
  <c r="Q27" i="61" a="1"/>
  <c r="U46" i="61" a="1"/>
  <c r="T44" i="61" a="1"/>
  <c r="R41" i="61" a="1"/>
  <c r="Q39" i="61" a="1"/>
  <c r="U34" i="61" a="1"/>
  <c r="T32" i="61" a="1"/>
  <c r="Q38" i="60" a="1"/>
  <c r="R40" i="60" a="1"/>
  <c r="T43" i="60" a="1"/>
  <c r="U45" i="60" a="1"/>
  <c r="R48" i="60" a="1"/>
  <c r="Q45" i="60" a="1"/>
  <c r="Q44" i="60" a="1"/>
  <c r="R46" i="60" a="1"/>
  <c r="T49" i="60" a="1"/>
  <c r="T48" i="60" a="1"/>
  <c r="Q42" i="60" a="1"/>
  <c r="U49" i="60" a="1"/>
  <c r="U48" i="60" a="1"/>
  <c r="Q40" i="60" a="1"/>
  <c r="T44" i="60" a="1"/>
  <c r="U46" i="60" a="1"/>
  <c r="Q37" i="60" a="1"/>
  <c r="R39" i="60" a="1"/>
  <c r="T42" i="60" a="1"/>
  <c r="U44" i="60" a="1"/>
  <c r="Q49" i="60" a="1"/>
  <c r="U41" i="60" a="1"/>
  <c r="T38" i="60" a="1"/>
  <c r="U40" i="60" a="1"/>
  <c r="R47" i="60" a="1"/>
  <c r="R38" i="60" a="1"/>
  <c r="T41" i="60" a="1"/>
  <c r="U43" i="60" a="1"/>
  <c r="Q48" i="60" a="1"/>
  <c r="T39" i="60" a="1"/>
  <c r="R37" i="60" a="1"/>
  <c r="T40" i="60" a="1"/>
  <c r="U42" i="60" a="1"/>
  <c r="Q47" i="60" a="1"/>
  <c r="R49" i="60" a="1"/>
  <c r="Q46" i="60" a="1"/>
  <c r="Q39" i="60" a="1"/>
  <c r="T37" i="60" a="1"/>
  <c r="U39" i="60" a="1"/>
  <c r="U37" i="60" a="1"/>
  <c r="R43" i="60" a="1"/>
  <c r="T45" i="60" a="1"/>
  <c r="U38" i="60" a="1"/>
  <c r="Q43" i="60" a="1"/>
  <c r="R45" i="60" a="1"/>
  <c r="R44" i="60" a="1"/>
  <c r="Q41" i="60" a="1"/>
  <c r="U47" i="60" a="1"/>
  <c r="T47" i="60" a="1"/>
  <c r="T46" i="60" a="1"/>
  <c r="R42" i="60" a="1"/>
  <c r="R41" i="60" a="1"/>
  <c r="U34" i="60" a="1"/>
  <c r="T32" i="60" a="1"/>
  <c r="R29" i="60" a="1"/>
  <c r="Q27" i="60" a="1"/>
  <c r="U22" i="60" a="1"/>
  <c r="T20" i="60" a="1"/>
  <c r="R17" i="60" a="1"/>
  <c r="Q15" i="60" a="1"/>
  <c r="U10" i="60" a="1"/>
  <c r="T8" i="60" a="1"/>
  <c r="R5" i="60" a="1"/>
  <c r="U35" i="60" a="1"/>
  <c r="T33" i="60" a="1"/>
  <c r="R30" i="60" a="1"/>
  <c r="Q28" i="60" a="1"/>
  <c r="U23" i="60" a="1"/>
  <c r="T21" i="60" a="1"/>
  <c r="R18" i="60" a="1"/>
  <c r="U14" i="60" a="1"/>
  <c r="R9" i="60" a="1"/>
  <c r="R34" i="60" a="1"/>
  <c r="U27" i="60" a="1"/>
  <c r="T13" i="60" a="1"/>
  <c r="Q8" i="60" a="1"/>
  <c r="Q11" i="60" a="1"/>
  <c r="U36" i="60" a="1"/>
  <c r="T34" i="60" a="1"/>
  <c r="R31" i="60" a="1"/>
  <c r="Q29" i="60" a="1"/>
  <c r="U24" i="60" a="1"/>
  <c r="T22" i="60" a="1"/>
  <c r="R19" i="60" a="1"/>
  <c r="Q17" i="60" a="1"/>
  <c r="U12" i="60" a="1"/>
  <c r="T10" i="60" a="1"/>
  <c r="R7" i="60" a="1"/>
  <c r="Q5" i="60" a="1"/>
  <c r="T35" i="60" a="1"/>
  <c r="R32" i="60" a="1"/>
  <c r="Q30" i="60" a="1"/>
  <c r="U25" i="60" a="1"/>
  <c r="T23" i="60" a="1"/>
  <c r="R20" i="60" a="1"/>
  <c r="Q18" i="60" a="1"/>
  <c r="U13" i="60" a="1"/>
  <c r="T11" i="60" a="1"/>
  <c r="R8" i="60" a="1"/>
  <c r="Q6" i="60" a="1"/>
  <c r="T36" i="60" a="1"/>
  <c r="R33" i="60" a="1"/>
  <c r="Q31" i="60" a="1"/>
  <c r="U26" i="60" a="1"/>
  <c r="R21" i="60" a="1"/>
  <c r="T12" i="60" a="1"/>
  <c r="Q7" i="60" a="1"/>
  <c r="T25" i="60" a="1"/>
  <c r="Q20" i="60" a="1"/>
  <c r="T4" i="60" a="1"/>
  <c r="R35" i="60" a="1"/>
  <c r="Q33" i="60" a="1"/>
  <c r="U28" i="60" a="1"/>
  <c r="T26" i="60" a="1"/>
  <c r="R23" i="60" a="1"/>
  <c r="Q21" i="60" a="1"/>
  <c r="U16" i="60" a="1"/>
  <c r="T14" i="60" a="1"/>
  <c r="R11" i="60" a="1"/>
  <c r="Q9" i="60" a="1"/>
  <c r="U4" i="60" a="1"/>
  <c r="T2" i="60" a="1"/>
  <c r="Q23" i="60" a="1"/>
  <c r="U18" i="60" a="1"/>
  <c r="T16" i="60" a="1"/>
  <c r="R13" i="60" a="1"/>
  <c r="U6" i="60" a="1"/>
  <c r="R36" i="60" a="1"/>
  <c r="Q34" i="60" a="1"/>
  <c r="U29" i="60" a="1"/>
  <c r="T27" i="60" a="1"/>
  <c r="R24" i="60" a="1"/>
  <c r="Q22" i="60" a="1"/>
  <c r="U17" i="60" a="1"/>
  <c r="T15" i="60" a="1"/>
  <c r="R12" i="60" a="1"/>
  <c r="Q10" i="60" a="1"/>
  <c r="U5" i="60" a="1"/>
  <c r="T3" i="60" a="1"/>
  <c r="R25" i="60" a="1"/>
  <c r="Q35" i="60" a="1"/>
  <c r="U30" i="60" a="1"/>
  <c r="T28" i="60" a="1"/>
  <c r="Q36" i="60" a="1"/>
  <c r="U31" i="60" a="1"/>
  <c r="T29" i="60" a="1"/>
  <c r="R26" i="60" a="1"/>
  <c r="Q24" i="60" a="1"/>
  <c r="U19" i="60" a="1"/>
  <c r="T17" i="60" a="1"/>
  <c r="R14" i="60" a="1"/>
  <c r="Q12" i="60" a="1"/>
  <c r="U7" i="60" a="1"/>
  <c r="T5" i="60" a="1"/>
  <c r="R2" i="60" a="1"/>
  <c r="U33" i="60" a="1"/>
  <c r="Q26" i="60" a="1"/>
  <c r="U21" i="60" a="1"/>
  <c r="R16" i="60" a="1"/>
  <c r="U9" i="60" a="1"/>
  <c r="Q2" i="60" a="1"/>
  <c r="Q3" i="60" a="1"/>
  <c r="T9" i="60" a="1"/>
  <c r="R6" i="60" a="1"/>
  <c r="Q4" i="60" a="1"/>
  <c r="T24" i="60" a="1"/>
  <c r="Q19" i="60" a="1"/>
  <c r="U2" i="60" a="1"/>
  <c r="Q32" i="60" a="1"/>
  <c r="R22" i="60" a="1"/>
  <c r="U15" i="60" a="1"/>
  <c r="R10" i="60" a="1"/>
  <c r="U3" i="60" a="1"/>
  <c r="U32" i="60" a="1"/>
  <c r="T30" i="60" a="1"/>
  <c r="R27" i="60" a="1"/>
  <c r="Q25" i="60" a="1"/>
  <c r="U20" i="60" a="1"/>
  <c r="T18" i="60" a="1"/>
  <c r="R15" i="60" a="1"/>
  <c r="Q13" i="60" a="1"/>
  <c r="U8" i="60" a="1"/>
  <c r="T6" i="60" a="1"/>
  <c r="R3" i="60" a="1"/>
  <c r="T31" i="60" a="1"/>
  <c r="Q14" i="60" a="1"/>
  <c r="T7" i="60" a="1"/>
  <c r="Q16" i="60" a="1"/>
  <c r="R28" i="60" a="1"/>
  <c r="T19" i="60" a="1"/>
  <c r="R4" i="60" a="1"/>
  <c r="U11" i="60" a="1"/>
  <c r="Q34" i="59" a="1"/>
  <c r="R36" i="59" a="1"/>
  <c r="Q36" i="59" a="1"/>
  <c r="Q35" i="59" a="1"/>
  <c r="Q33" i="59" a="1"/>
  <c r="R35" i="59" a="1"/>
  <c r="U36" i="59" a="1"/>
  <c r="R34" i="59" a="1"/>
  <c r="R33" i="59" a="1"/>
  <c r="T36" i="59" a="1"/>
  <c r="T35" i="59" a="1"/>
  <c r="T34" i="59" a="1"/>
  <c r="T33" i="59" a="1"/>
  <c r="U35" i="59" a="1"/>
  <c r="U33" i="59" a="1"/>
  <c r="U34" i="59" a="1"/>
  <c r="U30" i="59" a="1"/>
  <c r="T28" i="59" a="1"/>
  <c r="R25" i="59" a="1"/>
  <c r="Q23" i="59" a="1"/>
  <c r="U18" i="59" a="1"/>
  <c r="T16" i="59" a="1"/>
  <c r="R13" i="59" a="1"/>
  <c r="Q11" i="59" a="1"/>
  <c r="U6" i="59" a="1"/>
  <c r="T4" i="59" a="1"/>
  <c r="Q26" i="59" a="1"/>
  <c r="U21" i="59" a="1"/>
  <c r="R16" i="59" a="1"/>
  <c r="U9" i="59" a="1"/>
  <c r="T7" i="59" a="1"/>
  <c r="R4" i="59" a="1"/>
  <c r="U22" i="59" a="1"/>
  <c r="R17" i="59" a="1"/>
  <c r="U10" i="59" a="1"/>
  <c r="Q3" i="59" a="1"/>
  <c r="U23" i="59" a="1"/>
  <c r="T9" i="59" a="1"/>
  <c r="U25" i="59" a="1"/>
  <c r="Q18" i="59" a="1"/>
  <c r="R8" i="59" a="1"/>
  <c r="T25" i="59" a="1"/>
  <c r="R22" i="59" a="1"/>
  <c r="T13" i="59" a="1"/>
  <c r="U31" i="59" a="1"/>
  <c r="T29" i="59" a="1"/>
  <c r="R26" i="59" a="1"/>
  <c r="Q24" i="59" a="1"/>
  <c r="U19" i="59" a="1"/>
  <c r="T17" i="59" a="1"/>
  <c r="R14" i="59" a="1"/>
  <c r="Q12" i="59" a="1"/>
  <c r="U7" i="59" a="1"/>
  <c r="T5" i="59" a="1"/>
  <c r="R2" i="59" a="1"/>
  <c r="T31" i="59" a="1"/>
  <c r="Q2" i="59" a="1"/>
  <c r="R29" i="59" a="1"/>
  <c r="T20" i="59" a="1"/>
  <c r="Q15" i="59" a="1"/>
  <c r="R5" i="59" a="1"/>
  <c r="Q28" i="59" a="1"/>
  <c r="U32" i="59" a="1"/>
  <c r="T30" i="59" a="1"/>
  <c r="R27" i="59" a="1"/>
  <c r="Q25" i="59" a="1"/>
  <c r="U20" i="59" a="1"/>
  <c r="T18" i="59" a="1"/>
  <c r="R15" i="59" a="1"/>
  <c r="Q13" i="59" a="1"/>
  <c r="U8" i="59" a="1"/>
  <c r="T6" i="59" a="1"/>
  <c r="R3" i="59" a="1"/>
  <c r="R28" i="59" a="1"/>
  <c r="T19" i="59" a="1"/>
  <c r="Q14" i="59" a="1"/>
  <c r="R18" i="59" a="1"/>
  <c r="Q16" i="59" a="1"/>
  <c r="U11" i="59" a="1"/>
  <c r="T21" i="59" a="1"/>
  <c r="R6" i="59" a="1"/>
  <c r="Q7" i="59" a="1"/>
  <c r="U2" i="59" a="1"/>
  <c r="U15" i="59" a="1"/>
  <c r="T32" i="59" a="1"/>
  <c r="T11" i="59" a="1"/>
  <c r="R9" i="59" a="1"/>
  <c r="R30" i="59" a="1"/>
  <c r="Q4" i="59" a="1"/>
  <c r="R31" i="59" a="1"/>
  <c r="Q29" i="59" a="1"/>
  <c r="U24" i="59" a="1"/>
  <c r="T22" i="59" a="1"/>
  <c r="R19" i="59" a="1"/>
  <c r="T10" i="59" a="1"/>
  <c r="Q5" i="59" a="1"/>
  <c r="T23" i="59" a="1"/>
  <c r="R20" i="59" a="1"/>
  <c r="U13" i="59" a="1"/>
  <c r="Q6" i="59" a="1"/>
  <c r="R32" i="59" a="1"/>
  <c r="Q30" i="59" a="1"/>
  <c r="Q31" i="59" a="1"/>
  <c r="U26" i="59" a="1"/>
  <c r="T24" i="59" a="1"/>
  <c r="R21" i="59" a="1"/>
  <c r="Q19" i="59" a="1"/>
  <c r="U14" i="59" a="1"/>
  <c r="T12" i="59" a="1"/>
  <c r="R10" i="59" a="1"/>
  <c r="Q8" i="59" a="1"/>
  <c r="U3" i="59" a="1"/>
  <c r="Q32" i="59" a="1"/>
  <c r="Q20" i="59" a="1"/>
  <c r="U28" i="59" a="1"/>
  <c r="T26" i="59" a="1"/>
  <c r="R23" i="59" a="1"/>
  <c r="Q21" i="59" a="1"/>
  <c r="U16" i="59" a="1"/>
  <c r="T14" i="59" a="1"/>
  <c r="R11" i="59" a="1"/>
  <c r="Q9" i="59" a="1"/>
  <c r="U4" i="59" a="1"/>
  <c r="T2" i="59" a="1"/>
  <c r="Q10" i="59" a="1"/>
  <c r="U5" i="59" a="1"/>
  <c r="T3" i="59" a="1"/>
  <c r="Q27" i="59" a="1"/>
  <c r="T8" i="59" a="1"/>
  <c r="Q17" i="59" a="1"/>
  <c r="U12" i="59" a="1"/>
  <c r="U27" i="59" a="1"/>
  <c r="U29" i="59" a="1"/>
  <c r="T27" i="59" a="1"/>
  <c r="R24" i="59" a="1"/>
  <c r="Q22" i="59" a="1"/>
  <c r="U17" i="59" a="1"/>
  <c r="T15" i="59" a="1"/>
  <c r="R12" i="59" a="1"/>
  <c r="R7" i="59" a="1"/>
  <c r="R32" i="58" a="1"/>
  <c r="Q30" i="58" a="1"/>
  <c r="U25" i="58" a="1"/>
  <c r="T23" i="58" a="1"/>
  <c r="R20" i="58" a="1"/>
  <c r="Q18" i="58" a="1"/>
  <c r="U13" i="58" a="1"/>
  <c r="T11" i="58" a="1"/>
  <c r="R8" i="58" a="1"/>
  <c r="Q6" i="58" a="1"/>
  <c r="U14" i="58" a="1"/>
  <c r="R9" i="58" a="1"/>
  <c r="U2" i="58" a="1"/>
  <c r="U3" i="58" a="1"/>
  <c r="Q31" i="58" a="1"/>
  <c r="U26" i="58" a="1"/>
  <c r="T24" i="58" a="1"/>
  <c r="R21" i="58" a="1"/>
  <c r="T29" i="58" a="1"/>
  <c r="Q32" i="58" a="1"/>
  <c r="U27" i="58" a="1"/>
  <c r="T25" i="58" a="1"/>
  <c r="R22" i="58" a="1"/>
  <c r="Q20" i="58" a="1"/>
  <c r="U15" i="58" a="1"/>
  <c r="T13" i="58" a="1"/>
  <c r="R10" i="58" a="1"/>
  <c r="Q8" i="58" a="1"/>
  <c r="U7" i="58" a="1"/>
  <c r="U28" i="58" a="1"/>
  <c r="T26" i="58" a="1"/>
  <c r="R23" i="58" a="1"/>
  <c r="Q21" i="58" a="1"/>
  <c r="U16" i="58" a="1"/>
  <c r="T14" i="58" a="1"/>
  <c r="R11" i="58" a="1"/>
  <c r="Q9" i="58" a="1"/>
  <c r="U4" i="58" a="1"/>
  <c r="T2" i="58" a="1"/>
  <c r="U29" i="58" a="1"/>
  <c r="T27" i="58" a="1"/>
  <c r="T15" i="58" a="1"/>
  <c r="U5" i="58" a="1"/>
  <c r="U30" i="58" a="1"/>
  <c r="T16" i="58" a="1"/>
  <c r="Q11" i="58" a="1"/>
  <c r="U19" i="58" a="1"/>
  <c r="R14" i="58" a="1"/>
  <c r="R13" i="58" a="1"/>
  <c r="T4" i="58" a="1"/>
  <c r="Q24" i="58" a="1"/>
  <c r="T5" i="58" a="1"/>
  <c r="R2" i="58" a="1"/>
  <c r="T28" i="58" a="1"/>
  <c r="R25" i="58" a="1"/>
  <c r="Q23" i="58" a="1"/>
  <c r="U18" i="58" a="1"/>
  <c r="U6" i="58" a="1"/>
  <c r="R26" i="58" a="1"/>
  <c r="T17" i="58" a="1"/>
  <c r="U31" i="58" a="1"/>
  <c r="U32" i="58" a="1"/>
  <c r="T30" i="58" a="1"/>
  <c r="R27" i="58" a="1"/>
  <c r="Q25" i="58" a="1"/>
  <c r="U20" i="58" a="1"/>
  <c r="T18" i="58" a="1"/>
  <c r="R15" i="58" a="1"/>
  <c r="Q13" i="58" a="1"/>
  <c r="U8" i="58" a="1"/>
  <c r="T6" i="58" a="1"/>
  <c r="R3" i="58" a="1"/>
  <c r="T31" i="58" a="1"/>
  <c r="R28" i="58" a="1"/>
  <c r="Q26" i="58" a="1"/>
  <c r="R16" i="58" a="1"/>
  <c r="Q4" i="58" a="1"/>
  <c r="U21" i="58" a="1"/>
  <c r="T19" i="58" a="1"/>
  <c r="Q14" i="58" a="1"/>
  <c r="U9" i="58" a="1"/>
  <c r="T7" i="58" a="1"/>
  <c r="R4" i="58" a="1"/>
  <c r="Q2" i="58" a="1"/>
  <c r="T32" i="58" a="1"/>
  <c r="R29" i="58" a="1"/>
  <c r="Q27" i="58" a="1"/>
  <c r="U22" i="58" a="1"/>
  <c r="T20" i="58" a="1"/>
  <c r="R17" i="58" a="1"/>
  <c r="Q15" i="58" a="1"/>
  <c r="U10" i="58" a="1"/>
  <c r="T8" i="58" a="1"/>
  <c r="R5" i="58" a="1"/>
  <c r="Q3" i="58" a="1"/>
  <c r="U23" i="58" a="1"/>
  <c r="T21" i="58" a="1"/>
  <c r="R18" i="58" a="1"/>
  <c r="Q16" i="58" a="1"/>
  <c r="U11" i="58" a="1"/>
  <c r="T9" i="58" a="1"/>
  <c r="R6" i="58" a="1"/>
  <c r="Q12" i="58" a="1"/>
  <c r="R30" i="58" a="1"/>
  <c r="Q28" i="58" a="1"/>
  <c r="R31" i="58" a="1"/>
  <c r="Q29" i="58" a="1"/>
  <c r="U24" i="58" a="1"/>
  <c r="T22" i="58" a="1"/>
  <c r="R19" i="58" a="1"/>
  <c r="Q17" i="58" a="1"/>
  <c r="U12" i="58" a="1"/>
  <c r="T10" i="58" a="1"/>
  <c r="R7" i="58" a="1"/>
  <c r="Q5" i="58" a="1"/>
  <c r="Q19" i="58" a="1"/>
  <c r="T12" i="58" a="1"/>
  <c r="Q7" i="58" a="1"/>
  <c r="R24" i="58" a="1"/>
  <c r="Q22" i="58" a="1"/>
  <c r="U17" i="58" a="1"/>
  <c r="R12" i="58" a="1"/>
  <c r="Q10" i="58" a="1"/>
  <c r="T3" i="58" a="1"/>
  <c r="U39" i="57" a="1"/>
  <c r="T37" i="57" a="1"/>
  <c r="R34" i="57" a="1"/>
  <c r="T38" i="57" a="1"/>
  <c r="R35" i="57" a="1"/>
  <c r="Q33" i="57" a="1"/>
  <c r="U28" i="57" a="1"/>
  <c r="T26" i="57" a="1"/>
  <c r="R23" i="57" a="1"/>
  <c r="Q21" i="57" a="1"/>
  <c r="U16" i="57" a="1"/>
  <c r="T14" i="57" a="1"/>
  <c r="R11" i="57" a="1"/>
  <c r="Q9" i="57" a="1"/>
  <c r="U4" i="57" a="1"/>
  <c r="T2" i="57" a="1"/>
  <c r="T39" i="57" a="1"/>
  <c r="T27" i="57" a="1"/>
  <c r="R24" i="57" a="1"/>
  <c r="Q22" i="57" a="1"/>
  <c r="U17" i="57" a="1"/>
  <c r="T15" i="57" a="1"/>
  <c r="Q10" i="57" a="1"/>
  <c r="U5" i="57" a="1"/>
  <c r="R37" i="57" a="1"/>
  <c r="U30" i="57" a="1"/>
  <c r="R25" i="57" a="1"/>
  <c r="T16" i="57" a="1"/>
  <c r="Q11" i="57" a="1"/>
  <c r="U6" i="57" a="1"/>
  <c r="R38" i="57" a="1"/>
  <c r="U31" i="57" a="1"/>
  <c r="T29" i="57" a="1"/>
  <c r="R36" i="57" a="1"/>
  <c r="Q34" i="57" a="1"/>
  <c r="U29" i="57" a="1"/>
  <c r="R12" i="57" a="1"/>
  <c r="T3" i="57" a="1"/>
  <c r="Q35" i="57" a="1"/>
  <c r="T28" i="57" a="1"/>
  <c r="Q23" i="57" a="1"/>
  <c r="U18" i="57" a="1"/>
  <c r="R13" i="57" a="1"/>
  <c r="T4" i="57" a="1"/>
  <c r="Q36" i="57" a="1"/>
  <c r="R26" i="57" a="1"/>
  <c r="Q24" i="57" a="1"/>
  <c r="U19" i="57" a="1"/>
  <c r="R39" i="57" a="1"/>
  <c r="U37" i="57" a="1"/>
  <c r="U35" i="57" a="1"/>
  <c r="T32" i="57" a="1"/>
  <c r="Q26" i="57" a="1"/>
  <c r="T21" i="57" a="1"/>
  <c r="T18" i="57" a="1"/>
  <c r="Q14" i="57" a="1"/>
  <c r="U12" i="57" a="1"/>
  <c r="T8" i="57" a="1"/>
  <c r="R7" i="57" a="1"/>
  <c r="R4" i="57" a="1"/>
  <c r="R32" i="57" a="1"/>
  <c r="T30" i="57" a="1"/>
  <c r="Q29" i="57" a="1"/>
  <c r="Q31" i="57" a="1"/>
  <c r="R29" i="57" a="1"/>
  <c r="T24" i="57" a="1"/>
  <c r="Q20" i="57" a="1"/>
  <c r="Q17" i="57" a="1"/>
  <c r="U15" i="57" a="1"/>
  <c r="Q4" i="57" a="1"/>
  <c r="Q39" i="57" a="1"/>
  <c r="Q37" i="57" a="1"/>
  <c r="T35" i="57" a="1"/>
  <c r="U33" i="57" a="1"/>
  <c r="U27" i="57" a="1"/>
  <c r="U22" i="57" a="1"/>
  <c r="U9" i="57" a="1"/>
  <c r="T5" i="57" a="1"/>
  <c r="R27" i="57" a="1"/>
  <c r="R21" i="57" a="1"/>
  <c r="R18" i="57" a="1"/>
  <c r="R15" i="57" a="1"/>
  <c r="T12" i="57" a="1"/>
  <c r="Q7" i="57" a="1"/>
  <c r="U2" i="57" a="1"/>
  <c r="T33" i="57" a="1"/>
  <c r="U25" i="57" a="1"/>
  <c r="T22" i="57" a="1"/>
  <c r="R8" i="57" a="1"/>
  <c r="Q27" i="57" a="1"/>
  <c r="Q18" i="57" a="1"/>
  <c r="Q12" i="57" a="1"/>
  <c r="R5" i="57" a="1"/>
  <c r="U38" i="57" a="1"/>
  <c r="U36" i="57" a="1"/>
  <c r="R30" i="57" a="1"/>
  <c r="U23" i="57" a="1"/>
  <c r="Q8" i="57" a="1"/>
  <c r="T6" i="57" a="1"/>
  <c r="U34" i="57" a="1"/>
  <c r="R33" i="57" a="1"/>
  <c r="Q25" i="57" a="1"/>
  <c r="R22" i="57" a="1"/>
  <c r="R19" i="57" a="1"/>
  <c r="R16" i="57" a="1"/>
  <c r="T13" i="57" a="1"/>
  <c r="T10" i="57" a="1"/>
  <c r="R9" i="57" a="1"/>
  <c r="Q5" i="57" a="1"/>
  <c r="U3" i="57" a="1"/>
  <c r="Q2" i="57" a="1"/>
  <c r="T31" i="57" a="1"/>
  <c r="Q38" i="57" a="1"/>
  <c r="T36" i="57" a="1"/>
  <c r="Q30" i="57" a="1"/>
  <c r="R28" i="57" a="1"/>
  <c r="T23" i="57" a="1"/>
  <c r="T20" i="57" a="1"/>
  <c r="T17" i="57" a="1"/>
  <c r="U7" i="57" a="1"/>
  <c r="U26" i="57" a="1"/>
  <c r="Q19" i="57" a="1"/>
  <c r="Q16" i="57" a="1"/>
  <c r="U14" i="57" a="1"/>
  <c r="Q13" i="57" a="1"/>
  <c r="R6" i="57" a="1"/>
  <c r="R3" i="57" a="1"/>
  <c r="T34" i="57" a="1"/>
  <c r="U11" i="57" a="1"/>
  <c r="U32" i="57" a="1"/>
  <c r="Q28" i="57" a="1"/>
  <c r="U21" i="57" a="1"/>
  <c r="R10" i="57" a="1"/>
  <c r="T7" i="57" a="1"/>
  <c r="T19" i="57" a="1"/>
  <c r="Q15" i="57" a="1"/>
  <c r="U10" i="57" a="1"/>
  <c r="R2" i="57" a="1"/>
  <c r="R31" i="57" a="1"/>
  <c r="U24" i="57" a="1"/>
  <c r="R20" i="57" a="1"/>
  <c r="R17" i="57" a="1"/>
  <c r="R14" i="57" a="1"/>
  <c r="T11" i="57" a="1"/>
  <c r="U8" i="57" a="1"/>
  <c r="Q6" i="57" a="1"/>
  <c r="Q3" i="57" a="1"/>
  <c r="T9" i="57" a="1"/>
  <c r="Q32" i="57" a="1"/>
  <c r="U13" i="57" a="1"/>
  <c r="T25" i="57" a="1"/>
  <c r="U20" i="57" a="1"/>
  <c r="Q37" i="56" a="1"/>
  <c r="R39" i="56" a="1"/>
  <c r="T42" i="56" a="1"/>
  <c r="U44" i="56" a="1"/>
  <c r="Q49" i="56" a="1"/>
  <c r="R51" i="56" a="1"/>
  <c r="T54" i="56" a="1"/>
  <c r="U56" i="56" a="1"/>
  <c r="T39" i="56" a="1"/>
  <c r="R48" i="56" a="1"/>
  <c r="T50" i="56" a="1"/>
  <c r="Q57" i="56" a="1"/>
  <c r="U39" i="56" a="1"/>
  <c r="R46" i="56" a="1"/>
  <c r="U51" i="56" a="1"/>
  <c r="R42" i="56" a="1"/>
  <c r="U47" i="56" a="1"/>
  <c r="Q52" i="56" a="1"/>
  <c r="T57" i="56" a="1"/>
  <c r="T44" i="56" a="1"/>
  <c r="Q36" i="56" a="1"/>
  <c r="R38" i="56" a="1"/>
  <c r="T41" i="56" a="1"/>
  <c r="U43" i="56" a="1"/>
  <c r="Q48" i="56" a="1"/>
  <c r="R50" i="56" a="1"/>
  <c r="T53" i="56" a="1"/>
  <c r="U55" i="56" a="1"/>
  <c r="U41" i="56" a="1"/>
  <c r="T51" i="56" a="1"/>
  <c r="R37" i="56" a="1"/>
  <c r="T40" i="56" a="1"/>
  <c r="U42" i="56" a="1"/>
  <c r="Q47" i="56" a="1"/>
  <c r="R49" i="56" a="1"/>
  <c r="T52" i="56" a="1"/>
  <c r="U54" i="56" a="1"/>
  <c r="R36" i="56" a="1"/>
  <c r="Q46" i="56" a="1"/>
  <c r="U53" i="56" a="1"/>
  <c r="T38" i="56" a="1"/>
  <c r="U40" i="56" a="1"/>
  <c r="Q45" i="56" a="1"/>
  <c r="R47" i="56" a="1"/>
  <c r="U52" i="56" a="1"/>
  <c r="T37" i="56" a="1"/>
  <c r="Q44" i="56" a="1"/>
  <c r="T49" i="56" a="1"/>
  <c r="Q56" i="56" a="1"/>
  <c r="Q40" i="56" a="1"/>
  <c r="U46" i="56" a="1"/>
  <c r="R53" i="56" a="1"/>
  <c r="T43" i="56" a="1"/>
  <c r="R52" i="56" a="1"/>
  <c r="U57" i="56" a="1"/>
  <c r="Q51" i="56" a="1"/>
  <c r="T36" i="56" a="1"/>
  <c r="U38" i="56" a="1"/>
  <c r="Q43" i="56" a="1"/>
  <c r="R45" i="56" a="1"/>
  <c r="T48" i="56" a="1"/>
  <c r="U50" i="56" a="1"/>
  <c r="Q55" i="56" a="1"/>
  <c r="R57" i="56" a="1"/>
  <c r="U37" i="56" a="1"/>
  <c r="Q42" i="56" a="1"/>
  <c r="R44" i="56" a="1"/>
  <c r="T47" i="56" a="1"/>
  <c r="U49" i="56" a="1"/>
  <c r="Q54" i="56" a="1"/>
  <c r="R56" i="56" a="1"/>
  <c r="U36" i="56" a="1"/>
  <c r="Q41" i="56" a="1"/>
  <c r="R43" i="56" a="1"/>
  <c r="T46" i="56" a="1"/>
  <c r="U48" i="56" a="1"/>
  <c r="R55" i="56" a="1"/>
  <c r="Q39" i="56" a="1"/>
  <c r="Q53" i="56" a="1"/>
  <c r="T45" i="56" a="1"/>
  <c r="R54" i="56" a="1"/>
  <c r="R41" i="56" a="1"/>
  <c r="T56" i="56" a="1"/>
  <c r="Q38" i="56" a="1"/>
  <c r="Q50" i="56" a="1"/>
  <c r="T55" i="56" a="1"/>
  <c r="R40" i="56" a="1"/>
  <c r="U45" i="56" a="1"/>
  <c r="U33" i="56" a="1"/>
  <c r="T31" i="56" a="1"/>
  <c r="R28" i="56" a="1"/>
  <c r="Q26" i="56" a="1"/>
  <c r="U21" i="56" a="1"/>
  <c r="T19" i="56" a="1"/>
  <c r="R16" i="56" a="1"/>
  <c r="Q14" i="56" a="1"/>
  <c r="U9" i="56" a="1"/>
  <c r="T7" i="56" a="1"/>
  <c r="R4" i="56" a="1"/>
  <c r="Q2" i="56" a="1"/>
  <c r="Q3" i="56" a="1"/>
  <c r="Q16" i="56" a="1"/>
  <c r="T9" i="56" a="1"/>
  <c r="Q4" i="56" a="1"/>
  <c r="R31" i="56" a="1"/>
  <c r="U24" i="56" a="1"/>
  <c r="T22" i="56" a="1"/>
  <c r="R19" i="56" a="1"/>
  <c r="U12" i="56" a="1"/>
  <c r="R7" i="56" a="1"/>
  <c r="T35" i="56" a="1"/>
  <c r="R32" i="56" a="1"/>
  <c r="T23" i="56" a="1"/>
  <c r="R20" i="56" a="1"/>
  <c r="U13" i="56" a="1"/>
  <c r="T11" i="56" a="1"/>
  <c r="R8" i="56" a="1"/>
  <c r="Q6" i="56" a="1"/>
  <c r="Q31" i="56" a="1"/>
  <c r="T24" i="56" a="1"/>
  <c r="R21" i="56" a="1"/>
  <c r="U14" i="56" a="1"/>
  <c r="Q7" i="56" a="1"/>
  <c r="R10" i="56" a="1"/>
  <c r="R23" i="56" a="1"/>
  <c r="U34" i="56" a="1"/>
  <c r="T32" i="56" a="1"/>
  <c r="R29" i="56" a="1"/>
  <c r="Q27" i="56" a="1"/>
  <c r="U22" i="56" a="1"/>
  <c r="T20" i="56" a="1"/>
  <c r="R17" i="56" a="1"/>
  <c r="Q15" i="56" a="1"/>
  <c r="U10" i="56" a="1"/>
  <c r="T8" i="56" a="1"/>
  <c r="R5" i="56" a="1"/>
  <c r="R30" i="56" a="1"/>
  <c r="Q28" i="56" a="1"/>
  <c r="U23" i="56" a="1"/>
  <c r="T21" i="56" a="1"/>
  <c r="R18" i="56" a="1"/>
  <c r="U11" i="56" a="1"/>
  <c r="R6" i="56" a="1"/>
  <c r="T34" i="56" a="1"/>
  <c r="Q29" i="56" a="1"/>
  <c r="Q17" i="56" a="1"/>
  <c r="T10" i="56" a="1"/>
  <c r="Q5" i="56" a="1"/>
  <c r="Q30" i="56" a="1"/>
  <c r="U25" i="56" a="1"/>
  <c r="Q18" i="56" a="1"/>
  <c r="R33" i="56" a="1"/>
  <c r="U26" i="56" a="1"/>
  <c r="Q19" i="56" a="1"/>
  <c r="R9" i="56" a="1"/>
  <c r="U2" i="56" a="1"/>
  <c r="Q8" i="56" a="1"/>
  <c r="T26" i="56" a="1"/>
  <c r="R11" i="56" a="1"/>
  <c r="T2" i="56" a="1"/>
  <c r="T27" i="56" a="1"/>
  <c r="Q22" i="56" a="1"/>
  <c r="T3" i="56" a="1"/>
  <c r="U35" i="56" a="1"/>
  <c r="T33" i="56" a="1"/>
  <c r="T12" i="56" a="1"/>
  <c r="U3" i="56" a="1"/>
  <c r="Q21" i="56" a="1"/>
  <c r="U16" i="56" a="1"/>
  <c r="T14" i="56" a="1"/>
  <c r="Q9" i="56" a="1"/>
  <c r="U4" i="56" a="1"/>
  <c r="R24" i="56" a="1"/>
  <c r="U17" i="56" a="1"/>
  <c r="Q10" i="56" a="1"/>
  <c r="T4" i="56" a="1"/>
  <c r="R34" i="56" a="1"/>
  <c r="Q32" i="56" a="1"/>
  <c r="U27" i="56" a="1"/>
  <c r="T25" i="56" a="1"/>
  <c r="R22" i="56" a="1"/>
  <c r="Q20" i="56" a="1"/>
  <c r="U15" i="56" a="1"/>
  <c r="T13" i="56" a="1"/>
  <c r="R12" i="56" a="1"/>
  <c r="R35" i="56" a="1"/>
  <c r="Q33" i="56" a="1"/>
  <c r="U28" i="56" a="1"/>
  <c r="T15" i="56" a="1"/>
  <c r="U5" i="56" a="1"/>
  <c r="Q34" i="56" a="1"/>
  <c r="U29" i="56" a="1"/>
  <c r="Q35" i="56" a="1"/>
  <c r="U30" i="56" a="1"/>
  <c r="T28" i="56" a="1"/>
  <c r="R25" i="56" a="1"/>
  <c r="Q23" i="56" a="1"/>
  <c r="U18" i="56" a="1"/>
  <c r="T16" i="56" a="1"/>
  <c r="R13" i="56" a="1"/>
  <c r="Q11" i="56" a="1"/>
  <c r="U6" i="56" a="1"/>
  <c r="U31" i="56" a="1"/>
  <c r="T29" i="56" a="1"/>
  <c r="R26" i="56" a="1"/>
  <c r="Q24" i="56" a="1"/>
  <c r="U32" i="56" a="1"/>
  <c r="T30" i="56" a="1"/>
  <c r="R27" i="56" a="1"/>
  <c r="Q25" i="56" a="1"/>
  <c r="U20" i="56" a="1"/>
  <c r="Q12" i="56" a="1"/>
  <c r="R3" i="56" a="1"/>
  <c r="R2" i="56" a="1"/>
  <c r="U19" i="56" a="1"/>
  <c r="T5" i="56" a="1"/>
  <c r="R14" i="56" a="1"/>
  <c r="T17" i="56" a="1"/>
  <c r="Q13" i="56" a="1"/>
  <c r="T6" i="56" a="1"/>
  <c r="T18" i="56" a="1"/>
  <c r="R15" i="56" a="1"/>
  <c r="U8" i="56" a="1"/>
  <c r="U7" i="56" a="1"/>
  <c r="Q13" i="54" a="1"/>
  <c r="R15" i="54" a="1"/>
  <c r="T18" i="54" a="1"/>
  <c r="U20" i="54" a="1"/>
  <c r="Q25" i="54" a="1"/>
  <c r="R27" i="54" a="1"/>
  <c r="Q12" i="54" a="1"/>
  <c r="R14" i="54" a="1"/>
  <c r="T17" i="54" a="1"/>
  <c r="U19" i="54" a="1"/>
  <c r="Q24" i="54" a="1"/>
  <c r="R26" i="54" a="1"/>
  <c r="T29" i="54" a="1"/>
  <c r="U31" i="54" a="1"/>
  <c r="Q29" i="54" a="1"/>
  <c r="R13" i="54" a="1"/>
  <c r="T16" i="54" a="1"/>
  <c r="U18" i="54" a="1"/>
  <c r="Q23" i="54" a="1"/>
  <c r="R25" i="54" a="1"/>
  <c r="T28" i="54" a="1"/>
  <c r="U30" i="54" a="1"/>
  <c r="Q35" i="54" a="1"/>
  <c r="T15" i="54" a="1"/>
  <c r="U17" i="54" a="1"/>
  <c r="R24" i="54" a="1"/>
  <c r="R12" i="54" a="1"/>
  <c r="Q22" i="54" a="1"/>
  <c r="T27" i="54" a="1"/>
  <c r="U29" i="54" a="1"/>
  <c r="Q34" i="54" a="1"/>
  <c r="R35" i="54" a="1"/>
  <c r="U27" i="54" a="1"/>
  <c r="Q32" i="54" a="1"/>
  <c r="R34" i="54" a="1"/>
  <c r="U35" i="54" a="1"/>
  <c r="U33" i="54" a="1"/>
  <c r="T14" i="54" a="1"/>
  <c r="U16" i="54" a="1"/>
  <c r="Q21" i="54" a="1"/>
  <c r="R23" i="54" a="1"/>
  <c r="T26" i="54" a="1"/>
  <c r="U28" i="54" a="1"/>
  <c r="Q33" i="54" a="1"/>
  <c r="T13" i="54" a="1"/>
  <c r="U15" i="54" a="1"/>
  <c r="Q20" i="54" a="1"/>
  <c r="R22" i="54" a="1"/>
  <c r="T25" i="54" a="1"/>
  <c r="T34" i="54" a="1"/>
  <c r="T12" i="54" a="1"/>
  <c r="U14" i="54" a="1"/>
  <c r="Q19" i="54" a="1"/>
  <c r="R21" i="54" a="1"/>
  <c r="T24" i="54" a="1"/>
  <c r="U26" i="54" a="1"/>
  <c r="Q31" i="54" a="1"/>
  <c r="R33" i="54" a="1"/>
  <c r="U13" i="54" a="1"/>
  <c r="Q18" i="54" a="1"/>
  <c r="T22" i="54" a="1"/>
  <c r="U24" i="54" a="1"/>
  <c r="R31" i="54" a="1"/>
  <c r="R20" i="54" a="1"/>
  <c r="T23" i="54" a="1"/>
  <c r="U25" i="54" a="1"/>
  <c r="Q30" i="54" a="1"/>
  <c r="R32" i="54" a="1"/>
  <c r="T35" i="54" a="1"/>
  <c r="R19" i="54" a="1"/>
  <c r="U12" i="54" a="1"/>
  <c r="Q17" i="54" a="1"/>
  <c r="T30" i="54" a="1"/>
  <c r="Q16" i="54" a="1"/>
  <c r="R18" i="54" a="1"/>
  <c r="T21" i="54" a="1"/>
  <c r="U23" i="54" a="1"/>
  <c r="Q28" i="54" a="1"/>
  <c r="R30" i="54" a="1"/>
  <c r="T33" i="54" a="1"/>
  <c r="T31" i="54" a="1"/>
  <c r="Q15" i="54" a="1"/>
  <c r="R17" i="54" a="1"/>
  <c r="T20" i="54" a="1"/>
  <c r="U22" i="54" a="1"/>
  <c r="Q27" i="54" a="1"/>
  <c r="R29" i="54" a="1"/>
  <c r="T32" i="54" a="1"/>
  <c r="U34" i="54" a="1"/>
  <c r="Q14" i="54" a="1"/>
  <c r="R16" i="54" a="1"/>
  <c r="T19" i="54" a="1"/>
  <c r="U21" i="54" a="1"/>
  <c r="Q26" i="54" a="1"/>
  <c r="R28" i="54" a="1"/>
  <c r="U32" i="54" a="1"/>
  <c r="U9" i="54" a="1"/>
  <c r="T7" i="54" a="1"/>
  <c r="R4" i="54" a="1"/>
  <c r="Q2" i="54" a="1"/>
  <c r="T9" i="54" a="1"/>
  <c r="R6" i="54" a="1"/>
  <c r="Q4" i="54" a="1"/>
  <c r="U10" i="54" a="1"/>
  <c r="T8" i="54" a="1"/>
  <c r="R5" i="54" a="1"/>
  <c r="Q3" i="54" a="1"/>
  <c r="U11" i="54" a="1"/>
  <c r="U2" i="54" a="1"/>
  <c r="R10" i="54" a="1"/>
  <c r="Q8" i="54" a="1"/>
  <c r="T11" i="54" a="1"/>
  <c r="R8" i="54" a="1"/>
  <c r="Q6" i="54" a="1"/>
  <c r="R9" i="54" a="1"/>
  <c r="Q7" i="54" a="1"/>
  <c r="U3" i="54" a="1"/>
  <c r="U4" i="54" a="1"/>
  <c r="T2" i="54" a="1"/>
  <c r="U5" i="54" a="1"/>
  <c r="T3" i="54" a="1"/>
  <c r="U6" i="54" a="1"/>
  <c r="T4" i="54" a="1"/>
  <c r="U7" i="54" a="1"/>
  <c r="T5" i="54" a="1"/>
  <c r="R2" i="54" a="1"/>
  <c r="R11" i="54" a="1"/>
  <c r="Q9" i="54" a="1"/>
  <c r="Q10" i="54" a="1"/>
  <c r="Q11" i="54" a="1"/>
  <c r="U8" i="54" a="1"/>
  <c r="T6" i="54" a="1"/>
  <c r="R3" i="54" a="1"/>
  <c r="T10" i="54" a="1"/>
  <c r="R7" i="54" a="1"/>
  <c r="Q5" i="54" a="1"/>
  <c r="T32" i="61" l="1"/>
  <c r="U34" i="61"/>
  <c r="Q39" i="61"/>
  <c r="S39" i="61" s="1"/>
  <c r="R41" i="61"/>
  <c r="T44" i="61"/>
  <c r="U46" i="61"/>
  <c r="Q27" i="61"/>
  <c r="S27" i="61" s="1"/>
  <c r="V27" i="61" s="1"/>
  <c r="Q2" i="61"/>
  <c r="R4" i="61"/>
  <c r="T7" i="61"/>
  <c r="U9" i="61"/>
  <c r="Q14" i="61"/>
  <c r="S14" i="61" s="1"/>
  <c r="V14" i="61" s="1"/>
  <c r="R16" i="61"/>
  <c r="T19" i="61"/>
  <c r="U21" i="61"/>
  <c r="Q26" i="61"/>
  <c r="R28" i="61"/>
  <c r="T31" i="61"/>
  <c r="U33" i="61"/>
  <c r="Q38" i="61"/>
  <c r="R40" i="61"/>
  <c r="T43" i="61"/>
  <c r="U45" i="61"/>
  <c r="R29" i="61"/>
  <c r="R3" i="61"/>
  <c r="T6" i="61"/>
  <c r="U8" i="61"/>
  <c r="Q13" i="61"/>
  <c r="S13" i="61" s="1"/>
  <c r="R15" i="61"/>
  <c r="T18" i="61"/>
  <c r="U20" i="61"/>
  <c r="Q25" i="61"/>
  <c r="R27" i="61"/>
  <c r="T30" i="61"/>
  <c r="U32" i="61"/>
  <c r="Q37" i="61"/>
  <c r="S37" i="61" s="1"/>
  <c r="V37" i="61" s="1"/>
  <c r="R39" i="61"/>
  <c r="T42" i="61"/>
  <c r="U44" i="61"/>
  <c r="Q49" i="61"/>
  <c r="S49" i="61" s="1"/>
  <c r="V49" i="61" s="1"/>
  <c r="U31" i="61"/>
  <c r="Q36" i="61"/>
  <c r="S36" i="61" s="1"/>
  <c r="R38" i="61"/>
  <c r="T41" i="61"/>
  <c r="U43" i="61"/>
  <c r="Q48" i="61"/>
  <c r="T4" i="61"/>
  <c r="U6" i="61"/>
  <c r="Q11" i="61"/>
  <c r="R13" i="61"/>
  <c r="U18" i="61"/>
  <c r="Q23" i="61"/>
  <c r="T28" i="61"/>
  <c r="U30" i="61"/>
  <c r="Q35" i="61"/>
  <c r="R37" i="61"/>
  <c r="T40" i="61"/>
  <c r="U42" i="61"/>
  <c r="Q47" i="61"/>
  <c r="S47" i="61" s="1"/>
  <c r="R5" i="61"/>
  <c r="T17" i="61"/>
  <c r="U19" i="61"/>
  <c r="Q24" i="61"/>
  <c r="R26" i="61"/>
  <c r="T29" i="61"/>
  <c r="T16" i="61"/>
  <c r="R25" i="61"/>
  <c r="R49" i="61"/>
  <c r="T3" i="61"/>
  <c r="U5" i="61"/>
  <c r="Q10" i="61"/>
  <c r="S10" i="61" s="1"/>
  <c r="V10" i="61" s="1"/>
  <c r="R12" i="61"/>
  <c r="T15" i="61"/>
  <c r="U17" i="61"/>
  <c r="Q22" i="61"/>
  <c r="S22" i="61" s="1"/>
  <c r="R24" i="61"/>
  <c r="T27" i="61"/>
  <c r="U29" i="61"/>
  <c r="Q34" i="61"/>
  <c r="R36" i="61"/>
  <c r="T39" i="61"/>
  <c r="U41" i="61"/>
  <c r="Q46" i="61"/>
  <c r="S46" i="61" s="1"/>
  <c r="V46" i="61" s="1"/>
  <c r="R48" i="61"/>
  <c r="U40" i="61"/>
  <c r="Q45" i="61"/>
  <c r="R47" i="61"/>
  <c r="R2" i="61"/>
  <c r="R11" i="61"/>
  <c r="T26" i="61"/>
  <c r="U3" i="61"/>
  <c r="Q8" i="61"/>
  <c r="R10" i="61"/>
  <c r="T13" i="61"/>
  <c r="U15" i="61"/>
  <c r="Q20" i="61"/>
  <c r="S20" i="61" s="1"/>
  <c r="V20" i="61" s="1"/>
  <c r="R22" i="61"/>
  <c r="T25" i="61"/>
  <c r="T49" i="61"/>
  <c r="Q3" i="61"/>
  <c r="S3" i="61" s="1"/>
  <c r="U10" i="61"/>
  <c r="Q15" i="61"/>
  <c r="S15" i="61" s="1"/>
  <c r="R17" i="61"/>
  <c r="U7" i="61"/>
  <c r="T2" i="61"/>
  <c r="U27" i="61"/>
  <c r="Q32" i="61"/>
  <c r="S32" i="61" s="1"/>
  <c r="V32" i="61" s="1"/>
  <c r="R34" i="61"/>
  <c r="U39" i="61"/>
  <c r="U2" i="61"/>
  <c r="Q7" i="61"/>
  <c r="S7" i="61" s="1"/>
  <c r="R9" i="61"/>
  <c r="T12" i="61"/>
  <c r="U14" i="61"/>
  <c r="Q19" i="61"/>
  <c r="S19" i="61" s="1"/>
  <c r="V19" i="61" s="1"/>
  <c r="R21" i="61"/>
  <c r="T24" i="61"/>
  <c r="U26" i="61"/>
  <c r="Q31" i="61"/>
  <c r="S31" i="61" s="1"/>
  <c r="V31" i="61" s="1"/>
  <c r="R33" i="61"/>
  <c r="T36" i="61"/>
  <c r="U38" i="61"/>
  <c r="Q43" i="61"/>
  <c r="R45" i="61"/>
  <c r="T48" i="61"/>
  <c r="U22" i="61"/>
  <c r="Q12" i="61"/>
  <c r="U4" i="61"/>
  <c r="T14" i="61"/>
  <c r="U16" i="61"/>
  <c r="R23" i="61"/>
  <c r="U28" i="61"/>
  <c r="Q33" i="61"/>
  <c r="T37" i="61"/>
  <c r="Q44" i="61"/>
  <c r="R46" i="61"/>
  <c r="Q6" i="61"/>
  <c r="R8" i="61"/>
  <c r="T11" i="61"/>
  <c r="U13" i="61"/>
  <c r="Q18" i="61"/>
  <c r="S18" i="61" s="1"/>
  <c r="R20" i="61"/>
  <c r="T23" i="61"/>
  <c r="U25" i="61"/>
  <c r="Q30" i="61"/>
  <c r="R32" i="61"/>
  <c r="T35" i="61"/>
  <c r="U37" i="61"/>
  <c r="Q42" i="61"/>
  <c r="R44" i="61"/>
  <c r="T47" i="61"/>
  <c r="U49" i="61"/>
  <c r="T8" i="61"/>
  <c r="T5" i="61"/>
  <c r="Q21" i="61"/>
  <c r="S21" i="61" s="1"/>
  <c r="V21" i="61" s="1"/>
  <c r="R35" i="61"/>
  <c r="Q5" i="61"/>
  <c r="R7" i="61"/>
  <c r="T10" i="61"/>
  <c r="R19" i="61"/>
  <c r="T22" i="61"/>
  <c r="U24" i="61"/>
  <c r="Q29" i="61"/>
  <c r="R31" i="61"/>
  <c r="T34" i="61"/>
  <c r="U36" i="61"/>
  <c r="Q41" i="61"/>
  <c r="S41" i="61" s="1"/>
  <c r="V41" i="61" s="1"/>
  <c r="R43" i="61"/>
  <c r="T46" i="61"/>
  <c r="U48" i="61"/>
  <c r="T20" i="61"/>
  <c r="R14" i="61"/>
  <c r="Q9" i="61"/>
  <c r="S9" i="61" s="1"/>
  <c r="T38" i="61"/>
  <c r="U12" i="61"/>
  <c r="Q17" i="61"/>
  <c r="Q4" i="61"/>
  <c r="S4" i="61" s="1"/>
  <c r="R6" i="61"/>
  <c r="T9" i="61"/>
  <c r="U11" i="61"/>
  <c r="Q16" i="61"/>
  <c r="S16" i="61" s="1"/>
  <c r="R18" i="61"/>
  <c r="T21" i="61"/>
  <c r="U23" i="61"/>
  <c r="Q28" i="61"/>
  <c r="S28" i="61" s="1"/>
  <c r="R30" i="61"/>
  <c r="T33" i="61"/>
  <c r="U35" i="61"/>
  <c r="Q40" i="61"/>
  <c r="S40" i="61" s="1"/>
  <c r="V40" i="61" s="1"/>
  <c r="R42" i="61"/>
  <c r="T45" i="61"/>
  <c r="U47" i="61"/>
  <c r="R41" i="60"/>
  <c r="R42" i="60"/>
  <c r="T46" i="60"/>
  <c r="T47" i="60"/>
  <c r="U47" i="60"/>
  <c r="Q41" i="60"/>
  <c r="S41" i="60" s="1"/>
  <c r="V41" i="60" s="1"/>
  <c r="R44" i="60"/>
  <c r="R45" i="60"/>
  <c r="Q43" i="60"/>
  <c r="U38" i="60"/>
  <c r="T45" i="60"/>
  <c r="R43" i="60"/>
  <c r="U37" i="60"/>
  <c r="U39" i="60"/>
  <c r="T37" i="60"/>
  <c r="Q39" i="60"/>
  <c r="Q46" i="60"/>
  <c r="R49" i="60"/>
  <c r="Q47" i="60"/>
  <c r="U42" i="60"/>
  <c r="T40" i="60"/>
  <c r="R37" i="60"/>
  <c r="T39" i="60"/>
  <c r="Q48" i="60"/>
  <c r="S48" i="60" s="1"/>
  <c r="V48" i="60" s="1"/>
  <c r="U43" i="60"/>
  <c r="T41" i="60"/>
  <c r="R38" i="60"/>
  <c r="R47" i="60"/>
  <c r="U40" i="60"/>
  <c r="T38" i="60"/>
  <c r="U41" i="60"/>
  <c r="Q49" i="60"/>
  <c r="S49" i="60" s="1"/>
  <c r="V49" i="60" s="1"/>
  <c r="U44" i="60"/>
  <c r="T42" i="60"/>
  <c r="R39" i="60"/>
  <c r="Q37" i="60"/>
  <c r="S37" i="60" s="1"/>
  <c r="V37" i="60" s="1"/>
  <c r="U46" i="60"/>
  <c r="T44" i="60"/>
  <c r="Q40" i="60"/>
  <c r="U48" i="60"/>
  <c r="U49" i="60"/>
  <c r="Q42" i="60"/>
  <c r="S42" i="60" s="1"/>
  <c r="T48" i="60"/>
  <c r="T49" i="60"/>
  <c r="R46" i="60"/>
  <c r="Q44" i="60"/>
  <c r="S44" i="60" s="1"/>
  <c r="V44" i="60" s="1"/>
  <c r="Q45" i="60"/>
  <c r="S45" i="60" s="1"/>
  <c r="V45" i="60" s="1"/>
  <c r="R48" i="60"/>
  <c r="U45" i="60"/>
  <c r="T43" i="60"/>
  <c r="R40" i="60"/>
  <c r="Q38" i="60"/>
  <c r="S38" i="60" s="1"/>
  <c r="U11" i="60"/>
  <c r="R4" i="60"/>
  <c r="T19" i="60"/>
  <c r="R28" i="60"/>
  <c r="Q16" i="60"/>
  <c r="T7" i="60"/>
  <c r="Q14" i="60"/>
  <c r="S14" i="60" s="1"/>
  <c r="V14" i="60" s="1"/>
  <c r="T31" i="60"/>
  <c r="R3" i="60"/>
  <c r="T6" i="60"/>
  <c r="U8" i="60"/>
  <c r="Q13" i="60"/>
  <c r="R15" i="60"/>
  <c r="T18" i="60"/>
  <c r="U20" i="60"/>
  <c r="Q25" i="60"/>
  <c r="R27" i="60"/>
  <c r="T30" i="60"/>
  <c r="U32" i="60"/>
  <c r="U3" i="60"/>
  <c r="R10" i="60"/>
  <c r="U15" i="60"/>
  <c r="R22" i="60"/>
  <c r="Q32" i="60"/>
  <c r="U2" i="60"/>
  <c r="Q19" i="60"/>
  <c r="T24" i="60"/>
  <c r="Q4" i="60"/>
  <c r="S4" i="60" s="1"/>
  <c r="R6" i="60"/>
  <c r="T9" i="60"/>
  <c r="Q3" i="60"/>
  <c r="Q2" i="60"/>
  <c r="S2" i="60" s="1"/>
  <c r="U9" i="60"/>
  <c r="R16" i="60"/>
  <c r="U21" i="60"/>
  <c r="Q26" i="60"/>
  <c r="U33" i="60"/>
  <c r="R2" i="60"/>
  <c r="T5" i="60"/>
  <c r="U7" i="60"/>
  <c r="Q12" i="60"/>
  <c r="R14" i="60"/>
  <c r="T17" i="60"/>
  <c r="U19" i="60"/>
  <c r="Q24" i="60"/>
  <c r="S24" i="60" s="1"/>
  <c r="V24" i="60" s="1"/>
  <c r="R26" i="60"/>
  <c r="T29" i="60"/>
  <c r="U31" i="60"/>
  <c r="Q36" i="60"/>
  <c r="T28" i="60"/>
  <c r="U30" i="60"/>
  <c r="Q35" i="60"/>
  <c r="R25" i="60"/>
  <c r="T3" i="60"/>
  <c r="U5" i="60"/>
  <c r="Q10" i="60"/>
  <c r="R12" i="60"/>
  <c r="T15" i="60"/>
  <c r="U17" i="60"/>
  <c r="Q22" i="60"/>
  <c r="R24" i="60"/>
  <c r="T27" i="60"/>
  <c r="U29" i="60"/>
  <c r="Q34" i="60"/>
  <c r="S34" i="60" s="1"/>
  <c r="R36" i="60"/>
  <c r="U6" i="60"/>
  <c r="R13" i="60"/>
  <c r="T16" i="60"/>
  <c r="U18" i="60"/>
  <c r="Q23" i="60"/>
  <c r="S23" i="60" s="1"/>
  <c r="V23" i="60" s="1"/>
  <c r="T2" i="60"/>
  <c r="U4" i="60"/>
  <c r="Q9" i="60"/>
  <c r="R11" i="60"/>
  <c r="T14" i="60"/>
  <c r="U16" i="60"/>
  <c r="Q21" i="60"/>
  <c r="S21" i="60" s="1"/>
  <c r="R23" i="60"/>
  <c r="T26" i="60"/>
  <c r="U28" i="60"/>
  <c r="Q33" i="60"/>
  <c r="S33" i="60" s="1"/>
  <c r="V33" i="60" s="1"/>
  <c r="R35" i="60"/>
  <c r="T4" i="60"/>
  <c r="Q20" i="60"/>
  <c r="S20" i="60" s="1"/>
  <c r="V20" i="60" s="1"/>
  <c r="T25" i="60"/>
  <c r="Q7" i="60"/>
  <c r="T12" i="60"/>
  <c r="R21" i="60"/>
  <c r="U26" i="60"/>
  <c r="Q31" i="60"/>
  <c r="S31" i="60" s="1"/>
  <c r="R33" i="60"/>
  <c r="T36" i="60"/>
  <c r="Q6" i="60"/>
  <c r="S6" i="60" s="1"/>
  <c r="R8" i="60"/>
  <c r="T11" i="60"/>
  <c r="U13" i="60"/>
  <c r="Q18" i="60"/>
  <c r="R20" i="60"/>
  <c r="T23" i="60"/>
  <c r="U25" i="60"/>
  <c r="Q30" i="60"/>
  <c r="R32" i="60"/>
  <c r="T35" i="60"/>
  <c r="Q5" i="60"/>
  <c r="R7" i="60"/>
  <c r="T10" i="60"/>
  <c r="U12" i="60"/>
  <c r="Q17" i="60"/>
  <c r="S17" i="60" s="1"/>
  <c r="R19" i="60"/>
  <c r="T22" i="60"/>
  <c r="U24" i="60"/>
  <c r="Q29" i="60"/>
  <c r="R31" i="60"/>
  <c r="T34" i="60"/>
  <c r="U36" i="60"/>
  <c r="Q11" i="60"/>
  <c r="S11" i="60" s="1"/>
  <c r="Q8" i="60"/>
  <c r="T13" i="60"/>
  <c r="U27" i="60"/>
  <c r="R34" i="60"/>
  <c r="R9" i="60"/>
  <c r="U14" i="60"/>
  <c r="R18" i="60"/>
  <c r="T21" i="60"/>
  <c r="U23" i="60"/>
  <c r="Q28" i="60"/>
  <c r="S28" i="60" s="1"/>
  <c r="R30" i="60"/>
  <c r="T33" i="60"/>
  <c r="U35" i="60"/>
  <c r="R5" i="60"/>
  <c r="T8" i="60"/>
  <c r="U10" i="60"/>
  <c r="Q15" i="60"/>
  <c r="S15" i="60" s="1"/>
  <c r="R17" i="60"/>
  <c r="T20" i="60"/>
  <c r="U22" i="60"/>
  <c r="Q27" i="60"/>
  <c r="S27" i="60" s="1"/>
  <c r="R29" i="60"/>
  <c r="T32" i="60"/>
  <c r="U34" i="60"/>
  <c r="U34" i="59"/>
  <c r="U33" i="59"/>
  <c r="U35" i="59"/>
  <c r="T33" i="59"/>
  <c r="T34" i="59"/>
  <c r="T35" i="59"/>
  <c r="T36" i="59"/>
  <c r="R33" i="59"/>
  <c r="R34" i="59"/>
  <c r="U36" i="59"/>
  <c r="R35" i="59"/>
  <c r="Q33" i="59"/>
  <c r="S33" i="59" s="1"/>
  <c r="V33" i="59" s="1"/>
  <c r="Q35" i="59"/>
  <c r="Q36" i="59"/>
  <c r="R36" i="59"/>
  <c r="Q34" i="59"/>
  <c r="R7" i="59"/>
  <c r="R12" i="59"/>
  <c r="T15" i="59"/>
  <c r="U17" i="59"/>
  <c r="Q22" i="59"/>
  <c r="S22" i="59" s="1"/>
  <c r="R24" i="59"/>
  <c r="T27" i="59"/>
  <c r="U29" i="59"/>
  <c r="U27" i="59"/>
  <c r="U12" i="59"/>
  <c r="Q17" i="59"/>
  <c r="T8" i="59"/>
  <c r="Q27" i="59"/>
  <c r="T3" i="59"/>
  <c r="U5" i="59"/>
  <c r="Q10" i="59"/>
  <c r="S10" i="59" s="1"/>
  <c r="T2" i="59"/>
  <c r="U4" i="59"/>
  <c r="Q9" i="59"/>
  <c r="R11" i="59"/>
  <c r="T14" i="59"/>
  <c r="U16" i="59"/>
  <c r="Q21" i="59"/>
  <c r="S21" i="59" s="1"/>
  <c r="V21" i="59" s="1"/>
  <c r="R23" i="59"/>
  <c r="T26" i="59"/>
  <c r="U28" i="59"/>
  <c r="Q20" i="59"/>
  <c r="Q32" i="59"/>
  <c r="S32" i="59" s="1"/>
  <c r="U3" i="59"/>
  <c r="Q8" i="59"/>
  <c r="S8" i="59" s="1"/>
  <c r="R10" i="59"/>
  <c r="T12" i="59"/>
  <c r="U14" i="59"/>
  <c r="Q19" i="59"/>
  <c r="R21" i="59"/>
  <c r="T24" i="59"/>
  <c r="U26" i="59"/>
  <c r="Q31" i="59"/>
  <c r="Q30" i="59"/>
  <c r="R32" i="59"/>
  <c r="Q6" i="59"/>
  <c r="U13" i="59"/>
  <c r="R20" i="59"/>
  <c r="T23" i="59"/>
  <c r="Q5" i="59"/>
  <c r="S5" i="59" s="1"/>
  <c r="V5" i="59" s="1"/>
  <c r="T10" i="59"/>
  <c r="R19" i="59"/>
  <c r="T22" i="59"/>
  <c r="U24" i="59"/>
  <c r="Q29" i="59"/>
  <c r="R31" i="59"/>
  <c r="Q4" i="59"/>
  <c r="S4" i="59" s="1"/>
  <c r="R30" i="59"/>
  <c r="R9" i="59"/>
  <c r="T11" i="59"/>
  <c r="T32" i="59"/>
  <c r="U15" i="59"/>
  <c r="U2" i="59"/>
  <c r="Q7" i="59"/>
  <c r="S7" i="59" s="1"/>
  <c r="V7" i="59" s="1"/>
  <c r="R6" i="59"/>
  <c r="T21" i="59"/>
  <c r="U11" i="59"/>
  <c r="Q16" i="59"/>
  <c r="R18" i="59"/>
  <c r="Q14" i="59"/>
  <c r="T19" i="59"/>
  <c r="R28" i="59"/>
  <c r="R3" i="59"/>
  <c r="T6" i="59"/>
  <c r="U8" i="59"/>
  <c r="Q13" i="59"/>
  <c r="S13" i="59" s="1"/>
  <c r="V13" i="59" s="1"/>
  <c r="R15" i="59"/>
  <c r="T18" i="59"/>
  <c r="U20" i="59"/>
  <c r="Q25" i="59"/>
  <c r="S25" i="59" s="1"/>
  <c r="R27" i="59"/>
  <c r="T30" i="59"/>
  <c r="U32" i="59"/>
  <c r="Q28" i="59"/>
  <c r="S28" i="59" s="1"/>
  <c r="V28" i="59" s="1"/>
  <c r="R5" i="59"/>
  <c r="Q15" i="59"/>
  <c r="T20" i="59"/>
  <c r="R29" i="59"/>
  <c r="Q2" i="59"/>
  <c r="S2" i="59" s="1"/>
  <c r="V2" i="59" s="1"/>
  <c r="T31" i="59"/>
  <c r="R2" i="59"/>
  <c r="T5" i="59"/>
  <c r="U7" i="59"/>
  <c r="Q12" i="59"/>
  <c r="S12" i="59" s="1"/>
  <c r="R14" i="59"/>
  <c r="T17" i="59"/>
  <c r="U19" i="59"/>
  <c r="Q24" i="59"/>
  <c r="S24" i="59" s="1"/>
  <c r="R26" i="59"/>
  <c r="T29" i="59"/>
  <c r="U31" i="59"/>
  <c r="T13" i="59"/>
  <c r="R22" i="59"/>
  <c r="T25" i="59"/>
  <c r="R8" i="59"/>
  <c r="Q18" i="59"/>
  <c r="S18" i="59" s="1"/>
  <c r="U25" i="59"/>
  <c r="T9" i="59"/>
  <c r="U23" i="59"/>
  <c r="Q3" i="59"/>
  <c r="S3" i="59" s="1"/>
  <c r="V3" i="59" s="1"/>
  <c r="U10" i="59"/>
  <c r="R17" i="59"/>
  <c r="U22" i="59"/>
  <c r="R4" i="59"/>
  <c r="T7" i="59"/>
  <c r="U9" i="59"/>
  <c r="R16" i="59"/>
  <c r="U21" i="59"/>
  <c r="Q26" i="59"/>
  <c r="T4" i="59"/>
  <c r="U6" i="59"/>
  <c r="Q11" i="59"/>
  <c r="S11" i="59" s="1"/>
  <c r="V11" i="59" s="1"/>
  <c r="R13" i="59"/>
  <c r="T16" i="59"/>
  <c r="U18" i="59"/>
  <c r="Q23" i="59"/>
  <c r="R25" i="59"/>
  <c r="T28" i="59"/>
  <c r="U30" i="59"/>
  <c r="T3" i="58"/>
  <c r="Q10" i="58"/>
  <c r="R12" i="58"/>
  <c r="U17" i="58"/>
  <c r="Q22" i="58"/>
  <c r="S22" i="58" s="1"/>
  <c r="V22" i="58" s="1"/>
  <c r="R24" i="58"/>
  <c r="Q7" i="58"/>
  <c r="T12" i="58"/>
  <c r="Q19" i="58"/>
  <c r="S19" i="58" s="1"/>
  <c r="V19" i="58" s="1"/>
  <c r="Q5" i="58"/>
  <c r="R7" i="58"/>
  <c r="T10" i="58"/>
  <c r="U12" i="58"/>
  <c r="Q17" i="58"/>
  <c r="R19" i="58"/>
  <c r="T22" i="58"/>
  <c r="U24" i="58"/>
  <c r="Q29" i="58"/>
  <c r="R31" i="58"/>
  <c r="Q28" i="58"/>
  <c r="R30" i="58"/>
  <c r="Q12" i="58"/>
  <c r="R6" i="58"/>
  <c r="T9" i="58"/>
  <c r="U11" i="58"/>
  <c r="Q16" i="58"/>
  <c r="R18" i="58"/>
  <c r="T21" i="58"/>
  <c r="U23" i="58"/>
  <c r="Q3" i="58"/>
  <c r="S3" i="58" s="1"/>
  <c r="V3" i="58" s="1"/>
  <c r="R5" i="58"/>
  <c r="T8" i="58"/>
  <c r="U10" i="58"/>
  <c r="Q15" i="58"/>
  <c r="R17" i="58"/>
  <c r="T20" i="58"/>
  <c r="U22" i="58"/>
  <c r="Q27" i="58"/>
  <c r="R29" i="58"/>
  <c r="T32" i="58"/>
  <c r="Q2" i="58"/>
  <c r="R4" i="58"/>
  <c r="T7" i="58"/>
  <c r="U9" i="58"/>
  <c r="Q14" i="58"/>
  <c r="T19" i="58"/>
  <c r="U21" i="58"/>
  <c r="Q4" i="58"/>
  <c r="S4" i="58" s="1"/>
  <c r="R16" i="58"/>
  <c r="Q26" i="58"/>
  <c r="S26" i="58" s="1"/>
  <c r="R28" i="58"/>
  <c r="T31" i="58"/>
  <c r="R3" i="58"/>
  <c r="T6" i="58"/>
  <c r="U8" i="58"/>
  <c r="Q13" i="58"/>
  <c r="R15" i="58"/>
  <c r="T18" i="58"/>
  <c r="U20" i="58"/>
  <c r="Q25" i="58"/>
  <c r="R27" i="58"/>
  <c r="T30" i="58"/>
  <c r="U32" i="58"/>
  <c r="U31" i="58"/>
  <c r="T17" i="58"/>
  <c r="R26" i="58"/>
  <c r="U6" i="58"/>
  <c r="U18" i="58"/>
  <c r="Q23" i="58"/>
  <c r="S23" i="58" s="1"/>
  <c r="R25" i="58"/>
  <c r="T28" i="58"/>
  <c r="R2" i="58"/>
  <c r="T5" i="58"/>
  <c r="Q24" i="58"/>
  <c r="T4" i="58"/>
  <c r="R13" i="58"/>
  <c r="R14" i="58"/>
  <c r="U19" i="58"/>
  <c r="Q11" i="58"/>
  <c r="T16" i="58"/>
  <c r="U30" i="58"/>
  <c r="U5" i="58"/>
  <c r="T15" i="58"/>
  <c r="T27" i="58"/>
  <c r="U29" i="58"/>
  <c r="T2" i="58"/>
  <c r="U4" i="58"/>
  <c r="Q9" i="58"/>
  <c r="S9" i="58" s="1"/>
  <c r="V9" i="58" s="1"/>
  <c r="R11" i="58"/>
  <c r="T14" i="58"/>
  <c r="U16" i="58"/>
  <c r="Q21" i="58"/>
  <c r="R23" i="58"/>
  <c r="T26" i="58"/>
  <c r="U28" i="58"/>
  <c r="U7" i="58"/>
  <c r="Q8" i="58"/>
  <c r="R10" i="58"/>
  <c r="T13" i="58"/>
  <c r="U15" i="58"/>
  <c r="Q20" i="58"/>
  <c r="S20" i="58" s="1"/>
  <c r="R22" i="58"/>
  <c r="T25" i="58"/>
  <c r="U27" i="58"/>
  <c r="Q32" i="58"/>
  <c r="T29" i="58"/>
  <c r="R21" i="58"/>
  <c r="T24" i="58"/>
  <c r="U26" i="58"/>
  <c r="Q31" i="58"/>
  <c r="U3" i="58"/>
  <c r="U2" i="58"/>
  <c r="R9" i="58"/>
  <c r="U14" i="58"/>
  <c r="Q6" i="58"/>
  <c r="S6" i="58" s="1"/>
  <c r="V6" i="58" s="1"/>
  <c r="R8" i="58"/>
  <c r="T11" i="58"/>
  <c r="U13" i="58"/>
  <c r="Q18" i="58"/>
  <c r="R20" i="58"/>
  <c r="T23" i="58"/>
  <c r="U25" i="58"/>
  <c r="Q30" i="58"/>
  <c r="R32" i="58"/>
  <c r="U20" i="57"/>
  <c r="T25" i="57"/>
  <c r="U13" i="57"/>
  <c r="Q32" i="57"/>
  <c r="T9" i="57"/>
  <c r="Q3" i="57"/>
  <c r="Q6" i="57"/>
  <c r="U8" i="57"/>
  <c r="T11" i="57"/>
  <c r="R14" i="57"/>
  <c r="R17" i="57"/>
  <c r="R20" i="57"/>
  <c r="U24" i="57"/>
  <c r="R31" i="57"/>
  <c r="R2" i="57"/>
  <c r="U10" i="57"/>
  <c r="Q15" i="57"/>
  <c r="S15" i="57" s="1"/>
  <c r="T19" i="57"/>
  <c r="T7" i="57"/>
  <c r="R10" i="57"/>
  <c r="U21" i="57"/>
  <c r="Q28" i="57"/>
  <c r="U32" i="57"/>
  <c r="U11" i="57"/>
  <c r="T34" i="57"/>
  <c r="R3" i="57"/>
  <c r="R6" i="57"/>
  <c r="Q13" i="57"/>
  <c r="U14" i="57"/>
  <c r="Q16" i="57"/>
  <c r="Q19" i="57"/>
  <c r="U26" i="57"/>
  <c r="U7" i="57"/>
  <c r="T17" i="57"/>
  <c r="T20" i="57"/>
  <c r="T23" i="57"/>
  <c r="R28" i="57"/>
  <c r="Q30" i="57"/>
  <c r="T36" i="57"/>
  <c r="Q38" i="57"/>
  <c r="T31" i="57"/>
  <c r="Q2" i="57"/>
  <c r="U3" i="57"/>
  <c r="Q5" i="57"/>
  <c r="R9" i="57"/>
  <c r="T10" i="57"/>
  <c r="T13" i="57"/>
  <c r="R16" i="57"/>
  <c r="R19" i="57"/>
  <c r="R22" i="57"/>
  <c r="Q25" i="57"/>
  <c r="S25" i="57" s="1"/>
  <c r="V25" i="57" s="1"/>
  <c r="R33" i="57"/>
  <c r="U34" i="57"/>
  <c r="T6" i="57"/>
  <c r="Q8" i="57"/>
  <c r="U23" i="57"/>
  <c r="R30" i="57"/>
  <c r="U36" i="57"/>
  <c r="U38" i="57"/>
  <c r="R5" i="57"/>
  <c r="Q12" i="57"/>
  <c r="Q18" i="57"/>
  <c r="Q27" i="57"/>
  <c r="R8" i="57"/>
  <c r="T22" i="57"/>
  <c r="U25" i="57"/>
  <c r="T33" i="57"/>
  <c r="U2" i="57"/>
  <c r="Q7" i="57"/>
  <c r="T12" i="57"/>
  <c r="R15" i="57"/>
  <c r="R18" i="57"/>
  <c r="R21" i="57"/>
  <c r="R27" i="57"/>
  <c r="T5" i="57"/>
  <c r="U9" i="57"/>
  <c r="U22" i="57"/>
  <c r="U27" i="57"/>
  <c r="U33" i="57"/>
  <c r="T35" i="57"/>
  <c r="Q37" i="57"/>
  <c r="Q39" i="57"/>
  <c r="Q4" i="57"/>
  <c r="U15" i="57"/>
  <c r="Q17" i="57"/>
  <c r="Q20" i="57"/>
  <c r="S20" i="57" s="1"/>
  <c r="T24" i="57"/>
  <c r="R29" i="57"/>
  <c r="Q31" i="57"/>
  <c r="S31" i="57" s="1"/>
  <c r="Q29" i="57"/>
  <c r="T30" i="57"/>
  <c r="R32" i="57"/>
  <c r="R4" i="57"/>
  <c r="R7" i="57"/>
  <c r="T8" i="57"/>
  <c r="U12" i="57"/>
  <c r="Q14" i="57"/>
  <c r="S14" i="57" s="1"/>
  <c r="T18" i="57"/>
  <c r="T21" i="57"/>
  <c r="Q26" i="57"/>
  <c r="S26" i="57" s="1"/>
  <c r="T32" i="57"/>
  <c r="U35" i="57"/>
  <c r="U37" i="57"/>
  <c r="R39" i="57"/>
  <c r="U19" i="57"/>
  <c r="Q24" i="57"/>
  <c r="R26" i="57"/>
  <c r="Q36" i="57"/>
  <c r="S36" i="57" s="1"/>
  <c r="V36" i="57" s="1"/>
  <c r="T4" i="57"/>
  <c r="R13" i="57"/>
  <c r="U18" i="57"/>
  <c r="Q23" i="57"/>
  <c r="S23" i="57" s="1"/>
  <c r="V23" i="57" s="1"/>
  <c r="T28" i="57"/>
  <c r="Q35" i="57"/>
  <c r="T3" i="57"/>
  <c r="R12" i="57"/>
  <c r="U29" i="57"/>
  <c r="Q34" i="57"/>
  <c r="S34" i="57" s="1"/>
  <c r="V34" i="57" s="1"/>
  <c r="R36" i="57"/>
  <c r="T29" i="57"/>
  <c r="U31" i="57"/>
  <c r="R38" i="57"/>
  <c r="U6" i="57"/>
  <c r="Q11" i="57"/>
  <c r="T16" i="57"/>
  <c r="R25" i="57"/>
  <c r="U30" i="57"/>
  <c r="R37" i="57"/>
  <c r="U5" i="57"/>
  <c r="Q10" i="57"/>
  <c r="S10" i="57" s="1"/>
  <c r="V10" i="57" s="1"/>
  <c r="T15" i="57"/>
  <c r="U17" i="57"/>
  <c r="Q22" i="57"/>
  <c r="S22" i="57" s="1"/>
  <c r="R24" i="57"/>
  <c r="T27" i="57"/>
  <c r="T39" i="57"/>
  <c r="T2" i="57"/>
  <c r="U4" i="57"/>
  <c r="Q9" i="57"/>
  <c r="S9" i="57" s="1"/>
  <c r="V9" i="57" s="1"/>
  <c r="R11" i="57"/>
  <c r="T14" i="57"/>
  <c r="U16" i="57"/>
  <c r="Q21" i="57"/>
  <c r="R23" i="57"/>
  <c r="T26" i="57"/>
  <c r="U28" i="57"/>
  <c r="Q33" i="57"/>
  <c r="S33" i="57" s="1"/>
  <c r="R35" i="57"/>
  <c r="T38" i="57"/>
  <c r="R34" i="57"/>
  <c r="T37" i="57"/>
  <c r="U39" i="57"/>
  <c r="U45" i="56"/>
  <c r="R40" i="56"/>
  <c r="T55" i="56"/>
  <c r="Q50" i="56"/>
  <c r="S50" i="56" s="1"/>
  <c r="Q38" i="56"/>
  <c r="T56" i="56"/>
  <c r="R41" i="56"/>
  <c r="R54" i="56"/>
  <c r="T45" i="56"/>
  <c r="Q53" i="56"/>
  <c r="S53" i="56" s="1"/>
  <c r="V53" i="56" s="1"/>
  <c r="Q39" i="56"/>
  <c r="S39" i="56" s="1"/>
  <c r="V39" i="56" s="1"/>
  <c r="R55" i="56"/>
  <c r="U48" i="56"/>
  <c r="T46" i="56"/>
  <c r="R43" i="56"/>
  <c r="Q41" i="56"/>
  <c r="U36" i="56"/>
  <c r="R56" i="56"/>
  <c r="Q54" i="56"/>
  <c r="S54" i="56" s="1"/>
  <c r="U49" i="56"/>
  <c r="T47" i="56"/>
  <c r="R44" i="56"/>
  <c r="Q42" i="56"/>
  <c r="S42" i="56" s="1"/>
  <c r="V42" i="56" s="1"/>
  <c r="U37" i="56"/>
  <c r="R57" i="56"/>
  <c r="Q55" i="56"/>
  <c r="U50" i="56"/>
  <c r="T48" i="56"/>
  <c r="R45" i="56"/>
  <c r="Q43" i="56"/>
  <c r="S43" i="56" s="1"/>
  <c r="U38" i="56"/>
  <c r="T36" i="56"/>
  <c r="Q51" i="56"/>
  <c r="U57" i="56"/>
  <c r="R52" i="56"/>
  <c r="T43" i="56"/>
  <c r="R53" i="56"/>
  <c r="U46" i="56"/>
  <c r="Q40" i="56"/>
  <c r="S40" i="56" s="1"/>
  <c r="Q56" i="56"/>
  <c r="T49" i="56"/>
  <c r="Q44" i="56"/>
  <c r="T37" i="56"/>
  <c r="U52" i="56"/>
  <c r="R47" i="56"/>
  <c r="Q45" i="56"/>
  <c r="S45" i="56" s="1"/>
  <c r="V45" i="56" s="1"/>
  <c r="U40" i="56"/>
  <c r="T38" i="56"/>
  <c r="U53" i="56"/>
  <c r="Q46" i="56"/>
  <c r="R36" i="56"/>
  <c r="U54" i="56"/>
  <c r="T52" i="56"/>
  <c r="R49" i="56"/>
  <c r="Q47" i="56"/>
  <c r="U42" i="56"/>
  <c r="T40" i="56"/>
  <c r="R37" i="56"/>
  <c r="T51" i="56"/>
  <c r="U41" i="56"/>
  <c r="U55" i="56"/>
  <c r="T53" i="56"/>
  <c r="R50" i="56"/>
  <c r="Q48" i="56"/>
  <c r="U43" i="56"/>
  <c r="T41" i="56"/>
  <c r="R38" i="56"/>
  <c r="Q36" i="56"/>
  <c r="S36" i="56" s="1"/>
  <c r="V36" i="56" s="1"/>
  <c r="T44" i="56"/>
  <c r="T57" i="56"/>
  <c r="Q52" i="56"/>
  <c r="S52" i="56" s="1"/>
  <c r="V52" i="56" s="1"/>
  <c r="U47" i="56"/>
  <c r="R42" i="56"/>
  <c r="U51" i="56"/>
  <c r="R46" i="56"/>
  <c r="U39" i="56"/>
  <c r="Q57" i="56"/>
  <c r="S57" i="56" s="1"/>
  <c r="T50" i="56"/>
  <c r="R48" i="56"/>
  <c r="T39" i="56"/>
  <c r="U56" i="56"/>
  <c r="T54" i="56"/>
  <c r="R51" i="56"/>
  <c r="Q49" i="56"/>
  <c r="S49" i="56" s="1"/>
  <c r="V49" i="56" s="1"/>
  <c r="U44" i="56"/>
  <c r="T42" i="56"/>
  <c r="R39" i="56"/>
  <c r="Q37" i="56"/>
  <c r="U7" i="56"/>
  <c r="U8" i="56"/>
  <c r="R15" i="56"/>
  <c r="T18" i="56"/>
  <c r="T6" i="56"/>
  <c r="Q13" i="56"/>
  <c r="S13" i="56" s="1"/>
  <c r="V13" i="56" s="1"/>
  <c r="T17" i="56"/>
  <c r="R14" i="56"/>
  <c r="T5" i="56"/>
  <c r="U19" i="56"/>
  <c r="R2" i="56"/>
  <c r="R3" i="56"/>
  <c r="Q12" i="56"/>
  <c r="U20" i="56"/>
  <c r="Q25" i="56"/>
  <c r="R27" i="56"/>
  <c r="T30" i="56"/>
  <c r="U32" i="56"/>
  <c r="Q24" i="56"/>
  <c r="S24" i="56" s="1"/>
  <c r="R26" i="56"/>
  <c r="T29" i="56"/>
  <c r="U31" i="56"/>
  <c r="U6" i="56"/>
  <c r="Q11" i="56"/>
  <c r="S11" i="56" s="1"/>
  <c r="V11" i="56" s="1"/>
  <c r="R13" i="56"/>
  <c r="T16" i="56"/>
  <c r="U18" i="56"/>
  <c r="Q23" i="56"/>
  <c r="R25" i="56"/>
  <c r="T28" i="56"/>
  <c r="U30" i="56"/>
  <c r="Q35" i="56"/>
  <c r="S35" i="56" s="1"/>
  <c r="V35" i="56" s="1"/>
  <c r="U29" i="56"/>
  <c r="Q34" i="56"/>
  <c r="U5" i="56"/>
  <c r="T15" i="56"/>
  <c r="U28" i="56"/>
  <c r="Q33" i="56"/>
  <c r="R35" i="56"/>
  <c r="R12" i="56"/>
  <c r="T13" i="56"/>
  <c r="U15" i="56"/>
  <c r="Q20" i="56"/>
  <c r="S20" i="56" s="1"/>
  <c r="R22" i="56"/>
  <c r="T25" i="56"/>
  <c r="U27" i="56"/>
  <c r="Q32" i="56"/>
  <c r="S32" i="56" s="1"/>
  <c r="V32" i="56" s="1"/>
  <c r="R34" i="56"/>
  <c r="T4" i="56"/>
  <c r="Q10" i="56"/>
  <c r="U17" i="56"/>
  <c r="R24" i="56"/>
  <c r="U4" i="56"/>
  <c r="Q9" i="56"/>
  <c r="T14" i="56"/>
  <c r="U16" i="56"/>
  <c r="Q21" i="56"/>
  <c r="S21" i="56" s="1"/>
  <c r="U3" i="56"/>
  <c r="T12" i="56"/>
  <c r="T33" i="56"/>
  <c r="U35" i="56"/>
  <c r="T3" i="56"/>
  <c r="Q22" i="56"/>
  <c r="T27" i="56"/>
  <c r="T2" i="56"/>
  <c r="R11" i="56"/>
  <c r="T26" i="56"/>
  <c r="Q8" i="56"/>
  <c r="U2" i="56"/>
  <c r="R9" i="56"/>
  <c r="Q19" i="56"/>
  <c r="S19" i="56" s="1"/>
  <c r="U26" i="56"/>
  <c r="R33" i="56"/>
  <c r="Q18" i="56"/>
  <c r="U25" i="56"/>
  <c r="Q30" i="56"/>
  <c r="Q5" i="56"/>
  <c r="T10" i="56"/>
  <c r="Q17" i="56"/>
  <c r="Q29" i="56"/>
  <c r="S29" i="56" s="1"/>
  <c r="T34" i="56"/>
  <c r="R6" i="56"/>
  <c r="U11" i="56"/>
  <c r="R18" i="56"/>
  <c r="T21" i="56"/>
  <c r="U23" i="56"/>
  <c r="Q28" i="56"/>
  <c r="S28" i="56" s="1"/>
  <c r="R30" i="56"/>
  <c r="R5" i="56"/>
  <c r="T8" i="56"/>
  <c r="U10" i="56"/>
  <c r="Q15" i="56"/>
  <c r="S15" i="56" s="1"/>
  <c r="R17" i="56"/>
  <c r="T20" i="56"/>
  <c r="U22" i="56"/>
  <c r="Q27" i="56"/>
  <c r="S27" i="56" s="1"/>
  <c r="V27" i="56" s="1"/>
  <c r="R29" i="56"/>
  <c r="T32" i="56"/>
  <c r="U34" i="56"/>
  <c r="R23" i="56"/>
  <c r="R10" i="56"/>
  <c r="Q7" i="56"/>
  <c r="U14" i="56"/>
  <c r="R21" i="56"/>
  <c r="T24" i="56"/>
  <c r="Q31" i="56"/>
  <c r="Q6" i="56"/>
  <c r="S6" i="56" s="1"/>
  <c r="V6" i="56" s="1"/>
  <c r="R8" i="56"/>
  <c r="T11" i="56"/>
  <c r="U13" i="56"/>
  <c r="R20" i="56"/>
  <c r="T23" i="56"/>
  <c r="R32" i="56"/>
  <c r="T35" i="56"/>
  <c r="R7" i="56"/>
  <c r="U12" i="56"/>
  <c r="R19" i="56"/>
  <c r="T22" i="56"/>
  <c r="U24" i="56"/>
  <c r="R31" i="56"/>
  <c r="Q4" i="56"/>
  <c r="T9" i="56"/>
  <c r="Q16" i="56"/>
  <c r="Q3" i="56"/>
  <c r="Q2" i="56"/>
  <c r="R4" i="56"/>
  <c r="T7" i="56"/>
  <c r="U9" i="56"/>
  <c r="Q14" i="56"/>
  <c r="S14" i="56" s="1"/>
  <c r="V14" i="56" s="1"/>
  <c r="R16" i="56"/>
  <c r="T19" i="56"/>
  <c r="U21" i="56"/>
  <c r="Q26" i="56"/>
  <c r="R28" i="56"/>
  <c r="T31" i="56"/>
  <c r="U33" i="56"/>
  <c r="U32" i="54"/>
  <c r="R28" i="54"/>
  <c r="Q26" i="54"/>
  <c r="U21" i="54"/>
  <c r="T19" i="54"/>
  <c r="R16" i="54"/>
  <c r="Q14" i="54"/>
  <c r="S14" i="54" s="1"/>
  <c r="U34" i="54"/>
  <c r="T32" i="54"/>
  <c r="R29" i="54"/>
  <c r="Q27" i="54"/>
  <c r="S27" i="54" s="1"/>
  <c r="V27" i="54" s="1"/>
  <c r="U22" i="54"/>
  <c r="T20" i="54"/>
  <c r="R17" i="54"/>
  <c r="Q15" i="54"/>
  <c r="T31" i="54"/>
  <c r="T33" i="54"/>
  <c r="R30" i="54"/>
  <c r="Q28" i="54"/>
  <c r="S28" i="54" s="1"/>
  <c r="V28" i="54" s="1"/>
  <c r="U23" i="54"/>
  <c r="T21" i="54"/>
  <c r="R18" i="54"/>
  <c r="Q16" i="54"/>
  <c r="S16" i="54" s="1"/>
  <c r="V16" i="54" s="1"/>
  <c r="T30" i="54"/>
  <c r="Q17" i="54"/>
  <c r="S17" i="54" s="1"/>
  <c r="U12" i="54"/>
  <c r="R19" i="54"/>
  <c r="T35" i="54"/>
  <c r="R32" i="54"/>
  <c r="Q30" i="54"/>
  <c r="S30" i="54" s="1"/>
  <c r="U25" i="54"/>
  <c r="T23" i="54"/>
  <c r="R20" i="54"/>
  <c r="R31" i="54"/>
  <c r="U24" i="54"/>
  <c r="T22" i="54"/>
  <c r="Q18" i="54"/>
  <c r="U13" i="54"/>
  <c r="R33" i="54"/>
  <c r="Q31" i="54"/>
  <c r="U26" i="54"/>
  <c r="T24" i="54"/>
  <c r="R21" i="54"/>
  <c r="Q19" i="54"/>
  <c r="S19" i="54" s="1"/>
  <c r="V19" i="54" s="1"/>
  <c r="U14" i="54"/>
  <c r="T12" i="54"/>
  <c r="T34" i="54"/>
  <c r="T25" i="54"/>
  <c r="R22" i="54"/>
  <c r="Q20" i="54"/>
  <c r="U15" i="54"/>
  <c r="T13" i="54"/>
  <c r="Q33" i="54"/>
  <c r="S33" i="54" s="1"/>
  <c r="U28" i="54"/>
  <c r="T26" i="54"/>
  <c r="R23" i="54"/>
  <c r="Q21" i="54"/>
  <c r="S21" i="54" s="1"/>
  <c r="V21" i="54" s="1"/>
  <c r="U16" i="54"/>
  <c r="T14" i="54"/>
  <c r="U33" i="54"/>
  <c r="U35" i="54"/>
  <c r="R34" i="54"/>
  <c r="Q32" i="54"/>
  <c r="U27" i="54"/>
  <c r="R35" i="54"/>
  <c r="Q34" i="54"/>
  <c r="S34" i="54" s="1"/>
  <c r="U29" i="54"/>
  <c r="T27" i="54"/>
  <c r="Q22" i="54"/>
  <c r="S22" i="54" s="1"/>
  <c r="R12" i="54"/>
  <c r="R24" i="54"/>
  <c r="U17" i="54"/>
  <c r="T15" i="54"/>
  <c r="Q35" i="54"/>
  <c r="U30" i="54"/>
  <c r="T28" i="54"/>
  <c r="R25" i="54"/>
  <c r="Q23" i="54"/>
  <c r="U18" i="54"/>
  <c r="T16" i="54"/>
  <c r="R13" i="54"/>
  <c r="Q29" i="54"/>
  <c r="S29" i="54" s="1"/>
  <c r="V29" i="54" s="1"/>
  <c r="U31" i="54"/>
  <c r="T29" i="54"/>
  <c r="R26" i="54"/>
  <c r="Q24" i="54"/>
  <c r="U19" i="54"/>
  <c r="T17" i="54"/>
  <c r="R14" i="54"/>
  <c r="Q12" i="54"/>
  <c r="R27" i="54"/>
  <c r="Q25" i="54"/>
  <c r="S25" i="54" s="1"/>
  <c r="U20" i="54"/>
  <c r="T18" i="54"/>
  <c r="R15" i="54"/>
  <c r="Q13" i="54"/>
  <c r="S13" i="54" s="1"/>
  <c r="V13" i="54" s="1"/>
  <c r="Q5" i="54"/>
  <c r="S5" i="54" s="1"/>
  <c r="R7" i="54"/>
  <c r="T10" i="54"/>
  <c r="R3" i="54"/>
  <c r="T6" i="54"/>
  <c r="U8" i="54"/>
  <c r="Q11" i="54"/>
  <c r="Q10" i="54"/>
  <c r="S10" i="54" s="1"/>
  <c r="V10" i="54" s="1"/>
  <c r="Q9" i="54"/>
  <c r="R11" i="54"/>
  <c r="R2" i="54"/>
  <c r="T5" i="54"/>
  <c r="U7" i="54"/>
  <c r="T4" i="54"/>
  <c r="U6" i="54"/>
  <c r="T3" i="54"/>
  <c r="U5" i="54"/>
  <c r="T2" i="54"/>
  <c r="U4" i="54"/>
  <c r="U3" i="54"/>
  <c r="Q7" i="54"/>
  <c r="S7" i="54" s="1"/>
  <c r="V7" i="54" s="1"/>
  <c r="R9" i="54"/>
  <c r="Q6" i="54"/>
  <c r="R8" i="54"/>
  <c r="T11" i="54"/>
  <c r="Q8" i="54"/>
  <c r="R10" i="54"/>
  <c r="U2" i="54"/>
  <c r="U11" i="54"/>
  <c r="Q3" i="54"/>
  <c r="R5" i="54"/>
  <c r="T8" i="54"/>
  <c r="U10" i="54"/>
  <c r="Q4" i="54"/>
  <c r="S4" i="54" s="1"/>
  <c r="V4" i="54" s="1"/>
  <c r="R6" i="54"/>
  <c r="T9" i="54"/>
  <c r="Q2" i="54"/>
  <c r="R4" i="54"/>
  <c r="T7" i="54"/>
  <c r="U9" i="54"/>
  <c r="V47" i="61" l="1"/>
  <c r="S48" i="61"/>
  <c r="V48" i="61" s="1"/>
  <c r="V4" i="61"/>
  <c r="V18" i="61"/>
  <c r="S17" i="61"/>
  <c r="V17" i="61" s="1"/>
  <c r="S8" i="61"/>
  <c r="V8" i="61" s="1"/>
  <c r="S25" i="61"/>
  <c r="V25" i="61" s="1"/>
  <c r="S38" i="61"/>
  <c r="V38" i="61" s="1"/>
  <c r="S2" i="61"/>
  <c r="V2" i="61" s="1"/>
  <c r="V15" i="61"/>
  <c r="S42" i="61"/>
  <c r="V42" i="61" s="1"/>
  <c r="S23" i="61"/>
  <c r="V23" i="61" s="1"/>
  <c r="S44" i="61"/>
  <c r="V44" i="61" s="1"/>
  <c r="S43" i="61"/>
  <c r="V43" i="61" s="1"/>
  <c r="V7" i="61"/>
  <c r="V22" i="61"/>
  <c r="S24" i="61"/>
  <c r="V24" i="61" s="1"/>
  <c r="V39" i="61"/>
  <c r="S29" i="61"/>
  <c r="V29" i="61" s="1"/>
  <c r="S12" i="61"/>
  <c r="V12" i="61" s="1"/>
  <c r="S34" i="61"/>
  <c r="V34" i="61" s="1"/>
  <c r="V28" i="61"/>
  <c r="S6" i="61"/>
  <c r="V6" i="61" s="1"/>
  <c r="V3" i="61"/>
  <c r="V13" i="61"/>
  <c r="S26" i="61"/>
  <c r="V26" i="61" s="1"/>
  <c r="S45" i="61"/>
  <c r="V45" i="61" s="1"/>
  <c r="S35" i="61"/>
  <c r="V35" i="61" s="1"/>
  <c r="V36" i="61"/>
  <c r="V9" i="61"/>
  <c r="V16" i="61"/>
  <c r="S5" i="61"/>
  <c r="V5" i="61" s="1"/>
  <c r="S30" i="61"/>
  <c r="V30" i="61" s="1"/>
  <c r="S33" i="61"/>
  <c r="V33" i="61" s="1"/>
  <c r="S11" i="61"/>
  <c r="V11" i="61" s="1"/>
  <c r="S47" i="60"/>
  <c r="V47" i="60" s="1"/>
  <c r="S46" i="60"/>
  <c r="V46" i="60" s="1"/>
  <c r="V42" i="60"/>
  <c r="S40" i="60"/>
  <c r="V40" i="60" s="1"/>
  <c r="V38" i="60"/>
  <c r="S39" i="60"/>
  <c r="V39" i="60" s="1"/>
  <c r="S43" i="60"/>
  <c r="V43" i="60" s="1"/>
  <c r="S8" i="60"/>
  <c r="V8" i="60" s="1"/>
  <c r="V2" i="60"/>
  <c r="S3" i="60"/>
  <c r="V3" i="60" s="1"/>
  <c r="V17" i="60"/>
  <c r="S22" i="60"/>
  <c r="V22" i="60" s="1"/>
  <c r="S26" i="60"/>
  <c r="V26" i="60" s="1"/>
  <c r="S32" i="60"/>
  <c r="V32" i="60" s="1"/>
  <c r="S13" i="60"/>
  <c r="V13" i="60" s="1"/>
  <c r="S5" i="60"/>
  <c r="V5" i="60" s="1"/>
  <c r="V28" i="60"/>
  <c r="V21" i="60"/>
  <c r="S29" i="60"/>
  <c r="V29" i="60" s="1"/>
  <c r="V34" i="60"/>
  <c r="V4" i="60"/>
  <c r="S25" i="60"/>
  <c r="V25" i="60" s="1"/>
  <c r="V6" i="60"/>
  <c r="V11" i="60"/>
  <c r="S10" i="60"/>
  <c r="V10" i="60" s="1"/>
  <c r="V31" i="60"/>
  <c r="S16" i="60"/>
  <c r="V16" i="60" s="1"/>
  <c r="S7" i="60"/>
  <c r="V7" i="60" s="1"/>
  <c r="S19" i="60"/>
  <c r="V19" i="60" s="1"/>
  <c r="V27" i="60"/>
  <c r="S30" i="60"/>
  <c r="V30" i="60" s="1"/>
  <c r="S12" i="60"/>
  <c r="V12" i="60" s="1"/>
  <c r="S35" i="60"/>
  <c r="V35" i="60" s="1"/>
  <c r="V15" i="60"/>
  <c r="S18" i="60"/>
  <c r="V18" i="60" s="1"/>
  <c r="S9" i="60"/>
  <c r="V9" i="60" s="1"/>
  <c r="S36" i="60"/>
  <c r="V36" i="60" s="1"/>
  <c r="S34" i="59"/>
  <c r="V34" i="59" s="1"/>
  <c r="S36" i="59"/>
  <c r="V36" i="59" s="1"/>
  <c r="S35" i="59"/>
  <c r="V35" i="59" s="1"/>
  <c r="S15" i="59"/>
  <c r="V15" i="59" s="1"/>
  <c r="S9" i="59"/>
  <c r="V9" i="59" s="1"/>
  <c r="V24" i="59"/>
  <c r="S26" i="59"/>
  <c r="V26" i="59" s="1"/>
  <c r="V12" i="59"/>
  <c r="S14" i="59"/>
  <c r="V14" i="59" s="1"/>
  <c r="S6" i="59"/>
  <c r="V6" i="59" s="1"/>
  <c r="V22" i="59"/>
  <c r="V32" i="59"/>
  <c r="V25" i="59"/>
  <c r="S16" i="59"/>
  <c r="V16" i="59" s="1"/>
  <c r="S30" i="59"/>
  <c r="V30" i="59" s="1"/>
  <c r="S20" i="59"/>
  <c r="V20" i="59" s="1"/>
  <c r="V8" i="59"/>
  <c r="V18" i="59"/>
  <c r="V4" i="59"/>
  <c r="S29" i="59"/>
  <c r="V29" i="59" s="1"/>
  <c r="S31" i="59"/>
  <c r="V31" i="59" s="1"/>
  <c r="S17" i="59"/>
  <c r="V17" i="59" s="1"/>
  <c r="S19" i="59"/>
  <c r="V19" i="59" s="1"/>
  <c r="V10" i="59"/>
  <c r="S23" i="59"/>
  <c r="V23" i="59" s="1"/>
  <c r="S27" i="59"/>
  <c r="V27" i="59" s="1"/>
  <c r="S27" i="58"/>
  <c r="V27" i="58" s="1"/>
  <c r="S16" i="58"/>
  <c r="V16" i="58" s="1"/>
  <c r="S29" i="58"/>
  <c r="V29" i="58" s="1"/>
  <c r="S2" i="58"/>
  <c r="V2" i="58" s="1"/>
  <c r="S5" i="58"/>
  <c r="V5" i="58" s="1"/>
  <c r="V23" i="58"/>
  <c r="S7" i="58"/>
  <c r="V7" i="58" s="1"/>
  <c r="S30" i="58"/>
  <c r="V30" i="58" s="1"/>
  <c r="S15" i="58"/>
  <c r="V15" i="58" s="1"/>
  <c r="S12" i="58"/>
  <c r="V12" i="58" s="1"/>
  <c r="S17" i="58"/>
  <c r="V17" i="58" s="1"/>
  <c r="S10" i="58"/>
  <c r="V10" i="58" s="1"/>
  <c r="S13" i="58"/>
  <c r="V13" i="58" s="1"/>
  <c r="S14" i="58"/>
  <c r="V14" i="58" s="1"/>
  <c r="S24" i="58"/>
  <c r="V24" i="58" s="1"/>
  <c r="S28" i="58"/>
  <c r="V28" i="58" s="1"/>
  <c r="V26" i="58"/>
  <c r="S8" i="58"/>
  <c r="V8" i="58" s="1"/>
  <c r="S11" i="58"/>
  <c r="V11" i="58" s="1"/>
  <c r="S25" i="58"/>
  <c r="V25" i="58" s="1"/>
  <c r="V4" i="58"/>
  <c r="S32" i="58"/>
  <c r="V32" i="58" s="1"/>
  <c r="S18" i="58"/>
  <c r="V18" i="58" s="1"/>
  <c r="S31" i="58"/>
  <c r="V31" i="58" s="1"/>
  <c r="V20" i="58"/>
  <c r="S21" i="58"/>
  <c r="V21" i="58" s="1"/>
  <c r="S21" i="57"/>
  <c r="V21" i="57" s="1"/>
  <c r="V31" i="57"/>
  <c r="S38" i="57"/>
  <c r="V38" i="57" s="1"/>
  <c r="S13" i="57"/>
  <c r="V13" i="57" s="1"/>
  <c r="S35" i="57"/>
  <c r="V35" i="57" s="1"/>
  <c r="V20" i="57"/>
  <c r="V15" i="57"/>
  <c r="S17" i="57"/>
  <c r="V17" i="57" s="1"/>
  <c r="S8" i="57"/>
  <c r="V8" i="57" s="1"/>
  <c r="S6" i="57"/>
  <c r="V6" i="57" s="1"/>
  <c r="S5" i="57"/>
  <c r="V5" i="57" s="1"/>
  <c r="S3" i="57"/>
  <c r="V3" i="57" s="1"/>
  <c r="S4" i="57"/>
  <c r="V4" i="57" s="1"/>
  <c r="S27" i="57"/>
  <c r="V27" i="57" s="1"/>
  <c r="S2" i="57"/>
  <c r="V2" i="57" s="1"/>
  <c r="S32" i="57"/>
  <c r="V32" i="57" s="1"/>
  <c r="S18" i="57"/>
  <c r="V18" i="57" s="1"/>
  <c r="S11" i="57"/>
  <c r="V11" i="57" s="1"/>
  <c r="S29" i="57"/>
  <c r="V29" i="57" s="1"/>
  <c r="S39" i="57"/>
  <c r="V39" i="57" s="1"/>
  <c r="S12" i="57"/>
  <c r="V12" i="57" s="1"/>
  <c r="S19" i="57"/>
  <c r="V19" i="57" s="1"/>
  <c r="S28" i="57"/>
  <c r="V28" i="57" s="1"/>
  <c r="S16" i="57"/>
  <c r="V16" i="57" s="1"/>
  <c r="V14" i="57"/>
  <c r="S30" i="57"/>
  <c r="V30" i="57" s="1"/>
  <c r="V33" i="57"/>
  <c r="S24" i="57"/>
  <c r="V24" i="57" s="1"/>
  <c r="S37" i="57"/>
  <c r="V37" i="57" s="1"/>
  <c r="V22" i="57"/>
  <c r="V26" i="57"/>
  <c r="S7" i="57"/>
  <c r="V7" i="57" s="1"/>
  <c r="V43" i="56"/>
  <c r="V57" i="56"/>
  <c r="S41" i="56"/>
  <c r="V41" i="56" s="1"/>
  <c r="V40" i="56"/>
  <c r="S51" i="56"/>
  <c r="V51" i="56" s="1"/>
  <c r="S47" i="56"/>
  <c r="V47" i="56" s="1"/>
  <c r="S44" i="56"/>
  <c r="V44" i="56" s="1"/>
  <c r="S48" i="56"/>
  <c r="V48" i="56" s="1"/>
  <c r="S46" i="56"/>
  <c r="V46" i="56" s="1"/>
  <c r="S55" i="56"/>
  <c r="V55" i="56" s="1"/>
  <c r="V54" i="56"/>
  <c r="S38" i="56"/>
  <c r="V38" i="56" s="1"/>
  <c r="S37" i="56"/>
  <c r="V37" i="56" s="1"/>
  <c r="S56" i="56"/>
  <c r="V56" i="56" s="1"/>
  <c r="V50" i="56"/>
  <c r="V19" i="56"/>
  <c r="S31" i="56"/>
  <c r="V31" i="56" s="1"/>
  <c r="V21" i="56"/>
  <c r="S8" i="56"/>
  <c r="V8" i="56" s="1"/>
  <c r="S17" i="56"/>
  <c r="V17" i="56" s="1"/>
  <c r="V20" i="56"/>
  <c r="V24" i="56"/>
  <c r="V15" i="56"/>
  <c r="V28" i="56"/>
  <c r="S22" i="56"/>
  <c r="V22" i="56" s="1"/>
  <c r="S25" i="56"/>
  <c r="V25" i="56" s="1"/>
  <c r="S34" i="56"/>
  <c r="V34" i="56" s="1"/>
  <c r="S7" i="56"/>
  <c r="V7" i="56" s="1"/>
  <c r="S9" i="56"/>
  <c r="V9" i="56" s="1"/>
  <c r="S2" i="56"/>
  <c r="V2" i="56" s="1"/>
  <c r="S5" i="56"/>
  <c r="V5" i="56" s="1"/>
  <c r="S3" i="56"/>
  <c r="V3" i="56" s="1"/>
  <c r="S30" i="56"/>
  <c r="V30" i="56" s="1"/>
  <c r="S23" i="56"/>
  <c r="V23" i="56" s="1"/>
  <c r="S16" i="56"/>
  <c r="V16" i="56" s="1"/>
  <c r="S18" i="56"/>
  <c r="V18" i="56" s="1"/>
  <c r="S10" i="56"/>
  <c r="V10" i="56" s="1"/>
  <c r="S33" i="56"/>
  <c r="V33" i="56" s="1"/>
  <c r="V29" i="56"/>
  <c r="S26" i="56"/>
  <c r="V26" i="56" s="1"/>
  <c r="S4" i="56"/>
  <c r="V4" i="56" s="1"/>
  <c r="S12" i="56"/>
  <c r="V12" i="56" s="1"/>
  <c r="S12" i="54"/>
  <c r="V12" i="54" s="1"/>
  <c r="S23" i="54"/>
  <c r="V23" i="54" s="1"/>
  <c r="S26" i="54"/>
  <c r="V26" i="54" s="1"/>
  <c r="V25" i="54"/>
  <c r="V14" i="54"/>
  <c r="V33" i="54"/>
  <c r="S31" i="54"/>
  <c r="V31" i="54" s="1"/>
  <c r="S32" i="54"/>
  <c r="V32" i="54" s="1"/>
  <c r="S15" i="54"/>
  <c r="V15" i="54" s="1"/>
  <c r="S24" i="54"/>
  <c r="V24" i="54" s="1"/>
  <c r="S35" i="54"/>
  <c r="V35" i="54" s="1"/>
  <c r="S20" i="54"/>
  <c r="V20" i="54" s="1"/>
  <c r="V22" i="54"/>
  <c r="V34" i="54"/>
  <c r="V30" i="54"/>
  <c r="S18" i="54"/>
  <c r="V18" i="54" s="1"/>
  <c r="V17" i="54"/>
  <c r="S11" i="54"/>
  <c r="V11" i="54" s="1"/>
  <c r="S9" i="54"/>
  <c r="V9" i="54" s="1"/>
  <c r="S3" i="54"/>
  <c r="V3" i="54" s="1"/>
  <c r="S6" i="54"/>
  <c r="V6" i="54" s="1"/>
  <c r="S8" i="54"/>
  <c r="V8" i="54" s="1"/>
  <c r="S2" i="54"/>
  <c r="V2" i="54" s="1"/>
  <c r="V5" i="5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FEDBACF-D104-FF45-ADB6-6616B8F1CA31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  <connection id="2" xr16:uid="{AC0AA7BC-F3D2-2C4A-83D2-569391CA22B2}" keepAlive="1" name="Query - sheet1 (10)" description="Connection to the 'sheet1 (10)' query in the workbook." type="5" refreshedVersion="8" background="1" saveData="1">
    <dbPr connection="Provider=Microsoft.Mashup.OleDb.1;Data Source=$Workbook$;Location=&quot;sheet1 (10)&quot;;Extended Properties=&quot;&quot;" command="SELECT * FROM [sheet1 (10)]"/>
  </connection>
  <connection id="3" xr16:uid="{23B743B9-C177-3F41-A44D-E43B65BB7A57}" keepAlive="1" name="Query - sheet1 (11)" description="Connection to the 'sheet1 (11)' query in the workbook." type="5" refreshedVersion="8" background="1" saveData="1">
    <dbPr connection="Provider=Microsoft.Mashup.OleDb.1;Data Source=$Workbook$;Location=&quot;sheet1 (11)&quot;;Extended Properties=&quot;&quot;" command="SELECT * FROM [sheet1 (11)]"/>
  </connection>
  <connection id="4" xr16:uid="{C1BFF373-BE82-294A-9655-7CE46EF3DDE0}" keepAlive="1" name="Query - sheet1 (12)" description="Connection to the 'sheet1 (12)' query in the workbook." type="5" refreshedVersion="8" background="1" saveData="1">
    <dbPr connection="Provider=Microsoft.Mashup.OleDb.1;Data Source=$Workbook$;Location=&quot;sheet1 (12)&quot;;Extended Properties=&quot;&quot;" command="SELECT * FROM [sheet1 (12)]"/>
  </connection>
  <connection id="5" xr16:uid="{80419DA5-31A4-5247-8707-75359CAFAAAA}" keepAlive="1" name="Query - sheet1 (13)" description="Connection to the 'sheet1 (13)' query in the workbook." type="5" refreshedVersion="8" background="1" saveData="1">
    <dbPr connection="Provider=Microsoft.Mashup.OleDb.1;Data Source=$Workbook$;Location=&quot;sheet1 (13)&quot;;Extended Properties=&quot;&quot;" command="SELECT * FROM [sheet1 (13)]"/>
  </connection>
  <connection id="6" xr16:uid="{3BDF2326-4B76-714F-89DB-686E3E87F3D6}" keepAlive="1" name="Query - sheet1 (14)" description="Connection to the 'sheet1 (14)' query in the workbook." type="5" refreshedVersion="8" background="1" saveData="1">
    <dbPr connection="Provider=Microsoft.Mashup.OleDb.1;Data Source=$Workbook$;Location=&quot;sheet1 (14)&quot;;Extended Properties=&quot;&quot;" command="SELECT * FROM [sheet1 (14)]"/>
  </connection>
  <connection id="7" xr16:uid="{0F6383C8-57CC-FD43-9C99-D1AEC746D05B}" keepAlive="1" name="Query - sheet1 (15)" description="Connection to the 'sheet1 (15)' query in the workbook." type="5" refreshedVersion="8" background="1" saveData="1">
    <dbPr connection="Provider=Microsoft.Mashup.OleDb.1;Data Source=$Workbook$;Location=&quot;sheet1 (15)&quot;;Extended Properties=&quot;&quot;" command="SELECT * FROM [sheet1 (15)]"/>
  </connection>
  <connection id="8" xr16:uid="{8D2445E9-2AF7-9442-B1CC-FFDCE0B0AFDB}" keepAlive="1" name="Query - sheet1 (16)" description="Connection to the 'sheet1 (16)' query in the workbook." type="5" refreshedVersion="8" background="1" saveData="1">
    <dbPr connection="Provider=Microsoft.Mashup.OleDb.1;Data Source=$Workbook$;Location=&quot;sheet1 (16)&quot;;Extended Properties=&quot;&quot;" command="SELECT * FROM [sheet1 (16)]"/>
  </connection>
  <connection id="9" xr16:uid="{C0F95801-D0AC-654E-952C-39406C4DE3E9}" keepAlive="1" name="Query - sheet1 (17)" description="Connection to the 'sheet1 (17)' query in the workbook." type="5" refreshedVersion="8" background="1" saveData="1">
    <dbPr connection="Provider=Microsoft.Mashup.OleDb.1;Data Source=$Workbook$;Location=&quot;sheet1 (17)&quot;;Extended Properties=&quot;&quot;" command="SELECT * FROM [sheet1 (17)]"/>
  </connection>
  <connection id="10" xr16:uid="{F1E47B32-1BF0-2F4E-89DB-653532964071}" keepAlive="1" name="Query - sheet1 (18)" description="Connection to the 'sheet1 (18)' query in the workbook." type="5" refreshedVersion="8" background="1" saveData="1">
    <dbPr connection="Provider=Microsoft.Mashup.OleDb.1;Data Source=$Workbook$;Location=&quot;sheet1 (18)&quot;;Extended Properties=&quot;&quot;" command="SELECT * FROM [sheet1 (18)]"/>
  </connection>
  <connection id="11" xr16:uid="{241D4006-6AE1-014B-8BD1-87C2B8BEADE9}" keepAlive="1" name="Query - sheet1 (19)" description="Connection to the 'sheet1 (19)' query in the workbook." type="5" refreshedVersion="8" background="1" saveData="1">
    <dbPr connection="Provider=Microsoft.Mashup.OleDb.1;Data Source=$Workbook$;Location=&quot;sheet1 (19)&quot;;Extended Properties=&quot;&quot;" command="SELECT * FROM [sheet1 (19)]"/>
  </connection>
  <connection id="12" xr16:uid="{1918B5ED-FFDE-7F46-A02A-F90748244A4E}" keepAlive="1" name="Query - sheet1 (2)" description="Connection to the 'sheet1 (2)' query in the workbook." type="5" refreshedVersion="8" background="1" saveData="1">
    <dbPr connection="Provider=Microsoft.Mashup.OleDb.1;Data Source=$Workbook$;Location=&quot;sheet1 (2)&quot;;Extended Properties=&quot;&quot;" command="SELECT * FROM [sheet1 (2)]"/>
  </connection>
  <connection id="13" xr16:uid="{24FACAED-5DB3-DA4F-AEF4-6E7C2F5E357F}" keepAlive="1" name="Query - sheet1 (20)" description="Connection to the 'sheet1 (20)' query in the workbook." type="5" refreshedVersion="8" background="1" saveData="1">
    <dbPr connection="Provider=Microsoft.Mashup.OleDb.1;Data Source=$Workbook$;Location=&quot;sheet1 (20)&quot;;Extended Properties=&quot;&quot;" command="SELECT * FROM [sheet1 (20)]"/>
  </connection>
  <connection id="14" xr16:uid="{F28315A7-7B6B-CD40-A1D0-7430BB740627}" keepAlive="1" name="Query - sheet1 (21)" description="Connection to the 'sheet1 (21)' query in the workbook." type="5" refreshedVersion="8" background="1" saveData="1">
    <dbPr connection="Provider=Microsoft.Mashup.OleDb.1;Data Source=$Workbook$;Location=&quot;sheet1 (21)&quot;;Extended Properties=&quot;&quot;" command="SELECT * FROM [sheet1 (21)]"/>
  </connection>
  <connection id="15" xr16:uid="{B78EA54C-E701-0743-840F-E5EAD8E09A9D}" keepAlive="1" name="Query - sheet1 (22)" description="Connection to the 'sheet1 (22)' query in the workbook." type="5" refreshedVersion="8" background="1" saveData="1">
    <dbPr connection="Provider=Microsoft.Mashup.OleDb.1;Data Source=$Workbook$;Location=&quot;sheet1 (22)&quot;;Extended Properties=&quot;&quot;" command="SELECT * FROM [sheet1 (22)]"/>
  </connection>
  <connection id="16" xr16:uid="{932FF392-9AF2-D54F-9595-71E867FCDA7E}" keepAlive="1" name="Query - sheet1 (23)" description="Connection to the 'sheet1 (23)' query in the workbook." type="5" refreshedVersion="0" background="1">
    <dbPr connection="Provider=Microsoft.Mashup.OleDb.1;Data Source=$Workbook$;Location=&quot;sheet1 (23)&quot;;Extended Properties=&quot;&quot;" command="SELECT * FROM [sheet1 (23)]"/>
  </connection>
  <connection id="17" xr16:uid="{409B9E33-144B-C042-A2BE-6F9B2DEE639F}" keepAlive="1" name="Query - sheet1 (24)" description="Connection to the 'sheet1 (24)' query in the workbook." type="5" refreshedVersion="0" background="1">
    <dbPr connection="Provider=Microsoft.Mashup.OleDb.1;Data Source=$Workbook$;Location=&quot;sheet1 (24)&quot;;Extended Properties=&quot;&quot;" command="SELECT * FROM [sheet1 (24)]"/>
  </connection>
  <connection id="18" xr16:uid="{71B861DB-E4E4-AC45-9884-82000470789D}" keepAlive="1" name="Query - sheet1 (25)" description="Connection to the 'sheet1 (25)' query in the workbook." type="5" refreshedVersion="0" background="1">
    <dbPr connection="Provider=Microsoft.Mashup.OleDb.1;Data Source=$Workbook$;Location=&quot;sheet1 (25)&quot;;Extended Properties=&quot;&quot;" command="SELECT * FROM [sheet1 (25)]"/>
  </connection>
  <connection id="19" xr16:uid="{0259432B-1DD1-6F48-97E7-FF78E3177706}" keepAlive="1" name="Query - sheet1 (26)" description="Connection to the 'sheet1 (26)' query in the workbook." type="5" refreshedVersion="0" background="1">
    <dbPr connection="Provider=Microsoft.Mashup.OleDb.1;Data Source=$Workbook$;Location=&quot;sheet1 (26)&quot;;Extended Properties=&quot;&quot;" command="SELECT * FROM [sheet1 (26)]"/>
  </connection>
  <connection id="20" xr16:uid="{54BAFF37-2D34-BF4D-A403-C0D8593DF8A0}" keepAlive="1" name="Query - sheet1 (27)" description="Connection to the 'sheet1 (27)' query in the workbook." type="5" refreshedVersion="0" background="1">
    <dbPr connection="Provider=Microsoft.Mashup.OleDb.1;Data Source=$Workbook$;Location=&quot;sheet1 (27)&quot;;Extended Properties=&quot;&quot;" command="SELECT * FROM [sheet1 (27)]"/>
  </connection>
  <connection id="21" xr16:uid="{A5A5D3DE-FE19-B64B-AA47-ADBAD51C6D90}" keepAlive="1" name="Query - sheet1 (28)" description="Connection to the 'sheet1 (28)' query in the workbook." type="5" refreshedVersion="0" background="1">
    <dbPr connection="Provider=Microsoft.Mashup.OleDb.1;Data Source=$Workbook$;Location=&quot;sheet1 (28)&quot;;Extended Properties=&quot;&quot;" command="SELECT * FROM [sheet1 (28)]"/>
  </connection>
  <connection id="22" xr16:uid="{F672478A-D60F-5E4C-976B-615A98671E11}" keepAlive="1" name="Query - sheet1 (29)" description="Connection to the 'sheet1 (29)' query in the workbook." type="5" refreshedVersion="0" background="1">
    <dbPr connection="Provider=Microsoft.Mashup.OleDb.1;Data Source=$Workbook$;Location=&quot;sheet1 (29)&quot;;Extended Properties=&quot;&quot;" command="SELECT * FROM [sheet1 (29)]"/>
  </connection>
  <connection id="23" xr16:uid="{0022E35C-8554-0D47-A1EE-1B27F0CA5556}" keepAlive="1" name="Query - sheet1 (3)" description="Connection to the 'sheet1 (3)' query in the workbook." type="5" refreshedVersion="8" background="1" saveData="1">
    <dbPr connection="Provider=Microsoft.Mashup.OleDb.1;Data Source=$Workbook$;Location=&quot;sheet1 (3)&quot;;Extended Properties=&quot;&quot;" command="SELECT * FROM [sheet1 (3)]"/>
  </connection>
  <connection id="24" xr16:uid="{DE2D7258-D7AA-6049-8805-DFA7E9373502}" keepAlive="1" name="Query - sheet1 (30)" description="Connection to the 'sheet1 (30)' query in the workbook." type="5" refreshedVersion="0" background="1" saveData="1">
    <dbPr connection="Provider=Microsoft.Mashup.OleDb.1;Data Source=$Workbook$;Location=&quot;sheet1 (30)&quot;;Extended Properties=&quot;&quot;" command="SELECT * FROM [sheet1 (30)]"/>
  </connection>
  <connection id="25" xr16:uid="{95705D8B-C761-684C-8E59-E29871A58BCF}" keepAlive="1" name="Query - sheet1 (31)" description="Connection to the 'sheet1 (31)' query in the workbook." type="5" refreshedVersion="8" background="1" saveData="1">
    <dbPr connection="Provider=Microsoft.Mashup.OleDb.1;Data Source=$Workbook$;Location=&quot;sheet1 (31)&quot;;Extended Properties=&quot;&quot;" command="SELECT * FROM [sheet1 (31)]"/>
  </connection>
  <connection id="26" xr16:uid="{67D38F59-9847-8241-804A-D253402DE1E8}" keepAlive="1" name="Query - sheet1 (32)" description="Connection to the 'sheet1 (32)' query in the workbook." type="5" refreshedVersion="8" background="1" saveData="1">
    <dbPr connection="Provider=Microsoft.Mashup.OleDb.1;Data Source=$Workbook$;Location=&quot;sheet1 (32)&quot;;Extended Properties=&quot;&quot;" command="SELECT * FROM [sheet1 (32)]"/>
  </connection>
  <connection id="27" xr16:uid="{3668AFA0-DE6A-DC4F-86E3-42AEDAF56C90}" keepAlive="1" name="Query - sheet1 (33)" description="Connection to the 'sheet1 (33)' query in the workbook." type="5" refreshedVersion="8" background="1" saveData="1">
    <dbPr connection="Provider=Microsoft.Mashup.OleDb.1;Data Source=$Workbook$;Location=&quot;sheet1 (33)&quot;;Extended Properties=&quot;&quot;" command="SELECT * FROM [sheet1 (33)]"/>
  </connection>
  <connection id="28" xr16:uid="{90C4A09B-285E-0A4E-9EA7-72F8E959EDEB}" keepAlive="1" name="Query - sheet1 (34)" description="Connection to the 'sheet1 (34)' query in the workbook." type="5" refreshedVersion="8" background="1" saveData="1">
    <dbPr connection="Provider=Microsoft.Mashup.OleDb.1;Data Source=$Workbook$;Location=&quot;sheet1 (34)&quot;;Extended Properties=&quot;&quot;" command="SELECT * FROM [sheet1 (34)]"/>
  </connection>
  <connection id="29" xr16:uid="{7BE00E1C-6290-F64F-9495-7C8A2C535096}" keepAlive="1" name="Query - sheet1 (35)" description="Connection to the 'sheet1 (35)' query in the workbook." type="5" refreshedVersion="8" background="1" saveData="1">
    <dbPr connection="Provider=Microsoft.Mashup.OleDb.1;Data Source=$Workbook$;Location=&quot;sheet1 (35)&quot;;Extended Properties=&quot;&quot;" command="SELECT * FROM [sheet1 (35)]"/>
  </connection>
  <connection id="30" xr16:uid="{14D6D479-9552-134D-9C08-7D39011448EC}" keepAlive="1" name="Query - sheet1 (36)" description="Connection to the 'sheet1 (36)' query in the workbook." type="5" refreshedVersion="8" background="1" saveData="1">
    <dbPr connection="Provider=Microsoft.Mashup.OleDb.1;Data Source=$Workbook$;Location=&quot;sheet1 (36)&quot;;Extended Properties=&quot;&quot;" command="SELECT * FROM [sheet1 (36)]"/>
  </connection>
  <connection id="31" xr16:uid="{3C07D9CA-D99A-104B-B166-19958D8BBAEB}" keepAlive="1" name="Query - sheet1 (37)" description="Connection to the 'sheet1 (37)' query in the workbook." type="5" refreshedVersion="8" background="1" saveData="1">
    <dbPr connection="Provider=Microsoft.Mashup.OleDb.1;Data Source=$Workbook$;Location=&quot;sheet1 (37)&quot;;Extended Properties=&quot;&quot;" command="SELECT * FROM [sheet1 (37)]"/>
  </connection>
  <connection id="32" xr16:uid="{79408C0D-8206-D145-B596-298F080DE97C}" keepAlive="1" name="Query - sheet1 (38)" description="Connection to the 'sheet1 (38)' query in the workbook." type="5" refreshedVersion="8" background="1" saveData="1">
    <dbPr connection="Provider=Microsoft.Mashup.OleDb.1;Data Source=$Workbook$;Location=&quot;sheet1 (38)&quot;;Extended Properties=&quot;&quot;" command="SELECT * FROM [sheet1 (38)]"/>
  </connection>
  <connection id="33" xr16:uid="{4B540099-A14E-EC42-97C2-7E67790E4F95}" keepAlive="1" name="Query - sheet1 (39)" description="Connection to the 'sheet1 (39)' query in the workbook." type="5" refreshedVersion="8" background="1" saveData="1">
    <dbPr connection="Provider=Microsoft.Mashup.OleDb.1;Data Source=$Workbook$;Location=&quot;sheet1 (39)&quot;;Extended Properties=&quot;&quot;" command="SELECT * FROM [sheet1 (39)]"/>
  </connection>
  <connection id="34" xr16:uid="{7E4C528A-39BD-6948-B11D-E58679F47813}" keepAlive="1" name="Query - sheet1 (4)" description="Connection to the 'sheet1 (4)' query in the workbook." type="5" refreshedVersion="8" background="1" saveData="1">
    <dbPr connection="Provider=Microsoft.Mashup.OleDb.1;Data Source=$Workbook$;Location=&quot;sheet1 (4)&quot;;Extended Properties=&quot;&quot;" command="SELECT * FROM [sheet1 (4)]"/>
  </connection>
  <connection id="35" xr16:uid="{DFEC8173-A12B-5A4D-9BC0-8B8E24C2EDC3}" keepAlive="1" name="Query - sheet1 (40)" description="Connection to the 'sheet1 (40)' query in the workbook." type="5" refreshedVersion="8" background="1" saveData="1">
    <dbPr connection="Provider=Microsoft.Mashup.OleDb.1;Data Source=$Workbook$;Location=&quot;sheet1 (40)&quot;;Extended Properties=&quot;&quot;" command="SELECT * FROM [sheet1 (40)]"/>
  </connection>
  <connection id="36" xr16:uid="{7DAA7AC5-0044-4842-AB2E-11F50386FE78}" keepAlive="1" name="Query - sheet1 (41)" description="Connection to the 'sheet1 (41)' query in the workbook." type="5" refreshedVersion="8" background="1" saveData="1">
    <dbPr connection="Provider=Microsoft.Mashup.OleDb.1;Data Source=$Workbook$;Location=&quot;sheet1 (41)&quot;;Extended Properties=&quot;&quot;" command="SELECT * FROM [sheet1 (41)]"/>
  </connection>
  <connection id="37" xr16:uid="{590FF90F-2CC8-DB46-8D27-1257153BA61E}" keepAlive="1" name="Query - sheet1 (42)" description="Connection to the 'sheet1 (42)' query in the workbook." type="5" refreshedVersion="8" background="1" saveData="1">
    <dbPr connection="Provider=Microsoft.Mashup.OleDb.1;Data Source=$Workbook$;Location=&quot;sheet1 (42)&quot;;Extended Properties=&quot;&quot;" command="SELECT * FROM [sheet1 (42)]"/>
  </connection>
  <connection id="38" xr16:uid="{5D4E2EE8-8E29-8A4A-AE99-FDE78B3F6D4E}" keepAlive="1" name="Query - sheet1 (43)" description="Connection to the 'sheet1 (43)' query in the workbook." type="5" refreshedVersion="8" background="1" saveData="1">
    <dbPr connection="Provider=Microsoft.Mashup.OleDb.1;Data Source=$Workbook$;Location=&quot;sheet1 (43)&quot;;Extended Properties=&quot;&quot;" command="SELECT * FROM [sheet1 (43)]"/>
  </connection>
  <connection id="39" xr16:uid="{DB13BAAE-57E6-1A42-8FE9-F5AE070F5CFE}" keepAlive="1" name="Query - sheet1 (5)" description="Connection to the 'sheet1 (5)' query in the workbook." type="5" refreshedVersion="8" background="1" saveData="1">
    <dbPr connection="Provider=Microsoft.Mashup.OleDb.1;Data Source=$Workbook$;Location=&quot;sheet1 (5)&quot;;Extended Properties=&quot;&quot;" command="SELECT * FROM [sheet1 (5)]"/>
  </connection>
  <connection id="40" xr16:uid="{B2668136-3C3A-6241-8434-C931FF61956A}" keepAlive="1" name="Query - sheet1 (6)" description="Connection to the 'sheet1 (6)' query in the workbook." type="5" refreshedVersion="8" background="1" saveData="1">
    <dbPr connection="Provider=Microsoft.Mashup.OleDb.1;Data Source=$Workbook$;Location=&quot;sheet1 (6)&quot;;Extended Properties=&quot;&quot;" command="SELECT * FROM [sheet1 (6)]"/>
  </connection>
  <connection id="41" xr16:uid="{0479212A-23B6-A34D-9CF1-0E32E8C014ED}" keepAlive="1" name="Query - sheet1 (7)" description="Connection to the 'sheet1 (7)' query in the workbook." type="5" refreshedVersion="8" background="1" saveData="1">
    <dbPr connection="Provider=Microsoft.Mashup.OleDb.1;Data Source=$Workbook$;Location=&quot;sheet1 (7)&quot;;Extended Properties=&quot;&quot;" command="SELECT * FROM [sheet1 (7)]"/>
  </connection>
  <connection id="42" xr16:uid="{42E9B9EB-B1B9-9D40-951B-5BCF411EDECA}" keepAlive="1" name="Query - sheet1 (8)" description="Connection to the 'sheet1 (8)' query in the workbook." type="5" refreshedVersion="8" background="1" saveData="1">
    <dbPr connection="Provider=Microsoft.Mashup.OleDb.1;Data Source=$Workbook$;Location=&quot;sheet1 (8)&quot;;Extended Properties=&quot;&quot;" command="SELECT * FROM [sheet1 (8)]"/>
  </connection>
  <connection id="43" xr16:uid="{8DCE3752-386D-5945-AEA0-8281C6C1DE1A}" keepAlive="1" name="Query - sheet1 (9)" description="Connection to the 'sheet1 (9)' query in the workbook." type="5" refreshedVersion="8" background="1" saveData="1">
    <dbPr connection="Provider=Microsoft.Mashup.OleDb.1;Data Source=$Workbook$;Location=&quot;sheet1 (9)&quot;;Extended Properties=&quot;&quot;" command="SELECT * FROM [sheet1 (9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<sst xmlns="http://schemas.openxmlformats.org/spreadsheetml/2006/main" count="164" uniqueCount="26">
  <si>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</si>
  <si>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</si>
  <si>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</si>
  <si>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</si>
  <si>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</si>
  <si>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</si>
  <si>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</si>
  <si>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</si>
  <si>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</si>
  <si>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</si>
  <si>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</si>
  <si>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</si>
  <si>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</si>
  <si>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</si>
  <si>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</si>
  <si>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</si>
  <si>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</si>
  <si>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</si>
  <si>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rho_avg</t>
  </si>
  <si>
    <t>h_in</t>
  </si>
  <si>
    <t>h_out</t>
  </si>
  <si>
    <t>Q</t>
  </si>
  <si>
    <t>average steady state Q</t>
  </si>
  <si>
    <t>Velocity (m/s)</t>
  </si>
  <si>
    <t>Q_steady (W)</t>
  </si>
  <si>
    <t>44606.5477417613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</si>
</sst>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Library/Group%20Containers/UBF8T346G9.Office/CoolProp.xlam" TargetMode="External"/><Relationship Id="rId2" Type="http://schemas.openxmlformats.org/officeDocument/2006/relationships/externalLinkPath" Target="/Users/angelajping/Library/Group%20Containers/UBF8T346G9.Office/CoolProp.xlam" TargetMode="External"/><Relationship Id="rId1" Type="http://schemas.openxmlformats.org/officeDocument/2006/relationships/externalLinkPath" Target="/Users/angelajping/Library/Group%20Containers/UBF8T346G9.Office/CoolProp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3"/>
    </sheetNames>
    <definedNames>
      <definedName name="PropsSI"/>
    </definedNames>
    <sheetDataSet>
      <sheetData sheetId="0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1" xr16:uid="{F1D7ADA1-AC86-A548-A84C-84B6C00AEFD8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2" xr16:uid="{FEFB2D26-7178-6045-AA6D-8F7350501481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3" xr16:uid="{4C48D9B6-0932-8B4E-9526-D03033ABE9B0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5" xr16:uid="{AB671947-9A79-E84F-99E4-B1D75DAF63F2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6" xr16:uid="{07E39F7E-60DB-1D47-9D0F-A9D6471DF396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7" xr16:uid="{218EC611-BC49-6946-85FF-CC16F7B10730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8" xr16:uid="{EF7C3266-F11B-9C42-8D73-910BBE9203EE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C63EED9-CE8B-9B49-9C4B-82E6979052A5}" name="sheet1__37" displayName="sheet1__37" ref="A1:O35" tableType="queryTable" totalsRowShown="0">
  <autoFilter ref="A1:O35" xr:uid="{CC63EED9-CE8B-9B49-9C4B-82E6979052A5}"/>
  <tableColumns count="15">
    <tableColumn id="1" xr3:uid="{2770941F-9092-7B4A-9CD7-A2E5717FA5EF}" uniqueName="1" name="Time" queryTableFieldId="1"/>
    <tableColumn id="2" xr3:uid="{7395BE94-A973-6048-8A4D-99CB42096FEF}" uniqueName="2" name="T1" queryTableFieldId="2"/>
    <tableColumn id="3" xr3:uid="{F79B03CB-4B51-FE45-9DBD-EA240EC041AD}" uniqueName="3" name="T2" queryTableFieldId="3"/>
    <tableColumn id="4" xr3:uid="{C02323F7-9B67-0845-BEF5-79FF1349F014}" uniqueName="4" name="T3" queryTableFieldId="4"/>
    <tableColumn id="5" xr3:uid="{DC95B237-E8EB-F24E-8394-7DB61679C870}" uniqueName="5" name="T4" queryTableFieldId="5"/>
    <tableColumn id="6" xr3:uid="{EB421561-F72F-6A4F-8508-DC98FFB89C86}" uniqueName="6" name="T5" queryTableFieldId="6"/>
    <tableColumn id="7" xr3:uid="{8F9A86F0-58E1-6442-A1A1-9BBE124350E8}" uniqueName="7" name="T6" queryTableFieldId="7"/>
    <tableColumn id="8" xr3:uid="{04427787-02DB-B34F-B8B2-36866ED2B603}" uniqueName="8" name="T7" queryTableFieldId="8"/>
    <tableColumn id="9" xr3:uid="{ED0D35F5-278E-BD4C-B8C6-5C3CC5F77935}" uniqueName="9" name="T8" queryTableFieldId="9"/>
    <tableColumn id="10" xr3:uid="{4B9CB83A-C506-4B4C-A47C-B9C4C5AA0794}" uniqueName="10" name="RTD_IN" queryTableFieldId="10"/>
    <tableColumn id="11" xr3:uid="{C6888EFE-B5A2-6E4E-85F4-AE773FB8BC6F}" uniqueName="11" name="RTD_OUT" queryTableFieldId="11"/>
    <tableColumn id="12" xr3:uid="{BA362E48-5F9A-6441-A812-F2D03137CA60}" uniqueName="12" name="DPT_TS" queryTableFieldId="12"/>
    <tableColumn id="13" xr3:uid="{A468300C-FBBC-2C4B-A771-03AE9D3C647E}" uniqueName="13" name="DPT_nozzle" queryTableFieldId="13"/>
    <tableColumn id="14" xr3:uid="{50E20D0C-D968-3146-AC3A-964B8F849839}" uniqueName="14" name="Flow_gps" queryTableFieldId="14"/>
    <tableColumn id="15" xr3:uid="{ADD68654-3BFD-3D4B-8E81-233194E6EE7D}" uniqueName="15" name="DP_liquid" queryTableFieldId="1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635F499-B5A2-6D43-B79C-A8CD4BC45115}" name="sheet1__38" displayName="sheet1__38" ref="A1:O57" tableType="queryTable" totalsRowShown="0">
  <autoFilter ref="A1:O57" xr:uid="{D635F499-B5A2-6D43-B79C-A8CD4BC45115}"/>
  <tableColumns count="15">
    <tableColumn id="1" xr3:uid="{9C79049A-1D5A-9B48-B5C2-CA3AE7308EFC}" uniqueName="1" name="Time" queryTableFieldId="1"/>
    <tableColumn id="2" xr3:uid="{02F481BB-21DE-6544-9638-09015CC14827}" uniqueName="2" name="T1" queryTableFieldId="2"/>
    <tableColumn id="3" xr3:uid="{F80ACD45-62D5-5948-9370-58B4F5E8BF7E}" uniqueName="3" name="T2" queryTableFieldId="3"/>
    <tableColumn id="4" xr3:uid="{8E974261-F01D-0247-9F33-318FC32C470D}" uniqueName="4" name="T3" queryTableFieldId="4"/>
    <tableColumn id="5" xr3:uid="{11110489-E551-9642-8461-1362B06B24CD}" uniqueName="5" name="T4" queryTableFieldId="5"/>
    <tableColumn id="6" xr3:uid="{A1890C03-27F9-AE49-8796-DF9A13EC09B7}" uniqueName="6" name="T5" queryTableFieldId="6"/>
    <tableColumn id="7" xr3:uid="{FFEC747C-4B2F-944B-ADA8-8745D2E23F4F}" uniqueName="7" name="T6" queryTableFieldId="7"/>
    <tableColumn id="8" xr3:uid="{BE7405E5-1350-B049-99FC-E35C0BDD6EDD}" uniqueName="8" name="T7" queryTableFieldId="8"/>
    <tableColumn id="9" xr3:uid="{780F7F36-4828-B44F-B1DB-804FEABBBCBA}" uniqueName="9" name="T8" queryTableFieldId="9"/>
    <tableColumn id="10" xr3:uid="{54F2DBB7-BD6E-294F-9D97-9D89D95A21E2}" uniqueName="10" name="RTD_IN" queryTableFieldId="10"/>
    <tableColumn id="11" xr3:uid="{8BA9BD58-10E4-014A-9A94-C3CBBC87D215}" uniqueName="11" name="RTD_OUT" queryTableFieldId="11"/>
    <tableColumn id="12" xr3:uid="{DA503748-F77C-F246-A89E-FF0A5DFE92BF}" uniqueName="12" name="DPT_TS" queryTableFieldId="12"/>
    <tableColumn id="13" xr3:uid="{04FE7520-72E3-E340-9E7D-132220532999}" uniqueName="13" name="DPT_nozzle" queryTableFieldId="13"/>
    <tableColumn id="14" xr3:uid="{BEED4001-334D-4746-A59B-2F4E52DB58F0}" uniqueName="14" name="Flow_gps" queryTableFieldId="14"/>
    <tableColumn id="15" xr3:uid="{39F4AD4D-C54D-9E40-A9CA-F3B5C72FB30B}" uniqueName="15" name="DP_liquid" queryTableFieldId="1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3350A6C-A7A2-3844-AD1B-3807125952D5}" name="sheet1__39" displayName="sheet1__39" ref="A1:O39" tableType="queryTable" totalsRowShown="0">
  <autoFilter ref="A1:O39" xr:uid="{53350A6C-A7A2-3844-AD1B-3807125952D5}"/>
  <tableColumns count="15">
    <tableColumn id="1" xr3:uid="{83588CF2-3663-634A-B1CD-8E611FAAED10}" uniqueName="1" name="Time" queryTableFieldId="1"/>
    <tableColumn id="2" xr3:uid="{2B9214B0-DD48-1844-B63B-668F6ED03496}" uniqueName="2" name="T1" queryTableFieldId="2"/>
    <tableColumn id="3" xr3:uid="{8F92D31B-4E99-2241-B613-067EC97003BF}" uniqueName="3" name="T2" queryTableFieldId="3"/>
    <tableColumn id="4" xr3:uid="{44B674AC-A03F-8B4D-9E3C-7A8B7C356E3E}" uniqueName="4" name="T3" queryTableFieldId="4"/>
    <tableColumn id="5" xr3:uid="{0D151AA7-2256-D646-AF76-DB608C7EB709}" uniqueName="5" name="T4" queryTableFieldId="5"/>
    <tableColumn id="6" xr3:uid="{D6E416A7-AE5D-AB45-8888-9AD008E951B9}" uniqueName="6" name="T5" queryTableFieldId="6"/>
    <tableColumn id="7" xr3:uid="{49C2F0E9-1E5B-FE4D-A2A0-823C45A7115B}" uniqueName="7" name="T6" queryTableFieldId="7"/>
    <tableColumn id="8" xr3:uid="{1A454EC6-8B1D-B848-888D-B54AC283ED16}" uniqueName="8" name="T7" queryTableFieldId="8"/>
    <tableColumn id="9" xr3:uid="{E19E23FC-9BC7-3244-8AE5-884C8B11B7F6}" uniqueName="9" name="T8" queryTableFieldId="9"/>
    <tableColumn id="10" xr3:uid="{8197B254-7122-1444-8024-D9A96BF90E49}" uniqueName="10" name="RTD_IN" queryTableFieldId="10"/>
    <tableColumn id="11" xr3:uid="{35E69537-98A5-3748-B519-C3CAC28FF4FC}" uniqueName="11" name="RTD_OUT" queryTableFieldId="11"/>
    <tableColumn id="12" xr3:uid="{19FDEC58-F215-914E-A3E1-9F627677EC51}" uniqueName="12" name="DPT_TS" queryTableFieldId="12"/>
    <tableColumn id="13" xr3:uid="{36F58EAE-912D-604A-BAB7-79570B795C89}" uniqueName="13" name="DPT_nozzle" queryTableFieldId="13"/>
    <tableColumn id="14" xr3:uid="{8AA57E12-FF13-E14F-AE32-A0D0BA5BF5B9}" uniqueName="14" name="Flow_gps" queryTableFieldId="14"/>
    <tableColumn id="15" xr3:uid="{5290CFAC-9D3F-D44C-93F1-FA85D96EA7B4}" uniqueName="15" name="DP_liquid" queryTableFieldId="1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4FA53FF-C304-7440-8C3B-10C041ACA542}" name="sheet1__40" displayName="sheet1__40" ref="A1:O32" tableType="queryTable" totalsRowShown="0">
  <autoFilter ref="A1:O32" xr:uid="{44FA53FF-C304-7440-8C3B-10C041ACA542}"/>
  <tableColumns count="15">
    <tableColumn id="1" xr3:uid="{B67A1985-959E-7A4E-9F1C-E02179278DD8}" uniqueName="1" name="Time" queryTableFieldId="1"/>
    <tableColumn id="2" xr3:uid="{D73BEB41-F961-9042-9577-C270D4896FD3}" uniqueName="2" name="T1" queryTableFieldId="2"/>
    <tableColumn id="3" xr3:uid="{C1BCE412-9909-494A-82C3-B9F003FD8442}" uniqueName="3" name="T2" queryTableFieldId="3"/>
    <tableColumn id="4" xr3:uid="{CAC38265-F1E2-2E4C-8F26-B91B840FFE9B}" uniqueName="4" name="T3" queryTableFieldId="4"/>
    <tableColumn id="5" xr3:uid="{4F2CC956-1F7E-E94A-ADC2-4F98E95E93FA}" uniqueName="5" name="T4" queryTableFieldId="5"/>
    <tableColumn id="6" xr3:uid="{D76C2988-F46F-1343-B20E-8874E3E05413}" uniqueName="6" name="T5" queryTableFieldId="6"/>
    <tableColumn id="7" xr3:uid="{DEA4DBEF-11C8-204B-B8A5-260E2F666954}" uniqueName="7" name="T6" queryTableFieldId="7"/>
    <tableColumn id="8" xr3:uid="{496A6687-BA39-2042-9480-394CA094D410}" uniqueName="8" name="T7" queryTableFieldId="8"/>
    <tableColumn id="9" xr3:uid="{D5CE80F7-0223-D44B-B994-86A7D2CB6D24}" uniqueName="9" name="T8" queryTableFieldId="9"/>
    <tableColumn id="10" xr3:uid="{08FF7CE3-5088-044A-AE90-EF144A8A1567}" uniqueName="10" name="RTD_IN" queryTableFieldId="10"/>
    <tableColumn id="11" xr3:uid="{8A0F3EFF-A2D3-9D40-A4E6-FCE185776E11}" uniqueName="11" name="RTD_OUT" queryTableFieldId="11"/>
    <tableColumn id="12" xr3:uid="{A2ACEA57-0099-AC47-B45D-DF14EE5AACEF}" uniqueName="12" name="DPT_TS" queryTableFieldId="12"/>
    <tableColumn id="13" xr3:uid="{7820CB10-A38A-7E4D-904B-42A505A1451B}" uniqueName="13" name="DPT_nozzle" queryTableFieldId="13"/>
    <tableColumn id="14" xr3:uid="{D617EEA2-B3A2-8E47-850B-36A550266D5E}" uniqueName="14" name="Flow_gps" queryTableFieldId="14"/>
    <tableColumn id="15" xr3:uid="{CB88FF93-13E2-2448-AC7D-72647255D828}" uniqueName="15" name="DP_liquid" queryTableFieldId="1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AE453F5-7AB3-8F4C-9983-4057567A7FEF}" name="sheet1__41" displayName="sheet1__41" ref="A1:O36" tableType="queryTable" totalsRowShown="0">
  <autoFilter ref="A1:O36" xr:uid="{3AE453F5-7AB3-8F4C-9983-4057567A7FEF}"/>
  <tableColumns count="15">
    <tableColumn id="1" xr3:uid="{58637104-4567-784C-A252-32EAF32C84EC}" uniqueName="1" name="Time" queryTableFieldId="1"/>
    <tableColumn id="2" xr3:uid="{2FF11F18-3C0E-5F4E-8CA4-4229B5BD1619}" uniqueName="2" name="T1" queryTableFieldId="2"/>
    <tableColumn id="3" xr3:uid="{182EE422-E594-0E48-856A-22D5AF0CCF40}" uniqueName="3" name="T2" queryTableFieldId="3"/>
    <tableColumn id="4" xr3:uid="{1FFAF15F-4150-F640-AF9F-4FDDE586DA30}" uniqueName="4" name="T3" queryTableFieldId="4"/>
    <tableColumn id="5" xr3:uid="{2B8BF00C-BCBF-3B45-8160-CCAFF83AC250}" uniqueName="5" name="T4" queryTableFieldId="5"/>
    <tableColumn id="6" xr3:uid="{4952D067-1F68-A046-BEF3-B3E3676E3DE3}" uniqueName="6" name="T5" queryTableFieldId="6"/>
    <tableColumn id="7" xr3:uid="{3EF963E0-B7C7-AF41-9582-746905A1EF94}" uniqueName="7" name="T6" queryTableFieldId="7"/>
    <tableColumn id="8" xr3:uid="{C0481205-BF42-734D-B3D4-D3E671466E62}" uniqueName="8" name="T7" queryTableFieldId="8"/>
    <tableColumn id="9" xr3:uid="{E8CC173D-3313-4E45-9107-3AB39E1C9119}" uniqueName="9" name="T8" queryTableFieldId="9"/>
    <tableColumn id="10" xr3:uid="{32FC02FF-D275-5043-818A-80D44261C435}" uniqueName="10" name="RTD_IN" queryTableFieldId="10"/>
    <tableColumn id="11" xr3:uid="{74305640-97C1-D54E-82DA-E3ABBD761928}" uniqueName="11" name="RTD_OUT" queryTableFieldId="11"/>
    <tableColumn id="12" xr3:uid="{E1FC39D7-1EFE-6643-88E9-8F504705455E}" uniqueName="12" name="DPT_TS" queryTableFieldId="12"/>
    <tableColumn id="13" xr3:uid="{4C69B901-0BBB-8546-B825-CCC516F94197}" uniqueName="13" name="DPT_nozzle" queryTableFieldId="13"/>
    <tableColumn id="14" xr3:uid="{7A273F0E-1906-7649-81E8-2238CD46B6B6}" uniqueName="14" name="Flow_gps" queryTableFieldId="14"/>
    <tableColumn id="15" xr3:uid="{EB062AAE-12DE-EA4E-BA4D-D1C48716FB6E}" uniqueName="15" name="DP_liquid" queryTableFieldId="1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A4DDDD1-8F37-8B42-807C-AAF4413D5456}" name="sheet1__42" displayName="sheet1__42" ref="A1:O49" tableType="queryTable" totalsRowShown="0">
  <autoFilter ref="A1:O49" xr:uid="{EA4DDDD1-8F37-8B42-807C-AAF4413D5456}"/>
  <tableColumns count="15">
    <tableColumn id="1" xr3:uid="{19CB7251-74C4-1441-B036-5733D2189D17}" uniqueName="1" name="Time" queryTableFieldId="1"/>
    <tableColumn id="2" xr3:uid="{4CBC7752-206D-D348-B50E-15A5B33C4EBE}" uniqueName="2" name="T1" queryTableFieldId="2"/>
    <tableColumn id="3" xr3:uid="{E1F77117-01FE-E149-8EC6-1EC3B61B403A}" uniqueName="3" name="T2" queryTableFieldId="3"/>
    <tableColumn id="4" xr3:uid="{0BB8E0E0-053A-0640-BAF5-1122D69980AE}" uniqueName="4" name="T3" queryTableFieldId="4"/>
    <tableColumn id="5" xr3:uid="{C88AEB01-708B-2043-BD6C-CA62A1E765DF}" uniqueName="5" name="T4" queryTableFieldId="5"/>
    <tableColumn id="6" xr3:uid="{33A35083-06FF-C14B-A813-42A30C7AED57}" uniqueName="6" name="T5" queryTableFieldId="6"/>
    <tableColumn id="7" xr3:uid="{EE158F7E-C53C-1645-8ACB-F4C95A045F9D}" uniqueName="7" name="T6" queryTableFieldId="7"/>
    <tableColumn id="8" xr3:uid="{F4F7809A-4767-3042-8D47-36B61868FA9F}" uniqueName="8" name="T7" queryTableFieldId="8"/>
    <tableColumn id="9" xr3:uid="{4728FDAF-9512-2343-879E-203830185602}" uniqueName="9" name="T8" queryTableFieldId="9"/>
    <tableColumn id="10" xr3:uid="{C6166073-F03B-6E4E-9AB2-30E846DF9B0A}" uniqueName="10" name="RTD_IN" queryTableFieldId="10"/>
    <tableColumn id="11" xr3:uid="{DB01D4BD-79AC-2D40-8D3A-592A4E2F6024}" uniqueName="11" name="RTD_OUT" queryTableFieldId="11"/>
    <tableColumn id="12" xr3:uid="{C62A3544-D616-274B-AEDC-7625D3AB0B20}" uniqueName="12" name="DPT_TS" queryTableFieldId="12"/>
    <tableColumn id="13" xr3:uid="{231778F1-0BCB-D140-9230-830DCA3D7DCF}" uniqueName="13" name="DPT_nozzle" queryTableFieldId="13"/>
    <tableColumn id="14" xr3:uid="{068E67C8-6EDD-A944-83FB-7D3CD0166ED6}" uniqueName="14" name="Flow_gps" queryTableFieldId="14"/>
    <tableColumn id="15" xr3:uid="{53A63263-68CE-C542-A98E-06EA5C0CE9AE}" uniqueName="15" name="DP_liquid" queryTableFieldId="15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D53FBF31-59D0-5341-A9D4-0C683FAD7A52}" name="sheet1__43" displayName="sheet1__43" ref="A1:O49" tableType="queryTable" totalsRowShown="0">
  <autoFilter ref="A1:O49" xr:uid="{D53FBF31-59D0-5341-A9D4-0C683FAD7A52}"/>
  <tableColumns count="15">
    <tableColumn id="1" xr3:uid="{D2BE9F71-170A-4D41-89F7-BF6BE51F051A}" uniqueName="1" name="Time" queryTableFieldId="1"/>
    <tableColumn id="2" xr3:uid="{6C3D820A-FBB5-D542-B5E4-541E2A35A81D}" uniqueName="2" name="T1" queryTableFieldId="2"/>
    <tableColumn id="3" xr3:uid="{AA295F1B-B189-BA4D-8B99-E8D6F3721A63}" uniqueName="3" name="T2" queryTableFieldId="3"/>
    <tableColumn id="4" xr3:uid="{5CF0BF2E-8C5F-C549-BC14-3A84B0ED3935}" uniqueName="4" name="T3" queryTableFieldId="4"/>
    <tableColumn id="5" xr3:uid="{70A545CF-A59E-DD4A-BEB8-75CCC0A3C547}" uniqueName="5" name="T4" queryTableFieldId="5"/>
    <tableColumn id="6" xr3:uid="{BD7A2BE3-981A-1047-B9E0-17F0957FCBD4}" uniqueName="6" name="T5" queryTableFieldId="6"/>
    <tableColumn id="7" xr3:uid="{79D9D955-FFE9-9E49-A815-D21D84BEFC50}" uniqueName="7" name="T6" queryTableFieldId="7"/>
    <tableColumn id="8" xr3:uid="{CF7733C7-A794-0745-AD91-200B530A4F1F}" uniqueName="8" name="T7" queryTableFieldId="8"/>
    <tableColumn id="9" xr3:uid="{74E4B7AE-CE1D-9740-87E5-F291E10F55D2}" uniqueName="9" name="T8" queryTableFieldId="9"/>
    <tableColumn id="10" xr3:uid="{7E803E7A-D443-554E-B4F1-BD32010809A9}" uniqueName="10" name="RTD_IN" queryTableFieldId="10"/>
    <tableColumn id="11" xr3:uid="{7C3333B7-589C-3D49-BE29-9A737A12E2CD}" uniqueName="11" name="RTD_OUT" queryTableFieldId="11"/>
    <tableColumn id="12" xr3:uid="{EC94B7BC-E3CE-944F-AF44-208E72F4764E}" uniqueName="12" name="DPT_TS" queryTableFieldId="12"/>
    <tableColumn id="13" xr3:uid="{134D65D1-C186-D045-BF6B-D2D7D481FB67}" uniqueName="13" name="DPT_nozzle" queryTableFieldId="13"/>
    <tableColumn id="14" xr3:uid="{97681C9A-251D-A547-8734-3766691E9108}" uniqueName="14" name="Flow_gps" queryTableFieldId="14"/>
    <tableColumn id="15" xr3:uid="{E6748B1F-5A9A-E24E-B958-4F6293B37CC5}" uniqueName="15" name="DP_liquid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72463-65CE-6F45-9590-627AE751323C}">
  <dimension ref="A1:B8"/>
  <sheetViews>
    <sheetView tabSelected="1" workbookViewId="0">
      <selection activeCell="B8" sqref="B8"/>
    </sheetView>
  </sheetViews>
  <sheetFormatPr baseColWidth="10" defaultRowHeight="16" x14ac:dyDescent="0.2"/>
  <cols>
    <col min="1" max="1" width="20.6640625" customWidth="1"/>
    <col min="2" max="2" width="18.6640625" customWidth="1"/>
  </cols>
  <sheetData>
    <row r="1" spans="1:2" x14ac:dyDescent="0.2">
      <c r="A1" s="2" t="s">
        <v>23</v>
      </c>
      <c r="B1" s="2" t="s">
        <v>24</v>
      </c>
    </row>
    <row r="2" spans="1:2" x14ac:dyDescent="0.2">
      <c r="A2">
        <v>1</v>
      </c>
      <c r="B2">
        <v>217.57868810631362</v>
      </c>
    </row>
    <row r="3" spans="1:2" x14ac:dyDescent="0.2">
      <c r="A3">
        <v>2</v>
      </c>
      <c r="B3">
        <v>389.72583506959455</v>
      </c>
    </row>
    <row r="4" spans="1:2" x14ac:dyDescent="0.2">
      <c r="A4">
        <v>3</v>
      </c>
      <c r="B4">
        <v>503.63216526044647</v>
      </c>
    </row>
    <row r="5" spans="1:2" x14ac:dyDescent="0.2">
      <c r="A5">
        <v>4</v>
      </c>
      <c r="B5">
        <v>579.00707061218657</v>
      </c>
    </row>
    <row r="6" spans="1:2" x14ac:dyDescent="0.2">
      <c r="A6">
        <v>5</v>
      </c>
      <c r="B6">
        <v>643.91082079138096</v>
      </c>
    </row>
    <row r="7" spans="1:2" x14ac:dyDescent="0.2">
      <c r="A7">
        <v>6</v>
      </c>
      <c r="B7">
        <v>680.63730310814151</v>
      </c>
    </row>
    <row r="8" spans="1:2" x14ac:dyDescent="0.2">
      <c r="A8">
        <v>7</v>
      </c>
      <c r="B8">
        <v>713.90017601211514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33B46-0D07-2C46-B8E0-EF4AE001540F}">
  <dimension ref="A1:V38"/>
  <sheetViews>
    <sheetView topLeftCell="A5" workbookViewId="0">
      <selection activeCell="E38" sqref="E38"/>
    </sheetView>
  </sheetViews>
  <sheetFormatPr baseColWidth="10" defaultRowHeight="16" x14ac:dyDescent="0.2"/>
  <cols>
    <col min="1" max="1" width="12.1640625" bestFit="1" customWidth="1"/>
    <col min="2" max="10" width="10.1640625" bestFit="1" customWidth="1"/>
    <col min="11" max="11" width="11.1640625" bestFit="1" customWidth="1"/>
    <col min="12" max="12" width="10.1640625" bestFit="1" customWidth="1"/>
    <col min="13" max="13" width="13" bestFit="1" customWidth="1"/>
    <col min="14" max="14" width="11.33203125" bestFit="1" customWidth="1"/>
    <col min="15" max="15" width="11.5" bestFit="1" customWidth="1"/>
    <col min="16" max="16" width="12.5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>
        <v>44606.535089562203</v>
      </c>
      <c r="B2">
        <v>20.273503999999999</v>
      </c>
      <c r="C2">
        <v>20.193421000000001</v>
      </c>
      <c r="D2">
        <v>20.203462999999999</v>
      </c>
      <c r="E2">
        <v>20.078029000000001</v>
      </c>
      <c r="F2">
        <v>42.017214000000003</v>
      </c>
      <c r="G2">
        <v>38.483626999999998</v>
      </c>
      <c r="H2">
        <v>26.415562000000001</v>
      </c>
      <c r="I2">
        <v>29.698869999999999</v>
      </c>
      <c r="J2">
        <v>55.704647999999999</v>
      </c>
      <c r="K2">
        <v>52.432775999999997</v>
      </c>
      <c r="L2">
        <v>12.802476</v>
      </c>
      <c r="M2">
        <v>-622.49550999999997</v>
      </c>
      <c r="N2">
        <v>0.955233</v>
      </c>
      <c r="O2">
        <v>1.5186280000000001</v>
      </c>
      <c r="P2">
        <f xml:space="preserve"> N2*0.001/60</f>
        <v>1.5920550000000001E-5</v>
      </c>
      <c r="Q2" cm="1">
        <f t="array" ref="Q2">[1]!PropsSI("D","T",J2+273.15,"P",101325,"Water")</f>
        <v>985.35036323730253</v>
      </c>
      <c r="R2" cm="1">
        <f t="array" ref="R2">[1]!PropsSI("D","T",K2+273.15,"P",101325,"Water")</f>
        <v>986.91547581982059</v>
      </c>
      <c r="S2">
        <f>(Q2+R2)/2</f>
        <v>986.13291952856162</v>
      </c>
      <c r="T2" cm="1">
        <f t="array" ref="T2">[1]!PropsSI("H","T",J2+273.15,"P",101325,"Water")</f>
        <v>233276.67755857555</v>
      </c>
      <c r="U2" cm="1">
        <f t="array" ref="U2">[1]!PropsSI("H","T",K2+273.15,"P",101325,"Water")</f>
        <v>219591.63741498435</v>
      </c>
      <c r="V2">
        <f>S2*P2*(T2-U2)</f>
        <v>214.85209836111426</v>
      </c>
    </row>
    <row r="3" spans="1:22" x14ac:dyDescent="0.2">
      <c r="A3">
        <v>44606.535205881599</v>
      </c>
      <c r="B3">
        <v>20.262259</v>
      </c>
      <c r="C3">
        <v>20.173909999999999</v>
      </c>
      <c r="D3">
        <v>20.203225</v>
      </c>
      <c r="E3">
        <v>20.060331000000001</v>
      </c>
      <c r="F3">
        <v>41.846856000000002</v>
      </c>
      <c r="G3">
        <v>37.590893000000001</v>
      </c>
      <c r="H3">
        <v>26.353748</v>
      </c>
      <c r="I3">
        <v>32.377040000000001</v>
      </c>
      <c r="J3">
        <v>55.701782999999999</v>
      </c>
      <c r="K3">
        <v>52.422122999999999</v>
      </c>
      <c r="L3">
        <v>13.700798000000001</v>
      </c>
      <c r="M3">
        <v>-622.48530700000003</v>
      </c>
      <c r="N3">
        <v>0.95484400000000003</v>
      </c>
      <c r="O3">
        <v>1.330387</v>
      </c>
      <c r="P3">
        <f t="shared" ref="P3" si="0" xml:space="preserve"> N3*0.001/60</f>
        <v>1.5914066666666667E-5</v>
      </c>
      <c r="Q3" cm="1">
        <f t="array" ref="Q3">[1]!PropsSI("D","T",J3+273.15,"P",101325,"Water")</f>
        <v>985.35176291374546</v>
      </c>
      <c r="R3" cm="1">
        <f t="array" ref="R3">[1]!PropsSI("D","T",K3+273.15,"P",101325,"Water")</f>
        <v>986.92046144717335</v>
      </c>
      <c r="S3">
        <f>(Q3+R3)/2</f>
        <v>986.13611218045935</v>
      </c>
      <c r="T3" cm="1">
        <f t="array" ref="T3">[1]!PropsSI("H","T",J3+273.15,"P",101325,"Water")</f>
        <v>233264.69264858949</v>
      </c>
      <c r="U3" cm="1">
        <f t="array" ref="U3">[1]!PropsSI("H","T",K3+273.15,"P",101325,"Water")</f>
        <v>219547.08575097343</v>
      </c>
      <c r="V3">
        <f t="shared" ref="V3:V11" si="1">S3*P3*(T3-U3)</f>
        <v>215.27638361150017</v>
      </c>
    </row>
    <row r="4" spans="1:22" x14ac:dyDescent="0.2">
      <c r="A4">
        <v>44606.535321622403</v>
      </c>
      <c r="B4">
        <v>20.235150999999998</v>
      </c>
      <c r="C4">
        <v>20.149349999999998</v>
      </c>
      <c r="D4">
        <v>20.186102000000002</v>
      </c>
      <c r="E4">
        <v>20.030743000000001</v>
      </c>
      <c r="F4">
        <v>41.707715</v>
      </c>
      <c r="G4">
        <v>38.026511999999997</v>
      </c>
      <c r="H4">
        <v>27.35557</v>
      </c>
      <c r="I4">
        <v>32.597199000000003</v>
      </c>
      <c r="J4">
        <v>55.693984999999998</v>
      </c>
      <c r="K4">
        <v>52.405268999999997</v>
      </c>
      <c r="L4">
        <v>12.883288</v>
      </c>
      <c r="M4">
        <v>-622.48979599999996</v>
      </c>
      <c r="N4">
        <v>0.956708</v>
      </c>
      <c r="O4">
        <v>1.612412</v>
      </c>
      <c r="P4">
        <f xml:space="preserve"> N4*0.001/60</f>
        <v>1.5945133333333334E-5</v>
      </c>
      <c r="Q4" cm="1">
        <f t="array" ref="Q4">[1]!PropsSI("D","T",J4+273.15,"P",101325,"Water")</f>
        <v>985.35557231790926</v>
      </c>
      <c r="R4" cm="1">
        <f t="array" ref="R4">[1]!PropsSI("D","T",K4+273.15,"P",101325,"Water")</f>
        <v>986.92834767660122</v>
      </c>
      <c r="S4">
        <f t="shared" ref="S4:S11" si="2">(Q4+R4)/2</f>
        <v>986.1419599972553</v>
      </c>
      <c r="T4" cm="1">
        <f t="array" ref="T4">[1]!PropsSI("H","T",J4+273.15,"P",101325,"Water")</f>
        <v>233232.07195618053</v>
      </c>
      <c r="U4" cm="1">
        <f t="array" ref="U4">[1]!PropsSI("H","T",K4+273.15,"P",101325,"Water")</f>
        <v>219476.60110327721</v>
      </c>
      <c r="V4">
        <f t="shared" si="1"/>
        <v>216.29329386302402</v>
      </c>
    </row>
    <row r="5" spans="1:22" x14ac:dyDescent="0.2">
      <c r="A5">
        <v>44606.535437941799</v>
      </c>
      <c r="B5">
        <v>20.217621000000001</v>
      </c>
      <c r="C5">
        <v>20.134287</v>
      </c>
      <c r="D5">
        <v>20.170348000000001</v>
      </c>
      <c r="E5">
        <v>20.021352</v>
      </c>
      <c r="F5">
        <v>42.398122000000001</v>
      </c>
      <c r="G5">
        <v>36.950381999999998</v>
      </c>
      <c r="H5">
        <v>28.096364000000001</v>
      </c>
      <c r="I5">
        <v>31.654226999999999</v>
      </c>
      <c r="J5">
        <v>55.698441000000003</v>
      </c>
      <c r="K5">
        <v>52.411788000000001</v>
      </c>
      <c r="L5">
        <v>12.426168000000001</v>
      </c>
      <c r="M5">
        <v>-622.50775499999997</v>
      </c>
      <c r="N5">
        <v>0.95820000000000005</v>
      </c>
      <c r="O5">
        <v>1.8239719999999999</v>
      </c>
      <c r="P5">
        <f t="shared" ref="P5:P11" si="3" xml:space="preserve"> N5*0.001/60</f>
        <v>1.5970000000000001E-5</v>
      </c>
      <c r="Q5" cm="1">
        <f t="array" ref="Q5">[1]!PropsSI("D","T",J5+273.15,"P",101325,"Water")</f>
        <v>985.35339556142242</v>
      </c>
      <c r="R5" cm="1">
        <f t="array" ref="R5">[1]!PropsSI("D","T",K5+273.15,"P",101325,"Water")</f>
        <v>986.92529755758687</v>
      </c>
      <c r="S5">
        <f t="shared" si="2"/>
        <v>986.1393465595047</v>
      </c>
      <c r="T5" cm="1">
        <f t="array" ref="T5">[1]!PropsSI("H","T",J5+273.15,"P",101325,"Water")</f>
        <v>233250.71234909241</v>
      </c>
      <c r="U5" cm="1">
        <f t="array" ref="U5">[1]!PropsSI("H","T",K5+273.15,"P",101325,"Water")</f>
        <v>219503.86402219982</v>
      </c>
      <c r="V5">
        <f t="shared" si="1"/>
        <v>216.49423918056166</v>
      </c>
    </row>
    <row r="6" spans="1:22" x14ac:dyDescent="0.2">
      <c r="A6">
        <v>46068.535553680558</v>
      </c>
      <c r="B6">
        <v>20.208273999999999</v>
      </c>
      <c r="C6">
        <v>20.121998999999999</v>
      </c>
      <c r="D6">
        <v>20.158992000000001</v>
      </c>
      <c r="E6">
        <v>19.986443999999999</v>
      </c>
      <c r="F6">
        <v>41.908638000000003</v>
      </c>
      <c r="G6">
        <v>37.477947999999998</v>
      </c>
      <c r="H6">
        <v>26.451367000000001</v>
      </c>
      <c r="I6">
        <v>30.758503000000001</v>
      </c>
      <c r="J6">
        <v>55.697805000000002</v>
      </c>
      <c r="K6">
        <v>52.397320000000001</v>
      </c>
      <c r="L6">
        <v>13.179600000000001</v>
      </c>
      <c r="M6">
        <v>-622.51591800000006</v>
      </c>
      <c r="N6">
        <v>0.95597900000000002</v>
      </c>
      <c r="O6">
        <v>1.2878419999999999</v>
      </c>
      <c r="P6">
        <f t="shared" si="3"/>
        <v>1.5932983333333335E-5</v>
      </c>
      <c r="Q6" cm="1">
        <f t="array" ref="Q6">[1]!PropsSI("D","T",J6+273.15,"P",101325,"Water")</f>
        <v>985.35370625496614</v>
      </c>
      <c r="R6" cm="1">
        <f t="array" ref="R6">[1]!PropsSI("D","T",K6+273.15,"P",101325,"Water")</f>
        <v>986.93206649896774</v>
      </c>
      <c r="S6">
        <f t="shared" si="2"/>
        <v>986.142886376967</v>
      </c>
      <c r="T6" cm="1">
        <f t="array" ref="T6">[1]!PropsSI("H","T",J6+273.15,"P",101325,"Water")</f>
        <v>233248.05182575309</v>
      </c>
      <c r="U6" cm="1">
        <f t="array" ref="U6">[1]!PropsSI("H","T",K6+273.15,"P",101325,"Water")</f>
        <v>219443.35784182526</v>
      </c>
      <c r="V6">
        <f t="shared" si="1"/>
        <v>216.90208759212103</v>
      </c>
    </row>
    <row r="7" spans="1:22" x14ac:dyDescent="0.2">
      <c r="A7">
        <v>46068.535669999997</v>
      </c>
      <c r="B7">
        <v>20.202238999999999</v>
      </c>
      <c r="C7">
        <v>20.106494000000001</v>
      </c>
      <c r="D7">
        <v>20.164383999999998</v>
      </c>
      <c r="E7">
        <v>19.981210999999998</v>
      </c>
      <c r="F7">
        <v>41.738999</v>
      </c>
      <c r="G7">
        <v>38.925178000000002</v>
      </c>
      <c r="H7">
        <v>26.906158000000001</v>
      </c>
      <c r="I7">
        <v>29.594031000000001</v>
      </c>
      <c r="J7">
        <v>55.699396</v>
      </c>
      <c r="K7">
        <v>52.39414</v>
      </c>
      <c r="L7">
        <v>13.073891</v>
      </c>
      <c r="M7">
        <v>-622.51755000000003</v>
      </c>
      <c r="N7">
        <v>0.95674499999999996</v>
      </c>
      <c r="O7">
        <v>1.889189</v>
      </c>
      <c r="P7">
        <f t="shared" si="3"/>
        <v>1.5945749999999999E-5</v>
      </c>
      <c r="Q7" cm="1">
        <f t="array" ref="Q7">[1]!PropsSI("D","T",J7+273.15,"P",101325,"Water")</f>
        <v>985.35292902788638</v>
      </c>
      <c r="R7" cm="1">
        <f t="array" ref="R7">[1]!PropsSI("D","T",K7+273.15,"P",101325,"Water")</f>
        <v>986.93355410204856</v>
      </c>
      <c r="S7">
        <f t="shared" si="2"/>
        <v>986.14324156496741</v>
      </c>
      <c r="T7" cm="1">
        <f t="array" ref="T7">[1]!PropsSI("H","T",J7+273.15,"P",101325,"Water")</f>
        <v>233254.70731755006</v>
      </c>
      <c r="U7" cm="1">
        <f t="array" ref="U7">[1]!PropsSI("H","T",K7+273.15,"P",101325,"Water")</f>
        <v>219430.05887006439</v>
      </c>
      <c r="V7">
        <f t="shared" si="1"/>
        <v>217.38974334887641</v>
      </c>
    </row>
    <row r="8" spans="1:22" x14ac:dyDescent="0.2">
      <c r="A8">
        <v>46068.535786319444</v>
      </c>
      <c r="B8">
        <v>20.190512999999999</v>
      </c>
      <c r="C8">
        <v>20.102993000000001</v>
      </c>
      <c r="D8">
        <v>20.144171</v>
      </c>
      <c r="E8">
        <v>19.954537999999999</v>
      </c>
      <c r="F8">
        <v>42.011468999999998</v>
      </c>
      <c r="G8">
        <v>37.963793000000003</v>
      </c>
      <c r="H8">
        <v>27.339414999999999</v>
      </c>
      <c r="I8">
        <v>29.703748000000001</v>
      </c>
      <c r="J8">
        <v>55.697009000000001</v>
      </c>
      <c r="K8">
        <v>52.392391000000003</v>
      </c>
      <c r="L8">
        <v>13.858340999999999</v>
      </c>
      <c r="M8">
        <v>-622.49550999999997</v>
      </c>
      <c r="N8">
        <v>0.96079800000000004</v>
      </c>
      <c r="O8">
        <v>1.480251</v>
      </c>
      <c r="P8">
        <f t="shared" si="3"/>
        <v>1.6013300000000001E-5</v>
      </c>
      <c r="Q8" cm="1">
        <f t="array" ref="Q8">[1]!PropsSI("D","T",J8+273.15,"P",101325,"Water")</f>
        <v>985.35409510692341</v>
      </c>
      <c r="R8" cm="1">
        <f t="array" ref="R8">[1]!PropsSI("D","T",K8+273.15,"P",101325,"Water")</f>
        <v>986.93437225625723</v>
      </c>
      <c r="S8">
        <f t="shared" si="2"/>
        <v>986.14423368159032</v>
      </c>
      <c r="T8" cm="1">
        <f t="array" ref="T8">[1]!PropsSI("H","T",J8+273.15,"P",101325,"Water")</f>
        <v>233244.72198861363</v>
      </c>
      <c r="U8" cm="1">
        <f t="array" ref="U8">[1]!PropsSI("H","T",K8+273.15,"P",101325,"Water")</f>
        <v>219422.74443696183</v>
      </c>
      <c r="V8">
        <f t="shared" si="1"/>
        <v>218.26870053423141</v>
      </c>
    </row>
    <row r="9" spans="1:22" x14ac:dyDescent="0.2">
      <c r="A9">
        <v>46068.535902060183</v>
      </c>
      <c r="B9">
        <v>20.170148000000001</v>
      </c>
      <c r="C9">
        <v>20.07583</v>
      </c>
      <c r="D9">
        <v>20.114232000000001</v>
      </c>
      <c r="E9">
        <v>19.916629</v>
      </c>
      <c r="F9">
        <v>41.97578</v>
      </c>
      <c r="G9">
        <v>38.159072000000002</v>
      </c>
      <c r="H9">
        <v>27.449427</v>
      </c>
      <c r="I9">
        <v>30.922530999999999</v>
      </c>
      <c r="J9">
        <v>55.699396</v>
      </c>
      <c r="K9">
        <v>52.39255</v>
      </c>
      <c r="L9">
        <v>12.723295999999999</v>
      </c>
      <c r="M9">
        <v>-622.47183800000005</v>
      </c>
      <c r="N9">
        <v>0.959646</v>
      </c>
      <c r="O9">
        <v>1.6647810000000001</v>
      </c>
      <c r="P9">
        <f t="shared" si="3"/>
        <v>1.59941E-5</v>
      </c>
      <c r="Q9" cm="1">
        <f t="array" ref="Q9">[1]!PropsSI("D","T",J9+273.15,"P",101325,"Water")</f>
        <v>985.35292902788638</v>
      </c>
      <c r="R9" cm="1">
        <f t="array" ref="R9">[1]!PropsSI("D","T",K9+273.15,"P",101325,"Water")</f>
        <v>986.93429787942091</v>
      </c>
      <c r="S9">
        <f t="shared" si="2"/>
        <v>986.14361345365364</v>
      </c>
      <c r="T9" cm="1">
        <f t="array" ref="T9">[1]!PropsSI("H","T",J9+273.15,"P",101325,"Water")</f>
        <v>233254.70731755006</v>
      </c>
      <c r="U9" cm="1">
        <f t="array" ref="U9">[1]!PropsSI("H","T",K9+273.15,"P",101325,"Water")</f>
        <v>219423.4093853806</v>
      </c>
      <c r="V9">
        <f t="shared" si="1"/>
        <v>218.15386403322083</v>
      </c>
    </row>
    <row r="10" spans="1:22" x14ac:dyDescent="0.2">
      <c r="A10">
        <v>44606.5360178029</v>
      </c>
      <c r="B10">
        <v>20.158329999999999</v>
      </c>
      <c r="C10">
        <v>20.076649</v>
      </c>
      <c r="D10">
        <v>20.112963000000001</v>
      </c>
      <c r="E10">
        <v>19.902733000000001</v>
      </c>
      <c r="F10">
        <v>41.394907000000003</v>
      </c>
      <c r="G10">
        <v>37.780304999999998</v>
      </c>
      <c r="H10">
        <v>26.854099000000001</v>
      </c>
      <c r="I10">
        <v>32.209256000000003</v>
      </c>
      <c r="J10">
        <v>55.699714</v>
      </c>
      <c r="K10">
        <v>52.387939000000003</v>
      </c>
      <c r="L10">
        <v>13.451015</v>
      </c>
      <c r="M10">
        <v>-622.46408299999996</v>
      </c>
      <c r="N10">
        <v>0.95538500000000004</v>
      </c>
      <c r="O10">
        <v>1.6660269999999999</v>
      </c>
      <c r="P10">
        <f t="shared" si="3"/>
        <v>1.5923083333333337E-5</v>
      </c>
      <c r="Q10" cm="1">
        <f t="array" ref="Q10">[1]!PropsSI("D","T",J10+273.15,"P",101325,"Water")</f>
        <v>985.35277367831361</v>
      </c>
      <c r="R10" cm="1">
        <f t="array" ref="R10">[1]!PropsSI("D","T",K10+273.15,"P",101325,"Water")</f>
        <v>986.93645474243647</v>
      </c>
      <c r="S10">
        <f t="shared" si="2"/>
        <v>986.14461421037504</v>
      </c>
      <c r="T10" cm="1">
        <f t="array" ref="T10">[1]!PropsSI("H","T",J10+273.15,"P",101325,"Water")</f>
        <v>233256.03757937404</v>
      </c>
      <c r="U10" cm="1">
        <f t="array" ref="U10">[1]!PropsSI("H","T",K10+273.15,"P",101325,"Water")</f>
        <v>219404.12588447885</v>
      </c>
      <c r="V10">
        <f t="shared" si="1"/>
        <v>217.50912907854865</v>
      </c>
    </row>
    <row r="11" spans="1:22" x14ac:dyDescent="0.2">
      <c r="A11">
        <v>44606.536134122398</v>
      </c>
      <c r="B11">
        <v>20.144967999999999</v>
      </c>
      <c r="C11">
        <v>20.0562</v>
      </c>
      <c r="D11">
        <v>20.120377000000001</v>
      </c>
      <c r="E11">
        <v>19.895824999999999</v>
      </c>
      <c r="F11">
        <v>41.911270000000002</v>
      </c>
      <c r="G11">
        <v>37.960239000000001</v>
      </c>
      <c r="H11">
        <v>27.192913000000001</v>
      </c>
      <c r="I11">
        <v>28.322503999999999</v>
      </c>
      <c r="J11">
        <v>55.702897</v>
      </c>
      <c r="K11">
        <v>52.386825999999999</v>
      </c>
      <c r="L11">
        <v>12.994303</v>
      </c>
      <c r="M11">
        <v>-622.50285699999995</v>
      </c>
      <c r="N11">
        <v>0.95908099999999996</v>
      </c>
      <c r="O11">
        <v>1.4887140000000001</v>
      </c>
      <c r="P11">
        <f t="shared" si="3"/>
        <v>1.5984683333333333E-5</v>
      </c>
      <c r="Q11" cm="1">
        <f t="array" ref="Q11">[1]!PropsSI("D","T",J11+273.15,"P",101325,"Water")</f>
        <v>985.35121868258045</v>
      </c>
      <c r="R11" cm="1">
        <f t="array" ref="R11">[1]!PropsSI("D","T",K11+273.15,"P",101325,"Water")</f>
        <v>986.93697534420528</v>
      </c>
      <c r="S11">
        <f t="shared" si="2"/>
        <v>986.14409701339287</v>
      </c>
      <c r="T11" cm="1">
        <f t="array" ref="T11">[1]!PropsSI("H","T",J11+273.15,"P",101325,"Water")</f>
        <v>233269.35274933523</v>
      </c>
      <c r="U11" cm="1">
        <f t="array" ref="U11">[1]!PropsSI("H","T",K11+273.15,"P",101325,"Water")</f>
        <v>219399.4712473723</v>
      </c>
      <c r="V11">
        <f t="shared" si="1"/>
        <v>218.63373151220731</v>
      </c>
    </row>
    <row r="12" spans="1:22" x14ac:dyDescent="0.2">
      <c r="A12">
        <v>44606.536250441801</v>
      </c>
      <c r="B12">
        <v>20.138680999999998</v>
      </c>
      <c r="C12">
        <v>20.061111</v>
      </c>
      <c r="D12">
        <v>20.082108000000002</v>
      </c>
      <c r="E12">
        <v>19.874257</v>
      </c>
      <c r="F12">
        <v>41.631562000000002</v>
      </c>
      <c r="G12">
        <v>37.513444999999997</v>
      </c>
      <c r="H12">
        <v>27.908908</v>
      </c>
      <c r="I12">
        <v>32.089485000000003</v>
      </c>
      <c r="J12">
        <v>55.700350999999998</v>
      </c>
      <c r="K12">
        <v>52.379193999999998</v>
      </c>
      <c r="L12">
        <v>13.748958999999999</v>
      </c>
      <c r="M12">
        <v>-622.48530700000003</v>
      </c>
      <c r="N12">
        <v>0.95769599999999999</v>
      </c>
      <c r="O12">
        <v>2.025874</v>
      </c>
      <c r="P12">
        <f t="shared" ref="P12:P35" si="4" xml:space="preserve"> N12*0.001/60</f>
        <v>1.59616E-5</v>
      </c>
      <c r="Q12" cm="1">
        <f t="array" ref="Q12">[1]!PropsSI("D","T",J12+273.15,"P",101325,"Water")</f>
        <v>985.35246248874375</v>
      </c>
      <c r="R12" cm="1">
        <f t="array" ref="R12">[1]!PropsSI("D","T",K12+273.15,"P",101325,"Water")</f>
        <v>986.94054497184823</v>
      </c>
      <c r="S12">
        <f t="shared" ref="S12:S35" si="5">(Q12+R12)/2</f>
        <v>986.14650373029599</v>
      </c>
      <c r="T12" cm="1">
        <f t="array" ref="T12">[1]!PropsSI("H","T",J12+273.15,"P",101325,"Water")</f>
        <v>233258.70228633986</v>
      </c>
      <c r="U12" cm="1">
        <f t="array" ref="U12">[1]!PropsSI("H","T",K12+273.15,"P",101325,"Water")</f>
        <v>219367.55374635046</v>
      </c>
      <c r="V12">
        <f t="shared" ref="V12:V35" si="6">S12*P12*(T12-U12)</f>
        <v>218.65329067762451</v>
      </c>
    </row>
    <row r="13" spans="1:22" x14ac:dyDescent="0.2">
      <c r="A13">
        <v>44606.536366182598</v>
      </c>
      <c r="B13">
        <v>20.134679999999999</v>
      </c>
      <c r="C13">
        <v>20.035547000000001</v>
      </c>
      <c r="D13">
        <v>20.060267</v>
      </c>
      <c r="E13">
        <v>19.859760000000001</v>
      </c>
      <c r="F13">
        <v>42.163628000000003</v>
      </c>
      <c r="G13">
        <v>37.351982</v>
      </c>
      <c r="H13">
        <v>27.062304999999999</v>
      </c>
      <c r="I13">
        <v>30.021757999999998</v>
      </c>
      <c r="J13">
        <v>55.696053999999997</v>
      </c>
      <c r="K13">
        <v>52.385553999999999</v>
      </c>
      <c r="L13">
        <v>13.362856000000001</v>
      </c>
      <c r="M13">
        <v>-622.48571500000003</v>
      </c>
      <c r="N13">
        <v>0.95681899999999998</v>
      </c>
      <c r="O13">
        <v>0.66523399999999999</v>
      </c>
      <c r="P13">
        <f t="shared" si="4"/>
        <v>1.5946983333333335E-5</v>
      </c>
      <c r="Q13" cm="1">
        <f t="array" ref="Q13">[1]!PropsSI("D","T",J13+273.15,"P",101325,"Water")</f>
        <v>985.35456162640048</v>
      </c>
      <c r="R13" cm="1">
        <f t="array" ref="R13">[1]!PropsSI("D","T",K13+273.15,"P",101325,"Water")</f>
        <v>986.93757030796303</v>
      </c>
      <c r="S13">
        <f t="shared" si="5"/>
        <v>986.14606596718181</v>
      </c>
      <c r="T13" cm="1">
        <f t="array" ref="T13">[1]!PropsSI("H","T",J13+273.15,"P",101325,"Water")</f>
        <v>233240.72702100442</v>
      </c>
      <c r="U13" cm="1">
        <f t="array" ref="U13">[1]!PropsSI("H","T",K13+273.15,"P",101325,"Water")</f>
        <v>219394.15166256382</v>
      </c>
      <c r="V13">
        <f t="shared" si="6"/>
        <v>217.75200396211946</v>
      </c>
    </row>
    <row r="14" spans="1:22" x14ac:dyDescent="0.2">
      <c r="A14">
        <v>44606.5364819233</v>
      </c>
      <c r="B14">
        <v>20.126106</v>
      </c>
      <c r="C14">
        <v>20.028205</v>
      </c>
      <c r="D14">
        <v>20.054784999999999</v>
      </c>
      <c r="E14">
        <v>19.851116000000001</v>
      </c>
      <c r="F14">
        <v>42.052121</v>
      </c>
      <c r="G14">
        <v>38.823917999999999</v>
      </c>
      <c r="H14">
        <v>26.493507999999999</v>
      </c>
      <c r="I14">
        <v>31.364201000000001</v>
      </c>
      <c r="J14">
        <v>55.691439000000003</v>
      </c>
      <c r="K14">
        <v>52.385235999999999</v>
      </c>
      <c r="L14">
        <v>12.728602</v>
      </c>
      <c r="M14">
        <v>-622.50081599999999</v>
      </c>
      <c r="N14">
        <v>0.95620799999999995</v>
      </c>
      <c r="O14">
        <v>2.0467529999999998</v>
      </c>
      <c r="P14">
        <f t="shared" si="4"/>
        <v>1.59368E-5</v>
      </c>
      <c r="Q14" cm="1">
        <f t="array" ref="Q14">[1]!PropsSI("D","T",J14+273.15,"P",101325,"Water")</f>
        <v>985.35681598423901</v>
      </c>
      <c r="R14" cm="1">
        <f t="array" ref="R14">[1]!PropsSI("D","T",K14+273.15,"P",101325,"Water")</f>
        <v>986.93771904728965</v>
      </c>
      <c r="S14">
        <f t="shared" si="5"/>
        <v>986.14726751576427</v>
      </c>
      <c r="T14" cm="1">
        <f t="array" ref="T14">[1]!PropsSI("H","T",J14+273.15,"P",101325,"Water")</f>
        <v>233221.42150164503</v>
      </c>
      <c r="U14" cm="1">
        <f t="array" ref="U14">[1]!PropsSI("H","T",K14+273.15,"P",101325,"Water")</f>
        <v>219392.82176641634</v>
      </c>
      <c r="V14">
        <f t="shared" si="6"/>
        <v>217.33071281419615</v>
      </c>
    </row>
    <row r="15" spans="1:22" x14ac:dyDescent="0.2">
      <c r="A15">
        <v>46068.536598240738</v>
      </c>
      <c r="B15">
        <v>20.129536000000002</v>
      </c>
      <c r="C15">
        <v>20.028123000000001</v>
      </c>
      <c r="D15">
        <v>20.068168</v>
      </c>
      <c r="E15">
        <v>19.873785999999999</v>
      </c>
      <c r="F15">
        <v>41.830855999999997</v>
      </c>
      <c r="G15">
        <v>37.307037999999999</v>
      </c>
      <c r="H15">
        <v>26.593679999999999</v>
      </c>
      <c r="I15">
        <v>32.009605999999998</v>
      </c>
      <c r="J15">
        <v>55.694144000000001</v>
      </c>
      <c r="K15">
        <v>52.376013999999998</v>
      </c>
      <c r="L15">
        <v>12.684523</v>
      </c>
      <c r="M15">
        <v>-622.48408199999994</v>
      </c>
      <c r="N15">
        <v>0.95701599999999998</v>
      </c>
      <c r="O15">
        <v>2.4927600000000001</v>
      </c>
      <c r="P15">
        <f t="shared" si="4"/>
        <v>1.5950266666666665E-5</v>
      </c>
      <c r="Q15" cm="1">
        <f t="array" ref="Q15">[1]!PropsSI("D","T",J15+273.15,"P",101325,"Water")</f>
        <v>985.35549464848225</v>
      </c>
      <c r="R15" cm="1">
        <f t="array" ref="R15">[1]!PropsSI("D","T",K15+273.15,"P",101325,"Water")</f>
        <v>986.94203220690952</v>
      </c>
      <c r="S15">
        <f t="shared" si="5"/>
        <v>986.14876342769594</v>
      </c>
      <c r="T15" cm="1">
        <f t="array" ref="T15">[1]!PropsSI("H","T",J15+273.15,"P",101325,"Water")</f>
        <v>233232.7370867987</v>
      </c>
      <c r="U15" cm="1">
        <f t="array" ref="U15">[1]!PropsSI("H","T",K15+273.15,"P",101325,"Water")</f>
        <v>219354.25479313711</v>
      </c>
      <c r="V15">
        <f t="shared" si="6"/>
        <v>218.29930769292741</v>
      </c>
    </row>
    <row r="16" spans="1:22" x14ac:dyDescent="0.2">
      <c r="A16">
        <v>46068.536713981484</v>
      </c>
      <c r="B16">
        <v>20.097888999999999</v>
      </c>
      <c r="C16">
        <v>20.005562999999999</v>
      </c>
      <c r="D16">
        <v>20.071152000000001</v>
      </c>
      <c r="E16">
        <v>19.872143999999999</v>
      </c>
      <c r="F16">
        <v>41.630388000000004</v>
      </c>
      <c r="G16">
        <v>38.393588999999999</v>
      </c>
      <c r="H16">
        <v>27.642292999999999</v>
      </c>
      <c r="I16">
        <v>31.113461000000001</v>
      </c>
      <c r="J16">
        <v>55.694302999999998</v>
      </c>
      <c r="K16">
        <v>52.382373999999999</v>
      </c>
      <c r="L16">
        <v>13.314287</v>
      </c>
      <c r="M16">
        <v>-622.49755100000004</v>
      </c>
      <c r="N16">
        <v>0.95796999999999999</v>
      </c>
      <c r="O16">
        <v>1.6635230000000001</v>
      </c>
      <c r="P16">
        <f t="shared" si="4"/>
        <v>1.5966166666666666E-5</v>
      </c>
      <c r="Q16" cm="1">
        <f t="array" ref="Q16">[1]!PropsSI("D","T",J16+273.15,"P",101325,"Water")</f>
        <v>985.35541697892916</v>
      </c>
      <c r="R16" cm="1">
        <f t="array" ref="R16">[1]!PropsSI("D","T",K16+273.15,"P",101325,"Water")</f>
        <v>986.93905767218985</v>
      </c>
      <c r="S16">
        <f t="shared" si="5"/>
        <v>986.14723732555944</v>
      </c>
      <c r="T16" cm="1">
        <f t="array" ref="T16">[1]!PropsSI("H","T",J16+273.15,"P",101325,"Water")</f>
        <v>233233.40221737858</v>
      </c>
      <c r="U16" cm="1">
        <f t="array" ref="U16">[1]!PropsSI("H","T",K16+273.15,"P",101325,"Water")</f>
        <v>219380.8527028317</v>
      </c>
      <c r="V16">
        <f t="shared" si="6"/>
        <v>218.10826949780167</v>
      </c>
    </row>
    <row r="17" spans="1:22" x14ac:dyDescent="0.2">
      <c r="A17">
        <v>46068.536830300924</v>
      </c>
      <c r="B17">
        <v>20.109846999999998</v>
      </c>
      <c r="C17">
        <v>20.016261</v>
      </c>
      <c r="D17">
        <v>20.056077999999999</v>
      </c>
      <c r="E17">
        <v>19.874227000000001</v>
      </c>
      <c r="F17">
        <v>41.700909000000003</v>
      </c>
      <c r="G17">
        <v>37.524422000000001</v>
      </c>
      <c r="H17">
        <v>26.368652999999998</v>
      </c>
      <c r="I17">
        <v>29.207923000000001</v>
      </c>
      <c r="J17">
        <v>55.690643000000001</v>
      </c>
      <c r="K17">
        <v>52.376809000000002</v>
      </c>
      <c r="L17">
        <v>12.842066000000001</v>
      </c>
      <c r="M17">
        <v>-622.49550999999997</v>
      </c>
      <c r="N17">
        <v>0.95579899999999995</v>
      </c>
      <c r="O17">
        <v>1.5719890000000001</v>
      </c>
      <c r="P17">
        <f t="shared" si="4"/>
        <v>1.5929983333333335E-5</v>
      </c>
      <c r="Q17" cm="1">
        <f t="array" ref="Q17">[1]!PropsSI("D","T",J17+273.15,"P",101325,"Water")</f>
        <v>985.35720480496502</v>
      </c>
      <c r="R17" cm="1">
        <f t="array" ref="R17">[1]!PropsSI("D","T",K17+273.15,"P",101325,"Water")</f>
        <v>986.9416604041794</v>
      </c>
      <c r="S17">
        <f t="shared" si="5"/>
        <v>986.14943260457221</v>
      </c>
      <c r="T17" cm="1">
        <f t="array" ref="T17">[1]!PropsSI("H","T",J17+273.15,"P",101325,"Water")</f>
        <v>233218.09166642878</v>
      </c>
      <c r="U17" cm="1">
        <f t="array" ref="U17">[1]!PropsSI("H","T",K17+273.15,"P",101325,"Water")</f>
        <v>219357.5795311805</v>
      </c>
      <c r="V17">
        <f t="shared" si="6"/>
        <v>217.73955350316098</v>
      </c>
    </row>
    <row r="18" spans="1:22" x14ac:dyDescent="0.2">
      <c r="A18">
        <v>46068.53694604167</v>
      </c>
      <c r="B18">
        <v>20.099974</v>
      </c>
      <c r="C18">
        <v>20.005309</v>
      </c>
      <c r="D18">
        <v>20.051165999999998</v>
      </c>
      <c r="E18">
        <v>19.855806000000001</v>
      </c>
      <c r="F18">
        <v>41.022973</v>
      </c>
      <c r="G18">
        <v>37.956080999999998</v>
      </c>
      <c r="H18">
        <v>27.220558</v>
      </c>
      <c r="I18">
        <v>32.052194</v>
      </c>
      <c r="J18">
        <v>55.700192000000001</v>
      </c>
      <c r="K18">
        <v>52.379829999999998</v>
      </c>
      <c r="L18">
        <v>13.404078</v>
      </c>
      <c r="M18">
        <v>-622.51550899999995</v>
      </c>
      <c r="N18">
        <v>0.95951500000000001</v>
      </c>
      <c r="O18">
        <v>1.605855</v>
      </c>
      <c r="P18">
        <f t="shared" si="4"/>
        <v>1.5991916666666665E-5</v>
      </c>
      <c r="Q18" cm="1">
        <f t="array" ref="Q18">[1]!PropsSI("D","T",J18+273.15,"P",101325,"Water")</f>
        <v>985.35254016423755</v>
      </c>
      <c r="R18" cm="1">
        <f t="array" ref="R18">[1]!PropsSI("D","T",K18+273.15,"P",101325,"Water")</f>
        <v>986.94024751707104</v>
      </c>
      <c r="S18">
        <f t="shared" si="5"/>
        <v>986.14639384065435</v>
      </c>
      <c r="T18" cm="1">
        <f t="array" ref="T18">[1]!PropsSI("H","T",J18+273.15,"P",101325,"Water")</f>
        <v>233258.03715539305</v>
      </c>
      <c r="U18" cm="1">
        <f t="array" ref="U18">[1]!PropsSI("H","T",K18+273.15,"P",101325,"Water")</f>
        <v>219370.21353738083</v>
      </c>
      <c r="V18">
        <f t="shared" si="6"/>
        <v>219.01613016413324</v>
      </c>
    </row>
    <row r="19" spans="1:22" x14ac:dyDescent="0.2">
      <c r="A19">
        <v>46068.537062361109</v>
      </c>
      <c r="B19">
        <v>20.095120999999999</v>
      </c>
      <c r="C19">
        <v>20.002120999999999</v>
      </c>
      <c r="D19">
        <v>20.042407999999998</v>
      </c>
      <c r="E19">
        <v>19.833347</v>
      </c>
      <c r="F19">
        <v>42.075996000000004</v>
      </c>
      <c r="G19">
        <v>37.537748000000001</v>
      </c>
      <c r="H19">
        <v>26.435065000000002</v>
      </c>
      <c r="I19">
        <v>28.250599999999999</v>
      </c>
      <c r="J19">
        <v>55.694940000000003</v>
      </c>
      <c r="K19">
        <v>52.375377999999998</v>
      </c>
      <c r="L19">
        <v>13.477544</v>
      </c>
      <c r="M19">
        <v>-622.48408199999994</v>
      </c>
      <c r="N19">
        <v>0.956704</v>
      </c>
      <c r="O19">
        <v>1.4715199999999999</v>
      </c>
      <c r="P19">
        <f t="shared" si="4"/>
        <v>1.5945066666666667E-5</v>
      </c>
      <c r="Q19" cm="1">
        <f t="array" ref="Q19">[1]!PropsSI("D","T",J19+273.15,"P",101325,"Water")</f>
        <v>985.35510581061021</v>
      </c>
      <c r="R19" cm="1">
        <f t="array" ref="R19">[1]!PropsSI("D","T",K19+273.15,"P",101325,"Water")</f>
        <v>986.94232964618016</v>
      </c>
      <c r="S19">
        <f t="shared" si="5"/>
        <v>986.14871772839524</v>
      </c>
      <c r="T19" cm="1">
        <f t="array" ref="T19">[1]!PropsSI("H","T",J19+273.15,"P",101325,"Water")</f>
        <v>233236.06692306115</v>
      </c>
      <c r="U19" cm="1">
        <f t="array" ref="U19">[1]!PropsSI("H","T",K19+273.15,"P",101325,"Water")</f>
        <v>219351.59500285119</v>
      </c>
      <c r="V19">
        <f t="shared" si="6"/>
        <v>218.32231121756939</v>
      </c>
    </row>
    <row r="20" spans="1:22" x14ac:dyDescent="0.2">
      <c r="A20">
        <v>46068.537178680555</v>
      </c>
      <c r="B20">
        <v>20.105896000000001</v>
      </c>
      <c r="C20">
        <v>19.997712</v>
      </c>
      <c r="D20">
        <v>20.025928</v>
      </c>
      <c r="E20">
        <v>19.823008999999999</v>
      </c>
      <c r="F20">
        <v>41.472002000000003</v>
      </c>
      <c r="G20">
        <v>36.202179000000001</v>
      </c>
      <c r="H20">
        <v>26.484969</v>
      </c>
      <c r="I20">
        <v>31.062694</v>
      </c>
      <c r="J20">
        <v>55.684117999999998</v>
      </c>
      <c r="K20">
        <v>52.373789000000002</v>
      </c>
      <c r="L20">
        <v>12.442494</v>
      </c>
      <c r="M20">
        <v>-622.50979500000005</v>
      </c>
      <c r="N20">
        <v>0.958839</v>
      </c>
      <c r="O20">
        <v>1.2605710000000001</v>
      </c>
      <c r="P20">
        <f t="shared" si="4"/>
        <v>1.5980650000000001E-5</v>
      </c>
      <c r="Q20" cm="1">
        <f t="array" ref="Q20">[1]!PropsSI("D","T",J20+273.15,"P",101325,"Water")</f>
        <v>985.36039191293571</v>
      </c>
      <c r="R20" cm="1">
        <f t="array" ref="R20">[1]!PropsSI("D","T",K20+273.15,"P",101325,"Water")</f>
        <v>986.94307276537984</v>
      </c>
      <c r="S20">
        <f t="shared" si="5"/>
        <v>986.15173233915777</v>
      </c>
      <c r="T20" cm="1">
        <f t="array" ref="T20">[1]!PropsSI("H","T",J20+273.15,"P",101325,"Water")</f>
        <v>233190.79622927238</v>
      </c>
      <c r="U20" cm="1">
        <f t="array" ref="U20">[1]!PropsSI("H","T",K20+273.15,"P",101325,"Water")</f>
        <v>219344.94970991099</v>
      </c>
      <c r="V20">
        <f t="shared" si="6"/>
        <v>218.20148155030503</v>
      </c>
    </row>
    <row r="21" spans="1:22" x14ac:dyDescent="0.2">
      <c r="A21">
        <v>46068.537295000002</v>
      </c>
      <c r="B21">
        <v>20.087866999999999</v>
      </c>
      <c r="C21">
        <v>19.977975000000001</v>
      </c>
      <c r="D21">
        <v>20.019197999999999</v>
      </c>
      <c r="E21">
        <v>19.817495999999998</v>
      </c>
      <c r="F21">
        <v>41.951974</v>
      </c>
      <c r="G21">
        <v>36.830132999999996</v>
      </c>
      <c r="H21">
        <v>26.775404999999999</v>
      </c>
      <c r="I21">
        <v>31.559176999999998</v>
      </c>
      <c r="J21">
        <v>55.689529</v>
      </c>
      <c r="K21">
        <v>52.371403999999998</v>
      </c>
      <c r="L21">
        <v>13.080829</v>
      </c>
      <c r="M21">
        <v>-622.48040900000001</v>
      </c>
      <c r="N21">
        <v>0.95724100000000001</v>
      </c>
      <c r="O21">
        <v>2.1241310000000002</v>
      </c>
      <c r="P21">
        <f t="shared" si="4"/>
        <v>1.5954016666666667E-5</v>
      </c>
      <c r="Q21" cm="1">
        <f t="array" ref="Q21">[1]!PropsSI("D","T",J21+273.15,"P",101325,"Water")</f>
        <v>985.35774895200188</v>
      </c>
      <c r="R21" cm="1">
        <f t="array" ref="R21">[1]!PropsSI("D","T",K21+273.15,"P",101325,"Water")</f>
        <v>986.94418811543085</v>
      </c>
      <c r="S21">
        <f t="shared" si="5"/>
        <v>986.15096853371642</v>
      </c>
      <c r="T21" cm="1">
        <f t="array" ref="T21">[1]!PropsSI("H","T",J21+273.15,"P",101325,"Water")</f>
        <v>233213.43157074222</v>
      </c>
      <c r="U21" cm="1">
        <f t="array" ref="U21">[1]!PropsSI("H","T",K21+273.15,"P",101325,"Water")</f>
        <v>219334.9754987873</v>
      </c>
      <c r="V21">
        <f t="shared" si="6"/>
        <v>218.35070682472355</v>
      </c>
    </row>
    <row r="22" spans="1:22" x14ac:dyDescent="0.2">
      <c r="A22">
        <v>46068.537410740741</v>
      </c>
      <c r="B22">
        <v>20.064565999999999</v>
      </c>
      <c r="C22">
        <v>19.984361</v>
      </c>
      <c r="D22">
        <v>20.028832000000001</v>
      </c>
      <c r="E22">
        <v>19.796697000000002</v>
      </c>
      <c r="F22">
        <v>41.940564000000002</v>
      </c>
      <c r="G22">
        <v>38.318595000000002</v>
      </c>
      <c r="H22">
        <v>26.274708</v>
      </c>
      <c r="I22">
        <v>29.594277000000002</v>
      </c>
      <c r="J22">
        <v>55.688096999999999</v>
      </c>
      <c r="K22">
        <v>52.384599999999999</v>
      </c>
      <c r="L22">
        <v>13.069400999999999</v>
      </c>
      <c r="M22">
        <v>-622.49836700000003</v>
      </c>
      <c r="N22">
        <v>0.95913400000000004</v>
      </c>
      <c r="O22">
        <v>1.8645609999999999</v>
      </c>
      <c r="P22">
        <f t="shared" si="4"/>
        <v>1.5985566666666668E-5</v>
      </c>
      <c r="Q22" cm="1">
        <f t="array" ref="Q22">[1]!PropsSI("D","T",J22+273.15,"P",101325,"Water")</f>
        <v>985.35844841882226</v>
      </c>
      <c r="R22" cm="1">
        <f t="array" ref="R22">[1]!PropsSI("D","T",K22+273.15,"P",101325,"Water")</f>
        <v>986.93801652400464</v>
      </c>
      <c r="S22">
        <f t="shared" si="5"/>
        <v>986.14823247141339</v>
      </c>
      <c r="T22" cm="1">
        <f t="array" ref="T22">[1]!PropsSI("H","T",J22+273.15,"P",101325,"Water")</f>
        <v>233207.44121505835</v>
      </c>
      <c r="U22" cm="1">
        <f t="array" ref="U22">[1]!PropsSI("H","T",K22+273.15,"P",101325,"Water")</f>
        <v>219390.1619743279</v>
      </c>
      <c r="V22">
        <f t="shared" si="6"/>
        <v>217.81750106556959</v>
      </c>
    </row>
    <row r="23" spans="1:22" x14ac:dyDescent="0.2">
      <c r="A23">
        <v>46068.537526481479</v>
      </c>
      <c r="B23">
        <v>20.062453000000001</v>
      </c>
      <c r="C23">
        <v>19.983194999999998</v>
      </c>
      <c r="D23">
        <v>20.037417000000001</v>
      </c>
      <c r="E23">
        <v>19.808183</v>
      </c>
      <c r="F23">
        <v>41.418317999999999</v>
      </c>
      <c r="G23">
        <v>38.234949999999998</v>
      </c>
      <c r="H23">
        <v>27.401195999999999</v>
      </c>
      <c r="I23">
        <v>32.824812999999999</v>
      </c>
      <c r="J23">
        <v>55.693826000000001</v>
      </c>
      <c r="K23">
        <v>52.385235999999999</v>
      </c>
      <c r="L23">
        <v>13.046137</v>
      </c>
      <c r="M23">
        <v>-622.49469399999998</v>
      </c>
      <c r="N23">
        <v>0.95721999999999996</v>
      </c>
      <c r="O23">
        <v>1.516176</v>
      </c>
      <c r="P23">
        <f t="shared" si="4"/>
        <v>1.5953666666666666E-5</v>
      </c>
      <c r="Q23" cm="1">
        <f t="array" ref="Q23">[1]!PropsSI("D","T",J23+273.15,"P",101325,"Water")</f>
        <v>985.35564998717064</v>
      </c>
      <c r="R23" cm="1">
        <f t="array" ref="R23">[1]!PropsSI("D","T",K23+273.15,"P",101325,"Water")</f>
        <v>986.93771904728965</v>
      </c>
      <c r="S23">
        <f t="shared" si="5"/>
        <v>986.14668451723014</v>
      </c>
      <c r="T23" cm="1">
        <f t="array" ref="T23">[1]!PropsSI("H","T",J23+273.15,"P",101325,"Water")</f>
        <v>233231.40682560377</v>
      </c>
      <c r="U23" cm="1">
        <f t="array" ref="U23">[1]!PropsSI("H","T",K23+273.15,"P",101325,"Water")</f>
        <v>219392.82176641634</v>
      </c>
      <c r="V23">
        <f t="shared" si="6"/>
        <v>217.71769119455138</v>
      </c>
    </row>
    <row r="24" spans="1:22" x14ac:dyDescent="0.2">
      <c r="A24">
        <v>46068.537642222225</v>
      </c>
      <c r="B24">
        <v>20.091875000000002</v>
      </c>
      <c r="C24">
        <v>20.002618999999999</v>
      </c>
      <c r="D24">
        <v>20.009242</v>
      </c>
      <c r="E24">
        <v>19.804652999999998</v>
      </c>
      <c r="F24">
        <v>42.308459999999997</v>
      </c>
      <c r="G24">
        <v>38.191327000000001</v>
      </c>
      <c r="H24">
        <v>26.959629</v>
      </c>
      <c r="I24">
        <v>31.552206000000002</v>
      </c>
      <c r="J24">
        <v>55.698441000000003</v>
      </c>
      <c r="K24">
        <v>52.384759000000003</v>
      </c>
      <c r="L24">
        <v>13.850994999999999</v>
      </c>
      <c r="M24">
        <v>-622.49224500000003</v>
      </c>
      <c r="N24">
        <v>0.95840099999999995</v>
      </c>
      <c r="O24">
        <v>1.2397800000000001</v>
      </c>
      <c r="P24">
        <f t="shared" si="4"/>
        <v>1.5973349999999998E-5</v>
      </c>
      <c r="Q24" cm="1">
        <f t="array" ref="Q24">[1]!PropsSI("D","T",J24+273.15,"P",101325,"Water")</f>
        <v>985.35339556142242</v>
      </c>
      <c r="R24" cm="1">
        <f t="array" ref="R24">[1]!PropsSI("D","T",K24+273.15,"P",101325,"Water")</f>
        <v>986.93794215508069</v>
      </c>
      <c r="S24">
        <f t="shared" si="5"/>
        <v>986.14566885825161</v>
      </c>
      <c r="T24" cm="1">
        <f t="array" ref="T24">[1]!PropsSI("H","T",J24+273.15,"P",101325,"Water")</f>
        <v>233250.71234909241</v>
      </c>
      <c r="U24" cm="1">
        <f t="array" ref="U24">[1]!PropsSI("H","T",K24+273.15,"P",101325,"Water")</f>
        <v>219390.82692231194</v>
      </c>
      <c r="V24">
        <f t="shared" si="6"/>
        <v>218.32160712337188</v>
      </c>
    </row>
    <row r="25" spans="1:22" x14ac:dyDescent="0.2">
      <c r="A25">
        <v>46068.537758541665</v>
      </c>
      <c r="B25">
        <v>20.090337000000002</v>
      </c>
      <c r="C25">
        <v>20.009454000000002</v>
      </c>
      <c r="D25">
        <v>20.042773</v>
      </c>
      <c r="E25">
        <v>19.798777000000001</v>
      </c>
      <c r="F25">
        <v>41.477327000000002</v>
      </c>
      <c r="G25">
        <v>37.691042000000003</v>
      </c>
      <c r="H25">
        <v>27.067943</v>
      </c>
      <c r="I25">
        <v>32.925598999999998</v>
      </c>
      <c r="J25">
        <v>55.701306000000002</v>
      </c>
      <c r="K25">
        <v>52.392709000000004</v>
      </c>
      <c r="L25">
        <v>13.377957</v>
      </c>
      <c r="M25">
        <v>-622.48122499999999</v>
      </c>
      <c r="N25">
        <v>0.95699500000000004</v>
      </c>
      <c r="O25">
        <v>1.604114</v>
      </c>
      <c r="P25">
        <f t="shared" si="4"/>
        <v>1.5949916666666668E-5</v>
      </c>
      <c r="Q25" cm="1">
        <f t="array" ref="Q25">[1]!PropsSI("D","T",J25+273.15,"P",101325,"Water")</f>
        <v>985.35199594398034</v>
      </c>
      <c r="R25" cm="1">
        <f t="array" ref="R25">[1]!PropsSI("D","T",K25+273.15,"P",101325,"Water")</f>
        <v>986.93422350239973</v>
      </c>
      <c r="S25">
        <f t="shared" si="5"/>
        <v>986.14310972319004</v>
      </c>
      <c r="T25" cm="1">
        <f t="array" ref="T25">[1]!PropsSI("H","T",J25+273.15,"P",101325,"Water")</f>
        <v>233262.69725552038</v>
      </c>
      <c r="U25" cm="1">
        <f t="array" ref="U25">[1]!PropsSI("H","T",K25+273.15,"P",101325,"Water")</f>
        <v>219424.07433377751</v>
      </c>
      <c r="V25">
        <f t="shared" si="6"/>
        <v>217.66632190667599</v>
      </c>
    </row>
    <row r="26" spans="1:22" x14ac:dyDescent="0.2">
      <c r="A26">
        <v>46068.537874861111</v>
      </c>
      <c r="B26">
        <v>20.094481999999999</v>
      </c>
      <c r="C26">
        <v>20.007991000000001</v>
      </c>
      <c r="D26">
        <v>20.023899</v>
      </c>
      <c r="E26">
        <v>19.833181</v>
      </c>
      <c r="F26">
        <v>41.296655000000001</v>
      </c>
      <c r="G26">
        <v>37.679051000000001</v>
      </c>
      <c r="H26">
        <v>25.835903999999999</v>
      </c>
      <c r="I26">
        <v>32.375121999999998</v>
      </c>
      <c r="J26">
        <v>55.701146999999999</v>
      </c>
      <c r="K26">
        <v>52.386985000000003</v>
      </c>
      <c r="L26">
        <v>13.677942</v>
      </c>
      <c r="M26">
        <v>-622.487348</v>
      </c>
      <c r="N26">
        <v>0.95587599999999995</v>
      </c>
      <c r="O26">
        <v>1.392668</v>
      </c>
      <c r="P26">
        <f t="shared" si="4"/>
        <v>1.5931266666666664E-5</v>
      </c>
      <c r="Q26" cm="1">
        <f t="array" ref="Q26">[1]!PropsSI("D","T",J26+273.15,"P",101325,"Water")</f>
        <v>985.35207362041058</v>
      </c>
      <c r="R26" cm="1">
        <f t="array" ref="R26">[1]!PropsSI("D","T",K26+273.15,"P",101325,"Water")</f>
        <v>986.93690097299805</v>
      </c>
      <c r="S26">
        <f t="shared" si="5"/>
        <v>986.14448729670426</v>
      </c>
      <c r="T26" cm="1">
        <f t="array" ref="T26">[1]!PropsSI("H","T",J26+273.15,"P",101325,"Water")</f>
        <v>233262.03212448911</v>
      </c>
      <c r="U26" cm="1">
        <f t="array" ref="U26">[1]!PropsSI("H","T",K26+273.15,"P",101325,"Water")</f>
        <v>219400.13619549494</v>
      </c>
      <c r="V26">
        <f t="shared" si="6"/>
        <v>217.77774292481641</v>
      </c>
    </row>
    <row r="27" spans="1:22" x14ac:dyDescent="0.2">
      <c r="A27">
        <v>46068.53799060185</v>
      </c>
      <c r="B27">
        <v>20.113368000000001</v>
      </c>
      <c r="C27">
        <v>20.021611</v>
      </c>
      <c r="D27">
        <v>20.043317999999999</v>
      </c>
      <c r="E27">
        <v>19.836317000000001</v>
      </c>
      <c r="F27">
        <v>42.165433</v>
      </c>
      <c r="G27">
        <v>38.212817999999999</v>
      </c>
      <c r="H27">
        <v>27.410440000000001</v>
      </c>
      <c r="I27">
        <v>30.525286000000001</v>
      </c>
      <c r="J27">
        <v>55.710377000000001</v>
      </c>
      <c r="K27">
        <v>52.398910000000001</v>
      </c>
      <c r="L27">
        <v>12.738806</v>
      </c>
      <c r="M27">
        <v>-622.48897999999997</v>
      </c>
      <c r="N27">
        <v>0.95540499999999995</v>
      </c>
      <c r="O27">
        <v>1.5936680000000001</v>
      </c>
      <c r="P27">
        <f t="shared" si="4"/>
        <v>1.5923416666666667E-5</v>
      </c>
      <c r="Q27" cm="1">
        <f t="array" ref="Q27">[1]!PropsSI("D","T",J27+273.15,"P",101325,"Water")</f>
        <v>985.34756422124974</v>
      </c>
      <c r="R27" cm="1">
        <f t="array" ref="R27">[1]!PropsSI("D","T",K27+273.15,"P",101325,"Water")</f>
        <v>986.93132267320402</v>
      </c>
      <c r="S27">
        <f t="shared" si="5"/>
        <v>986.13944344722688</v>
      </c>
      <c r="T27" cm="1">
        <f t="array" ref="T27">[1]!PropsSI("H","T",J27+273.15,"P",101325,"Water")</f>
        <v>233300.64320444973</v>
      </c>
      <c r="U27" cm="1">
        <f t="array" ref="U27">[1]!PropsSI("H","T",K27+273.15,"P",101325,"Water")</f>
        <v>219450.00732887775</v>
      </c>
      <c r="V27">
        <f t="shared" si="6"/>
        <v>217.49250807403845</v>
      </c>
    </row>
    <row r="28" spans="1:22" x14ac:dyDescent="0.2">
      <c r="A28">
        <v>46068.538106342596</v>
      </c>
      <c r="B28">
        <v>20.090150999999999</v>
      </c>
      <c r="C28">
        <v>20.005320999999999</v>
      </c>
      <c r="D28">
        <v>20.031908999999999</v>
      </c>
      <c r="E28">
        <v>19.822495</v>
      </c>
      <c r="F28">
        <v>41.565517</v>
      </c>
      <c r="G28">
        <v>37.915979999999998</v>
      </c>
      <c r="H28">
        <v>27.650514000000001</v>
      </c>
      <c r="I28">
        <v>31.162904999999999</v>
      </c>
      <c r="J28">
        <v>55.713560000000001</v>
      </c>
      <c r="K28">
        <v>52.403360999999997</v>
      </c>
      <c r="L28">
        <v>13.840790999999999</v>
      </c>
      <c r="M28">
        <v>-622.48530700000003</v>
      </c>
      <c r="N28">
        <v>0.95721199999999995</v>
      </c>
      <c r="O28">
        <v>1.860088</v>
      </c>
      <c r="P28">
        <f t="shared" si="4"/>
        <v>1.5953533333333332E-5</v>
      </c>
      <c r="Q28" cm="1">
        <f t="array" ref="Q28">[1]!PropsSI("D","T",J28+273.15,"P",101325,"Water")</f>
        <v>985.34600901634394</v>
      </c>
      <c r="R28" cm="1">
        <f t="array" ref="R28">[1]!PropsSI("D","T",K28+273.15,"P",101325,"Water")</f>
        <v>986.92924034303621</v>
      </c>
      <c r="S28">
        <f t="shared" si="5"/>
        <v>986.13762467969013</v>
      </c>
      <c r="T28" cm="1">
        <f t="array" ref="T28">[1]!PropsSI("H","T",J28+273.15,"P",101325,"Water")</f>
        <v>233313.95838708844</v>
      </c>
      <c r="U28" cm="1">
        <f t="array" ref="U28">[1]!PropsSI("H","T",K28+273.15,"P",101325,"Water")</f>
        <v>219468.62171498517</v>
      </c>
      <c r="V28">
        <f t="shared" si="6"/>
        <v>217.82009036810649</v>
      </c>
    </row>
    <row r="29" spans="1:22" x14ac:dyDescent="0.2">
      <c r="A29">
        <v>46068.538222662035</v>
      </c>
      <c r="B29">
        <v>20.087972000000001</v>
      </c>
      <c r="C29">
        <v>20.018022999999999</v>
      </c>
      <c r="D29">
        <v>20.021391000000001</v>
      </c>
      <c r="E29">
        <v>19.810704000000001</v>
      </c>
      <c r="F29">
        <v>42.135061999999998</v>
      </c>
      <c r="G29">
        <v>38.069020000000002</v>
      </c>
      <c r="H29">
        <v>26.341087000000002</v>
      </c>
      <c r="I29">
        <v>32.309305999999999</v>
      </c>
      <c r="J29">
        <v>55.716901999999997</v>
      </c>
      <c r="K29">
        <v>52.417034999999998</v>
      </c>
      <c r="L29">
        <v>13.187355</v>
      </c>
      <c r="M29">
        <v>-622.47755199999995</v>
      </c>
      <c r="N29">
        <v>0.957368</v>
      </c>
      <c r="O29">
        <v>1.7247749999999999</v>
      </c>
      <c r="P29">
        <f t="shared" si="4"/>
        <v>1.5956133333333335E-5</v>
      </c>
      <c r="Q29" cm="1">
        <f t="array" ref="Q29">[1]!PropsSI("D","T",J29+273.15,"P",101325,"Water")</f>
        <v>985.34437605730079</v>
      </c>
      <c r="R29" cm="1">
        <f t="array" ref="R29">[1]!PropsSI("D","T",K29+273.15,"P",101325,"Water")</f>
        <v>986.92284238672755</v>
      </c>
      <c r="S29">
        <f t="shared" si="5"/>
        <v>986.13360922201423</v>
      </c>
      <c r="T29" cm="1">
        <f t="array" ref="T29">[1]!PropsSI("H","T",J29+273.15,"P",101325,"Water")</f>
        <v>233327.93870540973</v>
      </c>
      <c r="U29" cm="1">
        <f t="array" ref="U29">[1]!PropsSI("H","T",K29+273.15,"P",101325,"Water")</f>
        <v>219525.80735711794</v>
      </c>
      <c r="V29">
        <f t="shared" si="6"/>
        <v>217.17487158277316</v>
      </c>
    </row>
    <row r="30" spans="1:22" x14ac:dyDescent="0.2">
      <c r="A30">
        <v>46068.538338981482</v>
      </c>
      <c r="B30">
        <v>20.084440000000001</v>
      </c>
      <c r="C30">
        <v>19.997335</v>
      </c>
      <c r="D30">
        <v>20.017658000000001</v>
      </c>
      <c r="E30">
        <v>19.782876999999999</v>
      </c>
      <c r="F30">
        <v>42.218620999999999</v>
      </c>
      <c r="G30">
        <v>37.290163999999997</v>
      </c>
      <c r="H30">
        <v>26.656943999999999</v>
      </c>
      <c r="I30">
        <v>28.447754</v>
      </c>
      <c r="J30">
        <v>55.722152999999999</v>
      </c>
      <c r="K30">
        <v>52.418306999999999</v>
      </c>
      <c r="L30">
        <v>13.593457000000001</v>
      </c>
      <c r="M30">
        <v>-622.49347</v>
      </c>
      <c r="N30">
        <v>0.95535599999999998</v>
      </c>
      <c r="O30">
        <v>2.7167859999999999</v>
      </c>
      <c r="P30">
        <f t="shared" si="4"/>
        <v>1.5922599999999999E-5</v>
      </c>
      <c r="Q30" cm="1">
        <f t="array" ref="Q30">[1]!PropsSI("D","T",J30+273.15,"P",101325,"Water")</f>
        <v>985.34181018880361</v>
      </c>
      <c r="R30" cm="1">
        <f t="array" ref="R30">[1]!PropsSI("D","T",K30+273.15,"P",101325,"Water")</f>
        <v>986.92224716732755</v>
      </c>
      <c r="S30">
        <f t="shared" si="5"/>
        <v>986.13202867806558</v>
      </c>
      <c r="T30" cm="1">
        <f t="array" ref="T30">[1]!PropsSI("H","T",J30+273.15,"P",101325,"Water")</f>
        <v>233349.90479747794</v>
      </c>
      <c r="U30" cm="1">
        <f t="array" ref="U30">[1]!PropsSI("H","T",K30+273.15,"P",101325,"Water")</f>
        <v>219531.12695477394</v>
      </c>
      <c r="V30">
        <f t="shared" si="6"/>
        <v>216.97949025431748</v>
      </c>
    </row>
    <row r="31" spans="1:22" x14ac:dyDescent="0.2">
      <c r="A31">
        <v>46068.538455300928</v>
      </c>
      <c r="B31">
        <v>20.111052000000001</v>
      </c>
      <c r="C31">
        <v>19.999573999999999</v>
      </c>
      <c r="D31">
        <v>19.994823</v>
      </c>
      <c r="E31">
        <v>19.792217000000001</v>
      </c>
      <c r="F31">
        <v>42.055219000000001</v>
      </c>
      <c r="G31">
        <v>37.619382999999999</v>
      </c>
      <c r="H31">
        <v>26.185303000000001</v>
      </c>
      <c r="I31">
        <v>33.470188999999998</v>
      </c>
      <c r="J31">
        <v>55.722631</v>
      </c>
      <c r="K31">
        <v>52.412106000000001</v>
      </c>
      <c r="L31">
        <v>12.736357</v>
      </c>
      <c r="M31">
        <v>-622.49061300000005</v>
      </c>
      <c r="N31">
        <v>0.95507699999999995</v>
      </c>
      <c r="O31">
        <v>1.3591070000000001</v>
      </c>
      <c r="P31">
        <f t="shared" si="4"/>
        <v>1.5917949999999999E-5</v>
      </c>
      <c r="Q31" cm="1">
        <f t="array" ref="Q31">[1]!PropsSI("D","T",J31+273.15,"P",101325,"Water")</f>
        <v>985.34157660863605</v>
      </c>
      <c r="R31" cm="1">
        <f t="array" ref="R31">[1]!PropsSI("D","T",K31+273.15,"P",101325,"Water")</f>
        <v>986.92514876436258</v>
      </c>
      <c r="S31">
        <f t="shared" si="5"/>
        <v>986.13336268649937</v>
      </c>
      <c r="T31" cm="1">
        <f t="array" ref="T31">[1]!PropsSI("H","T",J31+273.15,"P",101325,"Water")</f>
        <v>233351.90437748126</v>
      </c>
      <c r="U31" cm="1">
        <f t="array" ref="U31">[1]!PropsSI("H","T",K31+273.15,"P",101325,"Water")</f>
        <v>219505.1939210557</v>
      </c>
      <c r="V31">
        <f t="shared" si="6"/>
        <v>217.35488191965035</v>
      </c>
    </row>
    <row r="32" spans="1:22" x14ac:dyDescent="0.2">
      <c r="A32">
        <v>46068.538571620367</v>
      </c>
      <c r="B32">
        <v>20.08643</v>
      </c>
      <c r="C32">
        <v>20.012314</v>
      </c>
      <c r="D32">
        <v>20.000594</v>
      </c>
      <c r="E32">
        <v>19.791035000000001</v>
      </c>
      <c r="F32">
        <v>41.504294000000002</v>
      </c>
      <c r="G32">
        <v>37.945115999999999</v>
      </c>
      <c r="H32">
        <v>26.704203</v>
      </c>
      <c r="I32">
        <v>33.192765000000001</v>
      </c>
      <c r="J32">
        <v>55.724381000000001</v>
      </c>
      <c r="K32">
        <v>52.417830000000002</v>
      </c>
      <c r="L32">
        <v>13.372242999999999</v>
      </c>
      <c r="M32">
        <v>-622.46898099999999</v>
      </c>
      <c r="N32">
        <v>0.95785200000000004</v>
      </c>
      <c r="O32">
        <v>2.704739</v>
      </c>
      <c r="P32">
        <f t="shared" si="4"/>
        <v>1.5964200000000002E-5</v>
      </c>
      <c r="Q32" cm="1">
        <f t="array" ref="Q32">[1]!PropsSI("D","T",J32+273.15,"P",101325,"Water")</f>
        <v>985.34072143911669</v>
      </c>
      <c r="R32" cm="1">
        <f t="array" ref="R32">[1]!PropsSI("D","T",K32+273.15,"P",101325,"Water")</f>
        <v>986.92247037581728</v>
      </c>
      <c r="S32">
        <f t="shared" si="5"/>
        <v>986.13159590746704</v>
      </c>
      <c r="T32" cm="1">
        <f t="array" ref="T32">[1]!PropsSI("H","T",J32+273.15,"P",101325,"Water")</f>
        <v>233359.2250163538</v>
      </c>
      <c r="U32" cm="1">
        <f t="array" ref="U32">[1]!PropsSI("H","T",K32+273.15,"P",101325,"Water")</f>
        <v>219529.13210554852</v>
      </c>
      <c r="V32">
        <f t="shared" si="6"/>
        <v>217.72441465984159</v>
      </c>
    </row>
    <row r="33" spans="1:22" x14ac:dyDescent="0.2">
      <c r="A33">
        <v>46068.538687361113</v>
      </c>
      <c r="B33">
        <v>20.078738999999999</v>
      </c>
      <c r="C33">
        <v>19.992146000000002</v>
      </c>
      <c r="D33">
        <v>20.00713</v>
      </c>
      <c r="E33">
        <v>19.789691999999999</v>
      </c>
      <c r="F33">
        <v>42.050477999999998</v>
      </c>
      <c r="G33">
        <v>37.958216999999998</v>
      </c>
      <c r="H33">
        <v>26.62162</v>
      </c>
      <c r="I33">
        <v>31.791649</v>
      </c>
      <c r="J33">
        <v>55.728360000000002</v>
      </c>
      <c r="K33">
        <v>52.429755</v>
      </c>
      <c r="L33">
        <v>13.605293</v>
      </c>
      <c r="M33">
        <v>-622.47836800000005</v>
      </c>
      <c r="N33">
        <v>0.95566300000000004</v>
      </c>
      <c r="O33">
        <v>1.7970189999999999</v>
      </c>
      <c r="P33">
        <f t="shared" si="4"/>
        <v>1.5927716666666667E-5</v>
      </c>
      <c r="Q33" cm="1">
        <f t="array" ref="Q33">[1]!PropsSI("D","T",J33+273.15,"P",101325,"Water")</f>
        <v>985.33877695774606</v>
      </c>
      <c r="R33" cm="1">
        <f t="array" ref="R33">[1]!PropsSI("D","T",K33+273.15,"P",101325,"Water")</f>
        <v>986.9168897280174</v>
      </c>
      <c r="S33">
        <f t="shared" si="5"/>
        <v>986.12783334288179</v>
      </c>
      <c r="T33" cm="1">
        <f t="array" ref="T33">[1]!PropsSI("H","T",J33+273.15,"P",101325,"Water")</f>
        <v>233375.87006174793</v>
      </c>
      <c r="U33" cm="1">
        <f t="array" ref="U33">[1]!PropsSI("H","T",K33+273.15,"P",101325,"Water")</f>
        <v>219579.00335726887</v>
      </c>
      <c r="V33">
        <f t="shared" si="6"/>
        <v>216.70413929150416</v>
      </c>
    </row>
    <row r="34" spans="1:22" x14ac:dyDescent="0.2">
      <c r="A34">
        <v>46068.538803101852</v>
      </c>
      <c r="B34">
        <v>20.080985999999999</v>
      </c>
      <c r="C34">
        <v>19.985782</v>
      </c>
      <c r="D34">
        <v>20.020502</v>
      </c>
      <c r="E34">
        <v>19.778797999999998</v>
      </c>
      <c r="F34">
        <v>41.820388999999999</v>
      </c>
      <c r="G34">
        <v>38.639372999999999</v>
      </c>
      <c r="H34">
        <v>26.05172</v>
      </c>
      <c r="I34">
        <v>31.275997</v>
      </c>
      <c r="J34">
        <v>55.733930000000001</v>
      </c>
      <c r="K34">
        <v>52.439611999999997</v>
      </c>
      <c r="L34">
        <v>13.627333</v>
      </c>
      <c r="M34">
        <v>-622.48408199999994</v>
      </c>
      <c r="N34">
        <v>0.95365500000000003</v>
      </c>
      <c r="O34">
        <v>1.19937</v>
      </c>
      <c r="P34">
        <f t="shared" si="4"/>
        <v>1.5894250000000001E-5</v>
      </c>
      <c r="Q34" cm="1">
        <f t="array" ref="Q34">[1]!PropsSI("D","T",J34+273.15,"P",101325,"Water")</f>
        <v>985.33605481318216</v>
      </c>
      <c r="R34" cm="1">
        <f t="array" ref="R34">[1]!PropsSI("D","T",K34+273.15,"P",101325,"Water")</f>
        <v>986.91227617533309</v>
      </c>
      <c r="S34">
        <f t="shared" si="5"/>
        <v>986.12416549425757</v>
      </c>
      <c r="T34" cm="1">
        <f t="array" ref="T34">[1]!PropsSI("H","T",J34+273.15,"P",101325,"Water")</f>
        <v>233399.17062536484</v>
      </c>
      <c r="U34" cm="1">
        <f t="array" ref="U34">[1]!PropsSI("H","T",K34+273.15,"P",101325,"Water")</f>
        <v>219620.22611113315</v>
      </c>
      <c r="V34">
        <f t="shared" si="6"/>
        <v>215.96709798834294</v>
      </c>
    </row>
    <row r="35" spans="1:22" x14ac:dyDescent="0.2">
      <c r="A35">
        <v>46068.538919421298</v>
      </c>
      <c r="B35">
        <v>20.083945</v>
      </c>
      <c r="C35">
        <v>19.979194</v>
      </c>
      <c r="D35">
        <v>19.973289000000001</v>
      </c>
      <c r="E35">
        <v>19.774577000000001</v>
      </c>
      <c r="F35">
        <v>42.951566</v>
      </c>
      <c r="G35">
        <v>37.773736999999997</v>
      </c>
      <c r="H35">
        <v>25.800632</v>
      </c>
      <c r="I35">
        <v>33.914682999999997</v>
      </c>
      <c r="J35">
        <v>55.734406999999997</v>
      </c>
      <c r="K35">
        <v>52.442633000000001</v>
      </c>
      <c r="L35">
        <v>14.070576000000001</v>
      </c>
      <c r="M35">
        <v>-622.50571400000001</v>
      </c>
      <c r="N35">
        <v>0.95844200000000002</v>
      </c>
      <c r="O35">
        <v>1.442712</v>
      </c>
      <c r="P35">
        <f t="shared" si="4"/>
        <v>1.5974033333333333E-5</v>
      </c>
      <c r="Q35" cm="1">
        <f t="array" ref="Q35">[1]!PropsSI("D","T",J35+273.15,"P",101325,"Water")</f>
        <v>985.33582168707198</v>
      </c>
      <c r="R35" cm="1">
        <f t="array" ref="R35">[1]!PropsSI("D","T",K35+273.15,"P",101325,"Water")</f>
        <v>986.91086207710464</v>
      </c>
      <c r="S35">
        <f t="shared" si="5"/>
        <v>986.12334188208831</v>
      </c>
      <c r="T35" cm="1">
        <f t="array" ref="T35">[1]!PropsSI("H","T",J35+273.15,"P",101325,"Water")</f>
        <v>233401.16602426849</v>
      </c>
      <c r="U35" cm="1">
        <f t="array" ref="U35">[1]!PropsSI("H","T",K35+273.15,"P",101325,"Water")</f>
        <v>219632.86017848994</v>
      </c>
      <c r="V35">
        <f t="shared" si="6"/>
        <v>216.88340849593712</v>
      </c>
    </row>
    <row r="36" spans="1:22" x14ac:dyDescent="0.2">
      <c r="P36" s="1"/>
    </row>
    <row r="37" spans="1:22" x14ac:dyDescent="0.2">
      <c r="E37" s="1" t="s">
        <v>22</v>
      </c>
    </row>
    <row r="38" spans="1:22" x14ac:dyDescent="0.2">
      <c r="E38">
        <f>AVERAGE(V3:V35)</f>
        <v>217.57868810631362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7062E-353A-FE4E-BE08-2738B93EA33E}">
  <dimension ref="A1:V60"/>
  <sheetViews>
    <sheetView topLeftCell="A29" workbookViewId="0">
      <selection activeCell="F60" sqref="F60"/>
    </sheetView>
  </sheetViews>
  <sheetFormatPr baseColWidth="10" defaultRowHeight="16" x14ac:dyDescent="0.2"/>
  <cols>
    <col min="1" max="1" width="16.83203125" bestFit="1" customWidth="1"/>
    <col min="2" max="10" width="10.1640625" bestFit="1" customWidth="1"/>
    <col min="11" max="11" width="11.1640625" bestFit="1" customWidth="1"/>
    <col min="12" max="12" width="10.1640625" bestFit="1" customWidth="1"/>
    <col min="13" max="13" width="13" bestFit="1" customWidth="1"/>
    <col min="14" max="14" width="11.33203125" bestFit="1" customWidth="1"/>
    <col min="15" max="15" width="11.5" bestFit="1" customWidth="1"/>
    <col min="16" max="16" width="12.5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>
        <v>44606.5421688446</v>
      </c>
      <c r="B2">
        <v>20.011759000000001</v>
      </c>
      <c r="C2">
        <v>19.837464000000001</v>
      </c>
      <c r="D2">
        <v>19.864343000000002</v>
      </c>
      <c r="E2">
        <v>19.741886000000001</v>
      </c>
      <c r="F2">
        <v>40.55106</v>
      </c>
      <c r="G2">
        <v>37.472631999999997</v>
      </c>
      <c r="H2">
        <v>26.744056</v>
      </c>
      <c r="I2">
        <v>27.199352000000001</v>
      </c>
      <c r="J2">
        <v>55.618074999999997</v>
      </c>
      <c r="K2">
        <v>49.775810999999997</v>
      </c>
      <c r="L2">
        <v>41.019838999999997</v>
      </c>
      <c r="M2">
        <v>-622.49877600000002</v>
      </c>
      <c r="N2">
        <v>0.96149899999999999</v>
      </c>
      <c r="O2">
        <v>1.5593699999999999</v>
      </c>
      <c r="P2">
        <f xml:space="preserve"> N2*0.001/60</f>
        <v>1.6024983333333333E-5</v>
      </c>
      <c r="Q2" cm="1">
        <f t="array" ref="Q2">[1]!PropsSI("D","T",J2+273.15,"P",101325,"Water")</f>
        <v>985.39263555638843</v>
      </c>
      <c r="R2" cm="1">
        <f t="array" ref="R2">[1]!PropsSI("D","T",K2+273.15,"P",101325,"Water")</f>
        <v>988.13628136914861</v>
      </c>
      <c r="S2">
        <f>(Q2+R2)/2</f>
        <v>986.76445846276852</v>
      </c>
      <c r="T2" cm="1">
        <f t="array" ref="T2">[1]!PropsSI("H","T",J2+273.15,"P",101325,"Water")</f>
        <v>232914.52546441462</v>
      </c>
      <c r="U2" cm="1">
        <f t="array" ref="U2">[1]!PropsSI("H","T",K2+273.15,"P",101325,"Water")</f>
        <v>208481.0881241771</v>
      </c>
      <c r="V2">
        <f>S2*P2*(T2-U2)</f>
        <v>386.36311040178492</v>
      </c>
    </row>
    <row r="3" spans="1:22" x14ac:dyDescent="0.2">
      <c r="A3">
        <v>44606.542284585303</v>
      </c>
      <c r="B3">
        <v>20.029489000000002</v>
      </c>
      <c r="C3">
        <v>19.843202999999999</v>
      </c>
      <c r="D3">
        <v>19.867525000000001</v>
      </c>
      <c r="E3">
        <v>19.737911</v>
      </c>
      <c r="F3">
        <v>39.990783999999998</v>
      </c>
      <c r="G3">
        <v>37.743811000000001</v>
      </c>
      <c r="H3">
        <v>26.870989000000002</v>
      </c>
      <c r="I3">
        <v>25.600183999999999</v>
      </c>
      <c r="J3">
        <v>55.613779000000001</v>
      </c>
      <c r="K3">
        <v>49.778511000000002</v>
      </c>
      <c r="L3">
        <v>39.820715</v>
      </c>
      <c r="M3">
        <v>-622.47102199999995</v>
      </c>
      <c r="N3">
        <v>0.95938400000000001</v>
      </c>
      <c r="O3">
        <v>1.3581540000000001</v>
      </c>
      <c r="P3">
        <f t="shared" ref="P3" si="0" xml:space="preserve"> N3*0.001/60</f>
        <v>1.5989733333333334E-5</v>
      </c>
      <c r="Q3" cm="1">
        <f t="array" ref="Q3">[1]!PropsSI("D","T",J3+273.15,"P",101325,"Water")</f>
        <v>985.39473202622708</v>
      </c>
      <c r="R3" cm="1">
        <f t="array" ref="R3">[1]!PropsSI("D","T",K3+273.15,"P",101325,"Water")</f>
        <v>988.13506411768128</v>
      </c>
      <c r="S3">
        <f>(Q3+R3)/2</f>
        <v>986.76489807195412</v>
      </c>
      <c r="T3" cm="1">
        <f t="array" ref="T3">[1]!PropsSI("H","T",J3+273.15,"P",101325,"Water")</f>
        <v>232896.55451365435</v>
      </c>
      <c r="U3" cm="1">
        <f t="array" ref="U3">[1]!PropsSI("H","T",K3+273.15,"P",101325,"Water")</f>
        <v>208492.3775792426</v>
      </c>
      <c r="V3">
        <f t="shared" ref="V3:V35" si="1">S3*P3*(T3-U3)</f>
        <v>385.05172914240637</v>
      </c>
    </row>
    <row r="4" spans="1:22" x14ac:dyDescent="0.2">
      <c r="A4">
        <v>44606.5424003261</v>
      </c>
      <c r="B4">
        <v>20.000242</v>
      </c>
      <c r="C4">
        <v>19.833241999999998</v>
      </c>
      <c r="D4">
        <v>19.860818999999999</v>
      </c>
      <c r="E4">
        <v>19.739777</v>
      </c>
      <c r="F4">
        <v>40.134056999999999</v>
      </c>
      <c r="G4">
        <v>37.419159999999998</v>
      </c>
      <c r="H4">
        <v>27.078759999999999</v>
      </c>
      <c r="I4">
        <v>25.918621000000002</v>
      </c>
      <c r="J4">
        <v>55.618712000000002</v>
      </c>
      <c r="K4">
        <v>49.771045000000001</v>
      </c>
      <c r="L4">
        <v>37.897137999999998</v>
      </c>
      <c r="M4">
        <v>-622.50449000000003</v>
      </c>
      <c r="N4">
        <v>0.96306400000000003</v>
      </c>
      <c r="O4">
        <v>1.717239</v>
      </c>
      <c r="P4">
        <f xml:space="preserve"> N4*0.001/60</f>
        <v>1.6051066666666666E-5</v>
      </c>
      <c r="Q4" cm="1">
        <f t="array" ref="Q4">[1]!PropsSI("D","T",J4+273.15,"P",101325,"Water")</f>
        <v>985.39232468745206</v>
      </c>
      <c r="R4" cm="1">
        <f t="array" ref="R4">[1]!PropsSI("D","T",K4+273.15,"P",101325,"Water")</f>
        <v>988.13842992641207</v>
      </c>
      <c r="S4">
        <f t="shared" ref="S4:S35" si="2">(Q4+R4)/2</f>
        <v>986.76537730693212</v>
      </c>
      <c r="T4" cm="1">
        <f t="array" ref="T4">[1]!PropsSI("H","T",J4+273.15,"P",101325,"Water")</f>
        <v>232917.19015205113</v>
      </c>
      <c r="U4" cm="1">
        <f t="array" ref="U4">[1]!PropsSI("H","T",K4+273.15,"P",101325,"Water")</f>
        <v>208461.16015022504</v>
      </c>
      <c r="V4">
        <f t="shared" si="1"/>
        <v>387.35017812643122</v>
      </c>
    </row>
    <row r="5" spans="1:22" x14ac:dyDescent="0.2">
      <c r="A5">
        <v>44606.542516645502</v>
      </c>
      <c r="B5">
        <v>19.967851</v>
      </c>
      <c r="C5">
        <v>19.797633999999999</v>
      </c>
      <c r="D5">
        <v>19.83869</v>
      </c>
      <c r="E5">
        <v>19.663990999999999</v>
      </c>
      <c r="F5">
        <v>40.222008000000002</v>
      </c>
      <c r="G5">
        <v>38.565128999999999</v>
      </c>
      <c r="H5">
        <v>27.248194999999999</v>
      </c>
      <c r="I5">
        <v>28.293202000000001</v>
      </c>
      <c r="J5">
        <v>55.609959000000003</v>
      </c>
      <c r="K5">
        <v>49.763418999999999</v>
      </c>
      <c r="L5">
        <v>39.326861999999998</v>
      </c>
      <c r="M5">
        <v>-622.48857199999998</v>
      </c>
      <c r="N5">
        <v>0.95798300000000003</v>
      </c>
      <c r="O5">
        <v>0.96585100000000002</v>
      </c>
      <c r="P5">
        <f t="shared" ref="P5:P35" si="3" xml:space="preserve"> N5*0.001/60</f>
        <v>1.5966383333333333E-5</v>
      </c>
      <c r="Q5" cm="1">
        <f t="array" ref="Q5">[1]!PropsSI("D","T",J5+273.15,"P",101325,"Water")</f>
        <v>985.39659611002958</v>
      </c>
      <c r="R5" cm="1">
        <f t="array" ref="R5">[1]!PropsSI("D","T",K5+273.15,"P",101325,"Water")</f>
        <v>988.14186748760415</v>
      </c>
      <c r="S5">
        <f t="shared" si="2"/>
        <v>986.76923179881692</v>
      </c>
      <c r="T5" cm="1">
        <f t="array" ref="T5">[1]!PropsSI("H","T",J5+273.15,"P",101325,"Water")</f>
        <v>232880.5747634006</v>
      </c>
      <c r="U5" cm="1">
        <f t="array" ref="U5">[1]!PropsSI("H","T",K5+273.15,"P",101325,"Water")</f>
        <v>208429.27373258988</v>
      </c>
      <c r="V5">
        <f t="shared" si="1"/>
        <v>385.23356862905212</v>
      </c>
    </row>
    <row r="6" spans="1:22" x14ac:dyDescent="0.2">
      <c r="A6">
        <v>46068.542632962963</v>
      </c>
      <c r="B6">
        <v>19.965364999999998</v>
      </c>
      <c r="C6">
        <v>19.761023999999999</v>
      </c>
      <c r="D6">
        <v>19.853175</v>
      </c>
      <c r="E6">
        <v>19.693598000000001</v>
      </c>
      <c r="F6">
        <v>40.626134</v>
      </c>
      <c r="G6">
        <v>38.312502000000002</v>
      </c>
      <c r="H6">
        <v>26.439399999999999</v>
      </c>
      <c r="I6">
        <v>26.457270000000001</v>
      </c>
      <c r="J6">
        <v>55.612028000000002</v>
      </c>
      <c r="K6">
        <v>49.761353999999997</v>
      </c>
      <c r="L6">
        <v>38.532207999999997</v>
      </c>
      <c r="M6">
        <v>-622.52163199999995</v>
      </c>
      <c r="N6">
        <v>0.96009699999999998</v>
      </c>
      <c r="O6">
        <v>1.582168</v>
      </c>
      <c r="P6">
        <f t="shared" si="3"/>
        <v>1.6001616666666666E-5</v>
      </c>
      <c r="Q6" cm="1">
        <f t="array" ref="Q6">[1]!PropsSI("D","T",J6+273.15,"P",101325,"Water")</f>
        <v>985.3955864904666</v>
      </c>
      <c r="R6" cm="1">
        <f t="array" ref="R6">[1]!PropsSI("D","T",K6+273.15,"P",101325,"Water")</f>
        <v>988.14279825891515</v>
      </c>
      <c r="S6">
        <f t="shared" si="2"/>
        <v>986.76919237469087</v>
      </c>
      <c r="T6" cm="1">
        <f t="array" ref="T6">[1]!PropsSI("H","T",J6+273.15,"P",101325,"Water")</f>
        <v>232889.22976359818</v>
      </c>
      <c r="U6" cm="1">
        <f t="array" ref="U6">[1]!PropsSI("H","T",K6+273.15,"P",101325,"Water")</f>
        <v>208420.63939854308</v>
      </c>
      <c r="V6">
        <f t="shared" si="1"/>
        <v>386.35665262519188</v>
      </c>
    </row>
    <row r="7" spans="1:22" x14ac:dyDescent="0.2">
      <c r="A7">
        <v>46068.542749282409</v>
      </c>
      <c r="B7">
        <v>19.968008000000001</v>
      </c>
      <c r="C7">
        <v>19.812190999999999</v>
      </c>
      <c r="D7">
        <v>19.826308000000001</v>
      </c>
      <c r="E7">
        <v>19.710442</v>
      </c>
      <c r="F7">
        <v>40.257457000000002</v>
      </c>
      <c r="G7">
        <v>38.367561000000002</v>
      </c>
      <c r="H7">
        <v>27.191621999999999</v>
      </c>
      <c r="I7">
        <v>27.019473999999999</v>
      </c>
      <c r="J7">
        <v>55.608846</v>
      </c>
      <c r="K7">
        <v>49.753411</v>
      </c>
      <c r="L7">
        <v>38.499557000000003</v>
      </c>
      <c r="M7">
        <v>-622.48571500000003</v>
      </c>
      <c r="N7">
        <v>0.95858900000000002</v>
      </c>
      <c r="O7">
        <v>1.298923</v>
      </c>
      <c r="P7">
        <f t="shared" si="3"/>
        <v>1.5976483333333335E-5</v>
      </c>
      <c r="Q7" cm="1">
        <f t="array" ref="Q7">[1]!PropsSI("D","T",J7+273.15,"P",101325,"Water")</f>
        <v>985.39713921489806</v>
      </c>
      <c r="R7" cm="1">
        <f t="array" ref="R7">[1]!PropsSI("D","T",K7+273.15,"P",101325,"Water")</f>
        <v>988.14637819915663</v>
      </c>
      <c r="S7">
        <f t="shared" si="2"/>
        <v>986.7717587070274</v>
      </c>
      <c r="T7" cm="1">
        <f t="array" ref="T7">[1]!PropsSI("H","T",J7+273.15,"P",101325,"Water")</f>
        <v>232875.91888430729</v>
      </c>
      <c r="U7" cm="1">
        <f t="array" ref="U7">[1]!PropsSI("H","T",K7+273.15,"P",101325,"Water")</f>
        <v>208387.42753802647</v>
      </c>
      <c r="V7">
        <f t="shared" si="1"/>
        <v>386.06455707475811</v>
      </c>
    </row>
    <row r="8" spans="1:22" x14ac:dyDescent="0.2">
      <c r="A8">
        <v>46068.542865601848</v>
      </c>
      <c r="B8">
        <v>19.972339000000002</v>
      </c>
      <c r="C8">
        <v>19.804872</v>
      </c>
      <c r="D8">
        <v>19.853819999999999</v>
      </c>
      <c r="E8">
        <v>19.724115999999999</v>
      </c>
      <c r="F8">
        <v>40.559356999999999</v>
      </c>
      <c r="G8">
        <v>37.286110000000001</v>
      </c>
      <c r="H8">
        <v>26.355108000000001</v>
      </c>
      <c r="I8">
        <v>28.0596</v>
      </c>
      <c r="J8">
        <v>55.603434999999998</v>
      </c>
      <c r="K8">
        <v>49.742449999999998</v>
      </c>
      <c r="L8">
        <v>40.012134000000003</v>
      </c>
      <c r="M8">
        <v>-622.50081599999999</v>
      </c>
      <c r="N8">
        <v>0.96111800000000003</v>
      </c>
      <c r="O8">
        <v>1.593478</v>
      </c>
      <c r="P8">
        <f t="shared" si="3"/>
        <v>1.6018633333333333E-5</v>
      </c>
      <c r="Q8" cm="1">
        <f t="array" ref="Q8">[1]!PropsSI("D","T",J8+273.15,"P",101325,"Water")</f>
        <v>985.39977948372939</v>
      </c>
      <c r="R8" cm="1">
        <f t="array" ref="R8">[1]!PropsSI("D","T",K8+273.15,"P",101325,"Water")</f>
        <v>988.15131768193078</v>
      </c>
      <c r="S8">
        <f t="shared" si="2"/>
        <v>986.77554858283008</v>
      </c>
      <c r="T8" cm="1">
        <f t="array" ref="T8">[1]!PropsSI("H","T",J8+273.15,"P",101325,"Water")</f>
        <v>232853.28370507131</v>
      </c>
      <c r="U8" cm="1">
        <f t="array" ref="U8">[1]!PropsSI("H","T",K8+273.15,"P",101325,"Water")</f>
        <v>208341.59662093309</v>
      </c>
      <c r="V8">
        <f t="shared" si="1"/>
        <v>387.45122987990027</v>
      </c>
    </row>
    <row r="9" spans="1:22" x14ac:dyDescent="0.2">
      <c r="A9">
        <v>46068.542981921295</v>
      </c>
      <c r="B9">
        <v>19.990575</v>
      </c>
      <c r="C9">
        <v>19.851759000000001</v>
      </c>
      <c r="D9">
        <v>19.896277999999999</v>
      </c>
      <c r="E9">
        <v>19.764764</v>
      </c>
      <c r="F9">
        <v>39.769167000000003</v>
      </c>
      <c r="G9">
        <v>38.730756</v>
      </c>
      <c r="H9">
        <v>26.263731</v>
      </c>
      <c r="I9">
        <v>27.735403000000002</v>
      </c>
      <c r="J9">
        <v>55.605981</v>
      </c>
      <c r="K9">
        <v>49.740544</v>
      </c>
      <c r="L9">
        <v>39.294210999999997</v>
      </c>
      <c r="M9">
        <v>-622.50857099999996</v>
      </c>
      <c r="N9">
        <v>0.959704</v>
      </c>
      <c r="O9">
        <v>1.396506</v>
      </c>
      <c r="P9">
        <f t="shared" si="3"/>
        <v>1.5995066666666669E-5</v>
      </c>
      <c r="Q9" cm="1">
        <f t="array" ref="Q9">[1]!PropsSI("D","T",J9+273.15,"P",101325,"Water")</f>
        <v>985.39853719898201</v>
      </c>
      <c r="R9" cm="1">
        <f t="array" ref="R9">[1]!PropsSI("D","T",K9+273.15,"P",101325,"Water")</f>
        <v>988.15217652418323</v>
      </c>
      <c r="S9">
        <f t="shared" si="2"/>
        <v>986.77535686158262</v>
      </c>
      <c r="T9" cm="1">
        <f t="array" ref="T9">[1]!PropsSI("H","T",J9+273.15,"P",101325,"Water")</f>
        <v>232863.93407636974</v>
      </c>
      <c r="U9" cm="1">
        <f t="array" ref="U9">[1]!PropsSI("H","T",K9+273.15,"P",101325,"Water")</f>
        <v>208333.62712085061</v>
      </c>
      <c r="V9">
        <f t="shared" si="1"/>
        <v>387.17502261413176</v>
      </c>
    </row>
    <row r="10" spans="1:22" x14ac:dyDescent="0.2">
      <c r="A10">
        <v>44606.543098242699</v>
      </c>
      <c r="B10">
        <v>20.05864</v>
      </c>
      <c r="C10">
        <v>19.939468000000002</v>
      </c>
      <c r="D10">
        <v>19.942164999999999</v>
      </c>
      <c r="E10">
        <v>19.849485000000001</v>
      </c>
      <c r="F10">
        <v>40.506312999999999</v>
      </c>
      <c r="G10">
        <v>37.527020999999998</v>
      </c>
      <c r="H10">
        <v>26.48227</v>
      </c>
      <c r="I10">
        <v>26.727464000000001</v>
      </c>
      <c r="J10">
        <v>55.599138000000004</v>
      </c>
      <c r="K10">
        <v>49.732759999999999</v>
      </c>
      <c r="L10">
        <v>40.217838</v>
      </c>
      <c r="M10">
        <v>-622.49550999999997</v>
      </c>
      <c r="N10">
        <v>0.95949899999999999</v>
      </c>
      <c r="O10">
        <v>1.5239400000000001</v>
      </c>
      <c r="P10">
        <f t="shared" si="3"/>
        <v>1.5991650000000001E-5</v>
      </c>
      <c r="Q10" cm="1">
        <f t="array" ref="Q10">[1]!PropsSI("D","T",J10+273.15,"P",101325,"Water")</f>
        <v>985.40187605350002</v>
      </c>
      <c r="R10" cm="1">
        <f t="array" ref="R10">[1]!PropsSI("D","T",K10+273.15,"P",101325,"Water")</f>
        <v>988.15568374095756</v>
      </c>
      <c r="S10">
        <f t="shared" si="2"/>
        <v>986.77877989722879</v>
      </c>
      <c r="T10" cm="1">
        <f t="array" ref="T10">[1]!PropsSI("H","T",J10+273.15,"P",101325,"Water")</f>
        <v>232835.30859449258</v>
      </c>
      <c r="U10" cm="1">
        <f t="array" ref="U10">[1]!PropsSI("H","T",K10+273.15,"P",101325,"Water")</f>
        <v>208301.08012785675</v>
      </c>
      <c r="V10">
        <f t="shared" si="1"/>
        <v>387.15554421456085</v>
      </c>
    </row>
    <row r="11" spans="1:22" x14ac:dyDescent="0.2">
      <c r="A11">
        <v>44606.543214562204</v>
      </c>
      <c r="B11">
        <v>20.052613999999998</v>
      </c>
      <c r="C11">
        <v>19.945800999999999</v>
      </c>
      <c r="D11">
        <v>19.968695</v>
      </c>
      <c r="E11">
        <v>19.846789000000001</v>
      </c>
      <c r="F11">
        <v>39.387675999999999</v>
      </c>
      <c r="G11">
        <v>37.792126000000003</v>
      </c>
      <c r="H11">
        <v>26.314534999999999</v>
      </c>
      <c r="I11">
        <v>25.555253</v>
      </c>
      <c r="J11">
        <v>55.599138000000004</v>
      </c>
      <c r="K11">
        <v>49.732919000000003</v>
      </c>
      <c r="L11">
        <v>38.12529</v>
      </c>
      <c r="M11">
        <v>-622.48244999999997</v>
      </c>
      <c r="N11">
        <v>0.95731900000000003</v>
      </c>
      <c r="O11">
        <v>1.45312</v>
      </c>
      <c r="P11">
        <f t="shared" si="3"/>
        <v>1.595531666666667E-5</v>
      </c>
      <c r="Q11" cm="1">
        <f t="array" ref="Q11">[1]!PropsSI("D","T",J11+273.15,"P",101325,"Water")</f>
        <v>985.40187605350002</v>
      </c>
      <c r="R11" cm="1">
        <f t="array" ref="R11">[1]!PropsSI("D","T",K11+273.15,"P",101325,"Water")</f>
        <v>988.15561210473186</v>
      </c>
      <c r="S11">
        <f t="shared" si="2"/>
        <v>986.778744079116</v>
      </c>
      <c r="T11" cm="1">
        <f t="array" ref="T11">[1]!PropsSI("H","T",J11+273.15,"P",101325,"Water")</f>
        <v>232835.30859449258</v>
      </c>
      <c r="U11" cm="1">
        <f t="array" ref="U11">[1]!PropsSI("H","T",K11+273.15,"P",101325,"Water")</f>
        <v>208301.74494936262</v>
      </c>
      <c r="V11">
        <f t="shared" si="1"/>
        <v>386.26543823034234</v>
      </c>
    </row>
    <row r="12" spans="1:22" x14ac:dyDescent="0.2">
      <c r="A12">
        <v>44606.543330881599</v>
      </c>
      <c r="B12">
        <v>19.993326</v>
      </c>
      <c r="C12">
        <v>19.927879999999998</v>
      </c>
      <c r="D12">
        <v>19.915489999999998</v>
      </c>
      <c r="E12">
        <v>19.786770000000001</v>
      </c>
      <c r="F12">
        <v>39.984127999999998</v>
      </c>
      <c r="G12">
        <v>38.758414000000002</v>
      </c>
      <c r="H12">
        <v>26.461694000000001</v>
      </c>
      <c r="I12">
        <v>26.36448</v>
      </c>
      <c r="J12">
        <v>55.594681999999999</v>
      </c>
      <c r="K12">
        <v>49.728946999999998</v>
      </c>
      <c r="L12">
        <v>40.950046</v>
      </c>
      <c r="M12">
        <v>-622.48653100000001</v>
      </c>
      <c r="N12">
        <v>0.96148599999999995</v>
      </c>
      <c r="O12">
        <v>1.1022689999999999</v>
      </c>
      <c r="P12">
        <f t="shared" si="3"/>
        <v>1.6024766666666666E-5</v>
      </c>
      <c r="Q12" cm="1">
        <f t="array" ref="Q12">[1]!PropsSI("D","T",J12+273.15,"P",101325,"Water")</f>
        <v>985.40405008139032</v>
      </c>
      <c r="R12" cm="1">
        <f t="array" ref="R12">[1]!PropsSI("D","T",K12+273.15,"P",101325,"Water")</f>
        <v>988.1574016090118</v>
      </c>
      <c r="S12">
        <f t="shared" si="2"/>
        <v>986.780725845201</v>
      </c>
      <c r="T12" cm="1">
        <f t="array" ref="T12">[1]!PropsSI("H","T",J12+273.15,"P",101325,"Water")</f>
        <v>232816.66836607104</v>
      </c>
      <c r="U12" cm="1">
        <f t="array" ref="U12">[1]!PropsSI("H","T",K12+273.15,"P",101325,"Water")</f>
        <v>208285.13695777129</v>
      </c>
      <c r="V12">
        <f t="shared" si="1"/>
        <v>387.91541060949862</v>
      </c>
    </row>
    <row r="13" spans="1:22" x14ac:dyDescent="0.2">
      <c r="A13">
        <v>44606.543447201097</v>
      </c>
      <c r="B13">
        <v>19.954388000000002</v>
      </c>
      <c r="C13">
        <v>19.909936999999999</v>
      </c>
      <c r="D13">
        <v>19.868762</v>
      </c>
      <c r="E13">
        <v>19.778666000000001</v>
      </c>
      <c r="F13">
        <v>40.070290999999997</v>
      </c>
      <c r="G13">
        <v>37.991688000000003</v>
      </c>
      <c r="H13">
        <v>26.773813000000001</v>
      </c>
      <c r="I13">
        <v>26.432822999999999</v>
      </c>
      <c r="J13">
        <v>55.597864999999999</v>
      </c>
      <c r="K13">
        <v>49.729264999999998</v>
      </c>
      <c r="L13">
        <v>37.384509999999999</v>
      </c>
      <c r="M13">
        <v>-622.48122499999999</v>
      </c>
      <c r="N13">
        <v>0.95740899999999995</v>
      </c>
      <c r="O13">
        <v>1.478942</v>
      </c>
      <c r="P13">
        <f t="shared" si="3"/>
        <v>1.5956816666666666E-5</v>
      </c>
      <c r="Q13" cm="1">
        <f t="array" ref="Q13">[1]!PropsSI("D","T",J13+273.15,"P",101325,"Water")</f>
        <v>985.40249714711399</v>
      </c>
      <c r="R13" cm="1">
        <f t="array" ref="R13">[1]!PropsSI("D","T",K13+273.15,"P",101325,"Water")</f>
        <v>988.15725834437922</v>
      </c>
      <c r="S13">
        <f t="shared" si="2"/>
        <v>986.7798777457466</v>
      </c>
      <c r="T13" cm="1">
        <f t="array" ref="T13">[1]!PropsSI("H","T",J13+273.15,"P",101325,"Water")</f>
        <v>232829.98341178743</v>
      </c>
      <c r="U13" cm="1">
        <f t="array" ref="U13">[1]!PropsSI("H","T",K13+273.15,"P",101325,"Water")</f>
        <v>208286.46660037283</v>
      </c>
      <c r="V13">
        <f t="shared" si="1"/>
        <v>386.45891705269815</v>
      </c>
    </row>
    <row r="14" spans="1:22" x14ac:dyDescent="0.2">
      <c r="A14">
        <v>44606.543562941799</v>
      </c>
      <c r="B14">
        <v>19.921823</v>
      </c>
      <c r="C14">
        <v>19.850235999999999</v>
      </c>
      <c r="D14">
        <v>19.867359</v>
      </c>
      <c r="E14">
        <v>19.727633999999998</v>
      </c>
      <c r="F14">
        <v>38.195270999999998</v>
      </c>
      <c r="G14">
        <v>38.226132999999997</v>
      </c>
      <c r="H14">
        <v>26.294968999999998</v>
      </c>
      <c r="I14">
        <v>26.486571000000001</v>
      </c>
      <c r="J14">
        <v>55.597068999999998</v>
      </c>
      <c r="K14">
        <v>49.722434</v>
      </c>
      <c r="L14">
        <v>40.434562</v>
      </c>
      <c r="M14">
        <v>-622.49224500000003</v>
      </c>
      <c r="N14">
        <v>0.958036</v>
      </c>
      <c r="O14">
        <v>1.585167</v>
      </c>
      <c r="P14">
        <f t="shared" si="3"/>
        <v>1.5967266666666665E-5</v>
      </c>
      <c r="Q14" cm="1">
        <f t="array" ref="Q14">[1]!PropsSI("D","T",J14+273.15,"P",101325,"Water")</f>
        <v>985.40288550852654</v>
      </c>
      <c r="R14" cm="1">
        <f t="array" ref="R14">[1]!PropsSI("D","T",K14+273.15,"P",101325,"Water")</f>
        <v>988.16033568486989</v>
      </c>
      <c r="S14">
        <f t="shared" si="2"/>
        <v>986.78161059669821</v>
      </c>
      <c r="T14" cm="1">
        <f t="array" ref="T14">[1]!PropsSI("H","T",J14+273.15,"P",101325,"Water")</f>
        <v>232826.65360424135</v>
      </c>
      <c r="U14" cm="1">
        <f t="array" ref="U14">[1]!PropsSI("H","T",K14+273.15,"P",101325,"Water")</f>
        <v>208257.90437667299</v>
      </c>
      <c r="V14">
        <f t="shared" si="1"/>
        <v>387.1102523262096</v>
      </c>
    </row>
    <row r="15" spans="1:22" x14ac:dyDescent="0.2">
      <c r="A15">
        <v>46068.543678680559</v>
      </c>
      <c r="B15">
        <v>19.902037</v>
      </c>
      <c r="C15">
        <v>19.831078999999999</v>
      </c>
      <c r="D15">
        <v>19.851690999999999</v>
      </c>
      <c r="E15">
        <v>19.715802</v>
      </c>
      <c r="F15">
        <v>40.078997999999999</v>
      </c>
      <c r="G15">
        <v>37.665815000000002</v>
      </c>
      <c r="H15">
        <v>26.921282000000001</v>
      </c>
      <c r="I15">
        <v>26.223821999999998</v>
      </c>
      <c r="J15">
        <v>55.598024000000002</v>
      </c>
      <c r="K15">
        <v>49.718780000000002</v>
      </c>
      <c r="L15">
        <v>40.092129999999997</v>
      </c>
      <c r="M15">
        <v>-622.5</v>
      </c>
      <c r="N15">
        <v>0.96031</v>
      </c>
      <c r="O15">
        <v>1.4585840000000001</v>
      </c>
      <c r="P15">
        <f t="shared" si="3"/>
        <v>1.6005166666666667E-5</v>
      </c>
      <c r="Q15" cm="1">
        <f t="array" ref="Q15">[1]!PropsSI("D","T",J15+273.15,"P",101325,"Water")</f>
        <v>985.40241957194223</v>
      </c>
      <c r="R15" cm="1">
        <f t="array" ref="R15">[1]!PropsSI("D","T",K15+273.15,"P",101325,"Water")</f>
        <v>988.16198167243806</v>
      </c>
      <c r="S15">
        <f t="shared" si="2"/>
        <v>986.7822006221902</v>
      </c>
      <c r="T15" cm="1">
        <f t="array" ref="T15">[1]!PropsSI("H","T",J15+273.15,"P",101325,"Water")</f>
        <v>232830.6485366874</v>
      </c>
      <c r="U15" cm="1">
        <f t="array" ref="U15">[1]!PropsSI("H","T",K15+273.15,"P",101325,"Water")</f>
        <v>208242.62603837173</v>
      </c>
      <c r="V15">
        <f t="shared" si="1"/>
        <v>388.33372614928118</v>
      </c>
    </row>
    <row r="16" spans="1:22" x14ac:dyDescent="0.2">
      <c r="A16">
        <v>46068.543794421297</v>
      </c>
      <c r="B16">
        <v>19.878443000000001</v>
      </c>
      <c r="C16">
        <v>19.820688000000001</v>
      </c>
      <c r="D16">
        <v>19.817851999999998</v>
      </c>
      <c r="E16">
        <v>19.670354</v>
      </c>
      <c r="F16">
        <v>39.261699999999998</v>
      </c>
      <c r="G16">
        <v>37.189110999999997</v>
      </c>
      <c r="H16">
        <v>26.226006999999999</v>
      </c>
      <c r="I16">
        <v>27.153123000000001</v>
      </c>
      <c r="J16">
        <v>55.595954999999996</v>
      </c>
      <c r="K16">
        <v>49.718304000000003</v>
      </c>
      <c r="L16">
        <v>38.539963</v>
      </c>
      <c r="M16">
        <v>-622.49469399999998</v>
      </c>
      <c r="N16">
        <v>0.96076099999999998</v>
      </c>
      <c r="O16">
        <v>1.41675</v>
      </c>
      <c r="P16">
        <f t="shared" si="3"/>
        <v>1.6012683333333333E-5</v>
      </c>
      <c r="Q16" cm="1">
        <f t="array" ref="Q16">[1]!PropsSI("D","T",J16+273.15,"P",101325,"Water")</f>
        <v>985.40342901276711</v>
      </c>
      <c r="R16" cm="1">
        <f t="array" ref="R16">[1]!PropsSI("D","T",K16+273.15,"P",101325,"Water")</f>
        <v>988.16219608578308</v>
      </c>
      <c r="S16">
        <f t="shared" si="2"/>
        <v>986.78281254927515</v>
      </c>
      <c r="T16" cm="1">
        <f t="array" ref="T16">[1]!PropsSI("H","T",J16+273.15,"P",101325,"Water")</f>
        <v>232821.99354721222</v>
      </c>
      <c r="U16" cm="1">
        <f t="array" ref="U16">[1]!PropsSI("H","T",K16+273.15,"P",101325,"Water")</f>
        <v>208240.63575704515</v>
      </c>
      <c r="V16">
        <f t="shared" si="1"/>
        <v>388.41103480850222</v>
      </c>
    </row>
    <row r="17" spans="1:22" x14ac:dyDescent="0.2">
      <c r="A17">
        <v>46068.543910740744</v>
      </c>
      <c r="B17">
        <v>19.806595999999999</v>
      </c>
      <c r="C17">
        <v>19.741078000000002</v>
      </c>
      <c r="D17">
        <v>19.776813000000001</v>
      </c>
      <c r="E17">
        <v>19.600552</v>
      </c>
      <c r="F17">
        <v>39.74053</v>
      </c>
      <c r="G17">
        <v>37.454982000000001</v>
      </c>
      <c r="H17">
        <v>26.568069000000001</v>
      </c>
      <c r="I17">
        <v>25.567291000000001</v>
      </c>
      <c r="J17">
        <v>55.600889000000002</v>
      </c>
      <c r="K17">
        <v>49.710042999999999</v>
      </c>
      <c r="L17">
        <v>38.088149000000001</v>
      </c>
      <c r="M17">
        <v>-622.50244899999996</v>
      </c>
      <c r="N17">
        <v>0.95968699999999996</v>
      </c>
      <c r="O17">
        <v>1.7957860000000001</v>
      </c>
      <c r="P17">
        <f t="shared" si="3"/>
        <v>1.5994783333333331E-5</v>
      </c>
      <c r="Q17" cm="1">
        <f t="array" ref="Q17">[1]!PropsSI("D","T",J17+273.15,"P",101325,"Water")</f>
        <v>985.40102172848435</v>
      </c>
      <c r="R17" cm="1">
        <f t="array" ref="R17">[1]!PropsSI("D","T",K17+273.15,"P",101325,"Water")</f>
        <v>988.16591700129027</v>
      </c>
      <c r="S17">
        <f t="shared" si="2"/>
        <v>986.78346936488731</v>
      </c>
      <c r="T17" cm="1">
        <f t="array" ref="T17">[1]!PropsSI("H","T",J17+273.15,"P",101325,"Water")</f>
        <v>232842.63333614921</v>
      </c>
      <c r="U17" cm="1">
        <f t="array" ref="U17">[1]!PropsSI("H","T",K17+273.15,"P",101325,"Water")</f>
        <v>208206.09435073085</v>
      </c>
      <c r="V17">
        <f t="shared" si="1"/>
        <v>388.84804859568544</v>
      </c>
    </row>
    <row r="18" spans="1:22" x14ac:dyDescent="0.2">
      <c r="A18">
        <v>46068.544027060183</v>
      </c>
      <c r="B18">
        <v>19.841497</v>
      </c>
      <c r="C18">
        <v>19.764306999999999</v>
      </c>
      <c r="D18">
        <v>19.761255999999999</v>
      </c>
      <c r="E18">
        <v>19.591127</v>
      </c>
      <c r="F18">
        <v>39.536529999999999</v>
      </c>
      <c r="G18">
        <v>37.761310000000002</v>
      </c>
      <c r="H18">
        <v>27.312128999999999</v>
      </c>
      <c r="I18">
        <v>26.127610000000001</v>
      </c>
      <c r="J18">
        <v>55.603434999999998</v>
      </c>
      <c r="K18">
        <v>49.709884000000002</v>
      </c>
      <c r="L18">
        <v>38.499965000000003</v>
      </c>
      <c r="M18">
        <v>-622.48612300000002</v>
      </c>
      <c r="N18">
        <v>0.96130199999999999</v>
      </c>
      <c r="O18">
        <v>1.8250010000000001</v>
      </c>
      <c r="P18">
        <f t="shared" si="3"/>
        <v>1.6021699999999999E-5</v>
      </c>
      <c r="Q18" cm="1">
        <f t="array" ref="Q18">[1]!PropsSI("D","T",J18+273.15,"P",101325,"Water")</f>
        <v>985.39977948372939</v>
      </c>
      <c r="R18" cm="1">
        <f t="array" ref="R18">[1]!PropsSI("D","T",K18+273.15,"P",101325,"Water")</f>
        <v>988.16598861357704</v>
      </c>
      <c r="S18">
        <f t="shared" si="2"/>
        <v>986.78288404865316</v>
      </c>
      <c r="T18" cm="1">
        <f t="array" ref="T18">[1]!PropsSI("H","T",J18+273.15,"P",101325,"Water")</f>
        <v>232853.28370507131</v>
      </c>
      <c r="U18" cm="1">
        <f t="array" ref="U18">[1]!PropsSI("H","T",K18+273.15,"P",101325,"Water")</f>
        <v>208205.42953023282</v>
      </c>
      <c r="V18">
        <f t="shared" si="1"/>
        <v>389.68107920175731</v>
      </c>
    </row>
    <row r="19" spans="1:22" x14ac:dyDescent="0.2">
      <c r="A19">
        <v>46068.544142800929</v>
      </c>
      <c r="B19">
        <v>19.835889000000002</v>
      </c>
      <c r="C19">
        <v>19.756654000000001</v>
      </c>
      <c r="D19">
        <v>19.771253999999999</v>
      </c>
      <c r="E19">
        <v>19.596941000000001</v>
      </c>
      <c r="F19">
        <v>39.686669000000002</v>
      </c>
      <c r="G19">
        <v>38.003160999999999</v>
      </c>
      <c r="H19">
        <v>26.591885999999999</v>
      </c>
      <c r="I19">
        <v>25.580126</v>
      </c>
      <c r="J19">
        <v>55.605981</v>
      </c>
      <c r="K19">
        <v>49.707341999999997</v>
      </c>
      <c r="L19">
        <v>39.028917999999997</v>
      </c>
      <c r="M19">
        <v>-622.49510199999997</v>
      </c>
      <c r="N19">
        <v>0.96077299999999999</v>
      </c>
      <c r="O19">
        <v>1.33636</v>
      </c>
      <c r="P19">
        <f t="shared" si="3"/>
        <v>1.6012883333333334E-5</v>
      </c>
      <c r="Q19" cm="1">
        <f t="array" ref="Q19">[1]!PropsSI("D","T",J19+273.15,"P",101325,"Water")</f>
        <v>985.39853719898201</v>
      </c>
      <c r="R19" cm="1">
        <f t="array" ref="R19">[1]!PropsSI("D","T",K19+273.15,"P",101325,"Water")</f>
        <v>988.16713348691962</v>
      </c>
      <c r="S19">
        <f t="shared" si="2"/>
        <v>986.78283534295088</v>
      </c>
      <c r="T19" cm="1">
        <f t="array" ref="T19">[1]!PropsSI("H","T",J19+273.15,"P",101325,"Water")</f>
        <v>232863.93407636974</v>
      </c>
      <c r="U19" cm="1">
        <f t="array" ref="U19">[1]!PropsSI("H","T",K19+273.15,"P",101325,"Water")</f>
        <v>208194.80076589389</v>
      </c>
      <c r="V19">
        <f t="shared" si="1"/>
        <v>389.80285699642337</v>
      </c>
    </row>
    <row r="20" spans="1:22" x14ac:dyDescent="0.2">
      <c r="A20">
        <v>46068.544259120368</v>
      </c>
      <c r="B20">
        <v>19.808928999999999</v>
      </c>
      <c r="C20">
        <v>19.707153999999999</v>
      </c>
      <c r="D20">
        <v>19.796075999999999</v>
      </c>
      <c r="E20">
        <v>19.594017000000001</v>
      </c>
      <c r="F20">
        <v>39.544997000000002</v>
      </c>
      <c r="G20">
        <v>37.452221000000002</v>
      </c>
      <c r="H20">
        <v>26.745885000000001</v>
      </c>
      <c r="I20">
        <v>27.008226000000001</v>
      </c>
      <c r="J20">
        <v>55.611550999999999</v>
      </c>
      <c r="K20">
        <v>49.716079999999998</v>
      </c>
      <c r="L20">
        <v>38.947696999999998</v>
      </c>
      <c r="M20">
        <v>-622.50489800000003</v>
      </c>
      <c r="N20">
        <v>0.96149499999999999</v>
      </c>
      <c r="O20">
        <v>1.507382</v>
      </c>
      <c r="P20">
        <f t="shared" si="3"/>
        <v>1.6024916666666666E-5</v>
      </c>
      <c r="Q20" cm="1">
        <f t="array" ref="Q20">[1]!PropsSI("D","T",J20+273.15,"P",101325,"Water")</f>
        <v>985.39581925672962</v>
      </c>
      <c r="R20" cm="1">
        <f t="array" ref="R20">[1]!PropsSI("D","T",K20+273.15,"P",101325,"Water")</f>
        <v>988.163197862949</v>
      </c>
      <c r="S20">
        <f t="shared" si="2"/>
        <v>986.77950855983931</v>
      </c>
      <c r="T20" cm="1">
        <f t="array" ref="T20">[1]!PropsSI("H","T",J20+273.15,"P",101325,"Water")</f>
        <v>232887.23438642104</v>
      </c>
      <c r="U20" cm="1">
        <f t="array" ref="U20">[1]!PropsSI("H","T",K20+273.15,"P",101325,"Water")</f>
        <v>208231.336628188</v>
      </c>
      <c r="V20">
        <f t="shared" si="1"/>
        <v>389.88517563980167</v>
      </c>
    </row>
    <row r="21" spans="1:22" x14ac:dyDescent="0.2">
      <c r="A21">
        <v>46068.544375439815</v>
      </c>
      <c r="B21">
        <v>19.80087</v>
      </c>
      <c r="C21">
        <v>19.720533</v>
      </c>
      <c r="D21">
        <v>19.797840000000001</v>
      </c>
      <c r="E21">
        <v>19.584009999999999</v>
      </c>
      <c r="F21">
        <v>39.972653000000001</v>
      </c>
      <c r="G21">
        <v>37.665374999999997</v>
      </c>
      <c r="H21">
        <v>26.575748999999998</v>
      </c>
      <c r="I21">
        <v>25.765668999999999</v>
      </c>
      <c r="J21">
        <v>55.610436999999997</v>
      </c>
      <c r="K21">
        <v>49.712108000000001</v>
      </c>
      <c r="L21">
        <v>38.933821000000002</v>
      </c>
      <c r="M21">
        <v>-622.50163299999997</v>
      </c>
      <c r="N21">
        <v>0.96114999999999995</v>
      </c>
      <c r="O21">
        <v>1.1785669999999999</v>
      </c>
      <c r="P21">
        <f t="shared" si="3"/>
        <v>1.6019166666666664E-5</v>
      </c>
      <c r="Q21" cm="1">
        <f t="array" ref="Q21">[1]!PropsSI("D","T",J21+273.15,"P",101325,"Water")</f>
        <v>985.39636286048028</v>
      </c>
      <c r="R21" cm="1">
        <f t="array" ref="R21">[1]!PropsSI("D","T",K21+273.15,"P",101325,"Water")</f>
        <v>988.1649869271256</v>
      </c>
      <c r="S21">
        <f t="shared" si="2"/>
        <v>986.78067489380294</v>
      </c>
      <c r="T21" cm="1">
        <f t="array" ref="T21">[1]!PropsSI("H","T",J21+273.15,"P",101325,"Water")</f>
        <v>232882.57432346564</v>
      </c>
      <c r="U21" cm="1">
        <f t="array" ref="U21">[1]!PropsSI("H","T",K21+273.15,"P",101325,"Water")</f>
        <v>208214.7286551868</v>
      </c>
      <c r="V21">
        <f t="shared" si="1"/>
        <v>389.93460462096289</v>
      </c>
    </row>
    <row r="22" spans="1:22" x14ac:dyDescent="0.2">
      <c r="A22">
        <v>46068.544491180553</v>
      </c>
      <c r="B22">
        <v>19.804845</v>
      </c>
      <c r="C22">
        <v>19.702407999999998</v>
      </c>
      <c r="D22">
        <v>19.756269</v>
      </c>
      <c r="E22">
        <v>19.563459000000002</v>
      </c>
      <c r="F22">
        <v>39.736348999999997</v>
      </c>
      <c r="G22">
        <v>37.657801999999997</v>
      </c>
      <c r="H22">
        <v>26.210847000000001</v>
      </c>
      <c r="I22">
        <v>25.419501</v>
      </c>
      <c r="J22">
        <v>55.614733999999999</v>
      </c>
      <c r="K22">
        <v>49.706865999999998</v>
      </c>
      <c r="L22">
        <v>39.124423</v>
      </c>
      <c r="M22">
        <v>-622.48449100000005</v>
      </c>
      <c r="N22">
        <v>0.960642</v>
      </c>
      <c r="O22">
        <v>1.273774</v>
      </c>
      <c r="P22">
        <f t="shared" si="3"/>
        <v>1.6010700000000002E-5</v>
      </c>
      <c r="Q22" cm="1">
        <f t="array" ref="Q22">[1]!PropsSI("D","T",J22+273.15,"P",101325,"Water")</f>
        <v>985.39426599122987</v>
      </c>
      <c r="R22" cm="1">
        <f t="array" ref="R22">[1]!PropsSI("D","T",K22+273.15,"P",101325,"Water")</f>
        <v>988.16734786447341</v>
      </c>
      <c r="S22">
        <f t="shared" si="2"/>
        <v>986.7808069278517</v>
      </c>
      <c r="T22" cm="1">
        <f t="array" ref="T22">[1]!PropsSI("H","T",J22+273.15,"P",101325,"Water")</f>
        <v>232900.54945201607</v>
      </c>
      <c r="U22" cm="1">
        <f t="array" ref="U22">[1]!PropsSI("H","T",K22+273.15,"P",101325,"Water")</f>
        <v>208192.81048608437</v>
      </c>
      <c r="V22">
        <f t="shared" si="1"/>
        <v>390.35883951839446</v>
      </c>
    </row>
    <row r="23" spans="1:22" x14ac:dyDescent="0.2">
      <c r="A23">
        <v>46068.5446075</v>
      </c>
      <c r="B23">
        <v>19.809237</v>
      </c>
      <c r="C23">
        <v>19.725345999999998</v>
      </c>
      <c r="D23">
        <v>19.754586</v>
      </c>
      <c r="E23">
        <v>19.578866999999999</v>
      </c>
      <c r="F23">
        <v>39.547590999999997</v>
      </c>
      <c r="G23">
        <v>38.260350000000003</v>
      </c>
      <c r="H23">
        <v>26.388904</v>
      </c>
      <c r="I23">
        <v>26.467199999999998</v>
      </c>
      <c r="J23">
        <v>55.615687999999999</v>
      </c>
      <c r="K23">
        <v>49.709090000000003</v>
      </c>
      <c r="L23">
        <v>40.205593999999998</v>
      </c>
      <c r="M23">
        <v>-622.49510199999997</v>
      </c>
      <c r="N23">
        <v>0.95905200000000002</v>
      </c>
      <c r="O23">
        <v>1.27291</v>
      </c>
      <c r="P23">
        <f t="shared" si="3"/>
        <v>1.5984200000000002E-5</v>
      </c>
      <c r="Q23" cm="1">
        <f t="array" ref="Q23">[1]!PropsSI("D","T",J23+273.15,"P",101325,"Water")</f>
        <v>985.39380043859137</v>
      </c>
      <c r="R23" cm="1">
        <f t="array" ref="R23">[1]!PropsSI("D","T",K23+273.15,"P",101325,"Water")</f>
        <v>988.16634622219306</v>
      </c>
      <c r="S23">
        <f t="shared" si="2"/>
        <v>986.78007333039227</v>
      </c>
      <c r="T23" cm="1">
        <f t="array" ref="T23">[1]!PropsSI("H","T",J23+273.15,"P",101325,"Water")</f>
        <v>232904.54020765013</v>
      </c>
      <c r="U23" cm="1">
        <f t="array" ref="U23">[1]!PropsSI("H","T",K23+273.15,"P",101325,"Water")</f>
        <v>208202.10960913042</v>
      </c>
      <c r="V23">
        <f t="shared" si="1"/>
        <v>389.62872175195577</v>
      </c>
    </row>
    <row r="24" spans="1:22" x14ac:dyDescent="0.2">
      <c r="A24">
        <v>46068.544723819447</v>
      </c>
      <c r="B24">
        <v>19.826018999999999</v>
      </c>
      <c r="C24">
        <v>19.711327000000001</v>
      </c>
      <c r="D24">
        <v>19.759378999999999</v>
      </c>
      <c r="E24">
        <v>19.570563</v>
      </c>
      <c r="F24">
        <v>39.884469000000003</v>
      </c>
      <c r="G24">
        <v>38.253165000000003</v>
      </c>
      <c r="H24">
        <v>26.469398999999999</v>
      </c>
      <c r="I24">
        <v>25.628629</v>
      </c>
      <c r="J24">
        <v>55.626351</v>
      </c>
      <c r="K24">
        <v>49.709408000000003</v>
      </c>
      <c r="L24">
        <v>37.730207</v>
      </c>
      <c r="M24">
        <v>-622.51550899999995</v>
      </c>
      <c r="N24">
        <v>0.960175</v>
      </c>
      <c r="O24">
        <v>0.99740399999999996</v>
      </c>
      <c r="P24">
        <f t="shared" si="3"/>
        <v>1.6002916666666669E-5</v>
      </c>
      <c r="Q24" cm="1">
        <f t="array" ref="Q24">[1]!PropsSI("D","T",J24+273.15,"P",101325,"Water")</f>
        <v>985.38859650545317</v>
      </c>
      <c r="R24" cm="1">
        <f t="array" ref="R24">[1]!PropsSI("D","T",K24+273.15,"P",101325,"Water")</f>
        <v>988.16620299907015</v>
      </c>
      <c r="S24">
        <f t="shared" si="2"/>
        <v>986.77739975226166</v>
      </c>
      <c r="T24" cm="1">
        <f t="array" ref="T24">[1]!PropsSI("H","T",J24+273.15,"P",101325,"Water")</f>
        <v>232949.14549960403</v>
      </c>
      <c r="U24" cm="1">
        <f t="array" ref="U24">[1]!PropsSI("H","T",K24+273.15,"P",101325,"Water")</f>
        <v>208203.43925006856</v>
      </c>
      <c r="V24">
        <f t="shared" si="1"/>
        <v>390.76727932289657</v>
      </c>
    </row>
    <row r="25" spans="1:22" x14ac:dyDescent="0.2">
      <c r="A25">
        <v>46068.544839560185</v>
      </c>
      <c r="B25">
        <v>19.864398999999999</v>
      </c>
      <c r="C25">
        <v>19.748228000000001</v>
      </c>
      <c r="D25">
        <v>19.788371999999999</v>
      </c>
      <c r="E25">
        <v>19.612342999999999</v>
      </c>
      <c r="F25">
        <v>39.707205000000002</v>
      </c>
      <c r="G25">
        <v>37.786476999999998</v>
      </c>
      <c r="H25">
        <v>26.536432999999999</v>
      </c>
      <c r="I25">
        <v>26.354990999999998</v>
      </c>
      <c r="J25">
        <v>55.622531000000002</v>
      </c>
      <c r="K25">
        <v>49.706389000000001</v>
      </c>
      <c r="L25">
        <v>37.229416000000001</v>
      </c>
      <c r="M25">
        <v>-622.50449000000003</v>
      </c>
      <c r="N25">
        <v>0.96020399999999995</v>
      </c>
      <c r="O25">
        <v>1.530383</v>
      </c>
      <c r="P25">
        <f t="shared" si="3"/>
        <v>1.60034E-5</v>
      </c>
      <c r="Q25" cm="1">
        <f t="array" ref="Q25">[1]!PropsSI("D","T",J25+273.15,"P",101325,"Water")</f>
        <v>985.390460885484</v>
      </c>
      <c r="R25" cm="1">
        <f t="array" ref="R25">[1]!PropsSI("D","T",K25+273.15,"P",101325,"Water")</f>
        <v>988.16756269086193</v>
      </c>
      <c r="S25">
        <f t="shared" si="2"/>
        <v>986.77901178817297</v>
      </c>
      <c r="T25" cm="1">
        <f t="array" ref="T25">[1]!PropsSI("H","T",J25+273.15,"P",101325,"Water")</f>
        <v>232933.16573151189</v>
      </c>
      <c r="U25" cm="1">
        <f t="array" ref="U25">[1]!PropsSI("H","T",K25+273.15,"P",101325,"Water")</f>
        <v>208190.8160250184</v>
      </c>
      <c r="V25">
        <f t="shared" si="1"/>
        <v>390.72671406979174</v>
      </c>
    </row>
    <row r="26" spans="1:22" x14ac:dyDescent="0.2">
      <c r="A26">
        <v>46068.544955879632</v>
      </c>
      <c r="B26">
        <v>19.893875000000001</v>
      </c>
      <c r="C26">
        <v>19.800222999999999</v>
      </c>
      <c r="D26">
        <v>19.810396000000001</v>
      </c>
      <c r="E26">
        <v>19.628257000000001</v>
      </c>
      <c r="F26">
        <v>39.729807999999998</v>
      </c>
      <c r="G26">
        <v>37.724772999999999</v>
      </c>
      <c r="H26">
        <v>26.931843000000001</v>
      </c>
      <c r="I26">
        <v>25.747373</v>
      </c>
      <c r="J26">
        <v>55.625872999999999</v>
      </c>
      <c r="K26">
        <v>49.710520000000002</v>
      </c>
      <c r="L26">
        <v>39.204419000000001</v>
      </c>
      <c r="M26">
        <v>-622.52367200000003</v>
      </c>
      <c r="N26">
        <v>0.957843</v>
      </c>
      <c r="O26">
        <v>1.0718080000000001</v>
      </c>
      <c r="P26">
        <f t="shared" si="3"/>
        <v>1.5964049999999998E-5</v>
      </c>
      <c r="Q26" cm="1">
        <f t="array" ref="Q26">[1]!PropsSI("D","T",J26+273.15,"P",101325,"Water")</f>
        <v>985.38882980190158</v>
      </c>
      <c r="R26" cm="1">
        <f t="array" ref="R26">[1]!PropsSI("D","T",K26+273.15,"P",101325,"Water")</f>
        <v>988.16570216339369</v>
      </c>
      <c r="S26">
        <f t="shared" si="2"/>
        <v>986.77726598264758</v>
      </c>
      <c r="T26" cm="1">
        <f t="array" ref="T26">[1]!PropsSI("H","T",J26+273.15,"P",101325,"Water")</f>
        <v>232947.145936688</v>
      </c>
      <c r="U26" cm="1">
        <f t="array" ref="U26">[1]!PropsSI("H","T",K26+273.15,"P",101325,"Water")</f>
        <v>208208.08881223245</v>
      </c>
      <c r="V26">
        <f t="shared" si="1"/>
        <v>389.71341722361683</v>
      </c>
    </row>
    <row r="27" spans="1:22" x14ac:dyDescent="0.2">
      <c r="A27">
        <v>46068.545072199071</v>
      </c>
      <c r="B27">
        <v>19.826457999999999</v>
      </c>
      <c r="C27">
        <v>19.779589999999999</v>
      </c>
      <c r="D27">
        <v>19.773980000000002</v>
      </c>
      <c r="E27">
        <v>19.557482</v>
      </c>
      <c r="F27">
        <v>40.397196000000001</v>
      </c>
      <c r="G27">
        <v>38.064756000000003</v>
      </c>
      <c r="H27">
        <v>26.874679</v>
      </c>
      <c r="I27">
        <v>26.710459</v>
      </c>
      <c r="J27">
        <v>55.633194000000003</v>
      </c>
      <c r="K27">
        <v>49.718780000000002</v>
      </c>
      <c r="L27">
        <v>37.828161999999999</v>
      </c>
      <c r="M27">
        <v>-622.47836800000005</v>
      </c>
      <c r="N27">
        <v>0.96135899999999996</v>
      </c>
      <c r="O27">
        <v>1.1780330000000001</v>
      </c>
      <c r="P27">
        <f t="shared" si="3"/>
        <v>1.6022649999999998E-5</v>
      </c>
      <c r="Q27" cm="1">
        <f t="array" ref="Q27">[1]!PropsSI("D","T",J27+273.15,"P",101325,"Water")</f>
        <v>985.3852565023027</v>
      </c>
      <c r="R27" cm="1">
        <f t="array" ref="R27">[1]!PropsSI("D","T",K27+273.15,"P",101325,"Water")</f>
        <v>988.16198167243806</v>
      </c>
      <c r="S27">
        <f t="shared" si="2"/>
        <v>986.77361908737043</v>
      </c>
      <c r="T27" cm="1">
        <f t="array" ref="T27">[1]!PropsSI("H","T",J27+273.15,"P",101325,"Water")</f>
        <v>232977.77105055706</v>
      </c>
      <c r="U27" cm="1">
        <f t="array" ref="U27">[1]!PropsSI("H","T",K27+273.15,"P",101325,"Water")</f>
        <v>208242.62603837173</v>
      </c>
      <c r="V27">
        <f t="shared" si="1"/>
        <v>391.08065793813716</v>
      </c>
    </row>
    <row r="28" spans="1:22" x14ac:dyDescent="0.2">
      <c r="A28">
        <v>46068.545188518518</v>
      </c>
      <c r="B28">
        <v>19.823664999999998</v>
      </c>
      <c r="C28">
        <v>19.754985999999999</v>
      </c>
      <c r="D28">
        <v>19.784213999999999</v>
      </c>
      <c r="E28">
        <v>19.562093000000001</v>
      </c>
      <c r="F28">
        <v>39.224372000000002</v>
      </c>
      <c r="G28">
        <v>37.961632000000002</v>
      </c>
      <c r="H28">
        <v>26.093236000000001</v>
      </c>
      <c r="I28">
        <v>25.842652000000001</v>
      </c>
      <c r="J28">
        <v>55.634785000000001</v>
      </c>
      <c r="K28">
        <v>49.718620999999999</v>
      </c>
      <c r="L28">
        <v>40.472518999999998</v>
      </c>
      <c r="M28">
        <v>-622.47714399999995</v>
      </c>
      <c r="N28">
        <v>0.96480600000000005</v>
      </c>
      <c r="O28">
        <v>1.2615620000000001</v>
      </c>
      <c r="P28">
        <f t="shared" si="3"/>
        <v>1.6080099999999999E-5</v>
      </c>
      <c r="Q28" cm="1">
        <f t="array" ref="Q28">[1]!PropsSI("D","T",J28+273.15,"P",101325,"Water")</f>
        <v>985.38447990897328</v>
      </c>
      <c r="R28" cm="1">
        <f t="array" ref="R28">[1]!PropsSI("D","T",K28+273.15,"P",101325,"Water")</f>
        <v>988.16205329386582</v>
      </c>
      <c r="S28">
        <f t="shared" si="2"/>
        <v>986.77326660141955</v>
      </c>
      <c r="T28" cm="1">
        <f t="array" ref="T28">[1]!PropsSI("H","T",J28+273.15,"P",101325,"Water")</f>
        <v>232984.42650411892</v>
      </c>
      <c r="U28" cm="1">
        <f t="array" ref="U28">[1]!PropsSI("H","T",K28+273.15,"P",101325,"Water")</f>
        <v>208241.96121751473</v>
      </c>
      <c r="V28">
        <f t="shared" si="1"/>
        <v>392.59891049805447</v>
      </c>
    </row>
    <row r="29" spans="1:22" x14ac:dyDescent="0.2">
      <c r="A29">
        <v>46068.545304259256</v>
      </c>
      <c r="B29">
        <v>19.842085999999998</v>
      </c>
      <c r="C29">
        <v>19.756065</v>
      </c>
      <c r="D29">
        <v>19.788312000000001</v>
      </c>
      <c r="E29">
        <v>19.589801999999999</v>
      </c>
      <c r="F29">
        <v>39.785013999999997</v>
      </c>
      <c r="G29">
        <v>38.482891000000002</v>
      </c>
      <c r="H29">
        <v>26.134371000000002</v>
      </c>
      <c r="I29">
        <v>27.907895</v>
      </c>
      <c r="J29">
        <v>55.636375999999998</v>
      </c>
      <c r="K29">
        <v>49.717986000000003</v>
      </c>
      <c r="L29">
        <v>39.639907999999998</v>
      </c>
      <c r="M29">
        <v>-622.49102100000005</v>
      </c>
      <c r="N29">
        <v>0.95946600000000004</v>
      </c>
      <c r="O29">
        <v>1.151105</v>
      </c>
      <c r="P29">
        <f t="shared" si="3"/>
        <v>1.59911E-5</v>
      </c>
      <c r="Q29" cm="1">
        <f t="array" ref="Q29">[1]!PropsSI("D","T",J29+273.15,"P",101325,"Water")</f>
        <v>985.38370330003488</v>
      </c>
      <c r="R29" cm="1">
        <f t="array" ref="R29">[1]!PropsSI("D","T",K29+273.15,"P",101325,"Water")</f>
        <v>988.16233932752118</v>
      </c>
      <c r="S29">
        <f t="shared" si="2"/>
        <v>986.77302131377803</v>
      </c>
      <c r="T29" cm="1">
        <f t="array" ref="T29">[1]!PropsSI("H","T",J29+273.15,"P",101325,"Water")</f>
        <v>232991.08195860381</v>
      </c>
      <c r="U29" cm="1">
        <f t="array" ref="U29">[1]!PropsSI("H","T",K29+273.15,"P",101325,"Water")</f>
        <v>208239.30611535045</v>
      </c>
      <c r="V29">
        <f t="shared" si="1"/>
        <v>390.57277708443365</v>
      </c>
    </row>
    <row r="30" spans="1:22" x14ac:dyDescent="0.2">
      <c r="A30">
        <v>46068.545420578703</v>
      </c>
      <c r="B30">
        <v>19.771474999999999</v>
      </c>
      <c r="C30">
        <v>19.738537000000001</v>
      </c>
      <c r="D30">
        <v>19.768236000000002</v>
      </c>
      <c r="E30">
        <v>19.565522000000001</v>
      </c>
      <c r="F30">
        <v>40.055596000000001</v>
      </c>
      <c r="G30">
        <v>38.129676000000003</v>
      </c>
      <c r="H30">
        <v>26.499188</v>
      </c>
      <c r="I30">
        <v>25.725497000000001</v>
      </c>
      <c r="J30">
        <v>55.635899000000002</v>
      </c>
      <c r="K30">
        <v>49.721798</v>
      </c>
      <c r="L30">
        <v>39.405225000000002</v>
      </c>
      <c r="M30">
        <v>-622.50408100000004</v>
      </c>
      <c r="N30">
        <v>0.95985100000000001</v>
      </c>
      <c r="O30">
        <v>1.372539</v>
      </c>
      <c r="P30">
        <f t="shared" si="3"/>
        <v>1.5997516666666667E-5</v>
      </c>
      <c r="Q30" cm="1">
        <f t="array" ref="Q30">[1]!PropsSI("D","T",J30+273.15,"P",101325,"Water")</f>
        <v>985.38393613792493</v>
      </c>
      <c r="R30" cm="1">
        <f t="array" ref="R30">[1]!PropsSI("D","T",K30+273.15,"P",101325,"Water")</f>
        <v>988.1606221849122</v>
      </c>
      <c r="S30">
        <f t="shared" si="2"/>
        <v>986.77227916141851</v>
      </c>
      <c r="T30" cm="1">
        <f t="array" ref="T30">[1]!PropsSI("H","T",J30+273.15,"P",101325,"Water")</f>
        <v>232989.08657709692</v>
      </c>
      <c r="U30" cm="1">
        <f t="array" ref="U30">[1]!PropsSI("H","T",K30+273.15,"P",101325,"Water")</f>
        <v>208255.24509263603</v>
      </c>
      <c r="V30">
        <f t="shared" si="1"/>
        <v>390.44609624960333</v>
      </c>
    </row>
    <row r="31" spans="1:22" x14ac:dyDescent="0.2">
      <c r="A31">
        <v>46068.545536898149</v>
      </c>
      <c r="B31">
        <v>19.843658000000001</v>
      </c>
      <c r="C31">
        <v>19.780387000000001</v>
      </c>
      <c r="D31">
        <v>19.797067999999999</v>
      </c>
      <c r="E31">
        <v>19.625019000000002</v>
      </c>
      <c r="F31">
        <v>40.105418999999998</v>
      </c>
      <c r="G31">
        <v>38.004576</v>
      </c>
      <c r="H31">
        <v>26.450471</v>
      </c>
      <c r="I31">
        <v>26.894418999999999</v>
      </c>
      <c r="J31">
        <v>55.638922999999998</v>
      </c>
      <c r="K31">
        <v>49.725929000000001</v>
      </c>
      <c r="L31">
        <v>39.367676000000003</v>
      </c>
      <c r="M31">
        <v>-622.49795900000004</v>
      </c>
      <c r="N31">
        <v>0.95983099999999999</v>
      </c>
      <c r="O31">
        <v>1.3198650000000001</v>
      </c>
      <c r="P31">
        <f t="shared" si="3"/>
        <v>1.5997183333333333E-5</v>
      </c>
      <c r="Q31" cm="1">
        <f t="array" ref="Q31">[1]!PropsSI("D","T",J31+273.15,"P",101325,"Water")</f>
        <v>985.38246000984759</v>
      </c>
      <c r="R31" cm="1">
        <f t="array" ref="R31">[1]!PropsSI("D","T",K31+273.15,"P",101325,"Water")</f>
        <v>988.15876123853059</v>
      </c>
      <c r="S31">
        <f t="shared" si="2"/>
        <v>986.77061062418909</v>
      </c>
      <c r="T31" cm="1">
        <f t="array" ref="T31">[1]!PropsSI("H","T",J31+273.15,"P",101325,"Water")</f>
        <v>233001.73654422374</v>
      </c>
      <c r="U31" cm="1">
        <f t="array" ref="U31">[1]!PropsSI("H","T",K31+273.15,"P",101325,"Water")</f>
        <v>208272.51789754952</v>
      </c>
      <c r="V31">
        <f t="shared" si="1"/>
        <v>390.36432646138582</v>
      </c>
    </row>
    <row r="32" spans="1:22" x14ac:dyDescent="0.2">
      <c r="A32">
        <v>46068.545653217596</v>
      </c>
      <c r="B32">
        <v>19.883395</v>
      </c>
      <c r="C32">
        <v>19.820488999999998</v>
      </c>
      <c r="D32">
        <v>19.788163999999998</v>
      </c>
      <c r="E32">
        <v>19.599316000000002</v>
      </c>
      <c r="F32">
        <v>39.93629</v>
      </c>
      <c r="G32">
        <v>38.180283000000003</v>
      </c>
      <c r="H32">
        <v>26.009656</v>
      </c>
      <c r="I32">
        <v>26.508514000000002</v>
      </c>
      <c r="J32">
        <v>55.641787000000001</v>
      </c>
      <c r="K32">
        <v>49.724499000000002</v>
      </c>
      <c r="L32">
        <v>38.703220000000002</v>
      </c>
      <c r="M32">
        <v>-622.50653</v>
      </c>
      <c r="N32">
        <v>0.95829399999999998</v>
      </c>
      <c r="O32">
        <v>1.417233</v>
      </c>
      <c r="P32">
        <f t="shared" si="3"/>
        <v>1.5971566666666668E-5</v>
      </c>
      <c r="Q32" cm="1">
        <f t="array" ref="Q32">[1]!PropsSI("D","T",J32+273.15,"P",101325,"Water")</f>
        <v>985.38106193179249</v>
      </c>
      <c r="R32" cm="1">
        <f t="array" ref="R32">[1]!PropsSI("D","T",K32+273.15,"P",101325,"Water")</f>
        <v>988.15940544230716</v>
      </c>
      <c r="S32">
        <f t="shared" si="2"/>
        <v>986.77023368704977</v>
      </c>
      <c r="T32" cm="1">
        <f t="array" ref="T32">[1]!PropsSI("H","T",J32+273.15,"P",101325,"Water")</f>
        <v>233013.71720400688</v>
      </c>
      <c r="U32" cm="1">
        <f t="array" ref="U32">[1]!PropsSI("H","T",K32+273.15,"P",101325,"Water")</f>
        <v>208266.53868830219</v>
      </c>
      <c r="V32">
        <f t="shared" si="1"/>
        <v>390.02213031274761</v>
      </c>
    </row>
    <row r="33" spans="1:22" x14ac:dyDescent="0.2">
      <c r="A33">
        <v>46068.545769537035</v>
      </c>
      <c r="B33">
        <v>19.892446</v>
      </c>
      <c r="C33">
        <v>19.832484999999998</v>
      </c>
      <c r="D33">
        <v>19.757431</v>
      </c>
      <c r="E33">
        <v>19.618566000000001</v>
      </c>
      <c r="F33">
        <v>39.631509000000001</v>
      </c>
      <c r="G33">
        <v>38.004644999999996</v>
      </c>
      <c r="H33">
        <v>26.321200000000001</v>
      </c>
      <c r="I33">
        <v>27.135701000000001</v>
      </c>
      <c r="J33">
        <v>55.648471000000001</v>
      </c>
      <c r="K33">
        <v>49.727676000000002</v>
      </c>
      <c r="L33">
        <v>38.532207999999997</v>
      </c>
      <c r="M33">
        <v>-622.47714399999995</v>
      </c>
      <c r="N33">
        <v>0.95680200000000004</v>
      </c>
      <c r="O33">
        <v>1.84114</v>
      </c>
      <c r="P33">
        <f t="shared" si="3"/>
        <v>1.5946700000000001E-5</v>
      </c>
      <c r="Q33" cm="1">
        <f t="array" ref="Q33">[1]!PropsSI("D","T",J33+273.15,"P",101325,"Water")</f>
        <v>985.37779890204285</v>
      </c>
      <c r="R33" cm="1">
        <f t="array" ref="R33">[1]!PropsSI("D","T",K33+273.15,"P",101325,"Water")</f>
        <v>988.15797421047307</v>
      </c>
      <c r="S33">
        <f t="shared" si="2"/>
        <v>986.76788655625796</v>
      </c>
      <c r="T33" cm="1">
        <f t="array" ref="T33">[1]!PropsSI("H","T",J33+273.15,"P",101325,"Water")</f>
        <v>233041.67766632308</v>
      </c>
      <c r="U33" cm="1">
        <f t="array" ref="U33">[1]!PropsSI("H","T",K33+273.15,"P",101325,"Water")</f>
        <v>208279.82256857416</v>
      </c>
      <c r="V33">
        <f t="shared" si="1"/>
        <v>389.64491170989453</v>
      </c>
    </row>
    <row r="34" spans="1:22" x14ac:dyDescent="0.2">
      <c r="A34">
        <v>46068.545885856482</v>
      </c>
      <c r="B34">
        <v>19.891807</v>
      </c>
      <c r="C34">
        <v>19.794688000000001</v>
      </c>
      <c r="D34">
        <v>19.660976999999999</v>
      </c>
      <c r="E34">
        <v>19.516876</v>
      </c>
      <c r="F34">
        <v>40.470717999999998</v>
      </c>
      <c r="G34">
        <v>37.968032999999998</v>
      </c>
      <c r="H34">
        <v>27.022940999999999</v>
      </c>
      <c r="I34">
        <v>27.739353000000001</v>
      </c>
      <c r="J34">
        <v>55.647198000000003</v>
      </c>
      <c r="K34">
        <v>49.738160999999998</v>
      </c>
      <c r="L34">
        <v>39.340330999999999</v>
      </c>
      <c r="M34">
        <v>-622.51224400000001</v>
      </c>
      <c r="N34">
        <v>0.96126500000000004</v>
      </c>
      <c r="O34">
        <v>1.918099</v>
      </c>
      <c r="P34">
        <f t="shared" si="3"/>
        <v>1.6021083333333335E-5</v>
      </c>
      <c r="Q34" cm="1">
        <f t="array" ref="Q34">[1]!PropsSI("D","T",J34+273.15,"P",101325,"Water")</f>
        <v>985.37842038301255</v>
      </c>
      <c r="R34" cm="1">
        <f t="array" ref="R34">[1]!PropsSI("D","T",K34+273.15,"P",101325,"Water")</f>
        <v>988.15325026866935</v>
      </c>
      <c r="S34">
        <f t="shared" si="2"/>
        <v>986.76583532584095</v>
      </c>
      <c r="T34" cm="1">
        <f t="array" ref="T34">[1]!PropsSI("H","T",J34+273.15,"P",101325,"Water")</f>
        <v>233036.35246031248</v>
      </c>
      <c r="U34" cm="1">
        <f t="array" ref="U34">[1]!PropsSI("H","T",K34+273.15,"P",101325,"Water")</f>
        <v>208323.66315652608</v>
      </c>
      <c r="V34">
        <f t="shared" si="1"/>
        <v>390.68433058802293</v>
      </c>
    </row>
    <row r="35" spans="1:22" x14ac:dyDescent="0.2">
      <c r="A35">
        <v>46068.54600159722</v>
      </c>
      <c r="B35">
        <v>19.877447</v>
      </c>
      <c r="C35">
        <v>19.825972</v>
      </c>
      <c r="D35">
        <v>19.681255</v>
      </c>
      <c r="E35">
        <v>19.549672999999999</v>
      </c>
      <c r="F35">
        <v>39.414045999999999</v>
      </c>
      <c r="G35">
        <v>38.722504999999998</v>
      </c>
      <c r="H35">
        <v>26.357132</v>
      </c>
      <c r="I35">
        <v>27.231245999999999</v>
      </c>
      <c r="J35">
        <v>55.653722999999999</v>
      </c>
      <c r="K35">
        <v>49.740544</v>
      </c>
      <c r="L35">
        <v>38.789746000000001</v>
      </c>
      <c r="M35">
        <v>-622.49591899999996</v>
      </c>
      <c r="N35">
        <v>0.95927300000000004</v>
      </c>
      <c r="O35">
        <v>0.89201799999999998</v>
      </c>
      <c r="P35">
        <f t="shared" si="3"/>
        <v>1.5987883333333333E-5</v>
      </c>
      <c r="Q35" cm="1">
        <f t="array" ref="Q35">[1]!PropsSI("D","T",J35+273.15,"P",101325,"Water")</f>
        <v>985.37523476017384</v>
      </c>
      <c r="R35" cm="1">
        <f t="array" ref="R35">[1]!PropsSI("D","T",K35+273.15,"P",101325,"Water")</f>
        <v>988.15217652418323</v>
      </c>
      <c r="S35">
        <f t="shared" si="2"/>
        <v>986.76370564217859</v>
      </c>
      <c r="T35" cm="1">
        <f t="array" ref="T35">[1]!PropsSI("H","T",J35+273.15,"P",101325,"Water")</f>
        <v>233063.64780785301</v>
      </c>
      <c r="U35" cm="1">
        <f t="array" ref="U35">[1]!PropsSI("H","T",K35+273.15,"P",101325,"Water")</f>
        <v>208333.62712085061</v>
      </c>
      <c r="V35">
        <f t="shared" si="1"/>
        <v>390.14731043705007</v>
      </c>
    </row>
    <row r="36" spans="1:22" x14ac:dyDescent="0.2">
      <c r="A36">
        <v>46068.546117337966</v>
      </c>
      <c r="B36">
        <v>19.894618999999999</v>
      </c>
      <c r="C36">
        <v>19.850200999999998</v>
      </c>
      <c r="D36">
        <v>19.716394000000001</v>
      </c>
      <c r="E36">
        <v>19.570777</v>
      </c>
      <c r="F36">
        <v>39.994661999999998</v>
      </c>
      <c r="G36">
        <v>38.192869000000002</v>
      </c>
      <c r="H36">
        <v>26.430229000000001</v>
      </c>
      <c r="I36">
        <v>26.741334999999999</v>
      </c>
      <c r="J36">
        <v>55.655473000000001</v>
      </c>
      <c r="K36">
        <v>49.745944999999999</v>
      </c>
      <c r="L36">
        <v>39.045651999999997</v>
      </c>
      <c r="M36">
        <v>-622.47796000000005</v>
      </c>
      <c r="N36">
        <v>0.95932700000000004</v>
      </c>
      <c r="O36">
        <v>1.20533</v>
      </c>
      <c r="P36">
        <f t="shared" ref="P36:P57" si="4" xml:space="preserve"> N36*0.001/60</f>
        <v>1.5988783333333335E-5</v>
      </c>
      <c r="Q36" cm="1">
        <f t="array" ref="Q36">[1]!PropsSI("D","T",J36+273.15,"P",101325,"Water")</f>
        <v>985.37438033392743</v>
      </c>
      <c r="R36" cm="1">
        <f t="array" ref="R36">[1]!PropsSI("D","T",K36+273.15,"P",101325,"Water")</f>
        <v>988.14974277529529</v>
      </c>
      <c r="S36">
        <f t="shared" ref="S36:S57" si="5">(Q36+R36)/2</f>
        <v>986.76206155461136</v>
      </c>
      <c r="T36" cm="1">
        <f t="array" ref="T36">[1]!PropsSI("H","T",J36+273.15,"P",101325,"Water")</f>
        <v>233070.9684018222</v>
      </c>
      <c r="U36" cm="1">
        <f t="array" ref="U36">[1]!PropsSI("H","T",K36+273.15,"P",101325,"Water")</f>
        <v>208356.2101612798</v>
      </c>
      <c r="V36">
        <f t="shared" ref="V36:V57" si="6">S36*P36*(T36-U36)</f>
        <v>389.92782525554657</v>
      </c>
    </row>
    <row r="37" spans="1:22" x14ac:dyDescent="0.2">
      <c r="A37">
        <v>46068.546233657406</v>
      </c>
      <c r="B37">
        <v>19.866796999999998</v>
      </c>
      <c r="C37">
        <v>19.815178</v>
      </c>
      <c r="D37">
        <v>19.712495000000001</v>
      </c>
      <c r="E37">
        <v>19.574211999999999</v>
      </c>
      <c r="F37">
        <v>40.182758</v>
      </c>
      <c r="G37">
        <v>37.632694000000001</v>
      </c>
      <c r="H37">
        <v>26.708825999999998</v>
      </c>
      <c r="I37">
        <v>25.703510999999999</v>
      </c>
      <c r="J37">
        <v>55.660088000000002</v>
      </c>
      <c r="K37">
        <v>49.741179000000002</v>
      </c>
      <c r="L37">
        <v>39.851734</v>
      </c>
      <c r="M37">
        <v>-622.52285600000005</v>
      </c>
      <c r="N37">
        <v>0.95906899999999995</v>
      </c>
      <c r="O37">
        <v>1.2843850000000001</v>
      </c>
      <c r="P37">
        <f t="shared" si="4"/>
        <v>1.5984483333333332E-5</v>
      </c>
      <c r="Q37" cm="1">
        <f t="array" ref="Q37">[1]!PropsSI("D","T",J37+273.15,"P",101325,"Water")</f>
        <v>985.3721269992883</v>
      </c>
      <c r="R37" cm="1">
        <f t="array" ref="R37">[1]!PropsSI("D","T",K37+273.15,"P",101325,"Water")</f>
        <v>988.15189039627523</v>
      </c>
      <c r="S37">
        <f t="shared" si="5"/>
        <v>986.76200869778177</v>
      </c>
      <c r="T37" cm="1">
        <f t="array" ref="T37">[1]!PropsSI("H","T",J37+273.15,"P",101325,"Water")</f>
        <v>233090.27385942335</v>
      </c>
      <c r="U37" cm="1">
        <f t="array" ref="U37">[1]!PropsSI("H","T",K37+273.15,"P",101325,"Water")</f>
        <v>208336.28222703139</v>
      </c>
      <c r="V37">
        <f t="shared" si="6"/>
        <v>390.44176137164942</v>
      </c>
    </row>
    <row r="38" spans="1:22" x14ac:dyDescent="0.2">
      <c r="A38">
        <v>44606.546349978897</v>
      </c>
      <c r="B38">
        <v>19.811692000000001</v>
      </c>
      <c r="C38">
        <v>19.738697999999999</v>
      </c>
      <c r="D38">
        <v>19.721025999999998</v>
      </c>
      <c r="E38">
        <v>19.545628000000001</v>
      </c>
      <c r="F38">
        <v>39.816077</v>
      </c>
      <c r="G38">
        <v>37.592967000000002</v>
      </c>
      <c r="H38">
        <v>26.913567</v>
      </c>
      <c r="I38">
        <v>25.577309</v>
      </c>
      <c r="J38">
        <v>55.658496999999997</v>
      </c>
      <c r="K38">
        <v>49.744674000000003</v>
      </c>
      <c r="L38">
        <v>40.390889999999999</v>
      </c>
      <c r="M38">
        <v>-622.48489900000004</v>
      </c>
      <c r="N38">
        <v>0.96058500000000002</v>
      </c>
      <c r="O38">
        <v>1.0197320000000001</v>
      </c>
      <c r="P38">
        <f t="shared" si="4"/>
        <v>1.600975E-5</v>
      </c>
      <c r="Q38" cm="1">
        <f t="array" ref="Q38">[1]!PropsSI("D","T",J38+273.15,"P",101325,"Water")</f>
        <v>985.37290384088078</v>
      </c>
      <c r="R38" cm="1">
        <f t="array" ref="R38">[1]!PropsSI("D","T",K38+273.15,"P",101325,"Water")</f>
        <v>988.15031551888558</v>
      </c>
      <c r="S38">
        <f t="shared" si="5"/>
        <v>986.76160967988312</v>
      </c>
      <c r="T38" cm="1">
        <f t="array" ref="T38">[1]!PropsSI("H","T",J38+273.15,"P",101325,"Water")</f>
        <v>233083.61839094895</v>
      </c>
      <c r="U38" cm="1">
        <f t="array" ref="U38">[1]!PropsSI("H","T",K38+273.15,"P",101325,"Water")</f>
        <v>208350.89576603842</v>
      </c>
      <c r="V38">
        <f t="shared" si="6"/>
        <v>390.72277071255843</v>
      </c>
    </row>
    <row r="39" spans="1:22" x14ac:dyDescent="0.2">
      <c r="A39">
        <v>44606.546466298299</v>
      </c>
      <c r="B39">
        <v>19.817708</v>
      </c>
      <c r="C39">
        <v>19.768820999999999</v>
      </c>
      <c r="D39">
        <v>19.73535</v>
      </c>
      <c r="E39">
        <v>19.571897</v>
      </c>
      <c r="F39">
        <v>40.898332000000003</v>
      </c>
      <c r="G39">
        <v>37.929900000000004</v>
      </c>
      <c r="H39">
        <v>25.812825</v>
      </c>
      <c r="I39">
        <v>25.860634000000001</v>
      </c>
      <c r="J39">
        <v>55.655951000000002</v>
      </c>
      <c r="K39">
        <v>49.742767999999998</v>
      </c>
      <c r="L39">
        <v>37.604906999999997</v>
      </c>
      <c r="M39">
        <v>-622.493878</v>
      </c>
      <c r="N39">
        <v>0.96052300000000002</v>
      </c>
      <c r="O39">
        <v>1.1165780000000001</v>
      </c>
      <c r="P39">
        <f t="shared" si="4"/>
        <v>1.6008716666666668E-5</v>
      </c>
      <c r="Q39" cm="1">
        <f t="array" ref="Q39">[1]!PropsSI("D","T",J39+273.15,"P",101325,"Water")</f>
        <v>985.37414695022596</v>
      </c>
      <c r="R39" cm="1">
        <f t="array" ref="R39">[1]!PropsSI("D","T",K39+273.15,"P",101325,"Water")</f>
        <v>988.15117438902803</v>
      </c>
      <c r="S39">
        <f t="shared" si="5"/>
        <v>986.76266066962694</v>
      </c>
      <c r="T39" cm="1">
        <f t="array" ref="T39">[1]!PropsSI("H","T",J39+273.15,"P",101325,"Water")</f>
        <v>233072.96796999563</v>
      </c>
      <c r="U39" cm="1">
        <f t="array" ref="U39">[1]!PropsSI("H","T",K39+273.15,"P",101325,"Water")</f>
        <v>208342.92626477845</v>
      </c>
      <c r="V39">
        <f t="shared" si="6"/>
        <v>390.65561806677584</v>
      </c>
    </row>
    <row r="40" spans="1:22" x14ac:dyDescent="0.2">
      <c r="A40">
        <v>44606.546582617702</v>
      </c>
      <c r="B40">
        <v>19.863517000000002</v>
      </c>
      <c r="C40">
        <v>19.81541</v>
      </c>
      <c r="D40">
        <v>19.791445</v>
      </c>
      <c r="E40">
        <v>19.629317</v>
      </c>
      <c r="F40">
        <v>39.897618000000001</v>
      </c>
      <c r="G40">
        <v>38.481172000000001</v>
      </c>
      <c r="H40">
        <v>27.385090999999999</v>
      </c>
      <c r="I40">
        <v>26.744356</v>
      </c>
      <c r="J40">
        <v>55.651812999999997</v>
      </c>
      <c r="K40">
        <v>49.739908</v>
      </c>
      <c r="L40">
        <v>38.477924999999999</v>
      </c>
      <c r="M40">
        <v>-622.48693900000001</v>
      </c>
      <c r="N40">
        <v>0.96206400000000003</v>
      </c>
      <c r="O40">
        <v>1.1074409999999999</v>
      </c>
      <c r="P40">
        <f t="shared" si="4"/>
        <v>1.60344E-5</v>
      </c>
      <c r="Q40" cm="1">
        <f t="array" ref="Q40">[1]!PropsSI("D","T",J40+273.15,"P",101325,"Water")</f>
        <v>985.37616728384648</v>
      </c>
      <c r="R40" cm="1">
        <f t="array" ref="R40">[1]!PropsSI("D","T",K40+273.15,"P",101325,"Water")</f>
        <v>988.15246310000259</v>
      </c>
      <c r="S40">
        <f t="shared" si="5"/>
        <v>986.76431519192454</v>
      </c>
      <c r="T40" cm="1">
        <f t="array" ref="T40">[1]!PropsSI("H","T",J40+273.15,"P",101325,"Water")</f>
        <v>233055.65790372383</v>
      </c>
      <c r="U40" cm="1">
        <f t="array" ref="U40">[1]!PropsSI("H","T",K40+273.15,"P",101325,"Water")</f>
        <v>208330.96783357169</v>
      </c>
      <c r="V40">
        <f t="shared" si="6"/>
        <v>391.19834184666996</v>
      </c>
    </row>
    <row r="41" spans="1:22" x14ac:dyDescent="0.2">
      <c r="A41">
        <v>44606.5466989372</v>
      </c>
      <c r="B41">
        <v>19.907677</v>
      </c>
      <c r="C41">
        <v>19.791844000000001</v>
      </c>
      <c r="D41">
        <v>19.801556000000001</v>
      </c>
      <c r="E41">
        <v>19.634041</v>
      </c>
      <c r="F41">
        <v>40.456865000000001</v>
      </c>
      <c r="G41">
        <v>37.927177</v>
      </c>
      <c r="H41">
        <v>26.220928000000001</v>
      </c>
      <c r="I41">
        <v>27.606998999999998</v>
      </c>
      <c r="J41">
        <v>55.661997999999997</v>
      </c>
      <c r="K41">
        <v>49.748963000000003</v>
      </c>
      <c r="L41">
        <v>38.166919999999998</v>
      </c>
      <c r="M41">
        <v>-622.5</v>
      </c>
      <c r="N41">
        <v>0.96285500000000002</v>
      </c>
      <c r="O41">
        <v>1.3202849999999999</v>
      </c>
      <c r="P41">
        <f t="shared" si="4"/>
        <v>1.6047583333333332E-5</v>
      </c>
      <c r="Q41" cm="1">
        <f t="array" ref="Q41">[1]!PropsSI("D","T",J41+273.15,"P",101325,"Water")</f>
        <v>985.37119437816</v>
      </c>
      <c r="R41" cm="1">
        <f t="array" ref="R41">[1]!PropsSI("D","T",K41+273.15,"P",101325,"Water")</f>
        <v>988.14838274834972</v>
      </c>
      <c r="S41">
        <f t="shared" si="5"/>
        <v>986.75978856325492</v>
      </c>
      <c r="T41" cm="1">
        <f t="array" ref="T41">[1]!PropsSI("H","T",J41+273.15,"P",101325,"Water")</f>
        <v>233098.26376942618</v>
      </c>
      <c r="U41" cm="1">
        <f t="array" ref="U41">[1]!PropsSI("H","T",K41+273.15,"P",101325,"Water")</f>
        <v>208368.82923826145</v>
      </c>
      <c r="V41">
        <f t="shared" si="6"/>
        <v>391.59331447963109</v>
      </c>
    </row>
    <row r="42" spans="1:22" x14ac:dyDescent="0.2">
      <c r="A42">
        <v>46068.546814675923</v>
      </c>
      <c r="B42">
        <v>19.95928</v>
      </c>
      <c r="C42">
        <v>19.811199999999999</v>
      </c>
      <c r="D42">
        <v>19.792577000000001</v>
      </c>
      <c r="E42">
        <v>19.680731000000002</v>
      </c>
      <c r="F42">
        <v>40.132722000000001</v>
      </c>
      <c r="G42">
        <v>38.969723999999999</v>
      </c>
      <c r="H42">
        <v>26.890029999999999</v>
      </c>
      <c r="I42">
        <v>28.166318</v>
      </c>
      <c r="J42">
        <v>55.665498999999997</v>
      </c>
      <c r="K42">
        <v>49.755318000000003</v>
      </c>
      <c r="L42">
        <v>40.146005000000002</v>
      </c>
      <c r="M42">
        <v>-622.487348</v>
      </c>
      <c r="N42">
        <v>0.959314</v>
      </c>
      <c r="O42">
        <v>0.72635899999999998</v>
      </c>
      <c r="P42">
        <f t="shared" si="4"/>
        <v>1.5988566666666668E-5</v>
      </c>
      <c r="Q42" cm="1">
        <f t="array" ref="Q42">[1]!PropsSI("D","T",J42+273.15,"P",101325,"Water")</f>
        <v>985.36948483991819</v>
      </c>
      <c r="R42" cm="1">
        <f t="array" ref="R42">[1]!PropsSI("D","T",K42+273.15,"P",101325,"Water")</f>
        <v>988.14551874487836</v>
      </c>
      <c r="S42">
        <f t="shared" si="5"/>
        <v>986.75750179239822</v>
      </c>
      <c r="T42" cm="1">
        <f t="array" ref="T42">[1]!PropsSI("H","T",J42+273.15,"P",101325,"Water")</f>
        <v>233112.90915250964</v>
      </c>
      <c r="U42" cm="1">
        <f t="array" ref="U42">[1]!PropsSI("H","T",K42+273.15,"P",101325,"Water")</f>
        <v>208395.40122622991</v>
      </c>
      <c r="V42">
        <f t="shared" si="6"/>
        <v>389.96412081906186</v>
      </c>
    </row>
    <row r="43" spans="1:22" x14ac:dyDescent="0.2">
      <c r="A43">
        <v>46068.546930416669</v>
      </c>
      <c r="B43">
        <v>19.944690999999999</v>
      </c>
      <c r="C43">
        <v>19.789763000000001</v>
      </c>
      <c r="D43">
        <v>19.800170999999999</v>
      </c>
      <c r="E43">
        <v>19.659426</v>
      </c>
      <c r="F43">
        <v>40.596668000000001</v>
      </c>
      <c r="G43">
        <v>38.429524999999998</v>
      </c>
      <c r="H43">
        <v>26.422855999999999</v>
      </c>
      <c r="I43">
        <v>26.315369</v>
      </c>
      <c r="J43">
        <v>55.673774000000002</v>
      </c>
      <c r="K43">
        <v>49.764214000000003</v>
      </c>
      <c r="L43">
        <v>39.287272000000002</v>
      </c>
      <c r="M43">
        <v>-622.49265300000002</v>
      </c>
      <c r="N43">
        <v>0.96069099999999996</v>
      </c>
      <c r="O43">
        <v>0.93119600000000002</v>
      </c>
      <c r="P43">
        <f t="shared" si="4"/>
        <v>1.6011516666666667E-5</v>
      </c>
      <c r="Q43" cm="1">
        <f t="array" ref="Q43">[1]!PropsSI("D","T",J43+273.15,"P",101325,"Water")</f>
        <v>985.36544385713353</v>
      </c>
      <c r="R43" cm="1">
        <f t="array" ref="R43">[1]!PropsSI("D","T",K43+273.15,"P",101325,"Water")</f>
        <v>988.14150914444372</v>
      </c>
      <c r="S43">
        <f t="shared" si="5"/>
        <v>986.75347650078857</v>
      </c>
      <c r="T43" cm="1">
        <f t="array" ref="T43">[1]!PropsSI("H","T",J43+273.15,"P",101325,"Water")</f>
        <v>233147.525150314</v>
      </c>
      <c r="U43" cm="1">
        <f t="array" ref="U43">[1]!PropsSI("H","T",K43+273.15,"P",101325,"Water")</f>
        <v>208432.59784696237</v>
      </c>
      <c r="V43">
        <f t="shared" si="6"/>
        <v>390.48151018278867</v>
      </c>
    </row>
    <row r="44" spans="1:22" x14ac:dyDescent="0.2">
      <c r="A44">
        <v>46068.547046157408</v>
      </c>
      <c r="B44">
        <v>19.96904</v>
      </c>
      <c r="C44">
        <v>19.808104</v>
      </c>
      <c r="D44">
        <v>19.786928</v>
      </c>
      <c r="E44">
        <v>19.646367000000001</v>
      </c>
      <c r="F44">
        <v>40.229945000000001</v>
      </c>
      <c r="G44">
        <v>37.926948000000003</v>
      </c>
      <c r="H44">
        <v>26.273358000000002</v>
      </c>
      <c r="I44">
        <v>25.524605000000001</v>
      </c>
      <c r="J44">
        <v>55.677433999999998</v>
      </c>
      <c r="K44">
        <v>49.772315999999996</v>
      </c>
      <c r="L44">
        <v>38.739545</v>
      </c>
      <c r="M44">
        <v>-622.49836700000003</v>
      </c>
      <c r="N44">
        <v>0.96074499999999996</v>
      </c>
      <c r="O44">
        <v>1.7370000000000001</v>
      </c>
      <c r="P44">
        <f t="shared" si="4"/>
        <v>1.6012416666666666E-5</v>
      </c>
      <c r="Q44" cm="1">
        <f t="array" ref="Q44">[1]!PropsSI("D","T",J44+273.15,"P",101325,"Water")</f>
        <v>985.36365641165446</v>
      </c>
      <c r="R44" cm="1">
        <f t="array" ref="R44">[1]!PropsSI("D","T",K44+273.15,"P",101325,"Water")</f>
        <v>988.13785696235652</v>
      </c>
      <c r="S44">
        <f t="shared" si="5"/>
        <v>986.75075668700549</v>
      </c>
      <c r="T44" cm="1">
        <f t="array" ref="T44">[1]!PropsSI("H","T",J44+273.15,"P",101325,"Water")</f>
        <v>233162.83567834081</v>
      </c>
      <c r="U44" cm="1">
        <f t="array" ref="U44">[1]!PropsSI("H","T",K44+273.15,"P",101325,"Water")</f>
        <v>208466.47455476169</v>
      </c>
      <c r="V44">
        <f t="shared" si="6"/>
        <v>390.20903206778996</v>
      </c>
    </row>
    <row r="45" spans="1:22" x14ac:dyDescent="0.2">
      <c r="A45">
        <v>46068.547162476854</v>
      </c>
      <c r="B45">
        <v>19.991491</v>
      </c>
      <c r="C45">
        <v>19.848718999999999</v>
      </c>
      <c r="D45">
        <v>19.788522</v>
      </c>
      <c r="E45">
        <v>19.661560000000001</v>
      </c>
      <c r="F45">
        <v>39.597574999999999</v>
      </c>
      <c r="G45">
        <v>37.323442999999997</v>
      </c>
      <c r="H45">
        <v>26.726310999999999</v>
      </c>
      <c r="I45">
        <v>26.253326000000001</v>
      </c>
      <c r="J45">
        <v>55.679344</v>
      </c>
      <c r="K45">
        <v>49.776287000000004</v>
      </c>
      <c r="L45">
        <v>37.952644999999997</v>
      </c>
      <c r="M45">
        <v>-622.49102100000005</v>
      </c>
      <c r="N45">
        <v>0.96152300000000002</v>
      </c>
      <c r="O45">
        <v>1.297118</v>
      </c>
      <c r="P45">
        <f t="shared" si="4"/>
        <v>1.6025383333333334E-5</v>
      </c>
      <c r="Q45" cm="1">
        <f t="array" ref="Q45">[1]!PropsSI("D","T",J45+273.15,"P",101325,"Water")</f>
        <v>985.36272358630652</v>
      </c>
      <c r="R45" cm="1">
        <f t="array" ref="R45">[1]!PropsSI("D","T",K45+273.15,"P",101325,"Water")</f>
        <v>988.13606677568748</v>
      </c>
      <c r="S45">
        <f t="shared" si="5"/>
        <v>986.749395180997</v>
      </c>
      <c r="T45" cm="1">
        <f t="array" ref="T45">[1]!PropsSI("H","T",J45+273.15,"P",101325,"Water")</f>
        <v>233170.82560070767</v>
      </c>
      <c r="U45" cm="1">
        <f t="array" ref="U45">[1]!PropsSI("H","T",K45+273.15,"P",101325,"Water")</f>
        <v>208483.07841314311</v>
      </c>
      <c r="V45">
        <f t="shared" si="6"/>
        <v>390.38826741902932</v>
      </c>
    </row>
    <row r="46" spans="1:22" x14ac:dyDescent="0.2">
      <c r="A46">
        <v>46068.547278217593</v>
      </c>
      <c r="B46">
        <v>20.062664000000002</v>
      </c>
      <c r="C46">
        <v>19.901654000000001</v>
      </c>
      <c r="D46">
        <v>19.779212999999999</v>
      </c>
      <c r="E46">
        <v>19.741052</v>
      </c>
      <c r="F46">
        <v>39.770938000000001</v>
      </c>
      <c r="G46">
        <v>38.410220000000002</v>
      </c>
      <c r="H46">
        <v>27.127154999999998</v>
      </c>
      <c r="I46">
        <v>26.405448</v>
      </c>
      <c r="J46">
        <v>55.679184999999997</v>
      </c>
      <c r="K46">
        <v>49.778351999999998</v>
      </c>
      <c r="L46">
        <v>38.529350999999998</v>
      </c>
      <c r="M46">
        <v>-622.50367300000005</v>
      </c>
      <c r="N46">
        <v>0.95605700000000005</v>
      </c>
      <c r="O46">
        <v>1.094314</v>
      </c>
      <c r="P46">
        <f t="shared" si="4"/>
        <v>1.5934283333333334E-5</v>
      </c>
      <c r="Q46" cm="1">
        <f t="array" ref="Q46">[1]!PropsSI("D","T",J46+273.15,"P",101325,"Water")</f>
        <v>985.36280124121549</v>
      </c>
      <c r="R46" cm="1">
        <f t="array" ref="R46">[1]!PropsSI("D","T",K46+273.15,"P",101325,"Water")</f>
        <v>988.13513580158997</v>
      </c>
      <c r="S46">
        <f t="shared" si="5"/>
        <v>986.74896852140273</v>
      </c>
      <c r="T46" cm="1">
        <f t="array" ref="T46">[1]!PropsSI("H","T",J46+273.15,"P",101325,"Water")</f>
        <v>233170.16047098523</v>
      </c>
      <c r="U46" cm="1">
        <f t="array" ref="U46">[1]!PropsSI("H","T",K46+273.15,"P",101325,"Water")</f>
        <v>208491.71275573887</v>
      </c>
      <c r="V46">
        <f t="shared" si="6"/>
        <v>388.02263024966373</v>
      </c>
    </row>
    <row r="47" spans="1:22" x14ac:dyDescent="0.2">
      <c r="A47">
        <v>46068.54739453704</v>
      </c>
      <c r="B47">
        <v>20.051304999999999</v>
      </c>
      <c r="C47">
        <v>19.871343</v>
      </c>
      <c r="D47">
        <v>19.780024000000001</v>
      </c>
      <c r="E47">
        <v>19.663108000000001</v>
      </c>
      <c r="F47">
        <v>39.846876999999999</v>
      </c>
      <c r="G47">
        <v>38.281329999999997</v>
      </c>
      <c r="H47">
        <v>26.607396999999999</v>
      </c>
      <c r="I47">
        <v>26.081804000000002</v>
      </c>
      <c r="J47">
        <v>55.678389000000003</v>
      </c>
      <c r="K47">
        <v>49.782164999999999</v>
      </c>
      <c r="L47">
        <v>39.046467999999997</v>
      </c>
      <c r="M47">
        <v>-622.51102000000003</v>
      </c>
      <c r="N47">
        <v>0.95824100000000001</v>
      </c>
      <c r="O47">
        <v>1.298109</v>
      </c>
      <c r="P47">
        <f t="shared" si="4"/>
        <v>1.5970683333333333E-5</v>
      </c>
      <c r="Q47" cm="1">
        <f t="array" ref="Q47">[1]!PropsSI("D","T",J47+273.15,"P",101325,"Water")</f>
        <v>985.36319000179719</v>
      </c>
      <c r="R47" cm="1">
        <f t="array" ref="R47">[1]!PropsSI("D","T",K47+273.15,"P",101325,"Water")</f>
        <v>988.13341669431497</v>
      </c>
      <c r="S47">
        <f t="shared" si="5"/>
        <v>986.74830334805608</v>
      </c>
      <c r="T47" cm="1">
        <f t="array" ref="T47">[1]!PropsSI("H","T",J47+273.15,"P",101325,"Water")</f>
        <v>233166.83063936085</v>
      </c>
      <c r="U47" cm="1">
        <f t="array" ref="U47">[1]!PropsSI("H","T",K47+273.15,"P",101325,"Water")</f>
        <v>208507.65597842794</v>
      </c>
      <c r="V47">
        <f t="shared" si="6"/>
        <v>388.60503531461541</v>
      </c>
    </row>
    <row r="48" spans="1:22" x14ac:dyDescent="0.2">
      <c r="A48">
        <v>46068.547510277778</v>
      </c>
      <c r="B48">
        <v>20.063289000000001</v>
      </c>
      <c r="C48">
        <v>19.904596000000002</v>
      </c>
      <c r="D48">
        <v>19.745234</v>
      </c>
      <c r="E48">
        <v>19.643574000000001</v>
      </c>
      <c r="F48">
        <v>39.750717000000002</v>
      </c>
      <c r="G48">
        <v>38.249516999999997</v>
      </c>
      <c r="H48">
        <v>26.331610000000001</v>
      </c>
      <c r="I48">
        <v>26.135847999999999</v>
      </c>
      <c r="J48">
        <v>55.680140000000002</v>
      </c>
      <c r="K48">
        <v>49.775334000000001</v>
      </c>
      <c r="L48">
        <v>39.601134000000002</v>
      </c>
      <c r="M48">
        <v>-622.46694000000002</v>
      </c>
      <c r="N48">
        <v>0.95755599999999996</v>
      </c>
      <c r="O48">
        <v>1.365194</v>
      </c>
      <c r="P48">
        <f t="shared" si="4"/>
        <v>1.5959266666666668E-5</v>
      </c>
      <c r="Q48" cm="1">
        <f t="array" ref="Q48">[1]!PropsSI("D","T",J48+273.15,"P",101325,"Water")</f>
        <v>985.36233482101159</v>
      </c>
      <c r="R48" cm="1">
        <f t="array" ref="R48">[1]!PropsSI("D","T",K48+273.15,"P",101325,"Water")</f>
        <v>988.13649641191034</v>
      </c>
      <c r="S48">
        <f t="shared" si="5"/>
        <v>986.74941561646096</v>
      </c>
      <c r="T48" cm="1">
        <f t="array" ref="T48">[1]!PropsSI("H","T",J48+273.15,"P",101325,"Water")</f>
        <v>233174.15543262404</v>
      </c>
      <c r="U48" cm="1">
        <f t="array" ref="U48">[1]!PropsSI("H","T",K48+273.15,"P",101325,"Water")</f>
        <v>208479.09365397587</v>
      </c>
      <c r="V48">
        <f t="shared" si="6"/>
        <v>388.8928212002437</v>
      </c>
    </row>
    <row r="49" spans="1:22" x14ac:dyDescent="0.2">
      <c r="A49">
        <v>44606.547626020503</v>
      </c>
      <c r="B49">
        <v>20.037913</v>
      </c>
      <c r="C49">
        <v>19.900099000000001</v>
      </c>
      <c r="D49">
        <v>19.754207000000001</v>
      </c>
      <c r="E49">
        <v>19.657745999999999</v>
      </c>
      <c r="F49">
        <v>40.328611000000002</v>
      </c>
      <c r="G49">
        <v>38.008566999999999</v>
      </c>
      <c r="H49">
        <v>26.546244000000002</v>
      </c>
      <c r="I49">
        <v>25.591249000000001</v>
      </c>
      <c r="J49">
        <v>55.678866999999997</v>
      </c>
      <c r="K49">
        <v>49.781688000000003</v>
      </c>
      <c r="L49">
        <v>40.512517000000003</v>
      </c>
      <c r="M49">
        <v>-622.50408100000004</v>
      </c>
      <c r="N49">
        <v>0.95908499999999997</v>
      </c>
      <c r="O49">
        <v>0.78029099999999996</v>
      </c>
      <c r="P49">
        <f t="shared" si="4"/>
        <v>1.598475E-5</v>
      </c>
      <c r="Q49" cm="1">
        <f t="array" ref="Q49">[1]!PropsSI("D","T",J49+273.15,"P",101325,"Water")</f>
        <v>985.36295655056449</v>
      </c>
      <c r="R49" cm="1">
        <f t="array" ref="R49">[1]!PropsSI("D","T",K49+273.15,"P",101325,"Water")</f>
        <v>988.1336317570474</v>
      </c>
      <c r="S49">
        <f t="shared" si="5"/>
        <v>986.748294153806</v>
      </c>
      <c r="T49" cm="1">
        <f t="array" ref="T49">[1]!PropsSI("H","T",J49+273.15,"P",101325,"Water")</f>
        <v>233168.83021160279</v>
      </c>
      <c r="U49" cm="1">
        <f t="array" ref="U49">[1]!PropsSI("H","T",K49+273.15,"P",101325,"Water")</f>
        <v>208505.66150737772</v>
      </c>
      <c r="V49">
        <f t="shared" si="6"/>
        <v>389.01030517752434</v>
      </c>
    </row>
    <row r="50" spans="1:22" x14ac:dyDescent="0.2">
      <c r="A50" t="s">
        <v>25</v>
      </c>
      <c r="B50">
        <v>20.019233</v>
      </c>
      <c r="C50">
        <v>19.866709</v>
      </c>
      <c r="D50">
        <v>19.767962000000001</v>
      </c>
      <c r="E50">
        <v>19.656352999999999</v>
      </c>
      <c r="F50">
        <v>39.127647000000003</v>
      </c>
      <c r="G50">
        <v>38.024895000000001</v>
      </c>
      <c r="H50">
        <v>26.492965999999999</v>
      </c>
      <c r="I50">
        <v>26.766051000000001</v>
      </c>
      <c r="J50">
        <v>55.683799999999998</v>
      </c>
      <c r="K50">
        <v>49.779623000000001</v>
      </c>
      <c r="L50">
        <v>38.693832999999998</v>
      </c>
      <c r="M50">
        <v>-622.49795900000004</v>
      </c>
      <c r="N50">
        <v>0.95835999999999999</v>
      </c>
      <c r="O50">
        <v>1.2873969999999999</v>
      </c>
      <c r="P50">
        <f t="shared" si="4"/>
        <v>1.5972666666666667E-5</v>
      </c>
      <c r="Q50" cm="1">
        <f t="array" ref="Q50">[1]!PropsSI("D","T",J50+273.15,"P",101325,"Water")</f>
        <v>985.36054723195321</v>
      </c>
      <c r="R50" cm="1">
        <f t="array" ref="R50">[1]!PropsSI("D","T",K50+273.15,"P",101325,"Water")</f>
        <v>988.13456277645616</v>
      </c>
      <c r="S50">
        <f t="shared" si="5"/>
        <v>986.74755500420474</v>
      </c>
      <c r="T50" cm="1">
        <f t="array" ref="T50">[1]!PropsSI("H","T",J50+273.15,"P",101325,"Water")</f>
        <v>233189.46596932408</v>
      </c>
      <c r="U50" cm="1">
        <f t="array" ref="U50">[1]!PropsSI("H","T",K50+273.15,"P",101325,"Water")</f>
        <v>208497.02716286454</v>
      </c>
      <c r="V50">
        <f t="shared" si="6"/>
        <v>389.17727567757566</v>
      </c>
    </row>
    <row r="51" spans="1:22" x14ac:dyDescent="0.2">
      <c r="A51">
        <v>46068.547858078702</v>
      </c>
      <c r="B51">
        <v>19.967223000000001</v>
      </c>
      <c r="C51">
        <v>19.829297</v>
      </c>
      <c r="D51">
        <v>19.744491</v>
      </c>
      <c r="E51">
        <v>19.636517000000001</v>
      </c>
      <c r="F51">
        <v>39.647674000000002</v>
      </c>
      <c r="G51">
        <v>38.076445999999997</v>
      </c>
      <c r="H51">
        <v>26.345071000000001</v>
      </c>
      <c r="I51">
        <v>26.132370000000002</v>
      </c>
      <c r="J51">
        <v>55.684437000000003</v>
      </c>
      <c r="K51">
        <v>49.781371</v>
      </c>
      <c r="L51">
        <v>41.373697999999997</v>
      </c>
      <c r="M51">
        <v>-622.49469399999998</v>
      </c>
      <c r="N51">
        <v>0.95846600000000004</v>
      </c>
      <c r="O51">
        <v>1.1998519999999999</v>
      </c>
      <c r="P51">
        <f t="shared" si="4"/>
        <v>1.5974433333333334E-5</v>
      </c>
      <c r="Q51" cm="1">
        <f t="array" ref="Q51">[1]!PropsSI("D","T",J51+273.15,"P",101325,"Water")</f>
        <v>985.36023610486234</v>
      </c>
      <c r="R51" cm="1">
        <f t="array" ref="R51">[1]!PropsSI("D","T",K51+273.15,"P",101325,"Water")</f>
        <v>988.1337746804752</v>
      </c>
      <c r="S51">
        <f t="shared" si="5"/>
        <v>986.74700539266883</v>
      </c>
      <c r="T51" cm="1">
        <f t="array" ref="T51">[1]!PropsSI("H","T",J51+273.15,"P",101325,"Water")</f>
        <v>233192.13067249436</v>
      </c>
      <c r="U51" cm="1">
        <f t="array" ref="U51">[1]!PropsSI("H","T",K51+273.15,"P",101325,"Water")</f>
        <v>208504.33604130897</v>
      </c>
      <c r="V51">
        <f t="shared" si="6"/>
        <v>389.14689922338465</v>
      </c>
    </row>
    <row r="52" spans="1:22" x14ac:dyDescent="0.2">
      <c r="A52">
        <v>46068.547974398149</v>
      </c>
      <c r="B52">
        <v>20.014291</v>
      </c>
      <c r="C52">
        <v>19.836492</v>
      </c>
      <c r="D52">
        <v>19.801607000000001</v>
      </c>
      <c r="E52">
        <v>19.712883999999999</v>
      </c>
      <c r="F52">
        <v>40.367102000000003</v>
      </c>
      <c r="G52">
        <v>38.620178000000003</v>
      </c>
      <c r="H52">
        <v>26.945833</v>
      </c>
      <c r="I52">
        <v>25.573193</v>
      </c>
      <c r="J52">
        <v>55.683641000000001</v>
      </c>
      <c r="K52">
        <v>49.781688000000003</v>
      </c>
      <c r="L52">
        <v>37.801631999999998</v>
      </c>
      <c r="M52">
        <v>-622.49632699999995</v>
      </c>
      <c r="N52">
        <v>0.95686800000000005</v>
      </c>
      <c r="O52">
        <v>2.1306630000000002</v>
      </c>
      <c r="P52">
        <f t="shared" si="4"/>
        <v>1.59478E-5</v>
      </c>
      <c r="Q52" cm="1">
        <f t="array" ref="Q52">[1]!PropsSI("D","T",J52+273.15,"P",101325,"Water")</f>
        <v>985.36062489122401</v>
      </c>
      <c r="R52" cm="1">
        <f t="array" ref="R52">[1]!PropsSI("D","T",K52+273.15,"P",101325,"Water")</f>
        <v>988.1336317570474</v>
      </c>
      <c r="S52">
        <f t="shared" si="5"/>
        <v>986.7471283241357</v>
      </c>
      <c r="T52" cm="1">
        <f t="array" ref="T52">[1]!PropsSI("H","T",J52+273.15,"P",101325,"Water")</f>
        <v>233188.80083930871</v>
      </c>
      <c r="U52" cm="1">
        <f t="array" ref="U52">[1]!PropsSI("H","T",K52+273.15,"P",101325,"Water")</f>
        <v>208505.66150737772</v>
      </c>
      <c r="V52">
        <f t="shared" si="6"/>
        <v>388.42488558115008</v>
      </c>
    </row>
    <row r="53" spans="1:22" x14ac:dyDescent="0.2">
      <c r="A53">
        <v>46068.548090717595</v>
      </c>
      <c r="B53">
        <v>20.043780000000002</v>
      </c>
      <c r="C53">
        <v>19.861325000000001</v>
      </c>
      <c r="D53">
        <v>19.821556999999999</v>
      </c>
      <c r="E53">
        <v>19.776758000000001</v>
      </c>
      <c r="F53">
        <v>40.294685000000001</v>
      </c>
      <c r="G53">
        <v>38.509737000000001</v>
      </c>
      <c r="H53">
        <v>26.263316</v>
      </c>
      <c r="I53">
        <v>27.408436999999999</v>
      </c>
      <c r="J53">
        <v>55.683959000000002</v>
      </c>
      <c r="K53">
        <v>49.784070999999997</v>
      </c>
      <c r="L53">
        <v>39.116259999999997</v>
      </c>
      <c r="M53">
        <v>-622.48693900000001</v>
      </c>
      <c r="N53">
        <v>0.95636399999999999</v>
      </c>
      <c r="O53">
        <v>1.279658</v>
      </c>
      <c r="P53">
        <f t="shared" si="4"/>
        <v>1.5939400000000002E-5</v>
      </c>
      <c r="Q53" cm="1">
        <f t="array" ref="Q53">[1]!PropsSI("D","T",J53+273.15,"P",101325,"Water")</f>
        <v>985.36046957249437</v>
      </c>
      <c r="R53" cm="1">
        <f t="array" ref="R53">[1]!PropsSI("D","T",K53+273.15,"P",101325,"Water")</f>
        <v>988.13255733026767</v>
      </c>
      <c r="S53">
        <f t="shared" si="5"/>
        <v>986.74651345138102</v>
      </c>
      <c r="T53" cm="1">
        <f t="array" ref="T53">[1]!PropsSI("H","T",J53+273.15,"P",101325,"Water")</f>
        <v>233190.13109928102</v>
      </c>
      <c r="U53" cm="1">
        <f t="array" ref="U53">[1]!PropsSI("H","T",K53+273.15,"P",101325,"Water")</f>
        <v>208515.62550063705</v>
      </c>
      <c r="V53">
        <f t="shared" si="6"/>
        <v>388.08426049791808</v>
      </c>
    </row>
    <row r="54" spans="1:22" x14ac:dyDescent="0.2">
      <c r="A54">
        <v>46068.548206458334</v>
      </c>
      <c r="B54">
        <v>20.069706</v>
      </c>
      <c r="C54">
        <v>19.868224999999999</v>
      </c>
      <c r="D54">
        <v>19.846333999999999</v>
      </c>
      <c r="E54">
        <v>19.782437000000002</v>
      </c>
      <c r="F54">
        <v>39.705762</v>
      </c>
      <c r="G54">
        <v>38.289482</v>
      </c>
      <c r="H54">
        <v>26.162050000000001</v>
      </c>
      <c r="I54">
        <v>26.272541</v>
      </c>
      <c r="J54">
        <v>55.684595999999999</v>
      </c>
      <c r="K54">
        <v>49.793762000000001</v>
      </c>
      <c r="L54">
        <v>39.560727999999997</v>
      </c>
      <c r="M54">
        <v>-622.49142900000004</v>
      </c>
      <c r="N54">
        <v>0.95844600000000002</v>
      </c>
      <c r="O54">
        <v>1.3966590000000001</v>
      </c>
      <c r="P54">
        <f t="shared" si="4"/>
        <v>1.59741E-5</v>
      </c>
      <c r="Q54" cm="1">
        <f t="array" ref="Q54">[1]!PropsSI("D","T",J54+273.15,"P",101325,"Water")</f>
        <v>985.36015844480937</v>
      </c>
      <c r="R54" cm="1">
        <f t="array" ref="R54">[1]!PropsSI("D","T",K54+273.15,"P",101325,"Water")</f>
        <v>988.12818754999842</v>
      </c>
      <c r="S54">
        <f t="shared" si="5"/>
        <v>986.74417299740389</v>
      </c>
      <c r="T54" cm="1">
        <f t="array" ref="T54">[1]!PropsSI("H","T",J54+273.15,"P",101325,"Water")</f>
        <v>233192.79580249332</v>
      </c>
      <c r="U54" cm="1">
        <f t="array" ref="U54">[1]!PropsSI("H","T",K54+273.15,"P",101325,"Water")</f>
        <v>208556.14631376587</v>
      </c>
      <c r="V54">
        <f t="shared" si="6"/>
        <v>388.33149438147825</v>
      </c>
    </row>
    <row r="55" spans="1:22" x14ac:dyDescent="0.2">
      <c r="A55">
        <v>46068.54832277778</v>
      </c>
      <c r="B55">
        <v>20.028691999999999</v>
      </c>
      <c r="C55">
        <v>19.873767999999998</v>
      </c>
      <c r="D55">
        <v>19.816814999999998</v>
      </c>
      <c r="E55">
        <v>19.730464999999999</v>
      </c>
      <c r="F55">
        <v>39.650948999999997</v>
      </c>
      <c r="G55">
        <v>38.051572</v>
      </c>
      <c r="H55">
        <v>26.622831999999999</v>
      </c>
      <c r="I55">
        <v>26.699131999999999</v>
      </c>
      <c r="J55">
        <v>55.682845</v>
      </c>
      <c r="K55">
        <v>49.791856000000003</v>
      </c>
      <c r="L55">
        <v>38.445681999999998</v>
      </c>
      <c r="M55">
        <v>-622.47102199999995</v>
      </c>
      <c r="N55">
        <v>0.95731500000000003</v>
      </c>
      <c r="O55">
        <v>1.643025</v>
      </c>
      <c r="P55">
        <f t="shared" si="4"/>
        <v>1.5955249999999999E-5</v>
      </c>
      <c r="Q55" cm="1">
        <f t="array" ref="Q55">[1]!PropsSI("D","T",J55+273.15,"P",101325,"Water")</f>
        <v>985.36101367366223</v>
      </c>
      <c r="R55" cm="1">
        <f t="array" ref="R55">[1]!PropsSI("D","T",K55+273.15,"P",101325,"Water")</f>
        <v>988.12904703550009</v>
      </c>
      <c r="S55">
        <f t="shared" si="5"/>
        <v>986.7450303545811</v>
      </c>
      <c r="T55" cm="1">
        <f t="array" ref="T55">[1]!PropsSI("H","T",J55+273.15,"P",101325,"Water")</f>
        <v>233185.47100640787</v>
      </c>
      <c r="U55" cm="1">
        <f t="array" ref="U55">[1]!PropsSI("H","T",K55+273.15,"P",101325,"Water")</f>
        <v>208548.17678637456</v>
      </c>
      <c r="V55">
        <f t="shared" si="6"/>
        <v>387.88373706644728</v>
      </c>
    </row>
    <row r="56" spans="1:22" x14ac:dyDescent="0.2">
      <c r="A56">
        <v>46068.548438518519</v>
      </c>
      <c r="B56">
        <v>19.965391</v>
      </c>
      <c r="C56">
        <v>19.817028000000001</v>
      </c>
      <c r="D56">
        <v>19.822087</v>
      </c>
      <c r="E56">
        <v>19.700748999999998</v>
      </c>
      <c r="F56">
        <v>40.398820000000001</v>
      </c>
      <c r="G56">
        <v>38.287551999999998</v>
      </c>
      <c r="H56">
        <v>26.259031</v>
      </c>
      <c r="I56">
        <v>26.729939999999999</v>
      </c>
      <c r="J56">
        <v>55.681890000000003</v>
      </c>
      <c r="K56">
        <v>49.788677999999997</v>
      </c>
      <c r="L56">
        <v>38.082025999999999</v>
      </c>
      <c r="M56">
        <v>-622.487348</v>
      </c>
      <c r="N56">
        <v>0.95826500000000003</v>
      </c>
      <c r="O56">
        <v>1.925584</v>
      </c>
      <c r="P56">
        <f t="shared" si="4"/>
        <v>1.5971083333333334E-5</v>
      </c>
      <c r="Q56" cm="1">
        <f t="array" ref="Q56">[1]!PropsSI("D","T",J56+273.15,"P",101325,"Water")</f>
        <v>985.36148010977229</v>
      </c>
      <c r="R56" cm="1">
        <f t="array" ref="R56">[1]!PropsSI("D","T",K56+273.15,"P",101325,"Water")</f>
        <v>988.13048005946371</v>
      </c>
      <c r="S56">
        <f t="shared" si="5"/>
        <v>986.74598008461794</v>
      </c>
      <c r="T56" cm="1">
        <f t="array" ref="T56">[1]!PropsSI("H","T",J56+273.15,"P",101325,"Water")</f>
        <v>233181.47604376727</v>
      </c>
      <c r="U56" cm="1">
        <f t="array" ref="U56">[1]!PropsSI("H","T",K56+273.15,"P",101325,"Water")</f>
        <v>208534.88866792485</v>
      </c>
      <c r="V56">
        <f t="shared" si="6"/>
        <v>388.41548520529182</v>
      </c>
    </row>
    <row r="57" spans="1:22" x14ac:dyDescent="0.2">
      <c r="A57">
        <v>46068.548554837966</v>
      </c>
      <c r="B57">
        <v>20.037269999999999</v>
      </c>
      <c r="C57">
        <v>19.853940000000001</v>
      </c>
      <c r="D57">
        <v>19.84018</v>
      </c>
      <c r="E57">
        <v>19.767612</v>
      </c>
      <c r="F57">
        <v>39.841008000000002</v>
      </c>
      <c r="G57">
        <v>39.126586000000003</v>
      </c>
      <c r="H57">
        <v>27.232966000000001</v>
      </c>
      <c r="I57">
        <v>26.616710000000001</v>
      </c>
      <c r="J57">
        <v>55.684117999999998</v>
      </c>
      <c r="K57">
        <v>49.787089999999999</v>
      </c>
      <c r="L57">
        <v>38.440784000000001</v>
      </c>
      <c r="M57">
        <v>-622.51795800000002</v>
      </c>
      <c r="N57">
        <v>0.96055599999999997</v>
      </c>
      <c r="O57">
        <v>1.337796</v>
      </c>
      <c r="P57">
        <f t="shared" si="4"/>
        <v>1.6009266666666666E-5</v>
      </c>
      <c r="Q57" cm="1">
        <f t="array" ref="Q57">[1]!PropsSI("D","T",J57+273.15,"P",101325,"Water")</f>
        <v>985.36039191293571</v>
      </c>
      <c r="R57" cm="1">
        <f t="array" ref="R57">[1]!PropsSI("D","T",K57+273.15,"P",101325,"Water")</f>
        <v>988.1311960956366</v>
      </c>
      <c r="S57">
        <f t="shared" si="5"/>
        <v>986.74579400428615</v>
      </c>
      <c r="T57" cm="1">
        <f t="array" ref="T57">[1]!PropsSI("H","T",J57+273.15,"P",101325,"Water")</f>
        <v>233190.79622927238</v>
      </c>
      <c r="U57" cm="1">
        <f t="array" ref="U57">[1]!PropsSI("H","T",K57+273.15,"P",101325,"Water")</f>
        <v>208528.24879105217</v>
      </c>
      <c r="V57">
        <f t="shared" si="6"/>
        <v>389.5961497607608</v>
      </c>
    </row>
    <row r="59" spans="1:22" x14ac:dyDescent="0.2">
      <c r="F59" s="1" t="s">
        <v>22</v>
      </c>
    </row>
    <row r="60" spans="1:22" x14ac:dyDescent="0.2">
      <c r="F60">
        <f>AVERAGE(V14:V57)</f>
        <v>389.72583506959455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D61F5-20FA-5F41-9201-3E022B4CE681}">
  <dimension ref="A1:V42"/>
  <sheetViews>
    <sheetView topLeftCell="A10" workbookViewId="0">
      <selection activeCell="F42" sqref="F42"/>
    </sheetView>
  </sheetViews>
  <sheetFormatPr baseColWidth="10" defaultRowHeight="16" x14ac:dyDescent="0.2"/>
  <cols>
    <col min="1" max="1" width="12.1640625" bestFit="1" customWidth="1"/>
    <col min="2" max="10" width="10.1640625" bestFit="1" customWidth="1"/>
    <col min="11" max="11" width="11.1640625" bestFit="1" customWidth="1"/>
    <col min="12" max="12" width="10.1640625" bestFit="1" customWidth="1"/>
    <col min="13" max="13" width="13" bestFit="1" customWidth="1"/>
    <col min="14" max="14" width="11.33203125" bestFit="1" customWidth="1"/>
    <col min="15" max="15" width="11.5" bestFit="1" customWidth="1"/>
    <col min="16" max="16" width="12.5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>
        <v>44606.549931576097</v>
      </c>
      <c r="B2">
        <v>19.949774999999999</v>
      </c>
      <c r="C2">
        <v>19.79945</v>
      </c>
      <c r="D2">
        <v>19.673781000000002</v>
      </c>
      <c r="E2">
        <v>19.630595</v>
      </c>
      <c r="F2">
        <v>36.500788999999997</v>
      </c>
      <c r="G2">
        <v>35.234613000000003</v>
      </c>
      <c r="H2">
        <v>26.092646999999999</v>
      </c>
      <c r="I2">
        <v>24.842037000000001</v>
      </c>
      <c r="J2">
        <v>55.655473000000001</v>
      </c>
      <c r="K2">
        <v>48.128225999999998</v>
      </c>
      <c r="L2">
        <v>79.250577000000007</v>
      </c>
      <c r="M2">
        <v>-622.5</v>
      </c>
      <c r="N2">
        <v>0.96030599999999999</v>
      </c>
      <c r="O2">
        <v>1.7009099999999999</v>
      </c>
      <c r="P2">
        <f xml:space="preserve"> N2*0.001/60</f>
        <v>1.60051E-5</v>
      </c>
      <c r="Q2" cm="1">
        <f t="array" ref="Q2">[1]!PropsSI("D","T",J2+273.15,"P",101325,"Water")</f>
        <v>985.37438033392743</v>
      </c>
      <c r="R2" cm="1">
        <f t="array" ref="R2">[1]!PropsSI("D","T",K2+273.15,"P",101325,"Water")</f>
        <v>988.87007022457078</v>
      </c>
      <c r="S2">
        <f>(Q2+R2)/2</f>
        <v>987.12222527924905</v>
      </c>
      <c r="T2" cm="1">
        <f t="array" ref="T2">[1]!PropsSI("H","T",J2+273.15,"P",101325,"Water")</f>
        <v>233070.9684018222</v>
      </c>
      <c r="U2" cm="1">
        <f t="array" ref="U2">[1]!PropsSI("H","T",K2+273.15,"P",101325,"Water")</f>
        <v>201592.44160412895</v>
      </c>
      <c r="V2">
        <f>S2*P2*(T2-U2)</f>
        <v>497.32892781927035</v>
      </c>
    </row>
    <row r="3" spans="1:22" x14ac:dyDescent="0.2">
      <c r="A3">
        <v>44606.550047316799</v>
      </c>
      <c r="B3">
        <v>20.015183</v>
      </c>
      <c r="C3">
        <v>19.933298000000001</v>
      </c>
      <c r="D3">
        <v>19.700320000000001</v>
      </c>
      <c r="E3">
        <v>19.706175000000002</v>
      </c>
      <c r="F3">
        <v>36.401594000000003</v>
      </c>
      <c r="G3">
        <v>34.802598000000003</v>
      </c>
      <c r="H3">
        <v>26.484888000000002</v>
      </c>
      <c r="I3">
        <v>24.034092999999999</v>
      </c>
      <c r="J3">
        <v>55.645288000000001</v>
      </c>
      <c r="K3">
        <v>48.114412999999999</v>
      </c>
      <c r="L3">
        <v>75.869929999999997</v>
      </c>
      <c r="M3">
        <v>-622.49877600000002</v>
      </c>
      <c r="N3">
        <v>0.96291599999999999</v>
      </c>
      <c r="O3">
        <v>1.3896820000000001</v>
      </c>
      <c r="P3">
        <f t="shared" ref="P3" si="0" xml:space="preserve"> N3*0.001/60</f>
        <v>1.6048600000000001E-5</v>
      </c>
      <c r="Q3" cm="1">
        <f t="array" ref="Q3">[1]!PropsSI("D","T",J3+273.15,"P",101325,"Water")</f>
        <v>985.37935282982357</v>
      </c>
      <c r="R3" cm="1">
        <f t="array" ref="R3">[1]!PropsSI("D","T",K3+273.15,"P",101325,"Water")</f>
        <v>988.87614570691176</v>
      </c>
      <c r="S3">
        <f>(Q3+R3)/2</f>
        <v>987.12774926836767</v>
      </c>
      <c r="T3" cm="1">
        <f t="array" ref="T3">[1]!PropsSI("H","T",J3+273.15,"P",101325,"Water")</f>
        <v>233028.36256079079</v>
      </c>
      <c r="U3" cm="1">
        <f t="array" ref="U3">[1]!PropsSI("H","T",K3+273.15,"P",101325,"Water")</f>
        <v>201534.69165765299</v>
      </c>
      <c r="V3">
        <f t="shared" ref="V3:V57" si="1">S3*P3*(T3-U3)</f>
        <v>498.92331383368543</v>
      </c>
    </row>
    <row r="4" spans="1:22" x14ac:dyDescent="0.2">
      <c r="A4">
        <v>44606.550163057596</v>
      </c>
      <c r="B4">
        <v>19.891998000000001</v>
      </c>
      <c r="C4">
        <v>19.780244</v>
      </c>
      <c r="D4">
        <v>19.564042000000001</v>
      </c>
      <c r="E4">
        <v>19.463172</v>
      </c>
      <c r="F4">
        <v>36.183745999999999</v>
      </c>
      <c r="G4">
        <v>33.319384999999997</v>
      </c>
      <c r="H4">
        <v>26.386005999999998</v>
      </c>
      <c r="I4">
        <v>24.304290999999999</v>
      </c>
      <c r="J4">
        <v>55.642583000000002</v>
      </c>
      <c r="K4">
        <v>48.105998</v>
      </c>
      <c r="L4">
        <v>77.915949999999995</v>
      </c>
      <c r="M4">
        <v>-622.50653</v>
      </c>
      <c r="N4">
        <v>0.95995799999999998</v>
      </c>
      <c r="O4">
        <v>1.3842179999999999</v>
      </c>
      <c r="P4">
        <f xml:space="preserve"> N4*0.001/60</f>
        <v>1.5999300000000001E-5</v>
      </c>
      <c r="Q4" cm="1">
        <f t="array" ref="Q4">[1]!PropsSI("D","T",J4+273.15,"P",101325,"Water")</f>
        <v>985.38067335083906</v>
      </c>
      <c r="R4" cm="1">
        <f t="array" ref="R4">[1]!PropsSI("D","T",K4+273.15,"P",101325,"Water")</f>
        <v>988.8798463165374</v>
      </c>
      <c r="S4">
        <f t="shared" ref="S4:S57" si="2">(Q4+R4)/2</f>
        <v>987.13025983368823</v>
      </c>
      <c r="T4" cm="1">
        <f t="array" ref="T4">[1]!PropsSI("H","T",J4+273.15,"P",101325,"Water")</f>
        <v>233017.04702481427</v>
      </c>
      <c r="U4" cm="1">
        <f t="array" ref="U4">[1]!PropsSI("H","T",K4+273.15,"P",101325,"Water")</f>
        <v>201499.50991032424</v>
      </c>
      <c r="V4">
        <f t="shared" si="1"/>
        <v>497.76885527809048</v>
      </c>
    </row>
    <row r="5" spans="1:22" x14ac:dyDescent="0.2">
      <c r="A5">
        <v>44606.550279376999</v>
      </c>
      <c r="B5">
        <v>19.966559</v>
      </c>
      <c r="C5">
        <v>19.822367</v>
      </c>
      <c r="D5">
        <v>19.633026999999998</v>
      </c>
      <c r="E5">
        <v>19.568156999999999</v>
      </c>
      <c r="F5">
        <v>35.855814000000002</v>
      </c>
      <c r="G5">
        <v>35.213855000000002</v>
      </c>
      <c r="H5">
        <v>26.250785</v>
      </c>
      <c r="I5">
        <v>25.147081</v>
      </c>
      <c r="J5">
        <v>55.636695000000003</v>
      </c>
      <c r="K5">
        <v>48.089326</v>
      </c>
      <c r="L5">
        <v>76.259707000000006</v>
      </c>
      <c r="M5">
        <v>-622.50244899999996</v>
      </c>
      <c r="N5">
        <v>0.95900300000000005</v>
      </c>
      <c r="O5">
        <v>1.1726449999999999</v>
      </c>
      <c r="P5">
        <f t="shared" ref="P5:P57" si="3" xml:space="preserve"> N5*0.001/60</f>
        <v>1.5983383333333333E-5</v>
      </c>
      <c r="Q5" cm="1">
        <f t="array" ref="Q5">[1]!PropsSI("D","T",J5+273.15,"P",101325,"Water")</f>
        <v>985.38354758586195</v>
      </c>
      <c r="R5" cm="1">
        <f t="array" ref="R5">[1]!PropsSI("D","T",K5+273.15,"P",101325,"Water")</f>
        <v>988.88717665036506</v>
      </c>
      <c r="S5">
        <f t="shared" si="2"/>
        <v>987.13536211811356</v>
      </c>
      <c r="T5" cm="1">
        <f t="array" ref="T5">[1]!PropsSI("H","T",J5+273.15,"P",101325,"Water")</f>
        <v>232992.41639618453</v>
      </c>
      <c r="U5" cm="1">
        <f t="array" ref="U5">[1]!PropsSI("H","T",K5+273.15,"P",101325,"Water")</f>
        <v>201429.80704064286</v>
      </c>
      <c r="V5">
        <f t="shared" si="1"/>
        <v>497.98736674733419</v>
      </c>
    </row>
    <row r="6" spans="1:22" x14ac:dyDescent="0.2">
      <c r="A6">
        <v>46068.550395694445</v>
      </c>
      <c r="B6">
        <v>19.908297999999998</v>
      </c>
      <c r="C6">
        <v>19.782008000000001</v>
      </c>
      <c r="D6">
        <v>19.554613</v>
      </c>
      <c r="E6">
        <v>19.537278000000001</v>
      </c>
      <c r="F6">
        <v>36.292126000000003</v>
      </c>
      <c r="G6">
        <v>35.599196999999997</v>
      </c>
      <c r="H6">
        <v>25.993929999999999</v>
      </c>
      <c r="I6">
        <v>24.474395999999999</v>
      </c>
      <c r="J6">
        <v>55.632716000000002</v>
      </c>
      <c r="K6">
        <v>48.078370999999997</v>
      </c>
      <c r="L6">
        <v>76.489082999999994</v>
      </c>
      <c r="M6">
        <v>-622.493878</v>
      </c>
      <c r="N6">
        <v>0.95982699999999999</v>
      </c>
      <c r="O6">
        <v>1.345993</v>
      </c>
      <c r="P6">
        <f t="shared" si="3"/>
        <v>1.5997116666666666E-5</v>
      </c>
      <c r="Q6" cm="1">
        <f t="array" ref="Q6">[1]!PropsSI("D","T",J6+273.15,"P",101325,"Water")</f>
        <v>985.38548981891904</v>
      </c>
      <c r="R6" cm="1">
        <f t="array" ref="R6">[1]!PropsSI("D","T",K6+273.15,"P",101325,"Water")</f>
        <v>988.89199232229919</v>
      </c>
      <c r="S6">
        <f t="shared" si="2"/>
        <v>987.13874107060906</v>
      </c>
      <c r="T6" cm="1">
        <f t="array" ref="T6">[1]!PropsSI("H","T",J6+273.15,"P",101325,"Water")</f>
        <v>232975.77148645965</v>
      </c>
      <c r="U6" cm="1">
        <f t="array" ref="U6">[1]!PropsSI("H","T",K6+273.15,"P",101325,"Water")</f>
        <v>201384.00603857433</v>
      </c>
      <c r="V6">
        <f t="shared" si="1"/>
        <v>498.87737109520856</v>
      </c>
    </row>
    <row r="7" spans="1:22" x14ac:dyDescent="0.2">
      <c r="A7">
        <v>46068.550511435184</v>
      </c>
      <c r="B7">
        <v>19.992498999999999</v>
      </c>
      <c r="C7">
        <v>19.921951</v>
      </c>
      <c r="D7">
        <v>19.622444000000002</v>
      </c>
      <c r="E7">
        <v>19.596378000000001</v>
      </c>
      <c r="F7">
        <v>36.283741999999997</v>
      </c>
      <c r="G7">
        <v>35.402900000000002</v>
      </c>
      <c r="H7">
        <v>26.272252000000002</v>
      </c>
      <c r="I7">
        <v>24.153559999999999</v>
      </c>
      <c r="J7">
        <v>55.630011000000003</v>
      </c>
      <c r="K7">
        <v>48.053285000000002</v>
      </c>
      <c r="L7">
        <v>78.132673999999994</v>
      </c>
      <c r="M7">
        <v>-622.51469299999997</v>
      </c>
      <c r="N7">
        <v>0.95859700000000003</v>
      </c>
      <c r="O7">
        <v>1.126198</v>
      </c>
      <c r="P7">
        <f t="shared" si="3"/>
        <v>1.5976616666666669E-5</v>
      </c>
      <c r="Q7" cm="1">
        <f t="array" ref="Q7">[1]!PropsSI("D","T",J7+273.15,"P",101325,"Water")</f>
        <v>985.38681013020027</v>
      </c>
      <c r="R7" cm="1">
        <f t="array" ref="R7">[1]!PropsSI("D","T",K7+273.15,"P",101325,"Water")</f>
        <v>988.90301676010165</v>
      </c>
      <c r="S7">
        <f t="shared" si="2"/>
        <v>987.14491344515091</v>
      </c>
      <c r="T7" cm="1">
        <f t="array" ref="T7">[1]!PropsSI("H","T",J7+273.15,"P",101325,"Water")</f>
        <v>232964.4559631235</v>
      </c>
      <c r="U7" cm="1">
        <f t="array" ref="U7">[1]!PropsSI("H","T",K7+273.15,"P",101325,"Water")</f>
        <v>201279.12582902532</v>
      </c>
      <c r="V7">
        <f t="shared" si="1"/>
        <v>499.71681537163283</v>
      </c>
    </row>
    <row r="8" spans="1:22" x14ac:dyDescent="0.2">
      <c r="A8">
        <v>46068.55062775463</v>
      </c>
      <c r="B8">
        <v>19.978812999999999</v>
      </c>
      <c r="C8">
        <v>19.838701</v>
      </c>
      <c r="D8">
        <v>19.588367000000002</v>
      </c>
      <c r="E8">
        <v>19.552284</v>
      </c>
      <c r="F8">
        <v>36.349133999999999</v>
      </c>
      <c r="G8">
        <v>34.868962000000003</v>
      </c>
      <c r="H8">
        <v>26.143706000000002</v>
      </c>
      <c r="I8">
        <v>24.599024</v>
      </c>
      <c r="J8">
        <v>55.618394000000002</v>
      </c>
      <c r="K8">
        <v>48.048839000000001</v>
      </c>
      <c r="L8">
        <v>78.688157000000004</v>
      </c>
      <c r="M8">
        <v>-622.48816399999998</v>
      </c>
      <c r="N8">
        <v>0.95710200000000001</v>
      </c>
      <c r="O8">
        <v>1.236121</v>
      </c>
      <c r="P8">
        <f t="shared" si="3"/>
        <v>1.5951700000000002E-5</v>
      </c>
      <c r="Q8" cm="1">
        <f t="array" ref="Q8">[1]!PropsSI("D","T",J8+273.15,"P",101325,"Water")</f>
        <v>985.39247987823489</v>
      </c>
      <c r="R8" cm="1">
        <f t="array" ref="R8">[1]!PropsSI("D","T",K8+273.15,"P",101325,"Water")</f>
        <v>988.90497018421286</v>
      </c>
      <c r="S8">
        <f t="shared" si="2"/>
        <v>987.14872503122388</v>
      </c>
      <c r="T8" cm="1">
        <f t="array" ref="T8">[1]!PropsSI("H","T",J8+273.15,"P",101325,"Water")</f>
        <v>232915.85989977926</v>
      </c>
      <c r="U8" cm="1">
        <f t="array" ref="U8">[1]!PropsSI("H","T",K8+273.15,"P",101325,"Water")</f>
        <v>201260.53789161486</v>
      </c>
      <c r="V8">
        <f t="shared" si="1"/>
        <v>498.46686910325002</v>
      </c>
    </row>
    <row r="9" spans="1:22" x14ac:dyDescent="0.2">
      <c r="A9">
        <v>46068.550743495369</v>
      </c>
      <c r="B9">
        <v>19.977453000000001</v>
      </c>
      <c r="C9">
        <v>19.785091000000001</v>
      </c>
      <c r="D9">
        <v>19.631475999999999</v>
      </c>
      <c r="E9">
        <v>19.544837000000001</v>
      </c>
      <c r="F9">
        <v>35.483668000000002</v>
      </c>
      <c r="G9">
        <v>35.265445</v>
      </c>
      <c r="H9">
        <v>26.02422</v>
      </c>
      <c r="I9">
        <v>25.309346000000001</v>
      </c>
      <c r="J9">
        <v>55.610914000000001</v>
      </c>
      <c r="K9">
        <v>48.031374</v>
      </c>
      <c r="L9">
        <v>80.621937000000003</v>
      </c>
      <c r="M9">
        <v>-622.50775499999997</v>
      </c>
      <c r="N9">
        <v>0.95965900000000004</v>
      </c>
      <c r="O9">
        <v>1.309839</v>
      </c>
      <c r="P9">
        <f t="shared" si="3"/>
        <v>1.5994316666666667E-5</v>
      </c>
      <c r="Q9" cm="1">
        <f t="array" ref="Q9">[1]!PropsSI("D","T",J9+273.15,"P",101325,"Water")</f>
        <v>985.39613009749849</v>
      </c>
      <c r="R9" cm="1">
        <f t="array" ref="R9">[1]!PropsSI("D","T",K9+273.15,"P",101325,"Water")</f>
        <v>988.9126424385405</v>
      </c>
      <c r="S9">
        <f t="shared" si="2"/>
        <v>987.15438626801949</v>
      </c>
      <c r="T9" cm="1">
        <f t="array" ref="T9">[1]!PropsSI("H","T",J9+273.15,"P",101325,"Water")</f>
        <v>232884.56970045401</v>
      </c>
      <c r="U9" cm="1">
        <f t="array" ref="U9">[1]!PropsSI("H","T",K9+273.15,"P",101325,"Water")</f>
        <v>201187.51987190018</v>
      </c>
      <c r="V9">
        <f t="shared" si="1"/>
        <v>500.4602774921467</v>
      </c>
    </row>
    <row r="10" spans="1:22" x14ac:dyDescent="0.2">
      <c r="A10">
        <v>44606.550859816802</v>
      </c>
      <c r="B10">
        <v>19.831498</v>
      </c>
      <c r="C10">
        <v>19.619962999999998</v>
      </c>
      <c r="D10">
        <v>19.395287</v>
      </c>
      <c r="E10">
        <v>19.285906000000001</v>
      </c>
      <c r="F10">
        <v>35.858882999999999</v>
      </c>
      <c r="G10">
        <v>34.862991000000001</v>
      </c>
      <c r="H10">
        <v>25.817834999999999</v>
      </c>
      <c r="I10">
        <v>24.845476000000001</v>
      </c>
      <c r="J10">
        <v>55.608527000000002</v>
      </c>
      <c r="K10">
        <v>48.028516000000003</v>
      </c>
      <c r="L10">
        <v>82.482252000000003</v>
      </c>
      <c r="M10">
        <v>-622.49347</v>
      </c>
      <c r="N10">
        <v>0.96260100000000004</v>
      </c>
      <c r="O10">
        <v>1.085202</v>
      </c>
      <c r="P10">
        <f t="shared" si="3"/>
        <v>1.6043350000000003E-5</v>
      </c>
      <c r="Q10" cm="1">
        <f t="array" ref="Q10">[1]!PropsSI("D","T",J10+273.15,"P",101325,"Water")</f>
        <v>985.39729487427792</v>
      </c>
      <c r="R10" cm="1">
        <f t="array" ref="R10">[1]!PropsSI("D","T",K10+273.15,"P",101325,"Water")</f>
        <v>988.91389774331822</v>
      </c>
      <c r="S10">
        <f t="shared" si="2"/>
        <v>987.15559630879807</v>
      </c>
      <c r="T10" cm="1">
        <f t="array" ref="T10">[1]!PropsSI("H","T",J10+273.15,"P",101325,"Water")</f>
        <v>232874.5844500323</v>
      </c>
      <c r="U10" cm="1">
        <f t="array" ref="U10">[1]!PropsSI("H","T",K10+273.15,"P",101325,"Water")</f>
        <v>201175.57109591432</v>
      </c>
      <c r="V10">
        <f t="shared" si="1"/>
        <v>502.02623694269812</v>
      </c>
    </row>
    <row r="11" spans="1:22" x14ac:dyDescent="0.2">
      <c r="A11">
        <v>44606.550975557599</v>
      </c>
      <c r="B11">
        <v>19.940477000000001</v>
      </c>
      <c r="C11">
        <v>19.744005999999999</v>
      </c>
      <c r="D11">
        <v>19.529824999999999</v>
      </c>
      <c r="E11">
        <v>19.468485999999999</v>
      </c>
      <c r="F11">
        <v>36.474435999999997</v>
      </c>
      <c r="G11">
        <v>35.826903999999999</v>
      </c>
      <c r="H11">
        <v>26.096609000000001</v>
      </c>
      <c r="I11">
        <v>25.396391999999999</v>
      </c>
      <c r="J11">
        <v>55.600729999999999</v>
      </c>
      <c r="K11">
        <v>48.007241</v>
      </c>
      <c r="L11">
        <v>81.340269000000006</v>
      </c>
      <c r="M11">
        <v>-622.49102100000005</v>
      </c>
      <c r="N11">
        <v>0.96299000000000001</v>
      </c>
      <c r="O11">
        <v>1.050548</v>
      </c>
      <c r="P11">
        <f t="shared" si="3"/>
        <v>1.6049833333333333E-5</v>
      </c>
      <c r="Q11" cm="1">
        <f t="array" ref="Q11">[1]!PropsSI("D","T",J11+273.15,"P",101325,"Water")</f>
        <v>985.40109930645804</v>
      </c>
      <c r="R11" cm="1">
        <f t="array" ref="R11">[1]!PropsSI("D","T",K11+273.15,"P",101325,"Water")</f>
        <v>988.92324052957133</v>
      </c>
      <c r="S11">
        <f t="shared" si="2"/>
        <v>987.16216991801468</v>
      </c>
      <c r="T11" cm="1">
        <f t="array" ref="T11">[1]!PropsSI("H","T",J11+273.15,"P",101325,"Water")</f>
        <v>232841.96821110809</v>
      </c>
      <c r="U11" cm="1">
        <f t="array" ref="U11">[1]!PropsSI("H","T",K11+273.15,"P",101325,"Water")</f>
        <v>201086.62427054264</v>
      </c>
      <c r="V11">
        <f t="shared" si="1"/>
        <v>503.12494679295469</v>
      </c>
    </row>
    <row r="12" spans="1:22" x14ac:dyDescent="0.2">
      <c r="A12">
        <v>44606.551091877001</v>
      </c>
      <c r="B12">
        <v>19.863219000000001</v>
      </c>
      <c r="C12">
        <v>19.705477999999999</v>
      </c>
      <c r="D12">
        <v>19.611681000000001</v>
      </c>
      <c r="E12">
        <v>19.561336000000001</v>
      </c>
      <c r="F12">
        <v>36.344413000000003</v>
      </c>
      <c r="G12">
        <v>35.618386000000001</v>
      </c>
      <c r="H12">
        <v>26.903268000000001</v>
      </c>
      <c r="I12">
        <v>24.733768000000001</v>
      </c>
      <c r="J12">
        <v>55.599615999999997</v>
      </c>
      <c r="K12">
        <v>47.998826000000001</v>
      </c>
      <c r="L12">
        <v>77.466993000000002</v>
      </c>
      <c r="M12">
        <v>-622.49020499999995</v>
      </c>
      <c r="N12">
        <v>0.96581399999999995</v>
      </c>
      <c r="O12">
        <v>1.1375459999999999</v>
      </c>
      <c r="P12">
        <f t="shared" si="3"/>
        <v>1.6096899999999998E-5</v>
      </c>
      <c r="Q12" cm="1">
        <f t="array" ref="Q12">[1]!PropsSI("D","T",J12+273.15,"P",101325,"Water")</f>
        <v>985.40164283586569</v>
      </c>
      <c r="R12" cm="1">
        <f t="array" ref="R12">[1]!PropsSI("D","T",K12+273.15,"P",101325,"Water")</f>
        <v>988.9269350865934</v>
      </c>
      <c r="S12">
        <f t="shared" si="2"/>
        <v>987.16428896122954</v>
      </c>
      <c r="T12" cm="1">
        <f t="array" ref="T12">[1]!PropsSI("H","T",J12+273.15,"P",101325,"Water")</f>
        <v>232837.30815263584</v>
      </c>
      <c r="U12" cm="1">
        <f t="array" ref="U12">[1]!PropsSI("H","T",K12+273.15,"P",101325,"Water")</f>
        <v>201051.44274890306</v>
      </c>
      <c r="V12">
        <f t="shared" si="1"/>
        <v>505.08645524593777</v>
      </c>
    </row>
    <row r="13" spans="1:22" x14ac:dyDescent="0.2">
      <c r="A13">
        <v>44606.551207617696</v>
      </c>
      <c r="B13">
        <v>19.819092999999999</v>
      </c>
      <c r="C13">
        <v>19.634412999999999</v>
      </c>
      <c r="D13">
        <v>19.639818000000002</v>
      </c>
      <c r="E13">
        <v>19.524744999999999</v>
      </c>
      <c r="F13">
        <v>35.797049000000001</v>
      </c>
      <c r="G13">
        <v>35.173501000000002</v>
      </c>
      <c r="H13">
        <v>26.371981000000002</v>
      </c>
      <c r="I13">
        <v>23.993195</v>
      </c>
      <c r="J13">
        <v>55.598820000000003</v>
      </c>
      <c r="K13">
        <v>47.991045999999997</v>
      </c>
      <c r="L13">
        <v>81.288843</v>
      </c>
      <c r="M13">
        <v>-622.49836700000003</v>
      </c>
      <c r="N13">
        <v>0.96142499999999997</v>
      </c>
      <c r="O13">
        <v>0.69198400000000004</v>
      </c>
      <c r="P13">
        <f t="shared" si="3"/>
        <v>1.6023750000000001E-5</v>
      </c>
      <c r="Q13" cm="1">
        <f t="array" ref="Q13">[1]!PropsSI("D","T",J13+273.15,"P",101325,"Water")</f>
        <v>985.40203120585954</v>
      </c>
      <c r="R13" cm="1">
        <f t="array" ref="R13">[1]!PropsSI("D","T",K13+273.15,"P",101325,"Water")</f>
        <v>988.93035042741769</v>
      </c>
      <c r="S13">
        <f t="shared" si="2"/>
        <v>987.16619081663862</v>
      </c>
      <c r="T13" cm="1">
        <f t="array" ref="T13">[1]!PropsSI("H","T",J13+273.15,"P",101325,"Water")</f>
        <v>232833.97834454066</v>
      </c>
      <c r="U13" cm="1">
        <f t="array" ref="U13">[1]!PropsSI("H","T",K13+273.15,"P",101325,"Water")</f>
        <v>201018.91605773399</v>
      </c>
      <c r="V13">
        <f t="shared" si="1"/>
        <v>503.25397197607276</v>
      </c>
    </row>
    <row r="14" spans="1:22" x14ac:dyDescent="0.2">
      <c r="A14">
        <v>44606.551323358501</v>
      </c>
      <c r="B14">
        <v>19.931329999999999</v>
      </c>
      <c r="C14">
        <v>19.720996</v>
      </c>
      <c r="D14">
        <v>19.715637000000001</v>
      </c>
      <c r="E14">
        <v>19.520682000000001</v>
      </c>
      <c r="F14">
        <v>35.448495999999999</v>
      </c>
      <c r="G14">
        <v>35.304980999999998</v>
      </c>
      <c r="H14">
        <v>25.944312</v>
      </c>
      <c r="I14">
        <v>23.924374</v>
      </c>
      <c r="J14">
        <v>55.598024000000002</v>
      </c>
      <c r="K14">
        <v>47.990729000000002</v>
      </c>
      <c r="L14">
        <v>74.655297000000004</v>
      </c>
      <c r="M14">
        <v>-622.52448900000002</v>
      </c>
      <c r="N14">
        <v>0.96138800000000002</v>
      </c>
      <c r="O14">
        <v>1.809663</v>
      </c>
      <c r="P14">
        <f t="shared" si="3"/>
        <v>1.6023133333333336E-5</v>
      </c>
      <c r="Q14" cm="1">
        <f t="array" ref="Q14">[1]!PropsSI("D","T",J14+273.15,"P",101325,"Water")</f>
        <v>985.40241957194223</v>
      </c>
      <c r="R14" cm="1">
        <f t="array" ref="R14">[1]!PropsSI("D","T",K14+273.15,"P",101325,"Water")</f>
        <v>988.9304895785649</v>
      </c>
      <c r="S14">
        <f t="shared" si="2"/>
        <v>987.16645457525351</v>
      </c>
      <c r="T14" cm="1">
        <f t="array" ref="T14">[1]!PropsSI("H","T",J14+273.15,"P",101325,"Water")</f>
        <v>232830.6485366874</v>
      </c>
      <c r="U14" cm="1">
        <f t="array" ref="U14">[1]!PropsSI("H","T",K14+273.15,"P",101325,"Water")</f>
        <v>201017.59074177782</v>
      </c>
      <c r="V14">
        <f t="shared" si="1"/>
        <v>503.20303288590912</v>
      </c>
    </row>
    <row r="15" spans="1:22" x14ac:dyDescent="0.2">
      <c r="A15">
        <v>46068.551439097224</v>
      </c>
      <c r="B15">
        <v>20.031205</v>
      </c>
      <c r="C15">
        <v>19.822838999999998</v>
      </c>
      <c r="D15">
        <v>19.631838999999999</v>
      </c>
      <c r="E15">
        <v>19.668346</v>
      </c>
      <c r="F15">
        <v>36.029609999999998</v>
      </c>
      <c r="G15">
        <v>34.773038999999997</v>
      </c>
      <c r="H15">
        <v>26.138831</v>
      </c>
      <c r="I15">
        <v>24.552911000000002</v>
      </c>
      <c r="J15">
        <v>55.593091000000001</v>
      </c>
      <c r="K15">
        <v>47.991999</v>
      </c>
      <c r="L15">
        <v>77.569029</v>
      </c>
      <c r="M15">
        <v>-622.48979599999996</v>
      </c>
      <c r="N15">
        <v>0.96415799999999996</v>
      </c>
      <c r="O15">
        <v>1.405084</v>
      </c>
      <c r="P15">
        <f t="shared" si="3"/>
        <v>1.6069299999999999E-5</v>
      </c>
      <c r="Q15" cm="1">
        <f t="array" ref="Q15">[1]!PropsSI("D","T",J15+273.15,"P",101325,"Water")</f>
        <v>985.40482628114228</v>
      </c>
      <c r="R15" cm="1">
        <f t="array" ref="R15">[1]!PropsSI("D","T",K15+273.15,"P",101325,"Water")</f>
        <v>988.9299320919539</v>
      </c>
      <c r="S15">
        <f t="shared" si="2"/>
        <v>987.16737918654803</v>
      </c>
      <c r="T15" cm="1">
        <f t="array" ref="T15">[1]!PropsSI("H","T",J15+273.15,"P",101325,"Water")</f>
        <v>232810.0129361602</v>
      </c>
      <c r="U15" cm="1">
        <f t="array" ref="U15">[1]!PropsSI("H","T",K15+273.15,"P",101325,"Water")</f>
        <v>201022.90036758693</v>
      </c>
      <c r="V15">
        <f t="shared" si="1"/>
        <v>504.24178830163152</v>
      </c>
    </row>
    <row r="16" spans="1:22" x14ac:dyDescent="0.2">
      <c r="A16">
        <v>46068.551555416663</v>
      </c>
      <c r="B16">
        <v>20.080539999999999</v>
      </c>
      <c r="C16">
        <v>19.953057999999999</v>
      </c>
      <c r="D16">
        <v>19.708002</v>
      </c>
      <c r="E16">
        <v>19.648084999999998</v>
      </c>
      <c r="F16">
        <v>36.089754999999997</v>
      </c>
      <c r="G16">
        <v>35.160015000000001</v>
      </c>
      <c r="H16">
        <v>26.315279</v>
      </c>
      <c r="I16">
        <v>23.930577</v>
      </c>
      <c r="J16">
        <v>55.590704000000002</v>
      </c>
      <c r="K16">
        <v>47.999778999999997</v>
      </c>
      <c r="L16">
        <v>76.072777000000002</v>
      </c>
      <c r="M16">
        <v>-622.50530600000002</v>
      </c>
      <c r="N16">
        <v>0.96004400000000001</v>
      </c>
      <c r="O16">
        <v>1.2343919999999999</v>
      </c>
      <c r="P16">
        <f t="shared" si="3"/>
        <v>1.6000733333333334E-5</v>
      </c>
      <c r="Q16" cm="1">
        <f t="array" ref="Q16">[1]!PropsSI("D","T",J16+273.15,"P",101325,"Water")</f>
        <v>985.4059907954304</v>
      </c>
      <c r="R16" cm="1">
        <f t="array" ref="R16">[1]!PropsSI("D","T",K16+273.15,"P",101325,"Water")</f>
        <v>988.92651670133091</v>
      </c>
      <c r="S16">
        <f t="shared" si="2"/>
        <v>987.16625374838065</v>
      </c>
      <c r="T16" cm="1">
        <f t="array" ref="T16">[1]!PropsSI("H","T",J16+273.15,"P",101325,"Water")</f>
        <v>232800.02770150264</v>
      </c>
      <c r="U16" cm="1">
        <f t="array" ref="U16">[1]!PropsSI("H","T",K16+273.15,"P",101325,"Water")</f>
        <v>201055.42706058483</v>
      </c>
      <c r="V16">
        <f t="shared" si="1"/>
        <v>501.41815647515949</v>
      </c>
    </row>
    <row r="17" spans="1:22" x14ac:dyDescent="0.2">
      <c r="A17">
        <v>46068.551671157409</v>
      </c>
      <c r="B17">
        <v>19.948684</v>
      </c>
      <c r="C17">
        <v>19.930757</v>
      </c>
      <c r="D17">
        <v>19.676648</v>
      </c>
      <c r="E17">
        <v>19.702280999999999</v>
      </c>
      <c r="F17">
        <v>36.521776000000003</v>
      </c>
      <c r="G17">
        <v>35.307071000000001</v>
      </c>
      <c r="H17">
        <v>26.229191</v>
      </c>
      <c r="I17">
        <v>24.033394999999999</v>
      </c>
      <c r="J17">
        <v>55.588952999999997</v>
      </c>
      <c r="K17">
        <v>48.002794999999999</v>
      </c>
      <c r="L17">
        <v>77.226189000000005</v>
      </c>
      <c r="M17">
        <v>-622.48571500000003</v>
      </c>
      <c r="N17">
        <v>0.96057700000000001</v>
      </c>
      <c r="O17">
        <v>1.7718069999999999</v>
      </c>
      <c r="P17">
        <f t="shared" si="3"/>
        <v>1.6009616666666667E-5</v>
      </c>
      <c r="Q17" cm="1">
        <f t="array" ref="Q17">[1]!PropsSI("D","T",J17+273.15,"P",101325,"Water")</f>
        <v>985.40684501039868</v>
      </c>
      <c r="R17" cm="1">
        <f t="array" ref="R17">[1]!PropsSI("D","T",K17+273.15,"P",101325,"Water")</f>
        <v>988.9251925793842</v>
      </c>
      <c r="S17">
        <f t="shared" si="2"/>
        <v>987.16601879489144</v>
      </c>
      <c r="T17" cm="1">
        <f t="array" ref="T17">[1]!PropsSI("H","T",J17+273.15,"P",101325,"Water")</f>
        <v>232792.70296646652</v>
      </c>
      <c r="U17" cm="1">
        <f t="array" ref="U17">[1]!PropsSI("H","T",K17+273.15,"P",101325,"Water")</f>
        <v>201068.03638416395</v>
      </c>
      <c r="V17">
        <f t="shared" si="1"/>
        <v>501.38137500385159</v>
      </c>
    </row>
    <row r="18" spans="1:22" x14ac:dyDescent="0.2">
      <c r="A18">
        <v>46068.551787476848</v>
      </c>
      <c r="B18">
        <v>19.995559</v>
      </c>
      <c r="C18">
        <v>19.890844999999999</v>
      </c>
      <c r="D18">
        <v>19.477951999999998</v>
      </c>
      <c r="E18">
        <v>19.504064</v>
      </c>
      <c r="F18">
        <v>36.405548000000003</v>
      </c>
      <c r="G18">
        <v>35.566943000000002</v>
      </c>
      <c r="H18">
        <v>26.291041</v>
      </c>
      <c r="I18">
        <v>24.788309999999999</v>
      </c>
      <c r="J18">
        <v>55.591818000000004</v>
      </c>
      <c r="K18">
        <v>47.994062999999997</v>
      </c>
      <c r="L18">
        <v>77.137214</v>
      </c>
      <c r="M18">
        <v>-622.47959300000002</v>
      </c>
      <c r="N18">
        <v>0.96490399999999998</v>
      </c>
      <c r="O18">
        <v>1.870063</v>
      </c>
      <c r="P18">
        <f t="shared" si="3"/>
        <v>1.6081733333333336E-5</v>
      </c>
      <c r="Q18" cm="1">
        <f t="array" ref="Q18">[1]!PropsSI("D","T",J18+273.15,"P",101325,"Water")</f>
        <v>985.40544732728165</v>
      </c>
      <c r="R18" cm="1">
        <f t="array" ref="R18">[1]!PropsSI("D","T",K18+273.15,"P",101325,"Water")</f>
        <v>988.92902604335495</v>
      </c>
      <c r="S18">
        <f t="shared" si="2"/>
        <v>987.16723668531836</v>
      </c>
      <c r="T18" cm="1">
        <f t="array" ref="T18">[1]!PropsSI("H","T",J18+273.15,"P",101325,"Water")</f>
        <v>232804.68775631086</v>
      </c>
      <c r="U18" cm="1">
        <f t="array" ref="U18">[1]!PropsSI("H","T",K18+273.15,"P",101325,"Water")</f>
        <v>201031.52955559691</v>
      </c>
      <c r="V18">
        <f t="shared" si="1"/>
        <v>504.41033290012433</v>
      </c>
    </row>
    <row r="19" spans="1:22" x14ac:dyDescent="0.2">
      <c r="A19">
        <v>46068.551903796295</v>
      </c>
      <c r="B19">
        <v>19.948124</v>
      </c>
      <c r="C19">
        <v>19.810355999999999</v>
      </c>
      <c r="D19">
        <v>19.574482</v>
      </c>
      <c r="E19">
        <v>19.563635000000001</v>
      </c>
      <c r="F19">
        <v>36.557757000000002</v>
      </c>
      <c r="G19">
        <v>34.841369999999998</v>
      </c>
      <c r="H19">
        <v>25.821027999999998</v>
      </c>
      <c r="I19">
        <v>24.368776</v>
      </c>
      <c r="J19">
        <v>55.591340000000002</v>
      </c>
      <c r="K19">
        <v>47.990093999999999</v>
      </c>
      <c r="L19">
        <v>75.192004999999995</v>
      </c>
      <c r="M19">
        <v>-622.51469299999997</v>
      </c>
      <c r="N19">
        <v>0.96189199999999997</v>
      </c>
      <c r="O19">
        <v>1.8947799999999999</v>
      </c>
      <c r="P19">
        <f t="shared" si="3"/>
        <v>1.6031533333333334E-5</v>
      </c>
      <c r="Q19" cm="1">
        <f t="array" ref="Q19">[1]!PropsSI("D","T",J19+273.15,"P",101325,"Water")</f>
        <v>985.40568052191077</v>
      </c>
      <c r="R19" cm="1">
        <f t="array" ref="R19">[1]!PropsSI("D","T",K19+273.15,"P",101325,"Water")</f>
        <v>988.93076831781843</v>
      </c>
      <c r="S19">
        <f t="shared" si="2"/>
        <v>987.1682244198646</v>
      </c>
      <c r="T19" cm="1">
        <f t="array" ref="T19">[1]!PropsSI("H","T",J19+273.15,"P",101325,"Water")</f>
        <v>232802.68819953519</v>
      </c>
      <c r="U19" cm="1">
        <f t="array" ref="U19">[1]!PropsSI("H","T",K19+273.15,"P",101325,"Water")</f>
        <v>201014.93592896068</v>
      </c>
      <c r="V19">
        <f t="shared" si="1"/>
        <v>503.06725502863191</v>
      </c>
    </row>
    <row r="20" spans="1:22" x14ac:dyDescent="0.2">
      <c r="A20">
        <v>46068.552020115741</v>
      </c>
      <c r="B20">
        <v>20.055</v>
      </c>
      <c r="C20">
        <v>19.908916999999999</v>
      </c>
      <c r="D20">
        <v>19.648251999999999</v>
      </c>
      <c r="E20">
        <v>19.637194000000001</v>
      </c>
      <c r="F20">
        <v>36.262802000000001</v>
      </c>
      <c r="G20">
        <v>35.281787999999999</v>
      </c>
      <c r="H20">
        <v>26.089053</v>
      </c>
      <c r="I20">
        <v>24.724343000000001</v>
      </c>
      <c r="J20">
        <v>55.584338000000002</v>
      </c>
      <c r="K20">
        <v>47.990887999999998</v>
      </c>
      <c r="L20">
        <v>77.260064999999997</v>
      </c>
      <c r="M20">
        <v>-622.50693799999999</v>
      </c>
      <c r="N20">
        <v>0.96016699999999999</v>
      </c>
      <c r="O20">
        <v>0.89801600000000004</v>
      </c>
      <c r="P20">
        <f t="shared" si="3"/>
        <v>1.6002783333333335E-5</v>
      </c>
      <c r="Q20" cm="1">
        <f t="array" ref="Q20">[1]!PropsSI("D","T",J20+273.15,"P",101325,"Water")</f>
        <v>985.40909632019191</v>
      </c>
      <c r="R20" cm="1">
        <f t="array" ref="R20">[1]!PropsSI("D","T",K20+273.15,"P",101325,"Water")</f>
        <v>988.93041978358428</v>
      </c>
      <c r="S20">
        <f t="shared" si="2"/>
        <v>987.16975805188804</v>
      </c>
      <c r="T20" cm="1">
        <f t="array" ref="T20">[1]!PropsSI("H","T",J20+273.15,"P",101325,"Water")</f>
        <v>232773.39763069386</v>
      </c>
      <c r="U20" cm="1">
        <f t="array" ref="U20">[1]!PropsSI("H","T",K20+273.15,"P",101325,"Water")</f>
        <v>201018.25549016087</v>
      </c>
      <c r="V20">
        <f t="shared" si="1"/>
        <v>501.65070688319383</v>
      </c>
    </row>
    <row r="21" spans="1:22" x14ac:dyDescent="0.2">
      <c r="A21">
        <v>46068.55213585648</v>
      </c>
      <c r="B21">
        <v>20.048107999999999</v>
      </c>
      <c r="C21">
        <v>19.846805</v>
      </c>
      <c r="D21">
        <v>19.637145</v>
      </c>
      <c r="E21">
        <v>19.585128000000001</v>
      </c>
      <c r="F21">
        <v>36.225244000000004</v>
      </c>
      <c r="G21">
        <v>35.169553999999998</v>
      </c>
      <c r="H21">
        <v>26.620752</v>
      </c>
      <c r="I21">
        <v>23.498646999999998</v>
      </c>
      <c r="J21">
        <v>55.582588000000001</v>
      </c>
      <c r="K21">
        <v>47.996127000000001</v>
      </c>
      <c r="L21">
        <v>80.757033000000007</v>
      </c>
      <c r="M21">
        <v>-622.49550999999997</v>
      </c>
      <c r="N21">
        <v>0.96281399999999995</v>
      </c>
      <c r="O21">
        <v>1.446105</v>
      </c>
      <c r="P21">
        <f t="shared" si="3"/>
        <v>1.60469E-5</v>
      </c>
      <c r="Q21" cm="1">
        <f t="array" ref="Q21">[1]!PropsSI("D","T",J21+273.15,"P",101325,"Water")</f>
        <v>985.40994997859514</v>
      </c>
      <c r="R21" cm="1">
        <f t="array" ref="R21">[1]!PropsSI("D","T",K21+273.15,"P",101325,"Water")</f>
        <v>988.92811996617183</v>
      </c>
      <c r="S21">
        <f t="shared" si="2"/>
        <v>987.16903497238354</v>
      </c>
      <c r="T21" cm="1">
        <f t="array" ref="T21">[1]!PropsSI("H","T",J21+273.15,"P",101325,"Water")</f>
        <v>232766.07708290042</v>
      </c>
      <c r="U21" cm="1">
        <f t="array" ref="U21">[1]!PropsSI("H","T",K21+273.15,"P",101325,"Water")</f>
        <v>201040.1587446628</v>
      </c>
      <c r="V21">
        <f t="shared" si="1"/>
        <v>502.57036082562172</v>
      </c>
    </row>
    <row r="22" spans="1:22" x14ac:dyDescent="0.2">
      <c r="A22">
        <v>46068.552252175927</v>
      </c>
      <c r="B22">
        <v>19.985886000000001</v>
      </c>
      <c r="C22">
        <v>19.740030000000001</v>
      </c>
      <c r="D22">
        <v>19.459216000000001</v>
      </c>
      <c r="E22">
        <v>19.390139999999999</v>
      </c>
      <c r="F22">
        <v>36.255651</v>
      </c>
      <c r="G22">
        <v>34.924633</v>
      </c>
      <c r="H22">
        <v>26.085363000000001</v>
      </c>
      <c r="I22">
        <v>23.625336000000001</v>
      </c>
      <c r="J22">
        <v>55.591340000000002</v>
      </c>
      <c r="K22">
        <v>47.990729000000002</v>
      </c>
      <c r="L22">
        <v>75.681368000000006</v>
      </c>
      <c r="M22">
        <v>-622.49632699999995</v>
      </c>
      <c r="N22">
        <v>0.96010099999999998</v>
      </c>
      <c r="O22">
        <v>1.4285300000000001</v>
      </c>
      <c r="P22">
        <f t="shared" si="3"/>
        <v>1.6001683333333333E-5</v>
      </c>
      <c r="Q22" cm="1">
        <f t="array" ref="Q22">[1]!PropsSI("D","T",J22+273.15,"P",101325,"Water")</f>
        <v>985.40568052191077</v>
      </c>
      <c r="R22" cm="1">
        <f t="array" ref="R22">[1]!PropsSI("D","T",K22+273.15,"P",101325,"Water")</f>
        <v>988.9304895785649</v>
      </c>
      <c r="S22">
        <f t="shared" si="2"/>
        <v>987.16808505023778</v>
      </c>
      <c r="T22" cm="1">
        <f t="array" ref="T22">[1]!PropsSI("H","T",J22+273.15,"P",101325,"Water")</f>
        <v>232802.68819953519</v>
      </c>
      <c r="U22" cm="1">
        <f t="array" ref="U22">[1]!PropsSI("H","T",K22+273.15,"P",101325,"Water")</f>
        <v>201017.59074177782</v>
      </c>
      <c r="V22">
        <f t="shared" si="1"/>
        <v>502.08855899169964</v>
      </c>
    </row>
    <row r="23" spans="1:22" x14ac:dyDescent="0.2">
      <c r="A23">
        <v>46068.552368495373</v>
      </c>
      <c r="B23">
        <v>19.983505000000001</v>
      </c>
      <c r="C23">
        <v>19.766704000000001</v>
      </c>
      <c r="D23">
        <v>19.541003</v>
      </c>
      <c r="E23">
        <v>19.456816</v>
      </c>
      <c r="F23">
        <v>35.930840000000003</v>
      </c>
      <c r="G23">
        <v>34.712192999999999</v>
      </c>
      <c r="H23">
        <v>25.887922</v>
      </c>
      <c r="I23">
        <v>24.592386999999999</v>
      </c>
      <c r="J23">
        <v>55.589590000000001</v>
      </c>
      <c r="K23">
        <v>47.978504000000001</v>
      </c>
      <c r="L23">
        <v>76.915592000000004</v>
      </c>
      <c r="M23">
        <v>-622.47959300000002</v>
      </c>
      <c r="N23">
        <v>0.962974</v>
      </c>
      <c r="O23">
        <v>0.71675199999999994</v>
      </c>
      <c r="P23">
        <f t="shared" si="3"/>
        <v>1.6049566666666666E-5</v>
      </c>
      <c r="Q23" cm="1">
        <f t="array" ref="Q23">[1]!PropsSI("D","T",J23+273.15,"P",101325,"Water")</f>
        <v>985.40653425592393</v>
      </c>
      <c r="R23" cm="1">
        <f t="array" ref="R23">[1]!PropsSI("D","T",K23+273.15,"P",101325,"Water")</f>
        <v>988.93585538181912</v>
      </c>
      <c r="S23">
        <f t="shared" si="2"/>
        <v>987.17119481887153</v>
      </c>
      <c r="T23" cm="1">
        <f t="array" ref="T23">[1]!PropsSI("H","T",J23+273.15,"P",101325,"Water")</f>
        <v>232795.36764716334</v>
      </c>
      <c r="U23" cm="1">
        <f t="array" ref="U23">[1]!PropsSI("H","T",K23+273.15,"P",101325,"Water")</f>
        <v>200966.48038760608</v>
      </c>
      <c r="V23">
        <f t="shared" si="1"/>
        <v>504.2863831093569</v>
      </c>
    </row>
    <row r="24" spans="1:22" x14ac:dyDescent="0.2">
      <c r="A24">
        <v>46068.552484236112</v>
      </c>
      <c r="B24">
        <v>19.964804000000001</v>
      </c>
      <c r="C24">
        <v>19.750247000000002</v>
      </c>
      <c r="D24">
        <v>19.568073999999999</v>
      </c>
      <c r="E24">
        <v>19.472805999999999</v>
      </c>
      <c r="F24">
        <v>35.888115999999997</v>
      </c>
      <c r="G24">
        <v>34.235847999999997</v>
      </c>
      <c r="H24">
        <v>26.680323000000001</v>
      </c>
      <c r="I24">
        <v>25.131394</v>
      </c>
      <c r="J24">
        <v>55.585771000000001</v>
      </c>
      <c r="K24">
        <v>47.973104999999997</v>
      </c>
      <c r="L24">
        <v>80.123594999999995</v>
      </c>
      <c r="M24">
        <v>-622.47714399999995</v>
      </c>
      <c r="N24">
        <v>0.960318</v>
      </c>
      <c r="O24">
        <v>1.1422099999999999</v>
      </c>
      <c r="P24">
        <f t="shared" si="3"/>
        <v>1.6005300000000001E-5</v>
      </c>
      <c r="Q24" cm="1">
        <f t="array" ref="Q24">[1]!PropsSI("D","T",J24+273.15,"P",101325,"Water")</f>
        <v>985.40839728183482</v>
      </c>
      <c r="R24" cm="1">
        <f t="array" ref="R24">[1]!PropsSI("D","T",K24+273.15,"P",101325,"Water")</f>
        <v>988.93822479407356</v>
      </c>
      <c r="S24">
        <f t="shared" si="2"/>
        <v>987.17331103795414</v>
      </c>
      <c r="T24" cm="1">
        <f t="array" ref="T24">[1]!PropsSI("H","T",J24+273.15,"P",101325,"Water")</f>
        <v>232779.39211439816</v>
      </c>
      <c r="U24" cm="1">
        <f t="array" ref="U24">[1]!PropsSI("H","T",K24+273.15,"P",101325,"Water")</f>
        <v>200943.90822754809</v>
      </c>
      <c r="V24">
        <f t="shared" si="1"/>
        <v>503.00080443543209</v>
      </c>
    </row>
    <row r="25" spans="1:22" x14ac:dyDescent="0.2">
      <c r="A25">
        <v>46068.552600555558</v>
      </c>
      <c r="B25">
        <v>19.959244000000002</v>
      </c>
      <c r="C25">
        <v>19.761689000000001</v>
      </c>
      <c r="D25">
        <v>19.600435000000001</v>
      </c>
      <c r="E25">
        <v>19.517586000000001</v>
      </c>
      <c r="F25">
        <v>36.585667000000001</v>
      </c>
      <c r="G25">
        <v>34.663088999999999</v>
      </c>
      <c r="H25">
        <v>26.302244999999999</v>
      </c>
      <c r="I25">
        <v>24.070457999999999</v>
      </c>
      <c r="J25">
        <v>55.583542999999999</v>
      </c>
      <c r="K25">
        <v>47.975805000000001</v>
      </c>
      <c r="L25">
        <v>77.365774000000002</v>
      </c>
      <c r="M25">
        <v>-622.506122</v>
      </c>
      <c r="N25">
        <v>0.96640800000000004</v>
      </c>
      <c r="O25">
        <v>1.8111630000000001</v>
      </c>
      <c r="P25">
        <f t="shared" si="3"/>
        <v>1.6106800000000003E-5</v>
      </c>
      <c r="Q25" cm="1">
        <f t="array" ref="Q25">[1]!PropsSI("D","T",J25+273.15,"P",101325,"Water")</f>
        <v>985.40948412733655</v>
      </c>
      <c r="R25" cm="1">
        <f t="array" ref="R25">[1]!PropsSI("D","T",K25+273.15,"P",101325,"Water")</f>
        <v>988.93703989298422</v>
      </c>
      <c r="S25">
        <f t="shared" si="2"/>
        <v>987.17326201016044</v>
      </c>
      <c r="T25" cm="1">
        <f t="array" ref="T25">[1]!PropsSI("H","T",J25+273.15,"P",101325,"Water")</f>
        <v>232770.07201027876</v>
      </c>
      <c r="U25" cm="1">
        <f t="array" ref="U25">[1]!PropsSI("H","T",K25+273.15,"P",101325,"Water")</f>
        <v>200955.19639708064</v>
      </c>
      <c r="V25">
        <f t="shared" si="1"/>
        <v>505.86295828927439</v>
      </c>
    </row>
    <row r="26" spans="1:22" x14ac:dyDescent="0.2">
      <c r="A26">
        <v>46068.552716874998</v>
      </c>
      <c r="B26">
        <v>20.003605</v>
      </c>
      <c r="C26">
        <v>19.867004000000001</v>
      </c>
      <c r="D26">
        <v>19.601251999999999</v>
      </c>
      <c r="E26">
        <v>19.497382000000002</v>
      </c>
      <c r="F26">
        <v>36.594951999999999</v>
      </c>
      <c r="G26">
        <v>34.516426000000003</v>
      </c>
      <c r="H26">
        <v>26.181683</v>
      </c>
      <c r="I26">
        <v>24.034226</v>
      </c>
      <c r="J26">
        <v>55.582906000000001</v>
      </c>
      <c r="K26">
        <v>47.979455999999999</v>
      </c>
      <c r="L26">
        <v>80.511739000000006</v>
      </c>
      <c r="M26">
        <v>-622.49550999999997</v>
      </c>
      <c r="N26">
        <v>0.96401099999999995</v>
      </c>
      <c r="O26">
        <v>1.2836350000000001</v>
      </c>
      <c r="P26">
        <f t="shared" si="3"/>
        <v>1.606685E-5</v>
      </c>
      <c r="Q26" cm="1">
        <f t="array" ref="Q26">[1]!PropsSI("D","T",J26+273.15,"P",101325,"Water")</f>
        <v>985.40979485806133</v>
      </c>
      <c r="R26" cm="1">
        <f t="array" ref="R26">[1]!PropsSI("D","T",K26+273.15,"P",101325,"Water")</f>
        <v>988.93543756553606</v>
      </c>
      <c r="S26">
        <f t="shared" si="2"/>
        <v>987.17261621179864</v>
      </c>
      <c r="T26" cm="1">
        <f t="array" ref="T26">[1]!PropsSI("H","T",J26+273.15,"P",101325,"Water")</f>
        <v>232767.40733092022</v>
      </c>
      <c r="U26" cm="1">
        <f t="array" ref="U26">[1]!PropsSI("H","T",K26+273.15,"P",101325,"Water")</f>
        <v>200970.46051366458</v>
      </c>
      <c r="V26">
        <f t="shared" si="1"/>
        <v>504.32356250979444</v>
      </c>
    </row>
    <row r="27" spans="1:22" x14ac:dyDescent="0.2">
      <c r="A27">
        <v>46068.552832615744</v>
      </c>
      <c r="B27">
        <v>19.964047999999998</v>
      </c>
      <c r="C27">
        <v>19.669820999999999</v>
      </c>
      <c r="D27">
        <v>19.580461</v>
      </c>
      <c r="E27">
        <v>19.48387</v>
      </c>
      <c r="F27">
        <v>35.392539999999997</v>
      </c>
      <c r="G27">
        <v>35.209783000000002</v>
      </c>
      <c r="H27">
        <v>26.306712000000001</v>
      </c>
      <c r="I27">
        <v>23.504601999999998</v>
      </c>
      <c r="J27">
        <v>55.585929999999998</v>
      </c>
      <c r="K27">
        <v>47.982632000000002</v>
      </c>
      <c r="L27">
        <v>75.263838000000007</v>
      </c>
      <c r="M27">
        <v>-622.50489800000003</v>
      </c>
      <c r="N27">
        <v>0.96124500000000002</v>
      </c>
      <c r="O27">
        <v>1.687986</v>
      </c>
      <c r="P27">
        <f t="shared" si="3"/>
        <v>1.6020750000000001E-5</v>
      </c>
      <c r="Q27" cm="1">
        <f t="array" ref="Q27">[1]!PropsSI("D","T",J27+273.15,"P",101325,"Water")</f>
        <v>985.40831971852037</v>
      </c>
      <c r="R27" cm="1">
        <f t="array" ref="R27">[1]!PropsSI("D","T",K27+273.15,"P",101325,"Water")</f>
        <v>988.93404363021739</v>
      </c>
      <c r="S27">
        <f t="shared" si="2"/>
        <v>987.17118167436888</v>
      </c>
      <c r="T27" cm="1">
        <f t="array" ref="T27">[1]!PropsSI("H","T",J27+273.15,"P",101325,"Water")</f>
        <v>232780.05723859291</v>
      </c>
      <c r="U27" cm="1">
        <f t="array" ref="U27">[1]!PropsSI("H","T",K27+273.15,"P",101325,"Water")</f>
        <v>200983.73875087022</v>
      </c>
      <c r="V27">
        <f t="shared" si="1"/>
        <v>502.86585820357584</v>
      </c>
    </row>
    <row r="28" spans="1:22" x14ac:dyDescent="0.2">
      <c r="A28">
        <v>46068.552948935183</v>
      </c>
      <c r="B28">
        <v>19.861384999999999</v>
      </c>
      <c r="C28">
        <v>19.677178000000001</v>
      </c>
      <c r="D28">
        <v>19.570333000000002</v>
      </c>
      <c r="E28">
        <v>19.487656999999999</v>
      </c>
      <c r="F28">
        <v>35.687505999999999</v>
      </c>
      <c r="G28">
        <v>35.212004999999998</v>
      </c>
      <c r="H28">
        <v>26.196054</v>
      </c>
      <c r="I28">
        <v>24.670845</v>
      </c>
      <c r="J28">
        <v>55.588794</v>
      </c>
      <c r="K28">
        <v>47.968342</v>
      </c>
      <c r="L28">
        <v>78.046555999999995</v>
      </c>
      <c r="M28">
        <v>-622.47877700000004</v>
      </c>
      <c r="N28">
        <v>0.96469899999999997</v>
      </c>
      <c r="O28">
        <v>1.6298349999999999</v>
      </c>
      <c r="P28">
        <f t="shared" si="3"/>
        <v>1.6078316666666665E-5</v>
      </c>
      <c r="Q28" cm="1">
        <f t="array" ref="Q28">[1]!PropsSI("D","T",J28+273.15,"P",101325,"Water")</f>
        <v>985.40692257667592</v>
      </c>
      <c r="R28" cm="1">
        <f t="array" ref="R28">[1]!PropsSI("D","T",K28+273.15,"P",101325,"Water")</f>
        <v>988.94031492794602</v>
      </c>
      <c r="S28">
        <f t="shared" si="2"/>
        <v>987.17361875231097</v>
      </c>
      <c r="T28" cm="1">
        <f t="array" ref="T28">[1]!PropsSI("H","T",J28+273.15,"P",101325,"Water")</f>
        <v>232792.03784205989</v>
      </c>
      <c r="U28" cm="1">
        <f t="array" ref="U28">[1]!PropsSI("H","T",K28+273.15,"P",101325,"Water")</f>
        <v>200923.99506471958</v>
      </c>
      <c r="V28">
        <f t="shared" si="1"/>
        <v>505.81244459248211</v>
      </c>
    </row>
    <row r="29" spans="1:22" x14ac:dyDescent="0.2">
      <c r="A29">
        <v>46068.553065254629</v>
      </c>
      <c r="B29">
        <v>19.863862000000001</v>
      </c>
      <c r="C29">
        <v>19.616216999999999</v>
      </c>
      <c r="D29">
        <v>19.625495999999998</v>
      </c>
      <c r="E29">
        <v>19.528161000000001</v>
      </c>
      <c r="F29">
        <v>36.508184</v>
      </c>
      <c r="G29">
        <v>35.870280999999999</v>
      </c>
      <c r="H29">
        <v>26.279523000000001</v>
      </c>
      <c r="I29">
        <v>24.620431</v>
      </c>
      <c r="J29">
        <v>55.584975</v>
      </c>
      <c r="K29">
        <v>47.966596000000003</v>
      </c>
      <c r="L29">
        <v>79.224456000000004</v>
      </c>
      <c r="M29">
        <v>-622.48489900000004</v>
      </c>
      <c r="N29">
        <v>0.96435499999999996</v>
      </c>
      <c r="O29">
        <v>1.2768870000000001</v>
      </c>
      <c r="P29">
        <f t="shared" si="3"/>
        <v>1.6072583333333333E-5</v>
      </c>
      <c r="Q29" cm="1">
        <f t="array" ref="Q29">[1]!PropsSI("D","T",J29+273.15,"P",101325,"Water")</f>
        <v>985.40878558382917</v>
      </c>
      <c r="R29" cm="1">
        <f t="array" ref="R29">[1]!PropsSI("D","T",K29+273.15,"P",101325,"Water")</f>
        <v>988.94108108203193</v>
      </c>
      <c r="S29">
        <f t="shared" si="2"/>
        <v>987.17493333293055</v>
      </c>
      <c r="T29" cm="1">
        <f t="array" ref="T29">[1]!PropsSI("H","T",J29+273.15,"P",101325,"Water")</f>
        <v>232776.06231036023</v>
      </c>
      <c r="U29" cm="1">
        <f t="array" ref="U29">[1]!PropsSI("H","T",K29+273.15,"P",101325,"Water")</f>
        <v>200916.69538478163</v>
      </c>
      <c r="V29">
        <f t="shared" si="1"/>
        <v>505.49509634047422</v>
      </c>
    </row>
    <row r="30" spans="1:22" x14ac:dyDescent="0.2">
      <c r="A30">
        <v>46068.553181574076</v>
      </c>
      <c r="B30">
        <v>19.899633999999999</v>
      </c>
      <c r="C30">
        <v>19.670047</v>
      </c>
      <c r="D30">
        <v>19.646723000000001</v>
      </c>
      <c r="E30">
        <v>19.564108999999998</v>
      </c>
      <c r="F30">
        <v>36.633792999999997</v>
      </c>
      <c r="G30">
        <v>34.933075000000002</v>
      </c>
      <c r="H30">
        <v>25.957060999999999</v>
      </c>
      <c r="I30">
        <v>24.633894000000002</v>
      </c>
      <c r="J30">
        <v>55.586247999999998</v>
      </c>
      <c r="K30">
        <v>47.96866</v>
      </c>
      <c r="L30">
        <v>73.930026999999995</v>
      </c>
      <c r="M30">
        <v>-622.49183700000003</v>
      </c>
      <c r="N30">
        <v>0.96053999999999995</v>
      </c>
      <c r="O30">
        <v>1.708572</v>
      </c>
      <c r="P30">
        <f t="shared" si="3"/>
        <v>1.6008999999999999E-5</v>
      </c>
      <c r="Q30" cm="1">
        <f t="array" ref="Q30">[1]!PropsSI("D","T",J30+273.15,"P",101325,"Water")</f>
        <v>985.40816459144094</v>
      </c>
      <c r="R30" cm="1">
        <f t="array" ref="R30">[1]!PropsSI("D","T",K30+273.15,"P",101325,"Water")</f>
        <v>988.94017538567437</v>
      </c>
      <c r="S30">
        <f t="shared" si="2"/>
        <v>987.17416998855765</v>
      </c>
      <c r="T30" cm="1">
        <f t="array" ref="T30">[1]!PropsSI("H","T",J30+273.15,"P",101325,"Water")</f>
        <v>232781.38748704054</v>
      </c>
      <c r="U30" cm="1">
        <f t="array" ref="U30">[1]!PropsSI("H","T",K30+273.15,"P",101325,"Water")</f>
        <v>200925.32455978874</v>
      </c>
      <c r="V30">
        <f t="shared" si="1"/>
        <v>503.44274701132269</v>
      </c>
    </row>
    <row r="31" spans="1:22" x14ac:dyDescent="0.2">
      <c r="A31">
        <v>46068.553297893515</v>
      </c>
      <c r="B31">
        <v>20.004581000000002</v>
      </c>
      <c r="C31">
        <v>19.745564999999999</v>
      </c>
      <c r="D31">
        <v>19.641483999999998</v>
      </c>
      <c r="E31">
        <v>19.538271000000002</v>
      </c>
      <c r="F31">
        <v>35.922792999999999</v>
      </c>
      <c r="G31">
        <v>34.231498000000002</v>
      </c>
      <c r="H31">
        <v>26.594004999999999</v>
      </c>
      <c r="I31">
        <v>23.746672</v>
      </c>
      <c r="J31">
        <v>55.587521000000002</v>
      </c>
      <c r="K31">
        <v>47.968501000000003</v>
      </c>
      <c r="L31">
        <v>77.518011000000001</v>
      </c>
      <c r="M31">
        <v>-622.49632699999995</v>
      </c>
      <c r="N31">
        <v>0.96219500000000002</v>
      </c>
      <c r="O31">
        <v>1.203411</v>
      </c>
      <c r="P31">
        <f t="shared" si="3"/>
        <v>1.6036583333333335E-5</v>
      </c>
      <c r="Q31" cm="1">
        <f t="array" ref="Q31">[1]!PropsSI("D","T",J31+273.15,"P",101325,"Water")</f>
        <v>985.40754358906293</v>
      </c>
      <c r="R31" cm="1">
        <f t="array" ref="R31">[1]!PropsSI("D","T",K31+273.15,"P",101325,"Water")</f>
        <v>988.94024515689568</v>
      </c>
      <c r="S31">
        <f t="shared" si="2"/>
        <v>987.17389437297925</v>
      </c>
      <c r="T31" cm="1">
        <f t="array" ref="T31">[1]!PropsSI("H","T",J31+273.15,"P",101325,"Water")</f>
        <v>232786.71266423128</v>
      </c>
      <c r="U31" cm="1">
        <f t="array" ref="U31">[1]!PropsSI("H","T",K31+273.15,"P",101325,"Water")</f>
        <v>200924.65981225605</v>
      </c>
      <c r="V31">
        <f t="shared" si="1"/>
        <v>504.40485847927562</v>
      </c>
    </row>
    <row r="32" spans="1:22" x14ac:dyDescent="0.2">
      <c r="A32">
        <v>46068.553413634261</v>
      </c>
      <c r="B32">
        <v>20.027418000000001</v>
      </c>
      <c r="C32">
        <v>19.8444</v>
      </c>
      <c r="D32">
        <v>19.663376</v>
      </c>
      <c r="E32">
        <v>19.578517000000002</v>
      </c>
      <c r="F32">
        <v>36.296174999999998</v>
      </c>
      <c r="G32">
        <v>35.159592000000004</v>
      </c>
      <c r="H32">
        <v>26.044909000000001</v>
      </c>
      <c r="I32">
        <v>24.166167000000002</v>
      </c>
      <c r="J32">
        <v>55.583702000000002</v>
      </c>
      <c r="K32">
        <v>47.972312000000002</v>
      </c>
      <c r="L32">
        <v>75.856870000000001</v>
      </c>
      <c r="M32">
        <v>-622.46979699999997</v>
      </c>
      <c r="N32">
        <v>0.96295299999999995</v>
      </c>
      <c r="O32">
        <v>1.1569</v>
      </c>
      <c r="P32">
        <f t="shared" si="3"/>
        <v>1.6049216666666665E-5</v>
      </c>
      <c r="Q32" cm="1">
        <f t="array" ref="Q32">[1]!PropsSI("D","T",J32+273.15,"P",101325,"Water")</f>
        <v>985.40940656622331</v>
      </c>
      <c r="R32" cm="1">
        <f t="array" ref="R32">[1]!PropsSI("D","T",K32+273.15,"P",101325,"Water")</f>
        <v>988.93857279462441</v>
      </c>
      <c r="S32">
        <f t="shared" si="2"/>
        <v>987.1739896804238</v>
      </c>
      <c r="T32" cm="1">
        <f t="array" ref="T32">[1]!PropsSI("H","T",J32+273.15,"P",101325,"Water")</f>
        <v>232770.73713434447</v>
      </c>
      <c r="U32" cm="1">
        <f t="array" ref="U32">[1]!PropsSI("H","T",K32+273.15,"P",101325,"Water")</f>
        <v>200940.59285067083</v>
      </c>
      <c r="V32">
        <f t="shared" si="1"/>
        <v>504.29672910586879</v>
      </c>
    </row>
    <row r="33" spans="1:22" x14ac:dyDescent="0.2">
      <c r="A33">
        <v>46068.553529375</v>
      </c>
      <c r="B33">
        <v>20.002317000000001</v>
      </c>
      <c r="C33">
        <v>19.856669</v>
      </c>
      <c r="D33">
        <v>19.703122</v>
      </c>
      <c r="E33">
        <v>19.649531</v>
      </c>
      <c r="F33">
        <v>36.659852000000001</v>
      </c>
      <c r="G33">
        <v>34.817554999999999</v>
      </c>
      <c r="H33">
        <v>26.082879999999999</v>
      </c>
      <c r="I33">
        <v>25.010494000000001</v>
      </c>
      <c r="J33">
        <v>55.587361999999999</v>
      </c>
      <c r="K33">
        <v>47.974533999999998</v>
      </c>
      <c r="L33">
        <v>77.364141000000004</v>
      </c>
      <c r="M33">
        <v>-622.48653100000001</v>
      </c>
      <c r="N33">
        <v>0.96119500000000002</v>
      </c>
      <c r="O33">
        <v>0.93214900000000001</v>
      </c>
      <c r="P33">
        <f t="shared" si="3"/>
        <v>1.6019916666666669E-5</v>
      </c>
      <c r="Q33" cm="1">
        <f t="array" ref="Q33">[1]!PropsSI("D","T",J33+273.15,"P",101325,"Water")</f>
        <v>985.40762115393113</v>
      </c>
      <c r="R33" cm="1">
        <f t="array" ref="R33">[1]!PropsSI("D","T",K33+273.15,"P",101325,"Water")</f>
        <v>988.93759768032248</v>
      </c>
      <c r="S33">
        <f t="shared" si="2"/>
        <v>987.17260941712675</v>
      </c>
      <c r="T33" cm="1">
        <f t="array" ref="T33">[1]!PropsSI("H","T",J33+273.15,"P",101325,"Water")</f>
        <v>232786.04753992934</v>
      </c>
      <c r="U33" cm="1">
        <f t="array" ref="U33">[1]!PropsSI("H","T",K33+273.15,"P",101325,"Water")</f>
        <v>200949.88259551587</v>
      </c>
      <c r="V33">
        <f t="shared" si="1"/>
        <v>503.47057717010966</v>
      </c>
    </row>
    <row r="34" spans="1:22" x14ac:dyDescent="0.2">
      <c r="A34">
        <v>46068.553645694446</v>
      </c>
      <c r="B34">
        <v>20.068832</v>
      </c>
      <c r="C34">
        <v>19.812311000000001</v>
      </c>
      <c r="D34">
        <v>19.675957</v>
      </c>
      <c r="E34">
        <v>19.637694</v>
      </c>
      <c r="F34">
        <v>35.931609999999999</v>
      </c>
      <c r="G34">
        <v>35.495012000000003</v>
      </c>
      <c r="H34">
        <v>25.881817999999999</v>
      </c>
      <c r="I34">
        <v>24.305728999999999</v>
      </c>
      <c r="J34">
        <v>55.590226000000001</v>
      </c>
      <c r="K34">
        <v>47.975963</v>
      </c>
      <c r="L34">
        <v>80.951308999999995</v>
      </c>
      <c r="M34">
        <v>-622.48326599999996</v>
      </c>
      <c r="N34">
        <v>0.96118700000000001</v>
      </c>
      <c r="O34">
        <v>1.6958009999999999</v>
      </c>
      <c r="P34">
        <f t="shared" si="3"/>
        <v>1.6019783333333335E-5</v>
      </c>
      <c r="Q34" cm="1">
        <f t="array" ref="Q34">[1]!PropsSI("D","T",J34+273.15,"P",101325,"Water")</f>
        <v>985.4062239867676</v>
      </c>
      <c r="R34" cm="1">
        <f t="array" ref="R34">[1]!PropsSI("D","T",K34+273.15,"P",101325,"Water")</f>
        <v>988.93697055281564</v>
      </c>
      <c r="S34">
        <f t="shared" si="2"/>
        <v>987.17159726979162</v>
      </c>
      <c r="T34" cm="1">
        <f t="array" ref="T34">[1]!PropsSI("H","T",J34+273.15,"P",101325,"Water")</f>
        <v>232798.02814498599</v>
      </c>
      <c r="U34" cm="1">
        <f t="array" ref="U34">[1]!PropsSI("H","T",K34+273.15,"P",101325,"Water")</f>
        <v>200955.85696406593</v>
      </c>
      <c r="V34">
        <f t="shared" si="1"/>
        <v>503.56085487083584</v>
      </c>
    </row>
    <row r="35" spans="1:22" x14ac:dyDescent="0.2">
      <c r="A35">
        <v>46068.553762013886</v>
      </c>
      <c r="B35">
        <v>20.022577999999999</v>
      </c>
      <c r="C35">
        <v>19.850052999999999</v>
      </c>
      <c r="D35">
        <v>19.686754000000001</v>
      </c>
      <c r="E35">
        <v>19.659806</v>
      </c>
      <c r="F35">
        <v>35.553505000000001</v>
      </c>
      <c r="G35">
        <v>34.612915000000001</v>
      </c>
      <c r="H35">
        <v>26.417263999999999</v>
      </c>
      <c r="I35">
        <v>24.300623000000002</v>
      </c>
      <c r="J35">
        <v>55.588634999999996</v>
      </c>
      <c r="K35">
        <v>47.981361</v>
      </c>
      <c r="L35">
        <v>80.272975000000002</v>
      </c>
      <c r="M35">
        <v>-622.49469399999998</v>
      </c>
      <c r="N35">
        <v>0.96368299999999996</v>
      </c>
      <c r="O35">
        <v>1.4556739999999999</v>
      </c>
      <c r="P35">
        <f t="shared" si="3"/>
        <v>1.6061383333333335E-5</v>
      </c>
      <c r="Q35" cm="1">
        <f t="array" ref="Q35">[1]!PropsSI("D","T",J35+273.15,"P",101325,"Water")</f>
        <v>985.40700014279253</v>
      </c>
      <c r="R35" cm="1">
        <f t="array" ref="R35">[1]!PropsSI("D","T",K35+273.15,"P",101325,"Water")</f>
        <v>988.93460147581266</v>
      </c>
      <c r="S35">
        <f t="shared" si="2"/>
        <v>987.17080080930259</v>
      </c>
      <c r="T35" cm="1">
        <f t="array" ref="T35">[1]!PropsSI("H","T",J35+273.15,"P",101325,"Water")</f>
        <v>232791.37271769589</v>
      </c>
      <c r="U35" cm="1">
        <f t="array" ref="U35">[1]!PropsSI("H","T",K35+273.15,"P",101325,"Water")</f>
        <v>200978.42494723518</v>
      </c>
      <c r="V35">
        <f t="shared" si="1"/>
        <v>504.40474213914894</v>
      </c>
    </row>
    <row r="36" spans="1:22" x14ac:dyDescent="0.2">
      <c r="A36">
        <v>46068.553877754632</v>
      </c>
      <c r="B36">
        <v>20.037486999999999</v>
      </c>
      <c r="C36">
        <v>19.952629999999999</v>
      </c>
      <c r="D36">
        <v>19.692713000000001</v>
      </c>
      <c r="E36">
        <v>19.674970999999999</v>
      </c>
      <c r="F36">
        <v>35.524681999999999</v>
      </c>
      <c r="G36">
        <v>35.137529999999998</v>
      </c>
      <c r="H36">
        <v>26.471895</v>
      </c>
      <c r="I36">
        <v>24.817643</v>
      </c>
      <c r="J36">
        <v>55.590862999999999</v>
      </c>
      <c r="K36">
        <v>47.982314000000002</v>
      </c>
      <c r="L36">
        <v>79.788510000000002</v>
      </c>
      <c r="M36">
        <v>-622.50122399999998</v>
      </c>
      <c r="N36">
        <v>0.96490399999999998</v>
      </c>
      <c r="O36">
        <v>1.1145320000000001</v>
      </c>
      <c r="P36">
        <f t="shared" si="3"/>
        <v>1.6081733333333336E-5</v>
      </c>
      <c r="Q36" cm="1">
        <f t="array" ref="Q36">[1]!PropsSI("D","T",J36+273.15,"P",101325,"Water")</f>
        <v>985.4059132272838</v>
      </c>
      <c r="R36" cm="1">
        <f t="array" ref="R36">[1]!PropsSI("D","T",K36+273.15,"P",101325,"Water")</f>
        <v>988.93418320235867</v>
      </c>
      <c r="S36">
        <f t="shared" si="2"/>
        <v>987.17004821482124</v>
      </c>
      <c r="T36" cm="1">
        <f t="array" ref="T36">[1]!PropsSI("H","T",J36+273.15,"P",101325,"Water")</f>
        <v>232800.69282601416</v>
      </c>
      <c r="U36" cm="1">
        <f t="array" ref="U36">[1]!PropsSI("H","T",K36+273.15,"P",101325,"Water")</f>
        <v>200982.4092547191</v>
      </c>
      <c r="V36">
        <f t="shared" si="1"/>
        <v>505.12815305516682</v>
      </c>
    </row>
    <row r="37" spans="1:22" x14ac:dyDescent="0.2">
      <c r="A37">
        <v>46068.553994074071</v>
      </c>
      <c r="B37">
        <v>19.949829000000001</v>
      </c>
      <c r="C37">
        <v>19.871738000000001</v>
      </c>
      <c r="D37">
        <v>19.713311000000001</v>
      </c>
      <c r="E37">
        <v>19.680648999999999</v>
      </c>
      <c r="F37">
        <v>36.696809999999999</v>
      </c>
      <c r="G37">
        <v>35.532425000000003</v>
      </c>
      <c r="H37">
        <v>26.386444000000001</v>
      </c>
      <c r="I37">
        <v>24.531438000000001</v>
      </c>
      <c r="J37">
        <v>55.586247999999998</v>
      </c>
      <c r="K37">
        <v>47.986125000000001</v>
      </c>
      <c r="L37">
        <v>77.416382999999996</v>
      </c>
      <c r="M37">
        <v>-622.48326599999996</v>
      </c>
      <c r="N37">
        <v>0.96251500000000001</v>
      </c>
      <c r="O37">
        <v>0.96023400000000003</v>
      </c>
      <c r="P37">
        <f t="shared" si="3"/>
        <v>1.6041916666666666E-5</v>
      </c>
      <c r="Q37" cm="1">
        <f t="array" ref="Q37">[1]!PropsSI("D","T",J37+273.15,"P",101325,"Water")</f>
        <v>985.40816459144094</v>
      </c>
      <c r="R37" cm="1">
        <f t="array" ref="R37">[1]!PropsSI("D","T",K37+273.15,"P",101325,"Water")</f>
        <v>988.93251048643151</v>
      </c>
      <c r="S37">
        <f t="shared" si="2"/>
        <v>987.17033753893622</v>
      </c>
      <c r="T37" cm="1">
        <f t="array" ref="T37">[1]!PropsSI("H","T",J37+273.15,"P",101325,"Water")</f>
        <v>232781.38748704054</v>
      </c>
      <c r="U37" cm="1">
        <f t="array" ref="U37">[1]!PropsSI("H","T",K37+273.15,"P",101325,"Water")</f>
        <v>200998.3423062611</v>
      </c>
      <c r="V37">
        <f t="shared" si="1"/>
        <v>503.31961815582815</v>
      </c>
    </row>
    <row r="38" spans="1:22" x14ac:dyDescent="0.2">
      <c r="A38">
        <v>44606.554110395497</v>
      </c>
      <c r="B38">
        <v>20.120338</v>
      </c>
      <c r="C38">
        <v>19.988810999999998</v>
      </c>
      <c r="D38">
        <v>19.806213</v>
      </c>
      <c r="E38">
        <v>19.757434</v>
      </c>
      <c r="F38">
        <v>35.702382999999998</v>
      </c>
      <c r="G38">
        <v>35.397129999999997</v>
      </c>
      <c r="H38">
        <v>26.275660999999999</v>
      </c>
      <c r="I38">
        <v>24.97269</v>
      </c>
      <c r="J38">
        <v>55.584178999999999</v>
      </c>
      <c r="K38">
        <v>47.987236000000003</v>
      </c>
      <c r="L38">
        <v>76.297663999999997</v>
      </c>
      <c r="M38">
        <v>-622.48857199999998</v>
      </c>
      <c r="N38">
        <v>0.96682599999999996</v>
      </c>
      <c r="O38">
        <v>1.0102009999999999</v>
      </c>
      <c r="P38">
        <f t="shared" si="3"/>
        <v>1.6113766666666665E-5</v>
      </c>
      <c r="Q38" cm="1">
        <f t="array" ref="Q38">[1]!PropsSI("D","T",J38+273.15,"P",101325,"Water")</f>
        <v>985.40917388191849</v>
      </c>
      <c r="R38" cm="1">
        <f t="array" ref="R38">[1]!PropsSI("D","T",K38+273.15,"P",101325,"Water")</f>
        <v>988.93202283034873</v>
      </c>
      <c r="S38">
        <f t="shared" si="2"/>
        <v>987.17059835613361</v>
      </c>
      <c r="T38" cm="1">
        <f t="array" ref="T38">[1]!PropsSI("H","T",J38+273.15,"P",101325,"Water")</f>
        <v>232772.73250659258</v>
      </c>
      <c r="U38" cm="1">
        <f t="array" ref="U38">[1]!PropsSI("H","T",K38+273.15,"P",101325,"Water")</f>
        <v>201002.98718238989</v>
      </c>
      <c r="V38">
        <f t="shared" si="1"/>
        <v>505.36250425320873</v>
      </c>
    </row>
    <row r="39" spans="1:22" x14ac:dyDescent="0.2">
      <c r="A39">
        <v>44606.554226715001</v>
      </c>
      <c r="B39">
        <v>20.152018999999999</v>
      </c>
      <c r="C39">
        <v>19.979357</v>
      </c>
      <c r="D39">
        <v>19.828339</v>
      </c>
      <c r="E39">
        <v>19.824148999999998</v>
      </c>
      <c r="F39">
        <v>36.671396999999999</v>
      </c>
      <c r="G39">
        <v>35.290818000000002</v>
      </c>
      <c r="H39">
        <v>25.865611000000001</v>
      </c>
      <c r="I39">
        <v>24.499485</v>
      </c>
      <c r="J39">
        <v>55.589272000000001</v>
      </c>
      <c r="K39">
        <v>47.999302</v>
      </c>
      <c r="L39">
        <v>82.344707999999997</v>
      </c>
      <c r="M39">
        <v>-622.50244899999996</v>
      </c>
      <c r="N39">
        <v>0.96205200000000002</v>
      </c>
      <c r="O39">
        <v>1.224658</v>
      </c>
      <c r="P39">
        <f t="shared" si="3"/>
        <v>1.60342E-5</v>
      </c>
      <c r="Q39" cm="1">
        <f t="array" ref="Q39">[1]!PropsSI("D","T",J39+273.15,"P",101325,"Water")</f>
        <v>985.40668938956048</v>
      </c>
      <c r="R39" cm="1">
        <f t="array" ref="R39">[1]!PropsSI("D","T",K39+273.15,"P",101325,"Water")</f>
        <v>988.92672611424337</v>
      </c>
      <c r="S39">
        <f t="shared" si="2"/>
        <v>987.16670775190187</v>
      </c>
      <c r="T39" cm="1">
        <f t="array" ref="T39">[1]!PropsSI("H","T",J39+273.15,"P",101325,"Water")</f>
        <v>232794.03739839164</v>
      </c>
      <c r="U39" cm="1">
        <f t="array" ref="U39">[1]!PropsSI("H","T",K39+273.15,"P",101325,"Water")</f>
        <v>201053.43281433752</v>
      </c>
      <c r="V39">
        <f t="shared" si="1"/>
        <v>502.40388783875193</v>
      </c>
    </row>
    <row r="41" spans="1:22" x14ac:dyDescent="0.2">
      <c r="F41" s="1" t="s">
        <v>22</v>
      </c>
    </row>
    <row r="42" spans="1:22" x14ac:dyDescent="0.2">
      <c r="F42">
        <f>AVERAGE(V10:V39)</f>
        <v>503.63216526044647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30FD0-69B9-C848-AFE9-B533E8F9DAE6}">
  <dimension ref="A1:V35"/>
  <sheetViews>
    <sheetView workbookViewId="0">
      <selection activeCell="F35" sqref="F35"/>
    </sheetView>
  </sheetViews>
  <sheetFormatPr baseColWidth="10" defaultRowHeight="16" x14ac:dyDescent="0.2"/>
  <cols>
    <col min="1" max="1" width="12.1640625" bestFit="1" customWidth="1"/>
    <col min="2" max="10" width="10.1640625" bestFit="1" customWidth="1"/>
    <col min="11" max="12" width="11.1640625" bestFit="1" customWidth="1"/>
    <col min="13" max="13" width="13" bestFit="1" customWidth="1"/>
    <col min="14" max="14" width="11.33203125" bestFit="1" customWidth="1"/>
    <col min="15" max="15" width="11.5" bestFit="1" customWidth="1"/>
    <col min="16" max="16" width="12.5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>
        <v>44606.555753913999</v>
      </c>
      <c r="B2">
        <v>19.778226</v>
      </c>
      <c r="C2">
        <v>19.675312000000002</v>
      </c>
      <c r="D2">
        <v>19.371016999999998</v>
      </c>
      <c r="E2">
        <v>19.344788999999999</v>
      </c>
      <c r="F2">
        <v>33.615850999999999</v>
      </c>
      <c r="G2">
        <v>32.022405999999997</v>
      </c>
      <c r="H2">
        <v>25.561637000000001</v>
      </c>
      <c r="I2">
        <v>22.296099000000002</v>
      </c>
      <c r="J2">
        <v>55.590386000000002</v>
      </c>
      <c r="K2">
        <v>46.893189</v>
      </c>
      <c r="L2">
        <v>128.83340100000001</v>
      </c>
      <c r="M2">
        <v>-622.50857099999996</v>
      </c>
      <c r="N2">
        <v>0.96269899999999997</v>
      </c>
      <c r="O2">
        <v>1.3693109999999999</v>
      </c>
      <c r="P2">
        <f xml:space="preserve"> N2*0.001/60</f>
        <v>1.6044983333333333E-5</v>
      </c>
      <c r="Q2" cm="1">
        <f t="array" ref="Q2">[1]!PropsSI("D","T",J2+273.15,"P",101325,"Water")</f>
        <v>985.40614593124894</v>
      </c>
      <c r="R2" cm="1">
        <f t="array" ref="R2">[1]!PropsSI("D","T",K2+273.15,"P",101325,"Water")</f>
        <v>989.40820412447522</v>
      </c>
      <c r="S2">
        <f>(Q2+R2)/2</f>
        <v>987.40717502786208</v>
      </c>
      <c r="T2" cm="1">
        <f t="array" ref="T2">[1]!PropsSI("H","T",J2+273.15,"P",101325,"Water")</f>
        <v>232798.69745253827</v>
      </c>
      <c r="U2" cm="1">
        <f t="array" ref="U2">[1]!PropsSI("H","T",K2+273.15,"P",101325,"Water")</f>
        <v>196429.13337547533</v>
      </c>
      <c r="V2">
        <f>S2*P2*(T2-U2)</f>
        <v>576.20051841460315</v>
      </c>
    </row>
    <row r="3" spans="1:22" x14ac:dyDescent="0.2">
      <c r="A3">
        <v>44606.555869654803</v>
      </c>
      <c r="B3">
        <v>19.917686</v>
      </c>
      <c r="C3">
        <v>19.772271</v>
      </c>
      <c r="D3">
        <v>19.486205000000002</v>
      </c>
      <c r="E3">
        <v>19.461884000000001</v>
      </c>
      <c r="F3">
        <v>33.774495999999999</v>
      </c>
      <c r="G3">
        <v>31.792625999999998</v>
      </c>
      <c r="H3">
        <v>25.475587000000001</v>
      </c>
      <c r="I3">
        <v>22.89462</v>
      </c>
      <c r="J3">
        <v>55.592773000000001</v>
      </c>
      <c r="K3">
        <v>46.880333</v>
      </c>
      <c r="L3">
        <v>132.28424799999999</v>
      </c>
      <c r="M3">
        <v>-622.48979599999996</v>
      </c>
      <c r="N3">
        <v>0.963642</v>
      </c>
      <c r="O3">
        <v>0.72141500000000003</v>
      </c>
      <c r="P3">
        <f t="shared" ref="P3" si="0" xml:space="preserve"> N3*0.001/60</f>
        <v>1.60607E-5</v>
      </c>
      <c r="Q3" cm="1">
        <f t="array" ref="Q3">[1]!PropsSI("D","T",J3+273.15,"P",101325,"Water")</f>
        <v>985.40498142165018</v>
      </c>
      <c r="R3" cm="1">
        <f t="array" ref="R3">[1]!PropsSI("D","T",K3+273.15,"P",101325,"Water")</f>
        <v>989.41375144836377</v>
      </c>
      <c r="S3">
        <f>(Q3+R3)/2</f>
        <v>987.40936643500697</v>
      </c>
      <c r="T3" cm="1">
        <f t="array" ref="T3">[1]!PropsSI("H","T",J3+273.15,"P",101325,"Water")</f>
        <v>232808.6826869513</v>
      </c>
      <c r="U3" cm="1">
        <f t="array" ref="U3">[1]!PropsSI("H","T",K3+273.15,"P",101325,"Water")</f>
        <v>196375.38831178652</v>
      </c>
      <c r="V3">
        <f t="shared" ref="V3:V57" si="1">S3*P3*(T3-U3)</f>
        <v>577.77687462819347</v>
      </c>
    </row>
    <row r="4" spans="1:22" x14ac:dyDescent="0.2">
      <c r="A4">
        <v>44606.555985974199</v>
      </c>
      <c r="B4">
        <v>19.740839999999999</v>
      </c>
      <c r="C4">
        <v>19.479811999999999</v>
      </c>
      <c r="D4">
        <v>19.600325999999999</v>
      </c>
      <c r="E4">
        <v>19.431667000000001</v>
      </c>
      <c r="F4">
        <v>34.103982000000002</v>
      </c>
      <c r="G4">
        <v>32.353788000000002</v>
      </c>
      <c r="H4">
        <v>25.521636000000001</v>
      </c>
      <c r="I4">
        <v>23.232327999999999</v>
      </c>
      <c r="J4">
        <v>55.592295</v>
      </c>
      <c r="K4">
        <v>46.883349000000003</v>
      </c>
      <c r="L4">
        <v>128.54566</v>
      </c>
      <c r="M4">
        <v>-622.50775499999997</v>
      </c>
      <c r="N4">
        <v>0.96474400000000005</v>
      </c>
      <c r="O4">
        <v>1.3033699999999999</v>
      </c>
      <c r="P4">
        <f xml:space="preserve"> N4*0.001/60</f>
        <v>1.6079066666666667E-5</v>
      </c>
      <c r="Q4" cm="1">
        <f t="array" ref="Q4">[1]!PropsSI("D","T",J4+273.15,"P",101325,"Water")</f>
        <v>985.40521461910055</v>
      </c>
      <c r="R4" cm="1">
        <f t="array" ref="R4">[1]!PropsSI("D","T",K4+273.15,"P",101325,"Water")</f>
        <v>989.41245015477523</v>
      </c>
      <c r="S4">
        <f t="shared" ref="S4:S57" si="2">(Q4+R4)/2</f>
        <v>987.40883238693789</v>
      </c>
      <c r="T4" cm="1">
        <f t="array" ref="T4">[1]!PropsSI("H","T",J4+273.15,"P",101325,"Water")</f>
        <v>232806.68312995628</v>
      </c>
      <c r="U4" cm="1">
        <f t="array" ref="U4">[1]!PropsSI("H","T",K4+273.15,"P",101325,"Water")</f>
        <v>196387.99682681644</v>
      </c>
      <c r="V4">
        <f t="shared" si="1"/>
        <v>578.20536812561193</v>
      </c>
    </row>
    <row r="5" spans="1:22" x14ac:dyDescent="0.2">
      <c r="A5">
        <v>44606.556102293704</v>
      </c>
      <c r="B5">
        <v>19.993599</v>
      </c>
      <c r="C5">
        <v>19.749306000000001</v>
      </c>
      <c r="D5">
        <v>19.604666999999999</v>
      </c>
      <c r="E5">
        <v>19.515577</v>
      </c>
      <c r="F5">
        <v>33.860815000000002</v>
      </c>
      <c r="G5">
        <v>33.062243000000002</v>
      </c>
      <c r="H5">
        <v>25.404819</v>
      </c>
      <c r="I5">
        <v>22.73301</v>
      </c>
      <c r="J5">
        <v>55.588158</v>
      </c>
      <c r="K5">
        <v>46.874777999999999</v>
      </c>
      <c r="L5">
        <v>129.14726300000001</v>
      </c>
      <c r="M5">
        <v>-622.48204199999998</v>
      </c>
      <c r="N5">
        <v>0.95886400000000005</v>
      </c>
      <c r="O5">
        <v>1.2946660000000001</v>
      </c>
      <c r="P5">
        <f t="shared" ref="P5:P57" si="3" xml:space="preserve"> N5*0.001/60</f>
        <v>1.5981066666666668E-5</v>
      </c>
      <c r="Q5" cm="1">
        <f t="array" ref="Q5">[1]!PropsSI("D","T",J5+273.15,"P",101325,"Water")</f>
        <v>985.4072328402093</v>
      </c>
      <c r="R5" cm="1">
        <f t="array" ref="R5">[1]!PropsSI("D","T",K5+273.15,"P",101325,"Water")</f>
        <v>989.41614806541452</v>
      </c>
      <c r="S5">
        <f t="shared" si="2"/>
        <v>987.41169045281185</v>
      </c>
      <c r="T5" cm="1">
        <f t="array" ref="T5">[1]!PropsSI("H","T",J5+273.15,"P",101325,"Water")</f>
        <v>232789.37734465933</v>
      </c>
      <c r="U5" cm="1">
        <f t="array" ref="U5">[1]!PropsSI("H","T",K5+273.15,"P",101325,"Water")</f>
        <v>196352.16540593319</v>
      </c>
      <c r="V5">
        <f t="shared" si="1"/>
        <v>574.97527108980137</v>
      </c>
    </row>
    <row r="6" spans="1:22" x14ac:dyDescent="0.2">
      <c r="A6">
        <v>46068.556218032405</v>
      </c>
      <c r="B6">
        <v>20.03368</v>
      </c>
      <c r="C6">
        <v>19.819254999999998</v>
      </c>
      <c r="D6">
        <v>19.647525000000002</v>
      </c>
      <c r="E6">
        <v>19.549451000000001</v>
      </c>
      <c r="F6">
        <v>34.241700000000002</v>
      </c>
      <c r="G6">
        <v>30.961770000000001</v>
      </c>
      <c r="H6">
        <v>25.736809999999998</v>
      </c>
      <c r="I6">
        <v>22.957197000000001</v>
      </c>
      <c r="J6">
        <v>55.585293</v>
      </c>
      <c r="K6">
        <v>46.873666999999998</v>
      </c>
      <c r="L6">
        <v>127.49959</v>
      </c>
      <c r="M6">
        <v>-622.48163399999999</v>
      </c>
      <c r="N6">
        <v>0.96169899999999997</v>
      </c>
      <c r="O6">
        <v>1.6589100000000001</v>
      </c>
      <c r="P6">
        <f t="shared" si="3"/>
        <v>1.6028316666666667E-5</v>
      </c>
      <c r="Q6" cm="1">
        <f t="array" ref="Q6">[1]!PropsSI("D","T",J6+273.15,"P",101325,"Water")</f>
        <v>985.40863045863182</v>
      </c>
      <c r="R6" cm="1">
        <f t="array" ref="R6">[1]!PropsSI("D","T",K6+273.15,"P",101325,"Water")</f>
        <v>989.4166273636099</v>
      </c>
      <c r="S6">
        <f t="shared" si="2"/>
        <v>987.41262891112092</v>
      </c>
      <c r="T6" cm="1">
        <f t="array" ref="T6">[1]!PropsSI("H","T",J6+273.15,"P",101325,"Water")</f>
        <v>232777.39255868483</v>
      </c>
      <c r="U6" cm="1">
        <f t="array" ref="U6">[1]!PropsSI("H","T",K6+273.15,"P",101325,"Water")</f>
        <v>196347.52082561236</v>
      </c>
      <c r="V6">
        <f t="shared" si="1"/>
        <v>576.55963444984559</v>
      </c>
    </row>
    <row r="7" spans="1:22" x14ac:dyDescent="0.2">
      <c r="A7">
        <v>46068.556334351852</v>
      </c>
      <c r="B7">
        <v>20.076608</v>
      </c>
      <c r="C7">
        <v>19.891559999999998</v>
      </c>
      <c r="D7">
        <v>19.636593999999999</v>
      </c>
      <c r="E7">
        <v>19.578044999999999</v>
      </c>
      <c r="F7">
        <v>33.943123</v>
      </c>
      <c r="G7">
        <v>32.094087000000002</v>
      </c>
      <c r="H7">
        <v>25.847968000000002</v>
      </c>
      <c r="I7">
        <v>22.952279000000001</v>
      </c>
      <c r="J7">
        <v>55.581474</v>
      </c>
      <c r="K7">
        <v>46.870969000000002</v>
      </c>
      <c r="L7">
        <v>134.74657400000001</v>
      </c>
      <c r="M7">
        <v>-622.49795900000004</v>
      </c>
      <c r="N7">
        <v>0.961503</v>
      </c>
      <c r="O7">
        <v>1.3606830000000001</v>
      </c>
      <c r="P7">
        <f t="shared" si="3"/>
        <v>1.602505E-5</v>
      </c>
      <c r="Q7" cm="1">
        <f t="array" ref="Q7">[1]!PropsSI("D","T",J7+273.15,"P",101325,"Water")</f>
        <v>985.41049338329208</v>
      </c>
      <c r="R7" cm="1">
        <f t="array" ref="R7">[1]!PropsSI("D","T",K7+273.15,"P",101325,"Water")</f>
        <v>989.4177912769245</v>
      </c>
      <c r="S7">
        <f t="shared" si="2"/>
        <v>987.41414233010823</v>
      </c>
      <c r="T7" cm="1">
        <f t="array" ref="T7">[1]!PropsSI("H","T",J7+273.15,"P",101325,"Water")</f>
        <v>232761.41703196013</v>
      </c>
      <c r="U7" cm="1">
        <f t="array" ref="U7">[1]!PropsSI("H","T",K7+273.15,"P",101325,"Water")</f>
        <v>196336.24172892648</v>
      </c>
      <c r="V7">
        <f t="shared" si="1"/>
        <v>576.36869836453911</v>
      </c>
    </row>
    <row r="8" spans="1:22" x14ac:dyDescent="0.2">
      <c r="A8">
        <v>46068.55645009259</v>
      </c>
      <c r="B8">
        <v>20.050906999999999</v>
      </c>
      <c r="C8">
        <v>19.922277000000001</v>
      </c>
      <c r="D8">
        <v>19.627564</v>
      </c>
      <c r="E8">
        <v>19.576899000000001</v>
      </c>
      <c r="F8">
        <v>34.06908</v>
      </c>
      <c r="G8">
        <v>32.134194000000001</v>
      </c>
      <c r="H8">
        <v>25.937346000000002</v>
      </c>
      <c r="I8">
        <v>22.731514000000001</v>
      </c>
      <c r="J8">
        <v>55.583702000000002</v>
      </c>
      <c r="K8">
        <v>46.873508000000001</v>
      </c>
      <c r="L8">
        <v>134.311902</v>
      </c>
      <c r="M8">
        <v>-622.48449100000005</v>
      </c>
      <c r="N8">
        <v>0.96370299999999998</v>
      </c>
      <c r="O8">
        <v>1.0160340000000001</v>
      </c>
      <c r="P8">
        <f t="shared" si="3"/>
        <v>1.6061716666666666E-5</v>
      </c>
      <c r="Q8" cm="1">
        <f t="array" ref="Q8">[1]!PropsSI("D","T",J8+273.15,"P",101325,"Water")</f>
        <v>985.40940656622331</v>
      </c>
      <c r="R8" cm="1">
        <f t="array" ref="R8">[1]!PropsSI("D","T",K8+273.15,"P",101325,"Water")</f>
        <v>989.41669595735175</v>
      </c>
      <c r="S8">
        <f t="shared" si="2"/>
        <v>987.41305126178759</v>
      </c>
      <c r="T8" cm="1">
        <f t="array" ref="T8">[1]!PropsSI("H","T",J8+273.15,"P",101325,"Water")</f>
        <v>232770.73713434447</v>
      </c>
      <c r="U8" cm="1">
        <f t="array" ref="U8">[1]!PropsSI("H","T",K8+273.15,"P",101325,"Water")</f>
        <v>196346.85611971625</v>
      </c>
      <c r="V8">
        <f t="shared" si="1"/>
        <v>577.6663134226194</v>
      </c>
    </row>
    <row r="9" spans="1:22" x14ac:dyDescent="0.2">
      <c r="A9">
        <v>46068.556566412037</v>
      </c>
      <c r="B9">
        <v>19.921911999999999</v>
      </c>
      <c r="C9">
        <v>19.638670000000001</v>
      </c>
      <c r="D9">
        <v>19.593641000000002</v>
      </c>
      <c r="E9">
        <v>19.483650000000001</v>
      </c>
      <c r="F9">
        <v>33.716524999999997</v>
      </c>
      <c r="G9">
        <v>33.327503999999998</v>
      </c>
      <c r="H9">
        <v>25.298477999999999</v>
      </c>
      <c r="I9">
        <v>22.835920000000002</v>
      </c>
      <c r="J9">
        <v>55.576062999999998</v>
      </c>
      <c r="K9">
        <v>46.864303</v>
      </c>
      <c r="L9">
        <v>130.607598</v>
      </c>
      <c r="M9">
        <v>-622.49836700000003</v>
      </c>
      <c r="N9">
        <v>0.96299400000000002</v>
      </c>
      <c r="O9">
        <v>1.167664</v>
      </c>
      <c r="P9">
        <f t="shared" si="3"/>
        <v>1.60499E-5</v>
      </c>
      <c r="Q9" cm="1">
        <f t="array" ref="Q9">[1]!PropsSI("D","T",J9+273.15,"P",101325,"Water")</f>
        <v>985.41313273832429</v>
      </c>
      <c r="R9" cm="1">
        <f t="array" ref="R9">[1]!PropsSI("D","T",K9+273.15,"P",101325,"Water")</f>
        <v>989.42066676718252</v>
      </c>
      <c r="S9">
        <f t="shared" si="2"/>
        <v>987.41689975275335</v>
      </c>
      <c r="T9" cm="1">
        <f t="array" ref="T9">[1]!PropsSI("H","T",J9+273.15,"P",101325,"Water")</f>
        <v>232738.78190765632</v>
      </c>
      <c r="U9" cm="1">
        <f t="array" ref="U9">[1]!PropsSI("H","T",K9+273.15,"P",101325,"Water")</f>
        <v>196308.37425707452</v>
      </c>
      <c r="V9">
        <f t="shared" si="1"/>
        <v>577.34700567399886</v>
      </c>
    </row>
    <row r="10" spans="1:22" x14ac:dyDescent="0.2">
      <c r="A10">
        <v>44606.556682154798</v>
      </c>
      <c r="B10">
        <v>19.784790000000001</v>
      </c>
      <c r="C10">
        <v>19.536304000000001</v>
      </c>
      <c r="D10">
        <v>19.658850000000001</v>
      </c>
      <c r="E10">
        <v>19.560891999999999</v>
      </c>
      <c r="F10">
        <v>33.425561000000002</v>
      </c>
      <c r="G10">
        <v>31.446041999999998</v>
      </c>
      <c r="H10">
        <v>25.830110000000001</v>
      </c>
      <c r="I10">
        <v>22.749051999999999</v>
      </c>
      <c r="J10">
        <v>55.570335</v>
      </c>
      <c r="K10">
        <v>46.846845000000002</v>
      </c>
      <c r="L10">
        <v>135.30083200000001</v>
      </c>
      <c r="M10">
        <v>-622.47387900000001</v>
      </c>
      <c r="N10">
        <v>0.96188399999999996</v>
      </c>
      <c r="O10">
        <v>1.205317</v>
      </c>
      <c r="P10">
        <f t="shared" si="3"/>
        <v>1.60314E-5</v>
      </c>
      <c r="Q10" cm="1">
        <f t="array" ref="Q10">[1]!PropsSI("D","T",J10+273.15,"P",101325,"Water")</f>
        <v>985.41592652142333</v>
      </c>
      <c r="R10" cm="1">
        <f t="array" ref="R10">[1]!PropsSI("D","T",K10+273.15,"P",101325,"Water")</f>
        <v>989.42819613270922</v>
      </c>
      <c r="S10">
        <f t="shared" si="2"/>
        <v>987.42206132706633</v>
      </c>
      <c r="T10" cm="1">
        <f t="array" ref="T10">[1]!PropsSI("H","T",J10+273.15,"P",101325,"Water")</f>
        <v>232714.82073074387</v>
      </c>
      <c r="U10" cm="1">
        <f t="array" ref="U10">[1]!PropsSI("H","T",K10+273.15,"P",101325,"Water")</f>
        <v>196235.39045844148</v>
      </c>
      <c r="V10">
        <f t="shared" si="1"/>
        <v>577.46055442721604</v>
      </c>
    </row>
    <row r="11" spans="1:22" x14ac:dyDescent="0.2">
      <c r="A11">
        <v>44606.556798474201</v>
      </c>
      <c r="B11">
        <v>19.842386000000001</v>
      </c>
      <c r="C11">
        <v>19.722681000000001</v>
      </c>
      <c r="D11">
        <v>19.670877999999998</v>
      </c>
      <c r="E11">
        <v>19.556515000000001</v>
      </c>
      <c r="F11">
        <v>33.538131999999997</v>
      </c>
      <c r="G11">
        <v>32.830637000000003</v>
      </c>
      <c r="H11">
        <v>25.704107</v>
      </c>
      <c r="I11">
        <v>22.609950999999999</v>
      </c>
      <c r="J11">
        <v>55.567946999999997</v>
      </c>
      <c r="K11">
        <v>46.841130999999997</v>
      </c>
      <c r="L11">
        <v>132.31812400000001</v>
      </c>
      <c r="M11">
        <v>-622.47387900000001</v>
      </c>
      <c r="N11">
        <v>0.96527700000000005</v>
      </c>
      <c r="O11">
        <v>1.2404790000000001</v>
      </c>
      <c r="P11">
        <f t="shared" si="3"/>
        <v>1.6087950000000002E-5</v>
      </c>
      <c r="Q11" cm="1">
        <f t="array" ref="Q11">[1]!PropsSI("D","T",J11+273.15,"P",101325,"Water")</f>
        <v>985.41709118823246</v>
      </c>
      <c r="R11" cm="1">
        <f t="array" ref="R11">[1]!PropsSI("D","T",K11+273.15,"P",101325,"Water")</f>
        <v>989.43066004170737</v>
      </c>
      <c r="S11">
        <f t="shared" si="2"/>
        <v>987.42387561496992</v>
      </c>
      <c r="T11" cm="1">
        <f t="array" ref="T11">[1]!PropsSI("H","T",J11+273.15,"P",101325,"Water")</f>
        <v>232704.83133307908</v>
      </c>
      <c r="U11" cm="1">
        <f t="array" ref="U11">[1]!PropsSI("H","T",K11+273.15,"P",101325,"Water")</f>
        <v>196211.50289047236</v>
      </c>
      <c r="V11">
        <f t="shared" si="1"/>
        <v>579.71936493385999</v>
      </c>
    </row>
    <row r="12" spans="1:22" x14ac:dyDescent="0.2">
      <c r="A12">
        <v>44606.556914214998</v>
      </c>
      <c r="B12">
        <v>19.824078</v>
      </c>
      <c r="C12">
        <v>19.649391999999999</v>
      </c>
      <c r="D12">
        <v>19.637732</v>
      </c>
      <c r="E12">
        <v>19.517320000000002</v>
      </c>
      <c r="F12">
        <v>34.222245999999998</v>
      </c>
      <c r="G12">
        <v>31.644511999999999</v>
      </c>
      <c r="H12">
        <v>25.706130999999999</v>
      </c>
      <c r="I12">
        <v>22.624890000000001</v>
      </c>
      <c r="J12">
        <v>55.566197000000003</v>
      </c>
      <c r="K12">
        <v>46.845258000000001</v>
      </c>
      <c r="L12">
        <v>129.649686</v>
      </c>
      <c r="M12">
        <v>-622.47796000000005</v>
      </c>
      <c r="N12">
        <v>0.96409299999999998</v>
      </c>
      <c r="O12">
        <v>1.5189459999999999</v>
      </c>
      <c r="P12">
        <f t="shared" si="3"/>
        <v>1.6068216666666666E-5</v>
      </c>
      <c r="Q12" cm="1">
        <f t="array" ref="Q12">[1]!PropsSI("D","T",J12+273.15,"P",101325,"Water")</f>
        <v>985.41794466963302</v>
      </c>
      <c r="R12" cm="1">
        <f t="array" ref="R12">[1]!PropsSI("D","T",K12+273.15,"P",101325,"Water")</f>
        <v>989.42888047832923</v>
      </c>
      <c r="S12">
        <f t="shared" si="2"/>
        <v>987.42341257398107</v>
      </c>
      <c r="T12" cm="1">
        <f t="array" ref="T12">[1]!PropsSI("H","T",J12+273.15,"P",101325,"Water")</f>
        <v>232697.51079587691</v>
      </c>
      <c r="U12" cm="1">
        <f t="array" ref="U12">[1]!PropsSI("H","T",K12+273.15,"P",101325,"Water")</f>
        <v>196228.75595112288</v>
      </c>
      <c r="V12">
        <f t="shared" si="1"/>
        <v>578.61812692749675</v>
      </c>
    </row>
    <row r="13" spans="1:22" x14ac:dyDescent="0.2">
      <c r="A13">
        <v>44606.557030534401</v>
      </c>
      <c r="B13">
        <v>19.914228000000001</v>
      </c>
      <c r="C13">
        <v>19.901465999999999</v>
      </c>
      <c r="D13">
        <v>19.644404999999999</v>
      </c>
      <c r="E13">
        <v>19.544364000000002</v>
      </c>
      <c r="F13">
        <v>33.947572000000001</v>
      </c>
      <c r="G13">
        <v>32.987467000000002</v>
      </c>
      <c r="H13">
        <v>25.504280000000001</v>
      </c>
      <c r="I13">
        <v>23.239515000000001</v>
      </c>
      <c r="J13">
        <v>55.566037999999999</v>
      </c>
      <c r="K13">
        <v>46.834623999999998</v>
      </c>
      <c r="L13">
        <v>135.54898299999999</v>
      </c>
      <c r="M13">
        <v>-622.49428599999999</v>
      </c>
      <c r="N13">
        <v>0.96380600000000005</v>
      </c>
      <c r="O13">
        <v>1.4929330000000001</v>
      </c>
      <c r="P13">
        <f t="shared" si="3"/>
        <v>1.6063433333333336E-5</v>
      </c>
      <c r="Q13" cm="1">
        <f t="array" ref="Q13">[1]!PropsSI("D","T",J13+273.15,"P",101325,"Water")</f>
        <v>985.41802221357102</v>
      </c>
      <c r="R13" cm="1">
        <f t="array" ref="R13">[1]!PropsSI("D","T",K13+273.15,"P",101325,"Water")</f>
        <v>989.43346562598094</v>
      </c>
      <c r="S13">
        <f t="shared" si="2"/>
        <v>987.42574391977598</v>
      </c>
      <c r="T13" cm="1">
        <f t="array" ref="T13">[1]!PropsSI("H","T",J13+273.15,"P",101325,"Water")</f>
        <v>232696.84567286129</v>
      </c>
      <c r="U13" cm="1">
        <f t="array" ref="U13">[1]!PropsSI("H","T",K13+273.15,"P",101325,"Water")</f>
        <v>196184.300168627</v>
      </c>
      <c r="V13">
        <f t="shared" si="1"/>
        <v>579.14182758928416</v>
      </c>
    </row>
    <row r="14" spans="1:22" x14ac:dyDescent="0.2">
      <c r="A14">
        <v>44606.557146275103</v>
      </c>
      <c r="B14">
        <v>19.740551</v>
      </c>
      <c r="C14">
        <v>19.588180000000001</v>
      </c>
      <c r="D14">
        <v>19.548352999999999</v>
      </c>
      <c r="E14">
        <v>19.376011999999999</v>
      </c>
      <c r="F14">
        <v>33.595272999999999</v>
      </c>
      <c r="G14">
        <v>33.538567999999998</v>
      </c>
      <c r="H14">
        <v>25.740124999999999</v>
      </c>
      <c r="I14">
        <v>22.487562</v>
      </c>
      <c r="J14">
        <v>55.567788</v>
      </c>
      <c r="K14">
        <v>46.838591999999998</v>
      </c>
      <c r="L14">
        <v>131.399395</v>
      </c>
      <c r="M14">
        <v>-622.49224500000003</v>
      </c>
      <c r="N14">
        <v>0.96267899999999995</v>
      </c>
      <c r="O14">
        <v>1.641691</v>
      </c>
      <c r="P14">
        <f t="shared" si="3"/>
        <v>1.6044649999999999E-5</v>
      </c>
      <c r="Q14" cm="1">
        <f t="array" ref="Q14">[1]!PropsSI("D","T",J14+273.15,"P",101325,"Water")</f>
        <v>985.41716873389919</v>
      </c>
      <c r="R14" cm="1">
        <f t="array" ref="R14">[1]!PropsSI("D","T",K14+273.15,"P",101325,"Water")</f>
        <v>989.43175480145339</v>
      </c>
      <c r="S14">
        <f t="shared" si="2"/>
        <v>987.42446176767635</v>
      </c>
      <c r="T14" cm="1">
        <f t="array" ref="T14">[1]!PropsSI("H","T",J14+273.15,"P",101325,"Water")</f>
        <v>232704.16620993271</v>
      </c>
      <c r="U14" cm="1">
        <f t="array" ref="U14">[1]!PropsSI("H","T",K14+273.15,"P",101325,"Water")</f>
        <v>196200.88851856615</v>
      </c>
      <c r="V14">
        <f t="shared" si="1"/>
        <v>578.31704407391578</v>
      </c>
    </row>
    <row r="15" spans="1:22" x14ac:dyDescent="0.2">
      <c r="A15">
        <v>46068.557262592592</v>
      </c>
      <c r="B15">
        <v>19.819289999999999</v>
      </c>
      <c r="C15">
        <v>19.73067</v>
      </c>
      <c r="D15">
        <v>19.545279000000001</v>
      </c>
      <c r="E15">
        <v>19.421976999999998</v>
      </c>
      <c r="F15">
        <v>33.431289999999997</v>
      </c>
      <c r="G15">
        <v>32.260944000000002</v>
      </c>
      <c r="H15">
        <v>25.817121</v>
      </c>
      <c r="I15">
        <v>22.524927999999999</v>
      </c>
      <c r="J15">
        <v>55.566673999999999</v>
      </c>
      <c r="K15">
        <v>46.830022</v>
      </c>
      <c r="L15">
        <v>137.297875</v>
      </c>
      <c r="M15">
        <v>-622.49142900000004</v>
      </c>
      <c r="N15">
        <v>0.96523199999999998</v>
      </c>
      <c r="O15">
        <v>1.2216340000000001</v>
      </c>
      <c r="P15">
        <f t="shared" si="3"/>
        <v>1.6087200000000001E-5</v>
      </c>
      <c r="Q15" cm="1">
        <f t="array" ref="Q15">[1]!PropsSI("D","T",J15+273.15,"P",101325,"Water")</f>
        <v>985.41771203686153</v>
      </c>
      <c r="R15" cm="1">
        <f t="array" ref="R15">[1]!PropsSI("D","T",K15+273.15,"P",101325,"Water")</f>
        <v>989.43544966864749</v>
      </c>
      <c r="S15">
        <f t="shared" si="2"/>
        <v>987.42658085275457</v>
      </c>
      <c r="T15" cm="1">
        <f t="array" ref="T15">[1]!PropsSI("H","T",J15+273.15,"P",101325,"Water")</f>
        <v>232699.50616503379</v>
      </c>
      <c r="U15" cm="1">
        <f t="array" ref="U15">[1]!PropsSI("H","T",K15+273.15,"P",101325,"Water")</f>
        <v>196165.06136618715</v>
      </c>
      <c r="V15">
        <f t="shared" si="1"/>
        <v>580.34705771990753</v>
      </c>
    </row>
    <row r="16" spans="1:22" x14ac:dyDescent="0.2">
      <c r="A16">
        <v>46068.557378333331</v>
      </c>
      <c r="B16">
        <v>19.833883</v>
      </c>
      <c r="C16">
        <v>19.680565999999999</v>
      </c>
      <c r="D16">
        <v>19.603010000000001</v>
      </c>
      <c r="E16">
        <v>19.502300999999999</v>
      </c>
      <c r="F16">
        <v>33.425694</v>
      </c>
      <c r="G16">
        <v>31.47054</v>
      </c>
      <c r="H16">
        <v>25.811005999999999</v>
      </c>
      <c r="I16">
        <v>22.779858000000001</v>
      </c>
      <c r="J16">
        <v>55.565401000000001</v>
      </c>
      <c r="K16">
        <v>46.821292</v>
      </c>
      <c r="L16">
        <v>130.89615499999999</v>
      </c>
      <c r="M16">
        <v>-622.51795800000002</v>
      </c>
      <c r="N16">
        <v>0.96233900000000006</v>
      </c>
      <c r="O16">
        <v>1.233719</v>
      </c>
      <c r="P16">
        <f t="shared" si="3"/>
        <v>1.6038983333333333E-5</v>
      </c>
      <c r="Q16" cm="1">
        <f t="array" ref="Q16">[1]!PropsSI("D","T",J16+273.15,"P",101325,"Water")</f>
        <v>985.41833287548582</v>
      </c>
      <c r="R16" cm="1">
        <f t="array" ref="R16">[1]!PropsSI("D","T",K16+273.15,"P",101325,"Water")</f>
        <v>989.43921300379634</v>
      </c>
      <c r="S16">
        <f t="shared" si="2"/>
        <v>987.42877293964102</v>
      </c>
      <c r="T16" cm="1">
        <f t="array" ref="T16">[1]!PropsSI("H","T",J16+273.15,"P",101325,"Water")</f>
        <v>232694.18099765867</v>
      </c>
      <c r="U16" cm="1">
        <f t="array" ref="U16">[1]!PropsSI("H","T",K16+273.15,"P",101325,"Water")</f>
        <v>196128.565346066</v>
      </c>
      <c r="V16">
        <f t="shared" si="1"/>
        <v>579.10258584726239</v>
      </c>
    </row>
    <row r="17" spans="1:22" x14ac:dyDescent="0.2">
      <c r="A17">
        <v>46068.557494652778</v>
      </c>
      <c r="B17">
        <v>19.795097999999999</v>
      </c>
      <c r="C17">
        <v>19.739664000000001</v>
      </c>
      <c r="D17">
        <v>19.604066</v>
      </c>
      <c r="E17">
        <v>19.492249000000001</v>
      </c>
      <c r="F17">
        <v>33.610421000000002</v>
      </c>
      <c r="G17">
        <v>32.674202999999999</v>
      </c>
      <c r="H17">
        <v>25.415241999999999</v>
      </c>
      <c r="I17">
        <v>22.619964</v>
      </c>
      <c r="J17">
        <v>55.565559999999998</v>
      </c>
      <c r="K17">
        <v>46.825100999999997</v>
      </c>
      <c r="L17">
        <v>133.564593</v>
      </c>
      <c r="M17">
        <v>-622.48571500000003</v>
      </c>
      <c r="N17">
        <v>0.96575200000000005</v>
      </c>
      <c r="O17">
        <v>1.1876530000000001</v>
      </c>
      <c r="P17">
        <f t="shared" si="3"/>
        <v>1.6095866666666666E-5</v>
      </c>
      <c r="Q17" cm="1">
        <f t="array" ref="Q17">[1]!PropsSI("D","T",J17+273.15,"P",101325,"Water")</f>
        <v>985.4182553321715</v>
      </c>
      <c r="R17" cm="1">
        <f t="array" ref="R17">[1]!PropsSI("D","T",K17+273.15,"P",101325,"Water")</f>
        <v>989.43757108098464</v>
      </c>
      <c r="S17">
        <f t="shared" si="2"/>
        <v>987.42791320657807</v>
      </c>
      <c r="T17" cm="1">
        <f t="array" ref="T17">[1]!PropsSI("H","T",J17+273.15,"P",101325,"Water")</f>
        <v>232694.84612064232</v>
      </c>
      <c r="U17" cm="1">
        <f t="array" ref="U17">[1]!PropsSI("H","T",K17+273.15,"P",101325,"Water")</f>
        <v>196144.48897975255</v>
      </c>
      <c r="V17">
        <f t="shared" si="1"/>
        <v>580.91339486130323</v>
      </c>
    </row>
    <row r="18" spans="1:22" x14ac:dyDescent="0.2">
      <c r="A18">
        <v>46068.557610972224</v>
      </c>
      <c r="B18">
        <v>19.916425</v>
      </c>
      <c r="C18">
        <v>19.747329000000001</v>
      </c>
      <c r="D18">
        <v>19.555738000000002</v>
      </c>
      <c r="E18">
        <v>19.511827</v>
      </c>
      <c r="F18">
        <v>33.908935</v>
      </c>
      <c r="G18">
        <v>33.065536999999999</v>
      </c>
      <c r="H18">
        <v>25.570808</v>
      </c>
      <c r="I18">
        <v>22.871949000000001</v>
      </c>
      <c r="J18">
        <v>55.566355999999999</v>
      </c>
      <c r="K18">
        <v>46.820816000000001</v>
      </c>
      <c r="L18">
        <v>126.569433</v>
      </c>
      <c r="M18">
        <v>-622.49550999999997</v>
      </c>
      <c r="N18">
        <v>0.96389999999999998</v>
      </c>
      <c r="O18">
        <v>1.473859</v>
      </c>
      <c r="P18">
        <f t="shared" si="3"/>
        <v>1.6065E-5</v>
      </c>
      <c r="Q18" cm="1">
        <f t="array" ref="Q18">[1]!PropsSI("D","T",J18+273.15,"P",101325,"Water")</f>
        <v>985.41786712553881</v>
      </c>
      <c r="R18" cm="1">
        <f t="array" ref="R18">[1]!PropsSI("D","T",K18+273.15,"P",101325,"Water")</f>
        <v>989.43941818331518</v>
      </c>
      <c r="S18">
        <f t="shared" si="2"/>
        <v>987.42864265442699</v>
      </c>
      <c r="T18" cm="1">
        <f t="array" ref="T18">[1]!PropsSI("H","T",J18+273.15,"P",101325,"Water")</f>
        <v>232698.17591895792</v>
      </c>
      <c r="U18" cm="1">
        <f t="array" ref="U18">[1]!PropsSI("H","T",K18+273.15,"P",101325,"Water")</f>
        <v>196126.57541469147</v>
      </c>
      <c r="V18">
        <f t="shared" si="1"/>
        <v>580.13680351001017</v>
      </c>
    </row>
    <row r="19" spans="1:22" x14ac:dyDescent="0.2">
      <c r="A19">
        <v>46068.557726712963</v>
      </c>
      <c r="B19">
        <v>19.871749999999999</v>
      </c>
      <c r="C19">
        <v>19.828917000000001</v>
      </c>
      <c r="D19">
        <v>19.566565000000001</v>
      </c>
      <c r="E19">
        <v>19.55322</v>
      </c>
      <c r="F19">
        <v>33.607080000000003</v>
      </c>
      <c r="G19">
        <v>31.741609</v>
      </c>
      <c r="H19">
        <v>26.125131</v>
      </c>
      <c r="I19">
        <v>22.935948</v>
      </c>
      <c r="J19">
        <v>55.566673999999999</v>
      </c>
      <c r="K19">
        <v>46.826847000000001</v>
      </c>
      <c r="L19">
        <v>129.32888600000001</v>
      </c>
      <c r="M19">
        <v>-622.49224500000003</v>
      </c>
      <c r="N19">
        <v>0.96304800000000002</v>
      </c>
      <c r="O19">
        <v>0.96168200000000004</v>
      </c>
      <c r="P19">
        <f t="shared" si="3"/>
        <v>1.6050799999999999E-5</v>
      </c>
      <c r="Q19" cm="1">
        <f t="array" ref="Q19">[1]!PropsSI("D","T",J19+273.15,"P",101325,"Water")</f>
        <v>985.41771203686153</v>
      </c>
      <c r="R19" cm="1">
        <f t="array" ref="R19">[1]!PropsSI("D","T",K19+273.15,"P",101325,"Water")</f>
        <v>989.43681841017428</v>
      </c>
      <c r="S19">
        <f t="shared" si="2"/>
        <v>987.42726522351791</v>
      </c>
      <c r="T19" cm="1">
        <f t="array" ref="T19">[1]!PropsSI("H","T",J19+273.15,"P",101325,"Water")</f>
        <v>232699.50616503379</v>
      </c>
      <c r="U19" cm="1">
        <f t="array" ref="U19">[1]!PropsSI("H","T",K19+273.15,"P",101325,"Water")</f>
        <v>196151.7881839207</v>
      </c>
      <c r="V19">
        <f t="shared" si="1"/>
        <v>579.24469269139979</v>
      </c>
    </row>
    <row r="20" spans="1:22" x14ac:dyDescent="0.2">
      <c r="A20">
        <v>46068.557843032409</v>
      </c>
      <c r="B20">
        <v>19.619949999999999</v>
      </c>
      <c r="C20">
        <v>19.535167000000001</v>
      </c>
      <c r="D20">
        <v>19.518699999999999</v>
      </c>
      <c r="E20">
        <v>19.420262999999998</v>
      </c>
      <c r="F20">
        <v>33.487907999999997</v>
      </c>
      <c r="G20">
        <v>33.055577</v>
      </c>
      <c r="H20">
        <v>26.099699999999999</v>
      </c>
      <c r="I20">
        <v>22.395553</v>
      </c>
      <c r="J20">
        <v>55.566515000000003</v>
      </c>
      <c r="K20">
        <v>46.824624999999997</v>
      </c>
      <c r="L20">
        <v>130.38556800000001</v>
      </c>
      <c r="M20">
        <v>-622.50816299999997</v>
      </c>
      <c r="N20">
        <v>0.96686700000000003</v>
      </c>
      <c r="O20">
        <v>2.022799</v>
      </c>
      <c r="P20">
        <f t="shared" si="3"/>
        <v>1.611445E-5</v>
      </c>
      <c r="Q20" cm="1">
        <f t="array" ref="Q20">[1]!PropsSI("D","T",J20+273.15,"P",101325,"Water")</f>
        <v>985.41778958126872</v>
      </c>
      <c r="R20" cm="1">
        <f t="array" ref="R20">[1]!PropsSI("D","T",K20+273.15,"P",101325,"Water")</f>
        <v>989.43777627285453</v>
      </c>
      <c r="S20">
        <f t="shared" si="2"/>
        <v>987.42778292706157</v>
      </c>
      <c r="T20" cm="1">
        <f t="array" ref="T20">[1]!PropsSI("H","T",J20+273.15,"P",101325,"Water")</f>
        <v>232698.84104199981</v>
      </c>
      <c r="U20" cm="1">
        <f t="array" ref="U20">[1]!PropsSI("H","T",K20+273.15,"P",101325,"Water")</f>
        <v>196142.49904792846</v>
      </c>
      <c r="V20">
        <f t="shared" si="1"/>
        <v>581.67923641143886</v>
      </c>
    </row>
    <row r="21" spans="1:22" x14ac:dyDescent="0.2">
      <c r="A21">
        <v>46068.557958773148</v>
      </c>
      <c r="B21">
        <v>19.884308000000001</v>
      </c>
      <c r="C21">
        <v>19.737774999999999</v>
      </c>
      <c r="D21">
        <v>19.590637000000001</v>
      </c>
      <c r="E21">
        <v>19.469253999999999</v>
      </c>
      <c r="F21">
        <v>33.838701</v>
      </c>
      <c r="G21">
        <v>31.79729</v>
      </c>
      <c r="H21">
        <v>25.623697</v>
      </c>
      <c r="I21">
        <v>22.779688</v>
      </c>
      <c r="J21">
        <v>55.568266000000001</v>
      </c>
      <c r="K21">
        <v>46.819547</v>
      </c>
      <c r="L21">
        <v>131.27082999999999</v>
      </c>
      <c r="M21">
        <v>-622.47510299999999</v>
      </c>
      <c r="N21">
        <v>0.96325700000000003</v>
      </c>
      <c r="O21">
        <v>1.031245</v>
      </c>
      <c r="P21">
        <f t="shared" si="3"/>
        <v>1.6054283333333333E-5</v>
      </c>
      <c r="Q21" cm="1">
        <f t="array" ref="Q21">[1]!PropsSI("D","T",J21+273.15,"P",101325,"Water")</f>
        <v>985.4169356087333</v>
      </c>
      <c r="R21" cm="1">
        <f t="array" ref="R21">[1]!PropsSI("D","T",K21+273.15,"P",101325,"Water")</f>
        <v>989.43996517747371</v>
      </c>
      <c r="S21">
        <f t="shared" si="2"/>
        <v>987.4284503931035</v>
      </c>
      <c r="T21" cm="1">
        <f t="array" ref="T21">[1]!PropsSI("H","T",J21+273.15,"P",101325,"Water")</f>
        <v>232706.16576251446</v>
      </c>
      <c r="U21" cm="1">
        <f t="array" ref="U21">[1]!PropsSI("H","T",K21+273.15,"P",101325,"Water")</f>
        <v>196121.27032469856</v>
      </c>
      <c r="V21">
        <f t="shared" si="1"/>
        <v>579.96044936344413</v>
      </c>
    </row>
    <row r="22" spans="1:22" x14ac:dyDescent="0.2">
      <c r="A22">
        <v>46068.558075092595</v>
      </c>
      <c r="B22">
        <v>19.894351</v>
      </c>
      <c r="C22">
        <v>19.697561</v>
      </c>
      <c r="D22">
        <v>19.576733000000001</v>
      </c>
      <c r="E22">
        <v>19.533761999999999</v>
      </c>
      <c r="F22">
        <v>33.387895</v>
      </c>
      <c r="G22">
        <v>31.976611999999999</v>
      </c>
      <c r="H22">
        <v>25.479566999999999</v>
      </c>
      <c r="I22">
        <v>22.855726000000001</v>
      </c>
      <c r="J22">
        <v>55.571925999999998</v>
      </c>
      <c r="K22">
        <v>46.828116999999999</v>
      </c>
      <c r="L22">
        <v>130.747591</v>
      </c>
      <c r="M22">
        <v>-622.49591899999996</v>
      </c>
      <c r="N22">
        <v>0.96444099999999999</v>
      </c>
      <c r="O22">
        <v>1.224429</v>
      </c>
      <c r="P22">
        <f t="shared" si="3"/>
        <v>1.6074016666666666E-5</v>
      </c>
      <c r="Q22" cm="1">
        <f t="array" ref="Q22">[1]!PropsSI("D","T",J22+273.15,"P",101325,"Water")</f>
        <v>985.41515054505351</v>
      </c>
      <c r="R22" cm="1">
        <f t="array" ref="R22">[1]!PropsSI("D","T",K22+273.15,"P",101325,"Water")</f>
        <v>989.43627092181453</v>
      </c>
      <c r="S22">
        <f t="shared" si="2"/>
        <v>987.42571073343402</v>
      </c>
      <c r="T22" cm="1">
        <f t="array" ref="T22">[1]!PropsSI("H","T",J22+273.15,"P",101325,"Water")</f>
        <v>232721.47614717268</v>
      </c>
      <c r="U22" cm="1">
        <f t="array" ref="U22">[1]!PropsSI("H","T",K22+273.15,"P",101325,"Water")</f>
        <v>196157.09745654807</v>
      </c>
      <c r="V22">
        <f t="shared" si="1"/>
        <v>580.34606456491588</v>
      </c>
    </row>
    <row r="23" spans="1:22" x14ac:dyDescent="0.2">
      <c r="A23">
        <v>46068.558191412034</v>
      </c>
      <c r="B23">
        <v>19.804542000000001</v>
      </c>
      <c r="C23">
        <v>19.706054999999999</v>
      </c>
      <c r="D23">
        <v>19.500546</v>
      </c>
      <c r="E23">
        <v>19.397086999999999</v>
      </c>
      <c r="F23">
        <v>33.642204999999997</v>
      </c>
      <c r="G23">
        <v>31.827210000000001</v>
      </c>
      <c r="H23">
        <v>25.609368</v>
      </c>
      <c r="I23">
        <v>21.903245999999999</v>
      </c>
      <c r="J23">
        <v>55.571447999999997</v>
      </c>
      <c r="K23">
        <v>46.835576000000003</v>
      </c>
      <c r="L23">
        <v>130.86799300000001</v>
      </c>
      <c r="M23">
        <v>-622.50326500000006</v>
      </c>
      <c r="N23">
        <v>0.96540800000000004</v>
      </c>
      <c r="O23">
        <v>1.2808390000000001</v>
      </c>
      <c r="P23">
        <f t="shared" si="3"/>
        <v>1.6090133333333334E-5</v>
      </c>
      <c r="Q23" cm="1">
        <f t="array" ref="Q23">[1]!PropsSI("D","T",J23+273.15,"P",101325,"Water")</f>
        <v>985.41538368102363</v>
      </c>
      <c r="R23" cm="1">
        <f t="array" ref="R23">[1]!PropsSI("D","T",K23+273.15,"P",101325,"Water")</f>
        <v>989.43305517582826</v>
      </c>
      <c r="S23">
        <f t="shared" si="2"/>
        <v>987.42421942842589</v>
      </c>
      <c r="T23" cm="1">
        <f t="array" ref="T23">[1]!PropsSI("H","T",J23+273.15,"P",101325,"Water")</f>
        <v>232719.47659389733</v>
      </c>
      <c r="U23" cm="1">
        <f t="array" ref="U23">[1]!PropsSI("H","T",K23+273.15,"P",101325,"Water")</f>
        <v>196188.28003447715</v>
      </c>
      <c r="V23">
        <f t="shared" si="1"/>
        <v>580.3998824735886</v>
      </c>
    </row>
    <row r="24" spans="1:22" x14ac:dyDescent="0.2">
      <c r="A24">
        <v>46068.55830773148</v>
      </c>
      <c r="B24">
        <v>19.912748000000001</v>
      </c>
      <c r="C24">
        <v>19.758547</v>
      </c>
      <c r="D24">
        <v>19.377316</v>
      </c>
      <c r="E24">
        <v>19.412552999999999</v>
      </c>
      <c r="F24">
        <v>33.685464000000003</v>
      </c>
      <c r="G24">
        <v>31.788965000000001</v>
      </c>
      <c r="H24">
        <v>25.532387</v>
      </c>
      <c r="I24">
        <v>22.894600000000001</v>
      </c>
      <c r="J24">
        <v>55.573199000000002</v>
      </c>
      <c r="K24">
        <v>46.832720000000002</v>
      </c>
      <c r="L24">
        <v>128.56525099999999</v>
      </c>
      <c r="M24">
        <v>-622.48979599999996</v>
      </c>
      <c r="N24">
        <v>0.96551399999999998</v>
      </c>
      <c r="O24">
        <v>1.0779840000000001</v>
      </c>
      <c r="P24">
        <f t="shared" si="3"/>
        <v>1.6091900000000001E-5</v>
      </c>
      <c r="Q24" cm="1">
        <f t="array" ref="Q24">[1]!PropsSI("D","T",J24+273.15,"P",101325,"Water")</f>
        <v>985.41452965518113</v>
      </c>
      <c r="R24" cm="1">
        <f t="array" ref="R24">[1]!PropsSI("D","T",K24+273.15,"P",101325,"Water")</f>
        <v>989.43428650773819</v>
      </c>
      <c r="S24">
        <f t="shared" si="2"/>
        <v>987.42440808145966</v>
      </c>
      <c r="T24" cm="1">
        <f t="array" ref="T24">[1]!PropsSI("H","T",J24+273.15,"P",101325,"Water")</f>
        <v>232726.80131767158</v>
      </c>
      <c r="U24" cm="1">
        <f t="array" ref="U24">[1]!PropsSI("H","T",K24+273.15,"P",101325,"Water")</f>
        <v>196176.34043749137</v>
      </c>
      <c r="V24">
        <f t="shared" si="1"/>
        <v>580.76982129611781</v>
      </c>
    </row>
    <row r="25" spans="1:22" x14ac:dyDescent="0.2">
      <c r="A25">
        <v>46068.558423472219</v>
      </c>
      <c r="B25">
        <v>19.846706999999999</v>
      </c>
      <c r="C25">
        <v>19.878174999999999</v>
      </c>
      <c r="D25">
        <v>19.577112</v>
      </c>
      <c r="E25">
        <v>19.601337000000001</v>
      </c>
      <c r="F25">
        <v>33.769050999999997</v>
      </c>
      <c r="G25">
        <v>31.926221000000002</v>
      </c>
      <c r="H25">
        <v>26.214904000000001</v>
      </c>
      <c r="I25">
        <v>22.877970999999999</v>
      </c>
      <c r="J25">
        <v>55.570335</v>
      </c>
      <c r="K25">
        <v>46.842241999999999</v>
      </c>
      <c r="L25">
        <v>128.430972</v>
      </c>
      <c r="M25">
        <v>-622.49183700000003</v>
      </c>
      <c r="N25">
        <v>0.96424799999999999</v>
      </c>
      <c r="O25">
        <v>1.3533759999999999</v>
      </c>
      <c r="P25">
        <f t="shared" si="3"/>
        <v>1.6070799999999999E-5</v>
      </c>
      <c r="Q25" cm="1">
        <f t="array" ref="Q25">[1]!PropsSI("D","T",J25+273.15,"P",101325,"Water")</f>
        <v>985.41592652142333</v>
      </c>
      <c r="R25" cm="1">
        <f t="array" ref="R25">[1]!PropsSI("D","T",K25+273.15,"P",101325,"Water")</f>
        <v>989.4301809896499</v>
      </c>
      <c r="S25">
        <f t="shared" si="2"/>
        <v>987.42305375553656</v>
      </c>
      <c r="T25" cm="1">
        <f t="array" ref="T25">[1]!PropsSI("H","T",J25+273.15,"P",101325,"Water")</f>
        <v>232714.82073074387</v>
      </c>
      <c r="U25" cm="1">
        <f t="array" ref="U25">[1]!PropsSI("H","T",K25+273.15,"P",101325,"Water")</f>
        <v>196216.14746253437</v>
      </c>
      <c r="V25">
        <f t="shared" si="1"/>
        <v>579.18570856862561</v>
      </c>
    </row>
    <row r="26" spans="1:22" x14ac:dyDescent="0.2">
      <c r="A26">
        <v>46068.558539212965</v>
      </c>
      <c r="B26">
        <v>19.900044000000001</v>
      </c>
      <c r="C26">
        <v>19.779861</v>
      </c>
      <c r="D26">
        <v>19.460526999999999</v>
      </c>
      <c r="E26">
        <v>19.468816</v>
      </c>
      <c r="F26">
        <v>33.585968999999999</v>
      </c>
      <c r="G26">
        <v>33.551957999999999</v>
      </c>
      <c r="H26">
        <v>25.738962999999998</v>
      </c>
      <c r="I26">
        <v>22.7852</v>
      </c>
      <c r="J26">
        <v>55.566515000000003</v>
      </c>
      <c r="K26">
        <v>46.841130999999997</v>
      </c>
      <c r="L26">
        <v>130.36107899999999</v>
      </c>
      <c r="M26">
        <v>-622.493878</v>
      </c>
      <c r="N26">
        <v>0.963785</v>
      </c>
      <c r="O26">
        <v>1.297677</v>
      </c>
      <c r="P26">
        <f t="shared" si="3"/>
        <v>1.6063083333333332E-5</v>
      </c>
      <c r="Q26" cm="1">
        <f t="array" ref="Q26">[1]!PropsSI("D","T",J26+273.15,"P",101325,"Water")</f>
        <v>985.41778958126872</v>
      </c>
      <c r="R26" cm="1">
        <f t="array" ref="R26">[1]!PropsSI("D","T",K26+273.15,"P",101325,"Water")</f>
        <v>989.43066004170737</v>
      </c>
      <c r="S26">
        <f t="shared" si="2"/>
        <v>987.4242248114881</v>
      </c>
      <c r="T26" cm="1">
        <f t="array" ref="T26">[1]!PropsSI("H","T",J26+273.15,"P",101325,"Water")</f>
        <v>232698.84104199981</v>
      </c>
      <c r="U26" cm="1">
        <f t="array" ref="U26">[1]!PropsSI("H","T",K26+273.15,"P",101325,"Water")</f>
        <v>196211.50289047236</v>
      </c>
      <c r="V26">
        <f t="shared" si="1"/>
        <v>578.72850214892333</v>
      </c>
    </row>
    <row r="27" spans="1:22" x14ac:dyDescent="0.2">
      <c r="A27">
        <v>46068.558654953704</v>
      </c>
      <c r="B27">
        <v>19.848928999999998</v>
      </c>
      <c r="C27">
        <v>19.754256000000002</v>
      </c>
      <c r="D27">
        <v>19.520526</v>
      </c>
      <c r="E27">
        <v>19.464891999999999</v>
      </c>
      <c r="F27">
        <v>33.301583999999998</v>
      </c>
      <c r="G27">
        <v>31.960242999999998</v>
      </c>
      <c r="H27">
        <v>25.8658</v>
      </c>
      <c r="I27">
        <v>22.177388000000001</v>
      </c>
      <c r="J27">
        <v>55.564127999999997</v>
      </c>
      <c r="K27">
        <v>46.842877000000001</v>
      </c>
      <c r="L27">
        <v>137.20359400000001</v>
      </c>
      <c r="M27">
        <v>-622.50408100000004</v>
      </c>
      <c r="N27">
        <v>0.96238800000000002</v>
      </c>
      <c r="O27">
        <v>1.030343</v>
      </c>
      <c r="P27">
        <f t="shared" si="3"/>
        <v>1.6039799999999998E-5</v>
      </c>
      <c r="Q27" cm="1">
        <f t="array" ref="Q27">[1]!PropsSI("D","T",J27+273.15,"P",101325,"Water")</f>
        <v>985.41895370411146</v>
      </c>
      <c r="R27" cm="1">
        <f t="array" ref="R27">[1]!PropsSI("D","T",K27+273.15,"P",101325,"Water")</f>
        <v>989.42990718026624</v>
      </c>
      <c r="S27">
        <f t="shared" si="2"/>
        <v>987.42443044218885</v>
      </c>
      <c r="T27" cm="1">
        <f t="array" ref="T27">[1]!PropsSI("H","T",J27+273.15,"P",101325,"Water")</f>
        <v>232688.85583085191</v>
      </c>
      <c r="U27" cm="1">
        <f t="array" ref="U27">[1]!PropsSI("H","T",K27+273.15,"P",101325,"Water")</f>
        <v>196218.80210101994</v>
      </c>
      <c r="V27">
        <f t="shared" si="1"/>
        <v>577.61600711489416</v>
      </c>
    </row>
    <row r="28" spans="1:22" x14ac:dyDescent="0.2">
      <c r="A28">
        <v>46068.55877127315</v>
      </c>
      <c r="B28">
        <v>19.908369</v>
      </c>
      <c r="C28">
        <v>19.738177</v>
      </c>
      <c r="D28">
        <v>19.291243000000001</v>
      </c>
      <c r="E28">
        <v>19.327293000000001</v>
      </c>
      <c r="F28">
        <v>33.704106000000003</v>
      </c>
      <c r="G28">
        <v>31.237133</v>
      </c>
      <c r="H28">
        <v>25.467161000000001</v>
      </c>
      <c r="I28">
        <v>22.523339</v>
      </c>
      <c r="J28">
        <v>55.566037999999999</v>
      </c>
      <c r="K28">
        <v>46.839227000000001</v>
      </c>
      <c r="L28">
        <v>126.31924100000001</v>
      </c>
      <c r="M28">
        <v>-622.47959300000002</v>
      </c>
      <c r="N28">
        <v>0.96513700000000002</v>
      </c>
      <c r="O28">
        <v>1.185162</v>
      </c>
      <c r="P28">
        <f t="shared" si="3"/>
        <v>1.6085616666666667E-5</v>
      </c>
      <c r="Q28" cm="1">
        <f t="array" ref="Q28">[1]!PropsSI("D","T",J28+273.15,"P",101325,"Water")</f>
        <v>985.41802221357102</v>
      </c>
      <c r="R28" cm="1">
        <f t="array" ref="R28">[1]!PropsSI("D","T",K28+273.15,"P",101325,"Water")</f>
        <v>989.43148100784515</v>
      </c>
      <c r="S28">
        <f t="shared" si="2"/>
        <v>987.42475161070809</v>
      </c>
      <c r="T28" cm="1">
        <f t="array" ref="T28">[1]!PropsSI("H","T",J28+273.15,"P",101325,"Water")</f>
        <v>232696.84567286129</v>
      </c>
      <c r="U28" cm="1">
        <f t="array" ref="U28">[1]!PropsSI("H","T",K28+273.15,"P",101325,"Water")</f>
        <v>196203.5431564773</v>
      </c>
      <c r="V28">
        <f t="shared" si="1"/>
        <v>579.63538713507057</v>
      </c>
    </row>
    <row r="29" spans="1:22" x14ac:dyDescent="0.2">
      <c r="A29">
        <v>46068.558887013889</v>
      </c>
      <c r="B29">
        <v>19.878817000000002</v>
      </c>
      <c r="C29">
        <v>19.728612999999999</v>
      </c>
      <c r="D29">
        <v>19.401513999999999</v>
      </c>
      <c r="E29">
        <v>19.406541000000001</v>
      </c>
      <c r="F29">
        <v>33.825465000000001</v>
      </c>
      <c r="G29">
        <v>32.666566000000003</v>
      </c>
      <c r="H29">
        <v>25.793333000000001</v>
      </c>
      <c r="I29">
        <v>22.07264</v>
      </c>
      <c r="J29">
        <v>55.570335</v>
      </c>
      <c r="K29">
        <v>46.826053999999999</v>
      </c>
      <c r="L29">
        <v>130.06435999999999</v>
      </c>
      <c r="M29">
        <v>-622.51387699999998</v>
      </c>
      <c r="N29">
        <v>0.96633000000000002</v>
      </c>
      <c r="O29">
        <v>1.854039</v>
      </c>
      <c r="P29">
        <f t="shared" si="3"/>
        <v>1.61055E-5</v>
      </c>
      <c r="Q29" cm="1">
        <f t="array" ref="Q29">[1]!PropsSI("D","T",J29+273.15,"P",101325,"Water")</f>
        <v>985.41592652142333</v>
      </c>
      <c r="R29" cm="1">
        <f t="array" ref="R29">[1]!PropsSI("D","T",K29+273.15,"P",101325,"Water")</f>
        <v>989.43716026152424</v>
      </c>
      <c r="S29">
        <f t="shared" si="2"/>
        <v>987.42654339147384</v>
      </c>
      <c r="T29" cm="1">
        <f t="array" ref="T29">[1]!PropsSI("H","T",J29+273.15,"P",101325,"Water")</f>
        <v>232714.82073074387</v>
      </c>
      <c r="U29" cm="1">
        <f t="array" ref="U29">[1]!PropsSI("H","T",K29+273.15,"P",101325,"Water")</f>
        <v>196148.47302406872</v>
      </c>
      <c r="V29">
        <f t="shared" si="1"/>
        <v>581.51456156205563</v>
      </c>
    </row>
    <row r="30" spans="1:22" x14ac:dyDescent="0.2">
      <c r="A30">
        <v>46068.559003333336</v>
      </c>
      <c r="B30">
        <v>19.847487999999998</v>
      </c>
      <c r="C30">
        <v>19.672687</v>
      </c>
      <c r="D30">
        <v>19.479096999999999</v>
      </c>
      <c r="E30">
        <v>19.395237999999999</v>
      </c>
      <c r="F30">
        <v>33.778865000000003</v>
      </c>
      <c r="G30">
        <v>32.425742999999997</v>
      </c>
      <c r="H30">
        <v>25.488942000000002</v>
      </c>
      <c r="I30">
        <v>22.624402</v>
      </c>
      <c r="J30">
        <v>55.568424999999998</v>
      </c>
      <c r="K30">
        <v>46.825418999999997</v>
      </c>
      <c r="L30">
        <v>130.96186599999999</v>
      </c>
      <c r="M30">
        <v>-622.50367300000005</v>
      </c>
      <c r="N30">
        <v>0.96465800000000002</v>
      </c>
      <c r="O30">
        <v>1.4844189999999999</v>
      </c>
      <c r="P30">
        <f t="shared" si="3"/>
        <v>1.6077633333333333E-5</v>
      </c>
      <c r="Q30" cm="1">
        <f t="array" ref="Q30">[1]!PropsSI("D","T",J30+273.15,"P",101325,"Water")</f>
        <v>985.4168580626166</v>
      </c>
      <c r="R30" cm="1">
        <f t="array" ref="R30">[1]!PropsSI("D","T",K30+273.15,"P",101325,"Water")</f>
        <v>989.4374339981473</v>
      </c>
      <c r="S30">
        <f t="shared" si="2"/>
        <v>987.42714603038189</v>
      </c>
      <c r="T30" cm="1">
        <f t="array" ref="T30">[1]!PropsSI("H","T",J30+273.15,"P",101325,"Water")</f>
        <v>232706.8308856714</v>
      </c>
      <c r="U30" cm="1">
        <f t="array" ref="U30">[1]!PropsSI("H","T",K30+273.15,"P",101325,"Water")</f>
        <v>196145.81838806215</v>
      </c>
      <c r="V30">
        <f t="shared" si="1"/>
        <v>580.42404669297707</v>
      </c>
    </row>
    <row r="31" spans="1:22" x14ac:dyDescent="0.2">
      <c r="A31">
        <v>46068.559119652775</v>
      </c>
      <c r="B31">
        <v>19.995678000000002</v>
      </c>
      <c r="C31">
        <v>19.81176</v>
      </c>
      <c r="D31">
        <v>19.548653999999999</v>
      </c>
      <c r="E31">
        <v>19.660564000000001</v>
      </c>
      <c r="F31">
        <v>33.632255000000001</v>
      </c>
      <c r="G31">
        <v>31.227065</v>
      </c>
      <c r="H31">
        <v>25.78004</v>
      </c>
      <c r="I31">
        <v>23.223064999999998</v>
      </c>
      <c r="J31">
        <v>55.565401000000001</v>
      </c>
      <c r="K31">
        <v>46.828116999999999</v>
      </c>
      <c r="L31">
        <v>130.82024000000001</v>
      </c>
      <c r="M31">
        <v>-622.512652</v>
      </c>
      <c r="N31">
        <v>0.96421100000000004</v>
      </c>
      <c r="O31">
        <v>1.2516370000000001</v>
      </c>
      <c r="P31">
        <f t="shared" si="3"/>
        <v>1.6070183333333334E-5</v>
      </c>
      <c r="Q31" cm="1">
        <f t="array" ref="Q31">[1]!PropsSI("D","T",J31+273.15,"P",101325,"Water")</f>
        <v>985.41833287548582</v>
      </c>
      <c r="R31" cm="1">
        <f t="array" ref="R31">[1]!PropsSI("D","T",K31+273.15,"P",101325,"Water")</f>
        <v>989.43627092181453</v>
      </c>
      <c r="S31">
        <f t="shared" si="2"/>
        <v>987.42730189865017</v>
      </c>
      <c r="T31" cm="1">
        <f t="array" ref="T31">[1]!PropsSI("H","T",J31+273.15,"P",101325,"Water")</f>
        <v>232694.18099765867</v>
      </c>
      <c r="U31" cm="1">
        <f t="array" ref="U31">[1]!PropsSI("H","T",K31+273.15,"P",101325,"Water")</f>
        <v>196157.09745654807</v>
      </c>
      <c r="V31">
        <f t="shared" si="1"/>
        <v>579.7754753388615</v>
      </c>
    </row>
    <row r="32" spans="1:22" x14ac:dyDescent="0.2">
      <c r="A32">
        <v>46068.559235393521</v>
      </c>
      <c r="B32">
        <v>20.110412</v>
      </c>
      <c r="C32">
        <v>19.966425999999998</v>
      </c>
      <c r="D32">
        <v>19.525908000000001</v>
      </c>
      <c r="E32">
        <v>19.569188</v>
      </c>
      <c r="F32">
        <v>33.641072999999999</v>
      </c>
      <c r="G32">
        <v>31.861350999999999</v>
      </c>
      <c r="H32">
        <v>25.950652000000002</v>
      </c>
      <c r="I32">
        <v>22.222456999999999</v>
      </c>
      <c r="J32">
        <v>55.569380000000002</v>
      </c>
      <c r="K32">
        <v>46.854303999999999</v>
      </c>
      <c r="L32">
        <v>127.141649</v>
      </c>
      <c r="M32">
        <v>-622.48653100000001</v>
      </c>
      <c r="N32">
        <v>0.96417399999999998</v>
      </c>
      <c r="O32">
        <v>0.95291400000000004</v>
      </c>
      <c r="P32">
        <f t="shared" si="3"/>
        <v>1.6069566666666666E-5</v>
      </c>
      <c r="Q32" cm="1">
        <f t="array" ref="Q32">[1]!PropsSI("D","T",J32+273.15,"P",101325,"Water")</f>
        <v>985.41639229483019</v>
      </c>
      <c r="R32" cm="1">
        <f t="array" ref="R32">[1]!PropsSI("D","T",K32+273.15,"P",101325,"Water")</f>
        <v>989.42497943529179</v>
      </c>
      <c r="S32">
        <f t="shared" si="2"/>
        <v>987.42068586506093</v>
      </c>
      <c r="T32" cm="1">
        <f t="array" ref="T32">[1]!PropsSI("H","T",J32+273.15,"P",101325,"Water")</f>
        <v>232710.82580805602</v>
      </c>
      <c r="U32" cm="1">
        <f t="array" ref="U32">[1]!PropsSI("H","T",K32+273.15,"P",101325,"Water")</f>
        <v>196266.57306840052</v>
      </c>
      <c r="V32">
        <f t="shared" si="1"/>
        <v>578.27635735842387</v>
      </c>
    </row>
    <row r="34" spans="6:6" x14ac:dyDescent="0.2">
      <c r="F34" s="1" t="s">
        <v>22</v>
      </c>
    </row>
    <row r="35" spans="6:6" x14ac:dyDescent="0.2">
      <c r="F35">
        <f>AVERAGE(V3:V32)</f>
        <v>579.00707061218657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264DB-3ADF-4F49-A256-A5A958A32747}">
  <dimension ref="A1:V39"/>
  <sheetViews>
    <sheetView workbookViewId="0">
      <selection activeCell="E38" sqref="E38"/>
    </sheetView>
  </sheetViews>
  <sheetFormatPr baseColWidth="10" defaultRowHeight="16" x14ac:dyDescent="0.2"/>
  <cols>
    <col min="1" max="1" width="12.1640625" bestFit="1" customWidth="1"/>
    <col min="2" max="10" width="10.1640625" bestFit="1" customWidth="1"/>
    <col min="11" max="12" width="11.1640625" bestFit="1" customWidth="1"/>
    <col min="13" max="13" width="13" bestFit="1" customWidth="1"/>
    <col min="14" max="14" width="11.33203125" bestFit="1" customWidth="1"/>
    <col min="15" max="15" width="11.5" bestFit="1" customWidth="1"/>
    <col min="16" max="16" width="12.5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>
        <v>44606.560601136298</v>
      </c>
      <c r="B2">
        <v>20.444731000000001</v>
      </c>
      <c r="C2">
        <v>20.179801999999999</v>
      </c>
      <c r="D2">
        <v>19.550993999999999</v>
      </c>
      <c r="E2">
        <v>19.677327999999999</v>
      </c>
      <c r="F2">
        <v>32.222769999999997</v>
      </c>
      <c r="G2">
        <v>29.752472999999998</v>
      </c>
      <c r="H2">
        <v>24.760694000000001</v>
      </c>
      <c r="I2">
        <v>22.189125000000001</v>
      </c>
      <c r="J2">
        <v>55.584975</v>
      </c>
      <c r="K2">
        <v>45.971040000000002</v>
      </c>
      <c r="L2">
        <v>207.20866000000001</v>
      </c>
      <c r="M2">
        <v>-622.51346899999999</v>
      </c>
      <c r="N2">
        <v>0.96176099999999998</v>
      </c>
      <c r="O2">
        <v>1.6606259999999999</v>
      </c>
      <c r="P2">
        <f xml:space="preserve"> N2*0.001/60</f>
        <v>1.6029349999999999E-5</v>
      </c>
      <c r="Q2" cm="1">
        <f t="array" ref="Q2">[1]!PropsSI("D","T",J2+273.15,"P",101325,"Water")</f>
        <v>985.40878558382917</v>
      </c>
      <c r="R2" cm="1">
        <f t="array" ref="R2">[1]!PropsSI("D","T",K2+273.15,"P",101325,"Water")</f>
        <v>989.8032437920383</v>
      </c>
      <c r="S2">
        <f>(Q2+R2)/2</f>
        <v>987.60601468793379</v>
      </c>
      <c r="T2" cm="1">
        <f t="array" ref="T2">[1]!PropsSI("H","T",J2+273.15,"P",101325,"Water")</f>
        <v>232776.06231036023</v>
      </c>
      <c r="U2" cm="1">
        <f t="array" ref="U2">[1]!PropsSI("H","T",K2+273.15,"P",101325,"Water")</f>
        <v>192574.14365825985</v>
      </c>
      <c r="V2">
        <f>S2*P2*(T2-U2)</f>
        <v>636.42380892800315</v>
      </c>
    </row>
    <row r="3" spans="1:22" x14ac:dyDescent="0.2">
      <c r="A3">
        <v>44606.560716877</v>
      </c>
      <c r="B3">
        <v>20.287580999999999</v>
      </c>
      <c r="C3">
        <v>19.987704999999998</v>
      </c>
      <c r="D3">
        <v>19.489929</v>
      </c>
      <c r="E3">
        <v>19.510846999999998</v>
      </c>
      <c r="F3">
        <v>32.323877000000003</v>
      </c>
      <c r="G3">
        <v>29.453492000000001</v>
      </c>
      <c r="H3">
        <v>24.434676</v>
      </c>
      <c r="I3">
        <v>21.708068000000001</v>
      </c>
      <c r="J3">
        <v>55.589590000000001</v>
      </c>
      <c r="K3">
        <v>45.958188</v>
      </c>
      <c r="L3">
        <v>224.21597199999999</v>
      </c>
      <c r="M3">
        <v>-622.51795800000002</v>
      </c>
      <c r="N3">
        <v>0.96281799999999995</v>
      </c>
      <c r="O3">
        <v>1.1375839999999999</v>
      </c>
      <c r="P3">
        <f t="shared" ref="P3" si="0" xml:space="preserve"> N3*0.001/60</f>
        <v>1.6046966666666667E-5</v>
      </c>
      <c r="Q3" cm="1">
        <f t="array" ref="Q3">[1]!PropsSI("D","T",J3+273.15,"P",101325,"Water")</f>
        <v>985.40653425592393</v>
      </c>
      <c r="R3" cm="1">
        <f t="array" ref="R3">[1]!PropsSI("D","T",K3+273.15,"P",101325,"Water")</f>
        <v>989.80870825234831</v>
      </c>
      <c r="S3">
        <f>(Q3+R3)/2</f>
        <v>987.60762125413612</v>
      </c>
      <c r="T3" cm="1">
        <f t="array" ref="T3">[1]!PropsSI("H","T",J3+273.15,"P",101325,"Water")</f>
        <v>232795.36764716334</v>
      </c>
      <c r="U3" cm="1">
        <f t="array" ref="U3">[1]!PropsSI("H","T",K3+273.15,"P",101325,"Water")</f>
        <v>192520.41794170768</v>
      </c>
      <c r="V3">
        <f t="shared" ref="V3:V57" si="1">S3*P3*(T3-U3)</f>
        <v>638.2816953560972</v>
      </c>
    </row>
    <row r="4" spans="1:22" x14ac:dyDescent="0.2">
      <c r="A4">
        <v>44606.560833196403</v>
      </c>
      <c r="B4">
        <v>20.132296</v>
      </c>
      <c r="C4">
        <v>19.698031</v>
      </c>
      <c r="D4">
        <v>19.441078000000001</v>
      </c>
      <c r="E4">
        <v>19.451101999999999</v>
      </c>
      <c r="F4">
        <v>32.249217999999999</v>
      </c>
      <c r="G4">
        <v>28.638770000000001</v>
      </c>
      <c r="H4">
        <v>24.445007</v>
      </c>
      <c r="I4">
        <v>21.525043</v>
      </c>
      <c r="J4">
        <v>55.588794</v>
      </c>
      <c r="K4">
        <v>45.955173000000002</v>
      </c>
      <c r="L4">
        <v>206.877656</v>
      </c>
      <c r="M4">
        <v>-622.50489800000003</v>
      </c>
      <c r="N4">
        <v>0.96307200000000004</v>
      </c>
      <c r="O4">
        <v>1.269746</v>
      </c>
      <c r="P4">
        <f xml:space="preserve"> N4*0.001/60</f>
        <v>1.60512E-5</v>
      </c>
      <c r="Q4" cm="1">
        <f t="array" ref="Q4">[1]!PropsSI("D","T",J4+273.15,"P",101325,"Water")</f>
        <v>985.40692257667592</v>
      </c>
      <c r="R4" cm="1">
        <f t="array" ref="R4">[1]!PropsSI("D","T",K4+273.15,"P",101325,"Water")</f>
        <v>989.80999001635007</v>
      </c>
      <c r="S4">
        <f t="shared" ref="S4:S57" si="2">(Q4+R4)/2</f>
        <v>987.60845629651294</v>
      </c>
      <c r="T4" cm="1">
        <f t="array" ref="T4">[1]!PropsSI("H","T",J4+273.15,"P",101325,"Water")</f>
        <v>232792.03784205989</v>
      </c>
      <c r="U4" cm="1">
        <f t="array" ref="U4">[1]!PropsSI("H","T",K4+273.15,"P",101325,"Water")</f>
        <v>192507.81422479171</v>
      </c>
      <c r="V4">
        <f t="shared" si="1"/>
        <v>638.59763243892735</v>
      </c>
    </row>
    <row r="5" spans="1:22" x14ac:dyDescent="0.2">
      <c r="A5">
        <v>44606.560949515901</v>
      </c>
      <c r="B5">
        <v>20.157632</v>
      </c>
      <c r="C5">
        <v>19.982137000000002</v>
      </c>
      <c r="D5">
        <v>19.545203999999998</v>
      </c>
      <c r="E5">
        <v>19.548317000000001</v>
      </c>
      <c r="F5">
        <v>32.201175999999997</v>
      </c>
      <c r="G5">
        <v>30.204581999999998</v>
      </c>
      <c r="H5">
        <v>24.802831999999999</v>
      </c>
      <c r="I5">
        <v>22.143412000000001</v>
      </c>
      <c r="J5">
        <v>55.590066999999998</v>
      </c>
      <c r="K5">
        <v>45.950254999999999</v>
      </c>
      <c r="L5">
        <v>220.24555799999999</v>
      </c>
      <c r="M5">
        <v>-622.50449000000003</v>
      </c>
      <c r="N5">
        <v>0.95679800000000004</v>
      </c>
      <c r="O5">
        <v>1.4608080000000001</v>
      </c>
      <c r="P5">
        <f t="shared" ref="P5:P57" si="3" xml:space="preserve"> N5*0.001/60</f>
        <v>1.5946633333333334E-5</v>
      </c>
      <c r="Q5" cm="1">
        <f t="array" ref="Q5">[1]!PropsSI("D","T",J5+273.15,"P",101325,"Water")</f>
        <v>985.40630155431734</v>
      </c>
      <c r="R5" cm="1">
        <f t="array" ref="R5">[1]!PropsSI("D","T",K5+273.15,"P",101325,"Water")</f>
        <v>989.81208066659985</v>
      </c>
      <c r="S5">
        <f t="shared" si="2"/>
        <v>987.6091911104586</v>
      </c>
      <c r="T5" cm="1">
        <f t="array" ref="T5">[1]!PropsSI("H","T",J5+273.15,"P",101325,"Water")</f>
        <v>232797.36302049767</v>
      </c>
      <c r="U5" cm="1">
        <f t="array" ref="U5">[1]!PropsSI("H","T",K5+273.15,"P",101325,"Water")</f>
        <v>192487.25533015578</v>
      </c>
      <c r="V5">
        <f t="shared" si="1"/>
        <v>634.84556482106905</v>
      </c>
    </row>
    <row r="6" spans="1:22" x14ac:dyDescent="0.2">
      <c r="A6">
        <v>46068.561065254631</v>
      </c>
      <c r="B6">
        <v>19.933906</v>
      </c>
      <c r="C6">
        <v>19.536218999999999</v>
      </c>
      <c r="D6">
        <v>19.479327999999999</v>
      </c>
      <c r="E6">
        <v>19.385560999999999</v>
      </c>
      <c r="F6">
        <v>31.81202</v>
      </c>
      <c r="G6">
        <v>29.003430999999999</v>
      </c>
      <c r="H6">
        <v>24.551902999999999</v>
      </c>
      <c r="I6">
        <v>22.0627</v>
      </c>
      <c r="J6">
        <v>55.590226000000001</v>
      </c>
      <c r="K6">
        <v>45.938355000000001</v>
      </c>
      <c r="L6">
        <v>213.93893499999999</v>
      </c>
      <c r="M6">
        <v>-622.48816399999998</v>
      </c>
      <c r="N6">
        <v>0.96439200000000003</v>
      </c>
      <c r="O6">
        <v>1.3381259999999999</v>
      </c>
      <c r="P6">
        <f t="shared" si="3"/>
        <v>1.6073200000000001E-5</v>
      </c>
      <c r="Q6" cm="1">
        <f t="array" ref="Q6">[1]!PropsSI("D","T",J6+273.15,"P",101325,"Water")</f>
        <v>985.4062239867676</v>
      </c>
      <c r="R6" cm="1">
        <f t="array" ref="R6">[1]!PropsSI("D","T",K6+273.15,"P",101325,"Water")</f>
        <v>989.81713868777285</v>
      </c>
      <c r="S6">
        <f t="shared" si="2"/>
        <v>987.61168133727028</v>
      </c>
      <c r="T6" cm="1">
        <f t="array" ref="T6">[1]!PropsSI("H","T",J6+273.15,"P",101325,"Water")</f>
        <v>232798.02814498599</v>
      </c>
      <c r="U6" cm="1">
        <f t="array" ref="U6">[1]!PropsSI("H","T",K6+273.15,"P",101325,"Water")</f>
        <v>192437.50934778946</v>
      </c>
      <c r="V6">
        <f t="shared" si="1"/>
        <v>640.68610731457909</v>
      </c>
    </row>
    <row r="7" spans="1:22" x14ac:dyDescent="0.2">
      <c r="A7">
        <v>46068.561181574078</v>
      </c>
      <c r="B7">
        <v>19.877174</v>
      </c>
      <c r="C7">
        <v>19.571674999999999</v>
      </c>
      <c r="D7">
        <v>19.367771999999999</v>
      </c>
      <c r="E7">
        <v>19.345137000000001</v>
      </c>
      <c r="F7">
        <v>31.785647000000001</v>
      </c>
      <c r="G7">
        <v>29.439019999999999</v>
      </c>
      <c r="H7">
        <v>24.306408999999999</v>
      </c>
      <c r="I7">
        <v>21.974159</v>
      </c>
      <c r="J7">
        <v>55.590066999999998</v>
      </c>
      <c r="K7">
        <v>45.908526000000002</v>
      </c>
      <c r="L7">
        <v>207.76618300000001</v>
      </c>
      <c r="M7">
        <v>-622.49795900000004</v>
      </c>
      <c r="N7">
        <v>0.97097299999999997</v>
      </c>
      <c r="O7">
        <v>0.87554900000000002</v>
      </c>
      <c r="P7">
        <f t="shared" si="3"/>
        <v>1.6182883333333334E-5</v>
      </c>
      <c r="Q7" cm="1">
        <f t="array" ref="Q7">[1]!PropsSI("D","T",J7+273.15,"P",101325,"Water")</f>
        <v>985.40630155431734</v>
      </c>
      <c r="R7" cm="1">
        <f t="array" ref="R7">[1]!PropsSI("D","T",K7+273.15,"P",101325,"Water")</f>
        <v>989.82981303217207</v>
      </c>
      <c r="S7">
        <f t="shared" si="2"/>
        <v>987.61805729324465</v>
      </c>
      <c r="T7" cm="1">
        <f t="array" ref="T7">[1]!PropsSI("H","T",J7+273.15,"P",101325,"Water")</f>
        <v>232797.36302049767</v>
      </c>
      <c r="U7" cm="1">
        <f t="array" ref="U7">[1]!PropsSI("H","T",K7+273.15,"P",101325,"Water")</f>
        <v>192312.814277792</v>
      </c>
      <c r="V7">
        <f t="shared" si="1"/>
        <v>647.04461602211859</v>
      </c>
    </row>
    <row r="8" spans="1:22" x14ac:dyDescent="0.2">
      <c r="A8">
        <v>46068.561297314816</v>
      </c>
      <c r="B8">
        <v>19.699200000000001</v>
      </c>
      <c r="C8">
        <v>19.583794999999999</v>
      </c>
      <c r="D8">
        <v>19.239315999999999</v>
      </c>
      <c r="E8">
        <v>19.270243000000001</v>
      </c>
      <c r="F8">
        <v>32.042529999999999</v>
      </c>
      <c r="G8">
        <v>29.826919</v>
      </c>
      <c r="H8">
        <v>24.400950000000002</v>
      </c>
      <c r="I8">
        <v>21.856687999999998</v>
      </c>
      <c r="J8">
        <v>55.588158</v>
      </c>
      <c r="K8">
        <v>45.890121000000001</v>
      </c>
      <c r="L8">
        <v>215.27846</v>
      </c>
      <c r="M8">
        <v>-622.51224400000001</v>
      </c>
      <c r="N8">
        <v>0.96406400000000003</v>
      </c>
      <c r="O8">
        <v>1.032821</v>
      </c>
      <c r="P8">
        <f t="shared" si="3"/>
        <v>1.6067733333333335E-5</v>
      </c>
      <c r="Q8" cm="1">
        <f t="array" ref="Q8">[1]!PropsSI("D","T",J8+273.15,"P",101325,"Water")</f>
        <v>985.4072328402093</v>
      </c>
      <c r="R8" cm="1">
        <f t="array" ref="R8">[1]!PropsSI("D","T",K8+273.15,"P",101325,"Water")</f>
        <v>989.83763025978635</v>
      </c>
      <c r="S8">
        <f t="shared" si="2"/>
        <v>987.62243154999783</v>
      </c>
      <c r="T8" cm="1">
        <f t="array" ref="T8">[1]!PropsSI("H","T",J8+273.15,"P",101325,"Water")</f>
        <v>232789.37734465933</v>
      </c>
      <c r="U8" cm="1">
        <f t="array" ref="U8">[1]!PropsSI("H","T",K8+273.15,"P",101325,"Water")</f>
        <v>192235.87539430082</v>
      </c>
      <c r="V8">
        <f t="shared" si="1"/>
        <v>643.53759613031355</v>
      </c>
    </row>
    <row r="9" spans="1:22" x14ac:dyDescent="0.2">
      <c r="A9">
        <v>46068.561413634263</v>
      </c>
      <c r="B9">
        <v>20.097238999999998</v>
      </c>
      <c r="C9">
        <v>19.961955</v>
      </c>
      <c r="D9">
        <v>19.676724</v>
      </c>
      <c r="E9">
        <v>19.625924000000001</v>
      </c>
      <c r="F9">
        <v>32.094810000000003</v>
      </c>
      <c r="G9">
        <v>29.506595000000001</v>
      </c>
      <c r="H9">
        <v>24.668827</v>
      </c>
      <c r="I9">
        <v>22.515602999999999</v>
      </c>
      <c r="J9">
        <v>55.580997000000004</v>
      </c>
      <c r="K9">
        <v>45.87838</v>
      </c>
      <c r="L9">
        <v>189.68831299999999</v>
      </c>
      <c r="M9">
        <v>-622.5</v>
      </c>
      <c r="N9">
        <v>0.96907100000000002</v>
      </c>
      <c r="O9">
        <v>1.038781</v>
      </c>
      <c r="P9">
        <f t="shared" si="3"/>
        <v>1.6151183333333335E-5</v>
      </c>
      <c r="Q9" cm="1">
        <f t="array" ref="Q9">[1]!PropsSI("D","T",J9+273.15,"P",101325,"Water")</f>
        <v>985.41072605962643</v>
      </c>
      <c r="R9" cm="1">
        <f t="array" ref="R9">[1]!PropsSI("D","T",K9+273.15,"P",101325,"Water")</f>
        <v>989.84261584096896</v>
      </c>
      <c r="S9">
        <f t="shared" si="2"/>
        <v>987.62667095029769</v>
      </c>
      <c r="T9" cm="1">
        <f t="array" ref="T9">[1]!PropsSI("H","T",J9+273.15,"P",101325,"Water")</f>
        <v>232759.42166017764</v>
      </c>
      <c r="U9" cm="1">
        <f t="array" ref="U9">[1]!PropsSI("H","T",K9+273.15,"P",101325,"Water")</f>
        <v>192186.79423481782</v>
      </c>
      <c r="V9">
        <f t="shared" si="1"/>
        <v>647.18775152367459</v>
      </c>
    </row>
    <row r="10" spans="1:22" x14ac:dyDescent="0.2">
      <c r="A10">
        <v>44606.561529377002</v>
      </c>
      <c r="B10">
        <v>19.885497000000001</v>
      </c>
      <c r="C10">
        <v>19.910136000000001</v>
      </c>
      <c r="D10">
        <v>19.452843999999999</v>
      </c>
      <c r="E10">
        <v>19.502870999999999</v>
      </c>
      <c r="F10">
        <v>32.151721000000002</v>
      </c>
      <c r="G10">
        <v>29.269874000000002</v>
      </c>
      <c r="H10">
        <v>24.643684</v>
      </c>
      <c r="I10">
        <v>21.907202000000002</v>
      </c>
      <c r="J10">
        <v>55.576222999999999</v>
      </c>
      <c r="K10">
        <v>45.902338</v>
      </c>
      <c r="L10">
        <v>216.258003</v>
      </c>
      <c r="M10">
        <v>-622.50693799999999</v>
      </c>
      <c r="N10">
        <v>0.96038000000000001</v>
      </c>
      <c r="O10">
        <v>1.2474689999999999</v>
      </c>
      <c r="P10">
        <f t="shared" si="3"/>
        <v>1.6006333333333333E-5</v>
      </c>
      <c r="Q10" cm="1">
        <f t="array" ref="Q10">[1]!PropsSI("D","T",J10+273.15,"P",101325,"Water")</f>
        <v>985.413054696774</v>
      </c>
      <c r="R10" cm="1">
        <f t="array" ref="R10">[1]!PropsSI("D","T",K10+273.15,"P",101325,"Water")</f>
        <v>989.83244154606564</v>
      </c>
      <c r="S10">
        <f t="shared" si="2"/>
        <v>987.62274812141982</v>
      </c>
      <c r="T10" cm="1">
        <f t="array" ref="T10">[1]!PropsSI("H","T",J10+273.15,"P",101325,"Water")</f>
        <v>232739.45121440972</v>
      </c>
      <c r="U10" cm="1">
        <f t="array" ref="U10">[1]!PropsSI("H","T",K10+273.15,"P",101325,"Water")</f>
        <v>192286.94641807169</v>
      </c>
      <c r="V10">
        <f t="shared" si="1"/>
        <v>639.48205144071915</v>
      </c>
    </row>
    <row r="11" spans="1:22" x14ac:dyDescent="0.2">
      <c r="A11">
        <v>44606.561645117697</v>
      </c>
      <c r="B11">
        <v>20.115337</v>
      </c>
      <c r="C11">
        <v>19.867263000000001</v>
      </c>
      <c r="D11">
        <v>19.441216000000001</v>
      </c>
      <c r="E11">
        <v>19.596506999999999</v>
      </c>
      <c r="F11">
        <v>32.139110000000002</v>
      </c>
      <c r="G11">
        <v>27.223154999999998</v>
      </c>
      <c r="H11">
        <v>24.649538</v>
      </c>
      <c r="I11">
        <v>21.803571999999999</v>
      </c>
      <c r="J11">
        <v>55.577655</v>
      </c>
      <c r="K11">
        <v>45.895674</v>
      </c>
      <c r="L11">
        <v>221.26428300000001</v>
      </c>
      <c r="M11">
        <v>-622.49142900000004</v>
      </c>
      <c r="N11">
        <v>0.97064499999999998</v>
      </c>
      <c r="O11">
        <v>1.2829740000000001</v>
      </c>
      <c r="P11">
        <f t="shared" si="3"/>
        <v>1.6177416666666665E-5</v>
      </c>
      <c r="Q11" cm="1">
        <f t="array" ref="Q11">[1]!PropsSI("D","T",J11+273.15,"P",101325,"Water")</f>
        <v>985.4123562179542</v>
      </c>
      <c r="R11" cm="1">
        <f t="array" ref="R11">[1]!PropsSI("D","T",K11+273.15,"P",101325,"Water")</f>
        <v>989.83527195829208</v>
      </c>
      <c r="S11">
        <f t="shared" si="2"/>
        <v>987.62381408812314</v>
      </c>
      <c r="T11" cm="1">
        <f t="array" ref="T11">[1]!PropsSI("H","T",J11+273.15,"P",101325,"Water")</f>
        <v>232745.44151061832</v>
      </c>
      <c r="U11" cm="1">
        <f t="array" ref="U11">[1]!PropsSI("H","T",K11+273.15,"P",101325,"Water")</f>
        <v>192259.08873201671</v>
      </c>
      <c r="V11">
        <f t="shared" si="1"/>
        <v>646.85863457991286</v>
      </c>
    </row>
    <row r="12" spans="1:22" x14ac:dyDescent="0.2">
      <c r="A12">
        <v>44606.561761437202</v>
      </c>
      <c r="B12">
        <v>20.111563</v>
      </c>
      <c r="C12">
        <v>20.082056999999999</v>
      </c>
      <c r="D12">
        <v>19.548855</v>
      </c>
      <c r="E12">
        <v>19.717334999999999</v>
      </c>
      <c r="F12">
        <v>32.400371</v>
      </c>
      <c r="G12">
        <v>29.172877</v>
      </c>
      <c r="H12">
        <v>24.580152999999999</v>
      </c>
      <c r="I12">
        <v>22.011938000000001</v>
      </c>
      <c r="J12">
        <v>55.572721999999999</v>
      </c>
      <c r="K12">
        <v>45.899006</v>
      </c>
      <c r="L12">
        <v>217.01714899999999</v>
      </c>
      <c r="M12">
        <v>-622.506122</v>
      </c>
      <c r="N12">
        <v>0.96854700000000005</v>
      </c>
      <c r="O12">
        <v>1.4904679999999999</v>
      </c>
      <c r="P12">
        <f t="shared" si="3"/>
        <v>1.614245E-5</v>
      </c>
      <c r="Q12" cm="1">
        <f t="array" ref="Q12">[1]!PropsSI("D","T",J12+273.15,"P",101325,"Water")</f>
        <v>985.41476230716751</v>
      </c>
      <c r="R12" cm="1">
        <f t="array" ref="R12">[1]!PropsSI("D","T",K12+273.15,"P",101325,"Water")</f>
        <v>989.83385679044125</v>
      </c>
      <c r="S12">
        <f t="shared" si="2"/>
        <v>987.62430954880438</v>
      </c>
      <c r="T12" cm="1">
        <f t="array" ref="T12">[1]!PropsSI("H","T",J12+273.15,"P",101325,"Water")</f>
        <v>232724.80594731681</v>
      </c>
      <c r="U12" cm="1">
        <f t="array" ref="U12">[1]!PropsSI("H","T",K12+273.15,"P",101325,"Water")</f>
        <v>192273.01757386519</v>
      </c>
      <c r="V12">
        <f t="shared" si="1"/>
        <v>644.90975710166811</v>
      </c>
    </row>
    <row r="13" spans="1:22" x14ac:dyDescent="0.2">
      <c r="A13">
        <v>44606.561877177897</v>
      </c>
      <c r="B13">
        <v>19.994724999999999</v>
      </c>
      <c r="C13">
        <v>19.875616999999998</v>
      </c>
      <c r="D13">
        <v>19.38785</v>
      </c>
      <c r="E13">
        <v>19.473472999999998</v>
      </c>
      <c r="F13">
        <v>32.305363999999997</v>
      </c>
      <c r="G13">
        <v>28.890546000000001</v>
      </c>
      <c r="H13">
        <v>24.440293</v>
      </c>
      <c r="I13">
        <v>22.218176</v>
      </c>
      <c r="J13">
        <v>55.568106999999998</v>
      </c>
      <c r="K13">
        <v>45.901386000000002</v>
      </c>
      <c r="L13">
        <v>203.15457799999999</v>
      </c>
      <c r="M13">
        <v>-622.47918500000003</v>
      </c>
      <c r="N13">
        <v>0.96475599999999995</v>
      </c>
      <c r="O13">
        <v>1.4432069999999999</v>
      </c>
      <c r="P13">
        <f t="shared" si="3"/>
        <v>1.6079266666666667E-5</v>
      </c>
      <c r="Q13" cm="1">
        <f t="array" ref="Q13">[1]!PropsSI("D","T",J13+273.15,"P",101325,"Water")</f>
        <v>985.41701315472028</v>
      </c>
      <c r="R13" cm="1">
        <f t="array" ref="R13">[1]!PropsSI("D","T",K13+273.15,"P",101325,"Water")</f>
        <v>989.83284590939581</v>
      </c>
      <c r="S13">
        <f t="shared" si="2"/>
        <v>987.6249295320581</v>
      </c>
      <c r="T13" cm="1">
        <f t="array" ref="T13">[1]!PropsSI("H","T",J13+273.15,"P",101325,"Water")</f>
        <v>232705.500639354</v>
      </c>
      <c r="U13" cm="1">
        <f t="array" ref="U13">[1]!PropsSI("H","T",K13+273.15,"P",101325,"Water")</f>
        <v>192282.96674806482</v>
      </c>
      <c r="V13">
        <f t="shared" si="1"/>
        <v>641.92134279420225</v>
      </c>
    </row>
    <row r="14" spans="1:22" x14ac:dyDescent="0.2">
      <c r="A14">
        <v>44606.561993497402</v>
      </c>
      <c r="B14">
        <v>20.083306</v>
      </c>
      <c r="C14">
        <v>20.110928999999999</v>
      </c>
      <c r="D14">
        <v>19.083027000000001</v>
      </c>
      <c r="E14">
        <v>19.481024999999999</v>
      </c>
      <c r="F14">
        <v>32.150728000000001</v>
      </c>
      <c r="G14">
        <v>29.233105999999999</v>
      </c>
      <c r="H14">
        <v>24.368905000000002</v>
      </c>
      <c r="I14">
        <v>21.985614000000002</v>
      </c>
      <c r="J14">
        <v>55.564127999999997</v>
      </c>
      <c r="K14">
        <v>45.898847000000004</v>
      </c>
      <c r="L14">
        <v>216.76736500000001</v>
      </c>
      <c r="M14">
        <v>-622.50938699999995</v>
      </c>
      <c r="N14">
        <v>0.969916</v>
      </c>
      <c r="O14">
        <v>1.5913550000000001</v>
      </c>
      <c r="P14">
        <f t="shared" si="3"/>
        <v>1.6165266666666666E-5</v>
      </c>
      <c r="Q14" cm="1">
        <f t="array" ref="Q14">[1]!PropsSI("D","T",J14+273.15,"P",101325,"Water")</f>
        <v>985.41895370411146</v>
      </c>
      <c r="R14" cm="1">
        <f t="array" ref="R14">[1]!PropsSI("D","T",K14+273.15,"P",101325,"Water")</f>
        <v>989.83392432269659</v>
      </c>
      <c r="S14">
        <f t="shared" si="2"/>
        <v>987.62643901340402</v>
      </c>
      <c r="T14" cm="1">
        <f t="array" ref="T14">[1]!PropsSI("H","T",J14+273.15,"P",101325,"Water")</f>
        <v>232688.85583085191</v>
      </c>
      <c r="U14" cm="1">
        <f t="array" ref="U14">[1]!PropsSI("H","T",K14+273.15,"P",101325,"Water")</f>
        <v>192272.35290218575</v>
      </c>
      <c r="V14">
        <f t="shared" si="1"/>
        <v>645.2593613448721</v>
      </c>
    </row>
    <row r="15" spans="1:22" x14ac:dyDescent="0.2">
      <c r="A15">
        <v>46068.562109236111</v>
      </c>
      <c r="B15">
        <v>20.176242999999999</v>
      </c>
      <c r="C15">
        <v>20.011742000000002</v>
      </c>
      <c r="D15">
        <v>19.390032999999999</v>
      </c>
      <c r="E15">
        <v>19.565110000000001</v>
      </c>
      <c r="F15">
        <v>32.235760999999997</v>
      </c>
      <c r="G15">
        <v>29.333552000000001</v>
      </c>
      <c r="H15">
        <v>24.496783000000001</v>
      </c>
      <c r="I15">
        <v>22.270052</v>
      </c>
      <c r="J15">
        <v>55.559513000000003</v>
      </c>
      <c r="K15">
        <v>45.896785000000001</v>
      </c>
      <c r="L15">
        <v>222.12750500000001</v>
      </c>
      <c r="M15">
        <v>-622.49918400000001</v>
      </c>
      <c r="N15">
        <v>0.96580500000000002</v>
      </c>
      <c r="O15">
        <v>1.068962</v>
      </c>
      <c r="P15">
        <f t="shared" si="3"/>
        <v>1.6096750000000001E-5</v>
      </c>
      <c r="Q15" cm="1">
        <f t="array" ref="Q15">[1]!PropsSI("D","T",J15+273.15,"P",101325,"Water")</f>
        <v>985.42120430689783</v>
      </c>
      <c r="R15" cm="1">
        <f t="array" ref="R15">[1]!PropsSI("D","T",K15+273.15,"P",101325,"Water")</f>
        <v>989.83480010258609</v>
      </c>
      <c r="S15">
        <f t="shared" si="2"/>
        <v>987.62800220474196</v>
      </c>
      <c r="T15" cm="1">
        <f t="array" ref="T15">[1]!PropsSI("H","T",J15+273.15,"P",101325,"Water")</f>
        <v>232669.55053754308</v>
      </c>
      <c r="U15" cm="1">
        <f t="array" ref="U15">[1]!PropsSI("H","T",K15+273.15,"P",101325,"Water")</f>
        <v>192263.73307248243</v>
      </c>
      <c r="V15">
        <f t="shared" si="1"/>
        <v>642.35556593598744</v>
      </c>
    </row>
    <row r="16" spans="1:22" x14ac:dyDescent="0.2">
      <c r="A16">
        <v>46068.562225555557</v>
      </c>
      <c r="B16">
        <v>20.191742000000001</v>
      </c>
      <c r="C16">
        <v>20.050104000000001</v>
      </c>
      <c r="D16">
        <v>19.389600000000002</v>
      </c>
      <c r="E16">
        <v>19.576515000000001</v>
      </c>
      <c r="F16">
        <v>32.012590000000003</v>
      </c>
      <c r="G16">
        <v>29.333366999999999</v>
      </c>
      <c r="H16">
        <v>24.674717999999999</v>
      </c>
      <c r="I16">
        <v>22.1557</v>
      </c>
      <c r="J16">
        <v>55.557763000000001</v>
      </c>
      <c r="K16">
        <v>45.889803999999998</v>
      </c>
      <c r="L16">
        <v>223.21887899999999</v>
      </c>
      <c r="M16">
        <v>-622.49918400000001</v>
      </c>
      <c r="N16">
        <v>0.96893200000000002</v>
      </c>
      <c r="O16">
        <v>1.156061</v>
      </c>
      <c r="P16">
        <f t="shared" si="3"/>
        <v>1.6148866666666667E-5</v>
      </c>
      <c r="Q16" cm="1">
        <f t="array" ref="Q16">[1]!PropsSI("D","T",J16+273.15,"P",101325,"Water")</f>
        <v>985.42205769719465</v>
      </c>
      <c r="R16" cm="1">
        <f t="array" ref="R16">[1]!PropsSI("D","T",K16+273.15,"P",101325,"Water")</f>
        <v>989.83776487998909</v>
      </c>
      <c r="S16">
        <f t="shared" si="2"/>
        <v>987.62991128859187</v>
      </c>
      <c r="T16" cm="1">
        <f t="array" ref="T16">[1]!PropsSI("H","T",J16+273.15,"P",101325,"Water")</f>
        <v>232662.23000587153</v>
      </c>
      <c r="U16" cm="1">
        <f t="array" ref="U16">[1]!PropsSI("H","T",K16+273.15,"P",101325,"Water")</f>
        <v>192234.55023187542</v>
      </c>
      <c r="V16">
        <f t="shared" si="1"/>
        <v>644.78525922515155</v>
      </c>
    </row>
    <row r="17" spans="1:22" x14ac:dyDescent="0.2">
      <c r="A17">
        <v>46068.562341874996</v>
      </c>
      <c r="B17">
        <v>20.361097999999998</v>
      </c>
      <c r="C17">
        <v>20.024165</v>
      </c>
      <c r="D17">
        <v>19.582519000000001</v>
      </c>
      <c r="E17">
        <v>19.675207</v>
      </c>
      <c r="F17">
        <v>31.953218</v>
      </c>
      <c r="G17">
        <v>30.670207000000001</v>
      </c>
      <c r="H17">
        <v>24.539299</v>
      </c>
      <c r="I17">
        <v>22.370525000000001</v>
      </c>
      <c r="J17">
        <v>55.561900000000001</v>
      </c>
      <c r="K17">
        <v>45.893453000000001</v>
      </c>
      <c r="L17">
        <v>212.27493699999999</v>
      </c>
      <c r="M17">
        <v>-622.48775599999999</v>
      </c>
      <c r="N17">
        <v>0.96493700000000004</v>
      </c>
      <c r="O17">
        <v>1.6481969999999999</v>
      </c>
      <c r="P17">
        <f t="shared" si="3"/>
        <v>1.6082283333333333E-5</v>
      </c>
      <c r="Q17" cm="1">
        <f t="array" ref="Q17">[1]!PropsSI("D","T",J17+273.15,"P",101325,"Water")</f>
        <v>985.42004025204847</v>
      </c>
      <c r="R17" cm="1">
        <f t="array" ref="R17">[1]!PropsSI("D","T",K17+273.15,"P",101325,"Water")</f>
        <v>989.83621521944804</v>
      </c>
      <c r="S17">
        <f t="shared" si="2"/>
        <v>987.62812773574819</v>
      </c>
      <c r="T17" cm="1">
        <f t="array" ref="T17">[1]!PropsSI("H","T",J17+273.15,"P",101325,"Water")</f>
        <v>232679.5357446048</v>
      </c>
      <c r="U17" cm="1">
        <f t="array" ref="U17">[1]!PropsSI("H","T",K17+273.15,"P",101325,"Water")</f>
        <v>192249.80423225462</v>
      </c>
      <c r="V17">
        <f t="shared" si="1"/>
        <v>642.15817626724868</v>
      </c>
    </row>
    <row r="18" spans="1:22" x14ac:dyDescent="0.2">
      <c r="A18">
        <v>46068.562457615742</v>
      </c>
      <c r="B18">
        <v>20.199376999999998</v>
      </c>
      <c r="C18">
        <v>20.090185999999999</v>
      </c>
      <c r="D18">
        <v>19.471336999999998</v>
      </c>
      <c r="E18">
        <v>19.531462999999999</v>
      </c>
      <c r="F18">
        <v>32.063090000000003</v>
      </c>
      <c r="G18">
        <v>29.584306000000002</v>
      </c>
      <c r="H18">
        <v>24.503648999999999</v>
      </c>
      <c r="I18">
        <v>22.475698000000001</v>
      </c>
      <c r="J18">
        <v>55.553306999999997</v>
      </c>
      <c r="K18">
        <v>45.898688999999997</v>
      </c>
      <c r="L18">
        <v>228.441475</v>
      </c>
      <c r="M18">
        <v>-622.49632699999995</v>
      </c>
      <c r="N18">
        <v>0.96340800000000004</v>
      </c>
      <c r="O18">
        <v>1.4932890000000001</v>
      </c>
      <c r="P18">
        <f t="shared" si="3"/>
        <v>1.6056800000000002E-5</v>
      </c>
      <c r="Q18" cm="1">
        <f t="array" ref="Q18">[1]!PropsSI("D","T",J18+273.15,"P",101325,"Water")</f>
        <v>985.42423058738314</v>
      </c>
      <c r="R18" cm="1">
        <f t="array" ref="R18">[1]!PropsSI("D","T",K18+273.15,"P",101325,"Water")</f>
        <v>989.83399143005886</v>
      </c>
      <c r="S18">
        <f t="shared" si="2"/>
        <v>987.629111008721</v>
      </c>
      <c r="T18" cm="1">
        <f t="array" ref="T18">[1]!PropsSI("H","T",J18+273.15,"P",101325,"Water")</f>
        <v>232643.5898457586</v>
      </c>
      <c r="U18" cm="1">
        <f t="array" ref="U18">[1]!PropsSI("H","T",K18+273.15,"P",101325,"Water")</f>
        <v>192271.69241083533</v>
      </c>
      <c r="V18">
        <f t="shared" si="1"/>
        <v>640.22413456886511</v>
      </c>
    </row>
    <row r="19" spans="1:22" x14ac:dyDescent="0.2">
      <c r="A19">
        <v>46068.562573935182</v>
      </c>
      <c r="B19">
        <v>20.151001000000001</v>
      </c>
      <c r="C19">
        <v>20.002267</v>
      </c>
      <c r="D19">
        <v>19.60446</v>
      </c>
      <c r="E19">
        <v>19.698124</v>
      </c>
      <c r="F19">
        <v>32.250549999999997</v>
      </c>
      <c r="G19">
        <v>29.856345999999998</v>
      </c>
      <c r="H19">
        <v>24.742004000000001</v>
      </c>
      <c r="I19">
        <v>22.054615999999999</v>
      </c>
      <c r="J19">
        <v>55.544713999999999</v>
      </c>
      <c r="K19">
        <v>45.895038999999997</v>
      </c>
      <c r="L19">
        <v>217.163264</v>
      </c>
      <c r="M19">
        <v>-622.49836700000003</v>
      </c>
      <c r="N19">
        <v>0.96858</v>
      </c>
      <c r="O19">
        <v>1.1817310000000001</v>
      </c>
      <c r="P19">
        <f t="shared" si="3"/>
        <v>1.6143000000000001E-5</v>
      </c>
      <c r="Q19" cm="1">
        <f t="array" ref="Q19">[1]!PropsSI("D","T",J19+273.15,"P",101325,"Water")</f>
        <v>985.42842046696308</v>
      </c>
      <c r="R19" cm="1">
        <f t="array" ref="R19">[1]!PropsSI("D","T",K19+273.15,"P",101325,"Water")</f>
        <v>989.83554164695249</v>
      </c>
      <c r="S19">
        <f t="shared" si="2"/>
        <v>987.63198105695778</v>
      </c>
      <c r="T19" cm="1">
        <f t="array" ref="T19">[1]!PropsSI("H","T",J19+273.15,"P",101325,"Water")</f>
        <v>232607.64397416293</v>
      </c>
      <c r="U19" cm="1">
        <f t="array" ref="U19">[1]!PropsSI("H","T",K19+273.15,"P",101325,"Water")</f>
        <v>192256.43422613406</v>
      </c>
      <c r="V19">
        <f t="shared" si="1"/>
        <v>643.33318031052238</v>
      </c>
    </row>
    <row r="20" spans="1:22" x14ac:dyDescent="0.2">
      <c r="A20">
        <v>46068.562689675928</v>
      </c>
      <c r="B20">
        <v>19.959026000000001</v>
      </c>
      <c r="C20">
        <v>19.80096</v>
      </c>
      <c r="D20">
        <v>19.531548000000001</v>
      </c>
      <c r="E20">
        <v>19.533072000000001</v>
      </c>
      <c r="F20">
        <v>32.044181999999999</v>
      </c>
      <c r="G20">
        <v>28.606653000000001</v>
      </c>
      <c r="H20">
        <v>24.678004000000001</v>
      </c>
      <c r="I20">
        <v>22.474188999999999</v>
      </c>
      <c r="J20">
        <v>55.541690000000003</v>
      </c>
      <c r="K20">
        <v>45.884250000000002</v>
      </c>
      <c r="L20">
        <v>214.256879</v>
      </c>
      <c r="M20">
        <v>-622.49020499999995</v>
      </c>
      <c r="N20">
        <v>0.96730899999999997</v>
      </c>
      <c r="O20">
        <v>1.156404</v>
      </c>
      <c r="P20">
        <f t="shared" si="3"/>
        <v>1.6121816666666665E-5</v>
      </c>
      <c r="Q20" cm="1">
        <f t="array" ref="Q20">[1]!PropsSI("D","T",J20+273.15,"P",101325,"Water")</f>
        <v>985.42989483726774</v>
      </c>
      <c r="R20" cm="1">
        <f t="array" ref="R20">[1]!PropsSI("D","T",K20+273.15,"P",101325,"Water")</f>
        <v>989.84012338148386</v>
      </c>
      <c r="S20">
        <f t="shared" si="2"/>
        <v>987.6350091093758</v>
      </c>
      <c r="T20" cm="1">
        <f t="array" ref="T20">[1]!PropsSI("H","T",J20+273.15,"P",101325,"Water")</f>
        <v>232594.99411267391</v>
      </c>
      <c r="U20" cm="1">
        <f t="array" ref="U20">[1]!PropsSI("H","T",K20+273.15,"P",101325,"Water")</f>
        <v>192211.33272074119</v>
      </c>
      <c r="V20">
        <f t="shared" si="1"/>
        <v>643.00765923211145</v>
      </c>
    </row>
    <row r="21" spans="1:22" x14ac:dyDescent="0.2">
      <c r="A21">
        <v>46068.562805416666</v>
      </c>
      <c r="B21">
        <v>20.147320000000001</v>
      </c>
      <c r="C21">
        <v>19.985378999999998</v>
      </c>
      <c r="D21">
        <v>19.530839</v>
      </c>
      <c r="E21">
        <v>19.650784999999999</v>
      </c>
      <c r="F21">
        <v>32.214548999999998</v>
      </c>
      <c r="G21">
        <v>28.900485</v>
      </c>
      <c r="H21">
        <v>24.670407999999998</v>
      </c>
      <c r="I21">
        <v>22.275637</v>
      </c>
      <c r="J21">
        <v>55.542963</v>
      </c>
      <c r="K21">
        <v>45.877586999999998</v>
      </c>
      <c r="L21">
        <v>215.19111799999999</v>
      </c>
      <c r="M21">
        <v>-622.50204099999996</v>
      </c>
      <c r="N21">
        <v>0.96836699999999998</v>
      </c>
      <c r="O21">
        <v>1.2463379999999999</v>
      </c>
      <c r="P21">
        <f t="shared" si="3"/>
        <v>1.613945E-5</v>
      </c>
      <c r="Q21" cm="1">
        <f t="array" ref="Q21">[1]!PropsSI("D","T",J21+273.15,"P",101325,"Water")</f>
        <v>985.42927418496174</v>
      </c>
      <c r="R21" cm="1">
        <f t="array" ref="R21">[1]!PropsSI("D","T",K21+273.15,"P",101325,"Water")</f>
        <v>989.84295253831954</v>
      </c>
      <c r="S21">
        <f t="shared" si="2"/>
        <v>987.63611336164058</v>
      </c>
      <c r="T21" cm="1">
        <f t="array" ref="T21">[1]!PropsSI("H","T",J21+273.15,"P",101325,"Water")</f>
        <v>232600.31926891269</v>
      </c>
      <c r="U21" cm="1">
        <f t="array" ref="U21">[1]!PropsSI("H","T",K21+273.15,"P",101325,"Water")</f>
        <v>192183.47924065305</v>
      </c>
      <c r="V21">
        <f t="shared" si="1"/>
        <v>644.24053668795432</v>
      </c>
    </row>
    <row r="22" spans="1:22" x14ac:dyDescent="0.2">
      <c r="A22">
        <v>46068.562921736113</v>
      </c>
      <c r="B22">
        <v>20.270814000000001</v>
      </c>
      <c r="C22">
        <v>20.128755000000002</v>
      </c>
      <c r="D22">
        <v>19.496960999999999</v>
      </c>
      <c r="E22">
        <v>19.588284999999999</v>
      </c>
      <c r="F22">
        <v>32.088973000000003</v>
      </c>
      <c r="G22">
        <v>28.277956</v>
      </c>
      <c r="H22">
        <v>24.795808999999998</v>
      </c>
      <c r="I22">
        <v>22.307838</v>
      </c>
      <c r="J22">
        <v>55.548374000000003</v>
      </c>
      <c r="K22">
        <v>45.881076999999998</v>
      </c>
      <c r="L22">
        <v>219.23703800000001</v>
      </c>
      <c r="M22">
        <v>-622.50081599999999</v>
      </c>
      <c r="N22">
        <v>0.96152300000000002</v>
      </c>
      <c r="O22">
        <v>1.402441</v>
      </c>
      <c r="P22">
        <f t="shared" si="3"/>
        <v>1.6025383333333334E-5</v>
      </c>
      <c r="Q22" cm="1">
        <f t="array" ref="Q22">[1]!PropsSI("D","T",J22+273.15,"P",101325,"Water")</f>
        <v>985.42663593532541</v>
      </c>
      <c r="R22" cm="1">
        <f t="array" ref="R22">[1]!PropsSI("D","T",K22+273.15,"P",101325,"Water")</f>
        <v>989.84147069784228</v>
      </c>
      <c r="S22">
        <f t="shared" si="2"/>
        <v>987.63405331658385</v>
      </c>
      <c r="T22" cm="1">
        <f t="array" ref="T22">[1]!PropsSI("H","T",J22+273.15,"P",101325,"Water")</f>
        <v>232622.95432691905</v>
      </c>
      <c r="U22" cm="1">
        <f t="array" ref="U22">[1]!PropsSI("H","T",K22+273.15,"P",101325,"Water")</f>
        <v>192198.06856042851</v>
      </c>
      <c r="V22">
        <f t="shared" si="1"/>
        <v>639.81332997626396</v>
      </c>
    </row>
    <row r="23" spans="1:22" x14ac:dyDescent="0.2">
      <c r="A23">
        <v>46068.563038055552</v>
      </c>
      <c r="B23">
        <v>20.111349000000001</v>
      </c>
      <c r="C23">
        <v>20.034006999999999</v>
      </c>
      <c r="D23">
        <v>19.476141999999999</v>
      </c>
      <c r="E23">
        <v>19.631786000000002</v>
      </c>
      <c r="F23">
        <v>32.157249999999998</v>
      </c>
      <c r="G23">
        <v>29.034351000000001</v>
      </c>
      <c r="H23">
        <v>24.85266</v>
      </c>
      <c r="I23">
        <v>21.541117</v>
      </c>
      <c r="J23">
        <v>55.540734999999998</v>
      </c>
      <c r="K23">
        <v>45.873620000000003</v>
      </c>
      <c r="L23">
        <v>204.616545</v>
      </c>
      <c r="M23">
        <v>-622.47959300000002</v>
      </c>
      <c r="N23">
        <v>0.96760000000000002</v>
      </c>
      <c r="O23">
        <v>1.089866</v>
      </c>
      <c r="P23">
        <f t="shared" si="3"/>
        <v>1.6126666666666666E-5</v>
      </c>
      <c r="Q23" cm="1">
        <f t="array" ref="Q23">[1]!PropsSI("D","T",J23+273.15,"P",101325,"Water")</f>
        <v>985.43036044182486</v>
      </c>
      <c r="R23" cm="1">
        <f t="array" ref="R23">[1]!PropsSI("D","T",K23+273.15,"P",101325,"Water")</f>
        <v>989.84463680921988</v>
      </c>
      <c r="S23">
        <f t="shared" si="2"/>
        <v>987.63749862552231</v>
      </c>
      <c r="T23" cm="1">
        <f t="array" ref="T23">[1]!PropsSI("H","T",J23+273.15,"P",101325,"Water")</f>
        <v>232590.99920013081</v>
      </c>
      <c r="U23" cm="1">
        <f t="array" ref="U23">[1]!PropsSI("H","T",K23+273.15,"P",101325,"Water")</f>
        <v>192166.89591085806</v>
      </c>
      <c r="V23">
        <f t="shared" si="1"/>
        <v>643.84684974128106</v>
      </c>
    </row>
    <row r="24" spans="1:22" x14ac:dyDescent="0.2">
      <c r="A24">
        <v>46068.563153796298</v>
      </c>
      <c r="B24">
        <v>19.939955000000001</v>
      </c>
      <c r="C24">
        <v>19.960654000000002</v>
      </c>
      <c r="D24">
        <v>19.53623</v>
      </c>
      <c r="E24">
        <v>19.488009999999999</v>
      </c>
      <c r="F24">
        <v>32.131875999999998</v>
      </c>
      <c r="G24">
        <v>29.895298</v>
      </c>
      <c r="H24">
        <v>24.319789</v>
      </c>
      <c r="I24">
        <v>22.558495000000001</v>
      </c>
      <c r="J24">
        <v>55.540894999999999</v>
      </c>
      <c r="K24">
        <v>45.878221000000003</v>
      </c>
      <c r="L24">
        <v>205.52262200000001</v>
      </c>
      <c r="M24">
        <v>-622.46857299999999</v>
      </c>
      <c r="N24">
        <v>0.96924299999999997</v>
      </c>
      <c r="O24">
        <v>1.6844399999999999</v>
      </c>
      <c r="P24">
        <f t="shared" si="3"/>
        <v>1.6154049999999998E-5</v>
      </c>
      <c r="Q24" cm="1">
        <f t="array" ref="Q24">[1]!PropsSI("D","T",J24+273.15,"P",101325,"Water")</f>
        <v>985.43028243516926</v>
      </c>
      <c r="R24" cm="1">
        <f t="array" ref="R24">[1]!PropsSI("D","T",K24+273.15,"P",101325,"Water")</f>
        <v>989.84268335062291</v>
      </c>
      <c r="S24">
        <f t="shared" si="2"/>
        <v>987.63648289289608</v>
      </c>
      <c r="T24" cm="1">
        <f t="array" ref="T24">[1]!PropsSI("H","T",J24+273.15,"P",101325,"Water")</f>
        <v>232591.66850485164</v>
      </c>
      <c r="U24" cm="1">
        <f t="array" ref="U24">[1]!PropsSI("H","T",K24+273.15,"P",101325,"Water")</f>
        <v>192186.12956385114</v>
      </c>
      <c r="V24">
        <f t="shared" si="1"/>
        <v>644.64326679736394</v>
      </c>
    </row>
    <row r="25" spans="1:22" x14ac:dyDescent="0.2">
      <c r="A25">
        <v>46068.563270115737</v>
      </c>
      <c r="B25">
        <v>20.101814999999998</v>
      </c>
      <c r="C25">
        <v>20.004116</v>
      </c>
      <c r="D25">
        <v>19.535308000000001</v>
      </c>
      <c r="E25">
        <v>19.560072999999999</v>
      </c>
      <c r="F25">
        <v>31.803844000000002</v>
      </c>
      <c r="G25">
        <v>30.225472</v>
      </c>
      <c r="H25">
        <v>24.606278</v>
      </c>
      <c r="I25">
        <v>22.3645</v>
      </c>
      <c r="J25">
        <v>55.539780999999998</v>
      </c>
      <c r="K25">
        <v>45.874254999999998</v>
      </c>
      <c r="L25">
        <v>222.732373</v>
      </c>
      <c r="M25">
        <v>-622.49102100000005</v>
      </c>
      <c r="N25">
        <v>0.96822299999999994</v>
      </c>
      <c r="O25">
        <v>1.307043</v>
      </c>
      <c r="P25">
        <f t="shared" si="3"/>
        <v>1.6137049999999998E-5</v>
      </c>
      <c r="Q25" cm="1">
        <f t="array" ref="Q25">[1]!PropsSI("D","T",J25+273.15,"P",101325,"Water")</f>
        <v>985.43082555322792</v>
      </c>
      <c r="R25" cm="1">
        <f t="array" ref="R25">[1]!PropsSI("D","T",K25+273.15,"P",101325,"Water")</f>
        <v>989.84436721429063</v>
      </c>
      <c r="S25">
        <f t="shared" si="2"/>
        <v>987.63759638375927</v>
      </c>
      <c r="T25" cm="1">
        <f t="array" ref="T25">[1]!PropsSI("H","T",J25+273.15,"P",101325,"Water")</f>
        <v>232587.00847107437</v>
      </c>
      <c r="U25" cm="1">
        <f t="array" ref="U25">[1]!PropsSI("H","T",K25+273.15,"P",101325,"Water")</f>
        <v>192169.55041388646</v>
      </c>
      <c r="V25">
        <f t="shared" si="1"/>
        <v>644.15555268520905</v>
      </c>
    </row>
    <row r="26" spans="1:22" x14ac:dyDescent="0.2">
      <c r="A26">
        <v>46068.563385856483</v>
      </c>
      <c r="B26">
        <v>20.129729000000001</v>
      </c>
      <c r="C26">
        <v>20.032495000000001</v>
      </c>
      <c r="D26">
        <v>19.608566</v>
      </c>
      <c r="E26">
        <v>19.716318000000001</v>
      </c>
      <c r="F26">
        <v>31.909399000000001</v>
      </c>
      <c r="G26">
        <v>28.863078999999999</v>
      </c>
      <c r="H26">
        <v>24.594342000000001</v>
      </c>
      <c r="I26">
        <v>21.627136</v>
      </c>
      <c r="J26">
        <v>55.533256000000002</v>
      </c>
      <c r="K26">
        <v>45.870128999999999</v>
      </c>
      <c r="L26">
        <v>205.269982</v>
      </c>
      <c r="M26">
        <v>-622.493878</v>
      </c>
      <c r="N26">
        <v>0.96183099999999999</v>
      </c>
      <c r="O26">
        <v>1.4437789999999999</v>
      </c>
      <c r="P26">
        <f t="shared" si="3"/>
        <v>1.6030516666666668E-5</v>
      </c>
      <c r="Q26" cm="1">
        <f t="array" ref="Q26">[1]!PropsSI("D","T",J26+273.15,"P",101325,"Water")</f>
        <v>985.43400658900316</v>
      </c>
      <c r="R26" cm="1">
        <f t="array" ref="R26">[1]!PropsSI("D","T",K26+273.15,"P",101325,"Water")</f>
        <v>989.84611889484597</v>
      </c>
      <c r="S26">
        <f t="shared" si="2"/>
        <v>987.64006274192457</v>
      </c>
      <c r="T26" cm="1">
        <f t="array" ref="T26">[1]!PropsSI("H","T",J26+273.15,"P",101325,"Water")</f>
        <v>232559.71339921729</v>
      </c>
      <c r="U26" cm="1">
        <f t="array" ref="U26">[1]!PropsSI("H","T",K26+273.15,"P",101325,"Water")</f>
        <v>192152.30241623067</v>
      </c>
      <c r="V26">
        <f t="shared" si="1"/>
        <v>639.74550515508906</v>
      </c>
    </row>
    <row r="27" spans="1:22" x14ac:dyDescent="0.2">
      <c r="A27">
        <v>46068.563501597222</v>
      </c>
      <c r="B27">
        <v>20.157063000000001</v>
      </c>
      <c r="C27">
        <v>20.13693</v>
      </c>
      <c r="D27">
        <v>19.433843</v>
      </c>
      <c r="E27">
        <v>19.497696000000001</v>
      </c>
      <c r="F27">
        <v>32.333309999999997</v>
      </c>
      <c r="G27">
        <v>29.773081999999999</v>
      </c>
      <c r="H27">
        <v>24.683911999999999</v>
      </c>
      <c r="I27">
        <v>21.701785000000001</v>
      </c>
      <c r="J27">
        <v>55.535643</v>
      </c>
      <c r="K27">
        <v>45.854581000000003</v>
      </c>
      <c r="L27">
        <v>210.32279</v>
      </c>
      <c r="M27">
        <v>-622.51020400000004</v>
      </c>
      <c r="N27">
        <v>0.96309699999999998</v>
      </c>
      <c r="O27">
        <v>1.062036</v>
      </c>
      <c r="P27">
        <f t="shared" si="3"/>
        <v>1.6051616666666667E-5</v>
      </c>
      <c r="Q27" cm="1">
        <f t="array" ref="Q27">[1]!PropsSI("D","T",J27+273.15,"P",101325,"Water")</f>
        <v>985.43284292104261</v>
      </c>
      <c r="R27" cm="1">
        <f t="array" ref="R27">[1]!PropsSI("D","T",K27+273.15,"P",101325,"Water")</f>
        <v>989.85271869581857</v>
      </c>
      <c r="S27">
        <f t="shared" si="2"/>
        <v>987.64278080843064</v>
      </c>
      <c r="T27" cm="1">
        <f t="array" ref="T27">[1]!PropsSI("H","T",J27+273.15,"P",101325,"Water")</f>
        <v>232569.69858301856</v>
      </c>
      <c r="U27" cm="1">
        <f t="array" ref="U27">[1]!PropsSI("H","T",K27+273.15,"P",101325,"Water")</f>
        <v>192087.30684321927</v>
      </c>
      <c r="V27">
        <f t="shared" si="1"/>
        <v>641.77801612048461</v>
      </c>
    </row>
    <row r="28" spans="1:22" x14ac:dyDescent="0.2">
      <c r="A28">
        <v>46068.563617916669</v>
      </c>
      <c r="B28">
        <v>19.537379000000001</v>
      </c>
      <c r="C28">
        <v>19.472086999999998</v>
      </c>
      <c r="D28">
        <v>19.493469000000001</v>
      </c>
      <c r="E28">
        <v>19.383168000000001</v>
      </c>
      <c r="F28">
        <v>31.895316000000001</v>
      </c>
      <c r="G28">
        <v>28.946479</v>
      </c>
      <c r="H28">
        <v>24.108015000000002</v>
      </c>
      <c r="I28">
        <v>21.950924000000001</v>
      </c>
      <c r="J28">
        <v>55.535007</v>
      </c>
      <c r="K28">
        <v>45.850614</v>
      </c>
      <c r="L28">
        <v>214.99561700000001</v>
      </c>
      <c r="M28">
        <v>-622.50244899999996</v>
      </c>
      <c r="N28">
        <v>0.96859200000000001</v>
      </c>
      <c r="O28">
        <v>1.0930690000000001</v>
      </c>
      <c r="P28">
        <f t="shared" si="3"/>
        <v>1.6143200000000002E-5</v>
      </c>
      <c r="Q28" cm="1">
        <f t="array" ref="Q28">[1]!PropsSI("D","T",J28+273.15,"P",101325,"Water")</f>
        <v>985.43315297595643</v>
      </c>
      <c r="R28" cm="1">
        <f t="array" ref="R28">[1]!PropsSI("D","T",K28+273.15,"P",101325,"Water")</f>
        <v>989.85440233751387</v>
      </c>
      <c r="S28">
        <f t="shared" si="2"/>
        <v>987.64377765673521</v>
      </c>
      <c r="T28" cm="1">
        <f t="array" ref="T28">[1]!PropsSI("H","T",J28+273.15,"P",101325,"Water")</f>
        <v>232567.03809810255</v>
      </c>
      <c r="U28" cm="1">
        <f t="array" ref="U28">[1]!PropsSI("H","T",K28+273.15,"P",101325,"Water")</f>
        <v>192070.72353274713</v>
      </c>
      <c r="V28">
        <f t="shared" si="1"/>
        <v>645.66234719575527</v>
      </c>
    </row>
    <row r="29" spans="1:22" x14ac:dyDescent="0.2">
      <c r="A29">
        <v>46068.563734236108</v>
      </c>
      <c r="B29">
        <v>19.990987000000001</v>
      </c>
      <c r="C29">
        <v>19.920451</v>
      </c>
      <c r="D29">
        <v>19.557499</v>
      </c>
      <c r="E29">
        <v>19.640495999999999</v>
      </c>
      <c r="F29">
        <v>32.083081</v>
      </c>
      <c r="G29">
        <v>30.154060999999999</v>
      </c>
      <c r="H29">
        <v>24.514507999999999</v>
      </c>
      <c r="I29">
        <v>22.171807999999999</v>
      </c>
      <c r="J29">
        <v>55.535165999999997</v>
      </c>
      <c r="K29">
        <v>45.820945000000002</v>
      </c>
      <c r="L29">
        <v>213.79363699999999</v>
      </c>
      <c r="M29">
        <v>-622.46734900000001</v>
      </c>
      <c r="N29">
        <v>0.96764899999999998</v>
      </c>
      <c r="O29">
        <v>1.160585</v>
      </c>
      <c r="P29">
        <f t="shared" si="3"/>
        <v>1.6127483333333334E-5</v>
      </c>
      <c r="Q29" cm="1">
        <f t="array" ref="Q29">[1]!PropsSI("D","T",J29+273.15,"P",101325,"Water")</f>
        <v>985.43307546245319</v>
      </c>
      <c r="R29" cm="1">
        <f t="array" ref="R29">[1]!PropsSI("D","T",K29+273.15,"P",101325,"Water")</f>
        <v>989.86699077082733</v>
      </c>
      <c r="S29">
        <f t="shared" si="2"/>
        <v>987.65003311664032</v>
      </c>
      <c r="T29" cm="1">
        <f t="array" ref="T29">[1]!PropsSI("H","T",J29+273.15,"P",101325,"Water")</f>
        <v>232567.70321934123</v>
      </c>
      <c r="U29" cm="1">
        <f t="array" ref="U29">[1]!PropsSI("H","T",K29+273.15,"P",101325,"Water")</f>
        <v>191946.69786589508</v>
      </c>
      <c r="V29">
        <f t="shared" si="1"/>
        <v>647.02394336890234</v>
      </c>
    </row>
    <row r="30" spans="1:22" x14ac:dyDescent="0.2">
      <c r="A30">
        <v>46068.563849976854</v>
      </c>
      <c r="B30">
        <v>19.906645999999999</v>
      </c>
      <c r="C30">
        <v>19.788732</v>
      </c>
      <c r="D30">
        <v>19.432815999999999</v>
      </c>
      <c r="E30">
        <v>19.425352</v>
      </c>
      <c r="F30">
        <v>32.190123999999997</v>
      </c>
      <c r="G30">
        <v>29.755911000000001</v>
      </c>
      <c r="H30">
        <v>24.185587999999999</v>
      </c>
      <c r="I30">
        <v>22.302109000000002</v>
      </c>
      <c r="J30">
        <v>55.531187000000003</v>
      </c>
      <c r="K30">
        <v>45.813329000000003</v>
      </c>
      <c r="L30">
        <v>209.330187</v>
      </c>
      <c r="M30">
        <v>-622.47347100000002</v>
      </c>
      <c r="N30">
        <v>0.96953900000000004</v>
      </c>
      <c r="O30">
        <v>1.3169550000000001</v>
      </c>
      <c r="P30">
        <f t="shared" si="3"/>
        <v>1.6158983333333336E-5</v>
      </c>
      <c r="Q30" cm="1">
        <f t="array" ref="Q30">[1]!PropsSI("D","T",J30+273.15,"P",101325,"Water")</f>
        <v>985.43501520279938</v>
      </c>
      <c r="R30" cm="1">
        <f t="array" ref="R30">[1]!PropsSI("D","T",K30+273.15,"P",101325,"Water")</f>
        <v>989.87022122867063</v>
      </c>
      <c r="S30">
        <f t="shared" si="2"/>
        <v>987.65261821573495</v>
      </c>
      <c r="T30" cm="1">
        <f t="array" ref="T30">[1]!PropsSI("H","T",J30+273.15,"P",101325,"Water")</f>
        <v>232551.0584593541</v>
      </c>
      <c r="U30" cm="1">
        <f t="array" ref="U30">[1]!PropsSI("H","T",K30+273.15,"P",101325,"Water")</f>
        <v>191914.86064214009</v>
      </c>
      <c r="V30">
        <f t="shared" si="1"/>
        <v>648.53186288840254</v>
      </c>
    </row>
    <row r="31" spans="1:22" x14ac:dyDescent="0.2">
      <c r="A31">
        <v>46068.563965717593</v>
      </c>
      <c r="B31">
        <v>20.051195</v>
      </c>
      <c r="C31">
        <v>19.951824999999999</v>
      </c>
      <c r="D31">
        <v>19.454160000000002</v>
      </c>
      <c r="E31">
        <v>19.498642</v>
      </c>
      <c r="F31">
        <v>31.995985999999998</v>
      </c>
      <c r="G31">
        <v>29.300974</v>
      </c>
      <c r="H31">
        <v>24.530429000000002</v>
      </c>
      <c r="I31">
        <v>21.937296</v>
      </c>
      <c r="J31">
        <v>55.537393999999999</v>
      </c>
      <c r="K31">
        <v>45.824117999999999</v>
      </c>
      <c r="L31">
        <v>201.13957600000001</v>
      </c>
      <c r="M31">
        <v>-622.48897999999997</v>
      </c>
      <c r="N31">
        <v>0.959175</v>
      </c>
      <c r="O31">
        <v>1.4173979999999999</v>
      </c>
      <c r="P31">
        <f t="shared" si="3"/>
        <v>1.598625E-5</v>
      </c>
      <c r="Q31" cm="1">
        <f t="array" ref="Q31">[1]!PropsSI("D","T",J31+273.15,"P",101325,"Water")</f>
        <v>985.43198928217146</v>
      </c>
      <c r="R31" cm="1">
        <f t="array" ref="R31">[1]!PropsSI("D","T",K31+273.15,"P",101325,"Water")</f>
        <v>989.86564477006243</v>
      </c>
      <c r="S31">
        <f t="shared" si="2"/>
        <v>987.64881702611694</v>
      </c>
      <c r="T31" cm="1">
        <f t="array" ref="T31">[1]!PropsSI("H","T",J31+273.15,"P",101325,"Water")</f>
        <v>232577.02328355718</v>
      </c>
      <c r="U31" cm="1">
        <f t="array" ref="U31">[1]!PropsSI("H","T",K31+273.15,"P",101325,"Water")</f>
        <v>191959.9619859723</v>
      </c>
      <c r="V31">
        <f t="shared" si="1"/>
        <v>641.29469401874417</v>
      </c>
    </row>
    <row r="32" spans="1:22" x14ac:dyDescent="0.2">
      <c r="A32">
        <v>46068.564082037039</v>
      </c>
      <c r="B32">
        <v>19.716397000000001</v>
      </c>
      <c r="C32">
        <v>19.693442999999998</v>
      </c>
      <c r="D32">
        <v>19.511241999999999</v>
      </c>
      <c r="E32">
        <v>19.409827</v>
      </c>
      <c r="F32">
        <v>31.672319999999999</v>
      </c>
      <c r="G32">
        <v>28.321670000000001</v>
      </c>
      <c r="H32">
        <v>24.401275999999999</v>
      </c>
      <c r="I32">
        <v>22.213348</v>
      </c>
      <c r="J32">
        <v>55.538189000000003</v>
      </c>
      <c r="K32">
        <v>45.833320000000001</v>
      </c>
      <c r="L32">
        <v>207.86168900000001</v>
      </c>
      <c r="M32">
        <v>-622.49632699999995</v>
      </c>
      <c r="N32">
        <v>0.96480600000000005</v>
      </c>
      <c r="O32">
        <v>1.031131</v>
      </c>
      <c r="P32">
        <f t="shared" si="3"/>
        <v>1.6080099999999999E-5</v>
      </c>
      <c r="Q32" cm="1">
        <f t="array" ref="Q32">[1]!PropsSI("D","T",J32+273.15,"P",101325,"Water")</f>
        <v>985.43160170142517</v>
      </c>
      <c r="R32" cm="1">
        <f t="array" ref="R32">[1]!PropsSI("D","T",K32+273.15,"P",101325,"Water")</f>
        <v>989.86174084778202</v>
      </c>
      <c r="S32">
        <f t="shared" si="2"/>
        <v>987.64667127460359</v>
      </c>
      <c r="T32" cm="1">
        <f t="array" ref="T32">[1]!PropsSI("H","T",J32+273.15,"P",101325,"Water")</f>
        <v>232580.34889035957</v>
      </c>
      <c r="U32" cm="1">
        <f t="array" ref="U32">[1]!PropsSI("H","T",K32+273.15,"P",101325,"Water")</f>
        <v>191998.42920022653</v>
      </c>
      <c r="V32">
        <f t="shared" si="1"/>
        <v>644.50002222575199</v>
      </c>
    </row>
    <row r="33" spans="1:22" x14ac:dyDescent="0.2">
      <c r="A33">
        <v>46068.564197777778</v>
      </c>
      <c r="B33">
        <v>20.014461000000001</v>
      </c>
      <c r="C33">
        <v>19.701937999999998</v>
      </c>
      <c r="D33">
        <v>19.296265999999999</v>
      </c>
      <c r="E33">
        <v>19.171115</v>
      </c>
      <c r="F33">
        <v>31.671996</v>
      </c>
      <c r="G33">
        <v>29.601924</v>
      </c>
      <c r="H33">
        <v>24.408321000000001</v>
      </c>
      <c r="I33">
        <v>22.096941000000001</v>
      </c>
      <c r="J33">
        <v>55.538189000000003</v>
      </c>
      <c r="K33">
        <v>45.825069999999997</v>
      </c>
      <c r="L33">
        <v>225.45795100000001</v>
      </c>
      <c r="M33">
        <v>-622.49347</v>
      </c>
      <c r="N33">
        <v>0.96764099999999997</v>
      </c>
      <c r="O33">
        <v>1.3146679999999999</v>
      </c>
      <c r="P33">
        <f t="shared" ref="P33:P36" si="4" xml:space="preserve"> N33*0.001/60</f>
        <v>1.6127350000000001E-5</v>
      </c>
      <c r="Q33" cm="1">
        <f t="array" ref="Q33">[1]!PropsSI("D","T",J33+273.15,"P",101325,"Water")</f>
        <v>985.43160170142517</v>
      </c>
      <c r="R33" cm="1">
        <f t="array" ref="R33">[1]!PropsSI("D","T",K33+273.15,"P",101325,"Water")</f>
        <v>989.86524091385536</v>
      </c>
      <c r="S33">
        <f t="shared" ref="S33:S36" si="5">(Q33+R33)/2</f>
        <v>987.64842130764032</v>
      </c>
      <c r="T33" cm="1">
        <f t="array" ref="T33">[1]!PropsSI("H","T",J33+273.15,"P",101325,"Water")</f>
        <v>232580.34889035957</v>
      </c>
      <c r="U33" cm="1">
        <f t="array" ref="U33">[1]!PropsSI("H","T",K33+273.15,"P",101325,"Water")</f>
        <v>191963.94164042143</v>
      </c>
      <c r="V33">
        <f t="shared" ref="V33:V36" si="6">S33*P33*(T33-U33)</f>
        <v>646.94429892255641</v>
      </c>
    </row>
    <row r="34" spans="1:22" x14ac:dyDescent="0.2">
      <c r="A34">
        <v>46068.564314097224</v>
      </c>
      <c r="B34">
        <v>19.974941999999999</v>
      </c>
      <c r="C34">
        <v>19.768663</v>
      </c>
      <c r="D34">
        <v>19.587761</v>
      </c>
      <c r="E34">
        <v>19.592276999999999</v>
      </c>
      <c r="F34">
        <v>32.117446000000001</v>
      </c>
      <c r="G34">
        <v>28.506326999999999</v>
      </c>
      <c r="H34">
        <v>24.685365999999998</v>
      </c>
      <c r="I34">
        <v>21.785371000000001</v>
      </c>
      <c r="J34">
        <v>55.538666999999997</v>
      </c>
      <c r="K34">
        <v>45.827607999999998</v>
      </c>
      <c r="L34">
        <v>212.696549</v>
      </c>
      <c r="M34">
        <v>-622.48571500000003</v>
      </c>
      <c r="N34">
        <v>0.96643199999999996</v>
      </c>
      <c r="O34">
        <v>1.4011450000000001</v>
      </c>
      <c r="P34">
        <f t="shared" si="4"/>
        <v>1.6107199999999997E-5</v>
      </c>
      <c r="Q34" cm="1">
        <f t="array" ref="Q34">[1]!PropsSI("D","T",J34+273.15,"P",101325,"Water")</f>
        <v>985.43136866360362</v>
      </c>
      <c r="R34" cm="1">
        <f t="array" ref="R34">[1]!PropsSI("D","T",K34+273.15,"P",101325,"Water")</f>
        <v>989.86416421625529</v>
      </c>
      <c r="S34">
        <f t="shared" si="5"/>
        <v>987.64776643992946</v>
      </c>
      <c r="T34" cm="1">
        <f t="array" ref="T34">[1]!PropsSI("H","T",J34+273.15,"P",101325,"Water")</f>
        <v>232582.34843772853</v>
      </c>
      <c r="U34" cm="1">
        <f t="array" ref="U34">[1]!PropsSI("H","T",K34+273.15,"P",101325,"Water")</f>
        <v>191974.55126637433</v>
      </c>
      <c r="V34">
        <f t="shared" si="6"/>
        <v>645.99858748024155</v>
      </c>
    </row>
    <row r="35" spans="1:22" x14ac:dyDescent="0.2">
      <c r="A35">
        <v>46068.564430416664</v>
      </c>
      <c r="B35">
        <v>19.894594000000001</v>
      </c>
      <c r="C35">
        <v>19.642543</v>
      </c>
      <c r="D35">
        <v>19.401361000000001</v>
      </c>
      <c r="E35">
        <v>19.421132</v>
      </c>
      <c r="F35">
        <v>32.029865999999998</v>
      </c>
      <c r="G35">
        <v>28.982953999999999</v>
      </c>
      <c r="H35">
        <v>24.571064</v>
      </c>
      <c r="I35">
        <v>21.859822999999999</v>
      </c>
      <c r="J35">
        <v>55.541372000000003</v>
      </c>
      <c r="K35">
        <v>45.835700000000003</v>
      </c>
      <c r="L35">
        <v>229.75242900000001</v>
      </c>
      <c r="M35">
        <v>-622.49428599999999</v>
      </c>
      <c r="N35">
        <v>0.96038800000000002</v>
      </c>
      <c r="O35">
        <v>2.083847</v>
      </c>
      <c r="P35">
        <f t="shared" si="4"/>
        <v>1.6006466666666667E-5</v>
      </c>
      <c r="Q35" cm="1">
        <f t="array" ref="Q35">[1]!PropsSI("D","T",J35+273.15,"P",101325,"Water")</f>
        <v>985.43004987690165</v>
      </c>
      <c r="R35" cm="1">
        <f t="array" ref="R35">[1]!PropsSI("D","T",K35+273.15,"P",101325,"Water")</f>
        <v>989.86073104451316</v>
      </c>
      <c r="S35">
        <f t="shared" si="5"/>
        <v>987.6453904607074</v>
      </c>
      <c r="T35" cm="1">
        <f t="array" ref="T35">[1]!PropsSI("H","T",J35+273.15,"P",101325,"Water")</f>
        <v>232593.66386951908</v>
      </c>
      <c r="U35" cm="1">
        <f t="array" ref="U35">[1]!PropsSI("H","T",K35+273.15,"P",101325,"Water")</f>
        <v>192008.37834133906</v>
      </c>
      <c r="V35">
        <f t="shared" si="6"/>
        <v>641.60113178613346</v>
      </c>
    </row>
    <row r="36" spans="1:22" x14ac:dyDescent="0.2">
      <c r="A36">
        <v>46068.564546157409</v>
      </c>
      <c r="B36">
        <v>20.039859</v>
      </c>
      <c r="C36">
        <v>19.796118</v>
      </c>
      <c r="D36">
        <v>19.638525999999999</v>
      </c>
      <c r="E36">
        <v>19.744871</v>
      </c>
      <c r="F36">
        <v>31.800312000000002</v>
      </c>
      <c r="G36">
        <v>29.702269000000001</v>
      </c>
      <c r="H36">
        <v>24.815688000000002</v>
      </c>
      <c r="I36">
        <v>21.951709999999999</v>
      </c>
      <c r="J36">
        <v>55.538508</v>
      </c>
      <c r="K36">
        <v>45.835858999999999</v>
      </c>
      <c r="L36">
        <v>213.989137</v>
      </c>
      <c r="M36">
        <v>-622.51224400000001</v>
      </c>
      <c r="N36">
        <v>0.96649399999999996</v>
      </c>
      <c r="O36">
        <v>2.0728680000000002</v>
      </c>
      <c r="P36">
        <f t="shared" si="4"/>
        <v>1.6108233333333333E-5</v>
      </c>
      <c r="Q36" cm="1">
        <f t="array" ref="Q36">[1]!PropsSI("D","T",J36+273.15,"P",101325,"Water")</f>
        <v>985.43144618054305</v>
      </c>
      <c r="R36" cm="1">
        <f t="array" ref="R36">[1]!PropsSI("D","T",K36+273.15,"P",101325,"Water")</f>
        <v>989.86066358148787</v>
      </c>
      <c r="S36">
        <f t="shared" si="5"/>
        <v>987.64605488101552</v>
      </c>
      <c r="T36" cm="1">
        <f t="array" ref="T36">[1]!PropsSI("H","T",J36+273.15,"P",101325,"Water")</f>
        <v>232581.68331633165</v>
      </c>
      <c r="U36" cm="1">
        <f t="array" ref="U36">[1]!PropsSI("H","T",K36+273.15,"P",101325,"Water")</f>
        <v>192009.04301090093</v>
      </c>
      <c r="V36">
        <f t="shared" si="6"/>
        <v>645.47959221391989</v>
      </c>
    </row>
    <row r="38" spans="1:22" x14ac:dyDescent="0.2">
      <c r="F38" s="1" t="s">
        <v>22</v>
      </c>
    </row>
    <row r="39" spans="1:22" x14ac:dyDescent="0.2">
      <c r="F39">
        <f>AVERAGE(V7:V36)</f>
        <v>643.91082079138096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2848C-9E42-624D-A629-11337BC2D16F}">
  <dimension ref="A1:V52"/>
  <sheetViews>
    <sheetView topLeftCell="A16" workbookViewId="0">
      <selection activeCell="F52" sqref="F52"/>
    </sheetView>
  </sheetViews>
  <sheetFormatPr baseColWidth="10" defaultRowHeight="16" x14ac:dyDescent="0.2"/>
  <cols>
    <col min="1" max="1" width="12.1640625" bestFit="1" customWidth="1"/>
    <col min="2" max="10" width="10.1640625" bestFit="1" customWidth="1"/>
    <col min="11" max="12" width="11.1640625" bestFit="1" customWidth="1"/>
    <col min="13" max="13" width="13" bestFit="1" customWidth="1"/>
    <col min="14" max="14" width="11.33203125" bestFit="1" customWidth="1"/>
    <col min="15" max="15" width="11.5" bestFit="1" customWidth="1"/>
    <col min="16" max="16" width="12.5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>
        <v>44606.565509701097</v>
      </c>
      <c r="B2">
        <v>20.099374999999998</v>
      </c>
      <c r="C2">
        <v>19.918088999999998</v>
      </c>
      <c r="D2">
        <v>19.584254000000001</v>
      </c>
      <c r="E2">
        <v>19.656648000000001</v>
      </c>
      <c r="F2">
        <v>30.385940999999999</v>
      </c>
      <c r="G2">
        <v>29.660136999999999</v>
      </c>
      <c r="H2">
        <v>24.206551000000001</v>
      </c>
      <c r="I2">
        <v>21.539657999999999</v>
      </c>
      <c r="J2">
        <v>55.525936000000002</v>
      </c>
      <c r="K2">
        <v>45.318353000000002</v>
      </c>
      <c r="L2">
        <v>282.50284900000003</v>
      </c>
      <c r="M2">
        <v>-622.5</v>
      </c>
      <c r="N2">
        <v>0.96603499999999998</v>
      </c>
      <c r="O2">
        <v>0.95996700000000001</v>
      </c>
      <c r="P2">
        <f xml:space="preserve"> N2*0.001/60</f>
        <v>1.6100583333333333E-5</v>
      </c>
      <c r="Q2" cm="1">
        <f t="array" ref="Q2">[1]!PropsSI("D","T",J2+273.15,"P",101325,"Water")</f>
        <v>985.43757488641938</v>
      </c>
      <c r="R2" cm="1">
        <f t="array" ref="R2">[1]!PropsSI("D","T",K2+273.15,"P",101325,"Water")</f>
        <v>990.07931400180757</v>
      </c>
      <c r="S2">
        <f>(Q2+R2)/2</f>
        <v>987.75844444411348</v>
      </c>
      <c r="T2" cm="1">
        <f t="array" ref="T2">[1]!PropsSI("H","T",J2+273.15,"P",101325,"Water")</f>
        <v>232529.09273958032</v>
      </c>
      <c r="U2" cm="1">
        <f t="array" ref="U2">[1]!PropsSI("H","T",K2+273.15,"P",101325,"Water")</f>
        <v>189845.73443516935</v>
      </c>
      <c r="V2">
        <f>S2*P2*(T2-U2)</f>
        <v>678.81424022666101</v>
      </c>
    </row>
    <row r="3" spans="1:22" x14ac:dyDescent="0.2">
      <c r="A3">
        <v>44606.565625441799</v>
      </c>
      <c r="B3">
        <v>19.926293000000001</v>
      </c>
      <c r="C3">
        <v>19.617768999999999</v>
      </c>
      <c r="D3">
        <v>19.439966999999999</v>
      </c>
      <c r="E3">
        <v>19.34797</v>
      </c>
      <c r="F3">
        <v>30.749419</v>
      </c>
      <c r="G3">
        <v>27.729534000000001</v>
      </c>
      <c r="H3">
        <v>24.035256</v>
      </c>
      <c r="I3">
        <v>21.569389999999999</v>
      </c>
      <c r="J3">
        <v>55.524662999999997</v>
      </c>
      <c r="K3">
        <v>45.288370999999998</v>
      </c>
      <c r="L3">
        <v>300.10482500000001</v>
      </c>
      <c r="M3">
        <v>-622.48530700000003</v>
      </c>
      <c r="N3">
        <v>0.96866600000000003</v>
      </c>
      <c r="O3">
        <v>1.4657640000000001</v>
      </c>
      <c r="P3">
        <f t="shared" ref="P3" si="0" xml:space="preserve"> N3*0.001/60</f>
        <v>1.6144433333333334E-5</v>
      </c>
      <c r="Q3" cm="1">
        <f t="array" ref="Q3">[1]!PropsSI("D","T",J3+273.15,"P",101325,"Water")</f>
        <v>985.43819540493553</v>
      </c>
      <c r="R3" cm="1">
        <f t="array" ref="R3">[1]!PropsSI("D","T",K3+273.15,"P",101325,"Water")</f>
        <v>990.09192477941303</v>
      </c>
      <c r="S3">
        <f>(Q3+R3)/2</f>
        <v>987.76506009217428</v>
      </c>
      <c r="T3" cm="1">
        <f t="array" ref="T3">[1]!PropsSI("H","T",J3+273.15,"P",101325,"Water")</f>
        <v>232523.76759139172</v>
      </c>
      <c r="U3" cm="1">
        <f t="array" ref="U3">[1]!PropsSI("H","T",K3+273.15,"P",101325,"Water")</f>
        <v>189720.40361737847</v>
      </c>
      <c r="V3">
        <f t="shared" ref="V3:V57" si="1">S3*P3*(T3-U3)</f>
        <v>682.58127150007908</v>
      </c>
    </row>
    <row r="4" spans="1:22" x14ac:dyDescent="0.2">
      <c r="A4">
        <v>44606.565741182603</v>
      </c>
      <c r="B4">
        <v>19.987566000000001</v>
      </c>
      <c r="C4">
        <v>19.989750999999998</v>
      </c>
      <c r="D4">
        <v>19.569555000000001</v>
      </c>
      <c r="E4">
        <v>19.544881</v>
      </c>
      <c r="F4">
        <v>30.128368999999999</v>
      </c>
      <c r="G4">
        <v>29.700149</v>
      </c>
      <c r="H4">
        <v>23.867089</v>
      </c>
      <c r="I4">
        <v>21.502668</v>
      </c>
      <c r="J4">
        <v>55.520685</v>
      </c>
      <c r="K4">
        <v>45.270605000000003</v>
      </c>
      <c r="L4">
        <v>283.29995200000002</v>
      </c>
      <c r="M4">
        <v>-622.48857199999998</v>
      </c>
      <c r="N4">
        <v>0.96748100000000004</v>
      </c>
      <c r="O4">
        <v>1.211239</v>
      </c>
      <c r="P4">
        <f xml:space="preserve"> N4*0.001/60</f>
        <v>1.6124683333333335E-5</v>
      </c>
      <c r="Q4" cm="1">
        <f t="array" ref="Q4">[1]!PropsSI("D","T",J4+273.15,"P",101325,"Water")</f>
        <v>985.44013439986838</v>
      </c>
      <c r="R4" cm="1">
        <f t="array" ref="R4">[1]!PropsSI("D","T",K4+273.15,"P",101325,"Water")</f>
        <v>990.09939442019845</v>
      </c>
      <c r="S4">
        <f t="shared" ref="S4:S57" si="2">(Q4+R4)/2</f>
        <v>987.76976441003342</v>
      </c>
      <c r="T4" cm="1">
        <f t="array" ref="T4">[1]!PropsSI("H","T",J4+273.15,"P",101325,"Water")</f>
        <v>232507.12702996511</v>
      </c>
      <c r="U4" cm="1">
        <f t="array" ref="U4">[1]!PropsSI("H","T",K4+273.15,"P",101325,"Water")</f>
        <v>189646.13823299398</v>
      </c>
      <c r="V4">
        <f t="shared" si="1"/>
        <v>682.66731285285107</v>
      </c>
    </row>
    <row r="5" spans="1:22" x14ac:dyDescent="0.2">
      <c r="A5">
        <v>44606.565857501999</v>
      </c>
      <c r="B5">
        <v>20.080708999999999</v>
      </c>
      <c r="C5">
        <v>20.010821</v>
      </c>
      <c r="D5">
        <v>19.479050999999998</v>
      </c>
      <c r="E5">
        <v>19.569226</v>
      </c>
      <c r="F5">
        <v>30.449400000000001</v>
      </c>
      <c r="G5">
        <v>29.344494000000001</v>
      </c>
      <c r="H5">
        <v>23.981387000000002</v>
      </c>
      <c r="I5">
        <v>21.555194</v>
      </c>
      <c r="J5">
        <v>55.519570999999999</v>
      </c>
      <c r="K5">
        <v>45.257756000000001</v>
      </c>
      <c r="L5">
        <v>289.21761500000002</v>
      </c>
      <c r="M5">
        <v>-622.49550999999997</v>
      </c>
      <c r="N5">
        <v>0.96576399999999996</v>
      </c>
      <c r="O5">
        <v>1.0298849999999999</v>
      </c>
      <c r="P5">
        <f t="shared" ref="P5:P57" si="3" xml:space="preserve"> N5*0.001/60</f>
        <v>1.6096066666666667E-5</v>
      </c>
      <c r="Q5" cm="1">
        <f t="array" ref="Q5">[1]!PropsSI("D","T",J5+273.15,"P",101325,"Water")</f>
        <v>985.44067737888804</v>
      </c>
      <c r="R5" cm="1">
        <f t="array" ref="R5">[1]!PropsSI("D","T",K5+273.15,"P",101325,"Water")</f>
        <v>990.10479536264188</v>
      </c>
      <c r="S5">
        <f t="shared" si="2"/>
        <v>987.77273637076496</v>
      </c>
      <c r="T5" cm="1">
        <f t="array" ref="T5">[1]!PropsSI("H","T",J5+273.15,"P",101325,"Water")</f>
        <v>232502.4670045118</v>
      </c>
      <c r="U5" cm="1">
        <f t="array" ref="U5">[1]!PropsSI("H","T",K5+273.15,"P",101325,"Water")</f>
        <v>189592.42691792551</v>
      </c>
      <c r="V5">
        <f t="shared" si="1"/>
        <v>682.23770441744011</v>
      </c>
    </row>
    <row r="6" spans="1:22" x14ac:dyDescent="0.2">
      <c r="A6">
        <v>46068.565973819444</v>
      </c>
      <c r="B6">
        <v>19.970106000000001</v>
      </c>
      <c r="C6">
        <v>19.758526</v>
      </c>
      <c r="D6">
        <v>19.481856000000001</v>
      </c>
      <c r="E6">
        <v>19.503658000000001</v>
      </c>
      <c r="F6">
        <v>30.312322000000002</v>
      </c>
      <c r="G6">
        <v>29.246921</v>
      </c>
      <c r="H6">
        <v>24.091294000000001</v>
      </c>
      <c r="I6">
        <v>21.404964</v>
      </c>
      <c r="J6">
        <v>55.52514</v>
      </c>
      <c r="K6">
        <v>45.257120999999998</v>
      </c>
      <c r="L6">
        <v>299.07997899999998</v>
      </c>
      <c r="M6">
        <v>-622.48897999999997</v>
      </c>
      <c r="N6">
        <v>0.96662899999999996</v>
      </c>
      <c r="O6">
        <v>1.229563</v>
      </c>
      <c r="P6">
        <f t="shared" si="3"/>
        <v>1.6110483333333334E-5</v>
      </c>
      <c r="Q6" cm="1">
        <f t="array" ref="Q6">[1]!PropsSI("D","T",J6+273.15,"P",101325,"Water")</f>
        <v>985.43796289446288</v>
      </c>
      <c r="R6" cm="1">
        <f t="array" ref="R6">[1]!PropsSI("D","T",K6+273.15,"P",101325,"Water")</f>
        <v>990.10506224849689</v>
      </c>
      <c r="S6">
        <f t="shared" si="2"/>
        <v>987.77151257147989</v>
      </c>
      <c r="T6" cm="1">
        <f t="array" ref="T6">[1]!PropsSI("H","T",J6+273.15,"P",101325,"Water")</f>
        <v>232525.76295318632</v>
      </c>
      <c r="U6" cm="1">
        <f t="array" ref="U6">[1]!PropsSI("H","T",K6+273.15,"P",101325,"Water")</f>
        <v>189589.77249542193</v>
      </c>
      <c r="V6">
        <f t="shared" si="1"/>
        <v>683.26087474271503</v>
      </c>
    </row>
    <row r="7" spans="1:22" x14ac:dyDescent="0.2">
      <c r="A7">
        <v>46068.566089560183</v>
      </c>
      <c r="B7">
        <v>20.079446000000001</v>
      </c>
      <c r="C7">
        <v>20.052994999999999</v>
      </c>
      <c r="D7">
        <v>19.491878</v>
      </c>
      <c r="E7">
        <v>19.520308</v>
      </c>
      <c r="F7">
        <v>30.845032</v>
      </c>
      <c r="G7">
        <v>29.263071</v>
      </c>
      <c r="H7">
        <v>23.853791999999999</v>
      </c>
      <c r="I7">
        <v>22.078268000000001</v>
      </c>
      <c r="J7">
        <v>55.519888999999999</v>
      </c>
      <c r="K7">
        <v>45.265687</v>
      </c>
      <c r="L7">
        <v>295.28424999999999</v>
      </c>
      <c r="M7">
        <v>-622.50244899999996</v>
      </c>
      <c r="N7">
        <v>0.96816199999999997</v>
      </c>
      <c r="O7">
        <v>1.126668</v>
      </c>
      <c r="P7">
        <f t="shared" si="3"/>
        <v>1.6136033333333333E-5</v>
      </c>
      <c r="Q7" cm="1">
        <f t="array" ref="Q7">[1]!PropsSI("D","T",J7+273.15,"P",101325,"Water")</f>
        <v>985.44052238206757</v>
      </c>
      <c r="R7" cm="1">
        <f t="array" ref="R7">[1]!PropsSI("D","T",K7+273.15,"P",101325,"Water")</f>
        <v>990.10146178540617</v>
      </c>
      <c r="S7">
        <f t="shared" si="2"/>
        <v>987.77099208373693</v>
      </c>
      <c r="T7" cm="1">
        <f t="array" ref="T7">[1]!PropsSI("H","T",J7+273.15,"P",101325,"Water")</f>
        <v>232503.79724514659</v>
      </c>
      <c r="U7" cm="1">
        <f t="array" ref="U7">[1]!PropsSI("H","T",K7+273.15,"P",101325,"Water")</f>
        <v>189625.58003413022</v>
      </c>
      <c r="V7">
        <f t="shared" si="1"/>
        <v>683.42328309307652</v>
      </c>
    </row>
    <row r="8" spans="1:22" x14ac:dyDescent="0.2">
      <c r="A8">
        <v>46068.56620587963</v>
      </c>
      <c r="B8">
        <v>20.229088000000001</v>
      </c>
      <c r="C8">
        <v>20.073440999999999</v>
      </c>
      <c r="D8">
        <v>19.583283000000002</v>
      </c>
      <c r="E8">
        <v>19.591861999999999</v>
      </c>
      <c r="F8">
        <v>30.480447999999999</v>
      </c>
      <c r="G8">
        <v>28.791581000000001</v>
      </c>
      <c r="H8">
        <v>24.308188000000001</v>
      </c>
      <c r="I8">
        <v>21.370674999999999</v>
      </c>
      <c r="J8">
        <v>55.514797000000002</v>
      </c>
      <c r="K8">
        <v>45.270446</v>
      </c>
      <c r="L8">
        <v>304.78377499999999</v>
      </c>
      <c r="M8">
        <v>-622.50244899999996</v>
      </c>
      <c r="N8">
        <v>0.96693600000000002</v>
      </c>
      <c r="O8">
        <v>1.8383320000000001</v>
      </c>
      <c r="P8">
        <f t="shared" si="3"/>
        <v>1.6115600000000002E-5</v>
      </c>
      <c r="Q8" cm="1">
        <f t="array" ref="Q8">[1]!PropsSI("D","T",J8+273.15,"P",101325,"Water")</f>
        <v>985.44300420593572</v>
      </c>
      <c r="R8" cm="1">
        <f t="array" ref="R8">[1]!PropsSI("D","T",K8+273.15,"P",101325,"Water")</f>
        <v>990.09946126118416</v>
      </c>
      <c r="S8">
        <f t="shared" si="2"/>
        <v>987.77123273355994</v>
      </c>
      <c r="T8" cm="1">
        <f t="array" ref="T8">[1]!PropsSI("H","T",J8+273.15,"P",101325,"Water")</f>
        <v>232482.49666728065</v>
      </c>
      <c r="U8" cm="1">
        <f t="array" ref="U8">[1]!PropsSI("H","T",K8+273.15,"P",101325,"Water")</f>
        <v>189645.47358187594</v>
      </c>
      <c r="V8">
        <f t="shared" si="1"/>
        <v>681.90226909922501</v>
      </c>
    </row>
    <row r="9" spans="1:22" x14ac:dyDescent="0.2">
      <c r="A9">
        <v>46068.566321620368</v>
      </c>
      <c r="B9">
        <v>20.326056999999999</v>
      </c>
      <c r="C9">
        <v>20.148944</v>
      </c>
      <c r="D9">
        <v>19.682113999999999</v>
      </c>
      <c r="E9">
        <v>19.909013000000002</v>
      </c>
      <c r="F9">
        <v>30.557499</v>
      </c>
      <c r="G9">
        <v>29.580214000000002</v>
      </c>
      <c r="H9">
        <v>24.340259</v>
      </c>
      <c r="I9">
        <v>21.608924999999999</v>
      </c>
      <c r="J9">
        <v>55.506363</v>
      </c>
      <c r="K9">
        <v>45.276632999999997</v>
      </c>
      <c r="L9">
        <v>312.125856</v>
      </c>
      <c r="M9">
        <v>-622.48449100000005</v>
      </c>
      <c r="N9">
        <v>0.96540400000000004</v>
      </c>
      <c r="O9">
        <v>1.7984420000000001</v>
      </c>
      <c r="P9">
        <f t="shared" si="3"/>
        <v>1.6090066666666667E-5</v>
      </c>
      <c r="Q9" cm="1">
        <f t="array" ref="Q9">[1]!PropsSI("D","T",J9+273.15,"P",101325,"Water")</f>
        <v>985.44711455725565</v>
      </c>
      <c r="R9" cm="1">
        <f t="array" ref="R9">[1]!PropsSI("D","T",K9+273.15,"P",101325,"Water")</f>
        <v>990.0968602183932</v>
      </c>
      <c r="S9">
        <f t="shared" si="2"/>
        <v>987.77198738782442</v>
      </c>
      <c r="T9" cm="1">
        <f t="array" ref="T9">[1]!PropsSI("H","T",J9+273.15,"P",101325,"Water")</f>
        <v>232447.21603761363</v>
      </c>
      <c r="U9" cm="1">
        <f t="array" ref="U9">[1]!PropsSI("H","T",K9+273.15,"P",101325,"Water")</f>
        <v>189671.33645494474</v>
      </c>
      <c r="V9">
        <f t="shared" si="1"/>
        <v>679.85061965942145</v>
      </c>
    </row>
    <row r="10" spans="1:22" x14ac:dyDescent="0.2">
      <c r="A10">
        <v>44606.566437941801</v>
      </c>
      <c r="B10">
        <v>20.128627999999999</v>
      </c>
      <c r="C10">
        <v>20.138687000000001</v>
      </c>
      <c r="D10">
        <v>19.312183000000001</v>
      </c>
      <c r="E10">
        <v>19.550526000000001</v>
      </c>
      <c r="F10">
        <v>30.224356</v>
      </c>
      <c r="G10">
        <v>28.887761999999999</v>
      </c>
      <c r="H10">
        <v>24.336071</v>
      </c>
      <c r="I10">
        <v>21.512034</v>
      </c>
      <c r="J10">
        <v>55.507635999999998</v>
      </c>
      <c r="K10">
        <v>45.283929999999998</v>
      </c>
      <c r="L10">
        <v>284.80232599999999</v>
      </c>
      <c r="M10">
        <v>-622.49836700000003</v>
      </c>
      <c r="N10">
        <v>0.96994000000000002</v>
      </c>
      <c r="O10">
        <v>1.110466</v>
      </c>
      <c r="P10">
        <f t="shared" si="3"/>
        <v>1.6165666666666667E-5</v>
      </c>
      <c r="Q10" cm="1">
        <f t="array" ref="Q10">[1]!PropsSI("D","T",J10+273.15,"P",101325,"Water")</f>
        <v>985.44649418261463</v>
      </c>
      <c r="R10" cm="1">
        <f t="array" ref="R10">[1]!PropsSI("D","T",K10+273.15,"P",101325,"Water")</f>
        <v>990.09379218490017</v>
      </c>
      <c r="S10">
        <f t="shared" si="2"/>
        <v>987.77014318375745</v>
      </c>
      <c r="T10" cm="1">
        <f t="array" ref="T10">[1]!PropsSI("H","T",J10+273.15,"P",101325,"Water")</f>
        <v>232452.54117716799</v>
      </c>
      <c r="U10" cm="1">
        <f t="array" ref="U10">[1]!PropsSI("H","T",K10+273.15,"P",101325,"Water")</f>
        <v>189701.83935545079</v>
      </c>
      <c r="V10">
        <f t="shared" si="1"/>
        <v>682.64161969738052</v>
      </c>
    </row>
    <row r="11" spans="1:22" x14ac:dyDescent="0.2">
      <c r="A11">
        <v>44606.566554261299</v>
      </c>
      <c r="B11">
        <v>20.213479</v>
      </c>
      <c r="C11">
        <v>20.108350999999999</v>
      </c>
      <c r="D11">
        <v>19.625229999999998</v>
      </c>
      <c r="E11">
        <v>19.794611</v>
      </c>
      <c r="F11">
        <v>30.320561999999999</v>
      </c>
      <c r="G11">
        <v>29.667487999999999</v>
      </c>
      <c r="H11">
        <v>24.172730000000001</v>
      </c>
      <c r="I11">
        <v>21.507359999999998</v>
      </c>
      <c r="J11">
        <v>55.505884999999999</v>
      </c>
      <c r="K11">
        <v>45.284880999999999</v>
      </c>
      <c r="L11">
        <v>291.14935500000001</v>
      </c>
      <c r="M11">
        <v>-622.50204099999996</v>
      </c>
      <c r="N11">
        <v>0.967781</v>
      </c>
      <c r="O11">
        <v>1.372946</v>
      </c>
      <c r="P11">
        <f t="shared" si="3"/>
        <v>1.6129683333333332E-5</v>
      </c>
      <c r="Q11" cm="1">
        <f t="array" ref="Q11">[1]!PropsSI("D","T",J11+273.15,"P",101325,"Water")</f>
        <v>985.44734749975544</v>
      </c>
      <c r="R11" cm="1">
        <f t="array" ref="R11">[1]!PropsSI("D","T",K11+273.15,"P",101325,"Water")</f>
        <v>990.09339230842602</v>
      </c>
      <c r="S11">
        <f t="shared" si="2"/>
        <v>987.77036990409078</v>
      </c>
      <c r="T11" cm="1">
        <f t="array" ref="T11">[1]!PropsSI("H","T",J11+273.15,"P",101325,"Water")</f>
        <v>232445.21649595493</v>
      </c>
      <c r="U11" cm="1">
        <f t="array" ref="U11">[1]!PropsSI("H","T",K11+273.15,"P",101325,"Water")</f>
        <v>189705.81472399214</v>
      </c>
      <c r="V11">
        <f t="shared" si="1"/>
        <v>680.94223944872908</v>
      </c>
    </row>
    <row r="12" spans="1:22" x14ac:dyDescent="0.2">
      <c r="A12">
        <v>44606.566670580702</v>
      </c>
      <c r="B12">
        <v>20.184896999999999</v>
      </c>
      <c r="C12">
        <v>20.057248999999999</v>
      </c>
      <c r="D12">
        <v>19.775029</v>
      </c>
      <c r="E12">
        <v>20.039560999999999</v>
      </c>
      <c r="F12">
        <v>30.702234000000001</v>
      </c>
      <c r="G12">
        <v>29.648343000000001</v>
      </c>
      <c r="H12">
        <v>24.506682999999999</v>
      </c>
      <c r="I12">
        <v>21.815956</v>
      </c>
      <c r="J12">
        <v>55.496336999999997</v>
      </c>
      <c r="K12">
        <v>45.279964</v>
      </c>
      <c r="L12">
        <v>302.63490300000001</v>
      </c>
      <c r="M12">
        <v>-622.45877800000005</v>
      </c>
      <c r="N12">
        <v>0.97219800000000001</v>
      </c>
      <c r="O12">
        <v>1.26512</v>
      </c>
      <c r="P12">
        <f t="shared" si="3"/>
        <v>1.6203300000000001E-5</v>
      </c>
      <c r="Q12" cm="1">
        <f t="array" ref="Q12">[1]!PropsSI("D","T",J12+273.15,"P",101325,"Water")</f>
        <v>985.45200020615732</v>
      </c>
      <c r="R12" cm="1">
        <f t="array" ref="R12">[1]!PropsSI("D","T",K12+273.15,"P",101325,"Water")</f>
        <v>990.09545974081618</v>
      </c>
      <c r="S12">
        <f t="shared" si="2"/>
        <v>987.77372997348675</v>
      </c>
      <c r="T12" cm="1">
        <f t="array" ref="T12">[1]!PropsSI("H","T",J12+273.15,"P",101325,"Water")</f>
        <v>232405.27587816966</v>
      </c>
      <c r="U12" cm="1">
        <f t="array" ref="U12">[1]!PropsSI("H","T",K12+273.15,"P",101325,"Water")</f>
        <v>189685.26069122495</v>
      </c>
      <c r="V12">
        <f t="shared" si="1"/>
        <v>683.74213411972562</v>
      </c>
    </row>
    <row r="13" spans="1:22" x14ac:dyDescent="0.2">
      <c r="A13">
        <v>44606.566786321397</v>
      </c>
      <c r="B13">
        <v>20.324999999999999</v>
      </c>
      <c r="C13">
        <v>20.255634000000001</v>
      </c>
      <c r="D13">
        <v>19.724723000000001</v>
      </c>
      <c r="E13">
        <v>19.912341999999999</v>
      </c>
      <c r="F13">
        <v>30.701180000000001</v>
      </c>
      <c r="G13">
        <v>30.046541999999999</v>
      </c>
      <c r="H13">
        <v>24.137758999999999</v>
      </c>
      <c r="I13">
        <v>21.56597</v>
      </c>
      <c r="J13">
        <v>55.489336000000002</v>
      </c>
      <c r="K13">
        <v>45.291068000000003</v>
      </c>
      <c r="L13">
        <v>276.87700899999999</v>
      </c>
      <c r="M13">
        <v>-622.49632699999995</v>
      </c>
      <c r="N13">
        <v>0.96524399999999999</v>
      </c>
      <c r="O13">
        <v>0.98557300000000003</v>
      </c>
      <c r="P13">
        <f t="shared" si="3"/>
        <v>1.6087400000000001E-5</v>
      </c>
      <c r="Q13" cm="1">
        <f t="array" ref="Q13">[1]!PropsSI("D","T",J13+273.15,"P",101325,"Water")</f>
        <v>985.45541141074784</v>
      </c>
      <c r="R13" cm="1">
        <f t="array" ref="R13">[1]!PropsSI("D","T",K13+273.15,"P",101325,"Water")</f>
        <v>990.09079064534706</v>
      </c>
      <c r="S13">
        <f t="shared" si="2"/>
        <v>987.77310102804745</v>
      </c>
      <c r="T13" cm="1">
        <f t="array" ref="T13">[1]!PropsSI("H","T",J13+273.15,"P",101325,"Water")</f>
        <v>232375.98973860123</v>
      </c>
      <c r="U13" cm="1">
        <f t="array" ref="U13">[1]!PropsSI("H","T",K13+273.15,"P",101325,"Water")</f>
        <v>189731.67761490069</v>
      </c>
      <c r="V13">
        <f t="shared" si="1"/>
        <v>677.64801268914573</v>
      </c>
    </row>
    <row r="14" spans="1:22" x14ac:dyDescent="0.2">
      <c r="A14">
        <v>44606.566902640901</v>
      </c>
      <c r="B14">
        <v>20.225635</v>
      </c>
      <c r="C14">
        <v>20.156167</v>
      </c>
      <c r="D14">
        <v>19.757144</v>
      </c>
      <c r="E14">
        <v>20.064831000000002</v>
      </c>
      <c r="F14">
        <v>30.905284000000002</v>
      </c>
      <c r="G14">
        <v>28.403614999999999</v>
      </c>
      <c r="H14">
        <v>24.490545999999998</v>
      </c>
      <c r="I14">
        <v>21.909683999999999</v>
      </c>
      <c r="J14">
        <v>55.484403</v>
      </c>
      <c r="K14">
        <v>45.296143999999998</v>
      </c>
      <c r="L14">
        <v>302.73816299999999</v>
      </c>
      <c r="M14">
        <v>-622.47714399999995</v>
      </c>
      <c r="N14">
        <v>0.966387</v>
      </c>
      <c r="O14">
        <v>1.0837920000000001</v>
      </c>
      <c r="P14">
        <f t="shared" si="3"/>
        <v>1.6106449999999999E-5</v>
      </c>
      <c r="Q14" cm="1">
        <f t="array" ref="Q14">[1]!PropsSI("D","T",J14+273.15,"P",101325,"Water")</f>
        <v>985.4578148101881</v>
      </c>
      <c r="R14" cm="1">
        <f t="array" ref="R14">[1]!PropsSI("D","T",K14+273.15,"P",101325,"Water")</f>
        <v>990.0886559646043</v>
      </c>
      <c r="S14">
        <f t="shared" si="2"/>
        <v>987.7732353873962</v>
      </c>
      <c r="T14" cm="1">
        <f t="array" ref="T14">[1]!PropsSI("H","T",J14+273.15,"P",101325,"Water")</f>
        <v>232355.35433643358</v>
      </c>
      <c r="U14" cm="1">
        <f t="array" ref="U14">[1]!PropsSI("H","T",K14+273.15,"P",101325,"Water")</f>
        <v>189752.89631057752</v>
      </c>
      <c r="V14">
        <f t="shared" si="1"/>
        <v>677.78466768676265</v>
      </c>
    </row>
    <row r="15" spans="1:22" x14ac:dyDescent="0.2">
      <c r="A15">
        <v>46068.567018958332</v>
      </c>
      <c r="B15">
        <v>20.381986000000001</v>
      </c>
      <c r="C15">
        <v>20.244582000000001</v>
      </c>
      <c r="D15">
        <v>19.508165000000002</v>
      </c>
      <c r="E15">
        <v>19.709503999999999</v>
      </c>
      <c r="F15">
        <v>31.034451000000001</v>
      </c>
      <c r="G15">
        <v>29.748137</v>
      </c>
      <c r="H15">
        <v>23.917909000000002</v>
      </c>
      <c r="I15">
        <v>21.374728000000001</v>
      </c>
      <c r="J15">
        <v>55.482970000000002</v>
      </c>
      <c r="K15">
        <v>45.292496</v>
      </c>
      <c r="L15">
        <v>297.69065999999998</v>
      </c>
      <c r="M15">
        <v>-622.519183</v>
      </c>
      <c r="N15">
        <v>0.96501499999999996</v>
      </c>
      <c r="O15">
        <v>1.2379249999999999</v>
      </c>
      <c r="P15">
        <f t="shared" si="3"/>
        <v>1.6083583333333333E-5</v>
      </c>
      <c r="Q15" cm="1">
        <f t="array" ref="Q15">[1]!PropsSI("D","T",J15+273.15,"P",101325,"Water")</f>
        <v>985.45851295176863</v>
      </c>
      <c r="R15" cm="1">
        <f t="array" ref="R15">[1]!PropsSI("D","T",K15+273.15,"P",101325,"Water")</f>
        <v>990.09019012677095</v>
      </c>
      <c r="S15">
        <f t="shared" si="2"/>
        <v>987.77435153926979</v>
      </c>
      <c r="T15" cm="1">
        <f t="array" ref="T15">[1]!PropsSI("H","T",J15+273.15,"P",101325,"Water")</f>
        <v>232349.35990647878</v>
      </c>
      <c r="U15" cm="1">
        <f t="array" ref="U15">[1]!PropsSI("H","T",K15+273.15,"P",101325,"Water")</f>
        <v>189737.64694011942</v>
      </c>
      <c r="V15">
        <f t="shared" si="1"/>
        <v>676.97020007773267</v>
      </c>
    </row>
    <row r="16" spans="1:22" x14ac:dyDescent="0.2">
      <c r="A16">
        <v>46068.567135277779</v>
      </c>
      <c r="B16">
        <v>20.222733999999999</v>
      </c>
      <c r="C16">
        <v>20.168384</v>
      </c>
      <c r="D16">
        <v>19.497837000000001</v>
      </c>
      <c r="E16">
        <v>19.735896</v>
      </c>
      <c r="F16">
        <v>30.600145000000001</v>
      </c>
      <c r="G16">
        <v>27.504960000000001</v>
      </c>
      <c r="H16">
        <v>24.029691</v>
      </c>
      <c r="I16">
        <v>21.684287000000001</v>
      </c>
      <c r="J16">
        <v>55.478355999999998</v>
      </c>
      <c r="K16">
        <v>45.276474</v>
      </c>
      <c r="L16">
        <v>300.37746499999997</v>
      </c>
      <c r="M16">
        <v>-622.49306200000001</v>
      </c>
      <c r="N16">
        <v>0.967781</v>
      </c>
      <c r="O16">
        <v>1.0540560000000001</v>
      </c>
      <c r="P16">
        <f t="shared" si="3"/>
        <v>1.6129683333333332E-5</v>
      </c>
      <c r="Q16" cm="1">
        <f t="array" ref="Q16">[1]!PropsSI("D","T",J16+273.15,"P",101325,"Water")</f>
        <v>985.46076075481756</v>
      </c>
      <c r="R16" cm="1">
        <f t="array" ref="R16">[1]!PropsSI("D","T",K16+273.15,"P",101325,"Water")</f>
        <v>990.09692706603835</v>
      </c>
      <c r="S16">
        <f t="shared" si="2"/>
        <v>987.7788439104279</v>
      </c>
      <c r="T16" cm="1">
        <f t="array" ref="T16">[1]!PropsSI("H","T",J16+273.15,"P",101325,"Water")</f>
        <v>232330.05893477707</v>
      </c>
      <c r="U16" cm="1">
        <f t="array" ref="U16">[1]!PropsSI("H","T",K16+273.15,"P",101325,"Water")</f>
        <v>189670.67180367318</v>
      </c>
      <c r="V16">
        <f t="shared" si="1"/>
        <v>679.67324313722565</v>
      </c>
    </row>
    <row r="17" spans="1:22" x14ac:dyDescent="0.2">
      <c r="A17">
        <v>46068.567251597226</v>
      </c>
      <c r="B17">
        <v>20.278483000000001</v>
      </c>
      <c r="C17">
        <v>20.29936</v>
      </c>
      <c r="D17">
        <v>19.629446000000002</v>
      </c>
      <c r="E17">
        <v>19.886448999999999</v>
      </c>
      <c r="F17">
        <v>30.984701999999999</v>
      </c>
      <c r="G17">
        <v>28.258744</v>
      </c>
      <c r="H17">
        <v>24.513062000000001</v>
      </c>
      <c r="I17">
        <v>21.733084999999999</v>
      </c>
      <c r="J17">
        <v>55.470717</v>
      </c>
      <c r="K17">
        <v>45.253790000000002</v>
      </c>
      <c r="L17">
        <v>301.88473599999998</v>
      </c>
      <c r="M17">
        <v>-622.47387900000001</v>
      </c>
      <c r="N17">
        <v>0.96896099999999996</v>
      </c>
      <c r="O17">
        <v>1.306141</v>
      </c>
      <c r="P17">
        <f t="shared" si="3"/>
        <v>1.6149349999999998E-5</v>
      </c>
      <c r="Q17" cm="1">
        <f t="array" ref="Q17">[1]!PropsSI("D","T",J17+273.15,"P",101325,"Water")</f>
        <v>985.46448195845448</v>
      </c>
      <c r="R17" cm="1">
        <f t="array" ref="R17">[1]!PropsSI("D","T",K17+273.15,"P",101325,"Water")</f>
        <v>990.10646219750686</v>
      </c>
      <c r="S17">
        <f t="shared" si="2"/>
        <v>987.78547207798067</v>
      </c>
      <c r="T17" cm="1">
        <f t="array" ref="T17">[1]!PropsSI("H","T",J17+273.15,"P",101325,"Water")</f>
        <v>232298.10400562483</v>
      </c>
      <c r="U17" cm="1">
        <f t="array" ref="U17">[1]!PropsSI("H","T",K17+273.15,"P",101325,"Water")</f>
        <v>189575.84827441751</v>
      </c>
      <c r="V17">
        <f t="shared" si="1"/>
        <v>681.50940998753765</v>
      </c>
    </row>
    <row r="18" spans="1:22" x14ac:dyDescent="0.2">
      <c r="A18">
        <v>46068.567367337964</v>
      </c>
      <c r="B18">
        <v>20.30988</v>
      </c>
      <c r="C18">
        <v>20.421733</v>
      </c>
      <c r="D18">
        <v>19.86739</v>
      </c>
      <c r="E18">
        <v>20.01952</v>
      </c>
      <c r="F18">
        <v>30.929311999999999</v>
      </c>
      <c r="G18">
        <v>28.894389</v>
      </c>
      <c r="H18">
        <v>24.266711000000001</v>
      </c>
      <c r="I18">
        <v>21.685759000000001</v>
      </c>
      <c r="J18">
        <v>55.462919999999997</v>
      </c>
      <c r="K18">
        <v>45.260452000000001</v>
      </c>
      <c r="L18">
        <v>292.31052199999999</v>
      </c>
      <c r="M18">
        <v>-622.48653100000001</v>
      </c>
      <c r="N18">
        <v>0.96689499999999995</v>
      </c>
      <c r="O18">
        <v>1.612819</v>
      </c>
      <c r="P18">
        <f t="shared" si="3"/>
        <v>1.6114916666666667E-5</v>
      </c>
      <c r="Q18" cm="1">
        <f t="array" ref="Q18">[1]!PropsSI("D","T",J18+273.15,"P",101325,"Water")</f>
        <v>985.46827975724477</v>
      </c>
      <c r="R18" cm="1">
        <f t="array" ref="R18">[1]!PropsSI("D","T",K18+273.15,"P",101325,"Water")</f>
        <v>990.10366222236166</v>
      </c>
      <c r="S18">
        <f t="shared" si="2"/>
        <v>987.78597098980322</v>
      </c>
      <c r="T18" cm="1">
        <f t="array" ref="T18">[1]!PropsSI("H","T",J18+273.15,"P",101325,"Water")</f>
        <v>232265.48816414573</v>
      </c>
      <c r="U18" cm="1">
        <f t="array" ref="U18">[1]!PropsSI("H","T",K18+273.15,"P",101325,"Water")</f>
        <v>189603.69671868495</v>
      </c>
      <c r="V18">
        <f t="shared" si="1"/>
        <v>679.0941763623315</v>
      </c>
    </row>
    <row r="19" spans="1:22" x14ac:dyDescent="0.2">
      <c r="A19">
        <v>46068.567483078703</v>
      </c>
      <c r="B19">
        <v>20.218955999999999</v>
      </c>
      <c r="C19">
        <v>20.433496999999999</v>
      </c>
      <c r="D19">
        <v>19.720565000000001</v>
      </c>
      <c r="E19">
        <v>19.772638000000001</v>
      </c>
      <c r="F19">
        <v>30.977383</v>
      </c>
      <c r="G19">
        <v>29.774068</v>
      </c>
      <c r="H19">
        <v>24.085681999999998</v>
      </c>
      <c r="I19">
        <v>22.229244000000001</v>
      </c>
      <c r="J19">
        <v>55.467376000000002</v>
      </c>
      <c r="K19">
        <v>45.263624999999998</v>
      </c>
      <c r="L19">
        <v>298.059213</v>
      </c>
      <c r="M19">
        <v>-622.474287</v>
      </c>
      <c r="N19">
        <v>0.96684999999999999</v>
      </c>
      <c r="O19">
        <v>1.4597910000000001</v>
      </c>
      <c r="P19">
        <f t="shared" si="3"/>
        <v>1.6114166666666666E-5</v>
      </c>
      <c r="Q19" cm="1">
        <f t="array" ref="Q19">[1]!PropsSI("D","T",J19+273.15,"P",101325,"Water")</f>
        <v>985.46610935415947</v>
      </c>
      <c r="R19" cm="1">
        <f t="array" ref="R19">[1]!PropsSI("D","T",K19+273.15,"P",101325,"Water")</f>
        <v>990.10232853229888</v>
      </c>
      <c r="S19">
        <f t="shared" si="2"/>
        <v>987.78421894322923</v>
      </c>
      <c r="T19" cm="1">
        <f t="array" ref="T19">[1]!PropsSI("H","T",J19+273.15,"P",101325,"Water")</f>
        <v>232284.1281754488</v>
      </c>
      <c r="U19" cm="1">
        <f t="array" ref="U19">[1]!PropsSI("H","T",K19+273.15,"P",101325,"Water")</f>
        <v>189616.96047344213</v>
      </c>
      <c r="V19">
        <f t="shared" si="1"/>
        <v>679.14694195579068</v>
      </c>
    </row>
    <row r="20" spans="1:22" x14ac:dyDescent="0.2">
      <c r="A20">
        <v>46068.567599398149</v>
      </c>
      <c r="B20">
        <v>20.254384999999999</v>
      </c>
      <c r="C20">
        <v>20.361135000000001</v>
      </c>
      <c r="D20">
        <v>19.732944</v>
      </c>
      <c r="E20">
        <v>19.814996000000001</v>
      </c>
      <c r="F20">
        <v>31.054662</v>
      </c>
      <c r="G20">
        <v>28.320791</v>
      </c>
      <c r="H20">
        <v>24.424356</v>
      </c>
      <c r="I20">
        <v>21.786397999999998</v>
      </c>
      <c r="J20">
        <v>55.463875000000002</v>
      </c>
      <c r="K20">
        <v>45.262039000000001</v>
      </c>
      <c r="L20">
        <v>297.69759900000003</v>
      </c>
      <c r="M20">
        <v>-622.50653</v>
      </c>
      <c r="N20">
        <v>0.96698600000000001</v>
      </c>
      <c r="O20">
        <v>1.8331090000000001</v>
      </c>
      <c r="P20">
        <f t="shared" si="3"/>
        <v>1.6116433333333334E-5</v>
      </c>
      <c r="Q20" cm="1">
        <f t="array" ref="Q20">[1]!PropsSI("D","T",J20+273.15,"P",101325,"Water")</f>
        <v>985.46781461162357</v>
      </c>
      <c r="R20" cm="1">
        <f t="array" ref="R20">[1]!PropsSI("D","T",K20+273.15,"P",101325,"Water")</f>
        <v>990.1029951759125</v>
      </c>
      <c r="S20">
        <f t="shared" si="2"/>
        <v>987.78540489376803</v>
      </c>
      <c r="T20" cm="1">
        <f t="array" ref="T20">[1]!PropsSI("H","T",J20+273.15,"P",101325,"Water")</f>
        <v>232269.48304924829</v>
      </c>
      <c r="U20" cm="1">
        <f t="array" ref="U20">[1]!PropsSI("H","T",K20+273.15,"P",101325,"Water")</f>
        <v>189610.33068591601</v>
      </c>
      <c r="V20">
        <f t="shared" si="1"/>
        <v>679.11568749079618</v>
      </c>
    </row>
    <row r="21" spans="1:22" x14ac:dyDescent="0.2">
      <c r="A21">
        <v>46068.567715138888</v>
      </c>
      <c r="B21">
        <v>19.975161</v>
      </c>
      <c r="C21">
        <v>20.037133999999998</v>
      </c>
      <c r="D21">
        <v>19.354222</v>
      </c>
      <c r="E21">
        <v>19.473827</v>
      </c>
      <c r="F21">
        <v>30.612138000000002</v>
      </c>
      <c r="G21">
        <v>27.778054000000001</v>
      </c>
      <c r="H21">
        <v>24.034716</v>
      </c>
      <c r="I21">
        <v>21.59929</v>
      </c>
      <c r="J21">
        <v>55.469126000000003</v>
      </c>
      <c r="K21">
        <v>45.263148999999999</v>
      </c>
      <c r="L21">
        <v>311.69444900000002</v>
      </c>
      <c r="M21">
        <v>-622.48816399999998</v>
      </c>
      <c r="N21">
        <v>0.96913300000000002</v>
      </c>
      <c r="O21">
        <v>1.3603019999999999</v>
      </c>
      <c r="P21">
        <f t="shared" si="3"/>
        <v>1.6152216666666668E-5</v>
      </c>
      <c r="Q21" cm="1">
        <f t="array" ref="Q21">[1]!PropsSI("D","T",J21+273.15,"P",101325,"Water")</f>
        <v>985.46525694058573</v>
      </c>
      <c r="R21" cm="1">
        <f t="array" ref="R21">[1]!PropsSI("D","T",K21+273.15,"P",101325,"Water")</f>
        <v>990.10252861127367</v>
      </c>
      <c r="S21">
        <f t="shared" si="2"/>
        <v>987.78389277592964</v>
      </c>
      <c r="T21" cm="1">
        <f t="array" ref="T21">[1]!PropsSI("H","T",J21+273.15,"P",101325,"Water")</f>
        <v>232291.44864869391</v>
      </c>
      <c r="U21" cm="1">
        <f t="array" ref="U21">[1]!PropsSI("H","T",K21+273.15,"P",101325,"Water")</f>
        <v>189614.97070112036</v>
      </c>
      <c r="V21">
        <f t="shared" si="1"/>
        <v>680.898914788041</v>
      </c>
    </row>
    <row r="22" spans="1:22" x14ac:dyDescent="0.2">
      <c r="A22">
        <v>46068.567830879627</v>
      </c>
      <c r="B22">
        <v>20.171489000000001</v>
      </c>
      <c r="C22">
        <v>19.957096</v>
      </c>
      <c r="D22">
        <v>19.6419</v>
      </c>
      <c r="E22">
        <v>19.798444</v>
      </c>
      <c r="F22">
        <v>30.884336000000001</v>
      </c>
      <c r="G22">
        <v>29.188351000000001</v>
      </c>
      <c r="H22">
        <v>24.071916000000002</v>
      </c>
      <c r="I22">
        <v>21.577007999999999</v>
      </c>
      <c r="J22">
        <v>55.465943000000003</v>
      </c>
      <c r="K22">
        <v>45.256962000000001</v>
      </c>
      <c r="L22">
        <v>311.07856099999998</v>
      </c>
      <c r="M22">
        <v>-622.50530600000002</v>
      </c>
      <c r="N22">
        <v>0.96792400000000001</v>
      </c>
      <c r="O22">
        <v>1.2426779999999999</v>
      </c>
      <c r="P22">
        <f t="shared" si="3"/>
        <v>1.6132066666666668E-5</v>
      </c>
      <c r="Q22" cm="1">
        <f t="array" ref="Q22">[1]!PropsSI("D","T",J22+273.15,"P",101325,"Water")</f>
        <v>985.46680734500592</v>
      </c>
      <c r="R22" cm="1">
        <f t="array" ref="R22">[1]!PropsSI("D","T",K22+273.15,"P",101325,"Water")</f>
        <v>990.10512907458644</v>
      </c>
      <c r="S22">
        <f t="shared" si="2"/>
        <v>987.78596820979624</v>
      </c>
      <c r="T22" cm="1">
        <f t="array" ref="T22">[1]!PropsSI("H","T",J22+273.15,"P",101325,"Water")</f>
        <v>232278.13375448118</v>
      </c>
      <c r="U22" cm="1">
        <f t="array" ref="U22">[1]!PropsSI("H","T",K22+273.15,"P",101325,"Water")</f>
        <v>189589.10784477452</v>
      </c>
      <c r="V22">
        <f t="shared" si="1"/>
        <v>680.25086976146224</v>
      </c>
    </row>
    <row r="23" spans="1:22" x14ac:dyDescent="0.2">
      <c r="A23">
        <v>46068.567946620373</v>
      </c>
      <c r="B23">
        <v>20.180311</v>
      </c>
      <c r="C23">
        <v>20.186686999999999</v>
      </c>
      <c r="D23">
        <v>19.601151999999999</v>
      </c>
      <c r="E23">
        <v>19.740452999999999</v>
      </c>
      <c r="F23">
        <v>30.516047</v>
      </c>
      <c r="G23">
        <v>29.463031000000001</v>
      </c>
      <c r="H23">
        <v>24.093972000000001</v>
      </c>
      <c r="I23">
        <v>22.133149</v>
      </c>
      <c r="J23">
        <v>55.462761</v>
      </c>
      <c r="K23">
        <v>45.255059000000003</v>
      </c>
      <c r="L23">
        <v>287.56300399999998</v>
      </c>
      <c r="M23">
        <v>-622.49673499999994</v>
      </c>
      <c r="N23">
        <v>0.96680100000000002</v>
      </c>
      <c r="O23">
        <v>1.3941300000000001</v>
      </c>
      <c r="P23">
        <f t="shared" si="3"/>
        <v>1.611335E-5</v>
      </c>
      <c r="Q23" cm="1">
        <f t="array" ref="Q23">[1]!PropsSI("D","T",J23+273.15,"P",101325,"Water")</f>
        <v>985.4683571998163</v>
      </c>
      <c r="R23" cm="1">
        <f t="array" ref="R23">[1]!PropsSI("D","T",K23+273.15,"P",101325,"Water")</f>
        <v>990.10592887267592</v>
      </c>
      <c r="S23">
        <f t="shared" si="2"/>
        <v>987.78714303624611</v>
      </c>
      <c r="T23" cm="1">
        <f t="array" ref="T23">[1]!PropsSI("H","T",J23+273.15,"P",101325,"Water")</f>
        <v>232264.82304716145</v>
      </c>
      <c r="U23" cm="1">
        <f t="array" ref="U23">[1]!PropsSI("H","T",K23+273.15,"P",101325,"Water")</f>
        <v>189581.1529383403</v>
      </c>
      <c r="V23">
        <f t="shared" si="1"/>
        <v>679.37719465297153</v>
      </c>
    </row>
    <row r="24" spans="1:22" x14ac:dyDescent="0.2">
      <c r="A24">
        <v>46068.568062939812</v>
      </c>
      <c r="B24">
        <v>20.168502</v>
      </c>
      <c r="C24">
        <v>20.314288999999999</v>
      </c>
      <c r="D24">
        <v>19.798708999999999</v>
      </c>
      <c r="E24">
        <v>19.889735000000002</v>
      </c>
      <c r="F24">
        <v>30.581833</v>
      </c>
      <c r="G24">
        <v>29.507123</v>
      </c>
      <c r="H24">
        <v>24.29073</v>
      </c>
      <c r="I24">
        <v>21.718881</v>
      </c>
      <c r="J24">
        <v>55.468808000000003</v>
      </c>
      <c r="K24">
        <v>45.268225000000001</v>
      </c>
      <c r="L24">
        <v>294.49979999999999</v>
      </c>
      <c r="M24">
        <v>-622.48285799999996</v>
      </c>
      <c r="N24">
        <v>0.97016500000000006</v>
      </c>
      <c r="O24">
        <v>1.139859</v>
      </c>
      <c r="P24">
        <f t="shared" si="3"/>
        <v>1.6169416666666668E-5</v>
      </c>
      <c r="Q24" cm="1">
        <f t="array" ref="Q24">[1]!PropsSI("D","T",J24+273.15,"P",101325,"Water")</f>
        <v>985.46541183771524</v>
      </c>
      <c r="R24" cm="1">
        <f t="array" ref="R24">[1]!PropsSI("D","T",K24+273.15,"P",101325,"Water")</f>
        <v>990.10039491478415</v>
      </c>
      <c r="S24">
        <f t="shared" si="2"/>
        <v>987.78290337624969</v>
      </c>
      <c r="T24" cm="1">
        <f t="array" ref="T24">[1]!PropsSI("H","T",J24+273.15,"P",101325,"Water")</f>
        <v>232290.1184140624</v>
      </c>
      <c r="U24" cm="1">
        <f t="array" ref="U24">[1]!PropsSI("H","T",K24+273.15,"P",101325,"Water")</f>
        <v>189636.18936834903</v>
      </c>
      <c r="V24">
        <f t="shared" si="1"/>
        <v>681.26315220988317</v>
      </c>
    </row>
    <row r="25" spans="1:22" x14ac:dyDescent="0.2">
      <c r="A25">
        <v>46068.568178680558</v>
      </c>
      <c r="B25">
        <v>20.275606</v>
      </c>
      <c r="C25">
        <v>20.281182999999999</v>
      </c>
      <c r="D25">
        <v>19.672481999999999</v>
      </c>
      <c r="E25">
        <v>19.736311000000001</v>
      </c>
      <c r="F25">
        <v>30.780234</v>
      </c>
      <c r="G25">
        <v>28.228345999999998</v>
      </c>
      <c r="H25">
        <v>24.311799000000001</v>
      </c>
      <c r="I25">
        <v>21.885518000000001</v>
      </c>
      <c r="J25">
        <v>55.467534999999998</v>
      </c>
      <c r="K25">
        <v>45.270446</v>
      </c>
      <c r="L25">
        <v>294.88549499999999</v>
      </c>
      <c r="M25">
        <v>-622.50938699999995</v>
      </c>
      <c r="N25">
        <v>0.96688300000000005</v>
      </c>
      <c r="O25">
        <v>1.2850459999999999</v>
      </c>
      <c r="P25">
        <f t="shared" si="3"/>
        <v>1.6114716666666667E-5</v>
      </c>
      <c r="Q25" cm="1">
        <f t="array" ref="Q25">[1]!PropsSI("D","T",J25+273.15,"P",101325,"Water")</f>
        <v>985.4660319070814</v>
      </c>
      <c r="R25" cm="1">
        <f t="array" ref="R25">[1]!PropsSI("D","T",K25+273.15,"P",101325,"Water")</f>
        <v>990.09946126118416</v>
      </c>
      <c r="S25">
        <f t="shared" si="2"/>
        <v>987.78274658413284</v>
      </c>
      <c r="T25" cm="1">
        <f t="array" ref="T25">[1]!PropsSI("H","T",J25+273.15,"P",101325,"Water")</f>
        <v>232284.7932926642</v>
      </c>
      <c r="U25" cm="1">
        <f t="array" ref="U25">[1]!PropsSI("H","T",K25+273.15,"P",101325,"Water")</f>
        <v>189645.47358187594</v>
      </c>
      <c r="V25">
        <f t="shared" si="1"/>
        <v>678.72583003887962</v>
      </c>
    </row>
    <row r="26" spans="1:22" x14ac:dyDescent="0.2">
      <c r="A26">
        <v>46068.568294999997</v>
      </c>
      <c r="B26">
        <v>20.004805999999999</v>
      </c>
      <c r="C26">
        <v>20.393685000000001</v>
      </c>
      <c r="D26">
        <v>19.670524</v>
      </c>
      <c r="E26">
        <v>19.735982</v>
      </c>
      <c r="F26">
        <v>30.542753000000001</v>
      </c>
      <c r="G26">
        <v>28.446708000000001</v>
      </c>
      <c r="H26">
        <v>24.109082999999998</v>
      </c>
      <c r="I26">
        <v>21.664864000000001</v>
      </c>
      <c r="J26">
        <v>55.474536999999998</v>
      </c>
      <c r="K26">
        <v>45.283771000000002</v>
      </c>
      <c r="L26">
        <v>297.77841100000001</v>
      </c>
      <c r="M26">
        <v>-622.49673499999994</v>
      </c>
      <c r="N26">
        <v>0.96756699999999995</v>
      </c>
      <c r="O26">
        <v>1.154193</v>
      </c>
      <c r="P26">
        <f t="shared" si="3"/>
        <v>1.6126116666666668E-5</v>
      </c>
      <c r="Q26" cm="1">
        <f t="array" ref="Q26">[1]!PropsSI("D","T",J26+273.15,"P",101325,"Water")</f>
        <v>985.46262115812704</v>
      </c>
      <c r="R26" cm="1">
        <f t="array" ref="R26">[1]!PropsSI("D","T",K26+273.15,"P",101325,"Water")</f>
        <v>990.09385904061958</v>
      </c>
      <c r="S26">
        <f t="shared" si="2"/>
        <v>987.77824009937331</v>
      </c>
      <c r="T26" cm="1">
        <f t="array" ref="T26">[1]!PropsSI("H","T",J26+273.15,"P",101325,"Water")</f>
        <v>232314.08355907546</v>
      </c>
      <c r="U26" cm="1">
        <f t="array" ref="U26">[1]!PropsSI("H","T",K26+273.15,"P",101325,"Water")</f>
        <v>189701.17470397413</v>
      </c>
      <c r="V26">
        <f t="shared" si="1"/>
        <v>678.7821816944072</v>
      </c>
    </row>
    <row r="27" spans="1:22" x14ac:dyDescent="0.2">
      <c r="A27">
        <v>46068.568410740743</v>
      </c>
      <c r="B27">
        <v>20.144400999999998</v>
      </c>
      <c r="C27">
        <v>20.238150999999998</v>
      </c>
      <c r="D27">
        <v>19.695394</v>
      </c>
      <c r="E27">
        <v>19.868151000000001</v>
      </c>
      <c r="F27">
        <v>30.537322</v>
      </c>
      <c r="G27">
        <v>27.922851000000001</v>
      </c>
      <c r="H27">
        <v>24.105186</v>
      </c>
      <c r="I27">
        <v>21.682494999999999</v>
      </c>
      <c r="J27">
        <v>55.478833000000002</v>
      </c>
      <c r="K27">
        <v>45.273935999999999</v>
      </c>
      <c r="L27">
        <v>311.169577</v>
      </c>
      <c r="M27">
        <v>-622.50857099999996</v>
      </c>
      <c r="N27">
        <v>0.96969399999999994</v>
      </c>
      <c r="O27">
        <v>1.135373</v>
      </c>
      <c r="P27">
        <f t="shared" si="3"/>
        <v>1.6161566666666668E-5</v>
      </c>
      <c r="Q27" cm="1">
        <f t="array" ref="Q27">[1]!PropsSI("D","T",J27+273.15,"P",101325,"Water")</f>
        <v>985.46052838076309</v>
      </c>
      <c r="R27" cm="1">
        <f t="array" ref="R27">[1]!PropsSI("D","T",K27+273.15,"P",101325,"Water")</f>
        <v>990.09799408208505</v>
      </c>
      <c r="S27">
        <f t="shared" si="2"/>
        <v>987.77926123142402</v>
      </c>
      <c r="T27" cm="1">
        <f t="array" ref="T27">[1]!PropsSI("H","T",J27+273.15,"P",101325,"Water")</f>
        <v>232332.05428847348</v>
      </c>
      <c r="U27" cm="1">
        <f t="array" ref="U27">[1]!PropsSI("H","T",K27+273.15,"P",101325,"Water")</f>
        <v>189660.06246523297</v>
      </c>
      <c r="V27">
        <f t="shared" si="1"/>
        <v>681.21825410103293</v>
      </c>
    </row>
    <row r="28" spans="1:22" x14ac:dyDescent="0.2">
      <c r="A28">
        <v>46068.568527060183</v>
      </c>
      <c r="B28">
        <v>20.287713</v>
      </c>
      <c r="C28">
        <v>20.252789</v>
      </c>
      <c r="D28">
        <v>19.633852999999998</v>
      </c>
      <c r="E28">
        <v>19.974786999999999</v>
      </c>
      <c r="F28">
        <v>30.460084999999999</v>
      </c>
      <c r="G28">
        <v>28.380613</v>
      </c>
      <c r="H28">
        <v>24.462921000000001</v>
      </c>
      <c r="I28">
        <v>21.564720000000001</v>
      </c>
      <c r="J28">
        <v>55.481696999999997</v>
      </c>
      <c r="K28">
        <v>45.270446</v>
      </c>
      <c r="L28">
        <v>281.650239</v>
      </c>
      <c r="M28">
        <v>-622.49510199999997</v>
      </c>
      <c r="N28">
        <v>0.96909599999999996</v>
      </c>
      <c r="O28">
        <v>1.1441159999999999</v>
      </c>
      <c r="P28">
        <f t="shared" si="3"/>
        <v>1.61516E-5</v>
      </c>
      <c r="Q28" cm="1">
        <f t="array" ref="Q28">[1]!PropsSI("D","T",J28+273.15,"P",101325,"Water")</f>
        <v>985.45913313250219</v>
      </c>
      <c r="R28" cm="1">
        <f t="array" ref="R28">[1]!PropsSI("D","T",K28+273.15,"P",101325,"Water")</f>
        <v>990.09946126118416</v>
      </c>
      <c r="S28">
        <f t="shared" si="2"/>
        <v>987.77929719684312</v>
      </c>
      <c r="T28" cm="1">
        <f t="array" ref="T28">[1]!PropsSI("H","T",J28+273.15,"P",101325,"Water")</f>
        <v>232344.03477846694</v>
      </c>
      <c r="U28" cm="1">
        <f t="array" ref="U28">[1]!PropsSI("H","T",K28+273.15,"P",101325,"Water")</f>
        <v>189645.47358187594</v>
      </c>
      <c r="V28">
        <f t="shared" si="1"/>
        <v>681.22207234450582</v>
      </c>
    </row>
    <row r="29" spans="1:22" x14ac:dyDescent="0.2">
      <c r="A29">
        <v>46068.568642800929</v>
      </c>
      <c r="B29">
        <v>20.329215000000001</v>
      </c>
      <c r="C29">
        <v>20.383329</v>
      </c>
      <c r="D29">
        <v>19.591806999999999</v>
      </c>
      <c r="E29">
        <v>19.920843999999999</v>
      </c>
      <c r="F29">
        <v>30.756830999999998</v>
      </c>
      <c r="G29">
        <v>28.646063000000002</v>
      </c>
      <c r="H29">
        <v>24.433481</v>
      </c>
      <c r="I29">
        <v>21.570015999999999</v>
      </c>
      <c r="J29">
        <v>55.480265000000003</v>
      </c>
      <c r="K29">
        <v>45.286943999999998</v>
      </c>
      <c r="L29">
        <v>297.51801599999999</v>
      </c>
      <c r="M29">
        <v>-622.52285600000005</v>
      </c>
      <c r="N29">
        <v>0.96917399999999998</v>
      </c>
      <c r="O29">
        <v>0.80012799999999995</v>
      </c>
      <c r="P29">
        <f t="shared" si="3"/>
        <v>1.6152899999999999E-5</v>
      </c>
      <c r="Q29" cm="1">
        <f t="array" ref="Q29">[1]!PropsSI("D","T",J29+273.15,"P",101325,"Water")</f>
        <v>985.4598307629584</v>
      </c>
      <c r="R29" cm="1">
        <f t="array" ref="R29">[1]!PropsSI("D","T",K29+273.15,"P",101325,"Water")</f>
        <v>990.09252483661021</v>
      </c>
      <c r="S29">
        <f t="shared" si="2"/>
        <v>987.77617779978436</v>
      </c>
      <c r="T29" cm="1">
        <f t="array" ref="T29">[1]!PropsSI("H","T",J29+273.15,"P",101325,"Water")</f>
        <v>232338.04453306639</v>
      </c>
      <c r="U29" cm="1">
        <f t="array" ref="U29">[1]!PropsSI("H","T",K29+273.15,"P",101325,"Water")</f>
        <v>189714.43847356789</v>
      </c>
      <c r="V29">
        <f t="shared" si="1"/>
        <v>680.07880773131149</v>
      </c>
    </row>
    <row r="30" spans="1:22" x14ac:dyDescent="0.2">
      <c r="A30">
        <v>46068.568759120368</v>
      </c>
      <c r="B30">
        <v>20.316186999999999</v>
      </c>
      <c r="C30">
        <v>20.419629</v>
      </c>
      <c r="D30">
        <v>19.646439999999998</v>
      </c>
      <c r="E30">
        <v>19.962289999999999</v>
      </c>
      <c r="F30">
        <v>30.912492</v>
      </c>
      <c r="G30">
        <v>28.115067</v>
      </c>
      <c r="H30">
        <v>24.535423000000002</v>
      </c>
      <c r="I30">
        <v>21.843011000000001</v>
      </c>
      <c r="J30">
        <v>55.480902</v>
      </c>
      <c r="K30">
        <v>45.300109999999997</v>
      </c>
      <c r="L30">
        <v>295.03242599999999</v>
      </c>
      <c r="M30">
        <v>-622.48653100000001</v>
      </c>
      <c r="N30">
        <v>0.96670299999999998</v>
      </c>
      <c r="O30">
        <v>0.91371000000000002</v>
      </c>
      <c r="P30">
        <f t="shared" si="3"/>
        <v>1.6111716666666667E-5</v>
      </c>
      <c r="Q30" cm="1">
        <f t="array" ref="Q30">[1]!PropsSI("D","T",J30+273.15,"P",101325,"Water")</f>
        <v>985.45952043588738</v>
      </c>
      <c r="R30" cm="1">
        <f t="array" ref="R30">[1]!PropsSI("D","T",K30+273.15,"P",101325,"Water")</f>
        <v>990.0869879630734</v>
      </c>
      <c r="S30">
        <f t="shared" si="2"/>
        <v>987.77325419948033</v>
      </c>
      <c r="T30" cm="1">
        <f t="array" ref="T30">[1]!PropsSI("H","T",J30+273.15,"P",101325,"Water")</f>
        <v>232340.70918824393</v>
      </c>
      <c r="U30" cm="1">
        <f t="array" ref="U30">[1]!PropsSI("H","T",K30+273.15,"P",101325,"Water")</f>
        <v>189769.47498765902</v>
      </c>
      <c r="V30">
        <f t="shared" si="1"/>
        <v>677.50939166573846</v>
      </c>
    </row>
    <row r="31" spans="1:22" x14ac:dyDescent="0.2">
      <c r="A31">
        <v>46068.568874861114</v>
      </c>
      <c r="B31">
        <v>20.370294000000001</v>
      </c>
      <c r="C31">
        <v>20.406419</v>
      </c>
      <c r="D31">
        <v>19.874364</v>
      </c>
      <c r="E31">
        <v>20.232973000000001</v>
      </c>
      <c r="F31">
        <v>30.970652000000001</v>
      </c>
      <c r="G31">
        <v>29.464261</v>
      </c>
      <c r="H31">
        <v>24.405930000000001</v>
      </c>
      <c r="I31">
        <v>21.835421</v>
      </c>
      <c r="J31">
        <v>55.481060999999997</v>
      </c>
      <c r="K31">
        <v>45.311056000000001</v>
      </c>
      <c r="L31">
        <v>306.90652499999999</v>
      </c>
      <c r="M31">
        <v>-622.47632799999997</v>
      </c>
      <c r="N31">
        <v>0.96893600000000002</v>
      </c>
      <c r="O31">
        <v>1.4471849999999999</v>
      </c>
      <c r="P31">
        <f t="shared" si="3"/>
        <v>1.6148933333333334E-5</v>
      </c>
      <c r="Q31" cm="1">
        <f t="array" ref="Q31">[1]!PropsSI("D","T",J31+273.15,"P",101325,"Water")</f>
        <v>985.45944297552956</v>
      </c>
      <c r="R31" cm="1">
        <f t="array" ref="R31">[1]!PropsSI("D","T",K31+273.15,"P",101325,"Water")</f>
        <v>990.08238377942098</v>
      </c>
      <c r="S31">
        <f t="shared" si="2"/>
        <v>987.77091337747527</v>
      </c>
      <c r="T31" cm="1">
        <f t="array" ref="T31">[1]!PropsSI("H","T",J31+273.15,"P",101325,"Water")</f>
        <v>232341.37430625389</v>
      </c>
      <c r="U31" cm="1">
        <f t="array" ref="U31">[1]!PropsSI("H","T",K31+273.15,"P",101325,"Water")</f>
        <v>189815.23148416865</v>
      </c>
      <c r="V31">
        <f t="shared" si="1"/>
        <v>678.35349755260881</v>
      </c>
    </row>
    <row r="32" spans="1:22" x14ac:dyDescent="0.2">
      <c r="A32">
        <v>46068.568991180553</v>
      </c>
      <c r="B32">
        <v>20.176496</v>
      </c>
      <c r="C32">
        <v>20.202407999999998</v>
      </c>
      <c r="D32">
        <v>19.791543000000001</v>
      </c>
      <c r="E32">
        <v>19.861730999999999</v>
      </c>
      <c r="F32">
        <v>30.988434999999999</v>
      </c>
      <c r="G32">
        <v>28.477981</v>
      </c>
      <c r="H32">
        <v>24.099205999999999</v>
      </c>
      <c r="I32">
        <v>22.027944999999999</v>
      </c>
      <c r="J32">
        <v>55.479469999999999</v>
      </c>
      <c r="K32">
        <v>45.303916999999998</v>
      </c>
      <c r="L32">
        <v>282.00205799999998</v>
      </c>
      <c r="M32">
        <v>-622.51142800000002</v>
      </c>
      <c r="N32">
        <v>0.96835000000000004</v>
      </c>
      <c r="O32">
        <v>1.268284</v>
      </c>
      <c r="P32">
        <f t="shared" si="3"/>
        <v>1.613916666666667E-5</v>
      </c>
      <c r="Q32" cm="1">
        <f t="array" ref="Q32">[1]!PropsSI("D","T",J32+273.15,"P",101325,"Water")</f>
        <v>985.46021805930468</v>
      </c>
      <c r="R32" cm="1">
        <f t="array" ref="R32">[1]!PropsSI("D","T",K32+273.15,"P",101325,"Water")</f>
        <v>990.08538673023463</v>
      </c>
      <c r="S32">
        <f t="shared" si="2"/>
        <v>987.77280239476966</v>
      </c>
      <c r="T32" cm="1">
        <f t="array" ref="T32">[1]!PropsSI("H","T",J32+273.15,"P",101325,"Water")</f>
        <v>232334.71894325921</v>
      </c>
      <c r="U32" cm="1">
        <f t="array" ref="U32">[1]!PropsSI("H","T",K32+273.15,"P",101325,"Water")</f>
        <v>189785.38901587253</v>
      </c>
      <c r="V32">
        <f t="shared" si="1"/>
        <v>678.31417949332683</v>
      </c>
    </row>
    <row r="33" spans="1:22" x14ac:dyDescent="0.2">
      <c r="A33">
        <v>46068.569106921299</v>
      </c>
      <c r="B33">
        <v>20.161804</v>
      </c>
      <c r="C33">
        <v>20.126304999999999</v>
      </c>
      <c r="D33">
        <v>19.745858999999999</v>
      </c>
      <c r="E33">
        <v>19.865926000000002</v>
      </c>
      <c r="F33">
        <v>30.607821000000001</v>
      </c>
      <c r="G33">
        <v>28.978622999999999</v>
      </c>
      <c r="H33">
        <v>24.083819999999999</v>
      </c>
      <c r="I33">
        <v>21.867196</v>
      </c>
      <c r="J33">
        <v>55.479469999999999</v>
      </c>
      <c r="K33">
        <v>45.298364999999997</v>
      </c>
      <c r="L33">
        <v>287.035684</v>
      </c>
      <c r="M33">
        <v>-622.48326599999996</v>
      </c>
      <c r="N33">
        <v>0.96763299999999997</v>
      </c>
      <c r="O33">
        <v>1.068492</v>
      </c>
      <c r="P33">
        <f t="shared" si="3"/>
        <v>1.6127216666666667E-5</v>
      </c>
      <c r="Q33" cm="1">
        <f t="array" ref="Q33">[1]!PropsSI("D","T",J33+273.15,"P",101325,"Water")</f>
        <v>985.46021805930468</v>
      </c>
      <c r="R33" cm="1">
        <f t="array" ref="R33">[1]!PropsSI("D","T",K33+273.15,"P",101325,"Water")</f>
        <v>990.08772188038608</v>
      </c>
      <c r="S33">
        <f t="shared" si="2"/>
        <v>987.77396996984544</v>
      </c>
      <c r="T33" cm="1">
        <f t="array" ref="T33">[1]!PropsSI("H","T",J33+273.15,"P",101325,"Water")</f>
        <v>232334.71894325921</v>
      </c>
      <c r="U33" cm="1">
        <f t="array" ref="U33">[1]!PropsSI("H","T",K33+273.15,"P",101325,"Water")</f>
        <v>189762.18053654954</v>
      </c>
      <c r="V33">
        <f t="shared" si="1"/>
        <v>678.18244540526393</v>
      </c>
    </row>
    <row r="34" spans="1:22" x14ac:dyDescent="0.2">
      <c r="A34">
        <v>46068.569223240738</v>
      </c>
      <c r="B34">
        <v>20.408166999999999</v>
      </c>
      <c r="C34">
        <v>20.251275</v>
      </c>
      <c r="D34">
        <v>19.279610000000002</v>
      </c>
      <c r="E34">
        <v>19.657083</v>
      </c>
      <c r="F34">
        <v>30.569700999999998</v>
      </c>
      <c r="G34">
        <v>29.342103999999999</v>
      </c>
      <c r="H34">
        <v>24.077181</v>
      </c>
      <c r="I34">
        <v>21.540085999999999</v>
      </c>
      <c r="J34">
        <v>55.482174999999998</v>
      </c>
      <c r="K34">
        <v>45.285040000000002</v>
      </c>
      <c r="L34">
        <v>288.63927699999999</v>
      </c>
      <c r="M34">
        <v>-622.47918500000003</v>
      </c>
      <c r="N34">
        <v>0.96901800000000005</v>
      </c>
      <c r="O34">
        <v>0.96985299999999997</v>
      </c>
      <c r="P34">
        <f t="shared" si="3"/>
        <v>1.61503E-5</v>
      </c>
      <c r="Q34" cm="1">
        <f t="array" ref="Q34">[1]!PropsSI("D","T",J34+273.15,"P",101325,"Water")</f>
        <v>985.45890026141149</v>
      </c>
      <c r="R34" cm="1">
        <f t="array" ref="R34">[1]!PropsSI("D","T",K34+273.15,"P",101325,"Water")</f>
        <v>990.09332545148982</v>
      </c>
      <c r="S34">
        <f t="shared" si="2"/>
        <v>987.77611285645071</v>
      </c>
      <c r="T34" cm="1">
        <f t="array" ref="T34">[1]!PropsSI("H","T",J34+273.15,"P",101325,"Water")</f>
        <v>232346.03431584351</v>
      </c>
      <c r="U34" cm="1">
        <f t="array" ref="U34">[1]!PropsSI("H","T",K34+273.15,"P",101325,"Water")</f>
        <v>189706.47937552925</v>
      </c>
      <c r="V34">
        <f t="shared" si="1"/>
        <v>680.22372690104396</v>
      </c>
    </row>
    <row r="35" spans="1:22" x14ac:dyDescent="0.2">
      <c r="A35">
        <v>46068.569339560185</v>
      </c>
      <c r="B35">
        <v>20.509101999999999</v>
      </c>
      <c r="C35">
        <v>20.484169999999999</v>
      </c>
      <c r="D35">
        <v>19.701588999999998</v>
      </c>
      <c r="E35">
        <v>19.931042000000001</v>
      </c>
      <c r="F35">
        <v>30.731703</v>
      </c>
      <c r="G35">
        <v>29.704343000000001</v>
      </c>
      <c r="H35">
        <v>24.109952</v>
      </c>
      <c r="I35">
        <v>21.494907000000001</v>
      </c>
      <c r="J35">
        <v>55.479629000000003</v>
      </c>
      <c r="K35">
        <v>45.273142999999997</v>
      </c>
      <c r="L35">
        <v>281.23515800000001</v>
      </c>
      <c r="M35">
        <v>-622.48530700000003</v>
      </c>
      <c r="N35">
        <v>0.96844399999999997</v>
      </c>
      <c r="O35">
        <v>1.3533120000000001</v>
      </c>
      <c r="P35">
        <f t="shared" si="3"/>
        <v>1.6140733333333333E-5</v>
      </c>
      <c r="Q35" cm="1">
        <f t="array" ref="Q35">[1]!PropsSI("D","T",J35+273.15,"P",101325,"Water")</f>
        <v>985.46014060037373</v>
      </c>
      <c r="R35" cm="1">
        <f t="array" ref="R35">[1]!PropsSI("D","T",K35+273.15,"P",101325,"Water")</f>
        <v>990.09832746285201</v>
      </c>
      <c r="S35">
        <f t="shared" si="2"/>
        <v>987.77923403161287</v>
      </c>
      <c r="T35" cm="1">
        <f t="array" ref="T35">[1]!PropsSI("H","T",J35+273.15,"P",101325,"Water")</f>
        <v>232335.38406120567</v>
      </c>
      <c r="U35" cm="1">
        <f t="array" ref="U35">[1]!PropsSI("H","T",K35+273.15,"P",101325,"Water")</f>
        <v>189656.74756975763</v>
      </c>
      <c r="V35">
        <f t="shared" si="1"/>
        <v>680.44603891470354</v>
      </c>
    </row>
    <row r="36" spans="1:22" x14ac:dyDescent="0.2">
      <c r="A36">
        <v>46068.569455879631</v>
      </c>
      <c r="B36">
        <v>20.445967</v>
      </c>
      <c r="C36">
        <v>20.287603000000001</v>
      </c>
      <c r="D36">
        <v>19.283549000000001</v>
      </c>
      <c r="E36">
        <v>20.003036999999999</v>
      </c>
      <c r="F36">
        <v>30.944588</v>
      </c>
      <c r="G36">
        <v>28.620685999999999</v>
      </c>
      <c r="H36">
        <v>24.158434</v>
      </c>
      <c r="I36">
        <v>21.430250000000001</v>
      </c>
      <c r="J36">
        <v>55.479309999999998</v>
      </c>
      <c r="K36">
        <v>45.284723</v>
      </c>
      <c r="L36">
        <v>277.39290099999999</v>
      </c>
      <c r="M36">
        <v>-622.50367300000005</v>
      </c>
      <c r="N36">
        <v>0.96877199999999997</v>
      </c>
      <c r="O36">
        <v>1.612044</v>
      </c>
      <c r="P36">
        <f t="shared" si="3"/>
        <v>1.6146200000000001E-5</v>
      </c>
      <c r="Q36" cm="1">
        <f t="array" ref="Q36">[1]!PropsSI("D","T",J36+273.15,"P",101325,"Water")</f>
        <v>985.4602960052739</v>
      </c>
      <c r="R36" cm="1">
        <f t="array" ref="R36">[1]!PropsSI("D","T",K36+273.15,"P",101325,"Water")</f>
        <v>990.09345874467681</v>
      </c>
      <c r="S36">
        <f t="shared" si="2"/>
        <v>987.77687737497536</v>
      </c>
      <c r="T36" cm="1">
        <f t="array" ref="T36">[1]!PropsSI("H","T",J36+273.15,"P",101325,"Water")</f>
        <v>232334.04964221831</v>
      </c>
      <c r="U36" cm="1">
        <f t="array" ref="U36">[1]!PropsSI("H","T",K36+273.15,"P",101325,"Water")</f>
        <v>189705.1542526625</v>
      </c>
      <c r="V36">
        <f t="shared" si="1"/>
        <v>679.88156057625406</v>
      </c>
    </row>
    <row r="37" spans="1:22" x14ac:dyDescent="0.2">
      <c r="A37">
        <v>46068.569572199071</v>
      </c>
      <c r="B37">
        <v>20.274894</v>
      </c>
      <c r="C37">
        <v>20.086822999999999</v>
      </c>
      <c r="D37">
        <v>19.383168999999999</v>
      </c>
      <c r="E37">
        <v>19.586696</v>
      </c>
      <c r="F37">
        <v>30.899692000000002</v>
      </c>
      <c r="G37">
        <v>28.983404</v>
      </c>
      <c r="H37">
        <v>24.253935999999999</v>
      </c>
      <c r="I37">
        <v>21.379155000000001</v>
      </c>
      <c r="J37">
        <v>55.477719</v>
      </c>
      <c r="K37">
        <v>45.283453999999999</v>
      </c>
      <c r="L37">
        <v>297.77269699999999</v>
      </c>
      <c r="M37">
        <v>-622.49673499999994</v>
      </c>
      <c r="N37">
        <v>0.96846500000000002</v>
      </c>
      <c r="O37">
        <v>1.2183809999999999</v>
      </c>
      <c r="P37">
        <f t="shared" ref="P37:P49" si="4" xml:space="preserve"> N37*0.001/60</f>
        <v>1.6141083333333334E-5</v>
      </c>
      <c r="Q37" cm="1">
        <f t="array" ref="Q37">[1]!PropsSI("D","T",J37+273.15,"P",101325,"Water")</f>
        <v>985.46107107186253</v>
      </c>
      <c r="R37" cm="1">
        <f t="array" ref="R37">[1]!PropsSI("D","T",K37+273.15,"P",101325,"Water")</f>
        <v>990.09399233097827</v>
      </c>
      <c r="S37">
        <f t="shared" ref="S37:S49" si="5">(Q37+R37)/2</f>
        <v>987.77753170142046</v>
      </c>
      <c r="T37" cm="1">
        <f t="array" ref="T37">[1]!PropsSI("H","T",J37+273.15,"P",101325,"Water")</f>
        <v>232327.39428023511</v>
      </c>
      <c r="U37" cm="1">
        <f t="array" ref="U37">[1]!PropsSI("H","T",K37+273.15,"P",101325,"Water")</f>
        <v>189699.8495811731</v>
      </c>
      <c r="V37">
        <f t="shared" ref="V37:V49" si="6">S37*P37*(T37-U37)</f>
        <v>679.6450238977086</v>
      </c>
    </row>
    <row r="38" spans="1:22" x14ac:dyDescent="0.2">
      <c r="A38">
        <v>44606.569687941803</v>
      </c>
      <c r="B38">
        <v>20.419806000000001</v>
      </c>
      <c r="C38">
        <v>20.415353</v>
      </c>
      <c r="D38">
        <v>19.645382000000001</v>
      </c>
      <c r="E38">
        <v>19.757432999999999</v>
      </c>
      <c r="F38">
        <v>31.211680999999999</v>
      </c>
      <c r="G38">
        <v>29.160907000000002</v>
      </c>
      <c r="H38">
        <v>24.104088000000001</v>
      </c>
      <c r="I38">
        <v>21.45506</v>
      </c>
      <c r="J38">
        <v>55.475650000000002</v>
      </c>
      <c r="K38">
        <v>45.265211000000001</v>
      </c>
      <c r="L38">
        <v>299.03304200000002</v>
      </c>
      <c r="M38">
        <v>-622.51959099999999</v>
      </c>
      <c r="N38">
        <v>0.97036999999999995</v>
      </c>
      <c r="O38">
        <v>1.852247</v>
      </c>
      <c r="P38">
        <f t="shared" si="4"/>
        <v>1.6172833333333332E-5</v>
      </c>
      <c r="Q38" cm="1">
        <f t="array" ref="Q38">[1]!PropsSI("D","T",J38+273.15,"P",101325,"Water")</f>
        <v>985.46207897604825</v>
      </c>
      <c r="R38" cm="1">
        <f t="array" ref="R38">[1]!PropsSI("D","T",K38+273.15,"P",101325,"Water")</f>
        <v>990.10166187120046</v>
      </c>
      <c r="S38">
        <f t="shared" si="5"/>
        <v>987.78187042362435</v>
      </c>
      <c r="T38" cm="1">
        <f t="array" ref="T38">[1]!PropsSI("H","T",J38+273.15,"P",101325,"Water")</f>
        <v>232318.7393828491</v>
      </c>
      <c r="U38" cm="1">
        <f t="array" ref="U38">[1]!PropsSI("H","T",K38+273.15,"P",101325,"Water")</f>
        <v>189623.59026155886</v>
      </c>
      <c r="V38">
        <f t="shared" si="6"/>
        <v>682.06489370345719</v>
      </c>
    </row>
    <row r="39" spans="1:22" x14ac:dyDescent="0.2">
      <c r="A39">
        <v>44606.5698036826</v>
      </c>
      <c r="B39">
        <v>20.405055999999998</v>
      </c>
      <c r="C39">
        <v>19.811367000000001</v>
      </c>
      <c r="D39">
        <v>19.390810999999999</v>
      </c>
      <c r="E39">
        <v>19.459302000000001</v>
      </c>
      <c r="F39">
        <v>31.056826000000001</v>
      </c>
      <c r="G39">
        <v>29.196906999999999</v>
      </c>
      <c r="H39">
        <v>23.969449000000001</v>
      </c>
      <c r="I39">
        <v>21.675888</v>
      </c>
      <c r="J39">
        <v>55.483924999999999</v>
      </c>
      <c r="K39">
        <v>45.289323000000003</v>
      </c>
      <c r="L39">
        <v>287.79972700000002</v>
      </c>
      <c r="M39">
        <v>-622.49020499999995</v>
      </c>
      <c r="N39">
        <v>0.97194000000000003</v>
      </c>
      <c r="O39">
        <v>1.9081619999999999</v>
      </c>
      <c r="P39">
        <f t="shared" si="4"/>
        <v>1.6199000000000002E-5</v>
      </c>
      <c r="Q39" cm="1">
        <f t="array" ref="Q39">[1]!PropsSI("D","T",J39+273.15,"P",101325,"Water")</f>
        <v>985.45804768785956</v>
      </c>
      <c r="R39" cm="1">
        <f t="array" ref="R39">[1]!PropsSI("D","T",K39+273.15,"P",101325,"Water")</f>
        <v>990.09152445312759</v>
      </c>
      <c r="S39">
        <f t="shared" si="5"/>
        <v>987.77478607049352</v>
      </c>
      <c r="T39" cm="1">
        <f t="array" ref="T39">[1]!PropsSI("H","T",J39+273.15,"P",101325,"Water")</f>
        <v>232353.35479868672</v>
      </c>
      <c r="U39" cm="1">
        <f t="array" ref="U39">[1]!PropsSI("H","T",K39+273.15,"P",101325,"Water")</f>
        <v>189724.38316695116</v>
      </c>
      <c r="V39">
        <f t="shared" si="6"/>
        <v>682.10463018653832</v>
      </c>
    </row>
    <row r="40" spans="1:22" x14ac:dyDescent="0.2">
      <c r="A40">
        <v>44606.569920002003</v>
      </c>
      <c r="B40">
        <v>20.351662999999999</v>
      </c>
      <c r="C40">
        <v>19.843174999999999</v>
      </c>
      <c r="D40">
        <v>19.565460999999999</v>
      </c>
      <c r="E40">
        <v>19.634039000000001</v>
      </c>
      <c r="F40">
        <v>31.014122</v>
      </c>
      <c r="G40">
        <v>29.009812</v>
      </c>
      <c r="H40">
        <v>23.942460000000001</v>
      </c>
      <c r="I40">
        <v>21.468135</v>
      </c>
      <c r="J40">
        <v>55.485993999999998</v>
      </c>
      <c r="K40">
        <v>45.282978</v>
      </c>
      <c r="L40">
        <v>285.58106299999997</v>
      </c>
      <c r="M40">
        <v>-622.49428599999999</v>
      </c>
      <c r="N40">
        <v>0.96854300000000004</v>
      </c>
      <c r="O40">
        <v>1.721992</v>
      </c>
      <c r="P40">
        <f t="shared" si="4"/>
        <v>1.6142383333333336E-5</v>
      </c>
      <c r="Q40" cm="1">
        <f t="array" ref="Q40">[1]!PropsSI("D","T",J40+273.15,"P",101325,"Water")</f>
        <v>985.45703967791042</v>
      </c>
      <c r="R40" cm="1">
        <f t="array" ref="R40">[1]!PropsSI("D","T",K40+273.15,"P",101325,"Water")</f>
        <v>990.09419247553581</v>
      </c>
      <c r="S40">
        <f t="shared" si="5"/>
        <v>987.77561607672305</v>
      </c>
      <c r="T40" cm="1">
        <f t="array" ref="T40">[1]!PropsSI("H","T",J40+273.15,"P",101325,"Water")</f>
        <v>232362.00970233546</v>
      </c>
      <c r="U40" cm="1">
        <f t="array" ref="U40">[1]!PropsSI("H","T",K40+273.15,"P",101325,"Water")</f>
        <v>189697.85980691679</v>
      </c>
      <c r="V40">
        <f t="shared" si="6"/>
        <v>680.28211600990778</v>
      </c>
    </row>
    <row r="41" spans="1:22" x14ac:dyDescent="0.2">
      <c r="A41">
        <v>44606.570035742698</v>
      </c>
      <c r="B41">
        <v>20.401382000000002</v>
      </c>
      <c r="C41">
        <v>20.161884000000001</v>
      </c>
      <c r="D41">
        <v>19.619139000000001</v>
      </c>
      <c r="E41">
        <v>19.869423999999999</v>
      </c>
      <c r="F41">
        <v>30.669205999999999</v>
      </c>
      <c r="G41">
        <v>29.500658000000001</v>
      </c>
      <c r="H41">
        <v>24.037071999999998</v>
      </c>
      <c r="I41">
        <v>21.726879</v>
      </c>
      <c r="J41">
        <v>55.487904</v>
      </c>
      <c r="K41">
        <v>45.261403999999999</v>
      </c>
      <c r="L41">
        <v>301.73617200000001</v>
      </c>
      <c r="M41">
        <v>-622.49795900000004</v>
      </c>
      <c r="N41">
        <v>0.96951399999999999</v>
      </c>
      <c r="O41">
        <v>1.1218900000000001</v>
      </c>
      <c r="P41">
        <f t="shared" si="4"/>
        <v>1.6158566666666668E-5</v>
      </c>
      <c r="Q41" cm="1">
        <f t="array" ref="Q41">[1]!PropsSI("D","T",J41+273.15,"P",101325,"Water")</f>
        <v>985.45610910878963</v>
      </c>
      <c r="R41" cm="1">
        <f t="array" ref="R41">[1]!PropsSI("D","T",K41+273.15,"P",101325,"Water")</f>
        <v>990.10326208065908</v>
      </c>
      <c r="S41">
        <f t="shared" si="5"/>
        <v>987.77968559472436</v>
      </c>
      <c r="T41" cm="1">
        <f t="array" ref="T41">[1]!PropsSI("H","T",J41+273.15,"P",101325,"Water")</f>
        <v>232369.99948914457</v>
      </c>
      <c r="U41" cm="1">
        <f t="array" ref="U41">[1]!PropsSI("H","T",K41+273.15,"P",101325,"Water")</f>
        <v>189607.67626290192</v>
      </c>
      <c r="V41">
        <f t="shared" si="6"/>
        <v>682.53388409048728</v>
      </c>
    </row>
    <row r="42" spans="1:22" x14ac:dyDescent="0.2">
      <c r="A42">
        <v>46068.570151481479</v>
      </c>
      <c r="B42">
        <v>20.079377000000001</v>
      </c>
      <c r="C42">
        <v>20.049675000000001</v>
      </c>
      <c r="D42">
        <v>19.737966</v>
      </c>
      <c r="E42">
        <v>19.770323999999999</v>
      </c>
      <c r="F42">
        <v>30.411527</v>
      </c>
      <c r="G42">
        <v>28.204398000000001</v>
      </c>
      <c r="H42">
        <v>24.232506999999998</v>
      </c>
      <c r="I42">
        <v>21.782026999999999</v>
      </c>
      <c r="J42">
        <v>55.485039</v>
      </c>
      <c r="K42">
        <v>45.281866999999998</v>
      </c>
      <c r="L42">
        <v>289.843298</v>
      </c>
      <c r="M42">
        <v>-622.525713</v>
      </c>
      <c r="N42">
        <v>0.96601400000000004</v>
      </c>
      <c r="O42">
        <v>1.3239190000000001</v>
      </c>
      <c r="P42">
        <f t="shared" si="4"/>
        <v>1.6100233333333336E-5</v>
      </c>
      <c r="Q42" cm="1">
        <f t="array" ref="Q42">[1]!PropsSI("D","T",J42+273.15,"P",101325,"Water")</f>
        <v>985.45750495404434</v>
      </c>
      <c r="R42" cm="1">
        <f t="array" ref="R42">[1]!PropsSI("D","T",K42+273.15,"P",101325,"Water")</f>
        <v>990.09465961352271</v>
      </c>
      <c r="S42">
        <f t="shared" si="5"/>
        <v>987.77608228378358</v>
      </c>
      <c r="T42" cm="1">
        <f t="array" ref="T42">[1]!PropsSI("H","T",J42+273.15,"P",101325,"Water")</f>
        <v>232358.01480940197</v>
      </c>
      <c r="U42" cm="1">
        <f t="array" ref="U42">[1]!PropsSI("H","T",K42+273.15,"P",101325,"Water")</f>
        <v>189693.21560709731</v>
      </c>
      <c r="V42">
        <f t="shared" si="6"/>
        <v>678.51645156962468</v>
      </c>
    </row>
    <row r="43" spans="1:22" x14ac:dyDescent="0.2">
      <c r="A43">
        <v>46068.570267800926</v>
      </c>
      <c r="B43">
        <v>20.057314000000002</v>
      </c>
      <c r="C43">
        <v>19.862901999999998</v>
      </c>
      <c r="D43">
        <v>19.513289</v>
      </c>
      <c r="E43">
        <v>19.510275</v>
      </c>
      <c r="F43">
        <v>30.906918000000001</v>
      </c>
      <c r="G43">
        <v>29.053552</v>
      </c>
      <c r="H43">
        <v>24.107286999999999</v>
      </c>
      <c r="I43">
        <v>21.389346</v>
      </c>
      <c r="J43">
        <v>55.490130999999998</v>
      </c>
      <c r="K43">
        <v>45.261087000000003</v>
      </c>
      <c r="L43">
        <v>296.28868999999997</v>
      </c>
      <c r="M43">
        <v>-622.5</v>
      </c>
      <c r="N43">
        <v>0.96746900000000002</v>
      </c>
      <c r="O43">
        <v>1.636023</v>
      </c>
      <c r="P43">
        <f t="shared" si="4"/>
        <v>1.6124483333333335E-5</v>
      </c>
      <c r="Q43" cm="1">
        <f t="array" ref="Q43">[1]!PropsSI("D","T",J43+273.15,"P",101325,"Water")</f>
        <v>985.45502406594278</v>
      </c>
      <c r="R43" cm="1">
        <f t="array" ref="R43">[1]!PropsSI("D","T",K43+273.15,"P",101325,"Water")</f>
        <v>990.10339532183013</v>
      </c>
      <c r="S43">
        <f t="shared" si="5"/>
        <v>987.77920969388651</v>
      </c>
      <c r="T43" cm="1">
        <f t="array" ref="T43">[1]!PropsSI("H","T",J43+273.15,"P",101325,"Water")</f>
        <v>232379.31533131044</v>
      </c>
      <c r="U43" cm="1">
        <f t="array" ref="U43">[1]!PropsSI("H","T",K43+273.15,"P",101325,"Water")</f>
        <v>189606.35114156001</v>
      </c>
      <c r="V43">
        <f t="shared" si="6"/>
        <v>681.26336752018972</v>
      </c>
    </row>
    <row r="44" spans="1:22" x14ac:dyDescent="0.2">
      <c r="A44">
        <v>46068.570384120372</v>
      </c>
      <c r="B44">
        <v>20.173883</v>
      </c>
      <c r="C44">
        <v>20.359556999999999</v>
      </c>
      <c r="D44">
        <v>19.734383999999999</v>
      </c>
      <c r="E44">
        <v>19.799184</v>
      </c>
      <c r="F44">
        <v>30.879617</v>
      </c>
      <c r="G44">
        <v>28.161422999999999</v>
      </c>
      <c r="H44">
        <v>24.157492000000001</v>
      </c>
      <c r="I44">
        <v>21.71031</v>
      </c>
      <c r="J44">
        <v>55.488380999999997</v>
      </c>
      <c r="K44">
        <v>45.250616999999998</v>
      </c>
      <c r="L44">
        <v>297.18129800000003</v>
      </c>
      <c r="M44">
        <v>-622.48367399999995</v>
      </c>
      <c r="N44">
        <v>0.96766200000000002</v>
      </c>
      <c r="O44">
        <v>0.35128700000000002</v>
      </c>
      <c r="P44">
        <f t="shared" si="4"/>
        <v>1.6127700000000001E-5</v>
      </c>
      <c r="Q44" cm="1">
        <f t="array" ref="Q44">[1]!PropsSI("D","T",J44+273.15,"P",101325,"Water")</f>
        <v>985.45587670658506</v>
      </c>
      <c r="R44" cm="1">
        <f t="array" ref="R44">[1]!PropsSI("D","T",K44+273.15,"P",101325,"Water")</f>
        <v>990.10779567079624</v>
      </c>
      <c r="S44">
        <f t="shared" si="5"/>
        <v>987.7818361886907</v>
      </c>
      <c r="T44" cm="1">
        <f t="array" ref="T44">[1]!PropsSI("H","T",J44+273.15,"P",101325,"Water")</f>
        <v>232371.99484447224</v>
      </c>
      <c r="U44" cm="1">
        <f t="array" ref="U44">[1]!PropsSI("H","T",K44+273.15,"P",101325,"Water")</f>
        <v>189562.58452587741</v>
      </c>
      <c r="V44">
        <f t="shared" si="6"/>
        <v>681.98169479825197</v>
      </c>
    </row>
    <row r="45" spans="1:22" x14ac:dyDescent="0.2">
      <c r="A45">
        <v>46068.570499861111</v>
      </c>
      <c r="B45">
        <v>20.255220000000001</v>
      </c>
      <c r="C45">
        <v>20.186202000000002</v>
      </c>
      <c r="D45">
        <v>19.744917999999998</v>
      </c>
      <c r="E45">
        <v>19.789846000000001</v>
      </c>
      <c r="F45">
        <v>30.901956999999999</v>
      </c>
      <c r="G45">
        <v>28.664977</v>
      </c>
      <c r="H45">
        <v>24.119309999999999</v>
      </c>
      <c r="I45">
        <v>21.783439999999999</v>
      </c>
      <c r="J45">
        <v>55.495382999999997</v>
      </c>
      <c r="K45">
        <v>45.255693000000001</v>
      </c>
      <c r="L45">
        <v>277.13699600000001</v>
      </c>
      <c r="M45">
        <v>-622.49306200000001</v>
      </c>
      <c r="N45">
        <v>0.96993600000000002</v>
      </c>
      <c r="O45">
        <v>1.1468480000000001</v>
      </c>
      <c r="P45">
        <f t="shared" si="4"/>
        <v>1.61656E-5</v>
      </c>
      <c r="Q45" cm="1">
        <f t="array" ref="Q45">[1]!PropsSI("D","T",J45+273.15,"P",101325,"Water")</f>
        <v>985.45246505601187</v>
      </c>
      <c r="R45" cm="1">
        <f t="array" ref="R45">[1]!PropsSI("D","T",K45+273.15,"P",101325,"Water")</f>
        <v>990.10566241619631</v>
      </c>
      <c r="S45">
        <f t="shared" si="5"/>
        <v>987.77906373610404</v>
      </c>
      <c r="T45" cm="1">
        <f t="array" ref="T45">[1]!PropsSI("H","T",J45+273.15,"P",101325,"Water")</f>
        <v>232401.28516480039</v>
      </c>
      <c r="U45" cm="1">
        <f t="array" ref="U45">[1]!PropsSI("H","T",K45+273.15,"P",101325,"Water")</f>
        <v>189583.80318042455</v>
      </c>
      <c r="V45">
        <f t="shared" si="6"/>
        <v>683.71131780828841</v>
      </c>
    </row>
    <row r="46" spans="1:22" x14ac:dyDescent="0.2">
      <c r="A46">
        <v>46068.570616180557</v>
      </c>
      <c r="B46">
        <v>19.757111999999999</v>
      </c>
      <c r="C46">
        <v>19.575088999999998</v>
      </c>
      <c r="D46">
        <v>19.424104</v>
      </c>
      <c r="E46">
        <v>19.417517</v>
      </c>
      <c r="F46">
        <v>30.508780999999999</v>
      </c>
      <c r="G46">
        <v>28.223565000000001</v>
      </c>
      <c r="H46">
        <v>23.994841999999998</v>
      </c>
      <c r="I46">
        <v>21.483650000000001</v>
      </c>
      <c r="J46">
        <v>55.500633999999998</v>
      </c>
      <c r="K46">
        <v>45.272984000000001</v>
      </c>
      <c r="L46">
        <v>302.70102200000002</v>
      </c>
      <c r="M46">
        <v>-622.48530700000003</v>
      </c>
      <c r="N46">
        <v>0.96830899999999998</v>
      </c>
      <c r="O46">
        <v>0.520289</v>
      </c>
      <c r="P46">
        <f t="shared" si="4"/>
        <v>1.6138483333333335E-5</v>
      </c>
      <c r="Q46" cm="1">
        <f t="array" ref="Q46">[1]!PropsSI("D","T",J46+273.15,"P",101325,"Water")</f>
        <v>985.44990636303908</v>
      </c>
      <c r="R46" cm="1">
        <f t="array" ref="R46">[1]!PropsSI("D","T",K46+273.15,"P",101325,"Water")</f>
        <v>990.09839430666773</v>
      </c>
      <c r="S46">
        <f t="shared" si="5"/>
        <v>987.7741503348534</v>
      </c>
      <c r="T46" cm="1">
        <f t="array" ref="T46">[1]!PropsSI("H","T",J46+273.15,"P",101325,"Water")</f>
        <v>232423.25082528219</v>
      </c>
      <c r="U46" cm="1">
        <f t="array" ref="U46">[1]!PropsSI("H","T",K46+273.15,"P",101325,"Water")</f>
        <v>189656.08291859116</v>
      </c>
      <c r="V46">
        <f t="shared" si="6"/>
        <v>681.75897894580464</v>
      </c>
    </row>
    <row r="47" spans="1:22" x14ac:dyDescent="0.2">
      <c r="A47">
        <v>46068.570731921296</v>
      </c>
      <c r="B47">
        <v>20.196791999999999</v>
      </c>
      <c r="C47">
        <v>20.073689999999999</v>
      </c>
      <c r="D47">
        <v>19.52899</v>
      </c>
      <c r="E47">
        <v>19.574960000000001</v>
      </c>
      <c r="F47">
        <v>31.092590999999999</v>
      </c>
      <c r="G47">
        <v>29.104966999999998</v>
      </c>
      <c r="H47">
        <v>24.123336999999999</v>
      </c>
      <c r="I47">
        <v>21.727878</v>
      </c>
      <c r="J47">
        <v>55.500157000000002</v>
      </c>
      <c r="K47">
        <v>45.248396</v>
      </c>
      <c r="L47">
        <v>301.360681</v>
      </c>
      <c r="M47">
        <v>-622.48816399999998</v>
      </c>
      <c r="N47">
        <v>0.96887500000000004</v>
      </c>
      <c r="O47">
        <v>0.51234599999999997</v>
      </c>
      <c r="P47">
        <f t="shared" si="4"/>
        <v>1.6147916666666668E-5</v>
      </c>
      <c r="Q47" cm="1">
        <f t="array" ref="Q47">[1]!PropsSI("D","T",J47+273.15,"P",101325,"Water")</f>
        <v>985.45013880130841</v>
      </c>
      <c r="R47" cm="1">
        <f t="array" ref="R47">[1]!PropsSI("D","T",K47+273.15,"P",101325,"Water")</f>
        <v>990.10872901844652</v>
      </c>
      <c r="S47">
        <f t="shared" si="5"/>
        <v>987.77943390987753</v>
      </c>
      <c r="T47" cm="1">
        <f t="array" ref="T47">[1]!PropsSI("H","T",J47+273.15,"P",101325,"Water")</f>
        <v>232421.25546777743</v>
      </c>
      <c r="U47" cm="1">
        <f t="array" ref="U47">[1]!PropsSI("H","T",K47+273.15,"P",101325,"Water")</f>
        <v>189553.30032114915</v>
      </c>
      <c r="V47">
        <f t="shared" si="6"/>
        <v>683.76874730926897</v>
      </c>
    </row>
    <row r="48" spans="1:22" x14ac:dyDescent="0.2">
      <c r="A48">
        <v>46068.570847662035</v>
      </c>
      <c r="B48">
        <v>20.222252999999998</v>
      </c>
      <c r="C48">
        <v>19.943345999999998</v>
      </c>
      <c r="D48">
        <v>19.340619</v>
      </c>
      <c r="E48">
        <v>19.571270999999999</v>
      </c>
      <c r="F48">
        <v>31.193798000000001</v>
      </c>
      <c r="G48">
        <v>28.603470999999999</v>
      </c>
      <c r="H48">
        <v>23.966507</v>
      </c>
      <c r="I48">
        <v>21.478915000000001</v>
      </c>
      <c r="J48">
        <v>55.498246999999999</v>
      </c>
      <c r="K48">
        <v>45.260928</v>
      </c>
      <c r="L48">
        <v>293.78024399999998</v>
      </c>
      <c r="M48">
        <v>-622.49836700000003</v>
      </c>
      <c r="N48">
        <v>0.96735800000000005</v>
      </c>
      <c r="O48">
        <v>1.5519480000000001</v>
      </c>
      <c r="P48">
        <f t="shared" si="4"/>
        <v>1.6122633333333334E-5</v>
      </c>
      <c r="Q48" cm="1">
        <f t="array" ref="Q48">[1]!PropsSI("D","T",J48+273.15,"P",101325,"Water")</f>
        <v>985.45106951501668</v>
      </c>
      <c r="R48" cm="1">
        <f t="array" ref="R48">[1]!PropsSI("D","T",K48+273.15,"P",101325,"Water")</f>
        <v>990.10346215231687</v>
      </c>
      <c r="S48">
        <f t="shared" si="5"/>
        <v>987.77726583366677</v>
      </c>
      <c r="T48" cm="1">
        <f t="array" ref="T48">[1]!PropsSI("H","T",J48+273.15,"P",101325,"Water")</f>
        <v>232413.26567228997</v>
      </c>
      <c r="U48" cm="1">
        <f t="array" ref="U48">[1]!PropsSI("H","T",K48+273.15,"P",101325,"Water")</f>
        <v>189605.68649079054</v>
      </c>
      <c r="V48">
        <f t="shared" si="6"/>
        <v>681.73512755386332</v>
      </c>
    </row>
    <row r="49" spans="1:22" x14ac:dyDescent="0.2">
      <c r="A49">
        <v>44606.570963983497</v>
      </c>
      <c r="B49">
        <v>20.269575</v>
      </c>
      <c r="C49">
        <v>20.023955999999998</v>
      </c>
      <c r="D49">
        <v>19.507418999999999</v>
      </c>
      <c r="E49">
        <v>19.796122</v>
      </c>
      <c r="F49">
        <v>30.961528000000001</v>
      </c>
      <c r="G49">
        <v>27.173546999999999</v>
      </c>
      <c r="H49">
        <v>24.306322999999999</v>
      </c>
      <c r="I49">
        <v>21.682155999999999</v>
      </c>
      <c r="J49">
        <v>55.491086000000003</v>
      </c>
      <c r="K49">
        <v>45.259658999999999</v>
      </c>
      <c r="L49">
        <v>296.23808000000002</v>
      </c>
      <c r="M49">
        <v>-622.50326500000006</v>
      </c>
      <c r="N49">
        <v>0.96781700000000004</v>
      </c>
      <c r="O49">
        <v>1.3170440000000001</v>
      </c>
      <c r="P49">
        <f t="shared" si="4"/>
        <v>1.6130283333333334E-5</v>
      </c>
      <c r="Q49" cm="1">
        <f t="array" ref="Q49">[1]!PropsSI("D","T",J49+273.15,"P",101325,"Water")</f>
        <v>985.45455875978632</v>
      </c>
      <c r="R49" cm="1">
        <f t="array" ref="R49">[1]!PropsSI("D","T",K49+273.15,"P",101325,"Water")</f>
        <v>990.10399552887952</v>
      </c>
      <c r="S49">
        <f t="shared" si="5"/>
        <v>987.77927714433292</v>
      </c>
      <c r="T49" cm="1">
        <f t="array" ref="T49">[1]!PropsSI("H","T",J49+273.15,"P",101325,"Water")</f>
        <v>232383.31022599799</v>
      </c>
      <c r="U49" cm="1">
        <f t="array" ref="U49">[1]!PropsSI("H","T",K49+273.15,"P",101325,"Water")</f>
        <v>189600.38182530954</v>
      </c>
      <c r="V49">
        <f t="shared" si="6"/>
        <v>681.66722683985631</v>
      </c>
    </row>
    <row r="51" spans="1:22" x14ac:dyDescent="0.2">
      <c r="F51" s="1" t="s">
        <v>22</v>
      </c>
    </row>
    <row r="52" spans="1:22" x14ac:dyDescent="0.2">
      <c r="F52">
        <f>AVERAGE(V3:V49)</f>
        <v>680.63730310814151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6F1E8-315D-1D4C-89D3-E471FCC576D7}">
  <dimension ref="A1:V52"/>
  <sheetViews>
    <sheetView topLeftCell="A18" workbookViewId="0">
      <selection activeCell="F52" sqref="F52"/>
    </sheetView>
  </sheetViews>
  <sheetFormatPr baseColWidth="10" defaultRowHeight="16" x14ac:dyDescent="0.2"/>
  <cols>
    <col min="1" max="1" width="12.1640625" bestFit="1" customWidth="1"/>
    <col min="2" max="10" width="10.1640625" bestFit="1" customWidth="1"/>
    <col min="11" max="12" width="11.1640625" bestFit="1" customWidth="1"/>
    <col min="13" max="13" width="13" bestFit="1" customWidth="1"/>
    <col min="14" max="14" width="11.33203125" bestFit="1" customWidth="1"/>
    <col min="15" max="15" width="11.5" bestFit="1" customWidth="1"/>
    <col min="16" max="16" width="12.5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>
        <v>44606.572256807602</v>
      </c>
      <c r="B2">
        <v>20.244039000000001</v>
      </c>
      <c r="C2">
        <v>20.306764000000001</v>
      </c>
      <c r="D2">
        <v>19.606214000000001</v>
      </c>
      <c r="E2">
        <v>19.806450000000002</v>
      </c>
      <c r="F2">
        <v>29.406020000000002</v>
      </c>
      <c r="G2">
        <v>26.985634000000001</v>
      </c>
      <c r="H2">
        <v>24.033377000000002</v>
      </c>
      <c r="I2">
        <v>21.545318999999999</v>
      </c>
      <c r="J2">
        <v>55.491086000000003</v>
      </c>
      <c r="K2">
        <v>44.739393999999997</v>
      </c>
      <c r="L2">
        <v>387.19883199999998</v>
      </c>
      <c r="M2">
        <v>-622.50122399999998</v>
      </c>
      <c r="N2">
        <v>0.96912900000000002</v>
      </c>
      <c r="O2">
        <v>1.533992</v>
      </c>
      <c r="P2">
        <f xml:space="preserve"> N2*0.001/60</f>
        <v>1.6152150000000001E-5</v>
      </c>
      <c r="Q2" cm="1">
        <f t="array" ref="Q2">[1]!PropsSI("D","T",J2+273.15,"P",101325,"Water")</f>
        <v>985.45455875978632</v>
      </c>
      <c r="R2" cm="1">
        <f t="array" ref="R2">[1]!PropsSI("D","T",K2+273.15,"P",101325,"Water")</f>
        <v>990.32172486915738</v>
      </c>
      <c r="S2">
        <f>(Q2+R2)/2</f>
        <v>987.88814181447185</v>
      </c>
      <c r="T2" cm="1">
        <f t="array" ref="T2">[1]!PropsSI("H","T",J2+273.15,"P",101325,"Water")</f>
        <v>232383.31022599799</v>
      </c>
      <c r="U2" cm="1">
        <f t="array" ref="U2">[1]!PropsSI("H","T",K2+273.15,"P",101325,"Water")</f>
        <v>187425.60021668076</v>
      </c>
      <c r="V2">
        <f>S2*P2*(T2-U2)</f>
        <v>717.36848426710617</v>
      </c>
    </row>
    <row r="3" spans="1:22" x14ac:dyDescent="0.2">
      <c r="A3">
        <v>44606.572373126997</v>
      </c>
      <c r="B3">
        <v>20.082601</v>
      </c>
      <c r="C3">
        <v>20.080275</v>
      </c>
      <c r="D3">
        <v>19.353210000000001</v>
      </c>
      <c r="E3">
        <v>19.493109</v>
      </c>
      <c r="F3">
        <v>29.412102000000001</v>
      </c>
      <c r="G3">
        <v>28.029630999999998</v>
      </c>
      <c r="H3">
        <v>23.757743000000001</v>
      </c>
      <c r="I3">
        <v>20.974916</v>
      </c>
      <c r="J3">
        <v>55.482970000000002</v>
      </c>
      <c r="K3">
        <v>44.759377999999998</v>
      </c>
      <c r="L3">
        <v>388.73426499999999</v>
      </c>
      <c r="M3">
        <v>-622.51673400000004</v>
      </c>
      <c r="N3">
        <v>0.96751799999999999</v>
      </c>
      <c r="O3">
        <v>1.1968529999999999</v>
      </c>
      <c r="P3">
        <f t="shared" ref="P3" si="0" xml:space="preserve"> N3*0.001/60</f>
        <v>1.61253E-5</v>
      </c>
      <c r="Q3" cm="1">
        <f t="array" ref="Q3">[1]!PropsSI("D","T",J3+273.15,"P",101325,"Water")</f>
        <v>985.45851295176863</v>
      </c>
      <c r="R3" cm="1">
        <f t="array" ref="R3">[1]!PropsSI("D","T",K3+273.15,"P",101325,"Water")</f>
        <v>990.31339650218285</v>
      </c>
      <c r="S3">
        <f>(Q3+R3)/2</f>
        <v>987.8859547269758</v>
      </c>
      <c r="T3" cm="1">
        <f t="array" ref="T3">[1]!PropsSI("H","T",J3+273.15,"P",101325,"Water")</f>
        <v>232349.35990647878</v>
      </c>
      <c r="U3" cm="1">
        <f t="array" ref="U3">[1]!PropsSI("H","T",K3+273.15,"P",101325,"Water")</f>
        <v>187509.13520695959</v>
      </c>
      <c r="V3">
        <f t="shared" ref="V3:V57" si="1">S3*P3*(T3-U3)</f>
        <v>714.30286863119454</v>
      </c>
    </row>
    <row r="4" spans="1:22" x14ac:dyDescent="0.2">
      <c r="A4">
        <v>44606.5724894464</v>
      </c>
      <c r="B4">
        <v>20.513648</v>
      </c>
      <c r="C4">
        <v>20.461053</v>
      </c>
      <c r="D4">
        <v>19.763221999999999</v>
      </c>
      <c r="E4">
        <v>19.938950999999999</v>
      </c>
      <c r="F4">
        <v>29.520334999999999</v>
      </c>
      <c r="G4">
        <v>28.112886</v>
      </c>
      <c r="H4">
        <v>23.982789</v>
      </c>
      <c r="I4">
        <v>21.581389000000001</v>
      </c>
      <c r="J4">
        <v>55.475968999999999</v>
      </c>
      <c r="K4">
        <v>44.751448000000003</v>
      </c>
      <c r="L4">
        <v>389.01833199999999</v>
      </c>
      <c r="M4">
        <v>-622.49795900000004</v>
      </c>
      <c r="N4">
        <v>0.96945700000000001</v>
      </c>
      <c r="O4">
        <v>1.2020759999999999</v>
      </c>
      <c r="P4">
        <f xml:space="preserve"> N4*0.001/60</f>
        <v>1.6157616666666669E-5</v>
      </c>
      <c r="Q4" cm="1">
        <f t="array" ref="Q4">[1]!PropsSI("D","T",J4+273.15,"P",101325,"Water")</f>
        <v>985.46192357833615</v>
      </c>
      <c r="R4" cm="1">
        <f t="array" ref="R4">[1]!PropsSI("D","T",K4+273.15,"P",101325,"Water")</f>
        <v>990.31670167775292</v>
      </c>
      <c r="S4">
        <f t="shared" ref="S4:S57" si="2">(Q4+R4)/2</f>
        <v>987.88931262804454</v>
      </c>
      <c r="T4" cm="1">
        <f t="array" ref="T4">[1]!PropsSI("H","T",J4+273.15,"P",101325,"Water")</f>
        <v>232320.07380145634</v>
      </c>
      <c r="U4" cm="1">
        <f t="array" ref="U4">[1]!PropsSI("H","T",K4+273.15,"P",101325,"Water")</f>
        <v>187475.98705564719</v>
      </c>
      <c r="V4">
        <f t="shared" si="1"/>
        <v>715.79847950114367</v>
      </c>
    </row>
    <row r="5" spans="1:22" x14ac:dyDescent="0.2">
      <c r="A5">
        <v>44606.572605187197</v>
      </c>
      <c r="B5">
        <v>20.327701000000001</v>
      </c>
      <c r="C5">
        <v>20.323786999999999</v>
      </c>
      <c r="D5">
        <v>19.576623999999999</v>
      </c>
      <c r="E5">
        <v>19.768602000000001</v>
      </c>
      <c r="F5">
        <v>29.559629000000001</v>
      </c>
      <c r="G5">
        <v>28.506657000000001</v>
      </c>
      <c r="H5">
        <v>23.810258999999999</v>
      </c>
      <c r="I5">
        <v>21.691020999999999</v>
      </c>
      <c r="J5">
        <v>55.4739</v>
      </c>
      <c r="K5">
        <v>44.776032000000001</v>
      </c>
      <c r="L5">
        <v>373.87745799999999</v>
      </c>
      <c r="M5">
        <v>-622.47102199999995</v>
      </c>
      <c r="N5">
        <v>0.966387</v>
      </c>
      <c r="O5">
        <v>1.079636</v>
      </c>
      <c r="P5">
        <f t="shared" ref="P5:P57" si="3" xml:space="preserve"> N5*0.001/60</f>
        <v>1.6106449999999999E-5</v>
      </c>
      <c r="Q5" cm="1">
        <f t="array" ref="Q5">[1]!PropsSI("D","T",J5+273.15,"P",101325,"Water")</f>
        <v>985.46293146016194</v>
      </c>
      <c r="R5" cm="1">
        <f t="array" ref="R5">[1]!PropsSI("D","T",K5+273.15,"P",101325,"Water")</f>
        <v>990.30645378554652</v>
      </c>
      <c r="S5">
        <f t="shared" si="2"/>
        <v>987.88469262285423</v>
      </c>
      <c r="T5" cm="1">
        <f t="array" ref="T5">[1]!PropsSI("H","T",J5+273.15,"P",101325,"Water")</f>
        <v>232311.41890540172</v>
      </c>
      <c r="U5" cm="1">
        <f t="array" ref="U5">[1]!PropsSI("H","T",K5+273.15,"P",101325,"Water")</f>
        <v>187578.75054374995</v>
      </c>
      <c r="V5">
        <f t="shared" si="1"/>
        <v>711.7555953211305</v>
      </c>
    </row>
    <row r="6" spans="1:22" x14ac:dyDescent="0.2">
      <c r="A6">
        <v>46068.572720925928</v>
      </c>
      <c r="B6">
        <v>20.402621</v>
      </c>
      <c r="C6">
        <v>20.444278000000001</v>
      </c>
      <c r="D6">
        <v>19.733903000000002</v>
      </c>
      <c r="E6">
        <v>19.889254999999999</v>
      </c>
      <c r="F6">
        <v>29.564662999999999</v>
      </c>
      <c r="G6">
        <v>26.974062</v>
      </c>
      <c r="H6">
        <v>24.148256</v>
      </c>
      <c r="I6">
        <v>21.456154000000002</v>
      </c>
      <c r="J6">
        <v>55.469126000000003</v>
      </c>
      <c r="K6">
        <v>44.786023999999998</v>
      </c>
      <c r="L6">
        <v>396.36857700000002</v>
      </c>
      <c r="M6">
        <v>-622.47510299999999</v>
      </c>
      <c r="N6">
        <v>0.96759600000000001</v>
      </c>
      <c r="O6">
        <v>1.4915989999999999</v>
      </c>
      <c r="P6">
        <f t="shared" si="3"/>
        <v>1.6126599999999999E-5</v>
      </c>
      <c r="Q6" cm="1">
        <f t="array" ref="Q6">[1]!PropsSI("D","T",J6+273.15,"P",101325,"Water")</f>
        <v>985.46525694058573</v>
      </c>
      <c r="R6" cm="1">
        <f t="array" ref="R6">[1]!PropsSI("D","T",K6+273.15,"P",101325,"Water")</f>
        <v>990.30228739176823</v>
      </c>
      <c r="S6">
        <f t="shared" si="2"/>
        <v>987.88377216617698</v>
      </c>
      <c r="T6" cm="1">
        <f t="array" ref="T6">[1]!PropsSI("H","T",J6+273.15,"P",101325,"Water")</f>
        <v>232291.44864869391</v>
      </c>
      <c r="U6" cm="1">
        <f t="array" ref="U6">[1]!PropsSI("H","T",K6+273.15,"P",101325,"Water")</f>
        <v>187620.51809926587</v>
      </c>
      <c r="V6">
        <f t="shared" si="1"/>
        <v>711.66181645944812</v>
      </c>
    </row>
    <row r="7" spans="1:22" x14ac:dyDescent="0.2">
      <c r="A7">
        <v>46068.572837245367</v>
      </c>
      <c r="B7">
        <v>20.564236999999999</v>
      </c>
      <c r="C7">
        <v>20.610802</v>
      </c>
      <c r="D7">
        <v>19.691958</v>
      </c>
      <c r="E7">
        <v>20.150368</v>
      </c>
      <c r="F7">
        <v>29.559714</v>
      </c>
      <c r="G7">
        <v>28.992954000000001</v>
      </c>
      <c r="H7">
        <v>24.091861999999999</v>
      </c>
      <c r="I7">
        <v>21.809833000000001</v>
      </c>
      <c r="J7">
        <v>55.466738999999997</v>
      </c>
      <c r="K7">
        <v>44.772700999999998</v>
      </c>
      <c r="L7">
        <v>382.733341</v>
      </c>
      <c r="M7">
        <v>-622.49510199999997</v>
      </c>
      <c r="N7">
        <v>0.96584999999999999</v>
      </c>
      <c r="O7">
        <v>1.269898</v>
      </c>
      <c r="P7">
        <f t="shared" si="3"/>
        <v>1.60975E-5</v>
      </c>
      <c r="Q7" cm="1">
        <f t="array" ref="Q7">[1]!PropsSI("D","T",J7+273.15,"P",101325,"Water")</f>
        <v>985.46641962800766</v>
      </c>
      <c r="R7" cm="1">
        <f t="array" ref="R7">[1]!PropsSI("D","T",K7+273.15,"P",101325,"Water")</f>
        <v>990.30784256736615</v>
      </c>
      <c r="S7">
        <f t="shared" si="2"/>
        <v>987.88713109768696</v>
      </c>
      <c r="T7" cm="1">
        <f t="array" ref="T7">[1]!PropsSI("H","T",J7+273.15,"P",101325,"Water")</f>
        <v>232281.46352344356</v>
      </c>
      <c r="U7" cm="1">
        <f t="array" ref="U7">[1]!PropsSI("H","T",K7+273.15,"P",101325,"Water")</f>
        <v>187564.82663617498</v>
      </c>
      <c r="V7">
        <f t="shared" si="1"/>
        <v>711.10690356778491</v>
      </c>
    </row>
    <row r="8" spans="1:22" x14ac:dyDescent="0.2">
      <c r="A8">
        <v>46068.572952986113</v>
      </c>
      <c r="B8">
        <v>20.492667000000001</v>
      </c>
      <c r="C8">
        <v>20.755925999999999</v>
      </c>
      <c r="D8">
        <v>19.565531</v>
      </c>
      <c r="E8">
        <v>19.805060000000001</v>
      </c>
      <c r="F8">
        <v>29.537351000000001</v>
      </c>
      <c r="G8">
        <v>28.614184999999999</v>
      </c>
      <c r="H8">
        <v>23.979647</v>
      </c>
      <c r="I8">
        <v>21.386336</v>
      </c>
      <c r="J8">
        <v>55.466420999999997</v>
      </c>
      <c r="K8">
        <v>44.807436000000003</v>
      </c>
      <c r="L8">
        <v>405.66606999999999</v>
      </c>
      <c r="M8">
        <v>-622.50285699999995</v>
      </c>
      <c r="N8">
        <v>0.96800200000000003</v>
      </c>
      <c r="O8">
        <v>1.3124439999999999</v>
      </c>
      <c r="P8">
        <f t="shared" si="3"/>
        <v>1.6133366666666667E-5</v>
      </c>
      <c r="Q8" cm="1">
        <f t="array" ref="Q8">[1]!PropsSI("D","T",J8+273.15,"P",101325,"Water")</f>
        <v>985.46657452044701</v>
      </c>
      <c r="R8" cm="1">
        <f t="array" ref="R8">[1]!PropsSI("D","T",K8+273.15,"P",101325,"Water")</f>
        <v>990.29335681720818</v>
      </c>
      <c r="S8">
        <f t="shared" si="2"/>
        <v>987.87996566882759</v>
      </c>
      <c r="T8" cm="1">
        <f t="array" ref="T8">[1]!PropsSI("H","T",J8+273.15,"P",101325,"Water")</f>
        <v>232280.13328911635</v>
      </c>
      <c r="U8" cm="1">
        <f t="array" ref="U8">[1]!PropsSI("H","T",K8+273.15,"P",101325,"Water")</f>
        <v>187710.02245690377</v>
      </c>
      <c r="V8">
        <f t="shared" si="1"/>
        <v>710.35083654566836</v>
      </c>
    </row>
    <row r="9" spans="1:22" x14ac:dyDescent="0.2">
      <c r="A9">
        <v>46068.573069305552</v>
      </c>
      <c r="B9">
        <v>20.407993999999999</v>
      </c>
      <c r="C9">
        <v>20.337938000000001</v>
      </c>
      <c r="D9">
        <v>19.432099000000001</v>
      </c>
      <c r="E9">
        <v>19.670680000000001</v>
      </c>
      <c r="F9">
        <v>29.437431</v>
      </c>
      <c r="G9">
        <v>28.389219000000001</v>
      </c>
      <c r="H9">
        <v>23.580324000000001</v>
      </c>
      <c r="I9">
        <v>21.327862</v>
      </c>
      <c r="J9">
        <v>55.460692000000002</v>
      </c>
      <c r="K9">
        <v>44.809973999999997</v>
      </c>
      <c r="L9">
        <v>377.12831599999998</v>
      </c>
      <c r="M9">
        <v>-622.53469199999995</v>
      </c>
      <c r="N9">
        <v>0.96742399999999995</v>
      </c>
      <c r="O9">
        <v>1.2128399999999999</v>
      </c>
      <c r="P9">
        <f t="shared" si="3"/>
        <v>1.6123733333333333E-5</v>
      </c>
      <c r="Q9" cm="1">
        <f t="array" ref="Q9">[1]!PropsSI("D","T",J9+273.15,"P",101325,"Water")</f>
        <v>985.46936491279939</v>
      </c>
      <c r="R9" cm="1">
        <f t="array" ref="R9">[1]!PropsSI("D","T",K9+273.15,"P",101325,"Water")</f>
        <v>990.29229804897147</v>
      </c>
      <c r="S9">
        <f t="shared" si="2"/>
        <v>987.88083148088549</v>
      </c>
      <c r="T9" cm="1">
        <f t="array" ref="T9">[1]!PropsSI("H","T",J9+273.15,"P",101325,"Water")</f>
        <v>232256.16816121375</v>
      </c>
      <c r="U9" cm="1">
        <f t="array" ref="U9">[1]!PropsSI("H","T",K9+273.15,"P",101325,"Water")</f>
        <v>187720.63156316738</v>
      </c>
      <c r="V9">
        <f t="shared" si="1"/>
        <v>709.37659414738471</v>
      </c>
    </row>
    <row r="10" spans="1:22" x14ac:dyDescent="0.2">
      <c r="A10">
        <v>44606.573185626999</v>
      </c>
      <c r="B10">
        <v>20.729009999999999</v>
      </c>
      <c r="C10">
        <v>20.464317000000001</v>
      </c>
      <c r="D10">
        <v>19.494157999999999</v>
      </c>
      <c r="E10">
        <v>20.097971999999999</v>
      </c>
      <c r="F10">
        <v>29.768495999999999</v>
      </c>
      <c r="G10">
        <v>28.183831999999999</v>
      </c>
      <c r="H10">
        <v>24.013926999999999</v>
      </c>
      <c r="I10">
        <v>21.062301999999999</v>
      </c>
      <c r="J10">
        <v>55.461170000000003</v>
      </c>
      <c r="K10">
        <v>44.796492000000001</v>
      </c>
      <c r="L10">
        <v>403.65596699999998</v>
      </c>
      <c r="M10">
        <v>-622.48285799999996</v>
      </c>
      <c r="N10">
        <v>0.97209999999999996</v>
      </c>
      <c r="O10">
        <v>1.282403</v>
      </c>
      <c r="P10">
        <f t="shared" si="3"/>
        <v>1.6201666666666664E-5</v>
      </c>
      <c r="Q10" cm="1">
        <f t="array" ref="Q10">[1]!PropsSI("D","T",J10+273.15,"P",101325,"Water")</f>
        <v>985.46913210371827</v>
      </c>
      <c r="R10" cm="1">
        <f t="array" ref="R10">[1]!PropsSI("D","T",K10+273.15,"P",101325,"Water")</f>
        <v>990.29792177043487</v>
      </c>
      <c r="S10">
        <f t="shared" si="2"/>
        <v>987.88352693707657</v>
      </c>
      <c r="T10" cm="1">
        <f t="array" ref="T10">[1]!PropsSI("H","T",J10+273.15,"P",101325,"Water")</f>
        <v>232258.16769494873</v>
      </c>
      <c r="U10" cm="1">
        <f t="array" ref="U10">[1]!PropsSI("H","T",K10+273.15,"P",101325,"Water")</f>
        <v>187664.27540272128</v>
      </c>
      <c r="V10">
        <f t="shared" si="1"/>
        <v>713.74128249879288</v>
      </c>
    </row>
    <row r="11" spans="1:22" x14ac:dyDescent="0.2">
      <c r="A11">
        <v>44606.573301367702</v>
      </c>
      <c r="B11">
        <v>20.709990999999999</v>
      </c>
      <c r="C11">
        <v>20.207477000000001</v>
      </c>
      <c r="D11">
        <v>19.475671999999999</v>
      </c>
      <c r="E11">
        <v>19.844456000000001</v>
      </c>
      <c r="F11">
        <v>29.591446000000001</v>
      </c>
      <c r="G11">
        <v>28.484327</v>
      </c>
      <c r="H11">
        <v>23.692433999999999</v>
      </c>
      <c r="I11">
        <v>21.81428</v>
      </c>
      <c r="J11">
        <v>55.458463999999999</v>
      </c>
      <c r="K11">
        <v>44.807912000000002</v>
      </c>
      <c r="L11">
        <v>391.97532699999999</v>
      </c>
      <c r="M11">
        <v>-622.46653200000003</v>
      </c>
      <c r="N11">
        <v>0.96981300000000004</v>
      </c>
      <c r="O11">
        <v>1.184463</v>
      </c>
      <c r="P11">
        <f t="shared" si="3"/>
        <v>1.6163550000000002E-5</v>
      </c>
      <c r="Q11" cm="1">
        <f t="array" ref="Q11">[1]!PropsSI("D","T",J11+273.15,"P",101325,"Water")</f>
        <v>985.47045003767062</v>
      </c>
      <c r="R11" cm="1">
        <f t="array" ref="R11">[1]!PropsSI("D","T",K11+273.15,"P",101325,"Water")</f>
        <v>990.29315824944388</v>
      </c>
      <c r="S11">
        <f t="shared" si="2"/>
        <v>987.88180414355725</v>
      </c>
      <c r="T11" cm="1">
        <f t="array" ref="T11">[1]!PropsSI("H","T",J11+273.15,"P",101325,"Water")</f>
        <v>232246.84816011478</v>
      </c>
      <c r="U11" cm="1">
        <f t="array" ref="U11">[1]!PropsSI("H","T",K11+273.15,"P",101325,"Water")</f>
        <v>187712.01218675144</v>
      </c>
      <c r="V11">
        <f t="shared" si="1"/>
        <v>711.11787319211942</v>
      </c>
    </row>
    <row r="12" spans="1:22" x14ac:dyDescent="0.2">
      <c r="A12">
        <v>44606.573417687199</v>
      </c>
      <c r="B12">
        <v>20.592341000000001</v>
      </c>
      <c r="C12">
        <v>20.035261999999999</v>
      </c>
      <c r="D12">
        <v>19.802271000000001</v>
      </c>
      <c r="E12">
        <v>20.058706999999998</v>
      </c>
      <c r="F12">
        <v>29.517398</v>
      </c>
      <c r="G12">
        <v>28.585868999999999</v>
      </c>
      <c r="H12">
        <v>23.9879</v>
      </c>
      <c r="I12">
        <v>21.633303000000002</v>
      </c>
      <c r="J12">
        <v>55.455441</v>
      </c>
      <c r="K12">
        <v>44.793953999999999</v>
      </c>
      <c r="L12">
        <v>423.46273000000002</v>
      </c>
      <c r="M12">
        <v>-622.48449100000005</v>
      </c>
      <c r="N12">
        <v>0.97036599999999995</v>
      </c>
      <c r="O12">
        <v>1.3201959999999999</v>
      </c>
      <c r="P12">
        <f t="shared" si="3"/>
        <v>1.6172766666666665E-5</v>
      </c>
      <c r="Q12" cm="1">
        <f t="array" ref="Q12">[1]!PropsSI("D","T",J12+273.15,"P",101325,"Water")</f>
        <v>985.4719223102079</v>
      </c>
      <c r="R12" cm="1">
        <f t="array" ref="R12">[1]!PropsSI("D","T",K12+273.15,"P",101325,"Water")</f>
        <v>990.2989802996002</v>
      </c>
      <c r="S12">
        <f t="shared" si="2"/>
        <v>987.88545130490411</v>
      </c>
      <c r="T12" cm="1">
        <f t="array" ref="T12">[1]!PropsSI("H","T",J12+273.15,"P",101325,"Water")</f>
        <v>232234.20257811481</v>
      </c>
      <c r="U12" cm="1">
        <f t="array" ref="U12">[1]!PropsSI("H","T",K12+273.15,"P",101325,"Water")</f>
        <v>187653.66630295565</v>
      </c>
      <c r="V12">
        <f t="shared" si="1"/>
        <v>712.25613518670946</v>
      </c>
    </row>
    <row r="13" spans="1:22" x14ac:dyDescent="0.2">
      <c r="A13">
        <v>44606.573533427902</v>
      </c>
      <c r="B13">
        <v>20.407589000000002</v>
      </c>
      <c r="C13">
        <v>20.432953999999999</v>
      </c>
      <c r="D13">
        <v>19.697265000000002</v>
      </c>
      <c r="E13">
        <v>19.833003000000001</v>
      </c>
      <c r="F13">
        <v>29.412551000000001</v>
      </c>
      <c r="G13">
        <v>27.591799999999999</v>
      </c>
      <c r="H13">
        <v>23.889400999999999</v>
      </c>
      <c r="I13">
        <v>21.301269000000001</v>
      </c>
      <c r="J13">
        <v>55.451143999999999</v>
      </c>
      <c r="K13">
        <v>44.786023999999998</v>
      </c>
      <c r="L13">
        <v>377.46707400000003</v>
      </c>
      <c r="M13">
        <v>-622.49918400000001</v>
      </c>
      <c r="N13">
        <v>0.96684199999999998</v>
      </c>
      <c r="O13">
        <v>1.305963</v>
      </c>
      <c r="P13">
        <f t="shared" si="3"/>
        <v>1.6114033333333332E-5</v>
      </c>
      <c r="Q13" cm="1">
        <f t="array" ref="Q13">[1]!PropsSI("D","T",J13+273.15,"P",101325,"Water")</f>
        <v>985.47401495374038</v>
      </c>
      <c r="R13" cm="1">
        <f t="array" ref="R13">[1]!PropsSI("D","T",K13+273.15,"P",101325,"Water")</f>
        <v>990.30228739176823</v>
      </c>
      <c r="S13">
        <f t="shared" si="2"/>
        <v>987.88815117275431</v>
      </c>
      <c r="T13" cm="1">
        <f t="array" ref="T13">[1]!PropsSI("H","T",J13+273.15,"P",101325,"Water")</f>
        <v>232216.22770265918</v>
      </c>
      <c r="U13" cm="1">
        <f t="array" ref="U13">[1]!PropsSI("H","T",K13+273.15,"P",101325,"Water")</f>
        <v>187620.51809926587</v>
      </c>
      <c r="V13">
        <f t="shared" si="1"/>
        <v>709.91297361901366</v>
      </c>
    </row>
    <row r="14" spans="1:22" x14ac:dyDescent="0.2">
      <c r="A14">
        <v>44606.573649747399</v>
      </c>
      <c r="B14">
        <v>20.277525000000001</v>
      </c>
      <c r="C14">
        <v>20.221557000000001</v>
      </c>
      <c r="D14">
        <v>19.606217999999998</v>
      </c>
      <c r="E14">
        <v>19.666944999999998</v>
      </c>
      <c r="F14">
        <v>29.335311000000001</v>
      </c>
      <c r="G14">
        <v>28.198286</v>
      </c>
      <c r="H14">
        <v>23.763839999999998</v>
      </c>
      <c r="I14">
        <v>21.504629999999999</v>
      </c>
      <c r="J14">
        <v>55.447961999999997</v>
      </c>
      <c r="K14">
        <v>44.763502000000003</v>
      </c>
      <c r="L14">
        <v>394.18338</v>
      </c>
      <c r="M14">
        <v>-622.50897899999995</v>
      </c>
      <c r="N14">
        <v>0.96951799999999999</v>
      </c>
      <c r="O14">
        <v>1.2982370000000001</v>
      </c>
      <c r="P14">
        <f t="shared" si="3"/>
        <v>1.6158633333333335E-5</v>
      </c>
      <c r="Q14" cm="1">
        <f t="array" ref="Q14">[1]!PropsSI("D","T",J14+273.15,"P",101325,"Water")</f>
        <v>985.47556451756611</v>
      </c>
      <c r="R14" cm="1">
        <f t="array" ref="R14">[1]!PropsSI("D","T",K14+273.15,"P",101325,"Water")</f>
        <v>990.31167747040865</v>
      </c>
      <c r="S14">
        <f t="shared" si="2"/>
        <v>987.89362099398738</v>
      </c>
      <c r="T14" cm="1">
        <f t="array" ref="T14">[1]!PropsSI("H","T",J14+273.15,"P",101325,"Water")</f>
        <v>232202.91701273347</v>
      </c>
      <c r="U14" cm="1">
        <f t="array" ref="U14">[1]!PropsSI("H","T",K14+273.15,"P",101325,"Water")</f>
        <v>187526.37392232381</v>
      </c>
      <c r="V14">
        <f t="shared" si="1"/>
        <v>713.17213958995819</v>
      </c>
    </row>
    <row r="15" spans="1:22" x14ac:dyDescent="0.2">
      <c r="A15">
        <v>46068.573765486108</v>
      </c>
      <c r="B15">
        <v>20.548717</v>
      </c>
      <c r="C15">
        <v>20.395541999999999</v>
      </c>
      <c r="D15">
        <v>19.577358</v>
      </c>
      <c r="E15">
        <v>19.801942</v>
      </c>
      <c r="F15">
        <v>29.650016999999998</v>
      </c>
      <c r="G15">
        <v>28.663754000000001</v>
      </c>
      <c r="H15">
        <v>24.148502000000001</v>
      </c>
      <c r="I15">
        <v>21.326224</v>
      </c>
      <c r="J15">
        <v>55.450667000000003</v>
      </c>
      <c r="K15">
        <v>44.747323999999999</v>
      </c>
      <c r="L15">
        <v>381.38198</v>
      </c>
      <c r="M15">
        <v>-622.51102000000003</v>
      </c>
      <c r="N15">
        <v>0.96751399999999999</v>
      </c>
      <c r="O15">
        <v>1.1316109999999999</v>
      </c>
      <c r="P15">
        <f t="shared" si="3"/>
        <v>1.6125233333333333E-5</v>
      </c>
      <c r="Q15" cm="1">
        <f t="array" ref="Q15">[1]!PropsSI("D","T",J15+273.15,"P",101325,"Water")</f>
        <v>985.47424724620657</v>
      </c>
      <c r="R15" cm="1">
        <f t="array" ref="R15">[1]!PropsSI("D","T",K15+273.15,"P",101325,"Water")</f>
        <v>990.31842036196917</v>
      </c>
      <c r="S15">
        <f t="shared" si="2"/>
        <v>987.89633380408782</v>
      </c>
      <c r="T15" cm="1">
        <f t="array" ref="T15">[1]!PropsSI("H","T",J15+273.15,"P",101325,"Water")</f>
        <v>232214.23235390647</v>
      </c>
      <c r="U15" cm="1">
        <f t="array" ref="U15">[1]!PropsSI("H","T",K15+273.15,"P",101325,"Water")</f>
        <v>187458.74834969331</v>
      </c>
      <c r="V15">
        <f t="shared" si="1"/>
        <v>712.95749591524043</v>
      </c>
    </row>
    <row r="16" spans="1:22" x14ac:dyDescent="0.2">
      <c r="A16">
        <v>46068.573881805554</v>
      </c>
      <c r="B16">
        <v>20.533711</v>
      </c>
      <c r="C16">
        <v>20.286398999999999</v>
      </c>
      <c r="D16">
        <v>19.781033000000001</v>
      </c>
      <c r="E16">
        <v>19.940951999999999</v>
      </c>
      <c r="F16">
        <v>29.378852999999999</v>
      </c>
      <c r="G16">
        <v>28.842669000000001</v>
      </c>
      <c r="H16">
        <v>23.909863000000001</v>
      </c>
      <c r="I16">
        <v>21.53444</v>
      </c>
      <c r="J16">
        <v>55.452258</v>
      </c>
      <c r="K16">
        <v>44.757157999999997</v>
      </c>
      <c r="L16">
        <v>365.15177199999999</v>
      </c>
      <c r="M16">
        <v>-622.49224500000003</v>
      </c>
      <c r="N16">
        <v>0.97042799999999996</v>
      </c>
      <c r="O16">
        <v>1.0373829999999999</v>
      </c>
      <c r="P16">
        <f t="shared" si="3"/>
        <v>1.6173800000000001E-5</v>
      </c>
      <c r="Q16" cm="1">
        <f t="array" ref="Q16">[1]!PropsSI("D","T",J16+273.15,"P",101325,"Water")</f>
        <v>985.47347244551815</v>
      </c>
      <c r="R16" cm="1">
        <f t="array" ref="R16">[1]!PropsSI("D","T",K16+273.15,"P",101325,"Water")</f>
        <v>990.31432182893229</v>
      </c>
      <c r="S16">
        <f t="shared" si="2"/>
        <v>987.89389713722517</v>
      </c>
      <c r="T16" cm="1">
        <f t="array" ref="T16">[1]!PropsSI("H","T",J16+273.15,"P",101325,"Water")</f>
        <v>232220.88769998602</v>
      </c>
      <c r="U16" cm="1">
        <f t="array" ref="U16">[1]!PropsSI("H","T",K16+273.15,"P",101325,"Water")</f>
        <v>187499.85539542243</v>
      </c>
      <c r="V16">
        <f t="shared" si="1"/>
        <v>714.55257874110339</v>
      </c>
    </row>
    <row r="17" spans="1:22" x14ac:dyDescent="0.2">
      <c r="A17">
        <v>46068.573997546293</v>
      </c>
      <c r="B17">
        <v>19.890083000000001</v>
      </c>
      <c r="C17">
        <v>19.802036999999999</v>
      </c>
      <c r="D17">
        <v>19.376175</v>
      </c>
      <c r="E17">
        <v>19.668676000000001</v>
      </c>
      <c r="F17">
        <v>29.309343999999999</v>
      </c>
      <c r="G17">
        <v>28.031676999999998</v>
      </c>
      <c r="H17">
        <v>23.682327000000001</v>
      </c>
      <c r="I17">
        <v>21.409801000000002</v>
      </c>
      <c r="J17">
        <v>55.443029000000003</v>
      </c>
      <c r="K17">
        <v>44.76144</v>
      </c>
      <c r="L17">
        <v>397.88850100000002</v>
      </c>
      <c r="M17">
        <v>-622.49755100000004</v>
      </c>
      <c r="N17">
        <v>0.97010799999999997</v>
      </c>
      <c r="O17">
        <v>1.308886</v>
      </c>
      <c r="P17">
        <f t="shared" si="3"/>
        <v>1.6168466666666666E-5</v>
      </c>
      <c r="Q17" cm="1">
        <f t="array" ref="Q17">[1]!PropsSI("D","T",J17+273.15,"P",101325,"Water")</f>
        <v>985.47796665611634</v>
      </c>
      <c r="R17" cm="1">
        <f t="array" ref="R17">[1]!PropsSI("D","T",K17+273.15,"P",101325,"Water")</f>
        <v>990.31253700116133</v>
      </c>
      <c r="S17">
        <f t="shared" si="2"/>
        <v>987.89525182863883</v>
      </c>
      <c r="T17" cm="1">
        <f t="array" ref="T17">[1]!PropsSI("H","T",J17+273.15,"P",101325,"Water")</f>
        <v>232182.28168580661</v>
      </c>
      <c r="U17" cm="1">
        <f t="array" ref="U17">[1]!PropsSI("H","T",K17+273.15,"P",101325,"Water")</f>
        <v>187517.75456424814</v>
      </c>
      <c r="V17">
        <f t="shared" si="1"/>
        <v>713.41539031538844</v>
      </c>
    </row>
    <row r="18" spans="1:22" x14ac:dyDescent="0.2">
      <c r="A18">
        <v>46068.574113865739</v>
      </c>
      <c r="B18">
        <v>20.066165000000002</v>
      </c>
      <c r="C18">
        <v>20.056777</v>
      </c>
      <c r="D18">
        <v>19.590039999999998</v>
      </c>
      <c r="E18">
        <v>19.564367000000001</v>
      </c>
      <c r="F18">
        <v>29.345009000000001</v>
      </c>
      <c r="G18">
        <v>27.600894</v>
      </c>
      <c r="H18">
        <v>23.965916</v>
      </c>
      <c r="I18">
        <v>20.959872000000001</v>
      </c>
      <c r="J18">
        <v>55.446530000000003</v>
      </c>
      <c r="K18">
        <v>44.712432</v>
      </c>
      <c r="L18">
        <v>386.39927999999998</v>
      </c>
      <c r="M18">
        <v>-622.46857299999999</v>
      </c>
      <c r="N18">
        <v>0.97055100000000005</v>
      </c>
      <c r="O18">
        <v>1.4914210000000001</v>
      </c>
      <c r="P18">
        <f t="shared" si="3"/>
        <v>1.6175850000000002E-5</v>
      </c>
      <c r="Q18" cm="1">
        <f t="array" ref="Q18">[1]!PropsSI("D","T",J18+273.15,"P",101325,"Water")</f>
        <v>985.47626184958574</v>
      </c>
      <c r="R18" cm="1">
        <f t="array" ref="R18">[1]!PropsSI("D","T",K18+273.15,"P",101325,"Water")</f>
        <v>990.33295690393015</v>
      </c>
      <c r="S18">
        <f t="shared" si="2"/>
        <v>987.90460937675789</v>
      </c>
      <c r="T18" cm="1">
        <f t="array" ref="T18">[1]!PropsSI("H","T",J18+273.15,"P",101325,"Water")</f>
        <v>232196.92678510523</v>
      </c>
      <c r="U18" cm="1">
        <f t="array" ref="U18">[1]!PropsSI("H","T",K18+273.15,"P",101325,"Water")</f>
        <v>187312.89665366555</v>
      </c>
      <c r="V18">
        <f t="shared" si="1"/>
        <v>717.25563358178351</v>
      </c>
    </row>
    <row r="19" spans="1:22" x14ac:dyDescent="0.2">
      <c r="A19">
        <v>46068.574229606478</v>
      </c>
      <c r="B19">
        <v>20.267040000000001</v>
      </c>
      <c r="C19">
        <v>20.434044</v>
      </c>
      <c r="D19">
        <v>19.577801000000001</v>
      </c>
      <c r="E19">
        <v>19.792255000000001</v>
      </c>
      <c r="F19">
        <v>29.235579000000001</v>
      </c>
      <c r="G19">
        <v>28.686744000000001</v>
      </c>
      <c r="H19">
        <v>23.830532999999999</v>
      </c>
      <c r="I19">
        <v>21.128623999999999</v>
      </c>
      <c r="J19">
        <v>55.445574999999998</v>
      </c>
      <c r="K19">
        <v>44.700060999999998</v>
      </c>
      <c r="L19">
        <v>385.99236200000001</v>
      </c>
      <c r="M19">
        <v>-622.49142900000004</v>
      </c>
      <c r="N19">
        <v>0.970055</v>
      </c>
      <c r="O19">
        <v>1.3714839999999999</v>
      </c>
      <c r="P19">
        <f t="shared" si="3"/>
        <v>1.6167583333333334E-5</v>
      </c>
      <c r="Q19" cm="1">
        <f t="array" ref="Q19">[1]!PropsSI("D","T",J19+273.15,"P",101325,"Water")</f>
        <v>985.47672689287572</v>
      </c>
      <c r="R19" cm="1">
        <f t="array" ref="R19">[1]!PropsSI("D","T",K19+273.15,"P",101325,"Water")</f>
        <v>990.33810880722388</v>
      </c>
      <c r="S19">
        <f t="shared" si="2"/>
        <v>987.9074178500498</v>
      </c>
      <c r="T19" cm="1">
        <f t="array" ref="T19">[1]!PropsSI("H","T",J19+273.15,"P",101325,"Water")</f>
        <v>232192.93190609015</v>
      </c>
      <c r="U19" cm="1">
        <f t="array" ref="U19">[1]!PropsSI("H","T",K19+273.15,"P",101325,"Water")</f>
        <v>187261.1848173633</v>
      </c>
      <c r="V19">
        <f t="shared" si="1"/>
        <v>717.65325701469476</v>
      </c>
    </row>
    <row r="20" spans="1:22" x14ac:dyDescent="0.2">
      <c r="A20">
        <v>46068.574345925925</v>
      </c>
      <c r="B20">
        <v>20.166367000000001</v>
      </c>
      <c r="C20">
        <v>20.314958000000001</v>
      </c>
      <c r="D20">
        <v>19.883896</v>
      </c>
      <c r="E20">
        <v>19.820765000000002</v>
      </c>
      <c r="F20">
        <v>29.563513</v>
      </c>
      <c r="G20">
        <v>29.188835000000001</v>
      </c>
      <c r="H20">
        <v>23.803104999999999</v>
      </c>
      <c r="I20">
        <v>21.528255000000001</v>
      </c>
      <c r="J20">
        <v>55.444778999999997</v>
      </c>
      <c r="K20">
        <v>44.702756999999998</v>
      </c>
      <c r="L20">
        <v>380.80119300000001</v>
      </c>
      <c r="M20">
        <v>-622.50857099999996</v>
      </c>
      <c r="N20">
        <v>0.96777199999999997</v>
      </c>
      <c r="O20">
        <v>1.0461</v>
      </c>
      <c r="P20">
        <f t="shared" si="3"/>
        <v>1.6129533333333332E-5</v>
      </c>
      <c r="Q20" cm="1">
        <f t="array" ref="Q20">[1]!PropsSI("D","T",J20+273.15,"P",101325,"Water")</f>
        <v>985.47711450578311</v>
      </c>
      <c r="R20" cm="1">
        <f t="array" ref="R20">[1]!PropsSI("D","T",K20+273.15,"P",101325,"Water")</f>
        <v>990.33698614919956</v>
      </c>
      <c r="S20">
        <f t="shared" si="2"/>
        <v>987.90705032749133</v>
      </c>
      <c r="T20" cm="1">
        <f t="array" ref="T20">[1]!PropsSI("H","T",J20+273.15,"P",101325,"Water")</f>
        <v>232189.6021433475</v>
      </c>
      <c r="U20" cm="1">
        <f t="array" ref="U20">[1]!PropsSI("H","T",K20+273.15,"P",101325,"Water")</f>
        <v>187272.45432509776</v>
      </c>
      <c r="V20">
        <f t="shared" si="1"/>
        <v>715.73138002407734</v>
      </c>
    </row>
    <row r="21" spans="1:22" x14ac:dyDescent="0.2">
      <c r="A21">
        <v>46068.574461666663</v>
      </c>
      <c r="B21">
        <v>20.216761000000002</v>
      </c>
      <c r="C21">
        <v>20.135524</v>
      </c>
      <c r="D21">
        <v>19.958473000000001</v>
      </c>
      <c r="E21">
        <v>19.977309000000002</v>
      </c>
      <c r="F21">
        <v>29.418263</v>
      </c>
      <c r="G21">
        <v>27.698810999999999</v>
      </c>
      <c r="H21">
        <v>23.955105</v>
      </c>
      <c r="I21">
        <v>21.663464000000001</v>
      </c>
      <c r="J21">
        <v>55.442551000000002</v>
      </c>
      <c r="K21">
        <v>44.699426000000003</v>
      </c>
      <c r="L21">
        <v>389.13179600000001</v>
      </c>
      <c r="M21">
        <v>-622.48489900000004</v>
      </c>
      <c r="N21">
        <v>0.97219</v>
      </c>
      <c r="O21">
        <v>1.8664540000000001</v>
      </c>
      <c r="P21">
        <f t="shared" si="3"/>
        <v>1.6203166666666668E-5</v>
      </c>
      <c r="Q21" cm="1">
        <f t="array" ref="Q21">[1]!PropsSI("D","T",J21+273.15,"P",101325,"Water")</f>
        <v>985.47819941161447</v>
      </c>
      <c r="R21" cm="1">
        <f t="array" ref="R21">[1]!PropsSI("D","T",K21+273.15,"P",101325,"Water")</f>
        <v>990.33837322408158</v>
      </c>
      <c r="S21">
        <f t="shared" si="2"/>
        <v>987.90828631784802</v>
      </c>
      <c r="T21" cm="1">
        <f t="array" ref="T21">[1]!PropsSI("H","T",J21+273.15,"P",101325,"Water")</f>
        <v>232180.2821553603</v>
      </c>
      <c r="U21" cm="1">
        <f t="array" ref="U21">[1]!PropsSI("H","T",K21+273.15,"P",101325,"Water")</f>
        <v>187258.5304639258</v>
      </c>
      <c r="V21">
        <f t="shared" si="1"/>
        <v>719.07337799712241</v>
      </c>
    </row>
    <row r="22" spans="1:22" x14ac:dyDescent="0.2">
      <c r="A22">
        <v>46068.57457798611</v>
      </c>
      <c r="B22">
        <v>20.157543</v>
      </c>
      <c r="C22">
        <v>20.142747</v>
      </c>
      <c r="D22">
        <v>19.882345000000001</v>
      </c>
      <c r="E22">
        <v>19.831869999999999</v>
      </c>
      <c r="F22">
        <v>29.595846000000002</v>
      </c>
      <c r="G22">
        <v>28.275962</v>
      </c>
      <c r="H22">
        <v>23.979568</v>
      </c>
      <c r="I22">
        <v>21.446942</v>
      </c>
      <c r="J22">
        <v>55.442233000000002</v>
      </c>
      <c r="K22">
        <v>44.713858999999999</v>
      </c>
      <c r="L22">
        <v>390.77497899999997</v>
      </c>
      <c r="M22">
        <v>-622.48612300000002</v>
      </c>
      <c r="N22">
        <v>0.97073900000000002</v>
      </c>
      <c r="O22">
        <v>2.2648069999999998</v>
      </c>
      <c r="P22">
        <f t="shared" si="3"/>
        <v>1.6178983333333335E-5</v>
      </c>
      <c r="Q22" cm="1">
        <f t="array" ref="Q22">[1]!PropsSI("D","T",J22+273.15,"P",101325,"Water")</f>
        <v>985.47835425650862</v>
      </c>
      <c r="R22" cm="1">
        <f t="array" ref="R22">[1]!PropsSI("D","T",K22+273.15,"P",101325,"Water")</f>
        <v>990.33236256087446</v>
      </c>
      <c r="S22">
        <f t="shared" si="2"/>
        <v>987.90535840869154</v>
      </c>
      <c r="T22" cm="1">
        <f t="array" ref="T22">[1]!PropsSI("H","T",J22+273.15,"P",101325,"Water")</f>
        <v>232178.95192380925</v>
      </c>
      <c r="U22" cm="1">
        <f t="array" ref="U22">[1]!PropsSI("H","T",K22+273.15,"P",101325,"Water")</f>
        <v>187318.86163741708</v>
      </c>
      <c r="V22">
        <f t="shared" si="1"/>
        <v>717.01247525609915</v>
      </c>
    </row>
    <row r="23" spans="1:22" x14ac:dyDescent="0.2">
      <c r="A23">
        <v>46068.574693726849</v>
      </c>
      <c r="B23">
        <v>20.293771</v>
      </c>
      <c r="C23">
        <v>20.107634999999998</v>
      </c>
      <c r="D23">
        <v>19.849094000000001</v>
      </c>
      <c r="E23">
        <v>19.996127999999999</v>
      </c>
      <c r="F23">
        <v>29.464919999999999</v>
      </c>
      <c r="G23">
        <v>29.006563</v>
      </c>
      <c r="H23">
        <v>23.852706999999999</v>
      </c>
      <c r="I23">
        <v>21.653683999999998</v>
      </c>
      <c r="J23">
        <v>55.440959999999997</v>
      </c>
      <c r="K23">
        <v>44.727181999999999</v>
      </c>
      <c r="L23">
        <v>392.32510600000001</v>
      </c>
      <c r="M23">
        <v>-622.48244999999997</v>
      </c>
      <c r="N23">
        <v>0.97035000000000005</v>
      </c>
      <c r="O23">
        <v>1.7639659999999999</v>
      </c>
      <c r="P23">
        <f t="shared" si="3"/>
        <v>1.6172500000000001E-5</v>
      </c>
      <c r="Q23" cm="1">
        <f t="array" ref="Q23">[1]!PropsSI("D","T",J23+273.15,"P",101325,"Water")</f>
        <v>985.47897411685233</v>
      </c>
      <c r="R23" cm="1">
        <f t="array" ref="R23">[1]!PropsSI("D","T",K23+273.15,"P",101325,"Water")</f>
        <v>990.32681286681873</v>
      </c>
      <c r="S23">
        <f t="shared" si="2"/>
        <v>987.90289349183558</v>
      </c>
      <c r="T23" cm="1">
        <f t="array" ref="T23">[1]!PropsSI("H","T",J23+273.15,"P",101325,"Water")</f>
        <v>232173.62681491053</v>
      </c>
      <c r="U23" cm="1">
        <f t="array" ref="U23">[1]!PropsSI("H","T",K23+273.15,"P",101325,"Water")</f>
        <v>187374.55295109804</v>
      </c>
      <c r="V23">
        <f t="shared" si="1"/>
        <v>715.74851086806541</v>
      </c>
    </row>
    <row r="24" spans="1:22" x14ac:dyDescent="0.2">
      <c r="A24">
        <v>46068.574810046295</v>
      </c>
      <c r="B24">
        <v>20.449328000000001</v>
      </c>
      <c r="C24">
        <v>20.358961999999998</v>
      </c>
      <c r="D24">
        <v>19.474822</v>
      </c>
      <c r="E24">
        <v>19.666440999999999</v>
      </c>
      <c r="F24">
        <v>29.362272000000001</v>
      </c>
      <c r="G24">
        <v>28.559211999999999</v>
      </c>
      <c r="H24">
        <v>23.880474</v>
      </c>
      <c r="I24">
        <v>21.199224000000001</v>
      </c>
      <c r="J24">
        <v>55.436185999999999</v>
      </c>
      <c r="K24">
        <v>44.742407999999998</v>
      </c>
      <c r="L24">
        <v>397.67708299999998</v>
      </c>
      <c r="M24">
        <v>-622.49550999999997</v>
      </c>
      <c r="N24">
        <v>0.96800200000000003</v>
      </c>
      <c r="O24">
        <v>1.003733</v>
      </c>
      <c r="P24">
        <f t="shared" si="3"/>
        <v>1.6133366666666667E-5</v>
      </c>
      <c r="Q24" cm="1">
        <f t="array" ref="Q24">[1]!PropsSI("D","T",J24+273.15,"P",101325,"Water")</f>
        <v>985.48129862565565</v>
      </c>
      <c r="R24" cm="1">
        <f t="array" ref="R24">[1]!PropsSI("D","T",K24+273.15,"P",101325,"Water")</f>
        <v>990.32046895820235</v>
      </c>
      <c r="S24">
        <f t="shared" si="2"/>
        <v>987.900883791929</v>
      </c>
      <c r="T24" cm="1">
        <f t="array" ref="T24">[1]!PropsSI("H","T",J24+273.15,"P",101325,"Water")</f>
        <v>232153.65661617729</v>
      </c>
      <c r="U24" cm="1">
        <f t="array" ref="U24">[1]!PropsSI("H","T",K24+273.15,"P",101325,"Water")</f>
        <v>187438.19901385836</v>
      </c>
      <c r="V24">
        <f t="shared" si="1"/>
        <v>712.68243917779739</v>
      </c>
    </row>
    <row r="25" spans="1:22" x14ac:dyDescent="0.2">
      <c r="A25">
        <v>46068.574925787034</v>
      </c>
      <c r="B25">
        <v>20.234052999999999</v>
      </c>
      <c r="C25">
        <v>20.395765999999998</v>
      </c>
      <c r="D25">
        <v>19.527107999999998</v>
      </c>
      <c r="E25">
        <v>19.834797999999999</v>
      </c>
      <c r="F25">
        <v>29.529664</v>
      </c>
      <c r="G25">
        <v>28.388327</v>
      </c>
      <c r="H25">
        <v>23.791589999999999</v>
      </c>
      <c r="I25">
        <v>21.225296</v>
      </c>
      <c r="J25">
        <v>55.439210000000003</v>
      </c>
      <c r="K25">
        <v>44.729084999999998</v>
      </c>
      <c r="L25">
        <v>392.67570000000001</v>
      </c>
      <c r="M25">
        <v>-622.48040900000001</v>
      </c>
      <c r="N25">
        <v>0.971391</v>
      </c>
      <c r="O25">
        <v>1.760802</v>
      </c>
      <c r="P25">
        <f t="shared" si="3"/>
        <v>1.6189850000000002E-5</v>
      </c>
      <c r="Q25" cm="1">
        <f t="array" ref="Q25">[1]!PropsSI("D","T",J25+273.15,"P",101325,"Water")</f>
        <v>985.47982622585096</v>
      </c>
      <c r="R25" cm="1">
        <f t="array" ref="R25">[1]!PropsSI("D","T",K25+273.15,"P",101325,"Water")</f>
        <v>990.32602007107414</v>
      </c>
      <c r="S25">
        <f t="shared" si="2"/>
        <v>987.90292314846261</v>
      </c>
      <c r="T25" cm="1">
        <f t="array" ref="T25">[1]!PropsSI("H","T",J25+273.15,"P",101325,"Water")</f>
        <v>232166.3063598806</v>
      </c>
      <c r="U25" cm="1">
        <f t="array" ref="U25">[1]!PropsSI("H","T",K25+273.15,"P",101325,"Water")</f>
        <v>187382.50766154533</v>
      </c>
      <c r="V25">
        <f t="shared" si="1"/>
        <v>716.27208266591504</v>
      </c>
    </row>
    <row r="26" spans="1:22" x14ac:dyDescent="0.2">
      <c r="A26">
        <v>46068.57504152778</v>
      </c>
      <c r="B26">
        <v>20.273513999999999</v>
      </c>
      <c r="C26">
        <v>20.231278</v>
      </c>
      <c r="D26">
        <v>19.726372000000001</v>
      </c>
      <c r="E26">
        <v>19.799299000000001</v>
      </c>
      <c r="F26">
        <v>29.458394999999999</v>
      </c>
      <c r="G26">
        <v>28.934429000000002</v>
      </c>
      <c r="H26">
        <v>23.955884000000001</v>
      </c>
      <c r="I26">
        <v>21.257318000000001</v>
      </c>
      <c r="J26">
        <v>55.438254999999998</v>
      </c>
      <c r="K26">
        <v>44.735112000000001</v>
      </c>
      <c r="L26">
        <v>394.50336399999998</v>
      </c>
      <c r="M26">
        <v>-622.49020499999995</v>
      </c>
      <c r="N26">
        <v>0.97315700000000005</v>
      </c>
      <c r="O26">
        <v>1.266912</v>
      </c>
      <c r="P26">
        <f t="shared" si="3"/>
        <v>1.6219283333333336E-5</v>
      </c>
      <c r="Q26" cm="1">
        <f t="array" ref="Q26">[1]!PropsSI("D","T",J26+273.15,"P",101325,"Water")</f>
        <v>985.48029122594266</v>
      </c>
      <c r="R26" cm="1">
        <f t="array" ref="R26">[1]!PropsSI("D","T",K26+273.15,"P",101325,"Water")</f>
        <v>990.32350903685449</v>
      </c>
      <c r="S26">
        <f t="shared" si="2"/>
        <v>987.90190013139863</v>
      </c>
      <c r="T26" cm="1">
        <f t="array" ref="T26">[1]!PropsSI("H","T",J26+273.15,"P",101325,"Water")</f>
        <v>232162.31148342494</v>
      </c>
      <c r="U26" cm="1">
        <f t="array" ref="U26">[1]!PropsSI("H","T",K26+273.15,"P",101325,"Water")</f>
        <v>187407.70106579544</v>
      </c>
      <c r="V26">
        <f t="shared" si="1"/>
        <v>717.10584486578682</v>
      </c>
    </row>
    <row r="27" spans="1:22" x14ac:dyDescent="0.2">
      <c r="A27">
        <v>46068.575157268519</v>
      </c>
      <c r="B27">
        <v>20.303867</v>
      </c>
      <c r="C27">
        <v>20.301081</v>
      </c>
      <c r="D27">
        <v>19.755081000000001</v>
      </c>
      <c r="E27">
        <v>19.923772</v>
      </c>
      <c r="F27">
        <v>29.409343</v>
      </c>
      <c r="G27">
        <v>27.616669000000002</v>
      </c>
      <c r="H27">
        <v>23.875561999999999</v>
      </c>
      <c r="I27">
        <v>21.454298999999999</v>
      </c>
      <c r="J27">
        <v>55.441597000000002</v>
      </c>
      <c r="K27">
        <v>44.737174000000003</v>
      </c>
      <c r="L27">
        <v>377.337693</v>
      </c>
      <c r="M27">
        <v>-622.50285699999995</v>
      </c>
      <c r="N27">
        <v>0.96764099999999997</v>
      </c>
      <c r="O27">
        <v>1.1441410000000001</v>
      </c>
      <c r="P27">
        <f t="shared" si="3"/>
        <v>1.6127350000000001E-5</v>
      </c>
      <c r="Q27" cm="1">
        <f t="array" ref="Q27">[1]!PropsSI("D","T",J27+273.15,"P",101325,"Water")</f>
        <v>985.47866394446385</v>
      </c>
      <c r="R27" cm="1">
        <f t="array" ref="R27">[1]!PropsSI("D","T",K27+273.15,"P",101325,"Water")</f>
        <v>990.32264988571887</v>
      </c>
      <c r="S27">
        <f t="shared" si="2"/>
        <v>987.9006569150913</v>
      </c>
      <c r="T27" cm="1">
        <f t="array" ref="T27">[1]!PropsSI("H","T",J27+273.15,"P",101325,"Water")</f>
        <v>232176.29146085857</v>
      </c>
      <c r="U27" cm="1">
        <f t="array" ref="U27">[1]!PropsSI("H","T",K27+273.15,"P",101325,"Water")</f>
        <v>187416.32041353581</v>
      </c>
      <c r="V27">
        <f t="shared" si="1"/>
        <v>713.12569066983656</v>
      </c>
    </row>
    <row r="28" spans="1:22" x14ac:dyDescent="0.2">
      <c r="A28">
        <v>46068.575273587965</v>
      </c>
      <c r="B28">
        <v>20.474024</v>
      </c>
      <c r="C28">
        <v>20.460992000000001</v>
      </c>
      <c r="D28">
        <v>19.654615</v>
      </c>
      <c r="E28">
        <v>20.031034999999999</v>
      </c>
      <c r="F28">
        <v>29.560314999999999</v>
      </c>
      <c r="G28">
        <v>28.534700999999998</v>
      </c>
      <c r="H28">
        <v>24.151713000000001</v>
      </c>
      <c r="I28">
        <v>21.291933</v>
      </c>
      <c r="J28">
        <v>55.435231999999999</v>
      </c>
      <c r="K28">
        <v>44.747323999999999</v>
      </c>
      <c r="L28">
        <v>376.282644</v>
      </c>
      <c r="M28">
        <v>-622.50449000000003</v>
      </c>
      <c r="N28">
        <v>0.96935400000000005</v>
      </c>
      <c r="O28">
        <v>0.80745999999999996</v>
      </c>
      <c r="P28">
        <f t="shared" si="3"/>
        <v>1.6155900000000002E-5</v>
      </c>
      <c r="Q28" cm="1">
        <f t="array" ref="Q28">[1]!PropsSI("D","T",J28+273.15,"P",101325,"Water")</f>
        <v>985.4817631210077</v>
      </c>
      <c r="R28" cm="1">
        <f t="array" ref="R28">[1]!PropsSI("D","T",K28+273.15,"P",101325,"Water")</f>
        <v>990.31842036196917</v>
      </c>
      <c r="S28">
        <f t="shared" si="2"/>
        <v>987.9000917414885</v>
      </c>
      <c r="T28" cm="1">
        <f t="array" ref="T28">[1]!PropsSI("H","T",J28+273.15,"P",101325,"Water")</f>
        <v>232149.66592390908</v>
      </c>
      <c r="U28" cm="1">
        <f t="array" ref="U28">[1]!PropsSI("H","T",K28+273.15,"P",101325,"Water")</f>
        <v>187458.74834969331</v>
      </c>
      <c r="V28">
        <f t="shared" si="1"/>
        <v>713.28559533427415</v>
      </c>
    </row>
    <row r="29" spans="1:22" x14ac:dyDescent="0.2">
      <c r="A29">
        <v>46068.575389907404</v>
      </c>
      <c r="B29">
        <v>20.365310999999998</v>
      </c>
      <c r="C29">
        <v>20.422604</v>
      </c>
      <c r="D29">
        <v>19.762149000000001</v>
      </c>
      <c r="E29">
        <v>19.882048000000001</v>
      </c>
      <c r="F29">
        <v>29.402577000000001</v>
      </c>
      <c r="G29">
        <v>28.310704000000001</v>
      </c>
      <c r="H29">
        <v>23.904484</v>
      </c>
      <c r="I29">
        <v>21.415610000000001</v>
      </c>
      <c r="J29">
        <v>55.436664</v>
      </c>
      <c r="K29">
        <v>44.753669000000002</v>
      </c>
      <c r="L29">
        <v>393.54831000000001</v>
      </c>
      <c r="M29">
        <v>-622.49020499999995</v>
      </c>
      <c r="N29">
        <v>0.972464</v>
      </c>
      <c r="O29">
        <v>0.80826100000000001</v>
      </c>
      <c r="P29">
        <f t="shared" si="3"/>
        <v>1.6207733333333334E-5</v>
      </c>
      <c r="Q29" cm="1">
        <f t="array" ref="Q29">[1]!PropsSI("D","T",J29+273.15,"P",101325,"Water")</f>
        <v>985.48106588897599</v>
      </c>
      <c r="R29" cm="1">
        <f t="array" ref="R29">[1]!PropsSI("D","T",K29+273.15,"P",101325,"Water")</f>
        <v>990.31577602284494</v>
      </c>
      <c r="S29">
        <f t="shared" si="2"/>
        <v>987.89842095591052</v>
      </c>
      <c r="T29" cm="1">
        <f t="array" ref="T29">[1]!PropsSI("H","T",J29+273.15,"P",101325,"Water")</f>
        <v>232155.65614556117</v>
      </c>
      <c r="U29" cm="1">
        <f t="array" ref="U29">[1]!PropsSI("H","T",K29+273.15,"P",101325,"Water")</f>
        <v>187485.27104481187</v>
      </c>
      <c r="V29">
        <f t="shared" si="1"/>
        <v>715.244077529062</v>
      </c>
    </row>
    <row r="30" spans="1:22" x14ac:dyDescent="0.2">
      <c r="A30">
        <v>46068.57550564815</v>
      </c>
      <c r="B30">
        <v>20.380617000000001</v>
      </c>
      <c r="C30">
        <v>20.294768000000001</v>
      </c>
      <c r="D30">
        <v>19.845594999999999</v>
      </c>
      <c r="E30">
        <v>19.986231</v>
      </c>
      <c r="F30">
        <v>29.557344000000001</v>
      </c>
      <c r="G30">
        <v>28.304404999999999</v>
      </c>
      <c r="H30">
        <v>24.000945999999999</v>
      </c>
      <c r="I30">
        <v>20.914621</v>
      </c>
      <c r="J30">
        <v>55.428865999999999</v>
      </c>
      <c r="K30">
        <v>44.751607</v>
      </c>
      <c r="L30">
        <v>389.05343299999998</v>
      </c>
      <c r="M30">
        <v>-622.50775499999997</v>
      </c>
      <c r="N30">
        <v>0.97062899999999996</v>
      </c>
      <c r="O30">
        <v>1.3568199999999999</v>
      </c>
      <c r="P30">
        <f t="shared" si="3"/>
        <v>1.6177149999999998E-5</v>
      </c>
      <c r="Q30" cm="1">
        <f t="array" ref="Q30">[1]!PropsSI("D","T",J30+273.15,"P",101325,"Water")</f>
        <v>985.484862534027</v>
      </c>
      <c r="R30" cm="1">
        <f t="array" ref="R30">[1]!PropsSI("D","T",K30+273.15,"P",101325,"Water")</f>
        <v>990.31663541183923</v>
      </c>
      <c r="S30">
        <f t="shared" si="2"/>
        <v>987.90074897293312</v>
      </c>
      <c r="T30" cm="1">
        <f t="array" ref="T30">[1]!PropsSI("H","T",J30+273.15,"P",101325,"Water")</f>
        <v>232123.03621882686</v>
      </c>
      <c r="U30" cm="1">
        <f t="array" ref="U30">[1]!PropsSI("H","T",K30+273.15,"P",101325,"Water")</f>
        <v>187476.65169064075</v>
      </c>
      <c r="V30">
        <f t="shared" si="1"/>
        <v>713.51256017720141</v>
      </c>
    </row>
    <row r="31" spans="1:22" x14ac:dyDescent="0.2">
      <c r="A31">
        <v>46068.57562196759</v>
      </c>
      <c r="B31">
        <v>20.474461000000002</v>
      </c>
      <c r="C31">
        <v>20.549869000000001</v>
      </c>
      <c r="D31">
        <v>19.863206999999999</v>
      </c>
      <c r="E31">
        <v>20.044791</v>
      </c>
      <c r="F31">
        <v>29.548387000000002</v>
      </c>
      <c r="G31">
        <v>27.934874000000001</v>
      </c>
      <c r="H31">
        <v>24.084368999999999</v>
      </c>
      <c r="I31">
        <v>21.518234</v>
      </c>
      <c r="J31">
        <v>55.436504999999997</v>
      </c>
      <c r="K31">
        <v>44.766198000000003</v>
      </c>
      <c r="L31">
        <v>392.57243999999997</v>
      </c>
      <c r="M31">
        <v>-622.49265300000002</v>
      </c>
      <c r="N31">
        <v>0.97350099999999995</v>
      </c>
      <c r="O31">
        <v>1.1228940000000001</v>
      </c>
      <c r="P31">
        <f t="shared" si="3"/>
        <v>1.6225016666666668E-5</v>
      </c>
      <c r="Q31" cm="1">
        <f t="array" ref="Q31">[1]!PropsSI("D","T",J31+273.15,"P",101325,"Water")</f>
        <v>985.48114330571946</v>
      </c>
      <c r="R31" cm="1">
        <f t="array" ref="R31">[1]!PropsSI("D","T",K31+273.15,"P",101325,"Water")</f>
        <v>990.31055361616097</v>
      </c>
      <c r="S31">
        <f t="shared" si="2"/>
        <v>987.89584846094021</v>
      </c>
      <c r="T31" cm="1">
        <f t="array" ref="T31">[1]!PropsSI("H","T",J31+273.15,"P",101325,"Water")</f>
        <v>232154.9910301216</v>
      </c>
      <c r="U31" cm="1">
        <f t="array" ref="U31">[1]!PropsSI("H","T",K31+273.15,"P",101325,"Water")</f>
        <v>187537.64346268619</v>
      </c>
      <c r="V31">
        <f t="shared" si="1"/>
        <v>715.15480431789479</v>
      </c>
    </row>
    <row r="32" spans="1:22" x14ac:dyDescent="0.2">
      <c r="A32">
        <v>46068.575738287036</v>
      </c>
      <c r="B32">
        <v>20.392759000000002</v>
      </c>
      <c r="C32">
        <v>20.556835</v>
      </c>
      <c r="D32">
        <v>19.676053</v>
      </c>
      <c r="E32">
        <v>19.760988999999999</v>
      </c>
      <c r="F32">
        <v>29.498280000000001</v>
      </c>
      <c r="G32">
        <v>28.480181000000002</v>
      </c>
      <c r="H32">
        <v>23.803312999999999</v>
      </c>
      <c r="I32">
        <v>21.323560000000001</v>
      </c>
      <c r="J32">
        <v>55.433481</v>
      </c>
      <c r="K32">
        <v>44.767943000000002</v>
      </c>
      <c r="L32">
        <v>410.08421600000003</v>
      </c>
      <c r="M32">
        <v>-622.50653</v>
      </c>
      <c r="N32">
        <v>0.96924299999999997</v>
      </c>
      <c r="O32">
        <v>1.2496290000000001</v>
      </c>
      <c r="P32">
        <f t="shared" si="3"/>
        <v>1.6154049999999998E-5</v>
      </c>
      <c r="Q32" cm="1">
        <f t="array" ref="Q32">[1]!PropsSI("D","T",J32+273.15,"P",101325,"Water")</f>
        <v>985.48261565497546</v>
      </c>
      <c r="R32" cm="1">
        <f t="array" ref="R32">[1]!PropsSI("D","T",K32+273.15,"P",101325,"Water")</f>
        <v>990.30982616862377</v>
      </c>
      <c r="S32">
        <f t="shared" si="2"/>
        <v>987.89622091179967</v>
      </c>
      <c r="T32" cm="1">
        <f t="array" ref="T32">[1]!PropsSI("H","T",J32+273.15,"P",101325,"Water")</f>
        <v>232142.34128941403</v>
      </c>
      <c r="U32" cm="1">
        <f t="array" ref="U32">[1]!PropsSI("H","T",K32+273.15,"P",101325,"Water")</f>
        <v>187544.93773185412</v>
      </c>
      <c r="V32">
        <f t="shared" si="1"/>
        <v>711.70877726348874</v>
      </c>
    </row>
    <row r="33" spans="1:22" x14ac:dyDescent="0.2">
      <c r="A33">
        <v>46068.575854606483</v>
      </c>
      <c r="B33">
        <v>20.374216000000001</v>
      </c>
      <c r="C33">
        <v>20.350411000000001</v>
      </c>
      <c r="D33">
        <v>19.631810999999999</v>
      </c>
      <c r="E33">
        <v>19.854248999999999</v>
      </c>
      <c r="F33">
        <v>29.482216999999999</v>
      </c>
      <c r="G33">
        <v>27.750717000000002</v>
      </c>
      <c r="H33">
        <v>24.049282999999999</v>
      </c>
      <c r="I33">
        <v>21.289476000000001</v>
      </c>
      <c r="J33">
        <v>55.430138999999997</v>
      </c>
      <c r="K33">
        <v>44.761757000000003</v>
      </c>
      <c r="L33">
        <v>378.05031000000002</v>
      </c>
      <c r="M33">
        <v>-622.47755199999995</v>
      </c>
      <c r="N33">
        <v>0.97328000000000003</v>
      </c>
      <c r="O33">
        <v>1.599666</v>
      </c>
      <c r="P33">
        <f t="shared" si="3"/>
        <v>1.6221333333333333E-5</v>
      </c>
      <c r="Q33" cm="1">
        <f t="array" ref="Q33">[1]!PropsSI("D","T",J33+273.15,"P",101325,"Water")</f>
        <v>985.48424276883793</v>
      </c>
      <c r="R33" cm="1">
        <f t="array" ref="R33">[1]!PropsSI("D","T",K33+273.15,"P",101325,"Water")</f>
        <v>990.31240486378533</v>
      </c>
      <c r="S33">
        <f t="shared" si="2"/>
        <v>987.89832381631163</v>
      </c>
      <c r="T33" cm="1">
        <f t="array" ref="T33">[1]!PropsSI("H","T",J33+273.15,"P",101325,"Water")</f>
        <v>232128.36132200441</v>
      </c>
      <c r="U33" cm="1">
        <f t="array" ref="U33">[1]!PropsSI("H","T",K33+273.15,"P",101325,"Water")</f>
        <v>187519.07965464663</v>
      </c>
      <c r="V33">
        <f t="shared" si="1"/>
        <v>714.86498822831709</v>
      </c>
    </row>
    <row r="34" spans="1:22" x14ac:dyDescent="0.2">
      <c r="A34">
        <v>46068.575970347221</v>
      </c>
      <c r="B34">
        <v>20.491508</v>
      </c>
      <c r="C34">
        <v>20.503169</v>
      </c>
      <c r="D34">
        <v>19.435863999999999</v>
      </c>
      <c r="E34">
        <v>19.919975999999998</v>
      </c>
      <c r="F34">
        <v>29.595020999999999</v>
      </c>
      <c r="G34">
        <v>29.014448000000002</v>
      </c>
      <c r="H34">
        <v>23.911411999999999</v>
      </c>
      <c r="I34">
        <v>20.991205999999998</v>
      </c>
      <c r="J34">
        <v>55.427911999999999</v>
      </c>
      <c r="K34">
        <v>44.752082000000001</v>
      </c>
      <c r="L34">
        <v>390.17786599999999</v>
      </c>
      <c r="M34">
        <v>-622.49918400000001</v>
      </c>
      <c r="N34">
        <v>0.97046900000000003</v>
      </c>
      <c r="O34">
        <v>1.434566</v>
      </c>
      <c r="P34">
        <f t="shared" si="3"/>
        <v>1.6174483333333336E-5</v>
      </c>
      <c r="Q34" cm="1">
        <f t="array" ref="Q34">[1]!PropsSI("D","T",J34+273.15,"P",101325,"Water")</f>
        <v>985.48532698622944</v>
      </c>
      <c r="R34" cm="1">
        <f t="array" ref="R34">[1]!PropsSI("D","T",K34+273.15,"P",101325,"Water")</f>
        <v>990.31643744658584</v>
      </c>
      <c r="S34">
        <f t="shared" si="2"/>
        <v>987.90088221640758</v>
      </c>
      <c r="T34" cm="1">
        <f t="array" ref="T34">[1]!PropsSI("H","T",J34+273.15,"P",101325,"Water")</f>
        <v>232119.04552912334</v>
      </c>
      <c r="U34" cm="1">
        <f t="array" ref="U34">[1]!PropsSI("H","T",K34+273.15,"P",101325,"Water")</f>
        <v>187478.63723530751</v>
      </c>
      <c r="V34">
        <f t="shared" si="1"/>
        <v>713.29954689982719</v>
      </c>
    </row>
    <row r="35" spans="1:22" x14ac:dyDescent="0.2">
      <c r="A35">
        <v>46068.576086666668</v>
      </c>
      <c r="B35">
        <v>20.362822999999999</v>
      </c>
      <c r="C35">
        <v>20.542940000000002</v>
      </c>
      <c r="D35">
        <v>19.656533</v>
      </c>
      <c r="E35">
        <v>19.827438999999998</v>
      </c>
      <c r="F35">
        <v>29.509751999999999</v>
      </c>
      <c r="G35">
        <v>28.438258000000001</v>
      </c>
      <c r="H35">
        <v>23.850154</v>
      </c>
      <c r="I35">
        <v>21.329066999999998</v>
      </c>
      <c r="J35">
        <v>55.426957000000002</v>
      </c>
      <c r="K35">
        <v>44.757792000000002</v>
      </c>
      <c r="L35">
        <v>404.29307799999998</v>
      </c>
      <c r="M35">
        <v>-622.48122499999999</v>
      </c>
      <c r="N35">
        <v>0.97026800000000002</v>
      </c>
      <c r="O35">
        <v>1.4208540000000001</v>
      </c>
      <c r="P35">
        <f t="shared" si="3"/>
        <v>1.6171133333333335E-5</v>
      </c>
      <c r="Q35" cm="1">
        <f t="array" ref="Q35">[1]!PropsSI("D","T",J35+273.15,"P",101325,"Water")</f>
        <v>985.48579191963665</v>
      </c>
      <c r="R35" cm="1">
        <f t="array" ref="R35">[1]!PropsSI("D","T",K35+273.15,"P",101325,"Water")</f>
        <v>990.31405757246864</v>
      </c>
      <c r="S35">
        <f t="shared" si="2"/>
        <v>987.89992474605265</v>
      </c>
      <c r="T35" cm="1">
        <f t="array" ref="T35">[1]!PropsSI("H","T",J35+273.15,"P",101325,"Water")</f>
        <v>232115.05065667696</v>
      </c>
      <c r="U35" cm="1">
        <f t="array" ref="U35">[1]!PropsSI("H","T",K35+273.15,"P",101325,"Water")</f>
        <v>187502.50557572354</v>
      </c>
      <c r="V35">
        <f t="shared" si="1"/>
        <v>712.70599203297365</v>
      </c>
    </row>
    <row r="36" spans="1:22" x14ac:dyDescent="0.2">
      <c r="A36">
        <v>46068.576202407407</v>
      </c>
      <c r="B36">
        <v>20.674762999999999</v>
      </c>
      <c r="C36">
        <v>20.789559000000001</v>
      </c>
      <c r="D36">
        <v>19.809729999999998</v>
      </c>
      <c r="E36">
        <v>19.948899000000001</v>
      </c>
      <c r="F36">
        <v>29.773778</v>
      </c>
      <c r="G36">
        <v>28.886108</v>
      </c>
      <c r="H36">
        <v>23.958877999999999</v>
      </c>
      <c r="I36">
        <v>21.320150999999999</v>
      </c>
      <c r="J36">
        <v>55.426319999999997</v>
      </c>
      <c r="K36">
        <v>44.760964000000001</v>
      </c>
      <c r="L36">
        <v>391.52432900000002</v>
      </c>
      <c r="M36">
        <v>-622.47387900000001</v>
      </c>
      <c r="N36">
        <v>0.97075999999999996</v>
      </c>
      <c r="O36">
        <v>1.440488</v>
      </c>
      <c r="P36">
        <f t="shared" si="3"/>
        <v>1.6179333333333333E-5</v>
      </c>
      <c r="Q36" cm="1">
        <f t="array" ref="Q36">[1]!PropsSI("D","T",J36+273.15,"P",101325,"Water")</f>
        <v>985.48610203437136</v>
      </c>
      <c r="R36" cm="1">
        <f t="array" ref="R36">[1]!PropsSI("D","T",K36+273.15,"P",101325,"Water")</f>
        <v>990.31273541429152</v>
      </c>
      <c r="S36">
        <f t="shared" si="2"/>
        <v>987.89941872433144</v>
      </c>
      <c r="T36" cm="1">
        <f t="array" ref="T36">[1]!PropsSI("H","T",J36+273.15,"P",101325,"Water")</f>
        <v>232112.38601419589</v>
      </c>
      <c r="U36" cm="1">
        <f t="array" ref="U36">[1]!PropsSI("H","T",K36+273.15,"P",101325,"Water")</f>
        <v>187515.76483863255</v>
      </c>
      <c r="V36">
        <f t="shared" si="1"/>
        <v>712.81250256966086</v>
      </c>
    </row>
    <row r="37" spans="1:22" x14ac:dyDescent="0.2">
      <c r="A37">
        <v>46068.576318726853</v>
      </c>
      <c r="B37">
        <v>20.564454999999999</v>
      </c>
      <c r="C37">
        <v>20.292977</v>
      </c>
      <c r="D37">
        <v>19.737921</v>
      </c>
      <c r="E37">
        <v>19.759937999999998</v>
      </c>
      <c r="F37">
        <v>29.315539000000001</v>
      </c>
      <c r="G37">
        <v>28.493729999999999</v>
      </c>
      <c r="H37">
        <v>23.884808</v>
      </c>
      <c r="I37">
        <v>21.430999</v>
      </c>
      <c r="J37">
        <v>55.426957000000002</v>
      </c>
      <c r="K37">
        <v>44.784596999999998</v>
      </c>
      <c r="L37">
        <v>386.73640599999999</v>
      </c>
      <c r="M37">
        <v>-622.49836700000003</v>
      </c>
      <c r="N37">
        <v>0.97010799999999997</v>
      </c>
      <c r="O37">
        <v>1.368231</v>
      </c>
      <c r="P37">
        <f t="shared" si="3"/>
        <v>1.6168466666666666E-5</v>
      </c>
      <c r="Q37" cm="1">
        <f t="array" ref="Q37">[1]!PropsSI("D","T",J37+273.15,"P",101325,"Water")</f>
        <v>985.48579191963665</v>
      </c>
      <c r="R37" cm="1">
        <f t="array" ref="R37">[1]!PropsSI("D","T",K37+273.15,"P",101325,"Water")</f>
        <v>990.30288245489817</v>
      </c>
      <c r="S37">
        <f t="shared" si="2"/>
        <v>987.89433718726741</v>
      </c>
      <c r="T37" cm="1">
        <f t="array" ref="T37">[1]!PropsSI("H","T",J37+273.15,"P",101325,"Water")</f>
        <v>232115.05065667696</v>
      </c>
      <c r="U37" cm="1">
        <f t="array" ref="U37">[1]!PropsSI("H","T",K37+273.15,"P",101325,"Water")</f>
        <v>187614.55309592118</v>
      </c>
      <c r="V37">
        <f t="shared" si="1"/>
        <v>710.79472882147365</v>
      </c>
    </row>
    <row r="38" spans="1:22" x14ac:dyDescent="0.2">
      <c r="A38">
        <v>44606.5764350483</v>
      </c>
      <c r="B38">
        <v>20.476807999999998</v>
      </c>
      <c r="C38">
        <v>20.477913000000001</v>
      </c>
      <c r="D38">
        <v>19.744792</v>
      </c>
      <c r="E38">
        <v>19.837752999999999</v>
      </c>
      <c r="F38">
        <v>29.819779</v>
      </c>
      <c r="G38">
        <v>28.542884000000001</v>
      </c>
      <c r="H38">
        <v>24.288378999999999</v>
      </c>
      <c r="I38">
        <v>21.340938000000001</v>
      </c>
      <c r="J38">
        <v>55.428071000000003</v>
      </c>
      <c r="K38">
        <v>44.762709000000001</v>
      </c>
      <c r="L38">
        <v>401.63933300000002</v>
      </c>
      <c r="M38">
        <v>-622.5</v>
      </c>
      <c r="N38">
        <v>0.97122299999999995</v>
      </c>
      <c r="O38">
        <v>1.0918870000000001</v>
      </c>
      <c r="P38">
        <f t="shared" si="3"/>
        <v>1.6187049999999999E-5</v>
      </c>
      <c r="Q38" cm="1">
        <f t="array" ref="Q38">[1]!PropsSI("D","T",J38+273.15,"P",101325,"Water")</f>
        <v>985.48524957792688</v>
      </c>
      <c r="R38" cm="1">
        <f t="array" ref="R38">[1]!PropsSI("D","T",K38+273.15,"P",101325,"Water")</f>
        <v>990.31200803059562</v>
      </c>
      <c r="S38">
        <f t="shared" si="2"/>
        <v>987.89862880426131</v>
      </c>
      <c r="T38" cm="1">
        <f t="array" ref="T38">[1]!PropsSI("H","T",J38+273.15,"P",101325,"Water")</f>
        <v>232119.71064403758</v>
      </c>
      <c r="U38" cm="1">
        <f t="array" ref="U38">[1]!PropsSI("H","T",K38+273.15,"P",101325,"Water")</f>
        <v>187523.05910609211</v>
      </c>
      <c r="V38">
        <f t="shared" si="1"/>
        <v>713.15239086508234</v>
      </c>
    </row>
    <row r="39" spans="1:22" x14ac:dyDescent="0.2">
      <c r="A39">
        <v>44606.576551367703</v>
      </c>
      <c r="B39">
        <v>20.425454999999999</v>
      </c>
      <c r="C39">
        <v>20.448581000000001</v>
      </c>
      <c r="D39">
        <v>19.696176999999999</v>
      </c>
      <c r="E39">
        <v>19.789868999999999</v>
      </c>
      <c r="F39">
        <v>29.576225000000001</v>
      </c>
      <c r="G39">
        <v>28.248422999999999</v>
      </c>
      <c r="H39">
        <v>23.757576</v>
      </c>
      <c r="I39">
        <v>21.357037999999999</v>
      </c>
      <c r="J39">
        <v>55.429662</v>
      </c>
      <c r="K39">
        <v>44.760806000000002</v>
      </c>
      <c r="L39">
        <v>393.98379799999998</v>
      </c>
      <c r="M39">
        <v>-622.53387599999996</v>
      </c>
      <c r="N39">
        <v>0.97303399999999995</v>
      </c>
      <c r="O39">
        <v>1.7358560000000001</v>
      </c>
      <c r="P39">
        <f t="shared" si="3"/>
        <v>1.6217233333333335E-5</v>
      </c>
      <c r="Q39" cm="1">
        <f t="array" ref="Q39">[1]!PropsSI("D","T",J39+273.15,"P",101325,"Water")</f>
        <v>985.484474999383</v>
      </c>
      <c r="R39" cm="1">
        <f t="array" ref="R39">[1]!PropsSI("D","T",K39+273.15,"P",101325,"Water")</f>
        <v>990.3128012737883</v>
      </c>
      <c r="S39">
        <f t="shared" si="2"/>
        <v>987.89863813658565</v>
      </c>
      <c r="T39" cm="1">
        <f t="array" ref="T39">[1]!PropsSI("H","T",J39+273.15,"P",101325,"Water")</f>
        <v>232126.36597688808</v>
      </c>
      <c r="U39" cm="1">
        <f t="array" ref="U39">[1]!PropsSI("H","T",K39+273.15,"P",101325,"Water")</f>
        <v>187515.1043834911</v>
      </c>
      <c r="V39">
        <f t="shared" si="1"/>
        <v>714.71625129897018</v>
      </c>
    </row>
    <row r="40" spans="1:22" x14ac:dyDescent="0.2">
      <c r="A40">
        <v>44606.5766671085</v>
      </c>
      <c r="B40">
        <v>20.288149000000001</v>
      </c>
      <c r="C40">
        <v>20.207712000000001</v>
      </c>
      <c r="D40">
        <v>19.793596999999998</v>
      </c>
      <c r="E40">
        <v>19.784016999999999</v>
      </c>
      <c r="F40">
        <v>29.573830999999998</v>
      </c>
      <c r="G40">
        <v>28.154810000000001</v>
      </c>
      <c r="H40">
        <v>23.784911000000001</v>
      </c>
      <c r="I40">
        <v>21.505433</v>
      </c>
      <c r="J40">
        <v>55.431890000000003</v>
      </c>
      <c r="K40">
        <v>44.745103999999998</v>
      </c>
      <c r="L40">
        <v>381.92930000000001</v>
      </c>
      <c r="M40">
        <v>-622.47959300000002</v>
      </c>
      <c r="N40">
        <v>0.97077999999999998</v>
      </c>
      <c r="O40">
        <v>1.9404520000000001</v>
      </c>
      <c r="P40">
        <f t="shared" si="3"/>
        <v>1.6179666666666667E-5</v>
      </c>
      <c r="Q40" cm="1">
        <f t="array" ref="Q40">[1]!PropsSI("D","T",J40+273.15,"P",101325,"Water")</f>
        <v>985.48339027103714</v>
      </c>
      <c r="R40" cm="1">
        <f t="array" ref="R40">[1]!PropsSI("D","T",K40+273.15,"P",101325,"Water")</f>
        <v>990.31934550163032</v>
      </c>
      <c r="S40">
        <f t="shared" si="2"/>
        <v>987.90136788633367</v>
      </c>
      <c r="T40" cm="1">
        <f t="array" ref="T40">[1]!PropsSI("H","T",J40+273.15,"P",101325,"Water")</f>
        <v>232135.68595433692</v>
      </c>
      <c r="U40" cm="1">
        <f t="array" ref="U40">[1]!PropsSI("H","T",K40+273.15,"P",101325,"Water")</f>
        <v>187449.4685432415</v>
      </c>
      <c r="V40">
        <f t="shared" si="1"/>
        <v>714.26069326072331</v>
      </c>
    </row>
    <row r="41" spans="1:22" x14ac:dyDescent="0.2">
      <c r="A41">
        <v>44606.576783427903</v>
      </c>
      <c r="B41">
        <v>20.491797999999999</v>
      </c>
      <c r="C41">
        <v>20.255973000000001</v>
      </c>
      <c r="D41">
        <v>19.53378</v>
      </c>
      <c r="E41">
        <v>19.482150000000001</v>
      </c>
      <c r="F41">
        <v>29.503325</v>
      </c>
      <c r="G41">
        <v>28.580738</v>
      </c>
      <c r="H41">
        <v>23.861201999999999</v>
      </c>
      <c r="I41">
        <v>21.244548999999999</v>
      </c>
      <c r="J41">
        <v>55.431412000000002</v>
      </c>
      <c r="K41">
        <v>44.743676000000001</v>
      </c>
      <c r="L41">
        <v>391.82594699999999</v>
      </c>
      <c r="M41">
        <v>-622.48857199999998</v>
      </c>
      <c r="N41">
        <v>0.97277199999999997</v>
      </c>
      <c r="O41">
        <v>1.107861</v>
      </c>
      <c r="P41">
        <f t="shared" si="3"/>
        <v>1.6212866666666665E-5</v>
      </c>
      <c r="Q41" cm="1">
        <f t="array" ref="Q41">[1]!PropsSI("D","T",J41+273.15,"P",101325,"Water")</f>
        <v>985.48362299363146</v>
      </c>
      <c r="R41" cm="1">
        <f t="array" ref="R41">[1]!PropsSI("D","T",K41+273.15,"P",101325,"Water")</f>
        <v>990.31994057324005</v>
      </c>
      <c r="S41">
        <f t="shared" si="2"/>
        <v>987.90178178343581</v>
      </c>
      <c r="T41" cm="1">
        <f t="array" ref="T41">[1]!PropsSI("H","T",J41+273.15,"P",101325,"Water")</f>
        <v>232133.68642583693</v>
      </c>
      <c r="U41" cm="1">
        <f t="array" ref="U41">[1]!PropsSI("H","T",K41+273.15,"P",101325,"Water")</f>
        <v>187443.49937096995</v>
      </c>
      <c r="V41">
        <f t="shared" si="1"/>
        <v>715.7902068981582</v>
      </c>
    </row>
    <row r="42" spans="1:22" x14ac:dyDescent="0.2">
      <c r="A42">
        <v>46068.57689916667</v>
      </c>
      <c r="B42">
        <v>20.278406</v>
      </c>
      <c r="C42">
        <v>20.247042</v>
      </c>
      <c r="D42">
        <v>19.584150000000001</v>
      </c>
      <c r="E42">
        <v>19.726417999999999</v>
      </c>
      <c r="F42">
        <v>29.324729000000001</v>
      </c>
      <c r="G42">
        <v>28.373601000000001</v>
      </c>
      <c r="H42">
        <v>23.773931000000001</v>
      </c>
      <c r="I42">
        <v>20.822106000000002</v>
      </c>
      <c r="J42">
        <v>55.429662</v>
      </c>
      <c r="K42">
        <v>44.743200999999999</v>
      </c>
      <c r="L42">
        <v>390.161541</v>
      </c>
      <c r="M42">
        <v>-622.50857099999996</v>
      </c>
      <c r="N42">
        <v>0.97237399999999996</v>
      </c>
      <c r="O42">
        <v>1.6243320000000001</v>
      </c>
      <c r="P42">
        <f t="shared" si="3"/>
        <v>1.6206233333333334E-5</v>
      </c>
      <c r="Q42" cm="1">
        <f t="array" ref="Q42">[1]!PropsSI("D","T",J42+273.15,"P",101325,"Water")</f>
        <v>985.484474999383</v>
      </c>
      <c r="R42" cm="1">
        <f t="array" ref="R42">[1]!PropsSI("D","T",K42+273.15,"P",101325,"Water")</f>
        <v>990.32013851056024</v>
      </c>
      <c r="S42">
        <f t="shared" si="2"/>
        <v>987.90230675497162</v>
      </c>
      <c r="T42" cm="1">
        <f t="array" ref="T42">[1]!PropsSI("H","T",J42+273.15,"P",101325,"Water")</f>
        <v>232126.36597688808</v>
      </c>
      <c r="U42" cm="1">
        <f t="array" ref="U42">[1]!PropsSI("H","T",K42+273.15,"P",101325,"Water")</f>
        <v>187441.51382704105</v>
      </c>
      <c r="V42">
        <f t="shared" si="1"/>
        <v>715.41231589700283</v>
      </c>
    </row>
    <row r="43" spans="1:22" x14ac:dyDescent="0.2">
      <c r="A43">
        <v>46068.577015486109</v>
      </c>
      <c r="B43">
        <v>20.63457</v>
      </c>
      <c r="C43">
        <v>20.521542</v>
      </c>
      <c r="D43">
        <v>19.718539</v>
      </c>
      <c r="E43">
        <v>19.890595999999999</v>
      </c>
      <c r="F43">
        <v>29.6904</v>
      </c>
      <c r="G43">
        <v>28.305731999999999</v>
      </c>
      <c r="H43">
        <v>23.955255000000001</v>
      </c>
      <c r="I43">
        <v>21.546308</v>
      </c>
      <c r="J43">
        <v>55.431412000000002</v>
      </c>
      <c r="K43">
        <v>44.729560999999997</v>
      </c>
      <c r="L43">
        <v>401.58096899999998</v>
      </c>
      <c r="M43">
        <v>-622.47918500000003</v>
      </c>
      <c r="N43">
        <v>0.97162800000000005</v>
      </c>
      <c r="O43">
        <v>1.5965400000000001</v>
      </c>
      <c r="P43">
        <f t="shared" si="3"/>
        <v>1.6193800000000001E-5</v>
      </c>
      <c r="Q43" cm="1">
        <f t="array" ref="Q43">[1]!PropsSI("D","T",J43+273.15,"P",101325,"Water")</f>
        <v>985.48362299363146</v>
      </c>
      <c r="R43" cm="1">
        <f t="array" ref="R43">[1]!PropsSI("D","T",K43+273.15,"P",101325,"Water")</f>
        <v>990.32582176402127</v>
      </c>
      <c r="S43">
        <f t="shared" si="2"/>
        <v>987.90472237882636</v>
      </c>
      <c r="T43" cm="1">
        <f t="array" ref="T43">[1]!PropsSI("H","T",J43+273.15,"P",101325,"Water")</f>
        <v>232133.68642583693</v>
      </c>
      <c r="U43" cm="1">
        <f t="array" ref="U43">[1]!PropsSI("H","T",K43+273.15,"P",101325,"Water")</f>
        <v>187384.49738426923</v>
      </c>
      <c r="V43">
        <f t="shared" si="1"/>
        <v>715.89446066586254</v>
      </c>
    </row>
    <row r="44" spans="1:22" x14ac:dyDescent="0.2">
      <c r="A44">
        <v>46068.577131226855</v>
      </c>
      <c r="B44">
        <v>20.470378</v>
      </c>
      <c r="C44">
        <v>20.148119000000001</v>
      </c>
      <c r="D44">
        <v>19.785551999999999</v>
      </c>
      <c r="E44">
        <v>19.818341</v>
      </c>
      <c r="F44">
        <v>29.598621999999999</v>
      </c>
      <c r="G44">
        <v>27.342165999999999</v>
      </c>
      <c r="H44">
        <v>23.873307</v>
      </c>
      <c r="I44">
        <v>21.321072999999998</v>
      </c>
      <c r="J44">
        <v>55.429502999999997</v>
      </c>
      <c r="K44">
        <v>44.735429000000003</v>
      </c>
      <c r="L44">
        <v>436.90450600000003</v>
      </c>
      <c r="M44">
        <v>-622.48775599999999</v>
      </c>
      <c r="N44">
        <v>0.97135000000000005</v>
      </c>
      <c r="O44">
        <v>1.1838409999999999</v>
      </c>
      <c r="P44">
        <f t="shared" si="3"/>
        <v>1.6189166666666667E-5</v>
      </c>
      <c r="Q44" cm="1">
        <f t="array" ref="Q44">[1]!PropsSI("D","T",J44+273.15,"P",101325,"Water")</f>
        <v>985.48455240926353</v>
      </c>
      <c r="R44" cm="1">
        <f t="array" ref="R44">[1]!PropsSI("D","T",K44+273.15,"P",101325,"Water")</f>
        <v>990.32337695786441</v>
      </c>
      <c r="S44">
        <f t="shared" si="2"/>
        <v>987.90396468356403</v>
      </c>
      <c r="T44" cm="1">
        <f t="array" ref="T44">[1]!PropsSI("H","T",J44+273.15,"P",101325,"Water")</f>
        <v>232125.70086190157</v>
      </c>
      <c r="U44" cm="1">
        <f t="array" ref="U44">[1]!PropsSI("H","T",K44+273.15,"P",101325,"Water")</f>
        <v>187409.02615458015</v>
      </c>
      <c r="V44">
        <f t="shared" si="1"/>
        <v>715.16906878691429</v>
      </c>
    </row>
    <row r="45" spans="1:22" x14ac:dyDescent="0.2">
      <c r="A45">
        <v>46068.577247546295</v>
      </c>
      <c r="B45">
        <v>20.624669000000001</v>
      </c>
      <c r="C45">
        <v>20.537258000000001</v>
      </c>
      <c r="D45">
        <v>19.689443000000001</v>
      </c>
      <c r="E45">
        <v>19.808254999999999</v>
      </c>
      <c r="F45">
        <v>29.670256999999999</v>
      </c>
      <c r="G45">
        <v>29.035836</v>
      </c>
      <c r="H45">
        <v>23.804849000000001</v>
      </c>
      <c r="I45">
        <v>21.215893999999999</v>
      </c>
      <c r="J45">
        <v>55.416136000000002</v>
      </c>
      <c r="K45">
        <v>44.736539</v>
      </c>
      <c r="L45">
        <v>382.89496600000001</v>
      </c>
      <c r="M45">
        <v>-622.48653100000001</v>
      </c>
      <c r="N45">
        <v>0.96985399999999999</v>
      </c>
      <c r="O45">
        <v>1.233058</v>
      </c>
      <c r="P45">
        <f t="shared" si="3"/>
        <v>1.6164233333333334E-5</v>
      </c>
      <c r="Q45" cm="1">
        <f t="array" ref="Q45">[1]!PropsSI("D","T",J45+273.15,"P",101325,"Water")</f>
        <v>985.4910596351333</v>
      </c>
      <c r="R45" cm="1">
        <f t="array" ref="R45">[1]!PropsSI("D","T",K45+273.15,"P",101325,"Water")</f>
        <v>990.32291446743181</v>
      </c>
      <c r="S45">
        <f t="shared" si="2"/>
        <v>987.90698705128261</v>
      </c>
      <c r="T45" cm="1">
        <f t="array" ref="T45">[1]!PropsSI("H","T",J45+273.15,"P",101325,"Water")</f>
        <v>232069.78521961096</v>
      </c>
      <c r="U45" cm="1">
        <f t="array" ref="U45">[1]!PropsSI("H","T",K45+273.15,"P",101325,"Water")</f>
        <v>187413.66605565956</v>
      </c>
      <c r="V45">
        <f t="shared" si="1"/>
        <v>713.10280705184084</v>
      </c>
    </row>
    <row r="46" spans="1:22" x14ac:dyDescent="0.2">
      <c r="A46">
        <v>46068.57736328704</v>
      </c>
      <c r="B46">
        <v>20.498522999999999</v>
      </c>
      <c r="C46">
        <v>20.766141999999999</v>
      </c>
      <c r="D46">
        <v>19.805340999999999</v>
      </c>
      <c r="E46">
        <v>19.974198999999999</v>
      </c>
      <c r="F46">
        <v>29.693995000000001</v>
      </c>
      <c r="G46">
        <v>30.292567999999999</v>
      </c>
      <c r="H46">
        <v>23.975961999999999</v>
      </c>
      <c r="I46">
        <v>21.307559999999999</v>
      </c>
      <c r="J46">
        <v>55.418045999999997</v>
      </c>
      <c r="K46">
        <v>44.749068999999999</v>
      </c>
      <c r="L46">
        <v>376.80955599999999</v>
      </c>
      <c r="M46">
        <v>-622.50653</v>
      </c>
      <c r="N46">
        <v>0.96894400000000003</v>
      </c>
      <c r="O46">
        <v>1.601445</v>
      </c>
      <c r="P46">
        <f t="shared" si="3"/>
        <v>1.6149066666666668E-5</v>
      </c>
      <c r="Q46" cm="1">
        <f t="array" ref="Q46">[1]!PropsSI("D","T",J46+273.15,"P",101325,"Water")</f>
        <v>985.49012989043729</v>
      </c>
      <c r="R46" cm="1">
        <f t="array" ref="R46">[1]!PropsSI("D","T",K46+273.15,"P",101325,"Water")</f>
        <v>990.31769314468545</v>
      </c>
      <c r="S46">
        <f t="shared" si="2"/>
        <v>987.90391151756137</v>
      </c>
      <c r="T46" cm="1">
        <f t="array" ref="T46">[1]!PropsSI("H","T",J46+273.15,"P",101325,"Water")</f>
        <v>232077.77495717778</v>
      </c>
      <c r="U46" cm="1">
        <f t="array" ref="U46">[1]!PropsSI("H","T",K46+273.15,"P",101325,"Water")</f>
        <v>187466.04261261987</v>
      </c>
      <c r="V46">
        <f t="shared" si="1"/>
        <v>711.72335989206965</v>
      </c>
    </row>
    <row r="47" spans="1:22" x14ac:dyDescent="0.2">
      <c r="A47">
        <v>46068.577479027779</v>
      </c>
      <c r="B47">
        <v>20.338317</v>
      </c>
      <c r="C47">
        <v>20.481732999999998</v>
      </c>
      <c r="D47">
        <v>19.760687000000001</v>
      </c>
      <c r="E47">
        <v>19.947472000000001</v>
      </c>
      <c r="F47">
        <v>29.497700999999999</v>
      </c>
      <c r="G47">
        <v>29.303522999999998</v>
      </c>
      <c r="H47">
        <v>23.946148999999998</v>
      </c>
      <c r="I47">
        <v>21.278925000000001</v>
      </c>
      <c r="J47">
        <v>55.414704</v>
      </c>
      <c r="K47">
        <v>44.753509999999999</v>
      </c>
      <c r="L47">
        <v>399.72759200000002</v>
      </c>
      <c r="M47">
        <v>-622.487348</v>
      </c>
      <c r="N47">
        <v>0.97136599999999995</v>
      </c>
      <c r="O47">
        <v>1.6737150000000001</v>
      </c>
      <c r="P47">
        <f t="shared" si="3"/>
        <v>1.6189433333333335E-5</v>
      </c>
      <c r="Q47" cm="1">
        <f t="array" ref="Q47">[1]!PropsSI("D","T",J47+273.15,"P",101325,"Water")</f>
        <v>985.49175668549231</v>
      </c>
      <c r="R47" cm="1">
        <f t="array" ref="R47">[1]!PropsSI("D","T",K47+273.15,"P",101325,"Water")</f>
        <v>990.31584229104226</v>
      </c>
      <c r="S47">
        <f t="shared" si="2"/>
        <v>987.90379948826728</v>
      </c>
      <c r="T47" cm="1">
        <f t="array" ref="T47">[1]!PropsSI("H","T",J47+273.15,"P",101325,"Water")</f>
        <v>232063.7950087722</v>
      </c>
      <c r="U47" cm="1">
        <f t="array" ref="U47">[1]!PropsSI("H","T",K47+273.15,"P",101325,"Water")</f>
        <v>187484.60640984771</v>
      </c>
      <c r="V47">
        <f t="shared" si="1"/>
        <v>712.98183120920089</v>
      </c>
    </row>
    <row r="48" spans="1:22" x14ac:dyDescent="0.2">
      <c r="A48">
        <v>46068.577595347226</v>
      </c>
      <c r="B48">
        <v>20.543412</v>
      </c>
      <c r="C48">
        <v>20.379601000000001</v>
      </c>
      <c r="D48">
        <v>19.660454000000001</v>
      </c>
      <c r="E48">
        <v>19.764099000000002</v>
      </c>
      <c r="F48">
        <v>29.492224</v>
      </c>
      <c r="G48">
        <v>28.772109</v>
      </c>
      <c r="H48">
        <v>23.800899000000001</v>
      </c>
      <c r="I48">
        <v>20.987568</v>
      </c>
      <c r="J48">
        <v>55.421069000000003</v>
      </c>
      <c r="K48">
        <v>44.746372999999998</v>
      </c>
      <c r="L48">
        <v>380.30856399999999</v>
      </c>
      <c r="M48">
        <v>-622.47551099999998</v>
      </c>
      <c r="N48">
        <v>0.97236599999999995</v>
      </c>
      <c r="O48">
        <v>1.526367</v>
      </c>
      <c r="P48">
        <f t="shared" si="3"/>
        <v>1.6206100000000001E-5</v>
      </c>
      <c r="Q48" cm="1">
        <f t="array" ref="Q48">[1]!PropsSI("D","T",J48+273.15,"P",101325,"Water")</f>
        <v>985.48865831647299</v>
      </c>
      <c r="R48" cm="1">
        <f t="array" ref="R48">[1]!PropsSI("D","T",K48+273.15,"P",101325,"Water")</f>
        <v>990.3188166760068</v>
      </c>
      <c r="S48">
        <f t="shared" si="2"/>
        <v>987.90373749623996</v>
      </c>
      <c r="T48" cm="1">
        <f t="array" ref="T48">[1]!PropsSI("H","T",J48+273.15,"P",101325,"Water")</f>
        <v>232090.4204975586</v>
      </c>
      <c r="U48" cm="1">
        <f t="array" ref="U48">[1]!PropsSI("H","T",K48+273.15,"P",101325,"Water")</f>
        <v>187454.77308115555</v>
      </c>
      <c r="V48">
        <f t="shared" si="1"/>
        <v>714.6196950230493</v>
      </c>
    </row>
    <row r="49" spans="1:22" x14ac:dyDescent="0.2">
      <c r="A49">
        <v>44606.577711090002</v>
      </c>
      <c r="B49">
        <v>20.317582999999999</v>
      </c>
      <c r="C49">
        <v>20.294947000000001</v>
      </c>
      <c r="D49">
        <v>19.688106999999999</v>
      </c>
      <c r="E49">
        <v>19.806933000000001</v>
      </c>
      <c r="F49">
        <v>29.550885000000001</v>
      </c>
      <c r="G49">
        <v>29.083064</v>
      </c>
      <c r="H49">
        <v>23.841801</v>
      </c>
      <c r="I49">
        <v>21.172391999999999</v>
      </c>
      <c r="J49">
        <v>55.419955000000002</v>
      </c>
      <c r="K49">
        <v>44.745261999999997</v>
      </c>
      <c r="L49">
        <v>391.62636500000002</v>
      </c>
      <c r="M49">
        <v>-622.50040799999999</v>
      </c>
      <c r="N49">
        <v>0.96947300000000003</v>
      </c>
      <c r="O49">
        <v>1.2589570000000001</v>
      </c>
      <c r="P49">
        <f t="shared" si="3"/>
        <v>1.6157883333333337E-5</v>
      </c>
      <c r="Q49" cm="1">
        <f t="array" ref="Q49">[1]!PropsSI("D","T",J49+273.15,"P",101325,"Water")</f>
        <v>985.48920060996818</v>
      </c>
      <c r="R49" cm="1">
        <f t="array" ref="R49">[1]!PropsSI("D","T",K49+273.15,"P",101325,"Water")</f>
        <v>990.31927965947136</v>
      </c>
      <c r="S49">
        <f t="shared" si="2"/>
        <v>987.90424013471977</v>
      </c>
      <c r="T49" cm="1">
        <f t="array" ref="T49">[1]!PropsSI("H","T",J49+273.15,"P",101325,"Water")</f>
        <v>232085.76051304795</v>
      </c>
      <c r="U49" cm="1">
        <f t="array" ref="U49">[1]!PropsSI("H","T",K49+273.15,"P",101325,"Water")</f>
        <v>187450.12899795643</v>
      </c>
      <c r="V49">
        <f t="shared" si="1"/>
        <v>712.49365493811297</v>
      </c>
    </row>
    <row r="51" spans="1:22" x14ac:dyDescent="0.2">
      <c r="F51" s="1" t="s">
        <v>22</v>
      </c>
    </row>
    <row r="52" spans="1:22" x14ac:dyDescent="0.2">
      <c r="F52">
        <f>AVERAGE(V2:V49)</f>
        <v>713.90017601211514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A8965AE-832C-D74C-8C30-C9D4CE793BD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Results</vt:lpstr>
      <vt:lpstr>1mps</vt:lpstr>
      <vt:lpstr>2mps</vt:lpstr>
      <vt:lpstr>3mps</vt:lpstr>
      <vt:lpstr>4mps</vt:lpstr>
      <vt:lpstr>5mps</vt:lpstr>
      <vt:lpstr>6mps</vt:lpstr>
      <vt:lpstr>7mps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Ping, Angela JiaYi</dc:creator>
  <cp:lastModifiedBy>Ping, Angela JiaYi</cp:lastModifiedBy>
  <dcterms:created xsi:type="dcterms:W3CDTF">2026-02-25T01:57:25Z</dcterms:created>
  <dcterms:modified xsi:type="dcterms:W3CDTF">2026-02-25T05:26:50Z</dcterms:modified>
</cp:coreProperties>
</file>