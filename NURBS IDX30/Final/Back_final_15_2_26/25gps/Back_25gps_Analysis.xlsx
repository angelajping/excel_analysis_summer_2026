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Back_final_15_2_26/25gps/"/>
    </mc:Choice>
  </mc:AlternateContent>
  <xr:revisionPtr revIDLastSave="0" documentId="13_ncr:1_{A91B04D2-38FD-3440-BD89-E23D537CE34F}" xr6:coauthVersionLast="47" xr6:coauthVersionMax="47" xr10:uidLastSave="{00000000-0000-0000-0000-000000000000}"/>
  <bookViews>
    <workbookView xWindow="0" yWindow="660" windowWidth="30240" windowHeight="17520" xr2:uid="{1C60444A-BEFD-BC4F-B8F6-C471D470F8DA}"/>
  </bookViews>
  <sheets>
    <sheet name="Results" sheetId="13" r:id="rId1"/>
    <sheet name="1mps" sheetId="54" r:id="rId2"/>
    <sheet name="2mps" sheetId="56" r:id="rId3"/>
    <sheet name="3mps" sheetId="57" r:id="rId4"/>
    <sheet name="4mps" sheetId="58" r:id="rId5"/>
    <sheet name="5mps" sheetId="59" r:id="rId6"/>
    <sheet name="6mps" sheetId="60" r:id="rId7"/>
    <sheet name="7mps" sheetId="61" r:id="rId8"/>
  </sheets>
  <externalReferences>
    <externalReference r:id="rId9"/>
  </externalReferences>
  <definedNames>
    <definedName name="ExternalData_1" localSheetId="2" hidden="1">'2mps'!$A$1:$O$30</definedName>
    <definedName name="ExternalData_1" localSheetId="3" hidden="1">'3mps'!$A$1:$O$16</definedName>
    <definedName name="ExternalData_1" localSheetId="4" hidden="1">'4mps'!$A$1:$O$12</definedName>
    <definedName name="ExternalData_1" localSheetId="5" hidden="1">'5mps'!$A$1:$O$14</definedName>
    <definedName name="ExternalData_1" localSheetId="6" hidden="1">'6mps'!$A$1:$O$13</definedName>
    <definedName name="ExternalData_1" localSheetId="7" hidden="1">'7mps'!$A$1:$O$10</definedName>
    <definedName name="ExternalData_3" localSheetId="1" hidden="1">'1mps'!$A$1:$O$24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61" l="1"/>
  <c r="C16" i="60"/>
  <c r="C17" i="59"/>
  <c r="C15" i="58"/>
  <c r="C19" i="57"/>
  <c r="C33" i="56"/>
  <c r="D27" i="54"/>
  <c r="P25" i="56"/>
  <c r="P26" i="56"/>
  <c r="P27" i="56"/>
  <c r="P28" i="56"/>
  <c r="P29" i="56"/>
  <c r="P30" i="56"/>
  <c r="P10" i="61"/>
  <c r="P9" i="61"/>
  <c r="P8" i="61"/>
  <c r="P7" i="61"/>
  <c r="P6" i="61"/>
  <c r="P5" i="61"/>
  <c r="P4" i="61"/>
  <c r="P3" i="61"/>
  <c r="P2" i="61"/>
  <c r="P13" i="60"/>
  <c r="P12" i="60"/>
  <c r="P11" i="60"/>
  <c r="P10" i="60"/>
  <c r="P9" i="60"/>
  <c r="P8" i="60"/>
  <c r="P7" i="60"/>
  <c r="P6" i="60"/>
  <c r="P5" i="60"/>
  <c r="P4" i="60"/>
  <c r="P3" i="60"/>
  <c r="P2" i="60"/>
  <c r="P14" i="59"/>
  <c r="P13" i="59"/>
  <c r="P12" i="59"/>
  <c r="P11" i="59"/>
  <c r="P10" i="59"/>
  <c r="P9" i="59"/>
  <c r="P8" i="59"/>
  <c r="P7" i="59"/>
  <c r="P6" i="59"/>
  <c r="P5" i="59"/>
  <c r="P4" i="59"/>
  <c r="P3" i="59"/>
  <c r="P2" i="59"/>
  <c r="P12" i="58"/>
  <c r="P11" i="58"/>
  <c r="P10" i="58"/>
  <c r="P9" i="58"/>
  <c r="P8" i="58"/>
  <c r="P7" i="58"/>
  <c r="P6" i="58"/>
  <c r="P5" i="58"/>
  <c r="P4" i="58"/>
  <c r="P3" i="58"/>
  <c r="P2" i="58"/>
  <c r="P16" i="57"/>
  <c r="P15" i="57"/>
  <c r="P14" i="57"/>
  <c r="P13" i="57"/>
  <c r="P12" i="57"/>
  <c r="P11" i="57"/>
  <c r="P10" i="57"/>
  <c r="P9" i="57"/>
  <c r="P8" i="57"/>
  <c r="P7" i="57"/>
  <c r="P6" i="57"/>
  <c r="P5" i="57"/>
  <c r="P4" i="57"/>
  <c r="P3" i="57"/>
  <c r="P2" i="57"/>
  <c r="P24" i="56"/>
  <c r="P23" i="56"/>
  <c r="P22" i="56"/>
  <c r="P21" i="56"/>
  <c r="P20" i="56"/>
  <c r="P19" i="56"/>
  <c r="P18" i="56"/>
  <c r="P17" i="56"/>
  <c r="P16" i="56"/>
  <c r="P15" i="56"/>
  <c r="P14" i="56"/>
  <c r="P13" i="56"/>
  <c r="P12" i="56"/>
  <c r="P11" i="56"/>
  <c r="P10" i="56"/>
  <c r="P9" i="56"/>
  <c r="P8" i="56"/>
  <c r="P7" i="56"/>
  <c r="P6" i="56"/>
  <c r="P5" i="56"/>
  <c r="P4" i="56"/>
  <c r="P3" i="56"/>
  <c r="P2" i="56"/>
  <c r="P12" i="54"/>
  <c r="P13" i="54"/>
  <c r="P14" i="54"/>
  <c r="P15" i="54"/>
  <c r="P16" i="54"/>
  <c r="P17" i="54"/>
  <c r="P18" i="54"/>
  <c r="P19" i="54"/>
  <c r="P20" i="54"/>
  <c r="P21" i="54"/>
  <c r="P22" i="54"/>
  <c r="P23" i="54"/>
  <c r="P24" i="54"/>
  <c r="P11" i="54"/>
  <c r="P10" i="54"/>
  <c r="P9" i="54"/>
  <c r="P8" i="54"/>
  <c r="P7" i="54"/>
  <c r="P6" i="54"/>
  <c r="P5" i="54"/>
  <c r="P4" i="54"/>
  <c r="P3" i="54"/>
  <c r="P2" i="54"/>
  <c r="Q26" i="56" a="1"/>
  <c r="R28" i="56" a="1"/>
  <c r="U28" i="56" a="1"/>
  <c r="U25" i="56" a="1"/>
  <c r="R30" i="56" a="1"/>
  <c r="R29" i="56" a="1"/>
  <c r="Q25" i="56" a="1"/>
  <c r="R27" i="56" a="1"/>
  <c r="T30" i="56" a="1"/>
  <c r="U29" i="56" a="1"/>
  <c r="U26" i="56" a="1"/>
  <c r="Q29" i="56" a="1"/>
  <c r="Q28" i="56" a="1"/>
  <c r="Q27" i="56" a="1"/>
  <c r="R26" i="56" a="1"/>
  <c r="T29" i="56" a="1"/>
  <c r="U30" i="56" a="1"/>
  <c r="Q30" i="56" a="1"/>
  <c r="R25" i="56" a="1"/>
  <c r="T28" i="56" a="1"/>
  <c r="U27" i="56" a="1"/>
  <c r="T27" i="56" a="1"/>
  <c r="T26" i="56" a="1"/>
  <c r="T25" i="56" a="1"/>
  <c r="U10" i="61" a="1"/>
  <c r="T8" i="61" a="1"/>
  <c r="R5" i="61" a="1"/>
  <c r="Q3" i="61" a="1"/>
  <c r="Q4" i="61" a="1"/>
  <c r="R8" i="61" a="1"/>
  <c r="Q7" i="61" a="1"/>
  <c r="R10" i="61" a="1"/>
  <c r="T2" i="61" a="1"/>
  <c r="T9" i="61" a="1"/>
  <c r="R6" i="61" a="1"/>
  <c r="T10" i="61" a="1"/>
  <c r="R7" i="61" a="1"/>
  <c r="Q5" i="61" a="1"/>
  <c r="Q6" i="61" a="1"/>
  <c r="R9" i="61" a="1"/>
  <c r="U2" i="61" a="1"/>
  <c r="Q8" i="61" a="1"/>
  <c r="U4" i="61" a="1"/>
  <c r="Q10" i="61" a="1"/>
  <c r="U5" i="61" a="1"/>
  <c r="T3" i="61" a="1"/>
  <c r="T5" i="61" a="1"/>
  <c r="T6" i="61" a="1"/>
  <c r="U9" i="61" a="1"/>
  <c r="R4" i="61" a="1"/>
  <c r="Q9" i="61" a="1"/>
  <c r="U6" i="61" a="1"/>
  <c r="T4" i="61" a="1"/>
  <c r="U7" i="61" a="1"/>
  <c r="R2" i="61" a="1"/>
  <c r="U8" i="61" a="1"/>
  <c r="R3" i="61" a="1"/>
  <c r="T7" i="61" a="1"/>
  <c r="Q2" i="61" a="1"/>
  <c r="U3" i="61" a="1"/>
  <c r="U10" i="60" a="1"/>
  <c r="T8" i="60" a="1"/>
  <c r="R5" i="60" a="1"/>
  <c r="Q3" i="60" a="1"/>
  <c r="T9" i="60" a="1"/>
  <c r="R6" i="60" a="1"/>
  <c r="Q4" i="60" a="1"/>
  <c r="Q7" i="60" a="1"/>
  <c r="T13" i="60" a="1"/>
  <c r="Q8" i="60" a="1"/>
  <c r="U4" i="60" a="1"/>
  <c r="U7" i="60" a="1"/>
  <c r="T6" i="60" a="1"/>
  <c r="T7" i="60" a="1"/>
  <c r="U11" i="60" a="1"/>
  <c r="U12" i="60" a="1"/>
  <c r="T10" i="60" a="1"/>
  <c r="R7" i="60" a="1"/>
  <c r="Q5" i="60" a="1"/>
  <c r="T12" i="60" a="1"/>
  <c r="R9" i="60" a="1"/>
  <c r="R10" i="60" a="1"/>
  <c r="R11" i="60" a="1"/>
  <c r="R2" i="60" a="1"/>
  <c r="R3" i="60" a="1"/>
  <c r="U13" i="60" a="1"/>
  <c r="T11" i="60" a="1"/>
  <c r="R8" i="60" a="1"/>
  <c r="Q6" i="60" a="1"/>
  <c r="U2" i="60" a="1"/>
  <c r="U3" i="60" a="1"/>
  <c r="Q9" i="60" a="1"/>
  <c r="T2" i="60" a="1"/>
  <c r="Q12" i="60" a="1"/>
  <c r="Q13" i="60" a="1"/>
  <c r="U9" i="60" a="1"/>
  <c r="R12" i="60" a="1"/>
  <c r="Q10" i="60" a="1"/>
  <c r="U5" i="60" a="1"/>
  <c r="T3" i="60" a="1"/>
  <c r="R13" i="60" a="1"/>
  <c r="Q11" i="60" a="1"/>
  <c r="U6" i="60" a="1"/>
  <c r="T4" i="60" a="1"/>
  <c r="T5" i="60" a="1"/>
  <c r="U8" i="60" a="1"/>
  <c r="R4" i="60" a="1"/>
  <c r="Q2" i="60" a="1"/>
  <c r="U10" i="59" a="1"/>
  <c r="T8" i="59" a="1"/>
  <c r="R5" i="59" a="1"/>
  <c r="Q3" i="59" a="1"/>
  <c r="T13" i="59" a="1"/>
  <c r="U3" i="59" a="1"/>
  <c r="T14" i="59" a="1"/>
  <c r="R11" i="59" a="1"/>
  <c r="U4" i="59" a="1"/>
  <c r="Q10" i="59" a="1"/>
  <c r="R13" i="59" a="1"/>
  <c r="T4" i="59" a="1"/>
  <c r="U7" i="59" a="1"/>
  <c r="Q13" i="59" a="1"/>
  <c r="U8" i="59" a="1"/>
  <c r="R4" i="59" a="1"/>
  <c r="U11" i="59" a="1"/>
  <c r="T9" i="59" a="1"/>
  <c r="R6" i="59" a="1"/>
  <c r="Q4" i="59" a="1"/>
  <c r="Q7" i="59" a="1"/>
  <c r="T2" i="59" a="1"/>
  <c r="R12" i="59" a="1"/>
  <c r="U12" i="59" a="1"/>
  <c r="T10" i="59" a="1"/>
  <c r="R7" i="59" a="1"/>
  <c r="Q5" i="59" a="1"/>
  <c r="U14" i="59" a="1"/>
  <c r="R9" i="59" a="1"/>
  <c r="U2" i="59" a="1"/>
  <c r="R10" i="59" a="1"/>
  <c r="U5" i="59" a="1"/>
  <c r="T3" i="59" a="1"/>
  <c r="Q11" i="59" a="1"/>
  <c r="U6" i="59" a="1"/>
  <c r="Q12" i="59" a="1"/>
  <c r="T6" i="59" a="1"/>
  <c r="U9" i="59" a="1"/>
  <c r="U13" i="59" a="1"/>
  <c r="T11" i="59" a="1"/>
  <c r="R8" i="59" a="1"/>
  <c r="Q6" i="59" a="1"/>
  <c r="T12" i="59" a="1"/>
  <c r="Q8" i="59" a="1"/>
  <c r="Q9" i="59" a="1"/>
  <c r="R14" i="59" a="1"/>
  <c r="T5" i="59" a="1"/>
  <c r="T7" i="59" a="1"/>
  <c r="R2" i="59" a="1"/>
  <c r="R3" i="59" a="1"/>
  <c r="Q14" i="59" a="1"/>
  <c r="Q2" i="59" a="1"/>
  <c r="T11" i="58" a="1"/>
  <c r="R10" i="58" a="1"/>
  <c r="Q8" i="58" a="1"/>
  <c r="U3" i="58" a="1"/>
  <c r="R11" i="58" a="1"/>
  <c r="Q9" i="58" a="1"/>
  <c r="U4" i="58" a="1"/>
  <c r="T2" i="58" a="1"/>
  <c r="R12" i="58" a="1"/>
  <c r="Q10" i="58" a="1"/>
  <c r="U5" i="58" a="1"/>
  <c r="Q5" i="58" a="1"/>
  <c r="Q6" i="58" a="1"/>
  <c r="R9" i="58" a="1"/>
  <c r="U2" i="58" a="1"/>
  <c r="T3" i="58" a="1"/>
  <c r="Q11" i="58" a="1"/>
  <c r="U6" i="58" a="1"/>
  <c r="T4" i="58" a="1"/>
  <c r="T7" i="58" a="1"/>
  <c r="Q2" i="58" a="1"/>
  <c r="U10" i="58" a="1"/>
  <c r="T8" i="58" a="1"/>
  <c r="R5" i="58" a="1"/>
  <c r="Q3" i="58" a="1"/>
  <c r="T12" i="58" a="1"/>
  <c r="Q7" i="58" a="1"/>
  <c r="Q12" i="58" a="1"/>
  <c r="U7" i="58" a="1"/>
  <c r="T5" i="58" a="1"/>
  <c r="R2" i="58" a="1"/>
  <c r="U8" i="58" a="1"/>
  <c r="T6" i="58" a="1"/>
  <c r="R3" i="58" a="1"/>
  <c r="U11" i="58" a="1"/>
  <c r="T9" i="58" a="1"/>
  <c r="R6" i="58" a="1"/>
  <c r="Q4" i="58" a="1"/>
  <c r="U12" i="58" a="1"/>
  <c r="T10" i="58" a="1"/>
  <c r="R7" i="58" a="1"/>
  <c r="R8" i="58" a="1"/>
  <c r="U9" i="58" a="1"/>
  <c r="R4" i="58" a="1"/>
  <c r="Q15" i="57" a="1"/>
  <c r="U10" i="57" a="1"/>
  <c r="T8" i="57" a="1"/>
  <c r="R5" i="57" a="1"/>
  <c r="Q3" i="57" a="1"/>
  <c r="Q16" i="57" a="1"/>
  <c r="U11" i="57" a="1"/>
  <c r="T9" i="57" a="1"/>
  <c r="R6" i="57" a="1"/>
  <c r="Q4" i="57" a="1"/>
  <c r="T15" i="57" a="1"/>
  <c r="Q10" i="57" a="1"/>
  <c r="U5" i="57" a="1"/>
  <c r="U12" i="57" a="1"/>
  <c r="T10" i="57" a="1"/>
  <c r="R7" i="57" a="1"/>
  <c r="Q5" i="57" a="1"/>
  <c r="U13" i="57" a="1"/>
  <c r="T11" i="57" a="1"/>
  <c r="R8" i="57" a="1"/>
  <c r="Q6" i="57" a="1"/>
  <c r="U14" i="57" a="1"/>
  <c r="T12" i="57" a="1"/>
  <c r="R9" i="57" a="1"/>
  <c r="Q7" i="57" a="1"/>
  <c r="U2" i="57" a="1"/>
  <c r="U15" i="57" a="1"/>
  <c r="T13" i="57" a="1"/>
  <c r="R10" i="57" a="1"/>
  <c r="Q8" i="57" a="1"/>
  <c r="U3" i="57" a="1"/>
  <c r="U16" i="57" a="1"/>
  <c r="T14" i="57" a="1"/>
  <c r="R11" i="57" a="1"/>
  <c r="Q9" i="57" a="1"/>
  <c r="U4" i="57" a="1"/>
  <c r="T2" i="57" a="1"/>
  <c r="R12" i="57" a="1"/>
  <c r="T16" i="57" a="1"/>
  <c r="T5" i="57" a="1"/>
  <c r="R3" i="57" a="1"/>
  <c r="U7" i="57" a="1"/>
  <c r="R16" i="57" a="1"/>
  <c r="R13" i="57" a="1"/>
  <c r="Q13" i="57" a="1"/>
  <c r="U6" i="57" a="1"/>
  <c r="Q11" i="57" a="1"/>
  <c r="Q14" i="57" a="1"/>
  <c r="T7" i="57" a="1"/>
  <c r="U9" i="57" a="1"/>
  <c r="T6" i="57" a="1"/>
  <c r="R14" i="57" a="1"/>
  <c r="T4" i="57" a="1"/>
  <c r="R2" i="57" a="1"/>
  <c r="R4" i="57" a="1"/>
  <c r="U8" i="57" a="1"/>
  <c r="R15" i="57" a="1"/>
  <c r="Q12" i="57" a="1"/>
  <c r="Q2" i="57" a="1"/>
  <c r="T3" i="57" a="1"/>
  <c r="U23" i="56" a="1"/>
  <c r="T21" i="56" a="1"/>
  <c r="R18" i="56" a="1"/>
  <c r="Q16" i="56" a="1"/>
  <c r="U24" i="56" a="1"/>
  <c r="T22" i="56" a="1"/>
  <c r="R19" i="56" a="1"/>
  <c r="Q17" i="56" a="1"/>
  <c r="T23" i="56" a="1"/>
  <c r="R20" i="56" a="1"/>
  <c r="Q18" i="56" a="1"/>
  <c r="U13" i="56" a="1"/>
  <c r="T11" i="56" a="1"/>
  <c r="R8" i="56" a="1"/>
  <c r="Q6" i="56" a="1"/>
  <c r="U14" i="56" a="1"/>
  <c r="T12" i="56" a="1"/>
  <c r="R9" i="56" a="1"/>
  <c r="Q7" i="56" a="1"/>
  <c r="U2" i="56" a="1"/>
  <c r="R22" i="56" a="1"/>
  <c r="Q20" i="56" a="1"/>
  <c r="U15" i="56" a="1"/>
  <c r="T13" i="56" a="1"/>
  <c r="R10" i="56" a="1"/>
  <c r="Q8" i="56" a="1"/>
  <c r="U3" i="56" a="1"/>
  <c r="U16" i="56" a="1"/>
  <c r="T14" i="56" a="1"/>
  <c r="R11" i="56" a="1"/>
  <c r="Q9" i="56" a="1"/>
  <c r="U4" i="56" a="1"/>
  <c r="T2" i="56" a="1"/>
  <c r="U17" i="56" a="1"/>
  <c r="T15" i="56" a="1"/>
  <c r="R12" i="56" a="1"/>
  <c r="Q10" i="56" a="1"/>
  <c r="U5" i="56" a="1"/>
  <c r="T3" i="56" a="1"/>
  <c r="U12" i="56" a="1"/>
  <c r="R7" i="56" a="1"/>
  <c r="T24" i="56" a="1"/>
  <c r="R21" i="56" a="1"/>
  <c r="Q19" i="56" a="1"/>
  <c r="R23" i="56" a="1"/>
  <c r="Q21" i="56" a="1"/>
  <c r="R24" i="56" a="1"/>
  <c r="Q22" i="56" a="1"/>
  <c r="Q23" i="56" a="1"/>
  <c r="U18" i="56" a="1"/>
  <c r="T16" i="56" a="1"/>
  <c r="R13" i="56" a="1"/>
  <c r="Q11" i="56" a="1"/>
  <c r="U6" i="56" a="1"/>
  <c r="T4" i="56" a="1"/>
  <c r="U19" i="56" a="1"/>
  <c r="T17" i="56" a="1"/>
  <c r="R14" i="56" a="1"/>
  <c r="Q12" i="56" a="1"/>
  <c r="U7" i="56" a="1"/>
  <c r="T5" i="56" a="1"/>
  <c r="R2" i="56" a="1"/>
  <c r="U20" i="56" a="1"/>
  <c r="T18" i="56" a="1"/>
  <c r="R15" i="56" a="1"/>
  <c r="Q13" i="56" a="1"/>
  <c r="U8" i="56" a="1"/>
  <c r="T6" i="56" a="1"/>
  <c r="R3" i="56" a="1"/>
  <c r="U9" i="56" a="1"/>
  <c r="T7" i="56" a="1"/>
  <c r="R4" i="56" a="1"/>
  <c r="Q2" i="56" a="1"/>
  <c r="U22" i="56" a="1"/>
  <c r="T20" i="56" a="1"/>
  <c r="R17" i="56" a="1"/>
  <c r="Q15" i="56" a="1"/>
  <c r="U10" i="56" a="1"/>
  <c r="T8" i="56" a="1"/>
  <c r="R5" i="56" a="1"/>
  <c r="Q3" i="56" a="1"/>
  <c r="U11" i="56" a="1"/>
  <c r="T9" i="56" a="1"/>
  <c r="R6" i="56" a="1"/>
  <c r="Q4" i="56" a="1"/>
  <c r="T10" i="56" a="1"/>
  <c r="Q5" i="56" a="1"/>
  <c r="Q24" i="56" a="1"/>
  <c r="U21" i="56" a="1"/>
  <c r="T19" i="56" a="1"/>
  <c r="R16" i="56" a="1"/>
  <c r="Q14" i="56" a="1"/>
  <c r="R15" i="54" a="1"/>
  <c r="R16" i="54" a="1"/>
  <c r="Q14" i="54" a="1"/>
  <c r="T24" i="54" a="1"/>
  <c r="R18" i="54" a="1"/>
  <c r="R3" i="54" a="1"/>
  <c r="R10" i="54" a="1"/>
  <c r="T3" i="54" a="1"/>
  <c r="T19" i="54" a="1"/>
  <c r="U21" i="54" a="1"/>
  <c r="T21" i="54" a="1"/>
  <c r="Q15" i="54" a="1"/>
  <c r="U11" i="54" a="1"/>
  <c r="Q8" i="54" a="1"/>
  <c r="Q11" i="54" a="1"/>
  <c r="Q12" i="54" a="1"/>
  <c r="R13" i="54" a="1"/>
  <c r="R12" i="54" a="1"/>
  <c r="T20" i="54" a="1"/>
  <c r="T9" i="54" a="1"/>
  <c r="U3" i="54" a="1"/>
  <c r="T4" i="54" a="1"/>
  <c r="R14" i="54" a="1"/>
  <c r="T16" i="54" a="1"/>
  <c r="U13" i="54" a="1"/>
  <c r="U9" i="54" a="1"/>
  <c r="R6" i="54" a="1"/>
  <c r="U5" i="54" a="1"/>
  <c r="T5" i="54" a="1"/>
  <c r="T17" i="54" a="1"/>
  <c r="U18" i="54" a="1"/>
  <c r="Q18" i="54" a="1"/>
  <c r="U10" i="54" a="1"/>
  <c r="Q4" i="54" a="1"/>
  <c r="U6" i="54" a="1"/>
  <c r="R2" i="54" a="1"/>
  <c r="U19" i="54" a="1"/>
  <c r="Q23" i="54" a="1"/>
  <c r="R20" i="54" a="1"/>
  <c r="T8" i="54" a="1"/>
  <c r="Q5" i="54" a="1"/>
  <c r="U7" i="54" a="1"/>
  <c r="T6" i="54" a="1"/>
  <c r="Q24" i="54" a="1"/>
  <c r="U17" i="54" a="1"/>
  <c r="T23" i="54" a="1"/>
  <c r="R5" i="54" a="1"/>
  <c r="R8" i="54" a="1"/>
  <c r="T7" i="54" a="1"/>
  <c r="Q2" i="54" a="1"/>
  <c r="U22" i="54" a="1"/>
  <c r="T12" i="54" a="1"/>
  <c r="U2" i="54" a="1"/>
  <c r="T18" i="54" a="1"/>
  <c r="U20" i="54" a="1"/>
  <c r="T15" i="54" a="1"/>
  <c r="Q10" i="54" a="1"/>
  <c r="T14" i="54" a="1"/>
  <c r="Q21" i="54" a="1"/>
  <c r="R22" i="54" a="1"/>
  <c r="U14" i="54" a="1"/>
  <c r="R24" i="54" a="1"/>
  <c r="Q22" i="54" a="1"/>
  <c r="U12" i="54" a="1"/>
  <c r="Q3" i="54" a="1"/>
  <c r="R9" i="54" a="1"/>
  <c r="R11" i="54" a="1"/>
  <c r="T13" i="54" a="1"/>
  <c r="U16" i="54" a="1"/>
  <c r="Q17" i="54" a="1"/>
  <c r="R7" i="54" a="1"/>
  <c r="U8" i="54" a="1"/>
  <c r="Q9" i="54" a="1"/>
  <c r="Q20" i="54" a="1"/>
  <c r="R23" i="54" a="1"/>
  <c r="R19" i="54" a="1"/>
  <c r="Q6" i="54" a="1"/>
  <c r="R4" i="54" a="1"/>
  <c r="U4" i="54" a="1"/>
  <c r="Q19" i="54" a="1"/>
  <c r="U15" i="54" a="1"/>
  <c r="T22" i="54" a="1"/>
  <c r="Q7" i="54" a="1"/>
  <c r="T10" i="54" a="1"/>
  <c r="T2" i="54" a="1"/>
  <c r="U23" i="54" a="1"/>
  <c r="U24" i="54" a="1"/>
  <c r="T11" i="54" a="1"/>
  <c r="R21" i="54" a="1"/>
  <c r="Q16" i="54" a="1"/>
  <c r="R17" i="54" a="1"/>
  <c r="Q13" i="54" a="1"/>
  <c r="T25" i="56" l="1"/>
  <c r="T26" i="56"/>
  <c r="T27" i="56"/>
  <c r="U27" i="56"/>
  <c r="T28" i="56"/>
  <c r="R25" i="56"/>
  <c r="Q30" i="56"/>
  <c r="U30" i="56"/>
  <c r="T29" i="56"/>
  <c r="R26" i="56"/>
  <c r="Q27" i="56"/>
  <c r="S27" i="56" s="1"/>
  <c r="V27" i="56" s="1"/>
  <c r="Q28" i="56"/>
  <c r="S28" i="56" s="1"/>
  <c r="V28" i="56" s="1"/>
  <c r="Q29" i="56"/>
  <c r="U26" i="56"/>
  <c r="U29" i="56"/>
  <c r="T30" i="56"/>
  <c r="R27" i="56"/>
  <c r="Q25" i="56"/>
  <c r="S25" i="56" s="1"/>
  <c r="R29" i="56"/>
  <c r="R30" i="56"/>
  <c r="U25" i="56"/>
  <c r="U28" i="56"/>
  <c r="R28" i="56"/>
  <c r="Q26" i="56"/>
  <c r="S26" i="56" s="1"/>
  <c r="V26" i="56" s="1"/>
  <c r="U3" i="61"/>
  <c r="Q2" i="61"/>
  <c r="T7" i="61"/>
  <c r="R3" i="61"/>
  <c r="U8" i="61"/>
  <c r="R2" i="61"/>
  <c r="U7" i="61"/>
  <c r="T4" i="61"/>
  <c r="U6" i="61"/>
  <c r="Q9" i="61"/>
  <c r="S9" i="61" s="1"/>
  <c r="R4" i="61"/>
  <c r="U9" i="61"/>
  <c r="T6" i="61"/>
  <c r="T5" i="61"/>
  <c r="T3" i="61"/>
  <c r="U5" i="61"/>
  <c r="Q10" i="61"/>
  <c r="S10" i="61" s="1"/>
  <c r="V10" i="61" s="1"/>
  <c r="U4" i="61"/>
  <c r="Q8" i="61"/>
  <c r="S8" i="61" s="1"/>
  <c r="V8" i="61" s="1"/>
  <c r="U2" i="61"/>
  <c r="R9" i="61"/>
  <c r="Q6" i="61"/>
  <c r="S6" i="61" s="1"/>
  <c r="V6" i="61" s="1"/>
  <c r="Q5" i="61"/>
  <c r="S5" i="61" s="1"/>
  <c r="V5" i="61" s="1"/>
  <c r="R7" i="61"/>
  <c r="T10" i="61"/>
  <c r="R6" i="61"/>
  <c r="T9" i="61"/>
  <c r="T2" i="61"/>
  <c r="R10" i="61"/>
  <c r="Q7" i="61"/>
  <c r="S7" i="61" s="1"/>
  <c r="V7" i="61" s="1"/>
  <c r="R8" i="61"/>
  <c r="Q4" i="61"/>
  <c r="S4" i="61" s="1"/>
  <c r="V4" i="61" s="1"/>
  <c r="Q3" i="61"/>
  <c r="R5" i="61"/>
  <c r="T8" i="61"/>
  <c r="U10" i="61"/>
  <c r="Q2" i="60"/>
  <c r="R4" i="60"/>
  <c r="U8" i="60"/>
  <c r="T5" i="60"/>
  <c r="T4" i="60"/>
  <c r="U6" i="60"/>
  <c r="Q11" i="60"/>
  <c r="S11" i="60" s="1"/>
  <c r="V11" i="60" s="1"/>
  <c r="R13" i="60"/>
  <c r="T3" i="60"/>
  <c r="U5" i="60"/>
  <c r="Q10" i="60"/>
  <c r="S10" i="60" s="1"/>
  <c r="R12" i="60"/>
  <c r="U9" i="60"/>
  <c r="Q13" i="60"/>
  <c r="Q12" i="60"/>
  <c r="S12" i="60" s="1"/>
  <c r="V12" i="60" s="1"/>
  <c r="T2" i="60"/>
  <c r="Q9" i="60"/>
  <c r="S9" i="60" s="1"/>
  <c r="U3" i="60"/>
  <c r="U2" i="60"/>
  <c r="Q6" i="60"/>
  <c r="R8" i="60"/>
  <c r="T11" i="60"/>
  <c r="U13" i="60"/>
  <c r="R3" i="60"/>
  <c r="R2" i="60"/>
  <c r="R11" i="60"/>
  <c r="R10" i="60"/>
  <c r="R9" i="60"/>
  <c r="T12" i="60"/>
  <c r="Q5" i="60"/>
  <c r="S5" i="60" s="1"/>
  <c r="V5" i="60" s="1"/>
  <c r="R7" i="60"/>
  <c r="T10" i="60"/>
  <c r="U12" i="60"/>
  <c r="U11" i="60"/>
  <c r="T7" i="60"/>
  <c r="T6" i="60"/>
  <c r="U7" i="60"/>
  <c r="U4" i="60"/>
  <c r="Q8" i="60"/>
  <c r="S8" i="60" s="1"/>
  <c r="V8" i="60" s="1"/>
  <c r="T13" i="60"/>
  <c r="Q7" i="60"/>
  <c r="Q4" i="60"/>
  <c r="S4" i="60" s="1"/>
  <c r="V4" i="60" s="1"/>
  <c r="R6" i="60"/>
  <c r="T9" i="60"/>
  <c r="Q3" i="60"/>
  <c r="R5" i="60"/>
  <c r="T8" i="60"/>
  <c r="U10" i="60"/>
  <c r="Q2" i="59"/>
  <c r="Q14" i="59"/>
  <c r="R3" i="59"/>
  <c r="R2" i="59"/>
  <c r="T7" i="59"/>
  <c r="T5" i="59"/>
  <c r="R14" i="59"/>
  <c r="Q9" i="59"/>
  <c r="Q8" i="59"/>
  <c r="T12" i="59"/>
  <c r="Q6" i="59"/>
  <c r="S6" i="59" s="1"/>
  <c r="R8" i="59"/>
  <c r="T11" i="59"/>
  <c r="U13" i="59"/>
  <c r="U9" i="59"/>
  <c r="T6" i="59"/>
  <c r="Q12" i="59"/>
  <c r="U6" i="59"/>
  <c r="Q11" i="59"/>
  <c r="S11" i="59" s="1"/>
  <c r="V11" i="59" s="1"/>
  <c r="T3" i="59"/>
  <c r="U5" i="59"/>
  <c r="R10" i="59"/>
  <c r="U2" i="59"/>
  <c r="R9" i="59"/>
  <c r="U14" i="59"/>
  <c r="Q5" i="59"/>
  <c r="S5" i="59" s="1"/>
  <c r="V5" i="59" s="1"/>
  <c r="R7" i="59"/>
  <c r="T10" i="59"/>
  <c r="U12" i="59"/>
  <c r="R12" i="59"/>
  <c r="T2" i="59"/>
  <c r="Q7" i="59"/>
  <c r="Q4" i="59"/>
  <c r="S4" i="59" s="1"/>
  <c r="V4" i="59" s="1"/>
  <c r="R6" i="59"/>
  <c r="T9" i="59"/>
  <c r="U11" i="59"/>
  <c r="R4" i="59"/>
  <c r="U8" i="59"/>
  <c r="Q13" i="59"/>
  <c r="S13" i="59" s="1"/>
  <c r="V13" i="59" s="1"/>
  <c r="U7" i="59"/>
  <c r="T4" i="59"/>
  <c r="R13" i="59"/>
  <c r="Q10" i="59"/>
  <c r="S10" i="59" s="1"/>
  <c r="U4" i="59"/>
  <c r="R11" i="59"/>
  <c r="T14" i="59"/>
  <c r="U3" i="59"/>
  <c r="T13" i="59"/>
  <c r="Q3" i="59"/>
  <c r="S3" i="59" s="1"/>
  <c r="R5" i="59"/>
  <c r="T8" i="59"/>
  <c r="U10" i="59"/>
  <c r="R4" i="58"/>
  <c r="U9" i="58"/>
  <c r="R8" i="58"/>
  <c r="R7" i="58"/>
  <c r="T10" i="58"/>
  <c r="U12" i="58"/>
  <c r="Q4" i="58"/>
  <c r="S4" i="58" s="1"/>
  <c r="R6" i="58"/>
  <c r="T9" i="58"/>
  <c r="U11" i="58"/>
  <c r="R3" i="58"/>
  <c r="T6" i="58"/>
  <c r="U8" i="58"/>
  <c r="R2" i="58"/>
  <c r="T5" i="58"/>
  <c r="U7" i="58"/>
  <c r="Q12" i="58"/>
  <c r="Q7" i="58"/>
  <c r="S7" i="58" s="1"/>
  <c r="T12" i="58"/>
  <c r="Q3" i="58"/>
  <c r="S3" i="58" s="1"/>
  <c r="V3" i="58" s="1"/>
  <c r="R5" i="58"/>
  <c r="T8" i="58"/>
  <c r="U10" i="58"/>
  <c r="Q2" i="58"/>
  <c r="T7" i="58"/>
  <c r="T4" i="58"/>
  <c r="U6" i="58"/>
  <c r="Q11" i="58"/>
  <c r="T3" i="58"/>
  <c r="U2" i="58"/>
  <c r="R9" i="58"/>
  <c r="Q6" i="58"/>
  <c r="Q5" i="58"/>
  <c r="U5" i="58"/>
  <c r="Q10" i="58"/>
  <c r="R12" i="58"/>
  <c r="T2" i="58"/>
  <c r="U4" i="58"/>
  <c r="Q9" i="58"/>
  <c r="S9" i="58" s="1"/>
  <c r="V9" i="58" s="1"/>
  <c r="R11" i="58"/>
  <c r="U3" i="58"/>
  <c r="Q8" i="58"/>
  <c r="S8" i="58" s="1"/>
  <c r="V8" i="58" s="1"/>
  <c r="R10" i="58"/>
  <c r="T11" i="58"/>
  <c r="T3" i="57"/>
  <c r="Q2" i="57"/>
  <c r="Q12" i="57"/>
  <c r="S12" i="57" s="1"/>
  <c r="R15" i="57"/>
  <c r="U8" i="57"/>
  <c r="R4" i="57"/>
  <c r="R2" i="57"/>
  <c r="T4" i="57"/>
  <c r="R14" i="57"/>
  <c r="T6" i="57"/>
  <c r="U9" i="57"/>
  <c r="T7" i="57"/>
  <c r="Q14" i="57"/>
  <c r="Q11" i="57"/>
  <c r="U6" i="57"/>
  <c r="Q13" i="57"/>
  <c r="S13" i="57" s="1"/>
  <c r="V13" i="57" s="1"/>
  <c r="R13" i="57"/>
  <c r="R16" i="57"/>
  <c r="U7" i="57"/>
  <c r="R3" i="57"/>
  <c r="T5" i="57"/>
  <c r="T16" i="57"/>
  <c r="R12" i="57"/>
  <c r="T2" i="57"/>
  <c r="U4" i="57"/>
  <c r="Q9" i="57"/>
  <c r="R11" i="57"/>
  <c r="T14" i="57"/>
  <c r="U16" i="57"/>
  <c r="U3" i="57"/>
  <c r="Q8" i="57"/>
  <c r="S8" i="57" s="1"/>
  <c r="R10" i="57"/>
  <c r="T13" i="57"/>
  <c r="U15" i="57"/>
  <c r="U2" i="57"/>
  <c r="Q7" i="57"/>
  <c r="R9" i="57"/>
  <c r="T12" i="57"/>
  <c r="U14" i="57"/>
  <c r="Q6" i="57"/>
  <c r="R8" i="57"/>
  <c r="T11" i="57"/>
  <c r="U13" i="57"/>
  <c r="Q5" i="57"/>
  <c r="S5" i="57" s="1"/>
  <c r="V5" i="57" s="1"/>
  <c r="R7" i="57"/>
  <c r="T10" i="57"/>
  <c r="U12" i="57"/>
  <c r="U5" i="57"/>
  <c r="Q10" i="57"/>
  <c r="S10" i="57" s="1"/>
  <c r="V10" i="57" s="1"/>
  <c r="T15" i="57"/>
  <c r="Q4" i="57"/>
  <c r="S4" i="57" s="1"/>
  <c r="V4" i="57" s="1"/>
  <c r="R6" i="57"/>
  <c r="T9" i="57"/>
  <c r="U11" i="57"/>
  <c r="Q16" i="57"/>
  <c r="S16" i="57" s="1"/>
  <c r="V16" i="57" s="1"/>
  <c r="Q3" i="57"/>
  <c r="R5" i="57"/>
  <c r="T8" i="57"/>
  <c r="U10" i="57"/>
  <c r="Q15" i="57"/>
  <c r="S15" i="57" s="1"/>
  <c r="V15" i="57" s="1"/>
  <c r="Q14" i="56"/>
  <c r="R16" i="56"/>
  <c r="T19" i="56"/>
  <c r="U21" i="56"/>
  <c r="Q24" i="56"/>
  <c r="Q5" i="56"/>
  <c r="S5" i="56" s="1"/>
  <c r="T10" i="56"/>
  <c r="Q4" i="56"/>
  <c r="R6" i="56"/>
  <c r="T9" i="56"/>
  <c r="U11" i="56"/>
  <c r="Q3" i="56"/>
  <c r="S3" i="56" s="1"/>
  <c r="V3" i="56" s="1"/>
  <c r="R5" i="56"/>
  <c r="T8" i="56"/>
  <c r="U10" i="56"/>
  <c r="Q15" i="56"/>
  <c r="R17" i="56"/>
  <c r="T20" i="56"/>
  <c r="U22" i="56"/>
  <c r="Q2" i="56"/>
  <c r="S2" i="56" s="1"/>
  <c r="R4" i="56"/>
  <c r="T7" i="56"/>
  <c r="U9" i="56"/>
  <c r="R3" i="56"/>
  <c r="T6" i="56"/>
  <c r="U8" i="56"/>
  <c r="Q13" i="56"/>
  <c r="R15" i="56"/>
  <c r="T18" i="56"/>
  <c r="U20" i="56"/>
  <c r="R2" i="56"/>
  <c r="T5" i="56"/>
  <c r="U7" i="56"/>
  <c r="Q12" i="56"/>
  <c r="S12" i="56" s="1"/>
  <c r="V12" i="56" s="1"/>
  <c r="R14" i="56"/>
  <c r="T17" i="56"/>
  <c r="U19" i="56"/>
  <c r="T4" i="56"/>
  <c r="U6" i="56"/>
  <c r="Q11" i="56"/>
  <c r="S11" i="56" s="1"/>
  <c r="R13" i="56"/>
  <c r="T16" i="56"/>
  <c r="U18" i="56"/>
  <c r="Q23" i="56"/>
  <c r="Q22" i="56"/>
  <c r="R24" i="56"/>
  <c r="Q21" i="56"/>
  <c r="S21" i="56" s="1"/>
  <c r="V21" i="56" s="1"/>
  <c r="R23" i="56"/>
  <c r="Q19" i="56"/>
  <c r="R21" i="56"/>
  <c r="T24" i="56"/>
  <c r="R7" i="56"/>
  <c r="U12" i="56"/>
  <c r="T3" i="56"/>
  <c r="U5" i="56"/>
  <c r="Q10" i="56"/>
  <c r="R12" i="56"/>
  <c r="T15" i="56"/>
  <c r="U17" i="56"/>
  <c r="T2" i="56"/>
  <c r="U4" i="56"/>
  <c r="Q9" i="56"/>
  <c r="R11" i="56"/>
  <c r="T14" i="56"/>
  <c r="U16" i="56"/>
  <c r="U3" i="56"/>
  <c r="Q8" i="56"/>
  <c r="S8" i="56" s="1"/>
  <c r="V8" i="56" s="1"/>
  <c r="R10" i="56"/>
  <c r="T13" i="56"/>
  <c r="U15" i="56"/>
  <c r="Q20" i="56"/>
  <c r="R22" i="56"/>
  <c r="U2" i="56"/>
  <c r="Q7" i="56"/>
  <c r="R9" i="56"/>
  <c r="T12" i="56"/>
  <c r="U14" i="56"/>
  <c r="Q6" i="56"/>
  <c r="R8" i="56"/>
  <c r="T11" i="56"/>
  <c r="U13" i="56"/>
  <c r="Q18" i="56"/>
  <c r="S18" i="56" s="1"/>
  <c r="V18" i="56" s="1"/>
  <c r="R20" i="56"/>
  <c r="T23" i="56"/>
  <c r="Q17" i="56"/>
  <c r="R19" i="56"/>
  <c r="T22" i="56"/>
  <c r="U24" i="56"/>
  <c r="Q16" i="56"/>
  <c r="S16" i="56" s="1"/>
  <c r="V16" i="56" s="1"/>
  <c r="R18" i="56"/>
  <c r="T21" i="56"/>
  <c r="U23" i="56"/>
  <c r="T20" i="54"/>
  <c r="Q15" i="54"/>
  <c r="R18" i="54"/>
  <c r="U24" i="54"/>
  <c r="T22" i="54"/>
  <c r="R19" i="54"/>
  <c r="Q17" i="54"/>
  <c r="U12" i="54"/>
  <c r="T23" i="54"/>
  <c r="R20" i="54"/>
  <c r="Q18" i="54"/>
  <c r="U13" i="54"/>
  <c r="R12" i="54"/>
  <c r="T21" i="54"/>
  <c r="T24" i="54"/>
  <c r="T12" i="54"/>
  <c r="U15" i="54"/>
  <c r="R23" i="54"/>
  <c r="U16" i="54"/>
  <c r="Q22" i="54"/>
  <c r="U17" i="54"/>
  <c r="Q23" i="54"/>
  <c r="S23" i="54" s="1"/>
  <c r="V23" i="54" s="1"/>
  <c r="U18" i="54"/>
  <c r="T16" i="54"/>
  <c r="R13" i="54"/>
  <c r="U21" i="54"/>
  <c r="Q14" i="54"/>
  <c r="U23" i="54"/>
  <c r="Q19" i="54"/>
  <c r="Q20" i="54"/>
  <c r="T13" i="54"/>
  <c r="R24" i="54"/>
  <c r="Q24" i="54"/>
  <c r="S24" i="54" s="1"/>
  <c r="V24" i="54" s="1"/>
  <c r="U19" i="54"/>
  <c r="T17" i="54"/>
  <c r="R14" i="54"/>
  <c r="Q12" i="54"/>
  <c r="S12" i="54" s="1"/>
  <c r="T19" i="54"/>
  <c r="R16" i="54"/>
  <c r="U22" i="54"/>
  <c r="R17" i="54"/>
  <c r="Q16" i="54"/>
  <c r="R21" i="54"/>
  <c r="U14" i="54"/>
  <c r="R22" i="54"/>
  <c r="Q21" i="54"/>
  <c r="T14" i="54"/>
  <c r="T15" i="54"/>
  <c r="U20" i="54"/>
  <c r="T18" i="54"/>
  <c r="R15" i="54"/>
  <c r="Q13" i="54"/>
  <c r="S13" i="54" s="1"/>
  <c r="Q2" i="54"/>
  <c r="T6" i="54"/>
  <c r="R2" i="54"/>
  <c r="T5" i="54"/>
  <c r="T4" i="54"/>
  <c r="Q11" i="54"/>
  <c r="T3" i="54"/>
  <c r="Q10" i="54"/>
  <c r="T2" i="54"/>
  <c r="U4" i="54"/>
  <c r="Q9" i="54"/>
  <c r="R11" i="54"/>
  <c r="T7" i="54"/>
  <c r="U7" i="54"/>
  <c r="U6" i="54"/>
  <c r="U5" i="54"/>
  <c r="U3" i="54"/>
  <c r="Q8" i="54"/>
  <c r="R10" i="54"/>
  <c r="T11" i="54"/>
  <c r="T10" i="54"/>
  <c r="R4" i="54"/>
  <c r="U8" i="54"/>
  <c r="R9" i="54"/>
  <c r="R8" i="54"/>
  <c r="Q5" i="54"/>
  <c r="Q4" i="54"/>
  <c r="R6" i="54"/>
  <c r="T9" i="54"/>
  <c r="U11" i="54"/>
  <c r="R3" i="54"/>
  <c r="U2" i="54"/>
  <c r="Q7" i="54"/>
  <c r="Q6" i="54"/>
  <c r="S6" i="54" s="1"/>
  <c r="V6" i="54" s="1"/>
  <c r="R7" i="54"/>
  <c r="Q3" i="54"/>
  <c r="R5" i="54"/>
  <c r="T8" i="54"/>
  <c r="U10" i="54"/>
  <c r="U9" i="54"/>
  <c r="V25" i="56" l="1"/>
  <c r="S30" i="56"/>
  <c r="V30" i="56" s="1"/>
  <c r="S29" i="56"/>
  <c r="V29" i="56" s="1"/>
  <c r="V9" i="61"/>
  <c r="S2" i="61"/>
  <c r="V2" i="61" s="1"/>
  <c r="S3" i="61"/>
  <c r="V3" i="61" s="1"/>
  <c r="V9" i="60"/>
  <c r="S7" i="60"/>
  <c r="V7" i="60" s="1"/>
  <c r="S13" i="60"/>
  <c r="V13" i="60" s="1"/>
  <c r="V10" i="60"/>
  <c r="S6" i="60"/>
  <c r="V6" i="60" s="1"/>
  <c r="S3" i="60"/>
  <c r="V3" i="60" s="1"/>
  <c r="S2" i="60"/>
  <c r="V2" i="60" s="1"/>
  <c r="S7" i="59"/>
  <c r="V7" i="59" s="1"/>
  <c r="V6" i="59"/>
  <c r="S12" i="59"/>
  <c r="V12" i="59" s="1"/>
  <c r="S9" i="59"/>
  <c r="V9" i="59" s="1"/>
  <c r="S14" i="59"/>
  <c r="V14" i="59" s="1"/>
  <c r="V10" i="59"/>
  <c r="S8" i="59"/>
  <c r="V8" i="59" s="1"/>
  <c r="V3" i="59"/>
  <c r="S2" i="59"/>
  <c r="V2" i="59" s="1"/>
  <c r="S6" i="58"/>
  <c r="V6" i="58" s="1"/>
  <c r="S2" i="58"/>
  <c r="V2" i="58" s="1"/>
  <c r="V4" i="58"/>
  <c r="S5" i="58"/>
  <c r="V5" i="58" s="1"/>
  <c r="V7" i="58"/>
  <c r="S10" i="58"/>
  <c r="V10" i="58" s="1"/>
  <c r="S11" i="58"/>
  <c r="V11" i="58" s="1"/>
  <c r="S12" i="58"/>
  <c r="V12" i="58" s="1"/>
  <c r="S7" i="57"/>
  <c r="V7" i="57" s="1"/>
  <c r="S9" i="57"/>
  <c r="V9" i="57" s="1"/>
  <c r="V8" i="57"/>
  <c r="S11" i="57"/>
  <c r="V11" i="57" s="1"/>
  <c r="S6" i="57"/>
  <c r="V6" i="57" s="1"/>
  <c r="V12" i="57"/>
  <c r="S2" i="57"/>
  <c r="V2" i="57" s="1"/>
  <c r="S14" i="57"/>
  <c r="V14" i="57" s="1"/>
  <c r="S3" i="57"/>
  <c r="V3" i="57" s="1"/>
  <c r="S20" i="56"/>
  <c r="V20" i="56" s="1"/>
  <c r="S24" i="56"/>
  <c r="V24" i="56" s="1"/>
  <c r="S13" i="56"/>
  <c r="V13" i="56" s="1"/>
  <c r="V2" i="56"/>
  <c r="V5" i="56"/>
  <c r="S9" i="56"/>
  <c r="V9" i="56" s="1"/>
  <c r="S22" i="56"/>
  <c r="V22" i="56" s="1"/>
  <c r="S10" i="56"/>
  <c r="V10" i="56" s="1"/>
  <c r="S23" i="56"/>
  <c r="V23" i="56" s="1"/>
  <c r="S4" i="56"/>
  <c r="V4" i="56" s="1"/>
  <c r="S6" i="56"/>
  <c r="V6" i="56" s="1"/>
  <c r="V11" i="56"/>
  <c r="S15" i="56"/>
  <c r="V15" i="56" s="1"/>
  <c r="S7" i="56"/>
  <c r="V7" i="56" s="1"/>
  <c r="S17" i="56"/>
  <c r="V17" i="56" s="1"/>
  <c r="S19" i="56"/>
  <c r="V19" i="56" s="1"/>
  <c r="S14" i="56"/>
  <c r="V14" i="56" s="1"/>
  <c r="S18" i="54"/>
  <c r="V18" i="54" s="1"/>
  <c r="S17" i="54"/>
  <c r="S16" i="54"/>
  <c r="V16" i="54" s="1"/>
  <c r="S10" i="54"/>
  <c r="S21" i="54"/>
  <c r="V21" i="54" s="1"/>
  <c r="S8" i="54"/>
  <c r="S2" i="54"/>
  <c r="V2" i="54" s="1"/>
  <c r="S3" i="54"/>
  <c r="V3" i="54" s="1"/>
  <c r="V17" i="54"/>
  <c r="S20" i="54"/>
  <c r="V20" i="54" s="1"/>
  <c r="S19" i="54"/>
  <c r="V19" i="54" s="1"/>
  <c r="S14" i="54"/>
  <c r="V14" i="54" s="1"/>
  <c r="S22" i="54"/>
  <c r="V22" i="54" s="1"/>
  <c r="V13" i="54"/>
  <c r="S15" i="54"/>
  <c r="V15" i="54" s="1"/>
  <c r="V12" i="54"/>
  <c r="S9" i="54"/>
  <c r="V9" i="54" s="1"/>
  <c r="S11" i="54"/>
  <c r="V11" i="54" s="1"/>
  <c r="S4" i="54"/>
  <c r="V4" i="54" s="1"/>
  <c r="V8" i="54"/>
  <c r="S5" i="54"/>
  <c r="V5" i="54" s="1"/>
  <c r="S7" i="54"/>
  <c r="V7" i="54" s="1"/>
  <c r="V10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DBACF-D104-FF45-ADB6-6616B8F1CA3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C0AA7BC-F3D2-2C4A-83D2-569391CA22B2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23B743B9-C177-3F41-A44D-E43B65BB7A57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C1BFF373-BE82-294A-9655-7CE46EF3DDE0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80419DA5-31A4-5247-8707-75359CAFAAAA}" keepAlive="1" name="Query - sheet1 (13)" description="Connection to the 'sheet1 (13)' query in the workbook." type="5" refreshedVersion="8" background="1" saveData="1">
    <dbPr connection="Provider=Microsoft.Mashup.OleDb.1;Data Source=$Workbook$;Location=&quot;sheet1 (13)&quot;;Extended Properties=&quot;&quot;" command="SELECT * FROM [sheet1 (13)]"/>
  </connection>
  <connection id="6" xr16:uid="{3BDF2326-4B76-714F-89DB-686E3E87F3D6}" keepAlive="1" name="Query - sheet1 (14)" description="Connection to the 'sheet1 (14)' query in the workbook." type="5" refreshedVersion="8" background="1" saveData="1">
    <dbPr connection="Provider=Microsoft.Mashup.OleDb.1;Data Source=$Workbook$;Location=&quot;sheet1 (14)&quot;;Extended Properties=&quot;&quot;" command="SELECT * FROM [sheet1 (14)]"/>
  </connection>
  <connection id="7" xr16:uid="{0F6383C8-57CC-FD43-9C99-D1AEC746D05B}" keepAlive="1" name="Query - sheet1 (15)" description="Connection to the 'sheet1 (15)' query in the workbook." type="5" refreshedVersion="8" background="1" saveData="1">
    <dbPr connection="Provider=Microsoft.Mashup.OleDb.1;Data Source=$Workbook$;Location=&quot;sheet1 (15)&quot;;Extended Properties=&quot;&quot;" command="SELECT * FROM [sheet1 (15)]"/>
  </connection>
  <connection id="8" xr16:uid="{8D2445E9-2AF7-9442-B1CC-FFDCE0B0AFDB}" keepAlive="1" name="Query - sheet1 (16)" description="Connection to the 'sheet1 (16)' query in the workbook." type="5" refreshedVersion="8" background="1" saveData="1">
    <dbPr connection="Provider=Microsoft.Mashup.OleDb.1;Data Source=$Workbook$;Location=&quot;sheet1 (16)&quot;;Extended Properties=&quot;&quot;" command="SELECT * FROM [sheet1 (16)]"/>
  </connection>
  <connection id="9" xr16:uid="{C0F95801-D0AC-654E-952C-39406C4DE3E9}" keepAlive="1" name="Query - sheet1 (17)" description="Connection to the 'sheet1 (17)' query in the workbook." type="5" refreshedVersion="8" background="1" saveData="1">
    <dbPr connection="Provider=Microsoft.Mashup.OleDb.1;Data Source=$Workbook$;Location=&quot;sheet1 (17)&quot;;Extended Properties=&quot;&quot;" command="SELECT * FROM [sheet1 (17)]"/>
  </connection>
  <connection id="10" xr16:uid="{F1E47B32-1BF0-2F4E-89DB-653532964071}" keepAlive="1" name="Query - sheet1 (18)" description="Connection to the 'sheet1 (18)' query in the workbook." type="5" refreshedVersion="8" background="1" saveData="1">
    <dbPr connection="Provider=Microsoft.Mashup.OleDb.1;Data Source=$Workbook$;Location=&quot;sheet1 (18)&quot;;Extended Properties=&quot;&quot;" command="SELECT * FROM [sheet1 (18)]"/>
  </connection>
  <connection id="11" xr16:uid="{241D4006-6AE1-014B-8BD1-87C2B8BEADE9}" keepAlive="1" name="Query - sheet1 (19)" description="Connection to the 'sheet1 (19)' query in the workbook." type="5" refreshedVersion="8" background="1" saveData="1">
    <dbPr connection="Provider=Microsoft.Mashup.OleDb.1;Data Source=$Workbook$;Location=&quot;sheet1 (19)&quot;;Extended Properties=&quot;&quot;" command="SELECT * FROM [sheet1 (19)]"/>
  </connection>
  <connection id="12" xr16:uid="{1918B5ED-FFDE-7F46-A02A-F90748244A4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13" xr16:uid="{24FACAED-5DB3-DA4F-AEF4-6E7C2F5E357F}" keepAlive="1" name="Query - sheet1 (20)" description="Connection to the 'sheet1 (20)' query in the workbook." type="5" refreshedVersion="8" background="1" saveData="1">
    <dbPr connection="Provider=Microsoft.Mashup.OleDb.1;Data Source=$Workbook$;Location=&quot;sheet1 (20)&quot;;Extended Properties=&quot;&quot;" command="SELECT * FROM [sheet1 (20)]"/>
  </connection>
  <connection id="14" xr16:uid="{F28315A7-7B6B-CD40-A1D0-7430BB740627}" keepAlive="1" name="Query - sheet1 (21)" description="Connection to the 'sheet1 (21)' query in the workbook." type="5" refreshedVersion="8" background="1" saveData="1">
    <dbPr connection="Provider=Microsoft.Mashup.OleDb.1;Data Source=$Workbook$;Location=&quot;sheet1 (21)&quot;;Extended Properties=&quot;&quot;" command="SELECT * FROM [sheet1 (21)]"/>
  </connection>
  <connection id="15" xr16:uid="{B78EA54C-E701-0743-840F-E5EAD8E09A9D}" keepAlive="1" name="Query - sheet1 (22)" description="Connection to the 'sheet1 (22)' query in the workbook." type="5" refreshedVersion="8" background="1" saveData="1">
    <dbPr connection="Provider=Microsoft.Mashup.OleDb.1;Data Source=$Workbook$;Location=&quot;sheet1 (22)&quot;;Extended Properties=&quot;&quot;" command="SELECT * FROM [sheet1 (22)]"/>
  </connection>
  <connection id="16" xr16:uid="{932FF392-9AF2-D54F-9595-71E867FCDA7E}" keepAlive="1" name="Query - sheet1 (23)" description="Connection to the 'sheet1 (23)' query in the workbook." type="5" refreshedVersion="0" background="1">
    <dbPr connection="Provider=Microsoft.Mashup.OleDb.1;Data Source=$Workbook$;Location=&quot;sheet1 (23)&quot;;Extended Properties=&quot;&quot;" command="SELECT * FROM [sheet1 (23)]"/>
  </connection>
  <connection id="17" xr16:uid="{409B9E33-144B-C042-A2BE-6F9B2DEE639F}" keepAlive="1" name="Query - sheet1 (24)" description="Connection to the 'sheet1 (24)' query in the workbook." type="5" refreshedVersion="0" background="1">
    <dbPr connection="Provider=Microsoft.Mashup.OleDb.1;Data Source=$Workbook$;Location=&quot;sheet1 (24)&quot;;Extended Properties=&quot;&quot;" command="SELECT * FROM [sheet1 (24)]"/>
  </connection>
  <connection id="18" xr16:uid="{71B861DB-E4E4-AC45-9884-82000470789D}" keepAlive="1" name="Query - sheet1 (25)" description="Connection to the 'sheet1 (25)' query in the workbook." type="5" refreshedVersion="0" background="1">
    <dbPr connection="Provider=Microsoft.Mashup.OleDb.1;Data Source=$Workbook$;Location=&quot;sheet1 (25)&quot;;Extended Properties=&quot;&quot;" command="SELECT * FROM [sheet1 (25)]"/>
  </connection>
  <connection id="19" xr16:uid="{0259432B-1DD1-6F48-97E7-FF78E3177706}" keepAlive="1" name="Query - sheet1 (26)" description="Connection to the 'sheet1 (26)' query in the workbook." type="5" refreshedVersion="0" background="1">
    <dbPr connection="Provider=Microsoft.Mashup.OleDb.1;Data Source=$Workbook$;Location=&quot;sheet1 (26)&quot;;Extended Properties=&quot;&quot;" command="SELECT * FROM [sheet1 (26)]"/>
  </connection>
  <connection id="20" xr16:uid="{54BAFF37-2D34-BF4D-A403-C0D8593DF8A0}" keepAlive="1" name="Query - sheet1 (27)" description="Connection to the 'sheet1 (27)' query in the workbook." type="5" refreshedVersion="0" background="1">
    <dbPr connection="Provider=Microsoft.Mashup.OleDb.1;Data Source=$Workbook$;Location=&quot;sheet1 (27)&quot;;Extended Properties=&quot;&quot;" command="SELECT * FROM [sheet1 (27)]"/>
  </connection>
  <connection id="21" xr16:uid="{A5A5D3DE-FE19-B64B-AA47-ADBAD51C6D90}" keepAlive="1" name="Query - sheet1 (28)" description="Connection to the 'sheet1 (28)' query in the workbook." type="5" refreshedVersion="0" background="1">
    <dbPr connection="Provider=Microsoft.Mashup.OleDb.1;Data Source=$Workbook$;Location=&quot;sheet1 (28)&quot;;Extended Properties=&quot;&quot;" command="SELECT * FROM [sheet1 (28)]"/>
  </connection>
  <connection id="22" xr16:uid="{F672478A-D60F-5E4C-976B-615A98671E11}" keepAlive="1" name="Query - sheet1 (29)" description="Connection to the 'sheet1 (29)' query in the workbook." type="5" refreshedVersion="0" background="1">
    <dbPr connection="Provider=Microsoft.Mashup.OleDb.1;Data Source=$Workbook$;Location=&quot;sheet1 (29)&quot;;Extended Properties=&quot;&quot;" command="SELECT * FROM [sheet1 (29)]"/>
  </connection>
  <connection id="23" xr16:uid="{0022E35C-8554-0D47-A1EE-1B27F0CA5556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24" xr16:uid="{DE2D7258-D7AA-6049-8805-DFA7E9373502}" keepAlive="1" name="Query - sheet1 (30)" description="Connection to the 'sheet1 (30)' query in the workbook." type="5" refreshedVersion="0" background="1" saveData="1">
    <dbPr connection="Provider=Microsoft.Mashup.OleDb.1;Data Source=$Workbook$;Location=&quot;sheet1 (30)&quot;;Extended Properties=&quot;&quot;" command="SELECT * FROM [sheet1 (30)]"/>
  </connection>
  <connection id="25" xr16:uid="{95705D8B-C761-684C-8E59-E29871A58BCF}" keepAlive="1" name="Query - sheet1 (31)" description="Connection to the 'sheet1 (31)' query in the workbook." type="5" refreshedVersion="8" background="1" saveData="1">
    <dbPr connection="Provider=Microsoft.Mashup.OleDb.1;Data Source=$Workbook$;Location=&quot;sheet1 (31)&quot;;Extended Properties=&quot;&quot;" command="SELECT * FROM [sheet1 (31)]"/>
  </connection>
  <connection id="26" xr16:uid="{67D38F59-9847-8241-804A-D253402DE1E8}" keepAlive="1" name="Query - sheet1 (32)" description="Connection to the 'sheet1 (32)' query in the workbook." type="5" refreshedVersion="8" background="1" saveData="1">
    <dbPr connection="Provider=Microsoft.Mashup.OleDb.1;Data Source=$Workbook$;Location=&quot;sheet1 (32)&quot;;Extended Properties=&quot;&quot;" command="SELECT * FROM [sheet1 (32)]"/>
  </connection>
  <connection id="27" xr16:uid="{3668AFA0-DE6A-DC4F-86E3-42AEDAF56C90}" keepAlive="1" name="Query - sheet1 (33)" description="Connection to the 'sheet1 (33)' query in the workbook." type="5" refreshedVersion="8" background="1" saveData="1">
    <dbPr connection="Provider=Microsoft.Mashup.OleDb.1;Data Source=$Workbook$;Location=&quot;sheet1 (33)&quot;;Extended Properties=&quot;&quot;" command="SELECT * FROM [sheet1 (33)]"/>
  </connection>
  <connection id="28" xr16:uid="{90C4A09B-285E-0A4E-9EA7-72F8E959EDEB}" keepAlive="1" name="Query - sheet1 (34)" description="Connection to the 'sheet1 (34)' query in the workbook." type="5" refreshedVersion="8" background="1" saveData="1">
    <dbPr connection="Provider=Microsoft.Mashup.OleDb.1;Data Source=$Workbook$;Location=&quot;sheet1 (34)&quot;;Extended Properties=&quot;&quot;" command="SELECT * FROM [sheet1 (34)]"/>
  </connection>
  <connection id="29" xr16:uid="{7BE00E1C-6290-F64F-9495-7C8A2C535096}" keepAlive="1" name="Query - sheet1 (35)" description="Connection to the 'sheet1 (35)' query in the workbook." type="5" refreshedVersion="8" background="1" saveData="1">
    <dbPr connection="Provider=Microsoft.Mashup.OleDb.1;Data Source=$Workbook$;Location=&quot;sheet1 (35)&quot;;Extended Properties=&quot;&quot;" command="SELECT * FROM [sheet1 (35)]"/>
  </connection>
  <connection id="30" xr16:uid="{14D6D479-9552-134D-9C08-7D39011448EC}" keepAlive="1" name="Query - sheet1 (36)" description="Connection to the 'sheet1 (36)' query in the workbook." type="5" refreshedVersion="8" background="1" saveData="1">
    <dbPr connection="Provider=Microsoft.Mashup.OleDb.1;Data Source=$Workbook$;Location=&quot;sheet1 (36)&quot;;Extended Properties=&quot;&quot;" command="SELECT * FROM [sheet1 (36)]"/>
  </connection>
  <connection id="31" xr16:uid="{1EB1AE7E-B703-CE42-8CDD-6C960174F56F}" keepAlive="1" name="Query - sheet1 (37)" description="Connection to the 'sheet1 (37)' query in the workbook." type="5" refreshedVersion="8" background="1" saveData="1">
    <dbPr connection="Provider=Microsoft.Mashup.OleDb.1;Data Source=$Workbook$;Location=&quot;sheet1 (37)&quot;;Extended Properties=&quot;&quot;" command="SELECT * FROM [sheet1 (37)]"/>
  </connection>
  <connection id="32" xr16:uid="{50E408B2-99D1-F341-B371-B9F8599746C7}" keepAlive="1" name="Query - sheet1 (38)" description="Connection to the 'sheet1 (38)' query in the workbook." type="5" refreshedVersion="0" background="1">
    <dbPr connection="Provider=Microsoft.Mashup.OleDb.1;Data Source=$Workbook$;Location=&quot;sheet1 (38)&quot;;Extended Properties=&quot;&quot;" command="SELECT * FROM [sheet1 (38)]"/>
  </connection>
  <connection id="33" xr16:uid="{14B5A887-5498-9E4A-B93A-BB09D628425E}" keepAlive="1" name="Query - sheet1 (39)" description="Connection to the 'sheet1 (39)' query in the workbook." type="5" refreshedVersion="8" background="1" saveData="1">
    <dbPr connection="Provider=Microsoft.Mashup.OleDb.1;Data Source=$Workbook$;Location=&quot;sheet1 (39)&quot;;Extended Properties=&quot;&quot;" command="SELECT * FROM [sheet1 (39)]"/>
  </connection>
  <connection id="34" xr16:uid="{7E4C528A-39BD-6948-B11D-E58679F4781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35" xr16:uid="{8CF918EE-502E-DA45-A822-63812F1A27BB}" keepAlive="1" name="Query - sheet1 (40)" description="Connection to the 'sheet1 (40)' query in the workbook." type="5" refreshedVersion="8" background="1" saveData="1">
    <dbPr connection="Provider=Microsoft.Mashup.OleDb.1;Data Source=$Workbook$;Location=&quot;sheet1 (40)&quot;;Extended Properties=&quot;&quot;" command="SELECT * FROM [sheet1 (40)]"/>
  </connection>
  <connection id="36" xr16:uid="{F9ED46D2-8D8F-AA40-B3EC-3DA761372C25}" keepAlive="1" name="Query - sheet1 (41)" description="Connection to the 'sheet1 (41)' query in the workbook." type="5" refreshedVersion="8" background="1" saveData="1">
    <dbPr connection="Provider=Microsoft.Mashup.OleDb.1;Data Source=$Workbook$;Location=&quot;sheet1 (41)&quot;;Extended Properties=&quot;&quot;" command="SELECT * FROM [sheet1 (41)]"/>
  </connection>
  <connection id="37" xr16:uid="{3D4342E5-FCED-4E4F-9F4C-F08B8D2A15FB}" keepAlive="1" name="Query - sheet1 (42)" description="Connection to the 'sheet1 (42)' query in the workbook." type="5" refreshedVersion="8" background="1" saveData="1">
    <dbPr connection="Provider=Microsoft.Mashup.OleDb.1;Data Source=$Workbook$;Location=&quot;sheet1 (42)&quot;;Extended Properties=&quot;&quot;" command="SELECT * FROM [sheet1 (42)]"/>
  </connection>
  <connection id="38" xr16:uid="{26996727-53F4-A243-8CAE-C35F48856336}" keepAlive="1" name="Query - sheet1 (43)" description="Connection to the 'sheet1 (43)' query in the workbook." type="5" refreshedVersion="8" background="1" saveData="1">
    <dbPr connection="Provider=Microsoft.Mashup.OleDb.1;Data Source=$Workbook$;Location=&quot;sheet1 (43)&quot;;Extended Properties=&quot;&quot;" command="SELECT * FROM [sheet1 (43)]"/>
  </connection>
  <connection id="39" xr16:uid="{935CA6BF-67A6-EC4E-BB40-A1F6B0F08C65}" keepAlive="1" name="Query - sheet1 (44)" description="Connection to the 'sheet1 (44)' query in the workbook." type="5" refreshedVersion="8" background="1" saveData="1">
    <dbPr connection="Provider=Microsoft.Mashup.OleDb.1;Data Source=$Workbook$;Location=&quot;sheet1 (44)&quot;;Extended Properties=&quot;&quot;" command="SELECT * FROM [sheet1 (44)]"/>
  </connection>
  <connection id="40" xr16:uid="{DB13BAAE-57E6-1A42-8FE9-F5AE070F5CFE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41" xr16:uid="{B2668136-3C3A-6241-8434-C931FF61956A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42" xr16:uid="{0479212A-23B6-A34D-9CF1-0E32E8C014E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43" xr16:uid="{42E9B9EB-B1B9-9D40-951B-5BCF411EDECA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44" xr16:uid="{8DCE3752-386D-5945-AEA0-8281C6C1DE1A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<sst xmlns="http://schemas.openxmlformats.org/spreadsheetml/2006/main" count="163" uniqueCount="25">
  <si>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</si>
  <si>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</si>
  <si>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</si>
  <si>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</si>
  <si>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</si>
  <si>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</si>
  <si>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</si>
  <si>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</si>
  <si>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</si>
  <si>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</si>
  <si>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</si>
  <si>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</si>
  <si>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</si>
  <si>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</si>
  <si>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</si>
  <si>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</si>
  <si>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</si>
  <si>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</si>
  <si>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</si>
  <si>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</si>
  <si>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</si>
  <si>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</si>
  <si>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</si>
  <si>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Velocity (m/s)</t>
  </si>
  <si>
    <t>Q_steady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</si>
</sst>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1" xr16:uid="{EB376D8C-0F27-9C46-9368-896D00301A15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967B7550-4214-1D48-A428-0364993E1526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5" xr16:uid="{5A1FDBD6-52B4-ED49-82C7-7F37E18AFA78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63B38546-CB06-7D4D-859B-A4154F9B3C52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7" xr16:uid="{2E19F9D7-6603-5149-9DE3-E1BDC2CBE08B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1C7D2B9A-211B-224E-BD51-5A7FED74C46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9" xr16:uid="{67D5B0AC-6164-864D-B066-3A9561D8238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211151-0B02-E547-86A9-B9AA13F88C51}" name="sheet1__37" displayName="sheet1__37" ref="A1:O24" tableType="queryTable" totalsRowShown="0">
  <autoFilter ref="A1:O24" xr:uid="{15211151-0B02-E547-86A9-B9AA13F88C51}"/>
  <tableColumns count="15">
    <tableColumn id="1" xr3:uid="{F3474DF2-4189-814B-A166-56F50517A7A3}" uniqueName="1" name="Time" queryTableFieldId="1"/>
    <tableColumn id="2" xr3:uid="{B5882215-CAD1-9A4F-81C3-551E11A9FDA0}" uniqueName="2" name="T1" queryTableFieldId="2"/>
    <tableColumn id="3" xr3:uid="{D661FBDB-D048-BF47-A628-8102AC3E666F}" uniqueName="3" name="T2" queryTableFieldId="3"/>
    <tableColumn id="4" xr3:uid="{F7D5EC3F-1AC6-4D49-A7F3-BE073AE588F3}" uniqueName="4" name="T3" queryTableFieldId="4"/>
    <tableColumn id="5" xr3:uid="{C35B35D3-ABDB-4B47-A046-57D195585B16}" uniqueName="5" name="T4" queryTableFieldId="5"/>
    <tableColumn id="6" xr3:uid="{1ADAEE6B-98ED-5340-A2AF-E5AD015A171E}" uniqueName="6" name="T5" queryTableFieldId="6"/>
    <tableColumn id="7" xr3:uid="{0DC7274C-4660-2040-94C1-A61DEE04145E}" uniqueName="7" name="T6" queryTableFieldId="7"/>
    <tableColumn id="8" xr3:uid="{7F90A3B1-0551-BC44-9BF5-6FDACA47F0C6}" uniqueName="8" name="T7" queryTableFieldId="8"/>
    <tableColumn id="9" xr3:uid="{316E7097-63D5-7D43-B180-EE7DC05DFFEB}" uniqueName="9" name="T8" queryTableFieldId="9"/>
    <tableColumn id="10" xr3:uid="{F05532E2-85AD-2F42-8D16-072B9416C191}" uniqueName="10" name="RTD_IN" queryTableFieldId="10"/>
    <tableColumn id="11" xr3:uid="{ED162DA8-6523-BF48-8B6E-D4D52D74FCF2}" uniqueName="11" name="RTD_OUT" queryTableFieldId="11"/>
    <tableColumn id="12" xr3:uid="{8FCBD226-A7F3-7149-A236-2F9873A89FD7}" uniqueName="12" name="DPT_TS" queryTableFieldId="12"/>
    <tableColumn id="13" xr3:uid="{FB9CDF48-9111-A243-8376-3E635EC56A42}" uniqueName="13" name="DPT_nozzle" queryTableFieldId="13"/>
    <tableColumn id="14" xr3:uid="{F2C21B06-EF04-2248-95CD-926D6CFC2754}" uniqueName="14" name="Flow_gps" queryTableFieldId="14"/>
    <tableColumn id="15" xr3:uid="{F30EB4FA-DF95-1148-8D17-A7979187315A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998B0-CFEA-3742-91D6-91467BE8D2F9}" name="sheet1__39" displayName="sheet1__39" ref="A1:O30" tableType="queryTable" totalsRowShown="0">
  <autoFilter ref="A1:O30" xr:uid="{EBB998B0-CFEA-3742-91D6-91467BE8D2F9}"/>
  <tableColumns count="15">
    <tableColumn id="1" xr3:uid="{1B51125D-A81E-5041-8C06-89C8AA9E55CD}" uniqueName="1" name="Time" queryTableFieldId="1"/>
    <tableColumn id="2" xr3:uid="{47195BF3-5DCE-9247-80D1-1611185143AE}" uniqueName="2" name="T1" queryTableFieldId="2"/>
    <tableColumn id="3" xr3:uid="{DAAD78A0-B8D3-FA43-90E1-0B2603225F3A}" uniqueName="3" name="T2" queryTableFieldId="3"/>
    <tableColumn id="4" xr3:uid="{0F46DB14-1FAC-1042-BE27-48B3EEFC71B5}" uniqueName="4" name="T3" queryTableFieldId="4"/>
    <tableColumn id="5" xr3:uid="{91EBD3A2-8467-B640-A90A-DB40F15EA335}" uniqueName="5" name="T4" queryTableFieldId="5"/>
    <tableColumn id="6" xr3:uid="{FCCA889D-D8B4-5945-90B0-CC38D591580D}" uniqueName="6" name="T5" queryTableFieldId="6"/>
    <tableColumn id="7" xr3:uid="{21158BC9-AA7C-054C-AE64-5395EF869E8F}" uniqueName="7" name="T6" queryTableFieldId="7"/>
    <tableColumn id="8" xr3:uid="{91BAF2F8-E54B-3C4C-9C8F-AEF061439135}" uniqueName="8" name="T7" queryTableFieldId="8"/>
    <tableColumn id="9" xr3:uid="{E1EE92BB-CB71-4746-8ADA-5877D0B41B63}" uniqueName="9" name="T8" queryTableFieldId="9"/>
    <tableColumn id="10" xr3:uid="{65D73BB0-B278-3F44-ACBE-127D550C4624}" uniqueName="10" name="RTD_IN" queryTableFieldId="10"/>
    <tableColumn id="11" xr3:uid="{7C93D3E3-2276-C44E-9B6D-1812CB7F3625}" uniqueName="11" name="RTD_OUT" queryTableFieldId="11"/>
    <tableColumn id="12" xr3:uid="{1DAFB778-2159-0D40-978A-C02AB375A34A}" uniqueName="12" name="DPT_TS" queryTableFieldId="12"/>
    <tableColumn id="13" xr3:uid="{853FCC1A-84F5-F14C-9E4F-76CF03B37F8D}" uniqueName="13" name="DPT_nozzle" queryTableFieldId="13"/>
    <tableColumn id="14" xr3:uid="{647066A3-3FD7-194D-A975-CF674EFF8F7D}" uniqueName="14" name="Flow_gps" queryTableFieldId="14"/>
    <tableColumn id="15" xr3:uid="{1DE5B128-F6BE-C14D-9225-A8785ECA0A87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BFEBFE-A5A8-8A40-92AC-4797D6D07AC5}" name="sheet1__40" displayName="sheet1__40" ref="A1:O16" tableType="queryTable" totalsRowShown="0">
  <autoFilter ref="A1:O16" xr:uid="{25BFEBFE-A5A8-8A40-92AC-4797D6D07AC5}"/>
  <tableColumns count="15">
    <tableColumn id="1" xr3:uid="{C03579D7-8BAF-E945-AE91-34E3CFE6B899}" uniqueName="1" name="Time" queryTableFieldId="1"/>
    <tableColumn id="2" xr3:uid="{FE981FF8-5DF9-F443-8547-5EB829E68F1E}" uniqueName="2" name="T1" queryTableFieldId="2"/>
    <tableColumn id="3" xr3:uid="{B070E89A-73CC-2F4F-8494-7F038681164E}" uniqueName="3" name="T2" queryTableFieldId="3"/>
    <tableColumn id="4" xr3:uid="{20115B4F-51D3-2842-9EA8-16930B2F78FF}" uniqueName="4" name="T3" queryTableFieldId="4"/>
    <tableColumn id="5" xr3:uid="{DDE0B8F1-B3A6-3A47-A569-3950FA4828E5}" uniqueName="5" name="T4" queryTableFieldId="5"/>
    <tableColumn id="6" xr3:uid="{44894514-FA54-C148-B70A-92651250343C}" uniqueName="6" name="T5" queryTableFieldId="6"/>
    <tableColumn id="7" xr3:uid="{A359A5DE-D95B-684A-9281-C75D361E51CC}" uniqueName="7" name="T6" queryTableFieldId="7"/>
    <tableColumn id="8" xr3:uid="{8C8246C2-C1FB-064B-B6CF-1083786AFE19}" uniqueName="8" name="T7" queryTableFieldId="8"/>
    <tableColumn id="9" xr3:uid="{228EAAE5-01D1-2440-8DC5-092860ACE4B5}" uniqueName="9" name="T8" queryTableFieldId="9"/>
    <tableColumn id="10" xr3:uid="{5628BE44-5CB6-8A4B-AE21-B4A24AC79AC4}" uniqueName="10" name="RTD_IN" queryTableFieldId="10"/>
    <tableColumn id="11" xr3:uid="{463A116F-AF6E-1A4F-98BC-B71A7FCD4C39}" uniqueName="11" name="RTD_OUT" queryTableFieldId="11"/>
    <tableColumn id="12" xr3:uid="{26350D5E-E562-6248-B2A9-5E3CA34BCA32}" uniqueName="12" name="DPT_TS" queryTableFieldId="12"/>
    <tableColumn id="13" xr3:uid="{A7336DF7-AF20-7844-A777-0384FDC8F49F}" uniqueName="13" name="DPT_nozzle" queryTableFieldId="13"/>
    <tableColumn id="14" xr3:uid="{22793D5E-3E46-5840-8F8B-F771BBAA4B53}" uniqueName="14" name="Flow_gps" queryTableFieldId="14"/>
    <tableColumn id="15" xr3:uid="{4A6B4080-FDF4-0C46-B15C-0F2F6A6F6640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2D7C3D-56E3-DE4D-A53E-BD0F6AF780C7}" name="sheet1__41" displayName="sheet1__41" ref="A1:O12" tableType="queryTable" totalsRowShown="0">
  <autoFilter ref="A1:O12" xr:uid="{1F2D7C3D-56E3-DE4D-A53E-BD0F6AF780C7}"/>
  <tableColumns count="15">
    <tableColumn id="1" xr3:uid="{76879B9A-EB6B-5140-9090-FBC7E76ECE9E}" uniqueName="1" name="Time" queryTableFieldId="1"/>
    <tableColumn id="2" xr3:uid="{E878FE8C-BAC8-2743-8AE0-3E27908F13B7}" uniqueName="2" name="T1" queryTableFieldId="2"/>
    <tableColumn id="3" xr3:uid="{19A61D05-553F-FB4B-B61F-737AA78F4618}" uniqueName="3" name="T2" queryTableFieldId="3"/>
    <tableColumn id="4" xr3:uid="{DD72534E-8514-B042-9B34-5FF46E0B5E09}" uniqueName="4" name="T3" queryTableFieldId="4"/>
    <tableColumn id="5" xr3:uid="{98937066-EBF6-2C4D-B77A-20A66BD1201C}" uniqueName="5" name="T4" queryTableFieldId="5"/>
    <tableColumn id="6" xr3:uid="{6FE62130-E296-5942-A1B5-E6D8190F628A}" uniqueName="6" name="T5" queryTableFieldId="6"/>
    <tableColumn id="7" xr3:uid="{61862BBE-C715-6F42-8D14-32BB86CFADDC}" uniqueName="7" name="T6" queryTableFieldId="7"/>
    <tableColumn id="8" xr3:uid="{2E4DB7E5-3B35-E247-B3A1-E77BF2FF9AFC}" uniqueName="8" name="T7" queryTableFieldId="8"/>
    <tableColumn id="9" xr3:uid="{FAD95FA9-8DC9-1C4A-AED7-5FFBA29B0947}" uniqueName="9" name="T8" queryTableFieldId="9"/>
    <tableColumn id="10" xr3:uid="{6678B29B-9F54-4548-9919-2E6448DD33D0}" uniqueName="10" name="RTD_IN" queryTableFieldId="10"/>
    <tableColumn id="11" xr3:uid="{F5C01DD9-BEB4-FC48-B7AB-4C40BD8959A5}" uniqueName="11" name="RTD_OUT" queryTableFieldId="11"/>
    <tableColumn id="12" xr3:uid="{C6035A34-EF6A-8E4F-94C0-3017B99488F2}" uniqueName="12" name="DPT_TS" queryTableFieldId="12"/>
    <tableColumn id="13" xr3:uid="{48D88E8B-46DD-8E45-9599-A2D735C05478}" uniqueName="13" name="DPT_nozzle" queryTableFieldId="13"/>
    <tableColumn id="14" xr3:uid="{80F0C069-BB0C-2649-B4F5-6CC5250F2E1C}" uniqueName="14" name="Flow_gps" queryTableFieldId="14"/>
    <tableColumn id="15" xr3:uid="{A94A70F7-F239-3F45-8B4C-54511BDD941F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F7BFED-EDB8-3346-982E-ACAFF90F2EED}" name="sheet1__42" displayName="sheet1__42" ref="A1:O14" tableType="queryTable" totalsRowShown="0">
  <autoFilter ref="A1:O14" xr:uid="{30F7BFED-EDB8-3346-982E-ACAFF90F2EED}"/>
  <tableColumns count="15">
    <tableColumn id="1" xr3:uid="{D67F1B26-3CE1-8241-BF0F-45265664430C}" uniqueName="1" name="Time" queryTableFieldId="1"/>
    <tableColumn id="2" xr3:uid="{B61A60EA-EC3F-7E40-B899-0CB394477F67}" uniqueName="2" name="T1" queryTableFieldId="2"/>
    <tableColumn id="3" xr3:uid="{9AE2E0B8-0899-7749-8115-7FF1F2A134AE}" uniqueName="3" name="T2" queryTableFieldId="3"/>
    <tableColumn id="4" xr3:uid="{E434BB2A-45FD-F74C-961E-6A96F639CB94}" uniqueName="4" name="T3" queryTableFieldId="4"/>
    <tableColumn id="5" xr3:uid="{90084B54-EDF3-7244-8E8D-48D5101DDBBE}" uniqueName="5" name="T4" queryTableFieldId="5"/>
    <tableColumn id="6" xr3:uid="{FDAF3970-5105-DE4F-A345-A394CC83D080}" uniqueName="6" name="T5" queryTableFieldId="6"/>
    <tableColumn id="7" xr3:uid="{619BF68A-3626-D140-8AA7-625D6B564863}" uniqueName="7" name="T6" queryTableFieldId="7"/>
    <tableColumn id="8" xr3:uid="{2B20724B-79CC-504E-B8D6-E110E89575A9}" uniqueName="8" name="T7" queryTableFieldId="8"/>
    <tableColumn id="9" xr3:uid="{9EDEE644-F2D9-DC45-9794-2CD1259ABE32}" uniqueName="9" name="T8" queryTableFieldId="9"/>
    <tableColumn id="10" xr3:uid="{9180E872-8282-3C44-A351-75EC5F95FA62}" uniqueName="10" name="RTD_IN" queryTableFieldId="10"/>
    <tableColumn id="11" xr3:uid="{5654093D-827B-3C44-8503-7ED582F25AC7}" uniqueName="11" name="RTD_OUT" queryTableFieldId="11"/>
    <tableColumn id="12" xr3:uid="{9D647882-E056-C64B-A968-2D66011BBEB9}" uniqueName="12" name="DPT_TS" queryTableFieldId="12"/>
    <tableColumn id="13" xr3:uid="{66F580FA-5F02-B44F-892E-64930BDE8AE1}" uniqueName="13" name="DPT_nozzle" queryTableFieldId="13"/>
    <tableColumn id="14" xr3:uid="{AC3B3D91-A0A3-8D48-9E49-D3C4E87904A1}" uniqueName="14" name="Flow_gps" queryTableFieldId="14"/>
    <tableColumn id="15" xr3:uid="{BE2AEDF4-41B5-464A-A907-BCDD2822B83D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246D73-9EEC-E049-874E-1D16FAED6A6F}" name="sheet1__43" displayName="sheet1__43" ref="A1:O13" tableType="queryTable" totalsRowShown="0">
  <autoFilter ref="A1:O13" xr:uid="{04246D73-9EEC-E049-874E-1D16FAED6A6F}"/>
  <tableColumns count="15">
    <tableColumn id="1" xr3:uid="{5519732B-71AD-0B4C-8919-215471B8DF43}" uniqueName="1" name="Time" queryTableFieldId="1"/>
    <tableColumn id="2" xr3:uid="{56B0C382-636C-AE49-B8EC-BD7F26A8874B}" uniqueName="2" name="T1" queryTableFieldId="2"/>
    <tableColumn id="3" xr3:uid="{0F39116D-FA2E-604D-8F5A-265261FEB5C8}" uniqueName="3" name="T2" queryTableFieldId="3"/>
    <tableColumn id="4" xr3:uid="{869E65AB-5EE5-B64C-A0AC-1865123C5B76}" uniqueName="4" name="T3" queryTableFieldId="4"/>
    <tableColumn id="5" xr3:uid="{6BEF4EF2-6617-8149-9807-7DD0E500B3BC}" uniqueName="5" name="T4" queryTableFieldId="5"/>
    <tableColumn id="6" xr3:uid="{E58E7610-BBD3-6947-A0BB-F1AB57B93474}" uniqueName="6" name="T5" queryTableFieldId="6"/>
    <tableColumn id="7" xr3:uid="{80E14D7F-4620-7044-B8DE-89C08232854D}" uniqueName="7" name="T6" queryTableFieldId="7"/>
    <tableColumn id="8" xr3:uid="{5D6C5F1C-1D04-9740-8900-4820B64AEC54}" uniqueName="8" name="T7" queryTableFieldId="8"/>
    <tableColumn id="9" xr3:uid="{B0566034-A3B7-B34A-83F5-FFDB806D1486}" uniqueName="9" name="T8" queryTableFieldId="9"/>
    <tableColumn id="10" xr3:uid="{05BBE8CF-F29F-084E-AE56-058C14DD1414}" uniqueName="10" name="RTD_IN" queryTableFieldId="10"/>
    <tableColumn id="11" xr3:uid="{E5F5ABDF-F8AC-0A4A-BD11-F4EBDB85B012}" uniqueName="11" name="RTD_OUT" queryTableFieldId="11"/>
    <tableColumn id="12" xr3:uid="{13114340-0457-DF48-B65A-939C8641D02C}" uniqueName="12" name="DPT_TS" queryTableFieldId="12"/>
    <tableColumn id="13" xr3:uid="{13BD5FE7-ADF6-A94A-883E-C3B22280F96C}" uniqueName="13" name="DPT_nozzle" queryTableFieldId="13"/>
    <tableColumn id="14" xr3:uid="{99B876E4-E9A7-E449-94A3-BCD2A7AE0293}" uniqueName="14" name="Flow_gps" queryTableFieldId="14"/>
    <tableColumn id="15" xr3:uid="{2AB4193B-B538-A04F-9F5F-43C0A522C2D4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E9B352-2B42-F349-B86E-0C2C4C37582D}" name="sheet1__44" displayName="sheet1__44" ref="A1:O10" tableType="queryTable" totalsRowShown="0">
  <autoFilter ref="A1:O10" xr:uid="{71E9B352-2B42-F349-B86E-0C2C4C37582D}"/>
  <tableColumns count="15">
    <tableColumn id="1" xr3:uid="{20423371-4466-A34D-89FD-FD38775EA734}" uniqueName="1" name="Time" queryTableFieldId="1"/>
    <tableColumn id="2" xr3:uid="{5E3ECD39-F67E-3D42-857A-EAD6932C825A}" uniqueName="2" name="T1" queryTableFieldId="2"/>
    <tableColumn id="3" xr3:uid="{C8C4888B-6A40-CF4E-800D-E26A4552E3E3}" uniqueName="3" name="T2" queryTableFieldId="3"/>
    <tableColumn id="4" xr3:uid="{8F51ADBF-B20C-AB42-B20B-821E810BE6C4}" uniqueName="4" name="T3" queryTableFieldId="4"/>
    <tableColumn id="5" xr3:uid="{520B3272-2E1C-664B-B160-53506FECC26F}" uniqueName="5" name="T4" queryTableFieldId="5"/>
    <tableColumn id="6" xr3:uid="{F14F54BF-78C3-B344-AF61-E42EF4C6B0EC}" uniqueName="6" name="T5" queryTableFieldId="6"/>
    <tableColumn id="7" xr3:uid="{46DEDDE6-18CD-9843-A6E7-C6DE4179CD98}" uniqueName="7" name="T6" queryTableFieldId="7"/>
    <tableColumn id="8" xr3:uid="{7C533D7C-AFBF-5148-AF04-A6B7457B6107}" uniqueName="8" name="T7" queryTableFieldId="8"/>
    <tableColumn id="9" xr3:uid="{92A69C11-0684-FB48-8631-B741621AF88E}" uniqueName="9" name="T8" queryTableFieldId="9"/>
    <tableColumn id="10" xr3:uid="{EA42DD29-A276-E343-8D86-11A97DB569C9}" uniqueName="10" name="RTD_IN" queryTableFieldId="10"/>
    <tableColumn id="11" xr3:uid="{6F9A1E52-F9D1-034D-A638-D627D15C52B4}" uniqueName="11" name="RTD_OUT" queryTableFieldId="11"/>
    <tableColumn id="12" xr3:uid="{24335585-5733-EB44-887C-4B6632AF74A3}" uniqueName="12" name="DPT_TS" queryTableFieldId="12"/>
    <tableColumn id="13" xr3:uid="{534C5155-D070-924B-9505-B5F43A392053}" uniqueName="13" name="DPT_nozzle" queryTableFieldId="13"/>
    <tableColumn id="14" xr3:uid="{80C48288-4F76-334B-BA34-B22535BC8318}" uniqueName="14" name="Flow_gps" queryTableFieldId="14"/>
    <tableColumn id="15" xr3:uid="{855C0A9F-EED8-3D4D-9456-3621155BA796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463-65CE-6F45-9590-627AE751323C}">
  <dimension ref="A1:B8"/>
  <sheetViews>
    <sheetView tabSelected="1" workbookViewId="0">
      <selection activeCell="E17" sqref="E17"/>
    </sheetView>
  </sheetViews>
  <sheetFormatPr baseColWidth="10" defaultRowHeight="16" x14ac:dyDescent="0.2"/>
  <cols>
    <col min="1" max="1" width="20.6640625" customWidth="1"/>
    <col min="2" max="2" width="18.6640625" customWidth="1"/>
  </cols>
  <sheetData>
    <row r="1" spans="1:2" x14ac:dyDescent="0.2">
      <c r="A1" s="2" t="s">
        <v>23</v>
      </c>
      <c r="B1" s="2" t="s">
        <v>24</v>
      </c>
    </row>
    <row r="2" spans="1:2" x14ac:dyDescent="0.2">
      <c r="A2">
        <v>1</v>
      </c>
      <c r="B2">
        <v>231.50932006197215</v>
      </c>
    </row>
    <row r="3" spans="1:2" x14ac:dyDescent="0.2">
      <c r="A3">
        <v>2</v>
      </c>
      <c r="B3">
        <v>417.3056450372253</v>
      </c>
    </row>
    <row r="4" spans="1:2" x14ac:dyDescent="0.2">
      <c r="A4">
        <v>3</v>
      </c>
      <c r="B4">
        <v>545.03834875620794</v>
      </c>
    </row>
    <row r="5" spans="1:2" x14ac:dyDescent="0.2">
      <c r="A5">
        <v>4</v>
      </c>
      <c r="B5">
        <v>631.74086064021856</v>
      </c>
    </row>
    <row r="6" spans="1:2" x14ac:dyDescent="0.2">
      <c r="A6">
        <v>5</v>
      </c>
      <c r="B6">
        <v>707.75544550202653</v>
      </c>
    </row>
    <row r="7" spans="1:2" x14ac:dyDescent="0.2">
      <c r="A7">
        <v>6</v>
      </c>
      <c r="B7">
        <v>757.08310952210934</v>
      </c>
    </row>
    <row r="8" spans="1:2" x14ac:dyDescent="0.2">
      <c r="A8">
        <v>7</v>
      </c>
      <c r="B8">
        <v>797.30384874619369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BC3F-3ADB-2244-9D78-5B759722BADF}">
  <dimension ref="A1:V36"/>
  <sheetViews>
    <sheetView workbookViewId="0">
      <selection activeCell="D27" sqref="D27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44606.620689099203</v>
      </c>
      <c r="B2">
        <v>19.809795000000001</v>
      </c>
      <c r="C2">
        <v>19.755399000000001</v>
      </c>
      <c r="D2">
        <v>19.969909999999999</v>
      </c>
      <c r="E2">
        <v>19.815128999999999</v>
      </c>
      <c r="F2">
        <v>42.287587000000002</v>
      </c>
      <c r="G2">
        <v>39.017532000000003</v>
      </c>
      <c r="H2">
        <v>27.298327</v>
      </c>
      <c r="I2">
        <v>29.51951</v>
      </c>
      <c r="J2">
        <v>56.534047999999999</v>
      </c>
      <c r="K2">
        <v>54.399067000000002</v>
      </c>
      <c r="L2">
        <v>14.711360000000001</v>
      </c>
      <c r="M2">
        <v>-622.47959300000002</v>
      </c>
      <c r="N2">
        <v>1.5983609999999999</v>
      </c>
      <c r="O2">
        <v>2.5646610000000001</v>
      </c>
      <c r="P2">
        <f xml:space="preserve"> N2*0.001/60</f>
        <v>2.6639350000000001E-5</v>
      </c>
      <c r="Q2" cm="1">
        <f t="array" ref="Q2">[1]!PropsSI("D","T",J2+273.15,"P",101325,"Water")</f>
        <v>984.94304448865603</v>
      </c>
      <c r="R2" cm="1">
        <f t="array" ref="R2">[1]!PropsSI("D","T",K2+273.15,"P",101325,"Water")</f>
        <v>985.98293144356433</v>
      </c>
      <c r="S2">
        <f>(Q2+R2)/2</f>
        <v>985.46298796611018</v>
      </c>
      <c r="T2" cm="1">
        <f t="array" ref="T2">[1]!PropsSI("H","T",J2+273.15,"P",101325,"Water")</f>
        <v>236746.36577539591</v>
      </c>
      <c r="U2" cm="1">
        <f t="array" ref="U2">[1]!PropsSI("H","T",K2+273.15,"P",101325,"Water")</f>
        <v>227815.46309208215</v>
      </c>
      <c r="V2">
        <f>S2*P2*(T2-U2)</f>
        <v>234.45489182158897</v>
      </c>
    </row>
    <row r="3" spans="1:22" x14ac:dyDescent="0.2">
      <c r="A3">
        <v>44606.62080484</v>
      </c>
      <c r="B3">
        <v>19.802928999999999</v>
      </c>
      <c r="C3">
        <v>19.771819000000001</v>
      </c>
      <c r="D3">
        <v>19.979821000000001</v>
      </c>
      <c r="E3">
        <v>19.840567</v>
      </c>
      <c r="F3">
        <v>42.076765999999999</v>
      </c>
      <c r="G3">
        <v>39.253534000000002</v>
      </c>
      <c r="H3">
        <v>26.989891</v>
      </c>
      <c r="I3">
        <v>30.252192000000001</v>
      </c>
      <c r="J3">
        <v>56.535162999999997</v>
      </c>
      <c r="K3">
        <v>54.409568</v>
      </c>
      <c r="L3">
        <v>14.261177999999999</v>
      </c>
      <c r="M3">
        <v>-622.50938699999995</v>
      </c>
      <c r="N3">
        <v>1.593628</v>
      </c>
      <c r="O3">
        <v>2.914393</v>
      </c>
      <c r="P3">
        <f t="shared" ref="P3" si="0" xml:space="preserve"> N3*0.001/60</f>
        <v>2.6560466666666668E-5</v>
      </c>
      <c r="Q3" cm="1">
        <f t="array" ref="Q3">[1]!PropsSI("D","T",J3+273.15,"P",101325,"Water")</f>
        <v>984.94249407439054</v>
      </c>
      <c r="R3" cm="1">
        <f t="array" ref="R3">[1]!PropsSI("D","T",K3+273.15,"P",101325,"Water")</f>
        <v>985.97788588079948</v>
      </c>
      <c r="S3">
        <f>(Q3+R3)/2</f>
        <v>985.46018997759506</v>
      </c>
      <c r="T3" cm="1">
        <f t="array" ref="T3">[1]!PropsSI("H","T",J3+273.15,"P",101325,"Water")</f>
        <v>236751.03041083209</v>
      </c>
      <c r="U3" cm="1">
        <f t="array" ref="U3">[1]!PropsSI("H","T",K3+273.15,"P",101325,"Water")</f>
        <v>227859.38608396717</v>
      </c>
      <c r="V3">
        <f t="shared" ref="V3:V11" si="1">S3*P3*(T3-U3)</f>
        <v>232.7324107429767</v>
      </c>
    </row>
    <row r="4" spans="1:22" x14ac:dyDescent="0.2">
      <c r="A4">
        <v>44606.620921159403</v>
      </c>
      <c r="B4">
        <v>19.792327</v>
      </c>
      <c r="C4">
        <v>19.644290999999999</v>
      </c>
      <c r="D4">
        <v>19.947025</v>
      </c>
      <c r="E4">
        <v>19.801898000000001</v>
      </c>
      <c r="F4">
        <v>42.151930999999998</v>
      </c>
      <c r="G4">
        <v>38.172995</v>
      </c>
      <c r="H4">
        <v>26.169761000000001</v>
      </c>
      <c r="I4">
        <v>29.361298000000001</v>
      </c>
      <c r="J4">
        <v>56.535640000000001</v>
      </c>
      <c r="K4">
        <v>54.414341</v>
      </c>
      <c r="L4">
        <v>14.517492000000001</v>
      </c>
      <c r="M4">
        <v>-622.48530700000003</v>
      </c>
      <c r="N4">
        <v>1.5970420000000001</v>
      </c>
      <c r="O4">
        <v>3.0769389999999999</v>
      </c>
      <c r="P4">
        <f xml:space="preserve"> N4*0.001/60</f>
        <v>2.661736666666667E-5</v>
      </c>
      <c r="Q4" cm="1">
        <f t="array" ref="Q4">[1]!PropsSI("D","T",J4+273.15,"P",101325,"Water")</f>
        <v>984.94225860336155</v>
      </c>
      <c r="R4" cm="1">
        <f t="array" ref="R4">[1]!PropsSI("D","T",K4+273.15,"P",101325,"Water")</f>
        <v>985.97559230283889</v>
      </c>
      <c r="S4">
        <f t="shared" ref="S4:S11" si="2">(Q4+R4)/2</f>
        <v>985.45892545310016</v>
      </c>
      <c r="T4" cm="1">
        <f t="array" ref="T4">[1]!PropsSI("H","T",J4+273.15,"P",101325,"Water")</f>
        <v>236753.02595453398</v>
      </c>
      <c r="U4" cm="1">
        <f t="array" ref="U4">[1]!PropsSI("H","T",K4+273.15,"P",101325,"Water")</f>
        <v>227879.3503325893</v>
      </c>
      <c r="V4">
        <f t="shared" si="1"/>
        <v>232.75936492705532</v>
      </c>
    </row>
    <row r="5" spans="1:22" x14ac:dyDescent="0.2">
      <c r="A5">
        <v>44606.621036900098</v>
      </c>
      <c r="B5">
        <v>19.763997</v>
      </c>
      <c r="C5">
        <v>19.640042000000001</v>
      </c>
      <c r="D5">
        <v>19.945875999999998</v>
      </c>
      <c r="E5">
        <v>19.800301000000001</v>
      </c>
      <c r="F5">
        <v>42.313442999999999</v>
      </c>
      <c r="G5">
        <v>39.256462999999997</v>
      </c>
      <c r="H5">
        <v>26.789863</v>
      </c>
      <c r="I5">
        <v>28.726006999999999</v>
      </c>
      <c r="J5">
        <v>56.540256999999997</v>
      </c>
      <c r="K5">
        <v>54.412750000000003</v>
      </c>
      <c r="L5">
        <v>13.608966000000001</v>
      </c>
      <c r="M5">
        <v>-622.48040900000001</v>
      </c>
      <c r="N5">
        <v>1.588473</v>
      </c>
      <c r="O5">
        <v>2.9607770000000002</v>
      </c>
      <c r="P5">
        <f t="shared" ref="P5:P11" si="3" xml:space="preserve"> N5*0.001/60</f>
        <v>2.6474549999999999E-5</v>
      </c>
      <c r="Q5" cm="1">
        <f t="array" ref="Q5">[1]!PropsSI("D","T",J5+273.15,"P",101325,"Water")</f>
        <v>984.93997934968297</v>
      </c>
      <c r="R5" cm="1">
        <f t="array" ref="R5">[1]!PropsSI("D","T",K5+273.15,"P",101325,"Water")</f>
        <v>985.97635684462352</v>
      </c>
      <c r="S5">
        <f t="shared" si="2"/>
        <v>985.45816809715325</v>
      </c>
      <c r="T5" cm="1">
        <f t="array" ref="T5">[1]!PropsSI("H","T",J5+273.15,"P",101325,"Water")</f>
        <v>236772.34131620568</v>
      </c>
      <c r="U5" cm="1">
        <f t="array" ref="U5">[1]!PropsSI("H","T",K5+273.15,"P",101325,"Water")</f>
        <v>227872.69558212641</v>
      </c>
      <c r="V5">
        <f t="shared" si="1"/>
        <v>232.18785510080681</v>
      </c>
    </row>
    <row r="6" spans="1:22" x14ac:dyDescent="0.2">
      <c r="A6">
        <v>46068.621152638887</v>
      </c>
      <c r="B6">
        <v>19.745528</v>
      </c>
      <c r="C6">
        <v>19.627770999999999</v>
      </c>
      <c r="D6">
        <v>19.910157999999999</v>
      </c>
      <c r="E6">
        <v>19.751384000000002</v>
      </c>
      <c r="F6">
        <v>41.698079</v>
      </c>
      <c r="G6">
        <v>38.935236000000003</v>
      </c>
      <c r="H6">
        <v>26.759463</v>
      </c>
      <c r="I6">
        <v>30.356815999999998</v>
      </c>
      <c r="J6">
        <v>56.546306000000001</v>
      </c>
      <c r="K6">
        <v>54.425637000000002</v>
      </c>
      <c r="L6">
        <v>12.763294</v>
      </c>
      <c r="M6">
        <v>-622.49959200000001</v>
      </c>
      <c r="N6">
        <v>1.593591</v>
      </c>
      <c r="O6">
        <v>2.8263790000000002</v>
      </c>
      <c r="P6">
        <f t="shared" si="3"/>
        <v>2.6559850000000003E-5</v>
      </c>
      <c r="Q6" cm="1">
        <f t="array" ref="Q6">[1]!PropsSI("D","T",J6+273.15,"P",101325,"Water")</f>
        <v>984.93699296988825</v>
      </c>
      <c r="R6" cm="1">
        <f t="array" ref="R6">[1]!PropsSI("D","T",K6+273.15,"P",101325,"Water")</f>
        <v>985.9701636494807</v>
      </c>
      <c r="S6">
        <f t="shared" si="2"/>
        <v>985.45357830968442</v>
      </c>
      <c r="T6" cm="1">
        <f t="array" ref="T6">[1]!PropsSI("H","T",J6+273.15,"P",101325,"Water")</f>
        <v>236797.64750635991</v>
      </c>
      <c r="U6" cm="1">
        <f t="array" ref="U6">[1]!PropsSI("H","T",K6+273.15,"P",101325,"Water")</f>
        <v>227926.59866814804</v>
      </c>
      <c r="V6">
        <f t="shared" si="1"/>
        <v>232.18638986409545</v>
      </c>
    </row>
    <row r="7" spans="1:22" x14ac:dyDescent="0.2">
      <c r="A7">
        <v>46068.621268958334</v>
      </c>
      <c r="B7">
        <v>19.700429</v>
      </c>
      <c r="C7">
        <v>19.59995</v>
      </c>
      <c r="D7">
        <v>19.901446</v>
      </c>
      <c r="E7">
        <v>19.718397</v>
      </c>
      <c r="F7">
        <v>42.134917999999999</v>
      </c>
      <c r="G7">
        <v>38.730356999999998</v>
      </c>
      <c r="H7">
        <v>27.223557</v>
      </c>
      <c r="I7">
        <v>30.91066</v>
      </c>
      <c r="J7">
        <v>56.546782999999998</v>
      </c>
      <c r="K7">
        <v>54.432637</v>
      </c>
      <c r="L7">
        <v>15.754165</v>
      </c>
      <c r="M7">
        <v>-622.48367399999995</v>
      </c>
      <c r="N7">
        <v>1.601156</v>
      </c>
      <c r="O7">
        <v>3.471428</v>
      </c>
      <c r="P7">
        <f t="shared" si="3"/>
        <v>2.6685933333333335E-5</v>
      </c>
      <c r="Q7" cm="1">
        <f t="array" ref="Q7">[1]!PropsSI("D","T",J7+273.15,"P",101325,"Water")</f>
        <v>984.93675746639246</v>
      </c>
      <c r="R7" cm="1">
        <f t="array" ref="R7">[1]!PropsSI("D","T",K7+273.15,"P",101325,"Water")</f>
        <v>985.96679917610368</v>
      </c>
      <c r="S7">
        <f t="shared" si="2"/>
        <v>985.45177832124807</v>
      </c>
      <c r="T7" cm="1">
        <f t="array" ref="T7">[1]!PropsSI("H","T",J7+273.15,"P",101325,"Water")</f>
        <v>236799.6430521374</v>
      </c>
      <c r="U7" cm="1">
        <f t="array" ref="U7">[1]!PropsSI("H","T",K7+273.15,"P",101325,"Water")</f>
        <v>227955.87793548993</v>
      </c>
      <c r="V7">
        <f t="shared" si="1"/>
        <v>232.57068597173131</v>
      </c>
    </row>
    <row r="8" spans="1:22" x14ac:dyDescent="0.2">
      <c r="A8">
        <v>46068.621384699072</v>
      </c>
      <c r="B8">
        <v>19.705632000000001</v>
      </c>
      <c r="C8">
        <v>19.602841000000002</v>
      </c>
      <c r="D8">
        <v>19.894065000000001</v>
      </c>
      <c r="E8">
        <v>19.710172</v>
      </c>
      <c r="F8">
        <v>41.888942999999998</v>
      </c>
      <c r="G8">
        <v>39.562491999999999</v>
      </c>
      <c r="H8">
        <v>26.777926999999998</v>
      </c>
      <c r="I8">
        <v>28.256091999999999</v>
      </c>
      <c r="J8">
        <v>56.550763000000003</v>
      </c>
      <c r="K8">
        <v>54.436137000000002</v>
      </c>
      <c r="L8">
        <v>12.446574999999999</v>
      </c>
      <c r="M8">
        <v>-622.51224400000001</v>
      </c>
      <c r="N8">
        <v>1.5979019999999999</v>
      </c>
      <c r="O8">
        <v>2.8813019999999998</v>
      </c>
      <c r="P8">
        <f t="shared" si="3"/>
        <v>2.6631700000000001E-5</v>
      </c>
      <c r="Q8" cm="1">
        <f t="array" ref="Q8">[1]!PropsSI("D","T",J8+273.15,"P",101325,"Water")</f>
        <v>984.93479241440969</v>
      </c>
      <c r="R8" cm="1">
        <f t="array" ref="R8">[1]!PropsSI("D","T",K8+273.15,"P",101325,"Water")</f>
        <v>985.96511682465075</v>
      </c>
      <c r="S8">
        <f t="shared" si="2"/>
        <v>985.44995461953022</v>
      </c>
      <c r="T8" cm="1">
        <f t="array" ref="T8">[1]!PropsSI("H","T",J8+273.15,"P",101325,"Water")</f>
        <v>236816.29352130234</v>
      </c>
      <c r="U8" cm="1">
        <f t="array" ref="U8">[1]!PropsSI("H","T",K8+273.15,"P",101325,"Water")</f>
        <v>227970.51757564451</v>
      </c>
      <c r="V8">
        <f t="shared" si="1"/>
        <v>232.1503799156169</v>
      </c>
    </row>
    <row r="9" spans="1:22" x14ac:dyDescent="0.2">
      <c r="A9">
        <v>46068.621501018519</v>
      </c>
      <c r="B9">
        <v>19.695004999999998</v>
      </c>
      <c r="C9">
        <v>19.622164999999999</v>
      </c>
      <c r="D9">
        <v>19.904892</v>
      </c>
      <c r="E9">
        <v>19.722038999999999</v>
      </c>
      <c r="F9">
        <v>42.302709999999998</v>
      </c>
      <c r="G9">
        <v>38.904848999999999</v>
      </c>
      <c r="H9">
        <v>27.459783000000002</v>
      </c>
      <c r="I9">
        <v>31.488219999999998</v>
      </c>
      <c r="J9">
        <v>56.556016</v>
      </c>
      <c r="K9">
        <v>54.440432999999999</v>
      </c>
      <c r="L9">
        <v>12.219239999999999</v>
      </c>
      <c r="M9">
        <v>-622.48040900000001</v>
      </c>
      <c r="N9">
        <v>1.595882</v>
      </c>
      <c r="O9">
        <v>2.7149049999999999</v>
      </c>
      <c r="P9">
        <f t="shared" si="3"/>
        <v>2.6598033333333335E-5</v>
      </c>
      <c r="Q9" cm="1">
        <f t="array" ref="Q9">[1]!PropsSI("D","T",J9+273.15,"P",101325,"Water")</f>
        <v>984.93219869388599</v>
      </c>
      <c r="R9" cm="1">
        <f t="array" ref="R9">[1]!PropsSI("D","T",K9+273.15,"P",101325,"Water")</f>
        <v>985.96305175382861</v>
      </c>
      <c r="S9">
        <f t="shared" si="2"/>
        <v>985.44762522385736</v>
      </c>
      <c r="T9" cm="1">
        <f t="array" ref="T9">[1]!PropsSI("H","T",J9+273.15,"P",101325,"Water")</f>
        <v>236838.26963979576</v>
      </c>
      <c r="U9" cm="1">
        <f t="array" ref="U9">[1]!PropsSI("H","T",K9+273.15,"P",101325,"Water")</f>
        <v>227988.48669424554</v>
      </c>
      <c r="V9">
        <f t="shared" si="1"/>
        <v>231.96138453062369</v>
      </c>
    </row>
    <row r="10" spans="1:22" x14ac:dyDescent="0.2">
      <c r="A10">
        <v>44606.621616761302</v>
      </c>
      <c r="B10">
        <v>19.715385000000001</v>
      </c>
      <c r="C10">
        <v>19.626425999999999</v>
      </c>
      <c r="D10">
        <v>19.884229000000001</v>
      </c>
      <c r="E10">
        <v>19.717442999999999</v>
      </c>
      <c r="F10">
        <v>42.704222999999999</v>
      </c>
      <c r="G10">
        <v>39.539290999999999</v>
      </c>
      <c r="H10">
        <v>27.489284000000001</v>
      </c>
      <c r="I10">
        <v>30.660339</v>
      </c>
      <c r="J10">
        <v>56.558562999999999</v>
      </c>
      <c r="K10">
        <v>54.442819</v>
      </c>
      <c r="L10">
        <v>12.003740000000001</v>
      </c>
      <c r="M10">
        <v>-622.48816399999998</v>
      </c>
      <c r="N10">
        <v>1.595677</v>
      </c>
      <c r="O10">
        <v>3.0097399999999999</v>
      </c>
      <c r="P10">
        <f t="shared" si="3"/>
        <v>2.6594616666666668E-5</v>
      </c>
      <c r="Q10" cm="1">
        <f t="array" ref="Q10">[1]!PropsSI("D","T",J10+273.15,"P",101325,"Water")</f>
        <v>984.9309410268437</v>
      </c>
      <c r="R10" cm="1">
        <f t="array" ref="R10">[1]!PropsSI("D","T",K10+273.15,"P",101325,"Water")</f>
        <v>985.96190476292713</v>
      </c>
      <c r="S10">
        <f t="shared" si="2"/>
        <v>985.44642289488547</v>
      </c>
      <c r="T10" cm="1">
        <f t="array" ref="T10">[1]!PropsSI("H","T",J10+273.15,"P",101325,"Water")</f>
        <v>236848.92511169595</v>
      </c>
      <c r="U10" cm="1">
        <f t="array" ref="U10">[1]!PropsSI("H","T",K10+273.15,"P",101325,"Water")</f>
        <v>227998.46675218517</v>
      </c>
      <c r="V10">
        <f t="shared" si="1"/>
        <v>231.94900577138318</v>
      </c>
    </row>
    <row r="11" spans="1:22" x14ac:dyDescent="0.2">
      <c r="A11">
        <v>44606.621732501997</v>
      </c>
      <c r="B11">
        <v>19.704758000000002</v>
      </c>
      <c r="C11">
        <v>19.652614</v>
      </c>
      <c r="D11">
        <v>19.889716</v>
      </c>
      <c r="E11">
        <v>19.709773999999999</v>
      </c>
      <c r="F11">
        <v>41.675018999999999</v>
      </c>
      <c r="G11">
        <v>38.879114999999999</v>
      </c>
      <c r="H11">
        <v>27.846112000000002</v>
      </c>
      <c r="I11">
        <v>31.233701</v>
      </c>
      <c r="J11">
        <v>56.560155000000002</v>
      </c>
      <c r="K11">
        <v>54.444887999999999</v>
      </c>
      <c r="L11">
        <v>11.761304000000001</v>
      </c>
      <c r="M11">
        <v>-622.5</v>
      </c>
      <c r="N11">
        <v>1.5948580000000001</v>
      </c>
      <c r="O11">
        <v>3.536861</v>
      </c>
      <c r="P11">
        <f t="shared" si="3"/>
        <v>2.6580966666666672E-5</v>
      </c>
      <c r="Q11" cm="1">
        <f t="array" ref="Q11">[1]!PropsSI("D","T",J11+273.15,"P",101325,"Water")</f>
        <v>984.9301549030954</v>
      </c>
      <c r="R11" cm="1">
        <f t="array" ref="R11">[1]!PropsSI("D","T",K11+273.15,"P",101325,"Water")</f>
        <v>985.96091013059561</v>
      </c>
      <c r="S11">
        <f t="shared" si="2"/>
        <v>985.44553251684556</v>
      </c>
      <c r="T11" cm="1">
        <f t="array" ref="T11">[1]!PropsSI("H","T",J11+273.15,"P",101325,"Water")</f>
        <v>236855.58530583489</v>
      </c>
      <c r="U11" cm="1">
        <f t="array" ref="U11">[1]!PropsSI("H","T",K11+273.15,"P",101325,"Water")</f>
        <v>228007.12087776346</v>
      </c>
      <c r="V11">
        <f t="shared" si="1"/>
        <v>231.77751652031731</v>
      </c>
    </row>
    <row r="12" spans="1:22" x14ac:dyDescent="0.2">
      <c r="A12">
        <v>44606.6218488214</v>
      </c>
      <c r="B12">
        <v>19.710614</v>
      </c>
      <c r="C12">
        <v>19.627523</v>
      </c>
      <c r="D12">
        <v>19.890644000000002</v>
      </c>
      <c r="E12">
        <v>19.705867000000001</v>
      </c>
      <c r="F12">
        <v>41.893521999999997</v>
      </c>
      <c r="G12">
        <v>39.207949999999997</v>
      </c>
      <c r="H12">
        <v>28.837562999999999</v>
      </c>
      <c r="I12">
        <v>29.808426000000001</v>
      </c>
      <c r="J12">
        <v>56.560313999999998</v>
      </c>
      <c r="K12">
        <v>54.449820000000003</v>
      </c>
      <c r="L12">
        <v>13.602843999999999</v>
      </c>
      <c r="M12">
        <v>-622.49755100000004</v>
      </c>
      <c r="N12">
        <v>1.5969519999999999</v>
      </c>
      <c r="O12">
        <v>2.905116</v>
      </c>
      <c r="P12">
        <f t="shared" ref="P12:P24" si="4" xml:space="preserve"> N12*0.001/60</f>
        <v>2.6615866666666667E-5</v>
      </c>
      <c r="Q12" cm="1">
        <f t="array" ref="Q12">[1]!PropsSI("D","T",J12+273.15,"P",101325,"Water")</f>
        <v>984.93007638863287</v>
      </c>
      <c r="R12" cm="1">
        <f t="array" ref="R12">[1]!PropsSI("D","T",K12+273.15,"P",101325,"Water")</f>
        <v>985.9585390576899</v>
      </c>
      <c r="S12">
        <f t="shared" ref="S12:S24" si="5">(Q12+R12)/2</f>
        <v>985.44430772316139</v>
      </c>
      <c r="T12" cm="1">
        <f t="array" ref="T12">[1]!PropsSI("H","T",J12+273.15,"P",101325,"Water")</f>
        <v>236856.25048856353</v>
      </c>
      <c r="U12" cm="1">
        <f t="array" ref="U12">[1]!PropsSI("H","T",K12+273.15,"P",101325,"Water")</f>
        <v>228027.75024474363</v>
      </c>
      <c r="V12">
        <f t="shared" ref="V12:V24" si="6">S12*P12*(T12-U12)</f>
        <v>231.55791519833065</v>
      </c>
    </row>
    <row r="13" spans="1:22" x14ac:dyDescent="0.2">
      <c r="A13">
        <v>44606.621964562197</v>
      </c>
      <c r="B13">
        <v>19.703130000000002</v>
      </c>
      <c r="C13">
        <v>19.648129000000001</v>
      </c>
      <c r="D13">
        <v>19.869295999999999</v>
      </c>
      <c r="E13">
        <v>19.703579999999999</v>
      </c>
      <c r="F13">
        <v>42.355488999999999</v>
      </c>
      <c r="G13">
        <v>37.859037000000001</v>
      </c>
      <c r="H13">
        <v>27.515509999999999</v>
      </c>
      <c r="I13">
        <v>30.947821000000001</v>
      </c>
      <c r="J13">
        <v>56.560155000000002</v>
      </c>
      <c r="K13">
        <v>54.452365</v>
      </c>
      <c r="L13">
        <v>14.146898</v>
      </c>
      <c r="M13">
        <v>-622.49673499999994</v>
      </c>
      <c r="N13">
        <v>1.594444</v>
      </c>
      <c r="O13">
        <v>2.9256519999999999</v>
      </c>
      <c r="P13">
        <f t="shared" si="4"/>
        <v>2.6574066666666667E-5</v>
      </c>
      <c r="Q13" cm="1">
        <f t="array" ref="Q13">[1]!PropsSI("D","T",J13+273.15,"P",101325,"Water")</f>
        <v>984.9301549030954</v>
      </c>
      <c r="R13" cm="1">
        <f t="array" ref="R13">[1]!PropsSI("D","T",K13+273.15,"P",101325,"Water")</f>
        <v>985.95731548234801</v>
      </c>
      <c r="S13">
        <f t="shared" si="5"/>
        <v>985.44373519272176</v>
      </c>
      <c r="T13" cm="1">
        <f t="array" ref="T13">[1]!PropsSI("H","T",J13+273.15,"P",101325,"Water")</f>
        <v>236855.58530583489</v>
      </c>
      <c r="U13" cm="1">
        <f t="array" ref="U13">[1]!PropsSI("H","T",K13+273.15,"P",101325,"Water")</f>
        <v>228038.39536957108</v>
      </c>
      <c r="V13">
        <f t="shared" si="6"/>
        <v>230.8979352500034</v>
      </c>
    </row>
    <row r="14" spans="1:22" x14ac:dyDescent="0.2">
      <c r="A14">
        <v>44606.622080302899</v>
      </c>
      <c r="B14">
        <v>19.713609999999999</v>
      </c>
      <c r="C14">
        <v>19.645935999999999</v>
      </c>
      <c r="D14">
        <v>19.875039000000001</v>
      </c>
      <c r="E14">
        <v>19.705817</v>
      </c>
      <c r="F14">
        <v>41.944986999999998</v>
      </c>
      <c r="G14">
        <v>39.325122</v>
      </c>
      <c r="H14">
        <v>26.918206999999999</v>
      </c>
      <c r="I14">
        <v>30.319016999999999</v>
      </c>
      <c r="J14">
        <v>56.560473000000002</v>
      </c>
      <c r="K14">
        <v>54.452843000000001</v>
      </c>
      <c r="L14">
        <v>14.778703</v>
      </c>
      <c r="M14">
        <v>-622.50367300000005</v>
      </c>
      <c r="N14">
        <v>1.5950580000000001</v>
      </c>
      <c r="O14">
        <v>3.0302760000000002</v>
      </c>
      <c r="P14">
        <f t="shared" si="4"/>
        <v>2.6584300000000002E-5</v>
      </c>
      <c r="Q14" cm="1">
        <f t="array" ref="Q14">[1]!PropsSI("D","T",J14+273.15,"P",101325,"Water")</f>
        <v>984.9299978740039</v>
      </c>
      <c r="R14" cm="1">
        <f t="array" ref="R14">[1]!PropsSI("D","T",K14+273.15,"P",101325,"Water")</f>
        <v>985.95708566682879</v>
      </c>
      <c r="S14">
        <f t="shared" si="5"/>
        <v>985.44354177041635</v>
      </c>
      <c r="T14" cm="1">
        <f t="array" ref="T14">[1]!PropsSI("H","T",J14+273.15,"P",101325,"Water")</f>
        <v>236856.9156713722</v>
      </c>
      <c r="U14" cm="1">
        <f t="array" ref="U14">[1]!PropsSI("H","T",K14+273.15,"P",101325,"Water")</f>
        <v>228040.39472920593</v>
      </c>
      <c r="V14">
        <f t="shared" si="6"/>
        <v>230.96927989799426</v>
      </c>
    </row>
    <row r="15" spans="1:22" x14ac:dyDescent="0.2">
      <c r="A15">
        <v>46068.622196041666</v>
      </c>
      <c r="B15">
        <v>19.726247000000001</v>
      </c>
      <c r="C15">
        <v>19.652077999999999</v>
      </c>
      <c r="D15">
        <v>19.855754999999998</v>
      </c>
      <c r="E15">
        <v>19.707184000000002</v>
      </c>
      <c r="F15">
        <v>42.141517</v>
      </c>
      <c r="G15">
        <v>38.924171000000001</v>
      </c>
      <c r="H15">
        <v>27.087039000000001</v>
      </c>
      <c r="I15">
        <v>31.341111999999999</v>
      </c>
      <c r="J15">
        <v>56.566521999999999</v>
      </c>
      <c r="K15">
        <v>54.460797999999997</v>
      </c>
      <c r="L15">
        <v>13.371427000000001</v>
      </c>
      <c r="M15">
        <v>-622.52163199999995</v>
      </c>
      <c r="N15">
        <v>1.5963369999999999</v>
      </c>
      <c r="O15">
        <v>2.7971379999999999</v>
      </c>
      <c r="P15">
        <f t="shared" si="4"/>
        <v>2.6605616666666665E-5</v>
      </c>
      <c r="Q15" cm="1">
        <f t="array" ref="Q15">[1]!PropsSI("D","T",J15+273.15,"P",101325,"Water")</f>
        <v>984.92701074712079</v>
      </c>
      <c r="R15" cm="1">
        <f t="array" ref="R15">[1]!PropsSI("D","T",K15+273.15,"P",101325,"Water")</f>
        <v>985.95326080795394</v>
      </c>
      <c r="S15">
        <f t="shared" si="5"/>
        <v>985.44013577753731</v>
      </c>
      <c r="T15" cm="1">
        <f t="array" ref="T15">[1]!PropsSI("H","T",J15+273.15,"P",101325,"Water")</f>
        <v>236882.22190865717</v>
      </c>
      <c r="U15" cm="1">
        <f t="array" ref="U15">[1]!PropsSI("H","T",K15+273.15,"P",101325,"Water")</f>
        <v>228073.66860300669</v>
      </c>
      <c r="V15">
        <f t="shared" si="6"/>
        <v>230.94478664564164</v>
      </c>
    </row>
    <row r="16" spans="1:22" x14ac:dyDescent="0.2">
      <c r="A16">
        <v>46068.622312361113</v>
      </c>
      <c r="B16">
        <v>19.72383</v>
      </c>
      <c r="C16">
        <v>19.674099999999999</v>
      </c>
      <c r="D16">
        <v>19.855913999999999</v>
      </c>
      <c r="E16">
        <v>19.693321000000001</v>
      </c>
      <c r="F16">
        <v>41.515107</v>
      </c>
      <c r="G16">
        <v>39.420957999999999</v>
      </c>
      <c r="H16">
        <v>26.827969</v>
      </c>
      <c r="I16">
        <v>30.555294</v>
      </c>
      <c r="J16">
        <v>56.569387999999996</v>
      </c>
      <c r="K16">
        <v>54.464297999999999</v>
      </c>
      <c r="L16">
        <v>12.766559000000001</v>
      </c>
      <c r="M16">
        <v>-622.46489999999994</v>
      </c>
      <c r="N16">
        <v>1.595013</v>
      </c>
      <c r="O16">
        <v>3.0340120000000002</v>
      </c>
      <c r="P16">
        <f t="shared" si="4"/>
        <v>2.6583550000000001E-5</v>
      </c>
      <c r="Q16" cm="1">
        <f t="array" ref="Q16">[1]!PropsSI("D","T",J16+273.15,"P",101325,"Water")</f>
        <v>984.92559537635202</v>
      </c>
      <c r="R16" cm="1">
        <f t="array" ref="R16">[1]!PropsSI("D","T",K16+273.15,"P",101325,"Water")</f>
        <v>985.95157784103947</v>
      </c>
      <c r="S16">
        <f t="shared" si="5"/>
        <v>985.43858660869569</v>
      </c>
      <c r="T16" cm="1">
        <f t="array" ref="T16">[1]!PropsSI("H","T",J16+273.15,"P",101325,"Water")</f>
        <v>236894.21194106693</v>
      </c>
      <c r="U16" cm="1">
        <f t="array" ref="U16">[1]!PropsSI("H","T",K16+273.15,"P",101325,"Water")</f>
        <v>228088.30827794876</v>
      </c>
      <c r="V16">
        <f t="shared" si="6"/>
        <v>230.68346731431998</v>
      </c>
    </row>
    <row r="17" spans="1:22" x14ac:dyDescent="0.2">
      <c r="A17">
        <v>46068.622428680559</v>
      </c>
      <c r="B17">
        <v>19.728725000000001</v>
      </c>
      <c r="C17">
        <v>19.682438000000001</v>
      </c>
      <c r="D17">
        <v>19.858211000000001</v>
      </c>
      <c r="E17">
        <v>19.695824999999999</v>
      </c>
      <c r="F17">
        <v>40.770587999999996</v>
      </c>
      <c r="G17">
        <v>39.370113000000003</v>
      </c>
      <c r="H17">
        <v>27.414947000000002</v>
      </c>
      <c r="I17">
        <v>31.469245999999998</v>
      </c>
      <c r="J17">
        <v>56.563656999999999</v>
      </c>
      <c r="K17">
        <v>54.463979999999999</v>
      </c>
      <c r="L17">
        <v>14.070167</v>
      </c>
      <c r="M17">
        <v>-622.49102100000005</v>
      </c>
      <c r="N17">
        <v>1.6019509999999999</v>
      </c>
      <c r="O17">
        <v>2.923848</v>
      </c>
      <c r="P17">
        <f t="shared" si="4"/>
        <v>2.669918333333333E-5</v>
      </c>
      <c r="Q17" cm="1">
        <f t="array" ref="Q17">[1]!PropsSI("D","T",J17+273.15,"P",101325,"Water")</f>
        <v>984.92842557388155</v>
      </c>
      <c r="R17" cm="1">
        <f t="array" ref="R17">[1]!PropsSI("D","T",K17+273.15,"P",101325,"Water")</f>
        <v>985.95173075376567</v>
      </c>
      <c r="S17">
        <f t="shared" si="5"/>
        <v>985.44007816382361</v>
      </c>
      <c r="T17" cm="1">
        <f t="array" ref="T17">[1]!PropsSI("H","T",J17+273.15,"P",101325,"Water")</f>
        <v>236870.23606299909</v>
      </c>
      <c r="U17" cm="1">
        <f t="array" ref="U17">[1]!PropsSI("H","T",K17+273.15,"P",101325,"Water")</f>
        <v>228086.97815872391</v>
      </c>
      <c r="V17">
        <f t="shared" si="6"/>
        <v>231.09142674205219</v>
      </c>
    </row>
    <row r="18" spans="1:22" x14ac:dyDescent="0.2">
      <c r="A18">
        <v>46068.622544999998</v>
      </c>
      <c r="B18">
        <v>19.720305</v>
      </c>
      <c r="C18">
        <v>19.683845000000002</v>
      </c>
      <c r="D18">
        <v>19.861939</v>
      </c>
      <c r="E18">
        <v>19.688713</v>
      </c>
      <c r="F18">
        <v>41.502439000000003</v>
      </c>
      <c r="G18">
        <v>39.719656999999998</v>
      </c>
      <c r="H18">
        <v>27.118296999999998</v>
      </c>
      <c r="I18">
        <v>30.264908999999999</v>
      </c>
      <c r="J18">
        <v>56.566363000000003</v>
      </c>
      <c r="K18">
        <v>54.462547999999998</v>
      </c>
      <c r="L18">
        <v>12.068227</v>
      </c>
      <c r="M18">
        <v>-622.47510299999999</v>
      </c>
      <c r="N18">
        <v>1.602393</v>
      </c>
      <c r="O18">
        <v>2.8128190000000002</v>
      </c>
      <c r="P18">
        <f t="shared" si="4"/>
        <v>2.6706549999999999E-5</v>
      </c>
      <c r="Q18" cm="1">
        <f t="array" ref="Q18">[1]!PropsSI("D","T",J18+273.15,"P",101325,"Water")</f>
        <v>984.92708926762884</v>
      </c>
      <c r="R18" cm="1">
        <f t="array" ref="R18">[1]!PropsSI("D","T",K18+273.15,"P",101325,"Water")</f>
        <v>985.95241933405464</v>
      </c>
      <c r="S18">
        <f t="shared" si="5"/>
        <v>985.43975430084174</v>
      </c>
      <c r="T18" cm="1">
        <f t="array" ref="T18">[1]!PropsSI("H","T",J18+273.15,"P",101325,"Water")</f>
        <v>236881.55672548746</v>
      </c>
      <c r="U18" cm="1">
        <f t="array" ref="U18">[1]!PropsSI("H","T",K18+273.15,"P",101325,"Water")</f>
        <v>228080.98843992062</v>
      </c>
      <c r="V18">
        <f t="shared" si="6"/>
        <v>231.61068138479291</v>
      </c>
    </row>
    <row r="19" spans="1:22" x14ac:dyDescent="0.2">
      <c r="A19">
        <v>46068.622661319445</v>
      </c>
      <c r="B19">
        <v>19.745702999999999</v>
      </c>
      <c r="C19">
        <v>19.705779</v>
      </c>
      <c r="D19">
        <v>19.894310999999998</v>
      </c>
      <c r="E19">
        <v>19.71754</v>
      </c>
      <c r="F19">
        <v>42.144692999999997</v>
      </c>
      <c r="G19">
        <v>38.518979000000002</v>
      </c>
      <c r="H19">
        <v>27.171465000000001</v>
      </c>
      <c r="I19">
        <v>29.356725000000001</v>
      </c>
      <c r="J19">
        <v>56.567636</v>
      </c>
      <c r="K19">
        <v>54.461911000000001</v>
      </c>
      <c r="L19">
        <v>14.01915</v>
      </c>
      <c r="M19">
        <v>-622.48612300000002</v>
      </c>
      <c r="N19">
        <v>1.592665</v>
      </c>
      <c r="O19">
        <v>3.0451570000000001</v>
      </c>
      <c r="P19">
        <f t="shared" si="4"/>
        <v>2.6544416666666666E-5</v>
      </c>
      <c r="Q19" cm="1">
        <f t="array" ref="Q19">[1]!PropsSI("D","T",J19+273.15,"P",101325,"Water")</f>
        <v>984.92646060548236</v>
      </c>
      <c r="R19" cm="1">
        <f t="array" ref="R19">[1]!PropsSI("D","T",K19+273.15,"P",101325,"Water")</f>
        <v>985.95272563276853</v>
      </c>
      <c r="S19">
        <f t="shared" si="5"/>
        <v>985.43959311912545</v>
      </c>
      <c r="T19" cm="1">
        <f t="array" ref="T19">[1]!PropsSI("H","T",J19+273.15,"P",101325,"Water")</f>
        <v>236886.88237447047</v>
      </c>
      <c r="U19" cm="1">
        <f t="array" ref="U19">[1]!PropsSI("H","T",K19+273.15,"P",101325,"Water")</f>
        <v>228078.32401915896</v>
      </c>
      <c r="V19">
        <f t="shared" si="6"/>
        <v>230.41355737072146</v>
      </c>
    </row>
    <row r="20" spans="1:22" x14ac:dyDescent="0.2">
      <c r="A20">
        <v>46068.622777638891</v>
      </c>
      <c r="B20">
        <v>19.77449</v>
      </c>
      <c r="C20">
        <v>19.734791000000001</v>
      </c>
      <c r="D20">
        <v>19.900091</v>
      </c>
      <c r="E20">
        <v>19.734065000000001</v>
      </c>
      <c r="F20">
        <v>42.097231000000001</v>
      </c>
      <c r="G20">
        <v>38.783535000000001</v>
      </c>
      <c r="H20">
        <v>26.635342999999999</v>
      </c>
      <c r="I20">
        <v>27.335581000000001</v>
      </c>
      <c r="J20">
        <v>56.569228000000003</v>
      </c>
      <c r="K20">
        <v>54.463979999999999</v>
      </c>
      <c r="L20">
        <v>12.234749000000001</v>
      </c>
      <c r="M20">
        <v>-622.5</v>
      </c>
      <c r="N20">
        <v>1.5962019999999999</v>
      </c>
      <c r="O20">
        <v>3.0738639999999999</v>
      </c>
      <c r="P20">
        <f t="shared" si="4"/>
        <v>2.6603366666666667E-5</v>
      </c>
      <c r="Q20" cm="1">
        <f t="array" ref="Q20">[1]!PropsSI("D","T",J20+273.15,"P",101325,"Water")</f>
        <v>984.92567439350989</v>
      </c>
      <c r="R20" cm="1">
        <f t="array" ref="R20">[1]!PropsSI("D","T",K20+273.15,"P",101325,"Water")</f>
        <v>985.95173075376567</v>
      </c>
      <c r="S20">
        <f t="shared" si="5"/>
        <v>985.43870257363778</v>
      </c>
      <c r="T20" cm="1">
        <f t="array" ref="T20">[1]!PropsSI("H","T",J20+273.15,"P",101325,"Water")</f>
        <v>236893.54257416463</v>
      </c>
      <c r="U20" cm="1">
        <f t="array" ref="U20">[1]!PropsSI("H","T",K20+273.15,"P",101325,"Water")</f>
        <v>228086.97815872391</v>
      </c>
      <c r="V20">
        <f t="shared" si="6"/>
        <v>230.87277939312233</v>
      </c>
    </row>
    <row r="21" spans="1:22" x14ac:dyDescent="0.2">
      <c r="A21">
        <v>46068.622893958331</v>
      </c>
      <c r="B21">
        <v>19.804411000000002</v>
      </c>
      <c r="C21">
        <v>19.755171000000001</v>
      </c>
      <c r="D21">
        <v>19.924641000000001</v>
      </c>
      <c r="E21">
        <v>19.762733000000001</v>
      </c>
      <c r="F21">
        <v>42.352412000000001</v>
      </c>
      <c r="G21">
        <v>38.543638000000001</v>
      </c>
      <c r="H21">
        <v>28.287324999999999</v>
      </c>
      <c r="I21">
        <v>29.483702999999998</v>
      </c>
      <c r="J21">
        <v>56.574162999999999</v>
      </c>
      <c r="K21">
        <v>54.474003000000003</v>
      </c>
      <c r="L21">
        <v>12.891859</v>
      </c>
      <c r="M21">
        <v>-622.47673599999996</v>
      </c>
      <c r="N21">
        <v>1.6011230000000001</v>
      </c>
      <c r="O21">
        <v>3.0892650000000001</v>
      </c>
      <c r="P21">
        <f t="shared" si="4"/>
        <v>2.6685383333333334E-5</v>
      </c>
      <c r="Q21" cm="1">
        <f t="array" ref="Q21">[1]!PropsSI("D","T",J21+273.15,"P",101325,"Water")</f>
        <v>984.92323713675671</v>
      </c>
      <c r="R21" cm="1">
        <f t="array" ref="R21">[1]!PropsSI("D","T",K21+273.15,"P",101325,"Water")</f>
        <v>985.94691081420683</v>
      </c>
      <c r="S21">
        <f t="shared" si="5"/>
        <v>985.43507397548183</v>
      </c>
      <c r="T21" cm="1">
        <f t="array" ref="T21">[1]!PropsSI("H","T",J21+273.15,"P",101325,"Water")</f>
        <v>236914.18836278003</v>
      </c>
      <c r="U21" cm="1">
        <f t="array" ref="U21">[1]!PropsSI("H","T",K21+273.15,"P",101325,"Water")</f>
        <v>228128.90202798776</v>
      </c>
      <c r="V21">
        <f t="shared" si="6"/>
        <v>231.02415072577818</v>
      </c>
    </row>
    <row r="22" spans="1:22" x14ac:dyDescent="0.2">
      <c r="A22">
        <v>46068.623009699077</v>
      </c>
      <c r="B22">
        <v>19.811920000000001</v>
      </c>
      <c r="C22">
        <v>19.769352999999999</v>
      </c>
      <c r="D22">
        <v>19.945782000000001</v>
      </c>
      <c r="E22">
        <v>19.790785</v>
      </c>
      <c r="F22">
        <v>41.735689000000001</v>
      </c>
      <c r="G22">
        <v>38.814867</v>
      </c>
      <c r="H22">
        <v>26.802584</v>
      </c>
      <c r="I22">
        <v>29.497174000000001</v>
      </c>
      <c r="J22">
        <v>56.573526000000001</v>
      </c>
      <c r="K22">
        <v>54.478935</v>
      </c>
      <c r="L22">
        <v>13.27633</v>
      </c>
      <c r="M22">
        <v>-622.50244899999996</v>
      </c>
      <c r="N22">
        <v>1.600349</v>
      </c>
      <c r="O22">
        <v>3.0712329999999999</v>
      </c>
      <c r="P22">
        <f t="shared" si="4"/>
        <v>2.6672483333333332E-5</v>
      </c>
      <c r="Q22" cm="1">
        <f t="array" ref="Q22">[1]!PropsSI("D","T",J22+273.15,"P",101325,"Water")</f>
        <v>984.92355174137549</v>
      </c>
      <c r="R22" cm="1">
        <f t="array" ref="R22">[1]!PropsSI("D","T",K22+273.15,"P",101325,"Water")</f>
        <v>985.94453884482414</v>
      </c>
      <c r="S22">
        <f t="shared" si="5"/>
        <v>985.43404529309987</v>
      </c>
      <c r="T22" cm="1">
        <f t="array" ref="T22">[1]!PropsSI("H","T",J22+273.15,"P",101325,"Water")</f>
        <v>236911.52344487293</v>
      </c>
      <c r="U22" cm="1">
        <f t="array" ref="U22">[1]!PropsSI("H","T",K22+273.15,"P",101325,"Water")</f>
        <v>228149.53144572291</v>
      </c>
      <c r="V22">
        <f t="shared" si="6"/>
        <v>230.29996243898435</v>
      </c>
    </row>
    <row r="23" spans="1:22" x14ac:dyDescent="0.2">
      <c r="A23">
        <v>46068.623126018516</v>
      </c>
      <c r="B23">
        <v>19.829463000000001</v>
      </c>
      <c r="C23">
        <v>19.775601000000002</v>
      </c>
      <c r="D23">
        <v>19.942972000000001</v>
      </c>
      <c r="E23">
        <v>19.813283999999999</v>
      </c>
      <c r="F23">
        <v>42.629489</v>
      </c>
      <c r="G23">
        <v>39.200710000000001</v>
      </c>
      <c r="H23">
        <v>26.649920000000002</v>
      </c>
      <c r="I23">
        <v>29.792233</v>
      </c>
      <c r="J23">
        <v>56.575277</v>
      </c>
      <c r="K23">
        <v>54.480207999999998</v>
      </c>
      <c r="L23">
        <v>12.465350000000001</v>
      </c>
      <c r="M23">
        <v>-622.50857099999996</v>
      </c>
      <c r="N23">
        <v>1.596689</v>
      </c>
      <c r="O23">
        <v>3.0030049999999999</v>
      </c>
      <c r="P23">
        <f t="shared" si="4"/>
        <v>2.6611483333333334E-5</v>
      </c>
      <c r="Q23" cm="1">
        <f t="array" ref="Q23">[1]!PropsSI("D","T",J23+273.15,"P",101325,"Water")</f>
        <v>984.92268694313498</v>
      </c>
      <c r="R23" cm="1">
        <f t="array" ref="R23">[1]!PropsSI("D","T",K23+273.15,"P",101325,"Water")</f>
        <v>985.94392659040784</v>
      </c>
      <c r="S23">
        <f t="shared" si="5"/>
        <v>985.43330676677147</v>
      </c>
      <c r="T23" cm="1">
        <f t="array" ref="T23">[1]!PropsSI("H","T",J23+273.15,"P",101325,"Water")</f>
        <v>236918.84883187184</v>
      </c>
      <c r="U23" cm="1">
        <f t="array" ref="U23">[1]!PropsSI("H","T",K23+273.15,"P",101325,"Water")</f>
        <v>228154.85611231445</v>
      </c>
      <c r="V23">
        <f t="shared" si="6"/>
        <v>229.82556053452683</v>
      </c>
    </row>
    <row r="24" spans="1:22" x14ac:dyDescent="0.2">
      <c r="A24">
        <v>46068.623241759262</v>
      </c>
      <c r="B24">
        <v>19.839017999999999</v>
      </c>
      <c r="C24">
        <v>19.782986000000001</v>
      </c>
      <c r="D24">
        <v>19.949888999999999</v>
      </c>
      <c r="E24">
        <v>19.815994</v>
      </c>
      <c r="F24">
        <v>41.401136000000001</v>
      </c>
      <c r="G24">
        <v>38.544955000000002</v>
      </c>
      <c r="H24">
        <v>28.083874000000002</v>
      </c>
      <c r="I24">
        <v>30.266221000000002</v>
      </c>
      <c r="J24">
        <v>56.578938999999998</v>
      </c>
      <c r="K24">
        <v>54.482911999999999</v>
      </c>
      <c r="L24">
        <v>12.535959</v>
      </c>
      <c r="M24">
        <v>-622.48530700000003</v>
      </c>
      <c r="N24">
        <v>1.5957349999999999</v>
      </c>
      <c r="O24">
        <v>2.9507119999999998</v>
      </c>
      <c r="P24">
        <f t="shared" si="4"/>
        <v>2.6595583333333333E-5</v>
      </c>
      <c r="Q24" cm="1">
        <f t="array" ref="Q24">[1]!PropsSI("D","T",J24+273.15,"P",101325,"Water")</f>
        <v>984.92087826396175</v>
      </c>
      <c r="R24" cm="1">
        <f t="array" ref="R24">[1]!PropsSI("D","T",K24+273.15,"P",101325,"Water")</f>
        <v>985.94262605733434</v>
      </c>
      <c r="S24">
        <f t="shared" si="5"/>
        <v>985.4317521606481</v>
      </c>
      <c r="T24" cm="1">
        <f t="array" ref="T24">[1]!PropsSI("H","T",J24+273.15,"P",101325,"Water")</f>
        <v>236934.16897689248</v>
      </c>
      <c r="U24" cm="1">
        <f t="array" ref="U24">[1]!PropsSI("H","T",K24+273.15,"P",101325,"Water")</f>
        <v>228166.16632513344</v>
      </c>
      <c r="V24">
        <f t="shared" si="6"/>
        <v>229.79297336289753</v>
      </c>
    </row>
    <row r="25" spans="1:22" x14ac:dyDescent="0.2">
      <c r="P25" s="1"/>
    </row>
    <row r="26" spans="1:22" x14ac:dyDescent="0.2">
      <c r="D26" s="1" t="s">
        <v>22</v>
      </c>
      <c r="P26" s="1"/>
    </row>
    <row r="27" spans="1:22" x14ac:dyDescent="0.2">
      <c r="D27">
        <f>AVERAGE(V2:V24)</f>
        <v>231.50932006197215</v>
      </c>
      <c r="P27" s="1"/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53633-6A76-894A-9047-95AC205838D3}">
  <dimension ref="A1:V36"/>
  <sheetViews>
    <sheetView workbookViewId="0">
      <selection activeCell="C33" sqref="C33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44606.624766645502</v>
      </c>
      <c r="B2">
        <v>19.559356000000001</v>
      </c>
      <c r="C2">
        <v>19.585325999999998</v>
      </c>
      <c r="D2">
        <v>19.831377</v>
      </c>
      <c r="E2">
        <v>19.657830000000001</v>
      </c>
      <c r="F2">
        <v>40.450175999999999</v>
      </c>
      <c r="G2">
        <v>37.737923000000002</v>
      </c>
      <c r="H2">
        <v>27.712083</v>
      </c>
      <c r="I2">
        <v>24.725346999999999</v>
      </c>
      <c r="J2">
        <v>56.500141999999997</v>
      </c>
      <c r="K2">
        <v>52.785608000000003</v>
      </c>
      <c r="L2">
        <v>38.606082000000001</v>
      </c>
      <c r="M2">
        <v>-622.51795800000002</v>
      </c>
      <c r="N2">
        <v>1.6127450000000001</v>
      </c>
      <c r="O2">
        <v>3.2247050000000002</v>
      </c>
      <c r="P2">
        <f xml:space="preserve"> N2*0.001/60</f>
        <v>2.6879083333333335E-5</v>
      </c>
      <c r="Q2" cm="1">
        <f t="array" ref="Q2">[1]!PropsSI("D","T",J2+273.15,"P",101325,"Water")</f>
        <v>984.95977839074396</v>
      </c>
      <c r="R2" cm="1">
        <f t="array" ref="R2">[1]!PropsSI("D","T",K2+273.15,"P",101325,"Water")</f>
        <v>986.74994095797126</v>
      </c>
      <c r="S2">
        <f>(Q2+R2)/2</f>
        <v>985.85485967435761</v>
      </c>
      <c r="T2" cm="1">
        <f t="array" ref="T2">[1]!PropsSI("H","T",J2+273.15,"P",101325,"Water")</f>
        <v>236604.51925251214</v>
      </c>
      <c r="U2" cm="1">
        <f t="array" ref="U2">[1]!PropsSI("H","T",K2+273.15,"P",101325,"Water")</f>
        <v>221067.22869871679</v>
      </c>
      <c r="V2">
        <f>S2*P2*(T2-U2)</f>
        <v>411.72071910126959</v>
      </c>
    </row>
    <row r="3" spans="1:22" x14ac:dyDescent="0.2">
      <c r="A3">
        <v>44606.624882386299</v>
      </c>
      <c r="B3">
        <v>19.668524000000001</v>
      </c>
      <c r="C3">
        <v>19.634937999999998</v>
      </c>
      <c r="D3">
        <v>19.869358999999999</v>
      </c>
      <c r="E3">
        <v>19.734670000000001</v>
      </c>
      <c r="F3">
        <v>40.890673</v>
      </c>
      <c r="G3">
        <v>38.959575000000001</v>
      </c>
      <c r="H3">
        <v>27.971682999999999</v>
      </c>
      <c r="I3">
        <v>24.180351999999999</v>
      </c>
      <c r="J3">
        <v>56.491069000000003</v>
      </c>
      <c r="K3">
        <v>52.785767</v>
      </c>
      <c r="L3">
        <v>40.349668000000001</v>
      </c>
      <c r="M3">
        <v>-622.48857199999998</v>
      </c>
      <c r="N3">
        <v>1.619043</v>
      </c>
      <c r="O3">
        <v>3.2484950000000001</v>
      </c>
      <c r="P3">
        <f t="shared" ref="P3" si="0" xml:space="preserve"> N3*0.001/60</f>
        <v>2.6984050000000001E-5</v>
      </c>
      <c r="Q3" cm="1">
        <f t="array" ref="Q3">[1]!PropsSI("D","T",J3+273.15,"P",101325,"Water")</f>
        <v>984.96425507001834</v>
      </c>
      <c r="R3" cm="1">
        <f t="array" ref="R3">[1]!PropsSI("D","T",K3+273.15,"P",101325,"Water")</f>
        <v>986.74986618282435</v>
      </c>
      <c r="S3">
        <f>(Q3+R3)/2</f>
        <v>985.85706062642134</v>
      </c>
      <c r="T3" cm="1">
        <f t="array" ref="T3">[1]!PropsSI("H","T",J3+273.15,"P",101325,"Water")</f>
        <v>236566.56222542987</v>
      </c>
      <c r="U3" cm="1">
        <f t="array" ref="U3">[1]!PropsSI("H","T",K3+273.15,"P",101325,"Water")</f>
        <v>221067.89366738853</v>
      </c>
      <c r="V3">
        <f t="shared" ref="V3:V24" si="1">S3*P3*(T3-U3)</f>
        <v>412.30203178719103</v>
      </c>
    </row>
    <row r="4" spans="1:22" x14ac:dyDescent="0.2">
      <c r="A4">
        <v>44606.624998705702</v>
      </c>
      <c r="B4">
        <v>19.726188</v>
      </c>
      <c r="C4">
        <v>19.693162999999998</v>
      </c>
      <c r="D4">
        <v>19.949497000000001</v>
      </c>
      <c r="E4">
        <v>19.769411000000002</v>
      </c>
      <c r="F4">
        <v>40.130423</v>
      </c>
      <c r="G4">
        <v>38.870980000000003</v>
      </c>
      <c r="H4">
        <v>28.466702999999999</v>
      </c>
      <c r="I4">
        <v>24.720245999999999</v>
      </c>
      <c r="J4">
        <v>56.491705000000003</v>
      </c>
      <c r="K4">
        <v>52.787833999999997</v>
      </c>
      <c r="L4">
        <v>38.871375</v>
      </c>
      <c r="M4">
        <v>-622.474695</v>
      </c>
      <c r="N4">
        <v>1.6180060000000001</v>
      </c>
      <c r="O4">
        <v>3.2402220000000002</v>
      </c>
      <c r="P4">
        <f xml:space="preserve"> N4*0.001/60</f>
        <v>2.6966766666666671E-5</v>
      </c>
      <c r="Q4" cm="1">
        <f t="array" ref="Q4">[1]!PropsSI("D","T",J4+273.15,"P",101325,"Water")</f>
        <v>984.96394127973076</v>
      </c>
      <c r="R4" cm="1">
        <f t="array" ref="R4">[1]!PropsSI("D","T",K4+273.15,"P",101325,"Water")</f>
        <v>986.74889409115019</v>
      </c>
      <c r="S4">
        <f t="shared" ref="S4:S24" si="2">(Q4+R4)/2</f>
        <v>985.85641768544042</v>
      </c>
      <c r="T4" cm="1">
        <f t="array" ref="T4">[1]!PropsSI("H","T",J4+273.15,"P",101325,"Water")</f>
        <v>236569.22293960064</v>
      </c>
      <c r="U4" cm="1">
        <f t="array" ref="U4">[1]!PropsSI("H","T",K4+273.15,"P",101325,"Water")</f>
        <v>221076.53826136026</v>
      </c>
      <c r="V4">
        <f t="shared" si="1"/>
        <v>411.87859926729925</v>
      </c>
    </row>
    <row r="5" spans="1:22" x14ac:dyDescent="0.2">
      <c r="A5">
        <v>44606.625114446397</v>
      </c>
      <c r="B5">
        <v>19.732019000000001</v>
      </c>
      <c r="C5">
        <v>19.68826</v>
      </c>
      <c r="D5">
        <v>19.946221000000001</v>
      </c>
      <c r="E5">
        <v>19.792369000000001</v>
      </c>
      <c r="F5">
        <v>41.009625</v>
      </c>
      <c r="G5">
        <v>39.193840000000002</v>
      </c>
      <c r="H5">
        <v>28.125288000000001</v>
      </c>
      <c r="I5">
        <v>26.079696999999999</v>
      </c>
      <c r="J5">
        <v>56.493138000000002</v>
      </c>
      <c r="K5">
        <v>52.792287000000002</v>
      </c>
      <c r="L5">
        <v>37.352266999999998</v>
      </c>
      <c r="M5">
        <v>-622.51306099999999</v>
      </c>
      <c r="N5">
        <v>1.6202639999999999</v>
      </c>
      <c r="O5">
        <v>2.8961950000000001</v>
      </c>
      <c r="P5">
        <f t="shared" ref="P5:P24" si="3" xml:space="preserve"> N5*0.001/60</f>
        <v>2.7004399999999998E-5</v>
      </c>
      <c r="Q5" cm="1">
        <f t="array" ref="Q5">[1]!PropsSI("D","T",J5+273.15,"P",101325,"Water")</f>
        <v>984.96323425578203</v>
      </c>
      <c r="R5" cm="1">
        <f t="array" ref="R5">[1]!PropsSI("D","T",K5+273.15,"P",101325,"Water")</f>
        <v>986.74679979269376</v>
      </c>
      <c r="S5">
        <f t="shared" si="2"/>
        <v>985.8550170242379</v>
      </c>
      <c r="T5" cm="1">
        <f t="array" ref="T5">[1]!PropsSI("H","T",J5+273.15,"P",101325,"Water")</f>
        <v>236575.21791414864</v>
      </c>
      <c r="U5" cm="1">
        <f t="array" ref="U5">[1]!PropsSI("H","T",K5+273.15,"P",101325,"Water")</f>
        <v>221095.16157375323</v>
      </c>
      <c r="V5">
        <f t="shared" si="1"/>
        <v>412.11661139022124</v>
      </c>
    </row>
    <row r="6" spans="1:22" x14ac:dyDescent="0.2">
      <c r="A6">
        <v>46068.625230763886</v>
      </c>
      <c r="B6">
        <v>19.547781000000001</v>
      </c>
      <c r="C6">
        <v>19.531189000000001</v>
      </c>
      <c r="D6">
        <v>19.817518</v>
      </c>
      <c r="E6">
        <v>19.717831</v>
      </c>
      <c r="F6">
        <v>40.193683999999998</v>
      </c>
      <c r="G6">
        <v>39.041725</v>
      </c>
      <c r="H6">
        <v>27.775026</v>
      </c>
      <c r="I6">
        <v>24.505987000000001</v>
      </c>
      <c r="J6">
        <v>56.486293000000003</v>
      </c>
      <c r="K6">
        <v>52.787833999999997</v>
      </c>
      <c r="L6">
        <v>37.689393000000003</v>
      </c>
      <c r="M6">
        <v>-622.50326500000006</v>
      </c>
      <c r="N6">
        <v>1.6219809999999999</v>
      </c>
      <c r="O6">
        <v>3.0947170000000002</v>
      </c>
      <c r="P6">
        <f t="shared" si="3"/>
        <v>2.7033016666666667E-5</v>
      </c>
      <c r="Q6" cm="1">
        <f t="array" ref="Q6">[1]!PropsSI("D","T",J6+273.15,"P",101325,"Water")</f>
        <v>984.96661137839055</v>
      </c>
      <c r="R6" cm="1">
        <f t="array" ref="R6">[1]!PropsSI("D","T",K6+273.15,"P",101325,"Water")</f>
        <v>986.74889409115019</v>
      </c>
      <c r="S6">
        <f t="shared" si="2"/>
        <v>985.85775273477043</v>
      </c>
      <c r="T6" cm="1">
        <f t="array" ref="T6">[1]!PropsSI("H","T",J6+273.15,"P",101325,"Water")</f>
        <v>236546.5817728785</v>
      </c>
      <c r="U6" cm="1">
        <f t="array" ref="U6">[1]!PropsSI("H","T",K6+273.15,"P",101325,"Water")</f>
        <v>221076.53826136026</v>
      </c>
      <c r="V6">
        <f t="shared" si="1"/>
        <v>412.28762878093909</v>
      </c>
    </row>
    <row r="7" spans="1:22" x14ac:dyDescent="0.2">
      <c r="A7">
        <v>46068.625347083333</v>
      </c>
      <c r="B7">
        <v>19.509342</v>
      </c>
      <c r="C7">
        <v>19.485972</v>
      </c>
      <c r="D7">
        <v>19.793137000000002</v>
      </c>
      <c r="E7">
        <v>19.636395</v>
      </c>
      <c r="F7">
        <v>40.178975000000001</v>
      </c>
      <c r="G7">
        <v>39.142477</v>
      </c>
      <c r="H7">
        <v>27.729071999999999</v>
      </c>
      <c r="I7">
        <v>24.842265999999999</v>
      </c>
      <c r="J7">
        <v>56.48104</v>
      </c>
      <c r="K7">
        <v>52.779406999999999</v>
      </c>
      <c r="L7">
        <v>38.724443000000001</v>
      </c>
      <c r="M7">
        <v>-622.45918600000005</v>
      </c>
      <c r="N7">
        <v>1.621108</v>
      </c>
      <c r="O7">
        <v>3.2095959999999999</v>
      </c>
      <c r="P7">
        <f t="shared" si="3"/>
        <v>2.7018466666666665E-5</v>
      </c>
      <c r="Q7" cm="1">
        <f t="array" ref="Q7">[1]!PropsSI("D","T",J7+273.15,"P",101325,"Water")</f>
        <v>984.96920286056877</v>
      </c>
      <c r="R7" cm="1">
        <f t="array" ref="R7">[1]!PropsSI("D","T",K7+273.15,"P",101325,"Water")</f>
        <v>986.75285706373677</v>
      </c>
      <c r="S7">
        <f t="shared" si="2"/>
        <v>985.86102996215277</v>
      </c>
      <c r="T7" cm="1">
        <f t="array" ref="T7">[1]!PropsSI("H","T",J7+273.15,"P",101325,"Water")</f>
        <v>236524.6057953072</v>
      </c>
      <c r="U7" cm="1">
        <f t="array" ref="U7">[1]!PropsSI("H","T",K7+273.15,"P",101325,"Water")</f>
        <v>221041.29492552136</v>
      </c>
      <c r="V7">
        <f t="shared" si="1"/>
        <v>412.42048808913501</v>
      </c>
    </row>
    <row r="8" spans="1:22" x14ac:dyDescent="0.2">
      <c r="A8">
        <v>46068.625462824071</v>
      </c>
      <c r="B8">
        <v>19.499445999999999</v>
      </c>
      <c r="C8">
        <v>19.496748</v>
      </c>
      <c r="D8">
        <v>19.811368999999999</v>
      </c>
      <c r="E8">
        <v>19.638695999999999</v>
      </c>
      <c r="F8">
        <v>40.221178999999999</v>
      </c>
      <c r="G8">
        <v>38.630724999999998</v>
      </c>
      <c r="H8">
        <v>27.421638999999999</v>
      </c>
      <c r="I8">
        <v>24.357990000000001</v>
      </c>
      <c r="J8">
        <v>56.473877000000002</v>
      </c>
      <c r="K8">
        <v>52.770024999999997</v>
      </c>
      <c r="L8">
        <v>38.509352</v>
      </c>
      <c r="M8">
        <v>-622.49102100000005</v>
      </c>
      <c r="N8">
        <v>1.6175919999999999</v>
      </c>
      <c r="O8">
        <v>2.432423</v>
      </c>
      <c r="P8">
        <f t="shared" si="3"/>
        <v>2.6959866666666666E-5</v>
      </c>
      <c r="Q8" cm="1">
        <f t="array" ref="Q8">[1]!PropsSI("D","T",J8+273.15,"P",101325,"Water")</f>
        <v>984.97273633834345</v>
      </c>
      <c r="R8" cm="1">
        <f t="array" ref="R8">[1]!PropsSI("D","T",K8+273.15,"P",101325,"Water")</f>
        <v>986.75726861389819</v>
      </c>
      <c r="S8">
        <f t="shared" si="2"/>
        <v>985.86500247612082</v>
      </c>
      <c r="T8" cm="1">
        <f t="array" ref="T8">[1]!PropsSI("H","T",J8+273.15,"P",101325,"Water")</f>
        <v>236494.63933086707</v>
      </c>
      <c r="U8" cm="1">
        <f t="array" ref="U8">[1]!PropsSI("H","T",K8+273.15,"P",101325,"Water")</f>
        <v>221002.05762322893</v>
      </c>
      <c r="V8">
        <f t="shared" si="1"/>
        <v>411.77406055282239</v>
      </c>
    </row>
    <row r="9" spans="1:22" x14ac:dyDescent="0.2">
      <c r="A9">
        <v>46068.625578564817</v>
      </c>
      <c r="B9">
        <v>19.537982</v>
      </c>
      <c r="C9">
        <v>19.525255999999999</v>
      </c>
      <c r="D9">
        <v>19.814485000000001</v>
      </c>
      <c r="E9">
        <v>19.646773</v>
      </c>
      <c r="F9">
        <v>40.794035000000001</v>
      </c>
      <c r="G9">
        <v>38.977131999999997</v>
      </c>
      <c r="H9">
        <v>28.019836000000002</v>
      </c>
      <c r="I9">
        <v>24.849812</v>
      </c>
      <c r="J9">
        <v>56.470216000000001</v>
      </c>
      <c r="K9">
        <v>52.757303999999998</v>
      </c>
      <c r="L9">
        <v>37.633068999999999</v>
      </c>
      <c r="M9">
        <v>-622.49224500000003</v>
      </c>
      <c r="N9">
        <v>1.619604</v>
      </c>
      <c r="O9">
        <v>2.974526</v>
      </c>
      <c r="P9">
        <f t="shared" si="3"/>
        <v>2.6993400000000001E-5</v>
      </c>
      <c r="Q9" cm="1">
        <f t="array" ref="Q9">[1]!PropsSI("D","T",J9+273.15,"P",101325,"Water")</f>
        <v>984.97454217307427</v>
      </c>
      <c r="R9" cm="1">
        <f t="array" ref="R9">[1]!PropsSI("D","T",K9+273.15,"P",101325,"Water")</f>
        <v>986.76324931554348</v>
      </c>
      <c r="S9">
        <f t="shared" si="2"/>
        <v>985.86889574430893</v>
      </c>
      <c r="T9" cm="1">
        <f t="array" ref="T9">[1]!PropsSI("H","T",J9+273.15,"P",101325,"Water")</f>
        <v>236479.32351742685</v>
      </c>
      <c r="U9" cm="1">
        <f t="array" ref="U9">[1]!PropsSI("H","T",K9+273.15,"P",101325,"Water")</f>
        <v>220948.85603606631</v>
      </c>
      <c r="V9">
        <f t="shared" si="1"/>
        <v>413.29607767667574</v>
      </c>
    </row>
    <row r="10" spans="1:22" x14ac:dyDescent="0.2">
      <c r="A10">
        <v>44606.625694307499</v>
      </c>
      <c r="B10">
        <v>19.605060000000002</v>
      </c>
      <c r="C10">
        <v>19.532819</v>
      </c>
      <c r="D10">
        <v>19.840710000000001</v>
      </c>
      <c r="E10">
        <v>19.697807999999998</v>
      </c>
      <c r="F10">
        <v>40.35181</v>
      </c>
      <c r="G10">
        <v>39.386510999999999</v>
      </c>
      <c r="H10">
        <v>27.654053000000001</v>
      </c>
      <c r="I10">
        <v>25.270347000000001</v>
      </c>
      <c r="J10">
        <v>56.466236000000002</v>
      </c>
      <c r="K10">
        <v>52.752851</v>
      </c>
      <c r="L10">
        <v>40.156207999999999</v>
      </c>
      <c r="M10">
        <v>-622.50326500000006</v>
      </c>
      <c r="N10">
        <v>1.6186739999999999</v>
      </c>
      <c r="O10">
        <v>3.8624610000000001</v>
      </c>
      <c r="P10">
        <f t="shared" si="3"/>
        <v>2.6977900000000001E-5</v>
      </c>
      <c r="Q10" cm="1">
        <f t="array" ref="Q10">[1]!PropsSI("D","T",J10+273.15,"P",101325,"Water")</f>
        <v>984.97650526567224</v>
      </c>
      <c r="R10" cm="1">
        <f t="array" ref="R10">[1]!PropsSI("D","T",K10+273.15,"P",101325,"Water")</f>
        <v>986.76534262356267</v>
      </c>
      <c r="S10">
        <f t="shared" si="2"/>
        <v>985.87092394461752</v>
      </c>
      <c r="T10" cm="1">
        <f t="array" ref="T10">[1]!PropsSI("H","T",J10+273.15,"P",101325,"Water")</f>
        <v>236462.67317158316</v>
      </c>
      <c r="U10" cm="1">
        <f t="array" ref="U10">[1]!PropsSI("H","T",K10+273.15,"P",101325,"Water")</f>
        <v>220930.23277469786</v>
      </c>
      <c r="V10">
        <f t="shared" si="1"/>
        <v>413.11207997201365</v>
      </c>
    </row>
    <row r="11" spans="1:22" x14ac:dyDescent="0.2">
      <c r="A11">
        <v>44606.625810627003</v>
      </c>
      <c r="B11">
        <v>19.615372000000001</v>
      </c>
      <c r="C11">
        <v>19.563894000000001</v>
      </c>
      <c r="D11">
        <v>19.861205000000002</v>
      </c>
      <c r="E11">
        <v>19.717635000000001</v>
      </c>
      <c r="F11">
        <v>40.480592999999999</v>
      </c>
      <c r="G11">
        <v>38.899545000000003</v>
      </c>
      <c r="H11">
        <v>28.441507000000001</v>
      </c>
      <c r="I11">
        <v>26.031829999999999</v>
      </c>
      <c r="J11">
        <v>56.466555</v>
      </c>
      <c r="K11">
        <v>52.750306999999999</v>
      </c>
      <c r="L11">
        <v>36.708218000000002</v>
      </c>
      <c r="M11">
        <v>-622.474695</v>
      </c>
      <c r="N11">
        <v>1.619723</v>
      </c>
      <c r="O11">
        <v>3.4875419999999999</v>
      </c>
      <c r="P11">
        <f t="shared" si="3"/>
        <v>2.6995383333333332E-5</v>
      </c>
      <c r="Q11" cm="1">
        <f t="array" ref="Q11">[1]!PropsSI("D","T",J11+273.15,"P",101325,"Water")</f>
        <v>984.97634792589997</v>
      </c>
      <c r="R11" cm="1">
        <f t="array" ref="R11">[1]!PropsSI("D","T",K11+273.15,"P",101325,"Water")</f>
        <v>986.76653847438035</v>
      </c>
      <c r="S11">
        <f t="shared" si="2"/>
        <v>985.87144320014022</v>
      </c>
      <c r="T11" cm="1">
        <f t="array" ref="T11">[1]!PropsSI("H","T",J11+273.15,"P",101325,"Water")</f>
        <v>236464.00770909272</v>
      </c>
      <c r="U11" cm="1">
        <f t="array" ref="U11">[1]!PropsSI("H","T",K11+273.15,"P",101325,"Water")</f>
        <v>220919.59330372885</v>
      </c>
      <c r="V11">
        <f t="shared" si="1"/>
        <v>413.69869564811262</v>
      </c>
    </row>
    <row r="12" spans="1:22" x14ac:dyDescent="0.2">
      <c r="A12">
        <v>44606.625926946399</v>
      </c>
      <c r="B12">
        <v>19.661814</v>
      </c>
      <c r="C12">
        <v>19.626949</v>
      </c>
      <c r="D12">
        <v>19.892403999999999</v>
      </c>
      <c r="E12">
        <v>19.752884999999999</v>
      </c>
      <c r="F12">
        <v>40.762957999999998</v>
      </c>
      <c r="G12">
        <v>39.205792000000002</v>
      </c>
      <c r="H12">
        <v>28.023627000000001</v>
      </c>
      <c r="I12">
        <v>24.622883999999999</v>
      </c>
      <c r="J12">
        <v>56.462575000000001</v>
      </c>
      <c r="K12">
        <v>52.744264999999999</v>
      </c>
      <c r="L12">
        <v>39.257069999999999</v>
      </c>
      <c r="M12">
        <v>-622.49061300000005</v>
      </c>
      <c r="N12">
        <v>1.616322</v>
      </c>
      <c r="O12">
        <v>2.846457</v>
      </c>
      <c r="P12">
        <f t="shared" si="3"/>
        <v>2.6938700000000003E-5</v>
      </c>
      <c r="Q12" cm="1">
        <f t="array" ref="Q12">[1]!PropsSI("D","T",J12+273.15,"P",101325,"Water")</f>
        <v>984.97831092935974</v>
      </c>
      <c r="R12" cm="1">
        <f t="array" ref="R12">[1]!PropsSI("D","T",K12+273.15,"P",101325,"Water")</f>
        <v>986.76937845504199</v>
      </c>
      <c r="S12">
        <f t="shared" si="2"/>
        <v>985.87384469220092</v>
      </c>
      <c r="T12" cm="1">
        <f t="array" ref="T12">[1]!PropsSI("H","T",J12+273.15,"P",101325,"Water")</f>
        <v>236447.35736885414</v>
      </c>
      <c r="U12" cm="1">
        <f t="array" ref="U12">[1]!PropsSI("H","T",K12+273.15,"P",101325,"Water")</f>
        <v>220894.32456875872</v>
      </c>
      <c r="V12">
        <f t="shared" si="1"/>
        <v>413.05992954654596</v>
      </c>
    </row>
    <row r="13" spans="1:22" x14ac:dyDescent="0.2">
      <c r="A13">
        <v>44606.626042687203</v>
      </c>
      <c r="B13">
        <v>19.676807</v>
      </c>
      <c r="C13">
        <v>19.641651</v>
      </c>
      <c r="D13">
        <v>19.885463000000001</v>
      </c>
      <c r="E13">
        <v>19.759805</v>
      </c>
      <c r="F13">
        <v>41.146258000000003</v>
      </c>
      <c r="G13">
        <v>39.431548999999997</v>
      </c>
      <c r="H13">
        <v>27.614895000000001</v>
      </c>
      <c r="I13">
        <v>24.866237000000002</v>
      </c>
      <c r="J13">
        <v>56.462575000000001</v>
      </c>
      <c r="K13">
        <v>52.742038999999998</v>
      </c>
      <c r="L13">
        <v>37.637967000000003</v>
      </c>
      <c r="M13">
        <v>-622.48938799999996</v>
      </c>
      <c r="N13">
        <v>1.6205350000000001</v>
      </c>
      <c r="O13">
        <v>2.774238</v>
      </c>
      <c r="P13">
        <f t="shared" si="3"/>
        <v>2.7008916666666665E-5</v>
      </c>
      <c r="Q13" cm="1">
        <f t="array" ref="Q13">[1]!PropsSI("D","T",J13+273.15,"P",101325,"Water")</f>
        <v>984.97831092935974</v>
      </c>
      <c r="R13" cm="1">
        <f t="array" ref="R13">[1]!PropsSI("D","T",K13+273.15,"P",101325,"Water")</f>
        <v>986.77042470519541</v>
      </c>
      <c r="S13">
        <f t="shared" si="2"/>
        <v>985.87436781727752</v>
      </c>
      <c r="T13" cm="1">
        <f t="array" ref="T13">[1]!PropsSI("H","T",J13+273.15,"P",101325,"Water")</f>
        <v>236447.35736885414</v>
      </c>
      <c r="U13" cm="1">
        <f t="array" ref="U13">[1]!PropsSI("H","T",K13+273.15,"P",101325,"Water")</f>
        <v>220885.0150378414</v>
      </c>
      <c r="V13">
        <f t="shared" si="1"/>
        <v>414.38469308506632</v>
      </c>
    </row>
    <row r="14" spans="1:22" x14ac:dyDescent="0.2">
      <c r="A14">
        <v>44606.626159006599</v>
      </c>
      <c r="B14">
        <v>19.691381</v>
      </c>
      <c r="C14">
        <v>19.677696000000001</v>
      </c>
      <c r="D14">
        <v>19.866938000000001</v>
      </c>
      <c r="E14">
        <v>19.756636</v>
      </c>
      <c r="F14">
        <v>40.873617000000003</v>
      </c>
      <c r="G14">
        <v>38.835346000000001</v>
      </c>
      <c r="H14">
        <v>27.46951</v>
      </c>
      <c r="I14">
        <v>26.190339999999999</v>
      </c>
      <c r="J14">
        <v>56.456845000000001</v>
      </c>
      <c r="K14">
        <v>52.739016999999997</v>
      </c>
      <c r="L14">
        <v>37.425733000000001</v>
      </c>
      <c r="M14">
        <v>-622.512652</v>
      </c>
      <c r="N14">
        <v>1.612417</v>
      </c>
      <c r="O14">
        <v>3.5584380000000002</v>
      </c>
      <c r="P14">
        <f t="shared" si="3"/>
        <v>2.687361666666667E-5</v>
      </c>
      <c r="Q14" cm="1">
        <f t="array" ref="Q14">[1]!PropsSI("D","T",J14+273.15,"P",101325,"Water")</f>
        <v>984.98113689240597</v>
      </c>
      <c r="R14" cm="1">
        <f t="array" ref="R14">[1]!PropsSI("D","T",K14+273.15,"P",101325,"Water")</f>
        <v>986.77184503569697</v>
      </c>
      <c r="S14">
        <f t="shared" si="2"/>
        <v>985.87649096405153</v>
      </c>
      <c r="T14" cm="1">
        <f t="array" ref="T14">[1]!PropsSI("H","T",J14+273.15,"P",101325,"Water")</f>
        <v>236423.38590975254</v>
      </c>
      <c r="U14" cm="1">
        <f t="array" ref="U14">[1]!PropsSI("H","T",K14+273.15,"P",101325,"Water")</f>
        <v>220872.37649481828</v>
      </c>
      <c r="V14">
        <f t="shared" si="1"/>
        <v>412.00948378385834</v>
      </c>
    </row>
    <row r="15" spans="1:22" x14ac:dyDescent="0.2">
      <c r="A15">
        <v>46068.626274745373</v>
      </c>
      <c r="B15">
        <v>19.649003</v>
      </c>
      <c r="C15">
        <v>19.661273999999999</v>
      </c>
      <c r="D15">
        <v>19.851308</v>
      </c>
      <c r="E15">
        <v>19.686233999999999</v>
      </c>
      <c r="F15">
        <v>40.708680000000001</v>
      </c>
      <c r="G15">
        <v>39.058562000000002</v>
      </c>
      <c r="H15">
        <v>27.920997</v>
      </c>
      <c r="I15">
        <v>27.396353999999999</v>
      </c>
      <c r="J15">
        <v>56.454774999999998</v>
      </c>
      <c r="K15">
        <v>52.734724</v>
      </c>
      <c r="L15">
        <v>38.300790999999997</v>
      </c>
      <c r="M15">
        <v>-622.47673599999996</v>
      </c>
      <c r="N15">
        <v>1.6200429999999999</v>
      </c>
      <c r="O15">
        <v>2.7831079999999999</v>
      </c>
      <c r="P15">
        <f t="shared" si="3"/>
        <v>2.7000716666666664E-5</v>
      </c>
      <c r="Q15" cm="1">
        <f t="array" ref="Q15">[1]!PropsSI("D","T",J15+273.15,"P",101325,"Water")</f>
        <v>984.98215774067887</v>
      </c>
      <c r="R15" cm="1">
        <f t="array" ref="R15">[1]!PropsSI("D","T",K15+273.15,"P",101325,"Water")</f>
        <v>986.77386263231574</v>
      </c>
      <c r="S15">
        <f t="shared" si="2"/>
        <v>985.87801018649725</v>
      </c>
      <c r="T15" cm="1">
        <f t="array" ref="T15">[1]!PropsSI("H","T",J15+273.15,"P",101325,"Water")</f>
        <v>236414.72606637559</v>
      </c>
      <c r="U15" cm="1">
        <f t="array" ref="U15">[1]!PropsSI("H","T",K15+273.15,"P",101325,"Water")</f>
        <v>220854.42240830068</v>
      </c>
      <c r="V15">
        <f t="shared" si="1"/>
        <v>414.20614669352102</v>
      </c>
    </row>
    <row r="16" spans="1:22" x14ac:dyDescent="0.2">
      <c r="A16">
        <v>46068.626391064812</v>
      </c>
      <c r="B16">
        <v>19.627414000000002</v>
      </c>
      <c r="C16">
        <v>19.625605</v>
      </c>
      <c r="D16">
        <v>19.804479000000001</v>
      </c>
      <c r="E16">
        <v>19.654242</v>
      </c>
      <c r="F16">
        <v>40.693598000000001</v>
      </c>
      <c r="G16">
        <v>39.482644999999998</v>
      </c>
      <c r="H16">
        <v>27.472483</v>
      </c>
      <c r="I16">
        <v>24.226547</v>
      </c>
      <c r="J16">
        <v>56.456207999999997</v>
      </c>
      <c r="K16">
        <v>52.732339000000003</v>
      </c>
      <c r="L16">
        <v>39.823163999999998</v>
      </c>
      <c r="M16">
        <v>-622.49224500000003</v>
      </c>
      <c r="N16">
        <v>1.6191</v>
      </c>
      <c r="O16">
        <v>3.7049089999999998</v>
      </c>
      <c r="P16">
        <f t="shared" si="3"/>
        <v>2.6985E-5</v>
      </c>
      <c r="Q16" cm="1">
        <f t="array" ref="Q16">[1]!PropsSI("D","T",J16+273.15,"P",101325,"Water")</f>
        <v>984.98145104030448</v>
      </c>
      <c r="R16" cm="1">
        <f t="array" ref="R16">[1]!PropsSI("D","T",K16+273.15,"P",101325,"Water")</f>
        <v>986.77498346867321</v>
      </c>
      <c r="S16">
        <f t="shared" si="2"/>
        <v>985.87821725448885</v>
      </c>
      <c r="T16" cm="1">
        <f t="array" ref="T16">[1]!PropsSI("H","T",J16+273.15,"P",101325,"Water")</f>
        <v>236420.72102055396</v>
      </c>
      <c r="U16" cm="1">
        <f t="array" ref="U16">[1]!PropsSI("H","T",K16+273.15,"P",101325,"Water")</f>
        <v>220844.44791834813</v>
      </c>
      <c r="V16">
        <f t="shared" si="1"/>
        <v>414.38998102637464</v>
      </c>
    </row>
    <row r="17" spans="1:22" x14ac:dyDescent="0.2">
      <c r="A17">
        <v>46068.626506805558</v>
      </c>
      <c r="B17">
        <v>19.650303000000001</v>
      </c>
      <c r="C17">
        <v>19.616672000000001</v>
      </c>
      <c r="D17">
        <v>19.812201999999999</v>
      </c>
      <c r="E17">
        <v>19.660831000000002</v>
      </c>
      <c r="F17">
        <v>40.903979</v>
      </c>
      <c r="G17">
        <v>39.772885000000002</v>
      </c>
      <c r="H17">
        <v>26.935452999999999</v>
      </c>
      <c r="I17">
        <v>25.039072000000001</v>
      </c>
      <c r="J17">
        <v>56.458277000000002</v>
      </c>
      <c r="K17">
        <v>52.731703000000003</v>
      </c>
      <c r="L17">
        <v>39.412979999999997</v>
      </c>
      <c r="M17">
        <v>-622.50489800000003</v>
      </c>
      <c r="N17">
        <v>1.6230789999999999</v>
      </c>
      <c r="O17">
        <v>2.6017420000000002</v>
      </c>
      <c r="P17">
        <f t="shared" si="3"/>
        <v>2.7051316666666666E-5</v>
      </c>
      <c r="Q17" cm="1">
        <f t="array" ref="Q17">[1]!PropsSI("D","T",J17+273.15,"P",101325,"Water")</f>
        <v>984.98043066705691</v>
      </c>
      <c r="R17" cm="1">
        <f t="array" ref="R17">[1]!PropsSI("D","T",K17+273.15,"P",101325,"Water")</f>
        <v>986.7752823522585</v>
      </c>
      <c r="S17">
        <f t="shared" si="2"/>
        <v>985.8778565096577</v>
      </c>
      <c r="T17" cm="1">
        <f t="array" ref="T17">[1]!PropsSI("H","T",J17+273.15,"P",101325,"Water")</f>
        <v>236429.37668159767</v>
      </c>
      <c r="U17" cm="1">
        <f t="array" ref="U17">[1]!PropsSI("H","T",K17+273.15,"P",101325,"Water")</f>
        <v>220841.788054662</v>
      </c>
      <c r="V17">
        <f t="shared" si="1"/>
        <v>415.70998526279118</v>
      </c>
    </row>
    <row r="18" spans="1:22" x14ac:dyDescent="0.2">
      <c r="A18">
        <v>46068.626622546297</v>
      </c>
      <c r="B18">
        <v>19.669571000000001</v>
      </c>
      <c r="C18">
        <v>19.623213</v>
      </c>
      <c r="D18">
        <v>19.838355</v>
      </c>
      <c r="E18">
        <v>19.693636999999999</v>
      </c>
      <c r="F18">
        <v>40.949573000000001</v>
      </c>
      <c r="G18">
        <v>38.973652000000001</v>
      </c>
      <c r="H18">
        <v>27.659965</v>
      </c>
      <c r="I18">
        <v>25.925315000000001</v>
      </c>
      <c r="J18">
        <v>56.458117999999999</v>
      </c>
      <c r="K18">
        <v>52.728681999999999</v>
      </c>
      <c r="L18">
        <v>37.275944000000003</v>
      </c>
      <c r="M18">
        <v>-622.48612300000002</v>
      </c>
      <c r="N18">
        <v>1.621702</v>
      </c>
      <c r="O18">
        <v>3.241797</v>
      </c>
      <c r="P18">
        <f t="shared" si="3"/>
        <v>2.7028366666666667E-5</v>
      </c>
      <c r="Q18" cm="1">
        <f t="array" ref="Q18">[1]!PropsSI("D","T",J18+273.15,"P",101325,"Water")</f>
        <v>984.98050908236053</v>
      </c>
      <c r="R18" cm="1">
        <f t="array" ref="R18">[1]!PropsSI("D","T",K18+273.15,"P",101325,"Water")</f>
        <v>986.77670201416277</v>
      </c>
      <c r="S18">
        <f t="shared" si="2"/>
        <v>985.8786055482617</v>
      </c>
      <c r="T18" cm="1">
        <f t="array" ref="T18">[1]!PropsSI("H","T",J18+273.15,"P",101325,"Water")</f>
        <v>236428.71150507606</v>
      </c>
      <c r="U18" cm="1">
        <f t="array" ref="U18">[1]!PropsSI("H","T",K18+273.15,"P",101325,"Water")</f>
        <v>220829.15370406097</v>
      </c>
      <c r="V18">
        <f t="shared" si="1"/>
        <v>415.67655651887594</v>
      </c>
    </row>
    <row r="19" spans="1:22" x14ac:dyDescent="0.2">
      <c r="A19">
        <v>46068.626738865743</v>
      </c>
      <c r="B19">
        <v>19.702133</v>
      </c>
      <c r="C19">
        <v>19.661086999999998</v>
      </c>
      <c r="D19">
        <v>19.875737000000001</v>
      </c>
      <c r="E19">
        <v>19.737306</v>
      </c>
      <c r="F19">
        <v>40.275305000000003</v>
      </c>
      <c r="G19">
        <v>37.866542000000003</v>
      </c>
      <c r="H19">
        <v>26.897386999999998</v>
      </c>
      <c r="I19">
        <v>25.241</v>
      </c>
      <c r="J19">
        <v>56.458596</v>
      </c>
      <c r="K19">
        <v>52.724229000000001</v>
      </c>
      <c r="L19">
        <v>38.538738000000002</v>
      </c>
      <c r="M19">
        <v>-622.47510299999999</v>
      </c>
      <c r="N19">
        <v>1.6167689999999999</v>
      </c>
      <c r="O19">
        <v>2.35934</v>
      </c>
      <c r="P19">
        <f t="shared" si="3"/>
        <v>2.6946149999999999E-5</v>
      </c>
      <c r="Q19" cm="1">
        <f t="array" ref="Q19">[1]!PropsSI("D","T",J19+273.15,"P",101325,"Water")</f>
        <v>984.98027334279095</v>
      </c>
      <c r="R19" cm="1">
        <f t="array" ref="R19">[1]!PropsSI("D","T",K19+273.15,"P",101325,"Water")</f>
        <v>986.77879451155343</v>
      </c>
      <c r="S19">
        <f t="shared" si="2"/>
        <v>985.87953392717213</v>
      </c>
      <c r="T19" cm="1">
        <f t="array" ref="T19">[1]!PropsSI("H","T",J19+273.15,"P",101325,"Water")</f>
        <v>236430.71121817734</v>
      </c>
      <c r="U19" cm="1">
        <f t="array" ref="U19">[1]!PropsSI("H","T",K19+273.15,"P",101325,"Water")</f>
        <v>220810.53048433052</v>
      </c>
      <c r="V19">
        <f t="shared" si="1"/>
        <v>414.96037619844475</v>
      </c>
    </row>
    <row r="20" spans="1:22" x14ac:dyDescent="0.2">
      <c r="A20">
        <v>46068.626854606482</v>
      </c>
      <c r="B20">
        <v>19.675007999999998</v>
      </c>
      <c r="C20">
        <v>19.644093000000002</v>
      </c>
      <c r="D20">
        <v>19.846066</v>
      </c>
      <c r="E20">
        <v>19.695065</v>
      </c>
      <c r="F20">
        <v>41.091616000000002</v>
      </c>
      <c r="G20">
        <v>38.558661999999998</v>
      </c>
      <c r="H20">
        <v>28.082464000000002</v>
      </c>
      <c r="I20">
        <v>24.21114</v>
      </c>
      <c r="J20">
        <v>56.458117999999999</v>
      </c>
      <c r="K20">
        <v>52.723115999999997</v>
      </c>
      <c r="L20">
        <v>40.608431000000003</v>
      </c>
      <c r="M20">
        <v>-622.50367300000005</v>
      </c>
      <c r="N20">
        <v>1.616719</v>
      </c>
      <c r="O20">
        <v>2.9555790000000002</v>
      </c>
      <c r="P20">
        <f t="shared" si="3"/>
        <v>2.6945316666666668E-5</v>
      </c>
      <c r="Q20" cm="1">
        <f t="array" ref="Q20">[1]!PropsSI("D","T",J20+273.15,"P",101325,"Water")</f>
        <v>984.98050908236053</v>
      </c>
      <c r="R20" cm="1">
        <f t="array" ref="R20">[1]!PropsSI("D","T",K20+273.15,"P",101325,"Water")</f>
        <v>986.77931749873505</v>
      </c>
      <c r="S20">
        <f t="shared" si="2"/>
        <v>985.87991329054785</v>
      </c>
      <c r="T20" cm="1">
        <f t="array" ref="T20">[1]!PropsSI("H","T",J20+273.15,"P",101325,"Water")</f>
        <v>236428.71150507606</v>
      </c>
      <c r="U20" cm="1">
        <f t="array" ref="U20">[1]!PropsSI("H","T",K20+273.15,"P",101325,"Water")</f>
        <v>220805.87572595879</v>
      </c>
      <c r="V20">
        <f t="shared" si="1"/>
        <v>415.01823372516731</v>
      </c>
    </row>
    <row r="21" spans="1:22" x14ac:dyDescent="0.2">
      <c r="A21">
        <v>46068.626970925929</v>
      </c>
      <c r="B21">
        <v>19.658628</v>
      </c>
      <c r="C21">
        <v>19.632943000000001</v>
      </c>
      <c r="D21">
        <v>19.803782000000002</v>
      </c>
      <c r="E21">
        <v>19.663909</v>
      </c>
      <c r="F21">
        <v>40.816403000000001</v>
      </c>
      <c r="G21">
        <v>39.077640000000002</v>
      </c>
      <c r="H21">
        <v>27.631636</v>
      </c>
      <c r="I21">
        <v>26.792867999999999</v>
      </c>
      <c r="J21">
        <v>56.460346999999999</v>
      </c>
      <c r="K21">
        <v>52.721049000000001</v>
      </c>
      <c r="L21">
        <v>40.627612999999997</v>
      </c>
      <c r="M21">
        <v>-622.50408100000004</v>
      </c>
      <c r="N21">
        <v>1.622133</v>
      </c>
      <c r="O21">
        <v>3.2700339999999999</v>
      </c>
      <c r="P21">
        <f t="shared" si="3"/>
        <v>2.7035549999999999E-5</v>
      </c>
      <c r="Q21" cm="1">
        <f t="array" ref="Q21">[1]!PropsSI("D","T",J21+273.15,"P",101325,"Water")</f>
        <v>984.97940977446797</v>
      </c>
      <c r="R21" cm="1">
        <f t="array" ref="R21">[1]!PropsSI("D","T",K21+273.15,"P",101325,"Water")</f>
        <v>986.7802887397163</v>
      </c>
      <c r="S21">
        <f t="shared" si="2"/>
        <v>985.87984925709213</v>
      </c>
      <c r="T21" cm="1">
        <f t="array" ref="T21">[1]!PropsSI("H","T",J21+273.15,"P",101325,"Water")</f>
        <v>236438.03652776027</v>
      </c>
      <c r="U21" cm="1">
        <f t="array" ref="U21">[1]!PropsSI("H","T",K21+273.15,"P",101325,"Water")</f>
        <v>220797.2311757204</v>
      </c>
      <c r="V21">
        <f t="shared" si="1"/>
        <v>416.88695960761976</v>
      </c>
    </row>
    <row r="22" spans="1:22" x14ac:dyDescent="0.2">
      <c r="A22">
        <v>46068.627087245368</v>
      </c>
      <c r="B22">
        <v>19.662379000000001</v>
      </c>
      <c r="C22">
        <v>19.626341</v>
      </c>
      <c r="D22">
        <v>19.800091999999999</v>
      </c>
      <c r="E22">
        <v>19.662244000000001</v>
      </c>
      <c r="F22">
        <v>40.631197</v>
      </c>
      <c r="G22">
        <v>39.246416000000004</v>
      </c>
      <c r="H22">
        <v>27.66733</v>
      </c>
      <c r="I22">
        <v>25.378450000000001</v>
      </c>
      <c r="J22">
        <v>56.462575000000001</v>
      </c>
      <c r="K22">
        <v>52.717869</v>
      </c>
      <c r="L22">
        <v>39.081159999999997</v>
      </c>
      <c r="M22">
        <v>-622.46775700000001</v>
      </c>
      <c r="N22">
        <v>1.6186990000000001</v>
      </c>
      <c r="O22">
        <v>3.2298269999999998</v>
      </c>
      <c r="P22">
        <f t="shared" si="3"/>
        <v>2.6978316666666669E-5</v>
      </c>
      <c r="Q22" cm="1">
        <f t="array" ref="Q22">[1]!PropsSI("D","T",J22+273.15,"P",101325,"Water")</f>
        <v>984.97831092935974</v>
      </c>
      <c r="R22" cm="1">
        <f t="array" ref="R22">[1]!PropsSI("D","T",K22+273.15,"P",101325,"Water")</f>
        <v>986.78178290353549</v>
      </c>
      <c r="S22">
        <f t="shared" si="2"/>
        <v>985.88004691644755</v>
      </c>
      <c r="T22" cm="1">
        <f t="array" ref="T22">[1]!PropsSI("H","T",J22+273.15,"P",101325,"Water")</f>
        <v>236447.35736885414</v>
      </c>
      <c r="U22" cm="1">
        <f t="array" ref="U22">[1]!PropsSI("H","T",K22+273.15,"P",101325,"Water")</f>
        <v>220783.93187043999</v>
      </c>
      <c r="V22">
        <f t="shared" si="1"/>
        <v>416.60614431965996</v>
      </c>
    </row>
    <row r="23" spans="1:22" x14ac:dyDescent="0.2">
      <c r="A23">
        <v>46068.627203564814</v>
      </c>
      <c r="B23">
        <v>19.635738</v>
      </c>
      <c r="C23">
        <v>19.61347</v>
      </c>
      <c r="D23">
        <v>19.776786000000001</v>
      </c>
      <c r="E23">
        <v>19.634118999999998</v>
      </c>
      <c r="F23">
        <v>40.982098000000001</v>
      </c>
      <c r="G23">
        <v>39.791660999999998</v>
      </c>
      <c r="H23">
        <v>27.075579000000001</v>
      </c>
      <c r="I23">
        <v>26.781603</v>
      </c>
      <c r="J23">
        <v>56.465918000000002</v>
      </c>
      <c r="K23">
        <v>52.716755999999997</v>
      </c>
      <c r="L23">
        <v>36.300075</v>
      </c>
      <c r="M23">
        <v>-622.47224600000004</v>
      </c>
      <c r="N23">
        <v>1.6184769999999999</v>
      </c>
      <c r="O23">
        <v>2.8991690000000001</v>
      </c>
      <c r="P23">
        <f t="shared" si="3"/>
        <v>2.6974616666666664E-5</v>
      </c>
      <c r="Q23" cm="1">
        <f t="array" ref="Q23">[1]!PropsSI("D","T",J23+273.15,"P",101325,"Water")</f>
        <v>984.97666211158605</v>
      </c>
      <c r="R23" cm="1">
        <f t="array" ref="R23">[1]!PropsSI("D","T",K23+273.15,"P",101325,"Water")</f>
        <v>986.78230584569235</v>
      </c>
      <c r="S23">
        <f t="shared" si="2"/>
        <v>985.8794839786392</v>
      </c>
      <c r="T23" cm="1">
        <f t="array" ref="T23">[1]!PropsSI("H","T",J23+273.15,"P",101325,"Water")</f>
        <v>236461.34281758338</v>
      </c>
      <c r="U23" cm="1">
        <f t="array" ref="U23">[1]!PropsSI("H","T",K23+273.15,"P",101325,"Water")</f>
        <v>220779.27711435055</v>
      </c>
      <c r="V23">
        <f t="shared" si="1"/>
        <v>417.04448252229827</v>
      </c>
    </row>
    <row r="24" spans="1:22" x14ac:dyDescent="0.2">
      <c r="A24">
        <v>46068.627319884261</v>
      </c>
      <c r="B24">
        <v>19.637651000000002</v>
      </c>
      <c r="C24">
        <v>19.624645999999998</v>
      </c>
      <c r="D24">
        <v>19.814684</v>
      </c>
      <c r="E24">
        <v>19.686985</v>
      </c>
      <c r="F24">
        <v>40.835839999999997</v>
      </c>
      <c r="G24">
        <v>38.705922999999999</v>
      </c>
      <c r="H24">
        <v>27.322443</v>
      </c>
      <c r="I24">
        <v>25.106342000000001</v>
      </c>
      <c r="J24">
        <v>56.467191</v>
      </c>
      <c r="K24">
        <v>52.713576000000003</v>
      </c>
      <c r="L24">
        <v>38.306505000000001</v>
      </c>
      <c r="M24">
        <v>-622.50693799999999</v>
      </c>
      <c r="N24">
        <v>1.6151869999999999</v>
      </c>
      <c r="O24">
        <v>3.8217449999999999</v>
      </c>
      <c r="P24">
        <f t="shared" si="3"/>
        <v>2.6919783333333333E-5</v>
      </c>
      <c r="Q24" cm="1">
        <f t="array" ref="Q24">[1]!PropsSI("D","T",J24+273.15,"P",101325,"Water")</f>
        <v>984.97603423093119</v>
      </c>
      <c r="R24" cm="1">
        <f t="array" ref="R24">[1]!PropsSI("D","T",K24+273.15,"P",101325,"Water")</f>
        <v>986.78379992264161</v>
      </c>
      <c r="S24">
        <f t="shared" si="2"/>
        <v>985.87991707678634</v>
      </c>
      <c r="T24" cm="1">
        <f t="array" ref="T24">[1]!PropsSI("H","T",J24+273.15,"P",101325,"Water")</f>
        <v>236466.66841726052</v>
      </c>
      <c r="U24" cm="1">
        <f t="array" ref="U24">[1]!PropsSI("H","T",K24+273.15,"P",101325,"Water")</f>
        <v>220765.97781356986</v>
      </c>
      <c r="V24">
        <f t="shared" si="1"/>
        <v>416.69120643479783</v>
      </c>
    </row>
    <row r="25" spans="1:22" x14ac:dyDescent="0.2">
      <c r="A25">
        <v>46068.627435625</v>
      </c>
      <c r="B25">
        <v>19.663703999999999</v>
      </c>
      <c r="C25">
        <v>19.642599000000001</v>
      </c>
      <c r="D25">
        <v>19.848082999999999</v>
      </c>
      <c r="E25">
        <v>19.704187000000001</v>
      </c>
      <c r="F25">
        <v>40.655101000000002</v>
      </c>
      <c r="G25">
        <v>39.619245999999997</v>
      </c>
      <c r="H25">
        <v>27.084056</v>
      </c>
      <c r="I25">
        <v>24.726251000000001</v>
      </c>
      <c r="J25">
        <v>56.469101999999999</v>
      </c>
      <c r="K25">
        <v>52.714212000000003</v>
      </c>
      <c r="L25">
        <v>38.110596000000001</v>
      </c>
      <c r="M25">
        <v>-622.47265400000003</v>
      </c>
      <c r="N25">
        <v>1.6162479999999999</v>
      </c>
      <c r="O25">
        <v>2.9575360000000002</v>
      </c>
      <c r="P25">
        <f t="shared" ref="P25:P30" si="4" xml:space="preserve"> N25*0.001/60</f>
        <v>2.6937466666666667E-5</v>
      </c>
      <c r="Q25" cm="1">
        <f t="array" ref="Q25">[1]!PropsSI("D","T",J25+273.15,"P",101325,"Water")</f>
        <v>984.97509165147119</v>
      </c>
      <c r="R25" cm="1">
        <f t="array" ref="R25">[1]!PropsSI("D","T",K25+273.15,"P",101325,"Water")</f>
        <v>986.78350111239172</v>
      </c>
      <c r="S25">
        <f t="shared" ref="S25:S30" si="5">(Q25+R25)/2</f>
        <v>985.87929638193145</v>
      </c>
      <c r="T25" cm="1">
        <f t="array" ref="T25">[1]!PropsSI("H","T",J25+273.15,"P",101325,"Water")</f>
        <v>236474.66309334888</v>
      </c>
      <c r="U25" cm="1">
        <f t="array" ref="U25">[1]!PropsSI("H","T",K25+273.15,"P",101325,"Water")</f>
        <v>220768.63767340785</v>
      </c>
      <c r="V25">
        <f t="shared" ref="V25:V30" si="6">S25*P25*(T25-U25)</f>
        <v>417.10634135700843</v>
      </c>
    </row>
    <row r="26" spans="1:22" x14ac:dyDescent="0.2">
      <c r="A26">
        <v>46068.627551944446</v>
      </c>
      <c r="B26">
        <v>19.709001000000001</v>
      </c>
      <c r="C26">
        <v>19.685877000000001</v>
      </c>
      <c r="D26">
        <v>19.850038999999999</v>
      </c>
      <c r="E26">
        <v>19.731175</v>
      </c>
      <c r="F26">
        <v>40.956881000000003</v>
      </c>
      <c r="G26">
        <v>38.895631000000002</v>
      </c>
      <c r="H26">
        <v>27.861912</v>
      </c>
      <c r="I26">
        <v>24.362392</v>
      </c>
      <c r="J26">
        <v>56.473717999999998</v>
      </c>
      <c r="K26">
        <v>52.722321000000001</v>
      </c>
      <c r="L26">
        <v>37.289005000000003</v>
      </c>
      <c r="M26">
        <v>-622.50857099999996</v>
      </c>
      <c r="N26">
        <v>1.6176250000000001</v>
      </c>
      <c r="O26">
        <v>2.9643470000000001</v>
      </c>
      <c r="P26">
        <f t="shared" si="4"/>
        <v>2.696041666666667E-5</v>
      </c>
      <c r="Q26" cm="1">
        <f t="array" ref="Q26">[1]!PropsSI("D","T",J26+273.15,"P",101325,"Water")</f>
        <v>984.97281476879346</v>
      </c>
      <c r="R26" cm="1">
        <f t="array" ref="R26">[1]!PropsSI("D","T",K26+273.15,"P",101325,"Water")</f>
        <v>986.77969105616057</v>
      </c>
      <c r="S26">
        <f t="shared" si="5"/>
        <v>985.87625291247696</v>
      </c>
      <c r="T26" cm="1">
        <f t="array" ref="T26">[1]!PropsSI("H","T",J26+273.15,"P",101325,"Water")</f>
        <v>236493.97415340247</v>
      </c>
      <c r="U26" cm="1">
        <f t="array" ref="U26">[1]!PropsSI("H","T",K26+273.15,"P",101325,"Water")</f>
        <v>220802.55089877278</v>
      </c>
      <c r="V26">
        <f t="shared" si="6"/>
        <v>417.07229583893144</v>
      </c>
    </row>
    <row r="27" spans="1:22" x14ac:dyDescent="0.2">
      <c r="A27">
        <v>46068.627668263885</v>
      </c>
      <c r="B27">
        <v>19.759734000000002</v>
      </c>
      <c r="C27">
        <v>19.717137999999998</v>
      </c>
      <c r="D27">
        <v>19.865265000000001</v>
      </c>
      <c r="E27">
        <v>19.755669999999999</v>
      </c>
      <c r="F27">
        <v>40.628638000000002</v>
      </c>
      <c r="G27">
        <v>39.169412999999999</v>
      </c>
      <c r="H27">
        <v>27.784088000000001</v>
      </c>
      <c r="I27">
        <v>26.610313999999999</v>
      </c>
      <c r="J27">
        <v>56.476424000000002</v>
      </c>
      <c r="K27">
        <v>52.726773999999999</v>
      </c>
      <c r="L27">
        <v>38.870558000000003</v>
      </c>
      <c r="M27">
        <v>-622.48449100000005</v>
      </c>
      <c r="N27">
        <v>1.6216980000000001</v>
      </c>
      <c r="O27">
        <v>2.705959</v>
      </c>
      <c r="P27">
        <f t="shared" si="4"/>
        <v>2.7028300000000003E-5</v>
      </c>
      <c r="Q27" cm="1">
        <f t="array" ref="Q27">[1]!PropsSI("D","T",J27+273.15,"P",101325,"Water")</f>
        <v>984.97147994988995</v>
      </c>
      <c r="R27" cm="1">
        <f t="array" ref="R27">[1]!PropsSI("D","T",K27+273.15,"P",101325,"Water")</f>
        <v>986.77759861280242</v>
      </c>
      <c r="S27">
        <f t="shared" si="5"/>
        <v>985.87453928134619</v>
      </c>
      <c r="T27" cm="1">
        <f t="array" ref="T27">[1]!PropsSI("H","T",J27+273.15,"P",101325,"Water")</f>
        <v>236505.29472228282</v>
      </c>
      <c r="U27" cm="1">
        <f t="array" ref="U27">[1]!PropsSI("H","T",K27+273.15,"P",101325,"Water")</f>
        <v>220821.17411576369</v>
      </c>
      <c r="V27">
        <f t="shared" si="6"/>
        <v>417.92712065610698</v>
      </c>
    </row>
    <row r="28" spans="1:22" x14ac:dyDescent="0.2">
      <c r="A28">
        <v>46068.627784583332</v>
      </c>
      <c r="B28">
        <v>19.800281999999999</v>
      </c>
      <c r="C28">
        <v>19.737604000000001</v>
      </c>
      <c r="D28">
        <v>19.874345000000002</v>
      </c>
      <c r="E28">
        <v>19.771093</v>
      </c>
      <c r="F28">
        <v>40.754187999999999</v>
      </c>
      <c r="G28">
        <v>39.157989000000001</v>
      </c>
      <c r="H28">
        <v>28.026878</v>
      </c>
      <c r="I28">
        <v>24.866951</v>
      </c>
      <c r="J28">
        <v>56.481198999999997</v>
      </c>
      <c r="K28">
        <v>52.730271999999999</v>
      </c>
      <c r="L28">
        <v>38.886068000000002</v>
      </c>
      <c r="M28">
        <v>-622.49306200000001</v>
      </c>
      <c r="N28">
        <v>1.6192679999999999</v>
      </c>
      <c r="O28">
        <v>3.2576700000000001</v>
      </c>
      <c r="P28">
        <f t="shared" si="4"/>
        <v>2.6987799999999999E-5</v>
      </c>
      <c r="Q28" cm="1">
        <f t="array" ref="Q28">[1]!PropsSI("D","T",J28+273.15,"P",101325,"Water")</f>
        <v>984.96912442298333</v>
      </c>
      <c r="R28" cm="1">
        <f t="array" ref="R28">[1]!PropsSI("D","T",K28+273.15,"P",101325,"Water")</f>
        <v>986.7759548309358</v>
      </c>
      <c r="S28">
        <f t="shared" si="5"/>
        <v>985.87253962695956</v>
      </c>
      <c r="T28" cm="1">
        <f t="array" ref="T28">[1]!PropsSI("H","T",J28+273.15,"P",101325,"Water")</f>
        <v>236525.27097321954</v>
      </c>
      <c r="U28" cm="1">
        <f t="array" ref="U28">[1]!PropsSI("H","T",K28+273.15,"P",101325,"Water")</f>
        <v>220835.80336194689</v>
      </c>
      <c r="V28">
        <f t="shared" si="6"/>
        <v>417.44230519524007</v>
      </c>
    </row>
    <row r="29" spans="1:22" x14ac:dyDescent="0.2">
      <c r="A29">
        <v>46068.627900902778</v>
      </c>
      <c r="B29">
        <v>19.805091000000001</v>
      </c>
      <c r="C29">
        <v>19.769549999999999</v>
      </c>
      <c r="D29">
        <v>19.885845</v>
      </c>
      <c r="E29">
        <v>19.776730000000001</v>
      </c>
      <c r="F29">
        <v>40.675601</v>
      </c>
      <c r="G29">
        <v>39.033085</v>
      </c>
      <c r="H29">
        <v>27.789034999999998</v>
      </c>
      <c r="I29">
        <v>25.708445000000001</v>
      </c>
      <c r="J29">
        <v>56.481518000000001</v>
      </c>
      <c r="K29">
        <v>52.73218</v>
      </c>
      <c r="L29">
        <v>39.039937999999999</v>
      </c>
      <c r="M29">
        <v>-622.47347100000002</v>
      </c>
      <c r="N29">
        <v>1.621715</v>
      </c>
      <c r="O29">
        <v>2.8067700000000002</v>
      </c>
      <c r="P29">
        <f t="shared" si="4"/>
        <v>2.7028583333333334E-5</v>
      </c>
      <c r="Q29" cm="1">
        <f t="array" ref="Q29">[1]!PropsSI("D","T",J29+273.15,"P",101325,"Water")</f>
        <v>984.96896705402594</v>
      </c>
      <c r="R29" cm="1">
        <f t="array" ref="R29">[1]!PropsSI("D","T",K29+273.15,"P",101325,"Water")</f>
        <v>986.77505818981228</v>
      </c>
      <c r="S29">
        <f t="shared" si="5"/>
        <v>985.87201262191911</v>
      </c>
      <c r="T29" cm="1">
        <f t="array" ref="T29">[1]!PropsSI("H","T",J29+273.15,"P",101325,"Water")</f>
        <v>236526.60551259972</v>
      </c>
      <c r="U29" cm="1">
        <f t="array" ref="U29">[1]!PropsSI("H","T",K29+273.15,"P",101325,"Water")</f>
        <v>220843.78295241608</v>
      </c>
      <c r="V29">
        <f t="shared" si="6"/>
        <v>417.89584193647386</v>
      </c>
    </row>
    <row r="30" spans="1:22" x14ac:dyDescent="0.2">
      <c r="A30">
        <v>46068.628017222225</v>
      </c>
      <c r="B30">
        <v>19.788498000000001</v>
      </c>
      <c r="C30">
        <v>19.742642</v>
      </c>
      <c r="D30">
        <v>19.869861</v>
      </c>
      <c r="E30">
        <v>19.747119000000001</v>
      </c>
      <c r="F30">
        <v>40.621353999999997</v>
      </c>
      <c r="G30">
        <v>38.895029000000001</v>
      </c>
      <c r="H30">
        <v>27.910688</v>
      </c>
      <c r="I30">
        <v>25.285357999999999</v>
      </c>
      <c r="J30">
        <v>56.484861000000002</v>
      </c>
      <c r="K30">
        <v>52.73377</v>
      </c>
      <c r="L30">
        <v>39.128095999999999</v>
      </c>
      <c r="M30">
        <v>-622.49102100000005</v>
      </c>
      <c r="N30">
        <v>1.618514</v>
      </c>
      <c r="O30">
        <v>2.9475099999999999</v>
      </c>
      <c r="P30">
        <f t="shared" si="4"/>
        <v>2.6975233333333332E-5</v>
      </c>
      <c r="Q30" cm="1">
        <f t="array" ref="Q30">[1]!PropsSI("D","T",J30+273.15,"P",101325,"Water")</f>
        <v>984.96731784904944</v>
      </c>
      <c r="R30" cm="1">
        <f t="array" ref="R30">[1]!PropsSI("D","T",K30+273.15,"P",101325,"Water")</f>
        <v>986.77431097120177</v>
      </c>
      <c r="S30">
        <f t="shared" si="5"/>
        <v>985.8708144101256</v>
      </c>
      <c r="T30" cm="1">
        <f t="array" ref="T30">[1]!PropsSI("H","T",J30+273.15,"P",101325,"Water")</f>
        <v>236540.5909856449</v>
      </c>
      <c r="U30" cm="1">
        <f t="array" ref="U30">[1]!PropsSI("H","T",K30+273.15,"P",101325,"Water")</f>
        <v>220850.4326120569</v>
      </c>
      <c r="V30">
        <f t="shared" si="6"/>
        <v>417.26556635694578</v>
      </c>
    </row>
    <row r="31" spans="1:22" x14ac:dyDescent="0.2">
      <c r="P31" s="1"/>
    </row>
    <row r="32" spans="1:22" x14ac:dyDescent="0.2">
      <c r="C32" s="1" t="s">
        <v>22</v>
      </c>
      <c r="P32" s="1"/>
    </row>
    <row r="33" spans="3:16" x14ac:dyDescent="0.2">
      <c r="C33">
        <f>AVERAGE(V23:V30)</f>
        <v>417.3056450372253</v>
      </c>
      <c r="P33" s="1"/>
    </row>
    <row r="34" spans="3:16" x14ac:dyDescent="0.2">
      <c r="P34" s="1"/>
    </row>
    <row r="35" spans="3:16" x14ac:dyDescent="0.2">
      <c r="P35" s="1"/>
    </row>
    <row r="36" spans="3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4F75-0304-C64C-9616-0E1CEF70CA61}">
  <dimension ref="A1:V36"/>
  <sheetViews>
    <sheetView workbookViewId="0">
      <selection activeCell="C19" sqref="C19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44606.629047895498</v>
      </c>
      <c r="B2">
        <v>19.798745</v>
      </c>
      <c r="C2">
        <v>19.695429000000001</v>
      </c>
      <c r="D2">
        <v>19.872125</v>
      </c>
      <c r="E2">
        <v>19.755794999999999</v>
      </c>
      <c r="F2">
        <v>38.254807999999997</v>
      </c>
      <c r="G2">
        <v>36.135953000000001</v>
      </c>
      <c r="H2">
        <v>27.096077000000001</v>
      </c>
      <c r="I2">
        <v>22.686429</v>
      </c>
      <c r="J2">
        <v>56.486293000000003</v>
      </c>
      <c r="K2">
        <v>51.635035000000002</v>
      </c>
      <c r="L2">
        <v>72.838652999999994</v>
      </c>
      <c r="M2">
        <v>-622.49428599999999</v>
      </c>
      <c r="N2">
        <v>1.6229690000000001</v>
      </c>
      <c r="O2">
        <v>3.2038519999999999</v>
      </c>
      <c r="P2">
        <f xml:space="preserve"> N2*0.001/60</f>
        <v>2.7049483333333336E-5</v>
      </c>
      <c r="Q2" cm="1">
        <f t="array" ref="Q2">[1]!PropsSI("D","T",J2+273.15,"P",101325,"Water")</f>
        <v>984.96661137839055</v>
      </c>
      <c r="R2" cm="1">
        <f t="array" ref="R2">[1]!PropsSI("D","T",K2+273.15,"P",101325,"Water")</f>
        <v>987.2868108512132</v>
      </c>
      <c r="S2">
        <f>(Q2+R2)/2</f>
        <v>986.12671111480188</v>
      </c>
      <c r="T2" cm="1">
        <f t="array" ref="T2">[1]!PropsSI("H","T",J2+273.15,"P",101325,"Water")</f>
        <v>236546.5817728785</v>
      </c>
      <c r="U2" cm="1">
        <f t="array" ref="U2">[1]!PropsSI("H","T",K2+273.15,"P",101325,"Water")</f>
        <v>216255.52305940262</v>
      </c>
      <c r="V2">
        <f>S2*P2*(T2-U2)</f>
        <v>541.24812432187514</v>
      </c>
    </row>
    <row r="3" spans="1:22" x14ac:dyDescent="0.2">
      <c r="A3">
        <v>44606.629163636302</v>
      </c>
      <c r="B3">
        <v>19.859594999999999</v>
      </c>
      <c r="C3">
        <v>19.668434000000001</v>
      </c>
      <c r="D3">
        <v>19.893204000000001</v>
      </c>
      <c r="E3">
        <v>19.778728999999998</v>
      </c>
      <c r="F3">
        <v>38.108165</v>
      </c>
      <c r="G3">
        <v>36.452468000000003</v>
      </c>
      <c r="H3">
        <v>27.591193000000001</v>
      </c>
      <c r="I3">
        <v>23.789650999999999</v>
      </c>
      <c r="J3">
        <v>56.478015999999997</v>
      </c>
      <c r="K3">
        <v>51.616118999999998</v>
      </c>
      <c r="L3">
        <v>76.139304999999993</v>
      </c>
      <c r="M3">
        <v>-622.51428499999997</v>
      </c>
      <c r="N3">
        <v>1.6160680000000001</v>
      </c>
      <c r="O3">
        <v>3.0242270000000002</v>
      </c>
      <c r="P3">
        <f t="shared" ref="P3" si="0" xml:space="preserve"> N3*0.001/60</f>
        <v>2.6934466666666668E-5</v>
      </c>
      <c r="Q3" cm="1">
        <f t="array" ref="Q3">[1]!PropsSI("D","T",J3+273.15,"P",101325,"Water")</f>
        <v>984.97069462530931</v>
      </c>
      <c r="R3" cm="1">
        <f t="array" ref="R3">[1]!PropsSI("D","T",K3+273.15,"P",101325,"Water")</f>
        <v>987.29556634420476</v>
      </c>
      <c r="S3">
        <f>(Q3+R3)/2</f>
        <v>986.13313048475698</v>
      </c>
      <c r="T3" cm="1">
        <f t="array" ref="T3">[1]!PropsSI("H","T",J3+273.15,"P",101325,"Water")</f>
        <v>236511.95486611829</v>
      </c>
      <c r="U3" cm="1">
        <f t="array" ref="U3">[1]!PropsSI("H","T",K3+273.15,"P",101325,"Water")</f>
        <v>216176.41968210138</v>
      </c>
      <c r="V3">
        <f t="shared" ref="V3:V24" si="1">S3*P3*(T3-U3)</f>
        <v>540.13153857252712</v>
      </c>
    </row>
    <row r="4" spans="1:22" x14ac:dyDescent="0.2">
      <c r="A4">
        <v>44606.629279955698</v>
      </c>
      <c r="B4">
        <v>19.907979999999998</v>
      </c>
      <c r="C4">
        <v>19.692959999999999</v>
      </c>
      <c r="D4">
        <v>19.866174000000001</v>
      </c>
      <c r="E4">
        <v>19.761626</v>
      </c>
      <c r="F4">
        <v>38.313617000000001</v>
      </c>
      <c r="G4">
        <v>36.693807999999997</v>
      </c>
      <c r="H4">
        <v>26.774923999999999</v>
      </c>
      <c r="I4">
        <v>23.875050000000002</v>
      </c>
      <c r="J4">
        <v>56.468623999999998</v>
      </c>
      <c r="K4">
        <v>51.601336000000003</v>
      </c>
      <c r="L4">
        <v>75.863399999999999</v>
      </c>
      <c r="M4">
        <v>-622.51632600000005</v>
      </c>
      <c r="N4">
        <v>1.613855</v>
      </c>
      <c r="O4">
        <v>2.8736519999999999</v>
      </c>
      <c r="P4">
        <f xml:space="preserve"> N4*0.001/60</f>
        <v>2.6897583333333331E-5</v>
      </c>
      <c r="Q4" cm="1">
        <f t="array" ref="Q4">[1]!PropsSI("D","T",J4+273.15,"P",101325,"Water")</f>
        <v>984.97532742174963</v>
      </c>
      <c r="R4" cm="1">
        <f t="array" ref="R4">[1]!PropsSI("D","T",K4+273.15,"P",101325,"Water")</f>
        <v>987.30240722549058</v>
      </c>
      <c r="S4">
        <f t="shared" ref="S4:S24" si="2">(Q4+R4)/2</f>
        <v>986.13886732362016</v>
      </c>
      <c r="T4" cm="1">
        <f t="array" ref="T4">[1]!PropsSI("H","T",J4+273.15,"P",101325,"Water")</f>
        <v>236472.66337833993</v>
      </c>
      <c r="U4" cm="1">
        <f t="array" ref="U4">[1]!PropsSI("H","T",K4+273.15,"P",101325,"Water")</f>
        <v>216114.59985920737</v>
      </c>
      <c r="V4">
        <f t="shared" si="1"/>
        <v>539.99259341640482</v>
      </c>
    </row>
    <row r="5" spans="1:22" x14ac:dyDescent="0.2">
      <c r="A5">
        <v>44606.629396275101</v>
      </c>
      <c r="B5">
        <v>19.957781000000001</v>
      </c>
      <c r="C5">
        <v>19.710529000000001</v>
      </c>
      <c r="D5">
        <v>19.872357999999998</v>
      </c>
      <c r="E5">
        <v>19.756715</v>
      </c>
      <c r="F5">
        <v>38.366061000000002</v>
      </c>
      <c r="G5">
        <v>36.404775000000001</v>
      </c>
      <c r="H5">
        <v>27.244078999999999</v>
      </c>
      <c r="I5">
        <v>23.181049000000002</v>
      </c>
      <c r="J5">
        <v>56.459072999999997</v>
      </c>
      <c r="K5">
        <v>51.591003999999998</v>
      </c>
      <c r="L5">
        <v>75.333630999999997</v>
      </c>
      <c r="M5">
        <v>-622.51061200000004</v>
      </c>
      <c r="N5">
        <v>1.6204810000000001</v>
      </c>
      <c r="O5">
        <v>3.126703</v>
      </c>
      <c r="P5">
        <f t="shared" ref="P5:P24" si="3" xml:space="preserve"> N5*0.001/60</f>
        <v>2.7008016666666666E-5</v>
      </c>
      <c r="Q5" cm="1">
        <f t="array" ref="Q5">[1]!PropsSI("D","T",J5+273.15,"P",101325,"Water")</f>
        <v>984.98003809502859</v>
      </c>
      <c r="R5" cm="1">
        <f t="array" ref="R5">[1]!PropsSI("D","T",K5+273.15,"P",101325,"Water")</f>
        <v>987.30718755640748</v>
      </c>
      <c r="S5">
        <f t="shared" si="2"/>
        <v>986.14361282571804</v>
      </c>
      <c r="T5" cm="1">
        <f t="array" ref="T5">[1]!PropsSI("H","T",J5+273.15,"P",101325,"Water")</f>
        <v>236432.70674785879</v>
      </c>
      <c r="U5" cm="1">
        <f t="array" ref="U5">[1]!PropsSI("H","T",K5+273.15,"P",101325,"Water")</f>
        <v>216071.39335047046</v>
      </c>
      <c r="V5">
        <f t="shared" si="1"/>
        <v>542.29880528681542</v>
      </c>
    </row>
    <row r="6" spans="1:22" x14ac:dyDescent="0.2">
      <c r="A6">
        <v>46068.62951259259</v>
      </c>
      <c r="B6">
        <v>19.947514999999999</v>
      </c>
      <c r="C6">
        <v>19.729382999999999</v>
      </c>
      <c r="D6">
        <v>19.866591</v>
      </c>
      <c r="E6">
        <v>19.773299999999999</v>
      </c>
      <c r="F6">
        <v>37.893258000000003</v>
      </c>
      <c r="G6">
        <v>35.944034000000002</v>
      </c>
      <c r="H6">
        <v>27.133631999999999</v>
      </c>
      <c r="I6">
        <v>22.585666</v>
      </c>
      <c r="J6">
        <v>56.45</v>
      </c>
      <c r="K6">
        <v>51.572566000000002</v>
      </c>
      <c r="L6">
        <v>78.744479999999996</v>
      </c>
      <c r="M6">
        <v>-622.48775599999999</v>
      </c>
      <c r="N6">
        <v>1.6202190000000001</v>
      </c>
      <c r="O6">
        <v>3.261368</v>
      </c>
      <c r="P6">
        <f t="shared" si="3"/>
        <v>2.7003650000000004E-5</v>
      </c>
      <c r="Q6" cm="1">
        <f t="array" ref="Q6">[1]!PropsSI("D","T",J6+273.15,"P",101325,"Water")</f>
        <v>984.98451249607967</v>
      </c>
      <c r="R6" cm="1">
        <f t="array" ref="R6">[1]!PropsSI("D","T",K6+273.15,"P",101325,"Water")</f>
        <v>987.31571660095824</v>
      </c>
      <c r="S6">
        <f t="shared" si="2"/>
        <v>986.15011454851901</v>
      </c>
      <c r="T6" cm="1">
        <f t="array" ref="T6">[1]!PropsSI("H","T",J6+273.15,"P",101325,"Water")</f>
        <v>236394.74986383243</v>
      </c>
      <c r="U6" cm="1">
        <f t="array" ref="U6">[1]!PropsSI("H","T",K6+273.15,"P",101325,"Water")</f>
        <v>215994.28913431661</v>
      </c>
      <c r="V6">
        <f t="shared" si="1"/>
        <v>543.25718089777513</v>
      </c>
    </row>
    <row r="7" spans="1:22" x14ac:dyDescent="0.2">
      <c r="A7">
        <v>46068.629628333336</v>
      </c>
      <c r="B7">
        <v>19.887115000000001</v>
      </c>
      <c r="C7">
        <v>19.701070000000001</v>
      </c>
      <c r="D7">
        <v>19.875672999999999</v>
      </c>
      <c r="E7">
        <v>19.760686</v>
      </c>
      <c r="F7">
        <v>37.703035999999997</v>
      </c>
      <c r="G7">
        <v>35.687759</v>
      </c>
      <c r="H7">
        <v>26.742636999999998</v>
      </c>
      <c r="I7">
        <v>22.923969</v>
      </c>
      <c r="J7">
        <v>56.444747</v>
      </c>
      <c r="K7">
        <v>51.564936000000003</v>
      </c>
      <c r="L7">
        <v>77.127825999999999</v>
      </c>
      <c r="M7">
        <v>-622.50489800000003</v>
      </c>
      <c r="N7">
        <v>1.6171869999999999</v>
      </c>
      <c r="O7">
        <v>2.8066179999999998</v>
      </c>
      <c r="P7">
        <f t="shared" si="3"/>
        <v>2.6953116666666664E-5</v>
      </c>
      <c r="Q7" cm="1">
        <f t="array" ref="Q7">[1]!PropsSI("D","T",J7+273.15,"P",101325,"Water")</f>
        <v>984.98710281247679</v>
      </c>
      <c r="R7" cm="1">
        <f t="array" ref="R7">[1]!PropsSI("D","T",K7+273.15,"P",101325,"Water")</f>
        <v>987.319245443358</v>
      </c>
      <c r="S7">
        <f t="shared" si="2"/>
        <v>986.1531741279174</v>
      </c>
      <c r="T7" cm="1">
        <f t="array" ref="T7">[1]!PropsSI("H","T",J7+273.15,"P",101325,"Water")</f>
        <v>236372.77395945342</v>
      </c>
      <c r="U7" cm="1">
        <f t="array" ref="U7">[1]!PropsSI("H","T",K7+273.15,"P",101325,"Water")</f>
        <v>215962.38195329442</v>
      </c>
      <c r="V7">
        <f t="shared" si="1"/>
        <v>542.50621019150685</v>
      </c>
    </row>
    <row r="8" spans="1:22" x14ac:dyDescent="0.2">
      <c r="A8">
        <v>46068.629744652775</v>
      </c>
      <c r="B8">
        <v>19.809255</v>
      </c>
      <c r="C8">
        <v>19.675654000000002</v>
      </c>
      <c r="D8">
        <v>19.916905</v>
      </c>
      <c r="E8">
        <v>19.772311999999999</v>
      </c>
      <c r="F8">
        <v>38.141908999999998</v>
      </c>
      <c r="G8">
        <v>35.935699</v>
      </c>
      <c r="H8">
        <v>26.766570999999999</v>
      </c>
      <c r="I8">
        <v>22.841152999999998</v>
      </c>
      <c r="J8">
        <v>56.438380000000002</v>
      </c>
      <c r="K8">
        <v>51.553967999999998</v>
      </c>
      <c r="L8">
        <v>72.987217000000001</v>
      </c>
      <c r="M8">
        <v>-622.49142900000004</v>
      </c>
      <c r="N8">
        <v>1.619875</v>
      </c>
      <c r="O8">
        <v>3.0145050000000002</v>
      </c>
      <c r="P8">
        <f t="shared" si="3"/>
        <v>2.6997916666666668E-5</v>
      </c>
      <c r="Q8" cm="1">
        <f t="array" ref="Q8">[1]!PropsSI("D","T",J8+273.15,"P",101325,"Water")</f>
        <v>984.99024222921469</v>
      </c>
      <c r="R8" cm="1">
        <f t="array" ref="R8">[1]!PropsSI("D","T",K8+273.15,"P",101325,"Water")</f>
        <v>987.32431743929419</v>
      </c>
      <c r="S8">
        <f t="shared" si="2"/>
        <v>986.1572798342545</v>
      </c>
      <c r="T8" cm="1">
        <f t="array" ref="T8">[1]!PropsSI("H","T",J8+273.15,"P",101325,"Water")</f>
        <v>236346.13765476862</v>
      </c>
      <c r="U8" cm="1">
        <f t="array" ref="U8">[1]!PropsSI("H","T",K8+273.15,"P",101325,"Water")</f>
        <v>215916.51593474674</v>
      </c>
      <c r="V8">
        <f t="shared" si="1"/>
        <v>543.92217241135984</v>
      </c>
    </row>
    <row r="9" spans="1:22" x14ac:dyDescent="0.2">
      <c r="A9">
        <v>46068.629860393521</v>
      </c>
      <c r="B9">
        <v>19.762877</v>
      </c>
      <c r="C9">
        <v>19.669381999999999</v>
      </c>
      <c r="D9">
        <v>19.951499999999999</v>
      </c>
      <c r="E9">
        <v>19.793917</v>
      </c>
      <c r="F9">
        <v>37.566375000000001</v>
      </c>
      <c r="G9">
        <v>35.858998</v>
      </c>
      <c r="H9">
        <v>27.057614000000001</v>
      </c>
      <c r="I9">
        <v>24.384467000000001</v>
      </c>
      <c r="J9">
        <v>56.434241</v>
      </c>
      <c r="K9">
        <v>51.545226</v>
      </c>
      <c r="L9">
        <v>75.717692999999997</v>
      </c>
      <c r="M9">
        <v>-622.49714300000005</v>
      </c>
      <c r="N9">
        <v>1.6208089999999999</v>
      </c>
      <c r="O9">
        <v>3.2487870000000001</v>
      </c>
      <c r="P9">
        <f t="shared" si="3"/>
        <v>2.7013483333333331E-5</v>
      </c>
      <c r="Q9" cm="1">
        <f t="array" ref="Q9">[1]!PropsSI("D","T",J9+273.15,"P",101325,"Water")</f>
        <v>984.99228293899307</v>
      </c>
      <c r="R9" cm="1">
        <f t="array" ref="R9">[1]!PropsSI("D","T",K9+273.15,"P",101325,"Water")</f>
        <v>987.3283594979381</v>
      </c>
      <c r="S9">
        <f t="shared" si="2"/>
        <v>986.16032121846558</v>
      </c>
      <c r="T9" cm="1">
        <f t="array" ref="T9">[1]!PropsSI("H","T",J9+273.15,"P",101325,"Water")</f>
        <v>236328.8221824714</v>
      </c>
      <c r="U9" cm="1">
        <f t="array" ref="U9">[1]!PropsSI("H","T",K9+273.15,"P",101325,"Water")</f>
        <v>215879.95863683778</v>
      </c>
      <c r="V9">
        <f t="shared" si="1"/>
        <v>544.75006473654071</v>
      </c>
    </row>
    <row r="10" spans="1:22" x14ac:dyDescent="0.2">
      <c r="A10">
        <v>44606.629976714998</v>
      </c>
      <c r="B10">
        <v>19.745397000000001</v>
      </c>
      <c r="C10">
        <v>19.657463</v>
      </c>
      <c r="D10">
        <v>19.940442999999998</v>
      </c>
      <c r="E10">
        <v>19.782052</v>
      </c>
      <c r="F10">
        <v>37.693159000000001</v>
      </c>
      <c r="G10">
        <v>35.423806999999996</v>
      </c>
      <c r="H10">
        <v>26.952228999999999</v>
      </c>
      <c r="I10">
        <v>23.021170000000001</v>
      </c>
      <c r="J10">
        <v>56.432648999999998</v>
      </c>
      <c r="K10">
        <v>51.541410999999997</v>
      </c>
      <c r="L10">
        <v>77.815139000000002</v>
      </c>
      <c r="M10">
        <v>-622.49714300000005</v>
      </c>
      <c r="N10">
        <v>1.618625</v>
      </c>
      <c r="O10">
        <v>3.059682</v>
      </c>
      <c r="P10">
        <f t="shared" si="3"/>
        <v>2.6977083333333333E-5</v>
      </c>
      <c r="Q10" cm="1">
        <f t="array" ref="Q10">[1]!PropsSI("D","T",J10+273.15,"P",101325,"Water")</f>
        <v>984.99306783739348</v>
      </c>
      <c r="R10" cm="1">
        <f t="array" ref="R10">[1]!PropsSI("D","T",K10+273.15,"P",101325,"Water")</f>
        <v>987.33012329389453</v>
      </c>
      <c r="S10">
        <f t="shared" si="2"/>
        <v>986.16159556564401</v>
      </c>
      <c r="T10" cm="1">
        <f t="array" ref="T10">[1]!PropsSI("H","T",J10+273.15,"P",101325,"Water")</f>
        <v>236322.16206539777</v>
      </c>
      <c r="U10" cm="1">
        <f t="array" ref="U10">[1]!PropsSI("H","T",K10+273.15,"P",101325,"Water")</f>
        <v>215864.00507625259</v>
      </c>
      <c r="V10">
        <f t="shared" si="1"/>
        <v>544.26397107926209</v>
      </c>
    </row>
    <row r="11" spans="1:22" x14ac:dyDescent="0.2">
      <c r="A11">
        <v>44606.6300930344</v>
      </c>
      <c r="B11">
        <v>19.731947999999999</v>
      </c>
      <c r="C11">
        <v>19.651685000000001</v>
      </c>
      <c r="D11">
        <v>19.959152</v>
      </c>
      <c r="E11">
        <v>19.784945</v>
      </c>
      <c r="F11">
        <v>38.137082999999997</v>
      </c>
      <c r="G11">
        <v>36.906390000000002</v>
      </c>
      <c r="H11">
        <v>27.347424</v>
      </c>
      <c r="I11">
        <v>23.188376000000002</v>
      </c>
      <c r="J11">
        <v>56.431534999999997</v>
      </c>
      <c r="K11">
        <v>51.532032999999998</v>
      </c>
      <c r="L11">
        <v>73.428011999999995</v>
      </c>
      <c r="M11">
        <v>-622.48408199999994</v>
      </c>
      <c r="N11">
        <v>1.6174729999999999</v>
      </c>
      <c r="O11">
        <v>3.245241</v>
      </c>
      <c r="P11">
        <f t="shared" si="3"/>
        <v>2.6957883333333331E-5</v>
      </c>
      <c r="Q11" cm="1">
        <f t="array" ref="Q11">[1]!PropsSI("D","T",J11+273.15,"P",101325,"Water")</f>
        <v>984.99361705983608</v>
      </c>
      <c r="R11" cm="1">
        <f t="array" ref="R11">[1]!PropsSI("D","T",K11+273.15,"P",101325,"Water")</f>
        <v>987.33445864309465</v>
      </c>
      <c r="S11">
        <f t="shared" si="2"/>
        <v>986.16403785146531</v>
      </c>
      <c r="T11" cm="1">
        <f t="array" ref="T11">[1]!PropsSI("H","T",J11+273.15,"P",101325,"Water")</f>
        <v>236317.50165741082</v>
      </c>
      <c r="U11" cm="1">
        <f t="array" ref="U11">[1]!PropsSI("H","T",K11+273.15,"P",101325,"Water")</f>
        <v>215824.78819058707</v>
      </c>
      <c r="V11">
        <f t="shared" si="1"/>
        <v>544.79663741855143</v>
      </c>
    </row>
    <row r="12" spans="1:22" x14ac:dyDescent="0.2">
      <c r="A12">
        <v>44606.630209353803</v>
      </c>
      <c r="B12">
        <v>19.729792</v>
      </c>
      <c r="C12">
        <v>19.640274000000002</v>
      </c>
      <c r="D12">
        <v>19.968392000000001</v>
      </c>
      <c r="E12">
        <v>19.786047</v>
      </c>
      <c r="F12">
        <v>37.841043999999997</v>
      </c>
      <c r="G12">
        <v>36.118648</v>
      </c>
      <c r="H12">
        <v>27.024156999999999</v>
      </c>
      <c r="I12">
        <v>23.067841999999999</v>
      </c>
      <c r="J12">
        <v>56.430579999999999</v>
      </c>
      <c r="K12">
        <v>51.531714999999998</v>
      </c>
      <c r="L12">
        <v>74.270419000000004</v>
      </c>
      <c r="M12">
        <v>-622.49469399999998</v>
      </c>
      <c r="N12">
        <v>1.616568</v>
      </c>
      <c r="O12">
        <v>3.2332830000000001</v>
      </c>
      <c r="P12">
        <f t="shared" si="3"/>
        <v>2.6942800000000002E-5</v>
      </c>
      <c r="Q12" cm="1">
        <f t="array" ref="Q12">[1]!PropsSI("D","T",J12+273.15,"P",101325,"Water")</f>
        <v>984.99408788632593</v>
      </c>
      <c r="R12" cm="1">
        <f t="array" ref="R12">[1]!PropsSI("D","T",K12+273.15,"P",101325,"Water")</f>
        <v>987.33460564116831</v>
      </c>
      <c r="S12">
        <f t="shared" si="2"/>
        <v>986.16434676374706</v>
      </c>
      <c r="T12" cm="1">
        <f t="array" ref="T12">[1]!PropsSI("H","T",J12+273.15,"P",101325,"Water")</f>
        <v>236313.506424733</v>
      </c>
      <c r="U12" cm="1">
        <f t="array" ref="U12">[1]!PropsSI("H","T",K12+273.15,"P",101325,"Water")</f>
        <v>215823.45837985806</v>
      </c>
      <c r="V12">
        <f t="shared" si="1"/>
        <v>544.42116588680813</v>
      </c>
    </row>
    <row r="13" spans="1:22" x14ac:dyDescent="0.2">
      <c r="A13">
        <v>44606.6303250946</v>
      </c>
      <c r="B13">
        <v>19.718143000000001</v>
      </c>
      <c r="C13">
        <v>19.640101999999999</v>
      </c>
      <c r="D13">
        <v>19.976579999999998</v>
      </c>
      <c r="E13">
        <v>19.793464</v>
      </c>
      <c r="F13">
        <v>37.215820000000001</v>
      </c>
      <c r="G13">
        <v>36.607413999999999</v>
      </c>
      <c r="H13">
        <v>27.35979</v>
      </c>
      <c r="I13">
        <v>23.797753</v>
      </c>
      <c r="J13">
        <v>56.430897999999999</v>
      </c>
      <c r="K13">
        <v>51.525993</v>
      </c>
      <c r="L13">
        <v>76.758457000000007</v>
      </c>
      <c r="M13">
        <v>-622.50204099999996</v>
      </c>
      <c r="N13">
        <v>1.6218129999999999</v>
      </c>
      <c r="O13">
        <v>3.253082</v>
      </c>
      <c r="P13">
        <f t="shared" si="3"/>
        <v>2.7030216666666664E-5</v>
      </c>
      <c r="Q13" cm="1">
        <f t="array" ref="Q13">[1]!PropsSI("D","T",J13+273.15,"P",101325,"Water")</f>
        <v>984.99393110911728</v>
      </c>
      <c r="R13" cm="1">
        <f t="array" ref="R13">[1]!PropsSI("D","T",K13+273.15,"P",101325,"Water")</f>
        <v>987.33725057045172</v>
      </c>
      <c r="S13">
        <f t="shared" si="2"/>
        <v>986.1655908397845</v>
      </c>
      <c r="T13" cm="1">
        <f t="array" ref="T13">[1]!PropsSI("H","T",J13+273.15,"P",101325,"Water")</f>
        <v>236314.83677439683</v>
      </c>
      <c r="U13" cm="1">
        <f t="array" ref="U13">[1]!PropsSI("H","T",K13+273.15,"P",101325,"Water")</f>
        <v>215799.53015532452</v>
      </c>
      <c r="V13">
        <f t="shared" si="1"/>
        <v>546.86154395151664</v>
      </c>
    </row>
    <row r="14" spans="1:22" x14ac:dyDescent="0.2">
      <c r="A14">
        <v>44606.630441414003</v>
      </c>
      <c r="B14">
        <v>19.817326999999999</v>
      </c>
      <c r="C14">
        <v>19.670883</v>
      </c>
      <c r="D14">
        <v>20.001289</v>
      </c>
      <c r="E14">
        <v>19.810338999999999</v>
      </c>
      <c r="F14">
        <v>38.577370000000002</v>
      </c>
      <c r="G14">
        <v>35.157290000000003</v>
      </c>
      <c r="H14">
        <v>27.124289999999998</v>
      </c>
      <c r="I14">
        <v>23.357437000000001</v>
      </c>
      <c r="J14">
        <v>56.431852999999997</v>
      </c>
      <c r="K14">
        <v>51.524721999999997</v>
      </c>
      <c r="L14">
        <v>69.493922999999995</v>
      </c>
      <c r="M14">
        <v>-622.50408100000004</v>
      </c>
      <c r="N14">
        <v>1.615162</v>
      </c>
      <c r="O14">
        <v>3.26532</v>
      </c>
      <c r="P14">
        <f t="shared" si="3"/>
        <v>2.6919366666666668E-5</v>
      </c>
      <c r="Q14" cm="1">
        <f t="array" ref="Q14">[1]!PropsSI("D","T",J14+273.15,"P",101325,"Water")</f>
        <v>984.99346028077844</v>
      </c>
      <c r="R14" cm="1">
        <f t="array" ref="R14">[1]!PropsSI("D","T",K14+273.15,"P",101325,"Water")</f>
        <v>987.33783804706934</v>
      </c>
      <c r="S14">
        <f t="shared" si="2"/>
        <v>986.16564916392394</v>
      </c>
      <c r="T14" cm="1">
        <f t="array" ref="T14">[1]!PropsSI("H","T",J14+273.15,"P",101325,"Water")</f>
        <v>236318.8320072013</v>
      </c>
      <c r="U14" cm="1">
        <f t="array" ref="U14">[1]!PropsSI("H","T",K14+273.15,"P",101325,"Water")</f>
        <v>215794.21509663982</v>
      </c>
      <c r="V14">
        <f t="shared" si="1"/>
        <v>544.86607543988418</v>
      </c>
    </row>
    <row r="15" spans="1:22" x14ac:dyDescent="0.2">
      <c r="A15">
        <v>46068.630557731478</v>
      </c>
      <c r="B15">
        <v>19.781589</v>
      </c>
      <c r="C15">
        <v>19.660896999999999</v>
      </c>
      <c r="D15">
        <v>19.980028999999998</v>
      </c>
      <c r="E15">
        <v>19.818940000000001</v>
      </c>
      <c r="F15">
        <v>38.167347999999997</v>
      </c>
      <c r="G15">
        <v>35.204726000000001</v>
      </c>
      <c r="H15">
        <v>27.392461000000001</v>
      </c>
      <c r="I15">
        <v>23.161266999999999</v>
      </c>
      <c r="J15">
        <v>56.431216999999997</v>
      </c>
      <c r="K15">
        <v>51.525039</v>
      </c>
      <c r="L15">
        <v>77.852688000000001</v>
      </c>
      <c r="M15">
        <v>-622.47836800000005</v>
      </c>
      <c r="N15">
        <v>1.613175</v>
      </c>
      <c r="O15">
        <v>3.392868</v>
      </c>
      <c r="P15">
        <f t="shared" si="3"/>
        <v>2.688625E-5</v>
      </c>
      <c r="Q15" cm="1">
        <f t="array" ref="Q15">[1]!PropsSI("D","T",J15+273.15,"P",101325,"Water")</f>
        <v>984.99377383828107</v>
      </c>
      <c r="R15" cm="1">
        <f t="array" ref="R15">[1]!PropsSI("D","T",K15+273.15,"P",101325,"Water")</f>
        <v>987.33769152554044</v>
      </c>
      <c r="S15">
        <f t="shared" si="2"/>
        <v>986.16573268191075</v>
      </c>
      <c r="T15" cm="1">
        <f t="array" ref="T15">[1]!PropsSI("H","T",J15+273.15,"P",101325,"Water")</f>
        <v>236316.17130762478</v>
      </c>
      <c r="U15" cm="1">
        <f t="array" ref="U15">[1]!PropsSI("H","T",K15+273.15,"P",101325,"Water")</f>
        <v>215795.5407249275</v>
      </c>
      <c r="V15">
        <f t="shared" si="1"/>
        <v>544.09012324796709</v>
      </c>
    </row>
    <row r="16" spans="1:22" x14ac:dyDescent="0.2">
      <c r="A16">
        <v>46068.630673472224</v>
      </c>
      <c r="B16">
        <v>19.793572999999999</v>
      </c>
      <c r="C16">
        <v>19.687977</v>
      </c>
      <c r="D16">
        <v>19.940598000000001</v>
      </c>
      <c r="E16">
        <v>19.788411</v>
      </c>
      <c r="F16">
        <v>37.825274999999998</v>
      </c>
      <c r="G16">
        <v>35.369050999999999</v>
      </c>
      <c r="H16">
        <v>27.330746999999999</v>
      </c>
      <c r="I16">
        <v>23.199089000000001</v>
      </c>
      <c r="J16">
        <v>56.429943000000002</v>
      </c>
      <c r="K16">
        <v>51.521383999999998</v>
      </c>
      <c r="L16">
        <v>72.049712999999997</v>
      </c>
      <c r="M16">
        <v>-622.48122499999999</v>
      </c>
      <c r="N16">
        <v>1.6188130000000001</v>
      </c>
      <c r="O16">
        <v>3.6245569999999998</v>
      </c>
      <c r="P16">
        <f t="shared" si="3"/>
        <v>2.698021666666667E-5</v>
      </c>
      <c r="Q16" cm="1">
        <f t="array" ref="Q16">[1]!PropsSI("D","T",J16+273.15,"P",101325,"Water")</f>
        <v>984.99440193187286</v>
      </c>
      <c r="R16" cm="1">
        <f t="array" ref="R16">[1]!PropsSI("D","T",K16+273.15,"P",101325,"Water")</f>
        <v>987.33938087468664</v>
      </c>
      <c r="S16">
        <f t="shared" si="2"/>
        <v>986.16689140327981</v>
      </c>
      <c r="T16" cm="1">
        <f t="array" ref="T16">[1]!PropsSI("H","T",J16+273.15,"P",101325,"Water")</f>
        <v>236310.84154197565</v>
      </c>
      <c r="U16" cm="1">
        <f t="array" ref="U16">[1]!PropsSI("H","T",K16+273.15,"P",101325,"Water")</f>
        <v>215780.25627462479</v>
      </c>
      <c r="V16">
        <f t="shared" si="1"/>
        <v>546.25720828913325</v>
      </c>
    </row>
    <row r="18" spans="3:16" x14ac:dyDescent="0.2">
      <c r="C18" s="1" t="s">
        <v>22</v>
      </c>
    </row>
    <row r="19" spans="3:16" x14ac:dyDescent="0.2">
      <c r="C19">
        <f>AVERAGE(V9:V16)</f>
        <v>545.03834875620794</v>
      </c>
    </row>
    <row r="25" spans="3:16" x14ac:dyDescent="0.2">
      <c r="P25" s="1"/>
    </row>
    <row r="26" spans="3:16" x14ac:dyDescent="0.2">
      <c r="P26" s="1"/>
    </row>
    <row r="27" spans="3:16" x14ac:dyDescent="0.2">
      <c r="P27" s="1"/>
    </row>
    <row r="28" spans="3:16" x14ac:dyDescent="0.2">
      <c r="P28" s="1"/>
    </row>
    <row r="29" spans="3:16" x14ac:dyDescent="0.2">
      <c r="P29" s="1"/>
    </row>
    <row r="30" spans="3:16" x14ac:dyDescent="0.2">
      <c r="P30" s="1"/>
    </row>
    <row r="31" spans="3:16" x14ac:dyDescent="0.2">
      <c r="P31" s="1"/>
    </row>
    <row r="32" spans="3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4243-05ED-A64B-B71B-D7220C0333FD}">
  <dimension ref="A1:V36"/>
  <sheetViews>
    <sheetView workbookViewId="0">
      <selection activeCell="C15" sqref="C15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44606.631792108499</v>
      </c>
      <c r="B2">
        <v>19.764317999999999</v>
      </c>
      <c r="C2">
        <v>19.649362</v>
      </c>
      <c r="D2">
        <v>19.841946</v>
      </c>
      <c r="E2">
        <v>19.730059000000001</v>
      </c>
      <c r="F2">
        <v>35.505521000000002</v>
      </c>
      <c r="G2">
        <v>32.152028000000001</v>
      </c>
      <c r="H2">
        <v>26.185428000000002</v>
      </c>
      <c r="I2">
        <v>21.759139999999999</v>
      </c>
      <c r="J2">
        <v>56.410522999999998</v>
      </c>
      <c r="K2">
        <v>50.743898999999999</v>
      </c>
      <c r="L2">
        <v>128.46647999999999</v>
      </c>
      <c r="M2">
        <v>-622.49836700000003</v>
      </c>
      <c r="N2">
        <v>1.617137</v>
      </c>
      <c r="O2">
        <v>3.1439469999999998</v>
      </c>
      <c r="P2">
        <f xml:space="preserve"> N2*0.001/60</f>
        <v>2.6952283333333333E-5</v>
      </c>
      <c r="Q2" cm="1">
        <f t="array" ref="Q2">[1]!PropsSI("D","T",J2+273.15,"P",101325,"Water")</f>
        <v>985.00397493953221</v>
      </c>
      <c r="R2" cm="1">
        <f t="array" ref="R2">[1]!PropsSI("D","T",K2+273.15,"P",101325,"Water")</f>
        <v>987.69677284390946</v>
      </c>
      <c r="S2">
        <f>(Q2+R2)/2</f>
        <v>986.35037389172089</v>
      </c>
      <c r="T2" cm="1">
        <f t="array" ref="T2">[1]!PropsSI("H","T",J2+273.15,"P",101325,"Water")</f>
        <v>236229.59825209447</v>
      </c>
      <c r="U2" cm="1">
        <f t="array" ref="U2">[1]!PropsSI("H","T",K2+273.15,"P",101325,"Water")</f>
        <v>212529.06775777906</v>
      </c>
      <c r="V2">
        <f>S2*P2*(T2-U2)</f>
        <v>630.06425828102329</v>
      </c>
    </row>
    <row r="3" spans="1:22" x14ac:dyDescent="0.2">
      <c r="A3">
        <v>44606.631908427902</v>
      </c>
      <c r="B3">
        <v>19.711811000000001</v>
      </c>
      <c r="C3">
        <v>19.646249000000001</v>
      </c>
      <c r="D3">
        <v>19.857932000000002</v>
      </c>
      <c r="E3">
        <v>19.751169000000001</v>
      </c>
      <c r="F3">
        <v>35.581373999999997</v>
      </c>
      <c r="G3">
        <v>33.904665999999999</v>
      </c>
      <c r="H3">
        <v>26.589435999999999</v>
      </c>
      <c r="I3">
        <v>21.581838000000001</v>
      </c>
      <c r="J3">
        <v>56.403201000000003</v>
      </c>
      <c r="K3">
        <v>50.727054000000003</v>
      </c>
      <c r="L3">
        <v>133.149103</v>
      </c>
      <c r="M3">
        <v>-622.49469399999998</v>
      </c>
      <c r="N3">
        <v>1.617469</v>
      </c>
      <c r="O3">
        <v>4.7116870000000004</v>
      </c>
      <c r="P3">
        <f t="shared" ref="P3" si="0" xml:space="preserve"> N3*0.001/60</f>
        <v>2.6957816666666668E-5</v>
      </c>
      <c r="Q3" cm="1">
        <f t="array" ref="Q3">[1]!PropsSI("D","T",J3+273.15,"P",101325,"Water")</f>
        <v>985.0075836898236</v>
      </c>
      <c r="R3" cm="1">
        <f t="array" ref="R3">[1]!PropsSI("D","T",K3+273.15,"P",101325,"Water")</f>
        <v>987.70447271680666</v>
      </c>
      <c r="S3">
        <f>(Q3+R3)/2</f>
        <v>986.35602820331519</v>
      </c>
      <c r="T3" cm="1">
        <f t="array" ref="T3">[1]!PropsSI("H","T",J3+273.15,"P",101325,"Water")</f>
        <v>236198.96680825486</v>
      </c>
      <c r="U3" cm="1">
        <f t="array" ref="U3">[1]!PropsSI("H","T",K3+273.15,"P",101325,"Water")</f>
        <v>212458.62946699513</v>
      </c>
      <c r="V3">
        <f t="shared" ref="V3:V24" si="1">S3*P3*(T3-U3)</f>
        <v>631.25568804471482</v>
      </c>
    </row>
    <row r="4" spans="1:22" x14ac:dyDescent="0.2">
      <c r="A4">
        <v>44606.632024168699</v>
      </c>
      <c r="B4">
        <v>19.708655</v>
      </c>
      <c r="C4">
        <v>19.680423000000001</v>
      </c>
      <c r="D4">
        <v>19.834835999999999</v>
      </c>
      <c r="E4">
        <v>19.721641999999999</v>
      </c>
      <c r="F4">
        <v>35.432704999999999</v>
      </c>
      <c r="G4">
        <v>32.815421000000001</v>
      </c>
      <c r="H4">
        <v>26.629380999999999</v>
      </c>
      <c r="I4">
        <v>21.608853</v>
      </c>
      <c r="J4">
        <v>56.396993000000002</v>
      </c>
      <c r="K4">
        <v>50.715772000000001</v>
      </c>
      <c r="L4">
        <v>132.57117299999999</v>
      </c>
      <c r="M4">
        <v>-622.50040799999999</v>
      </c>
      <c r="N4">
        <v>1.619613</v>
      </c>
      <c r="O4">
        <v>4.9157999999999999</v>
      </c>
      <c r="P4">
        <f xml:space="preserve"> N4*0.001/60</f>
        <v>2.6993549999999998E-5</v>
      </c>
      <c r="Q4" cm="1">
        <f t="array" ref="Q4">[1]!PropsSI("D","T",J4+273.15,"P",101325,"Water")</f>
        <v>985.01064313261861</v>
      </c>
      <c r="R4" cm="1">
        <f t="array" ref="R4">[1]!PropsSI("D","T",K4+273.15,"P",101325,"Water")</f>
        <v>987.70962870263907</v>
      </c>
      <c r="S4">
        <f t="shared" ref="S4:S24" si="2">(Q4+R4)/2</f>
        <v>986.3601359176289</v>
      </c>
      <c r="T4" cm="1">
        <f t="array" ref="T4">[1]!PropsSI("H","T",J4+273.15,"P",101325,"Water")</f>
        <v>236172.99577771267</v>
      </c>
      <c r="U4" cm="1">
        <f t="array" ref="U4">[1]!PropsSI("H","T",K4+273.15,"P",101325,"Water")</f>
        <v>212411.45321245061</v>
      </c>
      <c r="V4">
        <f t="shared" si="1"/>
        <v>632.65966408829388</v>
      </c>
    </row>
    <row r="5" spans="1:22" x14ac:dyDescent="0.2">
      <c r="A5">
        <v>44606.632139909401</v>
      </c>
      <c r="B5">
        <v>19.906656999999999</v>
      </c>
      <c r="C5">
        <v>19.708836000000002</v>
      </c>
      <c r="D5">
        <v>19.893651999999999</v>
      </c>
      <c r="E5">
        <v>19.791813000000001</v>
      </c>
      <c r="F5">
        <v>35.378270000000001</v>
      </c>
      <c r="G5">
        <v>32.275962</v>
      </c>
      <c r="H5">
        <v>26.500592999999999</v>
      </c>
      <c r="I5">
        <v>21.788330999999999</v>
      </c>
      <c r="J5">
        <v>56.390785000000001</v>
      </c>
      <c r="K5">
        <v>50.706555000000002</v>
      </c>
      <c r="L5">
        <v>128.52158</v>
      </c>
      <c r="M5">
        <v>-622.50857099999996</v>
      </c>
      <c r="N5">
        <v>1.617666</v>
      </c>
      <c r="O5">
        <v>1.454556</v>
      </c>
      <c r="P5">
        <f t="shared" ref="P5:P24" si="3" xml:space="preserve"> N5*0.001/60</f>
        <v>2.6961100000000002E-5</v>
      </c>
      <c r="Q5" cm="1">
        <f t="array" ref="Q5">[1]!PropsSI("D","T",J5+273.15,"P",101325,"Water")</f>
        <v>985.01370233960176</v>
      </c>
      <c r="R5" cm="1">
        <f t="array" ref="R5">[1]!PropsSI("D","T",K5+273.15,"P",101325,"Water")</f>
        <v>987.71384034839878</v>
      </c>
      <c r="S5">
        <f t="shared" si="2"/>
        <v>986.36377134400027</v>
      </c>
      <c r="T5" cm="1">
        <f t="array" ref="T5">[1]!PropsSI("H","T",J5+273.15,"P",101325,"Water")</f>
        <v>236147.02476193561</v>
      </c>
      <c r="U5" cm="1">
        <f t="array" ref="U5">[1]!PropsSI("H","T",K5+273.15,"P",101325,"Water")</f>
        <v>212372.91188786124</v>
      </c>
      <c r="V5">
        <f t="shared" si="1"/>
        <v>632.23573611101369</v>
      </c>
    </row>
    <row r="6" spans="1:22" x14ac:dyDescent="0.2">
      <c r="A6">
        <v>46068.632255648146</v>
      </c>
      <c r="B6">
        <v>19.912019000000001</v>
      </c>
      <c r="C6">
        <v>19.730183</v>
      </c>
      <c r="D6">
        <v>19.867391000000001</v>
      </c>
      <c r="E6">
        <v>19.803280000000001</v>
      </c>
      <c r="F6">
        <v>35.860213000000002</v>
      </c>
      <c r="G6">
        <v>32.943714999999997</v>
      </c>
      <c r="H6">
        <v>26.587546</v>
      </c>
      <c r="I6">
        <v>22.142512</v>
      </c>
      <c r="J6">
        <v>56.381712</v>
      </c>
      <c r="K6">
        <v>50.702582</v>
      </c>
      <c r="L6">
        <v>134.47964899999999</v>
      </c>
      <c r="M6">
        <v>-622.49265300000002</v>
      </c>
      <c r="N6">
        <v>1.61463</v>
      </c>
      <c r="O6">
        <v>5.8977209999999998</v>
      </c>
      <c r="P6">
        <f t="shared" si="3"/>
        <v>2.6910500000000003E-5</v>
      </c>
      <c r="Q6" cm="1">
        <f t="array" ref="Q6">[1]!PropsSI("D","T",J6+273.15,"P",101325,"Water")</f>
        <v>985.01817295034778</v>
      </c>
      <c r="R6" cm="1">
        <f t="array" ref="R6">[1]!PropsSI("D","T",K6+273.15,"P",101325,"Water")</f>
        <v>987.7156556133823</v>
      </c>
      <c r="S6">
        <f t="shared" si="2"/>
        <v>986.36691428186509</v>
      </c>
      <c r="T6" cm="1">
        <f t="array" ref="T6">[1]!PropsSI("H","T",J6+273.15,"P",101325,"Water")</f>
        <v>236109.06811540676</v>
      </c>
      <c r="U6" cm="1">
        <f t="array" ref="U6">[1]!PropsSI("H","T",K6+273.15,"P",101325,"Water")</f>
        <v>212356.29860676796</v>
      </c>
      <c r="V6">
        <f t="shared" si="1"/>
        <v>630.48465041493284</v>
      </c>
    </row>
    <row r="7" spans="1:22" x14ac:dyDescent="0.2">
      <c r="A7">
        <v>46068.632371967593</v>
      </c>
      <c r="B7">
        <v>19.817976000000002</v>
      </c>
      <c r="C7">
        <v>19.746556000000002</v>
      </c>
      <c r="D7">
        <v>19.963857000000001</v>
      </c>
      <c r="E7">
        <v>19.882677000000001</v>
      </c>
      <c r="F7">
        <v>35.627415999999997</v>
      </c>
      <c r="G7">
        <v>33.157988000000003</v>
      </c>
      <c r="H7">
        <v>26.493814</v>
      </c>
      <c r="I7">
        <v>21.657799000000001</v>
      </c>
      <c r="J7">
        <v>56.379483999999998</v>
      </c>
      <c r="K7">
        <v>50.695748999999999</v>
      </c>
      <c r="L7">
        <v>127.240011</v>
      </c>
      <c r="M7">
        <v>-622.49183700000003</v>
      </c>
      <c r="N7">
        <v>1.614244</v>
      </c>
      <c r="O7">
        <v>3.8102819999999999</v>
      </c>
      <c r="P7">
        <f t="shared" si="3"/>
        <v>2.6904066666666669E-5</v>
      </c>
      <c r="Q7" cm="1">
        <f t="array" ref="Q7">[1]!PropsSI("D","T",J7+273.15,"P",101325,"Water")</f>
        <v>985.01927069327667</v>
      </c>
      <c r="R7" cm="1">
        <f t="array" ref="R7">[1]!PropsSI("D","T",K7+273.15,"P",101325,"Water")</f>
        <v>987.71877737305533</v>
      </c>
      <c r="S7">
        <f t="shared" si="2"/>
        <v>986.36902403316594</v>
      </c>
      <c r="T7" cm="1">
        <f t="array" ref="T7">[1]!PropsSI("H","T",J7+273.15,"P",101325,"Water")</f>
        <v>236099.74734335818</v>
      </c>
      <c r="U7" cm="1">
        <f t="array" ref="U7">[1]!PropsSI("H","T",K7+273.15,"P",101325,"Water")</f>
        <v>212327.72611585684</v>
      </c>
      <c r="V7">
        <f t="shared" si="1"/>
        <v>630.84616179437569</v>
      </c>
    </row>
    <row r="8" spans="1:22" x14ac:dyDescent="0.2">
      <c r="A8">
        <v>46068.632487708332</v>
      </c>
      <c r="B8">
        <v>19.685790000000001</v>
      </c>
      <c r="C8">
        <v>19.676331999999999</v>
      </c>
      <c r="D8">
        <v>19.895990999999999</v>
      </c>
      <c r="E8">
        <v>19.831358000000002</v>
      </c>
      <c r="F8">
        <v>36.064841000000001</v>
      </c>
      <c r="G8">
        <v>33.495443000000002</v>
      </c>
      <c r="H8">
        <v>26.509537000000002</v>
      </c>
      <c r="I8">
        <v>22.221039999999999</v>
      </c>
      <c r="J8">
        <v>56.376618999999998</v>
      </c>
      <c r="K8">
        <v>50.690187999999999</v>
      </c>
      <c r="L8">
        <v>132.14629600000001</v>
      </c>
      <c r="M8">
        <v>-622.47306300000002</v>
      </c>
      <c r="N8">
        <v>1.61399</v>
      </c>
      <c r="O8">
        <v>5.310797</v>
      </c>
      <c r="P8">
        <f t="shared" si="3"/>
        <v>2.6899833333333333E-5</v>
      </c>
      <c r="Q8" cm="1">
        <f t="array" ref="Q8">[1]!PropsSI("D","T",J8+273.15,"P",101325,"Water")</f>
        <v>985.02068224356242</v>
      </c>
      <c r="R8" cm="1">
        <f t="array" ref="R8">[1]!PropsSI("D","T",K8+273.15,"P",101325,"Water")</f>
        <v>987.72131777599554</v>
      </c>
      <c r="S8">
        <f t="shared" si="2"/>
        <v>986.37100000977898</v>
      </c>
      <c r="T8" cm="1">
        <f t="array" ref="T8">[1]!PropsSI("H","T",J8+273.15,"P",101325,"Water")</f>
        <v>236087.76170348295</v>
      </c>
      <c r="U8" cm="1">
        <f t="array" ref="U8">[1]!PropsSI("H","T",K8+273.15,"P",101325,"Water")</f>
        <v>212304.4725592254</v>
      </c>
      <c r="V8">
        <f t="shared" si="1"/>
        <v>631.04713628460502</v>
      </c>
    </row>
    <row r="9" spans="1:22" x14ac:dyDescent="0.2">
      <c r="A9">
        <v>46068.632604027778</v>
      </c>
      <c r="B9">
        <v>19.759160999999999</v>
      </c>
      <c r="C9">
        <v>19.759077999999999</v>
      </c>
      <c r="D9">
        <v>19.935511000000002</v>
      </c>
      <c r="E9">
        <v>19.857607000000002</v>
      </c>
      <c r="F9">
        <v>35.813403999999998</v>
      </c>
      <c r="G9">
        <v>33.333675999999997</v>
      </c>
      <c r="H9">
        <v>26.779875000000001</v>
      </c>
      <c r="I9">
        <v>22.723279000000002</v>
      </c>
      <c r="J9">
        <v>56.372798000000003</v>
      </c>
      <c r="K9">
        <v>50.683036999999999</v>
      </c>
      <c r="L9">
        <v>126.96288199999999</v>
      </c>
      <c r="M9">
        <v>-622.50244899999996</v>
      </c>
      <c r="N9">
        <v>1.6159779999999999</v>
      </c>
      <c r="O9">
        <v>5.8615170000000001</v>
      </c>
      <c r="P9">
        <f t="shared" si="3"/>
        <v>2.6932966666666664E-5</v>
      </c>
      <c r="Q9" cm="1">
        <f t="array" ref="Q9">[1]!PropsSI("D","T",J9+273.15,"P",101325,"Water")</f>
        <v>985.02256472511806</v>
      </c>
      <c r="R9" cm="1">
        <f t="array" ref="R9">[1]!PropsSI("D","T",K9+273.15,"P",101325,"Water")</f>
        <v>987.7245842346457</v>
      </c>
      <c r="S9">
        <f t="shared" si="2"/>
        <v>986.37357447988188</v>
      </c>
      <c r="T9" cm="1">
        <f t="array" ref="T9">[1]!PropsSI("H","T",J9+273.15,"P",101325,"Water")</f>
        <v>236071.77667173251</v>
      </c>
      <c r="U9" cm="1">
        <f t="array" ref="U9">[1]!PropsSI("H","T",K9+273.15,"P",101325,"Water")</f>
        <v>212274.5703637182</v>
      </c>
      <c r="V9">
        <f t="shared" si="1"/>
        <v>632.19578800788167</v>
      </c>
    </row>
    <row r="10" spans="1:22" x14ac:dyDescent="0.2">
      <c r="A10">
        <v>44606.632719770503</v>
      </c>
      <c r="B10">
        <v>19.962109000000002</v>
      </c>
      <c r="C10">
        <v>19.793333000000001</v>
      </c>
      <c r="D10">
        <v>19.973233</v>
      </c>
      <c r="E10">
        <v>19.914936999999998</v>
      </c>
      <c r="F10">
        <v>35.683838999999999</v>
      </c>
      <c r="G10">
        <v>33.124885999999996</v>
      </c>
      <c r="H10">
        <v>26.790510999999999</v>
      </c>
      <c r="I10">
        <v>22.402179</v>
      </c>
      <c r="J10">
        <v>56.372480000000003</v>
      </c>
      <c r="K10">
        <v>50.681130000000003</v>
      </c>
      <c r="L10">
        <v>126.986963</v>
      </c>
      <c r="M10">
        <v>-622.49591899999996</v>
      </c>
      <c r="N10">
        <v>1.6194900000000001</v>
      </c>
      <c r="O10">
        <v>2.3748309999999999</v>
      </c>
      <c r="P10">
        <f t="shared" si="3"/>
        <v>2.6991500000000001E-5</v>
      </c>
      <c r="Q10" cm="1">
        <f t="array" ref="Q10">[1]!PropsSI("D","T",J10+273.15,"P",101325,"Water")</f>
        <v>985.02272138927128</v>
      </c>
      <c r="R10" cm="1">
        <f t="array" ref="R10">[1]!PropsSI("D","T",K10+273.15,"P",101325,"Water")</f>
        <v>987.72545526452632</v>
      </c>
      <c r="S10">
        <f t="shared" si="2"/>
        <v>986.3740883268988</v>
      </c>
      <c r="T10" cm="1">
        <f t="array" ref="T10">[1]!PropsSI("H","T",J10+273.15,"P",101325,"Water")</f>
        <v>236070.44632910658</v>
      </c>
      <c r="U10" cm="1">
        <f t="array" ref="U10">[1]!PropsSI("H","T",K10+273.15,"P",101325,"Water")</f>
        <v>212266.59616869778</v>
      </c>
      <c r="V10">
        <f t="shared" si="1"/>
        <v>633.74695125886444</v>
      </c>
    </row>
    <row r="11" spans="1:22" x14ac:dyDescent="0.2">
      <c r="A11">
        <v>44606.6328355113</v>
      </c>
      <c r="B11">
        <v>19.919716999999999</v>
      </c>
      <c r="C11">
        <v>19.837928000000002</v>
      </c>
      <c r="D11">
        <v>20.024075</v>
      </c>
      <c r="E11">
        <v>19.952393000000001</v>
      </c>
      <c r="F11">
        <v>36.204051</v>
      </c>
      <c r="G11">
        <v>33.047361000000002</v>
      </c>
      <c r="H11">
        <v>26.828952999999998</v>
      </c>
      <c r="I11">
        <v>22.203842999999999</v>
      </c>
      <c r="J11">
        <v>56.366272000000002</v>
      </c>
      <c r="K11">
        <v>50.683672000000001</v>
      </c>
      <c r="L11">
        <v>137.01952199999999</v>
      </c>
      <c r="M11">
        <v>-622.47020599999996</v>
      </c>
      <c r="N11">
        <v>1.6216079999999999</v>
      </c>
      <c r="O11">
        <v>3.185095</v>
      </c>
      <c r="P11">
        <f t="shared" si="3"/>
        <v>2.70268E-5</v>
      </c>
      <c r="Q11" cm="1">
        <f t="array" ref="Q11">[1]!PropsSI("D","T",J11+273.15,"P",101325,"Water")</f>
        <v>985.02577966493709</v>
      </c>
      <c r="R11" cm="1">
        <f t="array" ref="R11">[1]!PropsSI("D","T",K11+273.15,"P",101325,"Water")</f>
        <v>987.72429419061029</v>
      </c>
      <c r="S11">
        <f t="shared" si="2"/>
        <v>986.37503692777364</v>
      </c>
      <c r="T11" cm="1">
        <f t="array" ref="T11">[1]!PropsSI("H","T",J11+273.15,"P",101325,"Water")</f>
        <v>236044.47537152108</v>
      </c>
      <c r="U11" cm="1">
        <f t="array" ref="U11">[1]!PropsSI("H","T",K11+273.15,"P",101325,"Water")</f>
        <v>212277.22564124275</v>
      </c>
      <c r="V11">
        <f t="shared" si="1"/>
        <v>633.60067312517651</v>
      </c>
    </row>
    <row r="12" spans="1:22" x14ac:dyDescent="0.2">
      <c r="A12">
        <v>44606.632951830703</v>
      </c>
      <c r="B12">
        <v>19.906341000000001</v>
      </c>
      <c r="C12">
        <v>19.789126</v>
      </c>
      <c r="D12">
        <v>20.02196</v>
      </c>
      <c r="E12">
        <v>19.916519000000001</v>
      </c>
      <c r="F12">
        <v>35.642194000000003</v>
      </c>
      <c r="G12">
        <v>31.628854</v>
      </c>
      <c r="H12">
        <v>26.823893000000002</v>
      </c>
      <c r="I12">
        <v>21.553163000000001</v>
      </c>
      <c r="J12">
        <v>56.362293000000001</v>
      </c>
      <c r="K12">
        <v>50.676203999999998</v>
      </c>
      <c r="L12">
        <v>129.45663500000001</v>
      </c>
      <c r="M12">
        <v>-622.50816299999997</v>
      </c>
      <c r="N12">
        <v>1.61399</v>
      </c>
      <c r="O12">
        <v>2.504032</v>
      </c>
      <c r="P12">
        <f t="shared" si="3"/>
        <v>2.6899833333333333E-5</v>
      </c>
      <c r="Q12" cm="1">
        <f t="array" ref="Q12">[1]!PropsSI("D","T",J12+273.15,"P",101325,"Water")</f>
        <v>985.02773973400747</v>
      </c>
      <c r="R12" cm="1">
        <f t="array" ref="R12">[1]!PropsSI("D","T",K12+273.15,"P",101325,"Water")</f>
        <v>987.72770512521242</v>
      </c>
      <c r="S12">
        <f t="shared" si="2"/>
        <v>986.37772242961</v>
      </c>
      <c r="T12" cm="1">
        <f t="array" ref="T12">[1]!PropsSI("H","T",J12+273.15,"P",101325,"Water")</f>
        <v>236027.82936767116</v>
      </c>
      <c r="U12" cm="1">
        <f t="array" ref="U12">[1]!PropsSI("H","T",K12+273.15,"P",101325,"Water")</f>
        <v>212245.99791212002</v>
      </c>
      <c r="V12">
        <f t="shared" si="1"/>
        <v>631.01275963152341</v>
      </c>
    </row>
    <row r="14" spans="1:22" x14ac:dyDescent="0.2">
      <c r="C14" s="1" t="s">
        <v>22</v>
      </c>
    </row>
    <row r="15" spans="1:22" x14ac:dyDescent="0.2">
      <c r="C15">
        <f>AVERAGE(V2:V12)</f>
        <v>631.74086064021856</v>
      </c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8C72-F405-2C42-9848-F52CCA1255C2}">
  <dimension ref="A1:V36"/>
  <sheetViews>
    <sheetView workbookViewId="0">
      <selection activeCell="C17" sqref="C17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44606.633963404798</v>
      </c>
      <c r="B2">
        <v>19.897423</v>
      </c>
      <c r="C2">
        <v>19.705254</v>
      </c>
      <c r="D2">
        <v>19.88148</v>
      </c>
      <c r="E2">
        <v>19.881112999999999</v>
      </c>
      <c r="F2">
        <v>33.354615000000003</v>
      </c>
      <c r="G2">
        <v>30.434096</v>
      </c>
      <c r="H2">
        <v>25.490590999999998</v>
      </c>
      <c r="I2">
        <v>21.780854999999999</v>
      </c>
      <c r="J2">
        <v>56.333799999999997</v>
      </c>
      <c r="K2">
        <v>49.967244000000001</v>
      </c>
      <c r="L2">
        <v>206.08545100000001</v>
      </c>
      <c r="M2">
        <v>-622.50204099999996</v>
      </c>
      <c r="N2">
        <v>1.611019</v>
      </c>
      <c r="O2">
        <v>3.32328</v>
      </c>
      <c r="P2">
        <f xml:space="preserve"> N2*0.001/60</f>
        <v>2.6850316666666666E-5</v>
      </c>
      <c r="Q2" cm="1">
        <f t="array" ref="Q2">[1]!PropsSI("D","T",J2+273.15,"P",101325,"Water")</f>
        <v>985.04177265165185</v>
      </c>
      <c r="R2" cm="1">
        <f t="array" ref="R2">[1]!PropsSI("D","T",K2+273.15,"P",101325,"Water")</f>
        <v>988.04985817324166</v>
      </c>
      <c r="S2">
        <f>(Q2+R2)/2</f>
        <v>986.5458154124467</v>
      </c>
      <c r="T2" cm="1">
        <f t="array" ref="T2">[1]!PropsSI("H","T",J2+273.15,"P",101325,"Water")</f>
        <v>235908.63010039256</v>
      </c>
      <c r="U2" cm="1">
        <f t="array" ref="U2">[1]!PropsSI("H","T",K2+273.15,"P",101325,"Water")</f>
        <v>209281.52809830429</v>
      </c>
      <c r="V2">
        <f>S2*P2*(T2-U2)</f>
        <v>705.32710359403188</v>
      </c>
    </row>
    <row r="3" spans="1:22" x14ac:dyDescent="0.2">
      <c r="A3">
        <v>44606.6340791455</v>
      </c>
      <c r="B3">
        <v>19.929337</v>
      </c>
      <c r="C3">
        <v>19.791955999999999</v>
      </c>
      <c r="D3">
        <v>20.005288</v>
      </c>
      <c r="E3">
        <v>19.859341000000001</v>
      </c>
      <c r="F3">
        <v>33.278993999999997</v>
      </c>
      <c r="G3">
        <v>30.721973999999999</v>
      </c>
      <c r="H3">
        <v>25.300013</v>
      </c>
      <c r="I3">
        <v>22.50468</v>
      </c>
      <c r="J3">
        <v>56.328389000000001</v>
      </c>
      <c r="K3">
        <v>49.969149999999999</v>
      </c>
      <c r="L3">
        <v>217.52365399999999</v>
      </c>
      <c r="M3">
        <v>-622.48489900000004</v>
      </c>
      <c r="N3">
        <v>1.62069</v>
      </c>
      <c r="O3">
        <v>4.4027849999999997</v>
      </c>
      <c r="P3">
        <f t="shared" ref="P3" si="0" xml:space="preserve"> N3*0.001/60</f>
        <v>2.70115E-5</v>
      </c>
      <c r="Q3" cm="1">
        <f t="array" ref="Q3">[1]!PropsSI("D","T",J3+273.15,"P",101325,"Water")</f>
        <v>985.04443702944513</v>
      </c>
      <c r="R3" cm="1">
        <f t="array" ref="R3">[1]!PropsSI("D","T",K3+273.15,"P",101325,"Water")</f>
        <v>988.04899649196511</v>
      </c>
      <c r="S3">
        <f>(Q3+R3)/2</f>
        <v>986.54671676070507</v>
      </c>
      <c r="T3" cm="1">
        <f t="array" ref="T3">[1]!PropsSI("H","T",J3+273.15,"P",101325,"Water")</f>
        <v>235885.99344449682</v>
      </c>
      <c r="U3" cm="1">
        <f t="array" ref="U3">[1]!PropsSI("H","T",K3+273.15,"P",101325,"Water")</f>
        <v>209289.49771955347</v>
      </c>
      <c r="V3">
        <f t="shared" ref="V3:V24" si="1">S3*P3*(T3-U3)</f>
        <v>708.74625432279072</v>
      </c>
    </row>
    <row r="4" spans="1:22" x14ac:dyDescent="0.2">
      <c r="A4">
        <v>44606.634195464998</v>
      </c>
      <c r="B4">
        <v>19.900651</v>
      </c>
      <c r="C4">
        <v>19.868957999999999</v>
      </c>
      <c r="D4">
        <v>19.965477</v>
      </c>
      <c r="E4">
        <v>19.861529000000001</v>
      </c>
      <c r="F4">
        <v>33.251013999999998</v>
      </c>
      <c r="G4">
        <v>29.990427</v>
      </c>
      <c r="H4">
        <v>25.633727</v>
      </c>
      <c r="I4">
        <v>22.054378</v>
      </c>
      <c r="J4">
        <v>56.320906999999998</v>
      </c>
      <c r="K4">
        <v>49.958347000000003</v>
      </c>
      <c r="L4">
        <v>224.443307</v>
      </c>
      <c r="M4">
        <v>-622.49061300000005</v>
      </c>
      <c r="N4">
        <v>1.6144000000000001</v>
      </c>
      <c r="O4">
        <v>3.330587</v>
      </c>
      <c r="P4">
        <f xml:space="preserve"> N4*0.001/60</f>
        <v>2.6906666666666668E-5</v>
      </c>
      <c r="Q4" cm="1">
        <f t="array" ref="Q4">[1]!PropsSI("D","T",J4+273.15,"P",101325,"Water")</f>
        <v>985.04812087278412</v>
      </c>
      <c r="R4" cm="1">
        <f t="array" ref="R4">[1]!PropsSI("D","T",K4+273.15,"P",101325,"Water")</f>
        <v>988.05388009203557</v>
      </c>
      <c r="S4">
        <f t="shared" ref="S4:S24" si="2">(Q4+R4)/2</f>
        <v>986.55100048240979</v>
      </c>
      <c r="T4" cm="1">
        <f t="array" ref="T4">[1]!PropsSI("H","T",J4+273.15,"P",101325,"Water")</f>
        <v>235854.69287899192</v>
      </c>
      <c r="U4" cm="1">
        <f t="array" ref="U4">[1]!PropsSI("H","T",K4+273.15,"P",101325,"Water")</f>
        <v>209244.32678936058</v>
      </c>
      <c r="V4">
        <f t="shared" si="1"/>
        <v>706.36681702744931</v>
      </c>
    </row>
    <row r="5" spans="1:22" x14ac:dyDescent="0.2">
      <c r="A5">
        <v>44606.6343112057</v>
      </c>
      <c r="B5">
        <v>20.050317</v>
      </c>
      <c r="C5">
        <v>19.804167</v>
      </c>
      <c r="D5">
        <v>19.976863999999999</v>
      </c>
      <c r="E5">
        <v>19.828218</v>
      </c>
      <c r="F5">
        <v>33.722022000000003</v>
      </c>
      <c r="G5">
        <v>31.830255000000001</v>
      </c>
      <c r="H5">
        <v>24.857561</v>
      </c>
      <c r="I5">
        <v>22.523123999999999</v>
      </c>
      <c r="J5">
        <v>56.318997000000003</v>
      </c>
      <c r="K5">
        <v>49.954056999999999</v>
      </c>
      <c r="L5">
        <v>204.302683</v>
      </c>
      <c r="M5">
        <v>-622.47673599999996</v>
      </c>
      <c r="N5">
        <v>1.6198950000000001</v>
      </c>
      <c r="O5">
        <v>2.1458110000000001</v>
      </c>
      <c r="P5">
        <f t="shared" ref="P5:P24" si="3" xml:space="preserve"> N5*0.001/60</f>
        <v>2.6998250000000002E-5</v>
      </c>
      <c r="Q5" cm="1">
        <f t="array" ref="Q5">[1]!PropsSI("D","T",J5+273.15,"P",101325,"Water")</f>
        <v>985.04906122695343</v>
      </c>
      <c r="R5" cm="1">
        <f t="array" ref="R5">[1]!PropsSI("D","T",K5+273.15,"P",101325,"Water")</f>
        <v>988.05581921531746</v>
      </c>
      <c r="S5">
        <f t="shared" si="2"/>
        <v>986.55244022113538</v>
      </c>
      <c r="T5" cm="1">
        <f t="array" ref="T5">[1]!PropsSI("H","T",J5+273.15,"P",101325,"Water")</f>
        <v>235846.70249480812</v>
      </c>
      <c r="U5" cm="1">
        <f t="array" ref="U5">[1]!PropsSI("H","T",K5+273.15,"P",101325,"Water")</f>
        <v>209226.38888400546</v>
      </c>
      <c r="V5">
        <f t="shared" si="1"/>
        <v>709.03709542224419</v>
      </c>
    </row>
    <row r="6" spans="1:22" x14ac:dyDescent="0.2">
      <c r="A6">
        <v>46068.634427523146</v>
      </c>
      <c r="B6">
        <v>20.165997000000001</v>
      </c>
      <c r="C6">
        <v>19.798822999999999</v>
      </c>
      <c r="D6">
        <v>20.020509000000001</v>
      </c>
      <c r="E6">
        <v>19.939212000000001</v>
      </c>
      <c r="F6">
        <v>33.722247000000003</v>
      </c>
      <c r="G6">
        <v>31.08615</v>
      </c>
      <c r="H6">
        <v>25.369572999999999</v>
      </c>
      <c r="I6">
        <v>22.598016999999999</v>
      </c>
      <c r="J6">
        <v>56.315973</v>
      </c>
      <c r="K6">
        <v>49.952309999999997</v>
      </c>
      <c r="L6">
        <v>214.216881</v>
      </c>
      <c r="M6">
        <v>-622.48530700000003</v>
      </c>
      <c r="N6">
        <v>1.6168830000000001</v>
      </c>
      <c r="O6">
        <v>3.6463130000000001</v>
      </c>
      <c r="P6">
        <f t="shared" si="3"/>
        <v>2.6948050000000004E-5</v>
      </c>
      <c r="Q6" cm="1">
        <f t="array" ref="Q6">[1]!PropsSI("D","T",J6+273.15,"P",101325,"Water")</f>
        <v>985.05054999328752</v>
      </c>
      <c r="R6" cm="1">
        <f t="array" ref="R6">[1]!PropsSI("D","T",K6+273.15,"P",101325,"Water")</f>
        <v>988.0566088423659</v>
      </c>
      <c r="S6">
        <f t="shared" si="2"/>
        <v>986.55357941782677</v>
      </c>
      <c r="T6" cm="1">
        <f t="array" ref="T6">[1]!PropsSI("H","T",J6+273.15,"P",101325,"Water")</f>
        <v>235834.05175329655</v>
      </c>
      <c r="U6" cm="1">
        <f t="array" ref="U6">[1]!PropsSI("H","T",K6+273.15,"P",101325,"Water")</f>
        <v>209219.08410210573</v>
      </c>
      <c r="V6">
        <f t="shared" si="1"/>
        <v>707.5774173553001</v>
      </c>
    </row>
    <row r="7" spans="1:22" x14ac:dyDescent="0.2">
      <c r="A7">
        <v>46068.634543842592</v>
      </c>
      <c r="B7">
        <v>20.125965999999998</v>
      </c>
      <c r="C7">
        <v>19.858063000000001</v>
      </c>
      <c r="D7">
        <v>19.958998000000001</v>
      </c>
      <c r="E7">
        <v>19.884530999999999</v>
      </c>
      <c r="F7">
        <v>33.070646000000004</v>
      </c>
      <c r="G7">
        <v>31.650435000000002</v>
      </c>
      <c r="H7">
        <v>25.603967000000001</v>
      </c>
      <c r="I7">
        <v>22.282012999999999</v>
      </c>
      <c r="J7">
        <v>56.311039000000001</v>
      </c>
      <c r="K7">
        <v>49.953581</v>
      </c>
      <c r="L7">
        <v>211.434979</v>
      </c>
      <c r="M7">
        <v>-622.51877500000001</v>
      </c>
      <c r="N7">
        <v>1.615953</v>
      </c>
      <c r="O7">
        <v>2.439425</v>
      </c>
      <c r="P7">
        <f t="shared" si="3"/>
        <v>2.693255E-5</v>
      </c>
      <c r="Q7" cm="1">
        <f t="array" ref="Q7">[1]!PropsSI("D","T",J7+273.15,"P",101325,"Water")</f>
        <v>985.05297896472405</v>
      </c>
      <c r="R7" cm="1">
        <f t="array" ref="R7">[1]!PropsSI("D","T",K7+273.15,"P",101325,"Water")</f>
        <v>988.05603436469664</v>
      </c>
      <c r="S7">
        <f t="shared" si="2"/>
        <v>986.55450666471029</v>
      </c>
      <c r="T7" cm="1">
        <f t="array" ref="T7">[1]!PropsSI("H","T",J7+273.15,"P",101325,"Water")</f>
        <v>235813.41063684013</v>
      </c>
      <c r="U7" cm="1">
        <f t="array" ref="U7">[1]!PropsSI("H","T",K7+273.15,"P",101325,"Water")</f>
        <v>209224.39857123408</v>
      </c>
      <c r="V7">
        <f t="shared" si="1"/>
        <v>706.48144606133292</v>
      </c>
    </row>
    <row r="8" spans="1:22" x14ac:dyDescent="0.2">
      <c r="A8">
        <v>46068.634659583331</v>
      </c>
      <c r="B8">
        <v>20.053813999999999</v>
      </c>
      <c r="C8">
        <v>19.765360999999999</v>
      </c>
      <c r="D8">
        <v>20.012834000000002</v>
      </c>
      <c r="E8">
        <v>19.868189000000001</v>
      </c>
      <c r="F8">
        <v>33.129092</v>
      </c>
      <c r="G8">
        <v>30.250097</v>
      </c>
      <c r="H8">
        <v>25.54598</v>
      </c>
      <c r="I8">
        <v>22.343104</v>
      </c>
      <c r="J8">
        <v>56.312311999999999</v>
      </c>
      <c r="K8">
        <v>49.947702999999997</v>
      </c>
      <c r="L8">
        <v>202.229726</v>
      </c>
      <c r="M8">
        <v>-622.49755100000004</v>
      </c>
      <c r="N8">
        <v>1.62151</v>
      </c>
      <c r="O8">
        <v>3.194677</v>
      </c>
      <c r="P8">
        <f t="shared" si="3"/>
        <v>2.7025166666666667E-5</v>
      </c>
      <c r="Q8" cm="1">
        <f t="array" ref="Q8">[1]!PropsSI("D","T",J8+273.15,"P",101325,"Water")</f>
        <v>985.05235229058519</v>
      </c>
      <c r="R8" cm="1">
        <f t="array" ref="R8">[1]!PropsSI("D","T",K8+273.15,"P",101325,"Water")</f>
        <v>988.05869106557373</v>
      </c>
      <c r="S8">
        <f t="shared" si="2"/>
        <v>986.55552167807946</v>
      </c>
      <c r="T8" cm="1">
        <f t="array" ref="T8">[1]!PropsSI("H","T",J8+273.15,"P",101325,"Water")</f>
        <v>235818.73616115606</v>
      </c>
      <c r="U8" cm="1">
        <f t="array" ref="U8">[1]!PropsSI("H","T",K8+273.15,"P",101325,"Water")</f>
        <v>209199.82072313514</v>
      </c>
      <c r="V8">
        <f t="shared" si="1"/>
        <v>709.70892896428745</v>
      </c>
    </row>
    <row r="9" spans="1:22" x14ac:dyDescent="0.2">
      <c r="A9">
        <v>46068.634775902778</v>
      </c>
      <c r="B9">
        <v>20.173031000000002</v>
      </c>
      <c r="C9">
        <v>19.803941999999999</v>
      </c>
      <c r="D9">
        <v>20.047912</v>
      </c>
      <c r="E9">
        <v>19.957144</v>
      </c>
      <c r="F9">
        <v>33.725200000000001</v>
      </c>
      <c r="G9">
        <v>31.081375000000001</v>
      </c>
      <c r="H9">
        <v>25.355146000000001</v>
      </c>
      <c r="I9">
        <v>22.206382000000001</v>
      </c>
      <c r="J9">
        <v>56.309128999999999</v>
      </c>
      <c r="K9">
        <v>49.94659</v>
      </c>
      <c r="L9">
        <v>211.04479499999999</v>
      </c>
      <c r="M9">
        <v>-622.48897999999997</v>
      </c>
      <c r="N9">
        <v>1.615974</v>
      </c>
      <c r="O9">
        <v>3.2286190000000001</v>
      </c>
      <c r="P9">
        <f t="shared" si="3"/>
        <v>2.6932900000000001E-5</v>
      </c>
      <c r="Q9" cm="1">
        <f t="array" ref="Q9">[1]!PropsSI("D","T",J9+273.15,"P",101325,"Water")</f>
        <v>985.0539192034505</v>
      </c>
      <c r="R9" cm="1">
        <f t="array" ref="R9">[1]!PropsSI("D","T",K9+273.15,"P",101325,"Water")</f>
        <v>988.05919408664045</v>
      </c>
      <c r="S9">
        <f t="shared" si="2"/>
        <v>986.55655664504548</v>
      </c>
      <c r="T9" cm="1">
        <f t="array" ref="T9">[1]!PropsSI("H","T",J9+273.15,"P",101325,"Water")</f>
        <v>235805.42025986654</v>
      </c>
      <c r="U9" cm="1">
        <f t="array" ref="U9">[1]!PropsSI("H","T",K9+273.15,"P",101325,"Water")</f>
        <v>209195.16690577933</v>
      </c>
      <c r="V9">
        <f t="shared" si="1"/>
        <v>707.05649376577196</v>
      </c>
    </row>
    <row r="10" spans="1:22" x14ac:dyDescent="0.2">
      <c r="A10">
        <v>44606.634891645503</v>
      </c>
      <c r="B10">
        <v>20.148503000000002</v>
      </c>
      <c r="C10">
        <v>19.835125000000001</v>
      </c>
      <c r="D10">
        <v>20.015236999999999</v>
      </c>
      <c r="E10">
        <v>19.926410000000001</v>
      </c>
      <c r="F10">
        <v>33.625594</v>
      </c>
      <c r="G10">
        <v>29.799181999999998</v>
      </c>
      <c r="H10">
        <v>25.936146999999998</v>
      </c>
      <c r="I10">
        <v>22.067540000000001</v>
      </c>
      <c r="J10">
        <v>56.302920999999998</v>
      </c>
      <c r="K10">
        <v>49.942459999999997</v>
      </c>
      <c r="L10">
        <v>197.54138900000001</v>
      </c>
      <c r="M10">
        <v>-622.49550999999997</v>
      </c>
      <c r="N10">
        <v>1.6215999999999999</v>
      </c>
      <c r="O10">
        <v>3.7543549999999999</v>
      </c>
      <c r="P10">
        <f t="shared" si="3"/>
        <v>2.7026666666666667E-5</v>
      </c>
      <c r="Q10" cm="1">
        <f t="array" ref="Q10">[1]!PropsSI("D","T",J10+273.15,"P",101325,"Water")</f>
        <v>985.05697507115951</v>
      </c>
      <c r="R10" cm="1">
        <f t="array" ref="R10">[1]!PropsSI("D","T",K10+273.15,"P",101325,"Water")</f>
        <v>988.06106057181739</v>
      </c>
      <c r="S10">
        <f t="shared" si="2"/>
        <v>986.5590178214884</v>
      </c>
      <c r="T10" cm="1">
        <f t="array" ref="T10">[1]!PropsSI("H","T",J10+273.15,"P",101325,"Water")</f>
        <v>235779.44945251662</v>
      </c>
      <c r="U10" cm="1">
        <f t="array" ref="U10">[1]!PropsSI("H","T",K10+273.15,"P",101325,"Water")</f>
        <v>209177.89802676727</v>
      </c>
      <c r="V10">
        <f t="shared" si="1"/>
        <v>709.28785208403053</v>
      </c>
    </row>
    <row r="11" spans="1:22" x14ac:dyDescent="0.2">
      <c r="A11">
        <v>44606.6350073863</v>
      </c>
      <c r="B11">
        <v>20.021712000000001</v>
      </c>
      <c r="C11">
        <v>19.844315999999999</v>
      </c>
      <c r="D11">
        <v>20.011191</v>
      </c>
      <c r="E11">
        <v>19.874376999999999</v>
      </c>
      <c r="F11">
        <v>33.442225999999998</v>
      </c>
      <c r="G11">
        <v>30.659866000000001</v>
      </c>
      <c r="H11">
        <v>25.534966000000001</v>
      </c>
      <c r="I11">
        <v>22.585858999999999</v>
      </c>
      <c r="J11">
        <v>56.302920999999998</v>
      </c>
      <c r="K11">
        <v>49.938488</v>
      </c>
      <c r="L11">
        <v>214.41972799999999</v>
      </c>
      <c r="M11">
        <v>-622.47877700000004</v>
      </c>
      <c r="N11">
        <v>1.6184320000000001</v>
      </c>
      <c r="O11">
        <v>3.7608619999999999</v>
      </c>
      <c r="P11">
        <f t="shared" si="3"/>
        <v>2.6973866666666669E-5</v>
      </c>
      <c r="Q11" cm="1">
        <f t="array" ref="Q11">[1]!PropsSI("D","T",J11+273.15,"P",101325,"Water")</f>
        <v>985.05697507115951</v>
      </c>
      <c r="R11" cm="1">
        <f t="array" ref="R11">[1]!PropsSI("D","T",K11+273.15,"P",101325,"Water")</f>
        <v>988.06285554589488</v>
      </c>
      <c r="S11">
        <f t="shared" si="2"/>
        <v>986.55991530852725</v>
      </c>
      <c r="T11" cm="1">
        <f t="array" ref="T11">[1]!PropsSI("H","T",J11+273.15,"P",101325,"Water")</f>
        <v>235779.44945251662</v>
      </c>
      <c r="U11" cm="1">
        <f t="array" ref="U11">[1]!PropsSI("H","T",K11+273.15,"P",101325,"Water")</f>
        <v>209161.28980192298</v>
      </c>
      <c r="V11">
        <f t="shared" si="1"/>
        <v>708.34477989457503</v>
      </c>
    </row>
    <row r="12" spans="1:22" x14ac:dyDescent="0.2">
      <c r="A12">
        <v>44606.635123127002</v>
      </c>
      <c r="B12">
        <v>19.996306000000001</v>
      </c>
      <c r="C12">
        <v>19.852798</v>
      </c>
      <c r="D12">
        <v>20.014793000000001</v>
      </c>
      <c r="E12">
        <v>19.920456000000001</v>
      </c>
      <c r="F12">
        <v>33.684054000000003</v>
      </c>
      <c r="G12">
        <v>29.542356999999999</v>
      </c>
      <c r="H12">
        <v>25.261502</v>
      </c>
      <c r="I12">
        <v>22.274481000000002</v>
      </c>
      <c r="J12">
        <v>56.302442999999997</v>
      </c>
      <c r="K12">
        <v>49.935786999999998</v>
      </c>
      <c r="L12">
        <v>205.685879</v>
      </c>
      <c r="M12">
        <v>-622.50408100000004</v>
      </c>
      <c r="N12">
        <v>1.6163099999999999</v>
      </c>
      <c r="O12">
        <v>2.9020030000000001</v>
      </c>
      <c r="P12">
        <f t="shared" si="3"/>
        <v>2.69385E-5</v>
      </c>
      <c r="Q12" cm="1">
        <f t="array" ref="Q12">[1]!PropsSI("D","T",J12+273.15,"P",101325,"Water")</f>
        <v>985.05721035530098</v>
      </c>
      <c r="R12" cm="1">
        <f t="array" ref="R12">[1]!PropsSI("D","T",K12+273.15,"P",101325,"Water")</f>
        <v>988.06407608718791</v>
      </c>
      <c r="S12">
        <f t="shared" si="2"/>
        <v>986.56064322124439</v>
      </c>
      <c r="T12" cm="1">
        <f t="array" ref="T12">[1]!PropsSI("H","T",J12+273.15,"P",101325,"Water")</f>
        <v>235777.44976792435</v>
      </c>
      <c r="U12" cm="1">
        <f t="array" ref="U12">[1]!PropsSI("H","T",K12+273.15,"P",101325,"Water")</f>
        <v>209149.99604433076</v>
      </c>
      <c r="V12">
        <f t="shared" si="1"/>
        <v>707.6635622989121</v>
      </c>
    </row>
    <row r="13" spans="1:22" x14ac:dyDescent="0.2">
      <c r="A13">
        <v>44606.635239446397</v>
      </c>
      <c r="B13">
        <v>20.110697999999999</v>
      </c>
      <c r="C13">
        <v>19.905628</v>
      </c>
      <c r="D13">
        <v>20.029063000000001</v>
      </c>
      <c r="E13">
        <v>19.954113</v>
      </c>
      <c r="F13">
        <v>33.50611</v>
      </c>
      <c r="G13">
        <v>31.2148</v>
      </c>
      <c r="H13">
        <v>25.495556000000001</v>
      </c>
      <c r="I13">
        <v>22.734204999999999</v>
      </c>
      <c r="J13">
        <v>56.301487999999999</v>
      </c>
      <c r="K13">
        <v>49.930545000000002</v>
      </c>
      <c r="L13">
        <v>207.18294700000001</v>
      </c>
      <c r="M13">
        <v>-622.49591899999996</v>
      </c>
      <c r="N13">
        <v>1.6200509999999999</v>
      </c>
      <c r="O13">
        <v>3.2509730000000001</v>
      </c>
      <c r="P13">
        <f t="shared" si="3"/>
        <v>2.7000850000000001E-5</v>
      </c>
      <c r="Q13" cm="1">
        <f t="array" ref="Q13">[1]!PropsSI("D","T",J13+273.15,"P",101325,"Water")</f>
        <v>985.05768042720126</v>
      </c>
      <c r="R13" cm="1">
        <f t="array" ref="R13">[1]!PropsSI("D","T",K13+273.15,"P",101325,"Water")</f>
        <v>988.06644473154836</v>
      </c>
      <c r="S13">
        <f t="shared" si="2"/>
        <v>986.56206257937481</v>
      </c>
      <c r="T13" cm="1">
        <f t="array" ref="T13">[1]!PropsSI("H","T",J13+273.15,"P",101325,"Water")</f>
        <v>235773.45458236907</v>
      </c>
      <c r="U13" cm="1">
        <f t="array" ref="U13">[1]!PropsSI("H","T",K13+273.15,"P",101325,"Water")</f>
        <v>209128.07754692156</v>
      </c>
      <c r="V13">
        <f t="shared" si="1"/>
        <v>709.77993363040491</v>
      </c>
    </row>
    <row r="14" spans="1:22" x14ac:dyDescent="0.2">
      <c r="A14">
        <v>44606.635355187202</v>
      </c>
      <c r="B14">
        <v>20.111608</v>
      </c>
      <c r="C14">
        <v>19.906763000000002</v>
      </c>
      <c r="D14">
        <v>19.997928000000002</v>
      </c>
      <c r="E14">
        <v>19.911345000000001</v>
      </c>
      <c r="F14">
        <v>33.368561999999997</v>
      </c>
      <c r="G14">
        <v>29.466358</v>
      </c>
      <c r="H14">
        <v>25.292061</v>
      </c>
      <c r="I14">
        <v>22.79646</v>
      </c>
      <c r="J14">
        <v>56.303238999999998</v>
      </c>
      <c r="K14">
        <v>49.931815999999998</v>
      </c>
      <c r="L14">
        <v>209.91587200000001</v>
      </c>
      <c r="M14">
        <v>-622.51428499999997</v>
      </c>
      <c r="N14">
        <v>1.6100319999999999</v>
      </c>
      <c r="O14">
        <v>3.4838939999999998</v>
      </c>
      <c r="P14">
        <f t="shared" si="3"/>
        <v>2.6833866666666667E-5</v>
      </c>
      <c r="Q14" cm="1">
        <f t="array" ref="Q14">[1]!PropsSI("D","T",J14+273.15,"P",101325,"Water")</f>
        <v>985.05681854243744</v>
      </c>
      <c r="R14" cm="1">
        <f t="array" ref="R14">[1]!PropsSI("D","T",K14+273.15,"P",101325,"Water")</f>
        <v>988.06587043543936</v>
      </c>
      <c r="S14">
        <f t="shared" si="2"/>
        <v>986.5613444889384</v>
      </c>
      <c r="T14" cm="1">
        <f t="array" ref="T14">[1]!PropsSI("H","T",J14+273.15,"P",101325,"Water")</f>
        <v>235780.77978670411</v>
      </c>
      <c r="U14" cm="1">
        <f t="array" ref="U14">[1]!PropsSI("H","T",K14+273.15,"P",101325,"Water")</f>
        <v>209133.39200825</v>
      </c>
      <c r="V14">
        <f t="shared" si="1"/>
        <v>705.44310710521347</v>
      </c>
    </row>
    <row r="16" spans="1:22" x14ac:dyDescent="0.2">
      <c r="C16" s="1" t="s">
        <v>22</v>
      </c>
    </row>
    <row r="17" spans="3:16" x14ac:dyDescent="0.2">
      <c r="C17">
        <f>AVERAGE(V2:V14)</f>
        <v>707.75544550202653</v>
      </c>
    </row>
    <row r="25" spans="3:16" x14ac:dyDescent="0.2">
      <c r="P25" s="1"/>
    </row>
    <row r="26" spans="3:16" x14ac:dyDescent="0.2">
      <c r="P26" s="1"/>
    </row>
    <row r="27" spans="3:16" x14ac:dyDescent="0.2">
      <c r="P27" s="1"/>
    </row>
    <row r="28" spans="3:16" x14ac:dyDescent="0.2">
      <c r="P28" s="1"/>
    </row>
    <row r="29" spans="3:16" x14ac:dyDescent="0.2">
      <c r="P29" s="1"/>
    </row>
    <row r="30" spans="3:16" x14ac:dyDescent="0.2">
      <c r="P30" s="1"/>
    </row>
    <row r="31" spans="3:16" x14ac:dyDescent="0.2">
      <c r="P31" s="1"/>
    </row>
    <row r="32" spans="3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C3AC-1592-AC4F-A5D8-6FD45D42624E}">
  <dimension ref="A1:V36"/>
  <sheetViews>
    <sheetView workbookViewId="0">
      <selection activeCell="C16" sqref="C16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44606.636201251997</v>
      </c>
      <c r="B2">
        <v>19.848613</v>
      </c>
      <c r="C2">
        <v>19.760446999999999</v>
      </c>
      <c r="D2">
        <v>19.919001999999999</v>
      </c>
      <c r="E2">
        <v>19.828166</v>
      </c>
      <c r="F2">
        <v>31.689443000000001</v>
      </c>
      <c r="G2">
        <v>29.305990999999999</v>
      </c>
      <c r="H2">
        <v>24.391009</v>
      </c>
      <c r="I2">
        <v>22.228677000000001</v>
      </c>
      <c r="J2">
        <v>56.299419</v>
      </c>
      <c r="K2">
        <v>49.481932</v>
      </c>
      <c r="L2">
        <v>306.05962899999997</v>
      </c>
      <c r="M2">
        <v>-622.47020599999996</v>
      </c>
      <c r="N2">
        <v>1.6212390000000001</v>
      </c>
      <c r="O2">
        <v>2.5539990000000001</v>
      </c>
      <c r="P2">
        <f xml:space="preserve"> N2*0.001/60</f>
        <v>2.7020650000000004E-5</v>
      </c>
      <c r="Q2" cm="1">
        <f t="array" ref="Q2">[1]!PropsSI("D","T",J2+273.15,"P",101325,"Water")</f>
        <v>985.05869881506783</v>
      </c>
      <c r="R2" cm="1">
        <f t="array" ref="R2">[1]!PropsSI("D","T",K2+273.15,"P",101325,"Water")</f>
        <v>988.26848505910459</v>
      </c>
      <c r="S2">
        <f>(Q2+R2)/2</f>
        <v>986.66359193708627</v>
      </c>
      <c r="T2" cm="1">
        <f t="array" ref="T2">[1]!PropsSI("H","T",J2+273.15,"P",101325,"Water")</f>
        <v>235764.79904549068</v>
      </c>
      <c r="U2" cm="1">
        <f t="array" ref="U2">[1]!PropsSI("H","T",K2+273.15,"P",101325,"Water")</f>
        <v>207252.30993398174</v>
      </c>
      <c r="V2">
        <f>S2*P2*(T2-U2)</f>
        <v>760.15127354050469</v>
      </c>
    </row>
    <row r="3" spans="1:22" x14ac:dyDescent="0.2">
      <c r="A3">
        <v>44606.636316992699</v>
      </c>
      <c r="B3">
        <v>19.889365999999999</v>
      </c>
      <c r="C3">
        <v>19.755334000000001</v>
      </c>
      <c r="D3">
        <v>19.961952</v>
      </c>
      <c r="E3">
        <v>19.723593999999999</v>
      </c>
      <c r="F3">
        <v>31.565525999999998</v>
      </c>
      <c r="G3">
        <v>28.789833999999999</v>
      </c>
      <c r="H3">
        <v>24.824954000000002</v>
      </c>
      <c r="I3">
        <v>22.304777000000001</v>
      </c>
      <c r="J3">
        <v>56.294803000000002</v>
      </c>
      <c r="K3">
        <v>49.471924999999999</v>
      </c>
      <c r="L3">
        <v>312.14095700000001</v>
      </c>
      <c r="M3">
        <v>-622.519183</v>
      </c>
      <c r="N3">
        <v>1.618215</v>
      </c>
      <c r="O3">
        <v>3.9908220000000001</v>
      </c>
      <c r="P3">
        <f t="shared" ref="P3" si="0" xml:space="preserve"> N3*0.001/60</f>
        <v>2.6970249999999998E-5</v>
      </c>
      <c r="Q3" cm="1">
        <f t="array" ref="Q3">[1]!PropsSI("D","T",J3+273.15,"P",101325,"Water")</f>
        <v>985.06097077393883</v>
      </c>
      <c r="R3" cm="1">
        <f t="array" ref="R3">[1]!PropsSI("D","T",K3+273.15,"P",101325,"Water")</f>
        <v>988.27297676104081</v>
      </c>
      <c r="S3">
        <f>(Q3+R3)/2</f>
        <v>986.66697376748982</v>
      </c>
      <c r="T3" cm="1">
        <f t="array" ref="T3">[1]!PropsSI("H","T",J3+273.15,"P",101325,"Water")</f>
        <v>235745.48829335344</v>
      </c>
      <c r="U3" cm="1">
        <f t="array" ref="U3">[1]!PropsSI("H","T",K3+273.15,"P",101325,"Water")</f>
        <v>207210.4686997816</v>
      </c>
      <c r="V3">
        <f t="shared" ref="V3:V24" si="1">S3*P3*(T3-U3)</f>
        <v>759.33556037470339</v>
      </c>
    </row>
    <row r="4" spans="1:22" x14ac:dyDescent="0.2">
      <c r="A4">
        <v>44606.636432733503</v>
      </c>
      <c r="B4">
        <v>19.837194</v>
      </c>
      <c r="C4">
        <v>19.788377000000001</v>
      </c>
      <c r="D4">
        <v>19.917898999999998</v>
      </c>
      <c r="E4">
        <v>19.758586999999999</v>
      </c>
      <c r="F4">
        <v>31.664082000000001</v>
      </c>
      <c r="G4">
        <v>29.091184999999999</v>
      </c>
      <c r="H4">
        <v>24.574504999999998</v>
      </c>
      <c r="I4">
        <v>22.140736</v>
      </c>
      <c r="J4">
        <v>56.293847999999997</v>
      </c>
      <c r="K4">
        <v>49.472242999999999</v>
      </c>
      <c r="L4">
        <v>300.67989799999998</v>
      </c>
      <c r="M4">
        <v>-622.47224600000004</v>
      </c>
      <c r="N4">
        <v>1.612859</v>
      </c>
      <c r="O4">
        <v>3.4429370000000001</v>
      </c>
      <c r="P4">
        <f xml:space="preserve"> N4*0.001/60</f>
        <v>2.6880983333333336E-5</v>
      </c>
      <c r="Q4" cm="1">
        <f t="array" ref="Q4">[1]!PropsSI("D","T",J4+273.15,"P",101325,"Water")</f>
        <v>985.061440801137</v>
      </c>
      <c r="R4" cm="1">
        <f t="array" ref="R4">[1]!PropsSI("D","T",K4+273.15,"P",101325,"Water")</f>
        <v>988.27283403500155</v>
      </c>
      <c r="S4">
        <f t="shared" ref="S4:S24" si="2">(Q4+R4)/2</f>
        <v>986.66713741806927</v>
      </c>
      <c r="T4" cm="1">
        <f t="array" ref="T4">[1]!PropsSI("H","T",J4+273.15,"P",101325,"Water")</f>
        <v>235741.49311060895</v>
      </c>
      <c r="U4" cm="1">
        <f t="array" ref="U4">[1]!PropsSI("H","T",K4+273.15,"P",101325,"Water")</f>
        <v>207211.79831986979</v>
      </c>
      <c r="V4">
        <f t="shared" si="1"/>
        <v>756.68119452813994</v>
      </c>
    </row>
    <row r="5" spans="1:22" x14ac:dyDescent="0.2">
      <c r="A5">
        <v>44606.636549052899</v>
      </c>
      <c r="B5">
        <v>19.760202</v>
      </c>
      <c r="C5">
        <v>19.823288999999999</v>
      </c>
      <c r="D5">
        <v>19.921220000000002</v>
      </c>
      <c r="E5">
        <v>19.785087000000001</v>
      </c>
      <c r="F5">
        <v>31.377027999999999</v>
      </c>
      <c r="G5">
        <v>30.828581</v>
      </c>
      <c r="H5">
        <v>24.323837000000001</v>
      </c>
      <c r="I5">
        <v>22.644456999999999</v>
      </c>
      <c r="J5">
        <v>56.289231999999998</v>
      </c>
      <c r="K5">
        <v>49.460171000000003</v>
      </c>
      <c r="L5">
        <v>299.46281699999997</v>
      </c>
      <c r="M5">
        <v>-622.50449000000003</v>
      </c>
      <c r="N5">
        <v>1.617359</v>
      </c>
      <c r="O5">
        <v>3.0732279999999998</v>
      </c>
      <c r="P5">
        <f t="shared" ref="P5:P24" si="3" xml:space="preserve"> N5*0.001/60</f>
        <v>2.6955983333333334E-5</v>
      </c>
      <c r="Q5" cm="1">
        <f t="array" ref="Q5">[1]!PropsSI("D","T",J5+273.15,"P",101325,"Water")</f>
        <v>985.06371260248591</v>
      </c>
      <c r="R5" cm="1">
        <f t="array" ref="R5">[1]!PropsSI("D","T",K5+273.15,"P",101325,"Water")</f>
        <v>988.27825177034333</v>
      </c>
      <c r="S5">
        <f t="shared" si="2"/>
        <v>986.67098218641468</v>
      </c>
      <c r="T5" cm="1">
        <f t="array" ref="T5">[1]!PropsSI("H","T",J5+273.15,"P",101325,"Water")</f>
        <v>235722.1823683262</v>
      </c>
      <c r="U5" cm="1">
        <f t="array" ref="U5">[1]!PropsSI("H","T",K5+273.15,"P",101325,"Water")</f>
        <v>207161.32295021892</v>
      </c>
      <c r="V5">
        <f t="shared" si="1"/>
        <v>759.62422557916182</v>
      </c>
    </row>
    <row r="6" spans="1:22" x14ac:dyDescent="0.2">
      <c r="A6">
        <v>46068.636665370374</v>
      </c>
      <c r="B6">
        <v>19.960263000000001</v>
      </c>
      <c r="C6">
        <v>19.867919000000001</v>
      </c>
      <c r="D6">
        <v>19.975814</v>
      </c>
      <c r="E6">
        <v>19.890376</v>
      </c>
      <c r="F6">
        <v>31.471038</v>
      </c>
      <c r="G6">
        <v>29.112708000000001</v>
      </c>
      <c r="H6">
        <v>24.621617000000001</v>
      </c>
      <c r="I6">
        <v>22.367965000000002</v>
      </c>
      <c r="J6">
        <v>56.285570999999997</v>
      </c>
      <c r="K6">
        <v>49.455404999999999</v>
      </c>
      <c r="L6">
        <v>312.48012399999999</v>
      </c>
      <c r="M6">
        <v>-622.49959200000001</v>
      </c>
      <c r="N6">
        <v>1.616277</v>
      </c>
      <c r="O6">
        <v>3.6139589999999999</v>
      </c>
      <c r="P6">
        <f t="shared" si="3"/>
        <v>2.6937949999999998E-5</v>
      </c>
      <c r="Q6" cm="1">
        <f t="array" ref="Q6">[1]!PropsSI("D","T",J6+273.15,"P",101325,"Water")</f>
        <v>985.06551430014099</v>
      </c>
      <c r="R6" cm="1">
        <f t="array" ref="R6">[1]!PropsSI("D","T",K6+273.15,"P",101325,"Water")</f>
        <v>988.28039041593377</v>
      </c>
      <c r="S6">
        <f t="shared" si="2"/>
        <v>986.67295235803738</v>
      </c>
      <c r="T6" cm="1">
        <f t="array" ref="T6">[1]!PropsSI("H","T",J6+273.15,"P",101325,"Water")</f>
        <v>235706.86681348764</v>
      </c>
      <c r="U6" cm="1">
        <f t="array" ref="U6">[1]!PropsSI("H","T",K6+273.15,"P",101325,"Water")</f>
        <v>207141.39539235178</v>
      </c>
      <c r="V6">
        <f t="shared" si="1"/>
        <v>759.24014113366195</v>
      </c>
    </row>
    <row r="7" spans="1:22" x14ac:dyDescent="0.2">
      <c r="A7">
        <v>46068.636781111112</v>
      </c>
      <c r="B7">
        <v>20.275051000000001</v>
      </c>
      <c r="C7">
        <v>19.996874999999999</v>
      </c>
      <c r="D7">
        <v>20.125378000000001</v>
      </c>
      <c r="E7">
        <v>19.948343000000001</v>
      </c>
      <c r="F7">
        <v>31.841244</v>
      </c>
      <c r="G7">
        <v>30.828218</v>
      </c>
      <c r="H7">
        <v>24.497700999999999</v>
      </c>
      <c r="I7">
        <v>23.049596000000001</v>
      </c>
      <c r="J7">
        <v>56.282547000000001</v>
      </c>
      <c r="K7">
        <v>49.471606999999999</v>
      </c>
      <c r="L7">
        <v>299.050184</v>
      </c>
      <c r="M7">
        <v>-622.47306300000002</v>
      </c>
      <c r="N7">
        <v>1.6207800000000001</v>
      </c>
      <c r="O7">
        <v>3.4290349999999998</v>
      </c>
      <c r="P7">
        <f t="shared" si="3"/>
        <v>2.7013E-5</v>
      </c>
      <c r="Q7" cm="1">
        <f t="array" ref="Q7">[1]!PropsSI("D","T",J7+273.15,"P",101325,"Water")</f>
        <v>985.06700244738806</v>
      </c>
      <c r="R7" cm="1">
        <f t="array" ref="R7">[1]!PropsSI("D","T",K7+273.15,"P",101325,"Water")</f>
        <v>988.27311948642512</v>
      </c>
      <c r="S7">
        <f t="shared" si="2"/>
        <v>986.67006096690659</v>
      </c>
      <c r="T7" cm="1">
        <f t="array" ref="T7">[1]!PropsSI("H","T",J7+273.15,"P",101325,"Water")</f>
        <v>235694.21611054093</v>
      </c>
      <c r="U7" cm="1">
        <f t="array" ref="U7">[1]!PropsSI("H","T",K7+273.15,"P",101325,"Water")</f>
        <v>207209.13907971038</v>
      </c>
      <c r="V7">
        <f t="shared" si="1"/>
        <v>759.21043249270701</v>
      </c>
    </row>
    <row r="8" spans="1:22" x14ac:dyDescent="0.2">
      <c r="A8">
        <v>46068.636896851851</v>
      </c>
      <c r="B8">
        <v>20.098849999999999</v>
      </c>
      <c r="C8">
        <v>19.976558000000001</v>
      </c>
      <c r="D8">
        <v>20.074427</v>
      </c>
      <c r="E8">
        <v>19.988215</v>
      </c>
      <c r="F8">
        <v>31.831831000000001</v>
      </c>
      <c r="G8">
        <v>30.163314</v>
      </c>
      <c r="H8">
        <v>24.746656999999999</v>
      </c>
      <c r="I8">
        <v>22.573588999999998</v>
      </c>
      <c r="J8">
        <v>56.278567000000002</v>
      </c>
      <c r="K8">
        <v>49.486857000000001</v>
      </c>
      <c r="L8">
        <v>290.10695800000002</v>
      </c>
      <c r="M8">
        <v>-622.49428599999999</v>
      </c>
      <c r="N8">
        <v>1.616654</v>
      </c>
      <c r="O8">
        <v>2.989916</v>
      </c>
      <c r="P8">
        <f t="shared" si="3"/>
        <v>2.6944233333333335E-5</v>
      </c>
      <c r="Q8" cm="1">
        <f t="array" ref="Q8">[1]!PropsSI("D","T",J8+273.15,"P",101325,"Water")</f>
        <v>985.06896096846231</v>
      </c>
      <c r="R8" cm="1">
        <f t="array" ref="R8">[1]!PropsSI("D","T",K8+273.15,"P",101325,"Water")</f>
        <v>988.26627420067746</v>
      </c>
      <c r="S8">
        <f t="shared" si="2"/>
        <v>986.66761758456983</v>
      </c>
      <c r="T8" cm="1">
        <f t="array" ref="T8">[1]!PropsSI("H","T",J8+273.15,"P",101325,"Water")</f>
        <v>235677.56605038379</v>
      </c>
      <c r="U8" cm="1">
        <f t="array" ref="U8">[1]!PropsSI("H","T",K8+273.15,"P",101325,"Water")</f>
        <v>207272.90233721683</v>
      </c>
      <c r="V8">
        <f t="shared" si="1"/>
        <v>755.13805612850661</v>
      </c>
    </row>
    <row r="9" spans="1:22" x14ac:dyDescent="0.2">
      <c r="A9">
        <v>46068.63701259259</v>
      </c>
      <c r="B9">
        <v>20.177578</v>
      </c>
      <c r="C9">
        <v>19.963832</v>
      </c>
      <c r="D9">
        <v>20.111384000000001</v>
      </c>
      <c r="E9">
        <v>19.960687</v>
      </c>
      <c r="F9">
        <v>31.769701999999999</v>
      </c>
      <c r="G9">
        <v>30.453077</v>
      </c>
      <c r="H9">
        <v>24.357976000000001</v>
      </c>
      <c r="I9">
        <v>22.228838</v>
      </c>
      <c r="J9">
        <v>56.274110999999998</v>
      </c>
      <c r="K9">
        <v>49.477325999999998</v>
      </c>
      <c r="L9">
        <v>300.50888700000002</v>
      </c>
      <c r="M9">
        <v>-622.51061200000004</v>
      </c>
      <c r="N9">
        <v>1.6130640000000001</v>
      </c>
      <c r="O9">
        <v>3.5600269999999998</v>
      </c>
      <c r="P9">
        <f t="shared" si="3"/>
        <v>2.68844E-5</v>
      </c>
      <c r="Q9" cm="1">
        <f t="array" ref="Q9">[1]!PropsSI("D","T",J9+273.15,"P",101325,"Water")</f>
        <v>985.07115360959097</v>
      </c>
      <c r="R9" cm="1">
        <f t="array" ref="R9">[1]!PropsSI("D","T",K9+273.15,"P",101325,"Water")</f>
        <v>988.27055257189602</v>
      </c>
      <c r="S9">
        <f t="shared" si="2"/>
        <v>986.67085309074355</v>
      </c>
      <c r="T9" cm="1">
        <f t="array" ref="T9">[1]!PropsSI("H","T",J9+273.15,"P",101325,"Water")</f>
        <v>235658.92468373768</v>
      </c>
      <c r="U9" cm="1">
        <f t="array" ref="U9">[1]!PropsSI("H","T",K9+273.15,"P",101325,"Water")</f>
        <v>207233.05133909394</v>
      </c>
      <c r="V9">
        <f t="shared" si="1"/>
        <v>754.0262480066001</v>
      </c>
    </row>
    <row r="10" spans="1:22" x14ac:dyDescent="0.2">
      <c r="A10">
        <v>44606.637128914001</v>
      </c>
      <c r="B10">
        <v>20.264237000000001</v>
      </c>
      <c r="C10">
        <v>19.864682999999999</v>
      </c>
      <c r="D10">
        <v>20.011351000000001</v>
      </c>
      <c r="E10">
        <v>19.936122000000001</v>
      </c>
      <c r="F10">
        <v>32.110503999999999</v>
      </c>
      <c r="G10">
        <v>30.0275</v>
      </c>
      <c r="H10">
        <v>24.456177</v>
      </c>
      <c r="I10">
        <v>22.522303000000001</v>
      </c>
      <c r="J10">
        <v>56.265197000000001</v>
      </c>
      <c r="K10">
        <v>49.469859999999997</v>
      </c>
      <c r="L10">
        <v>298.049418</v>
      </c>
      <c r="M10">
        <v>-622.49469399999998</v>
      </c>
      <c r="N10">
        <v>1.610552</v>
      </c>
      <c r="O10">
        <v>3.7418629999999999</v>
      </c>
      <c r="P10">
        <f t="shared" si="3"/>
        <v>2.6842533333333336E-5</v>
      </c>
      <c r="Q10" cm="1">
        <f t="array" ref="Q10">[1]!PropsSI("D","T",J10+273.15,"P",101325,"Water")</f>
        <v>985.07553951086709</v>
      </c>
      <c r="R10" cm="1">
        <f t="array" ref="R10">[1]!PropsSI("D","T",K10+273.15,"P",101325,"Water")</f>
        <v>988.27390356639501</v>
      </c>
      <c r="S10">
        <f t="shared" si="2"/>
        <v>986.67472153863105</v>
      </c>
      <c r="T10" cm="1">
        <f t="array" ref="T10">[1]!PropsSI("H","T",J10+273.15,"P",101325,"Water")</f>
        <v>235621.6336062458</v>
      </c>
      <c r="U10" cm="1">
        <f t="array" ref="U10">[1]!PropsSI("H","T",K10+273.15,"P",101325,"Water")</f>
        <v>207201.83453227326</v>
      </c>
      <c r="V10">
        <f t="shared" si="1"/>
        <v>752.69408998497295</v>
      </c>
    </row>
    <row r="11" spans="1:22" x14ac:dyDescent="0.2">
      <c r="A11">
        <v>44606.637245233498</v>
      </c>
      <c r="B11">
        <v>20.159741</v>
      </c>
      <c r="C11">
        <v>19.843484</v>
      </c>
      <c r="D11">
        <v>20.091146999999999</v>
      </c>
      <c r="E11">
        <v>19.938817</v>
      </c>
      <c r="F11">
        <v>32.120196</v>
      </c>
      <c r="G11">
        <v>30.345457</v>
      </c>
      <c r="H11">
        <v>24.619036000000001</v>
      </c>
      <c r="I11">
        <v>22.18337</v>
      </c>
      <c r="J11">
        <v>56.261059000000003</v>
      </c>
      <c r="K11">
        <v>49.466048000000001</v>
      </c>
      <c r="L11">
        <v>284.99537800000002</v>
      </c>
      <c r="M11">
        <v>-622.48897999999997</v>
      </c>
      <c r="N11">
        <v>1.6174729999999999</v>
      </c>
      <c r="O11">
        <v>2.985798</v>
      </c>
      <c r="P11">
        <f t="shared" si="3"/>
        <v>2.6957883333333331E-5</v>
      </c>
      <c r="Q11" cm="1">
        <f t="array" ref="Q11">[1]!PropsSI("D","T",J11+273.15,"P",101325,"Water")</f>
        <v>985.07757534041878</v>
      </c>
      <c r="R11" cm="1">
        <f t="array" ref="R11">[1]!PropsSI("D","T",K11+273.15,"P",101325,"Water")</f>
        <v>988.27561437967688</v>
      </c>
      <c r="S11">
        <f t="shared" si="2"/>
        <v>986.67659486004777</v>
      </c>
      <c r="T11" cm="1">
        <f t="array" ref="T11">[1]!PropsSI("H","T",J11+273.15,"P",101325,"Water")</f>
        <v>235604.32259130964</v>
      </c>
      <c r="U11" cm="1">
        <f t="array" ref="U11">[1]!PropsSI("H","T",K11+273.15,"P",101325,"Water")</f>
        <v>207185.89582028351</v>
      </c>
      <c r="V11">
        <f t="shared" si="1"/>
        <v>755.8935642933011</v>
      </c>
    </row>
    <row r="12" spans="1:22" x14ac:dyDescent="0.2">
      <c r="A12">
        <v>44606.637361552901</v>
      </c>
      <c r="B12">
        <v>20.159443</v>
      </c>
      <c r="C12">
        <v>19.882209</v>
      </c>
      <c r="D12">
        <v>20.096888</v>
      </c>
      <c r="E12">
        <v>19.972534</v>
      </c>
      <c r="F12">
        <v>31.556501000000001</v>
      </c>
      <c r="G12">
        <v>28.084408</v>
      </c>
      <c r="H12">
        <v>24.708313</v>
      </c>
      <c r="I12">
        <v>22.584942999999999</v>
      </c>
      <c r="J12">
        <v>56.260263000000002</v>
      </c>
      <c r="K12">
        <v>49.462394000000003</v>
      </c>
      <c r="L12">
        <v>292.63458700000001</v>
      </c>
      <c r="M12">
        <v>-622.48449100000005</v>
      </c>
      <c r="N12">
        <v>1.618133</v>
      </c>
      <c r="O12">
        <v>2.020791</v>
      </c>
      <c r="P12">
        <f t="shared" si="3"/>
        <v>2.6968883333333335E-5</v>
      </c>
      <c r="Q12" cm="1">
        <f t="array" ref="Q12">[1]!PropsSI("D","T",J12+273.15,"P",101325,"Water")</f>
        <v>985.07796694760907</v>
      </c>
      <c r="R12" cm="1">
        <f t="array" ref="R12">[1]!PropsSI("D","T",K12+273.15,"P",101325,"Water")</f>
        <v>988.27725419304522</v>
      </c>
      <c r="S12">
        <f t="shared" si="2"/>
        <v>986.67761057032715</v>
      </c>
      <c r="T12" cm="1">
        <f t="array" ref="T12">[1]!PropsSI("H","T",J12+273.15,"P",101325,"Water")</f>
        <v>235600.99258532902</v>
      </c>
      <c r="U12" cm="1">
        <f t="array" ref="U12">[1]!PropsSI("H","T",K12+273.15,"P",101325,"Water")</f>
        <v>207170.6177406541</v>
      </c>
      <c r="V12">
        <f t="shared" si="1"/>
        <v>756.52071389055243</v>
      </c>
    </row>
    <row r="13" spans="1:22" x14ac:dyDescent="0.2">
      <c r="A13">
        <v>44606.637477293698</v>
      </c>
      <c r="B13">
        <v>20.024272</v>
      </c>
      <c r="C13">
        <v>19.856145000000001</v>
      </c>
      <c r="D13">
        <v>20.092891000000002</v>
      </c>
      <c r="E13">
        <v>19.885850999999999</v>
      </c>
      <c r="F13">
        <v>31.965366</v>
      </c>
      <c r="G13">
        <v>28.160537999999999</v>
      </c>
      <c r="H13">
        <v>24.811204</v>
      </c>
      <c r="I13">
        <v>22.443656000000001</v>
      </c>
      <c r="J13">
        <v>56.260739999999998</v>
      </c>
      <c r="K13">
        <v>49.463030000000003</v>
      </c>
      <c r="L13">
        <v>300.22441099999998</v>
      </c>
      <c r="M13">
        <v>-622.46938899999998</v>
      </c>
      <c r="N13">
        <v>1.618088</v>
      </c>
      <c r="O13">
        <v>2.6737069999999998</v>
      </c>
      <c r="P13">
        <f t="shared" si="3"/>
        <v>2.6968133333333334E-5</v>
      </c>
      <c r="Q13" cm="1">
        <f t="array" ref="Q13">[1]!PropsSI("D","T",J13+273.15,"P",101325,"Water")</f>
        <v>985.07773227893813</v>
      </c>
      <c r="R13" cm="1">
        <f t="array" ref="R13">[1]!PropsSI("D","T",K13+273.15,"P",101325,"Water")</f>
        <v>988.27696878028974</v>
      </c>
      <c r="S13">
        <f t="shared" si="2"/>
        <v>986.67735052961393</v>
      </c>
      <c r="T13" cm="1">
        <f t="array" ref="T13">[1]!PropsSI("H","T",J13+273.15,"P",101325,"Water")</f>
        <v>235602.98807884697</v>
      </c>
      <c r="U13" cm="1">
        <f t="array" ref="U13">[1]!PropsSI("H","T",K13+273.15,"P",101325,"Water")</f>
        <v>207173.27697923602</v>
      </c>
      <c r="V13">
        <f t="shared" si="1"/>
        <v>756.48181431250111</v>
      </c>
    </row>
    <row r="15" spans="1:22" x14ac:dyDescent="0.2">
      <c r="C15" s="1" t="s">
        <v>22</v>
      </c>
    </row>
    <row r="16" spans="1:22" x14ac:dyDescent="0.2">
      <c r="C16">
        <f>AVERAGE(V2:V13)</f>
        <v>757.08310952210934</v>
      </c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7D3E-C52D-5843-9A4F-E05C906996B7}">
  <dimension ref="A1:V36"/>
  <sheetViews>
    <sheetView workbookViewId="0">
      <selection activeCell="C13" sqref="C13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44606.6382174557</v>
      </c>
      <c r="B2">
        <v>19.631229999999999</v>
      </c>
      <c r="C2">
        <v>19.638715000000001</v>
      </c>
      <c r="D2">
        <v>19.607084</v>
      </c>
      <c r="E2">
        <v>19.492156000000001</v>
      </c>
      <c r="F2">
        <v>30.499642999999999</v>
      </c>
      <c r="G2">
        <v>29.251116</v>
      </c>
      <c r="H2">
        <v>23.942224</v>
      </c>
      <c r="I2">
        <v>21.559987</v>
      </c>
      <c r="J2">
        <v>56.227792000000001</v>
      </c>
      <c r="K2">
        <v>49.050696000000002</v>
      </c>
      <c r="L2">
        <v>395.25148999999999</v>
      </c>
      <c r="M2">
        <v>-622.47102199999995</v>
      </c>
      <c r="N2">
        <v>1.6160969999999999</v>
      </c>
      <c r="O2">
        <v>4.1538130000000004</v>
      </c>
      <c r="P2">
        <f xml:space="preserve"> N2*0.001/60</f>
        <v>2.6934949999999999E-5</v>
      </c>
      <c r="Q2" cm="1">
        <f t="array" ref="Q2">[1]!PropsSI("D","T",J2+273.15,"P",101325,"Water")</f>
        <v>985.09393835739638</v>
      </c>
      <c r="R2" cm="1">
        <f t="array" ref="R2">[1]!PropsSI("D","T",K2+273.15,"P",101325,"Water")</f>
        <v>988.46144753960164</v>
      </c>
      <c r="S2">
        <f>(Q2+R2)/2</f>
        <v>986.77769294849895</v>
      </c>
      <c r="T2" cm="1">
        <f t="array" ref="T2">[1]!PropsSI("H","T",J2+273.15,"P",101325,"Water")</f>
        <v>235465.15281045396</v>
      </c>
      <c r="U2" cm="1">
        <f t="array" ref="U2">[1]!PropsSI("H","T",K2+273.15,"P",101325,"Water")</f>
        <v>205449.25213853575</v>
      </c>
      <c r="V2">
        <f>S2*P2*(T2-U2)</f>
        <v>797.7868555236289</v>
      </c>
    </row>
    <row r="3" spans="1:22" x14ac:dyDescent="0.2">
      <c r="A3">
        <v>44606.638333196403</v>
      </c>
      <c r="B3">
        <v>19.794637999999999</v>
      </c>
      <c r="C3">
        <v>19.793793000000001</v>
      </c>
      <c r="D3">
        <v>19.971834999999999</v>
      </c>
      <c r="E3">
        <v>19.857482000000001</v>
      </c>
      <c r="F3">
        <v>30.484289</v>
      </c>
      <c r="G3">
        <v>29.151641999999999</v>
      </c>
      <c r="H3">
        <v>24.087567</v>
      </c>
      <c r="I3">
        <v>21.948141</v>
      </c>
      <c r="J3">
        <v>56.223495</v>
      </c>
      <c r="K3">
        <v>49.034337000000001</v>
      </c>
      <c r="L3">
        <v>407.77045500000003</v>
      </c>
      <c r="M3">
        <v>-622.48857199999998</v>
      </c>
      <c r="N3">
        <v>1.615105</v>
      </c>
      <c r="O3">
        <v>3.9413</v>
      </c>
      <c r="P3">
        <f t="shared" ref="P3" si="0" xml:space="preserve"> N3*0.001/60</f>
        <v>2.691841666666667E-5</v>
      </c>
      <c r="Q3" cm="1">
        <f t="array" ref="Q3">[1]!PropsSI("D","T",J3+273.15,"P",101325,"Water")</f>
        <v>985.09605142524333</v>
      </c>
      <c r="R3" cm="1">
        <f t="array" ref="R3">[1]!PropsSI("D","T",K3+273.15,"P",101325,"Water")</f>
        <v>988.46874335654149</v>
      </c>
      <c r="S3">
        <f>(Q3+R3)/2</f>
        <v>986.78239739089236</v>
      </c>
      <c r="T3" cm="1">
        <f t="array" ref="T3">[1]!PropsSI("H","T",J3+273.15,"P",101325,"Water")</f>
        <v>235447.17669218581</v>
      </c>
      <c r="U3" cm="1">
        <f t="array" ref="U3">[1]!PropsSI("H","T",K3+273.15,"P",101325,"Water")</f>
        <v>205380.85386692293</v>
      </c>
      <c r="V3">
        <f t="shared" ref="V3:V24" si="1">S3*P3*(T3-U3)</f>
        <v>798.64029995603823</v>
      </c>
    </row>
    <row r="4" spans="1:22" x14ac:dyDescent="0.2">
      <c r="A4">
        <v>44606.6384495159</v>
      </c>
      <c r="B4">
        <v>19.815829000000001</v>
      </c>
      <c r="C4">
        <v>19.900279999999999</v>
      </c>
      <c r="D4">
        <v>20.015591000000001</v>
      </c>
      <c r="E4">
        <v>19.954105999999999</v>
      </c>
      <c r="F4">
        <v>30.546873999999999</v>
      </c>
      <c r="G4">
        <v>29.141494999999999</v>
      </c>
      <c r="H4">
        <v>24.257104999999999</v>
      </c>
      <c r="I4">
        <v>22.117851999999999</v>
      </c>
      <c r="J4">
        <v>56.214899000000003</v>
      </c>
      <c r="K4">
        <v>49.036085</v>
      </c>
      <c r="L4">
        <v>380.69589200000001</v>
      </c>
      <c r="M4">
        <v>-622.49510199999997</v>
      </c>
      <c r="N4">
        <v>1.6156870000000001</v>
      </c>
      <c r="O4">
        <v>2.7560660000000001</v>
      </c>
      <c r="P4">
        <f xml:space="preserve"> N4*0.001/60</f>
        <v>2.6928116666666671E-5</v>
      </c>
      <c r="Q4" cm="1">
        <f t="array" ref="Q4">[1]!PropsSI("D","T",J4+273.15,"P",101325,"Water")</f>
        <v>985.1002782047841</v>
      </c>
      <c r="R4" cm="1">
        <f t="array" ref="R4">[1]!PropsSI("D","T",K4+273.15,"P",101325,"Water")</f>
        <v>988.46796386499477</v>
      </c>
      <c r="S4">
        <f t="shared" ref="S4:S24" si="2">(Q4+R4)/2</f>
        <v>986.78412103488949</v>
      </c>
      <c r="T4" cm="1">
        <f t="array" ref="T4">[1]!PropsSI("H","T",J4+273.15,"P",101325,"Water")</f>
        <v>235411.21610988723</v>
      </c>
      <c r="U4" cm="1">
        <f t="array" ref="U4">[1]!PropsSI("H","T",K4+273.15,"P",101325,"Water")</f>
        <v>205388.16238963109</v>
      </c>
      <c r="V4">
        <f t="shared" si="1"/>
        <v>797.77972702120587</v>
      </c>
    </row>
    <row r="5" spans="1:22" x14ac:dyDescent="0.2">
      <c r="A5">
        <v>44606.638565256602</v>
      </c>
      <c r="B5">
        <v>19.886330999999998</v>
      </c>
      <c r="C5">
        <v>19.893080000000001</v>
      </c>
      <c r="D5">
        <v>19.915527000000001</v>
      </c>
      <c r="E5">
        <v>19.924002999999999</v>
      </c>
      <c r="F5">
        <v>30.767222</v>
      </c>
      <c r="G5">
        <v>30.108498000000001</v>
      </c>
      <c r="H5">
        <v>24.278772</v>
      </c>
      <c r="I5">
        <v>21.868796</v>
      </c>
      <c r="J5">
        <v>56.209009999999999</v>
      </c>
      <c r="K5">
        <v>49.038308000000001</v>
      </c>
      <c r="L5">
        <v>400.45735200000001</v>
      </c>
      <c r="M5">
        <v>-622.48408199999994</v>
      </c>
      <c r="N5">
        <v>1.620018</v>
      </c>
      <c r="O5">
        <v>1.540295</v>
      </c>
      <c r="P5">
        <f t="shared" ref="P5:P24" si="3" xml:space="preserve"> N5*0.001/60</f>
        <v>2.70003E-5</v>
      </c>
      <c r="Q5" cm="1">
        <f t="array" ref="Q5">[1]!PropsSI("D","T",J5+273.15,"P",101325,"Water")</f>
        <v>985.1031736511851</v>
      </c>
      <c r="R5" cm="1">
        <f t="array" ref="R5">[1]!PropsSI("D","T",K5+273.15,"P",101325,"Water")</f>
        <v>988.46697252581305</v>
      </c>
      <c r="S5">
        <f t="shared" si="2"/>
        <v>986.78507308849908</v>
      </c>
      <c r="T5" cm="1">
        <f t="array" ref="T5">[1]!PropsSI("H","T",J5+273.15,"P",101325,"Water")</f>
        <v>235386.58003151629</v>
      </c>
      <c r="U5" cm="1">
        <f t="array" ref="U5">[1]!PropsSI("H","T",K5+273.15,"P",101325,"Water")</f>
        <v>205397.45692511776</v>
      </c>
      <c r="V5">
        <f t="shared" si="1"/>
        <v>799.0149918287126</v>
      </c>
    </row>
    <row r="6" spans="1:22" x14ac:dyDescent="0.2">
      <c r="A6">
        <v>46068.638681574077</v>
      </c>
      <c r="B6">
        <v>19.864153000000002</v>
      </c>
      <c r="C6">
        <v>19.869461999999999</v>
      </c>
      <c r="D6">
        <v>19.992215999999999</v>
      </c>
      <c r="E6">
        <v>19.883400000000002</v>
      </c>
      <c r="F6">
        <v>30.481058999999998</v>
      </c>
      <c r="G6">
        <v>30.112901999999998</v>
      </c>
      <c r="H6">
        <v>24.059622000000001</v>
      </c>
      <c r="I6">
        <v>21.940715000000001</v>
      </c>
      <c r="J6">
        <v>56.200574000000003</v>
      </c>
      <c r="K6">
        <v>49.029254999999999</v>
      </c>
      <c r="L6">
        <v>364.564863</v>
      </c>
      <c r="M6">
        <v>-622.49306200000001</v>
      </c>
      <c r="N6">
        <v>1.615523</v>
      </c>
      <c r="O6">
        <v>4.2568349999999997</v>
      </c>
      <c r="P6">
        <f t="shared" si="3"/>
        <v>2.6925383333333335E-5</v>
      </c>
      <c r="Q6" cm="1">
        <f t="array" ref="Q6">[1]!PropsSI("D","T",J6+273.15,"P",101325,"Water")</f>
        <v>985.10732101137239</v>
      </c>
      <c r="R6" cm="1">
        <f t="array" ref="R6">[1]!PropsSI("D","T",K6+273.15,"P",101325,"Water")</f>
        <v>988.4710094748574</v>
      </c>
      <c r="S6">
        <f t="shared" si="2"/>
        <v>986.78916524311489</v>
      </c>
      <c r="T6" cm="1">
        <f t="array" ref="T6">[1]!PropsSI("H","T",J6+273.15,"P",101325,"Water")</f>
        <v>235351.28884078102</v>
      </c>
      <c r="U6" cm="1">
        <f t="array" ref="U6">[1]!PropsSI("H","T",K6+273.15,"P",101325,"Water")</f>
        <v>205359.60563791599</v>
      </c>
      <c r="V6">
        <f t="shared" si="1"/>
        <v>796.86932169077375</v>
      </c>
    </row>
    <row r="7" spans="1:22" x14ac:dyDescent="0.2">
      <c r="A7">
        <v>46068.638797893516</v>
      </c>
      <c r="B7">
        <v>19.739331</v>
      </c>
      <c r="C7">
        <v>19.943808000000001</v>
      </c>
      <c r="D7">
        <v>19.964380999999999</v>
      </c>
      <c r="E7">
        <v>19.874692</v>
      </c>
      <c r="F7">
        <v>30.361568999999999</v>
      </c>
      <c r="G7">
        <v>29.095333</v>
      </c>
      <c r="H7">
        <v>24.264347000000001</v>
      </c>
      <c r="I7">
        <v>21.430363</v>
      </c>
      <c r="J7">
        <v>56.189591999999998</v>
      </c>
      <c r="K7">
        <v>49.025919999999999</v>
      </c>
      <c r="L7">
        <v>387.00863700000002</v>
      </c>
      <c r="M7">
        <v>-622.48693900000001</v>
      </c>
      <c r="N7">
        <v>1.6176740000000001</v>
      </c>
      <c r="O7">
        <v>3.7578239999999998</v>
      </c>
      <c r="P7">
        <f t="shared" si="3"/>
        <v>2.6961233333333335E-5</v>
      </c>
      <c r="Q7" cm="1">
        <f t="array" ref="Q7">[1]!PropsSI("D","T",J7+273.15,"P",101325,"Water")</f>
        <v>985.11271939860751</v>
      </c>
      <c r="R7" cm="1">
        <f t="array" ref="R7">[1]!PropsSI("D","T",K7+273.15,"P",101325,"Water")</f>
        <v>988.47249649403227</v>
      </c>
      <c r="S7">
        <f t="shared" si="2"/>
        <v>986.79260794631989</v>
      </c>
      <c r="T7" cm="1">
        <f t="array" ref="T7">[1]!PropsSI("H","T",J7+273.15,"P",101325,"Water")</f>
        <v>235305.34674565596</v>
      </c>
      <c r="U7" cm="1">
        <f t="array" ref="U7">[1]!PropsSI("H","T",K7+273.15,"P",101325,"Water")</f>
        <v>205345.66175264952</v>
      </c>
      <c r="V7">
        <f t="shared" si="1"/>
        <v>797.0817859963222</v>
      </c>
    </row>
    <row r="8" spans="1:22" x14ac:dyDescent="0.2">
      <c r="A8">
        <v>46068.638914212963</v>
      </c>
      <c r="B8">
        <v>19.987224000000001</v>
      </c>
      <c r="C8">
        <v>19.962472999999999</v>
      </c>
      <c r="D8">
        <v>19.968644999999999</v>
      </c>
      <c r="E8">
        <v>19.925792000000001</v>
      </c>
      <c r="F8">
        <v>30.81101</v>
      </c>
      <c r="G8">
        <v>29.656061999999999</v>
      </c>
      <c r="H8">
        <v>24.252216000000001</v>
      </c>
      <c r="I8">
        <v>22.072846999999999</v>
      </c>
      <c r="J8">
        <v>56.183225</v>
      </c>
      <c r="K8">
        <v>49.017660999999997</v>
      </c>
      <c r="L8">
        <v>404.07023199999998</v>
      </c>
      <c r="M8">
        <v>-622.49591899999996</v>
      </c>
      <c r="N8">
        <v>1.61717</v>
      </c>
      <c r="O8">
        <v>2.578309</v>
      </c>
      <c r="P8">
        <f t="shared" si="3"/>
        <v>2.6952833333333334E-5</v>
      </c>
      <c r="Q8" cm="1">
        <f t="array" ref="Q8">[1]!PropsSI("D","T",J8+273.15,"P",101325,"Water")</f>
        <v>985.11584886611035</v>
      </c>
      <c r="R8" cm="1">
        <f t="array" ref="R8">[1]!PropsSI("D","T",K8+273.15,"P",101325,"Water")</f>
        <v>988.47617872248384</v>
      </c>
      <c r="S8">
        <f t="shared" si="2"/>
        <v>986.7960137942971</v>
      </c>
      <c r="T8" cm="1">
        <f t="array" ref="T8">[1]!PropsSI("H","T",J8+273.15,"P",101325,"Water")</f>
        <v>235278.71106095286</v>
      </c>
      <c r="U8" cm="1">
        <f t="array" ref="U8">[1]!PropsSI("H","T",K8+273.15,"P",101325,"Water")</f>
        <v>205311.13026671342</v>
      </c>
      <c r="V8">
        <f t="shared" si="1"/>
        <v>797.04620286803856</v>
      </c>
    </row>
    <row r="9" spans="1:22" x14ac:dyDescent="0.2">
      <c r="A9">
        <v>46068.639029953702</v>
      </c>
      <c r="B9">
        <v>19.944500999999999</v>
      </c>
      <c r="C9">
        <v>19.845783999999998</v>
      </c>
      <c r="D9">
        <v>20.104123999999999</v>
      </c>
      <c r="E9">
        <v>19.987739000000001</v>
      </c>
      <c r="F9">
        <v>30.484024999999999</v>
      </c>
      <c r="G9">
        <v>29.852520999999999</v>
      </c>
      <c r="H9">
        <v>24.255345999999999</v>
      </c>
      <c r="I9">
        <v>22.116274000000001</v>
      </c>
      <c r="J9">
        <v>56.174312</v>
      </c>
      <c r="K9">
        <v>49.014167</v>
      </c>
      <c r="L9">
        <v>364.10855900000001</v>
      </c>
      <c r="M9">
        <v>-622.49795900000004</v>
      </c>
      <c r="N9">
        <v>1.6152439999999999</v>
      </c>
      <c r="O9">
        <v>2.911902</v>
      </c>
      <c r="P9">
        <f t="shared" si="3"/>
        <v>2.6920733333333331E-5</v>
      </c>
      <c r="Q9" cm="1">
        <f t="array" ref="Q9">[1]!PropsSI("D","T",J9+273.15,"P",101325,"Water")</f>
        <v>985.12022930980834</v>
      </c>
      <c r="R9" cm="1">
        <f t="array" ref="R9">[1]!PropsSI("D","T",K9+273.15,"P",101325,"Water")</f>
        <v>988.47773636642773</v>
      </c>
      <c r="S9">
        <f t="shared" si="2"/>
        <v>986.79898283811804</v>
      </c>
      <c r="T9" cm="1">
        <f t="array" ref="T9">[1]!PropsSI("H","T",J9+273.15,"P",101325,"Water")</f>
        <v>235241.42447497512</v>
      </c>
      <c r="U9" cm="1">
        <f t="array" ref="U9">[1]!PropsSI("H","T",K9+273.15,"P",101325,"Water")</f>
        <v>205296.52160141553</v>
      </c>
      <c r="V9">
        <f t="shared" si="1"/>
        <v>795.4968935446999</v>
      </c>
    </row>
    <row r="10" spans="1:22" x14ac:dyDescent="0.2">
      <c r="A10">
        <v>44606.639146275098</v>
      </c>
      <c r="B10">
        <v>20.041902</v>
      </c>
      <c r="C10">
        <v>19.993006000000001</v>
      </c>
      <c r="D10">
        <v>20.155866</v>
      </c>
      <c r="E10">
        <v>20.052282999999999</v>
      </c>
      <c r="F10">
        <v>30.923086000000001</v>
      </c>
      <c r="G10">
        <v>30.792297000000001</v>
      </c>
      <c r="H10">
        <v>24.27768</v>
      </c>
      <c r="I10">
        <v>22.124811999999999</v>
      </c>
      <c r="J10">
        <v>56.160145999999997</v>
      </c>
      <c r="K10">
        <v>49.010514000000001</v>
      </c>
      <c r="L10">
        <v>409.94504000000001</v>
      </c>
      <c r="M10">
        <v>-622.48979599999996</v>
      </c>
      <c r="N10">
        <v>1.6186739999999999</v>
      </c>
      <c r="O10">
        <v>2.7306249999999999</v>
      </c>
      <c r="P10">
        <f t="shared" si="3"/>
        <v>2.6977900000000001E-5</v>
      </c>
      <c r="Q10" cm="1">
        <f t="array" ref="Q10">[1]!PropsSI("D","T",J10+273.15,"P",101325,"Water")</f>
        <v>985.1271904261198</v>
      </c>
      <c r="R10" cm="1">
        <f t="array" ref="R10">[1]!PropsSI("D","T",K10+273.15,"P",101325,"Water")</f>
        <v>988.47936480677731</v>
      </c>
      <c r="S10">
        <f t="shared" si="2"/>
        <v>986.80327761644855</v>
      </c>
      <c r="T10" cm="1">
        <f t="array" ref="T10">[1]!PropsSI("H","T",J10+273.15,"P",101325,"Water")</f>
        <v>235182.1625851125</v>
      </c>
      <c r="U10" cm="1">
        <f t="array" ref="U10">[1]!PropsSI("H","T",K10+273.15,"P",101325,"Water")</f>
        <v>205281.24814915794</v>
      </c>
      <c r="V10">
        <f t="shared" si="1"/>
        <v>796.0185602863238</v>
      </c>
    </row>
    <row r="12" spans="1:22" x14ac:dyDescent="0.2">
      <c r="C12" s="1" t="s">
        <v>22</v>
      </c>
    </row>
    <row r="13" spans="1:22" x14ac:dyDescent="0.2">
      <c r="C13">
        <f>AVERAGE(V2:V10)</f>
        <v>797.30384874619369</v>
      </c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8965AE-832C-D74C-8C30-C9D4CE793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2026-02-25T01:57:25Z</dcterms:created>
  <dcterms:modified xsi:type="dcterms:W3CDTF">2026-02-25T05:43:47Z</dcterms:modified>
</cp:coreProperties>
</file>