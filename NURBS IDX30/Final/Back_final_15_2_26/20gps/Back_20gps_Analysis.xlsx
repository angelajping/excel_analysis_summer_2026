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Back_final_15_2_26/20gps/"/>
    </mc:Choice>
  </mc:AlternateContent>
  <xr:revisionPtr revIDLastSave="0" documentId="13_ncr:1_{0DBB473E-B918-1742-8034-BA26C4FFD0DE}" xr6:coauthVersionLast="47" xr6:coauthVersionMax="47" xr10:uidLastSave="{00000000-0000-0000-0000-000000000000}"/>
  <bookViews>
    <workbookView xWindow="0" yWindow="660" windowWidth="30240" windowHeight="17520" xr2:uid="{1C60444A-BEFD-BC4F-B8F6-C471D470F8DA}"/>
  </bookViews>
  <sheets>
    <sheet name="Results" sheetId="13" r:id="rId1"/>
    <sheet name="1mps" sheetId="54" r:id="rId2"/>
    <sheet name="2mps" sheetId="56" r:id="rId3"/>
    <sheet name="3mps" sheetId="57" r:id="rId4"/>
    <sheet name="4mps" sheetId="58" r:id="rId5"/>
    <sheet name="5mps" sheetId="59" r:id="rId6"/>
    <sheet name="6mps" sheetId="60" r:id="rId7"/>
    <sheet name="7mps" sheetId="61" r:id="rId8"/>
  </sheets>
  <externalReferences>
    <externalReference r:id="rId9"/>
  </externalReferences>
  <definedNames>
    <definedName name="ExternalData_1" localSheetId="2" hidden="1">'2mps'!$A$1:$O$29</definedName>
    <definedName name="ExternalData_1" localSheetId="3" hidden="1">'3mps'!$A$1:$O$36</definedName>
    <definedName name="ExternalData_1" localSheetId="4" hidden="1">'4mps'!$A$1:$O$61</definedName>
    <definedName name="ExternalData_1" localSheetId="5" hidden="1">'5mps'!$A$1:$O$46</definedName>
    <definedName name="ExternalData_1" localSheetId="6" hidden="1">'6mps'!$A$1:$O$45</definedName>
    <definedName name="ExternalData_1" localSheetId="7" hidden="1">'7mps'!$A$1:$O$23</definedName>
    <definedName name="ExternalData_3" localSheetId="1" hidden="1">'1mps'!$A$1:$O$31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61" l="1"/>
  <c r="F48" i="60"/>
  <c r="F49" i="59"/>
  <c r="E64" i="58"/>
  <c r="D39" i="57"/>
  <c r="D32" i="56"/>
  <c r="D34" i="54"/>
  <c r="P32" i="60"/>
  <c r="P33" i="60"/>
  <c r="P34" i="60"/>
  <c r="P35" i="60"/>
  <c r="P36" i="60"/>
  <c r="P37" i="60"/>
  <c r="P38" i="60"/>
  <c r="P39" i="60"/>
  <c r="P40" i="60"/>
  <c r="P41" i="60"/>
  <c r="P42" i="60"/>
  <c r="P43" i="60"/>
  <c r="P44" i="60"/>
  <c r="P45" i="60"/>
  <c r="P32" i="59"/>
  <c r="P33" i="59"/>
  <c r="P34" i="59"/>
  <c r="P35" i="59"/>
  <c r="P36" i="59"/>
  <c r="P37" i="59"/>
  <c r="P38" i="59"/>
  <c r="P39" i="59"/>
  <c r="P40" i="59"/>
  <c r="P41" i="59"/>
  <c r="P42" i="59"/>
  <c r="P43" i="59"/>
  <c r="P44" i="59"/>
  <c r="P45" i="59"/>
  <c r="P46" i="59"/>
  <c r="P55" i="58"/>
  <c r="P56" i="58"/>
  <c r="P57" i="58"/>
  <c r="P58" i="58"/>
  <c r="P59" i="58"/>
  <c r="P60" i="58"/>
  <c r="P6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32" i="57"/>
  <c r="P33" i="57"/>
  <c r="P34" i="57"/>
  <c r="P35" i="57"/>
  <c r="P36" i="57"/>
  <c r="P23" i="61"/>
  <c r="P22" i="61"/>
  <c r="P21" i="61"/>
  <c r="P20" i="61"/>
  <c r="P19" i="61"/>
  <c r="P18" i="61"/>
  <c r="P17" i="61"/>
  <c r="P16" i="61"/>
  <c r="P15" i="61"/>
  <c r="P14" i="61"/>
  <c r="P13" i="61"/>
  <c r="P12" i="61"/>
  <c r="P11" i="61"/>
  <c r="P10" i="61"/>
  <c r="P9" i="61"/>
  <c r="P8" i="61"/>
  <c r="P7" i="61"/>
  <c r="P6" i="61"/>
  <c r="P5" i="61"/>
  <c r="P4" i="61"/>
  <c r="P3" i="61"/>
  <c r="P2" i="61"/>
  <c r="P31" i="60"/>
  <c r="P30" i="60"/>
  <c r="P29" i="60"/>
  <c r="P28" i="60"/>
  <c r="P27" i="60"/>
  <c r="P26" i="60"/>
  <c r="P25" i="60"/>
  <c r="P24" i="60"/>
  <c r="P23" i="60"/>
  <c r="P22" i="60"/>
  <c r="P21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P2" i="60"/>
  <c r="P31" i="59"/>
  <c r="P30" i="59"/>
  <c r="P29" i="59"/>
  <c r="P28" i="59"/>
  <c r="P27" i="59"/>
  <c r="P26" i="59"/>
  <c r="P25" i="59"/>
  <c r="P24" i="59"/>
  <c r="P23" i="59"/>
  <c r="P22" i="59"/>
  <c r="P21" i="59"/>
  <c r="P20" i="59"/>
  <c r="P19" i="59"/>
  <c r="P18" i="59"/>
  <c r="P17" i="59"/>
  <c r="P16" i="59"/>
  <c r="P15" i="59"/>
  <c r="P14" i="59"/>
  <c r="P13" i="59"/>
  <c r="P12" i="59"/>
  <c r="P11" i="59"/>
  <c r="P10" i="59"/>
  <c r="P9" i="59"/>
  <c r="P8" i="59"/>
  <c r="P7" i="59"/>
  <c r="P6" i="59"/>
  <c r="P5" i="59"/>
  <c r="P4" i="59"/>
  <c r="P3" i="59"/>
  <c r="P2" i="59"/>
  <c r="P31" i="58"/>
  <c r="P30" i="58"/>
  <c r="P29" i="58"/>
  <c r="P28" i="58"/>
  <c r="P27" i="58"/>
  <c r="P26" i="58"/>
  <c r="P25" i="58"/>
  <c r="P24" i="58"/>
  <c r="P23" i="58"/>
  <c r="P22" i="58"/>
  <c r="P21" i="58"/>
  <c r="P20" i="58"/>
  <c r="P19" i="58"/>
  <c r="P18" i="58"/>
  <c r="P17" i="58"/>
  <c r="P16" i="58"/>
  <c r="P15" i="58"/>
  <c r="P14" i="58"/>
  <c r="P13" i="58"/>
  <c r="P12" i="58"/>
  <c r="P11" i="58"/>
  <c r="P10" i="58"/>
  <c r="P9" i="58"/>
  <c r="P8" i="58"/>
  <c r="P7" i="58"/>
  <c r="P6" i="58"/>
  <c r="P5" i="58"/>
  <c r="P4" i="58"/>
  <c r="P3" i="58"/>
  <c r="P2" i="58"/>
  <c r="P31" i="57"/>
  <c r="P30" i="57"/>
  <c r="P29" i="57"/>
  <c r="P28" i="57"/>
  <c r="P27" i="57"/>
  <c r="P26" i="57"/>
  <c r="P25" i="57"/>
  <c r="P24" i="57"/>
  <c r="P23" i="57"/>
  <c r="P22" i="57"/>
  <c r="P21" i="57"/>
  <c r="P20" i="57"/>
  <c r="P19" i="57"/>
  <c r="P18" i="57"/>
  <c r="P17" i="57"/>
  <c r="P16" i="57"/>
  <c r="P15" i="57"/>
  <c r="P14" i="57"/>
  <c r="P13" i="57"/>
  <c r="P12" i="57"/>
  <c r="P11" i="57"/>
  <c r="P10" i="57"/>
  <c r="P9" i="57"/>
  <c r="P8" i="57"/>
  <c r="P7" i="57"/>
  <c r="P6" i="57"/>
  <c r="P5" i="57"/>
  <c r="P4" i="57"/>
  <c r="P3" i="57"/>
  <c r="P2" i="57"/>
  <c r="P29" i="56"/>
  <c r="P28" i="56"/>
  <c r="P27" i="56"/>
  <c r="P26" i="56"/>
  <c r="P25" i="56"/>
  <c r="P24" i="56"/>
  <c r="P23" i="56"/>
  <c r="P22" i="56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P7" i="56"/>
  <c r="P6" i="56"/>
  <c r="P5" i="56"/>
  <c r="P4" i="56"/>
  <c r="P3" i="56"/>
  <c r="P2" i="56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11" i="54"/>
  <c r="P10" i="54"/>
  <c r="P9" i="54"/>
  <c r="P8" i="54"/>
  <c r="P7" i="54"/>
  <c r="P6" i="54"/>
  <c r="P5" i="54"/>
  <c r="P4" i="54"/>
  <c r="P3" i="54"/>
  <c r="P2" i="54"/>
  <c r="Q33" i="60" a="1"/>
  <c r="R35" i="60" a="1"/>
  <c r="T38" i="60" a="1"/>
  <c r="U40" i="60" a="1"/>
  <c r="Q45" i="60" a="1"/>
  <c r="U37" i="60" a="1"/>
  <c r="Q32" i="60" a="1"/>
  <c r="R34" i="60" a="1"/>
  <c r="T37" i="60" a="1"/>
  <c r="U39" i="60" a="1"/>
  <c r="Q44" i="60" a="1"/>
  <c r="T35" i="60" a="1"/>
  <c r="Q42" i="60" a="1"/>
  <c r="R44" i="60" a="1"/>
  <c r="T34" i="60" a="1"/>
  <c r="U36" i="60" a="1"/>
  <c r="R33" i="60" a="1"/>
  <c r="T36" i="60" a="1"/>
  <c r="U38" i="60" a="1"/>
  <c r="Q43" i="60" a="1"/>
  <c r="R45" i="60" a="1"/>
  <c r="R32" i="60" a="1"/>
  <c r="Q41" i="60" a="1"/>
  <c r="R43" i="60" a="1"/>
  <c r="U35" i="60" a="1"/>
  <c r="T33" i="60" a="1"/>
  <c r="T32" i="60" a="1"/>
  <c r="U34" i="60" a="1"/>
  <c r="Q39" i="60" a="1"/>
  <c r="R41" i="60" a="1"/>
  <c r="T44" i="60" a="1"/>
  <c r="U33" i="60" a="1"/>
  <c r="Q38" i="60" a="1"/>
  <c r="R40" i="60" a="1"/>
  <c r="T43" i="60" a="1"/>
  <c r="Q37" i="60" a="1"/>
  <c r="R39" i="60" a="1"/>
  <c r="U44" i="60" a="1"/>
  <c r="Q35" i="60" a="1"/>
  <c r="T39" i="60" a="1"/>
  <c r="Q40" i="60" a="1"/>
  <c r="U45" i="60" a="1"/>
  <c r="U32" i="60" a="1"/>
  <c r="T42" i="60" a="1"/>
  <c r="U42" i="60" a="1"/>
  <c r="Q34" i="60" a="1"/>
  <c r="Q36" i="60" a="1"/>
  <c r="R38" i="60" a="1"/>
  <c r="T41" i="60" a="1"/>
  <c r="U43" i="60" a="1"/>
  <c r="R37" i="60" a="1"/>
  <c r="R36" i="60" a="1"/>
  <c r="R42" i="60" a="1"/>
  <c r="T40" i="60" a="1"/>
  <c r="U41" i="60" a="1"/>
  <c r="T45" i="60" a="1"/>
  <c r="Q33" i="59" a="1"/>
  <c r="R35" i="59" a="1"/>
  <c r="T38" i="59" a="1"/>
  <c r="U40" i="59" a="1"/>
  <c r="Q45" i="59" a="1"/>
  <c r="R42" i="59" a="1"/>
  <c r="T45" i="59" a="1"/>
  <c r="Q32" i="59" a="1"/>
  <c r="R34" i="59" a="1"/>
  <c r="T37" i="59" a="1"/>
  <c r="U39" i="59" a="1"/>
  <c r="Q44" i="59" a="1"/>
  <c r="R46" i="59" a="1"/>
  <c r="U35" i="59" a="1"/>
  <c r="R33" i="59" a="1"/>
  <c r="T36" i="59" a="1"/>
  <c r="U38" i="59" a="1"/>
  <c r="Q43" i="59" a="1"/>
  <c r="R45" i="59" a="1"/>
  <c r="R44" i="59" a="1"/>
  <c r="Q40" i="59" a="1"/>
  <c r="R32" i="59" a="1"/>
  <c r="T35" i="59" a="1"/>
  <c r="U37" i="59" a="1"/>
  <c r="Q42" i="59" a="1"/>
  <c r="T34" i="59" a="1"/>
  <c r="U36" i="59" a="1"/>
  <c r="Q41" i="59" a="1"/>
  <c r="R43" i="59" a="1"/>
  <c r="T46" i="59" a="1"/>
  <c r="T44" i="59" a="1"/>
  <c r="T33" i="59" a="1"/>
  <c r="T32" i="59" a="1"/>
  <c r="U34" i="59" a="1"/>
  <c r="Q39" i="59" a="1"/>
  <c r="R41" i="59" a="1"/>
  <c r="U46" i="59" a="1"/>
  <c r="U33" i="59" a="1"/>
  <c r="Q38" i="59" a="1"/>
  <c r="R40" i="59" a="1"/>
  <c r="T43" i="59" a="1"/>
  <c r="U45" i="59" a="1"/>
  <c r="Q37" i="59" a="1"/>
  <c r="T42" i="59" a="1"/>
  <c r="T41" i="59" a="1"/>
  <c r="U43" i="59" a="1"/>
  <c r="Q46" i="59" a="1"/>
  <c r="U32" i="59" a="1"/>
  <c r="R39" i="59" a="1"/>
  <c r="U44" i="59" a="1"/>
  <c r="T40" i="59" a="1"/>
  <c r="U42" i="59" a="1"/>
  <c r="T39" i="59" a="1"/>
  <c r="Q36" i="59" a="1"/>
  <c r="R38" i="59" a="1"/>
  <c r="U41" i="59" a="1"/>
  <c r="Q35" i="59" a="1"/>
  <c r="R37" i="59" a="1"/>
  <c r="Q34" i="59" a="1"/>
  <c r="R36" i="59" a="1"/>
  <c r="Q56" i="58" a="1"/>
  <c r="R58" i="58" a="1"/>
  <c r="T61" i="58" a="1"/>
  <c r="T58" i="58" a="1"/>
  <c r="U58" i="58" a="1"/>
  <c r="U55" i="58" a="1"/>
  <c r="Q58" i="58" a="1"/>
  <c r="Q57" i="58" a="1"/>
  <c r="Q55" i="58" a="1"/>
  <c r="R57" i="58" a="1"/>
  <c r="T60" i="58" a="1"/>
  <c r="U60" i="58" a="1"/>
  <c r="R61" i="58" a="1"/>
  <c r="R60" i="58" a="1"/>
  <c r="R56" i="58" a="1"/>
  <c r="T59" i="58" a="1"/>
  <c r="U61" i="58" a="1"/>
  <c r="U59" i="58" a="1"/>
  <c r="Q61" i="58" a="1"/>
  <c r="Q60" i="58" a="1"/>
  <c r="R55" i="58" a="1"/>
  <c r="T57" i="58" a="1"/>
  <c r="T56" i="58" a="1"/>
  <c r="T55" i="58" a="1"/>
  <c r="U57" i="58" a="1"/>
  <c r="U56" i="58" a="1"/>
  <c r="Q59" i="58" a="1"/>
  <c r="R59" i="58" a="1"/>
  <c r="Q33" i="58" a="1"/>
  <c r="R35" i="58" a="1"/>
  <c r="T38" i="58" a="1"/>
  <c r="U40" i="58" a="1"/>
  <c r="Q45" i="58" a="1"/>
  <c r="R47" i="58" a="1"/>
  <c r="T50" i="58" a="1"/>
  <c r="U52" i="58" a="1"/>
  <c r="U37" i="58" a="1"/>
  <c r="U49" i="58" a="1"/>
  <c r="T43" i="58" a="1"/>
  <c r="Q50" i="58" a="1"/>
  <c r="R52" i="58" a="1"/>
  <c r="Q48" i="58" a="1"/>
  <c r="R50" i="58" a="1"/>
  <c r="Q32" i="58" a="1"/>
  <c r="R34" i="58" a="1"/>
  <c r="T37" i="58" a="1"/>
  <c r="U39" i="58" a="1"/>
  <c r="Q44" i="58" a="1"/>
  <c r="R46" i="58" a="1"/>
  <c r="T49" i="58" a="1"/>
  <c r="U51" i="58" a="1"/>
  <c r="T35" i="58" a="1"/>
  <c r="Q54" i="58" a="1"/>
  <c r="T46" i="58" a="1"/>
  <c r="U48" i="58" a="1"/>
  <c r="Q53" i="58" a="1"/>
  <c r="Q52" i="58" a="1"/>
  <c r="R33" i="58" a="1"/>
  <c r="T36" i="58" a="1"/>
  <c r="U38" i="58" a="1"/>
  <c r="Q43" i="58" a="1"/>
  <c r="R45" i="58" a="1"/>
  <c r="T48" i="58" a="1"/>
  <c r="U50" i="58" a="1"/>
  <c r="R32" i="58" a="1"/>
  <c r="T47" i="58" a="1"/>
  <c r="U45" i="58" a="1"/>
  <c r="Q42" i="58" a="1"/>
  <c r="R44" i="58" a="1"/>
  <c r="T34" i="58" a="1"/>
  <c r="U36" i="58" a="1"/>
  <c r="Q41" i="58" a="1"/>
  <c r="R43" i="58" a="1"/>
  <c r="R51" i="58" a="1"/>
  <c r="T41" i="58" a="1"/>
  <c r="T33" i="58" a="1"/>
  <c r="U35" i="58" a="1"/>
  <c r="Q40" i="58" a="1"/>
  <c r="R42" i="58" a="1"/>
  <c r="T45" i="58" a="1"/>
  <c r="U47" i="58" a="1"/>
  <c r="R54" i="58" a="1"/>
  <c r="U43" i="58" a="1"/>
  <c r="T32" i="58" a="1"/>
  <c r="U34" i="58" a="1"/>
  <c r="Q39" i="58" a="1"/>
  <c r="R41" i="58" a="1"/>
  <c r="T44" i="58" a="1"/>
  <c r="U46" i="58" a="1"/>
  <c r="Q51" i="58" a="1"/>
  <c r="R53" i="58" a="1"/>
  <c r="U33" i="58" a="1"/>
  <c r="Q38" i="58" a="1"/>
  <c r="R40" i="58" a="1"/>
  <c r="U32" i="58" a="1"/>
  <c r="Q37" i="58" a="1"/>
  <c r="R39" i="58" a="1"/>
  <c r="T42" i="58" a="1"/>
  <c r="U44" i="58" a="1"/>
  <c r="Q49" i="58" a="1"/>
  <c r="T54" i="58" a="1"/>
  <c r="Q47" i="58" a="1"/>
  <c r="R49" i="58" a="1"/>
  <c r="T52" i="58" a="1"/>
  <c r="U54" i="58" a="1"/>
  <c r="Q36" i="58" a="1"/>
  <c r="R38" i="58" a="1"/>
  <c r="Q35" i="58" a="1"/>
  <c r="R37" i="58" a="1"/>
  <c r="T40" i="58" a="1"/>
  <c r="U42" i="58" a="1"/>
  <c r="Q34" i="58" a="1"/>
  <c r="R36" i="58" a="1"/>
  <c r="T39" i="58" a="1"/>
  <c r="U41" i="58" a="1"/>
  <c r="Q46" i="58" a="1"/>
  <c r="R48" i="58" a="1"/>
  <c r="T51" i="58" a="1"/>
  <c r="U53" i="58" a="1"/>
  <c r="T53" i="58" a="1"/>
  <c r="Q33" i="57" a="1"/>
  <c r="R35" i="57" a="1"/>
  <c r="Q32" i="57" a="1"/>
  <c r="R34" i="57" a="1"/>
  <c r="Q34" i="57" a="1"/>
  <c r="R33" i="57" a="1"/>
  <c r="T36" i="57" a="1"/>
  <c r="R32" i="57" a="1"/>
  <c r="T35" i="57" a="1"/>
  <c r="T34" i="57" a="1"/>
  <c r="U36" i="57" a="1"/>
  <c r="T33" i="57" a="1"/>
  <c r="U35" i="57" a="1"/>
  <c r="T32" i="57" a="1"/>
  <c r="U34" i="57" a="1"/>
  <c r="U33" i="57" a="1"/>
  <c r="Q36" i="57" a="1"/>
  <c r="Q35" i="57" a="1"/>
  <c r="U32" i="57" a="1"/>
  <c r="R36" i="57" a="1"/>
  <c r="Q22" i="61" a="1"/>
  <c r="U17" i="61" a="1"/>
  <c r="T15" i="61" a="1"/>
  <c r="R12" i="61" a="1"/>
  <c r="Q10" i="61" a="1"/>
  <c r="U5" i="61" a="1"/>
  <c r="T3" i="61" a="1"/>
  <c r="U20" i="61" a="1"/>
  <c r="T18" i="61" a="1"/>
  <c r="R15" i="61" a="1"/>
  <c r="Q13" i="61" a="1"/>
  <c r="U8" i="61" a="1"/>
  <c r="T6" i="61" a="1"/>
  <c r="R3" i="61" a="1"/>
  <c r="U21" i="61" a="1"/>
  <c r="T19" i="61" a="1"/>
  <c r="R16" i="61" a="1"/>
  <c r="Q14" i="61" a="1"/>
  <c r="U9" i="61" a="1"/>
  <c r="T7" i="61" a="1"/>
  <c r="R4" i="61" a="1"/>
  <c r="Q2" i="61" a="1"/>
  <c r="U22" i="61" a="1"/>
  <c r="T20" i="61" a="1"/>
  <c r="R17" i="61" a="1"/>
  <c r="Q15" i="61" a="1"/>
  <c r="U10" i="61" a="1"/>
  <c r="T8" i="61" a="1"/>
  <c r="R5" i="61" a="1"/>
  <c r="Q3" i="61" a="1"/>
  <c r="T9" i="61" a="1"/>
  <c r="R19" i="61" a="1"/>
  <c r="Q17" i="61" a="1"/>
  <c r="Q23" i="61" a="1"/>
  <c r="U18" i="61" a="1"/>
  <c r="T16" i="61" a="1"/>
  <c r="R13" i="61" a="1"/>
  <c r="Q11" i="61" a="1"/>
  <c r="U6" i="61" a="1"/>
  <c r="T4" i="61" a="1"/>
  <c r="U11" i="61" a="1"/>
  <c r="U19" i="61" a="1"/>
  <c r="T17" i="61" a="1"/>
  <c r="R14" i="61" a="1"/>
  <c r="Q12" i="61" a="1"/>
  <c r="U7" i="61" a="1"/>
  <c r="T5" i="61" a="1"/>
  <c r="R2" i="61" a="1"/>
  <c r="Q4" i="61" a="1"/>
  <c r="U23" i="61" a="1"/>
  <c r="T21" i="61" a="1"/>
  <c r="R18" i="61" a="1"/>
  <c r="Q16" i="61" a="1"/>
  <c r="R6" i="61" a="1"/>
  <c r="T22" i="61" a="1"/>
  <c r="U12" i="61" a="1"/>
  <c r="R21" i="61" a="1"/>
  <c r="Q19" i="61" a="1"/>
  <c r="U14" i="61" a="1"/>
  <c r="T12" i="61" a="1"/>
  <c r="R9" i="61" a="1"/>
  <c r="R22" i="61" a="1"/>
  <c r="Q20" i="61" a="1"/>
  <c r="U15" i="61" a="1"/>
  <c r="T11" i="61" a="1"/>
  <c r="Q9" i="61" a="1"/>
  <c r="T10" i="61" a="1"/>
  <c r="Q8" i="61" a="1"/>
  <c r="U16" i="61" a="1"/>
  <c r="R20" i="61" a="1"/>
  <c r="T23" i="61" a="1"/>
  <c r="Q6" i="61" a="1"/>
  <c r="U3" i="61" a="1"/>
  <c r="Q18" i="61" a="1"/>
  <c r="R8" i="61" a="1"/>
  <c r="U13" i="61" a="1"/>
  <c r="Q5" i="61" a="1"/>
  <c r="T2" i="61" a="1"/>
  <c r="R23" i="61" a="1"/>
  <c r="T14" i="61" a="1"/>
  <c r="R11" i="61" a="1"/>
  <c r="T13" i="61" a="1"/>
  <c r="R7" i="61" a="1"/>
  <c r="U4" i="61" a="1"/>
  <c r="R10" i="61" a="1"/>
  <c r="U2" i="61" a="1"/>
  <c r="Q21" i="61" a="1"/>
  <c r="Q7" i="61" a="1"/>
  <c r="U29" i="60" a="1"/>
  <c r="T27" i="60" a="1"/>
  <c r="R24" i="60" a="1"/>
  <c r="Q22" i="60" a="1"/>
  <c r="U17" i="60" a="1"/>
  <c r="T15" i="60" a="1"/>
  <c r="R12" i="60" a="1"/>
  <c r="Q10" i="60" a="1"/>
  <c r="U5" i="60" a="1"/>
  <c r="T3" i="60" a="1"/>
  <c r="U31" i="60" a="1"/>
  <c r="U30" i="60" a="1"/>
  <c r="T28" i="60" a="1"/>
  <c r="R25" i="60" a="1"/>
  <c r="Q23" i="60" a="1"/>
  <c r="U18" i="60" a="1"/>
  <c r="T16" i="60" a="1"/>
  <c r="R13" i="60" a="1"/>
  <c r="Q11" i="60" a="1"/>
  <c r="U6" i="60" a="1"/>
  <c r="T4" i="60" a="1"/>
  <c r="T29" i="60" a="1"/>
  <c r="Q12" i="60" a="1"/>
  <c r="U7" i="60" a="1"/>
  <c r="Q2" i="60" a="1"/>
  <c r="R26" i="60" a="1"/>
  <c r="Q24" i="60" a="1"/>
  <c r="U19" i="60" a="1"/>
  <c r="T17" i="60" a="1"/>
  <c r="R14" i="60" a="1"/>
  <c r="T5" i="60" a="1"/>
  <c r="T30" i="60" a="1"/>
  <c r="R27" i="60" a="1"/>
  <c r="Q25" i="60" a="1"/>
  <c r="U20" i="60" a="1"/>
  <c r="T18" i="60" a="1"/>
  <c r="R15" i="60" a="1"/>
  <c r="Q13" i="60" a="1"/>
  <c r="R4" i="60" a="1"/>
  <c r="T31" i="60" a="1"/>
  <c r="R28" i="60" a="1"/>
  <c r="Q26" i="60" a="1"/>
  <c r="U21" i="60" a="1"/>
  <c r="T19" i="60" a="1"/>
  <c r="R16" i="60" a="1"/>
  <c r="Q14" i="60" a="1"/>
  <c r="U9" i="60" a="1"/>
  <c r="R29" i="60" a="1"/>
  <c r="Q27" i="60" a="1"/>
  <c r="U22" i="60" a="1"/>
  <c r="T20" i="60" a="1"/>
  <c r="R17" i="60" a="1"/>
  <c r="Q15" i="60" a="1"/>
  <c r="U10" i="60" a="1"/>
  <c r="T8" i="60" a="1"/>
  <c r="R5" i="60" a="1"/>
  <c r="Q3" i="60" a="1"/>
  <c r="R30" i="60" a="1"/>
  <c r="Q28" i="60" a="1"/>
  <c r="U23" i="60" a="1"/>
  <c r="T21" i="60" a="1"/>
  <c r="R18" i="60" a="1"/>
  <c r="Q16" i="60" a="1"/>
  <c r="U11" i="60" a="1"/>
  <c r="R6" i="60" a="1"/>
  <c r="Q4" i="60" a="1"/>
  <c r="Q29" i="60" a="1"/>
  <c r="T9" i="60" a="1"/>
  <c r="R31" i="60" a="1"/>
  <c r="Q18" i="60" a="1"/>
  <c r="T11" i="60" a="1"/>
  <c r="Q6" i="60" a="1"/>
  <c r="U2" i="60" a="1"/>
  <c r="Q20" i="60" a="1"/>
  <c r="T13" i="60" a="1"/>
  <c r="U24" i="60" a="1"/>
  <c r="T22" i="60" a="1"/>
  <c r="R19" i="60" a="1"/>
  <c r="Q17" i="60" a="1"/>
  <c r="U12" i="60" a="1"/>
  <c r="T10" i="60" a="1"/>
  <c r="R7" i="60" a="1"/>
  <c r="Q5" i="60" a="1"/>
  <c r="R20" i="60" a="1"/>
  <c r="U13" i="60" a="1"/>
  <c r="R8" i="60" a="1"/>
  <c r="Q30" i="60" a="1"/>
  <c r="U25" i="60" a="1"/>
  <c r="T23" i="60" a="1"/>
  <c r="R10" i="60" a="1"/>
  <c r="Q8" i="60" a="1"/>
  <c r="U3" i="60" a="1"/>
  <c r="Q31" i="60" a="1"/>
  <c r="U26" i="60" a="1"/>
  <c r="T24" i="60" a="1"/>
  <c r="R21" i="60" a="1"/>
  <c r="Q19" i="60" a="1"/>
  <c r="U14" i="60" a="1"/>
  <c r="T12" i="60" a="1"/>
  <c r="R9" i="60" a="1"/>
  <c r="Q7" i="60" a="1"/>
  <c r="T7" i="60" a="1"/>
  <c r="U27" i="60" a="1"/>
  <c r="T25" i="60" a="1"/>
  <c r="R22" i="60" a="1"/>
  <c r="U15" i="60" a="1"/>
  <c r="U28" i="60" a="1"/>
  <c r="T26" i="60" a="1"/>
  <c r="R23" i="60" a="1"/>
  <c r="Q21" i="60" a="1"/>
  <c r="U16" i="60" a="1"/>
  <c r="T14" i="60" a="1"/>
  <c r="R11" i="60" a="1"/>
  <c r="Q9" i="60" a="1"/>
  <c r="U4" i="60" a="1"/>
  <c r="T2" i="60" a="1"/>
  <c r="R2" i="60" a="1"/>
  <c r="U8" i="60" a="1"/>
  <c r="T6" i="60" a="1"/>
  <c r="R3" i="60" a="1"/>
  <c r="U29" i="59" a="1"/>
  <c r="T27" i="59" a="1"/>
  <c r="R24" i="59" a="1"/>
  <c r="Q22" i="59" a="1"/>
  <c r="U17" i="59" a="1"/>
  <c r="T15" i="59" a="1"/>
  <c r="R12" i="59" a="1"/>
  <c r="Q10" i="59" a="1"/>
  <c r="U5" i="59" a="1"/>
  <c r="T3" i="59" a="1"/>
  <c r="Q25" i="59" a="1"/>
  <c r="R5" i="59" a="1"/>
  <c r="Q3" i="59" a="1"/>
  <c r="Q9" i="59" a="1"/>
  <c r="U30" i="59" a="1"/>
  <c r="T28" i="59" a="1"/>
  <c r="R25" i="59" a="1"/>
  <c r="Q23" i="59" a="1"/>
  <c r="U18" i="59" a="1"/>
  <c r="T16" i="59" a="1"/>
  <c r="R13" i="59" a="1"/>
  <c r="Q11" i="59" a="1"/>
  <c r="U6" i="59" a="1"/>
  <c r="T4" i="59" a="1"/>
  <c r="T30" i="59" a="1"/>
  <c r="T18" i="59" a="1"/>
  <c r="R15" i="59" a="1"/>
  <c r="Q13" i="59" a="1"/>
  <c r="U8" i="59" a="1"/>
  <c r="R3" i="59" a="1"/>
  <c r="T31" i="59" a="1"/>
  <c r="R28" i="59" a="1"/>
  <c r="T19" i="59" a="1"/>
  <c r="Q14" i="59" a="1"/>
  <c r="U9" i="59" a="1"/>
  <c r="R29" i="59" a="1"/>
  <c r="Q27" i="59" a="1"/>
  <c r="U22" i="59" a="1"/>
  <c r="T20" i="59" a="1"/>
  <c r="R17" i="59" a="1"/>
  <c r="Q15" i="59" a="1"/>
  <c r="U10" i="59" a="1"/>
  <c r="T8" i="59" a="1"/>
  <c r="U31" i="59" a="1"/>
  <c r="T29" i="59" a="1"/>
  <c r="R26" i="59" a="1"/>
  <c r="Q24" i="59" a="1"/>
  <c r="U19" i="59" a="1"/>
  <c r="T17" i="59" a="1"/>
  <c r="R14" i="59" a="1"/>
  <c r="Q12" i="59" a="1"/>
  <c r="U7" i="59" a="1"/>
  <c r="T5" i="59" a="1"/>
  <c r="R2" i="59" a="1"/>
  <c r="R27" i="59" a="1"/>
  <c r="U20" i="59" a="1"/>
  <c r="T6" i="59" a="1"/>
  <c r="Q26" i="59" a="1"/>
  <c r="U21" i="59" a="1"/>
  <c r="R16" i="59" a="1"/>
  <c r="T7" i="59" a="1"/>
  <c r="R4" i="59" a="1"/>
  <c r="Q2" i="59" a="1"/>
  <c r="R30" i="59" a="1"/>
  <c r="Q28" i="59" a="1"/>
  <c r="U23" i="59" a="1"/>
  <c r="T21" i="59" a="1"/>
  <c r="R18" i="59" a="1"/>
  <c r="Q16" i="59" a="1"/>
  <c r="U11" i="59" a="1"/>
  <c r="T9" i="59" a="1"/>
  <c r="R6" i="59" a="1"/>
  <c r="Q4" i="59" a="1"/>
  <c r="R31" i="59" a="1"/>
  <c r="Q29" i="59" a="1"/>
  <c r="U24" i="59" a="1"/>
  <c r="T22" i="59" a="1"/>
  <c r="R19" i="59" a="1"/>
  <c r="Q17" i="59" a="1"/>
  <c r="U12" i="59" a="1"/>
  <c r="T10" i="59" a="1"/>
  <c r="R7" i="59" a="1"/>
  <c r="Q5" i="59" a="1"/>
  <c r="T11" i="59" a="1"/>
  <c r="Q6" i="59" a="1"/>
  <c r="U26" i="59" a="1"/>
  <c r="R21" i="59" a="1"/>
  <c r="T12" i="59" a="1"/>
  <c r="Q30" i="59" a="1"/>
  <c r="U25" i="59" a="1"/>
  <c r="T23" i="59" a="1"/>
  <c r="R20" i="59" a="1"/>
  <c r="Q18" i="59" a="1"/>
  <c r="U13" i="59" a="1"/>
  <c r="R8" i="59" a="1"/>
  <c r="Q19" i="59" a="1"/>
  <c r="R9" i="59" a="1"/>
  <c r="Q7" i="59" a="1"/>
  <c r="U2" i="59" a="1"/>
  <c r="T25" i="59" a="1"/>
  <c r="Q20" i="59" a="1"/>
  <c r="U15" i="59" a="1"/>
  <c r="Q8" i="59" a="1"/>
  <c r="U3" i="59" a="1"/>
  <c r="T26" i="59" a="1"/>
  <c r="U16" i="59" a="1"/>
  <c r="Q31" i="59" a="1"/>
  <c r="T24" i="59" a="1"/>
  <c r="U14" i="59" a="1"/>
  <c r="U27" i="59" a="1"/>
  <c r="R22" i="59" a="1"/>
  <c r="T13" i="59" a="1"/>
  <c r="R10" i="59" a="1"/>
  <c r="Q21" i="59" a="1"/>
  <c r="R11" i="59" a="1"/>
  <c r="U4" i="59" a="1"/>
  <c r="T2" i="59" a="1"/>
  <c r="U28" i="59" a="1"/>
  <c r="R23" i="59" a="1"/>
  <c r="T14" i="59" a="1"/>
  <c r="U29" i="58" a="1"/>
  <c r="T27" i="58" a="1"/>
  <c r="R24" i="58" a="1"/>
  <c r="Q22" i="58" a="1"/>
  <c r="U17" i="58" a="1"/>
  <c r="T15" i="58" a="1"/>
  <c r="R12" i="58" a="1"/>
  <c r="Q10" i="58" a="1"/>
  <c r="U5" i="58" a="1"/>
  <c r="T3" i="58" a="1"/>
  <c r="T18" i="58" a="1"/>
  <c r="T6" i="58" a="1"/>
  <c r="U23" i="58" a="1"/>
  <c r="R18" i="58" a="1"/>
  <c r="U30" i="58" a="1"/>
  <c r="T28" i="58" a="1"/>
  <c r="R25" i="58" a="1"/>
  <c r="Q23" i="58" a="1"/>
  <c r="U18" i="58" a="1"/>
  <c r="T16" i="58" a="1"/>
  <c r="R13" i="58" a="1"/>
  <c r="Q11" i="58" a="1"/>
  <c r="U6" i="58" a="1"/>
  <c r="T4" i="58" a="1"/>
  <c r="Q13" i="58" a="1"/>
  <c r="T21" i="58" a="1"/>
  <c r="U31" i="58" a="1"/>
  <c r="T29" i="58" a="1"/>
  <c r="R26" i="58" a="1"/>
  <c r="Q24" i="58" a="1"/>
  <c r="U19" i="58" a="1"/>
  <c r="T17" i="58" a="1"/>
  <c r="R14" i="58" a="1"/>
  <c r="Q12" i="58" a="1"/>
  <c r="U7" i="58" a="1"/>
  <c r="T5" i="58" a="1"/>
  <c r="R2" i="58" a="1"/>
  <c r="T30" i="58" a="1"/>
  <c r="R27" i="58" a="1"/>
  <c r="Q25" i="58" a="1"/>
  <c r="U20" i="58" a="1"/>
  <c r="R15" i="58" a="1"/>
  <c r="U8" i="58" a="1"/>
  <c r="Q16" i="58" a="1"/>
  <c r="Q4" i="58" a="1"/>
  <c r="R16" i="58" a="1"/>
  <c r="Q14" i="58" a="1"/>
  <c r="T31" i="58" a="1"/>
  <c r="R29" i="58" a="1"/>
  <c r="R30" i="58" a="1"/>
  <c r="Q28" i="58" a="1"/>
  <c r="R6" i="58" a="1"/>
  <c r="R31" i="58" a="1"/>
  <c r="Q29" i="58" a="1"/>
  <c r="U24" i="58" a="1"/>
  <c r="T22" i="58" a="1"/>
  <c r="R19" i="58" a="1"/>
  <c r="Q17" i="58" a="1"/>
  <c r="U12" i="58" a="1"/>
  <c r="T10" i="58" a="1"/>
  <c r="R7" i="58" a="1"/>
  <c r="Q5" i="58" a="1"/>
  <c r="Q30" i="58" a="1"/>
  <c r="U25" i="58" a="1"/>
  <c r="T23" i="58" a="1"/>
  <c r="R20" i="58" a="1"/>
  <c r="Q18" i="58" a="1"/>
  <c r="U13" i="58" a="1"/>
  <c r="T11" i="58" a="1"/>
  <c r="R8" i="58" a="1"/>
  <c r="Q6" i="58" a="1"/>
  <c r="T24" i="58" a="1"/>
  <c r="R21" i="58" a="1"/>
  <c r="Q19" i="58" a="1"/>
  <c r="U14" i="58" a="1"/>
  <c r="T12" i="58" a="1"/>
  <c r="R9" i="58" a="1"/>
  <c r="Q7" i="58" a="1"/>
  <c r="U2" i="58" a="1"/>
  <c r="U16" i="58" a="1"/>
  <c r="T14" i="58" a="1"/>
  <c r="Q31" i="58" a="1"/>
  <c r="U26" i="58" a="1"/>
  <c r="Q21" i="58" a="1"/>
  <c r="U9" i="58" a="1"/>
  <c r="T7" i="58" a="1"/>
  <c r="R4" i="58" a="1"/>
  <c r="U27" i="58" a="1"/>
  <c r="T25" i="58" a="1"/>
  <c r="R22" i="58" a="1"/>
  <c r="Q20" i="58" a="1"/>
  <c r="U15" i="58" a="1"/>
  <c r="T13" i="58" a="1"/>
  <c r="R10" i="58" a="1"/>
  <c r="Q8" i="58" a="1"/>
  <c r="U3" i="58" a="1"/>
  <c r="R11" i="58" a="1"/>
  <c r="Q9" i="58" a="1"/>
  <c r="U4" i="58" a="1"/>
  <c r="T2" i="58" a="1"/>
  <c r="R3" i="58" a="1"/>
  <c r="R28" i="58" a="1"/>
  <c r="Q26" i="58" a="1"/>
  <c r="U21" i="58" a="1"/>
  <c r="T19" i="58" a="1"/>
  <c r="R5" i="58" a="1"/>
  <c r="Q3" i="58" a="1"/>
  <c r="U28" i="58" a="1"/>
  <c r="T26" i="58" a="1"/>
  <c r="R23" i="58" a="1"/>
  <c r="Q2" i="58" a="1"/>
  <c r="Q27" i="58" a="1"/>
  <c r="U22" i="58" a="1"/>
  <c r="T20" i="58" a="1"/>
  <c r="R17" i="58" a="1"/>
  <c r="Q15" i="58" a="1"/>
  <c r="U10" i="58" a="1"/>
  <c r="T8" i="58" a="1"/>
  <c r="U11" i="58" a="1"/>
  <c r="T9" i="58" a="1"/>
  <c r="U29" i="57" a="1"/>
  <c r="T27" i="57" a="1"/>
  <c r="R24" i="57" a="1"/>
  <c r="Q22" i="57" a="1"/>
  <c r="U17" i="57" a="1"/>
  <c r="T15" i="57" a="1"/>
  <c r="R12" i="57" a="1"/>
  <c r="Q10" i="57" a="1"/>
  <c r="U5" i="57" a="1"/>
  <c r="T3" i="57" a="1"/>
  <c r="Q11" i="57" a="1"/>
  <c r="U6" i="57" a="1"/>
  <c r="T4" i="57" a="1"/>
  <c r="R27" i="57" a="1"/>
  <c r="Q25" i="57" a="1"/>
  <c r="U20" i="57" a="1"/>
  <c r="T18" i="57" a="1"/>
  <c r="R15" i="57" a="1"/>
  <c r="U30" i="57" a="1"/>
  <c r="T28" i="57" a="1"/>
  <c r="R25" i="57" a="1"/>
  <c r="Q23" i="57" a="1"/>
  <c r="U18" i="57" a="1"/>
  <c r="T16" i="57" a="1"/>
  <c r="R13" i="57" a="1"/>
  <c r="U31" i="57" a="1"/>
  <c r="T29" i="57" a="1"/>
  <c r="R26" i="57" a="1"/>
  <c r="Q24" i="57" a="1"/>
  <c r="U19" i="57" a="1"/>
  <c r="T17" i="57" a="1"/>
  <c r="R14" i="57" a="1"/>
  <c r="Q12" i="57" a="1"/>
  <c r="U7" i="57" a="1"/>
  <c r="T5" i="57" a="1"/>
  <c r="R2" i="57" a="1"/>
  <c r="T30" i="57" a="1"/>
  <c r="R30" i="57" a="1"/>
  <c r="Q28" i="57" a="1"/>
  <c r="U23" i="57" a="1"/>
  <c r="T21" i="57" a="1"/>
  <c r="R18" i="57" a="1"/>
  <c r="Q16" i="57" a="1"/>
  <c r="U11" i="57" a="1"/>
  <c r="T9" i="57" a="1"/>
  <c r="R6" i="57" a="1"/>
  <c r="Q4" i="57" a="1"/>
  <c r="T22" i="57" a="1"/>
  <c r="Q17" i="57" a="1"/>
  <c r="U12" i="57" a="1"/>
  <c r="R7" i="57" a="1"/>
  <c r="U25" i="57" a="1"/>
  <c r="Q18" i="57" a="1"/>
  <c r="T11" i="57" a="1"/>
  <c r="T24" i="57" a="1"/>
  <c r="T12" i="57" a="1"/>
  <c r="U15" i="57" a="1"/>
  <c r="Q8" i="57" a="1"/>
  <c r="U3" i="57" a="1"/>
  <c r="Q13" i="57" a="1"/>
  <c r="T6" i="57" a="1"/>
  <c r="R28" i="57" a="1"/>
  <c r="U21" i="57" a="1"/>
  <c r="U9" i="57" a="1"/>
  <c r="T20" i="57" a="1"/>
  <c r="R31" i="57" a="1"/>
  <c r="Q29" i="57" a="1"/>
  <c r="U24" i="57" a="1"/>
  <c r="R19" i="57" a="1"/>
  <c r="T10" i="57" a="1"/>
  <c r="Q5" i="57" a="1"/>
  <c r="R20" i="57" a="1"/>
  <c r="R8" i="57" a="1"/>
  <c r="Q31" i="57" a="1"/>
  <c r="R21" i="57" a="1"/>
  <c r="U14" i="57" a="1"/>
  <c r="Q7" i="57" a="1"/>
  <c r="U2" i="57" a="1"/>
  <c r="T25" i="57" a="1"/>
  <c r="Q20" i="57" a="1"/>
  <c r="T13" i="57" a="1"/>
  <c r="T26" i="57" a="1"/>
  <c r="Q21" i="57" a="1"/>
  <c r="T14" i="57" a="1"/>
  <c r="Q9" i="57" a="1"/>
  <c r="T2" i="57" a="1"/>
  <c r="Q14" i="57" a="1"/>
  <c r="T7" i="57" a="1"/>
  <c r="Q27" i="57" a="1"/>
  <c r="R17" i="57" a="1"/>
  <c r="U10" i="57" a="1"/>
  <c r="R5" i="57" a="1"/>
  <c r="Q30" i="57" a="1"/>
  <c r="T23" i="57" a="1"/>
  <c r="U13" i="57" a="1"/>
  <c r="Q6" i="57" a="1"/>
  <c r="U26" i="57" a="1"/>
  <c r="R9" i="57" a="1"/>
  <c r="Q19" i="57" a="1"/>
  <c r="U27" i="57" a="1"/>
  <c r="R22" i="57" a="1"/>
  <c r="R10" i="57" a="1"/>
  <c r="U28" i="57" a="1"/>
  <c r="R23" i="57" a="1"/>
  <c r="U16" i="57" a="1"/>
  <c r="R11" i="57" a="1"/>
  <c r="U4" i="57" a="1"/>
  <c r="U8" i="57" a="1"/>
  <c r="T31" i="57" a="1"/>
  <c r="Q26" i="57" a="1"/>
  <c r="R16" i="57" a="1"/>
  <c r="R4" i="57" a="1"/>
  <c r="R29" i="57" a="1"/>
  <c r="Q15" i="57" a="1"/>
  <c r="T8" i="57" a="1"/>
  <c r="Q3" i="57" a="1"/>
  <c r="R3" i="57" a="1"/>
  <c r="T19" i="57" a="1"/>
  <c r="Q2" i="57" a="1"/>
  <c r="U22" i="57" a="1"/>
  <c r="U29" i="56" a="1"/>
  <c r="T27" i="56" a="1"/>
  <c r="R24" i="56" a="1"/>
  <c r="Q22" i="56" a="1"/>
  <c r="T28" i="56" a="1"/>
  <c r="R25" i="56" a="1"/>
  <c r="Q23" i="56" a="1"/>
  <c r="R27" i="56" a="1"/>
  <c r="Q25" i="56" a="1"/>
  <c r="U20" i="56" a="1"/>
  <c r="T18" i="56" a="1"/>
  <c r="R15" i="56" a="1"/>
  <c r="Q13" i="56" a="1"/>
  <c r="U8" i="56" a="1"/>
  <c r="T6" i="56" a="1"/>
  <c r="R3" i="56" a="1"/>
  <c r="U21" i="56" a="1"/>
  <c r="T19" i="56" a="1"/>
  <c r="R16" i="56" a="1"/>
  <c r="Q14" i="56" a="1"/>
  <c r="U9" i="56" a="1"/>
  <c r="T7" i="56" a="1"/>
  <c r="R4" i="56" a="1"/>
  <c r="Q2" i="56" a="1"/>
  <c r="U22" i="56" a="1"/>
  <c r="T20" i="56" a="1"/>
  <c r="R17" i="56" a="1"/>
  <c r="Q15" i="56" a="1"/>
  <c r="U10" i="56" a="1"/>
  <c r="T8" i="56" a="1"/>
  <c r="R5" i="56" a="1"/>
  <c r="Q3" i="56" a="1"/>
  <c r="R28" i="56" a="1"/>
  <c r="Q26" i="56" a="1"/>
  <c r="R29" i="56" a="1"/>
  <c r="Q27" i="56" a="1"/>
  <c r="Q28" i="56" a="1"/>
  <c r="Q29" i="56" a="1"/>
  <c r="U25" i="56" a="1"/>
  <c r="T23" i="56" a="1"/>
  <c r="R20" i="56" a="1"/>
  <c r="Q18" i="56" a="1"/>
  <c r="U13" i="56" a="1"/>
  <c r="T11" i="56" a="1"/>
  <c r="R8" i="56" a="1"/>
  <c r="Q6" i="56" a="1"/>
  <c r="U26" i="56" a="1"/>
  <c r="T24" i="56" a="1"/>
  <c r="R21" i="56" a="1"/>
  <c r="Q19" i="56" a="1"/>
  <c r="U14" i="56" a="1"/>
  <c r="T12" i="56" a="1"/>
  <c r="R9" i="56" a="1"/>
  <c r="Q7" i="56" a="1"/>
  <c r="U2" i="56" a="1"/>
  <c r="U27" i="56" a="1"/>
  <c r="T25" i="56" a="1"/>
  <c r="R22" i="56" a="1"/>
  <c r="Q20" i="56" a="1"/>
  <c r="U15" i="56" a="1"/>
  <c r="T13" i="56" a="1"/>
  <c r="R10" i="56" a="1"/>
  <c r="Q8" i="56" a="1"/>
  <c r="U3" i="56" a="1"/>
  <c r="U16" i="56" a="1"/>
  <c r="T14" i="56" a="1"/>
  <c r="R11" i="56" a="1"/>
  <c r="Q9" i="56" a="1"/>
  <c r="U4" i="56" a="1"/>
  <c r="T2" i="56" a="1"/>
  <c r="U17" i="56" a="1"/>
  <c r="T15" i="56" a="1"/>
  <c r="R12" i="56" a="1"/>
  <c r="Q10" i="56" a="1"/>
  <c r="U28" i="56" a="1"/>
  <c r="T26" i="56" a="1"/>
  <c r="R23" i="56" a="1"/>
  <c r="Q21" i="56" a="1"/>
  <c r="Q11" i="56" a="1"/>
  <c r="T3" i="56" a="1"/>
  <c r="Q16" i="56" a="1"/>
  <c r="T10" i="56" a="1"/>
  <c r="U24" i="56" a="1"/>
  <c r="R18" i="56" a="1"/>
  <c r="R7" i="56" a="1"/>
  <c r="U12" i="56" a="1"/>
  <c r="R2" i="56" a="1"/>
  <c r="R26" i="56" a="1"/>
  <c r="U11" i="56" a="1"/>
  <c r="R19" i="56" a="1"/>
  <c r="T16" i="56" a="1"/>
  <c r="U5" i="56" a="1"/>
  <c r="U7" i="56" a="1"/>
  <c r="Q24" i="56" a="1"/>
  <c r="Q5" i="56" a="1"/>
  <c r="T9" i="56" a="1"/>
  <c r="T4" i="56" a="1"/>
  <c r="T17" i="56" a="1"/>
  <c r="R14" i="56" a="1"/>
  <c r="T22" i="56" a="1"/>
  <c r="Q17" i="56" a="1"/>
  <c r="T29" i="56" a="1"/>
  <c r="T21" i="56" a="1"/>
  <c r="R13" i="56" a="1"/>
  <c r="U18" i="56" a="1"/>
  <c r="T5" i="56" a="1"/>
  <c r="U23" i="56" a="1"/>
  <c r="R6" i="56" a="1"/>
  <c r="Q12" i="56" a="1"/>
  <c r="U6" i="56" a="1"/>
  <c r="Q4" i="56" a="1"/>
  <c r="U19" i="56" a="1"/>
  <c r="U19" i="54" a="1"/>
  <c r="R13" i="54" a="1"/>
  <c r="U27" i="54" a="1"/>
  <c r="Q26" i="54" a="1"/>
  <c r="U22" i="54" a="1"/>
  <c r="R20" i="54" a="1"/>
  <c r="R18" i="54" a="1"/>
  <c r="U31" i="54" a="1"/>
  <c r="T8" i="54" a="1"/>
  <c r="R7" i="54" a="1"/>
  <c r="U4" i="54" a="1"/>
  <c r="U23" i="54" a="1"/>
  <c r="T31" i="54" a="1"/>
  <c r="Q27" i="54" a="1"/>
  <c r="T23" i="54" a="1"/>
  <c r="T21" i="54" a="1"/>
  <c r="R5" i="54" a="1"/>
  <c r="R8" i="54" a="1"/>
  <c r="T2" i="54" a="1"/>
  <c r="Q28" i="54" a="1"/>
  <c r="T30" i="54" a="1"/>
  <c r="T13" i="54" a="1"/>
  <c r="U25" i="54" a="1"/>
  <c r="Q15" i="54" a="1"/>
  <c r="Q3" i="54" a="1"/>
  <c r="Q10" i="54" a="1"/>
  <c r="T14" i="54" a="1"/>
  <c r="Q30" i="54" a="1"/>
  <c r="R4" i="54" a="1"/>
  <c r="T3" i="54" a="1"/>
  <c r="T20" i="54" a="1"/>
  <c r="U14" i="54" a="1"/>
  <c r="R28" i="54" a="1"/>
  <c r="Q19" i="54" a="1"/>
  <c r="Q25" i="54" a="1"/>
  <c r="R9" i="54" a="1"/>
  <c r="U30" i="54" a="1"/>
  <c r="R23" i="54" a="1"/>
  <c r="R19" i="54" a="1"/>
  <c r="Q6" i="54" a="1"/>
  <c r="T6" i="54" a="1"/>
  <c r="T15" i="54" a="1"/>
  <c r="T24" i="54" a="1"/>
  <c r="U2" i="54" a="1"/>
  <c r="R10" i="54" a="1"/>
  <c r="U17" i="54" a="1"/>
  <c r="U24" i="54" a="1"/>
  <c r="U6" i="54" a="1"/>
  <c r="U11" i="54" a="1"/>
  <c r="U29" i="54" a="1"/>
  <c r="Q20" i="54" a="1"/>
  <c r="U15" i="54" a="1"/>
  <c r="U13" i="54" a="1"/>
  <c r="R27" i="54" a="1"/>
  <c r="R6" i="54" a="1"/>
  <c r="U21" i="54" a="1"/>
  <c r="U10" i="54" a="1"/>
  <c r="Q9" i="54" a="1"/>
  <c r="T16" i="54" a="1"/>
  <c r="U9" i="54" a="1"/>
  <c r="T7" i="54" a="1"/>
  <c r="Q7" i="54" a="1"/>
  <c r="R17" i="54" a="1"/>
  <c r="T12" i="54" a="1"/>
  <c r="Q14" i="54" a="1"/>
  <c r="Q5" i="54" a="1"/>
  <c r="U5" i="54" a="1"/>
  <c r="U16" i="54" a="1"/>
  <c r="U12" i="54" a="1"/>
  <c r="Q2" i="54" a="1"/>
  <c r="T11" i="54" a="1"/>
  <c r="T4" i="54" a="1"/>
  <c r="R2" i="54" a="1"/>
  <c r="T28" i="54" a="1"/>
  <c r="R29" i="54" a="1"/>
  <c r="Q21" i="54" a="1"/>
  <c r="Q17" i="54" a="1"/>
  <c r="T10" i="54" a="1"/>
  <c r="U7" i="54" a="1"/>
  <c r="R12" i="54" a="1"/>
  <c r="R21" i="54" a="1"/>
  <c r="T19" i="54" a="1"/>
  <c r="Q11" i="54" a="1"/>
  <c r="R24" i="54" a="1"/>
  <c r="T26" i="54" a="1"/>
  <c r="T22" i="54" a="1"/>
  <c r="R3" i="54" a="1"/>
  <c r="T27" i="54" a="1"/>
  <c r="U28" i="54" a="1"/>
  <c r="U26" i="54" a="1"/>
  <c r="Q31" i="54" a="1"/>
  <c r="Q29" i="54" a="1"/>
  <c r="T18" i="54" a="1"/>
  <c r="T5" i="54" a="1"/>
  <c r="T9" i="54" a="1"/>
  <c r="U3" i="54" a="1"/>
  <c r="R16" i="54" a="1"/>
  <c r="T25" i="54" a="1"/>
  <c r="R31" i="54" a="1"/>
  <c r="U8" i="54" a="1"/>
  <c r="R11" i="54" a="1"/>
  <c r="R30" i="54" a="1"/>
  <c r="Q18" i="54" a="1"/>
  <c r="Q16" i="54" a="1"/>
  <c r="Q24" i="54" a="1"/>
  <c r="Q4" i="54" a="1"/>
  <c r="U18" i="54" a="1"/>
  <c r="Q23" i="54" a="1"/>
  <c r="R25" i="54" a="1"/>
  <c r="Q13" i="54" a="1"/>
  <c r="U20" i="54" a="1"/>
  <c r="R26" i="54" a="1"/>
  <c r="Q8" i="54" a="1"/>
  <c r="Q22" i="54" a="1"/>
  <c r="R22" i="54" a="1"/>
  <c r="R15" i="54" a="1"/>
  <c r="T29" i="54" a="1"/>
  <c r="Q12" i="54" a="1"/>
  <c r="R14" i="54" a="1"/>
  <c r="T17" i="54" a="1"/>
  <c r="T45" i="60" l="1"/>
  <c r="U41" i="60"/>
  <c r="T40" i="60"/>
  <c r="R42" i="60"/>
  <c r="R36" i="60"/>
  <c r="R37" i="60"/>
  <c r="U43" i="60"/>
  <c r="T41" i="60"/>
  <c r="R38" i="60"/>
  <c r="Q36" i="60"/>
  <c r="S36" i="60" s="1"/>
  <c r="V36" i="60" s="1"/>
  <c r="Q34" i="60"/>
  <c r="S34" i="60" s="1"/>
  <c r="V34" i="60" s="1"/>
  <c r="U42" i="60"/>
  <c r="T42" i="60"/>
  <c r="U32" i="60"/>
  <c r="U45" i="60"/>
  <c r="Q40" i="60"/>
  <c r="T39" i="60"/>
  <c r="Q35" i="60"/>
  <c r="U44" i="60"/>
  <c r="R39" i="60"/>
  <c r="Q37" i="60"/>
  <c r="T43" i="60"/>
  <c r="R40" i="60"/>
  <c r="Q38" i="60"/>
  <c r="S38" i="60" s="1"/>
  <c r="V38" i="60" s="1"/>
  <c r="U33" i="60"/>
  <c r="T44" i="60"/>
  <c r="R41" i="60"/>
  <c r="Q39" i="60"/>
  <c r="S39" i="60" s="1"/>
  <c r="U34" i="60"/>
  <c r="T32" i="60"/>
  <c r="T33" i="60"/>
  <c r="U35" i="60"/>
  <c r="R43" i="60"/>
  <c r="Q41" i="60"/>
  <c r="S41" i="60" s="1"/>
  <c r="V41" i="60" s="1"/>
  <c r="R32" i="60"/>
  <c r="R45" i="60"/>
  <c r="Q43" i="60"/>
  <c r="U38" i="60"/>
  <c r="T36" i="60"/>
  <c r="R33" i="60"/>
  <c r="U36" i="60"/>
  <c r="T34" i="60"/>
  <c r="R44" i="60"/>
  <c r="Q42" i="60"/>
  <c r="T35" i="60"/>
  <c r="Q44" i="60"/>
  <c r="U39" i="60"/>
  <c r="T37" i="60"/>
  <c r="R34" i="60"/>
  <c r="Q32" i="60"/>
  <c r="U37" i="60"/>
  <c r="Q45" i="60"/>
  <c r="U40" i="60"/>
  <c r="T38" i="60"/>
  <c r="R35" i="60"/>
  <c r="Q33" i="60"/>
  <c r="R36" i="59"/>
  <c r="Q34" i="59"/>
  <c r="R37" i="59"/>
  <c r="Q35" i="59"/>
  <c r="U41" i="59"/>
  <c r="R38" i="59"/>
  <c r="Q36" i="59"/>
  <c r="S36" i="59" s="1"/>
  <c r="T39" i="59"/>
  <c r="U42" i="59"/>
  <c r="T40" i="59"/>
  <c r="U44" i="59"/>
  <c r="R39" i="59"/>
  <c r="U32" i="59"/>
  <c r="Q46" i="59"/>
  <c r="U43" i="59"/>
  <c r="T41" i="59"/>
  <c r="T42" i="59"/>
  <c r="Q37" i="59"/>
  <c r="S37" i="59" s="1"/>
  <c r="V37" i="59" s="1"/>
  <c r="U45" i="59"/>
  <c r="T43" i="59"/>
  <c r="R40" i="59"/>
  <c r="Q38" i="59"/>
  <c r="S38" i="59" s="1"/>
  <c r="V38" i="59" s="1"/>
  <c r="U33" i="59"/>
  <c r="U46" i="59"/>
  <c r="R41" i="59"/>
  <c r="Q39" i="59"/>
  <c r="U34" i="59"/>
  <c r="T32" i="59"/>
  <c r="T33" i="59"/>
  <c r="T44" i="59"/>
  <c r="T46" i="59"/>
  <c r="R43" i="59"/>
  <c r="Q41" i="59"/>
  <c r="S41" i="59" s="1"/>
  <c r="V41" i="59" s="1"/>
  <c r="U36" i="59"/>
  <c r="T34" i="59"/>
  <c r="Q42" i="59"/>
  <c r="S42" i="59" s="1"/>
  <c r="V42" i="59" s="1"/>
  <c r="U37" i="59"/>
  <c r="T35" i="59"/>
  <c r="R32" i="59"/>
  <c r="Q40" i="59"/>
  <c r="R44" i="59"/>
  <c r="R45" i="59"/>
  <c r="Q43" i="59"/>
  <c r="U38" i="59"/>
  <c r="T36" i="59"/>
  <c r="R33" i="59"/>
  <c r="U35" i="59"/>
  <c r="R46" i="59"/>
  <c r="Q44" i="59"/>
  <c r="U39" i="59"/>
  <c r="T37" i="59"/>
  <c r="R34" i="59"/>
  <c r="Q32" i="59"/>
  <c r="S32" i="59" s="1"/>
  <c r="V32" i="59" s="1"/>
  <c r="T45" i="59"/>
  <c r="R42" i="59"/>
  <c r="Q45" i="59"/>
  <c r="U40" i="59"/>
  <c r="T38" i="59"/>
  <c r="R35" i="59"/>
  <c r="Q33" i="59"/>
  <c r="S33" i="59" s="1"/>
  <c r="V33" i="59" s="1"/>
  <c r="R59" i="58"/>
  <c r="Q59" i="58"/>
  <c r="S59" i="58" s="1"/>
  <c r="U56" i="58"/>
  <c r="U57" i="58"/>
  <c r="T55" i="58"/>
  <c r="T56" i="58"/>
  <c r="T57" i="58"/>
  <c r="R55" i="58"/>
  <c r="Q60" i="58"/>
  <c r="S60" i="58" s="1"/>
  <c r="V60" i="58" s="1"/>
  <c r="Q61" i="58"/>
  <c r="S61" i="58" s="1"/>
  <c r="V61" i="58" s="1"/>
  <c r="U59" i="58"/>
  <c r="U61" i="58"/>
  <c r="T59" i="58"/>
  <c r="R56" i="58"/>
  <c r="R60" i="58"/>
  <c r="R61" i="58"/>
  <c r="U60" i="58"/>
  <c r="T60" i="58"/>
  <c r="R57" i="58"/>
  <c r="Q55" i="58"/>
  <c r="S55" i="58" s="1"/>
  <c r="V55" i="58" s="1"/>
  <c r="Q57" i="58"/>
  <c r="S57" i="58" s="1"/>
  <c r="V57" i="58" s="1"/>
  <c r="Q58" i="58"/>
  <c r="S58" i="58" s="1"/>
  <c r="V58" i="58" s="1"/>
  <c r="U55" i="58"/>
  <c r="U58" i="58"/>
  <c r="T58" i="58"/>
  <c r="T61" i="58"/>
  <c r="R58" i="58"/>
  <c r="Q56" i="58"/>
  <c r="S56" i="58" s="1"/>
  <c r="V56" i="58" s="1"/>
  <c r="T53" i="58"/>
  <c r="U53" i="58"/>
  <c r="T51" i="58"/>
  <c r="R48" i="58"/>
  <c r="Q46" i="58"/>
  <c r="U41" i="58"/>
  <c r="T39" i="58"/>
  <c r="R36" i="58"/>
  <c r="Q34" i="58"/>
  <c r="S34" i="58" s="1"/>
  <c r="U42" i="58"/>
  <c r="T40" i="58"/>
  <c r="R37" i="58"/>
  <c r="Q35" i="58"/>
  <c r="R38" i="58"/>
  <c r="Q36" i="58"/>
  <c r="U54" i="58"/>
  <c r="T52" i="58"/>
  <c r="R49" i="58"/>
  <c r="Q47" i="58"/>
  <c r="S47" i="58" s="1"/>
  <c r="T54" i="58"/>
  <c r="Q49" i="58"/>
  <c r="S49" i="58" s="1"/>
  <c r="U44" i="58"/>
  <c r="T42" i="58"/>
  <c r="R39" i="58"/>
  <c r="Q37" i="58"/>
  <c r="U32" i="58"/>
  <c r="R40" i="58"/>
  <c r="Q38" i="58"/>
  <c r="S38" i="58" s="1"/>
  <c r="U33" i="58"/>
  <c r="R53" i="58"/>
  <c r="Q51" i="58"/>
  <c r="U46" i="58"/>
  <c r="T44" i="58"/>
  <c r="R41" i="58"/>
  <c r="Q39" i="58"/>
  <c r="U34" i="58"/>
  <c r="T32" i="58"/>
  <c r="U43" i="58"/>
  <c r="R54" i="58"/>
  <c r="U47" i="58"/>
  <c r="T45" i="58"/>
  <c r="R42" i="58"/>
  <c r="Q40" i="58"/>
  <c r="S40" i="58" s="1"/>
  <c r="U35" i="58"/>
  <c r="T33" i="58"/>
  <c r="T41" i="58"/>
  <c r="R51" i="58"/>
  <c r="R43" i="58"/>
  <c r="Q41" i="58"/>
  <c r="U36" i="58"/>
  <c r="T34" i="58"/>
  <c r="R44" i="58"/>
  <c r="Q42" i="58"/>
  <c r="U45" i="58"/>
  <c r="T47" i="58"/>
  <c r="R32" i="58"/>
  <c r="U50" i="58"/>
  <c r="T48" i="58"/>
  <c r="R45" i="58"/>
  <c r="Q43" i="58"/>
  <c r="S43" i="58" s="1"/>
  <c r="V43" i="58" s="1"/>
  <c r="U38" i="58"/>
  <c r="T36" i="58"/>
  <c r="R33" i="58"/>
  <c r="Q52" i="58"/>
  <c r="Q53" i="58"/>
  <c r="U48" i="58"/>
  <c r="T46" i="58"/>
  <c r="Q54" i="58"/>
  <c r="S54" i="58" s="1"/>
  <c r="V54" i="58" s="1"/>
  <c r="T35" i="58"/>
  <c r="U51" i="58"/>
  <c r="T49" i="58"/>
  <c r="R46" i="58"/>
  <c r="Q44" i="58"/>
  <c r="U39" i="58"/>
  <c r="T37" i="58"/>
  <c r="R34" i="58"/>
  <c r="Q32" i="58"/>
  <c r="R50" i="58"/>
  <c r="Q48" i="58"/>
  <c r="S48" i="58" s="1"/>
  <c r="R52" i="58"/>
  <c r="Q50" i="58"/>
  <c r="S50" i="58" s="1"/>
  <c r="T43" i="58"/>
  <c r="U49" i="58"/>
  <c r="U37" i="58"/>
  <c r="U52" i="58"/>
  <c r="T50" i="58"/>
  <c r="R47" i="58"/>
  <c r="Q45" i="58"/>
  <c r="U40" i="58"/>
  <c r="T38" i="58"/>
  <c r="R35" i="58"/>
  <c r="Q33" i="58"/>
  <c r="S33" i="58" s="1"/>
  <c r="R36" i="57"/>
  <c r="U32" i="57"/>
  <c r="Q35" i="57"/>
  <c r="Q36" i="57"/>
  <c r="S36" i="57" s="1"/>
  <c r="U33" i="57"/>
  <c r="U34" i="57"/>
  <c r="T32" i="57"/>
  <c r="U35" i="57"/>
  <c r="T33" i="57"/>
  <c r="U36" i="57"/>
  <c r="T34" i="57"/>
  <c r="T35" i="57"/>
  <c r="R32" i="57"/>
  <c r="T36" i="57"/>
  <c r="R33" i="57"/>
  <c r="Q34" i="57"/>
  <c r="R34" i="57"/>
  <c r="Q32" i="57"/>
  <c r="S32" i="57" s="1"/>
  <c r="R35" i="57"/>
  <c r="Q33" i="57"/>
  <c r="S33" i="57" s="1"/>
  <c r="V33" i="57" s="1"/>
  <c r="Q7" i="61"/>
  <c r="Q21" i="61"/>
  <c r="U2" i="61"/>
  <c r="R10" i="61"/>
  <c r="U4" i="61"/>
  <c r="R7" i="61"/>
  <c r="T13" i="61"/>
  <c r="R11" i="61"/>
  <c r="T14" i="61"/>
  <c r="R23" i="61"/>
  <c r="T2" i="61"/>
  <c r="Q5" i="61"/>
  <c r="U13" i="61"/>
  <c r="R8" i="61"/>
  <c r="Q18" i="61"/>
  <c r="S18" i="61" s="1"/>
  <c r="U3" i="61"/>
  <c r="Q6" i="61"/>
  <c r="T23" i="61"/>
  <c r="R20" i="61"/>
  <c r="U16" i="61"/>
  <c r="Q8" i="61"/>
  <c r="S8" i="61" s="1"/>
  <c r="V8" i="61" s="1"/>
  <c r="T10" i="61"/>
  <c r="Q9" i="61"/>
  <c r="S9" i="61" s="1"/>
  <c r="T11" i="61"/>
  <c r="U15" i="61"/>
  <c r="Q20" i="61"/>
  <c r="R22" i="61"/>
  <c r="R9" i="61"/>
  <c r="T12" i="61"/>
  <c r="U14" i="61"/>
  <c r="Q19" i="61"/>
  <c r="S19" i="61" s="1"/>
  <c r="V19" i="61" s="1"/>
  <c r="R21" i="61"/>
  <c r="U12" i="61"/>
  <c r="T22" i="61"/>
  <c r="R6" i="61"/>
  <c r="Q16" i="61"/>
  <c r="S16" i="61" s="1"/>
  <c r="V16" i="61" s="1"/>
  <c r="R18" i="61"/>
  <c r="T21" i="61"/>
  <c r="U23" i="61"/>
  <c r="Q4" i="61"/>
  <c r="R2" i="61"/>
  <c r="T5" i="61"/>
  <c r="U7" i="61"/>
  <c r="Q12" i="61"/>
  <c r="R14" i="61"/>
  <c r="T17" i="61"/>
  <c r="U19" i="61"/>
  <c r="U11" i="61"/>
  <c r="T4" i="61"/>
  <c r="U6" i="61"/>
  <c r="Q11" i="61"/>
  <c r="R13" i="61"/>
  <c r="T16" i="61"/>
  <c r="U18" i="61"/>
  <c r="Q23" i="61"/>
  <c r="Q17" i="61"/>
  <c r="S17" i="61" s="1"/>
  <c r="V17" i="61" s="1"/>
  <c r="R19" i="61"/>
  <c r="T9" i="61"/>
  <c r="Q3" i="61"/>
  <c r="S3" i="61" s="1"/>
  <c r="V3" i="61" s="1"/>
  <c r="R5" i="61"/>
  <c r="T8" i="61"/>
  <c r="U10" i="61"/>
  <c r="Q15" i="61"/>
  <c r="R17" i="61"/>
  <c r="T20" i="61"/>
  <c r="U22" i="61"/>
  <c r="Q2" i="61"/>
  <c r="R4" i="61"/>
  <c r="T7" i="61"/>
  <c r="U9" i="61"/>
  <c r="Q14" i="61"/>
  <c r="R16" i="61"/>
  <c r="T19" i="61"/>
  <c r="U21" i="61"/>
  <c r="R3" i="61"/>
  <c r="T6" i="61"/>
  <c r="U8" i="61"/>
  <c r="Q13" i="61"/>
  <c r="S13" i="61" s="1"/>
  <c r="V13" i="61" s="1"/>
  <c r="R15" i="61"/>
  <c r="T18" i="61"/>
  <c r="U20" i="61"/>
  <c r="T3" i="61"/>
  <c r="U5" i="61"/>
  <c r="Q10" i="61"/>
  <c r="S10" i="61" s="1"/>
  <c r="R12" i="61"/>
  <c r="T15" i="61"/>
  <c r="U17" i="61"/>
  <c r="Q22" i="61"/>
  <c r="S22" i="61" s="1"/>
  <c r="V22" i="61" s="1"/>
  <c r="R3" i="60"/>
  <c r="T6" i="60"/>
  <c r="U8" i="60"/>
  <c r="R2" i="60"/>
  <c r="T2" i="60"/>
  <c r="U4" i="60"/>
  <c r="Q9" i="60"/>
  <c r="R11" i="60"/>
  <c r="T14" i="60"/>
  <c r="U16" i="60"/>
  <c r="Q21" i="60"/>
  <c r="S21" i="60" s="1"/>
  <c r="R23" i="60"/>
  <c r="T26" i="60"/>
  <c r="U28" i="60"/>
  <c r="U15" i="60"/>
  <c r="R22" i="60"/>
  <c r="T25" i="60"/>
  <c r="U27" i="60"/>
  <c r="T7" i="60"/>
  <c r="Q7" i="60"/>
  <c r="S7" i="60" s="1"/>
  <c r="V7" i="60" s="1"/>
  <c r="R9" i="60"/>
  <c r="T12" i="60"/>
  <c r="U14" i="60"/>
  <c r="Q19" i="60"/>
  <c r="S19" i="60" s="1"/>
  <c r="R21" i="60"/>
  <c r="T24" i="60"/>
  <c r="U26" i="60"/>
  <c r="Q31" i="60"/>
  <c r="U3" i="60"/>
  <c r="Q8" i="60"/>
  <c r="S8" i="60" s="1"/>
  <c r="R10" i="60"/>
  <c r="T23" i="60"/>
  <c r="U25" i="60"/>
  <c r="Q30" i="60"/>
  <c r="S30" i="60" s="1"/>
  <c r="V30" i="60" s="1"/>
  <c r="R8" i="60"/>
  <c r="U13" i="60"/>
  <c r="R20" i="60"/>
  <c r="Q5" i="60"/>
  <c r="R7" i="60"/>
  <c r="T10" i="60"/>
  <c r="U12" i="60"/>
  <c r="Q17" i="60"/>
  <c r="R19" i="60"/>
  <c r="T22" i="60"/>
  <c r="U24" i="60"/>
  <c r="T13" i="60"/>
  <c r="Q20" i="60"/>
  <c r="S20" i="60" s="1"/>
  <c r="U2" i="60"/>
  <c r="Q6" i="60"/>
  <c r="T11" i="60"/>
  <c r="Q18" i="60"/>
  <c r="R31" i="60"/>
  <c r="T9" i="60"/>
  <c r="Q29" i="60"/>
  <c r="S29" i="60" s="1"/>
  <c r="Q4" i="60"/>
  <c r="R6" i="60"/>
  <c r="U11" i="60"/>
  <c r="Q16" i="60"/>
  <c r="S16" i="60" s="1"/>
  <c r="V16" i="60" s="1"/>
  <c r="R18" i="60"/>
  <c r="T21" i="60"/>
  <c r="U23" i="60"/>
  <c r="Q28" i="60"/>
  <c r="R30" i="60"/>
  <c r="Q3" i="60"/>
  <c r="S3" i="60" s="1"/>
  <c r="V3" i="60" s="1"/>
  <c r="R5" i="60"/>
  <c r="T8" i="60"/>
  <c r="U10" i="60"/>
  <c r="Q15" i="60"/>
  <c r="R17" i="60"/>
  <c r="T20" i="60"/>
  <c r="U22" i="60"/>
  <c r="Q27" i="60"/>
  <c r="S27" i="60" s="1"/>
  <c r="V27" i="60" s="1"/>
  <c r="R29" i="60"/>
  <c r="U9" i="60"/>
  <c r="Q14" i="60"/>
  <c r="R16" i="60"/>
  <c r="T19" i="60"/>
  <c r="U21" i="60"/>
  <c r="Q26" i="60"/>
  <c r="S26" i="60" s="1"/>
  <c r="V26" i="60" s="1"/>
  <c r="R28" i="60"/>
  <c r="T31" i="60"/>
  <c r="R4" i="60"/>
  <c r="Q13" i="60"/>
  <c r="R15" i="60"/>
  <c r="T18" i="60"/>
  <c r="U20" i="60"/>
  <c r="Q25" i="60"/>
  <c r="R27" i="60"/>
  <c r="T30" i="60"/>
  <c r="T5" i="60"/>
  <c r="R14" i="60"/>
  <c r="T17" i="60"/>
  <c r="U19" i="60"/>
  <c r="Q24" i="60"/>
  <c r="R26" i="60"/>
  <c r="Q2" i="60"/>
  <c r="S2" i="60" s="1"/>
  <c r="V2" i="60" s="1"/>
  <c r="U7" i="60"/>
  <c r="Q12" i="60"/>
  <c r="T29" i="60"/>
  <c r="T4" i="60"/>
  <c r="U6" i="60"/>
  <c r="Q11" i="60"/>
  <c r="R13" i="60"/>
  <c r="T16" i="60"/>
  <c r="U18" i="60"/>
  <c r="Q23" i="60"/>
  <c r="S23" i="60" s="1"/>
  <c r="V23" i="60" s="1"/>
  <c r="R25" i="60"/>
  <c r="T28" i="60"/>
  <c r="U30" i="60"/>
  <c r="U31" i="60"/>
  <c r="T3" i="60"/>
  <c r="U5" i="60"/>
  <c r="Q10" i="60"/>
  <c r="R12" i="60"/>
  <c r="T15" i="60"/>
  <c r="U17" i="60"/>
  <c r="Q22" i="60"/>
  <c r="S22" i="60" s="1"/>
  <c r="V22" i="60" s="1"/>
  <c r="R24" i="60"/>
  <c r="T27" i="60"/>
  <c r="U29" i="60"/>
  <c r="T14" i="59"/>
  <c r="R23" i="59"/>
  <c r="U28" i="59"/>
  <c r="T2" i="59"/>
  <c r="U4" i="59"/>
  <c r="R11" i="59"/>
  <c r="Q21" i="59"/>
  <c r="R10" i="59"/>
  <c r="T13" i="59"/>
  <c r="R22" i="59"/>
  <c r="U27" i="59"/>
  <c r="U14" i="59"/>
  <c r="T24" i="59"/>
  <c r="Q31" i="59"/>
  <c r="U16" i="59"/>
  <c r="T26" i="59"/>
  <c r="U3" i="59"/>
  <c r="Q8" i="59"/>
  <c r="S8" i="59" s="1"/>
  <c r="U15" i="59"/>
  <c r="Q20" i="59"/>
  <c r="S20" i="59" s="1"/>
  <c r="T25" i="59"/>
  <c r="U2" i="59"/>
  <c r="Q7" i="59"/>
  <c r="S7" i="59" s="1"/>
  <c r="R9" i="59"/>
  <c r="Q19" i="59"/>
  <c r="R8" i="59"/>
  <c r="U13" i="59"/>
  <c r="Q18" i="59"/>
  <c r="S18" i="59" s="1"/>
  <c r="R20" i="59"/>
  <c r="T23" i="59"/>
  <c r="U25" i="59"/>
  <c r="Q30" i="59"/>
  <c r="T12" i="59"/>
  <c r="R21" i="59"/>
  <c r="U26" i="59"/>
  <c r="Q6" i="59"/>
  <c r="S6" i="59" s="1"/>
  <c r="V6" i="59" s="1"/>
  <c r="T11" i="59"/>
  <c r="Q5" i="59"/>
  <c r="S5" i="59" s="1"/>
  <c r="R7" i="59"/>
  <c r="T10" i="59"/>
  <c r="U12" i="59"/>
  <c r="Q17" i="59"/>
  <c r="R19" i="59"/>
  <c r="T22" i="59"/>
  <c r="U24" i="59"/>
  <c r="Q29" i="59"/>
  <c r="S29" i="59" s="1"/>
  <c r="R31" i="59"/>
  <c r="Q4" i="59"/>
  <c r="S4" i="59" s="1"/>
  <c r="V4" i="59" s="1"/>
  <c r="R6" i="59"/>
  <c r="T9" i="59"/>
  <c r="U11" i="59"/>
  <c r="Q16" i="59"/>
  <c r="S16" i="59" s="1"/>
  <c r="V16" i="59" s="1"/>
  <c r="R18" i="59"/>
  <c r="T21" i="59"/>
  <c r="U23" i="59"/>
  <c r="Q28" i="59"/>
  <c r="S28" i="59" s="1"/>
  <c r="R30" i="59"/>
  <c r="Q2" i="59"/>
  <c r="S2" i="59" s="1"/>
  <c r="V2" i="59" s="1"/>
  <c r="R4" i="59"/>
  <c r="T7" i="59"/>
  <c r="R16" i="59"/>
  <c r="U21" i="59"/>
  <c r="Q26" i="59"/>
  <c r="T6" i="59"/>
  <c r="U20" i="59"/>
  <c r="R27" i="59"/>
  <c r="R2" i="59"/>
  <c r="T5" i="59"/>
  <c r="U7" i="59"/>
  <c r="Q12" i="59"/>
  <c r="S12" i="59" s="1"/>
  <c r="V12" i="59" s="1"/>
  <c r="R14" i="59"/>
  <c r="T17" i="59"/>
  <c r="U19" i="59"/>
  <c r="Q24" i="59"/>
  <c r="R26" i="59"/>
  <c r="T29" i="59"/>
  <c r="U31" i="59"/>
  <c r="T8" i="59"/>
  <c r="U10" i="59"/>
  <c r="Q15" i="59"/>
  <c r="R17" i="59"/>
  <c r="T20" i="59"/>
  <c r="U22" i="59"/>
  <c r="Q27" i="59"/>
  <c r="S27" i="59" s="1"/>
  <c r="V27" i="59" s="1"/>
  <c r="R29" i="59"/>
  <c r="U9" i="59"/>
  <c r="Q14" i="59"/>
  <c r="T19" i="59"/>
  <c r="R28" i="59"/>
  <c r="T31" i="59"/>
  <c r="R3" i="59"/>
  <c r="U8" i="59"/>
  <c r="Q13" i="59"/>
  <c r="S13" i="59" s="1"/>
  <c r="V13" i="59" s="1"/>
  <c r="R15" i="59"/>
  <c r="T18" i="59"/>
  <c r="T30" i="59"/>
  <c r="T4" i="59"/>
  <c r="U6" i="59"/>
  <c r="Q11" i="59"/>
  <c r="R13" i="59"/>
  <c r="T16" i="59"/>
  <c r="U18" i="59"/>
  <c r="Q23" i="59"/>
  <c r="S23" i="59" s="1"/>
  <c r="V23" i="59" s="1"/>
  <c r="R25" i="59"/>
  <c r="T28" i="59"/>
  <c r="U30" i="59"/>
  <c r="Q9" i="59"/>
  <c r="Q3" i="59"/>
  <c r="S3" i="59" s="1"/>
  <c r="V3" i="59" s="1"/>
  <c r="R5" i="59"/>
  <c r="Q25" i="59"/>
  <c r="T3" i="59"/>
  <c r="U5" i="59"/>
  <c r="Q10" i="59"/>
  <c r="R12" i="59"/>
  <c r="T15" i="59"/>
  <c r="U17" i="59"/>
  <c r="Q22" i="59"/>
  <c r="R24" i="59"/>
  <c r="T27" i="59"/>
  <c r="U29" i="59"/>
  <c r="T9" i="58"/>
  <c r="U11" i="58"/>
  <c r="T8" i="58"/>
  <c r="U10" i="58"/>
  <c r="Q15" i="58"/>
  <c r="S15" i="58" s="1"/>
  <c r="V15" i="58" s="1"/>
  <c r="R17" i="58"/>
  <c r="T20" i="58"/>
  <c r="U22" i="58"/>
  <c r="Q27" i="58"/>
  <c r="Q2" i="58"/>
  <c r="R23" i="58"/>
  <c r="T26" i="58"/>
  <c r="U28" i="58"/>
  <c r="Q3" i="58"/>
  <c r="R5" i="58"/>
  <c r="T19" i="58"/>
  <c r="U21" i="58"/>
  <c r="Q26" i="58"/>
  <c r="S26" i="58" s="1"/>
  <c r="R28" i="58"/>
  <c r="R3" i="58"/>
  <c r="T2" i="58"/>
  <c r="U4" i="58"/>
  <c r="Q9" i="58"/>
  <c r="S9" i="58" s="1"/>
  <c r="R11" i="58"/>
  <c r="U3" i="58"/>
  <c r="Q8" i="58"/>
  <c r="S8" i="58" s="1"/>
  <c r="R10" i="58"/>
  <c r="T13" i="58"/>
  <c r="U15" i="58"/>
  <c r="Q20" i="58"/>
  <c r="S20" i="58" s="1"/>
  <c r="V20" i="58" s="1"/>
  <c r="R22" i="58"/>
  <c r="T25" i="58"/>
  <c r="U27" i="58"/>
  <c r="R4" i="58"/>
  <c r="T7" i="58"/>
  <c r="U9" i="58"/>
  <c r="Q21" i="58"/>
  <c r="U26" i="58"/>
  <c r="Q31" i="58"/>
  <c r="T14" i="58"/>
  <c r="U16" i="58"/>
  <c r="U2" i="58"/>
  <c r="Q7" i="58"/>
  <c r="R9" i="58"/>
  <c r="T12" i="58"/>
  <c r="U14" i="58"/>
  <c r="Q19" i="58"/>
  <c r="S19" i="58" s="1"/>
  <c r="V19" i="58" s="1"/>
  <c r="R21" i="58"/>
  <c r="T24" i="58"/>
  <c r="Q6" i="58"/>
  <c r="R8" i="58"/>
  <c r="T11" i="58"/>
  <c r="U13" i="58"/>
  <c r="Q18" i="58"/>
  <c r="R20" i="58"/>
  <c r="T23" i="58"/>
  <c r="U25" i="58"/>
  <c r="Q30" i="58"/>
  <c r="Q5" i="58"/>
  <c r="S5" i="58" s="1"/>
  <c r="V5" i="58" s="1"/>
  <c r="R7" i="58"/>
  <c r="T10" i="58"/>
  <c r="U12" i="58"/>
  <c r="Q17" i="58"/>
  <c r="R19" i="58"/>
  <c r="T22" i="58"/>
  <c r="U24" i="58"/>
  <c r="Q29" i="58"/>
  <c r="R31" i="58"/>
  <c r="R6" i="58"/>
  <c r="Q28" i="58"/>
  <c r="S28" i="58" s="1"/>
  <c r="V28" i="58" s="1"/>
  <c r="R30" i="58"/>
  <c r="R29" i="58"/>
  <c r="T31" i="58"/>
  <c r="Q14" i="58"/>
  <c r="R16" i="58"/>
  <c r="Q4" i="58"/>
  <c r="Q16" i="58"/>
  <c r="S16" i="58" s="1"/>
  <c r="V16" i="58" s="1"/>
  <c r="U8" i="58"/>
  <c r="R15" i="58"/>
  <c r="U20" i="58"/>
  <c r="Q25" i="58"/>
  <c r="S25" i="58" s="1"/>
  <c r="V25" i="58" s="1"/>
  <c r="R27" i="58"/>
  <c r="T30" i="58"/>
  <c r="R2" i="58"/>
  <c r="T5" i="58"/>
  <c r="U7" i="58"/>
  <c r="Q12" i="58"/>
  <c r="R14" i="58"/>
  <c r="T17" i="58"/>
  <c r="U19" i="58"/>
  <c r="Q24" i="58"/>
  <c r="R26" i="58"/>
  <c r="T29" i="58"/>
  <c r="U31" i="58"/>
  <c r="T21" i="58"/>
  <c r="Q13" i="58"/>
  <c r="S13" i="58" s="1"/>
  <c r="V13" i="58" s="1"/>
  <c r="T4" i="58"/>
  <c r="U6" i="58"/>
  <c r="Q11" i="58"/>
  <c r="R13" i="58"/>
  <c r="T16" i="58"/>
  <c r="U18" i="58"/>
  <c r="Q23" i="58"/>
  <c r="R25" i="58"/>
  <c r="T28" i="58"/>
  <c r="U30" i="58"/>
  <c r="R18" i="58"/>
  <c r="U23" i="58"/>
  <c r="T6" i="58"/>
  <c r="T18" i="58"/>
  <c r="T3" i="58"/>
  <c r="U5" i="58"/>
  <c r="Q10" i="58"/>
  <c r="S10" i="58" s="1"/>
  <c r="V10" i="58" s="1"/>
  <c r="R12" i="58"/>
  <c r="T15" i="58"/>
  <c r="U17" i="58"/>
  <c r="Q22" i="58"/>
  <c r="S22" i="58" s="1"/>
  <c r="V22" i="58" s="1"/>
  <c r="R24" i="58"/>
  <c r="T27" i="58"/>
  <c r="U29" i="58"/>
  <c r="U22" i="57"/>
  <c r="Q2" i="57"/>
  <c r="T19" i="57"/>
  <c r="R3" i="57"/>
  <c r="Q3" i="57"/>
  <c r="S3" i="57" s="1"/>
  <c r="V3" i="57" s="1"/>
  <c r="T8" i="57"/>
  <c r="Q15" i="57"/>
  <c r="R29" i="57"/>
  <c r="R4" i="57"/>
  <c r="R16" i="57"/>
  <c r="Q26" i="57"/>
  <c r="S26" i="57" s="1"/>
  <c r="V26" i="57" s="1"/>
  <c r="T31" i="57"/>
  <c r="U8" i="57"/>
  <c r="U4" i="57"/>
  <c r="R11" i="57"/>
  <c r="U16" i="57"/>
  <c r="R23" i="57"/>
  <c r="U28" i="57"/>
  <c r="R10" i="57"/>
  <c r="R22" i="57"/>
  <c r="U27" i="57"/>
  <c r="Q19" i="57"/>
  <c r="S19" i="57" s="1"/>
  <c r="V19" i="57" s="1"/>
  <c r="R9" i="57"/>
  <c r="U26" i="57"/>
  <c r="Q6" i="57"/>
  <c r="U13" i="57"/>
  <c r="T23" i="57"/>
  <c r="Q30" i="57"/>
  <c r="R5" i="57"/>
  <c r="U10" i="57"/>
  <c r="R17" i="57"/>
  <c r="Q27" i="57"/>
  <c r="T7" i="57"/>
  <c r="Q14" i="57"/>
  <c r="S14" i="57" s="1"/>
  <c r="V14" i="57" s="1"/>
  <c r="T2" i="57"/>
  <c r="Q9" i="57"/>
  <c r="T14" i="57"/>
  <c r="Q21" i="57"/>
  <c r="T26" i="57"/>
  <c r="T13" i="57"/>
  <c r="Q20" i="57"/>
  <c r="S20" i="57" s="1"/>
  <c r="T25" i="57"/>
  <c r="U2" i="57"/>
  <c r="Q7" i="57"/>
  <c r="U14" i="57"/>
  <c r="R21" i="57"/>
  <c r="Q31" i="57"/>
  <c r="S31" i="57" s="1"/>
  <c r="V31" i="57" s="1"/>
  <c r="R8" i="57"/>
  <c r="R20" i="57"/>
  <c r="Q5" i="57"/>
  <c r="T10" i="57"/>
  <c r="R19" i="57"/>
  <c r="U24" i="57"/>
  <c r="Q29" i="57"/>
  <c r="R31" i="57"/>
  <c r="T20" i="57"/>
  <c r="U9" i="57"/>
  <c r="U21" i="57"/>
  <c r="R28" i="57"/>
  <c r="T6" i="57"/>
  <c r="Q13" i="57"/>
  <c r="U3" i="57"/>
  <c r="Q8" i="57"/>
  <c r="U15" i="57"/>
  <c r="T12" i="57"/>
  <c r="T24" i="57"/>
  <c r="T11" i="57"/>
  <c r="Q18" i="57"/>
  <c r="S18" i="57" s="1"/>
  <c r="V18" i="57" s="1"/>
  <c r="U25" i="57"/>
  <c r="R7" i="57"/>
  <c r="U12" i="57"/>
  <c r="Q17" i="57"/>
  <c r="S17" i="57" s="1"/>
  <c r="V17" i="57" s="1"/>
  <c r="T22" i="57"/>
  <c r="Q4" i="57"/>
  <c r="R6" i="57"/>
  <c r="T9" i="57"/>
  <c r="U11" i="57"/>
  <c r="Q16" i="57"/>
  <c r="R18" i="57"/>
  <c r="T21" i="57"/>
  <c r="U23" i="57"/>
  <c r="Q28" i="57"/>
  <c r="R30" i="57"/>
  <c r="T30" i="57"/>
  <c r="R2" i="57"/>
  <c r="T5" i="57"/>
  <c r="U7" i="57"/>
  <c r="Q12" i="57"/>
  <c r="R14" i="57"/>
  <c r="T17" i="57"/>
  <c r="U19" i="57"/>
  <c r="Q24" i="57"/>
  <c r="R26" i="57"/>
  <c r="T29" i="57"/>
  <c r="U31" i="57"/>
  <c r="R13" i="57"/>
  <c r="T16" i="57"/>
  <c r="U18" i="57"/>
  <c r="Q23" i="57"/>
  <c r="R25" i="57"/>
  <c r="T28" i="57"/>
  <c r="U30" i="57"/>
  <c r="R15" i="57"/>
  <c r="T18" i="57"/>
  <c r="U20" i="57"/>
  <c r="Q25" i="57"/>
  <c r="S25" i="57" s="1"/>
  <c r="V25" i="57" s="1"/>
  <c r="R27" i="57"/>
  <c r="T4" i="57"/>
  <c r="U6" i="57"/>
  <c r="Q11" i="57"/>
  <c r="S11" i="57" s="1"/>
  <c r="T3" i="57"/>
  <c r="U5" i="57"/>
  <c r="Q10" i="57"/>
  <c r="R12" i="57"/>
  <c r="T15" i="57"/>
  <c r="U17" i="57"/>
  <c r="Q22" i="57"/>
  <c r="S22" i="57" s="1"/>
  <c r="V22" i="57" s="1"/>
  <c r="R24" i="57"/>
  <c r="T27" i="57"/>
  <c r="U29" i="57"/>
  <c r="U19" i="56"/>
  <c r="Q4" i="56"/>
  <c r="U6" i="56"/>
  <c r="Q12" i="56"/>
  <c r="R6" i="56"/>
  <c r="U23" i="56"/>
  <c r="T5" i="56"/>
  <c r="U18" i="56"/>
  <c r="R13" i="56"/>
  <c r="T21" i="56"/>
  <c r="T29" i="56"/>
  <c r="Q17" i="56"/>
  <c r="S17" i="56" s="1"/>
  <c r="V17" i="56" s="1"/>
  <c r="T22" i="56"/>
  <c r="R14" i="56"/>
  <c r="T17" i="56"/>
  <c r="T4" i="56"/>
  <c r="T9" i="56"/>
  <c r="Q5" i="56"/>
  <c r="S5" i="56" s="1"/>
  <c r="Q24" i="56"/>
  <c r="U7" i="56"/>
  <c r="U5" i="56"/>
  <c r="T16" i="56"/>
  <c r="R19" i="56"/>
  <c r="U11" i="56"/>
  <c r="R26" i="56"/>
  <c r="R2" i="56"/>
  <c r="U12" i="56"/>
  <c r="R7" i="56"/>
  <c r="R18" i="56"/>
  <c r="U24" i="56"/>
  <c r="T10" i="56"/>
  <c r="Q16" i="56"/>
  <c r="S16" i="56" s="1"/>
  <c r="T3" i="56"/>
  <c r="Q11" i="56"/>
  <c r="Q21" i="56"/>
  <c r="S21" i="56" s="1"/>
  <c r="V21" i="56" s="1"/>
  <c r="R23" i="56"/>
  <c r="T26" i="56"/>
  <c r="U28" i="56"/>
  <c r="Q10" i="56"/>
  <c r="R12" i="56"/>
  <c r="T15" i="56"/>
  <c r="U17" i="56"/>
  <c r="T2" i="56"/>
  <c r="U4" i="56"/>
  <c r="Q9" i="56"/>
  <c r="S9" i="56" s="1"/>
  <c r="V9" i="56" s="1"/>
  <c r="R11" i="56"/>
  <c r="T14" i="56"/>
  <c r="U16" i="56"/>
  <c r="U3" i="56"/>
  <c r="Q8" i="56"/>
  <c r="R10" i="56"/>
  <c r="T13" i="56"/>
  <c r="U15" i="56"/>
  <c r="Q20" i="56"/>
  <c r="S20" i="56" s="1"/>
  <c r="R22" i="56"/>
  <c r="T25" i="56"/>
  <c r="U27" i="56"/>
  <c r="U2" i="56"/>
  <c r="Q7" i="56"/>
  <c r="S7" i="56" s="1"/>
  <c r="R9" i="56"/>
  <c r="T12" i="56"/>
  <c r="U14" i="56"/>
  <c r="Q19" i="56"/>
  <c r="R21" i="56"/>
  <c r="T24" i="56"/>
  <c r="U26" i="56"/>
  <c r="Q6" i="56"/>
  <c r="S6" i="56" s="1"/>
  <c r="V6" i="56" s="1"/>
  <c r="R8" i="56"/>
  <c r="T11" i="56"/>
  <c r="U13" i="56"/>
  <c r="Q18" i="56"/>
  <c r="S18" i="56" s="1"/>
  <c r="V18" i="56" s="1"/>
  <c r="R20" i="56"/>
  <c r="T23" i="56"/>
  <c r="U25" i="56"/>
  <c r="Q29" i="56"/>
  <c r="Q28" i="56"/>
  <c r="Q27" i="56"/>
  <c r="S27" i="56" s="1"/>
  <c r="R29" i="56"/>
  <c r="Q26" i="56"/>
  <c r="S26" i="56" s="1"/>
  <c r="V26" i="56" s="1"/>
  <c r="R28" i="56"/>
  <c r="Q3" i="56"/>
  <c r="R5" i="56"/>
  <c r="T8" i="56"/>
  <c r="U10" i="56"/>
  <c r="Q15" i="56"/>
  <c r="R17" i="56"/>
  <c r="T20" i="56"/>
  <c r="U22" i="56"/>
  <c r="Q2" i="56"/>
  <c r="S2" i="56" s="1"/>
  <c r="R4" i="56"/>
  <c r="T7" i="56"/>
  <c r="U9" i="56"/>
  <c r="Q14" i="56"/>
  <c r="S14" i="56" s="1"/>
  <c r="R16" i="56"/>
  <c r="T19" i="56"/>
  <c r="U21" i="56"/>
  <c r="R3" i="56"/>
  <c r="T6" i="56"/>
  <c r="U8" i="56"/>
  <c r="Q13" i="56"/>
  <c r="S13" i="56" s="1"/>
  <c r="R15" i="56"/>
  <c r="T18" i="56"/>
  <c r="U20" i="56"/>
  <c r="Q25" i="56"/>
  <c r="R27" i="56"/>
  <c r="Q23" i="56"/>
  <c r="R25" i="56"/>
  <c r="T28" i="56"/>
  <c r="Q22" i="56"/>
  <c r="S22" i="56" s="1"/>
  <c r="V22" i="56" s="1"/>
  <c r="R24" i="56"/>
  <c r="T27" i="56"/>
  <c r="U29" i="56"/>
  <c r="U31" i="54"/>
  <c r="Q24" i="54"/>
  <c r="R27" i="54"/>
  <c r="T18" i="54"/>
  <c r="R26" i="54"/>
  <c r="U20" i="54"/>
  <c r="T19" i="54"/>
  <c r="Q25" i="54"/>
  <c r="R28" i="54"/>
  <c r="Q14" i="54"/>
  <c r="Q15" i="54"/>
  <c r="T21" i="54"/>
  <c r="R18" i="54"/>
  <c r="Q16" i="54"/>
  <c r="R31" i="54"/>
  <c r="Q29" i="54"/>
  <c r="U24" i="54"/>
  <c r="T22" i="54"/>
  <c r="R19" i="54"/>
  <c r="Q17" i="54"/>
  <c r="U12" i="54"/>
  <c r="Q30" i="54"/>
  <c r="S30" i="54" s="1"/>
  <c r="U25" i="54"/>
  <c r="T23" i="54"/>
  <c r="R20" i="54"/>
  <c r="Q18" i="54"/>
  <c r="S18" i="54" s="1"/>
  <c r="U13" i="54"/>
  <c r="Q31" i="54"/>
  <c r="S31" i="54" s="1"/>
  <c r="U26" i="54"/>
  <c r="T24" i="54"/>
  <c r="R21" i="54"/>
  <c r="Q19" i="54"/>
  <c r="S19" i="54" s="1"/>
  <c r="V19" i="54" s="1"/>
  <c r="U14" i="54"/>
  <c r="T12" i="54"/>
  <c r="T13" i="54"/>
  <c r="Q27" i="54"/>
  <c r="S27" i="54" s="1"/>
  <c r="V27" i="54" s="1"/>
  <c r="U22" i="54"/>
  <c r="R30" i="54"/>
  <c r="T25" i="54"/>
  <c r="Q20" i="54"/>
  <c r="S20" i="54" s="1"/>
  <c r="U28" i="54"/>
  <c r="T26" i="54"/>
  <c r="R23" i="54"/>
  <c r="Q21" i="54"/>
  <c r="S21" i="54" s="1"/>
  <c r="U16" i="54"/>
  <c r="T14" i="54"/>
  <c r="T30" i="54"/>
  <c r="T31" i="54"/>
  <c r="Q26" i="54"/>
  <c r="U21" i="54"/>
  <c r="R16" i="54"/>
  <c r="Q22" i="54"/>
  <c r="U17" i="54"/>
  <c r="T15" i="54"/>
  <c r="R12" i="54"/>
  <c r="R29" i="54"/>
  <c r="T20" i="54"/>
  <c r="R17" i="54"/>
  <c r="Q28" i="54"/>
  <c r="U23" i="54"/>
  <c r="U27" i="54"/>
  <c r="R22" i="54"/>
  <c r="U15" i="54"/>
  <c r="U29" i="54"/>
  <c r="T27" i="54"/>
  <c r="R24" i="54"/>
  <c r="U30" i="54"/>
  <c r="T28" i="54"/>
  <c r="R25" i="54"/>
  <c r="Q23" i="54"/>
  <c r="S23" i="54" s="1"/>
  <c r="U18" i="54"/>
  <c r="T16" i="54"/>
  <c r="R13" i="54"/>
  <c r="U19" i="54"/>
  <c r="T17" i="54"/>
  <c r="R14" i="54"/>
  <c r="Q12" i="54"/>
  <c r="T29" i="54"/>
  <c r="R15" i="54"/>
  <c r="Q13" i="54"/>
  <c r="S13" i="54" s="1"/>
  <c r="R2" i="54"/>
  <c r="U5" i="54"/>
  <c r="Q10" i="54"/>
  <c r="T2" i="54"/>
  <c r="U4" i="54"/>
  <c r="Q9" i="54"/>
  <c r="R11" i="54"/>
  <c r="U3" i="54"/>
  <c r="Q8" i="54"/>
  <c r="R10" i="54"/>
  <c r="T6" i="54"/>
  <c r="U7" i="54"/>
  <c r="T4" i="54"/>
  <c r="T3" i="54"/>
  <c r="Q7" i="54"/>
  <c r="R8" i="54"/>
  <c r="R7" i="54"/>
  <c r="Q4" i="54"/>
  <c r="R6" i="54"/>
  <c r="T9" i="54"/>
  <c r="U11" i="54"/>
  <c r="R3" i="54"/>
  <c r="Q11" i="54"/>
  <c r="S11" i="54" s="1"/>
  <c r="R9" i="54"/>
  <c r="T11" i="54"/>
  <c r="Q5" i="54"/>
  <c r="Q3" i="54"/>
  <c r="R5" i="54"/>
  <c r="T8" i="54"/>
  <c r="U10" i="54"/>
  <c r="U8" i="54"/>
  <c r="T5" i="54"/>
  <c r="U6" i="54"/>
  <c r="U2" i="54"/>
  <c r="Q6" i="54"/>
  <c r="S6" i="54" s="1"/>
  <c r="V6" i="54" s="1"/>
  <c r="T10" i="54"/>
  <c r="Q2" i="54"/>
  <c r="S2" i="54" s="1"/>
  <c r="R4" i="54"/>
  <c r="T7" i="54"/>
  <c r="U9" i="54"/>
  <c r="S44" i="60" l="1"/>
  <c r="V44" i="60" s="1"/>
  <c r="S37" i="60"/>
  <c r="V37" i="60" s="1"/>
  <c r="S33" i="60"/>
  <c r="V33" i="60" s="1"/>
  <c r="S42" i="60"/>
  <c r="V42" i="60" s="1"/>
  <c r="S45" i="60"/>
  <c r="V45" i="60" s="1"/>
  <c r="S32" i="60"/>
  <c r="V32" i="60" s="1"/>
  <c r="S35" i="60"/>
  <c r="V35" i="60" s="1"/>
  <c r="V39" i="60"/>
  <c r="S40" i="60"/>
  <c r="V40" i="60" s="1"/>
  <c r="S43" i="60"/>
  <c r="V43" i="60" s="1"/>
  <c r="S45" i="59"/>
  <c r="V45" i="59" s="1"/>
  <c r="S43" i="59"/>
  <c r="V43" i="59" s="1"/>
  <c r="V36" i="59"/>
  <c r="S39" i="59"/>
  <c r="V39" i="59" s="1"/>
  <c r="S46" i="59"/>
  <c r="V46" i="59" s="1"/>
  <c r="S34" i="59"/>
  <c r="V34" i="59" s="1"/>
  <c r="S40" i="59"/>
  <c r="V40" i="59" s="1"/>
  <c r="S35" i="59"/>
  <c r="V35" i="59" s="1"/>
  <c r="S44" i="59"/>
  <c r="V44" i="59" s="1"/>
  <c r="V59" i="58"/>
  <c r="V49" i="58"/>
  <c r="V48" i="58"/>
  <c r="V40" i="58"/>
  <c r="S51" i="58"/>
  <c r="V51" i="58" s="1"/>
  <c r="V47" i="58"/>
  <c r="V38" i="58"/>
  <c r="S39" i="58"/>
  <c r="V39" i="58" s="1"/>
  <c r="V34" i="58"/>
  <c r="S42" i="58"/>
  <c r="V42" i="58" s="1"/>
  <c r="S36" i="58"/>
  <c r="V36" i="58" s="1"/>
  <c r="V50" i="58"/>
  <c r="S32" i="58"/>
  <c r="V32" i="58" s="1"/>
  <c r="S46" i="58"/>
  <c r="V46" i="58" s="1"/>
  <c r="S45" i="58"/>
  <c r="V45" i="58" s="1"/>
  <c r="S52" i="58"/>
  <c r="V52" i="58" s="1"/>
  <c r="V33" i="58"/>
  <c r="S53" i="58"/>
  <c r="V53" i="58" s="1"/>
  <c r="S44" i="58"/>
  <c r="V44" i="58" s="1"/>
  <c r="S41" i="58"/>
  <c r="V41" i="58" s="1"/>
  <c r="S37" i="58"/>
  <c r="V37" i="58" s="1"/>
  <c r="S35" i="58"/>
  <c r="V35" i="58" s="1"/>
  <c r="S34" i="57"/>
  <c r="V34" i="57" s="1"/>
  <c r="S35" i="57"/>
  <c r="V35" i="57" s="1"/>
  <c r="V32" i="57"/>
  <c r="V36" i="57"/>
  <c r="S4" i="61"/>
  <c r="V4" i="61" s="1"/>
  <c r="V18" i="61"/>
  <c r="S2" i="61"/>
  <c r="V2" i="61" s="1"/>
  <c r="V10" i="61"/>
  <c r="S21" i="61"/>
  <c r="V21" i="61" s="1"/>
  <c r="V9" i="61"/>
  <c r="S6" i="61"/>
  <c r="V6" i="61" s="1"/>
  <c r="S23" i="61"/>
  <c r="V23" i="61" s="1"/>
  <c r="S15" i="61"/>
  <c r="V15" i="61" s="1"/>
  <c r="S20" i="61"/>
  <c r="V20" i="61" s="1"/>
  <c r="S14" i="61"/>
  <c r="V14" i="61" s="1"/>
  <c r="S11" i="61"/>
  <c r="V11" i="61" s="1"/>
  <c r="S12" i="61"/>
  <c r="V12" i="61" s="1"/>
  <c r="S5" i="61"/>
  <c r="V5" i="61" s="1"/>
  <c r="S7" i="61"/>
  <c r="V7" i="61" s="1"/>
  <c r="S24" i="60"/>
  <c r="V24" i="60" s="1"/>
  <c r="V19" i="60"/>
  <c r="S13" i="60"/>
  <c r="V13" i="60" s="1"/>
  <c r="V20" i="60"/>
  <c r="V21" i="60"/>
  <c r="S15" i="60"/>
  <c r="V15" i="60" s="1"/>
  <c r="S4" i="60"/>
  <c r="V4" i="60" s="1"/>
  <c r="S11" i="60"/>
  <c r="V11" i="60" s="1"/>
  <c r="V8" i="60"/>
  <c r="S25" i="60"/>
  <c r="V25" i="60" s="1"/>
  <c r="S14" i="60"/>
  <c r="V14" i="60" s="1"/>
  <c r="S18" i="60"/>
  <c r="V18" i="60" s="1"/>
  <c r="S9" i="60"/>
  <c r="V9" i="60" s="1"/>
  <c r="V29" i="60"/>
  <c r="S17" i="60"/>
  <c r="V17" i="60" s="1"/>
  <c r="S10" i="60"/>
  <c r="V10" i="60" s="1"/>
  <c r="S31" i="60"/>
  <c r="V31" i="60" s="1"/>
  <c r="S12" i="60"/>
  <c r="V12" i="60" s="1"/>
  <c r="S28" i="60"/>
  <c r="V28" i="60" s="1"/>
  <c r="S5" i="60"/>
  <c r="V5" i="60" s="1"/>
  <c r="S6" i="60"/>
  <c r="V6" i="60" s="1"/>
  <c r="V7" i="59"/>
  <c r="V29" i="59"/>
  <c r="S10" i="59"/>
  <c r="V10" i="59" s="1"/>
  <c r="V28" i="59"/>
  <c r="S30" i="59"/>
  <c r="V30" i="59" s="1"/>
  <c r="S21" i="59"/>
  <c r="V21" i="59" s="1"/>
  <c r="S11" i="59"/>
  <c r="V11" i="59" s="1"/>
  <c r="S14" i="59"/>
  <c r="V14" i="59" s="1"/>
  <c r="S26" i="59"/>
  <c r="V26" i="59" s="1"/>
  <c r="S9" i="59"/>
  <c r="V9" i="59" s="1"/>
  <c r="S22" i="59"/>
  <c r="V22" i="59" s="1"/>
  <c r="V20" i="59"/>
  <c r="V8" i="59"/>
  <c r="S25" i="59"/>
  <c r="V25" i="59" s="1"/>
  <c r="S24" i="59"/>
  <c r="V24" i="59" s="1"/>
  <c r="V5" i="59"/>
  <c r="S31" i="59"/>
  <c r="V31" i="59" s="1"/>
  <c r="S15" i="59"/>
  <c r="V15" i="59" s="1"/>
  <c r="S17" i="59"/>
  <c r="V17" i="59" s="1"/>
  <c r="V18" i="59"/>
  <c r="S19" i="59"/>
  <c r="V19" i="59" s="1"/>
  <c r="S27" i="58"/>
  <c r="V27" i="58" s="1"/>
  <c r="S23" i="58"/>
  <c r="V23" i="58" s="1"/>
  <c r="S24" i="58"/>
  <c r="V24" i="58" s="1"/>
  <c r="S29" i="58"/>
  <c r="V29" i="58" s="1"/>
  <c r="S7" i="58"/>
  <c r="V7" i="58" s="1"/>
  <c r="S2" i="58"/>
  <c r="V2" i="58" s="1"/>
  <c r="S11" i="58"/>
  <c r="V11" i="58" s="1"/>
  <c r="S12" i="58"/>
  <c r="V12" i="58" s="1"/>
  <c r="S17" i="58"/>
  <c r="V17" i="58" s="1"/>
  <c r="S31" i="58"/>
  <c r="V31" i="58" s="1"/>
  <c r="S30" i="58"/>
  <c r="V30" i="58" s="1"/>
  <c r="V26" i="58"/>
  <c r="S4" i="58"/>
  <c r="V4" i="58" s="1"/>
  <c r="S14" i="58"/>
  <c r="V14" i="58" s="1"/>
  <c r="S6" i="58"/>
  <c r="V6" i="58" s="1"/>
  <c r="V8" i="58"/>
  <c r="S3" i="58"/>
  <c r="V3" i="58" s="1"/>
  <c r="V9" i="58"/>
  <c r="S18" i="58"/>
  <c r="V18" i="58" s="1"/>
  <c r="S21" i="58"/>
  <c r="V21" i="58" s="1"/>
  <c r="S9" i="57"/>
  <c r="V9" i="57" s="1"/>
  <c r="S27" i="57"/>
  <c r="V27" i="57" s="1"/>
  <c r="S15" i="57"/>
  <c r="V15" i="57" s="1"/>
  <c r="V20" i="57"/>
  <c r="S12" i="57"/>
  <c r="V12" i="57" s="1"/>
  <c r="S23" i="57"/>
  <c r="V23" i="57" s="1"/>
  <c r="S8" i="57"/>
  <c r="V8" i="57" s="1"/>
  <c r="S28" i="57"/>
  <c r="V28" i="57" s="1"/>
  <c r="V11" i="57"/>
  <c r="S4" i="57"/>
  <c r="V4" i="57" s="1"/>
  <c r="S5" i="57"/>
  <c r="V5" i="57" s="1"/>
  <c r="S21" i="57"/>
  <c r="V21" i="57" s="1"/>
  <c r="S2" i="57"/>
  <c r="V2" i="57" s="1"/>
  <c r="S24" i="57"/>
  <c r="V24" i="57" s="1"/>
  <c r="S7" i="57"/>
  <c r="V7" i="57" s="1"/>
  <c r="S16" i="57"/>
  <c r="V16" i="57" s="1"/>
  <c r="S29" i="57"/>
  <c r="V29" i="57" s="1"/>
  <c r="S10" i="57"/>
  <c r="V10" i="57" s="1"/>
  <c r="S30" i="57"/>
  <c r="V30" i="57" s="1"/>
  <c r="S13" i="57"/>
  <c r="V13" i="57" s="1"/>
  <c r="S6" i="57"/>
  <c r="V6" i="57" s="1"/>
  <c r="V2" i="56"/>
  <c r="V27" i="56"/>
  <c r="V16" i="56"/>
  <c r="V7" i="56"/>
  <c r="S11" i="56"/>
  <c r="V11" i="56" s="1"/>
  <c r="V13" i="56"/>
  <c r="S28" i="56"/>
  <c r="V28" i="56" s="1"/>
  <c r="V20" i="56"/>
  <c r="S24" i="56"/>
  <c r="V24" i="56" s="1"/>
  <c r="S15" i="56"/>
  <c r="V15" i="56" s="1"/>
  <c r="V5" i="56"/>
  <c r="S23" i="56"/>
  <c r="V23" i="56" s="1"/>
  <c r="S29" i="56"/>
  <c r="V29" i="56" s="1"/>
  <c r="S19" i="56"/>
  <c r="V19" i="56" s="1"/>
  <c r="S10" i="56"/>
  <c r="V10" i="56" s="1"/>
  <c r="S12" i="56"/>
  <c r="V12" i="56" s="1"/>
  <c r="S8" i="56"/>
  <c r="V8" i="56" s="1"/>
  <c r="V14" i="56"/>
  <c r="S3" i="56"/>
  <c r="V3" i="56" s="1"/>
  <c r="S4" i="56"/>
  <c r="V4" i="56" s="1"/>
  <c r="S25" i="56"/>
  <c r="V25" i="56" s="1"/>
  <c r="S28" i="54"/>
  <c r="S15" i="54"/>
  <c r="V15" i="54" s="1"/>
  <c r="V11" i="54"/>
  <c r="S22" i="54"/>
  <c r="V28" i="54"/>
  <c r="S14" i="54"/>
  <c r="V14" i="54" s="1"/>
  <c r="S8" i="54"/>
  <c r="V8" i="54" s="1"/>
  <c r="S4" i="54"/>
  <c r="V4" i="54" s="1"/>
  <c r="S25" i="54"/>
  <c r="V25" i="54" s="1"/>
  <c r="V22" i="54"/>
  <c r="V31" i="54"/>
  <c r="S29" i="54"/>
  <c r="V29" i="54" s="1"/>
  <c r="S16" i="54"/>
  <c r="V16" i="54" s="1"/>
  <c r="S24" i="54"/>
  <c r="V24" i="54" s="1"/>
  <c r="V23" i="54"/>
  <c r="V30" i="54"/>
  <c r="V13" i="54"/>
  <c r="V21" i="54"/>
  <c r="S17" i="54"/>
  <c r="V17" i="54" s="1"/>
  <c r="S12" i="54"/>
  <c r="V12" i="54" s="1"/>
  <c r="V20" i="54"/>
  <c r="V18" i="54"/>
  <c r="S26" i="54"/>
  <c r="V26" i="54" s="1"/>
  <c r="S3" i="54"/>
  <c r="V3" i="54" s="1"/>
  <c r="S7" i="54"/>
  <c r="V7" i="54" s="1"/>
  <c r="S10" i="54"/>
  <c r="V10" i="54" s="1"/>
  <c r="S9" i="54"/>
  <c r="V9" i="54" s="1"/>
  <c r="S5" i="54"/>
  <c r="V5" i="54" s="1"/>
  <c r="V2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B78EA54C-E701-0743-840F-E5EAD8E09A9D}" keepAlive="1" name="Query - sheet1 (22)" description="Connection to the 'sheet1 (22)' query in the workbook." type="5" refreshedVersion="8" background="1" saveData="1">
    <dbPr connection="Provider=Microsoft.Mashup.OleDb.1;Data Source=$Workbook$;Location=&quot;sheet1 (22)&quot;;Extended Properties=&quot;&quot;" command="SELECT * FROM [sheet1 (22)]"/>
  </connection>
  <connection id="16" xr16:uid="{932FF392-9AF2-D54F-9595-71E867FCDA7E}" keepAlive="1" name="Query - sheet1 (23)" description="Connection to the 'sheet1 (23)' query in the workbook." type="5" refreshedVersion="0" background="1">
    <dbPr connection="Provider=Microsoft.Mashup.OleDb.1;Data Source=$Workbook$;Location=&quot;sheet1 (23)&quot;;Extended Properties=&quot;&quot;" command="SELECT * FROM [sheet1 (23)]"/>
  </connection>
  <connection id="17" xr16:uid="{409B9E33-144B-C042-A2BE-6F9B2DEE639F}" keepAlive="1" name="Query - sheet1 (24)" description="Connection to the 'sheet1 (24)' query in the workbook." type="5" refreshedVersion="0" background="1">
    <dbPr connection="Provider=Microsoft.Mashup.OleDb.1;Data Source=$Workbook$;Location=&quot;sheet1 (24)&quot;;Extended Properties=&quot;&quot;" command="SELECT * FROM [sheet1 (24)]"/>
  </connection>
  <connection id="18" xr16:uid="{71B861DB-E4E4-AC45-9884-82000470789D}" keepAlive="1" name="Query - sheet1 (25)" description="Connection to the 'sheet1 (25)' query in the workbook." type="5" refreshedVersion="0" background="1">
    <dbPr connection="Provider=Microsoft.Mashup.OleDb.1;Data Source=$Workbook$;Location=&quot;sheet1 (25)&quot;;Extended Properties=&quot;&quot;" command="SELECT * FROM [sheet1 (25)]"/>
  </connection>
  <connection id="19" xr16:uid="{0259432B-1DD1-6F48-97E7-FF78E3177706}" keepAlive="1" name="Query - sheet1 (26)" description="Connection to the 'sheet1 (26)' query in the workbook." type="5" refreshedVersion="0" background="1">
    <dbPr connection="Provider=Microsoft.Mashup.OleDb.1;Data Source=$Workbook$;Location=&quot;sheet1 (26)&quot;;Extended Properties=&quot;&quot;" command="SELECT * FROM [sheet1 (26)]"/>
  </connection>
  <connection id="20" xr16:uid="{54BAFF37-2D34-BF4D-A403-C0D8593DF8A0}" keepAlive="1" name="Query - sheet1 (27)" description="Connection to the 'sheet1 (27)' query in the workbook." type="5" refreshedVersion="0" background="1">
    <dbPr connection="Provider=Microsoft.Mashup.OleDb.1;Data Source=$Workbook$;Location=&quot;sheet1 (27)&quot;;Extended Properties=&quot;&quot;" command="SELECT * FROM [sheet1 (27)]"/>
  </connection>
  <connection id="21" xr16:uid="{A5A5D3DE-FE19-B64B-AA47-ADBAD51C6D90}" keepAlive="1" name="Query - sheet1 (28)" description="Connection to the 'sheet1 (28)' query in the workbook." type="5" refreshedVersion="0" background="1">
    <dbPr connection="Provider=Microsoft.Mashup.OleDb.1;Data Source=$Workbook$;Location=&quot;sheet1 (28)&quot;;Extended Properties=&quot;&quot;" command="SELECT * FROM [sheet1 (28)]"/>
  </connection>
  <connection id="22" xr16:uid="{F672478A-D60F-5E4C-976B-615A98671E11}" keepAlive="1" name="Query - sheet1 (29)" description="Connection to the 'sheet1 (29)' query in the workbook." type="5" refreshedVersion="0" background="1">
    <dbPr connection="Provider=Microsoft.Mashup.OleDb.1;Data Source=$Workbook$;Location=&quot;sheet1 (29)&quot;;Extended Properties=&quot;&quot;" command="SELECT * FROM [sheet1 (29)]"/>
  </connection>
  <connection id="2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4" xr16:uid="{DE2D7258-D7AA-6049-8805-DFA7E9373502}" keepAlive="1" name="Query - sheet1 (30)" description="Connection to the 'sheet1 (30)' query in the workbook." type="5" refreshedVersion="0" background="1" saveData="1">
    <dbPr connection="Provider=Microsoft.Mashup.OleDb.1;Data Source=$Workbook$;Location=&quot;sheet1 (30)&quot;;Extended Properties=&quot;&quot;" command="SELECT * FROM [sheet1 (30)]"/>
  </connection>
  <connection id="25" xr16:uid="{95705D8B-C761-684C-8E59-E29871A58BCF}" keepAlive="1" name="Query - sheet1 (31)" description="Connection to the 'sheet1 (31)' query in the workbook." type="5" refreshedVersion="8" background="1" saveData="1">
    <dbPr connection="Provider=Microsoft.Mashup.OleDb.1;Data Source=$Workbook$;Location=&quot;sheet1 (31)&quot;;Extended Properties=&quot;&quot;" command="SELECT * FROM [sheet1 (31)]"/>
  </connection>
  <connection id="26" xr16:uid="{67D38F59-9847-8241-804A-D253402DE1E8}" keepAlive="1" name="Query - sheet1 (32)" description="Connection to the 'sheet1 (32)' query in the workbook." type="5" refreshedVersion="8" background="1" saveData="1">
    <dbPr connection="Provider=Microsoft.Mashup.OleDb.1;Data Source=$Workbook$;Location=&quot;sheet1 (32)&quot;;Extended Properties=&quot;&quot;" command="SELECT * FROM [sheet1 (32)]"/>
  </connection>
  <connection id="27" xr16:uid="{3668AFA0-DE6A-DC4F-86E3-42AEDAF56C90}" keepAlive="1" name="Query - sheet1 (33)" description="Connection to the 'sheet1 (33)' query in the workbook." type="5" refreshedVersion="8" background="1" saveData="1">
    <dbPr connection="Provider=Microsoft.Mashup.OleDb.1;Data Source=$Workbook$;Location=&quot;sheet1 (33)&quot;;Extended Properties=&quot;&quot;" command="SELECT * FROM [sheet1 (33)]"/>
  </connection>
  <connection id="28" xr16:uid="{90C4A09B-285E-0A4E-9EA7-72F8E959EDEB}" keepAlive="1" name="Query - sheet1 (34)" description="Connection to the 'sheet1 (34)' query in the workbook." type="5" refreshedVersion="8" background="1" saveData="1">
    <dbPr connection="Provider=Microsoft.Mashup.OleDb.1;Data Source=$Workbook$;Location=&quot;sheet1 (34)&quot;;Extended Properties=&quot;&quot;" command="SELECT * FROM [sheet1 (34)]"/>
  </connection>
  <connection id="29" xr16:uid="{7BE00E1C-6290-F64F-9495-7C8A2C535096}" keepAlive="1" name="Query - sheet1 (35)" description="Connection to the 'sheet1 (35)' query in the workbook." type="5" refreshedVersion="8" background="1" saveData="1">
    <dbPr connection="Provider=Microsoft.Mashup.OleDb.1;Data Source=$Workbook$;Location=&quot;sheet1 (35)&quot;;Extended Properties=&quot;&quot;" command="SELECT * FROM [sheet1 (35)]"/>
  </connection>
  <connection id="30" xr16:uid="{14D6D479-9552-134D-9C08-7D39011448EC}" keepAlive="1" name="Query - sheet1 (36)" description="Connection to the 'sheet1 (36)' query in the workbook." type="5" refreshedVersion="8" background="1" saveData="1">
    <dbPr connection="Provider=Microsoft.Mashup.OleDb.1;Data Source=$Workbook$;Location=&quot;sheet1 (36)&quot;;Extended Properties=&quot;&quot;" command="SELECT * FROM [sheet1 (36)]"/>
  </connection>
  <connection id="31" xr16:uid="{852325EA-892B-794D-91CD-4C0C34924D3E}" keepAlive="1" name="Query - sheet1 (37)" description="Connection to the 'sheet1 (37)' query in the workbook." type="5" refreshedVersion="8" background="1" saveData="1">
    <dbPr connection="Provider=Microsoft.Mashup.OleDb.1;Data Source=$Workbook$;Location=&quot;sheet1 (37)&quot;;Extended Properties=&quot;&quot;" command="SELECT * FROM [sheet1 (37)]"/>
  </connection>
  <connection id="32" xr16:uid="{E1864AE0-F360-1F4F-8B7C-A594D12D1E4A}" keepAlive="1" name="Query - sheet1 (38)" description="Connection to the 'sheet1 (38)' query in the workbook." type="5" refreshedVersion="0" background="1">
    <dbPr connection="Provider=Microsoft.Mashup.OleDb.1;Data Source=$Workbook$;Location=&quot;sheet1 (38)&quot;;Extended Properties=&quot;&quot;" command="SELECT * FROM [sheet1 (38)]"/>
  </connection>
  <connection id="33" xr16:uid="{2FACD28D-5858-B44B-B3C2-D8C7D5C7DE96}" keepAlive="1" name="Query - sheet1 (39)" description="Connection to the 'sheet1 (39)' query in the workbook." type="5" refreshedVersion="0" background="1">
    <dbPr connection="Provider=Microsoft.Mashup.OleDb.1;Data Source=$Workbook$;Location=&quot;sheet1 (39)&quot;;Extended Properties=&quot;&quot;" command="SELECT * FROM [sheet1 (39)]"/>
  </connection>
  <connection id="34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35" xr16:uid="{58513FF6-F321-014C-9106-818B6F39C8D3}" keepAlive="1" name="Query - sheet1 (40)" description="Connection to the 'sheet1 (40)' query in the workbook." type="5" refreshedVersion="8" background="1" saveData="1">
    <dbPr connection="Provider=Microsoft.Mashup.OleDb.1;Data Source=$Workbook$;Location=&quot;sheet1 (40)&quot;;Extended Properties=&quot;&quot;" command="SELECT * FROM [sheet1 (40)]"/>
  </connection>
  <connection id="36" xr16:uid="{E0B6349D-B059-8D40-B6B0-65CC411FB84D}" keepAlive="1" name="Query - sheet1 (41)" description="Connection to the 'sheet1 (41)' query in the workbook." type="5" refreshedVersion="8" background="1" saveData="1">
    <dbPr connection="Provider=Microsoft.Mashup.OleDb.1;Data Source=$Workbook$;Location=&quot;sheet1 (41)&quot;;Extended Properties=&quot;&quot;" command="SELECT * FROM [sheet1 (41)]"/>
  </connection>
  <connection id="37" xr16:uid="{EAF403E5-E4F9-4240-BB31-D3057994AC3A}" keepAlive="1" name="Query - sheet1 (42)" description="Connection to the 'sheet1 (42)' query in the workbook." type="5" refreshedVersion="8" background="1" saveData="1">
    <dbPr connection="Provider=Microsoft.Mashup.OleDb.1;Data Source=$Workbook$;Location=&quot;sheet1 (42)&quot;;Extended Properties=&quot;&quot;" command="SELECT * FROM [sheet1 (42)]"/>
  </connection>
  <connection id="38" xr16:uid="{54C36D61-EF5B-F844-889A-139CC45B3B46}" keepAlive="1" name="Query - sheet1 (43)" description="Connection to the 'sheet1 (43)' query in the workbook." type="5" refreshedVersion="8" background="1" saveData="1">
    <dbPr connection="Provider=Microsoft.Mashup.OleDb.1;Data Source=$Workbook$;Location=&quot;sheet1 (43)&quot;;Extended Properties=&quot;&quot;" command="SELECT * FROM [sheet1 (43)]"/>
  </connection>
  <connection id="39" xr16:uid="{2D8AAA54-26C8-4B40-96E7-1C273E0243DB}" keepAlive="1" name="Query - sheet1 (44)" description="Connection to the 'sheet1 (44)' query in the workbook." type="5" refreshedVersion="8" background="1" saveData="1">
    <dbPr connection="Provider=Microsoft.Mashup.OleDb.1;Data Source=$Workbook$;Location=&quot;sheet1 (44)&quot;;Extended Properties=&quot;&quot;" command="SELECT * FROM [sheet1 (44)]"/>
  </connection>
  <connection id="40" xr16:uid="{A89F618D-657C-254A-9AA7-E8558968C546}" keepAlive="1" name="Query - sheet1 (45)" description="Connection to the 'sheet1 (45)' query in the workbook." type="5" refreshedVersion="8" background="1" saveData="1">
    <dbPr connection="Provider=Microsoft.Mashup.OleDb.1;Data Source=$Workbook$;Location=&quot;sheet1 (45)&quot;;Extended Properties=&quot;&quot;" command="SELECT * FROM [sheet1 (45)]"/>
  </connection>
  <connection id="41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42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43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44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45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<sst xmlns="http://schemas.openxmlformats.org/spreadsheetml/2006/main" count="164" uniqueCount="26">
  <si>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</si>
  <si>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</si>
  <si>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</si>
  <si>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</si>
  <si>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</si>
  <si>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</si>
  <si>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</si>
  <si>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</si>
  <si>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</si>
  <si>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</si>
  <si>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</si>
  <si>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</si>
  <si>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</si>
  <si>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</si>
  <si>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</si>
  <si>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</si>
  <si>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</si>
  <si>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</si>
  <si>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</si>
  <si>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</si>
  <si>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</si>
  <si>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</si>
  <si>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</si>
  <si>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</si>
  <si>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</si>
  <si>
    <t>44606.6021103955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</si>
</sst>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B623DB98-670C-7540-ADE8-21336F11C41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75D85EC2-7A78-4A41-8F75-6F775A1F0FB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7CC56237-3A40-3C4B-87E0-7618B04067E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FBFEB70E-DDF5-7148-A97E-148A4CBA24A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54DA374E-BA80-634F-8839-ECBFC3B064D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9" xr16:uid="{D5BD325E-A4B6-BB46-8E5D-8889E94D169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0" xr16:uid="{C31B720F-7367-5047-921B-08702CB68F2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AB5189-8308-184F-8520-763E4F637D9D}" name="sheet1__37" displayName="sheet1__37" ref="A1:O31" tableType="queryTable" totalsRowShown="0">
  <autoFilter ref="A1:O31" xr:uid="{37AB5189-8308-184F-8520-763E4F637D9D}"/>
  <tableColumns count="15">
    <tableColumn id="1" xr3:uid="{E24E39E8-0AFC-5E44-AD13-EFD43FDE5443}" uniqueName="1" name="Time" queryTableFieldId="1"/>
    <tableColumn id="2" xr3:uid="{245FDA7F-44CC-5E4D-815C-87623FA9AA18}" uniqueName="2" name="T1" queryTableFieldId="2"/>
    <tableColumn id="3" xr3:uid="{FDBC5F30-34FC-2645-A191-961CF2544A42}" uniqueName="3" name="T2" queryTableFieldId="3"/>
    <tableColumn id="4" xr3:uid="{468D3AEB-DBC5-654B-ACDE-164E70D08200}" uniqueName="4" name="T3" queryTableFieldId="4"/>
    <tableColumn id="5" xr3:uid="{99F85FD4-5108-0743-AA5F-E51B1CA034E1}" uniqueName="5" name="T4" queryTableFieldId="5"/>
    <tableColumn id="6" xr3:uid="{EB0F04C2-D02C-1B43-90EC-9EFF1084B345}" uniqueName="6" name="T5" queryTableFieldId="6"/>
    <tableColumn id="7" xr3:uid="{30C43858-ABCC-AA49-B70E-E89C6FB071E3}" uniqueName="7" name="T6" queryTableFieldId="7"/>
    <tableColumn id="8" xr3:uid="{C21A35DD-B64C-A247-B2F9-606FAF9AD7D0}" uniqueName="8" name="T7" queryTableFieldId="8"/>
    <tableColumn id="9" xr3:uid="{49D9F9E8-5DCD-1444-AF62-377024976773}" uniqueName="9" name="T8" queryTableFieldId="9"/>
    <tableColumn id="10" xr3:uid="{1DBB9BAA-DEF7-6C47-ADE0-23140C27A2FD}" uniqueName="10" name="RTD_IN" queryTableFieldId="10"/>
    <tableColumn id="11" xr3:uid="{E728FF9D-34B8-7A4D-B70B-2474C3F06FC7}" uniqueName="11" name="RTD_OUT" queryTableFieldId="11"/>
    <tableColumn id="12" xr3:uid="{7BC3AF87-9439-7647-8926-03971DBC9140}" uniqueName="12" name="DPT_TS" queryTableFieldId="12"/>
    <tableColumn id="13" xr3:uid="{2EE033B8-AB92-D045-B017-9E269DDB03A2}" uniqueName="13" name="DPT_nozzle" queryTableFieldId="13"/>
    <tableColumn id="14" xr3:uid="{6C48FEBF-6B87-F246-AE4F-AD9A420A289F}" uniqueName="14" name="Flow_gps" queryTableFieldId="14"/>
    <tableColumn id="15" xr3:uid="{73CB65EB-CCAE-7A4A-B82A-10B2A91757DA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6AAF0-AD6E-3F4E-AE19-DDC031CBCA79}" name="sheet1__40" displayName="sheet1__40" ref="A1:O29" tableType="queryTable" totalsRowShown="0">
  <autoFilter ref="A1:O29" xr:uid="{A426AAF0-AD6E-3F4E-AE19-DDC031CBCA79}"/>
  <tableColumns count="15">
    <tableColumn id="1" xr3:uid="{A6500D94-C871-5A42-9344-447D271789D8}" uniqueName="1" name="Time" queryTableFieldId="1"/>
    <tableColumn id="2" xr3:uid="{98BF527B-D552-1549-8B4E-5C266CC8CE45}" uniqueName="2" name="T1" queryTableFieldId="2"/>
    <tableColumn id="3" xr3:uid="{62FCE5DF-778C-5A46-BDA8-3425053913A1}" uniqueName="3" name="T2" queryTableFieldId="3"/>
    <tableColumn id="4" xr3:uid="{0B1703DF-1DFF-1740-8108-DDD31C2F05BF}" uniqueName="4" name="T3" queryTableFieldId="4"/>
    <tableColumn id="5" xr3:uid="{3533633F-5777-8944-8FE8-960B45FC6693}" uniqueName="5" name="T4" queryTableFieldId="5"/>
    <tableColumn id="6" xr3:uid="{7BD3ADAC-6D1C-2E4A-B1AF-7D8DEB82295E}" uniqueName="6" name="T5" queryTableFieldId="6"/>
    <tableColumn id="7" xr3:uid="{C0ACF095-A01B-A646-A27A-38BF6E9EF815}" uniqueName="7" name="T6" queryTableFieldId="7"/>
    <tableColumn id="8" xr3:uid="{2C289450-334B-3D44-87EC-C72B3CA71096}" uniqueName="8" name="T7" queryTableFieldId="8"/>
    <tableColumn id="9" xr3:uid="{6A9B9DFB-0708-8A42-BCF5-A608F3F445E2}" uniqueName="9" name="T8" queryTableFieldId="9"/>
    <tableColumn id="10" xr3:uid="{FE4E668B-EB8E-C443-838F-425B6BE174B1}" uniqueName="10" name="RTD_IN" queryTableFieldId="10"/>
    <tableColumn id="11" xr3:uid="{EF0403D0-006B-7F44-9BE0-8FB5A2168505}" uniqueName="11" name="RTD_OUT" queryTableFieldId="11"/>
    <tableColumn id="12" xr3:uid="{B2502DEF-7F05-1A4A-8095-EF913B83D62E}" uniqueName="12" name="DPT_TS" queryTableFieldId="12"/>
    <tableColumn id="13" xr3:uid="{C8554072-3C35-3544-B760-9784E6A47141}" uniqueName="13" name="DPT_nozzle" queryTableFieldId="13"/>
    <tableColumn id="14" xr3:uid="{DC15BFDA-D234-A749-AACB-A41CB73F5F2E}" uniqueName="14" name="Flow_gps" queryTableFieldId="14"/>
    <tableColumn id="15" xr3:uid="{7D331E44-5CCA-CA44-8DF4-13355694EEF7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C2479-0ADC-9147-A696-58D33827AEFB}" name="sheet1__41" displayName="sheet1__41" ref="A1:O36" tableType="queryTable" totalsRowShown="0">
  <autoFilter ref="A1:O36" xr:uid="{F7FC2479-0ADC-9147-A696-58D33827AEFB}"/>
  <tableColumns count="15">
    <tableColumn id="1" xr3:uid="{6639F0F7-487C-1541-BD45-E746B4F88F3E}" uniqueName="1" name="Time" queryTableFieldId="1"/>
    <tableColumn id="2" xr3:uid="{DDE6C553-0CF1-5742-80A3-1CE84BA8BAC9}" uniqueName="2" name="T1" queryTableFieldId="2"/>
    <tableColumn id="3" xr3:uid="{D83E7E7C-4E2B-2D43-B12D-25E2CEDD07AB}" uniqueName="3" name="T2" queryTableFieldId="3"/>
    <tableColumn id="4" xr3:uid="{1B83A08F-0159-C548-8FFB-6E0DBBF5BA10}" uniqueName="4" name="T3" queryTableFieldId="4"/>
    <tableColumn id="5" xr3:uid="{2A519486-0C80-7246-A68A-300ADD9413A4}" uniqueName="5" name="T4" queryTableFieldId="5"/>
    <tableColumn id="6" xr3:uid="{2A08063A-9C0B-D145-A563-293D0BD9C33B}" uniqueName="6" name="T5" queryTableFieldId="6"/>
    <tableColumn id="7" xr3:uid="{5CD46F46-8BB0-0045-BD64-92C44B199093}" uniqueName="7" name="T6" queryTableFieldId="7"/>
    <tableColumn id="8" xr3:uid="{71F3CD3F-191C-4F4C-B0DF-53F799714A8A}" uniqueName="8" name="T7" queryTableFieldId="8"/>
    <tableColumn id="9" xr3:uid="{027F162F-0755-5F4D-97BA-08D3DEBC515A}" uniqueName="9" name="T8" queryTableFieldId="9"/>
    <tableColumn id="10" xr3:uid="{3F1ECB7F-B299-6B4D-9572-19A02DA5CBF0}" uniqueName="10" name="RTD_IN" queryTableFieldId="10"/>
    <tableColumn id="11" xr3:uid="{C3A370EB-B9E3-904E-BA09-6C5E1291B668}" uniqueName="11" name="RTD_OUT" queryTableFieldId="11"/>
    <tableColumn id="12" xr3:uid="{F3960E63-EF5B-6A4A-BCC5-D4C8D4729539}" uniqueName="12" name="DPT_TS" queryTableFieldId="12"/>
    <tableColumn id="13" xr3:uid="{474C2850-D188-FC4C-97BF-39A1632E4BFA}" uniqueName="13" name="DPT_nozzle" queryTableFieldId="13"/>
    <tableColumn id="14" xr3:uid="{913443E6-E500-CC45-B2CB-3D6FEED076C0}" uniqueName="14" name="Flow_gps" queryTableFieldId="14"/>
    <tableColumn id="15" xr3:uid="{2594562E-8857-DB4E-AE9F-409DDB323877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4C3E33-7D17-ED4E-A994-FF5DEFAB23E9}" name="sheet1__42" displayName="sheet1__42" ref="A1:O61" tableType="queryTable" totalsRowShown="0">
  <autoFilter ref="A1:O61" xr:uid="{A54C3E33-7D17-ED4E-A994-FF5DEFAB23E9}"/>
  <tableColumns count="15">
    <tableColumn id="1" xr3:uid="{FBE31B49-E80E-3C48-8A1B-074B20737E96}" uniqueName="1" name="Time" queryTableFieldId="1"/>
    <tableColumn id="2" xr3:uid="{7A8F8099-79E0-A14B-B3D3-5DC1109161CD}" uniqueName="2" name="T1" queryTableFieldId="2"/>
    <tableColumn id="3" xr3:uid="{1D9BA79E-09F2-154C-B7BA-462E2197D01D}" uniqueName="3" name="T2" queryTableFieldId="3"/>
    <tableColumn id="4" xr3:uid="{F7F4D760-6819-9D45-A065-059B6EF342C9}" uniqueName="4" name="T3" queryTableFieldId="4"/>
    <tableColumn id="5" xr3:uid="{D85C7A0A-40B1-4844-8FD1-784B84D80FCA}" uniqueName="5" name="T4" queryTableFieldId="5"/>
    <tableColumn id="6" xr3:uid="{CE8E7760-A54E-DC4D-8A9A-4FDA14BCD0D2}" uniqueName="6" name="T5" queryTableFieldId="6"/>
    <tableColumn id="7" xr3:uid="{D011B875-413B-8E47-B66F-928E6E5C0A99}" uniqueName="7" name="T6" queryTableFieldId="7"/>
    <tableColumn id="8" xr3:uid="{ED070391-C7AD-1843-B483-2E544388F48B}" uniqueName="8" name="T7" queryTableFieldId="8"/>
    <tableColumn id="9" xr3:uid="{4279899D-03E9-054B-BC7F-8153B42FF8AD}" uniqueName="9" name="T8" queryTableFieldId="9"/>
    <tableColumn id="10" xr3:uid="{94DCE558-3C2C-564E-B831-ACBCB84C4A98}" uniqueName="10" name="RTD_IN" queryTableFieldId="10"/>
    <tableColumn id="11" xr3:uid="{2E20B65E-6825-F146-9ACA-80F4B958AC51}" uniqueName="11" name="RTD_OUT" queryTableFieldId="11"/>
    <tableColumn id="12" xr3:uid="{3469149C-C60D-6A48-BB93-CC13861B1748}" uniqueName="12" name="DPT_TS" queryTableFieldId="12"/>
    <tableColumn id="13" xr3:uid="{DD6F371D-8FE2-B84E-A805-E3F22B99895B}" uniqueName="13" name="DPT_nozzle" queryTableFieldId="13"/>
    <tableColumn id="14" xr3:uid="{085FA67E-5C3D-8047-9BC1-C921FAE1ABAC}" uniqueName="14" name="Flow_gps" queryTableFieldId="14"/>
    <tableColumn id="15" xr3:uid="{BF393CE5-A062-6543-ACA6-6C53DA1DD2D1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64D1FE-9F10-3441-B759-464F96CAE8C6}" name="sheet1__43" displayName="sheet1__43" ref="A1:O46" tableType="queryTable" totalsRowShown="0">
  <autoFilter ref="A1:O46" xr:uid="{F664D1FE-9F10-3441-B759-464F96CAE8C6}"/>
  <tableColumns count="15">
    <tableColumn id="1" xr3:uid="{093B2909-F35A-4F40-8324-6DBC27B9EAC7}" uniqueName="1" name="Time" queryTableFieldId="1"/>
    <tableColumn id="2" xr3:uid="{D1A54EA6-5960-A649-872A-57407A0745F4}" uniqueName="2" name="T1" queryTableFieldId="2"/>
    <tableColumn id="3" xr3:uid="{76E09ADC-DAD7-7E4A-8666-3C4FC37942CB}" uniqueName="3" name="T2" queryTableFieldId="3"/>
    <tableColumn id="4" xr3:uid="{9EA0C158-823B-7649-9AF5-A5A7FDA02E29}" uniqueName="4" name="T3" queryTableFieldId="4"/>
    <tableColumn id="5" xr3:uid="{AC7B42D8-1BB8-9346-A766-24036F40E76A}" uniqueName="5" name="T4" queryTableFieldId="5"/>
    <tableColumn id="6" xr3:uid="{3A264156-9E1A-074A-873B-57D77BE7D601}" uniqueName="6" name="T5" queryTableFieldId="6"/>
    <tableColumn id="7" xr3:uid="{82F7E152-A4AA-8C49-86AF-3A2A236B2E48}" uniqueName="7" name="T6" queryTableFieldId="7"/>
    <tableColumn id="8" xr3:uid="{86BA00ED-E9D9-CA4D-AB64-2411E72841BE}" uniqueName="8" name="T7" queryTableFieldId="8"/>
    <tableColumn id="9" xr3:uid="{201D2F69-AA92-F840-88F6-DF6C69EB4700}" uniqueName="9" name="T8" queryTableFieldId="9"/>
    <tableColumn id="10" xr3:uid="{36B4BABA-AE97-D146-AE17-01BA4D5A91B1}" uniqueName="10" name="RTD_IN" queryTableFieldId="10"/>
    <tableColumn id="11" xr3:uid="{2384771A-03C1-A94D-9861-55E57D394186}" uniqueName="11" name="RTD_OUT" queryTableFieldId="11"/>
    <tableColumn id="12" xr3:uid="{13A5A717-741B-5F45-99D3-4F740C202F36}" uniqueName="12" name="DPT_TS" queryTableFieldId="12"/>
    <tableColumn id="13" xr3:uid="{7FA0465C-0EA0-8843-9BD8-8FDF5DC89FC0}" uniqueName="13" name="DPT_nozzle" queryTableFieldId="13"/>
    <tableColumn id="14" xr3:uid="{6633AB92-9C7A-C543-95E4-A87D8F1DD0E6}" uniqueName="14" name="Flow_gps" queryTableFieldId="14"/>
    <tableColumn id="15" xr3:uid="{EB89B552-FB6C-B645-89D5-FC6E155506EE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6EC06D-E55B-3643-BC1A-BAD0341DDA5A}" name="sheet1__44" displayName="sheet1__44" ref="A1:O45" tableType="queryTable" totalsRowShown="0">
  <autoFilter ref="A1:O45" xr:uid="{D16EC06D-E55B-3643-BC1A-BAD0341DDA5A}"/>
  <tableColumns count="15">
    <tableColumn id="1" xr3:uid="{804D5361-0318-8B42-B90B-FBA2E3FF2101}" uniqueName="1" name="Time" queryTableFieldId="1"/>
    <tableColumn id="2" xr3:uid="{D01E7F20-F9D5-FF4C-A2C6-C06C2B1759CE}" uniqueName="2" name="T1" queryTableFieldId="2"/>
    <tableColumn id="3" xr3:uid="{B2854133-6AD6-8E44-9A87-AA9C2E9A0724}" uniqueName="3" name="T2" queryTableFieldId="3"/>
    <tableColumn id="4" xr3:uid="{469714E2-468C-3B4C-BC3C-EADB24AC61B3}" uniqueName="4" name="T3" queryTableFieldId="4"/>
    <tableColumn id="5" xr3:uid="{5A2073EC-D164-3647-B679-731E53DFB66A}" uniqueName="5" name="T4" queryTableFieldId="5"/>
    <tableColumn id="6" xr3:uid="{85B98447-DE7B-A049-A87A-027CCB80EDD1}" uniqueName="6" name="T5" queryTableFieldId="6"/>
    <tableColumn id="7" xr3:uid="{2B51532C-A60A-1F41-A4AF-81BF43FC4D03}" uniqueName="7" name="T6" queryTableFieldId="7"/>
    <tableColumn id="8" xr3:uid="{4A877F39-2FAE-544A-93FF-40676449A085}" uniqueName="8" name="T7" queryTableFieldId="8"/>
    <tableColumn id="9" xr3:uid="{D732E01B-5A67-814E-BDEE-EFECA19A40F7}" uniqueName="9" name="T8" queryTableFieldId="9"/>
    <tableColumn id="10" xr3:uid="{1F0B81A1-28EF-7340-8473-803C784033E0}" uniqueName="10" name="RTD_IN" queryTableFieldId="10"/>
    <tableColumn id="11" xr3:uid="{56749446-367B-4447-A600-AEDB5CD6A537}" uniqueName="11" name="RTD_OUT" queryTableFieldId="11"/>
    <tableColumn id="12" xr3:uid="{F9495B9F-D107-FF41-8041-EFE4BD204C73}" uniqueName="12" name="DPT_TS" queryTableFieldId="12"/>
    <tableColumn id="13" xr3:uid="{3781EED3-109C-EF41-BAF3-02F855C2FE1F}" uniqueName="13" name="DPT_nozzle" queryTableFieldId="13"/>
    <tableColumn id="14" xr3:uid="{12AF1904-ABD4-574D-A884-F0594D31D3AE}" uniqueName="14" name="Flow_gps" queryTableFieldId="14"/>
    <tableColumn id="15" xr3:uid="{4736A5B4-350E-204F-B5AB-F2F9CC7AFA70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EB22C5-0F9D-F049-AC55-9A6914EB52CD}" name="sheet1__45" displayName="sheet1__45" ref="A1:O23" tableType="queryTable" totalsRowShown="0">
  <autoFilter ref="A1:O23" xr:uid="{28EB22C5-0F9D-F049-AC55-9A6914EB52CD}"/>
  <tableColumns count="15">
    <tableColumn id="1" xr3:uid="{9E0A6204-4073-3B4D-954C-E6DECA85BF81}" uniqueName="1" name="Time" queryTableFieldId="1"/>
    <tableColumn id="2" xr3:uid="{4DB16BEB-4C98-6E4A-8E74-434D3CDBDFEA}" uniqueName="2" name="T1" queryTableFieldId="2"/>
    <tableColumn id="3" xr3:uid="{16234D4D-603E-6643-97A9-6A9376E9D80A}" uniqueName="3" name="T2" queryTableFieldId="3"/>
    <tableColumn id="4" xr3:uid="{E12F5B2C-8B61-AF47-AF71-2DDA64470C46}" uniqueName="4" name="T3" queryTableFieldId="4"/>
    <tableColumn id="5" xr3:uid="{3F537483-349B-A344-9A29-776F179483E8}" uniqueName="5" name="T4" queryTableFieldId="5"/>
    <tableColumn id="6" xr3:uid="{2AB420CE-D1D4-4C48-A034-AC7C60DD069A}" uniqueName="6" name="T5" queryTableFieldId="6"/>
    <tableColumn id="7" xr3:uid="{5F0870AF-CA84-9341-A2E3-914AF69F2833}" uniqueName="7" name="T6" queryTableFieldId="7"/>
    <tableColumn id="8" xr3:uid="{6B193FA9-BB97-9040-B8F6-37B165C72849}" uniqueName="8" name="T7" queryTableFieldId="8"/>
    <tableColumn id="9" xr3:uid="{65CC5927-BF5B-0E4E-AD77-9FECF382DB3D}" uniqueName="9" name="T8" queryTableFieldId="9"/>
    <tableColumn id="10" xr3:uid="{DBA6AE5D-F689-2A4D-99C6-CD0F796CE17B}" uniqueName="10" name="RTD_IN" queryTableFieldId="10"/>
    <tableColumn id="11" xr3:uid="{88655FD6-F5E7-D547-A570-65B077F400BA}" uniqueName="11" name="RTD_OUT" queryTableFieldId="11"/>
    <tableColumn id="12" xr3:uid="{6EDD01F6-E754-154F-AA6C-91F3E210FBCC}" uniqueName="12" name="DPT_TS" queryTableFieldId="12"/>
    <tableColumn id="13" xr3:uid="{1DC8710D-39F2-D843-9F67-478C4ECB6371}" uniqueName="13" name="DPT_nozzle" queryTableFieldId="13"/>
    <tableColumn id="14" xr3:uid="{8FB9D411-4175-2C42-853C-F10299D49BBC}" uniqueName="14" name="Flow_gps" queryTableFieldId="14"/>
    <tableColumn id="15" xr3:uid="{7512A9EF-7A92-2241-A08D-6566CCCCAA7F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E22" sqref="E22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222.98714006620429</v>
      </c>
    </row>
    <row r="3" spans="1:2" x14ac:dyDescent="0.2">
      <c r="A3">
        <v>2</v>
      </c>
      <c r="B3">
        <v>408.27989913523919</v>
      </c>
    </row>
    <row r="4" spans="1:2" x14ac:dyDescent="0.2">
      <c r="A4">
        <v>3</v>
      </c>
      <c r="B4">
        <v>532.43255774381839</v>
      </c>
    </row>
    <row r="5" spans="1:2" x14ac:dyDescent="0.2">
      <c r="A5">
        <v>4</v>
      </c>
      <c r="B5">
        <v>611.90571589508693</v>
      </c>
    </row>
    <row r="6" spans="1:2" x14ac:dyDescent="0.2">
      <c r="A6">
        <v>5</v>
      </c>
      <c r="B6">
        <v>681.11619638219872</v>
      </c>
    </row>
    <row r="7" spans="1:2" x14ac:dyDescent="0.2">
      <c r="A7">
        <v>6</v>
      </c>
      <c r="B7">
        <v>721.65051668776994</v>
      </c>
    </row>
    <row r="8" spans="1:2" x14ac:dyDescent="0.2">
      <c r="A8">
        <v>7</v>
      </c>
      <c r="B8">
        <v>761.9100759157817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5C63-8987-614C-93B8-80FDEE58A722}">
  <dimension ref="A1:V36"/>
  <sheetViews>
    <sheetView workbookViewId="0">
      <selection activeCell="D34" sqref="D3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44606.615459353903</v>
      </c>
      <c r="B2">
        <v>19.863206999999999</v>
      </c>
      <c r="C2">
        <v>19.767951</v>
      </c>
      <c r="D2">
        <v>19.978973</v>
      </c>
      <c r="E2">
        <v>19.826858000000001</v>
      </c>
      <c r="F2">
        <v>41.922994000000003</v>
      </c>
      <c r="G2">
        <v>39.119439999999997</v>
      </c>
      <c r="H2">
        <v>27.479011</v>
      </c>
      <c r="I2">
        <v>29.154274999999998</v>
      </c>
      <c r="J2">
        <v>56.308968999999998</v>
      </c>
      <c r="K2">
        <v>53.747951999999998</v>
      </c>
      <c r="L2">
        <v>13.232658000000001</v>
      </c>
      <c r="M2">
        <v>-622.49428599999999</v>
      </c>
      <c r="N2">
        <v>1.296135</v>
      </c>
      <c r="O2">
        <v>2.3471280000000001</v>
      </c>
      <c r="P2">
        <f xml:space="preserve"> N2*0.001/60</f>
        <v>2.1602250000000001E-5</v>
      </c>
      <c r="Q2" cm="1">
        <f t="array" ref="Q2">[1]!PropsSI("D","T",J2+273.15,"P",101325,"Water")</f>
        <v>985.05399796589506</v>
      </c>
      <c r="R2" cm="1">
        <f t="array" ref="R2">[1]!PropsSI("D","T",K2+273.15,"P",101325,"Water")</f>
        <v>986.29443306566111</v>
      </c>
      <c r="S2">
        <f>(Q2+R2)/2</f>
        <v>985.67421551577809</v>
      </c>
      <c r="T2" cm="1">
        <f t="array" ref="T2">[1]!PropsSI("H","T",J2+273.15,"P",101325,"Water")</f>
        <v>235804.75090897319</v>
      </c>
      <c r="U2" cm="1">
        <f t="array" ref="U2">[1]!PropsSI("H","T",K2+273.15,"P",101325,"Water")</f>
        <v>225092.09114707116</v>
      </c>
      <c r="V2">
        <f>S2*P2*(T2-U2)</f>
        <v>228.10231633218547</v>
      </c>
    </row>
    <row r="3" spans="1:22" x14ac:dyDescent="0.2">
      <c r="A3">
        <v>44606.615575673299</v>
      </c>
      <c r="B3">
        <v>19.853961000000002</v>
      </c>
      <c r="C3">
        <v>19.757852</v>
      </c>
      <c r="D3">
        <v>19.974219000000002</v>
      </c>
      <c r="E3">
        <v>19.808592999999998</v>
      </c>
      <c r="F3">
        <v>41.663938999999999</v>
      </c>
      <c r="G3">
        <v>38.640666000000003</v>
      </c>
      <c r="H3">
        <v>27.057582</v>
      </c>
      <c r="I3">
        <v>29.512795000000001</v>
      </c>
      <c r="J3">
        <v>56.314540000000001</v>
      </c>
      <c r="K3">
        <v>53.770857999999997</v>
      </c>
      <c r="L3">
        <v>13.035933999999999</v>
      </c>
      <c r="M3">
        <v>-622.49347</v>
      </c>
      <c r="N3">
        <v>1.292848</v>
      </c>
      <c r="O3">
        <v>1.5640719999999999</v>
      </c>
      <c r="P3">
        <f t="shared" ref="P3" si="0" xml:space="preserve"> N3*0.001/60</f>
        <v>2.1547466666666667E-5</v>
      </c>
      <c r="Q3" cm="1">
        <f t="array" ref="Q3">[1]!PropsSI("D","T",J3+273.15,"P",101325,"Water")</f>
        <v>985.05125546388501</v>
      </c>
      <c r="R3" cm="1">
        <f t="array" ref="R3">[1]!PropsSI("D","T",K3+273.15,"P",101325,"Water")</f>
        <v>986.28351970122947</v>
      </c>
      <c r="S3">
        <f>(Q3+R3)/2</f>
        <v>985.66738758255724</v>
      </c>
      <c r="T3" cm="1">
        <f t="array" ref="T3">[1]!PropsSI("H","T",J3+273.15,"P",101325,"Water")</f>
        <v>235828.05687600683</v>
      </c>
      <c r="U3" cm="1">
        <f t="array" ref="U3">[1]!PropsSI("H","T",K3+273.15,"P",101325,"Water")</f>
        <v>225187.89593860009</v>
      </c>
      <c r="V3">
        <f t="shared" ref="V3:V11" si="1">S3*P3*(T3-U3)</f>
        <v>225.98249638857138</v>
      </c>
    </row>
    <row r="4" spans="1:22" x14ac:dyDescent="0.2">
      <c r="A4">
        <v>44606.615691992702</v>
      </c>
      <c r="B4">
        <v>19.824915000000001</v>
      </c>
      <c r="C4">
        <v>19.735783999999999</v>
      </c>
      <c r="D4">
        <v>19.955877000000001</v>
      </c>
      <c r="E4">
        <v>19.799399000000001</v>
      </c>
      <c r="F4">
        <v>41.529470000000003</v>
      </c>
      <c r="G4">
        <v>39.957231999999998</v>
      </c>
      <c r="H4">
        <v>26.5656</v>
      </c>
      <c r="I4">
        <v>30.249224000000002</v>
      </c>
      <c r="J4">
        <v>56.316291</v>
      </c>
      <c r="K4">
        <v>53.777538</v>
      </c>
      <c r="L4">
        <v>14.067719</v>
      </c>
      <c r="M4">
        <v>-622.48204199999998</v>
      </c>
      <c r="N4">
        <v>1.3002199999999999</v>
      </c>
      <c r="O4">
        <v>2.700952</v>
      </c>
      <c r="P4">
        <f xml:space="preserve"> N4*0.001/60</f>
        <v>2.1670333333333332E-5</v>
      </c>
      <c r="Q4" cm="1">
        <f t="array" ref="Q4">[1]!PropsSI("D","T",J4+273.15,"P",101325,"Water")</f>
        <v>985.05039343916019</v>
      </c>
      <c r="R4" cm="1">
        <f t="array" ref="R4">[1]!PropsSI("D","T",K4+273.15,"P",101325,"Water")</f>
        <v>986.2803364517996</v>
      </c>
      <c r="S4">
        <f t="shared" ref="S4:S11" si="2">(Q4+R4)/2</f>
        <v>985.66536494547995</v>
      </c>
      <c r="T4" cm="1">
        <f t="array" ref="T4">[1]!PropsSI("H","T",J4+273.15,"P",101325,"Water")</f>
        <v>235835.38208901681</v>
      </c>
      <c r="U4" cm="1">
        <f t="array" ref="U4">[1]!PropsSI("H","T",K4+273.15,"P",101325,"Water")</f>
        <v>225215.83520265651</v>
      </c>
      <c r="V4">
        <f t="shared" si="1"/>
        <v>226.83030391320929</v>
      </c>
    </row>
    <row r="5" spans="1:22" x14ac:dyDescent="0.2">
      <c r="A5">
        <v>44606.615807733499</v>
      </c>
      <c r="B5">
        <v>19.830843999999999</v>
      </c>
      <c r="C5">
        <v>19.735158999999999</v>
      </c>
      <c r="D5">
        <v>19.964075000000001</v>
      </c>
      <c r="E5">
        <v>19.808202999999999</v>
      </c>
      <c r="F5">
        <v>42.057378999999997</v>
      </c>
      <c r="G5">
        <v>38.710600999999997</v>
      </c>
      <c r="H5">
        <v>26.917860999999998</v>
      </c>
      <c r="I5">
        <v>29.396073000000001</v>
      </c>
      <c r="J5">
        <v>56.319952000000001</v>
      </c>
      <c r="K5">
        <v>53.778810999999997</v>
      </c>
      <c r="L5">
        <v>13.184906</v>
      </c>
      <c r="M5">
        <v>-622.49265300000002</v>
      </c>
      <c r="N5">
        <v>1.294889</v>
      </c>
      <c r="O5">
        <v>1.135729</v>
      </c>
      <c r="P5">
        <f t="shared" ref="P5:P11" si="3" xml:space="preserve"> N5*0.001/60</f>
        <v>2.1581483333333333E-5</v>
      </c>
      <c r="Q5" cm="1">
        <f t="array" ref="Q5">[1]!PropsSI("D","T",J5+273.15,"P",101325,"Water")</f>
        <v>985.04859105265609</v>
      </c>
      <c r="R5" cm="1">
        <f t="array" ref="R5">[1]!PropsSI("D","T",K5+273.15,"P",101325,"Water")</f>
        <v>986.27972979171716</v>
      </c>
      <c r="S5">
        <f t="shared" si="2"/>
        <v>985.66416042218657</v>
      </c>
      <c r="T5" cm="1">
        <f t="array" ref="T5">[1]!PropsSI("H","T",J5+273.15,"P",101325,"Water")</f>
        <v>235850.69768670556</v>
      </c>
      <c r="U5" cm="1">
        <f t="array" ref="U5">[1]!PropsSI("H","T",K5+273.15,"P",101325,"Water")</f>
        <v>225221.15955818706</v>
      </c>
      <c r="V5">
        <f t="shared" si="1"/>
        <v>226.112541160045</v>
      </c>
    </row>
    <row r="6" spans="1:22" x14ac:dyDescent="0.2">
      <c r="A6">
        <v>46068.615924050922</v>
      </c>
      <c r="B6">
        <v>19.824974999999998</v>
      </c>
      <c r="C6">
        <v>19.740953000000001</v>
      </c>
      <c r="D6">
        <v>19.978456000000001</v>
      </c>
      <c r="E6">
        <v>19.802215</v>
      </c>
      <c r="F6">
        <v>41.471440999999999</v>
      </c>
      <c r="G6">
        <v>38.513807999999997</v>
      </c>
      <c r="H6">
        <v>27.368727</v>
      </c>
      <c r="I6">
        <v>29.593595000000001</v>
      </c>
      <c r="J6">
        <v>56.326478000000002</v>
      </c>
      <c r="K6">
        <v>53.791694999999997</v>
      </c>
      <c r="L6">
        <v>12.159243</v>
      </c>
      <c r="M6">
        <v>-622.49224500000003</v>
      </c>
      <c r="N6">
        <v>1.2919339999999999</v>
      </c>
      <c r="O6">
        <v>3.332176</v>
      </c>
      <c r="P6">
        <f t="shared" si="3"/>
        <v>2.1532233333333334E-5</v>
      </c>
      <c r="Q6" cm="1">
        <f t="array" ref="Q6">[1]!PropsSI("D","T",J6+273.15,"P",101325,"Water")</f>
        <v>985.04537796347404</v>
      </c>
      <c r="R6" cm="1">
        <f t="array" ref="R6">[1]!PropsSI("D","T",K6+273.15,"P",101325,"Water")</f>
        <v>986.27358922745736</v>
      </c>
      <c r="S6">
        <f t="shared" si="2"/>
        <v>985.65948359546564</v>
      </c>
      <c r="T6" cm="1">
        <f t="array" ref="T6">[1]!PropsSI("H","T",J6+273.15,"P",101325,"Water")</f>
        <v>235877.99887137997</v>
      </c>
      <c r="U6" cm="1">
        <f t="array" ref="U6">[1]!PropsSI("H","T",K6+273.15,"P",101325,"Water")</f>
        <v>225275.04725349785</v>
      </c>
      <c r="V6">
        <f t="shared" si="1"/>
        <v>225.03121338720317</v>
      </c>
    </row>
    <row r="7" spans="1:22" x14ac:dyDescent="0.2">
      <c r="A7">
        <v>46068.616040370369</v>
      </c>
      <c r="B7">
        <v>19.832678999999999</v>
      </c>
      <c r="C7">
        <v>19.755562000000001</v>
      </c>
      <c r="D7">
        <v>19.968912</v>
      </c>
      <c r="E7">
        <v>19.821954000000002</v>
      </c>
      <c r="F7">
        <v>41.649054999999997</v>
      </c>
      <c r="G7">
        <v>38.683076</v>
      </c>
      <c r="H7">
        <v>26.504290999999998</v>
      </c>
      <c r="I7">
        <v>31.471232000000001</v>
      </c>
      <c r="J7">
        <v>56.329183999999998</v>
      </c>
      <c r="K7">
        <v>53.805216000000001</v>
      </c>
      <c r="L7">
        <v>12.791048</v>
      </c>
      <c r="M7">
        <v>-622.47959300000002</v>
      </c>
      <c r="N7">
        <v>1.296241</v>
      </c>
      <c r="O7">
        <v>2.3791009999999999</v>
      </c>
      <c r="P7">
        <f t="shared" si="3"/>
        <v>2.1604016666666669E-5</v>
      </c>
      <c r="Q7" cm="1">
        <f t="array" ref="Q7">[1]!PropsSI("D","T",J7+273.15,"P",101325,"Water")</f>
        <v>985.04404558245403</v>
      </c>
      <c r="R7" cm="1">
        <f t="array" ref="R7">[1]!PropsSI("D","T",K7+273.15,"P",101325,"Water")</f>
        <v>986.26714394405178</v>
      </c>
      <c r="S7">
        <f t="shared" si="2"/>
        <v>985.65559476325291</v>
      </c>
      <c r="T7" cm="1">
        <f t="array" ref="T7">[1]!PropsSI("H","T",J7+273.15,"P",101325,"Water")</f>
        <v>235889.31928770425</v>
      </c>
      <c r="U7" cm="1">
        <f t="array" ref="U7">[1]!PropsSI("H","T",K7+273.15,"P",101325,"Water")</f>
        <v>225331.59928067095</v>
      </c>
      <c r="V7">
        <f t="shared" si="1"/>
        <v>224.81735566722932</v>
      </c>
    </row>
    <row r="8" spans="1:22" x14ac:dyDescent="0.2">
      <c r="A8">
        <v>46068.616156689815</v>
      </c>
      <c r="B8">
        <v>19.826588000000001</v>
      </c>
      <c r="C8">
        <v>19.739533000000002</v>
      </c>
      <c r="D8">
        <v>19.966588999999999</v>
      </c>
      <c r="E8">
        <v>19.802419</v>
      </c>
      <c r="F8">
        <v>41.214627999999998</v>
      </c>
      <c r="G8">
        <v>38.653295999999997</v>
      </c>
      <c r="H8">
        <v>26.238281000000001</v>
      </c>
      <c r="I8">
        <v>30.972224000000001</v>
      </c>
      <c r="J8">
        <v>56.332208999999999</v>
      </c>
      <c r="K8">
        <v>53.805374999999998</v>
      </c>
      <c r="L8">
        <v>13.368162</v>
      </c>
      <c r="M8">
        <v>-622.49591899999996</v>
      </c>
      <c r="N8">
        <v>1.3017000000000001</v>
      </c>
      <c r="O8">
        <v>2.3227540000000002</v>
      </c>
      <c r="P8">
        <f t="shared" si="3"/>
        <v>2.1695000000000002E-5</v>
      </c>
      <c r="Q8" cm="1">
        <f t="array" ref="Q8">[1]!PropsSI("D","T",J8+273.15,"P",101325,"Water")</f>
        <v>985.0425560790685</v>
      </c>
      <c r="R8" cm="1">
        <f t="array" ref="R8">[1]!PropsSI("D","T",K8+273.15,"P",101325,"Water")</f>
        <v>986.2670681440012</v>
      </c>
      <c r="S8">
        <f t="shared" si="2"/>
        <v>985.65481211153485</v>
      </c>
      <c r="T8" cm="1">
        <f t="array" ref="T8">[1]!PropsSI("H","T",J8+273.15,"P",101325,"Water")</f>
        <v>235901.97422794803</v>
      </c>
      <c r="U8" cm="1">
        <f t="array" ref="U8">[1]!PropsSI("H","T",K8+273.15,"P",101325,"Water")</f>
        <v>225332.26430380347</v>
      </c>
      <c r="V8">
        <f t="shared" si="1"/>
        <v>226.02036382378114</v>
      </c>
    </row>
    <row r="9" spans="1:22" x14ac:dyDescent="0.2">
      <c r="A9">
        <v>46068.616272430554</v>
      </c>
      <c r="B9">
        <v>19.821408999999999</v>
      </c>
      <c r="C9">
        <v>19.740669</v>
      </c>
      <c r="D9">
        <v>19.971207</v>
      </c>
      <c r="E9">
        <v>19.818251</v>
      </c>
      <c r="F9">
        <v>41.875445999999997</v>
      </c>
      <c r="G9">
        <v>39.267018999999998</v>
      </c>
      <c r="H9">
        <v>25.856525999999999</v>
      </c>
      <c r="I9">
        <v>29.155998</v>
      </c>
      <c r="J9">
        <v>56.334119000000001</v>
      </c>
      <c r="K9">
        <v>53.815237000000003</v>
      </c>
      <c r="L9">
        <v>13.192252</v>
      </c>
      <c r="M9">
        <v>-622.47796000000005</v>
      </c>
      <c r="N9">
        <v>1.2883899999999999</v>
      </c>
      <c r="O9">
        <v>2.1038239999999999</v>
      </c>
      <c r="P9">
        <f t="shared" si="3"/>
        <v>2.1473166666666666E-5</v>
      </c>
      <c r="Q9" cm="1">
        <f t="array" ref="Q9">[1]!PropsSI("D","T",J9+273.15,"P",101325,"Water")</f>
        <v>985.04161557037571</v>
      </c>
      <c r="R9" cm="1">
        <f t="array" ref="R9">[1]!PropsSI("D","T",K9+273.15,"P",101325,"Water")</f>
        <v>986.2623663231177</v>
      </c>
      <c r="S9">
        <f t="shared" si="2"/>
        <v>985.65199094674676</v>
      </c>
      <c r="T9" cm="1">
        <f t="array" ref="T9">[1]!PropsSI("H","T",J9+273.15,"P",101325,"Water")</f>
        <v>235909.96462175218</v>
      </c>
      <c r="U9" cm="1">
        <f t="array" ref="U9">[1]!PropsSI("H","T",K9+273.15,"P",101325,"Water")</f>
        <v>225373.51248329697</v>
      </c>
      <c r="V9">
        <f t="shared" si="1"/>
        <v>223.004741550766</v>
      </c>
    </row>
    <row r="10" spans="1:22" x14ac:dyDescent="0.2">
      <c r="A10">
        <v>44606.616388173301</v>
      </c>
      <c r="B10">
        <v>19.821729000000001</v>
      </c>
      <c r="C10">
        <v>19.743542000000001</v>
      </c>
      <c r="D10">
        <v>19.977792000000001</v>
      </c>
      <c r="E10">
        <v>19.823620999999999</v>
      </c>
      <c r="F10">
        <v>40.845905999999999</v>
      </c>
      <c r="G10">
        <v>39.346314999999997</v>
      </c>
      <c r="H10">
        <v>27.150549999999999</v>
      </c>
      <c r="I10">
        <v>26.700581</v>
      </c>
      <c r="J10">
        <v>56.336506</v>
      </c>
      <c r="K10">
        <v>53.816191000000003</v>
      </c>
      <c r="L10">
        <v>13.991804</v>
      </c>
      <c r="M10">
        <v>-622.493878</v>
      </c>
      <c r="N10">
        <v>1.294082</v>
      </c>
      <c r="O10">
        <v>2.420452</v>
      </c>
      <c r="P10">
        <f t="shared" si="3"/>
        <v>2.1568033333333334E-5</v>
      </c>
      <c r="Q10" cm="1">
        <f t="array" ref="Q10">[1]!PropsSI("D","T",J10+273.15,"P",101325,"Water")</f>
        <v>985.04044014932651</v>
      </c>
      <c r="R10" cm="1">
        <f t="array" ref="R10">[1]!PropsSI("D","T",K10+273.15,"P",101325,"Water")</f>
        <v>986.26191146032011</v>
      </c>
      <c r="S10">
        <f t="shared" si="2"/>
        <v>985.65117580482331</v>
      </c>
      <c r="T10" cm="1">
        <f t="array" ref="T10">[1]!PropsSI("H","T",J10+273.15,"P",101325,"Water")</f>
        <v>235919.95052421617</v>
      </c>
      <c r="U10" cm="1">
        <f t="array" ref="U10">[1]!PropsSI("H","T",K10+273.15,"P",101325,"Water")</f>
        <v>225377.50262530101</v>
      </c>
      <c r="V10">
        <f t="shared" si="1"/>
        <v>224.11723395160038</v>
      </c>
    </row>
    <row r="11" spans="1:22" x14ac:dyDescent="0.2">
      <c r="A11">
        <v>44606.616504492697</v>
      </c>
      <c r="B11">
        <v>19.811681</v>
      </c>
      <c r="C11">
        <v>19.740545000000001</v>
      </c>
      <c r="D11">
        <v>19.969225999999999</v>
      </c>
      <c r="E11">
        <v>19.826172</v>
      </c>
      <c r="F11">
        <v>40.392876999999999</v>
      </c>
      <c r="G11">
        <v>39.356411999999999</v>
      </c>
      <c r="H11">
        <v>26.87237</v>
      </c>
      <c r="I11">
        <v>29.747029000000001</v>
      </c>
      <c r="J11">
        <v>56.334755000000001</v>
      </c>
      <c r="K11">
        <v>53.826053999999999</v>
      </c>
      <c r="L11">
        <v>13.668963</v>
      </c>
      <c r="M11">
        <v>-622.52734599999997</v>
      </c>
      <c r="N11">
        <v>1.29216</v>
      </c>
      <c r="O11">
        <v>1.004254</v>
      </c>
      <c r="P11">
        <f t="shared" si="3"/>
        <v>2.1536000000000002E-5</v>
      </c>
      <c r="Q11" cm="1">
        <f t="array" ref="Q11">[1]!PropsSI("D","T",J11+273.15,"P",101325,"Water")</f>
        <v>985.04130239081212</v>
      </c>
      <c r="R11" cm="1">
        <f t="array" ref="R11">[1]!PropsSI("D","T",K11+273.15,"P",101325,"Water")</f>
        <v>986.25720849202298</v>
      </c>
      <c r="S11">
        <f t="shared" si="2"/>
        <v>985.64925544141761</v>
      </c>
      <c r="T11" cm="1">
        <f t="array" ref="T11">[1]!PropsSI("H","T",J11+273.15,"P",101325,"Water")</f>
        <v>235912.62529769912</v>
      </c>
      <c r="U11" cm="1">
        <f t="array" ref="U11">[1]!PropsSI("H","T",K11+273.15,"P",101325,"Water")</f>
        <v>225418.75502397394</v>
      </c>
      <c r="V11">
        <f t="shared" si="1"/>
        <v>222.75277948810711</v>
      </c>
    </row>
    <row r="12" spans="1:22" x14ac:dyDescent="0.2">
      <c r="A12">
        <v>44606.616620233501</v>
      </c>
      <c r="B12">
        <v>19.834733</v>
      </c>
      <c r="C12">
        <v>19.768749</v>
      </c>
      <c r="D12">
        <v>19.992075</v>
      </c>
      <c r="E12">
        <v>19.851317999999999</v>
      </c>
      <c r="F12">
        <v>41.670471999999997</v>
      </c>
      <c r="G12">
        <v>38.785868999999998</v>
      </c>
      <c r="H12">
        <v>27.197562000000001</v>
      </c>
      <c r="I12">
        <v>29.274615000000001</v>
      </c>
      <c r="J12">
        <v>56.336347000000004</v>
      </c>
      <c r="K12">
        <v>53.825575999999998</v>
      </c>
      <c r="L12">
        <v>12.620036000000001</v>
      </c>
      <c r="M12">
        <v>-622.51183600000002</v>
      </c>
      <c r="N12">
        <v>1.2927420000000001</v>
      </c>
      <c r="O12">
        <v>2.5999249999999998</v>
      </c>
      <c r="P12">
        <f t="shared" ref="P12:P31" si="4" xml:space="preserve"> N12*0.001/60</f>
        <v>2.1545700000000003E-5</v>
      </c>
      <c r="Q12" cm="1">
        <f t="array" ref="Q12">[1]!PropsSI("D","T",J12+273.15,"P",101325,"Water")</f>
        <v>985.04051844616799</v>
      </c>
      <c r="R12" cm="1">
        <f t="array" ref="R12">[1]!PropsSI("D","T",K12+273.15,"P",101325,"Water")</f>
        <v>986.25743643056171</v>
      </c>
      <c r="S12">
        <f t="shared" ref="S12:S31" si="5">(Q12+R12)/2</f>
        <v>985.64897743836491</v>
      </c>
      <c r="T12" cm="1">
        <f t="array" ref="T12">[1]!PropsSI("H","T",J12+273.15,"P",101325,"Water")</f>
        <v>235919.28535512564</v>
      </c>
      <c r="U12" cm="1">
        <f t="array" ref="U12">[1]!PropsSI("H","T",K12+273.15,"P",101325,"Water")</f>
        <v>225416.75576875239</v>
      </c>
      <c r="V12">
        <f t="shared" ref="V12:V31" si="6">S12*P12*(T12-U12)</f>
        <v>223.0369398723995</v>
      </c>
    </row>
    <row r="13" spans="1:22" x14ac:dyDescent="0.2">
      <c r="A13">
        <v>44606.616735974203</v>
      </c>
      <c r="B13">
        <v>19.858180000000001</v>
      </c>
      <c r="C13">
        <v>19.788284000000001</v>
      </c>
      <c r="D13">
        <v>20.011368000000001</v>
      </c>
      <c r="E13">
        <v>19.873403</v>
      </c>
      <c r="F13">
        <v>42.323402000000002</v>
      </c>
      <c r="G13">
        <v>38.476868000000003</v>
      </c>
      <c r="H13">
        <v>27.398175999999999</v>
      </c>
      <c r="I13">
        <v>30.151136000000001</v>
      </c>
      <c r="J13">
        <v>56.334437000000001</v>
      </c>
      <c r="K13">
        <v>53.827803000000003</v>
      </c>
      <c r="L13">
        <v>12.747377</v>
      </c>
      <c r="M13">
        <v>-622.49428599999999</v>
      </c>
      <c r="N13">
        <v>1.297839</v>
      </c>
      <c r="O13">
        <v>0.86637399999999998</v>
      </c>
      <c r="P13">
        <f t="shared" si="4"/>
        <v>2.1630650000000003E-5</v>
      </c>
      <c r="Q13" cm="1">
        <f t="array" ref="Q13">[1]!PropsSI("D","T",J13+273.15,"P",101325,"Water")</f>
        <v>985.04145898091019</v>
      </c>
      <c r="R13" cm="1">
        <f t="array" ref="R13">[1]!PropsSI("D","T",K13+273.15,"P",101325,"Water")</f>
        <v>986.25637445356426</v>
      </c>
      <c r="S13">
        <f t="shared" si="5"/>
        <v>985.64891671723717</v>
      </c>
      <c r="T13" cm="1">
        <f t="array" ref="T13">[1]!PropsSI("H","T",J13+273.15,"P",101325,"Water")</f>
        <v>235911.29495972686</v>
      </c>
      <c r="U13" cm="1">
        <f t="array" ref="U13">[1]!PropsSI("H","T",K13+273.15,"P",101325,"Water")</f>
        <v>225426.07029107457</v>
      </c>
      <c r="V13">
        <f t="shared" si="6"/>
        <v>223.54736735959426</v>
      </c>
    </row>
    <row r="14" spans="1:22" x14ac:dyDescent="0.2">
      <c r="A14">
        <v>44606.616852293701</v>
      </c>
      <c r="B14">
        <v>19.880824</v>
      </c>
      <c r="C14">
        <v>19.796804000000002</v>
      </c>
      <c r="D14">
        <v>20.025455000000001</v>
      </c>
      <c r="E14">
        <v>19.881373</v>
      </c>
      <c r="F14">
        <v>41.674489999999999</v>
      </c>
      <c r="G14">
        <v>40.385702999999999</v>
      </c>
      <c r="H14">
        <v>27.57396</v>
      </c>
      <c r="I14">
        <v>28.701073000000001</v>
      </c>
      <c r="J14">
        <v>56.333959999999998</v>
      </c>
      <c r="K14">
        <v>53.823507999999997</v>
      </c>
      <c r="L14">
        <v>13.756714000000001</v>
      </c>
      <c r="M14">
        <v>-622.51959099999999</v>
      </c>
      <c r="N14">
        <v>1.2906230000000001</v>
      </c>
      <c r="O14">
        <v>1.4706440000000001</v>
      </c>
      <c r="P14">
        <f t="shared" si="4"/>
        <v>2.1510383333333333E-5</v>
      </c>
      <c r="Q14" cm="1">
        <f t="array" ref="Q14">[1]!PropsSI("D","T",J14+273.15,"P",101325,"Water")</f>
        <v>985.04169386488184</v>
      </c>
      <c r="R14" cm="1">
        <f t="array" ref="R14">[1]!PropsSI("D","T",K14+273.15,"P",101325,"Water")</f>
        <v>986.25842255820123</v>
      </c>
      <c r="S14">
        <f t="shared" si="5"/>
        <v>985.65005821154159</v>
      </c>
      <c r="T14" cm="1">
        <f t="array" ref="T14">[1]!PropsSI("H","T",J14+273.15,"P",101325,"Water")</f>
        <v>235909.29945281657</v>
      </c>
      <c r="U14" cm="1">
        <f t="array" ref="U14">[1]!PropsSI("H","T",K14+273.15,"P",101325,"Water")</f>
        <v>225408.10627218272</v>
      </c>
      <c r="V14">
        <f t="shared" si="6"/>
        <v>222.64325860932624</v>
      </c>
    </row>
    <row r="15" spans="1:22" x14ac:dyDescent="0.2">
      <c r="A15">
        <v>46068.61696861111</v>
      </c>
      <c r="B15">
        <v>19.858782000000001</v>
      </c>
      <c r="C15">
        <v>19.778428999999999</v>
      </c>
      <c r="D15">
        <v>20.007321999999998</v>
      </c>
      <c r="E15">
        <v>19.859746000000001</v>
      </c>
      <c r="F15">
        <v>42.810378999999998</v>
      </c>
      <c r="G15">
        <v>38.507699000000002</v>
      </c>
      <c r="H15">
        <v>26.446252000000001</v>
      </c>
      <c r="I15">
        <v>26.179278</v>
      </c>
      <c r="J15">
        <v>56.328865999999998</v>
      </c>
      <c r="K15">
        <v>53.825417000000002</v>
      </c>
      <c r="L15">
        <v>13.478769</v>
      </c>
      <c r="M15">
        <v>-622.5</v>
      </c>
      <c r="N15">
        <v>1.2894099999999999</v>
      </c>
      <c r="O15">
        <v>3.1181760000000001</v>
      </c>
      <c r="P15">
        <f t="shared" si="4"/>
        <v>2.1490166666666666E-5</v>
      </c>
      <c r="Q15" cm="1">
        <f t="array" ref="Q15">[1]!PropsSI("D","T",J15+273.15,"P",101325,"Water")</f>
        <v>985.04420216171991</v>
      </c>
      <c r="R15" cm="1">
        <f t="array" ref="R15">[1]!PropsSI("D","T",K15+273.15,"P",101325,"Water")</f>
        <v>986.25751225079762</v>
      </c>
      <c r="S15">
        <f t="shared" si="5"/>
        <v>985.65085720625871</v>
      </c>
      <c r="T15" cm="1">
        <f t="array" ref="T15">[1]!PropsSI("H","T",J15+273.15,"P",101325,"Water")</f>
        <v>235887.98895038688</v>
      </c>
      <c r="U15" cm="1">
        <f t="array" ref="U15">[1]!PropsSI("H","T",K15+273.15,"P",101325,"Water")</f>
        <v>225416.09074455977</v>
      </c>
      <c r="V15">
        <f t="shared" si="6"/>
        <v>221.81366594587101</v>
      </c>
    </row>
    <row r="16" spans="1:22" x14ac:dyDescent="0.2">
      <c r="A16">
        <v>46068.617084930556</v>
      </c>
      <c r="B16">
        <v>19.865943999999999</v>
      </c>
      <c r="C16">
        <v>19.775078000000001</v>
      </c>
      <c r="D16">
        <v>20.020688</v>
      </c>
      <c r="E16">
        <v>19.872976999999999</v>
      </c>
      <c r="F16">
        <v>41.794812</v>
      </c>
      <c r="G16">
        <v>39.816132000000003</v>
      </c>
      <c r="H16">
        <v>26.885565</v>
      </c>
      <c r="I16">
        <v>30.454229000000002</v>
      </c>
      <c r="J16">
        <v>56.326478000000002</v>
      </c>
      <c r="K16">
        <v>53.818896000000002</v>
      </c>
      <c r="L16">
        <v>12.800843</v>
      </c>
      <c r="M16">
        <v>-622.48897999999997</v>
      </c>
      <c r="N16">
        <v>1.29318</v>
      </c>
      <c r="O16">
        <v>2.9274309999999999</v>
      </c>
      <c r="P16">
        <f t="shared" si="4"/>
        <v>2.1553000000000002E-5</v>
      </c>
      <c r="Q16" cm="1">
        <f t="array" ref="Q16">[1]!PropsSI("D","T",J16+273.15,"P",101325,"Water")</f>
        <v>985.04537796347404</v>
      </c>
      <c r="R16" cm="1">
        <f t="array" ref="R16">[1]!PropsSI("D","T",K16+273.15,"P",101325,"Water")</f>
        <v>986.26062169766908</v>
      </c>
      <c r="S16">
        <f t="shared" si="5"/>
        <v>985.65299983057162</v>
      </c>
      <c r="T16" cm="1">
        <f t="array" ref="T16">[1]!PropsSI("H","T",J16+273.15,"P",101325,"Water")</f>
        <v>235877.99887137997</v>
      </c>
      <c r="U16" cm="1">
        <f t="array" ref="U16">[1]!PropsSI("H","T",K16+273.15,"P",101325,"Water")</f>
        <v>225388.81639453126</v>
      </c>
      <c r="V16">
        <f t="shared" si="6"/>
        <v>222.82987553386434</v>
      </c>
    </row>
    <row r="17" spans="1:22" x14ac:dyDescent="0.2">
      <c r="A17">
        <v>46068.617200671295</v>
      </c>
      <c r="B17">
        <v>19.875164000000002</v>
      </c>
      <c r="C17">
        <v>19.777950000000001</v>
      </c>
      <c r="D17">
        <v>19.994772000000001</v>
      </c>
      <c r="E17">
        <v>19.876048999999998</v>
      </c>
      <c r="F17">
        <v>42.230460999999998</v>
      </c>
      <c r="G17">
        <v>37.981543000000002</v>
      </c>
      <c r="H17">
        <v>27.337686000000001</v>
      </c>
      <c r="I17">
        <v>28.692817000000002</v>
      </c>
      <c r="J17">
        <v>56.323613000000002</v>
      </c>
      <c r="K17">
        <v>53.820962999999999</v>
      </c>
      <c r="L17">
        <v>11.949457000000001</v>
      </c>
      <c r="M17">
        <v>-622.49632699999995</v>
      </c>
      <c r="N17">
        <v>1.2909759999999999</v>
      </c>
      <c r="O17">
        <v>2.6211850000000001</v>
      </c>
      <c r="P17">
        <f t="shared" si="4"/>
        <v>2.1516266666666666E-5</v>
      </c>
      <c r="Q17" cm="1">
        <f t="array" ref="Q17">[1]!PropsSI("D","T",J17+273.15,"P",101325,"Water")</f>
        <v>985.04678858408306</v>
      </c>
      <c r="R17" cm="1">
        <f t="array" ref="R17">[1]!PropsSI("D","T",K17+273.15,"P",101325,"Water")</f>
        <v>986.25963610680526</v>
      </c>
      <c r="S17">
        <f t="shared" si="5"/>
        <v>985.65321234544422</v>
      </c>
      <c r="T17" cm="1">
        <f t="array" ref="T17">[1]!PropsSI("H","T",J17+273.15,"P",101325,"Water")</f>
        <v>235866.01328954138</v>
      </c>
      <c r="U17" cm="1">
        <f t="array" ref="U17">[1]!PropsSI("H","T",K17+273.15,"P",101325,"Water")</f>
        <v>225397.461705208</v>
      </c>
      <c r="V17">
        <f t="shared" si="6"/>
        <v>222.01261754762638</v>
      </c>
    </row>
    <row r="18" spans="1:22" x14ac:dyDescent="0.2">
      <c r="A18">
        <v>46068.617316412034</v>
      </c>
      <c r="B18">
        <v>19.875544999999999</v>
      </c>
      <c r="C18">
        <v>19.788316999999999</v>
      </c>
      <c r="D18">
        <v>20.020686999999999</v>
      </c>
      <c r="E18">
        <v>19.901931000000001</v>
      </c>
      <c r="F18">
        <v>41.217345000000002</v>
      </c>
      <c r="G18">
        <v>39.048609999999996</v>
      </c>
      <c r="H18">
        <v>26.120826999999998</v>
      </c>
      <c r="I18">
        <v>28.682687999999999</v>
      </c>
      <c r="J18">
        <v>56.323135999999998</v>
      </c>
      <c r="K18">
        <v>53.821917999999997</v>
      </c>
      <c r="L18">
        <v>13.712225999999999</v>
      </c>
      <c r="M18">
        <v>-622.49673499999994</v>
      </c>
      <c r="N18">
        <v>1.2986839999999999</v>
      </c>
      <c r="O18">
        <v>2.5629200000000001</v>
      </c>
      <c r="P18">
        <f t="shared" si="4"/>
        <v>2.1644733333333333E-5</v>
      </c>
      <c r="Q18" cm="1">
        <f t="array" ref="Q18">[1]!PropsSI("D","T",J18+273.15,"P",101325,"Water")</f>
        <v>985.04702343645147</v>
      </c>
      <c r="R18" cm="1">
        <f t="array" ref="R18">[1]!PropsSI("D","T",K18+273.15,"P",101325,"Water")</f>
        <v>986.25918073282878</v>
      </c>
      <c r="S18">
        <f t="shared" si="5"/>
        <v>985.65310208464007</v>
      </c>
      <c r="T18" cm="1">
        <f t="array" ref="T18">[1]!PropsSI("H","T",J18+273.15,"P",101325,"Water")</f>
        <v>235864.0177846096</v>
      </c>
      <c r="U18" cm="1">
        <f t="array" ref="U18">[1]!PropsSI("H","T",K18+273.15,"P",101325,"Water")</f>
        <v>225401.45603167405</v>
      </c>
      <c r="V18">
        <f t="shared" si="6"/>
        <v>223.21036981846655</v>
      </c>
    </row>
    <row r="19" spans="1:22" x14ac:dyDescent="0.2">
      <c r="A19">
        <v>46068.61743273148</v>
      </c>
      <c r="B19">
        <v>19.868962</v>
      </c>
      <c r="C19">
        <v>19.767386999999999</v>
      </c>
      <c r="D19">
        <v>20.013465</v>
      </c>
      <c r="E19">
        <v>19.882603</v>
      </c>
      <c r="F19">
        <v>42.141128999999999</v>
      </c>
      <c r="G19">
        <v>38.797123999999997</v>
      </c>
      <c r="H19">
        <v>26.325717000000001</v>
      </c>
      <c r="I19">
        <v>31.322889</v>
      </c>
      <c r="J19">
        <v>56.326318999999998</v>
      </c>
      <c r="K19">
        <v>53.827961999999999</v>
      </c>
      <c r="L19">
        <v>12.405761</v>
      </c>
      <c r="M19">
        <v>-622.49061300000005</v>
      </c>
      <c r="N19">
        <v>1.2931969999999999</v>
      </c>
      <c r="O19">
        <v>2.2191860000000001</v>
      </c>
      <c r="P19">
        <f t="shared" si="4"/>
        <v>2.1553283333333336E-5</v>
      </c>
      <c r="Q19" cm="1">
        <f t="array" ref="Q19">[1]!PropsSI("D","T",J19+273.15,"P",101325,"Water")</f>
        <v>985.04545625053822</v>
      </c>
      <c r="R19" cm="1">
        <f t="array" ref="R19">[1]!PropsSI("D","T",K19+273.15,"P",101325,"Water")</f>
        <v>986.25629863093252</v>
      </c>
      <c r="S19">
        <f t="shared" si="5"/>
        <v>985.65087744073537</v>
      </c>
      <c r="T19" cm="1">
        <f t="array" ref="T19">[1]!PropsSI("H","T",J19+273.15,"P",101325,"Water")</f>
        <v>235877.33370286404</v>
      </c>
      <c r="U19" cm="1">
        <f t="array" ref="U19">[1]!PropsSI("H","T",K19+273.15,"P",101325,"Water")</f>
        <v>225426.7353154271</v>
      </c>
      <c r="V19">
        <f t="shared" si="6"/>
        <v>222.01264412570831</v>
      </c>
    </row>
    <row r="20" spans="1:22" x14ac:dyDescent="0.2">
      <c r="A20">
        <v>46068.617549050927</v>
      </c>
      <c r="B20">
        <v>19.869541000000002</v>
      </c>
      <c r="C20">
        <v>19.781897000000001</v>
      </c>
      <c r="D20">
        <v>20.013342999999999</v>
      </c>
      <c r="E20">
        <v>19.881561999999999</v>
      </c>
      <c r="F20">
        <v>42.366427999999999</v>
      </c>
      <c r="G20">
        <v>38.527844999999999</v>
      </c>
      <c r="H20">
        <v>26.70693</v>
      </c>
      <c r="I20">
        <v>29.931076999999998</v>
      </c>
      <c r="J20">
        <v>56.326638000000003</v>
      </c>
      <c r="K20">
        <v>53.832734000000002</v>
      </c>
      <c r="L20">
        <v>14.315868999999999</v>
      </c>
      <c r="M20">
        <v>-622.48938799999996</v>
      </c>
      <c r="N20">
        <v>1.293447</v>
      </c>
      <c r="O20">
        <v>1.7595430000000001</v>
      </c>
      <c r="P20">
        <f t="shared" si="4"/>
        <v>2.1557450000000001E-5</v>
      </c>
      <c r="Q20" cm="1">
        <f t="array" ref="Q20">[1]!PropsSI("D","T",J20+273.15,"P",101325,"Water")</f>
        <v>985.04529918387288</v>
      </c>
      <c r="R20" cm="1">
        <f t="array" ref="R20">[1]!PropsSI("D","T",K20+273.15,"P",101325,"Water")</f>
        <v>986.25402292434273</v>
      </c>
      <c r="S20">
        <f t="shared" si="5"/>
        <v>985.64966105410781</v>
      </c>
      <c r="T20" cm="1">
        <f t="array" ref="T20">[1]!PropsSI("H","T",J20+273.15,"P",101325,"Water")</f>
        <v>235878.66822336233</v>
      </c>
      <c r="U20" cm="1">
        <f t="array" ref="U20">[1]!PropsSI("H","T",K20+273.15,"P",101325,"Water")</f>
        <v>225446.69441466988</v>
      </c>
      <c r="V20">
        <f t="shared" si="6"/>
        <v>221.65955264098108</v>
      </c>
    </row>
    <row r="21" spans="1:22" x14ac:dyDescent="0.2">
      <c r="A21">
        <v>46068.617665370373</v>
      </c>
      <c r="B21">
        <v>19.834481</v>
      </c>
      <c r="C21">
        <v>19.753865000000001</v>
      </c>
      <c r="D21">
        <v>19.985789</v>
      </c>
      <c r="E21">
        <v>19.858884</v>
      </c>
      <c r="F21">
        <v>40.511040999999999</v>
      </c>
      <c r="G21">
        <v>39.784185999999998</v>
      </c>
      <c r="H21">
        <v>27.671855999999998</v>
      </c>
      <c r="I21">
        <v>30.544761999999999</v>
      </c>
      <c r="J21">
        <v>56.326796999999999</v>
      </c>
      <c r="K21">
        <v>53.836869999999998</v>
      </c>
      <c r="L21">
        <v>15.012976999999999</v>
      </c>
      <c r="M21">
        <v>-622.49632699999995</v>
      </c>
      <c r="N21">
        <v>1.305666</v>
      </c>
      <c r="O21">
        <v>1.888871</v>
      </c>
      <c r="P21">
        <f t="shared" si="4"/>
        <v>2.1761100000000001E-5</v>
      </c>
      <c r="Q21" cm="1">
        <f t="array" ref="Q21">[1]!PropsSI("D","T",J21+273.15,"P",101325,"Water")</f>
        <v>985.0452208964972</v>
      </c>
      <c r="R21" cm="1">
        <f t="array" ref="R21">[1]!PropsSI("D","T",K21+273.15,"P",101325,"Water")</f>
        <v>986.2520504023297</v>
      </c>
      <c r="S21">
        <f t="shared" si="5"/>
        <v>985.64863564941345</v>
      </c>
      <c r="T21" cm="1">
        <f t="array" ref="T21">[1]!PropsSI("H","T",J21+273.15,"P",101325,"Water")</f>
        <v>235879.33339187596</v>
      </c>
      <c r="U21" cm="1">
        <f t="array" ref="U21">[1]!PropsSI("H","T",K21+273.15,"P",101325,"Water")</f>
        <v>225463.99342236572</v>
      </c>
      <c r="V21">
        <f t="shared" si="6"/>
        <v>223.39652857780504</v>
      </c>
    </row>
    <row r="22" spans="1:22" x14ac:dyDescent="0.2">
      <c r="A22">
        <v>46068.617781111112</v>
      </c>
      <c r="B22">
        <v>19.831337000000001</v>
      </c>
      <c r="C22">
        <v>19.751676</v>
      </c>
      <c r="D22">
        <v>19.983601</v>
      </c>
      <c r="E22">
        <v>19.857638000000001</v>
      </c>
      <c r="F22">
        <v>41.565272999999998</v>
      </c>
      <c r="G22">
        <v>38.561497000000003</v>
      </c>
      <c r="H22">
        <v>26.658387999999999</v>
      </c>
      <c r="I22">
        <v>30.077313</v>
      </c>
      <c r="J22">
        <v>56.324409000000003</v>
      </c>
      <c r="K22">
        <v>53.828121000000003</v>
      </c>
      <c r="L22">
        <v>14.611772999999999</v>
      </c>
      <c r="M22">
        <v>-622.52122299999996</v>
      </c>
      <c r="N22">
        <v>1.2892999999999999</v>
      </c>
      <c r="O22">
        <v>2.3386140000000002</v>
      </c>
      <c r="P22">
        <f t="shared" si="4"/>
        <v>2.1488333333333332E-5</v>
      </c>
      <c r="Q22" cm="1">
        <f t="array" ref="Q22">[1]!PropsSI("D","T",J22+273.15,"P",101325,"Water")</f>
        <v>985.04639666800733</v>
      </c>
      <c r="R22" cm="1">
        <f t="array" ref="R22">[1]!PropsSI("D","T",K22+273.15,"P",101325,"Water")</f>
        <v>986.25622280814594</v>
      </c>
      <c r="S22">
        <f t="shared" si="5"/>
        <v>985.65130973807663</v>
      </c>
      <c r="T22" cm="1">
        <f t="array" ref="T22">[1]!PropsSI("H","T",J22+273.15,"P",101325,"Water")</f>
        <v>235869.34331476595</v>
      </c>
      <c r="U22" cm="1">
        <f t="array" ref="U22">[1]!PropsSI("H","T",K22+273.15,"P",101325,"Water")</f>
        <v>225427.40033976149</v>
      </c>
      <c r="V22">
        <f t="shared" si="6"/>
        <v>221.16039287244325</v>
      </c>
    </row>
    <row r="23" spans="1:22" x14ac:dyDescent="0.2">
      <c r="A23">
        <v>46068.617897430559</v>
      </c>
      <c r="B23">
        <v>19.844823999999999</v>
      </c>
      <c r="C23">
        <v>19.779219999999999</v>
      </c>
      <c r="D23">
        <v>19.982111</v>
      </c>
      <c r="E23">
        <v>19.872938000000001</v>
      </c>
      <c r="F23">
        <v>41.500990999999999</v>
      </c>
      <c r="G23">
        <v>38.769854000000002</v>
      </c>
      <c r="H23">
        <v>27.313091</v>
      </c>
      <c r="I23">
        <v>29.116059</v>
      </c>
      <c r="J23">
        <v>56.321226000000003</v>
      </c>
      <c r="K23">
        <v>53.834325</v>
      </c>
      <c r="L23">
        <v>12.615546</v>
      </c>
      <c r="M23">
        <v>-622.49755100000004</v>
      </c>
      <c r="N23">
        <v>1.2987820000000001</v>
      </c>
      <c r="O23">
        <v>2.236278</v>
      </c>
      <c r="P23">
        <f t="shared" si="4"/>
        <v>2.1646366666666667E-5</v>
      </c>
      <c r="Q23" cm="1">
        <f t="array" ref="Q23">[1]!PropsSI("D","T",J23+273.15,"P",101325,"Water")</f>
        <v>985.04796381668848</v>
      </c>
      <c r="R23" cm="1">
        <f t="array" ref="R23">[1]!PropsSI("D","T",K23+273.15,"P",101325,"Water")</f>
        <v>986.25326416469898</v>
      </c>
      <c r="S23">
        <f t="shared" si="5"/>
        <v>985.65061399069373</v>
      </c>
      <c r="T23" cm="1">
        <f t="array" ref="T23">[1]!PropsSI("H","T",J23+273.15,"P",101325,"Water")</f>
        <v>235856.02739879247</v>
      </c>
      <c r="U23" cm="1">
        <f t="array" ref="U23">[1]!PropsSI("H","T",K23+273.15,"P",101325,"Water")</f>
        <v>225453.34884364577</v>
      </c>
      <c r="V23">
        <f t="shared" si="6"/>
        <v>221.94899679022498</v>
      </c>
    </row>
    <row r="24" spans="1:22" x14ac:dyDescent="0.2">
      <c r="A24">
        <v>46068.618013171297</v>
      </c>
      <c r="B24">
        <v>19.868357</v>
      </c>
      <c r="C24">
        <v>19.785136999999999</v>
      </c>
      <c r="D24">
        <v>20.001954000000001</v>
      </c>
      <c r="E24">
        <v>19.877873000000001</v>
      </c>
      <c r="F24">
        <v>42.142805000000003</v>
      </c>
      <c r="G24">
        <v>38.399301000000001</v>
      </c>
      <c r="H24">
        <v>27.014220000000002</v>
      </c>
      <c r="I24">
        <v>30.306733999999999</v>
      </c>
      <c r="J24">
        <v>56.321066999999999</v>
      </c>
      <c r="K24">
        <v>53.834484000000003</v>
      </c>
      <c r="L24">
        <v>11.947008</v>
      </c>
      <c r="M24">
        <v>-622.48816399999998</v>
      </c>
      <c r="N24">
        <v>1.2981799999999999</v>
      </c>
      <c r="O24">
        <v>2.5476830000000001</v>
      </c>
      <c r="P24">
        <f t="shared" si="4"/>
        <v>2.1636333333333332E-5</v>
      </c>
      <c r="Q24" cm="1">
        <f t="array" ref="Q24">[1]!PropsSI("D","T",J24+273.15,"P",101325,"Water")</f>
        <v>985.0480420986338</v>
      </c>
      <c r="R24" cm="1">
        <f t="array" ref="R24">[1]!PropsSI("D","T",K24+273.15,"P",101325,"Water")</f>
        <v>986.25318833556105</v>
      </c>
      <c r="S24">
        <f t="shared" si="5"/>
        <v>985.65061521709742</v>
      </c>
      <c r="T24" cm="1">
        <f t="array" ref="T24">[1]!PropsSI("H","T",J24+273.15,"P",101325,"Water")</f>
        <v>235855.36223061502</v>
      </c>
      <c r="U24" cm="1">
        <f t="array" ref="U24">[1]!PropsSI("H","T",K24+273.15,"P",101325,"Water")</f>
        <v>225454.01386834765</v>
      </c>
      <c r="V24">
        <f t="shared" si="6"/>
        <v>221.81775370687572</v>
      </c>
    </row>
    <row r="25" spans="1:22" x14ac:dyDescent="0.2">
      <c r="A25">
        <v>46068.618129490744</v>
      </c>
      <c r="B25">
        <v>19.865818000000001</v>
      </c>
      <c r="C25">
        <v>19.770308</v>
      </c>
      <c r="D25">
        <v>19.985972</v>
      </c>
      <c r="E25">
        <v>19.849643</v>
      </c>
      <c r="F25">
        <v>41.573683000000003</v>
      </c>
      <c r="G25">
        <v>38.273311999999997</v>
      </c>
      <c r="H25">
        <v>26.864619999999999</v>
      </c>
      <c r="I25">
        <v>29.426485</v>
      </c>
      <c r="J25">
        <v>56.321702999999999</v>
      </c>
      <c r="K25">
        <v>53.836233999999997</v>
      </c>
      <c r="L25">
        <v>13.199598999999999</v>
      </c>
      <c r="M25">
        <v>-622.52326400000004</v>
      </c>
      <c r="N25">
        <v>1.2831900000000001</v>
      </c>
      <c r="O25">
        <v>2.027679</v>
      </c>
      <c r="P25">
        <f t="shared" si="4"/>
        <v>2.1386499999999999E-5</v>
      </c>
      <c r="Q25" cm="1">
        <f t="array" ref="Q25">[1]!PropsSI("D","T",J25+273.15,"P",101325,"Water")</f>
        <v>985.04772896988732</v>
      </c>
      <c r="R25" cm="1">
        <f t="array" ref="R25">[1]!PropsSI("D","T",K25+273.15,"P",101325,"Water")</f>
        <v>986.2523537275132</v>
      </c>
      <c r="S25">
        <f t="shared" si="5"/>
        <v>985.65004134870026</v>
      </c>
      <c r="T25" cm="1">
        <f t="array" ref="T25">[1]!PropsSI("H","T",J25+273.15,"P",101325,"Water")</f>
        <v>235858.02290341357</v>
      </c>
      <c r="U25" cm="1">
        <f t="array" ref="U25">[1]!PropsSI("H","T",K25+273.15,"P",101325,"Water")</f>
        <v>225461.33332307829</v>
      </c>
      <c r="V25">
        <f t="shared" si="6"/>
        <v>219.15810559913822</v>
      </c>
    </row>
    <row r="26" spans="1:22" x14ac:dyDescent="0.2">
      <c r="A26">
        <v>46068.618245231482</v>
      </c>
      <c r="B26">
        <v>19.848831000000001</v>
      </c>
      <c r="C26">
        <v>19.783425999999999</v>
      </c>
      <c r="D26">
        <v>19.977957</v>
      </c>
      <c r="E26">
        <v>19.854807999999998</v>
      </c>
      <c r="F26">
        <v>41.854675</v>
      </c>
      <c r="G26">
        <v>37.978236000000003</v>
      </c>
      <c r="H26">
        <v>27.599663</v>
      </c>
      <c r="I26">
        <v>27.867868999999999</v>
      </c>
      <c r="J26">
        <v>56.319156</v>
      </c>
      <c r="K26">
        <v>53.832098000000002</v>
      </c>
      <c r="L26">
        <v>12.537998999999999</v>
      </c>
      <c r="M26">
        <v>-622.51061200000004</v>
      </c>
      <c r="N26">
        <v>1.293123</v>
      </c>
      <c r="O26">
        <v>2.2654040000000002</v>
      </c>
      <c r="P26">
        <f t="shared" si="4"/>
        <v>2.155205E-5</v>
      </c>
      <c r="Q26" cm="1">
        <f t="array" ref="Q26">[1]!PropsSI("D","T",J26+273.15,"P",101325,"Water")</f>
        <v>985.0489829470099</v>
      </c>
      <c r="R26" cm="1">
        <f t="array" ref="R26">[1]!PropsSI("D","T",K26+273.15,"P",101325,"Water")</f>
        <v>986.25432623298832</v>
      </c>
      <c r="S26">
        <f t="shared" si="5"/>
        <v>985.65165458999911</v>
      </c>
      <c r="T26" cm="1">
        <f t="array" ref="T26">[1]!PropsSI("H","T",J26+273.15,"P",101325,"Water")</f>
        <v>235847.36766286535</v>
      </c>
      <c r="U26" cm="1">
        <f t="array" ref="U26">[1]!PropsSI("H","T",K26+273.15,"P",101325,"Water")</f>
        <v>225444.03431634296</v>
      </c>
      <c r="V26">
        <f t="shared" si="6"/>
        <v>220.99607257930001</v>
      </c>
    </row>
    <row r="27" spans="1:22" x14ac:dyDescent="0.2">
      <c r="A27">
        <v>46068.618361550929</v>
      </c>
      <c r="B27">
        <v>19.868345000000001</v>
      </c>
      <c r="C27">
        <v>19.803939</v>
      </c>
      <c r="D27">
        <v>20.002175000000001</v>
      </c>
      <c r="E27">
        <v>19.871427000000001</v>
      </c>
      <c r="F27">
        <v>42.206719</v>
      </c>
      <c r="G27">
        <v>39.022334999999998</v>
      </c>
      <c r="H27">
        <v>27.970096999999999</v>
      </c>
      <c r="I27">
        <v>30.412709</v>
      </c>
      <c r="J27">
        <v>56.314858999999998</v>
      </c>
      <c r="K27">
        <v>53.829394000000001</v>
      </c>
      <c r="L27">
        <v>12.807782</v>
      </c>
      <c r="M27">
        <v>-622.49550999999997</v>
      </c>
      <c r="N27">
        <v>1.2933110000000001</v>
      </c>
      <c r="O27">
        <v>2.8878970000000002</v>
      </c>
      <c r="P27">
        <f t="shared" si="4"/>
        <v>2.1555183333333337E-5</v>
      </c>
      <c r="Q27" cm="1">
        <f t="array" ref="Q27">[1]!PropsSI("D","T",J27+273.15,"P",101325,"Water")</f>
        <v>985.05109842021341</v>
      </c>
      <c r="R27" cm="1">
        <f t="array" ref="R27">[1]!PropsSI("D","T",K27+273.15,"P",101325,"Water")</f>
        <v>986.25561574321273</v>
      </c>
      <c r="S27">
        <f t="shared" si="5"/>
        <v>985.65335708171301</v>
      </c>
      <c r="T27" cm="1">
        <f t="array" ref="T27">[1]!PropsSI("H","T",J27+273.15,"P",101325,"Water")</f>
        <v>235829.39139499291</v>
      </c>
      <c r="U27" cm="1">
        <f t="array" ref="U27">[1]!PropsSI("H","T",K27+273.15,"P",101325,"Water")</f>
        <v>225432.72471742827</v>
      </c>
      <c r="V27">
        <f t="shared" si="6"/>
        <v>220.88694411161038</v>
      </c>
    </row>
    <row r="28" spans="1:22" x14ac:dyDescent="0.2">
      <c r="A28">
        <v>46068.618477870368</v>
      </c>
      <c r="B28">
        <v>19.855623999999999</v>
      </c>
      <c r="C28">
        <v>19.791322999999998</v>
      </c>
      <c r="D28">
        <v>19.977725</v>
      </c>
      <c r="E28">
        <v>19.856186999999998</v>
      </c>
      <c r="F28">
        <v>42.063431999999999</v>
      </c>
      <c r="G28">
        <v>38.344455000000004</v>
      </c>
      <c r="H28">
        <v>26.711639999999999</v>
      </c>
      <c r="I28">
        <v>30.610116999999999</v>
      </c>
      <c r="J28">
        <v>56.315494999999999</v>
      </c>
      <c r="K28">
        <v>53.829234999999997</v>
      </c>
      <c r="L28">
        <v>11.203372</v>
      </c>
      <c r="M28">
        <v>-622.48489900000004</v>
      </c>
      <c r="N28">
        <v>1.2901720000000001</v>
      </c>
      <c r="O28">
        <v>2.4197280000000001</v>
      </c>
      <c r="P28">
        <f t="shared" si="4"/>
        <v>2.1502866666666667E-5</v>
      </c>
      <c r="Q28" cm="1">
        <f t="array" ref="Q28">[1]!PropsSI("D","T",J28+273.15,"P",101325,"Water")</f>
        <v>985.05078531565414</v>
      </c>
      <c r="R28" cm="1">
        <f t="array" ref="R28">[1]!PropsSI("D","T",K28+273.15,"P",101325,"Water")</f>
        <v>986.25569156728409</v>
      </c>
      <c r="S28">
        <f t="shared" si="5"/>
        <v>985.65323844146906</v>
      </c>
      <c r="T28" cm="1">
        <f t="array" ref="T28">[1]!PropsSI("H","T",J28+273.15,"P",101325,"Water")</f>
        <v>235832.05206628004</v>
      </c>
      <c r="U28" cm="1">
        <f t="array" ref="U28">[1]!PropsSI("H","T",K28+273.15,"P",101325,"Water")</f>
        <v>225432.0596929657</v>
      </c>
      <c r="V28">
        <f t="shared" si="6"/>
        <v>220.42128808126213</v>
      </c>
    </row>
    <row r="29" spans="1:22" x14ac:dyDescent="0.2">
      <c r="A29">
        <v>46068.618594189815</v>
      </c>
      <c r="B29">
        <v>19.838525000000001</v>
      </c>
      <c r="C29">
        <v>19.789000999999999</v>
      </c>
      <c r="D29">
        <v>19.982600000000001</v>
      </c>
      <c r="E29">
        <v>19.849983000000002</v>
      </c>
      <c r="F29">
        <v>41.855353999999998</v>
      </c>
      <c r="G29">
        <v>40.001868999999999</v>
      </c>
      <c r="H29">
        <v>26.452321000000001</v>
      </c>
      <c r="I29">
        <v>28.455287999999999</v>
      </c>
      <c r="J29">
        <v>56.317883000000002</v>
      </c>
      <c r="K29">
        <v>53.830506999999997</v>
      </c>
      <c r="L29">
        <v>13.869769</v>
      </c>
      <c r="M29">
        <v>-622.48693900000001</v>
      </c>
      <c r="N29">
        <v>1.298581</v>
      </c>
      <c r="O29">
        <v>2.167605</v>
      </c>
      <c r="P29">
        <f t="shared" si="4"/>
        <v>2.1643016666666666E-5</v>
      </c>
      <c r="Q29" cm="1">
        <f t="array" ref="Q29">[1]!PropsSI("D","T",J29+273.15,"P",101325,"Water")</f>
        <v>985.04960967449904</v>
      </c>
      <c r="R29" cm="1">
        <f t="array" ref="R29">[1]!PropsSI("D","T",K29+273.15,"P",101325,"Water")</f>
        <v>986.25508497035753</v>
      </c>
      <c r="S29">
        <f t="shared" si="5"/>
        <v>985.65234732242834</v>
      </c>
      <c r="T29" cm="1">
        <f t="array" ref="T29">[1]!PropsSI("H","T",J29+273.15,"P",101325,"Water")</f>
        <v>235842.04213526755</v>
      </c>
      <c r="U29" cm="1">
        <f t="array" ref="U29">[1]!PropsSI("H","T",K29+273.15,"P",101325,"Water")</f>
        <v>225437.37988856056</v>
      </c>
      <c r="V29">
        <f t="shared" si="6"/>
        <v>221.95735521073618</v>
      </c>
    </row>
    <row r="30" spans="1:22" x14ac:dyDescent="0.2">
      <c r="A30">
        <v>46068.618710509261</v>
      </c>
      <c r="B30">
        <v>19.831054999999999</v>
      </c>
      <c r="C30">
        <v>19.776250000000001</v>
      </c>
      <c r="D30">
        <v>19.993537</v>
      </c>
      <c r="E30">
        <v>19.841963</v>
      </c>
      <c r="F30">
        <v>41.764543000000003</v>
      </c>
      <c r="G30">
        <v>39.061216999999999</v>
      </c>
      <c r="H30">
        <v>28.021477999999998</v>
      </c>
      <c r="I30">
        <v>30.465537000000001</v>
      </c>
      <c r="J30">
        <v>56.318361000000003</v>
      </c>
      <c r="K30">
        <v>53.826849000000003</v>
      </c>
      <c r="L30">
        <v>13.453872</v>
      </c>
      <c r="M30">
        <v>-622.48285799999996</v>
      </c>
      <c r="N30">
        <v>1.2961720000000001</v>
      </c>
      <c r="O30">
        <v>2.092921</v>
      </c>
      <c r="P30">
        <f t="shared" si="4"/>
        <v>2.1602866666666669E-5</v>
      </c>
      <c r="Q30" cm="1">
        <f t="array" ref="Q30">[1]!PropsSI("D","T",J30+273.15,"P",101325,"Water")</f>
        <v>985.04937434514625</v>
      </c>
      <c r="R30" cm="1">
        <f t="array" ref="R30">[1]!PropsSI("D","T",K30+273.15,"P",101325,"Water")</f>
        <v>986.25682938600426</v>
      </c>
      <c r="S30">
        <f t="shared" si="5"/>
        <v>985.65310186557531</v>
      </c>
      <c r="T30" cm="1">
        <f t="array" ref="T30">[1]!PropsSI("H","T",J30+273.15,"P",101325,"Water")</f>
        <v>235844.04182271246</v>
      </c>
      <c r="U30" cm="1">
        <f t="array" ref="U30">[1]!PropsSI("H","T",K30+273.15,"P",101325,"Water")</f>
        <v>225422.08014529204</v>
      </c>
      <c r="V30">
        <f t="shared" si="6"/>
        <v>221.91412692332023</v>
      </c>
    </row>
    <row r="31" spans="1:22" x14ac:dyDescent="0.2">
      <c r="A31">
        <v>46068.61882625</v>
      </c>
      <c r="B31">
        <v>19.815534</v>
      </c>
      <c r="C31">
        <v>19.760626999999999</v>
      </c>
      <c r="D31">
        <v>19.976064000000001</v>
      </c>
      <c r="E31">
        <v>19.840064999999999</v>
      </c>
      <c r="F31">
        <v>42.045549999999999</v>
      </c>
      <c r="G31">
        <v>38.267885999999997</v>
      </c>
      <c r="H31">
        <v>26.483874</v>
      </c>
      <c r="I31">
        <v>31.249261000000001</v>
      </c>
      <c r="J31">
        <v>56.316769000000001</v>
      </c>
      <c r="K31">
        <v>53.828440000000001</v>
      </c>
      <c r="L31">
        <v>12.699216</v>
      </c>
      <c r="M31">
        <v>-622.50979500000005</v>
      </c>
      <c r="N31">
        <v>1.289086</v>
      </c>
      <c r="O31">
        <v>2.3116099999999999</v>
      </c>
      <c r="P31">
        <f t="shared" si="4"/>
        <v>2.1484766666666668E-5</v>
      </c>
      <c r="Q31" cm="1">
        <f t="array" ref="Q31">[1]!PropsSI("D","T",J31+273.15,"P",101325,"Water")</f>
        <v>985.05015811447072</v>
      </c>
      <c r="R31" cm="1">
        <f t="array" ref="R31">[1]!PropsSI("D","T",K31+273.15,"P",101325,"Water")</f>
        <v>986.25607068521595</v>
      </c>
      <c r="S31">
        <f t="shared" si="5"/>
        <v>985.65311439984339</v>
      </c>
      <c r="T31" cm="1">
        <f t="array" ref="T31">[1]!PropsSI("H","T",J31+273.15,"P",101325,"Water")</f>
        <v>235837.38177617852</v>
      </c>
      <c r="U31" cm="1">
        <f t="array" ref="U31">[1]!PropsSI("H","T",K31+273.15,"P",101325,"Water")</f>
        <v>225428.73457104687</v>
      </c>
      <c r="V31">
        <f t="shared" si="6"/>
        <v>220.41900041687788</v>
      </c>
    </row>
    <row r="32" spans="1:22" x14ac:dyDescent="0.2">
      <c r="P32" s="1"/>
    </row>
    <row r="33" spans="4:16" x14ac:dyDescent="0.2">
      <c r="D33" s="1" t="s">
        <v>22</v>
      </c>
      <c r="P33" s="1"/>
    </row>
    <row r="34" spans="4:16" x14ac:dyDescent="0.2">
      <c r="D34">
        <f>AVERAGE(V2:V31)</f>
        <v>222.98714006620429</v>
      </c>
      <c r="P34" s="1"/>
    </row>
    <row r="35" spans="4:16" x14ac:dyDescent="0.2">
      <c r="P35" s="1"/>
    </row>
    <row r="36" spans="4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876F-74D2-2F4C-B27B-00D27ADA8BAF}">
  <dimension ref="A1:V36"/>
  <sheetViews>
    <sheetView workbookViewId="0">
      <selection activeCell="D32" sqref="D3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44606.610164215002</v>
      </c>
      <c r="B2">
        <v>19.794298000000001</v>
      </c>
      <c r="C2">
        <v>19.679635999999999</v>
      </c>
      <c r="D2">
        <v>19.987981999999999</v>
      </c>
      <c r="E2">
        <v>19.793030000000002</v>
      </c>
      <c r="F2">
        <v>40.592799999999997</v>
      </c>
      <c r="G2">
        <v>39.264788000000003</v>
      </c>
      <c r="H2">
        <v>27.358671999999999</v>
      </c>
      <c r="I2">
        <v>25.795413</v>
      </c>
      <c r="J2">
        <v>56.144229000000003</v>
      </c>
      <c r="K2">
        <v>51.488003999999997</v>
      </c>
      <c r="L2">
        <v>40.887191999999999</v>
      </c>
      <c r="M2">
        <v>-622.50734699999998</v>
      </c>
      <c r="N2">
        <v>1.291283</v>
      </c>
      <c r="O2">
        <v>2.5234869999999998</v>
      </c>
      <c r="P2">
        <f xml:space="preserve"> N2*0.001/60</f>
        <v>2.1521383333333334E-5</v>
      </c>
      <c r="Q2" cm="1">
        <f t="array" ref="Q2">[1]!PropsSI("D","T",J2+273.15,"P",101325,"Water")</f>
        <v>985.13501050836476</v>
      </c>
      <c r="R2" cm="1">
        <f t="array" ref="R2">[1]!PropsSI("D","T",K2+273.15,"P",101325,"Water")</f>
        <v>987.35480519977068</v>
      </c>
      <c r="S2">
        <f>(Q2+R2)/2</f>
        <v>986.24490785406772</v>
      </c>
      <c r="T2" cm="1">
        <f t="array" ref="T2">[1]!PropsSI("H","T",J2+273.15,"P",101325,"Water")</f>
        <v>235115.57567174055</v>
      </c>
      <c r="U2" cm="1">
        <f t="array" ref="U2">[1]!PropsSI("H","T",K2+273.15,"P",101325,"Water")</f>
        <v>215640.66824308425</v>
      </c>
      <c r="V2">
        <f>S2*P2*(T2-U2)</f>
        <v>413.36181836060121</v>
      </c>
    </row>
    <row r="3" spans="1:22" x14ac:dyDescent="0.2">
      <c r="A3">
        <v>44606.610279955697</v>
      </c>
      <c r="B3">
        <v>19.801779</v>
      </c>
      <c r="C3">
        <v>19.699366999999999</v>
      </c>
      <c r="D3">
        <v>19.977288000000001</v>
      </c>
      <c r="E3">
        <v>19.806574999999999</v>
      </c>
      <c r="F3">
        <v>40.722613000000003</v>
      </c>
      <c r="G3">
        <v>38.643923000000001</v>
      </c>
      <c r="H3">
        <v>27.042075000000001</v>
      </c>
      <c r="I3">
        <v>25.939367000000001</v>
      </c>
      <c r="J3">
        <v>56.154257000000001</v>
      </c>
      <c r="K3">
        <v>51.511687999999999</v>
      </c>
      <c r="L3">
        <v>38.652610000000003</v>
      </c>
      <c r="M3">
        <v>-622.47551099999998</v>
      </c>
      <c r="N3">
        <v>1.291525</v>
      </c>
      <c r="O3">
        <v>1.4891719999999999</v>
      </c>
      <c r="P3">
        <f t="shared" ref="P3" si="0" xml:space="preserve"> N3*0.001/60</f>
        <v>2.1525416666666666E-5</v>
      </c>
      <c r="Q3" cm="1">
        <f t="array" ref="Q3">[1]!PropsSI("D","T",J3+273.15,"P",101325,"Water")</f>
        <v>985.13008389521121</v>
      </c>
      <c r="R3" cm="1">
        <f t="array" ref="R3">[1]!PropsSI("D","T",K3+273.15,"P",101325,"Water")</f>
        <v>987.34386197020456</v>
      </c>
      <c r="S3">
        <f>(Q3+R3)/2</f>
        <v>986.23697293270789</v>
      </c>
      <c r="T3" cm="1">
        <f t="array" ref="T3">[1]!PropsSI("H","T",J3+273.15,"P",101325,"Water")</f>
        <v>235157.52662912884</v>
      </c>
      <c r="U3" cm="1">
        <f t="array" ref="U3">[1]!PropsSI("H","T",K3+273.15,"P",101325,"Water")</f>
        <v>215739.70963795108</v>
      </c>
      <c r="V3">
        <f t="shared" ref="V3:V31" si="1">S3*P3*(T3-U3)</f>
        <v>412.22397821234938</v>
      </c>
    </row>
    <row r="4" spans="1:22" x14ac:dyDescent="0.2">
      <c r="A4">
        <v>44606.6103956964</v>
      </c>
      <c r="B4">
        <v>19.829552</v>
      </c>
      <c r="C4">
        <v>19.741776000000002</v>
      </c>
      <c r="D4">
        <v>19.992279</v>
      </c>
      <c r="E4">
        <v>19.814979000000001</v>
      </c>
      <c r="F4">
        <v>40.073233999999999</v>
      </c>
      <c r="G4">
        <v>38.972498999999999</v>
      </c>
      <c r="H4">
        <v>27.642807999999999</v>
      </c>
      <c r="I4">
        <v>27.243023000000001</v>
      </c>
      <c r="J4">
        <v>56.159350000000003</v>
      </c>
      <c r="K4">
        <v>51.529012999999999</v>
      </c>
      <c r="L4">
        <v>40.166004000000001</v>
      </c>
      <c r="M4">
        <v>-622.5</v>
      </c>
      <c r="N4">
        <v>1.2949630000000001</v>
      </c>
      <c r="O4">
        <v>2.7994759999999999</v>
      </c>
      <c r="P4">
        <f xml:space="preserve"> N4*0.001/60</f>
        <v>2.1582716666666669E-5</v>
      </c>
      <c r="Q4" cm="1">
        <f t="array" ref="Q4">[1]!PropsSI("D","T",J4+273.15,"P",101325,"Water")</f>
        <v>985.12758154085702</v>
      </c>
      <c r="R4" cm="1">
        <f t="array" ref="R4">[1]!PropsSI("D","T",K4+273.15,"P",101325,"Water")</f>
        <v>987.33585463617032</v>
      </c>
      <c r="S4">
        <f t="shared" ref="S4:S31" si="2">(Q4+R4)/2</f>
        <v>986.23171808851362</v>
      </c>
      <c r="T4" cm="1">
        <f t="array" ref="T4">[1]!PropsSI("H","T",J4+273.15,"P",101325,"Water")</f>
        <v>235178.83260963144</v>
      </c>
      <c r="U4" cm="1">
        <f t="array" ref="U4">[1]!PropsSI("H","T",K4+273.15,"P",101325,"Water")</f>
        <v>215812.15917150903</v>
      </c>
      <c r="V4">
        <f t="shared" si="1"/>
        <v>412.23048441642771</v>
      </c>
    </row>
    <row r="5" spans="1:22" x14ac:dyDescent="0.2">
      <c r="A5">
        <v>44606.610512015897</v>
      </c>
      <c r="B5">
        <v>19.880105</v>
      </c>
      <c r="C5">
        <v>19.754978000000001</v>
      </c>
      <c r="D5">
        <v>20.027761000000002</v>
      </c>
      <c r="E5">
        <v>19.839072000000002</v>
      </c>
      <c r="F5">
        <v>40.330916999999999</v>
      </c>
      <c r="G5">
        <v>39.073906999999998</v>
      </c>
      <c r="H5">
        <v>27.204588000000001</v>
      </c>
      <c r="I5">
        <v>25.334389000000002</v>
      </c>
      <c r="J5">
        <v>56.170172999999998</v>
      </c>
      <c r="K5">
        <v>51.548723000000003</v>
      </c>
      <c r="L5">
        <v>40.474151999999997</v>
      </c>
      <c r="M5">
        <v>-622.47796000000005</v>
      </c>
      <c r="N5">
        <v>1.290894</v>
      </c>
      <c r="O5">
        <v>2.1856749999999998</v>
      </c>
      <c r="P5">
        <f t="shared" ref="P5:P31" si="3" xml:space="preserve"> N5*0.001/60</f>
        <v>2.1514900000000003E-5</v>
      </c>
      <c r="Q5" cm="1">
        <f t="array" ref="Q5">[1]!PropsSI("D","T",J5+273.15,"P",101325,"Water")</f>
        <v>985.12226332529497</v>
      </c>
      <c r="R5" cm="1">
        <f t="array" ref="R5">[1]!PropsSI("D","T",K5+273.15,"P",101325,"Water")</f>
        <v>987.32674264110699</v>
      </c>
      <c r="S5">
        <f t="shared" si="2"/>
        <v>986.22450298320098</v>
      </c>
      <c r="T5" cm="1">
        <f t="array" ref="T5">[1]!PropsSI("H","T",J5+273.15,"P",101325,"Water")</f>
        <v>235224.1094196203</v>
      </c>
      <c r="U5" cm="1">
        <f t="array" ref="U5">[1]!PropsSI("H","T",K5+273.15,"P",101325,"Water")</f>
        <v>215894.58238954787</v>
      </c>
      <c r="V5">
        <f t="shared" si="1"/>
        <v>410.14398601737435</v>
      </c>
    </row>
    <row r="6" spans="1:22" x14ac:dyDescent="0.2">
      <c r="A6">
        <v>46068.610628333336</v>
      </c>
      <c r="B6">
        <v>19.859331999999998</v>
      </c>
      <c r="C6">
        <v>19.744827999999998</v>
      </c>
      <c r="D6">
        <v>20.023420999999999</v>
      </c>
      <c r="E6">
        <v>19.844657999999999</v>
      </c>
      <c r="F6">
        <v>40.829746</v>
      </c>
      <c r="G6">
        <v>39.503247000000002</v>
      </c>
      <c r="H6">
        <v>26.826706000000001</v>
      </c>
      <c r="I6">
        <v>25.716131000000001</v>
      </c>
      <c r="J6">
        <v>56.182747999999997</v>
      </c>
      <c r="K6">
        <v>51.561597999999996</v>
      </c>
      <c r="L6">
        <v>37.039220999999998</v>
      </c>
      <c r="M6">
        <v>-622.50163299999997</v>
      </c>
      <c r="N6">
        <v>1.290492</v>
      </c>
      <c r="O6">
        <v>2.2144710000000001</v>
      </c>
      <c r="P6">
        <f t="shared" si="3"/>
        <v>2.1508200000000002E-5</v>
      </c>
      <c r="Q6" cm="1">
        <f t="array" ref="Q6">[1]!PropsSI("D","T",J6+273.15,"P",101325,"Water")</f>
        <v>985.11608330810941</v>
      </c>
      <c r="R6" cm="1">
        <f t="array" ref="R6">[1]!PropsSI("D","T",K6+273.15,"P",101325,"Water")</f>
        <v>987.32078913616976</v>
      </c>
      <c r="S6">
        <f t="shared" si="2"/>
        <v>986.21843622213964</v>
      </c>
      <c r="T6" cm="1">
        <f t="array" ref="T6">[1]!PropsSI("H","T",J6+273.15,"P",101325,"Water")</f>
        <v>235276.71558151123</v>
      </c>
      <c r="U6" cm="1">
        <f t="array" ref="U6">[1]!PropsSI("H","T",K6+273.15,"P",101325,"Water")</f>
        <v>215948.4230899532</v>
      </c>
      <c r="V6">
        <f t="shared" si="1"/>
        <v>409.98755324201869</v>
      </c>
    </row>
    <row r="7" spans="1:22" x14ac:dyDescent="0.2">
      <c r="A7">
        <v>46068.610744652775</v>
      </c>
      <c r="B7">
        <v>19.857479999999999</v>
      </c>
      <c r="C7">
        <v>19.733933</v>
      </c>
      <c r="D7">
        <v>19.999763000000002</v>
      </c>
      <c r="E7">
        <v>19.830891000000001</v>
      </c>
      <c r="F7">
        <v>40.39526</v>
      </c>
      <c r="G7">
        <v>39.449705000000002</v>
      </c>
      <c r="H7">
        <v>27.190956</v>
      </c>
      <c r="I7">
        <v>26.576532</v>
      </c>
      <c r="J7">
        <v>56.188000000000002</v>
      </c>
      <c r="K7">
        <v>51.575586000000001</v>
      </c>
      <c r="L7">
        <v>36.222119999999997</v>
      </c>
      <c r="M7">
        <v>-622.52081499999997</v>
      </c>
      <c r="N7">
        <v>1.2913570000000001</v>
      </c>
      <c r="O7">
        <v>2.1075219999999999</v>
      </c>
      <c r="P7">
        <f t="shared" si="3"/>
        <v>2.152261666666667E-5</v>
      </c>
      <c r="Q7" cm="1">
        <f t="array" ref="Q7">[1]!PropsSI("D","T",J7+273.15,"P",101325,"Water")</f>
        <v>985.11350191164968</v>
      </c>
      <c r="R7" cm="1">
        <f t="array" ref="R7">[1]!PropsSI("D","T",K7+273.15,"P",101325,"Water")</f>
        <v>987.31431976025726</v>
      </c>
      <c r="S7">
        <f t="shared" si="2"/>
        <v>986.21391083595347</v>
      </c>
      <c r="T7" cm="1">
        <f t="array" ref="T7">[1]!PropsSI("H","T",J7+273.15,"P",101325,"Water")</f>
        <v>235298.68677719007</v>
      </c>
      <c r="U7" cm="1">
        <f t="array" ref="U7">[1]!PropsSI("H","T",K7+273.15,"P",101325,"Water")</f>
        <v>216006.91819388539</v>
      </c>
      <c r="V7">
        <f t="shared" si="1"/>
        <v>409.48522705696644</v>
      </c>
    </row>
    <row r="8" spans="1:22" x14ac:dyDescent="0.2">
      <c r="A8">
        <v>46068.610860972221</v>
      </c>
      <c r="B8">
        <v>19.848527000000001</v>
      </c>
      <c r="C8">
        <v>19.721337999999999</v>
      </c>
      <c r="D8">
        <v>20.00714</v>
      </c>
      <c r="E8">
        <v>19.865541</v>
      </c>
      <c r="F8">
        <v>39.644100999999999</v>
      </c>
      <c r="G8">
        <v>38.799588</v>
      </c>
      <c r="H8">
        <v>26.950236</v>
      </c>
      <c r="I8">
        <v>26.852753</v>
      </c>
      <c r="J8">
        <v>56.194048000000002</v>
      </c>
      <c r="K8">
        <v>51.588937999999999</v>
      </c>
      <c r="L8">
        <v>38.246507999999999</v>
      </c>
      <c r="M8">
        <v>-622.49510199999997</v>
      </c>
      <c r="N8">
        <v>1.2976589999999999</v>
      </c>
      <c r="O8">
        <v>2.1211069999999999</v>
      </c>
      <c r="P8">
        <f t="shared" si="3"/>
        <v>2.1627649999999996E-5</v>
      </c>
      <c r="Q8" cm="1">
        <f t="array" ref="Q8">[1]!PropsSI("D","T",J8+273.15,"P",101325,"Water")</f>
        <v>985.11052906582938</v>
      </c>
      <c r="R8" cm="1">
        <f t="array" ref="R8">[1]!PropsSI("D","T",K8+273.15,"P",101325,"Water")</f>
        <v>987.30814335502703</v>
      </c>
      <c r="S8">
        <f t="shared" si="2"/>
        <v>986.20933621042821</v>
      </c>
      <c r="T8" cm="1">
        <f t="array" ref="T8">[1]!PropsSI("H","T",J8+273.15,"P",101325,"Water")</f>
        <v>235323.98796906252</v>
      </c>
      <c r="U8" cm="1">
        <f t="array" ref="U8">[1]!PropsSI("H","T",K8+273.15,"P",101325,"Water")</f>
        <v>216062.75372544961</v>
      </c>
      <c r="V8">
        <f t="shared" si="1"/>
        <v>410.8303838104207</v>
      </c>
    </row>
    <row r="9" spans="1:22" x14ac:dyDescent="0.2">
      <c r="A9">
        <v>46068.610977291668</v>
      </c>
      <c r="B9">
        <v>19.833151999999998</v>
      </c>
      <c r="C9">
        <v>19.751154</v>
      </c>
      <c r="D9">
        <v>20.015349000000001</v>
      </c>
      <c r="E9">
        <v>19.862176999999999</v>
      </c>
      <c r="F9">
        <v>39.916258999999997</v>
      </c>
      <c r="G9">
        <v>38.944873000000001</v>
      </c>
      <c r="H9">
        <v>26.823556</v>
      </c>
      <c r="I9">
        <v>25.257337</v>
      </c>
      <c r="J9">
        <v>56.200097</v>
      </c>
      <c r="K9">
        <v>51.597997999999997</v>
      </c>
      <c r="L9">
        <v>36.218854</v>
      </c>
      <c r="M9">
        <v>-622.50244899999996</v>
      </c>
      <c r="N9">
        <v>1.2937540000000001</v>
      </c>
      <c r="O9">
        <v>2.0900110000000001</v>
      </c>
      <c r="P9">
        <f t="shared" si="3"/>
        <v>2.1562566666666666E-5</v>
      </c>
      <c r="Q9" cm="1">
        <f t="array" ref="Q9">[1]!PropsSI("D","T",J9+273.15,"P",101325,"Water")</f>
        <v>985.10755550412762</v>
      </c>
      <c r="R9" cm="1">
        <f t="array" ref="R9">[1]!PropsSI("D","T",K9+273.15,"P",101325,"Water")</f>
        <v>987.3039517010659</v>
      </c>
      <c r="S9">
        <f t="shared" si="2"/>
        <v>986.20575360259681</v>
      </c>
      <c r="T9" cm="1">
        <f t="array" ref="T9">[1]!PropsSI("H","T",J9+273.15,"P",101325,"Water")</f>
        <v>235349.29335817992</v>
      </c>
      <c r="U9" cm="1">
        <f t="array" ref="U9">[1]!PropsSI("H","T",K9+273.15,"P",101325,"Water")</f>
        <v>216100.6409583565</v>
      </c>
      <c r="V9">
        <f t="shared" si="1"/>
        <v>409.32504381097817</v>
      </c>
    </row>
    <row r="10" spans="1:22" x14ac:dyDescent="0.2">
      <c r="A10">
        <v>44606.611093613101</v>
      </c>
      <c r="B10">
        <v>19.833518000000002</v>
      </c>
      <c r="C10">
        <v>19.756858999999999</v>
      </c>
      <c r="D10">
        <v>20.023140999999999</v>
      </c>
      <c r="E10">
        <v>19.861156999999999</v>
      </c>
      <c r="F10">
        <v>40.219169999999998</v>
      </c>
      <c r="G10">
        <v>38.921413999999999</v>
      </c>
      <c r="H10">
        <v>27.386445999999999</v>
      </c>
      <c r="I10">
        <v>27.751266000000001</v>
      </c>
      <c r="J10">
        <v>56.209328999999997</v>
      </c>
      <c r="K10">
        <v>51.609124999999999</v>
      </c>
      <c r="L10">
        <v>38.957492999999999</v>
      </c>
      <c r="M10">
        <v>-622.47143000000005</v>
      </c>
      <c r="N10">
        <v>1.2948599999999999</v>
      </c>
      <c r="O10">
        <v>2.5489540000000002</v>
      </c>
      <c r="P10">
        <f t="shared" si="3"/>
        <v>2.1580999999999999E-5</v>
      </c>
      <c r="Q10" cm="1">
        <f t="array" ref="Q10">[1]!PropsSI("D","T",J10+273.15,"P",101325,"Water")</f>
        <v>985.10301681380258</v>
      </c>
      <c r="R10" cm="1">
        <f t="array" ref="R10">[1]!PropsSI("D","T",K10+273.15,"P",101325,"Water")</f>
        <v>987.29880301585729</v>
      </c>
      <c r="S10">
        <f t="shared" si="2"/>
        <v>986.20090991482994</v>
      </c>
      <c r="T10" cm="1">
        <f t="array" ref="T10">[1]!PropsSI("H","T",J10+273.15,"P",101325,"Water")</f>
        <v>235387.91453769465</v>
      </c>
      <c r="U10" cm="1">
        <f t="array" ref="U10">[1]!PropsSI("H","T",K10+273.15,"P",101325,"Water")</f>
        <v>216147.17203507552</v>
      </c>
      <c r="V10">
        <f t="shared" si="1"/>
        <v>409.50460617452364</v>
      </c>
    </row>
    <row r="11" spans="1:22" x14ac:dyDescent="0.2">
      <c r="A11">
        <v>44606.611209353803</v>
      </c>
      <c r="B11">
        <v>19.804963999999998</v>
      </c>
      <c r="C11">
        <v>19.716463000000001</v>
      </c>
      <c r="D11">
        <v>20.017126000000001</v>
      </c>
      <c r="E11">
        <v>19.851296000000001</v>
      </c>
      <c r="F11">
        <v>40.035901000000003</v>
      </c>
      <c r="G11">
        <v>40.065308000000002</v>
      </c>
      <c r="H11">
        <v>27.602114</v>
      </c>
      <c r="I11">
        <v>26.026012000000001</v>
      </c>
      <c r="J11">
        <v>56.213943999999998</v>
      </c>
      <c r="K11">
        <v>51.620570000000001</v>
      </c>
      <c r="L11">
        <v>38.864027999999998</v>
      </c>
      <c r="M11">
        <v>-622.52652899999998</v>
      </c>
      <c r="N11">
        <v>1.2967900000000001</v>
      </c>
      <c r="O11">
        <v>2.929808</v>
      </c>
      <c r="P11">
        <f t="shared" si="3"/>
        <v>2.1613166666666668E-5</v>
      </c>
      <c r="Q11" cm="1">
        <f t="array" ref="Q11">[1]!PropsSI("D","T",J11+273.15,"P",101325,"Water")</f>
        <v>985.10074776435863</v>
      </c>
      <c r="R11" cm="1">
        <f t="array" ref="R11">[1]!PropsSI("D","T",K11+273.15,"P",101325,"Water")</f>
        <v>987.29350635382195</v>
      </c>
      <c r="S11">
        <f t="shared" si="2"/>
        <v>986.19712705909023</v>
      </c>
      <c r="T11" cm="1">
        <f t="array" ref="T11">[1]!PropsSI("H","T",J11+273.15,"P",101325,"Water")</f>
        <v>235407.22095617533</v>
      </c>
      <c r="U11" cm="1">
        <f t="array" ref="U11">[1]!PropsSI("H","T",K11+273.15,"P",101325,"Water")</f>
        <v>216195.03296947287</v>
      </c>
      <c r="V11">
        <f t="shared" si="1"/>
        <v>409.50476818917133</v>
      </c>
    </row>
    <row r="12" spans="1:22" x14ac:dyDescent="0.2">
      <c r="A12">
        <v>44606.611325673301</v>
      </c>
      <c r="B12">
        <v>19.804948</v>
      </c>
      <c r="C12">
        <v>19.718074000000001</v>
      </c>
      <c r="D12">
        <v>19.989252</v>
      </c>
      <c r="E12">
        <v>19.843468000000001</v>
      </c>
      <c r="F12">
        <v>40.227773999999997</v>
      </c>
      <c r="G12">
        <v>39.167588000000002</v>
      </c>
      <c r="H12">
        <v>27.034189000000001</v>
      </c>
      <c r="I12">
        <v>25.844733000000002</v>
      </c>
      <c r="J12">
        <v>56.226519000000003</v>
      </c>
      <c r="K12">
        <v>51.631537999999999</v>
      </c>
      <c r="L12">
        <v>38.867700999999997</v>
      </c>
      <c r="M12">
        <v>-622.47796000000005</v>
      </c>
      <c r="N12">
        <v>1.2916270000000001</v>
      </c>
      <c r="O12">
        <v>2.491908</v>
      </c>
      <c r="P12">
        <f t="shared" si="3"/>
        <v>2.1527116666666666E-5</v>
      </c>
      <c r="Q12" cm="1">
        <f t="array" ref="Q12">[1]!PropsSI("D","T",J12+273.15,"P",101325,"Water")</f>
        <v>985.09456437230313</v>
      </c>
      <c r="R12" cm="1">
        <f t="array" ref="R12">[1]!PropsSI("D","T",K12+273.15,"P",101325,"Water")</f>
        <v>987.28842965236845</v>
      </c>
      <c r="S12">
        <f t="shared" si="2"/>
        <v>986.19149701233573</v>
      </c>
      <c r="T12" cm="1">
        <f t="array" ref="T12">[1]!PropsSI("H","T",J12+273.15,"P",101325,"Water")</f>
        <v>235459.82732718522</v>
      </c>
      <c r="U12" cm="1">
        <f t="array" ref="U12">[1]!PropsSI("H","T",K12+273.15,"P",101325,"Water")</f>
        <v>216240.89921353976</v>
      </c>
      <c r="V12">
        <f t="shared" si="1"/>
        <v>408.01514189932163</v>
      </c>
    </row>
    <row r="13" spans="1:22" x14ac:dyDescent="0.2">
      <c r="A13">
        <v>44606.611441992703</v>
      </c>
      <c r="B13">
        <v>19.766272000000001</v>
      </c>
      <c r="C13">
        <v>19.693192</v>
      </c>
      <c r="D13">
        <v>20.006637000000001</v>
      </c>
      <c r="E13">
        <v>19.825516</v>
      </c>
      <c r="F13">
        <v>39.085003999999998</v>
      </c>
      <c r="G13">
        <v>38.914752</v>
      </c>
      <c r="H13">
        <v>26.736249000000001</v>
      </c>
      <c r="I13">
        <v>28.361564000000001</v>
      </c>
      <c r="J13">
        <v>56.226837000000003</v>
      </c>
      <c r="K13">
        <v>51.638531999999998</v>
      </c>
      <c r="L13">
        <v>39.228090999999999</v>
      </c>
      <c r="M13">
        <v>-622.5</v>
      </c>
      <c r="N13">
        <v>1.2937460000000001</v>
      </c>
      <c r="O13">
        <v>1.669394</v>
      </c>
      <c r="P13">
        <f t="shared" si="3"/>
        <v>2.1562433333333336E-5</v>
      </c>
      <c r="Q13" cm="1">
        <f t="array" ref="Q13">[1]!PropsSI("D","T",J13+273.15,"P",101325,"Water")</f>
        <v>985.09440799244169</v>
      </c>
      <c r="R13" cm="1">
        <f t="array" ref="R13">[1]!PropsSI("D","T",K13+273.15,"P",101325,"Water")</f>
        <v>987.28519197129992</v>
      </c>
      <c r="S13">
        <f t="shared" si="2"/>
        <v>986.18979998187081</v>
      </c>
      <c r="T13" cm="1">
        <f t="array" ref="T13">[1]!PropsSI("H","T",J13+273.15,"P",101325,"Water")</f>
        <v>235461.15765208052</v>
      </c>
      <c r="U13" cm="1">
        <f t="array" ref="U13">[1]!PropsSI("H","T",K13+273.15,"P",101325,"Water")</f>
        <v>216270.14690906234</v>
      </c>
      <c r="V13">
        <f t="shared" si="1"/>
        <v>408.09016144974657</v>
      </c>
    </row>
    <row r="14" spans="1:22" x14ac:dyDescent="0.2">
      <c r="A14">
        <v>44606.6115577335</v>
      </c>
      <c r="B14">
        <v>19.790348000000002</v>
      </c>
      <c r="C14">
        <v>19.707775999999999</v>
      </c>
      <c r="D14">
        <v>20.005426</v>
      </c>
      <c r="E14">
        <v>19.848217000000002</v>
      </c>
      <c r="F14">
        <v>40.568176000000001</v>
      </c>
      <c r="G14">
        <v>38.578679999999999</v>
      </c>
      <c r="H14">
        <v>27.177548999999999</v>
      </c>
      <c r="I14">
        <v>26.371428999999999</v>
      </c>
      <c r="J14">
        <v>56.227314999999997</v>
      </c>
      <c r="K14">
        <v>51.636941999999998</v>
      </c>
      <c r="L14">
        <v>39.659906999999997</v>
      </c>
      <c r="M14">
        <v>-622.50163299999997</v>
      </c>
      <c r="N14">
        <v>1.2961309999999999</v>
      </c>
      <c r="O14">
        <v>1.9972049999999999</v>
      </c>
      <c r="P14">
        <f t="shared" si="3"/>
        <v>2.1602183333333331E-5</v>
      </c>
      <c r="Q14" cm="1">
        <f t="array" ref="Q14">[1]!PropsSI("D","T",J14+273.15,"P",101325,"Water")</f>
        <v>985.09417292973694</v>
      </c>
      <c r="R14" cm="1">
        <f t="array" ref="R14">[1]!PropsSI("D","T",K14+273.15,"P",101325,"Water")</f>
        <v>987.28592804599214</v>
      </c>
      <c r="S14">
        <f t="shared" si="2"/>
        <v>986.19005048786448</v>
      </c>
      <c r="T14" cm="1">
        <f t="array" ref="T14">[1]!PropsSI("H","T",J14+273.15,"P",101325,"Water")</f>
        <v>235463.15732291373</v>
      </c>
      <c r="U14" cm="1">
        <f t="array" ref="U14">[1]!PropsSI("H","T",K14+273.15,"P",101325,"Water")</f>
        <v>216263.49780339468</v>
      </c>
      <c r="V14">
        <f t="shared" si="1"/>
        <v>409.02682527733288</v>
      </c>
    </row>
    <row r="15" spans="1:22" x14ac:dyDescent="0.2">
      <c r="A15">
        <v>46068.611674050924</v>
      </c>
      <c r="B15">
        <v>19.809480000000001</v>
      </c>
      <c r="C15">
        <v>19.739757000000001</v>
      </c>
      <c r="D15">
        <v>20.001173000000001</v>
      </c>
      <c r="E15">
        <v>19.850441</v>
      </c>
      <c r="F15">
        <v>40.669209000000002</v>
      </c>
      <c r="G15">
        <v>39.548378</v>
      </c>
      <c r="H15">
        <v>26.466055000000001</v>
      </c>
      <c r="I15">
        <v>27.764146</v>
      </c>
      <c r="J15">
        <v>56.230657000000001</v>
      </c>
      <c r="K15">
        <v>51.649341</v>
      </c>
      <c r="L15">
        <v>40.288446999999998</v>
      </c>
      <c r="M15">
        <v>-622.51183600000002</v>
      </c>
      <c r="N15">
        <v>1.2992570000000001</v>
      </c>
      <c r="O15">
        <v>2.4492229999999999</v>
      </c>
      <c r="P15">
        <f t="shared" si="3"/>
        <v>2.1654283333333334E-5</v>
      </c>
      <c r="Q15" cm="1">
        <f t="array" ref="Q15">[1]!PropsSI("D","T",J15+273.15,"P",101325,"Water")</f>
        <v>985.09252941867601</v>
      </c>
      <c r="R15" cm="1">
        <f t="array" ref="R15">[1]!PropsSI("D","T",K15+273.15,"P",101325,"Water")</f>
        <v>987.2801876208373</v>
      </c>
      <c r="S15">
        <f t="shared" si="2"/>
        <v>986.1863585197566</v>
      </c>
      <c r="T15" cm="1">
        <f t="array" ref="T15">[1]!PropsSI("H","T",J15+273.15,"P",101325,"Water")</f>
        <v>235477.13828768596</v>
      </c>
      <c r="U15" cm="1">
        <f t="array" ref="U15">[1]!PropsSI("H","T",K15+273.15,"P",101325,"Water")</f>
        <v>216315.34830293769</v>
      </c>
      <c r="V15">
        <f t="shared" si="1"/>
        <v>409.20306853113965</v>
      </c>
    </row>
    <row r="16" spans="1:22" x14ac:dyDescent="0.2">
      <c r="A16">
        <v>46068.61178979167</v>
      </c>
      <c r="B16">
        <v>19.818404000000001</v>
      </c>
      <c r="C16">
        <v>19.738851</v>
      </c>
      <c r="D16">
        <v>20.023714999999999</v>
      </c>
      <c r="E16">
        <v>19.845638000000001</v>
      </c>
      <c r="F16">
        <v>40.312041999999998</v>
      </c>
      <c r="G16">
        <v>38.974423999999999</v>
      </c>
      <c r="H16">
        <v>26.33033</v>
      </c>
      <c r="I16">
        <v>25.875734999999999</v>
      </c>
      <c r="J16">
        <v>56.230497999999997</v>
      </c>
      <c r="K16">
        <v>51.654744999999998</v>
      </c>
      <c r="L16">
        <v>39.398694999999996</v>
      </c>
      <c r="M16">
        <v>-622.506122</v>
      </c>
      <c r="N16">
        <v>1.28955</v>
      </c>
      <c r="O16">
        <v>2.7331409999999998</v>
      </c>
      <c r="P16">
        <f t="shared" si="3"/>
        <v>2.1492500000000001E-5</v>
      </c>
      <c r="Q16" cm="1">
        <f t="array" ref="Q16">[1]!PropsSI("D","T",J16+273.15,"P",101325,"Water")</f>
        <v>985.09260761240512</v>
      </c>
      <c r="R16" cm="1">
        <f t="array" ref="R16">[1]!PropsSI("D","T",K16+273.15,"P",101325,"Water")</f>
        <v>987.27768539510305</v>
      </c>
      <c r="S16">
        <f t="shared" si="2"/>
        <v>986.18514650375414</v>
      </c>
      <c r="T16" cm="1">
        <f t="array" ref="T16">[1]!PropsSI("H","T",J16+273.15,"P",101325,"Water")</f>
        <v>235476.47312505051</v>
      </c>
      <c r="U16" cm="1">
        <f t="array" ref="U16">[1]!PropsSI("H","T",K16+273.15,"P",101325,"Water")</f>
        <v>216337.94692254541</v>
      </c>
      <c r="V16">
        <f t="shared" si="1"/>
        <v>405.65224476099229</v>
      </c>
    </row>
    <row r="17" spans="1:22" x14ac:dyDescent="0.2">
      <c r="A17">
        <v>46068.611906111109</v>
      </c>
      <c r="B17">
        <v>19.803609999999999</v>
      </c>
      <c r="C17">
        <v>19.71303</v>
      </c>
      <c r="D17">
        <v>20.00882</v>
      </c>
      <c r="E17">
        <v>19.835260000000002</v>
      </c>
      <c r="F17">
        <v>40.110855000000001</v>
      </c>
      <c r="G17">
        <v>39.441695000000003</v>
      </c>
      <c r="H17">
        <v>27.827825000000001</v>
      </c>
      <c r="I17">
        <v>26.946559000000001</v>
      </c>
      <c r="J17">
        <v>56.230975000000001</v>
      </c>
      <c r="K17">
        <v>51.648546000000003</v>
      </c>
      <c r="L17">
        <v>37.043711000000002</v>
      </c>
      <c r="M17">
        <v>-622.48285799999996</v>
      </c>
      <c r="N17">
        <v>1.2909310000000001</v>
      </c>
      <c r="O17">
        <v>1.989784</v>
      </c>
      <c r="P17">
        <f t="shared" si="3"/>
        <v>2.1515516666666668E-5</v>
      </c>
      <c r="Q17" cm="1">
        <f t="array" ref="Q17">[1]!PropsSI("D","T",J17+273.15,"P",101325,"Water")</f>
        <v>985.09237303075099</v>
      </c>
      <c r="R17" cm="1">
        <f t="array" ref="R17">[1]!PropsSI("D","T",K17+273.15,"P",101325,"Water")</f>
        <v>987.28055571554614</v>
      </c>
      <c r="S17">
        <f t="shared" si="2"/>
        <v>986.18646437314851</v>
      </c>
      <c r="T17" cm="1">
        <f t="array" ref="T17">[1]!PropsSI("H","T",J17+273.15,"P",101325,"Water")</f>
        <v>235478.46861308685</v>
      </c>
      <c r="U17" cm="1">
        <f t="array" ref="U17">[1]!PropsSI("H","T",K17+273.15,"P",101325,"Water")</f>
        <v>216312.02374733009</v>
      </c>
      <c r="V17">
        <f t="shared" si="1"/>
        <v>406.67959388025758</v>
      </c>
    </row>
    <row r="18" spans="1:22" x14ac:dyDescent="0.2">
      <c r="A18">
        <v>46068.612022430556</v>
      </c>
      <c r="B18">
        <v>19.802364000000001</v>
      </c>
      <c r="C18">
        <v>19.717368</v>
      </c>
      <c r="D18">
        <v>19.985761</v>
      </c>
      <c r="E18">
        <v>19.830359999999999</v>
      </c>
      <c r="F18">
        <v>40.396999000000001</v>
      </c>
      <c r="G18">
        <v>38.006799000000001</v>
      </c>
      <c r="H18">
        <v>27.584026999999999</v>
      </c>
      <c r="I18">
        <v>25.257463999999999</v>
      </c>
      <c r="J18">
        <v>56.231771000000002</v>
      </c>
      <c r="K18">
        <v>51.657288999999999</v>
      </c>
      <c r="L18">
        <v>40.248857000000001</v>
      </c>
      <c r="M18">
        <v>-622.50816299999997</v>
      </c>
      <c r="N18">
        <v>1.2945690000000001</v>
      </c>
      <c r="O18">
        <v>1.5586329999999999</v>
      </c>
      <c r="P18">
        <f t="shared" si="3"/>
        <v>2.1576150000000002E-5</v>
      </c>
      <c r="Q18" cm="1">
        <f t="array" ref="Q18">[1]!PropsSI("D","T",J18+273.15,"P",101325,"Water")</f>
        <v>985.09198156644163</v>
      </c>
      <c r="R18" cm="1">
        <f t="array" ref="R18">[1]!PropsSI("D","T",K18+273.15,"P",101325,"Water")</f>
        <v>987.27650737620752</v>
      </c>
      <c r="S18">
        <f t="shared" si="2"/>
        <v>986.18424447132452</v>
      </c>
      <c r="T18" cm="1">
        <f t="array" ref="T18">[1]!PropsSI("H","T",J18+273.15,"P",101325,"Water")</f>
        <v>235481.7986102096</v>
      </c>
      <c r="U18" cm="1">
        <f t="array" ref="U18">[1]!PropsSI("H","T",K18+273.15,"P",101325,"Water")</f>
        <v>216348.58550599945</v>
      </c>
      <c r="V18">
        <f t="shared" si="1"/>
        <v>407.11764085643046</v>
      </c>
    </row>
    <row r="19" spans="1:22" x14ac:dyDescent="0.2">
      <c r="A19">
        <v>46068.612138171295</v>
      </c>
      <c r="B19">
        <v>19.806084999999999</v>
      </c>
      <c r="C19">
        <v>19.702940000000002</v>
      </c>
      <c r="D19">
        <v>19.989913999999999</v>
      </c>
      <c r="E19">
        <v>19.816775</v>
      </c>
      <c r="F19">
        <v>39.298158999999998</v>
      </c>
      <c r="G19">
        <v>38.222434</v>
      </c>
      <c r="H19">
        <v>26.873082</v>
      </c>
      <c r="I19">
        <v>28.283916000000001</v>
      </c>
      <c r="J19">
        <v>56.233840999999998</v>
      </c>
      <c r="K19">
        <v>51.660944999999998</v>
      </c>
      <c r="L19">
        <v>38.990552000000001</v>
      </c>
      <c r="M19">
        <v>-622.47387900000001</v>
      </c>
      <c r="N19">
        <v>1.291242</v>
      </c>
      <c r="O19">
        <v>2.083504</v>
      </c>
      <c r="P19">
        <f t="shared" si="3"/>
        <v>2.1520699999999999E-5</v>
      </c>
      <c r="Q19" cm="1">
        <f t="array" ref="Q19">[1]!PropsSI("D","T",J19+273.15,"P",101325,"Water")</f>
        <v>985.09096354433791</v>
      </c>
      <c r="R19" cm="1">
        <f t="array" ref="R19">[1]!PropsSI("D","T",K19+273.15,"P",101325,"Water")</f>
        <v>987.2748143641877</v>
      </c>
      <c r="S19">
        <f t="shared" si="2"/>
        <v>986.18288895426281</v>
      </c>
      <c r="T19" cm="1">
        <f t="array" ref="T19">[1]!PropsSI("H","T",J19+273.15,"P",101325,"Water")</f>
        <v>235490.45827721772</v>
      </c>
      <c r="U19" cm="1">
        <f t="array" ref="U19">[1]!PropsSI("H","T",K19+273.15,"P",101325,"Water")</f>
        <v>216363.87429147708</v>
      </c>
      <c r="V19">
        <f t="shared" si="1"/>
        <v>405.9301116079202</v>
      </c>
    </row>
    <row r="20" spans="1:22" x14ac:dyDescent="0.2">
      <c r="A20">
        <v>46068.612253912041</v>
      </c>
      <c r="B20">
        <v>19.777839</v>
      </c>
      <c r="C20">
        <v>19.664446000000002</v>
      </c>
      <c r="D20">
        <v>19.970507999999999</v>
      </c>
      <c r="E20">
        <v>19.806298000000002</v>
      </c>
      <c r="F20">
        <v>40.117637999999999</v>
      </c>
      <c r="G20">
        <v>39.687922999999998</v>
      </c>
      <c r="H20">
        <v>26.948454000000002</v>
      </c>
      <c r="I20">
        <v>27.263418000000001</v>
      </c>
      <c r="J20">
        <v>56.228906000000002</v>
      </c>
      <c r="K20">
        <v>51.655698999999998</v>
      </c>
      <c r="L20">
        <v>40.734138999999999</v>
      </c>
      <c r="M20">
        <v>-622.48244999999997</v>
      </c>
      <c r="N20">
        <v>1.2901359999999999</v>
      </c>
      <c r="O20">
        <v>2.3396690000000002</v>
      </c>
      <c r="P20">
        <f t="shared" si="3"/>
        <v>2.1502266666666666E-5</v>
      </c>
      <c r="Q20" cm="1">
        <f t="array" ref="Q20">[1]!PropsSI("D","T",J20+273.15,"P",101325,"Water")</f>
        <v>985.0933905247141</v>
      </c>
      <c r="R20" cm="1">
        <f t="array" ref="R20">[1]!PropsSI("D","T",K20+273.15,"P",101325,"Water")</f>
        <v>987.27724364290088</v>
      </c>
      <c r="S20">
        <f t="shared" si="2"/>
        <v>986.18531708380749</v>
      </c>
      <c r="T20" cm="1">
        <f t="array" ref="T20">[1]!PropsSI("H","T",J20+273.15,"P",101325,"Water")</f>
        <v>235469.81313179294</v>
      </c>
      <c r="U20" cm="1">
        <f t="array" ref="U20">[1]!PropsSI("H","T",K20+273.15,"P",101325,"Water")</f>
        <v>216341.93639109746</v>
      </c>
      <c r="V20">
        <f t="shared" si="1"/>
        <v>405.61082812027672</v>
      </c>
    </row>
    <row r="21" spans="1:22" x14ac:dyDescent="0.2">
      <c r="A21">
        <v>46068.61237023148</v>
      </c>
      <c r="B21">
        <v>19.763635000000001</v>
      </c>
      <c r="C21">
        <v>19.661217000000001</v>
      </c>
      <c r="D21">
        <v>19.971985</v>
      </c>
      <c r="E21">
        <v>19.80753</v>
      </c>
      <c r="F21">
        <v>39.805402000000001</v>
      </c>
      <c r="G21">
        <v>39.113692999999998</v>
      </c>
      <c r="H21">
        <v>27.008251000000001</v>
      </c>
      <c r="I21">
        <v>27.275386999999998</v>
      </c>
      <c r="J21">
        <v>56.225405000000002</v>
      </c>
      <c r="K21">
        <v>51.658560000000001</v>
      </c>
      <c r="L21">
        <v>37.430222000000001</v>
      </c>
      <c r="M21">
        <v>-622.474695</v>
      </c>
      <c r="N21">
        <v>1.2966470000000001</v>
      </c>
      <c r="O21">
        <v>2.1938840000000002</v>
      </c>
      <c r="P21">
        <f t="shared" si="3"/>
        <v>2.1610783333333337E-5</v>
      </c>
      <c r="Q21" cm="1">
        <f t="array" ref="Q21">[1]!PropsSI("D","T",J21+273.15,"P",101325,"Water")</f>
        <v>985.09511218867578</v>
      </c>
      <c r="R21" cm="1">
        <f t="array" ref="R21">[1]!PropsSI("D","T",K21+273.15,"P",101325,"Water")</f>
        <v>987.27591881423746</v>
      </c>
      <c r="S21">
        <f t="shared" si="2"/>
        <v>986.18551550145662</v>
      </c>
      <c r="T21" cm="1">
        <f t="array" ref="T21">[1]!PropsSI("H","T",J21+273.15,"P",101325,"Water")</f>
        <v>235455.16700687908</v>
      </c>
      <c r="U21" cm="1">
        <f t="array" ref="U21">[1]!PropsSI("H","T",K21+273.15,"P",101325,"Water")</f>
        <v>216353.90061666805</v>
      </c>
      <c r="V21">
        <f t="shared" si="1"/>
        <v>407.09080230170957</v>
      </c>
    </row>
    <row r="22" spans="1:22" x14ac:dyDescent="0.2">
      <c r="A22">
        <v>46068.612485972226</v>
      </c>
      <c r="B22">
        <v>19.720124999999999</v>
      </c>
      <c r="C22">
        <v>19.641867999999999</v>
      </c>
      <c r="D22">
        <v>19.938611999999999</v>
      </c>
      <c r="E22">
        <v>19.790811999999999</v>
      </c>
      <c r="F22">
        <v>39.657418</v>
      </c>
      <c r="G22">
        <v>38.944522999999997</v>
      </c>
      <c r="H22">
        <v>26.386745000000001</v>
      </c>
      <c r="I22">
        <v>27.541024</v>
      </c>
      <c r="J22">
        <v>56.224767999999997</v>
      </c>
      <c r="K22">
        <v>51.650452999999999</v>
      </c>
      <c r="L22">
        <v>39.345637000000004</v>
      </c>
      <c r="M22">
        <v>-622.50326500000006</v>
      </c>
      <c r="N22">
        <v>1.2917829999999999</v>
      </c>
      <c r="O22">
        <v>2.1314380000000002</v>
      </c>
      <c r="P22">
        <f t="shared" si="3"/>
        <v>2.1529716666666665E-5</v>
      </c>
      <c r="Q22" cm="1">
        <f t="array" ref="Q22">[1]!PropsSI("D","T",J22+273.15,"P",101325,"Water")</f>
        <v>985.09542543392422</v>
      </c>
      <c r="R22" cm="1">
        <f t="array" ref="R22">[1]!PropsSI("D","T",K22+273.15,"P",101325,"Water")</f>
        <v>987.27967274446132</v>
      </c>
      <c r="S22">
        <f t="shared" si="2"/>
        <v>986.18754908919277</v>
      </c>
      <c r="T22" cm="1">
        <f t="array" ref="T22">[1]!PropsSI("H","T",J22+273.15,"P",101325,"Water")</f>
        <v>235452.50217400648</v>
      </c>
      <c r="U22" cm="1">
        <f t="array" ref="U22">[1]!PropsSI("H","T",K22+273.15,"P",101325,"Water")</f>
        <v>216319.99849928537</v>
      </c>
      <c r="V22">
        <f t="shared" si="1"/>
        <v>406.22779460538396</v>
      </c>
    </row>
    <row r="23" spans="1:22" x14ac:dyDescent="0.2">
      <c r="A23">
        <v>46068.612602291665</v>
      </c>
      <c r="B23">
        <v>19.686305000000001</v>
      </c>
      <c r="C23">
        <v>19.616686999999999</v>
      </c>
      <c r="D23">
        <v>19.908342000000001</v>
      </c>
      <c r="E23">
        <v>19.734188</v>
      </c>
      <c r="F23">
        <v>39.781834000000003</v>
      </c>
      <c r="G23">
        <v>39.065350000000002</v>
      </c>
      <c r="H23">
        <v>27.056267999999999</v>
      </c>
      <c r="I23">
        <v>27.303474999999999</v>
      </c>
      <c r="J23">
        <v>56.224449999999997</v>
      </c>
      <c r="K23">
        <v>51.653632999999999</v>
      </c>
      <c r="L23">
        <v>39.710923999999999</v>
      </c>
      <c r="M23">
        <v>-622.48367399999995</v>
      </c>
      <c r="N23">
        <v>1.2972619999999999</v>
      </c>
      <c r="O23">
        <v>1.745628</v>
      </c>
      <c r="P23">
        <f t="shared" si="3"/>
        <v>2.1621033333333332E-5</v>
      </c>
      <c r="Q23" cm="1">
        <f t="array" ref="Q23">[1]!PropsSI("D","T",J23+273.15,"P",101325,"Water")</f>
        <v>985.09558180976569</v>
      </c>
      <c r="R23" cm="1">
        <f t="array" ref="R23">[1]!PropsSI("D","T",K23+273.15,"P",101325,"Water")</f>
        <v>987.27820030220971</v>
      </c>
      <c r="S23">
        <f t="shared" si="2"/>
        <v>986.18689105598764</v>
      </c>
      <c r="T23" cm="1">
        <f t="array" ref="T23">[1]!PropsSI("H","T",J23+273.15,"P",101325,"Water")</f>
        <v>235451.17184935248</v>
      </c>
      <c r="U23" cm="1">
        <f t="array" ref="U23">[1]!PropsSI("H","T",K23+273.15,"P",101325,"Water")</f>
        <v>216333.29672467348</v>
      </c>
      <c r="V23">
        <f t="shared" si="1"/>
        <v>407.63859140297848</v>
      </c>
    </row>
    <row r="24" spans="1:22" x14ac:dyDescent="0.2">
      <c r="A24">
        <v>46068.612718611112</v>
      </c>
      <c r="B24">
        <v>19.6524</v>
      </c>
      <c r="C24">
        <v>19.584952999999999</v>
      </c>
      <c r="D24">
        <v>19.856086999999999</v>
      </c>
      <c r="E24">
        <v>19.679013000000001</v>
      </c>
      <c r="F24">
        <v>40.410456000000003</v>
      </c>
      <c r="G24">
        <v>38.795555</v>
      </c>
      <c r="H24">
        <v>26.532457000000001</v>
      </c>
      <c r="I24">
        <v>25.933869000000001</v>
      </c>
      <c r="J24">
        <v>56.223176000000002</v>
      </c>
      <c r="K24">
        <v>51.649818000000003</v>
      </c>
      <c r="L24">
        <v>38.519556000000001</v>
      </c>
      <c r="M24">
        <v>-622.48897999999997</v>
      </c>
      <c r="N24">
        <v>1.3001339999999999</v>
      </c>
      <c r="O24">
        <v>0.36300399999999999</v>
      </c>
      <c r="P24">
        <f t="shared" si="3"/>
        <v>2.1668899999999998E-5</v>
      </c>
      <c r="Q24" cm="1">
        <f t="array" ref="Q24">[1]!PropsSI("D","T",J24+273.15,"P",101325,"Water")</f>
        <v>985.09620829032917</v>
      </c>
      <c r="R24" cm="1">
        <f t="array" ref="R24">[1]!PropsSI("D","T",K24+273.15,"P",101325,"Water")</f>
        <v>987.27996676206419</v>
      </c>
      <c r="S24">
        <f t="shared" si="2"/>
        <v>986.18808752619668</v>
      </c>
      <c r="T24" cm="1">
        <f t="array" ref="T24">[1]!PropsSI("H","T",J24+273.15,"P",101325,"Water")</f>
        <v>235445.84218428069</v>
      </c>
      <c r="U24" cm="1">
        <f t="array" ref="U24">[1]!PropsSI("H","T",K24+273.15,"P",101325,"Water")</f>
        <v>216317.34303639526</v>
      </c>
      <c r="V24">
        <f t="shared" si="1"/>
        <v>408.76858675667336</v>
      </c>
    </row>
    <row r="25" spans="1:22" x14ac:dyDescent="0.2">
      <c r="A25">
        <v>46068.61283435185</v>
      </c>
      <c r="B25">
        <v>19.647811999999998</v>
      </c>
      <c r="C25">
        <v>19.595203000000001</v>
      </c>
      <c r="D25">
        <v>19.853138999999999</v>
      </c>
      <c r="E25">
        <v>19.671268000000001</v>
      </c>
      <c r="F25">
        <v>40.412785999999997</v>
      </c>
      <c r="G25">
        <v>39.233471000000002</v>
      </c>
      <c r="H25">
        <v>26.835303</v>
      </c>
      <c r="I25">
        <v>26.915566999999999</v>
      </c>
      <c r="J25">
        <v>56.222698999999999</v>
      </c>
      <c r="K25">
        <v>51.648546000000003</v>
      </c>
      <c r="L25">
        <v>39.737862</v>
      </c>
      <c r="M25">
        <v>-622.47959300000002</v>
      </c>
      <c r="N25">
        <v>1.288308</v>
      </c>
      <c r="O25">
        <v>1.50648</v>
      </c>
      <c r="P25">
        <f t="shared" si="3"/>
        <v>2.14718E-5</v>
      </c>
      <c r="Q25" cm="1">
        <f t="array" ref="Q25">[1]!PropsSI("D","T",J25+273.15,"P",101325,"Water")</f>
        <v>985.09644284917442</v>
      </c>
      <c r="R25" cm="1">
        <f t="array" ref="R25">[1]!PropsSI("D","T",K25+273.15,"P",101325,"Water")</f>
        <v>987.28055571554614</v>
      </c>
      <c r="S25">
        <f t="shared" si="2"/>
        <v>986.18849928236023</v>
      </c>
      <c r="T25" cm="1">
        <f t="array" ref="T25">[1]!PropsSI("H","T",J25+273.15,"P",101325,"Water")</f>
        <v>235443.84669759066</v>
      </c>
      <c r="U25" cm="1">
        <f t="array" ref="U25">[1]!PropsSI("H","T",K25+273.15,"P",101325,"Water")</f>
        <v>216312.02374733009</v>
      </c>
      <c r="V25">
        <f t="shared" si="1"/>
        <v>405.12098506070498</v>
      </c>
    </row>
    <row r="26" spans="1:22" x14ac:dyDescent="0.2">
      <c r="A26">
        <v>46068.612950092589</v>
      </c>
      <c r="B26">
        <v>19.635292</v>
      </c>
      <c r="C26">
        <v>19.586266999999999</v>
      </c>
      <c r="D26">
        <v>19.840195000000001</v>
      </c>
      <c r="E26">
        <v>19.669487</v>
      </c>
      <c r="F26">
        <v>40.078882</v>
      </c>
      <c r="G26">
        <v>38.370266999999998</v>
      </c>
      <c r="H26">
        <v>26.923454</v>
      </c>
      <c r="I26">
        <v>26.623586</v>
      </c>
      <c r="J26">
        <v>56.225085999999997</v>
      </c>
      <c r="K26">
        <v>51.649818000000003</v>
      </c>
      <c r="L26">
        <v>38.914637999999997</v>
      </c>
      <c r="M26">
        <v>-622.48040900000001</v>
      </c>
      <c r="N26">
        <v>1.293221</v>
      </c>
      <c r="O26">
        <v>1.4149449999999999</v>
      </c>
      <c r="P26">
        <f t="shared" si="3"/>
        <v>2.1553683333333333E-5</v>
      </c>
      <c r="Q26" cm="1">
        <f t="array" ref="Q26">[1]!PropsSI("D","T",J26+273.15,"P",101325,"Water")</f>
        <v>985.09526905748339</v>
      </c>
      <c r="R26" cm="1">
        <f t="array" ref="R26">[1]!PropsSI("D","T",K26+273.15,"P",101325,"Water")</f>
        <v>987.27996676206419</v>
      </c>
      <c r="S26">
        <f t="shared" si="2"/>
        <v>986.18761790977373</v>
      </c>
      <c r="T26" cm="1">
        <f t="array" ref="T26">[1]!PropsSI("H","T",J26+273.15,"P",101325,"Water")</f>
        <v>235453.8324987416</v>
      </c>
      <c r="U26" cm="1">
        <f t="array" ref="U26">[1]!PropsSI("H","T",K26+273.15,"P",101325,"Water")</f>
        <v>216317.34303639526</v>
      </c>
      <c r="V26">
        <f t="shared" si="1"/>
        <v>406.7647535344733</v>
      </c>
    </row>
    <row r="27" spans="1:22" x14ac:dyDescent="0.2">
      <c r="A27">
        <v>46068.613066412036</v>
      </c>
      <c r="B27">
        <v>19.673126</v>
      </c>
      <c r="C27">
        <v>19.613076</v>
      </c>
      <c r="D27">
        <v>19.870204999999999</v>
      </c>
      <c r="E27">
        <v>19.696435999999999</v>
      </c>
      <c r="F27">
        <v>39.843342999999997</v>
      </c>
      <c r="G27">
        <v>38.762298000000001</v>
      </c>
      <c r="H27">
        <v>27.350830999999999</v>
      </c>
      <c r="I27">
        <v>25.213329000000002</v>
      </c>
      <c r="J27">
        <v>56.222062000000001</v>
      </c>
      <c r="K27">
        <v>51.651088999999999</v>
      </c>
      <c r="L27">
        <v>38.211407999999999</v>
      </c>
      <c r="M27">
        <v>-622.50857099999996</v>
      </c>
      <c r="N27">
        <v>1.2905819999999999</v>
      </c>
      <c r="O27">
        <v>1.639238</v>
      </c>
      <c r="P27">
        <f t="shared" si="3"/>
        <v>2.1509699999999998E-5</v>
      </c>
      <c r="Q27" cm="1">
        <f t="array" ref="Q27">[1]!PropsSI("D","T",J27+273.15,"P",101325,"Water")</f>
        <v>985.09675608388977</v>
      </c>
      <c r="R27" cm="1">
        <f t="array" ref="R27">[1]!PropsSI("D","T",K27+273.15,"P",101325,"Water")</f>
        <v>987.27937826122138</v>
      </c>
      <c r="S27">
        <f t="shared" si="2"/>
        <v>986.18806717255552</v>
      </c>
      <c r="T27" cm="1">
        <f t="array" ref="T27">[1]!PropsSI("H","T",J27+273.15,"P",101325,"Water")</f>
        <v>235441.18186537598</v>
      </c>
      <c r="U27" cm="1">
        <f t="array" ref="U27">[1]!PropsSI("H","T",K27+273.15,"P",101325,"Water")</f>
        <v>216322.65814414687</v>
      </c>
      <c r="V27">
        <f t="shared" si="1"/>
        <v>405.55377731195074</v>
      </c>
    </row>
    <row r="28" spans="1:22" x14ac:dyDescent="0.2">
      <c r="A28">
        <v>46068.613182731482</v>
      </c>
      <c r="B28">
        <v>19.682518000000002</v>
      </c>
      <c r="C28">
        <v>19.604102999999999</v>
      </c>
      <c r="D28">
        <v>19.879282</v>
      </c>
      <c r="E28">
        <v>19.710018000000002</v>
      </c>
      <c r="F28">
        <v>39.666578000000001</v>
      </c>
      <c r="G28">
        <v>39.340981999999997</v>
      </c>
      <c r="H28">
        <v>26.430344999999999</v>
      </c>
      <c r="I28">
        <v>26.098848</v>
      </c>
      <c r="J28">
        <v>56.217446000000002</v>
      </c>
      <c r="K28">
        <v>51.652202000000003</v>
      </c>
      <c r="L28">
        <v>39.554606</v>
      </c>
      <c r="M28">
        <v>-622.51428499999997</v>
      </c>
      <c r="N28">
        <v>1.2904720000000001</v>
      </c>
      <c r="O28">
        <v>1.912482</v>
      </c>
      <c r="P28">
        <f t="shared" si="3"/>
        <v>2.1507866666666671E-5</v>
      </c>
      <c r="Q28" cm="1">
        <f t="array" ref="Q28">[1]!PropsSI("D","T",J28+273.15,"P",101325,"Water")</f>
        <v>985.09902585468444</v>
      </c>
      <c r="R28" cm="1">
        <f t="array" ref="R28">[1]!PropsSI("D","T",K28+273.15,"P",101325,"Water")</f>
        <v>987.2788629092779</v>
      </c>
      <c r="S28">
        <f t="shared" si="2"/>
        <v>986.18894438198117</v>
      </c>
      <c r="T28" cm="1">
        <f t="array" ref="T28">[1]!PropsSI("H","T",J28+273.15,"P",101325,"Water")</f>
        <v>235421.87124923928</v>
      </c>
      <c r="U28" cm="1">
        <f t="array" ref="U28">[1]!PropsSI("H","T",K28+273.15,"P",101325,"Water")</f>
        <v>216327.31252289118</v>
      </c>
      <c r="V28">
        <f t="shared" si="1"/>
        <v>405.01125430888686</v>
      </c>
    </row>
    <row r="29" spans="1:22" x14ac:dyDescent="0.2">
      <c r="A29">
        <v>46068.613298472221</v>
      </c>
      <c r="B29">
        <v>19.710946</v>
      </c>
      <c r="C29">
        <v>19.63496</v>
      </c>
      <c r="D29">
        <v>19.910708</v>
      </c>
      <c r="E29">
        <v>19.726877000000002</v>
      </c>
      <c r="F29">
        <v>40.336759999999998</v>
      </c>
      <c r="G29">
        <v>38.556007000000001</v>
      </c>
      <c r="H29">
        <v>26.706914000000001</v>
      </c>
      <c r="I29">
        <v>26.626947999999999</v>
      </c>
      <c r="J29">
        <v>56.216968999999999</v>
      </c>
      <c r="K29">
        <v>51.652678999999999</v>
      </c>
      <c r="L29">
        <v>36.610672000000001</v>
      </c>
      <c r="M29">
        <v>-622.49550999999997</v>
      </c>
      <c r="N29">
        <v>1.2994289999999999</v>
      </c>
      <c r="O29">
        <v>1.7647280000000001</v>
      </c>
      <c r="P29">
        <f t="shared" si="3"/>
        <v>2.165715E-5</v>
      </c>
      <c r="Q29" cm="1">
        <f t="array" ref="Q29">[1]!PropsSI("D","T",J29+273.15,"P",101325,"Water")</f>
        <v>985.09926039677566</v>
      </c>
      <c r="R29" cm="1">
        <f t="array" ref="R29">[1]!PropsSI("D","T",K29+273.15,"P",101325,"Water")</f>
        <v>987.27864204171772</v>
      </c>
      <c r="S29">
        <f t="shared" si="2"/>
        <v>986.18895121924675</v>
      </c>
      <c r="T29" cm="1">
        <f t="array" ref="T29">[1]!PropsSI("H","T",J29+273.15,"P",101325,"Water")</f>
        <v>235419.87576358026</v>
      </c>
      <c r="U29" cm="1">
        <f t="array" ref="U29">[1]!PropsSI("H","T",K29+273.15,"P",101325,"Water")</f>
        <v>216329.30725675935</v>
      </c>
      <c r="V29">
        <f t="shared" si="1"/>
        <v>407.73716482968496</v>
      </c>
    </row>
    <row r="31" spans="1:22" x14ac:dyDescent="0.2">
      <c r="D31" s="1" t="s">
        <v>22</v>
      </c>
    </row>
    <row r="32" spans="1:22" x14ac:dyDescent="0.2">
      <c r="D32">
        <f>AVERAGE(V2:V29)</f>
        <v>408.27989913523919</v>
      </c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0616-C6EC-B74E-B619-0FA4C260D474}">
  <dimension ref="A1:V39"/>
  <sheetViews>
    <sheetView topLeftCell="A6" workbookViewId="0">
      <selection activeCell="D39" sqref="D3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44606.6050270622</v>
      </c>
      <c r="B2">
        <v>19.846</v>
      </c>
      <c r="C2">
        <v>19.697925000000001</v>
      </c>
      <c r="D2">
        <v>20.007421000000001</v>
      </c>
      <c r="E2">
        <v>19.807905999999999</v>
      </c>
      <c r="F2">
        <v>37.364792000000001</v>
      </c>
      <c r="G2">
        <v>34.957439999999998</v>
      </c>
      <c r="H2">
        <v>26.869743</v>
      </c>
      <c r="I2">
        <v>23.946145000000001</v>
      </c>
      <c r="J2">
        <v>56.122742000000002</v>
      </c>
      <c r="K2">
        <v>50.102127000000003</v>
      </c>
      <c r="L2">
        <v>81.579847999999998</v>
      </c>
      <c r="M2">
        <v>-622.50449000000003</v>
      </c>
      <c r="N2">
        <v>1.2932870000000001</v>
      </c>
      <c r="O2">
        <v>2.375772</v>
      </c>
      <c r="P2">
        <f xml:space="preserve"> N2*0.001/60</f>
        <v>2.1554783333333336E-5</v>
      </c>
      <c r="Q2" cm="1">
        <f t="array" ref="Q2">[1]!PropsSI("D","T",J2+273.15,"P",101325,"Water")</f>
        <v>985.14556468731109</v>
      </c>
      <c r="R2" cm="1">
        <f t="array" ref="R2">[1]!PropsSI("D","T",K2+273.15,"P",101325,"Water")</f>
        <v>987.98882026115359</v>
      </c>
      <c r="S2">
        <f>(Q2+R2)/2</f>
        <v>986.56719247423234</v>
      </c>
      <c r="T2" cm="1">
        <f t="array" ref="T2">[1]!PropsSI("H","T",J2+273.15,"P",101325,"Water")</f>
        <v>235025.68746527817</v>
      </c>
      <c r="U2" cm="1">
        <f t="array" ref="U2">[1]!PropsSI("H","T",K2+273.15,"P",101325,"Water")</f>
        <v>209845.52141885017</v>
      </c>
      <c r="V2">
        <f>S2*P2*(T2-U2)</f>
        <v>535.46232653037384</v>
      </c>
    </row>
    <row r="3" spans="1:22" x14ac:dyDescent="0.2">
      <c r="A3">
        <v>44606.605142802902</v>
      </c>
      <c r="B3">
        <v>19.876933999999999</v>
      </c>
      <c r="C3">
        <v>19.680053999999998</v>
      </c>
      <c r="D3">
        <v>20.018117</v>
      </c>
      <c r="E3">
        <v>19.836189999999998</v>
      </c>
      <c r="F3">
        <v>36.930356000000003</v>
      </c>
      <c r="G3">
        <v>34.758623999999998</v>
      </c>
      <c r="H3">
        <v>26.911173999999999</v>
      </c>
      <c r="I3">
        <v>24.512394</v>
      </c>
      <c r="J3">
        <v>56.134360999999998</v>
      </c>
      <c r="K3">
        <v>50.109118000000002</v>
      </c>
      <c r="L3">
        <v>75.205473999999995</v>
      </c>
      <c r="M3">
        <v>-622.49102100000005</v>
      </c>
      <c r="N3">
        <v>1.297733</v>
      </c>
      <c r="O3">
        <v>2.5963539999999998</v>
      </c>
      <c r="P3">
        <f t="shared" ref="P3" si="0" xml:space="preserve"> N3*0.001/60</f>
        <v>2.1628883333333336E-5</v>
      </c>
      <c r="Q3" cm="1">
        <f t="array" ref="Q3">[1]!PropsSI("D","T",J3+273.15,"P",101325,"Water")</f>
        <v>985.13985791356538</v>
      </c>
      <c r="R3" cm="1">
        <f t="array" ref="R3">[1]!PropsSI("D","T",K3+273.15,"P",101325,"Water")</f>
        <v>987.98565340908021</v>
      </c>
      <c r="S3">
        <f>(Q3+R3)/2</f>
        <v>986.56275566132285</v>
      </c>
      <c r="T3" cm="1">
        <f t="array" ref="T3">[1]!PropsSI("H","T",J3+273.15,"P",101325,"Water")</f>
        <v>235074.29409271834</v>
      </c>
      <c r="U3" cm="1">
        <f t="array" ref="U3">[1]!PropsSI("H","T",K3+273.15,"P",101325,"Water")</f>
        <v>209874.75339242062</v>
      </c>
      <c r="V3">
        <f t="shared" ref="V3:V31" si="1">S3*P3*(T3-U3)</f>
        <v>537.71411807669335</v>
      </c>
    </row>
    <row r="4" spans="1:22" x14ac:dyDescent="0.2">
      <c r="A4">
        <v>44606.6052591224</v>
      </c>
      <c r="B4">
        <v>19.800111000000001</v>
      </c>
      <c r="C4">
        <v>19.634402999999999</v>
      </c>
      <c r="D4">
        <v>20.033906999999999</v>
      </c>
      <c r="E4">
        <v>19.824242999999999</v>
      </c>
      <c r="F4">
        <v>37.601712999999997</v>
      </c>
      <c r="G4">
        <v>35.165678</v>
      </c>
      <c r="H4">
        <v>27.017796000000001</v>
      </c>
      <c r="I4">
        <v>24.236795999999998</v>
      </c>
      <c r="J4">
        <v>56.141523999999997</v>
      </c>
      <c r="K4">
        <v>50.118015</v>
      </c>
      <c r="L4">
        <v>79.831365000000005</v>
      </c>
      <c r="M4">
        <v>-622.49142900000004</v>
      </c>
      <c r="N4">
        <v>1.2928770000000001</v>
      </c>
      <c r="O4">
        <v>2.5470860000000002</v>
      </c>
      <c r="P4">
        <f xml:space="preserve"> N4*0.001/60</f>
        <v>2.1547950000000001E-5</v>
      </c>
      <c r="Q4" cm="1">
        <f t="array" ref="Q4">[1]!PropsSI("D","T",J4+273.15,"P",101325,"Water")</f>
        <v>985.13633933058873</v>
      </c>
      <c r="R4" cm="1">
        <f t="array" ref="R4">[1]!PropsSI("D","T",K4+273.15,"P",101325,"Water")</f>
        <v>987.98162269533918</v>
      </c>
      <c r="S4">
        <f t="shared" ref="S4:S31" si="2">(Q4+R4)/2</f>
        <v>986.55898101296395</v>
      </c>
      <c r="T4" cm="1">
        <f t="array" ref="T4">[1]!PropsSI("H","T",J4+273.15,"P",101325,"Water")</f>
        <v>235104.25962921558</v>
      </c>
      <c r="U4" cm="1">
        <f t="array" ref="U4">[1]!PropsSI("H","T",K4+273.15,"P",101325,"Water")</f>
        <v>209911.95508165527</v>
      </c>
      <c r="V4">
        <f t="shared" si="1"/>
        <v>535.54616217376895</v>
      </c>
    </row>
    <row r="5" spans="1:22" x14ac:dyDescent="0.2">
      <c r="A5">
        <v>44606.605374863102</v>
      </c>
      <c r="B5">
        <v>19.885558</v>
      </c>
      <c r="C5">
        <v>19.674437999999999</v>
      </c>
      <c r="D5">
        <v>20.118827</v>
      </c>
      <c r="E5">
        <v>19.871538999999999</v>
      </c>
      <c r="F5">
        <v>36.881853999999997</v>
      </c>
      <c r="G5">
        <v>35.589987999999998</v>
      </c>
      <c r="H5">
        <v>26.762626999999998</v>
      </c>
      <c r="I5">
        <v>24.610849999999999</v>
      </c>
      <c r="J5">
        <v>56.142479000000002</v>
      </c>
      <c r="K5">
        <v>50.124687999999999</v>
      </c>
      <c r="L5">
        <v>79.741573000000002</v>
      </c>
      <c r="M5">
        <v>-622.50285699999995</v>
      </c>
      <c r="N5">
        <v>1.287398</v>
      </c>
      <c r="O5">
        <v>2.778699</v>
      </c>
      <c r="P5">
        <f t="shared" ref="P5:P31" si="3" xml:space="preserve"> N5*0.001/60</f>
        <v>2.1456633333333337E-5</v>
      </c>
      <c r="Q5" cm="1">
        <f t="array" ref="Q5">[1]!PropsSI("D","T",J5+273.15,"P",101325,"Water")</f>
        <v>985.13587019514159</v>
      </c>
      <c r="R5" cm="1">
        <f t="array" ref="R5">[1]!PropsSI("D","T",K5+273.15,"P",101325,"Water")</f>
        <v>987.97859920648011</v>
      </c>
      <c r="S5">
        <f t="shared" si="2"/>
        <v>986.5572347008108</v>
      </c>
      <c r="T5" cm="1">
        <f t="array" ref="T5">[1]!PropsSI("H","T",J5+273.15,"P",101325,"Water")</f>
        <v>235108.25475669239</v>
      </c>
      <c r="U5" cm="1">
        <f t="array" ref="U5">[1]!PropsSI("H","T",K5+273.15,"P",101325,"Water")</f>
        <v>209939.85740879434</v>
      </c>
      <c r="V5">
        <f t="shared" si="1"/>
        <v>532.76958939193742</v>
      </c>
    </row>
    <row r="6" spans="1:22" x14ac:dyDescent="0.2">
      <c r="A6">
        <v>46068.605490601854</v>
      </c>
      <c r="B6">
        <v>19.785437999999999</v>
      </c>
      <c r="C6">
        <v>19.656029</v>
      </c>
      <c r="D6">
        <v>20.057670000000002</v>
      </c>
      <c r="E6">
        <v>19.836046</v>
      </c>
      <c r="F6">
        <v>37.944434000000001</v>
      </c>
      <c r="G6">
        <v>34.689743</v>
      </c>
      <c r="H6">
        <v>26.631392000000002</v>
      </c>
      <c r="I6">
        <v>24.776827000000001</v>
      </c>
      <c r="J6">
        <v>56.140568999999999</v>
      </c>
      <c r="K6">
        <v>50.129772000000003</v>
      </c>
      <c r="L6">
        <v>76.449084999999997</v>
      </c>
      <c r="M6">
        <v>-622.506122</v>
      </c>
      <c r="N6">
        <v>1.298692</v>
      </c>
      <c r="O6">
        <v>1.781426</v>
      </c>
      <c r="P6">
        <f t="shared" si="3"/>
        <v>2.1644866666666667E-5</v>
      </c>
      <c r="Q6" cm="1">
        <f t="array" ref="Q6">[1]!PropsSI("D","T",J6+273.15,"P",101325,"Water")</f>
        <v>985.13680846041586</v>
      </c>
      <c r="R6" cm="1">
        <f t="array" ref="R6">[1]!PropsSI("D","T",K6+273.15,"P",101325,"Water")</f>
        <v>987.9762954864409</v>
      </c>
      <c r="S6">
        <f t="shared" si="2"/>
        <v>986.55655197342844</v>
      </c>
      <c r="T6" cm="1">
        <f t="array" ref="T6">[1]!PropsSI("H","T",J6+273.15,"P",101325,"Water")</f>
        <v>235100.2645021253</v>
      </c>
      <c r="U6" cm="1">
        <f t="array" ref="U6">[1]!PropsSI("H","T",K6+273.15,"P",101325,"Water")</f>
        <v>209961.1155367335</v>
      </c>
      <c r="V6">
        <f t="shared" si="1"/>
        <v>536.8184966733271</v>
      </c>
    </row>
    <row r="7" spans="1:22" x14ac:dyDescent="0.2">
      <c r="A7">
        <v>46068.605606921294</v>
      </c>
      <c r="B7">
        <v>19.765042999999999</v>
      </c>
      <c r="C7">
        <v>19.609380000000002</v>
      </c>
      <c r="D7">
        <v>19.993113999999998</v>
      </c>
      <c r="E7">
        <v>19.787768</v>
      </c>
      <c r="F7">
        <v>37.022750000000002</v>
      </c>
      <c r="G7">
        <v>33.595731999999998</v>
      </c>
      <c r="H7">
        <v>26.725664999999999</v>
      </c>
      <c r="I7">
        <v>23.367364999999999</v>
      </c>
      <c r="J7">
        <v>56.143433999999999</v>
      </c>
      <c r="K7">
        <v>50.128501</v>
      </c>
      <c r="L7">
        <v>76.633156999999997</v>
      </c>
      <c r="M7">
        <v>-622.49347</v>
      </c>
      <c r="N7">
        <v>1.2957289999999999</v>
      </c>
      <c r="O7">
        <v>2.009163</v>
      </c>
      <c r="P7">
        <f t="shared" si="3"/>
        <v>2.1595483333333333E-5</v>
      </c>
      <c r="Q7" cm="1">
        <f t="array" ref="Q7">[1]!PropsSI("D","T",J7+273.15,"P",101325,"Water")</f>
        <v>985.13540105411857</v>
      </c>
      <c r="R7" cm="1">
        <f t="array" ref="R7">[1]!PropsSI("D","T",K7+273.15,"P",101325,"Water")</f>
        <v>987.97687143231417</v>
      </c>
      <c r="S7">
        <f t="shared" si="2"/>
        <v>986.55613624321632</v>
      </c>
      <c r="T7" cm="1">
        <f t="array" ref="T7">[1]!PropsSI("H","T",J7+273.15,"P",101325,"Water")</f>
        <v>235112.24988447965</v>
      </c>
      <c r="U7" cm="1">
        <f t="array" ref="U7">[1]!PropsSI("H","T",K7+273.15,"P",101325,"Water")</f>
        <v>209955.80100403883</v>
      </c>
      <c r="V7">
        <f t="shared" si="1"/>
        <v>535.96208283826945</v>
      </c>
    </row>
    <row r="8" spans="1:22" x14ac:dyDescent="0.2">
      <c r="A8">
        <v>46068.60572266204</v>
      </c>
      <c r="B8">
        <v>19.703914000000001</v>
      </c>
      <c r="C8">
        <v>19.586901000000001</v>
      </c>
      <c r="D8">
        <v>20.023071999999999</v>
      </c>
      <c r="E8">
        <v>19.779043999999999</v>
      </c>
      <c r="F8">
        <v>37.611659000000003</v>
      </c>
      <c r="G8">
        <v>34.263365</v>
      </c>
      <c r="H8">
        <v>26.628639</v>
      </c>
      <c r="I8">
        <v>23.949093999999999</v>
      </c>
      <c r="J8">
        <v>56.143751999999999</v>
      </c>
      <c r="K8">
        <v>50.127547999999997</v>
      </c>
      <c r="L8">
        <v>79.235883999999999</v>
      </c>
      <c r="M8">
        <v>-622.48775599999999</v>
      </c>
      <c r="N8">
        <v>1.2874680000000001</v>
      </c>
      <c r="O8">
        <v>2.5408339999999998</v>
      </c>
      <c r="P8">
        <f t="shared" si="3"/>
        <v>2.1457800000000003E-5</v>
      </c>
      <c r="Q8" cm="1">
        <f t="array" ref="Q8">[1]!PropsSI("D","T",J8+273.15,"P",101325,"Water")</f>
        <v>985.13524483629715</v>
      </c>
      <c r="R8" cm="1">
        <f t="array" ref="R8">[1]!PropsSI("D","T",K8+273.15,"P",101325,"Water")</f>
        <v>987.9773032714977</v>
      </c>
      <c r="S8">
        <f t="shared" si="2"/>
        <v>986.55627405389737</v>
      </c>
      <c r="T8" cm="1">
        <f t="array" ref="T8">[1]!PropsSI("H","T",J8+273.15,"P",101325,"Water")</f>
        <v>235113.58019932295</v>
      </c>
      <c r="U8" cm="1">
        <f t="array" ref="U8">[1]!PropsSI("H","T",K8+273.15,"P",101325,"Water")</f>
        <v>209951.81615023717</v>
      </c>
      <c r="V8">
        <f t="shared" si="1"/>
        <v>532.65761652195067</v>
      </c>
    </row>
    <row r="9" spans="1:22" x14ac:dyDescent="0.2">
      <c r="A9">
        <v>46068.605838402778</v>
      </c>
      <c r="B9">
        <v>19.695205999999999</v>
      </c>
      <c r="C9">
        <v>19.569815999999999</v>
      </c>
      <c r="D9">
        <v>20.020246</v>
      </c>
      <c r="E9">
        <v>19.707985999999998</v>
      </c>
      <c r="F9">
        <v>36.865167999999997</v>
      </c>
      <c r="G9">
        <v>32.922198999999999</v>
      </c>
      <c r="H9">
        <v>27.441683999999999</v>
      </c>
      <c r="I9">
        <v>25.147425999999999</v>
      </c>
      <c r="J9">
        <v>56.147571999999997</v>
      </c>
      <c r="K9">
        <v>50.132790999999997</v>
      </c>
      <c r="L9">
        <v>79.258331999999996</v>
      </c>
      <c r="M9">
        <v>-622.50408100000004</v>
      </c>
      <c r="N9">
        <v>1.2882549999999999</v>
      </c>
      <c r="O9">
        <v>2.379813</v>
      </c>
      <c r="P9">
        <f t="shared" si="3"/>
        <v>2.1470916666666665E-5</v>
      </c>
      <c r="Q9" cm="1">
        <f t="array" ref="Q9">[1]!PropsSI("D","T",J9+273.15,"P",101325,"Water")</f>
        <v>985.1333682087627</v>
      </c>
      <c r="R9" cm="1">
        <f t="array" ref="R9">[1]!PropsSI("D","T",K9+273.15,"P",101325,"Water")</f>
        <v>987.97492740264988</v>
      </c>
      <c r="S9">
        <f t="shared" si="2"/>
        <v>986.55414780570629</v>
      </c>
      <c r="T9" cm="1">
        <f t="array" ref="T9">[1]!PropsSI("H","T",J9+273.15,"P",101325,"Water")</f>
        <v>235129.56071441653</v>
      </c>
      <c r="U9" cm="1">
        <f t="array" ref="U9">[1]!PropsSI("H","T",K9+273.15,"P",101325,"Water")</f>
        <v>209973.73912167177</v>
      </c>
      <c r="V9">
        <f t="shared" si="1"/>
        <v>532.85619492077024</v>
      </c>
    </row>
    <row r="10" spans="1:22" x14ac:dyDescent="0.2">
      <c r="A10">
        <v>44606.605954145503</v>
      </c>
      <c r="B10">
        <v>19.675438</v>
      </c>
      <c r="C10">
        <v>19.576589999999999</v>
      </c>
      <c r="D10">
        <v>20.000191000000001</v>
      </c>
      <c r="E10">
        <v>19.747889000000001</v>
      </c>
      <c r="F10">
        <v>37.031357999999997</v>
      </c>
      <c r="G10">
        <v>34.747771</v>
      </c>
      <c r="H10">
        <v>26.713875999999999</v>
      </c>
      <c r="I10">
        <v>24.788377000000001</v>
      </c>
      <c r="J10">
        <v>56.151868999999998</v>
      </c>
      <c r="K10">
        <v>50.137715999999998</v>
      </c>
      <c r="L10">
        <v>79.684841000000006</v>
      </c>
      <c r="M10">
        <v>-622.50897899999995</v>
      </c>
      <c r="N10">
        <v>1.29098</v>
      </c>
      <c r="O10">
        <v>2.2438899999999999</v>
      </c>
      <c r="P10">
        <f t="shared" si="3"/>
        <v>2.1516333333333333E-5</v>
      </c>
      <c r="Q10" cm="1">
        <f t="array" ref="Q10">[1]!PropsSI("D","T",J10+273.15,"P",101325,"Water")</f>
        <v>985.13125714146474</v>
      </c>
      <c r="R10" cm="1">
        <f t="array" ref="R10">[1]!PropsSI("D","T",K10+273.15,"P",101325,"Water")</f>
        <v>987.9726954717089</v>
      </c>
      <c r="S10">
        <f t="shared" si="2"/>
        <v>986.55197630658677</v>
      </c>
      <c r="T10" cm="1">
        <f t="array" ref="T10">[1]!PropsSI("H","T",J10+273.15,"P",101325,"Water")</f>
        <v>235147.53670881037</v>
      </c>
      <c r="U10" cm="1">
        <f t="array" ref="U10">[1]!PropsSI("H","T",K10+273.15,"P",101325,"Water")</f>
        <v>209994.3324217147</v>
      </c>
      <c r="V10">
        <f t="shared" si="1"/>
        <v>533.92659383956504</v>
      </c>
    </row>
    <row r="11" spans="1:22" x14ac:dyDescent="0.2">
      <c r="A11">
        <v>44606.606070465001</v>
      </c>
      <c r="B11">
        <v>19.711030000000001</v>
      </c>
      <c r="C11">
        <v>19.601194</v>
      </c>
      <c r="D11">
        <v>20.057054000000001</v>
      </c>
      <c r="E11">
        <v>19.805101000000001</v>
      </c>
      <c r="F11">
        <v>37.199663999999999</v>
      </c>
      <c r="G11">
        <v>35.607194</v>
      </c>
      <c r="H11">
        <v>26.671523000000001</v>
      </c>
      <c r="I11">
        <v>23.747313999999999</v>
      </c>
      <c r="J11">
        <v>56.155529999999999</v>
      </c>
      <c r="K11">
        <v>50.146613000000002</v>
      </c>
      <c r="L11">
        <v>74.267970000000005</v>
      </c>
      <c r="M11">
        <v>-622.49795900000004</v>
      </c>
      <c r="N11">
        <v>1.287828</v>
      </c>
      <c r="O11">
        <v>2.4666329999999999</v>
      </c>
      <c r="P11">
        <f t="shared" si="3"/>
        <v>2.1463799999999999E-5</v>
      </c>
      <c r="Q11" cm="1">
        <f t="array" ref="Q11">[1]!PropsSI("D","T",J11+273.15,"P",101325,"Water")</f>
        <v>985.12945844436683</v>
      </c>
      <c r="R11" cm="1">
        <f t="array" ref="R11">[1]!PropsSI("D","T",K11+273.15,"P",101325,"Water")</f>
        <v>987.96866309147231</v>
      </c>
      <c r="S11">
        <f t="shared" si="2"/>
        <v>986.54906076791963</v>
      </c>
      <c r="T11" cm="1">
        <f t="array" ref="T11">[1]!PropsSI("H","T",J11+273.15,"P",101325,"Water")</f>
        <v>235162.85207748399</v>
      </c>
      <c r="U11" cm="1">
        <f t="array" ref="U11">[1]!PropsSI("H","T",K11+273.15,"P",101325,"Water")</f>
        <v>210031.53418353738</v>
      </c>
      <c r="V11">
        <f t="shared" si="1"/>
        <v>532.15796171293857</v>
      </c>
    </row>
    <row r="12" spans="1:22" x14ac:dyDescent="0.2">
      <c r="A12">
        <v>44606.606186784396</v>
      </c>
      <c r="B12">
        <v>19.753008000000001</v>
      </c>
      <c r="C12">
        <v>19.601714999999999</v>
      </c>
      <c r="D12">
        <v>20.041083</v>
      </c>
      <c r="E12">
        <v>19.761251000000001</v>
      </c>
      <c r="F12">
        <v>37.573230000000002</v>
      </c>
      <c r="G12">
        <v>34.745964000000001</v>
      </c>
      <c r="H12">
        <v>26.418880000000001</v>
      </c>
      <c r="I12">
        <v>24.614671999999999</v>
      </c>
      <c r="J12">
        <v>56.161579000000003</v>
      </c>
      <c r="K12">
        <v>50.154716000000001</v>
      </c>
      <c r="L12">
        <v>79.037119000000004</v>
      </c>
      <c r="M12">
        <v>-622.50122399999998</v>
      </c>
      <c r="N12">
        <v>1.290734</v>
      </c>
      <c r="O12">
        <v>1.9023669999999999</v>
      </c>
      <c r="P12">
        <f t="shared" si="3"/>
        <v>2.1512233333333334E-5</v>
      </c>
      <c r="Q12" cm="1">
        <f t="array" ref="Q12">[1]!PropsSI("D","T",J12+273.15,"P",101325,"Water")</f>
        <v>985.12648631157583</v>
      </c>
      <c r="R12" cm="1">
        <f t="array" ref="R12">[1]!PropsSI("D","T",K12+273.15,"P",101325,"Water")</f>
        <v>987.96499012419235</v>
      </c>
      <c r="S12">
        <f t="shared" si="2"/>
        <v>986.54573821788404</v>
      </c>
      <c r="T12" cm="1">
        <f t="array" ref="T12">[1]!PropsSI("H","T",J12+273.15,"P",101325,"Water")</f>
        <v>235188.15737816665</v>
      </c>
      <c r="U12" cm="1">
        <f t="array" ref="U12">[1]!PropsSI("H","T",K12+273.15,"P",101325,"Water")</f>
        <v>210065.4159470892</v>
      </c>
      <c r="V12">
        <f t="shared" si="1"/>
        <v>533.17496996673083</v>
      </c>
    </row>
    <row r="13" spans="1:22" x14ac:dyDescent="0.2">
      <c r="A13">
        <v>44606.606303103901</v>
      </c>
      <c r="B13">
        <v>19.756619000000001</v>
      </c>
      <c r="C13">
        <v>19.61223</v>
      </c>
      <c r="D13">
        <v>20.060911999999998</v>
      </c>
      <c r="E13">
        <v>19.771459</v>
      </c>
      <c r="F13">
        <v>37.588704999999997</v>
      </c>
      <c r="G13">
        <v>35.583216999999998</v>
      </c>
      <c r="H13">
        <v>26.877617000000001</v>
      </c>
      <c r="I13">
        <v>24.389756999999999</v>
      </c>
      <c r="J13">
        <v>56.161579000000003</v>
      </c>
      <c r="K13">
        <v>50.157257999999999</v>
      </c>
      <c r="L13">
        <v>76.196853000000004</v>
      </c>
      <c r="M13">
        <v>-622.50653</v>
      </c>
      <c r="N13">
        <v>1.2876110000000001</v>
      </c>
      <c r="O13">
        <v>2.1225679999999998</v>
      </c>
      <c r="P13">
        <f t="shared" si="3"/>
        <v>2.1460183333333335E-5</v>
      </c>
      <c r="Q13" cm="1">
        <f t="array" ref="Q13">[1]!PropsSI("D","T",J13+273.15,"P",101325,"Water")</f>
        <v>985.12648631157583</v>
      </c>
      <c r="R13" cm="1">
        <f t="array" ref="R13">[1]!PropsSI("D","T",K13+273.15,"P",101325,"Water")</f>
        <v>987.96383778547749</v>
      </c>
      <c r="S13">
        <f t="shared" si="2"/>
        <v>986.54516204852666</v>
      </c>
      <c r="T13" cm="1">
        <f t="array" ref="T13">[1]!PropsSI("H","T",J13+273.15,"P",101325,"Water")</f>
        <v>235188.15737816665</v>
      </c>
      <c r="U13" cm="1">
        <f t="array" ref="U13">[1]!PropsSI("H","T",K13+273.15,"P",101325,"Water")</f>
        <v>210076.04503192005</v>
      </c>
      <c r="V13">
        <f t="shared" si="1"/>
        <v>531.65958092113237</v>
      </c>
    </row>
    <row r="14" spans="1:22" x14ac:dyDescent="0.2">
      <c r="A14">
        <v>44606.606418844603</v>
      </c>
      <c r="B14">
        <v>19.708043</v>
      </c>
      <c r="C14">
        <v>19.585156000000001</v>
      </c>
      <c r="D14">
        <v>20.014627999999998</v>
      </c>
      <c r="E14">
        <v>19.756435</v>
      </c>
      <c r="F14">
        <v>37.788986000000001</v>
      </c>
      <c r="G14">
        <v>35.218291000000001</v>
      </c>
      <c r="H14">
        <v>26.869067000000001</v>
      </c>
      <c r="I14">
        <v>25.790554</v>
      </c>
      <c r="J14">
        <v>56.160941999999999</v>
      </c>
      <c r="K14">
        <v>50.161707</v>
      </c>
      <c r="L14">
        <v>78.619589000000005</v>
      </c>
      <c r="M14">
        <v>-622.47510299999999</v>
      </c>
      <c r="N14">
        <v>1.288378</v>
      </c>
      <c r="O14">
        <v>1.991296</v>
      </c>
      <c r="P14">
        <f t="shared" si="3"/>
        <v>2.1472966666666666E-5</v>
      </c>
      <c r="Q14" cm="1">
        <f t="array" ref="Q14">[1]!PropsSI("D","T",J14+273.15,"P",101325,"Water")</f>
        <v>985.12679930751119</v>
      </c>
      <c r="R14" cm="1">
        <f t="array" ref="R14">[1]!PropsSI("D","T",K14+273.15,"P",101325,"Water")</f>
        <v>987.96182086423175</v>
      </c>
      <c r="S14">
        <f t="shared" si="2"/>
        <v>986.54431008587153</v>
      </c>
      <c r="T14" cm="1">
        <f t="array" ref="T14">[1]!PropsSI("H","T",J14+273.15,"P",101325,"Water")</f>
        <v>235185.49256076766</v>
      </c>
      <c r="U14" cm="1">
        <f t="array" ref="U14">[1]!PropsSI("H","T",K14+273.15,"P",101325,"Water")</f>
        <v>210094.64802549273</v>
      </c>
      <c r="V14">
        <f t="shared" si="1"/>
        <v>531.52528078250532</v>
      </c>
    </row>
    <row r="15" spans="1:22" x14ac:dyDescent="0.2">
      <c r="A15">
        <v>46068.606534583334</v>
      </c>
      <c r="B15">
        <v>19.685393999999999</v>
      </c>
      <c r="C15">
        <v>19.604167</v>
      </c>
      <c r="D15">
        <v>19.993573999999999</v>
      </c>
      <c r="E15">
        <v>19.723181</v>
      </c>
      <c r="F15">
        <v>36.832577999999998</v>
      </c>
      <c r="G15">
        <v>34.984642999999998</v>
      </c>
      <c r="H15">
        <v>26.604823</v>
      </c>
      <c r="I15">
        <v>25.030407</v>
      </c>
      <c r="J15">
        <v>56.159032000000003</v>
      </c>
      <c r="K15">
        <v>50.157575999999999</v>
      </c>
      <c r="L15">
        <v>77.872279000000006</v>
      </c>
      <c r="M15">
        <v>-622.49673499999994</v>
      </c>
      <c r="N15">
        <v>1.287201</v>
      </c>
      <c r="O15">
        <v>2.0601470000000002</v>
      </c>
      <c r="P15">
        <f t="shared" si="3"/>
        <v>2.145335E-5</v>
      </c>
      <c r="Q15" cm="1">
        <f t="array" ref="Q15">[1]!PropsSI("D","T",J15+273.15,"P",101325,"Water")</f>
        <v>985.12773778911105</v>
      </c>
      <c r="R15" cm="1">
        <f t="array" ref="R15">[1]!PropsSI("D","T",K15+273.15,"P",101325,"Water")</f>
        <v>987.96369362682776</v>
      </c>
      <c r="S15">
        <f t="shared" si="2"/>
        <v>986.54571570796941</v>
      </c>
      <c r="T15" cm="1">
        <f t="array" ref="T15">[1]!PropsSI("H","T",J15+273.15,"P",101325,"Water")</f>
        <v>235177.50229287325</v>
      </c>
      <c r="U15" cm="1">
        <f t="array" ref="U15">[1]!PropsSI("H","T",K15+273.15,"P",101325,"Water")</f>
        <v>210077.37471300535</v>
      </c>
      <c r="V15">
        <f t="shared" si="1"/>
        <v>531.23693449607106</v>
      </c>
    </row>
    <row r="16" spans="1:22" x14ac:dyDescent="0.2">
      <c r="A16">
        <v>46068.606650324073</v>
      </c>
      <c r="B16">
        <v>19.680399000000001</v>
      </c>
      <c r="C16">
        <v>19.608588999999998</v>
      </c>
      <c r="D16">
        <v>19.985606000000001</v>
      </c>
      <c r="E16">
        <v>19.735977999999999</v>
      </c>
      <c r="F16">
        <v>37.784623000000003</v>
      </c>
      <c r="G16">
        <v>35.259649000000003</v>
      </c>
      <c r="H16">
        <v>26.845953999999999</v>
      </c>
      <c r="I16">
        <v>24.124244999999998</v>
      </c>
      <c r="J16">
        <v>56.155689000000002</v>
      </c>
      <c r="K16">
        <v>50.156941000000003</v>
      </c>
      <c r="L16">
        <v>76.662543999999997</v>
      </c>
      <c r="M16">
        <v>-622.48938799999996</v>
      </c>
      <c r="N16">
        <v>1.297024</v>
      </c>
      <c r="O16">
        <v>1.925724</v>
      </c>
      <c r="P16">
        <f t="shared" si="3"/>
        <v>2.1617066666666667E-5</v>
      </c>
      <c r="Q16" cm="1">
        <f t="array" ref="Q16">[1]!PropsSI("D","T",J16+273.15,"P",101325,"Water")</f>
        <v>985.12938032373484</v>
      </c>
      <c r="R16" cm="1">
        <f t="array" ref="R16">[1]!PropsSI("D","T",K16+273.15,"P",101325,"Water")</f>
        <v>987.96398149012873</v>
      </c>
      <c r="S16">
        <f t="shared" si="2"/>
        <v>986.54668090693178</v>
      </c>
      <c r="T16" cm="1">
        <f t="array" ref="T16">[1]!PropsSI("H","T",J16+273.15,"P",101325,"Water")</f>
        <v>235163.51723564073</v>
      </c>
      <c r="U16" cm="1">
        <f t="array" ref="U16">[1]!PropsSI("H","T",K16+273.15,"P",101325,"Water")</f>
        <v>210074.71953226373</v>
      </c>
      <c r="V16">
        <f t="shared" si="1"/>
        <v>535.04985588419095</v>
      </c>
    </row>
    <row r="17" spans="1:22" x14ac:dyDescent="0.2">
      <c r="A17">
        <v>46068.606766643519</v>
      </c>
      <c r="B17">
        <v>19.620647000000002</v>
      </c>
      <c r="C17">
        <v>19.574936000000001</v>
      </c>
      <c r="D17">
        <v>19.951903999999999</v>
      </c>
      <c r="E17">
        <v>19.698018000000001</v>
      </c>
      <c r="F17">
        <v>37.36591</v>
      </c>
      <c r="G17">
        <v>33.975935</v>
      </c>
      <c r="H17">
        <v>26.184646999999998</v>
      </c>
      <c r="I17">
        <v>25.104738999999999</v>
      </c>
      <c r="J17">
        <v>56.158236000000002</v>
      </c>
      <c r="K17">
        <v>50.153444999999998</v>
      </c>
      <c r="L17">
        <v>78.747337000000002</v>
      </c>
      <c r="M17">
        <v>-622.50122399999998</v>
      </c>
      <c r="N17">
        <v>1.291771</v>
      </c>
      <c r="O17">
        <v>1.9639359999999999</v>
      </c>
      <c r="P17">
        <f t="shared" si="3"/>
        <v>2.1529516666666664E-5</v>
      </c>
      <c r="Q17" cm="1">
        <f t="array" ref="Q17">[1]!PropsSI("D","T",J17+273.15,"P",101325,"Water")</f>
        <v>985.12812889841052</v>
      </c>
      <c r="R17" cm="1">
        <f t="array" ref="R17">[1]!PropsSI("D","T",K17+273.15,"P",101325,"Water")</f>
        <v>987.96556627768268</v>
      </c>
      <c r="S17">
        <f t="shared" si="2"/>
        <v>986.5468475880466</v>
      </c>
      <c r="T17" cm="1">
        <f t="array" ref="T17">[1]!PropsSI("H","T",J17+273.15,"P",101325,"Water")</f>
        <v>235174.17231775567</v>
      </c>
      <c r="U17" cm="1">
        <f t="array" ref="U17">[1]!PropsSI("H","T",K17+273.15,"P",101325,"Water")</f>
        <v>210060.10140537226</v>
      </c>
      <c r="V17">
        <f t="shared" si="1"/>
        <v>533.41977206507045</v>
      </c>
    </row>
    <row r="18" spans="1:22" x14ac:dyDescent="0.2">
      <c r="A18">
        <v>46068.606882962966</v>
      </c>
      <c r="B18">
        <v>19.652006</v>
      </c>
      <c r="C18">
        <v>19.558512</v>
      </c>
      <c r="D18">
        <v>19.955763000000001</v>
      </c>
      <c r="E18">
        <v>19.704595999999999</v>
      </c>
      <c r="F18">
        <v>37.494151000000002</v>
      </c>
      <c r="G18">
        <v>34.656647</v>
      </c>
      <c r="H18">
        <v>26.576015999999999</v>
      </c>
      <c r="I18">
        <v>25.306194000000001</v>
      </c>
      <c r="J18">
        <v>56.162215000000003</v>
      </c>
      <c r="K18">
        <v>50.160277000000001</v>
      </c>
      <c r="L18">
        <v>75.980129000000005</v>
      </c>
      <c r="M18">
        <v>-622.50979500000005</v>
      </c>
      <c r="N18">
        <v>1.287747</v>
      </c>
      <c r="O18">
        <v>2.4311400000000001</v>
      </c>
      <c r="P18">
        <f t="shared" si="3"/>
        <v>2.146245E-5</v>
      </c>
      <c r="Q18" cm="1">
        <f t="array" ref="Q18">[1]!PropsSI("D","T",J18+273.15,"P",101325,"Water")</f>
        <v>985.12617380447625</v>
      </c>
      <c r="R18" cm="1">
        <f t="array" ref="R18">[1]!PropsSI("D","T",K18+273.15,"P",101325,"Water")</f>
        <v>987.96246915830682</v>
      </c>
      <c r="S18">
        <f t="shared" si="2"/>
        <v>986.54432148139153</v>
      </c>
      <c r="T18" cm="1">
        <f t="array" ref="T18">[1]!PropsSI("H","T",J18+273.15,"P",101325,"Water")</f>
        <v>235190.8180123679</v>
      </c>
      <c r="U18" cm="1">
        <f t="array" ref="U18">[1]!PropsSI("H","T",K18+273.15,"P",101325,"Water")</f>
        <v>210088.6686405623</v>
      </c>
      <c r="V18">
        <f t="shared" si="1"/>
        <v>531.50433019561262</v>
      </c>
    </row>
    <row r="19" spans="1:22" x14ac:dyDescent="0.2">
      <c r="A19">
        <v>46068.606999282405</v>
      </c>
      <c r="B19">
        <v>19.668531999999999</v>
      </c>
      <c r="C19">
        <v>19.589970000000001</v>
      </c>
      <c r="D19">
        <v>19.919286</v>
      </c>
      <c r="E19">
        <v>19.691699</v>
      </c>
      <c r="F19">
        <v>37.457855000000002</v>
      </c>
      <c r="G19">
        <v>33.836115999999997</v>
      </c>
      <c r="H19">
        <v>26.127521000000002</v>
      </c>
      <c r="I19">
        <v>25.345784999999999</v>
      </c>
      <c r="J19">
        <v>56.160783000000002</v>
      </c>
      <c r="K19">
        <v>50.162025</v>
      </c>
      <c r="L19">
        <v>78.320828000000006</v>
      </c>
      <c r="M19">
        <v>-622.52448900000002</v>
      </c>
      <c r="N19">
        <v>1.2948029999999999</v>
      </c>
      <c r="O19">
        <v>1.6321220000000001</v>
      </c>
      <c r="P19">
        <f t="shared" si="3"/>
        <v>2.158005E-5</v>
      </c>
      <c r="Q19" cm="1">
        <f t="array" ref="Q19">[1]!PropsSI("D","T",J19+273.15,"P",101325,"Water")</f>
        <v>985.1268774332658</v>
      </c>
      <c r="R19" cm="1">
        <f t="array" ref="R19">[1]!PropsSI("D","T",K19+273.15,"P",101325,"Water")</f>
        <v>987.96167669632791</v>
      </c>
      <c r="S19">
        <f t="shared" si="2"/>
        <v>986.54427706479692</v>
      </c>
      <c r="T19" cm="1">
        <f t="array" ref="T19">[1]!PropsSI("H","T",J19+273.15,"P",101325,"Water")</f>
        <v>235184.82740231138</v>
      </c>
      <c r="U19" cm="1">
        <f t="array" ref="U19">[1]!PropsSI("H","T",K19+273.15,"P",101325,"Water")</f>
        <v>210095.9777069806</v>
      </c>
      <c r="V19">
        <f t="shared" si="1"/>
        <v>534.1334517788099</v>
      </c>
    </row>
    <row r="20" spans="1:22" x14ac:dyDescent="0.2">
      <c r="A20">
        <v>46068.607115601852</v>
      </c>
      <c r="B20">
        <v>19.686382999999999</v>
      </c>
      <c r="C20">
        <v>19.602799999999998</v>
      </c>
      <c r="D20">
        <v>19.928851000000002</v>
      </c>
      <c r="E20">
        <v>19.714040000000001</v>
      </c>
      <c r="F20">
        <v>37.308216999999999</v>
      </c>
      <c r="G20">
        <v>35.699252000000001</v>
      </c>
      <c r="H20">
        <v>26.799855999999998</v>
      </c>
      <c r="I20">
        <v>24.696204999999999</v>
      </c>
      <c r="J20">
        <v>56.164284000000002</v>
      </c>
      <c r="K20">
        <v>50.169173999999998</v>
      </c>
      <c r="L20">
        <v>72.889671000000007</v>
      </c>
      <c r="M20">
        <v>-622.47387900000001</v>
      </c>
      <c r="N20">
        <v>1.2957780000000001</v>
      </c>
      <c r="O20">
        <v>2.2551999999999999</v>
      </c>
      <c r="P20">
        <f t="shared" si="3"/>
        <v>2.1596300000000002E-5</v>
      </c>
      <c r="Q20" cm="1">
        <f t="array" ref="Q20">[1]!PropsSI("D","T",J20+273.15,"P",101325,"Water")</f>
        <v>985.12515715656207</v>
      </c>
      <c r="R20" cm="1">
        <f t="array" ref="R20">[1]!PropsSI("D","T",K20+273.15,"P",101325,"Water")</f>
        <v>987.95843546373987</v>
      </c>
      <c r="S20">
        <f t="shared" si="2"/>
        <v>986.54179631015097</v>
      </c>
      <c r="T20" cm="1">
        <f t="array" ref="T20">[1]!PropsSI("H","T",J20+273.15,"P",101325,"Water")</f>
        <v>235199.47344128386</v>
      </c>
      <c r="U20" cm="1">
        <f t="array" ref="U20">[1]!PropsSI("H","T",K20+273.15,"P",101325,"Water")</f>
        <v>210125.87045965885</v>
      </c>
      <c r="V20">
        <f t="shared" si="1"/>
        <v>534.20947444782951</v>
      </c>
    </row>
    <row r="21" spans="1:22" x14ac:dyDescent="0.2">
      <c r="A21">
        <v>46068.607231921298</v>
      </c>
      <c r="B21">
        <v>19.652820999999999</v>
      </c>
      <c r="C21">
        <v>19.554369000000001</v>
      </c>
      <c r="D21">
        <v>19.873456999999998</v>
      </c>
      <c r="E21">
        <v>19.694368000000001</v>
      </c>
      <c r="F21">
        <v>36.769556999999999</v>
      </c>
      <c r="G21">
        <v>35.896628999999997</v>
      </c>
      <c r="H21">
        <v>26.993295</v>
      </c>
      <c r="I21">
        <v>24.774201999999999</v>
      </c>
      <c r="J21">
        <v>56.163966000000002</v>
      </c>
      <c r="K21">
        <v>50.166156000000001</v>
      </c>
      <c r="L21">
        <v>75.786669000000003</v>
      </c>
      <c r="M21">
        <v>-622.51102000000003</v>
      </c>
      <c r="N21">
        <v>1.2901560000000001</v>
      </c>
      <c r="O21">
        <v>2.4168050000000001</v>
      </c>
      <c r="P21">
        <f t="shared" si="3"/>
        <v>2.1502600000000003E-5</v>
      </c>
      <c r="Q21" cm="1">
        <f t="array" ref="Q21">[1]!PropsSI("D","T",J21+273.15,"P",101325,"Water")</f>
        <v>985.12531341445276</v>
      </c>
      <c r="R21" cm="1">
        <f t="array" ref="R21">[1]!PropsSI("D","T",K21+273.15,"P",101325,"Water")</f>
        <v>987.959803813392</v>
      </c>
      <c r="S21">
        <f t="shared" si="2"/>
        <v>986.54255861392244</v>
      </c>
      <c r="T21" cm="1">
        <f t="array" ref="T21">[1]!PropsSI("H","T",J21+273.15,"P",101325,"Water")</f>
        <v>235198.14312392069</v>
      </c>
      <c r="U21" cm="1">
        <f t="array" ref="U21">[1]!PropsSI("H","T",K21+273.15,"P",101325,"Water")</f>
        <v>210113.25102470882</v>
      </c>
      <c r="V21">
        <f t="shared" si="1"/>
        <v>532.13158614882764</v>
      </c>
    </row>
    <row r="22" spans="1:22" x14ac:dyDescent="0.2">
      <c r="A22">
        <v>46068.607348240737</v>
      </c>
      <c r="B22">
        <v>19.723130999999999</v>
      </c>
      <c r="C22">
        <v>19.594721</v>
      </c>
      <c r="D22">
        <v>19.910246999999998</v>
      </c>
      <c r="E22">
        <v>19.697921000000001</v>
      </c>
      <c r="F22">
        <v>37.837730000000001</v>
      </c>
      <c r="G22">
        <v>34.628014</v>
      </c>
      <c r="H22">
        <v>26.555865000000001</v>
      </c>
      <c r="I22">
        <v>25.369845999999999</v>
      </c>
      <c r="J22">
        <v>56.165239</v>
      </c>
      <c r="K22">
        <v>50.167268</v>
      </c>
      <c r="L22">
        <v>79.648925000000006</v>
      </c>
      <c r="M22">
        <v>-622.46000200000003</v>
      </c>
      <c r="N22">
        <v>1.2948770000000001</v>
      </c>
      <c r="O22">
        <v>1.4361159999999999</v>
      </c>
      <c r="P22">
        <f t="shared" si="3"/>
        <v>2.1581283333333333E-5</v>
      </c>
      <c r="Q22" cm="1">
        <f t="array" ref="Q22">[1]!PropsSI("D","T",J22+273.15,"P",101325,"Water")</f>
        <v>985.12468788780416</v>
      </c>
      <c r="R22" cm="1">
        <f t="array" ref="R22">[1]!PropsSI("D","T",K22+273.15,"P",101325,"Water")</f>
        <v>987.9592996437824</v>
      </c>
      <c r="S22">
        <f t="shared" si="2"/>
        <v>986.54199376579322</v>
      </c>
      <c r="T22" cm="1">
        <f t="array" ref="T22">[1]!PropsSI("H","T",J22+273.15,"P",101325,"Water")</f>
        <v>235203.46857694781</v>
      </c>
      <c r="U22" cm="1">
        <f t="array" ref="U22">[1]!PropsSI("H","T",K22+273.15,"P",101325,"Water")</f>
        <v>210117.90073005078</v>
      </c>
      <c r="V22">
        <f t="shared" si="1"/>
        <v>534.09286872546068</v>
      </c>
    </row>
    <row r="23" spans="1:22" x14ac:dyDescent="0.2">
      <c r="A23">
        <v>46068.607464560184</v>
      </c>
      <c r="B23">
        <v>19.725988999999998</v>
      </c>
      <c r="C23">
        <v>19.626961999999999</v>
      </c>
      <c r="D23">
        <v>19.952085</v>
      </c>
      <c r="E23">
        <v>19.745083999999999</v>
      </c>
      <c r="F23">
        <v>36.146343999999999</v>
      </c>
      <c r="G23">
        <v>33.461719000000002</v>
      </c>
      <c r="H23">
        <v>26.407813000000001</v>
      </c>
      <c r="I23">
        <v>24.092575</v>
      </c>
      <c r="J23">
        <v>56.164124999999999</v>
      </c>
      <c r="K23">
        <v>50.166156000000001</v>
      </c>
      <c r="L23">
        <v>75.707898</v>
      </c>
      <c r="M23">
        <v>-622.51306099999999</v>
      </c>
      <c r="N23">
        <v>1.2923359999999999</v>
      </c>
      <c r="O23">
        <v>1.6498999999999999</v>
      </c>
      <c r="P23">
        <f t="shared" si="3"/>
        <v>2.1538933333333335E-5</v>
      </c>
      <c r="Q23" cm="1">
        <f t="array" ref="Q23">[1]!PropsSI("D","T",J23+273.15,"P",101325,"Water")</f>
        <v>985.1252352855787</v>
      </c>
      <c r="R23" cm="1">
        <f t="array" ref="R23">[1]!PropsSI("D","T",K23+273.15,"P",101325,"Water")</f>
        <v>987.959803813392</v>
      </c>
      <c r="S23">
        <f t="shared" si="2"/>
        <v>986.54251954948541</v>
      </c>
      <c r="T23" cm="1">
        <f t="array" ref="T23">[1]!PropsSI("H","T",J23+273.15,"P",101325,"Water")</f>
        <v>235198.80828259626</v>
      </c>
      <c r="U23" cm="1">
        <f t="array" ref="U23">[1]!PropsSI("H","T",K23+273.15,"P",101325,"Water")</f>
        <v>210113.25102470882</v>
      </c>
      <c r="V23">
        <f t="shared" si="1"/>
        <v>533.04485144323962</v>
      </c>
    </row>
    <row r="24" spans="1:22" x14ac:dyDescent="0.2">
      <c r="A24">
        <v>46068.607580300923</v>
      </c>
      <c r="B24">
        <v>19.771318999999998</v>
      </c>
      <c r="C24">
        <v>19.637737000000001</v>
      </c>
      <c r="D24">
        <v>19.959402999999998</v>
      </c>
      <c r="E24">
        <v>19.734171</v>
      </c>
      <c r="F24">
        <v>38.175873000000003</v>
      </c>
      <c r="G24">
        <v>35.383065000000002</v>
      </c>
      <c r="H24">
        <v>26.727678000000001</v>
      </c>
      <c r="I24">
        <v>24.966225999999999</v>
      </c>
      <c r="J24">
        <v>56.163328999999997</v>
      </c>
      <c r="K24">
        <v>50.174258000000002</v>
      </c>
      <c r="L24">
        <v>81.936156999999994</v>
      </c>
      <c r="M24">
        <v>-622.49755100000004</v>
      </c>
      <c r="N24">
        <v>1.2878449999999999</v>
      </c>
      <c r="O24">
        <v>2.2793570000000001</v>
      </c>
      <c r="P24">
        <f t="shared" si="3"/>
        <v>2.1464083333333333E-5</v>
      </c>
      <c r="Q24" cm="1">
        <f t="array" ref="Q24">[1]!PropsSI("D","T",J24+273.15,"P",101325,"Water")</f>
        <v>985.12562641973125</v>
      </c>
      <c r="R24" cm="1">
        <f t="array" ref="R24">[1]!PropsSI("D","T",K24+273.15,"P",101325,"Water")</f>
        <v>987.95613026274782</v>
      </c>
      <c r="S24">
        <f t="shared" si="2"/>
        <v>986.54087834123948</v>
      </c>
      <c r="T24" cm="1">
        <f t="array" ref="T24">[1]!PropsSI("H","T",J24+273.15,"P",101325,"Water")</f>
        <v>235195.47830592436</v>
      </c>
      <c r="U24" cm="1">
        <f t="array" ref="U24">[1]!PropsSI("H","T",K24+273.15,"P",101325,"Water")</f>
        <v>210147.12865216986</v>
      </c>
      <c r="V24">
        <f t="shared" si="1"/>
        <v>530.40370398803191</v>
      </c>
    </row>
    <row r="25" spans="1:22" x14ac:dyDescent="0.2">
      <c r="A25">
        <v>46068.607696041669</v>
      </c>
      <c r="B25">
        <v>19.759397</v>
      </c>
      <c r="C25">
        <v>19.599886999999999</v>
      </c>
      <c r="D25">
        <v>19.980554000000001</v>
      </c>
      <c r="E25">
        <v>19.740860000000001</v>
      </c>
      <c r="F25">
        <v>36.821303999999998</v>
      </c>
      <c r="G25">
        <v>34.720968999999997</v>
      </c>
      <c r="H25">
        <v>26.819922999999999</v>
      </c>
      <c r="I25">
        <v>25.212019999999999</v>
      </c>
      <c r="J25">
        <v>56.162533000000003</v>
      </c>
      <c r="K25">
        <v>50.189193000000003</v>
      </c>
      <c r="L25">
        <v>78.689789000000005</v>
      </c>
      <c r="M25">
        <v>-622.48693900000001</v>
      </c>
      <c r="N25">
        <v>1.2923929999999999</v>
      </c>
      <c r="O25">
        <v>1.925406</v>
      </c>
      <c r="P25">
        <f t="shared" si="3"/>
        <v>2.1539883333333334E-5</v>
      </c>
      <c r="Q25" cm="1">
        <f t="array" ref="Q25">[1]!PropsSI("D","T",J25+273.15,"P",101325,"Water")</f>
        <v>985.1260175500006</v>
      </c>
      <c r="R25" cm="1">
        <f t="array" ref="R25">[1]!PropsSI("D","T",K25+273.15,"P",101325,"Water")</f>
        <v>987.94935741623658</v>
      </c>
      <c r="S25">
        <f t="shared" si="2"/>
        <v>986.53768748311859</v>
      </c>
      <c r="T25" cm="1">
        <f t="array" ref="T25">[1]!PropsSI("H","T",J25+273.15,"P",101325,"Water")</f>
        <v>235192.14832952461</v>
      </c>
      <c r="U25" cm="1">
        <f t="array" ref="U25">[1]!PropsSI("H","T",K25+273.15,"P",101325,"Water")</f>
        <v>210209.57777132103</v>
      </c>
      <c r="V25">
        <f t="shared" si="1"/>
        <v>530.87729329619776</v>
      </c>
    </row>
    <row r="26" spans="1:22" x14ac:dyDescent="0.2">
      <c r="A26">
        <v>46068.607812361108</v>
      </c>
      <c r="B26">
        <v>19.732728000000002</v>
      </c>
      <c r="C26">
        <v>19.611757999999998</v>
      </c>
      <c r="D26">
        <v>19.989177999999999</v>
      </c>
      <c r="E26">
        <v>19.794673</v>
      </c>
      <c r="F26">
        <v>37.525812999999999</v>
      </c>
      <c r="G26">
        <v>34.556269999999998</v>
      </c>
      <c r="H26">
        <v>26.398375000000001</v>
      </c>
      <c r="I26">
        <v>25.224879000000001</v>
      </c>
      <c r="J26">
        <v>56.164921</v>
      </c>
      <c r="K26">
        <v>50.186332999999998</v>
      </c>
      <c r="L26">
        <v>81.874936000000005</v>
      </c>
      <c r="M26">
        <v>-622.48408199999994</v>
      </c>
      <c r="N26">
        <v>1.2905489999999999</v>
      </c>
      <c r="O26">
        <v>2.7015370000000001</v>
      </c>
      <c r="P26">
        <f t="shared" si="3"/>
        <v>2.1509150000000001E-5</v>
      </c>
      <c r="Q26" cm="1">
        <f t="array" ref="Q26">[1]!PropsSI("D","T",J26+273.15,"P",101325,"Water")</f>
        <v>985.1248441475434</v>
      </c>
      <c r="R26" cm="1">
        <f t="array" ref="R26">[1]!PropsSI("D","T",K26+273.15,"P",101325,"Water")</f>
        <v>987.9506545055815</v>
      </c>
      <c r="S26">
        <f t="shared" si="2"/>
        <v>986.53774932656245</v>
      </c>
      <c r="T26" cm="1">
        <f t="array" ref="T26">[1]!PropsSI("H","T",J26+273.15,"P",101325,"Water")</f>
        <v>235202.13825950481</v>
      </c>
      <c r="U26" cm="1">
        <f t="array" ref="U26">[1]!PropsSI("H","T",K26+273.15,"P",101325,"Water")</f>
        <v>210197.61897954543</v>
      </c>
      <c r="V26">
        <f t="shared" si="1"/>
        <v>530.58560803392788</v>
      </c>
    </row>
    <row r="27" spans="1:22" x14ac:dyDescent="0.2">
      <c r="A27">
        <v>46068.607928101854</v>
      </c>
      <c r="B27">
        <v>19.735969000000001</v>
      </c>
      <c r="C27">
        <v>19.583549999999999</v>
      </c>
      <c r="D27">
        <v>20.017232</v>
      </c>
      <c r="E27">
        <v>19.823823000000001</v>
      </c>
      <c r="F27">
        <v>37.557682</v>
      </c>
      <c r="G27">
        <v>34.950375000000001</v>
      </c>
      <c r="H27">
        <v>26.928149000000001</v>
      </c>
      <c r="I27">
        <v>24.703693000000001</v>
      </c>
      <c r="J27">
        <v>56.166671999999998</v>
      </c>
      <c r="K27">
        <v>50.187762999999997</v>
      </c>
      <c r="L27">
        <v>76.784987000000001</v>
      </c>
      <c r="M27">
        <v>-622.50285699999995</v>
      </c>
      <c r="N27">
        <v>1.289463</v>
      </c>
      <c r="O27">
        <v>1.9387620000000001</v>
      </c>
      <c r="P27">
        <f t="shared" si="3"/>
        <v>2.1491050000000002E-5</v>
      </c>
      <c r="Q27" cm="1">
        <f t="array" ref="Q27">[1]!PropsSI("D","T",J27+273.15,"P",101325,"Water")</f>
        <v>985.12398372846837</v>
      </c>
      <c r="R27" cm="1">
        <f t="array" ref="R27">[1]!PropsSI("D","T",K27+273.15,"P",101325,"Water")</f>
        <v>987.95000596757063</v>
      </c>
      <c r="S27">
        <f t="shared" si="2"/>
        <v>986.5369948480195</v>
      </c>
      <c r="T27" cm="1">
        <f t="array" ref="T27">[1]!PropsSI("H","T",J27+273.15,"P",101325,"Water")</f>
        <v>235209.46337283743</v>
      </c>
      <c r="U27" cm="1">
        <f t="array" ref="U27">[1]!PropsSI("H","T",K27+273.15,"P",101325,"Water")</f>
        <v>210203.59837519159</v>
      </c>
      <c r="V27">
        <f t="shared" si="1"/>
        <v>530.16724509195558</v>
      </c>
    </row>
    <row r="28" spans="1:22" x14ac:dyDescent="0.2">
      <c r="A28">
        <v>46068.608043842592</v>
      </c>
      <c r="B28">
        <v>19.796562000000002</v>
      </c>
      <c r="C28">
        <v>19.586314000000002</v>
      </c>
      <c r="D28">
        <v>19.984887000000001</v>
      </c>
      <c r="E28">
        <v>19.796859999999999</v>
      </c>
      <c r="F28">
        <v>37.693258</v>
      </c>
      <c r="G28">
        <v>35.953336999999998</v>
      </c>
      <c r="H28">
        <v>26.255410000000001</v>
      </c>
      <c r="I28">
        <v>24.560782</v>
      </c>
      <c r="J28">
        <v>56.170172999999998</v>
      </c>
      <c r="K28">
        <v>50.195390000000003</v>
      </c>
      <c r="L28">
        <v>79.852180000000004</v>
      </c>
      <c r="M28">
        <v>-622.48653100000001</v>
      </c>
      <c r="N28">
        <v>1.293193</v>
      </c>
      <c r="O28">
        <v>1.914515</v>
      </c>
      <c r="P28">
        <f t="shared" si="3"/>
        <v>2.1553216666666666E-5</v>
      </c>
      <c r="Q28" cm="1">
        <f t="array" ref="Q28">[1]!PropsSI("D","T",J28+273.15,"P",101325,"Water")</f>
        <v>985.12226332529497</v>
      </c>
      <c r="R28" cm="1">
        <f t="array" ref="R28">[1]!PropsSI("D","T",K28+273.15,"P",101325,"Water")</f>
        <v>987.9465467211968</v>
      </c>
      <c r="S28">
        <f t="shared" si="2"/>
        <v>986.53440502324588</v>
      </c>
      <c r="T28" cm="1">
        <f t="array" ref="T28">[1]!PropsSI("H","T",J28+273.15,"P",101325,"Water")</f>
        <v>235224.1094196203</v>
      </c>
      <c r="U28" cm="1">
        <f t="array" ref="U28">[1]!PropsSI("H","T",K28+273.15,"P",101325,"Water")</f>
        <v>210235.48988861227</v>
      </c>
      <c r="V28">
        <f t="shared" si="1"/>
        <v>531.33276171880323</v>
      </c>
    </row>
    <row r="29" spans="1:22" x14ac:dyDescent="0.2">
      <c r="A29">
        <v>46068.608159583331</v>
      </c>
      <c r="B29">
        <v>19.753188000000002</v>
      </c>
      <c r="C29">
        <v>19.613022999999998</v>
      </c>
      <c r="D29">
        <v>19.934466</v>
      </c>
      <c r="E29">
        <v>19.781882</v>
      </c>
      <c r="F29">
        <v>37.178761999999999</v>
      </c>
      <c r="G29">
        <v>34.178055000000001</v>
      </c>
      <c r="H29">
        <v>27.048379000000001</v>
      </c>
      <c r="I29">
        <v>24.337852999999999</v>
      </c>
      <c r="J29">
        <v>56.167945000000003</v>
      </c>
      <c r="K29">
        <v>50.202381000000003</v>
      </c>
      <c r="L29">
        <v>78.346541000000002</v>
      </c>
      <c r="M29">
        <v>-622.50204099999996</v>
      </c>
      <c r="N29">
        <v>1.2963150000000001</v>
      </c>
      <c r="O29">
        <v>2.0780270000000001</v>
      </c>
      <c r="P29">
        <f t="shared" si="3"/>
        <v>2.1605250000000001E-5</v>
      </c>
      <c r="Q29" cm="1">
        <f t="array" ref="Q29">[1]!PropsSI("D","T",J29+273.15,"P",101325,"Water")</f>
        <v>985.12335818068243</v>
      </c>
      <c r="R29" cm="1">
        <f t="array" ref="R29">[1]!PropsSI("D","T",K29+273.15,"P",101325,"Water")</f>
        <v>987.943375599874</v>
      </c>
      <c r="S29">
        <f t="shared" si="2"/>
        <v>986.53336689027822</v>
      </c>
      <c r="T29" cm="1">
        <f t="array" ref="T29">[1]!PropsSI("H","T",J29+273.15,"P",101325,"Water")</f>
        <v>235214.7888271999</v>
      </c>
      <c r="U29" cm="1">
        <f t="array" ref="U29">[1]!PropsSI("H","T",K29+273.15,"P",101325,"Water")</f>
        <v>210264.72204826499</v>
      </c>
      <c r="V29">
        <f t="shared" si="1"/>
        <v>531.79320897015839</v>
      </c>
    </row>
    <row r="30" spans="1:22" x14ac:dyDescent="0.2">
      <c r="A30">
        <v>46068.608275902778</v>
      </c>
      <c r="B30">
        <v>19.727145</v>
      </c>
      <c r="C30">
        <v>19.617004999999999</v>
      </c>
      <c r="D30">
        <v>19.901689000000001</v>
      </c>
      <c r="E30">
        <v>19.744609000000001</v>
      </c>
      <c r="F30">
        <v>37.495091000000002</v>
      </c>
      <c r="G30">
        <v>35.055025000000001</v>
      </c>
      <c r="H30">
        <v>26.392461000000001</v>
      </c>
      <c r="I30">
        <v>23.811630000000001</v>
      </c>
      <c r="J30">
        <v>56.164603</v>
      </c>
      <c r="K30">
        <v>50.195549</v>
      </c>
      <c r="L30">
        <v>77.537194</v>
      </c>
      <c r="M30">
        <v>-622.474695</v>
      </c>
      <c r="N30">
        <v>1.292889</v>
      </c>
      <c r="O30">
        <v>2.0396489999999998</v>
      </c>
      <c r="P30">
        <f t="shared" si="3"/>
        <v>2.1548149999999998E-5</v>
      </c>
      <c r="Q30" cm="1">
        <f t="array" ref="Q30">[1]!PropsSI("D","T",J30+273.15,"P",101325,"Water")</f>
        <v>985.12500040668112</v>
      </c>
      <c r="R30" cm="1">
        <f t="array" ref="R30">[1]!PropsSI("D","T",K30+273.15,"P",101325,"Water")</f>
        <v>987.94647460224598</v>
      </c>
      <c r="S30">
        <f t="shared" si="2"/>
        <v>986.53573750446355</v>
      </c>
      <c r="T30" cm="1">
        <f t="array" ref="T30">[1]!PropsSI("H","T",J30+273.15,"P",101325,"Water")</f>
        <v>235200.8079420501</v>
      </c>
      <c r="U30" cm="1">
        <f t="array" ref="U30">[1]!PropsSI("H","T",K30+273.15,"P",101325,"Water")</f>
        <v>210236.15473085397</v>
      </c>
      <c r="V30">
        <f t="shared" si="1"/>
        <v>530.69909855749984</v>
      </c>
    </row>
    <row r="31" spans="1:22" x14ac:dyDescent="0.2">
      <c r="A31">
        <v>46068.608391643516</v>
      </c>
      <c r="B31">
        <v>19.731901000000001</v>
      </c>
      <c r="C31">
        <v>19.590328</v>
      </c>
      <c r="D31">
        <v>19.908957000000001</v>
      </c>
      <c r="E31">
        <v>19.779382999999999</v>
      </c>
      <c r="F31">
        <v>37.552548000000002</v>
      </c>
      <c r="G31">
        <v>34.540939000000002</v>
      </c>
      <c r="H31">
        <v>26.448156000000001</v>
      </c>
      <c r="I31">
        <v>24.245297000000001</v>
      </c>
      <c r="J31">
        <v>56.158076999999999</v>
      </c>
      <c r="K31">
        <v>50.189193000000003</v>
      </c>
      <c r="L31">
        <v>79.212620000000001</v>
      </c>
      <c r="M31">
        <v>-622.50857099999996</v>
      </c>
      <c r="N31">
        <v>1.2829600000000001</v>
      </c>
      <c r="O31">
        <v>2.3930030000000002</v>
      </c>
      <c r="P31">
        <f t="shared" si="3"/>
        <v>2.1382666666666668E-5</v>
      </c>
      <c r="Q31" cm="1">
        <f t="array" ref="Q31">[1]!PropsSI("D","T",J31+273.15,"P",101325,"Water")</f>
        <v>985.12820702152385</v>
      </c>
      <c r="R31" cm="1">
        <f t="array" ref="R31">[1]!PropsSI("D","T",K31+273.15,"P",101325,"Water")</f>
        <v>987.94935741623658</v>
      </c>
      <c r="S31">
        <f t="shared" si="2"/>
        <v>986.53878221888021</v>
      </c>
      <c r="T31" cm="1">
        <f t="array" ref="T31">[1]!PropsSI("H","T",J31+273.15,"P",101325,"Water")</f>
        <v>235173.50715944954</v>
      </c>
      <c r="U31" cm="1">
        <f t="array" ref="U31">[1]!PropsSI("H","T",K31+273.15,"P",101325,"Water")</f>
        <v>210209.57777132103</v>
      </c>
      <c r="V31">
        <f t="shared" si="1"/>
        <v>526.60984492509783</v>
      </c>
    </row>
    <row r="32" spans="1:22" x14ac:dyDescent="0.2">
      <c r="A32">
        <v>46068.608507962963</v>
      </c>
      <c r="B32">
        <v>19.818318999999999</v>
      </c>
      <c r="C32">
        <v>19.631501</v>
      </c>
      <c r="D32">
        <v>19.971395000000001</v>
      </c>
      <c r="E32">
        <v>19.806716000000002</v>
      </c>
      <c r="F32">
        <v>37.200819000000003</v>
      </c>
      <c r="G32">
        <v>33.432668999999997</v>
      </c>
      <c r="H32">
        <v>26.405104999999999</v>
      </c>
      <c r="I32">
        <v>24.513760000000001</v>
      </c>
      <c r="J32">
        <v>56.152028999999999</v>
      </c>
      <c r="K32">
        <v>50.182837999999997</v>
      </c>
      <c r="L32">
        <v>77.478013000000004</v>
      </c>
      <c r="M32">
        <v>-622.51346899999999</v>
      </c>
      <c r="N32">
        <v>1.290484</v>
      </c>
      <c r="O32">
        <v>2.0456089999999998</v>
      </c>
      <c r="P32">
        <f t="shared" ref="P32:P36" si="4" xml:space="preserve"> N32*0.001/60</f>
        <v>2.1508066666666665E-5</v>
      </c>
      <c r="Q32" cm="1">
        <f t="array" ref="Q32">[1]!PropsSI("D","T",J32+273.15,"P",101325,"Water")</f>
        <v>985.13117853308052</v>
      </c>
      <c r="R32" cm="1">
        <f t="array" ref="R32">[1]!PropsSI("D","T",K32+273.15,"P",101325,"Water")</f>
        <v>987.95223951230059</v>
      </c>
      <c r="S32">
        <f t="shared" ref="S32:S36" si="5">(Q32+R32)/2</f>
        <v>986.54170902269061</v>
      </c>
      <c r="T32" cm="1">
        <f t="array" ref="T32">[1]!PropsSI("H","T",J32+273.15,"P",101325,"Water")</f>
        <v>235148.20605016538</v>
      </c>
      <c r="U32" cm="1">
        <f t="array" ref="U32">[1]!PropsSI("H","T",K32+273.15,"P",101325,"Water")</f>
        <v>210183.00500475903</v>
      </c>
      <c r="V32">
        <f t="shared" ref="V32:V36" si="6">S32*P32*(T32-U32)</f>
        <v>529.72673591106718</v>
      </c>
    </row>
    <row r="33" spans="1:22" x14ac:dyDescent="0.2">
      <c r="A33">
        <v>46068.608623703702</v>
      </c>
      <c r="B33">
        <v>19.846409999999999</v>
      </c>
      <c r="C33">
        <v>19.644739999999999</v>
      </c>
      <c r="D33">
        <v>19.989023</v>
      </c>
      <c r="E33">
        <v>19.798656999999999</v>
      </c>
      <c r="F33">
        <v>36.892617000000001</v>
      </c>
      <c r="G33">
        <v>36.743174000000003</v>
      </c>
      <c r="H33">
        <v>26.614069000000001</v>
      </c>
      <c r="I33">
        <v>24.820886000000002</v>
      </c>
      <c r="J33">
        <v>56.150118999999997</v>
      </c>
      <c r="K33">
        <v>50.179025000000003</v>
      </c>
      <c r="L33">
        <v>76.331131999999997</v>
      </c>
      <c r="M33">
        <v>-622.50040799999999</v>
      </c>
      <c r="N33">
        <v>1.2950280000000001</v>
      </c>
      <c r="O33">
        <v>2.4088880000000001</v>
      </c>
      <c r="P33">
        <f t="shared" si="4"/>
        <v>2.1583800000000002E-5</v>
      </c>
      <c r="Q33" cm="1">
        <f t="array" ref="Q33">[1]!PropsSI("D","T",J33+273.15,"P",101325,"Water")</f>
        <v>985.13211691026288</v>
      </c>
      <c r="R33" cm="1">
        <f t="array" ref="R33">[1]!PropsSI("D","T",K33+273.15,"P",101325,"Water")</f>
        <v>987.95396864304382</v>
      </c>
      <c r="S33">
        <f t="shared" si="5"/>
        <v>986.54304277665335</v>
      </c>
      <c r="T33" cm="1">
        <f t="array" ref="T33">[1]!PropsSI("H","T",J33+273.15,"P",101325,"Water")</f>
        <v>235140.21578869206</v>
      </c>
      <c r="U33" cm="1">
        <f t="array" ref="U33">[1]!PropsSI("H","T",K33+273.15,"P",101325,"Water")</f>
        <v>210167.06135037655</v>
      </c>
      <c r="V33">
        <f t="shared" si="6"/>
        <v>531.76206128720241</v>
      </c>
    </row>
    <row r="34" spans="1:22" x14ac:dyDescent="0.2">
      <c r="A34">
        <v>46068.608740023148</v>
      </c>
      <c r="B34">
        <v>19.810175000000001</v>
      </c>
      <c r="C34">
        <v>19.621376000000001</v>
      </c>
      <c r="D34">
        <v>20.029952000000002</v>
      </c>
      <c r="E34">
        <v>19.80585</v>
      </c>
      <c r="F34">
        <v>37.760530000000003</v>
      </c>
      <c r="G34">
        <v>36.015132999999999</v>
      </c>
      <c r="H34">
        <v>26.539981000000001</v>
      </c>
      <c r="I34">
        <v>25.649545</v>
      </c>
      <c r="J34">
        <v>56.145820999999998</v>
      </c>
      <c r="K34">
        <v>50.180773000000002</v>
      </c>
      <c r="L34">
        <v>77.876360000000005</v>
      </c>
      <c r="M34">
        <v>-622.49918400000001</v>
      </c>
      <c r="N34">
        <v>1.290451</v>
      </c>
      <c r="O34">
        <v>2.235579</v>
      </c>
      <c r="P34">
        <f t="shared" si="4"/>
        <v>2.1507516666666667E-5</v>
      </c>
      <c r="Q34" cm="1">
        <f t="array" ref="Q34">[1]!PropsSI("D","T",J34+273.15,"P",101325,"Water")</f>
        <v>985.13422842270131</v>
      </c>
      <c r="R34" cm="1">
        <f t="array" ref="R34">[1]!PropsSI("D","T",K34+273.15,"P",101325,"Water")</f>
        <v>987.95317596655639</v>
      </c>
      <c r="S34">
        <f t="shared" si="5"/>
        <v>986.54370219462885</v>
      </c>
      <c r="T34" cm="1">
        <f t="array" ref="T34">[1]!PropsSI("H","T",J34+273.15,"P",101325,"Water")</f>
        <v>235122.23561376604</v>
      </c>
      <c r="U34" cm="1">
        <f t="array" ref="U34">[1]!PropsSI("H","T",K34+273.15,"P",101325,"Water")</f>
        <v>210174.37042609495</v>
      </c>
      <c r="V34">
        <f t="shared" si="6"/>
        <v>529.34642600538257</v>
      </c>
    </row>
    <row r="35" spans="1:22" x14ac:dyDescent="0.2">
      <c r="A35">
        <v>46068.608855763887</v>
      </c>
      <c r="B35">
        <v>19.798756000000001</v>
      </c>
      <c r="C35">
        <v>19.620252000000001</v>
      </c>
      <c r="D35">
        <v>20.011206000000001</v>
      </c>
      <c r="E35">
        <v>19.793037000000002</v>
      </c>
      <c r="F35">
        <v>37.438324999999999</v>
      </c>
      <c r="G35">
        <v>35.398718000000002</v>
      </c>
      <c r="H35">
        <v>26.762720999999999</v>
      </c>
      <c r="I35">
        <v>23.857399000000001</v>
      </c>
      <c r="J35">
        <v>56.142001</v>
      </c>
      <c r="K35">
        <v>50.176800999999998</v>
      </c>
      <c r="L35">
        <v>77.959621999999996</v>
      </c>
      <c r="M35">
        <v>-622.48489900000004</v>
      </c>
      <c r="N35">
        <v>1.2896110000000001</v>
      </c>
      <c r="O35">
        <v>1.9490050000000001</v>
      </c>
      <c r="P35">
        <f t="shared" si="4"/>
        <v>2.149351666666667E-5</v>
      </c>
      <c r="Q35" cm="1">
        <f t="array" ref="Q35">[1]!PropsSI("D","T",J35+273.15,"P",101325,"Water")</f>
        <v>985.13610500917991</v>
      </c>
      <c r="R35" cm="1">
        <f t="array" ref="R35">[1]!PropsSI("D","T",K35+273.15,"P",101325,"Water")</f>
        <v>987.95497714536043</v>
      </c>
      <c r="S35">
        <f t="shared" si="5"/>
        <v>986.54554107727017</v>
      </c>
      <c r="T35" cm="1">
        <f t="array" ref="T35">[1]!PropsSI("H","T",J35+273.15,"P",101325,"Water")</f>
        <v>235106.25510123203</v>
      </c>
      <c r="U35" cm="1">
        <f t="array" ref="U35">[1]!PropsSI("H","T",K35+273.15,"P",101325,"Water")</f>
        <v>210157.76193252191</v>
      </c>
      <c r="V35">
        <f t="shared" si="6"/>
        <v>529.01615773528135</v>
      </c>
    </row>
    <row r="36" spans="1:22" x14ac:dyDescent="0.2">
      <c r="A36">
        <v>46068.608972083333</v>
      </c>
      <c r="B36">
        <v>19.712268000000002</v>
      </c>
      <c r="C36">
        <v>19.592739000000002</v>
      </c>
      <c r="D36">
        <v>19.971454000000001</v>
      </c>
      <c r="E36">
        <v>19.758051999999999</v>
      </c>
      <c r="F36">
        <v>37.199039999999997</v>
      </c>
      <c r="G36">
        <v>35.690409000000002</v>
      </c>
      <c r="H36">
        <v>26.502676999999998</v>
      </c>
      <c r="I36">
        <v>23.665199000000001</v>
      </c>
      <c r="J36">
        <v>56.138658999999997</v>
      </c>
      <c r="K36">
        <v>50.169651000000002</v>
      </c>
      <c r="L36">
        <v>76.109101999999993</v>
      </c>
      <c r="M36">
        <v>-622.48285799999996</v>
      </c>
      <c r="N36">
        <v>1.2954829999999999</v>
      </c>
      <c r="O36">
        <v>3.0564789999999999</v>
      </c>
      <c r="P36">
        <f t="shared" si="4"/>
        <v>2.1591383333333335E-5</v>
      </c>
      <c r="Q36" cm="1">
        <f t="array" ref="Q36">[1]!PropsSI("D","T",J36+273.15,"P",101325,"Water")</f>
        <v>985.13774670330633</v>
      </c>
      <c r="R36" cm="1">
        <f t="array" ref="R36">[1]!PropsSI("D","T",K36+273.15,"P",101325,"Water")</f>
        <v>987.95821918829586</v>
      </c>
      <c r="S36">
        <f t="shared" si="5"/>
        <v>986.5479829458011</v>
      </c>
      <c r="T36" cm="1">
        <f t="array" ref="T36">[1]!PropsSI("H","T",J36+273.15,"P",101325,"Water")</f>
        <v>235092.27424896185</v>
      </c>
      <c r="U36" cm="1">
        <f t="array" ref="U36">[1]!PropsSI("H","T",K36+273.15,"P",101325,"Water")</f>
        <v>210127.86498292233</v>
      </c>
      <c r="V36">
        <f t="shared" si="6"/>
        <v>531.76527597796792</v>
      </c>
    </row>
    <row r="38" spans="1:22" x14ac:dyDescent="0.2">
      <c r="D38" s="1" t="s">
        <v>22</v>
      </c>
    </row>
    <row r="39" spans="1:22" x14ac:dyDescent="0.2">
      <c r="D39">
        <f>AVERAGE(V2:V36)</f>
        <v>532.43255774381839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EE36-4147-1045-9603-28265A7858C2}">
  <dimension ref="A1:V64"/>
  <sheetViews>
    <sheetView topLeftCell="A36" workbookViewId="0">
      <selection activeCell="E64" sqref="E6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44606.596536900099</v>
      </c>
      <c r="B2">
        <v>19.875706000000001</v>
      </c>
      <c r="C2">
        <v>19.699047</v>
      </c>
      <c r="D2">
        <v>20.004363999999999</v>
      </c>
      <c r="E2">
        <v>19.798904</v>
      </c>
      <c r="F2">
        <v>34.786293999999998</v>
      </c>
      <c r="G2">
        <v>33.531981000000002</v>
      </c>
      <c r="H2">
        <v>25.656748</v>
      </c>
      <c r="I2">
        <v>23.757297999999999</v>
      </c>
      <c r="J2">
        <v>55.998438</v>
      </c>
      <c r="K2">
        <v>49.070867</v>
      </c>
      <c r="L2">
        <v>123.82793700000001</v>
      </c>
      <c r="M2">
        <v>-622.51224400000001</v>
      </c>
      <c r="N2">
        <v>1.2879799999999999</v>
      </c>
      <c r="O2">
        <v>2.231322</v>
      </c>
      <c r="P2">
        <f xml:space="preserve"> N2*0.001/60</f>
        <v>2.1466333333333331E-5</v>
      </c>
      <c r="Q2" cm="1">
        <f t="array" ref="Q2">[1]!PropsSI("D","T",J2+273.15,"P",101325,"Water")</f>
        <v>985.20656582904007</v>
      </c>
      <c r="R2" cm="1">
        <f t="array" ref="R2">[1]!PropsSI("D","T",K2+273.15,"P",101325,"Water")</f>
        <v>988.45244919635786</v>
      </c>
      <c r="S2">
        <f>(Q2+R2)/2</f>
        <v>986.82950751269891</v>
      </c>
      <c r="T2" cm="1">
        <f t="array" ref="T2">[1]!PropsSI("H","T",J2+273.15,"P",101325,"Water")</f>
        <v>234505.68048550803</v>
      </c>
      <c r="U2" cm="1">
        <f t="array" ref="U2">[1]!PropsSI("H","T",K2+273.15,"P",101325,"Water")</f>
        <v>205533.58878191371</v>
      </c>
      <c r="V2">
        <f>S2*P2*(T2-U2)</f>
        <v>613.73352489270906</v>
      </c>
    </row>
    <row r="3" spans="1:22" x14ac:dyDescent="0.2">
      <c r="A3">
        <v>44606.596653219603</v>
      </c>
      <c r="B3">
        <v>19.835063999999999</v>
      </c>
      <c r="C3">
        <v>19.719135999999999</v>
      </c>
      <c r="D3">
        <v>19.918109000000001</v>
      </c>
      <c r="E3">
        <v>19.76615</v>
      </c>
      <c r="F3">
        <v>35.098635999999999</v>
      </c>
      <c r="G3">
        <v>33.809747999999999</v>
      </c>
      <c r="H3">
        <v>26.485562999999999</v>
      </c>
      <c r="I3">
        <v>23.651714999999999</v>
      </c>
      <c r="J3">
        <v>56.006554999999999</v>
      </c>
      <c r="K3">
        <v>49.081032</v>
      </c>
      <c r="L3">
        <v>128.824422</v>
      </c>
      <c r="M3">
        <v>-622.49673499999994</v>
      </c>
      <c r="N3">
        <v>1.2999289999999999</v>
      </c>
      <c r="O3">
        <v>2.0635780000000001</v>
      </c>
      <c r="P3">
        <f t="shared" ref="P3" si="0" xml:space="preserve"> N3*0.001/60</f>
        <v>2.1665483333333334E-5</v>
      </c>
      <c r="Q3" cm="1">
        <f t="array" ref="Q3">[1]!PropsSI("D","T",J3+273.15,"P",101325,"Water")</f>
        <v>985.20258537548239</v>
      </c>
      <c r="R3" cm="1">
        <f t="array" ref="R3">[1]!PropsSI("D","T",K3+273.15,"P",101325,"Water")</f>
        <v>988.44791353717574</v>
      </c>
      <c r="S3">
        <f>(Q3+R3)/2</f>
        <v>986.82524945632906</v>
      </c>
      <c r="T3" cm="1">
        <f t="array" ref="T3">[1]!PropsSI("H","T",J3+273.15,"P",101325,"Water")</f>
        <v>234539.63654899958</v>
      </c>
      <c r="U3" cm="1">
        <f t="array" ref="U3">[1]!PropsSI("H","T",K3+273.15,"P",101325,"Water")</f>
        <v>205576.08954094633</v>
      </c>
      <c r="V3">
        <f t="shared" ref="V3:V31" si="1">S3*P3*(T3-U3)</f>
        <v>619.24196721077249</v>
      </c>
    </row>
    <row r="4" spans="1:22" x14ac:dyDescent="0.2">
      <c r="A4">
        <v>44606.596769538999</v>
      </c>
      <c r="B4">
        <v>19.920718000000001</v>
      </c>
      <c r="C4">
        <v>19.769704000000001</v>
      </c>
      <c r="D4">
        <v>20.025067</v>
      </c>
      <c r="E4">
        <v>19.818480000000001</v>
      </c>
      <c r="F4">
        <v>34.664133</v>
      </c>
      <c r="G4">
        <v>32.760696000000003</v>
      </c>
      <c r="H4">
        <v>26.201165</v>
      </c>
      <c r="I4">
        <v>23.03959</v>
      </c>
      <c r="J4">
        <v>56.021833999999998</v>
      </c>
      <c r="K4">
        <v>49.101996999999997</v>
      </c>
      <c r="L4">
        <v>127.90691700000001</v>
      </c>
      <c r="M4">
        <v>-622.51469299999997</v>
      </c>
      <c r="N4">
        <v>1.2844930000000001</v>
      </c>
      <c r="O4">
        <v>2.781571</v>
      </c>
      <c r="P4">
        <f xml:space="preserve"> N4*0.001/60</f>
        <v>2.1408216666666666E-5</v>
      </c>
      <c r="Q4" cm="1">
        <f t="array" ref="Q4">[1]!PropsSI("D","T",J4+273.15,"P",101325,"Water")</f>
        <v>985.19509168785055</v>
      </c>
      <c r="R4" cm="1">
        <f t="array" ref="R4">[1]!PropsSI("D","T",K4+273.15,"P",101325,"Water")</f>
        <v>988.4385567160532</v>
      </c>
      <c r="S4">
        <f t="shared" ref="S4:S31" si="2">(Q4+R4)/2</f>
        <v>986.81682420195193</v>
      </c>
      <c r="T4" cm="1">
        <f t="array" ref="T4">[1]!PropsSI("H","T",J4+273.15,"P",101325,"Water")</f>
        <v>234603.55366641408</v>
      </c>
      <c r="U4" cm="1">
        <f t="array" ref="U4">[1]!PropsSI("H","T",K4+273.15,"P",101325,"Water")</f>
        <v>205663.74613725813</v>
      </c>
      <c r="V4">
        <f t="shared" si="1"/>
        <v>611.38203766220647</v>
      </c>
    </row>
    <row r="5" spans="1:22" x14ac:dyDescent="0.2">
      <c r="A5">
        <v>44606.596885858497</v>
      </c>
      <c r="B5">
        <v>19.964635999999999</v>
      </c>
      <c r="C5">
        <v>19.848331999999999</v>
      </c>
      <c r="D5">
        <v>20.062332000000001</v>
      </c>
      <c r="E5">
        <v>19.924309999999998</v>
      </c>
      <c r="F5">
        <v>35.004128999999999</v>
      </c>
      <c r="G5">
        <v>32.220117999999999</v>
      </c>
      <c r="H5">
        <v>26.337277</v>
      </c>
      <c r="I5">
        <v>23.916823999999998</v>
      </c>
      <c r="J5">
        <v>56.032657</v>
      </c>
      <c r="K5">
        <v>49.122168000000002</v>
      </c>
      <c r="L5">
        <v>133.991918</v>
      </c>
      <c r="M5">
        <v>-622.47796000000005</v>
      </c>
      <c r="N5">
        <v>1.28687</v>
      </c>
      <c r="O5">
        <v>1.5656220000000001</v>
      </c>
      <c r="P5">
        <f t="shared" ref="P5:P31" si="3" xml:space="preserve"> N5*0.001/60</f>
        <v>2.1447833333333335E-5</v>
      </c>
      <c r="Q5" cm="1">
        <f t="array" ref="Q5">[1]!PropsSI("D","T",J5+273.15,"P",101325,"Water")</f>
        <v>985.1897826075392</v>
      </c>
      <c r="R5" cm="1">
        <f t="array" ref="R5">[1]!PropsSI("D","T",K5+273.15,"P",101325,"Water")</f>
        <v>988.42955151251908</v>
      </c>
      <c r="S5">
        <f t="shared" si="2"/>
        <v>986.80966706002914</v>
      </c>
      <c r="T5" cm="1">
        <f t="array" ref="T5">[1]!PropsSI("H","T",J5+273.15,"P",101325,"Water")</f>
        <v>234648.82991332284</v>
      </c>
      <c r="U5" cm="1">
        <f t="array" ref="U5">[1]!PropsSI("H","T",K5+273.15,"P",101325,"Water")</f>
        <v>205748.08305760293</v>
      </c>
      <c r="V5">
        <f t="shared" si="1"/>
        <v>611.68226307534917</v>
      </c>
    </row>
    <row r="6" spans="1:22" x14ac:dyDescent="0.2">
      <c r="A6">
        <v>46068.59700159722</v>
      </c>
      <c r="B6">
        <v>19.955549999999999</v>
      </c>
      <c r="C6">
        <v>19.850006</v>
      </c>
      <c r="D6">
        <v>20.051932999999998</v>
      </c>
      <c r="E6">
        <v>19.900918000000001</v>
      </c>
      <c r="F6">
        <v>35.066065000000002</v>
      </c>
      <c r="G6">
        <v>33.155118999999999</v>
      </c>
      <c r="H6">
        <v>26.552268000000002</v>
      </c>
      <c r="I6">
        <v>23.217044000000001</v>
      </c>
      <c r="J6">
        <v>56.044276000000004</v>
      </c>
      <c r="K6">
        <v>49.143450999999999</v>
      </c>
      <c r="L6">
        <v>123.58999</v>
      </c>
      <c r="M6">
        <v>-622.49795900000004</v>
      </c>
      <c r="N6">
        <v>1.288402</v>
      </c>
      <c r="O6">
        <v>2.8924080000000001</v>
      </c>
      <c r="P6">
        <f t="shared" si="3"/>
        <v>2.147336666666667E-5</v>
      </c>
      <c r="Q6" cm="1">
        <f t="array" ref="Q6">[1]!PropsSI("D","T",J6+273.15,"P",101325,"Water")</f>
        <v>985.18408225915255</v>
      </c>
      <c r="R6" cm="1">
        <f t="array" ref="R6">[1]!PropsSI("D","T",K6+273.15,"P",101325,"Water")</f>
        <v>988.42004694092543</v>
      </c>
      <c r="S6">
        <f t="shared" si="2"/>
        <v>986.80206460003899</v>
      </c>
      <c r="T6" cm="1">
        <f t="array" ref="T6">[1]!PropsSI("H","T",J6+273.15,"P",101325,"Water")</f>
        <v>234697.43614493863</v>
      </c>
      <c r="U6" cm="1">
        <f t="array" ref="U6">[1]!PropsSI("H","T",K6+273.15,"P",101325,"Water")</f>
        <v>205837.06947691366</v>
      </c>
      <c r="V6">
        <f t="shared" si="1"/>
        <v>611.55008918006968</v>
      </c>
    </row>
    <row r="7" spans="1:22" x14ac:dyDescent="0.2">
      <c r="A7">
        <v>46068.597117337966</v>
      </c>
      <c r="B7">
        <v>19.90598</v>
      </c>
      <c r="C7">
        <v>19.756015999999999</v>
      </c>
      <c r="D7">
        <v>19.999547</v>
      </c>
      <c r="E7">
        <v>19.842168000000001</v>
      </c>
      <c r="F7">
        <v>34.619416000000001</v>
      </c>
      <c r="G7">
        <v>32.220016000000001</v>
      </c>
      <c r="H7">
        <v>26.493751</v>
      </c>
      <c r="I7">
        <v>22.957374000000002</v>
      </c>
      <c r="J7">
        <v>56.050960000000003</v>
      </c>
      <c r="K7">
        <v>49.152186</v>
      </c>
      <c r="L7">
        <v>131.058187</v>
      </c>
      <c r="M7">
        <v>-622.48367399999995</v>
      </c>
      <c r="N7">
        <v>1.287161</v>
      </c>
      <c r="O7">
        <v>1.723174</v>
      </c>
      <c r="P7">
        <f t="shared" si="3"/>
        <v>2.1452683333333332E-5</v>
      </c>
      <c r="Q7" cm="1">
        <f t="array" ref="Q7">[1]!PropsSI("D","T",J7+273.15,"P",101325,"Water")</f>
        <v>985.1808026745266</v>
      </c>
      <c r="R7" cm="1">
        <f t="array" ref="R7">[1]!PropsSI("D","T",K7+273.15,"P",101325,"Water")</f>
        <v>988.41614519211385</v>
      </c>
      <c r="S7">
        <f t="shared" si="2"/>
        <v>986.79847393332022</v>
      </c>
      <c r="T7" cm="1">
        <f t="array" ref="T7">[1]!PropsSI("H","T",J7+273.15,"P",101325,"Water")</f>
        <v>234725.39761502121</v>
      </c>
      <c r="U7" cm="1">
        <f t="array" ref="U7">[1]!PropsSI("H","T",K7+273.15,"P",101325,"Water")</f>
        <v>205873.5914485064</v>
      </c>
      <c r="V7">
        <f t="shared" si="1"/>
        <v>610.77759439906629</v>
      </c>
    </row>
    <row r="8" spans="1:22" x14ac:dyDescent="0.2">
      <c r="A8">
        <v>46068.597233657405</v>
      </c>
      <c r="B8">
        <v>19.909448999999999</v>
      </c>
      <c r="C8">
        <v>19.707425000000001</v>
      </c>
      <c r="D8">
        <v>20.077275</v>
      </c>
      <c r="E8">
        <v>19.830404999999999</v>
      </c>
      <c r="F8">
        <v>34.598553000000003</v>
      </c>
      <c r="G8">
        <v>32.626261999999997</v>
      </c>
      <c r="H8">
        <v>26.404434999999999</v>
      </c>
      <c r="I8">
        <v>23.396712999999998</v>
      </c>
      <c r="J8">
        <v>56.058281999999998</v>
      </c>
      <c r="K8">
        <v>49.151074000000001</v>
      </c>
      <c r="L8">
        <v>126.031092</v>
      </c>
      <c r="M8">
        <v>-622.51428499999997</v>
      </c>
      <c r="N8">
        <v>1.2881769999999999</v>
      </c>
      <c r="O8">
        <v>1.200081</v>
      </c>
      <c r="P8">
        <f t="shared" si="3"/>
        <v>2.1469616666666665E-5</v>
      </c>
      <c r="Q8" cm="1">
        <f t="array" ref="Q8">[1]!PropsSI("D","T",J8+273.15,"P",101325,"Water")</f>
        <v>985.17720973272424</v>
      </c>
      <c r="R8" cm="1">
        <f t="array" ref="R8">[1]!PropsSI("D","T",K8+273.15,"P",101325,"Water")</f>
        <v>988.41664192822361</v>
      </c>
      <c r="S8">
        <f t="shared" si="2"/>
        <v>986.79692583047392</v>
      </c>
      <c r="T8" cm="1">
        <f t="array" ref="T8">[1]!PropsSI("H","T",J8+273.15,"P",101325,"Water")</f>
        <v>234756.02807776022</v>
      </c>
      <c r="U8" cm="1">
        <f t="array" ref="U8">[1]!PropsSI("H","T",K8+273.15,"P",101325,"Water")</f>
        <v>205868.94205613423</v>
      </c>
      <c r="V8">
        <f t="shared" si="1"/>
        <v>612.00618735958267</v>
      </c>
    </row>
    <row r="9" spans="1:22" x14ac:dyDescent="0.2">
      <c r="A9">
        <v>46068.597349976852</v>
      </c>
      <c r="B9">
        <v>19.883087</v>
      </c>
      <c r="C9">
        <v>19.69661</v>
      </c>
      <c r="D9">
        <v>20.063448999999999</v>
      </c>
      <c r="E9">
        <v>19.810511999999999</v>
      </c>
      <c r="F9">
        <v>34.181252999999998</v>
      </c>
      <c r="G9">
        <v>31.314347999999999</v>
      </c>
      <c r="H9">
        <v>26.231463000000002</v>
      </c>
      <c r="I9">
        <v>23.979946999999999</v>
      </c>
      <c r="J9">
        <v>56.065285000000003</v>
      </c>
      <c r="K9">
        <v>49.157586000000002</v>
      </c>
      <c r="L9">
        <v>128.399137</v>
      </c>
      <c r="M9">
        <v>-622.512652</v>
      </c>
      <c r="N9">
        <v>1.2833330000000001</v>
      </c>
      <c r="O9">
        <v>2.0169280000000001</v>
      </c>
      <c r="P9">
        <f t="shared" si="3"/>
        <v>2.1388883333333334E-5</v>
      </c>
      <c r="Q9" cm="1">
        <f t="array" ref="Q9">[1]!PropsSI("D","T",J9+273.15,"P",101325,"Water")</f>
        <v>985.17377301784427</v>
      </c>
      <c r="R9" cm="1">
        <f t="array" ref="R9">[1]!PropsSI("D","T",K9+273.15,"P",101325,"Water")</f>
        <v>988.41373286790667</v>
      </c>
      <c r="S9">
        <f t="shared" si="2"/>
        <v>986.79375294287547</v>
      </c>
      <c r="T9" cm="1">
        <f t="array" ref="T9">[1]!PropsSI("H","T",J9+273.15,"P",101325,"Water")</f>
        <v>234785.32407194423</v>
      </c>
      <c r="U9" cm="1">
        <f t="array" ref="U9">[1]!PropsSI("H","T",K9+273.15,"P",101325,"Water")</f>
        <v>205896.16943778933</v>
      </c>
      <c r="V9">
        <f t="shared" si="1"/>
        <v>609.74652876324478</v>
      </c>
    </row>
    <row r="10" spans="1:22" x14ac:dyDescent="0.2">
      <c r="A10">
        <v>44606.597465719598</v>
      </c>
      <c r="B10">
        <v>19.818276000000001</v>
      </c>
      <c r="C10">
        <v>19.693427</v>
      </c>
      <c r="D10">
        <v>20.041231</v>
      </c>
      <c r="E10">
        <v>19.838158</v>
      </c>
      <c r="F10">
        <v>34.872771999999998</v>
      </c>
      <c r="G10">
        <v>32.553646000000001</v>
      </c>
      <c r="H10">
        <v>26.247786000000001</v>
      </c>
      <c r="I10">
        <v>23.318719999999999</v>
      </c>
      <c r="J10">
        <v>56.073084000000001</v>
      </c>
      <c r="K10">
        <v>49.171245999999996</v>
      </c>
      <c r="L10">
        <v>124.08425099999999</v>
      </c>
      <c r="M10">
        <v>-622.47265400000003</v>
      </c>
      <c r="N10">
        <v>1.2904800000000001</v>
      </c>
      <c r="O10">
        <v>2.7042820000000001</v>
      </c>
      <c r="P10">
        <f t="shared" si="3"/>
        <v>2.1508000000000001E-5</v>
      </c>
      <c r="Q10" cm="1">
        <f t="array" ref="Q10">[1]!PropsSI("D","T",J10+273.15,"P",101325,"Water")</f>
        <v>985.16994531236253</v>
      </c>
      <c r="R10" cm="1">
        <f t="array" ref="R10">[1]!PropsSI("D","T",K10+273.15,"P",101325,"Water")</f>
        <v>988.40762971881213</v>
      </c>
      <c r="S10">
        <f t="shared" si="2"/>
        <v>986.78878751558727</v>
      </c>
      <c r="T10" cm="1">
        <f t="array" ref="T10">[1]!PropsSI("H","T",J10+273.15,"P",101325,"Water")</f>
        <v>234817.9500339345</v>
      </c>
      <c r="U10" cm="1">
        <f t="array" ref="U10">[1]!PropsSI("H","T",K10+273.15,"P",101325,"Water")</f>
        <v>205953.28342347057</v>
      </c>
      <c r="V10">
        <f t="shared" si="1"/>
        <v>612.61944801643187</v>
      </c>
    </row>
    <row r="11" spans="1:22" x14ac:dyDescent="0.2">
      <c r="A11">
        <v>44606.597582039001</v>
      </c>
      <c r="B11">
        <v>19.862242999999999</v>
      </c>
      <c r="C11">
        <v>19.684301000000001</v>
      </c>
      <c r="D11">
        <v>20.084575999999998</v>
      </c>
      <c r="E11">
        <v>19.814191999999998</v>
      </c>
      <c r="F11">
        <v>34.590961</v>
      </c>
      <c r="G11">
        <v>31.345776000000001</v>
      </c>
      <c r="H11">
        <v>26.149495999999999</v>
      </c>
      <c r="I11">
        <v>24.170856000000001</v>
      </c>
      <c r="J11">
        <v>56.081041999999997</v>
      </c>
      <c r="K11">
        <v>49.171245999999996</v>
      </c>
      <c r="L11">
        <v>131.492043</v>
      </c>
      <c r="M11">
        <v>-622.49224500000003</v>
      </c>
      <c r="N11">
        <v>1.2887550000000001</v>
      </c>
      <c r="O11">
        <v>1.7982389999999999</v>
      </c>
      <c r="P11">
        <f t="shared" si="3"/>
        <v>2.1479250000000003E-5</v>
      </c>
      <c r="Q11" cm="1">
        <f t="array" ref="Q11">[1]!PropsSI("D","T",J11+273.15,"P",101325,"Water")</f>
        <v>985.16603918565863</v>
      </c>
      <c r="R11" cm="1">
        <f t="array" ref="R11">[1]!PropsSI("D","T",K11+273.15,"P",101325,"Water")</f>
        <v>988.40762971881213</v>
      </c>
      <c r="S11">
        <f t="shared" si="2"/>
        <v>986.78683445223533</v>
      </c>
      <c r="T11" cm="1">
        <f t="array" ref="T11">[1]!PropsSI("H","T",J11+273.15,"P",101325,"Water")</f>
        <v>234851.24117254725</v>
      </c>
      <c r="U11" cm="1">
        <f t="array" ref="U11">[1]!PropsSI("H","T",K11+273.15,"P",101325,"Water")</f>
        <v>205953.28342347057</v>
      </c>
      <c r="V11">
        <f t="shared" si="1"/>
        <v>612.50496178276126</v>
      </c>
    </row>
    <row r="12" spans="1:22" x14ac:dyDescent="0.2">
      <c r="A12">
        <v>44606.597698358499</v>
      </c>
      <c r="B12">
        <v>19.863916</v>
      </c>
      <c r="C12">
        <v>19.697109999999999</v>
      </c>
      <c r="D12">
        <v>20.130804999999999</v>
      </c>
      <c r="E12">
        <v>19.829163000000001</v>
      </c>
      <c r="F12">
        <v>33.829628999999997</v>
      </c>
      <c r="G12">
        <v>30.925584000000001</v>
      </c>
      <c r="H12">
        <v>26.398161999999999</v>
      </c>
      <c r="I12">
        <v>22.915876000000001</v>
      </c>
      <c r="J12">
        <v>56.086772000000003</v>
      </c>
      <c r="K12">
        <v>49.182205000000003</v>
      </c>
      <c r="L12">
        <v>130.17986400000001</v>
      </c>
      <c r="M12">
        <v>-622.49714300000005</v>
      </c>
      <c r="N12">
        <v>1.2853330000000001</v>
      </c>
      <c r="O12">
        <v>2.1125419999999999</v>
      </c>
      <c r="P12">
        <f t="shared" si="3"/>
        <v>2.1422216666666666E-5</v>
      </c>
      <c r="Q12" cm="1">
        <f t="array" ref="Q12">[1]!PropsSI("D","T",J12+273.15,"P",101325,"Water")</f>
        <v>985.16322641590079</v>
      </c>
      <c r="R12" cm="1">
        <f t="array" ref="R12">[1]!PropsSI("D","T",K12+273.15,"P",101325,"Water")</f>
        <v>988.40273245556955</v>
      </c>
      <c r="S12">
        <f t="shared" si="2"/>
        <v>986.78297943573511</v>
      </c>
      <c r="T12" cm="1">
        <f t="array" ref="T12">[1]!PropsSI("H","T",J12+273.15,"P",101325,"Water")</f>
        <v>234875.21181118031</v>
      </c>
      <c r="U12" cm="1">
        <f t="array" ref="U12">[1]!PropsSI("H","T",K12+273.15,"P",101325,"Water")</f>
        <v>205999.10426278884</v>
      </c>
      <c r="V12">
        <f t="shared" si="1"/>
        <v>610.41431256923772</v>
      </c>
    </row>
    <row r="13" spans="1:22" x14ac:dyDescent="0.2">
      <c r="A13">
        <v>44606.597814099201</v>
      </c>
      <c r="B13">
        <v>19.809574000000001</v>
      </c>
      <c r="C13">
        <v>19.732417000000002</v>
      </c>
      <c r="D13">
        <v>20.028661</v>
      </c>
      <c r="E13">
        <v>19.824335000000001</v>
      </c>
      <c r="F13">
        <v>34.706589999999998</v>
      </c>
      <c r="G13">
        <v>32.460351000000003</v>
      </c>
      <c r="H13">
        <v>26.242028000000001</v>
      </c>
      <c r="I13">
        <v>23.348383999999999</v>
      </c>
      <c r="J13">
        <v>56.088521999999998</v>
      </c>
      <c r="K13">
        <v>49.187288000000002</v>
      </c>
      <c r="L13">
        <v>134.11680999999999</v>
      </c>
      <c r="M13">
        <v>-622.48693900000001</v>
      </c>
      <c r="N13">
        <v>1.289984</v>
      </c>
      <c r="O13">
        <v>2.5912839999999999</v>
      </c>
      <c r="P13">
        <f t="shared" si="3"/>
        <v>2.1499733333333334E-5</v>
      </c>
      <c r="Q13" cm="1">
        <f t="array" ref="Q13">[1]!PropsSI("D","T",J13+273.15,"P",101325,"Water")</f>
        <v>985.16236732736888</v>
      </c>
      <c r="R13" cm="1">
        <f t="array" ref="R13">[1]!PropsSI("D","T",K13+273.15,"P",101325,"Water")</f>
        <v>988.4004607384843</v>
      </c>
      <c r="S13">
        <f t="shared" si="2"/>
        <v>986.78141403292659</v>
      </c>
      <c r="T13" cm="1">
        <f t="array" ref="T13">[1]!PropsSI("H","T",J13+273.15,"P",101325,"Water")</f>
        <v>234882.5326893364</v>
      </c>
      <c r="U13" cm="1">
        <f t="array" ref="U13">[1]!PropsSI("H","T",K13+273.15,"P",101325,"Water")</f>
        <v>206020.35688132327</v>
      </c>
      <c r="V13">
        <f t="shared" si="1"/>
        <v>612.32656625950131</v>
      </c>
    </row>
    <row r="14" spans="1:22" x14ac:dyDescent="0.2">
      <c r="A14">
        <v>44606.597929839998</v>
      </c>
      <c r="B14">
        <v>19.778652999999998</v>
      </c>
      <c r="C14">
        <v>19.724981</v>
      </c>
      <c r="D14">
        <v>19.927434999999999</v>
      </c>
      <c r="E14">
        <v>19.724589000000002</v>
      </c>
      <c r="F14">
        <v>34.797488999999999</v>
      </c>
      <c r="G14">
        <v>33.438499</v>
      </c>
      <c r="H14">
        <v>25.986944000000001</v>
      </c>
      <c r="I14">
        <v>23.307276999999999</v>
      </c>
      <c r="J14">
        <v>56.092820000000003</v>
      </c>
      <c r="K14">
        <v>49.184269999999998</v>
      </c>
      <c r="L14">
        <v>134.68739299999999</v>
      </c>
      <c r="M14">
        <v>-622.49877600000002</v>
      </c>
      <c r="N14">
        <v>1.2935289999999999</v>
      </c>
      <c r="O14">
        <v>1.874727</v>
      </c>
      <c r="P14">
        <f t="shared" si="3"/>
        <v>2.1558816666666664E-5</v>
      </c>
      <c r="Q14" cm="1">
        <f t="array" ref="Q14">[1]!PropsSI("D","T",J14+273.15,"P",101325,"Water")</f>
        <v>985.16025732615071</v>
      </c>
      <c r="R14" cm="1">
        <f t="array" ref="R14">[1]!PropsSI("D","T",K14+273.15,"P",101325,"Water")</f>
        <v>988.40180957718803</v>
      </c>
      <c r="S14">
        <f t="shared" si="2"/>
        <v>986.78103345166937</v>
      </c>
      <c r="T14" cm="1">
        <f t="array" ref="T14">[1]!PropsSI("H","T",J14+273.15,"P",101325,"Water")</f>
        <v>234900.5127709787</v>
      </c>
      <c r="U14" cm="1">
        <f t="array" ref="U14">[1]!PropsSI("H","T",K14+273.15,"P",101325,"Water")</f>
        <v>206007.73826886684</v>
      </c>
      <c r="V14">
        <f t="shared" si="1"/>
        <v>614.66001315670746</v>
      </c>
    </row>
    <row r="15" spans="1:22" x14ac:dyDescent="0.2">
      <c r="A15">
        <v>46068.598046157407</v>
      </c>
      <c r="B15">
        <v>19.849205000000001</v>
      </c>
      <c r="C15">
        <v>19.771253999999999</v>
      </c>
      <c r="D15">
        <v>19.928643000000001</v>
      </c>
      <c r="E15">
        <v>19.789448</v>
      </c>
      <c r="F15">
        <v>34.829521999999997</v>
      </c>
      <c r="G15">
        <v>31.749517999999998</v>
      </c>
      <c r="H15">
        <v>26.118431999999999</v>
      </c>
      <c r="I15">
        <v>23.134335</v>
      </c>
      <c r="J15">
        <v>56.096003000000003</v>
      </c>
      <c r="K15">
        <v>49.190147000000003</v>
      </c>
      <c r="L15">
        <v>127.300416</v>
      </c>
      <c r="M15">
        <v>-622.49183700000003</v>
      </c>
      <c r="N15">
        <v>1.2872300000000001</v>
      </c>
      <c r="O15">
        <v>3.251061</v>
      </c>
      <c r="P15">
        <f t="shared" si="3"/>
        <v>2.1453833333333335E-5</v>
      </c>
      <c r="Q15" cm="1">
        <f t="array" ref="Q15">[1]!PropsSI("D","T",J15+273.15,"P",101325,"Water")</f>
        <v>985.15869463466447</v>
      </c>
      <c r="R15" cm="1">
        <f t="array" ref="R15">[1]!PropsSI("D","T",K15+273.15,"P",101325,"Water")</f>
        <v>988.39918290621597</v>
      </c>
      <c r="S15">
        <f t="shared" si="2"/>
        <v>986.77893877044016</v>
      </c>
      <c r="T15" cm="1">
        <f t="array" ref="T15">[1]!PropsSI("H","T",J15+273.15,"P",101325,"Water")</f>
        <v>234913.82841062854</v>
      </c>
      <c r="U15" cm="1">
        <f t="array" ref="U15">[1]!PropsSI("H","T",K15+273.15,"P",101325,"Water")</f>
        <v>206032.31069833916</v>
      </c>
      <c r="V15">
        <f t="shared" si="1"/>
        <v>611.42724313968654</v>
      </c>
    </row>
    <row r="16" spans="1:22" x14ac:dyDescent="0.2">
      <c r="A16">
        <v>46068.598161898146</v>
      </c>
      <c r="B16">
        <v>19.912897000000001</v>
      </c>
      <c r="C16">
        <v>19.799809</v>
      </c>
      <c r="D16">
        <v>19.940237</v>
      </c>
      <c r="E16">
        <v>19.756568000000001</v>
      </c>
      <c r="F16">
        <v>34.757249999999999</v>
      </c>
      <c r="G16">
        <v>32.321384000000002</v>
      </c>
      <c r="H16">
        <v>26.197182999999999</v>
      </c>
      <c r="I16">
        <v>23.426107999999999</v>
      </c>
      <c r="J16">
        <v>56.099663999999997</v>
      </c>
      <c r="K16">
        <v>49.201900000000002</v>
      </c>
      <c r="L16">
        <v>132.52872600000001</v>
      </c>
      <c r="M16">
        <v>-622.50040799999999</v>
      </c>
      <c r="N16">
        <v>1.284079</v>
      </c>
      <c r="O16">
        <v>2.0638709999999998</v>
      </c>
      <c r="P16">
        <f t="shared" si="3"/>
        <v>2.1401316666666668E-5</v>
      </c>
      <c r="Q16" cm="1">
        <f t="array" ref="Q16">[1]!PropsSI("D","T",J16+273.15,"P",101325,"Water")</f>
        <v>985.15689719253589</v>
      </c>
      <c r="R16" cm="1">
        <f t="array" ref="R16">[1]!PropsSI("D","T",K16+273.15,"P",101325,"Water")</f>
        <v>988.39392932524447</v>
      </c>
      <c r="S16">
        <f t="shared" si="2"/>
        <v>986.77541325889024</v>
      </c>
      <c r="T16" cm="1">
        <f t="array" ref="T16">[1]!PropsSI("H","T",J16+273.15,"P",101325,"Water")</f>
        <v>234929.14370189959</v>
      </c>
      <c r="U16" cm="1">
        <f t="array" ref="U16">[1]!PropsSI("H","T",K16+273.15,"P",101325,"Water")</f>
        <v>206081.45140405613</v>
      </c>
      <c r="V16">
        <f t="shared" si="1"/>
        <v>609.21402114776697</v>
      </c>
    </row>
    <row r="17" spans="1:22" x14ac:dyDescent="0.2">
      <c r="A17">
        <v>46068.598278217592</v>
      </c>
      <c r="B17">
        <v>19.78576</v>
      </c>
      <c r="C17">
        <v>19.659431999999999</v>
      </c>
      <c r="D17">
        <v>19.853449000000001</v>
      </c>
      <c r="E17">
        <v>19.710877</v>
      </c>
      <c r="F17">
        <v>34.855556</v>
      </c>
      <c r="G17">
        <v>31.332674999999998</v>
      </c>
      <c r="H17">
        <v>26.086635000000001</v>
      </c>
      <c r="I17">
        <v>22.648524999999999</v>
      </c>
      <c r="J17">
        <v>56.102846999999997</v>
      </c>
      <c r="K17">
        <v>49.201424000000003</v>
      </c>
      <c r="L17">
        <v>134.68208799999999</v>
      </c>
      <c r="M17">
        <v>-622.50408100000004</v>
      </c>
      <c r="N17">
        <v>1.2884599999999999</v>
      </c>
      <c r="O17">
        <v>2.1412610000000001</v>
      </c>
      <c r="P17">
        <f t="shared" si="3"/>
        <v>2.1474333333333332E-5</v>
      </c>
      <c r="Q17" cm="1">
        <f t="array" ref="Q17">[1]!PropsSI("D","T",J17+273.15,"P",101325,"Water")</f>
        <v>985.15533436736359</v>
      </c>
      <c r="R17" cm="1">
        <f t="array" ref="R17">[1]!PropsSI("D","T",K17+273.15,"P",101325,"Water")</f>
        <v>988.39414211461064</v>
      </c>
      <c r="S17">
        <f t="shared" si="2"/>
        <v>986.77473824098706</v>
      </c>
      <c r="T17" cm="1">
        <f t="array" ref="T17">[1]!PropsSI("H","T",J17+273.15,"P",101325,"Water")</f>
        <v>234942.45934974065</v>
      </c>
      <c r="U17" cm="1">
        <f t="array" ref="U17">[1]!PropsSI("H","T",K17+273.15,"P",101325,"Water")</f>
        <v>206079.46119011292</v>
      </c>
      <c r="V17">
        <f t="shared" si="1"/>
        <v>611.61644580241182</v>
      </c>
    </row>
    <row r="18" spans="1:22" x14ac:dyDescent="0.2">
      <c r="A18">
        <v>46068.598393958331</v>
      </c>
      <c r="B18">
        <v>19.682285</v>
      </c>
      <c r="C18">
        <v>19.623988000000001</v>
      </c>
      <c r="D18">
        <v>19.838418000000001</v>
      </c>
      <c r="E18">
        <v>19.704273000000001</v>
      </c>
      <c r="F18">
        <v>34.966983999999997</v>
      </c>
      <c r="G18">
        <v>29.78491</v>
      </c>
      <c r="H18">
        <v>26.972496</v>
      </c>
      <c r="I18">
        <v>22.354939999999999</v>
      </c>
      <c r="J18">
        <v>56.104438999999999</v>
      </c>
      <c r="K18">
        <v>49.197611999999999</v>
      </c>
      <c r="L18">
        <v>128.68320399999999</v>
      </c>
      <c r="M18">
        <v>-622.51632600000005</v>
      </c>
      <c r="N18">
        <v>1.2947660000000001</v>
      </c>
      <c r="O18">
        <v>2.8040889999999998</v>
      </c>
      <c r="P18">
        <f t="shared" si="3"/>
        <v>2.1579433333333336E-5</v>
      </c>
      <c r="Q18" cm="1">
        <f t="array" ref="Q18">[1]!PropsSI("D","T",J18+273.15,"P",101325,"Water")</f>
        <v>985.15455268594098</v>
      </c>
      <c r="R18" cm="1">
        <f t="array" ref="R18">[1]!PropsSI("D","T",K18+273.15,"P",101325,"Water")</f>
        <v>988.39584616357058</v>
      </c>
      <c r="S18">
        <f t="shared" si="2"/>
        <v>986.77519942475578</v>
      </c>
      <c r="T18" cm="1">
        <f t="array" ref="T18">[1]!PropsSI("H","T",J18+273.15,"P",101325,"Water")</f>
        <v>234949.11926683527</v>
      </c>
      <c r="U18" cm="1">
        <f t="array" ref="U18">[1]!PropsSI("H","T",K18+273.15,"P",101325,"Water")</f>
        <v>206063.52275628809</v>
      </c>
      <c r="V18">
        <f t="shared" si="1"/>
        <v>615.09132571585872</v>
      </c>
    </row>
    <row r="19" spans="1:22" x14ac:dyDescent="0.2">
      <c r="A19">
        <v>46068.598510277778</v>
      </c>
      <c r="B19">
        <v>19.767351000000001</v>
      </c>
      <c r="C19">
        <v>19.670798999999999</v>
      </c>
      <c r="D19">
        <v>19.965685000000001</v>
      </c>
      <c r="E19">
        <v>19.776472999999999</v>
      </c>
      <c r="F19">
        <v>34.79421</v>
      </c>
      <c r="G19">
        <v>32.918785</v>
      </c>
      <c r="H19">
        <v>26.925854000000001</v>
      </c>
      <c r="I19">
        <v>23.037503000000001</v>
      </c>
      <c r="J19">
        <v>56.103960999999998</v>
      </c>
      <c r="K19">
        <v>49.190463999999999</v>
      </c>
      <c r="L19">
        <v>135.09880100000001</v>
      </c>
      <c r="M19">
        <v>-622.50449000000003</v>
      </c>
      <c r="N19">
        <v>1.2896970000000001</v>
      </c>
      <c r="O19">
        <v>1.7517149999999999</v>
      </c>
      <c r="P19">
        <f t="shared" si="3"/>
        <v>2.149495E-5</v>
      </c>
      <c r="Q19" cm="1">
        <f t="array" ref="Q19">[1]!PropsSI("D","T",J19+273.15,"P",101325,"Water")</f>
        <v>985.1547873884025</v>
      </c>
      <c r="R19" cm="1">
        <f t="array" ref="R19">[1]!PropsSI("D","T",K19+273.15,"P",101325,"Water")</f>
        <v>988.39904121950985</v>
      </c>
      <c r="S19">
        <f t="shared" si="2"/>
        <v>986.77691430395612</v>
      </c>
      <c r="T19" cm="1">
        <f t="array" ref="T19">[1]!PropsSI("H","T",J19+273.15,"P",101325,"Water")</f>
        <v>234947.11961825434</v>
      </c>
      <c r="U19" cm="1">
        <f t="array" ref="U19">[1]!PropsSI("H","T",K19+273.15,"P",101325,"Water")</f>
        <v>206033.63611290458</v>
      </c>
      <c r="V19">
        <f t="shared" si="1"/>
        <v>613.27581540845051</v>
      </c>
    </row>
    <row r="20" spans="1:22" x14ac:dyDescent="0.2">
      <c r="A20">
        <v>46068.598626018516</v>
      </c>
      <c r="B20">
        <v>19.756795</v>
      </c>
      <c r="C20">
        <v>19.672411</v>
      </c>
      <c r="D20">
        <v>19.940828</v>
      </c>
      <c r="E20">
        <v>19.708428000000001</v>
      </c>
      <c r="F20">
        <v>35.010717</v>
      </c>
      <c r="G20">
        <v>30.804535000000001</v>
      </c>
      <c r="H20">
        <v>26.885798000000001</v>
      </c>
      <c r="I20">
        <v>22.623168</v>
      </c>
      <c r="J20">
        <v>56.113193000000003</v>
      </c>
      <c r="K20">
        <v>49.191417000000001</v>
      </c>
      <c r="L20">
        <v>123.73528899999999</v>
      </c>
      <c r="M20">
        <v>-622.50408100000004</v>
      </c>
      <c r="N20">
        <v>1.2870170000000001</v>
      </c>
      <c r="O20">
        <v>2.2878590000000001</v>
      </c>
      <c r="P20">
        <f t="shared" si="3"/>
        <v>2.1450283333333334E-5</v>
      </c>
      <c r="Q20" cm="1">
        <f t="array" ref="Q20">[1]!PropsSI("D","T",J20+273.15,"P",101325,"Water")</f>
        <v>985.15025414223078</v>
      </c>
      <c r="R20" cm="1">
        <f t="array" ref="R20">[1]!PropsSI("D","T",K20+273.15,"P",101325,"Water")</f>
        <v>988.39861526139623</v>
      </c>
      <c r="S20">
        <f t="shared" si="2"/>
        <v>986.77443470181356</v>
      </c>
      <c r="T20" cm="1">
        <f t="array" ref="T20">[1]!PropsSI("H","T",J20+273.15,"P",101325,"Water")</f>
        <v>234985.74046111308</v>
      </c>
      <c r="U20" cm="1">
        <f t="array" ref="U20">[1]!PropsSI("H","T",K20+273.15,"P",101325,"Water")</f>
        <v>206037.62071916737</v>
      </c>
      <c r="V20">
        <f t="shared" si="1"/>
        <v>612.73301688874062</v>
      </c>
    </row>
    <row r="21" spans="1:22" x14ac:dyDescent="0.2">
      <c r="A21">
        <v>46068.598742337963</v>
      </c>
      <c r="B21">
        <v>19.813331000000002</v>
      </c>
      <c r="C21">
        <v>19.652497</v>
      </c>
      <c r="D21">
        <v>20.057687999999999</v>
      </c>
      <c r="E21">
        <v>19.786193999999998</v>
      </c>
      <c r="F21">
        <v>34.685884999999999</v>
      </c>
      <c r="G21">
        <v>31.694849000000001</v>
      </c>
      <c r="H21">
        <v>26.121600999999998</v>
      </c>
      <c r="I21">
        <v>23.561499000000001</v>
      </c>
      <c r="J21">
        <v>56.110964000000003</v>
      </c>
      <c r="K21">
        <v>49.193800000000003</v>
      </c>
      <c r="L21">
        <v>137.108497</v>
      </c>
      <c r="M21">
        <v>-622.493878</v>
      </c>
      <c r="N21">
        <v>1.2900210000000001</v>
      </c>
      <c r="O21">
        <v>2.4175800000000001</v>
      </c>
      <c r="P21">
        <f t="shared" si="3"/>
        <v>2.1500350000000002E-5</v>
      </c>
      <c r="Q21" cm="1">
        <f t="array" ref="Q21">[1]!PropsSI("D","T",J21+273.15,"P",101325,"Water")</f>
        <v>985.15134870982763</v>
      </c>
      <c r="R21" cm="1">
        <f t="array" ref="R21">[1]!PropsSI("D","T",K21+273.15,"P",101325,"Water")</f>
        <v>988.39755011630837</v>
      </c>
      <c r="S21">
        <f t="shared" si="2"/>
        <v>986.77444941306794</v>
      </c>
      <c r="T21" cm="1">
        <f t="array" ref="T21">[1]!PropsSI("H","T",J21+273.15,"P",101325,"Water")</f>
        <v>234976.41573341441</v>
      </c>
      <c r="U21" cm="1">
        <f t="array" ref="U21">[1]!PropsSI("H","T",K21+273.15,"P",101325,"Water")</f>
        <v>206047.58432643191</v>
      </c>
      <c r="V21">
        <f t="shared" si="1"/>
        <v>613.7539723825447</v>
      </c>
    </row>
    <row r="22" spans="1:22" x14ac:dyDescent="0.2">
      <c r="A22">
        <v>46068.598858657409</v>
      </c>
      <c r="B22">
        <v>19.808868</v>
      </c>
      <c r="C22">
        <v>19.668068000000002</v>
      </c>
      <c r="D22">
        <v>19.982225</v>
      </c>
      <c r="E22">
        <v>19.762280000000001</v>
      </c>
      <c r="F22">
        <v>34.806922</v>
      </c>
      <c r="G22">
        <v>31.57122</v>
      </c>
      <c r="H22">
        <v>26.619955000000001</v>
      </c>
      <c r="I22">
        <v>22.566181</v>
      </c>
      <c r="J22">
        <v>56.113511000000003</v>
      </c>
      <c r="K22">
        <v>49.203330000000001</v>
      </c>
      <c r="L22">
        <v>126.90615</v>
      </c>
      <c r="M22">
        <v>-622.47551099999998</v>
      </c>
      <c r="N22">
        <v>1.2927580000000001</v>
      </c>
      <c r="O22">
        <v>2.8144459999999998</v>
      </c>
      <c r="P22">
        <f t="shared" si="3"/>
        <v>2.154596666666667E-5</v>
      </c>
      <c r="Q22" cm="1">
        <f t="array" ref="Q22">[1]!PropsSI("D","T",J22+273.15,"P",101325,"Water")</f>
        <v>985.15009798340861</v>
      </c>
      <c r="R22" cm="1">
        <f t="array" ref="R22">[1]!PropsSI("D","T",K22+273.15,"P",101325,"Water")</f>
        <v>988.39329005406171</v>
      </c>
      <c r="S22">
        <f t="shared" si="2"/>
        <v>986.77169401873516</v>
      </c>
      <c r="T22" cm="1">
        <f t="array" ref="T22">[1]!PropsSI("H","T",J22+273.15,"P",101325,"Water")</f>
        <v>234987.07077234841</v>
      </c>
      <c r="U22" cm="1">
        <f t="array" ref="U22">[1]!PropsSI("H","T",K22+273.15,"P",101325,"Water")</f>
        <v>206087.43040847668</v>
      </c>
      <c r="V22">
        <f t="shared" si="1"/>
        <v>614.43380957275338</v>
      </c>
    </row>
    <row r="23" spans="1:22" x14ac:dyDescent="0.2">
      <c r="A23">
        <v>46068.598974398148</v>
      </c>
      <c r="B23">
        <v>19.790434000000001</v>
      </c>
      <c r="C23">
        <v>19.646401999999998</v>
      </c>
      <c r="D23">
        <v>20.017119000000001</v>
      </c>
      <c r="E23">
        <v>19.786940000000001</v>
      </c>
      <c r="F23">
        <v>34.905248</v>
      </c>
      <c r="G23">
        <v>32.101624000000001</v>
      </c>
      <c r="H23">
        <v>26.585692999999999</v>
      </c>
      <c r="I23">
        <v>23.497416000000001</v>
      </c>
      <c r="J23">
        <v>56.110964000000003</v>
      </c>
      <c r="K23">
        <v>49.205235999999999</v>
      </c>
      <c r="L23">
        <v>127.08940699999999</v>
      </c>
      <c r="M23">
        <v>-622.50122399999998</v>
      </c>
      <c r="N23">
        <v>1.2870330000000001</v>
      </c>
      <c r="O23">
        <v>2.4109600000000002</v>
      </c>
      <c r="P23">
        <f t="shared" si="3"/>
        <v>2.1450550000000001E-5</v>
      </c>
      <c r="Q23" cm="1">
        <f t="array" ref="Q23">[1]!PropsSI("D","T",J23+273.15,"P",101325,"Water")</f>
        <v>985.15134870982763</v>
      </c>
      <c r="R23" cm="1">
        <f t="array" ref="R23">[1]!PropsSI("D","T",K23+273.15,"P",101325,"Water")</f>
        <v>988.39243796947517</v>
      </c>
      <c r="S23">
        <f t="shared" si="2"/>
        <v>986.77189333965134</v>
      </c>
      <c r="T23" cm="1">
        <f t="array" ref="T23">[1]!PropsSI("H","T",J23+273.15,"P",101325,"Water")</f>
        <v>234976.41573341441</v>
      </c>
      <c r="U23" cm="1">
        <f t="array" ref="U23">[1]!PropsSI("H","T",K23+273.15,"P",101325,"Water")</f>
        <v>206095.39962779277</v>
      </c>
      <c r="V23">
        <f t="shared" si="1"/>
        <v>611.31868698753397</v>
      </c>
    </row>
    <row r="24" spans="1:22" x14ac:dyDescent="0.2">
      <c r="A24">
        <v>46068.599090717595</v>
      </c>
      <c r="B24">
        <v>19.690258</v>
      </c>
      <c r="C24">
        <v>19.657136000000001</v>
      </c>
      <c r="D24">
        <v>19.926424000000001</v>
      </c>
      <c r="E24">
        <v>19.768864000000001</v>
      </c>
      <c r="F24">
        <v>34.515771000000001</v>
      </c>
      <c r="G24">
        <v>30.696069999999999</v>
      </c>
      <c r="H24">
        <v>26.631775999999999</v>
      </c>
      <c r="I24">
        <v>22.508082999999999</v>
      </c>
      <c r="J24">
        <v>56.113829000000003</v>
      </c>
      <c r="K24">
        <v>49.204441000000003</v>
      </c>
      <c r="L24">
        <v>129.42602400000001</v>
      </c>
      <c r="M24">
        <v>-622.47143000000005</v>
      </c>
      <c r="N24">
        <v>1.2936430000000001</v>
      </c>
      <c r="O24">
        <v>2.3248509999999998</v>
      </c>
      <c r="P24">
        <f t="shared" si="3"/>
        <v>2.1560716666666668E-5</v>
      </c>
      <c r="Q24" cm="1">
        <f t="array" ref="Q24">[1]!PropsSI("D","T",J24+273.15,"P",101325,"Water")</f>
        <v>985.14994182395333</v>
      </c>
      <c r="R24" cm="1">
        <f t="array" ref="R24">[1]!PropsSI("D","T",K24+273.15,"P",101325,"Water")</f>
        <v>988.39279338017536</v>
      </c>
      <c r="S24">
        <f t="shared" si="2"/>
        <v>986.7713676020644</v>
      </c>
      <c r="T24" cm="1">
        <f t="array" ref="T24">[1]!PropsSI("H","T",J24+273.15,"P",101325,"Water")</f>
        <v>234988.40108363848</v>
      </c>
      <c r="U24" cm="1">
        <f t="array" ref="U24">[1]!PropsSI("H","T",K24+273.15,"P",101325,"Water")</f>
        <v>206092.0756353616</v>
      </c>
      <c r="V24">
        <f t="shared" si="1"/>
        <v>614.78371057324239</v>
      </c>
    </row>
    <row r="25" spans="1:22" x14ac:dyDescent="0.2">
      <c r="A25">
        <v>46068.599207037034</v>
      </c>
      <c r="B25">
        <v>19.795254</v>
      </c>
      <c r="C25">
        <v>19.644645000000001</v>
      </c>
      <c r="D25">
        <v>19.953408</v>
      </c>
      <c r="E25">
        <v>19.760183000000001</v>
      </c>
      <c r="F25">
        <v>34.672037000000003</v>
      </c>
      <c r="G25">
        <v>33.045226999999997</v>
      </c>
      <c r="H25">
        <v>26.072101</v>
      </c>
      <c r="I25">
        <v>23.320551999999999</v>
      </c>
      <c r="J25">
        <v>56.110804999999999</v>
      </c>
      <c r="K25">
        <v>49.200788000000003</v>
      </c>
      <c r="L25">
        <v>135.589797</v>
      </c>
      <c r="M25">
        <v>-622.49061300000005</v>
      </c>
      <c r="N25">
        <v>1.293992</v>
      </c>
      <c r="O25">
        <v>2.3826339999999999</v>
      </c>
      <c r="P25">
        <f t="shared" si="3"/>
        <v>2.1566533333333334E-5</v>
      </c>
      <c r="Q25" cm="1">
        <f t="array" ref="Q25">[1]!PropsSI("D","T",J25+273.15,"P",101325,"Water")</f>
        <v>985.15142678682457</v>
      </c>
      <c r="R25" cm="1">
        <f t="array" ref="R25">[1]!PropsSI("D","T",K25+273.15,"P",101325,"Water")</f>
        <v>988.39442642748054</v>
      </c>
      <c r="S25">
        <f t="shared" si="2"/>
        <v>986.77292660715261</v>
      </c>
      <c r="T25" cm="1">
        <f t="array" ref="T25">[1]!PropsSI("H","T",J25+273.15,"P",101325,"Water")</f>
        <v>234975.75057797096</v>
      </c>
      <c r="U25" cm="1">
        <f t="array" ref="U25">[1]!PropsSI("H","T",K25+273.15,"P",101325,"Water")</f>
        <v>206076.80199681243</v>
      </c>
      <c r="V25">
        <f t="shared" si="1"/>
        <v>615.00636255808195</v>
      </c>
    </row>
    <row r="26" spans="1:22" x14ac:dyDescent="0.2">
      <c r="A26">
        <v>46068.59932277778</v>
      </c>
      <c r="B26">
        <v>19.784852000000001</v>
      </c>
      <c r="C26">
        <v>19.668641999999998</v>
      </c>
      <c r="D26">
        <v>20.002997000000001</v>
      </c>
      <c r="E26">
        <v>19.736877</v>
      </c>
      <c r="F26">
        <v>34.874223000000001</v>
      </c>
      <c r="G26">
        <v>32.603755</v>
      </c>
      <c r="H26">
        <v>26.403987999999998</v>
      </c>
      <c r="I26">
        <v>22.849903999999999</v>
      </c>
      <c r="J26">
        <v>56.112555999999998</v>
      </c>
      <c r="K26">
        <v>49.200788000000003</v>
      </c>
      <c r="L26">
        <v>138.65984800000001</v>
      </c>
      <c r="M26">
        <v>-622.50244899999996</v>
      </c>
      <c r="N26">
        <v>1.2891520000000001</v>
      </c>
      <c r="O26">
        <v>1.723301</v>
      </c>
      <c r="P26">
        <f t="shared" si="3"/>
        <v>2.1485866666666667E-5</v>
      </c>
      <c r="Q26" cm="1">
        <f t="array" ref="Q26">[1]!PropsSI("D","T",J26+273.15,"P",101325,"Water")</f>
        <v>985.15056694908185</v>
      </c>
      <c r="R26" cm="1">
        <f t="array" ref="R26">[1]!PropsSI("D","T",K26+273.15,"P",101325,"Water")</f>
        <v>988.39442642748054</v>
      </c>
      <c r="S26">
        <f t="shared" si="2"/>
        <v>986.77249668828119</v>
      </c>
      <c r="T26" cm="1">
        <f t="array" ref="T26">[1]!PropsSI("H","T",J26+273.15,"P",101325,"Water")</f>
        <v>234983.0756554098</v>
      </c>
      <c r="U26" cm="1">
        <f t="array" ref="U26">[1]!PropsSI("H","T",K26+273.15,"P",101325,"Water")</f>
        <v>206076.80199681243</v>
      </c>
      <c r="V26">
        <f t="shared" si="1"/>
        <v>612.86105229268003</v>
      </c>
    </row>
    <row r="27" spans="1:22" x14ac:dyDescent="0.2">
      <c r="A27">
        <v>46068.599439097219</v>
      </c>
      <c r="B27">
        <v>19.806319999999999</v>
      </c>
      <c r="C27">
        <v>19.653461</v>
      </c>
      <c r="D27">
        <v>19.930712</v>
      </c>
      <c r="E27">
        <v>19.747368999999999</v>
      </c>
      <c r="F27">
        <v>33.725921</v>
      </c>
      <c r="G27">
        <v>32.448318999999998</v>
      </c>
      <c r="H27">
        <v>26.311422</v>
      </c>
      <c r="I27">
        <v>22.894984000000001</v>
      </c>
      <c r="J27">
        <v>56.110168000000002</v>
      </c>
      <c r="K27">
        <v>49.204441000000003</v>
      </c>
      <c r="L27">
        <v>136.66117199999999</v>
      </c>
      <c r="M27">
        <v>-622.480817</v>
      </c>
      <c r="N27">
        <v>1.2923849999999999</v>
      </c>
      <c r="O27">
        <v>2.031237</v>
      </c>
      <c r="P27">
        <f t="shared" si="3"/>
        <v>2.1539749999999997E-5</v>
      </c>
      <c r="Q27" cm="1">
        <f t="array" ref="Q27">[1]!PropsSI("D","T",J27+273.15,"P",101325,"Water")</f>
        <v>985.15173958435207</v>
      </c>
      <c r="R27" cm="1">
        <f t="array" ref="R27">[1]!PropsSI("D","T",K27+273.15,"P",101325,"Water")</f>
        <v>988.39279338017536</v>
      </c>
      <c r="S27">
        <f t="shared" si="2"/>
        <v>986.77226648226372</v>
      </c>
      <c r="T27" cm="1">
        <f t="array" ref="T27">[1]!PropsSI("H","T",J27+273.15,"P",101325,"Water")</f>
        <v>234973.08577278088</v>
      </c>
      <c r="U27" cm="1">
        <f t="array" ref="U27">[1]!PropsSI("H","T",K27+273.15,"P",101325,"Water")</f>
        <v>206092.0756353616</v>
      </c>
      <c r="V27">
        <f t="shared" si="1"/>
        <v>613.86090082767271</v>
      </c>
    </row>
    <row r="28" spans="1:22" x14ac:dyDescent="0.2">
      <c r="A28">
        <v>46068.599554837965</v>
      </c>
      <c r="B28">
        <v>19.813706</v>
      </c>
      <c r="C28">
        <v>19.682158000000001</v>
      </c>
      <c r="D28">
        <v>19.850964999999999</v>
      </c>
      <c r="E28">
        <v>19.755994999999999</v>
      </c>
      <c r="F28">
        <v>34.893132999999999</v>
      </c>
      <c r="G28">
        <v>33.125427999999999</v>
      </c>
      <c r="H28">
        <v>26.201191000000001</v>
      </c>
      <c r="I28">
        <v>22.826653</v>
      </c>
      <c r="J28">
        <v>56.108894999999997</v>
      </c>
      <c r="K28">
        <v>49.206823999999997</v>
      </c>
      <c r="L28">
        <v>131.43776</v>
      </c>
      <c r="M28">
        <v>-622.52040699999998</v>
      </c>
      <c r="N28">
        <v>1.292135</v>
      </c>
      <c r="O28">
        <v>2.4170590000000001</v>
      </c>
      <c r="P28">
        <f t="shared" si="3"/>
        <v>2.1535583333333334E-5</v>
      </c>
      <c r="Q28" cm="1">
        <f t="array" ref="Q28">[1]!PropsSI("D","T",J28+273.15,"P",101325,"Water")</f>
        <v>985.15236468087346</v>
      </c>
      <c r="R28" cm="1">
        <f t="array" ref="R28">[1]!PropsSI("D","T",K28+273.15,"P",101325,"Water")</f>
        <v>988.39172802960184</v>
      </c>
      <c r="S28">
        <f t="shared" si="2"/>
        <v>986.77204635523765</v>
      </c>
      <c r="T28" cm="1">
        <f t="array" ref="T28">[1]!PropsSI("H","T",J28+273.15,"P",101325,"Water")</f>
        <v>234967.76034636155</v>
      </c>
      <c r="U28" cm="1">
        <f t="array" ref="U28">[1]!PropsSI("H","T",K28+273.15,"P",101325,"Water")</f>
        <v>206102.03925095018</v>
      </c>
      <c r="V28">
        <f t="shared" si="1"/>
        <v>613.41711514321025</v>
      </c>
    </row>
    <row r="29" spans="1:22" x14ac:dyDescent="0.2">
      <c r="A29">
        <v>46068.599671157404</v>
      </c>
      <c r="B29">
        <v>19.863771</v>
      </c>
      <c r="C29">
        <v>19.681867</v>
      </c>
      <c r="D29">
        <v>19.885735</v>
      </c>
      <c r="E29">
        <v>19.774781999999998</v>
      </c>
      <c r="F29">
        <v>34.971075999999996</v>
      </c>
      <c r="G29">
        <v>32.458846000000001</v>
      </c>
      <c r="H29">
        <v>26.549095000000001</v>
      </c>
      <c r="I29">
        <v>23.253907999999999</v>
      </c>
      <c r="J29">
        <v>56.103802000000002</v>
      </c>
      <c r="K29">
        <v>49.205393999999998</v>
      </c>
      <c r="L29">
        <v>132.74993900000001</v>
      </c>
      <c r="M29">
        <v>-622.48693900000001</v>
      </c>
      <c r="N29">
        <v>1.292762</v>
      </c>
      <c r="O29">
        <v>2.300554</v>
      </c>
      <c r="P29">
        <f t="shared" si="3"/>
        <v>2.1546033333333333E-5</v>
      </c>
      <c r="Q29" cm="1">
        <f t="array" ref="Q29">[1]!PropsSI("D","T",J29+273.15,"P",101325,"Water")</f>
        <v>985.15486545857652</v>
      </c>
      <c r="R29" cm="1">
        <f t="array" ref="R29">[1]!PropsSI("D","T",K29+273.15,"P",101325,"Water")</f>
        <v>988.39236733386963</v>
      </c>
      <c r="S29">
        <f t="shared" si="2"/>
        <v>986.77361639622313</v>
      </c>
      <c r="T29" cm="1">
        <f t="array" ref="T29">[1]!PropsSI("H","T",J29+273.15,"P",101325,"Water")</f>
        <v>234946.45446321237</v>
      </c>
      <c r="U29" cm="1">
        <f t="array" ref="U29">[1]!PropsSI("H","T",K29+273.15,"P",101325,"Water")</f>
        <v>206096.06024520303</v>
      </c>
      <c r="V29">
        <f t="shared" si="1"/>
        <v>613.38988261543943</v>
      </c>
    </row>
    <row r="30" spans="1:22" x14ac:dyDescent="0.2">
      <c r="A30">
        <v>46068.599787476851</v>
      </c>
      <c r="B30">
        <v>19.794968000000001</v>
      </c>
      <c r="C30">
        <v>19.694703000000001</v>
      </c>
      <c r="D30">
        <v>19.883472000000001</v>
      </c>
      <c r="E30">
        <v>19.759212999999999</v>
      </c>
      <c r="F30">
        <v>34.512377000000001</v>
      </c>
      <c r="G30">
        <v>32.364725</v>
      </c>
      <c r="H30">
        <v>26.251104000000002</v>
      </c>
      <c r="I30">
        <v>23.555465999999999</v>
      </c>
      <c r="J30">
        <v>56.105711999999997</v>
      </c>
      <c r="K30">
        <v>49.205077000000003</v>
      </c>
      <c r="L30">
        <v>124.702179</v>
      </c>
      <c r="M30">
        <v>-622.51102000000003</v>
      </c>
      <c r="N30">
        <v>1.2893490000000001</v>
      </c>
      <c r="O30">
        <v>1.672431</v>
      </c>
      <c r="P30">
        <f t="shared" si="3"/>
        <v>2.1489150000000004E-5</v>
      </c>
      <c r="Q30" cm="1">
        <f t="array" ref="Q30">[1]!PropsSI("D","T",J30+273.15,"P",101325,"Water")</f>
        <v>985.15392762422243</v>
      </c>
      <c r="R30" cm="1">
        <f t="array" ref="R30">[1]!PropsSI("D","T",K30+273.15,"P",101325,"Water")</f>
        <v>988.39250905194694</v>
      </c>
      <c r="S30">
        <f t="shared" si="2"/>
        <v>986.77321833808469</v>
      </c>
      <c r="T30" cm="1">
        <f t="array" ref="T30">[1]!PropsSI("H","T",J30+273.15,"P",101325,"Water")</f>
        <v>234954.44469117036</v>
      </c>
      <c r="U30" cm="1">
        <f t="array" ref="U30">[1]!PropsSI("H","T",K30+273.15,"P",101325,"Water")</f>
        <v>206094.73482931918</v>
      </c>
      <c r="V30">
        <f t="shared" si="1"/>
        <v>611.96777260639806</v>
      </c>
    </row>
    <row r="31" spans="1:22" x14ac:dyDescent="0.2">
      <c r="A31">
        <v>46068.59990321759</v>
      </c>
      <c r="B31">
        <v>19.697868</v>
      </c>
      <c r="C31">
        <v>19.660802</v>
      </c>
      <c r="D31">
        <v>19.940698999999999</v>
      </c>
      <c r="E31">
        <v>19.768516000000002</v>
      </c>
      <c r="F31">
        <v>34.822370999999997</v>
      </c>
      <c r="G31">
        <v>32.205119000000003</v>
      </c>
      <c r="H31">
        <v>26.503943</v>
      </c>
      <c r="I31">
        <v>23.484311000000002</v>
      </c>
      <c r="J31">
        <v>56.099505000000001</v>
      </c>
      <c r="K31">
        <v>49.200788000000003</v>
      </c>
      <c r="L31">
        <v>131.29042100000001</v>
      </c>
      <c r="M31">
        <v>-622.48693900000001</v>
      </c>
      <c r="N31">
        <v>1.292783</v>
      </c>
      <c r="O31">
        <v>2.0428389999999998</v>
      </c>
      <c r="P31">
        <f t="shared" si="3"/>
        <v>2.1546383333333334E-5</v>
      </c>
      <c r="Q31" cm="1">
        <f t="array" ref="Q31">[1]!PropsSI("D","T",J31+273.15,"P",101325,"Water")</f>
        <v>985.1569752585259</v>
      </c>
      <c r="R31" cm="1">
        <f t="array" ref="R31">[1]!PropsSI("D","T",K31+273.15,"P",101325,"Water")</f>
        <v>988.39442642748054</v>
      </c>
      <c r="S31">
        <f t="shared" si="2"/>
        <v>986.77570084300328</v>
      </c>
      <c r="T31" cm="1">
        <f t="array" ref="T31">[1]!PropsSI("H","T",J31+273.15,"P",101325,"Water")</f>
        <v>234928.47854703671</v>
      </c>
      <c r="U31" cm="1">
        <f t="array" ref="U31">[1]!PropsSI("H","T",K31+273.15,"P",101325,"Water")</f>
        <v>206076.80199681243</v>
      </c>
      <c r="V31">
        <f t="shared" si="1"/>
        <v>613.42840667451958</v>
      </c>
    </row>
    <row r="32" spans="1:22" x14ac:dyDescent="0.2">
      <c r="A32">
        <v>46068.600019537036</v>
      </c>
      <c r="B32">
        <v>19.711148000000001</v>
      </c>
      <c r="C32">
        <v>19.665700000000001</v>
      </c>
      <c r="D32">
        <v>19.906962</v>
      </c>
      <c r="E32">
        <v>19.769824</v>
      </c>
      <c r="F32">
        <v>34.738304999999997</v>
      </c>
      <c r="G32">
        <v>31.399958999999999</v>
      </c>
      <c r="H32">
        <v>26.024688000000001</v>
      </c>
      <c r="I32">
        <v>23.599453</v>
      </c>
      <c r="J32">
        <v>56.095207000000002</v>
      </c>
      <c r="K32">
        <v>49.196022999999997</v>
      </c>
      <c r="L32">
        <v>129.73009099999999</v>
      </c>
      <c r="M32">
        <v>-622.50530600000002</v>
      </c>
      <c r="N32">
        <v>1.2933030000000001</v>
      </c>
      <c r="O32">
        <v>1.894501</v>
      </c>
      <c r="P32">
        <f t="shared" ref="P32:P55" si="4" xml:space="preserve"> N32*0.001/60</f>
        <v>2.1555050000000003E-5</v>
      </c>
      <c r="Q32" cm="1">
        <f t="array" ref="Q32">[1]!PropsSI("D","T",J32+273.15,"P",101325,"Water")</f>
        <v>985.15908543609487</v>
      </c>
      <c r="R32" cm="1">
        <f t="array" ref="R32">[1]!PropsSI("D","T",K32+273.15,"P",101325,"Water")</f>
        <v>988.3965564535747</v>
      </c>
      <c r="S32">
        <f t="shared" ref="S32:S55" si="5">(Q32+R32)/2</f>
        <v>986.77782094483473</v>
      </c>
      <c r="T32" cm="1">
        <f t="array" ref="T32">[1]!PropsSI("H","T",J32+273.15,"P",101325,"Water")</f>
        <v>234910.49845455054</v>
      </c>
      <c r="U32" cm="1">
        <f t="array" ref="U32">[1]!PropsSI("H","T",K32+273.15,"P",101325,"Water")</f>
        <v>206056.87895593766</v>
      </c>
      <c r="V32">
        <f t="shared" ref="V32:V55" si="6">S32*P32*(T32-U32)</f>
        <v>613.71779292029669</v>
      </c>
    </row>
    <row r="33" spans="1:22" x14ac:dyDescent="0.2">
      <c r="A33">
        <v>46068.600135856483</v>
      </c>
      <c r="B33">
        <v>19.995905</v>
      </c>
      <c r="C33">
        <v>19.804088</v>
      </c>
      <c r="D33">
        <v>20.101683999999999</v>
      </c>
      <c r="E33">
        <v>19.960276</v>
      </c>
      <c r="F33">
        <v>34.647241999999999</v>
      </c>
      <c r="G33">
        <v>32.783217</v>
      </c>
      <c r="H33">
        <v>26.470624000000001</v>
      </c>
      <c r="I33">
        <v>23.204048</v>
      </c>
      <c r="J33">
        <v>56.094889000000002</v>
      </c>
      <c r="K33">
        <v>49.197293999999999</v>
      </c>
      <c r="L33">
        <v>130.870034</v>
      </c>
      <c r="M33">
        <v>-622.48285799999996</v>
      </c>
      <c r="N33">
        <v>1.2882670000000001</v>
      </c>
      <c r="O33">
        <v>2.1476150000000001</v>
      </c>
      <c r="P33">
        <f t="shared" si="4"/>
        <v>2.1471116666666669E-5</v>
      </c>
      <c r="Q33" cm="1">
        <f t="array" ref="Q33">[1]!PropsSI("D","T",J33+273.15,"P",101325,"Water")</f>
        <v>985.15924155921437</v>
      </c>
      <c r="R33" cm="1">
        <f t="array" ref="R33">[1]!PropsSI("D","T",K33+273.15,"P",101325,"Water")</f>
        <v>988.39598831229659</v>
      </c>
      <c r="S33">
        <f t="shared" si="5"/>
        <v>986.77761493575554</v>
      </c>
      <c r="T33" cm="1">
        <f t="array" ref="T33">[1]!PropsSI("H","T",J33+273.15,"P",101325,"Water")</f>
        <v>234909.16814550955</v>
      </c>
      <c r="U33" cm="1">
        <f t="array" ref="U33">[1]!PropsSI("H","T",K33+273.15,"P",101325,"Water")</f>
        <v>206062.19315996155</v>
      </c>
      <c r="V33">
        <f t="shared" si="6"/>
        <v>611.18712730321579</v>
      </c>
    </row>
    <row r="34" spans="1:22" x14ac:dyDescent="0.2">
      <c r="A34">
        <v>46068.600252175929</v>
      </c>
      <c r="B34">
        <v>20.000025999999998</v>
      </c>
      <c r="C34">
        <v>19.755680999999999</v>
      </c>
      <c r="D34">
        <v>20.162641000000001</v>
      </c>
      <c r="E34">
        <v>19.945017</v>
      </c>
      <c r="F34">
        <v>34.996330999999998</v>
      </c>
      <c r="G34">
        <v>32.592540999999997</v>
      </c>
      <c r="H34">
        <v>26.803073000000001</v>
      </c>
      <c r="I34">
        <v>23.591456999999998</v>
      </c>
      <c r="J34">
        <v>56.100937000000002</v>
      </c>
      <c r="K34">
        <v>49.213495000000002</v>
      </c>
      <c r="L34">
        <v>123.704678</v>
      </c>
      <c r="M34">
        <v>-622.49632699999995</v>
      </c>
      <c r="N34">
        <v>1.291094</v>
      </c>
      <c r="O34">
        <v>1.5600309999999999</v>
      </c>
      <c r="P34">
        <f t="shared" si="4"/>
        <v>2.1518233333333333E-5</v>
      </c>
      <c r="Q34" cm="1">
        <f t="array" ref="Q34">[1]!PropsSI("D","T",J34+273.15,"P",101325,"Water")</f>
        <v>985.15627216813084</v>
      </c>
      <c r="R34" cm="1">
        <f t="array" ref="R34">[1]!PropsSI("D","T",K34+273.15,"P",101325,"Water")</f>
        <v>988.38874547396892</v>
      </c>
      <c r="S34">
        <f t="shared" si="5"/>
        <v>986.77250882104988</v>
      </c>
      <c r="T34" cm="1">
        <f t="array" ref="T34">[1]!PropsSI("H","T",J34+273.15,"P",101325,"Water")</f>
        <v>234934.46912388442</v>
      </c>
      <c r="U34" cm="1">
        <f t="array" ref="U34">[1]!PropsSI("H","T",K34+273.15,"P",101325,"Water")</f>
        <v>206129.9315292738</v>
      </c>
      <c r="V34">
        <f t="shared" si="6"/>
        <v>611.62406091570415</v>
      </c>
    </row>
    <row r="35" spans="1:22" x14ac:dyDescent="0.2">
      <c r="A35">
        <v>46068.600368495368</v>
      </c>
      <c r="B35">
        <v>19.845587999999999</v>
      </c>
      <c r="C35">
        <v>19.687526999999999</v>
      </c>
      <c r="D35">
        <v>20.059014999999999</v>
      </c>
      <c r="E35">
        <v>19.798309</v>
      </c>
      <c r="F35">
        <v>34.800195000000002</v>
      </c>
      <c r="G35">
        <v>32.337677999999997</v>
      </c>
      <c r="H35">
        <v>26.163896000000001</v>
      </c>
      <c r="I35">
        <v>23.332169</v>
      </c>
      <c r="J35">
        <v>56.103324000000001</v>
      </c>
      <c r="K35">
        <v>49.223500999999999</v>
      </c>
      <c r="L35">
        <v>127.850185</v>
      </c>
      <c r="M35">
        <v>-622.48244999999997</v>
      </c>
      <c r="N35">
        <v>1.2907630000000001</v>
      </c>
      <c r="O35">
        <v>2.1142059999999998</v>
      </c>
      <c r="P35">
        <f t="shared" si="4"/>
        <v>2.1512716666666668E-5</v>
      </c>
      <c r="Q35" cm="1">
        <f t="array" ref="Q35">[1]!PropsSI("D","T",J35+273.15,"P",101325,"Water")</f>
        <v>985.1551001591672</v>
      </c>
      <c r="R35" cm="1">
        <f t="array" ref="R35">[1]!PropsSI("D","T",K35+273.15,"P",101325,"Water")</f>
        <v>988.38427131174001</v>
      </c>
      <c r="S35">
        <f t="shared" si="5"/>
        <v>986.76968573545355</v>
      </c>
      <c r="T35" cm="1">
        <f t="array" ref="T35">[1]!PropsSI("H","T",J35+273.15,"P",101325,"Water")</f>
        <v>234944.45481472617</v>
      </c>
      <c r="U35" cm="1">
        <f t="array" ref="U35">[1]!PropsSI("H","T",K35+273.15,"P",101325,"Water")</f>
        <v>206171.76787862708</v>
      </c>
      <c r="V35">
        <f t="shared" si="6"/>
        <v>610.78937957640483</v>
      </c>
    </row>
    <row r="36" spans="1:22" x14ac:dyDescent="0.2">
      <c r="A36">
        <v>46068.600484814815</v>
      </c>
      <c r="B36">
        <v>19.810890000000001</v>
      </c>
      <c r="C36">
        <v>19.607896</v>
      </c>
      <c r="D36">
        <v>20.044125999999999</v>
      </c>
      <c r="E36">
        <v>19.821259999999999</v>
      </c>
      <c r="F36">
        <v>34.744473999999997</v>
      </c>
      <c r="G36">
        <v>31.505109999999998</v>
      </c>
      <c r="H36">
        <v>26.552810000000001</v>
      </c>
      <c r="I36">
        <v>22.921012999999999</v>
      </c>
      <c r="J36">
        <v>56.102051000000003</v>
      </c>
      <c r="K36">
        <v>49.215401</v>
      </c>
      <c r="L36">
        <v>124.36954299999999</v>
      </c>
      <c r="M36">
        <v>-622.48449100000005</v>
      </c>
      <c r="N36">
        <v>1.2953680000000001</v>
      </c>
      <c r="O36">
        <v>1.8396410000000001</v>
      </c>
      <c r="P36">
        <f t="shared" si="4"/>
        <v>2.1589466666666667E-5</v>
      </c>
      <c r="Q36" cm="1">
        <f t="array" ref="Q36">[1]!PropsSI("D","T",J36+273.15,"P",101325,"Water")</f>
        <v>985.15572520222827</v>
      </c>
      <c r="R36" cm="1">
        <f t="array" ref="R36">[1]!PropsSI("D","T",K36+273.15,"P",101325,"Water")</f>
        <v>988.38789326109406</v>
      </c>
      <c r="S36">
        <f t="shared" si="5"/>
        <v>986.77180923166111</v>
      </c>
      <c r="T36" cm="1">
        <f t="array" ref="T36">[1]!PropsSI("H","T",J36+273.15,"P",101325,"Water")</f>
        <v>234939.12939155538</v>
      </c>
      <c r="U36" cm="1">
        <f t="array" ref="U36">[1]!PropsSI("H","T",K36+273.15,"P",101325,"Water")</f>
        <v>206137.90075383245</v>
      </c>
      <c r="V36">
        <f t="shared" si="6"/>
        <v>613.57783473781217</v>
      </c>
    </row>
    <row r="37" spans="1:22" x14ac:dyDescent="0.2">
      <c r="A37">
        <v>46068.600601134262</v>
      </c>
      <c r="B37">
        <v>19.891591999999999</v>
      </c>
      <c r="C37">
        <v>19.599976999999999</v>
      </c>
      <c r="D37">
        <v>20.146626999999999</v>
      </c>
      <c r="E37">
        <v>19.799323000000001</v>
      </c>
      <c r="F37">
        <v>35.025094000000003</v>
      </c>
      <c r="G37">
        <v>30.663606000000001</v>
      </c>
      <c r="H37">
        <v>26.080642999999998</v>
      </c>
      <c r="I37">
        <v>23.03903</v>
      </c>
      <c r="J37">
        <v>56.108099000000003</v>
      </c>
      <c r="K37">
        <v>49.219213000000003</v>
      </c>
      <c r="L37">
        <v>129.61254500000001</v>
      </c>
      <c r="M37">
        <v>-622.48571500000003</v>
      </c>
      <c r="N37">
        <v>1.285153</v>
      </c>
      <c r="O37">
        <v>1.883114</v>
      </c>
      <c r="P37">
        <f t="shared" si="4"/>
        <v>2.1419216666666667E-5</v>
      </c>
      <c r="Q37" cm="1">
        <f t="array" ref="Q37">[1]!PropsSI("D","T",J37+273.15,"P",101325,"Water")</f>
        <v>985.15275554530388</v>
      </c>
      <c r="R37" cm="1">
        <f t="array" ref="R37">[1]!PropsSI("D","T",K37+273.15,"P",101325,"Water")</f>
        <v>988.38618876321641</v>
      </c>
      <c r="S37">
        <f t="shared" si="5"/>
        <v>986.76947215426014</v>
      </c>
      <c r="T37" cm="1">
        <f t="array" ref="T37">[1]!PropsSI("H","T",J37+273.15,"P",101325,"Water")</f>
        <v>234964.43038631591</v>
      </c>
      <c r="U37" cm="1">
        <f t="array" ref="U37">[1]!PropsSI("H","T",K37+273.15,"P",101325,"Water")</f>
        <v>206153.83920595827</v>
      </c>
      <c r="V37">
        <f t="shared" si="6"/>
        <v>608.93573215304457</v>
      </c>
    </row>
    <row r="38" spans="1:22" x14ac:dyDescent="0.2">
      <c r="A38">
        <v>44606.600716877001</v>
      </c>
      <c r="B38">
        <v>19.904367000000001</v>
      </c>
      <c r="C38">
        <v>19.711444</v>
      </c>
      <c r="D38">
        <v>20.113326000000001</v>
      </c>
      <c r="E38">
        <v>19.788647000000001</v>
      </c>
      <c r="F38">
        <v>35.181196999999997</v>
      </c>
      <c r="G38">
        <v>31.921937</v>
      </c>
      <c r="H38">
        <v>26.473406000000001</v>
      </c>
      <c r="I38">
        <v>22.949556999999999</v>
      </c>
      <c r="J38">
        <v>56.110168000000002</v>
      </c>
      <c r="K38">
        <v>49.223660000000002</v>
      </c>
      <c r="L38">
        <v>129.25827799999999</v>
      </c>
      <c r="M38">
        <v>-622.48489900000004</v>
      </c>
      <c r="N38">
        <v>1.291512</v>
      </c>
      <c r="O38">
        <v>2.4307080000000001</v>
      </c>
      <c r="P38">
        <f t="shared" si="4"/>
        <v>2.1525200000000002E-5</v>
      </c>
      <c r="Q38" cm="1">
        <f t="array" ref="Q38">[1]!PropsSI("D","T",J38+273.15,"P",101325,"Water")</f>
        <v>985.15173958435207</v>
      </c>
      <c r="R38" cm="1">
        <f t="array" ref="R38">[1]!PropsSI("D","T",K38+273.15,"P",101325,"Water")</f>
        <v>988.38420020984438</v>
      </c>
      <c r="S38">
        <f t="shared" si="5"/>
        <v>986.76796989709828</v>
      </c>
      <c r="T38" cm="1">
        <f t="array" ref="T38">[1]!PropsSI("H","T",J38+273.15,"P",101325,"Water")</f>
        <v>234973.08577278088</v>
      </c>
      <c r="U38" cm="1">
        <f t="array" ref="U38">[1]!PropsSI("H","T",K38+273.15,"P",101325,"Water")</f>
        <v>206172.4326779629</v>
      </c>
      <c r="V38">
        <f t="shared" si="6"/>
        <v>611.73675566285772</v>
      </c>
    </row>
    <row r="39" spans="1:22" x14ac:dyDescent="0.2">
      <c r="A39">
        <v>44606.600833196397</v>
      </c>
      <c r="B39">
        <v>19.898892</v>
      </c>
      <c r="C39">
        <v>19.762460000000001</v>
      </c>
      <c r="D39">
        <v>20.178235999999998</v>
      </c>
      <c r="E39">
        <v>19.874051999999999</v>
      </c>
      <c r="F39">
        <v>34.403212000000003</v>
      </c>
      <c r="G39">
        <v>31.628443999999998</v>
      </c>
      <c r="H39">
        <v>26.316282000000001</v>
      </c>
      <c r="I39">
        <v>22.703443</v>
      </c>
      <c r="J39">
        <v>56.107939999999999</v>
      </c>
      <c r="K39">
        <v>49.226996</v>
      </c>
      <c r="L39">
        <v>124.489537</v>
      </c>
      <c r="M39">
        <v>-622.48367399999995</v>
      </c>
      <c r="N39">
        <v>1.2935449999999999</v>
      </c>
      <c r="O39">
        <v>1.712664</v>
      </c>
      <c r="P39">
        <f t="shared" si="4"/>
        <v>2.1559083333333332E-5</v>
      </c>
      <c r="Q39" cm="1">
        <f t="array" ref="Q39">[1]!PropsSI("D","T",J39+273.15,"P",101325,"Water")</f>
        <v>985.15283361950173</v>
      </c>
      <c r="R39" cm="1">
        <f t="array" ref="R39">[1]!PropsSI("D","T",K39+273.15,"P",101325,"Water")</f>
        <v>988.38270837354173</v>
      </c>
      <c r="S39">
        <f t="shared" si="5"/>
        <v>986.76777099652168</v>
      </c>
      <c r="T39" cm="1">
        <f t="array" ref="T39">[1]!PropsSI("H","T",J39+273.15,"P",101325,"Water")</f>
        <v>234963.765231061</v>
      </c>
      <c r="U39" cm="1">
        <f t="array" ref="U39">[1]!PropsSI("H","T",K39+273.15,"P",101325,"Water")</f>
        <v>206186.3809213218</v>
      </c>
      <c r="V39">
        <f t="shared" si="6"/>
        <v>612.20456597408281</v>
      </c>
    </row>
    <row r="40" spans="1:22" x14ac:dyDescent="0.2">
      <c r="A40">
        <v>44606.600948937201</v>
      </c>
      <c r="B40">
        <v>20.022168000000001</v>
      </c>
      <c r="C40">
        <v>19.735135</v>
      </c>
      <c r="D40">
        <v>20.169499999999999</v>
      </c>
      <c r="E40">
        <v>19.847937000000002</v>
      </c>
      <c r="F40">
        <v>34.950211000000003</v>
      </c>
      <c r="G40">
        <v>32.280788000000001</v>
      </c>
      <c r="H40">
        <v>26.571368</v>
      </c>
      <c r="I40">
        <v>23.372785</v>
      </c>
      <c r="J40">
        <v>56.108894999999997</v>
      </c>
      <c r="K40">
        <v>49.232712999999997</v>
      </c>
      <c r="L40">
        <v>135.29430199999999</v>
      </c>
      <c r="M40">
        <v>-622.49673499999994</v>
      </c>
      <c r="N40">
        <v>1.2971220000000001</v>
      </c>
      <c r="O40">
        <v>2.1317810000000001</v>
      </c>
      <c r="P40">
        <f t="shared" si="4"/>
        <v>2.1618700000000004E-5</v>
      </c>
      <c r="Q40" cm="1">
        <f t="array" ref="Q40">[1]!PropsSI("D","T",J40+273.15,"P",101325,"Water")</f>
        <v>985.15236468087346</v>
      </c>
      <c r="R40" cm="1">
        <f t="array" ref="R40">[1]!PropsSI("D","T",K40+273.15,"P",101325,"Water")</f>
        <v>988.38015159907263</v>
      </c>
      <c r="S40">
        <f t="shared" si="5"/>
        <v>986.76625813997305</v>
      </c>
      <c r="T40" cm="1">
        <f t="array" ref="T40">[1]!PropsSI("H","T",J40+273.15,"P",101325,"Water")</f>
        <v>234967.76034636155</v>
      </c>
      <c r="U40" cm="1">
        <f t="array" ref="U40">[1]!PropsSI("H","T",K40+273.15,"P",101325,"Water")</f>
        <v>206210.28443770757</v>
      </c>
      <c r="V40">
        <f t="shared" si="6"/>
        <v>613.47183711110495</v>
      </c>
    </row>
    <row r="41" spans="1:22" x14ac:dyDescent="0.2">
      <c r="A41">
        <v>44606.601065256596</v>
      </c>
      <c r="B41">
        <v>19.992152000000001</v>
      </c>
      <c r="C41">
        <v>19.749265000000001</v>
      </c>
      <c r="D41">
        <v>20.180834999999998</v>
      </c>
      <c r="E41">
        <v>19.955674999999999</v>
      </c>
      <c r="F41">
        <v>34.809119000000003</v>
      </c>
      <c r="G41">
        <v>30.161579</v>
      </c>
      <c r="H41">
        <v>26.322966000000001</v>
      </c>
      <c r="I41">
        <v>23.044107</v>
      </c>
      <c r="J41">
        <v>56.109212999999997</v>
      </c>
      <c r="K41">
        <v>49.236525</v>
      </c>
      <c r="L41">
        <v>128.29016300000001</v>
      </c>
      <c r="M41">
        <v>-622.48775599999999</v>
      </c>
      <c r="N41">
        <v>1.2954049999999999</v>
      </c>
      <c r="O41">
        <v>2.2989649999999999</v>
      </c>
      <c r="P41">
        <f t="shared" si="4"/>
        <v>2.1590083333333332E-5</v>
      </c>
      <c r="Q41" cm="1">
        <f t="array" ref="Q41">[1]!PropsSI("D","T",J41+273.15,"P",101325,"Water")</f>
        <v>985.15220853044036</v>
      </c>
      <c r="R41" cm="1">
        <f t="array" ref="R41">[1]!PropsSI("D","T",K41+273.15,"P",101325,"Water")</f>
        <v>988.37844666439605</v>
      </c>
      <c r="S41">
        <f t="shared" si="5"/>
        <v>986.76532759741826</v>
      </c>
      <c r="T41" cm="1">
        <f t="array" ref="T41">[1]!PropsSI("H","T",J41+273.15,"P",101325,"Water")</f>
        <v>234969.09065707558</v>
      </c>
      <c r="U41" cm="1">
        <f t="array" ref="U41">[1]!PropsSI("H","T",K41+273.15,"P",101325,"Water")</f>
        <v>206226.22290759056</v>
      </c>
      <c r="V41">
        <f t="shared" si="6"/>
        <v>612.34798960131945</v>
      </c>
    </row>
    <row r="42" spans="1:22" x14ac:dyDescent="0.2">
      <c r="A42">
        <v>46068.601180995371</v>
      </c>
      <c r="B42">
        <v>20.043033999999999</v>
      </c>
      <c r="C42">
        <v>19.739802999999998</v>
      </c>
      <c r="D42">
        <v>20.187396</v>
      </c>
      <c r="E42">
        <v>20.022144000000001</v>
      </c>
      <c r="F42">
        <v>35.041803999999999</v>
      </c>
      <c r="G42">
        <v>33.038164999999999</v>
      </c>
      <c r="H42">
        <v>26.263503</v>
      </c>
      <c r="I42">
        <v>23.170362000000001</v>
      </c>
      <c r="J42">
        <v>56.103006000000001</v>
      </c>
      <c r="K42">
        <v>49.240654999999997</v>
      </c>
      <c r="L42">
        <v>134.283332</v>
      </c>
      <c r="M42">
        <v>-622.49673499999994</v>
      </c>
      <c r="N42">
        <v>1.290279</v>
      </c>
      <c r="O42">
        <v>2.2131110000000001</v>
      </c>
      <c r="P42">
        <f t="shared" si="4"/>
        <v>2.1504650000000001E-5</v>
      </c>
      <c r="Q42" cm="1">
        <f t="array" ref="Q42">[1]!PropsSI("D","T",J42+273.15,"P",101325,"Water")</f>
        <v>985.15525629812112</v>
      </c>
      <c r="R42" cm="1">
        <f t="array" ref="R42">[1]!PropsSI("D","T",K42+273.15,"P",101325,"Water")</f>
        <v>988.37659939420917</v>
      </c>
      <c r="S42">
        <f t="shared" si="5"/>
        <v>986.76592784616514</v>
      </c>
      <c r="T42" cm="1">
        <f t="array" ref="T42">[1]!PropsSI("H","T",J42+273.15,"P",101325,"Water")</f>
        <v>234943.1245047327</v>
      </c>
      <c r="U42" cm="1">
        <f t="array" ref="U42">[1]!PropsSI("H","T",K42+273.15,"P",101325,"Water")</f>
        <v>206243.49098149629</v>
      </c>
      <c r="V42">
        <f t="shared" si="6"/>
        <v>609.00782796696365</v>
      </c>
    </row>
    <row r="43" spans="1:22" x14ac:dyDescent="0.2">
      <c r="A43">
        <v>46068.601297314817</v>
      </c>
      <c r="B43">
        <v>19.955531000000001</v>
      </c>
      <c r="C43">
        <v>19.723164000000001</v>
      </c>
      <c r="D43">
        <v>20.126895999999999</v>
      </c>
      <c r="E43">
        <v>19.916295999999999</v>
      </c>
      <c r="F43">
        <v>34.768763999999997</v>
      </c>
      <c r="G43">
        <v>32.628025999999998</v>
      </c>
      <c r="H43">
        <v>26.335474000000001</v>
      </c>
      <c r="I43">
        <v>23.124347</v>
      </c>
      <c r="J43">
        <v>56.097754000000002</v>
      </c>
      <c r="K43">
        <v>49.244943999999997</v>
      </c>
      <c r="L43">
        <v>132.554847</v>
      </c>
      <c r="M43">
        <v>-622.50489800000003</v>
      </c>
      <c r="N43">
        <v>1.2917989999999999</v>
      </c>
      <c r="O43">
        <v>2.4722749999999998</v>
      </c>
      <c r="P43">
        <f t="shared" si="4"/>
        <v>2.1529983333333332E-5</v>
      </c>
      <c r="Q43" cm="1">
        <f t="array" ref="Q43">[1]!PropsSI("D","T",J43+273.15,"P",101325,"Water")</f>
        <v>985.15783495600635</v>
      </c>
      <c r="R43" cm="1">
        <f t="array" ref="R43">[1]!PropsSI("D","T",K43+273.15,"P",101325,"Water")</f>
        <v>988.37468088688479</v>
      </c>
      <c r="S43">
        <f t="shared" si="5"/>
        <v>986.76625792144557</v>
      </c>
      <c r="T43" cm="1">
        <f t="array" ref="T43">[1]!PropsSI("H","T",J43+273.15,"P",101325,"Water")</f>
        <v>234921.15347825928</v>
      </c>
      <c r="U43" cm="1">
        <f t="array" ref="U43">[1]!PropsSI("H","T",K43+273.15,"P",101325,"Water")</f>
        <v>206261.42386017667</v>
      </c>
      <c r="V43">
        <f t="shared" si="6"/>
        <v>608.87770647147534</v>
      </c>
    </row>
    <row r="44" spans="1:22" x14ac:dyDescent="0.2">
      <c r="A44">
        <v>46068.601413634256</v>
      </c>
      <c r="B44">
        <v>19.980740000000001</v>
      </c>
      <c r="C44">
        <v>19.717504000000002</v>
      </c>
      <c r="D44">
        <v>20.148631999999999</v>
      </c>
      <c r="E44">
        <v>19.924485000000001</v>
      </c>
      <c r="F44">
        <v>34.125771999999998</v>
      </c>
      <c r="G44">
        <v>31.430014</v>
      </c>
      <c r="H44">
        <v>25.930105999999999</v>
      </c>
      <c r="I44">
        <v>22.994737000000001</v>
      </c>
      <c r="J44">
        <v>56.098230999999998</v>
      </c>
      <c r="K44">
        <v>49.237954999999999</v>
      </c>
      <c r="L44">
        <v>127.195932</v>
      </c>
      <c r="M44">
        <v>-622.50081599999999</v>
      </c>
      <c r="N44">
        <v>1.286279</v>
      </c>
      <c r="O44">
        <v>2.017779</v>
      </c>
      <c r="P44">
        <f t="shared" si="4"/>
        <v>2.1437983333333334E-5</v>
      </c>
      <c r="Q44" cm="1">
        <f t="array" ref="Q44">[1]!PropsSI("D","T",J44+273.15,"P",101325,"Water")</f>
        <v>985.15760076274103</v>
      </c>
      <c r="R44" cm="1">
        <f t="array" ref="R44">[1]!PropsSI("D","T",K44+273.15,"P",101325,"Water")</f>
        <v>988.37780706545834</v>
      </c>
      <c r="S44">
        <f t="shared" si="5"/>
        <v>986.76770391409968</v>
      </c>
      <c r="T44" cm="1">
        <f t="array" ref="T44">[1]!PropsSI("H","T",J44+273.15,"P",101325,"Water")</f>
        <v>234923.14894233801</v>
      </c>
      <c r="U44" cm="1">
        <f t="array" ref="U44">[1]!PropsSI("H","T",K44+273.15,"P",101325,"Water")</f>
        <v>206232.2019254264</v>
      </c>
      <c r="V44">
        <f t="shared" si="6"/>
        <v>606.93717563699715</v>
      </c>
    </row>
    <row r="45" spans="1:22" x14ac:dyDescent="0.2">
      <c r="A45">
        <v>46068.601529375002</v>
      </c>
      <c r="B45">
        <v>19.91488</v>
      </c>
      <c r="C45">
        <v>19.751835</v>
      </c>
      <c r="D45">
        <v>20.146958999999999</v>
      </c>
      <c r="E45">
        <v>19.906742999999999</v>
      </c>
      <c r="F45">
        <v>34.963762000000003</v>
      </c>
      <c r="G45">
        <v>31.964469999999999</v>
      </c>
      <c r="H45">
        <v>26.767019000000001</v>
      </c>
      <c r="I45">
        <v>24.143726000000001</v>
      </c>
      <c r="J45">
        <v>56.092820000000003</v>
      </c>
      <c r="K45">
        <v>49.230013</v>
      </c>
      <c r="L45">
        <v>130.74677399999999</v>
      </c>
      <c r="M45">
        <v>-622.47020599999996</v>
      </c>
      <c r="N45">
        <v>1.2983640000000001</v>
      </c>
      <c r="O45">
        <v>2.4677639999999998</v>
      </c>
      <c r="P45">
        <f t="shared" si="4"/>
        <v>2.1639400000000005E-5</v>
      </c>
      <c r="Q45" cm="1">
        <f t="array" ref="Q45">[1]!PropsSI("D","T",J45+273.15,"P",101325,"Water")</f>
        <v>985.16025732615071</v>
      </c>
      <c r="R45" cm="1">
        <f t="array" ref="R45">[1]!PropsSI("D","T",K45+273.15,"P",101325,"Water")</f>
        <v>988.38135912839164</v>
      </c>
      <c r="S45">
        <f t="shared" si="5"/>
        <v>986.77080822727112</v>
      </c>
      <c r="T45" cm="1">
        <f t="array" ref="T45">[1]!PropsSI("H","T",J45+273.15,"P",101325,"Water")</f>
        <v>234900.5127709787</v>
      </c>
      <c r="U45" cm="1">
        <f t="array" ref="U45">[1]!PropsSI("H","T",K45+273.15,"P",101325,"Water")</f>
        <v>206198.99538743193</v>
      </c>
      <c r="V45">
        <f t="shared" si="6"/>
        <v>612.86718101622182</v>
      </c>
    </row>
    <row r="46" spans="1:22" x14ac:dyDescent="0.2">
      <c r="A46">
        <v>46068.601645694442</v>
      </c>
      <c r="B46">
        <v>19.933333000000001</v>
      </c>
      <c r="C46">
        <v>19.645242</v>
      </c>
      <c r="D46">
        <v>20.018535</v>
      </c>
      <c r="E46">
        <v>19.806038000000001</v>
      </c>
      <c r="F46">
        <v>34.67653</v>
      </c>
      <c r="G46">
        <v>31.634829</v>
      </c>
      <c r="H46">
        <v>26.244634999999999</v>
      </c>
      <c r="I46">
        <v>23.416188999999999</v>
      </c>
      <c r="J46">
        <v>56.090910000000001</v>
      </c>
      <c r="K46">
        <v>49.227789999999999</v>
      </c>
      <c r="L46">
        <v>136.86279500000001</v>
      </c>
      <c r="M46">
        <v>-622.49714300000005</v>
      </c>
      <c r="N46">
        <v>1.286206</v>
      </c>
      <c r="O46">
        <v>2.08175</v>
      </c>
      <c r="P46">
        <f t="shared" si="4"/>
        <v>2.1436766666666668E-5</v>
      </c>
      <c r="Q46" cm="1">
        <f t="array" ref="Q46">[1]!PropsSI("D","T",J46+273.15,"P",101325,"Water")</f>
        <v>985.16119500937191</v>
      </c>
      <c r="R46" cm="1">
        <f t="array" ref="R46">[1]!PropsSI("D","T",K46+273.15,"P",101325,"Water")</f>
        <v>988.38235329133147</v>
      </c>
      <c r="S46">
        <f t="shared" si="5"/>
        <v>986.77177415035169</v>
      </c>
      <c r="T46" cm="1">
        <f t="array" ref="T46">[1]!PropsSI("H","T",J46+273.15,"P",101325,"Water")</f>
        <v>234892.5225523659</v>
      </c>
      <c r="U46" cm="1">
        <f t="array" ref="U46">[1]!PropsSI("H","T",K46+273.15,"P",101325,"Water")</f>
        <v>206189.70073745621</v>
      </c>
      <c r="V46">
        <f t="shared" si="6"/>
        <v>607.15642351762415</v>
      </c>
    </row>
    <row r="47" spans="1:22" x14ac:dyDescent="0.2">
      <c r="A47">
        <v>46068.601761435188</v>
      </c>
      <c r="B47">
        <v>19.808446</v>
      </c>
      <c r="C47">
        <v>19.688324999999999</v>
      </c>
      <c r="D47">
        <v>20.024989000000001</v>
      </c>
      <c r="E47">
        <v>19.853794000000001</v>
      </c>
      <c r="F47">
        <v>35.242953999999997</v>
      </c>
      <c r="G47">
        <v>30.940660000000001</v>
      </c>
      <c r="H47">
        <v>26.149799000000002</v>
      </c>
      <c r="I47">
        <v>22.826307</v>
      </c>
      <c r="J47">
        <v>56.085816999999999</v>
      </c>
      <c r="K47">
        <v>49.217148000000002</v>
      </c>
      <c r="L47">
        <v>132.02915899999999</v>
      </c>
      <c r="M47">
        <v>-622.49142900000004</v>
      </c>
      <c r="N47">
        <v>1.2873159999999999</v>
      </c>
      <c r="O47">
        <v>2.0059230000000001</v>
      </c>
      <c r="P47">
        <f t="shared" si="4"/>
        <v>2.1455266666666664E-5</v>
      </c>
      <c r="Q47" cm="1">
        <f t="array" ref="Q47">[1]!PropsSI("D","T",J47+273.15,"P",101325,"Water")</f>
        <v>985.16369522485354</v>
      </c>
      <c r="R47" cm="1">
        <f t="array" ref="R47">[1]!PropsSI("D","T",K47+273.15,"P",101325,"Water")</f>
        <v>988.38711211936345</v>
      </c>
      <c r="S47">
        <f t="shared" si="5"/>
        <v>986.7754036721085</v>
      </c>
      <c r="T47" cm="1">
        <f t="array" ref="T47">[1]!PropsSI("H","T",J47+273.15,"P",101325,"Water")</f>
        <v>234871.21670387319</v>
      </c>
      <c r="U47" cm="1">
        <f t="array" ref="U47">[1]!PropsSI("H","T",K47+273.15,"P",101325,"Water")</f>
        <v>206145.20518038629</v>
      </c>
      <c r="V47">
        <f t="shared" si="6"/>
        <v>608.17359825803669</v>
      </c>
    </row>
    <row r="48" spans="1:22" x14ac:dyDescent="0.2">
      <c r="A48">
        <v>46068.601877754627</v>
      </c>
      <c r="B48">
        <v>19.873232999999999</v>
      </c>
      <c r="C48">
        <v>19.68103</v>
      </c>
      <c r="D48">
        <v>20.032323999999999</v>
      </c>
      <c r="E48">
        <v>19.806588999999999</v>
      </c>
      <c r="F48">
        <v>34.696643000000002</v>
      </c>
      <c r="G48">
        <v>32.341324</v>
      </c>
      <c r="H48">
        <v>26.733422000000001</v>
      </c>
      <c r="I48">
        <v>23.385635000000001</v>
      </c>
      <c r="J48">
        <v>56.087885999999997</v>
      </c>
      <c r="K48">
        <v>49.21</v>
      </c>
      <c r="L48">
        <v>128.07262299999999</v>
      </c>
      <c r="M48">
        <v>-622.487348</v>
      </c>
      <c r="N48">
        <v>1.292189</v>
      </c>
      <c r="O48">
        <v>2.1119439999999998</v>
      </c>
      <c r="P48">
        <f t="shared" si="4"/>
        <v>2.1536483333333333E-5</v>
      </c>
      <c r="Q48" cm="1">
        <f t="array" ref="Q48">[1]!PropsSI("D","T",J48+273.15,"P",101325,"Water")</f>
        <v>985.162679546861</v>
      </c>
      <c r="R48" cm="1">
        <f t="array" ref="R48">[1]!PropsSI("D","T",K48+273.15,"P",101325,"Water")</f>
        <v>988.39030809981261</v>
      </c>
      <c r="S48">
        <f t="shared" si="5"/>
        <v>986.77649382333675</v>
      </c>
      <c r="T48" cm="1">
        <f t="array" ref="T48">[1]!PropsSI("H","T",J48+273.15,"P",101325,"Water")</f>
        <v>234879.87207291194</v>
      </c>
      <c r="U48" cm="1">
        <f t="array" ref="U48">[1]!PropsSI("H","T",K48+273.15,"P",101325,"Water")</f>
        <v>206115.318499346</v>
      </c>
      <c r="V48">
        <f t="shared" si="6"/>
        <v>611.29553411140114</v>
      </c>
    </row>
    <row r="49" spans="1:22" x14ac:dyDescent="0.2">
      <c r="A49">
        <v>44606.601994076103</v>
      </c>
      <c r="B49">
        <v>19.945668999999999</v>
      </c>
      <c r="C49">
        <v>19.694566999999999</v>
      </c>
      <c r="D49">
        <v>20.064425</v>
      </c>
      <c r="E49">
        <v>19.845030999999999</v>
      </c>
      <c r="F49">
        <v>34.707752999999997</v>
      </c>
      <c r="G49">
        <v>32.302028</v>
      </c>
      <c r="H49">
        <v>26.486761000000001</v>
      </c>
      <c r="I49">
        <v>23.371206999999998</v>
      </c>
      <c r="J49">
        <v>56.087249</v>
      </c>
      <c r="K49">
        <v>49.212383000000003</v>
      </c>
      <c r="L49">
        <v>136.91544500000001</v>
      </c>
      <c r="M49">
        <v>-622.49102100000005</v>
      </c>
      <c r="N49">
        <v>1.297766</v>
      </c>
      <c r="O49">
        <v>1.565037</v>
      </c>
      <c r="P49">
        <f t="shared" si="4"/>
        <v>2.1629433333333337E-5</v>
      </c>
      <c r="Q49" cm="1">
        <f t="array" ref="Q49">[1]!PropsSI("D","T",J49+273.15,"P",101325,"Water")</f>
        <v>985.16299225479304</v>
      </c>
      <c r="R49" cm="1">
        <f t="array" ref="R49">[1]!PropsSI("D","T",K49+273.15,"P",101325,"Water")</f>
        <v>988.38924266152378</v>
      </c>
      <c r="S49">
        <f t="shared" si="5"/>
        <v>986.77611745815841</v>
      </c>
      <c r="T49" cm="1">
        <f t="array" ref="T49">[1]!PropsSI("H","T",J49+273.15,"P",101325,"Water")</f>
        <v>234877.20727322664</v>
      </c>
      <c r="U49" cm="1">
        <f t="array" ref="U49">[1]!PropsSI("H","T",K49+273.15,"P",101325,"Water")</f>
        <v>206125.28211849061</v>
      </c>
      <c r="V49">
        <f t="shared" si="6"/>
        <v>613.66407647871461</v>
      </c>
    </row>
    <row r="50" spans="1:22" x14ac:dyDescent="0.2">
      <c r="A50" t="s">
        <v>25</v>
      </c>
      <c r="B50">
        <v>19.864782000000002</v>
      </c>
      <c r="C50">
        <v>19.683102000000002</v>
      </c>
      <c r="D50">
        <v>19.995625</v>
      </c>
      <c r="E50">
        <v>19.801055000000002</v>
      </c>
      <c r="F50">
        <v>34.777172</v>
      </c>
      <c r="G50">
        <v>31.895762000000001</v>
      </c>
      <c r="H50">
        <v>26.384816000000001</v>
      </c>
      <c r="I50">
        <v>23.959014</v>
      </c>
      <c r="J50">
        <v>56.086294000000002</v>
      </c>
      <c r="K50">
        <v>49.215560000000004</v>
      </c>
      <c r="L50">
        <v>129.114611</v>
      </c>
      <c r="M50">
        <v>-622.50040799999999</v>
      </c>
      <c r="N50">
        <v>1.2984910000000001</v>
      </c>
      <c r="O50">
        <v>2.1275620000000002</v>
      </c>
      <c r="P50">
        <f t="shared" si="4"/>
        <v>2.1641516666666669E-5</v>
      </c>
      <c r="Q50" cm="1">
        <f t="array" ref="Q50">[1]!PropsSI("D","T",J50+273.15,"P",101325,"Water")</f>
        <v>985.16346106653793</v>
      </c>
      <c r="R50" cm="1">
        <f t="array" ref="R50">[1]!PropsSI("D","T",K50+273.15,"P",101325,"Water")</f>
        <v>988.3878221677553</v>
      </c>
      <c r="S50">
        <f t="shared" si="5"/>
        <v>986.77564161714668</v>
      </c>
      <c r="T50" cm="1">
        <f t="array" ref="T50">[1]!PropsSI("H","T",J50+273.15,"P",101325,"Water")</f>
        <v>234873.21216580833</v>
      </c>
      <c r="U50" cm="1">
        <f t="array" ref="U50">[1]!PropsSI("H","T",K50+273.15,"P",101325,"Water")</f>
        <v>206138.56555279761</v>
      </c>
      <c r="V50">
        <f t="shared" si="6"/>
        <v>613.63761644646502</v>
      </c>
    </row>
    <row r="51" spans="1:22" x14ac:dyDescent="0.2">
      <c r="A51">
        <v>46068.602226134259</v>
      </c>
      <c r="B51">
        <v>19.809172</v>
      </c>
      <c r="C51">
        <v>19.639536</v>
      </c>
      <c r="D51">
        <v>19.982294</v>
      </c>
      <c r="E51">
        <v>19.780273999999999</v>
      </c>
      <c r="F51">
        <v>34.234552000000001</v>
      </c>
      <c r="G51">
        <v>31.181217</v>
      </c>
      <c r="H51">
        <v>26.214618000000002</v>
      </c>
      <c r="I51">
        <v>23.591963</v>
      </c>
      <c r="J51">
        <v>56.085976000000002</v>
      </c>
      <c r="K51">
        <v>49.208252999999999</v>
      </c>
      <c r="L51">
        <v>136.76239200000001</v>
      </c>
      <c r="M51">
        <v>-622.49632699999995</v>
      </c>
      <c r="N51">
        <v>1.290467</v>
      </c>
      <c r="O51">
        <v>1.9376059999999999</v>
      </c>
      <c r="P51">
        <f t="shared" si="4"/>
        <v>2.1507783333333334E-5</v>
      </c>
      <c r="Q51" cm="1">
        <f t="array" ref="Q51">[1]!PropsSI("D","T",J51+273.15,"P",101325,"Water")</f>
        <v>985.16361717224027</v>
      </c>
      <c r="R51" cm="1">
        <f t="array" ref="R51">[1]!PropsSI("D","T",K51+273.15,"P",101325,"Water")</f>
        <v>988.39108915888016</v>
      </c>
      <c r="S51">
        <f t="shared" si="5"/>
        <v>986.77735316556027</v>
      </c>
      <c r="T51" cm="1">
        <f t="array" ref="T51">[1]!PropsSI("H","T",J51+273.15,"P",101325,"Water")</f>
        <v>234871.88185784427</v>
      </c>
      <c r="U51" cm="1">
        <f t="array" ref="U51">[1]!PropsSI("H","T",K51+273.15,"P",101325,"Water")</f>
        <v>206108.01407617665</v>
      </c>
      <c r="V51">
        <f t="shared" si="6"/>
        <v>610.46688480353873</v>
      </c>
    </row>
    <row r="52" spans="1:22" x14ac:dyDescent="0.2">
      <c r="A52">
        <v>46068.602341874997</v>
      </c>
      <c r="B52">
        <v>19.948619000000001</v>
      </c>
      <c r="C52">
        <v>19.685181</v>
      </c>
      <c r="D52">
        <v>20.037168999999999</v>
      </c>
      <c r="E52">
        <v>19.782658000000001</v>
      </c>
      <c r="F52">
        <v>34.824795000000002</v>
      </c>
      <c r="G52">
        <v>31.171507999999999</v>
      </c>
      <c r="H52">
        <v>26.25019</v>
      </c>
      <c r="I52">
        <v>23.381564999999998</v>
      </c>
      <c r="J52">
        <v>56.085816999999999</v>
      </c>
      <c r="K52">
        <v>49.204124</v>
      </c>
      <c r="L52">
        <v>121.43295500000001</v>
      </c>
      <c r="M52">
        <v>-622.53265099999999</v>
      </c>
      <c r="N52">
        <v>1.294705</v>
      </c>
      <c r="O52">
        <v>2.499495</v>
      </c>
      <c r="P52">
        <f t="shared" si="4"/>
        <v>2.1578416666666667E-5</v>
      </c>
      <c r="Q52" cm="1">
        <f t="array" ref="Q52">[1]!PropsSI("D","T",J52+273.15,"P",101325,"Water")</f>
        <v>985.16369522485354</v>
      </c>
      <c r="R52" cm="1">
        <f t="array" ref="R52">[1]!PropsSI("D","T",K52+273.15,"P",101325,"Water")</f>
        <v>988.3929350962344</v>
      </c>
      <c r="S52">
        <f t="shared" si="5"/>
        <v>986.77831516054403</v>
      </c>
      <c r="T52" cm="1">
        <f t="array" ref="T52">[1]!PropsSI("H","T",J52+273.15,"P",101325,"Water")</f>
        <v>234871.21670387319</v>
      </c>
      <c r="U52" cm="1">
        <f t="array" ref="U52">[1]!PropsSI("H","T",K52+273.15,"P",101325,"Water")</f>
        <v>206090.75021955991</v>
      </c>
      <c r="V52">
        <f t="shared" si="6"/>
        <v>612.82574352501899</v>
      </c>
    </row>
    <row r="53" spans="1:22" x14ac:dyDescent="0.2">
      <c r="A53">
        <v>46068.602458194444</v>
      </c>
      <c r="B53">
        <v>19.932127000000001</v>
      </c>
      <c r="C53">
        <v>19.682760999999999</v>
      </c>
      <c r="D53">
        <v>20.047751999999999</v>
      </c>
      <c r="E53">
        <v>19.831973000000001</v>
      </c>
      <c r="F53">
        <v>34.845408999999997</v>
      </c>
      <c r="G53">
        <v>32.950957000000002</v>
      </c>
      <c r="H53">
        <v>26.424081999999999</v>
      </c>
      <c r="I53">
        <v>23.186624999999999</v>
      </c>
      <c r="J53">
        <v>56.089159000000002</v>
      </c>
      <c r="K53">
        <v>49.210953000000003</v>
      </c>
      <c r="L53">
        <v>127.171035</v>
      </c>
      <c r="M53">
        <v>-622.50979500000005</v>
      </c>
      <c r="N53">
        <v>1.2898529999999999</v>
      </c>
      <c r="O53">
        <v>2.5381399999999998</v>
      </c>
      <c r="P53">
        <f t="shared" si="4"/>
        <v>2.1497549999999999E-5</v>
      </c>
      <c r="Q53" cm="1">
        <f t="array" ref="Q53">[1]!PropsSI("D","T",J53+273.15,"P",101325,"Water")</f>
        <v>985.16205461448135</v>
      </c>
      <c r="R53" cm="1">
        <f t="array" ref="R53">[1]!PropsSI("D","T",K53+273.15,"P",101325,"Water")</f>
        <v>988.38988201841835</v>
      </c>
      <c r="S53">
        <f t="shared" si="5"/>
        <v>986.77596831644985</v>
      </c>
      <c r="T53" cm="1">
        <f t="array" ref="T53">[1]!PropsSI("H","T",J53+273.15,"P",101325,"Water")</f>
        <v>234885.19748926541</v>
      </c>
      <c r="U53" cm="1">
        <f t="array" ref="U53">[1]!PropsSI("H","T",K53+273.15,"P",101325,"Water")</f>
        <v>206119.30311064873</v>
      </c>
      <c r="V53">
        <f t="shared" si="6"/>
        <v>610.21856106035023</v>
      </c>
    </row>
    <row r="54" spans="1:22" x14ac:dyDescent="0.2">
      <c r="A54">
        <v>46068.60257451389</v>
      </c>
      <c r="B54">
        <v>19.950682</v>
      </c>
      <c r="C54">
        <v>19.671430999999998</v>
      </c>
      <c r="D54">
        <v>20.110714999999999</v>
      </c>
      <c r="E54">
        <v>19.867186</v>
      </c>
      <c r="F54">
        <v>34.937730999999999</v>
      </c>
      <c r="G54">
        <v>31.683108000000001</v>
      </c>
      <c r="H54">
        <v>26.538582999999999</v>
      </c>
      <c r="I54">
        <v>23.325447</v>
      </c>
      <c r="J54">
        <v>56.088521999999998</v>
      </c>
      <c r="K54">
        <v>49.216036000000003</v>
      </c>
      <c r="L54">
        <v>127.533466</v>
      </c>
      <c r="M54">
        <v>-622.51469299999997</v>
      </c>
      <c r="N54">
        <v>1.2913030000000001</v>
      </c>
      <c r="O54">
        <v>1.636557</v>
      </c>
      <c r="P54">
        <f t="shared" si="4"/>
        <v>2.1521716666666668E-5</v>
      </c>
      <c r="Q54" cm="1">
        <f t="array" ref="Q54">[1]!PropsSI("D","T",J54+273.15,"P",101325,"Water")</f>
        <v>985.16236732736888</v>
      </c>
      <c r="R54" cm="1">
        <f t="array" ref="R54">[1]!PropsSI("D","T",K54+273.15,"P",101325,"Water")</f>
        <v>988.38760933383935</v>
      </c>
      <c r="S54">
        <f t="shared" si="5"/>
        <v>986.77498833060417</v>
      </c>
      <c r="T54" cm="1">
        <f t="array" ref="T54">[1]!PropsSI("H","T",J54+273.15,"P",101325,"Water")</f>
        <v>234882.5326893364</v>
      </c>
      <c r="U54" cm="1">
        <f t="array" ref="U54">[1]!PropsSI("H","T",K54+273.15,"P",101325,"Water")</f>
        <v>206140.55576855288</v>
      </c>
      <c r="V54">
        <f t="shared" si="6"/>
        <v>610.39599986824351</v>
      </c>
    </row>
    <row r="55" spans="1:22" x14ac:dyDescent="0.2">
      <c r="A55">
        <v>46068.602690254629</v>
      </c>
      <c r="B55">
        <v>19.906531000000001</v>
      </c>
      <c r="C55">
        <v>19.664076000000001</v>
      </c>
      <c r="D55">
        <v>20.130327999999999</v>
      </c>
      <c r="E55">
        <v>19.925668000000002</v>
      </c>
      <c r="F55">
        <v>34.096598</v>
      </c>
      <c r="G55">
        <v>32.402104000000001</v>
      </c>
      <c r="H55">
        <v>26.393571000000001</v>
      </c>
      <c r="I55">
        <v>22.812465</v>
      </c>
      <c r="J55">
        <v>56.087727000000001</v>
      </c>
      <c r="K55">
        <v>49.214924000000003</v>
      </c>
      <c r="L55">
        <v>135.824479</v>
      </c>
      <c r="M55">
        <v>-622.480817</v>
      </c>
      <c r="N55">
        <v>1.288357</v>
      </c>
      <c r="O55">
        <v>2.2069860000000001</v>
      </c>
      <c r="P55">
        <f t="shared" si="4"/>
        <v>2.1472616666666665E-5</v>
      </c>
      <c r="Q55" cm="1">
        <f t="array" ref="Q55">[1]!PropsSI("D","T",J55+273.15,"P",101325,"Water")</f>
        <v>985.16275760134283</v>
      </c>
      <c r="R55" cm="1">
        <f t="array" ref="R55">[1]!PropsSI("D","T",K55+273.15,"P",101325,"Water")</f>
        <v>988.38810654014037</v>
      </c>
      <c r="S55">
        <f t="shared" si="5"/>
        <v>986.77543207074154</v>
      </c>
      <c r="T55" cm="1">
        <f t="array" ref="T55">[1]!PropsSI("H","T",J55+273.15,"P",101325,"Water")</f>
        <v>234879.206918854</v>
      </c>
      <c r="U55" cm="1">
        <f t="array" ref="U55">[1]!PropsSI("H","T",K55+273.15,"P",101325,"Water")</f>
        <v>206135.90635702113</v>
      </c>
      <c r="V55">
        <f t="shared" si="6"/>
        <v>609.03175237754249</v>
      </c>
    </row>
    <row r="56" spans="1:22" x14ac:dyDescent="0.2">
      <c r="A56">
        <v>46068.602806574076</v>
      </c>
      <c r="B56">
        <v>20.047920000000001</v>
      </c>
      <c r="C56">
        <v>19.679376000000001</v>
      </c>
      <c r="D56">
        <v>19.973327999999999</v>
      </c>
      <c r="E56">
        <v>19.844480999999998</v>
      </c>
      <c r="F56">
        <v>34.68741</v>
      </c>
      <c r="G56">
        <v>31.413360000000001</v>
      </c>
      <c r="H56">
        <v>26.464696</v>
      </c>
      <c r="I56">
        <v>23.558558000000001</v>
      </c>
      <c r="J56">
        <v>56.084862000000001</v>
      </c>
      <c r="K56">
        <v>49.216036000000003</v>
      </c>
      <c r="L56">
        <v>133.891515</v>
      </c>
      <c r="M56">
        <v>-622.47796000000005</v>
      </c>
      <c r="N56">
        <v>1.288673</v>
      </c>
      <c r="O56">
        <v>1.409036</v>
      </c>
      <c r="P56">
        <f t="shared" ref="P56:P61" si="7" xml:space="preserve"> N56*0.001/60</f>
        <v>2.1477883333333333E-5</v>
      </c>
      <c r="Q56" cm="1">
        <f t="array" ref="Q56">[1]!PropsSI("D","T",J56+273.15,"P",101325,"Water")</f>
        <v>985.16416402821756</v>
      </c>
      <c r="R56" cm="1">
        <f t="array" ref="R56">[1]!PropsSI("D","T",K56+273.15,"P",101325,"Water")</f>
        <v>988.38760933383935</v>
      </c>
      <c r="S56">
        <f t="shared" ref="S56:S61" si="8">(Q56+R56)/2</f>
        <v>986.7758866810284</v>
      </c>
      <c r="T56" cm="1">
        <f t="array" ref="T56">[1]!PropsSI("H","T",J56+273.15,"P",101325,"Water")</f>
        <v>234867.22159689997</v>
      </c>
      <c r="U56" cm="1">
        <f t="array" ref="U56">[1]!PropsSI("H","T",K56+273.15,"P",101325,"Water")</f>
        <v>206140.55576855288</v>
      </c>
      <c r="V56">
        <f t="shared" ref="V56:V61" si="9">S56*P56*(T56-U56)</f>
        <v>608.82885828973281</v>
      </c>
    </row>
    <row r="57" spans="1:22" x14ac:dyDescent="0.2">
      <c r="A57">
        <v>46068.602922314814</v>
      </c>
      <c r="B57">
        <v>19.901206999999999</v>
      </c>
      <c r="C57">
        <v>19.656563999999999</v>
      </c>
      <c r="D57">
        <v>19.931899000000001</v>
      </c>
      <c r="E57">
        <v>19.783477999999999</v>
      </c>
      <c r="F57">
        <v>34.68938</v>
      </c>
      <c r="G57">
        <v>31.777522000000001</v>
      </c>
      <c r="H57">
        <v>26.857548999999999</v>
      </c>
      <c r="I57">
        <v>23.327290000000001</v>
      </c>
      <c r="J57">
        <v>56.081041999999997</v>
      </c>
      <c r="K57">
        <v>49.211112</v>
      </c>
      <c r="L57">
        <v>126.010277</v>
      </c>
      <c r="M57">
        <v>-622.48285799999996</v>
      </c>
      <c r="N57">
        <v>1.292025</v>
      </c>
      <c r="O57">
        <v>2.016394</v>
      </c>
      <c r="P57">
        <f t="shared" si="7"/>
        <v>2.153375E-5</v>
      </c>
      <c r="Q57" cm="1">
        <f t="array" ref="Q57">[1]!PropsSI("D","T",J57+273.15,"P",101325,"Water")</f>
        <v>985.16603918565863</v>
      </c>
      <c r="R57" cm="1">
        <f t="array" ref="R57">[1]!PropsSI("D","T",K57+273.15,"P",101325,"Water")</f>
        <v>988.38981092976985</v>
      </c>
      <c r="S57">
        <f t="shared" si="8"/>
        <v>986.77792505771424</v>
      </c>
      <c r="T57" cm="1">
        <f t="array" ref="T57">[1]!PropsSI("H","T",J57+273.15,"P",101325,"Water")</f>
        <v>234851.24117254725</v>
      </c>
      <c r="U57" cm="1">
        <f t="array" ref="U57">[1]!PropsSI("H","T",K57+273.15,"P",101325,"Water")</f>
        <v>206119.96790936933</v>
      </c>
      <c r="V57">
        <f t="shared" si="9"/>
        <v>610.51166290520825</v>
      </c>
    </row>
    <row r="58" spans="1:22" x14ac:dyDescent="0.2">
      <c r="A58">
        <v>46068.603038634261</v>
      </c>
      <c r="B58">
        <v>19.808610999999999</v>
      </c>
      <c r="C58">
        <v>19.620978999999998</v>
      </c>
      <c r="D58">
        <v>20.009598</v>
      </c>
      <c r="E58">
        <v>19.767543</v>
      </c>
      <c r="F58">
        <v>34.676414999999999</v>
      </c>
      <c r="G58">
        <v>32.631602000000001</v>
      </c>
      <c r="H58">
        <v>26.201706000000001</v>
      </c>
      <c r="I58">
        <v>23.267809</v>
      </c>
      <c r="J58">
        <v>56.080564000000003</v>
      </c>
      <c r="K58">
        <v>49.203646999999997</v>
      </c>
      <c r="L58">
        <v>136.65382600000001</v>
      </c>
      <c r="M58">
        <v>-622.47224600000004</v>
      </c>
      <c r="N58">
        <v>1.2919959999999999</v>
      </c>
      <c r="O58">
        <v>1.674884</v>
      </c>
      <c r="P58">
        <f t="shared" si="7"/>
        <v>2.1533266666666666E-5</v>
      </c>
      <c r="Q58" cm="1">
        <f t="array" ref="Q58">[1]!PropsSI("D","T",J58+273.15,"P",101325,"Water")</f>
        <v>985.16627381949581</v>
      </c>
      <c r="R58" cm="1">
        <f t="array" ref="R58">[1]!PropsSI("D","T",K58+273.15,"P",101325,"Water")</f>
        <v>988.39314833965818</v>
      </c>
      <c r="S58">
        <f t="shared" si="8"/>
        <v>986.77971107957705</v>
      </c>
      <c r="T58" cm="1">
        <f t="array" ref="T58">[1]!PropsSI("H","T",J58+273.15,"P",101325,"Water")</f>
        <v>234849.24152822568</v>
      </c>
      <c r="U58" cm="1">
        <f t="array" ref="U58">[1]!PropsSI("H","T",K58+273.15,"P",101325,"Water")</f>
        <v>206088.75582422281</v>
      </c>
      <c r="V58">
        <f t="shared" si="9"/>
        <v>611.11978790520686</v>
      </c>
    </row>
    <row r="59" spans="1:22" x14ac:dyDescent="0.2">
      <c r="A59">
        <v>46068.6031549537</v>
      </c>
      <c r="B59">
        <v>19.824854999999999</v>
      </c>
      <c r="C59">
        <v>19.623193000000001</v>
      </c>
      <c r="D59">
        <v>20.047519999999999</v>
      </c>
      <c r="E59">
        <v>19.765326000000002</v>
      </c>
      <c r="F59">
        <v>35.124957000000002</v>
      </c>
      <c r="G59">
        <v>32.330736000000002</v>
      </c>
      <c r="H59">
        <v>25.966161</v>
      </c>
      <c r="I59">
        <v>23.029778</v>
      </c>
      <c r="J59">
        <v>56.078812999999997</v>
      </c>
      <c r="K59">
        <v>49.194116999999999</v>
      </c>
      <c r="L59">
        <v>128.746466</v>
      </c>
      <c r="M59">
        <v>-622.47836800000005</v>
      </c>
      <c r="N59">
        <v>1.291795</v>
      </c>
      <c r="O59">
        <v>1.2393099999999999</v>
      </c>
      <c r="P59">
        <f t="shared" si="7"/>
        <v>2.1529916666666669E-5</v>
      </c>
      <c r="Q59" cm="1">
        <f t="array" ref="Q59">[1]!PropsSI("D","T",J59+273.15,"P",101325,"Water")</f>
        <v>985.16713331335825</v>
      </c>
      <c r="R59" cm="1">
        <f t="array" ref="R59">[1]!PropsSI("D","T",K59+273.15,"P",101325,"Water")</f>
        <v>988.39740842190872</v>
      </c>
      <c r="S59">
        <f t="shared" si="8"/>
        <v>986.78227086763354</v>
      </c>
      <c r="T59" cm="1">
        <f t="array" ref="T59">[1]!PropsSI("H","T",J59+273.15,"P",101325,"Water")</f>
        <v>234841.91647199373</v>
      </c>
      <c r="U59" cm="1">
        <f t="array" ref="U59">[1]!PropsSI("H","T",K59+273.15,"P",101325,"Water")</f>
        <v>206048.90974133054</v>
      </c>
      <c r="V59">
        <f t="shared" si="9"/>
        <v>611.71721934062703</v>
      </c>
    </row>
    <row r="60" spans="1:22" x14ac:dyDescent="0.2">
      <c r="A60">
        <v>46068.603271273147</v>
      </c>
      <c r="B60">
        <v>19.735322</v>
      </c>
      <c r="C60">
        <v>19.646571999999999</v>
      </c>
      <c r="D60">
        <v>19.954370000000001</v>
      </c>
      <c r="E60">
        <v>19.768719999999998</v>
      </c>
      <c r="F60">
        <v>34.859163000000002</v>
      </c>
      <c r="G60">
        <v>31.710322000000001</v>
      </c>
      <c r="H60">
        <v>26.498652</v>
      </c>
      <c r="I60">
        <v>23.256907000000002</v>
      </c>
      <c r="J60">
        <v>56.080722999999999</v>
      </c>
      <c r="K60">
        <v>49.193164000000003</v>
      </c>
      <c r="L60">
        <v>128.74197699999999</v>
      </c>
      <c r="M60">
        <v>-622.50449000000003</v>
      </c>
      <c r="N60">
        <v>1.297331</v>
      </c>
      <c r="O60">
        <v>1.612336</v>
      </c>
      <c r="P60">
        <f t="shared" si="7"/>
        <v>2.1622183333333334E-5</v>
      </c>
      <c r="Q60" cm="1">
        <f t="array" ref="Q60">[1]!PropsSI("D","T",J60+273.15,"P",101325,"Water")</f>
        <v>985.1661957719781</v>
      </c>
      <c r="R60" cm="1">
        <f t="array" ref="R60">[1]!PropsSI("D","T",K60+273.15,"P",101325,"Water")</f>
        <v>988.39783439704809</v>
      </c>
      <c r="S60">
        <f t="shared" si="8"/>
        <v>986.78201508451309</v>
      </c>
      <c r="T60" cm="1">
        <f t="array" ref="T60">[1]!PropsSI("H","T",J60+273.15,"P",101325,"Water")</f>
        <v>234849.90668185111</v>
      </c>
      <c r="U60" cm="1">
        <f t="array" ref="U60">[1]!PropsSI("H","T",K60+273.15,"P",101325,"Water")</f>
        <v>206044.92513442921</v>
      </c>
      <c r="V60">
        <f t="shared" si="9"/>
        <v>614.59407943452334</v>
      </c>
    </row>
    <row r="61" spans="1:22" x14ac:dyDescent="0.2">
      <c r="A61">
        <v>46068.603387592593</v>
      </c>
      <c r="B61">
        <v>19.929096999999999</v>
      </c>
      <c r="C61">
        <v>19.710187000000001</v>
      </c>
      <c r="D61">
        <v>19.987174</v>
      </c>
      <c r="E61">
        <v>19.805789000000001</v>
      </c>
      <c r="F61">
        <v>35.143835000000003</v>
      </c>
      <c r="G61">
        <v>33.481749000000001</v>
      </c>
      <c r="H61">
        <v>26.460263999999999</v>
      </c>
      <c r="I61">
        <v>23.796002000000001</v>
      </c>
      <c r="J61">
        <v>56.081201</v>
      </c>
      <c r="K61">
        <v>49.189194000000001</v>
      </c>
      <c r="L61">
        <v>133.20379399999999</v>
      </c>
      <c r="M61">
        <v>-622.50734699999998</v>
      </c>
      <c r="N61">
        <v>1.2851079999999999</v>
      </c>
      <c r="O61">
        <v>2.3221699999999998</v>
      </c>
      <c r="P61">
        <f t="shared" si="7"/>
        <v>2.1418466666666665E-5</v>
      </c>
      <c r="Q61" cm="1">
        <f t="array" ref="Q61">[1]!PropsSI("D","T",J61+273.15,"P",101325,"Water")</f>
        <v>985.16596113769799</v>
      </c>
      <c r="R61" cm="1">
        <f t="array" ref="R61">[1]!PropsSI("D","T",K61+273.15,"P",101325,"Water")</f>
        <v>988.39960885630944</v>
      </c>
      <c r="S61">
        <f t="shared" si="8"/>
        <v>986.78278499700377</v>
      </c>
      <c r="T61" cm="1">
        <f t="array" ref="T61">[1]!PropsSI("H","T",J61+273.15,"P",101325,"Water")</f>
        <v>234851.90632622797</v>
      </c>
      <c r="U61" cm="1">
        <f t="array" ref="U61">[1]!PropsSI("H","T",K61+273.15,"P",101325,"Water")</f>
        <v>206028.32609241255</v>
      </c>
      <c r="V61">
        <f t="shared" si="9"/>
        <v>609.19715367084837</v>
      </c>
    </row>
    <row r="63" spans="1:22" x14ac:dyDescent="0.2">
      <c r="E63" s="1" t="s">
        <v>22</v>
      </c>
    </row>
    <row r="64" spans="1:22" x14ac:dyDescent="0.2">
      <c r="E64">
        <f>AVERAGE(V2:V61)</f>
        <v>611.90571589508693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B096-00C9-F64E-99CB-1A3830CF5FC0}">
  <dimension ref="A1:V49"/>
  <sheetViews>
    <sheetView topLeftCell="A12" workbookViewId="0">
      <selection activeCell="F49" sqref="F4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44606.590136437197</v>
      </c>
      <c r="B2">
        <v>19.797929</v>
      </c>
      <c r="C2">
        <v>19.754085</v>
      </c>
      <c r="D2">
        <v>19.888497000000001</v>
      </c>
      <c r="E2">
        <v>19.741893000000001</v>
      </c>
      <c r="F2">
        <v>32.584470000000003</v>
      </c>
      <c r="G2">
        <v>30.01652</v>
      </c>
      <c r="H2">
        <v>25.00367</v>
      </c>
      <c r="I2">
        <v>22.392199000000002</v>
      </c>
      <c r="J2">
        <v>55.794086999999998</v>
      </c>
      <c r="K2">
        <v>48.070909</v>
      </c>
      <c r="L2">
        <v>216.446157</v>
      </c>
      <c r="M2">
        <v>-622.49428599999999</v>
      </c>
      <c r="N2">
        <v>1.290959</v>
      </c>
      <c r="O2">
        <v>1.9339580000000001</v>
      </c>
      <c r="P2">
        <f xml:space="preserve"> N2*0.001/60</f>
        <v>2.1515983333333332E-5</v>
      </c>
      <c r="Q2" cm="1">
        <f t="array" ref="Q2">[1]!PropsSI("D","T",J2+273.15,"P",101325,"Water")</f>
        <v>985.30664298575141</v>
      </c>
      <c r="R2" cm="1">
        <f t="array" ref="R2">[1]!PropsSI("D","T",K2+273.15,"P",101325,"Water")</f>
        <v>988.89527205695003</v>
      </c>
      <c r="S2">
        <f>(Q2+R2)/2</f>
        <v>987.10095752135067</v>
      </c>
      <c r="T2" cm="1">
        <f t="array" ref="T2">[1]!PropsSI("H","T",J2+273.15,"P",101325,"Water")</f>
        <v>233650.82163303741</v>
      </c>
      <c r="U2" cm="1">
        <f t="array" ref="U2">[1]!PropsSI("H","T",K2+273.15,"P",101325,"Water")</f>
        <v>201352.80869605148</v>
      </c>
      <c r="V2">
        <f>S2*P2*(T2-U2)</f>
        <v>685.9596602021993</v>
      </c>
    </row>
    <row r="3" spans="1:22" x14ac:dyDescent="0.2">
      <c r="A3">
        <v>44606.5902527566</v>
      </c>
      <c r="B3">
        <v>19.939871</v>
      </c>
      <c r="C3">
        <v>19.811693999999999</v>
      </c>
      <c r="D3">
        <v>20.043588</v>
      </c>
      <c r="E3">
        <v>19.794528</v>
      </c>
      <c r="F3">
        <v>33.133051999999999</v>
      </c>
      <c r="G3">
        <v>30.512094999999999</v>
      </c>
      <c r="H3">
        <v>25.179009000000001</v>
      </c>
      <c r="I3">
        <v>22.483512999999999</v>
      </c>
      <c r="J3">
        <v>55.801408000000002</v>
      </c>
      <c r="K3">
        <v>48.091707999999997</v>
      </c>
      <c r="L3">
        <v>214.56829200000001</v>
      </c>
      <c r="M3">
        <v>-622.49795900000004</v>
      </c>
      <c r="N3">
        <v>1.2794479999999999</v>
      </c>
      <c r="O3">
        <v>1.598052</v>
      </c>
      <c r="P3">
        <f t="shared" ref="P3" si="0" xml:space="preserve"> N3*0.001/60</f>
        <v>2.1324133333333331E-5</v>
      </c>
      <c r="Q3" cm="1">
        <f t="array" ref="Q3">[1]!PropsSI("D","T",J3+273.15,"P",101325,"Water")</f>
        <v>985.3030620975195</v>
      </c>
      <c r="R3" cm="1">
        <f t="array" ref="R3">[1]!PropsSI("D","T",K3+273.15,"P",101325,"Water")</f>
        <v>988.88612944838121</v>
      </c>
      <c r="S3">
        <f>(Q3+R3)/2</f>
        <v>987.09459577295036</v>
      </c>
      <c r="T3" cm="1">
        <f t="array" ref="T3">[1]!PropsSI("H","T",J3+273.15,"P",101325,"Water")</f>
        <v>233681.44720572481</v>
      </c>
      <c r="U3" cm="1">
        <f t="array" ref="U3">[1]!PropsSI("H","T",K3+273.15,"P",101325,"Water")</f>
        <v>201439.7657836696</v>
      </c>
      <c r="V3">
        <f t="shared" ref="V3:V31" si="1">S3*P3*(T3-U3)</f>
        <v>678.65311370402367</v>
      </c>
    </row>
    <row r="4" spans="1:22" x14ac:dyDescent="0.2">
      <c r="A4">
        <v>44606.590368497396</v>
      </c>
      <c r="B4">
        <v>20.054359000000002</v>
      </c>
      <c r="C4">
        <v>19.880178999999998</v>
      </c>
      <c r="D4">
        <v>19.998052000000001</v>
      </c>
      <c r="E4">
        <v>19.831955000000001</v>
      </c>
      <c r="F4">
        <v>32.794839000000003</v>
      </c>
      <c r="G4">
        <v>31.173901000000001</v>
      </c>
      <c r="H4">
        <v>24.958026</v>
      </c>
      <c r="I4">
        <v>22.898799</v>
      </c>
      <c r="J4">
        <v>55.805864</v>
      </c>
      <c r="K4">
        <v>48.114572000000003</v>
      </c>
      <c r="L4">
        <v>221.60467399999999</v>
      </c>
      <c r="M4">
        <v>-622.493878</v>
      </c>
      <c r="N4">
        <v>1.283903</v>
      </c>
      <c r="O4">
        <v>2.1188570000000002</v>
      </c>
      <c r="P4">
        <f xml:space="preserve"> N4*0.001/60</f>
        <v>2.1398383333333335E-5</v>
      </c>
      <c r="Q4" cm="1">
        <f t="array" ref="Q4">[1]!PropsSI("D","T",J4+273.15,"P",101325,"Water")</f>
        <v>985.30088239251029</v>
      </c>
      <c r="R4" cm="1">
        <f t="array" ref="R4">[1]!PropsSI("D","T",K4+273.15,"P",101325,"Water")</f>
        <v>988.87607577997426</v>
      </c>
      <c r="S4">
        <f t="shared" ref="S4:S31" si="2">(Q4+R4)/2</f>
        <v>987.08847908624227</v>
      </c>
      <c r="T4" cm="1">
        <f t="array" ref="T4">[1]!PropsSI("H","T",J4+273.15,"P",101325,"Water")</f>
        <v>233700.0877772455</v>
      </c>
      <c r="U4" cm="1">
        <f t="array" ref="U4">[1]!PropsSI("H","T",K4+273.15,"P",101325,"Water")</f>
        <v>201535.35641095124</v>
      </c>
      <c r="V4">
        <f t="shared" si="1"/>
        <v>679.38659710737522</v>
      </c>
    </row>
    <row r="5" spans="1:22" x14ac:dyDescent="0.2">
      <c r="A5">
        <v>44606.590484816799</v>
      </c>
      <c r="B5">
        <v>20.01258</v>
      </c>
      <c r="C5">
        <v>19.775100999999999</v>
      </c>
      <c r="D5">
        <v>19.982869000000001</v>
      </c>
      <c r="E5">
        <v>19.838298000000002</v>
      </c>
      <c r="F5">
        <v>32.651465000000002</v>
      </c>
      <c r="G5">
        <v>29.689613999999999</v>
      </c>
      <c r="H5">
        <v>24.968250000000001</v>
      </c>
      <c r="I5">
        <v>22.025099999999998</v>
      </c>
      <c r="J5">
        <v>55.811433999999998</v>
      </c>
      <c r="K5">
        <v>48.128543999999998</v>
      </c>
      <c r="L5">
        <v>215.49355199999999</v>
      </c>
      <c r="M5">
        <v>-622.47061399999996</v>
      </c>
      <c r="N5">
        <v>1.285075</v>
      </c>
      <c r="O5">
        <v>1.688113</v>
      </c>
      <c r="P5">
        <f t="shared" ref="P5:P31" si="3" xml:space="preserve"> N5*0.001/60</f>
        <v>2.1417916666666664E-5</v>
      </c>
      <c r="Q5" cm="1">
        <f t="array" ref="Q5">[1]!PropsSI("D","T",J5+273.15,"P",101325,"Water")</f>
        <v>985.29815758932421</v>
      </c>
      <c r="R5" cm="1">
        <f t="array" ref="R5">[1]!PropsSI("D","T",K5+273.15,"P",101325,"Water")</f>
        <v>988.86993034102488</v>
      </c>
      <c r="S5">
        <f t="shared" si="2"/>
        <v>987.08404396517449</v>
      </c>
      <c r="T5" cm="1">
        <f t="array" ref="T5">[1]!PropsSI("H","T",J5+273.15,"P",101325,"Water")</f>
        <v>233723.388502018</v>
      </c>
      <c r="U5" cm="1">
        <f t="array" ref="U5">[1]!PropsSI("H","T",K5+273.15,"P",101325,"Water")</f>
        <v>201593.77111191477</v>
      </c>
      <c r="V5">
        <f t="shared" si="1"/>
        <v>679.26135952171057</v>
      </c>
    </row>
    <row r="6" spans="1:22" x14ac:dyDescent="0.2">
      <c r="A6">
        <v>46068.590601134259</v>
      </c>
      <c r="B6">
        <v>20.093796999999999</v>
      </c>
      <c r="C6">
        <v>19.814077999999999</v>
      </c>
      <c r="D6">
        <v>20.030417</v>
      </c>
      <c r="E6">
        <v>19.789992000000002</v>
      </c>
      <c r="F6">
        <v>32.743470000000002</v>
      </c>
      <c r="G6">
        <v>29.564519000000001</v>
      </c>
      <c r="H6">
        <v>25.284945</v>
      </c>
      <c r="I6">
        <v>22.697317000000002</v>
      </c>
      <c r="J6">
        <v>55.808410000000002</v>
      </c>
      <c r="K6">
        <v>48.142198999999998</v>
      </c>
      <c r="L6">
        <v>214.594821</v>
      </c>
      <c r="M6">
        <v>-622.50244899999996</v>
      </c>
      <c r="N6">
        <v>1.2864519999999999</v>
      </c>
      <c r="O6">
        <v>2.566821</v>
      </c>
      <c r="P6">
        <f t="shared" si="3"/>
        <v>2.1440866666666667E-5</v>
      </c>
      <c r="Q6" cm="1">
        <f t="array" ref="Q6">[1]!PropsSI("D","T",J6+273.15,"P",101325,"Water")</f>
        <v>985.29963693167701</v>
      </c>
      <c r="R6" cm="1">
        <f t="array" ref="R6">[1]!PropsSI("D","T",K6+273.15,"P",101325,"Water")</f>
        <v>988.86392306639721</v>
      </c>
      <c r="S6">
        <f t="shared" si="2"/>
        <v>987.08177999903705</v>
      </c>
      <c r="T6" cm="1">
        <f t="array" ref="T6">[1]!PropsSI("H","T",J6+273.15,"P",101325,"Water")</f>
        <v>233710.73834045086</v>
      </c>
      <c r="U6" cm="1">
        <f t="array" ref="U6">[1]!PropsSI("H","T",K6+273.15,"P",101325,"Water")</f>
        <v>201650.86053386328</v>
      </c>
      <c r="V6">
        <f t="shared" si="1"/>
        <v>678.51168993201804</v>
      </c>
    </row>
    <row r="7" spans="1:22" x14ac:dyDescent="0.2">
      <c r="A7">
        <v>46068.590716874998</v>
      </c>
      <c r="B7">
        <v>20.039126</v>
      </c>
      <c r="C7">
        <v>19.841146999999999</v>
      </c>
      <c r="D7">
        <v>20.050508000000001</v>
      </c>
      <c r="E7">
        <v>19.899967</v>
      </c>
      <c r="F7">
        <v>32.796415000000003</v>
      </c>
      <c r="G7">
        <v>30.931073999999999</v>
      </c>
      <c r="H7">
        <v>24.886952999999998</v>
      </c>
      <c r="I7">
        <v>22.617802999999999</v>
      </c>
      <c r="J7">
        <v>55.809524000000003</v>
      </c>
      <c r="K7">
        <v>48.150137999999998</v>
      </c>
      <c r="L7">
        <v>213.439369</v>
      </c>
      <c r="M7">
        <v>-622.49959200000001</v>
      </c>
      <c r="N7">
        <v>1.291947</v>
      </c>
      <c r="O7">
        <v>2.4642940000000002</v>
      </c>
      <c r="P7">
        <f t="shared" si="3"/>
        <v>2.1532449999999997E-5</v>
      </c>
      <c r="Q7" cm="1">
        <f t="array" ref="Q7">[1]!PropsSI("D","T",J7+273.15,"P",101325,"Water")</f>
        <v>985.29909196885308</v>
      </c>
      <c r="R7" cm="1">
        <f t="array" ref="R7">[1]!PropsSI("D","T",K7+273.15,"P",101325,"Water")</f>
        <v>988.86042986969403</v>
      </c>
      <c r="S7">
        <f t="shared" si="2"/>
        <v>987.07976091927355</v>
      </c>
      <c r="T7" cm="1">
        <f t="array" ref="T7">[1]!PropsSI("H","T",J7+273.15,"P",101325,"Water")</f>
        <v>233715.39848559102</v>
      </c>
      <c r="U7" cm="1">
        <f t="array" ref="U7">[1]!PropsSI("H","T",K7+273.15,"P",101325,"Water")</f>
        <v>201684.05227430825</v>
      </c>
      <c r="V7">
        <f t="shared" si="1"/>
        <v>680.80209920936966</v>
      </c>
    </row>
    <row r="8" spans="1:22" x14ac:dyDescent="0.2">
      <c r="A8">
        <v>46068.590833194445</v>
      </c>
      <c r="B8">
        <v>20.091031000000001</v>
      </c>
      <c r="C8">
        <v>19.790662000000001</v>
      </c>
      <c r="D8">
        <v>19.940149000000002</v>
      </c>
      <c r="E8">
        <v>19.827954999999999</v>
      </c>
      <c r="F8">
        <v>32.724015000000001</v>
      </c>
      <c r="G8">
        <v>29.620591999999998</v>
      </c>
      <c r="H8">
        <v>25.221050999999999</v>
      </c>
      <c r="I8">
        <v>22.305275000000002</v>
      </c>
      <c r="J8">
        <v>55.814138999999997</v>
      </c>
      <c r="K8">
        <v>48.154107000000003</v>
      </c>
      <c r="L8">
        <v>207.37926400000001</v>
      </c>
      <c r="M8">
        <v>-622.474695</v>
      </c>
      <c r="N8">
        <v>1.2872920000000001</v>
      </c>
      <c r="O8">
        <v>2.4509259999999999</v>
      </c>
      <c r="P8">
        <f t="shared" si="3"/>
        <v>2.145486666666667E-5</v>
      </c>
      <c r="Q8" cm="1">
        <f t="array" ref="Q8">[1]!PropsSI("D","T",J8+273.15,"P",101325,"Water")</f>
        <v>985.29683425428573</v>
      </c>
      <c r="R8" cm="1">
        <f t="array" ref="R8">[1]!PropsSI("D","T",K8+273.15,"P",101325,"Water")</f>
        <v>988.85868333295468</v>
      </c>
      <c r="S8">
        <f t="shared" si="2"/>
        <v>987.07775879362021</v>
      </c>
      <c r="T8" cm="1">
        <f t="array" ref="T8">[1]!PropsSI("H","T",J8+273.15,"P",101325,"Water")</f>
        <v>233734.70420828724</v>
      </c>
      <c r="U8" cm="1">
        <f t="array" ref="U8">[1]!PropsSI("H","T",K8+273.15,"P",101325,"Water")</f>
        <v>201700.64606006592</v>
      </c>
      <c r="V8">
        <f t="shared" si="1"/>
        <v>678.40516512456566</v>
      </c>
    </row>
    <row r="9" spans="1:22" x14ac:dyDescent="0.2">
      <c r="A9">
        <v>46068.590949513891</v>
      </c>
      <c r="B9">
        <v>19.873721</v>
      </c>
      <c r="C9">
        <v>19.823671000000001</v>
      </c>
      <c r="D9">
        <v>20.012843</v>
      </c>
      <c r="E9">
        <v>19.918066</v>
      </c>
      <c r="F9">
        <v>32.883409</v>
      </c>
      <c r="G9">
        <v>31.509720999999999</v>
      </c>
      <c r="H9">
        <v>25.115196999999998</v>
      </c>
      <c r="I9">
        <v>23.165388</v>
      </c>
      <c r="J9">
        <v>55.820186999999997</v>
      </c>
      <c r="K9">
        <v>48.156171000000001</v>
      </c>
      <c r="L9">
        <v>197.32099199999999</v>
      </c>
      <c r="M9">
        <v>-622.5</v>
      </c>
      <c r="N9">
        <v>1.2946759999999999</v>
      </c>
      <c r="O9">
        <v>2.1524570000000001</v>
      </c>
      <c r="P9">
        <f t="shared" si="3"/>
        <v>2.1577933333333332E-5</v>
      </c>
      <c r="Q9" cm="1">
        <f t="array" ref="Q9">[1]!PropsSI("D","T",J9+273.15,"P",101325,"Water")</f>
        <v>985.29387530001782</v>
      </c>
      <c r="R9" cm="1">
        <f t="array" ref="R9">[1]!PropsSI("D","T",K9+273.15,"P",101325,"Water")</f>
        <v>988.85777503930024</v>
      </c>
      <c r="S9">
        <f t="shared" si="2"/>
        <v>987.07582516965908</v>
      </c>
      <c r="T9" cm="1">
        <f t="array" ref="T9">[1]!PropsSI("H","T",J9+273.15,"P",101325,"Water")</f>
        <v>233760.00454776108</v>
      </c>
      <c r="U9" cm="1">
        <f t="array" ref="U9">[1]!PropsSI("H","T",K9+273.15,"P",101325,"Water")</f>
        <v>201709.27533192001</v>
      </c>
      <c r="V9">
        <f t="shared" si="1"/>
        <v>682.65028764140186</v>
      </c>
    </row>
    <row r="10" spans="1:22" x14ac:dyDescent="0.2">
      <c r="A10">
        <v>44606.591065256602</v>
      </c>
      <c r="B10">
        <v>19.902163999999999</v>
      </c>
      <c r="C10">
        <v>19.670234000000001</v>
      </c>
      <c r="D10">
        <v>20.027802999999999</v>
      </c>
      <c r="E10">
        <v>19.942985</v>
      </c>
      <c r="F10">
        <v>32.601027999999999</v>
      </c>
      <c r="G10">
        <v>30.747945000000001</v>
      </c>
      <c r="H10">
        <v>24.831980000000001</v>
      </c>
      <c r="I10">
        <v>23.068770000000001</v>
      </c>
      <c r="J10">
        <v>55.826870999999997</v>
      </c>
      <c r="K10">
        <v>48.156329999999997</v>
      </c>
      <c r="L10">
        <v>223.46907100000001</v>
      </c>
      <c r="M10">
        <v>-622.49795900000004</v>
      </c>
      <c r="N10">
        <v>1.2838000000000001</v>
      </c>
      <c r="O10">
        <v>2.4120520000000001</v>
      </c>
      <c r="P10">
        <f t="shared" si="3"/>
        <v>2.1396666666666668E-5</v>
      </c>
      <c r="Q10" cm="1">
        <f t="array" ref="Q10">[1]!PropsSI("D","T",J10+273.15,"P",101325,"Water")</f>
        <v>985.29060492397696</v>
      </c>
      <c r="R10" cm="1">
        <f t="array" ref="R10">[1]!PropsSI("D","T",K10+273.15,"P",101325,"Water")</f>
        <v>988.85770506782637</v>
      </c>
      <c r="S10">
        <f t="shared" si="2"/>
        <v>987.07415499590161</v>
      </c>
      <c r="T10" cm="1">
        <f t="array" ref="T10">[1]!PropsSI("H","T",J10+273.15,"P",101325,"Water")</f>
        <v>233787.96545471688</v>
      </c>
      <c r="U10" cm="1">
        <f t="array" ref="U10">[1]!PropsSI("H","T",K10+273.15,"P",101325,"Water")</f>
        <v>201709.94008691172</v>
      </c>
      <c r="V10">
        <f t="shared" si="1"/>
        <v>677.4909967420632</v>
      </c>
    </row>
    <row r="11" spans="1:22" x14ac:dyDescent="0.2">
      <c r="A11">
        <v>44606.591181576099</v>
      </c>
      <c r="B11">
        <v>19.789517</v>
      </c>
      <c r="C11">
        <v>19.772689</v>
      </c>
      <c r="D11">
        <v>19.930309999999999</v>
      </c>
      <c r="E11">
        <v>19.816147000000001</v>
      </c>
      <c r="F11">
        <v>32.880803999999998</v>
      </c>
      <c r="G11">
        <v>30.035920999999998</v>
      </c>
      <c r="H11">
        <v>25.721353000000001</v>
      </c>
      <c r="I11">
        <v>22.059498999999999</v>
      </c>
      <c r="J11">
        <v>55.837375000000002</v>
      </c>
      <c r="K11">
        <v>48.156171000000001</v>
      </c>
      <c r="L11">
        <v>225.54978299999999</v>
      </c>
      <c r="M11">
        <v>-622.49183700000003</v>
      </c>
      <c r="N11">
        <v>1.2841400000000001</v>
      </c>
      <c r="O11">
        <v>2.2036950000000002</v>
      </c>
      <c r="P11">
        <f t="shared" si="3"/>
        <v>2.1402333333333333E-5</v>
      </c>
      <c r="Q11" cm="1">
        <f t="array" ref="Q11">[1]!PropsSI("D","T",J11+273.15,"P",101325,"Water")</f>
        <v>985.28546492644352</v>
      </c>
      <c r="R11" cm="1">
        <f t="array" ref="R11">[1]!PropsSI("D","T",K11+273.15,"P",101325,"Water")</f>
        <v>988.85777503930024</v>
      </c>
      <c r="S11">
        <f t="shared" si="2"/>
        <v>987.07161998287188</v>
      </c>
      <c r="T11" cm="1">
        <f t="array" ref="T11">[1]!PropsSI("H","T",J11+273.15,"P",101325,"Water")</f>
        <v>233831.90644700092</v>
      </c>
      <c r="U11" cm="1">
        <f t="array" ref="U11">[1]!PropsSI("H","T",K11+273.15,"P",101325,"Water")</f>
        <v>201709.27533192001</v>
      </c>
      <c r="V11">
        <f t="shared" si="1"/>
        <v>678.6110069911042</v>
      </c>
    </row>
    <row r="12" spans="1:22" x14ac:dyDescent="0.2">
      <c r="A12">
        <v>44606.591297316802</v>
      </c>
      <c r="B12">
        <v>19.955732999999999</v>
      </c>
      <c r="C12">
        <v>19.846238</v>
      </c>
      <c r="D12">
        <v>19.956928999999999</v>
      </c>
      <c r="E12">
        <v>19.862490000000001</v>
      </c>
      <c r="F12">
        <v>32.775539999999999</v>
      </c>
      <c r="G12">
        <v>31.367218000000001</v>
      </c>
      <c r="H12">
        <v>25.032720999999999</v>
      </c>
      <c r="I12">
        <v>22.847187999999999</v>
      </c>
      <c r="J12">
        <v>55.841354000000003</v>
      </c>
      <c r="K12">
        <v>48.156647</v>
      </c>
      <c r="L12">
        <v>208.98938699999999</v>
      </c>
      <c r="M12">
        <v>-622.51306099999999</v>
      </c>
      <c r="N12">
        <v>1.2892999999999999</v>
      </c>
      <c r="O12">
        <v>1.7904359999999999</v>
      </c>
      <c r="P12">
        <f t="shared" si="3"/>
        <v>2.1488333333333332E-5</v>
      </c>
      <c r="Q12" cm="1">
        <f t="array" ref="Q12">[1]!PropsSI("D","T",J12+273.15,"P",101325,"Water")</f>
        <v>985.28351767655306</v>
      </c>
      <c r="R12" cm="1">
        <f t="array" ref="R12">[1]!PropsSI("D","T",K12+273.15,"P",101325,"Water")</f>
        <v>988.85756556444153</v>
      </c>
      <c r="S12">
        <f t="shared" si="2"/>
        <v>987.07054162049735</v>
      </c>
      <c r="T12" cm="1">
        <f t="array" ref="T12">[1]!PropsSI("H","T",J12+273.15,"P",101325,"Water")</f>
        <v>233848.5516604252</v>
      </c>
      <c r="U12" cm="1">
        <f t="array" ref="U12">[1]!PropsSI("H","T",K12+273.15,"P",101325,"Water")</f>
        <v>201711.26541608045</v>
      </c>
      <c r="V12">
        <f t="shared" si="1"/>
        <v>681.64793629786755</v>
      </c>
    </row>
    <row r="13" spans="1:22" x14ac:dyDescent="0.2">
      <c r="A13">
        <v>44606.591413057598</v>
      </c>
      <c r="B13">
        <v>19.981214999999999</v>
      </c>
      <c r="C13">
        <v>19.872437999999999</v>
      </c>
      <c r="D13">
        <v>20.039532000000001</v>
      </c>
      <c r="E13">
        <v>19.925640999999999</v>
      </c>
      <c r="F13">
        <v>32.392071000000001</v>
      </c>
      <c r="G13">
        <v>30.668543</v>
      </c>
      <c r="H13">
        <v>25.343896999999998</v>
      </c>
      <c r="I13">
        <v>22.624393999999999</v>
      </c>
      <c r="J13">
        <v>55.849947999999998</v>
      </c>
      <c r="K13">
        <v>48.169666999999997</v>
      </c>
      <c r="L13">
        <v>208.81592699999999</v>
      </c>
      <c r="M13">
        <v>-622.50408100000004</v>
      </c>
      <c r="N13">
        <v>1.2932330000000001</v>
      </c>
      <c r="O13">
        <v>2.1769699999999998</v>
      </c>
      <c r="P13">
        <f t="shared" si="3"/>
        <v>2.1553883333333337E-5</v>
      </c>
      <c r="Q13" cm="1">
        <f t="array" ref="Q13">[1]!PropsSI("D","T",J13+273.15,"P",101325,"Water")</f>
        <v>985.27931159751085</v>
      </c>
      <c r="R13" cm="1">
        <f t="array" ref="R13">[1]!PropsSI("D","T",K13+273.15,"P",101325,"Water")</f>
        <v>988.85183522153841</v>
      </c>
      <c r="S13">
        <f t="shared" si="2"/>
        <v>987.06557340952463</v>
      </c>
      <c r="T13" cm="1">
        <f t="array" ref="T13">[1]!PropsSI("H","T",J13+273.15,"P",101325,"Water")</f>
        <v>233884.50266437116</v>
      </c>
      <c r="U13" cm="1">
        <f t="array" ref="U13">[1]!PropsSI("H","T",K13+273.15,"P",101325,"Water")</f>
        <v>201765.70009339799</v>
      </c>
      <c r="V13">
        <f t="shared" si="1"/>
        <v>683.3306148994393</v>
      </c>
    </row>
    <row r="14" spans="1:22" x14ac:dyDescent="0.2">
      <c r="A14">
        <v>44606.591529377001</v>
      </c>
      <c r="B14">
        <v>19.883861</v>
      </c>
      <c r="C14">
        <v>19.823971</v>
      </c>
      <c r="D14">
        <v>20.014303000000002</v>
      </c>
      <c r="E14">
        <v>19.935827</v>
      </c>
      <c r="F14">
        <v>32.775570000000002</v>
      </c>
      <c r="G14">
        <v>29.864398999999999</v>
      </c>
      <c r="H14">
        <v>25.316703</v>
      </c>
      <c r="I14">
        <v>22.512011999999999</v>
      </c>
      <c r="J14">
        <v>55.855041</v>
      </c>
      <c r="K14">
        <v>48.179352999999999</v>
      </c>
      <c r="L14">
        <v>208.94367500000001</v>
      </c>
      <c r="M14">
        <v>-622.49142900000004</v>
      </c>
      <c r="N14">
        <v>1.292357</v>
      </c>
      <c r="O14">
        <v>2.6313260000000001</v>
      </c>
      <c r="P14">
        <f t="shared" si="3"/>
        <v>2.1539283333333336E-5</v>
      </c>
      <c r="Q14" cm="1">
        <f t="array" ref="Q14">[1]!PropsSI("D","T",J14+273.15,"P",101325,"Water")</f>
        <v>985.27681876487907</v>
      </c>
      <c r="R14" cm="1">
        <f t="array" ref="R14">[1]!PropsSI("D","T",K14+273.15,"P",101325,"Water")</f>
        <v>988.84757149672475</v>
      </c>
      <c r="S14">
        <f t="shared" si="2"/>
        <v>987.06219513080191</v>
      </c>
      <c r="T14" cm="1">
        <f t="array" ref="T14">[1]!PropsSI("H","T",J14+273.15,"P",101325,"Water")</f>
        <v>233905.80806058989</v>
      </c>
      <c r="U14" cm="1">
        <f t="array" ref="U14">[1]!PropsSI("H","T",K14+273.15,"P",101325,"Water")</f>
        <v>201806.19584181395</v>
      </c>
      <c r="V14">
        <f t="shared" si="1"/>
        <v>682.45740999601423</v>
      </c>
    </row>
    <row r="15" spans="1:22" x14ac:dyDescent="0.2">
      <c r="A15">
        <v>46068.591645694447</v>
      </c>
      <c r="B15">
        <v>19.915075000000002</v>
      </c>
      <c r="C15">
        <v>19.781760999999999</v>
      </c>
      <c r="D15">
        <v>20.145527999999999</v>
      </c>
      <c r="E15">
        <v>19.951286</v>
      </c>
      <c r="F15">
        <v>32.624184</v>
      </c>
      <c r="G15">
        <v>30.151752999999999</v>
      </c>
      <c r="H15">
        <v>24.809542</v>
      </c>
      <c r="I15">
        <v>22.714400999999999</v>
      </c>
      <c r="J15">
        <v>55.858224</v>
      </c>
      <c r="K15">
        <v>48.182211000000002</v>
      </c>
      <c r="L15">
        <v>212.00433799999999</v>
      </c>
      <c r="M15">
        <v>-622.48122499999999</v>
      </c>
      <c r="N15">
        <v>1.287755</v>
      </c>
      <c r="O15">
        <v>1.4507939999999999</v>
      </c>
      <c r="P15">
        <f t="shared" si="3"/>
        <v>2.1462583333333333E-5</v>
      </c>
      <c r="Q15" cm="1">
        <f t="array" ref="Q15">[1]!PropsSI("D","T",J15+273.15,"P",101325,"Water")</f>
        <v>985.27526072459602</v>
      </c>
      <c r="R15" cm="1">
        <f t="array" ref="R15">[1]!PropsSI("D","T",K15+273.15,"P",101325,"Water")</f>
        <v>988.84631330047898</v>
      </c>
      <c r="S15">
        <f t="shared" si="2"/>
        <v>987.0607870125375</v>
      </c>
      <c r="T15" cm="1">
        <f t="array" ref="T15">[1]!PropsSI("H","T",J15+273.15,"P",101325,"Water")</f>
        <v>233919.12341530647</v>
      </c>
      <c r="U15" cm="1">
        <f t="array" ref="U15">[1]!PropsSI("H","T",K15+273.15,"P",101325,"Water")</f>
        <v>201818.14472602357</v>
      </c>
      <c r="V15">
        <f t="shared" si="1"/>
        <v>680.0552015314729</v>
      </c>
    </row>
    <row r="16" spans="1:22" x14ac:dyDescent="0.2">
      <c r="A16">
        <v>46068.591761435186</v>
      </c>
      <c r="B16">
        <v>19.820726000000001</v>
      </c>
      <c r="C16">
        <v>19.717227999999999</v>
      </c>
      <c r="D16">
        <v>20.089393000000001</v>
      </c>
      <c r="E16">
        <v>19.808848000000001</v>
      </c>
      <c r="F16">
        <v>32.777939000000003</v>
      </c>
      <c r="G16">
        <v>29.331037999999999</v>
      </c>
      <c r="H16">
        <v>25.361719000000001</v>
      </c>
      <c r="I16">
        <v>22.487628999999998</v>
      </c>
      <c r="J16">
        <v>55.861566000000003</v>
      </c>
      <c r="K16">
        <v>48.193007999999999</v>
      </c>
      <c r="L16">
        <v>210.761135</v>
      </c>
      <c r="M16">
        <v>-622.48040900000001</v>
      </c>
      <c r="N16">
        <v>1.283112</v>
      </c>
      <c r="O16">
        <v>1.6261620000000001</v>
      </c>
      <c r="P16">
        <f t="shared" si="3"/>
        <v>2.1385200000000003E-5</v>
      </c>
      <c r="Q16" cm="1">
        <f t="array" ref="Q16">[1]!PropsSI("D","T",J16+273.15,"P",101325,"Water")</f>
        <v>985.2736247886786</v>
      </c>
      <c r="R16" cm="1">
        <f t="array" ref="R16">[1]!PropsSI("D","T",K16+273.15,"P",101325,"Water")</f>
        <v>988.84155957164467</v>
      </c>
      <c r="S16">
        <f t="shared" si="2"/>
        <v>987.05759218016169</v>
      </c>
      <c r="T16" cm="1">
        <f t="array" ref="T16">[1]!PropsSI("H","T",J16+273.15,"P",101325,"Water")</f>
        <v>233933.10391431075</v>
      </c>
      <c r="U16" cm="1">
        <f t="array" ref="U16">[1]!PropsSI("H","T",K16+273.15,"P",101325,"Water")</f>
        <v>201863.28543870494</v>
      </c>
      <c r="V16">
        <f t="shared" si="1"/>
        <v>676.943326636856</v>
      </c>
    </row>
    <row r="17" spans="1:22" x14ac:dyDescent="0.2">
      <c r="A17">
        <v>46068.591877175924</v>
      </c>
      <c r="B17">
        <v>19.644010999999999</v>
      </c>
      <c r="C17">
        <v>19.630873000000001</v>
      </c>
      <c r="D17">
        <v>19.983779999999999</v>
      </c>
      <c r="E17">
        <v>19.781286000000001</v>
      </c>
      <c r="F17">
        <v>32.459617000000001</v>
      </c>
      <c r="G17">
        <v>30.934394000000001</v>
      </c>
      <c r="H17">
        <v>25.169013</v>
      </c>
      <c r="I17">
        <v>22.320954</v>
      </c>
      <c r="J17">
        <v>55.867136000000002</v>
      </c>
      <c r="K17">
        <v>48.185704000000001</v>
      </c>
      <c r="L17">
        <v>236.51780500000001</v>
      </c>
      <c r="M17">
        <v>-622.47591999999997</v>
      </c>
      <c r="N17">
        <v>1.287874</v>
      </c>
      <c r="O17">
        <v>2.4173010000000001</v>
      </c>
      <c r="P17">
        <f t="shared" si="3"/>
        <v>2.1464566666666668E-5</v>
      </c>
      <c r="Q17" cm="1">
        <f t="array" ref="Q17">[1]!PropsSI("D","T",J17+273.15,"P",101325,"Water")</f>
        <v>985.27089807605591</v>
      </c>
      <c r="R17" cm="1">
        <f t="array" ref="R17">[1]!PropsSI("D","T",K17+273.15,"P",101325,"Water")</f>
        <v>988.84477547959762</v>
      </c>
      <c r="S17">
        <f t="shared" si="2"/>
        <v>987.05783677782676</v>
      </c>
      <c r="T17" cm="1">
        <f t="array" ref="T17">[1]!PropsSI("H","T",J17+273.15,"P",101325,"Water")</f>
        <v>233956.40475529022</v>
      </c>
      <c r="U17" cm="1">
        <f t="array" ref="U17">[1]!PropsSI("H","T",K17+273.15,"P",101325,"Water")</f>
        <v>201832.7484562071</v>
      </c>
      <c r="V17">
        <f t="shared" si="1"/>
        <v>680.59647713603852</v>
      </c>
    </row>
    <row r="18" spans="1:22" x14ac:dyDescent="0.2">
      <c r="A18">
        <v>46068.591993495371</v>
      </c>
      <c r="B18">
        <v>19.549244999999999</v>
      </c>
      <c r="C18">
        <v>19.514448000000002</v>
      </c>
      <c r="D18">
        <v>19.934372</v>
      </c>
      <c r="E18">
        <v>19.757656999999998</v>
      </c>
      <c r="F18">
        <v>32.132832000000001</v>
      </c>
      <c r="G18">
        <v>30.807085000000001</v>
      </c>
      <c r="H18">
        <v>25.184411000000001</v>
      </c>
      <c r="I18">
        <v>22.155234</v>
      </c>
      <c r="J18">
        <v>55.872546999999997</v>
      </c>
      <c r="K18">
        <v>48.169508999999998</v>
      </c>
      <c r="L18">
        <v>215.12132500000001</v>
      </c>
      <c r="M18">
        <v>-622.48489900000004</v>
      </c>
      <c r="N18">
        <v>1.2881320000000001</v>
      </c>
      <c r="O18">
        <v>2.1918510000000002</v>
      </c>
      <c r="P18">
        <f t="shared" si="3"/>
        <v>2.1468866666666667E-5</v>
      </c>
      <c r="Q18" cm="1">
        <f t="array" ref="Q18">[1]!PropsSI("D","T",J18+273.15,"P",101325,"Water")</f>
        <v>985.26824901680709</v>
      </c>
      <c r="R18" cm="1">
        <f t="array" ref="R18">[1]!PropsSI("D","T",K18+273.15,"P",101325,"Water")</f>
        <v>988.85190476705327</v>
      </c>
      <c r="S18">
        <f t="shared" si="2"/>
        <v>987.06007689193018</v>
      </c>
      <c r="T18" cm="1">
        <f t="array" ref="T18">[1]!PropsSI("H","T",J18+273.15,"P",101325,"Water")</f>
        <v>233979.04046667606</v>
      </c>
      <c r="U18" cm="1">
        <f t="array" ref="U18">[1]!PropsSI("H","T",K18+273.15,"P",101325,"Water")</f>
        <v>201765.03951870647</v>
      </c>
      <c r="V18">
        <f t="shared" si="1"/>
        <v>682.6488650306402</v>
      </c>
    </row>
    <row r="19" spans="1:22" x14ac:dyDescent="0.2">
      <c r="A19">
        <v>46068.59210923611</v>
      </c>
      <c r="B19">
        <v>19.586546999999999</v>
      </c>
      <c r="C19">
        <v>19.609642999999998</v>
      </c>
      <c r="D19">
        <v>19.907005000000002</v>
      </c>
      <c r="E19">
        <v>19.696090000000002</v>
      </c>
      <c r="F19">
        <v>32.785282000000002</v>
      </c>
      <c r="G19">
        <v>31.04768</v>
      </c>
      <c r="H19">
        <v>25.086119</v>
      </c>
      <c r="I19">
        <v>22.240407999999999</v>
      </c>
      <c r="J19">
        <v>55.876843999999998</v>
      </c>
      <c r="K19">
        <v>48.169190999999998</v>
      </c>
      <c r="L19">
        <v>214.76093499999999</v>
      </c>
      <c r="M19">
        <v>-622.49755100000004</v>
      </c>
      <c r="N19">
        <v>1.2854559999999999</v>
      </c>
      <c r="O19">
        <v>2.085677</v>
      </c>
      <c r="P19">
        <f t="shared" si="3"/>
        <v>2.1424266666666664E-5</v>
      </c>
      <c r="Q19" cm="1">
        <f t="array" ref="Q19">[1]!PropsSI("D","T",J19+273.15,"P",101325,"Water")</f>
        <v>985.26614520939313</v>
      </c>
      <c r="R19" cm="1">
        <f t="array" ref="R19">[1]!PropsSI("D","T",K19+273.15,"P",101325,"Water")</f>
        <v>988.85204473795886</v>
      </c>
      <c r="S19">
        <f t="shared" si="2"/>
        <v>987.059094973676</v>
      </c>
      <c r="T19" cm="1">
        <f t="array" ref="T19">[1]!PropsSI("H","T",J19+273.15,"P",101325,"Water")</f>
        <v>233997.01601539436</v>
      </c>
      <c r="U19" cm="1">
        <f t="array" ref="U19">[1]!PropsSI("H","T",K19+273.15,"P",101325,"Water")</f>
        <v>201763.71000763946</v>
      </c>
      <c r="V19">
        <f t="shared" si="1"/>
        <v>681.63827870155524</v>
      </c>
    </row>
    <row r="20" spans="1:22" x14ac:dyDescent="0.2">
      <c r="A20">
        <v>46068.592225555556</v>
      </c>
      <c r="B20">
        <v>19.766393000000001</v>
      </c>
      <c r="C20">
        <v>19.745111999999999</v>
      </c>
      <c r="D20">
        <v>20.005364</v>
      </c>
      <c r="E20">
        <v>19.868839000000001</v>
      </c>
      <c r="F20">
        <v>32.588182000000003</v>
      </c>
      <c r="G20">
        <v>30.723872</v>
      </c>
      <c r="H20">
        <v>25.276026999999999</v>
      </c>
      <c r="I20">
        <v>22.844245999999998</v>
      </c>
      <c r="J20">
        <v>55.881301000000001</v>
      </c>
      <c r="K20">
        <v>48.170938</v>
      </c>
      <c r="L20">
        <v>218.00362999999999</v>
      </c>
      <c r="M20">
        <v>-622.47877700000004</v>
      </c>
      <c r="N20">
        <v>1.284009</v>
      </c>
      <c r="O20">
        <v>2.429602</v>
      </c>
      <c r="P20">
        <f t="shared" si="3"/>
        <v>2.1400149999999999E-5</v>
      </c>
      <c r="Q20" cm="1">
        <f t="array" ref="Q20">[1]!PropsSI("D","T",J20+273.15,"P",101325,"Water")</f>
        <v>985.26396294612584</v>
      </c>
      <c r="R20" cm="1">
        <f t="array" ref="R20">[1]!PropsSI("D","T",K20+273.15,"P",101325,"Water")</f>
        <v>988.85127577005721</v>
      </c>
      <c r="S20">
        <f t="shared" si="2"/>
        <v>987.05761935809153</v>
      </c>
      <c r="T20" cm="1">
        <f t="array" ref="T20">[1]!PropsSI("H","T",J20+273.15,"P",101325,"Water")</f>
        <v>234015.66089600432</v>
      </c>
      <c r="U20" cm="1">
        <f t="array" ref="U20">[1]!PropsSI("H","T",K20+273.15,"P",101325,"Water")</f>
        <v>201771.01395701655</v>
      </c>
      <c r="V20">
        <f t="shared" si="1"/>
        <v>681.10951721395077</v>
      </c>
    </row>
    <row r="21" spans="1:22" x14ac:dyDescent="0.2">
      <c r="A21">
        <v>46068.592341875003</v>
      </c>
      <c r="B21">
        <v>19.909316</v>
      </c>
      <c r="C21">
        <v>19.758859999999999</v>
      </c>
      <c r="D21">
        <v>20.058339</v>
      </c>
      <c r="E21">
        <v>19.898757</v>
      </c>
      <c r="F21">
        <v>32.707031999999998</v>
      </c>
      <c r="G21">
        <v>30.265829</v>
      </c>
      <c r="H21">
        <v>25.293028</v>
      </c>
      <c r="I21">
        <v>23.030633999999999</v>
      </c>
      <c r="J21">
        <v>55.883369000000002</v>
      </c>
      <c r="K21">
        <v>48.188243999999997</v>
      </c>
      <c r="L21">
        <v>219.408458</v>
      </c>
      <c r="M21">
        <v>-622.49142900000004</v>
      </c>
      <c r="N21">
        <v>1.2919750000000001</v>
      </c>
      <c r="O21">
        <v>2.3617170000000001</v>
      </c>
      <c r="P21">
        <f t="shared" si="3"/>
        <v>2.1532916666666669E-5</v>
      </c>
      <c r="Q21" cm="1">
        <f t="array" ref="Q21">[1]!PropsSI("D","T",J21+273.15,"P",101325,"Water")</f>
        <v>985.26295035793908</v>
      </c>
      <c r="R21" cm="1">
        <f t="array" ref="R21">[1]!PropsSI("D","T",K21+273.15,"P",101325,"Water")</f>
        <v>988.84365717317303</v>
      </c>
      <c r="S21">
        <f t="shared" si="2"/>
        <v>987.05330376555605</v>
      </c>
      <c r="T21" cm="1">
        <f t="array" ref="T21">[1]!PropsSI("H","T",J21+273.15,"P",101325,"Water")</f>
        <v>234024.31192240978</v>
      </c>
      <c r="U21" cm="1">
        <f t="array" ref="U21">[1]!PropsSI("H","T",K21+273.15,"P",101325,"Water")</f>
        <v>201843.36783249004</v>
      </c>
      <c r="V21">
        <f t="shared" si="1"/>
        <v>683.97817952978903</v>
      </c>
    </row>
    <row r="22" spans="1:22" x14ac:dyDescent="0.2">
      <c r="A22">
        <v>46068.592458194442</v>
      </c>
      <c r="B22">
        <v>19.863109999999999</v>
      </c>
      <c r="C22">
        <v>19.734639000000001</v>
      </c>
      <c r="D22">
        <v>19.938945</v>
      </c>
      <c r="E22">
        <v>19.854111</v>
      </c>
      <c r="F22">
        <v>32.571156000000002</v>
      </c>
      <c r="G22">
        <v>30.191679000000001</v>
      </c>
      <c r="H22">
        <v>25.118335999999999</v>
      </c>
      <c r="I22">
        <v>22.220089999999999</v>
      </c>
      <c r="J22">
        <v>55.888461999999997</v>
      </c>
      <c r="K22">
        <v>48.197611999999999</v>
      </c>
      <c r="L22">
        <v>204.239013</v>
      </c>
      <c r="M22">
        <v>-622.48857199999998</v>
      </c>
      <c r="N22">
        <v>1.2968109999999999</v>
      </c>
      <c r="O22">
        <v>1.95241</v>
      </c>
      <c r="P22">
        <f t="shared" si="3"/>
        <v>2.1613516666666666E-5</v>
      </c>
      <c r="Q22" cm="1">
        <f t="array" ref="Q22">[1]!PropsSI("D","T",J22+273.15,"P",101325,"Water")</f>
        <v>985.26045647811384</v>
      </c>
      <c r="R22" cm="1">
        <f t="array" ref="R22">[1]!PropsSI("D","T",K22+273.15,"P",101325,"Water")</f>
        <v>988.83953227405607</v>
      </c>
      <c r="S22">
        <f t="shared" si="2"/>
        <v>987.0499943760849</v>
      </c>
      <c r="T22" cm="1">
        <f t="array" ref="T22">[1]!PropsSI("H","T",J22+273.15,"P",101325,"Water")</f>
        <v>234045.61738247337</v>
      </c>
      <c r="U22" cm="1">
        <f t="array" ref="U22">[1]!PropsSI("H","T",K22+273.15,"P",101325,"Water")</f>
        <v>201882.53411299019</v>
      </c>
      <c r="V22">
        <f t="shared" si="1"/>
        <v>686.15504488181875</v>
      </c>
    </row>
    <row r="23" spans="1:22" x14ac:dyDescent="0.2">
      <c r="A23">
        <v>46068.592573935188</v>
      </c>
      <c r="B23">
        <v>19.858478000000002</v>
      </c>
      <c r="C23">
        <v>19.793689000000001</v>
      </c>
      <c r="D23">
        <v>20.029772000000001</v>
      </c>
      <c r="E23">
        <v>19.877372000000001</v>
      </c>
      <c r="F23">
        <v>32.803370000000001</v>
      </c>
      <c r="G23">
        <v>30.702483999999998</v>
      </c>
      <c r="H23">
        <v>25.175682999999999</v>
      </c>
      <c r="I23">
        <v>22.729462000000002</v>
      </c>
      <c r="J23">
        <v>55.894191999999997</v>
      </c>
      <c r="K23">
        <v>48.207616000000002</v>
      </c>
      <c r="L23">
        <v>216.347386</v>
      </c>
      <c r="M23">
        <v>-622.49755100000004</v>
      </c>
      <c r="N23">
        <v>1.287677</v>
      </c>
      <c r="O23">
        <v>2.4892270000000001</v>
      </c>
      <c r="P23">
        <f t="shared" si="3"/>
        <v>2.1461283333333334E-5</v>
      </c>
      <c r="Q23" cm="1">
        <f t="array" ref="Q23">[1]!PropsSI("D","T",J23+273.15,"P",101325,"Water")</f>
        <v>985.25765048895494</v>
      </c>
      <c r="R23" cm="1">
        <f t="array" ref="R23">[1]!PropsSI("D","T",K23+273.15,"P",101325,"Water")</f>
        <v>988.83512668342496</v>
      </c>
      <c r="S23">
        <f t="shared" si="2"/>
        <v>987.04638858619001</v>
      </c>
      <c r="T23" cm="1">
        <f t="array" ref="T23">[1]!PropsSI("H","T",J23+273.15,"P",101325,"Water")</f>
        <v>234069.58760538331</v>
      </c>
      <c r="U23" cm="1">
        <f t="array" ref="U23">[1]!PropsSI("H","T",K23+273.15,"P",101325,"Water")</f>
        <v>201924.3594439216</v>
      </c>
      <c r="V23">
        <f t="shared" si="1"/>
        <v>680.94143980381125</v>
      </c>
    </row>
    <row r="24" spans="1:22" x14ac:dyDescent="0.2">
      <c r="A24">
        <v>46068.592690254627</v>
      </c>
      <c r="B24">
        <v>20.045583000000001</v>
      </c>
      <c r="C24">
        <v>19.843603000000002</v>
      </c>
      <c r="D24">
        <v>20.071301999999999</v>
      </c>
      <c r="E24">
        <v>19.875050000000002</v>
      </c>
      <c r="F24">
        <v>32.925075</v>
      </c>
      <c r="G24">
        <v>30.124452000000002</v>
      </c>
      <c r="H24">
        <v>25.251971999999999</v>
      </c>
      <c r="I24">
        <v>22.809547999999999</v>
      </c>
      <c r="J24">
        <v>55.894827999999997</v>
      </c>
      <c r="K24">
        <v>48.214919999999999</v>
      </c>
      <c r="L24">
        <v>211.29253700000001</v>
      </c>
      <c r="M24">
        <v>-622.51142800000002</v>
      </c>
      <c r="N24">
        <v>1.2874509999999999</v>
      </c>
      <c r="O24">
        <v>2.4208720000000001</v>
      </c>
      <c r="P24">
        <f t="shared" si="3"/>
        <v>2.1457516666666666E-5</v>
      </c>
      <c r="Q24" cm="1">
        <f t="array" ref="Q24">[1]!PropsSI("D","T",J24+273.15,"P",101325,"Water")</f>
        <v>985.25733902640445</v>
      </c>
      <c r="R24" cm="1">
        <f t="array" ref="R24">[1]!PropsSI("D","T",K24+273.15,"P",101325,"Water")</f>
        <v>988.83190970321914</v>
      </c>
      <c r="S24">
        <f t="shared" si="2"/>
        <v>987.04462436481185</v>
      </c>
      <c r="T24" cm="1">
        <f t="array" ref="T24">[1]!PropsSI("H","T",J24+273.15,"P",101325,"Water")</f>
        <v>234072.24817540171</v>
      </c>
      <c r="U24" cm="1">
        <f t="array" ref="U24">[1]!PropsSI("H","T",K24+273.15,"P",101325,"Water")</f>
        <v>201954.89646680254</v>
      </c>
      <c r="V24">
        <f t="shared" si="1"/>
        <v>680.23030091717465</v>
      </c>
    </row>
    <row r="25" spans="1:22" x14ac:dyDescent="0.2">
      <c r="A25">
        <v>46068.592806574074</v>
      </c>
      <c r="B25">
        <v>19.882836000000001</v>
      </c>
      <c r="C25">
        <v>19.831316000000001</v>
      </c>
      <c r="D25">
        <v>20.095932000000001</v>
      </c>
      <c r="E25">
        <v>19.938268000000001</v>
      </c>
      <c r="F25">
        <v>32.487758999999997</v>
      </c>
      <c r="G25">
        <v>29.450904999999999</v>
      </c>
      <c r="H25">
        <v>25.271474000000001</v>
      </c>
      <c r="I25">
        <v>22.464366999999999</v>
      </c>
      <c r="J25">
        <v>55.901035</v>
      </c>
      <c r="K25">
        <v>48.222541</v>
      </c>
      <c r="L25">
        <v>201.02733699999999</v>
      </c>
      <c r="M25">
        <v>-622.49142900000004</v>
      </c>
      <c r="N25">
        <v>1.2957989999999999</v>
      </c>
      <c r="O25">
        <v>2.3168069999999998</v>
      </c>
      <c r="P25">
        <f t="shared" si="3"/>
        <v>2.1596649999999999E-5</v>
      </c>
      <c r="Q25" cm="1">
        <f t="array" ref="Q25">[1]!PropsSI("D","T",J25+273.15,"P",101325,"Water")</f>
        <v>985.2542991975215</v>
      </c>
      <c r="R25" cm="1">
        <f t="array" ref="R25">[1]!PropsSI("D","T",K25+273.15,"P",101325,"Water")</f>
        <v>988.8285527222929</v>
      </c>
      <c r="S25">
        <f t="shared" si="2"/>
        <v>987.0414259599072</v>
      </c>
      <c r="T25" cm="1">
        <f t="array" ref="T25">[1]!PropsSI("H","T",J25+273.15,"P",101325,"Water")</f>
        <v>234098.21384064137</v>
      </c>
      <c r="U25" cm="1">
        <f t="array" ref="U25">[1]!PropsSI("H","T",K25+273.15,"P",101325,"Water")</f>
        <v>201986.75883762134</v>
      </c>
      <c r="V25">
        <f t="shared" si="1"/>
        <v>684.51308547716599</v>
      </c>
    </row>
    <row r="26" spans="1:22" x14ac:dyDescent="0.2">
      <c r="A26">
        <v>46068.592922314812</v>
      </c>
      <c r="B26">
        <v>19.838061</v>
      </c>
      <c r="C26">
        <v>19.707937999999999</v>
      </c>
      <c r="D26">
        <v>20.05968</v>
      </c>
      <c r="E26">
        <v>19.868141000000001</v>
      </c>
      <c r="F26">
        <v>32.703806999999998</v>
      </c>
      <c r="G26">
        <v>28.962588</v>
      </c>
      <c r="H26">
        <v>25.540434000000001</v>
      </c>
      <c r="I26">
        <v>22.344719000000001</v>
      </c>
      <c r="J26">
        <v>55.907083</v>
      </c>
      <c r="K26">
        <v>48.226987000000001</v>
      </c>
      <c r="L26">
        <v>214.05811299999999</v>
      </c>
      <c r="M26">
        <v>-622.48367399999995</v>
      </c>
      <c r="N26">
        <v>1.2883450000000001</v>
      </c>
      <c r="O26">
        <v>2.1168879999999999</v>
      </c>
      <c r="P26">
        <f t="shared" si="3"/>
        <v>2.1472416666666671E-5</v>
      </c>
      <c r="Q26" cm="1">
        <f t="array" ref="Q26">[1]!PropsSI("D","T",J26+273.15,"P",101325,"Water")</f>
        <v>985.25133700970866</v>
      </c>
      <c r="R26" cm="1">
        <f t="array" ref="R26">[1]!PropsSI("D","T",K26+273.15,"P",101325,"Water")</f>
        <v>988.82659412021212</v>
      </c>
      <c r="S26">
        <f t="shared" si="2"/>
        <v>987.03896556496034</v>
      </c>
      <c r="T26" cm="1">
        <f t="array" ref="T26">[1]!PropsSI("H","T",J26+273.15,"P",101325,"Water")</f>
        <v>234123.51437708066</v>
      </c>
      <c r="U26" cm="1">
        <f t="array" ref="U26">[1]!PropsSI("H","T",K26+273.15,"P",101325,"Water")</f>
        <v>202005.34696940408</v>
      </c>
      <c r="V26">
        <f t="shared" si="1"/>
        <v>680.7160351804356</v>
      </c>
    </row>
    <row r="27" spans="1:22" x14ac:dyDescent="0.2">
      <c r="A27">
        <v>46068.593038634259</v>
      </c>
      <c r="B27">
        <v>20.021875000000001</v>
      </c>
      <c r="C27">
        <v>19.785945999999999</v>
      </c>
      <c r="D27">
        <v>19.974903999999999</v>
      </c>
      <c r="E27">
        <v>19.851555999999999</v>
      </c>
      <c r="F27">
        <v>32.738909</v>
      </c>
      <c r="G27">
        <v>30.233370000000001</v>
      </c>
      <c r="H27">
        <v>25.429504999999999</v>
      </c>
      <c r="I27">
        <v>22.604807000000001</v>
      </c>
      <c r="J27">
        <v>55.908675000000002</v>
      </c>
      <c r="K27">
        <v>48.228574999999999</v>
      </c>
      <c r="L27">
        <v>219.395397</v>
      </c>
      <c r="M27">
        <v>-622.49469399999998</v>
      </c>
      <c r="N27">
        <v>1.284673</v>
      </c>
      <c r="O27">
        <v>2.5109189999999999</v>
      </c>
      <c r="P27">
        <f t="shared" si="3"/>
        <v>2.1411216666666669E-5</v>
      </c>
      <c r="Q27" cm="1">
        <f t="array" ref="Q27">[1]!PropsSI("D","T",J27+273.15,"P",101325,"Water")</f>
        <v>985.25055724297192</v>
      </c>
      <c r="R27" cm="1">
        <f t="array" ref="R27">[1]!PropsSI("D","T",K27+273.15,"P",101325,"Water")</f>
        <v>988.82589452446098</v>
      </c>
      <c r="S27">
        <f t="shared" si="2"/>
        <v>987.03822588371645</v>
      </c>
      <c r="T27" cm="1">
        <f t="array" ref="T27">[1]!PropsSI("H","T",J27+273.15,"P",101325,"Water")</f>
        <v>234130.17417666526</v>
      </c>
      <c r="U27" cm="1">
        <f t="array" ref="U27">[1]!PropsSI("H","T",K27+273.15,"P",101325,"Water")</f>
        <v>202011.9861863663</v>
      </c>
      <c r="V27">
        <f t="shared" si="1"/>
        <v>678.77580627318105</v>
      </c>
    </row>
    <row r="28" spans="1:22" x14ac:dyDescent="0.2">
      <c r="A28">
        <v>46068.593154374998</v>
      </c>
      <c r="B28">
        <v>19.824373999999999</v>
      </c>
      <c r="C28">
        <v>19.738731000000001</v>
      </c>
      <c r="D28">
        <v>19.909137999999999</v>
      </c>
      <c r="E28">
        <v>19.802085000000002</v>
      </c>
      <c r="F28">
        <v>32.916575000000002</v>
      </c>
      <c r="G28">
        <v>30.165147000000001</v>
      </c>
      <c r="H28">
        <v>25.403552999999999</v>
      </c>
      <c r="I28">
        <v>22.161491999999999</v>
      </c>
      <c r="J28">
        <v>55.907401</v>
      </c>
      <c r="K28">
        <v>48.232385999999998</v>
      </c>
      <c r="L28">
        <v>222.73767900000001</v>
      </c>
      <c r="M28">
        <v>-622.46122600000001</v>
      </c>
      <c r="N28">
        <v>1.2950729999999999</v>
      </c>
      <c r="O28">
        <v>2.2626590000000002</v>
      </c>
      <c r="P28">
        <f t="shared" si="3"/>
        <v>2.1584549999999996E-5</v>
      </c>
      <c r="Q28" cm="1">
        <f t="array" ref="Q28">[1]!PropsSI("D","T",J28+273.15,"P",101325,"Water")</f>
        <v>985.25118125354095</v>
      </c>
      <c r="R28" cm="1">
        <f t="array" ref="R28">[1]!PropsSI("D","T",K28+273.15,"P",101325,"Water")</f>
        <v>988.82421551382026</v>
      </c>
      <c r="S28">
        <f t="shared" si="2"/>
        <v>987.03769838368066</v>
      </c>
      <c r="T28" cm="1">
        <f t="array" ref="T28">[1]!PropsSI("H","T",J28+273.15,"P",101325,"Water")</f>
        <v>234124.84466361025</v>
      </c>
      <c r="U28" cm="1">
        <f t="array" ref="U28">[1]!PropsSI("H","T",K28+273.15,"P",101325,"Water")</f>
        <v>202027.9194735612</v>
      </c>
      <c r="V28">
        <f t="shared" si="1"/>
        <v>683.81743403793462</v>
      </c>
    </row>
    <row r="29" spans="1:22" x14ac:dyDescent="0.2">
      <c r="A29">
        <v>46068.593270115744</v>
      </c>
      <c r="B29">
        <v>19.776467</v>
      </c>
      <c r="C29">
        <v>19.694241999999999</v>
      </c>
      <c r="D29">
        <v>19.924804000000002</v>
      </c>
      <c r="E29">
        <v>19.749334999999999</v>
      </c>
      <c r="F29">
        <v>32.810822000000002</v>
      </c>
      <c r="G29">
        <v>31.126868999999999</v>
      </c>
      <c r="H29">
        <v>25.012924999999999</v>
      </c>
      <c r="I29">
        <v>22.664769</v>
      </c>
      <c r="J29">
        <v>55.912176000000002</v>
      </c>
      <c r="K29">
        <v>48.221111999999998</v>
      </c>
      <c r="L29">
        <v>216.484522</v>
      </c>
      <c r="M29">
        <v>-622.50326500000006</v>
      </c>
      <c r="N29">
        <v>1.292414</v>
      </c>
      <c r="O29">
        <v>2.8141660000000002</v>
      </c>
      <c r="P29">
        <f t="shared" si="3"/>
        <v>2.1540233333333334E-5</v>
      </c>
      <c r="Q29" cm="1">
        <f t="array" ref="Q29">[1]!PropsSI("D","T",J29+273.15,"P",101325,"Water")</f>
        <v>985.24884238707523</v>
      </c>
      <c r="R29" cm="1">
        <f t="array" ref="R29">[1]!PropsSI("D","T",K29+273.15,"P",101325,"Water")</f>
        <v>988.82918221338889</v>
      </c>
      <c r="S29">
        <f t="shared" si="2"/>
        <v>987.03901230023212</v>
      </c>
      <c r="T29" cm="1">
        <f t="array" ref="T29">[1]!PropsSI("H","T",J29+273.15,"P",101325,"Water")</f>
        <v>234144.81988245138</v>
      </c>
      <c r="U29" cm="1">
        <f t="array" ref="U29">[1]!PropsSI("H","T",K29+273.15,"P",101325,"Water")</f>
        <v>201980.7843806461</v>
      </c>
      <c r="V29">
        <f t="shared" si="1"/>
        <v>683.84118739925975</v>
      </c>
    </row>
    <row r="30" spans="1:22" x14ac:dyDescent="0.2">
      <c r="A30">
        <v>46068.593386435183</v>
      </c>
      <c r="B30">
        <v>19.806104999999999</v>
      </c>
      <c r="C30">
        <v>19.745004000000002</v>
      </c>
      <c r="D30">
        <v>19.985523000000001</v>
      </c>
      <c r="E30">
        <v>19.833341000000001</v>
      </c>
      <c r="F30">
        <v>32.506219000000002</v>
      </c>
      <c r="G30">
        <v>29.479472000000001</v>
      </c>
      <c r="H30">
        <v>25.558205999999998</v>
      </c>
      <c r="I30">
        <v>22.566704999999999</v>
      </c>
      <c r="J30">
        <v>55.913131</v>
      </c>
      <c r="K30">
        <v>48.211267999999997</v>
      </c>
      <c r="L30">
        <v>215.557222</v>
      </c>
      <c r="M30">
        <v>-622.50285699999995</v>
      </c>
      <c r="N30">
        <v>1.2911680000000001</v>
      </c>
      <c r="O30">
        <v>2.1746449999999999</v>
      </c>
      <c r="P30">
        <f t="shared" si="3"/>
        <v>2.151946666666667E-5</v>
      </c>
      <c r="Q30" cm="1">
        <f t="array" ref="Q30">[1]!PropsSI("D","T",J30+273.15,"P",101325,"Water")</f>
        <v>985.24837459694402</v>
      </c>
      <c r="R30" cm="1">
        <f t="array" ref="R30">[1]!PropsSI("D","T",K30+273.15,"P",101325,"Water")</f>
        <v>988.83351823797682</v>
      </c>
      <c r="S30">
        <f t="shared" si="2"/>
        <v>987.04094641746042</v>
      </c>
      <c r="T30" cm="1">
        <f t="array" ref="T30">[1]!PropsSI("H","T",J30+273.15,"P",101325,"Water")</f>
        <v>234148.81492725632</v>
      </c>
      <c r="U30" cm="1">
        <f t="array" ref="U30">[1]!PropsSI("H","T",K30+273.15,"P",101325,"Water")</f>
        <v>201939.62795365337</v>
      </c>
      <c r="V30">
        <f t="shared" si="1"/>
        <v>684.14228757434807</v>
      </c>
    </row>
    <row r="31" spans="1:22" x14ac:dyDescent="0.2">
      <c r="A31">
        <v>46068.593502175929</v>
      </c>
      <c r="B31">
        <v>19.808610999999999</v>
      </c>
      <c r="C31">
        <v>19.81183</v>
      </c>
      <c r="D31">
        <v>20.066243</v>
      </c>
      <c r="E31">
        <v>19.880382999999998</v>
      </c>
      <c r="F31">
        <v>32.855984999999997</v>
      </c>
      <c r="G31">
        <v>30.715723000000001</v>
      </c>
      <c r="H31">
        <v>25.104658000000001</v>
      </c>
      <c r="I31">
        <v>22.320050999999999</v>
      </c>
      <c r="J31">
        <v>55.920611000000001</v>
      </c>
      <c r="K31">
        <v>48.222065000000001</v>
      </c>
      <c r="L31">
        <v>217.128164</v>
      </c>
      <c r="M31">
        <v>-622.49755100000004</v>
      </c>
      <c r="N31">
        <v>1.2888200000000001</v>
      </c>
      <c r="O31">
        <v>1.923335</v>
      </c>
      <c r="P31">
        <f t="shared" si="3"/>
        <v>2.1480333333333335E-5</v>
      </c>
      <c r="Q31" cm="1">
        <f t="array" ref="Q31">[1]!PropsSI("D","T",J31+273.15,"P",101325,"Water")</f>
        <v>985.24471045520113</v>
      </c>
      <c r="R31" cm="1">
        <f t="array" ref="R31">[1]!PropsSI("D","T",K31+273.15,"P",101325,"Water")</f>
        <v>988.8287624073397</v>
      </c>
      <c r="S31">
        <f t="shared" si="2"/>
        <v>987.03673643127036</v>
      </c>
      <c r="T31" cm="1">
        <f t="array" ref="T31">[1]!PropsSI("H","T",J31+273.15,"P",101325,"Water")</f>
        <v>234180.10597064719</v>
      </c>
      <c r="U31" cm="1">
        <f t="array" ref="U31">[1]!PropsSI("H","T",K31+273.15,"P",101325,"Water")</f>
        <v>201984.76874555834</v>
      </c>
      <c r="V31">
        <f t="shared" si="1"/>
        <v>682.60161558208688</v>
      </c>
    </row>
    <row r="32" spans="1:22" x14ac:dyDescent="0.2">
      <c r="A32">
        <v>46068.593618495368</v>
      </c>
      <c r="B32">
        <v>19.986689999999999</v>
      </c>
      <c r="C32">
        <v>19.817944000000001</v>
      </c>
      <c r="D32">
        <v>20.090693000000002</v>
      </c>
      <c r="E32">
        <v>19.890567999999998</v>
      </c>
      <c r="F32">
        <v>33.158866000000003</v>
      </c>
      <c r="G32">
        <v>30.403359999999999</v>
      </c>
      <c r="H32">
        <v>25.215198000000001</v>
      </c>
      <c r="I32">
        <v>22.801116</v>
      </c>
      <c r="J32">
        <v>55.924430999999998</v>
      </c>
      <c r="K32">
        <v>48.229368999999998</v>
      </c>
      <c r="L32">
        <v>208.65879200000001</v>
      </c>
      <c r="M32">
        <v>-622.5</v>
      </c>
      <c r="N32">
        <v>1.2862180000000001</v>
      </c>
      <c r="O32">
        <v>3.0990000000000002</v>
      </c>
      <c r="P32">
        <f t="shared" ref="P32:P46" si="4" xml:space="preserve"> N32*0.001/60</f>
        <v>2.1436966666666672E-5</v>
      </c>
      <c r="Q32" cm="1">
        <f t="array" ref="Q32">[1]!PropsSI("D","T",J32+273.15,"P",101325,"Water")</f>
        <v>985.24283906295761</v>
      </c>
      <c r="R32" cm="1">
        <f t="array" ref="R32">[1]!PropsSI("D","T",K32+273.15,"P",101325,"Water")</f>
        <v>988.82554472022628</v>
      </c>
      <c r="S32">
        <f t="shared" ref="S32:S46" si="5">(Q32+R32)/2</f>
        <v>987.03419189159195</v>
      </c>
      <c r="T32" cm="1">
        <f t="array" ref="T32">[1]!PropsSI("H","T",J32+273.15,"P",101325,"Water")</f>
        <v>234196.08616398004</v>
      </c>
      <c r="U32" cm="1">
        <f t="array" ref="U32">[1]!PropsSI("H","T",K32+273.15,"P",101325,"Water")</f>
        <v>202015.30579514001</v>
      </c>
      <c r="V32">
        <f t="shared" ref="V32:V46" si="6">S32*P32*(T32-U32)</f>
        <v>680.91374552593811</v>
      </c>
    </row>
    <row r="33" spans="1:22" x14ac:dyDescent="0.2">
      <c r="A33">
        <v>46068.593734814815</v>
      </c>
      <c r="B33">
        <v>19.876097999999999</v>
      </c>
      <c r="C33">
        <v>19.744499000000001</v>
      </c>
      <c r="D33">
        <v>19.992446999999999</v>
      </c>
      <c r="E33">
        <v>19.784808999999999</v>
      </c>
      <c r="F33">
        <v>33.006748999999999</v>
      </c>
      <c r="G33">
        <v>29.160478000000001</v>
      </c>
      <c r="H33">
        <v>25.095518999999999</v>
      </c>
      <c r="I33">
        <v>22.600662</v>
      </c>
      <c r="J33">
        <v>55.931114999999998</v>
      </c>
      <c r="K33">
        <v>48.238737</v>
      </c>
      <c r="L33">
        <v>222.93848499999999</v>
      </c>
      <c r="M33">
        <v>-622.51755000000003</v>
      </c>
      <c r="N33">
        <v>1.285525</v>
      </c>
      <c r="O33">
        <v>2.3144559999999998</v>
      </c>
      <c r="P33">
        <f t="shared" si="4"/>
        <v>2.1425416666666667E-5</v>
      </c>
      <c r="Q33" cm="1">
        <f t="array" ref="Q33">[1]!PropsSI("D","T",J33+273.15,"P",101325,"Water")</f>
        <v>985.23956440055076</v>
      </c>
      <c r="R33" cm="1">
        <f t="array" ref="R33">[1]!PropsSI("D","T",K33+273.15,"P",101325,"Water")</f>
        <v>988.82141724037137</v>
      </c>
      <c r="S33">
        <f t="shared" si="5"/>
        <v>987.03049082046107</v>
      </c>
      <c r="T33" cm="1">
        <f t="array" ref="T33">[1]!PropsSI("H","T",J33+273.15,"P",101325,"Water")</f>
        <v>234224.04733228992</v>
      </c>
      <c r="U33" cm="1">
        <f t="array" ref="U33">[1]!PropsSI("H","T",K33+273.15,"P",101325,"Water")</f>
        <v>202054.47217309091</v>
      </c>
      <c r="V33">
        <f t="shared" si="6"/>
        <v>680.30736229527076</v>
      </c>
    </row>
    <row r="34" spans="1:22" x14ac:dyDescent="0.2">
      <c r="A34">
        <v>46068.593850555553</v>
      </c>
      <c r="B34">
        <v>19.914104999999999</v>
      </c>
      <c r="C34">
        <v>19.800774000000001</v>
      </c>
      <c r="D34">
        <v>20.085139000000002</v>
      </c>
      <c r="E34">
        <v>19.885071</v>
      </c>
      <c r="F34">
        <v>32.775826000000002</v>
      </c>
      <c r="G34">
        <v>30.022905000000002</v>
      </c>
      <c r="H34">
        <v>24.928256999999999</v>
      </c>
      <c r="I34">
        <v>22.507048999999999</v>
      </c>
      <c r="J34">
        <v>55.937162999999998</v>
      </c>
      <c r="K34">
        <v>48.244928999999999</v>
      </c>
      <c r="L34">
        <v>217.17836500000001</v>
      </c>
      <c r="M34">
        <v>-622.50163299999997</v>
      </c>
      <c r="N34">
        <v>1.2814479999999999</v>
      </c>
      <c r="O34">
        <v>2.3713489999999999</v>
      </c>
      <c r="P34">
        <f t="shared" si="4"/>
        <v>2.1357466666666667E-5</v>
      </c>
      <c r="Q34" cm="1">
        <f t="array" ref="Q34">[1]!PropsSI("D","T",J34+273.15,"P",101325,"Water")</f>
        <v>985.23660109406535</v>
      </c>
      <c r="R34" cm="1">
        <f t="array" ref="R34">[1]!PropsSI("D","T",K34+273.15,"P",101325,"Water")</f>
        <v>988.81868876283283</v>
      </c>
      <c r="S34">
        <f t="shared" si="5"/>
        <v>987.02764492844904</v>
      </c>
      <c r="T34" cm="1">
        <f t="array" ref="T34">[1]!PropsSI("H","T",J34+273.15,"P",101325,"Water")</f>
        <v>234249.34793711788</v>
      </c>
      <c r="U34" cm="1">
        <f t="array" ref="U34">[1]!PropsSI("H","T",K34+273.15,"P",101325,"Water")</f>
        <v>202080.36012427422</v>
      </c>
      <c r="V34">
        <f t="shared" si="6"/>
        <v>678.13545320449157</v>
      </c>
    </row>
    <row r="35" spans="1:22" x14ac:dyDescent="0.2">
      <c r="A35">
        <v>46068.593966875</v>
      </c>
      <c r="B35">
        <v>19.978995999999999</v>
      </c>
      <c r="C35">
        <v>19.629612000000002</v>
      </c>
      <c r="D35">
        <v>20.095834</v>
      </c>
      <c r="E35">
        <v>19.829013</v>
      </c>
      <c r="F35">
        <v>33.146889000000002</v>
      </c>
      <c r="G35">
        <v>30.441911999999999</v>
      </c>
      <c r="H35">
        <v>24.883800999999998</v>
      </c>
      <c r="I35">
        <v>22.722942</v>
      </c>
      <c r="J35">
        <v>55.936048999999997</v>
      </c>
      <c r="K35">
        <v>48.250487</v>
      </c>
      <c r="L35">
        <v>199.40007199999999</v>
      </c>
      <c r="M35">
        <v>-622.48408199999994</v>
      </c>
      <c r="N35">
        <v>1.2826200000000001</v>
      </c>
      <c r="O35">
        <v>2.6571099999999999</v>
      </c>
      <c r="P35">
        <f t="shared" si="4"/>
        <v>2.1377000000000002E-5</v>
      </c>
      <c r="Q35" cm="1">
        <f t="array" ref="Q35">[1]!PropsSI("D","T",J35+273.15,"P",101325,"Water")</f>
        <v>985.23714693162799</v>
      </c>
      <c r="R35" cm="1">
        <f t="array" ref="R35">[1]!PropsSI("D","T",K35+273.15,"P",101325,"Water")</f>
        <v>988.81623943596389</v>
      </c>
      <c r="S35">
        <f t="shared" si="5"/>
        <v>987.02669318379594</v>
      </c>
      <c r="T35" cm="1">
        <f t="array" ref="T35">[1]!PropsSI("H","T",J35+273.15,"P",101325,"Water")</f>
        <v>234244.68773863176</v>
      </c>
      <c r="U35" cm="1">
        <f t="array" ref="U35">[1]!PropsSI("H","T",K35+273.15,"P",101325,"Water")</f>
        <v>202103.59741176676</v>
      </c>
      <c r="V35">
        <f t="shared" si="6"/>
        <v>678.16638712953636</v>
      </c>
    </row>
    <row r="36" spans="1:22" x14ac:dyDescent="0.2">
      <c r="A36">
        <v>46068.594082615738</v>
      </c>
      <c r="B36">
        <v>19.856102</v>
      </c>
      <c r="C36">
        <v>19.657138</v>
      </c>
      <c r="D36">
        <v>20.023702</v>
      </c>
      <c r="E36">
        <v>19.761741000000001</v>
      </c>
      <c r="F36">
        <v>32.324444</v>
      </c>
      <c r="G36">
        <v>29.462717999999999</v>
      </c>
      <c r="H36">
        <v>24.964784999999999</v>
      </c>
      <c r="I36">
        <v>22.699473999999999</v>
      </c>
      <c r="J36">
        <v>55.940823999999999</v>
      </c>
      <c r="K36">
        <v>48.24747</v>
      </c>
      <c r="L36">
        <v>227.496216</v>
      </c>
      <c r="M36">
        <v>-622.49836700000003</v>
      </c>
      <c r="N36">
        <v>1.285525</v>
      </c>
      <c r="O36">
        <v>2.0017550000000002</v>
      </c>
      <c r="P36">
        <f t="shared" si="4"/>
        <v>2.1425416666666667E-5</v>
      </c>
      <c r="Q36" cm="1">
        <f t="array" ref="Q36">[1]!PropsSI("D","T",J36+273.15,"P",101325,"Water")</f>
        <v>985.2348072240469</v>
      </c>
      <c r="R36" cm="1">
        <f t="array" ref="R36">[1]!PropsSI("D","T",K36+273.15,"P",101325,"Water")</f>
        <v>988.81756900806397</v>
      </c>
      <c r="S36">
        <f t="shared" si="5"/>
        <v>987.02618811605544</v>
      </c>
      <c r="T36" cm="1">
        <f t="array" ref="T36">[1]!PropsSI("H","T",J36+273.15,"P",101325,"Water")</f>
        <v>234264.66300893316</v>
      </c>
      <c r="U36" cm="1">
        <f t="array" ref="U36">[1]!PropsSI("H","T",K36+273.15,"P",101325,"Water")</f>
        <v>202090.98371949451</v>
      </c>
      <c r="V36">
        <f t="shared" si="6"/>
        <v>680.39118854922026</v>
      </c>
    </row>
    <row r="37" spans="1:22" x14ac:dyDescent="0.2">
      <c r="A37">
        <v>46068.594198935185</v>
      </c>
      <c r="B37">
        <v>19.872995</v>
      </c>
      <c r="C37">
        <v>19.664978999999999</v>
      </c>
      <c r="D37">
        <v>20.135857000000001</v>
      </c>
      <c r="E37">
        <v>19.846803999999999</v>
      </c>
      <c r="F37">
        <v>32.394325000000002</v>
      </c>
      <c r="G37">
        <v>29.546344000000001</v>
      </c>
      <c r="H37">
        <v>24.919198000000002</v>
      </c>
      <c r="I37">
        <v>22.787936999999999</v>
      </c>
      <c r="J37">
        <v>55.946871999999999</v>
      </c>
      <c r="K37">
        <v>48.246834999999997</v>
      </c>
      <c r="L37">
        <v>204.264318</v>
      </c>
      <c r="M37">
        <v>-622.49714300000005</v>
      </c>
      <c r="N37">
        <v>1.288197</v>
      </c>
      <c r="O37">
        <v>2.4834450000000001</v>
      </c>
      <c r="P37">
        <f t="shared" si="4"/>
        <v>2.1469949999999999E-5</v>
      </c>
      <c r="Q37" cm="1">
        <f t="array" ref="Q37">[1]!PropsSI("D","T",J37+273.15,"P",101325,"Water")</f>
        <v>985.23184355656417</v>
      </c>
      <c r="R37" cm="1">
        <f t="array" ref="R37">[1]!PropsSI("D","T",K37+273.15,"P",101325,"Water")</f>
        <v>988.81784884067349</v>
      </c>
      <c r="S37">
        <f t="shared" si="5"/>
        <v>987.02484619861889</v>
      </c>
      <c r="T37" cm="1">
        <f t="array" ref="T37">[1]!PropsSI("H","T",J37+273.15,"P",101325,"Water")</f>
        <v>234289.96363580378</v>
      </c>
      <c r="U37" cm="1">
        <f t="array" ref="U37">[1]!PropsSI("H","T",K37+273.15,"P",101325,"Water")</f>
        <v>202088.32886574988</v>
      </c>
      <c r="V37">
        <f t="shared" si="6"/>
        <v>682.39688893564789</v>
      </c>
    </row>
    <row r="38" spans="1:22" x14ac:dyDescent="0.2">
      <c r="A38">
        <v>44606.594315256603</v>
      </c>
      <c r="B38">
        <v>19.820239000000001</v>
      </c>
      <c r="C38">
        <v>19.674002000000002</v>
      </c>
      <c r="D38">
        <v>20.030408000000001</v>
      </c>
      <c r="E38">
        <v>19.805382000000002</v>
      </c>
      <c r="F38">
        <v>33.007092</v>
      </c>
      <c r="G38">
        <v>28.988320999999999</v>
      </c>
      <c r="H38">
        <v>25.332599999999999</v>
      </c>
      <c r="I38">
        <v>22.481190000000002</v>
      </c>
      <c r="J38">
        <v>55.953079000000002</v>
      </c>
      <c r="K38">
        <v>48.254455999999998</v>
      </c>
      <c r="L38">
        <v>214.65114500000001</v>
      </c>
      <c r="M38">
        <v>-622.50693799999999</v>
      </c>
      <c r="N38">
        <v>1.290394</v>
      </c>
      <c r="O38">
        <v>2.0049440000000001</v>
      </c>
      <c r="P38">
        <f t="shared" si="4"/>
        <v>2.1506566666666668E-5</v>
      </c>
      <c r="Q38" cm="1">
        <f t="array" ref="Q38">[1]!PropsSI("D","T",J38+273.15,"P",101325,"Water")</f>
        <v>985.22880174141824</v>
      </c>
      <c r="R38" cm="1">
        <f t="array" ref="R38">[1]!PropsSI("D","T",K38+273.15,"P",101325,"Water")</f>
        <v>988.81449023086077</v>
      </c>
      <c r="S38">
        <f t="shared" si="5"/>
        <v>987.02164598613945</v>
      </c>
      <c r="T38" cm="1">
        <f t="array" ref="T38">[1]!PropsSI("H","T",J38+273.15,"P",101325,"Water")</f>
        <v>234315.9294224527</v>
      </c>
      <c r="U38" cm="1">
        <f t="array" ref="U38">[1]!PropsSI("H","T",K38+273.15,"P",101325,"Water")</f>
        <v>202120.19129816367</v>
      </c>
      <c r="V38">
        <f t="shared" si="6"/>
        <v>683.43331921312165</v>
      </c>
    </row>
    <row r="39" spans="1:22" x14ac:dyDescent="0.2">
      <c r="A39">
        <v>44606.594431576101</v>
      </c>
      <c r="B39">
        <v>19.807251000000001</v>
      </c>
      <c r="C39">
        <v>19.721053000000001</v>
      </c>
      <c r="D39">
        <v>19.994087</v>
      </c>
      <c r="E39">
        <v>19.866869000000001</v>
      </c>
      <c r="F39">
        <v>32.388499000000003</v>
      </c>
      <c r="G39">
        <v>29.196266000000001</v>
      </c>
      <c r="H39">
        <v>25.095305</v>
      </c>
      <c r="I39">
        <v>22.152667000000001</v>
      </c>
      <c r="J39">
        <v>55.958649000000001</v>
      </c>
      <c r="K39">
        <v>48.255884999999999</v>
      </c>
      <c r="L39">
        <v>218.465239</v>
      </c>
      <c r="M39">
        <v>-622.49877600000002</v>
      </c>
      <c r="N39">
        <v>1.2929550000000001</v>
      </c>
      <c r="O39">
        <v>1.7988360000000001</v>
      </c>
      <c r="P39">
        <f t="shared" si="4"/>
        <v>2.1549250000000004E-5</v>
      </c>
      <c r="Q39" cm="1">
        <f t="array" ref="Q39">[1]!PropsSI("D","T",J39+273.15,"P",101325,"Water")</f>
        <v>985.22607189419682</v>
      </c>
      <c r="R39" cm="1">
        <f t="array" ref="R39">[1]!PropsSI("D","T",K39+273.15,"P",101325,"Water")</f>
        <v>988.81386042069573</v>
      </c>
      <c r="S39">
        <f t="shared" si="5"/>
        <v>987.01996615744633</v>
      </c>
      <c r="T39" cm="1">
        <f t="array" ref="T39">[1]!PropsSI("H","T",J39+273.15,"P",101325,"Water")</f>
        <v>234339.23045484626</v>
      </c>
      <c r="U39" cm="1">
        <f t="array" ref="U39">[1]!PropsSI("H","T",K39+273.15,"P",101325,"Water")</f>
        <v>202126.16576716505</v>
      </c>
      <c r="V39">
        <f t="shared" si="6"/>
        <v>685.15706808142863</v>
      </c>
    </row>
    <row r="40" spans="1:22" x14ac:dyDescent="0.2">
      <c r="A40">
        <v>44606.594547316803</v>
      </c>
      <c r="B40">
        <v>19.977606000000002</v>
      </c>
      <c r="C40">
        <v>19.778507000000001</v>
      </c>
      <c r="D40">
        <v>20.099330999999999</v>
      </c>
      <c r="E40">
        <v>19.913598</v>
      </c>
      <c r="F40">
        <v>32.687438999999998</v>
      </c>
      <c r="G40">
        <v>28.850866</v>
      </c>
      <c r="H40">
        <v>25.257642000000001</v>
      </c>
      <c r="I40">
        <v>22.314709000000001</v>
      </c>
      <c r="J40">
        <v>55.961672999999998</v>
      </c>
      <c r="K40">
        <v>48.257472999999997</v>
      </c>
      <c r="L40">
        <v>207.231516</v>
      </c>
      <c r="M40">
        <v>-622.48938799999996</v>
      </c>
      <c r="N40">
        <v>1.277309</v>
      </c>
      <c r="O40">
        <v>2.4365019999999999</v>
      </c>
      <c r="P40">
        <f t="shared" si="4"/>
        <v>2.1288483333333335E-5</v>
      </c>
      <c r="Q40" cm="1">
        <f t="array" ref="Q40">[1]!PropsSI("D","T",J40+273.15,"P",101325,"Water")</f>
        <v>985.22458975722611</v>
      </c>
      <c r="R40" cm="1">
        <f t="array" ref="R40">[1]!PropsSI("D","T",K40+273.15,"P",101325,"Water")</f>
        <v>988.81316051760894</v>
      </c>
      <c r="S40">
        <f t="shared" si="5"/>
        <v>987.01887513741758</v>
      </c>
      <c r="T40" cm="1">
        <f t="array" ref="T40">[1]!PropsSI("H","T",J40+273.15,"P",101325,"Water")</f>
        <v>234351.88078679258</v>
      </c>
      <c r="U40" cm="1">
        <f t="array" ref="U40">[1]!PropsSI("H","T",K40+273.15,"P",101325,"Water")</f>
        <v>202132.80499578852</v>
      </c>
      <c r="V40">
        <f t="shared" si="6"/>
        <v>676.99156600554352</v>
      </c>
    </row>
    <row r="41" spans="1:22" x14ac:dyDescent="0.2">
      <c r="A41">
        <v>44606.594663636301</v>
      </c>
      <c r="B41">
        <v>20.120725</v>
      </c>
      <c r="C41">
        <v>19.805482000000001</v>
      </c>
      <c r="D41">
        <v>20.054326</v>
      </c>
      <c r="E41">
        <v>19.920292</v>
      </c>
      <c r="F41">
        <v>33.073278999999999</v>
      </c>
      <c r="G41">
        <v>31.070129999999999</v>
      </c>
      <c r="H41">
        <v>25.055305000000001</v>
      </c>
      <c r="I41">
        <v>22.512105999999999</v>
      </c>
      <c r="J41">
        <v>55.964537999999997</v>
      </c>
      <c r="K41">
        <v>48.275575000000003</v>
      </c>
      <c r="L41">
        <v>211.85740699999999</v>
      </c>
      <c r="M41">
        <v>-622.48000100000002</v>
      </c>
      <c r="N41">
        <v>1.282923</v>
      </c>
      <c r="O41">
        <v>1.3867970000000001</v>
      </c>
      <c r="P41">
        <f t="shared" si="4"/>
        <v>2.138205E-5</v>
      </c>
      <c r="Q41" cm="1">
        <f t="array" ref="Q41">[1]!PropsSI("D","T",J41+273.15,"P",101325,"Water")</f>
        <v>985.22318549821364</v>
      </c>
      <c r="R41" cm="1">
        <f t="array" ref="R41">[1]!PropsSI("D","T",K41+273.15,"P",101325,"Water")</f>
        <v>988.80518095848322</v>
      </c>
      <c r="S41">
        <f t="shared" si="5"/>
        <v>987.01418322834843</v>
      </c>
      <c r="T41" cm="1">
        <f t="array" ref="T41">[1]!PropsSI("H","T",J41+273.15,"P",101325,"Water")</f>
        <v>234363.86597559828</v>
      </c>
      <c r="U41" cm="1">
        <f t="array" ref="U41">[1]!PropsSI("H","T",K41+273.15,"P",101325,"Water")</f>
        <v>202208.48723009534</v>
      </c>
      <c r="V41">
        <f t="shared" si="6"/>
        <v>678.619544845007</v>
      </c>
    </row>
    <row r="42" spans="1:22" x14ac:dyDescent="0.2">
      <c r="A42">
        <v>46068.594779953703</v>
      </c>
      <c r="B42">
        <v>20.200479000000001</v>
      </c>
      <c r="C42">
        <v>19.811889999999998</v>
      </c>
      <c r="D42">
        <v>20.099498000000001</v>
      </c>
      <c r="E42">
        <v>19.912844</v>
      </c>
      <c r="F42">
        <v>32.915886</v>
      </c>
      <c r="G42">
        <v>30.156019000000001</v>
      </c>
      <c r="H42">
        <v>25.307534</v>
      </c>
      <c r="I42">
        <v>22.565266999999999</v>
      </c>
      <c r="J42">
        <v>55.967243000000003</v>
      </c>
      <c r="K42">
        <v>48.295264000000003</v>
      </c>
      <c r="L42">
        <v>216.17474200000001</v>
      </c>
      <c r="M42">
        <v>-622.49877600000002</v>
      </c>
      <c r="N42">
        <v>1.293037</v>
      </c>
      <c r="O42">
        <v>2.494577</v>
      </c>
      <c r="P42">
        <f t="shared" si="4"/>
        <v>2.1550616666666667E-5</v>
      </c>
      <c r="Q42" cm="1">
        <f t="array" ref="Q42">[1]!PropsSI("D","T",J42+273.15,"P",101325,"Water")</f>
        <v>985.22185961574496</v>
      </c>
      <c r="R42" cm="1">
        <f t="array" ref="R42">[1]!PropsSI("D","T",K42+273.15,"P",101325,"Water")</f>
        <v>988.79649934216343</v>
      </c>
      <c r="S42">
        <f t="shared" si="5"/>
        <v>987.00917947895414</v>
      </c>
      <c r="T42" cm="1">
        <f t="array" ref="T42">[1]!PropsSI("H","T",J42+273.15,"P",101325,"Water")</f>
        <v>234375.18183727839</v>
      </c>
      <c r="U42" cm="1">
        <f t="array" ref="U42">[1]!PropsSI("H","T",K42+273.15,"P",101325,"Water")</f>
        <v>202290.8046104931</v>
      </c>
      <c r="V42">
        <f t="shared" si="6"/>
        <v>682.45576615495929</v>
      </c>
    </row>
    <row r="43" spans="1:22" x14ac:dyDescent="0.2">
      <c r="A43">
        <v>46068.594895694441</v>
      </c>
      <c r="B43">
        <v>19.975557999999999</v>
      </c>
      <c r="C43">
        <v>19.755803</v>
      </c>
      <c r="D43">
        <v>19.989815</v>
      </c>
      <c r="E43">
        <v>19.851838999999998</v>
      </c>
      <c r="F43">
        <v>33.104129</v>
      </c>
      <c r="G43">
        <v>29.038717999999999</v>
      </c>
      <c r="H43">
        <v>24.997572000000002</v>
      </c>
      <c r="I43">
        <v>22.010095</v>
      </c>
      <c r="J43">
        <v>55.968516999999999</v>
      </c>
      <c r="K43">
        <v>48.301774000000002</v>
      </c>
      <c r="L43">
        <v>218.54074600000001</v>
      </c>
      <c r="M43">
        <v>-622.49142900000004</v>
      </c>
      <c r="N43">
        <v>1.284632</v>
      </c>
      <c r="O43">
        <v>1.948852</v>
      </c>
      <c r="P43">
        <f t="shared" si="4"/>
        <v>2.1410533333333331E-5</v>
      </c>
      <c r="Q43" cm="1">
        <f t="array" ref="Q43">[1]!PropsSI("D","T",J43+273.15,"P",101325,"Water")</f>
        <v>985.22123513648751</v>
      </c>
      <c r="R43" cm="1">
        <f t="array" ref="R43">[1]!PropsSI("D","T",K43+273.15,"P",101325,"Water")</f>
        <v>988.79362826902889</v>
      </c>
      <c r="S43">
        <f t="shared" si="5"/>
        <v>987.00743170275814</v>
      </c>
      <c r="T43" cm="1">
        <f t="array" ref="T43">[1]!PropsSI("H","T",J43+273.15,"P",101325,"Water")</f>
        <v>234380.5113789594</v>
      </c>
      <c r="U43" cm="1">
        <f t="array" ref="U43">[1]!PropsSI("H","T",K43+273.15,"P",101325,"Water")</f>
        <v>202318.02217224517</v>
      </c>
      <c r="V43">
        <f t="shared" si="6"/>
        <v>677.55592066727093</v>
      </c>
    </row>
    <row r="44" spans="1:22" x14ac:dyDescent="0.2">
      <c r="A44">
        <v>46068.595011435187</v>
      </c>
      <c r="B44">
        <v>19.967818000000001</v>
      </c>
      <c r="C44">
        <v>19.758113999999999</v>
      </c>
      <c r="D44">
        <v>20.038557000000001</v>
      </c>
      <c r="E44">
        <v>19.873659</v>
      </c>
      <c r="F44">
        <v>32.753459999999997</v>
      </c>
      <c r="G44">
        <v>29.832809000000001</v>
      </c>
      <c r="H44">
        <v>25.119038</v>
      </c>
      <c r="I44">
        <v>22.529719</v>
      </c>
      <c r="J44">
        <v>55.966925000000003</v>
      </c>
      <c r="K44">
        <v>48.284466000000002</v>
      </c>
      <c r="L44">
        <v>210.16279800000001</v>
      </c>
      <c r="M44">
        <v>-622.49836700000003</v>
      </c>
      <c r="N44">
        <v>1.28925</v>
      </c>
      <c r="O44">
        <v>2.2452109999999998</v>
      </c>
      <c r="P44">
        <f t="shared" si="4"/>
        <v>2.1487500000000001E-5</v>
      </c>
      <c r="Q44" cm="1">
        <f t="array" ref="Q44">[1]!PropsSI("D","T",J44+273.15,"P",101325,"Water")</f>
        <v>985.22201548893713</v>
      </c>
      <c r="R44" cm="1">
        <f t="array" ref="R44">[1]!PropsSI("D","T",K44+273.15,"P",101325,"Water")</f>
        <v>988.80126090542035</v>
      </c>
      <c r="S44">
        <f t="shared" si="5"/>
        <v>987.01163819717874</v>
      </c>
      <c r="T44" cm="1">
        <f t="array" ref="T44">[1]!PropsSI("H","T",J44+273.15,"P",101325,"Water")</f>
        <v>234373.85154355841</v>
      </c>
      <c r="U44" cm="1">
        <f t="array" ref="U44">[1]!PropsSI("H","T",K44+273.15,"P",101325,"Water")</f>
        <v>202245.65943735</v>
      </c>
      <c r="V44">
        <f t="shared" si="6"/>
        <v>681.38795350180408</v>
      </c>
    </row>
    <row r="45" spans="1:22" x14ac:dyDescent="0.2">
      <c r="A45">
        <v>46068.595127754626</v>
      </c>
      <c r="B45">
        <v>19.988416999999998</v>
      </c>
      <c r="C45">
        <v>19.829412000000001</v>
      </c>
      <c r="D45">
        <v>20.007204999999999</v>
      </c>
      <c r="E45">
        <v>19.911795999999999</v>
      </c>
      <c r="F45">
        <v>32.889465000000001</v>
      </c>
      <c r="G45">
        <v>30.335294000000001</v>
      </c>
      <c r="H45">
        <v>25.001676</v>
      </c>
      <c r="I45">
        <v>22.764358999999999</v>
      </c>
      <c r="J45">
        <v>55.966448</v>
      </c>
      <c r="K45">
        <v>48.286530999999997</v>
      </c>
      <c r="L45">
        <v>214.79766799999999</v>
      </c>
      <c r="M45">
        <v>-622.49755100000004</v>
      </c>
      <c r="N45">
        <v>1.2922419999999999</v>
      </c>
      <c r="O45">
        <v>2.1029339999999999</v>
      </c>
      <c r="P45">
        <f t="shared" si="4"/>
        <v>2.1537366666666665E-5</v>
      </c>
      <c r="Q45" cm="1">
        <f t="array" ref="Q45">[1]!PropsSI("D","T",J45+273.15,"P",101325,"Water")</f>
        <v>985.22224929751417</v>
      </c>
      <c r="R45" cm="1">
        <f t="array" ref="R45">[1]!PropsSI("D","T",K45+273.15,"P",101325,"Water")</f>
        <v>988.80035036860193</v>
      </c>
      <c r="S45">
        <f t="shared" si="5"/>
        <v>987.01129983305805</v>
      </c>
      <c r="T45" cm="1">
        <f t="array" ref="T45">[1]!PropsSI("H","T",J45+273.15,"P",101325,"Water")</f>
        <v>234371.85610313664</v>
      </c>
      <c r="U45" cm="1">
        <f t="array" ref="U45">[1]!PropsSI("H","T",K45+273.15,"P",101325,"Water")</f>
        <v>202254.2929582037</v>
      </c>
      <c r="V45">
        <f t="shared" si="6"/>
        <v>682.74308975955591</v>
      </c>
    </row>
    <row r="46" spans="1:22" x14ac:dyDescent="0.2">
      <c r="A46">
        <v>46068.595243495372</v>
      </c>
      <c r="B46">
        <v>19.986174999999999</v>
      </c>
      <c r="C46">
        <v>19.869924999999999</v>
      </c>
      <c r="D46">
        <v>20.135912999999999</v>
      </c>
      <c r="E46">
        <v>19.998985000000001</v>
      </c>
      <c r="F46">
        <v>33.124600999999998</v>
      </c>
      <c r="G46">
        <v>30.952238000000001</v>
      </c>
      <c r="H46">
        <v>24.842458000000001</v>
      </c>
      <c r="I46">
        <v>22.713588000000001</v>
      </c>
      <c r="J46">
        <v>55.971859000000002</v>
      </c>
      <c r="K46">
        <v>48.283513999999997</v>
      </c>
      <c r="L46">
        <v>214.32422199999999</v>
      </c>
      <c r="M46">
        <v>-622.48285799999996</v>
      </c>
      <c r="N46">
        <v>1.2888569999999999</v>
      </c>
      <c r="O46">
        <v>2.3665970000000001</v>
      </c>
      <c r="P46">
        <f t="shared" si="4"/>
        <v>2.148095E-5</v>
      </c>
      <c r="Q46" cm="1">
        <f t="array" ref="Q46">[1]!PropsSI("D","T",J46+273.15,"P",101325,"Water")</f>
        <v>985.21959693391091</v>
      </c>
      <c r="R46" cm="1">
        <f t="array" ref="R46">[1]!PropsSI("D","T",K46+273.15,"P",101325,"Water")</f>
        <v>988.80168066871965</v>
      </c>
      <c r="S46">
        <f t="shared" si="5"/>
        <v>987.01063880131528</v>
      </c>
      <c r="T46" cm="1">
        <f t="array" ref="T46">[1]!PropsSI("H","T",J46+273.15,"P",101325,"Water")</f>
        <v>234394.49201646799</v>
      </c>
      <c r="U46" cm="1">
        <f t="array" ref="U46">[1]!PropsSI("H","T",K46+273.15,"P",101325,"Water")</f>
        <v>202241.67923823994</v>
      </c>
      <c r="V46">
        <f t="shared" si="6"/>
        <v>681.70156305348178</v>
      </c>
    </row>
    <row r="48" spans="1:22" x14ac:dyDescent="0.2">
      <c r="F48" s="1" t="s">
        <v>22</v>
      </c>
    </row>
    <row r="49" spans="6:6" x14ac:dyDescent="0.2">
      <c r="F49">
        <f>AVERAGE(V2:V46)</f>
        <v>681.11619638219872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8A83-1FD3-0442-BEFC-5123497EB6D4}">
  <dimension ref="A1:V48"/>
  <sheetViews>
    <sheetView topLeftCell="A11" workbookViewId="0">
      <selection activeCell="F48" sqref="F4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44606.583229029799</v>
      </c>
      <c r="B2">
        <v>20.078735999999999</v>
      </c>
      <c r="C2">
        <v>20.218088000000002</v>
      </c>
      <c r="D2">
        <v>19.519145000000002</v>
      </c>
      <c r="E2">
        <v>19.566707000000001</v>
      </c>
      <c r="F2">
        <v>30.963121000000001</v>
      </c>
      <c r="G2">
        <v>30.137121</v>
      </c>
      <c r="H2">
        <v>24.204446000000001</v>
      </c>
      <c r="I2">
        <v>21.953854</v>
      </c>
      <c r="J2">
        <v>55.729474000000003</v>
      </c>
      <c r="K2">
        <v>47.582718</v>
      </c>
      <c r="L2">
        <v>290.46571599999999</v>
      </c>
      <c r="M2">
        <v>-622.48979599999996</v>
      </c>
      <c r="N2">
        <v>1.279493</v>
      </c>
      <c r="O2">
        <v>2.1381220000000001</v>
      </c>
      <c r="P2">
        <f xml:space="preserve"> N2*0.001/60</f>
        <v>2.1324883333333333E-5</v>
      </c>
      <c r="Q2" cm="1">
        <f t="array" ref="Q2">[1]!PropsSI("D","T",J2+273.15,"P",101325,"Water")</f>
        <v>985.33823254412982</v>
      </c>
      <c r="R2" cm="1">
        <f t="array" ref="R2">[1]!PropsSI("D","T",K2+273.15,"P",101325,"Water")</f>
        <v>989.10903074386943</v>
      </c>
      <c r="S2">
        <f>(Q2+R2)/2</f>
        <v>987.22363164399962</v>
      </c>
      <c r="T2" cm="1">
        <f t="array" ref="T2">[1]!PropsSI("H","T",J2+273.15,"P",101325,"Water")</f>
        <v>233380.53017357024</v>
      </c>
      <c r="U2" cm="1">
        <f t="array" ref="U2">[1]!PropsSI("H","T",K2+273.15,"P",101325,"Water")</f>
        <v>199311.79579477699</v>
      </c>
      <c r="V2">
        <f>S2*P2*(T2-U2)</f>
        <v>717.22960374991669</v>
      </c>
    </row>
    <row r="3" spans="1:22" x14ac:dyDescent="0.2">
      <c r="A3">
        <v>44606.583344770501</v>
      </c>
      <c r="B3">
        <v>20.117774000000001</v>
      </c>
      <c r="C3">
        <v>20.203389999999999</v>
      </c>
      <c r="D3">
        <v>19.704286</v>
      </c>
      <c r="E3">
        <v>19.684358</v>
      </c>
      <c r="F3">
        <v>31.208288</v>
      </c>
      <c r="G3">
        <v>29.754431</v>
      </c>
      <c r="H3">
        <v>24.490172000000001</v>
      </c>
      <c r="I3">
        <v>22.038466</v>
      </c>
      <c r="J3">
        <v>55.733612000000001</v>
      </c>
      <c r="K3">
        <v>47.579701</v>
      </c>
      <c r="L3">
        <v>300.70520299999998</v>
      </c>
      <c r="M3">
        <v>-622.48938799999996</v>
      </c>
      <c r="N3">
        <v>1.2837019999999999</v>
      </c>
      <c r="O3">
        <v>1.7292099999999999</v>
      </c>
      <c r="P3">
        <f t="shared" ref="P3" si="0" xml:space="preserve"> N3*0.001/60</f>
        <v>2.1395033333333331E-5</v>
      </c>
      <c r="Q3" cm="1">
        <f t="array" ref="Q3">[1]!PropsSI("D","T",J3+273.15,"P",101325,"Water")</f>
        <v>985.33621022981367</v>
      </c>
      <c r="R3" cm="1">
        <f t="array" ref="R3">[1]!PropsSI("D","T",K3+273.15,"P",101325,"Water")</f>
        <v>989.1103467719098</v>
      </c>
      <c r="S3">
        <f>(Q3+R3)/2</f>
        <v>987.22327850086174</v>
      </c>
      <c r="T3" cm="1">
        <f t="array" ref="T3">[1]!PropsSI("H","T",J3+273.15,"P",101325,"Water")</f>
        <v>233397.84035949255</v>
      </c>
      <c r="U3" cm="1">
        <f t="array" ref="U3">[1]!PropsSI("H","T",K3+273.15,"P",101325,"Water")</f>
        <v>199299.18260166876</v>
      </c>
      <c r="V3">
        <f t="shared" ref="V3:V31" si="1">S3*P3*(T3-U3)</f>
        <v>720.22076542507625</v>
      </c>
    </row>
    <row r="4" spans="1:22" x14ac:dyDescent="0.2">
      <c r="A4">
        <v>44606.583460511298</v>
      </c>
      <c r="B4">
        <v>20.097109</v>
      </c>
      <c r="C4">
        <v>20.489826999999998</v>
      </c>
      <c r="D4">
        <v>19.620933999999998</v>
      </c>
      <c r="E4">
        <v>19.788415000000001</v>
      </c>
      <c r="F4">
        <v>31.286557999999999</v>
      </c>
      <c r="G4">
        <v>28.359863000000001</v>
      </c>
      <c r="H4">
        <v>24.459924999999998</v>
      </c>
      <c r="I4">
        <v>22.153766999999998</v>
      </c>
      <c r="J4">
        <v>55.734884999999998</v>
      </c>
      <c r="K4">
        <v>47.582718</v>
      </c>
      <c r="L4">
        <v>288.93803700000001</v>
      </c>
      <c r="M4">
        <v>-622.51061200000004</v>
      </c>
      <c r="N4">
        <v>1.283731</v>
      </c>
      <c r="O4">
        <v>2.703379</v>
      </c>
      <c r="P4">
        <f xml:space="preserve"> N4*0.001/60</f>
        <v>2.1395516666666665E-5</v>
      </c>
      <c r="Q4" cm="1">
        <f t="array" ref="Q4">[1]!PropsSI("D","T",J4+273.15,"P",101325,"Water")</f>
        <v>985.33558807082159</v>
      </c>
      <c r="R4" cm="1">
        <f t="array" ref="R4">[1]!PropsSI("D","T",K4+273.15,"P",101325,"Water")</f>
        <v>989.10903074386943</v>
      </c>
      <c r="S4">
        <f t="shared" ref="S4:S31" si="2">(Q4+R4)/2</f>
        <v>987.22230940734551</v>
      </c>
      <c r="T4" cm="1">
        <f t="array" ref="T4">[1]!PropsSI("H","T",J4+273.15,"P",101325,"Water")</f>
        <v>233403.16560643507</v>
      </c>
      <c r="U4" cm="1">
        <f t="array" ref="U4">[1]!PropsSI("H","T",K4+273.15,"P",101325,"Water")</f>
        <v>199311.79579477699</v>
      </c>
      <c r="V4">
        <f t="shared" si="1"/>
        <v>720.08239190293773</v>
      </c>
    </row>
    <row r="5" spans="1:22" x14ac:dyDescent="0.2">
      <c r="A5">
        <v>44606.583576830701</v>
      </c>
      <c r="B5">
        <v>20.075247000000001</v>
      </c>
      <c r="C5">
        <v>20.330022</v>
      </c>
      <c r="D5">
        <v>19.52515</v>
      </c>
      <c r="E5">
        <v>19.650597000000001</v>
      </c>
      <c r="F5">
        <v>31.032405000000001</v>
      </c>
      <c r="G5">
        <v>29.326650000000001</v>
      </c>
      <c r="H5">
        <v>24.08183</v>
      </c>
      <c r="I5">
        <v>21.435176999999999</v>
      </c>
      <c r="J5">
        <v>55.734248000000001</v>
      </c>
      <c r="K5">
        <v>47.573193000000003</v>
      </c>
      <c r="L5">
        <v>306.49552599999998</v>
      </c>
      <c r="M5">
        <v>-622.49183700000003</v>
      </c>
      <c r="N5">
        <v>1.278715</v>
      </c>
      <c r="O5">
        <v>2.1236100000000002</v>
      </c>
      <c r="P5">
        <f t="shared" ref="P5:P31" si="3" xml:space="preserve"> N5*0.001/60</f>
        <v>2.1311916666666668E-5</v>
      </c>
      <c r="Q5" cm="1">
        <f t="array" ref="Q5">[1]!PropsSI("D","T",J5+273.15,"P",101325,"Water")</f>
        <v>985.33589939593003</v>
      </c>
      <c r="R5" cm="1">
        <f t="array" ref="R5">[1]!PropsSI("D","T",K5+273.15,"P",101325,"Water")</f>
        <v>989.1131853795531</v>
      </c>
      <c r="S5">
        <f t="shared" si="2"/>
        <v>987.22454238774162</v>
      </c>
      <c r="T5" cm="1">
        <f t="array" ref="T5">[1]!PropsSI("H","T",J5+273.15,"P",101325,"Water")</f>
        <v>233400.50089126441</v>
      </c>
      <c r="U5" cm="1">
        <f t="array" ref="U5">[1]!PropsSI("H","T",K5+273.15,"P",101325,"Water")</f>
        <v>199271.97456778292</v>
      </c>
      <c r="V5">
        <f t="shared" si="1"/>
        <v>718.05215257351369</v>
      </c>
    </row>
    <row r="6" spans="1:22" x14ac:dyDescent="0.2">
      <c r="A6">
        <v>46068.583692569446</v>
      </c>
      <c r="B6">
        <v>20.005856999999999</v>
      </c>
      <c r="C6">
        <v>20.117032999999999</v>
      </c>
      <c r="D6">
        <v>19.727298000000001</v>
      </c>
      <c r="E6">
        <v>19.618863999999999</v>
      </c>
      <c r="F6">
        <v>31.23283</v>
      </c>
      <c r="G6">
        <v>29.583762</v>
      </c>
      <c r="H6">
        <v>24.352837999999998</v>
      </c>
      <c r="I6">
        <v>21.984731</v>
      </c>
      <c r="J6">
        <v>55.737431000000001</v>
      </c>
      <c r="K6">
        <v>47.574463000000002</v>
      </c>
      <c r="L6">
        <v>282.98037699999998</v>
      </c>
      <c r="M6">
        <v>-622.51469299999997</v>
      </c>
      <c r="N6">
        <v>1.2850950000000001</v>
      </c>
      <c r="O6">
        <v>1.6568510000000001</v>
      </c>
      <c r="P6">
        <f t="shared" si="3"/>
        <v>2.1418250000000005E-5</v>
      </c>
      <c r="Q6" cm="1">
        <f t="array" ref="Q6">[1]!PropsSI("D","T",J6+273.15,"P",101325,"Water")</f>
        <v>985.33434372288048</v>
      </c>
      <c r="R6" cm="1">
        <f t="array" ref="R6">[1]!PropsSI("D","T",K6+273.15,"P",101325,"Water")</f>
        <v>989.1126314634912</v>
      </c>
      <c r="S6">
        <f t="shared" si="2"/>
        <v>987.22348759318584</v>
      </c>
      <c r="T6" cm="1">
        <f t="array" ref="T6">[1]!PropsSI("H","T",J6+273.15,"P",101325,"Water")</f>
        <v>233413.81610220234</v>
      </c>
      <c r="U6" cm="1">
        <f t="array" ref="U6">[1]!PropsSI("H","T",K6+273.15,"P",101325,"Water")</f>
        <v>199277.28406341351</v>
      </c>
      <c r="V6">
        <f t="shared" si="1"/>
        <v>721.8032970209299</v>
      </c>
    </row>
    <row r="7" spans="1:22" x14ac:dyDescent="0.2">
      <c r="A7">
        <v>46068.583808888892</v>
      </c>
      <c r="B7">
        <v>20.342068000000001</v>
      </c>
      <c r="C7">
        <v>20.306923000000001</v>
      </c>
      <c r="D7">
        <v>19.906044000000001</v>
      </c>
      <c r="E7">
        <v>19.949316</v>
      </c>
      <c r="F7">
        <v>31.456394</v>
      </c>
      <c r="G7">
        <v>29.551603</v>
      </c>
      <c r="H7">
        <v>24.496372000000001</v>
      </c>
      <c r="I7">
        <v>22.128354000000002</v>
      </c>
      <c r="J7">
        <v>55.736317</v>
      </c>
      <c r="K7">
        <v>47.584305000000001</v>
      </c>
      <c r="L7">
        <v>295.63117199999999</v>
      </c>
      <c r="M7">
        <v>-622.49591899999996</v>
      </c>
      <c r="N7">
        <v>1.2876970000000001</v>
      </c>
      <c r="O7">
        <v>2.355858</v>
      </c>
      <c r="P7">
        <f t="shared" si="3"/>
        <v>2.1461616666666671E-5</v>
      </c>
      <c r="Q7" cm="1">
        <f t="array" ref="Q7">[1]!PropsSI("D","T",J7+273.15,"P",101325,"Water")</f>
        <v>985.3348881911005</v>
      </c>
      <c r="R7" cm="1">
        <f t="array" ref="R7">[1]!PropsSI("D","T",K7+273.15,"P",101325,"Water")</f>
        <v>989.10833846312551</v>
      </c>
      <c r="S7">
        <f t="shared" si="2"/>
        <v>987.221613327113</v>
      </c>
      <c r="T7" cm="1">
        <f t="array" ref="T7">[1]!PropsSI("H","T",J7+273.15,"P",101325,"Water")</f>
        <v>233409.15598709803</v>
      </c>
      <c r="U7" cm="1">
        <f t="array" ref="U7">[1]!PropsSI("H","T",K7+273.15,"P",101325,"Water")</f>
        <v>199318.43057780364</v>
      </c>
      <c r="V7">
        <f t="shared" si="1"/>
        <v>722.29287521051481</v>
      </c>
    </row>
    <row r="8" spans="1:22" x14ac:dyDescent="0.2">
      <c r="A8">
        <v>46068.583925208331</v>
      </c>
      <c r="B8">
        <v>20.456614999999999</v>
      </c>
      <c r="C8">
        <v>20.381744000000001</v>
      </c>
      <c r="D8">
        <v>19.852705</v>
      </c>
      <c r="E8">
        <v>20.062429999999999</v>
      </c>
      <c r="F8">
        <v>31.68637</v>
      </c>
      <c r="G8">
        <v>29.240935</v>
      </c>
      <c r="H8">
        <v>24.534458000000001</v>
      </c>
      <c r="I8">
        <v>21.865091</v>
      </c>
      <c r="J8">
        <v>55.736635</v>
      </c>
      <c r="K8">
        <v>47.606847999999999</v>
      </c>
      <c r="L8">
        <v>298.43347999999997</v>
      </c>
      <c r="M8">
        <v>-622.47959300000002</v>
      </c>
      <c r="N8">
        <v>1.2900739999999999</v>
      </c>
      <c r="O8">
        <v>2.4542419999999998</v>
      </c>
      <c r="P8">
        <f t="shared" si="3"/>
        <v>2.1501233333333333E-5</v>
      </c>
      <c r="Q8" cm="1">
        <f t="array" ref="Q8">[1]!PropsSI("D","T",J8+273.15,"P",101325,"Water")</f>
        <v>985.33473276918323</v>
      </c>
      <c r="R8" cm="1">
        <f t="array" ref="R8">[1]!PropsSI("D","T",K8+273.15,"P",101325,"Water")</f>
        <v>989.09850292622048</v>
      </c>
      <c r="S8">
        <f t="shared" si="2"/>
        <v>987.21661784770185</v>
      </c>
      <c r="T8" cm="1">
        <f t="array" ref="T8">[1]!PropsSI("H","T",J8+273.15,"P",101325,"Water")</f>
        <v>233410.48625333939</v>
      </c>
      <c r="U8" cm="1">
        <f t="array" ref="U8">[1]!PropsSI("H","T",K8+273.15,"P",101325,"Water")</f>
        <v>199412.6763348759</v>
      </c>
      <c r="V8">
        <f t="shared" si="1"/>
        <v>721.65025743853062</v>
      </c>
    </row>
    <row r="9" spans="1:22" x14ac:dyDescent="0.2">
      <c r="A9">
        <v>46068.584040949077</v>
      </c>
      <c r="B9">
        <v>20.391546000000002</v>
      </c>
      <c r="C9">
        <v>20.172329999999999</v>
      </c>
      <c r="D9">
        <v>19.549994000000002</v>
      </c>
      <c r="E9">
        <v>19.914922000000001</v>
      </c>
      <c r="F9">
        <v>31.276906</v>
      </c>
      <c r="G9">
        <v>31.126306</v>
      </c>
      <c r="H9">
        <v>24.372921000000002</v>
      </c>
      <c r="I9">
        <v>21.518432000000001</v>
      </c>
      <c r="J9">
        <v>55.736317</v>
      </c>
      <c r="K9">
        <v>47.619548000000002</v>
      </c>
      <c r="L9">
        <v>299.41302300000001</v>
      </c>
      <c r="M9">
        <v>-622.49510199999997</v>
      </c>
      <c r="N9">
        <v>1.2816609999999999</v>
      </c>
      <c r="O9">
        <v>3.3119450000000001</v>
      </c>
      <c r="P9">
        <f t="shared" si="3"/>
        <v>2.1361016666666664E-5</v>
      </c>
      <c r="Q9" cm="1">
        <f t="array" ref="Q9">[1]!PropsSI("D","T",J9+273.15,"P",101325,"Water")</f>
        <v>985.3348881911005</v>
      </c>
      <c r="R9" cm="1">
        <f t="array" ref="R9">[1]!PropsSI("D","T",K9+273.15,"P",101325,"Water")</f>
        <v>989.0929603913653</v>
      </c>
      <c r="S9">
        <f t="shared" si="2"/>
        <v>987.21392429123284</v>
      </c>
      <c r="T9" cm="1">
        <f t="array" ref="T9">[1]!PropsSI("H","T",J9+273.15,"P",101325,"Water")</f>
        <v>233409.15598709803</v>
      </c>
      <c r="U9" cm="1">
        <f t="array" ref="U9">[1]!PropsSI("H","T",K9+273.15,"P",101325,"Water")</f>
        <v>199465.77141260021</v>
      </c>
      <c r="V9">
        <f t="shared" si="1"/>
        <v>715.7944650316598</v>
      </c>
    </row>
    <row r="10" spans="1:22" x14ac:dyDescent="0.2">
      <c r="A10">
        <v>44606.584157270503</v>
      </c>
      <c r="B10">
        <v>20.815486</v>
      </c>
      <c r="C10">
        <v>20.629937000000002</v>
      </c>
      <c r="D10">
        <v>19.880607000000001</v>
      </c>
      <c r="E10">
        <v>20.131398999999998</v>
      </c>
      <c r="F10">
        <v>31.723852999999998</v>
      </c>
      <c r="G10">
        <v>29.804455000000001</v>
      </c>
      <c r="H10">
        <v>24.673444</v>
      </c>
      <c r="I10">
        <v>21.811841000000001</v>
      </c>
      <c r="J10">
        <v>55.736795000000001</v>
      </c>
      <c r="K10">
        <v>47.638120999999998</v>
      </c>
      <c r="L10">
        <v>292.57907999999998</v>
      </c>
      <c r="M10">
        <v>-622.51346899999999</v>
      </c>
      <c r="N10">
        <v>1.2868409999999999</v>
      </c>
      <c r="O10">
        <v>3.3086030000000002</v>
      </c>
      <c r="P10">
        <f t="shared" si="3"/>
        <v>2.1447350000000001E-5</v>
      </c>
      <c r="Q10" cm="1">
        <f t="array" ref="Q10">[1]!PropsSI("D","T",J10+273.15,"P",101325,"Water")</f>
        <v>985.33465456922681</v>
      </c>
      <c r="R10" cm="1">
        <f t="array" ref="R10">[1]!PropsSI("D","T",K10+273.15,"P",101325,"Water")</f>
        <v>989.08485280216678</v>
      </c>
      <c r="S10">
        <f t="shared" si="2"/>
        <v>987.2097536856968</v>
      </c>
      <c r="T10" cm="1">
        <f t="array" ref="T10">[1]!PropsSI("H","T",J10+273.15,"P",101325,"Water")</f>
        <v>233411.15556964607</v>
      </c>
      <c r="U10" cm="1">
        <f t="array" ref="U10">[1]!PropsSI("H","T",K10+273.15,"P",101325,"Water")</f>
        <v>199543.41989875212</v>
      </c>
      <c r="V10">
        <f t="shared" si="1"/>
        <v>717.08268874464329</v>
      </c>
    </row>
    <row r="11" spans="1:22" x14ac:dyDescent="0.2">
      <c r="A11">
        <v>44606.584273590001</v>
      </c>
      <c r="B11">
        <v>20.455190999999999</v>
      </c>
      <c r="C11">
        <v>20.254493</v>
      </c>
      <c r="D11">
        <v>19.798815999999999</v>
      </c>
      <c r="E11">
        <v>19.836065999999999</v>
      </c>
      <c r="F11">
        <v>31.158812000000001</v>
      </c>
      <c r="G11">
        <v>30.197486999999999</v>
      </c>
      <c r="H11">
        <v>23.967178000000001</v>
      </c>
      <c r="I11">
        <v>21.654985</v>
      </c>
      <c r="J11">
        <v>55.736476000000003</v>
      </c>
      <c r="K11">
        <v>47.649075000000003</v>
      </c>
      <c r="L11">
        <v>285.01251999999999</v>
      </c>
      <c r="M11">
        <v>-622.50081599999999</v>
      </c>
      <c r="N11">
        <v>1.2876190000000001</v>
      </c>
      <c r="O11">
        <v>2.987603</v>
      </c>
      <c r="P11">
        <f t="shared" si="3"/>
        <v>2.1460316666666669E-5</v>
      </c>
      <c r="Q11" cm="1">
        <f t="array" ref="Q11">[1]!PropsSI("D","T",J11+273.15,"P",101325,"Water")</f>
        <v>985.33481048021167</v>
      </c>
      <c r="R11" cm="1">
        <f t="array" ref="R11">[1]!PropsSI("D","T",K11+273.15,"P",101325,"Water")</f>
        <v>989.0800700103224</v>
      </c>
      <c r="S11">
        <f t="shared" si="2"/>
        <v>987.20744024526698</v>
      </c>
      <c r="T11" cm="1">
        <f t="array" ref="T11">[1]!PropsSI("H","T",J11+273.15,"P",101325,"Water")</f>
        <v>233409.82112019038</v>
      </c>
      <c r="U11" cm="1">
        <f t="array" ref="U11">[1]!PropsSI("H","T",K11+273.15,"P",101325,"Water")</f>
        <v>199589.21552929367</v>
      </c>
      <c r="V11">
        <f t="shared" si="1"/>
        <v>716.51605438109482</v>
      </c>
    </row>
    <row r="12" spans="1:22" x14ac:dyDescent="0.2">
      <c r="A12">
        <v>44606.584389330703</v>
      </c>
      <c r="B12">
        <v>20.239277999999999</v>
      </c>
      <c r="C12">
        <v>20.212188000000001</v>
      </c>
      <c r="D12">
        <v>19.859604000000001</v>
      </c>
      <c r="E12">
        <v>19.735126999999999</v>
      </c>
      <c r="F12">
        <v>31.428243999999999</v>
      </c>
      <c r="G12">
        <v>29.003433000000001</v>
      </c>
      <c r="H12">
        <v>24.701422000000001</v>
      </c>
      <c r="I12">
        <v>22.305772000000001</v>
      </c>
      <c r="J12">
        <v>55.739182</v>
      </c>
      <c r="K12">
        <v>47.631135999999998</v>
      </c>
      <c r="L12">
        <v>297.052325</v>
      </c>
      <c r="M12">
        <v>-622.47673599999996</v>
      </c>
      <c r="N12">
        <v>1.290373</v>
      </c>
      <c r="O12">
        <v>1.4555979999999999</v>
      </c>
      <c r="P12">
        <f t="shared" si="3"/>
        <v>2.1506216666666668E-5</v>
      </c>
      <c r="Q12" cm="1">
        <f t="array" ref="Q12">[1]!PropsSI("D","T",J12+273.15,"P",101325,"Water")</f>
        <v>985.3334879050044</v>
      </c>
      <c r="R12" cm="1">
        <f t="array" ref="R12">[1]!PropsSI("D","T",K12+273.15,"P",101325,"Water")</f>
        <v>989.08790220618971</v>
      </c>
      <c r="S12">
        <f t="shared" si="2"/>
        <v>987.21069505559706</v>
      </c>
      <c r="T12" cm="1">
        <f t="array" ref="T12">[1]!PropsSI("H","T",J12+273.15,"P",101325,"Water")</f>
        <v>233421.14093401152</v>
      </c>
      <c r="U12" cm="1">
        <f t="array" ref="U12">[1]!PropsSI("H","T",K12+273.15,"P",101325,"Water")</f>
        <v>199514.21756970175</v>
      </c>
      <c r="V12">
        <f t="shared" si="1"/>
        <v>719.8835559137807</v>
      </c>
    </row>
    <row r="13" spans="1:22" x14ac:dyDescent="0.2">
      <c r="A13">
        <v>44606.584505650098</v>
      </c>
      <c r="B13">
        <v>20.431463000000001</v>
      </c>
      <c r="C13">
        <v>20.559231</v>
      </c>
      <c r="D13">
        <v>19.788284999999998</v>
      </c>
      <c r="E13">
        <v>19.887460999999998</v>
      </c>
      <c r="F13">
        <v>31.144881000000002</v>
      </c>
      <c r="G13">
        <v>28.953716</v>
      </c>
      <c r="H13">
        <v>24.331088999999999</v>
      </c>
      <c r="I13">
        <v>21.657042000000001</v>
      </c>
      <c r="J13">
        <v>55.740932000000001</v>
      </c>
      <c r="K13">
        <v>47.615895999999999</v>
      </c>
      <c r="L13">
        <v>284.80477500000001</v>
      </c>
      <c r="M13">
        <v>-622.50408100000004</v>
      </c>
      <c r="N13">
        <v>1.287685</v>
      </c>
      <c r="O13">
        <v>2.5321030000000002</v>
      </c>
      <c r="P13">
        <f t="shared" si="3"/>
        <v>2.1461416666666668E-5</v>
      </c>
      <c r="Q13" cm="1">
        <f t="array" ref="Q13">[1]!PropsSI("D","T",J13+273.15,"P",101325,"Water")</f>
        <v>985.33263255707004</v>
      </c>
      <c r="R13" cm="1">
        <f t="array" ref="R13">[1]!PropsSI("D","T",K13+273.15,"P",101325,"Water")</f>
        <v>989.09455430893956</v>
      </c>
      <c r="S13">
        <f t="shared" si="2"/>
        <v>987.2135934330048</v>
      </c>
      <c r="T13" cm="1">
        <f t="array" ref="T13">[1]!PropsSI("H","T",J13+273.15,"P",101325,"Water")</f>
        <v>233428.46158362861</v>
      </c>
      <c r="U13" cm="1">
        <f t="array" ref="U13">[1]!PropsSI("H","T",K13+273.15,"P",101325,"Water")</f>
        <v>199450.50343822665</v>
      </c>
      <c r="V13">
        <f t="shared" si="1"/>
        <v>719.89107627718931</v>
      </c>
    </row>
    <row r="14" spans="1:22" x14ac:dyDescent="0.2">
      <c r="A14">
        <v>44606.584621390903</v>
      </c>
      <c r="B14">
        <v>20.209541999999999</v>
      </c>
      <c r="C14">
        <v>20.021080000000001</v>
      </c>
      <c r="D14">
        <v>19.792038000000002</v>
      </c>
      <c r="E14">
        <v>19.789368</v>
      </c>
      <c r="F14">
        <v>31.433467</v>
      </c>
      <c r="G14">
        <v>29.459121</v>
      </c>
      <c r="H14">
        <v>24.433686999999999</v>
      </c>
      <c r="I14">
        <v>22.173304999999999</v>
      </c>
      <c r="J14">
        <v>55.743955999999997</v>
      </c>
      <c r="K14">
        <v>47.619548000000002</v>
      </c>
      <c r="L14">
        <v>296.31195400000001</v>
      </c>
      <c r="M14">
        <v>-622.51469299999997</v>
      </c>
      <c r="N14">
        <v>1.286894</v>
      </c>
      <c r="O14">
        <v>1.7110000000000001</v>
      </c>
      <c r="P14">
        <f t="shared" si="3"/>
        <v>2.1448233333333332E-5</v>
      </c>
      <c r="Q14" cm="1">
        <f t="array" ref="Q14">[1]!PropsSI("D","T",J14+273.15,"P",101325,"Water")</f>
        <v>985.3311544712916</v>
      </c>
      <c r="R14" cm="1">
        <f t="array" ref="R14">[1]!PropsSI("D","T",K14+273.15,"P",101325,"Water")</f>
        <v>989.0929603913653</v>
      </c>
      <c r="S14">
        <f t="shared" si="2"/>
        <v>987.2120574313285</v>
      </c>
      <c r="T14" cm="1">
        <f t="array" ref="T14">[1]!PropsSI("H","T",J14+273.15,"P",101325,"Water")</f>
        <v>233441.11166896878</v>
      </c>
      <c r="U14" cm="1">
        <f t="array" ref="U14">[1]!PropsSI("H","T",K14+273.15,"P",101325,"Water")</f>
        <v>199465.77141260021</v>
      </c>
      <c r="V14">
        <f t="shared" si="1"/>
        <v>719.39231065603894</v>
      </c>
    </row>
    <row r="15" spans="1:22" x14ac:dyDescent="0.2">
      <c r="A15">
        <v>46068.584737708334</v>
      </c>
      <c r="B15">
        <v>20.364985999999998</v>
      </c>
      <c r="C15">
        <v>20.310379000000001</v>
      </c>
      <c r="D15">
        <v>19.866083</v>
      </c>
      <c r="E15">
        <v>19.890232000000001</v>
      </c>
      <c r="F15">
        <v>31.377147000000001</v>
      </c>
      <c r="G15">
        <v>29.936591</v>
      </c>
      <c r="H15">
        <v>24.574235000000002</v>
      </c>
      <c r="I15">
        <v>21.953496000000001</v>
      </c>
      <c r="J15">
        <v>55.749366999999999</v>
      </c>
      <c r="K15">
        <v>47.624786</v>
      </c>
      <c r="L15">
        <v>288.83477699999997</v>
      </c>
      <c r="M15">
        <v>-622.5</v>
      </c>
      <c r="N15">
        <v>1.285423</v>
      </c>
      <c r="O15">
        <v>2.1896650000000002</v>
      </c>
      <c r="P15">
        <f t="shared" si="3"/>
        <v>2.1423716666666666E-5</v>
      </c>
      <c r="Q15" cm="1">
        <f t="array" ref="Q15">[1]!PropsSI("D","T",J15+273.15,"P",101325,"Water")</f>
        <v>985.32850951523744</v>
      </c>
      <c r="R15" cm="1">
        <f t="array" ref="R15">[1]!PropsSI("D","T",K15+273.15,"P",101325,"Water")</f>
        <v>989.09067410606167</v>
      </c>
      <c r="S15">
        <f t="shared" si="2"/>
        <v>987.2095918106495</v>
      </c>
      <c r="T15" cm="1">
        <f t="array" ref="T15">[1]!PropsSI("H","T",J15+273.15,"P",101325,"Water")</f>
        <v>233463.74713109172</v>
      </c>
      <c r="U15" cm="1">
        <f t="array" ref="U15">[1]!PropsSI("H","T",K15+273.15,"P",101325,"Water")</f>
        <v>199487.67000805002</v>
      </c>
      <c r="V15">
        <f t="shared" si="1"/>
        <v>718.58379027231069</v>
      </c>
    </row>
    <row r="16" spans="1:22" x14ac:dyDescent="0.2">
      <c r="A16">
        <v>46068.58485402778</v>
      </c>
      <c r="B16">
        <v>20.40767</v>
      </c>
      <c r="C16">
        <v>20.541675000000001</v>
      </c>
      <c r="D16">
        <v>19.943935</v>
      </c>
      <c r="E16">
        <v>19.913284000000001</v>
      </c>
      <c r="F16">
        <v>31.383800999999998</v>
      </c>
      <c r="G16">
        <v>29.961061000000001</v>
      </c>
      <c r="H16">
        <v>24.658871999999999</v>
      </c>
      <c r="I16">
        <v>22.286085</v>
      </c>
      <c r="J16">
        <v>55.747934999999998</v>
      </c>
      <c r="K16">
        <v>47.636851</v>
      </c>
      <c r="L16">
        <v>293.12068499999998</v>
      </c>
      <c r="M16">
        <v>-622.48938799999996</v>
      </c>
      <c r="N16">
        <v>1.287042</v>
      </c>
      <c r="O16">
        <v>2.2112690000000002</v>
      </c>
      <c r="P16">
        <f t="shared" si="3"/>
        <v>2.1450699999999998E-5</v>
      </c>
      <c r="Q16" cm="1">
        <f t="array" ref="Q16">[1]!PropsSI("D","T",J16+273.15,"P",101325,"Water")</f>
        <v>985.32920951009112</v>
      </c>
      <c r="R16" cm="1">
        <f t="array" ref="R16">[1]!PropsSI("D","T",K16+273.15,"P",101325,"Water")</f>
        <v>989.08540726372075</v>
      </c>
      <c r="S16">
        <f t="shared" si="2"/>
        <v>987.20730838690588</v>
      </c>
      <c r="T16" cm="1">
        <f t="array" ref="T16">[1]!PropsSI("H","T",J16+273.15,"P",101325,"Water")</f>
        <v>233457.75674343377</v>
      </c>
      <c r="U16" cm="1">
        <f t="array" ref="U16">[1]!PropsSI("H","T",K16+273.15,"P",101325,"Water")</f>
        <v>199538.11038350541</v>
      </c>
      <c r="V16">
        <f t="shared" si="1"/>
        <v>718.29219373177057</v>
      </c>
    </row>
    <row r="17" spans="1:22" x14ac:dyDescent="0.2">
      <c r="A17">
        <v>46068.584970347219</v>
      </c>
      <c r="B17">
        <v>20.258417000000001</v>
      </c>
      <c r="C17">
        <v>20.152221000000001</v>
      </c>
      <c r="D17">
        <v>19.906212</v>
      </c>
      <c r="E17">
        <v>19.908809000000002</v>
      </c>
      <c r="F17">
        <v>31.455651</v>
      </c>
      <c r="G17">
        <v>29.443342000000001</v>
      </c>
      <c r="H17">
        <v>24.449988000000001</v>
      </c>
      <c r="I17">
        <v>21.700559999999999</v>
      </c>
      <c r="J17">
        <v>55.746661000000003</v>
      </c>
      <c r="K17">
        <v>47.627803</v>
      </c>
      <c r="L17">
        <v>291.69871499999999</v>
      </c>
      <c r="M17">
        <v>-622.47591999999997</v>
      </c>
      <c r="N17">
        <v>1.284972</v>
      </c>
      <c r="O17">
        <v>1.9490050000000001</v>
      </c>
      <c r="P17">
        <f t="shared" si="3"/>
        <v>2.1416200000000003E-5</v>
      </c>
      <c r="Q17" cm="1">
        <f t="array" ref="Q17">[1]!PropsSI("D","T",J17+273.15,"P",101325,"Water")</f>
        <v>985.32983226022895</v>
      </c>
      <c r="R17" cm="1">
        <f t="array" ref="R17">[1]!PropsSI("D","T",K17+273.15,"P",101325,"Water")</f>
        <v>989.08935716015787</v>
      </c>
      <c r="S17">
        <f t="shared" si="2"/>
        <v>987.20959471019341</v>
      </c>
      <c r="T17" cm="1">
        <f t="array" ref="T17">[1]!PropsSI("H","T",J17+273.15,"P",101325,"Water")</f>
        <v>233452.42730705315</v>
      </c>
      <c r="U17" cm="1">
        <f t="array" ref="U17">[1]!PropsSI("H","T",K17+273.15,"P",101325,"Water")</f>
        <v>199500.2832341168</v>
      </c>
      <c r="V17">
        <f t="shared" si="1"/>
        <v>717.82567283612627</v>
      </c>
    </row>
    <row r="18" spans="1:22" x14ac:dyDescent="0.2">
      <c r="A18">
        <v>46068.585086666666</v>
      </c>
      <c r="B18">
        <v>20.368804000000001</v>
      </c>
      <c r="C18">
        <v>20.380797000000001</v>
      </c>
      <c r="D18">
        <v>19.960184999999999</v>
      </c>
      <c r="E18">
        <v>19.908685999999999</v>
      </c>
      <c r="F18">
        <v>31.311837000000001</v>
      </c>
      <c r="G18">
        <v>29.49288</v>
      </c>
      <c r="H18">
        <v>24.433271999999999</v>
      </c>
      <c r="I18">
        <v>22.311529</v>
      </c>
      <c r="J18">
        <v>55.745547000000002</v>
      </c>
      <c r="K18">
        <v>47.636533999999997</v>
      </c>
      <c r="L18">
        <v>299.60117700000001</v>
      </c>
      <c r="M18">
        <v>-622.49102100000005</v>
      </c>
      <c r="N18">
        <v>1.278891</v>
      </c>
      <c r="O18">
        <v>1.9002829999999999</v>
      </c>
      <c r="P18">
        <f t="shared" si="3"/>
        <v>2.1314850000000001E-5</v>
      </c>
      <c r="Q18" cm="1">
        <f t="array" ref="Q18">[1]!PropsSI("D","T",J18+273.15,"P",101325,"Water")</f>
        <v>985.33037679180086</v>
      </c>
      <c r="R18" cm="1">
        <f t="array" ref="R18">[1]!PropsSI("D","T",K18+273.15,"P",101325,"Water")</f>
        <v>989.08554565913937</v>
      </c>
      <c r="S18">
        <f t="shared" si="2"/>
        <v>987.20796122547017</v>
      </c>
      <c r="T18" cm="1">
        <f t="array" ref="T18">[1]!PropsSI("H","T",J18+273.15,"P",101325,"Water")</f>
        <v>233447.7671881243</v>
      </c>
      <c r="U18" cm="1">
        <f t="array" ref="U18">[1]!PropsSI("H","T",K18+273.15,"P",101325,"Water")</f>
        <v>199536.7850951225</v>
      </c>
      <c r="V18">
        <f t="shared" si="1"/>
        <v>713.56131514115975</v>
      </c>
    </row>
    <row r="19" spans="1:22" x14ac:dyDescent="0.2">
      <c r="A19">
        <v>46068.585202986113</v>
      </c>
      <c r="B19">
        <v>20.595265000000001</v>
      </c>
      <c r="C19">
        <v>20.628803000000001</v>
      </c>
      <c r="D19">
        <v>20.126256999999999</v>
      </c>
      <c r="E19">
        <v>20.217120999999999</v>
      </c>
      <c r="F19">
        <v>31.720248000000002</v>
      </c>
      <c r="G19">
        <v>29.127756999999999</v>
      </c>
      <c r="H19">
        <v>24.662410000000001</v>
      </c>
      <c r="I19">
        <v>22.501847999999999</v>
      </c>
      <c r="J19">
        <v>55.750321999999997</v>
      </c>
      <c r="K19">
        <v>47.643678000000001</v>
      </c>
      <c r="L19">
        <v>284.01828399999999</v>
      </c>
      <c r="M19">
        <v>-622.50979500000005</v>
      </c>
      <c r="N19">
        <v>1.2931349999999999</v>
      </c>
      <c r="O19">
        <v>2.2589100000000002</v>
      </c>
      <c r="P19">
        <f t="shared" si="3"/>
        <v>2.155225E-5</v>
      </c>
      <c r="Q19" cm="1">
        <f t="array" ref="Q19">[1]!PropsSI("D","T",J19+273.15,"P",101325,"Water")</f>
        <v>985.32804268205177</v>
      </c>
      <c r="R19" cm="1">
        <f t="array" ref="R19">[1]!PropsSI("D","T",K19+273.15,"P",101325,"Water")</f>
        <v>989.08242657735082</v>
      </c>
      <c r="S19">
        <f t="shared" si="2"/>
        <v>987.20523462970129</v>
      </c>
      <c r="T19" cm="1">
        <f t="array" ref="T19">[1]!PropsSI("H","T",J19+273.15,"P",101325,"Water")</f>
        <v>233467.74211765229</v>
      </c>
      <c r="U19" cm="1">
        <f t="array" ref="U19">[1]!PropsSI("H","T",K19+273.15,"P",101325,"Water")</f>
        <v>199566.65216819147</v>
      </c>
      <c r="V19">
        <f t="shared" si="1"/>
        <v>721.29633751500955</v>
      </c>
    </row>
    <row r="20" spans="1:22" x14ac:dyDescent="0.2">
      <c r="A20">
        <v>46068.585318726851</v>
      </c>
      <c r="B20">
        <v>20.408823000000002</v>
      </c>
      <c r="C20">
        <v>20.391228999999999</v>
      </c>
      <c r="D20">
        <v>20.095051000000002</v>
      </c>
      <c r="E20">
        <v>20.117540000000002</v>
      </c>
      <c r="F20">
        <v>31.288437999999999</v>
      </c>
      <c r="G20">
        <v>29.386482999999998</v>
      </c>
      <c r="H20">
        <v>24.751894</v>
      </c>
      <c r="I20">
        <v>22.351464</v>
      </c>
      <c r="J20">
        <v>55.750957999999997</v>
      </c>
      <c r="K20">
        <v>47.647170000000003</v>
      </c>
      <c r="L20">
        <v>299.155485</v>
      </c>
      <c r="M20">
        <v>-622.50326500000006</v>
      </c>
      <c r="N20">
        <v>1.293283</v>
      </c>
      <c r="O20">
        <v>2.4009839999999998</v>
      </c>
      <c r="P20">
        <f t="shared" si="3"/>
        <v>2.1554716666666665E-5</v>
      </c>
      <c r="Q20" cm="1">
        <f t="array" ref="Q20">[1]!PropsSI("D","T",J20+273.15,"P",101325,"Water")</f>
        <v>985.32773178272225</v>
      </c>
      <c r="R20" cm="1">
        <f t="array" ref="R20">[1]!PropsSI("D","T",K20+273.15,"P",101325,"Water")</f>
        <v>989.08090183935337</v>
      </c>
      <c r="S20">
        <f t="shared" si="2"/>
        <v>987.20431681103787</v>
      </c>
      <c r="T20" cm="1">
        <f t="array" ref="T20">[1]!PropsSI("H","T",J20+273.15,"P",101325,"Water")</f>
        <v>233470.40265343193</v>
      </c>
      <c r="U20" cm="1">
        <f t="array" ref="U20">[1]!PropsSI("H","T",K20+273.15,"P",101325,"Water")</f>
        <v>199581.25125151558</v>
      </c>
      <c r="V20">
        <f t="shared" si="1"/>
        <v>721.12418032385733</v>
      </c>
    </row>
    <row r="21" spans="1:22" x14ac:dyDescent="0.2">
      <c r="A21">
        <v>46068.585435046298</v>
      </c>
      <c r="B21">
        <v>20.081125</v>
      </c>
      <c r="C21">
        <v>20.019129</v>
      </c>
      <c r="D21">
        <v>19.958884999999999</v>
      </c>
      <c r="E21">
        <v>19.932677000000002</v>
      </c>
      <c r="F21">
        <v>31.353017000000001</v>
      </c>
      <c r="G21">
        <v>28.402446999999999</v>
      </c>
      <c r="H21">
        <v>24.561032999999998</v>
      </c>
      <c r="I21">
        <v>22.278568</v>
      </c>
      <c r="J21">
        <v>55.750639999999997</v>
      </c>
      <c r="K21">
        <v>47.633358999999999</v>
      </c>
      <c r="L21">
        <v>293.72065500000002</v>
      </c>
      <c r="M21">
        <v>-622.48530700000003</v>
      </c>
      <c r="N21">
        <v>1.2915449999999999</v>
      </c>
      <c r="O21">
        <v>1.6586179999999999</v>
      </c>
      <c r="P21">
        <f t="shared" si="3"/>
        <v>2.152575E-5</v>
      </c>
      <c r="Q21" cm="1">
        <f t="array" ref="Q21">[1]!PropsSI("D","T",J21+273.15,"P",101325,"Water")</f>
        <v>985.32788723270164</v>
      </c>
      <c r="R21" cm="1">
        <f t="array" ref="R21">[1]!PropsSI("D","T",K21+273.15,"P",101325,"Water")</f>
        <v>989.08693175870155</v>
      </c>
      <c r="S21">
        <f t="shared" si="2"/>
        <v>987.20740949570154</v>
      </c>
      <c r="T21" cm="1">
        <f t="array" ref="T21">[1]!PropsSI("H","T",J21+273.15,"P",101325,"Water")</f>
        <v>233469.07238550519</v>
      </c>
      <c r="U21" cm="1">
        <f t="array" ref="U21">[1]!PropsSI("H","T",K21+273.15,"P",101325,"Water")</f>
        <v>199523.51130892328</v>
      </c>
      <c r="V21">
        <f t="shared" si="1"/>
        <v>721.35606862466477</v>
      </c>
    </row>
    <row r="22" spans="1:22" x14ac:dyDescent="0.2">
      <c r="A22">
        <v>46068.585551365744</v>
      </c>
      <c r="B22">
        <v>20.511407999999999</v>
      </c>
      <c r="C22">
        <v>20.072479000000001</v>
      </c>
      <c r="D22">
        <v>20.180522</v>
      </c>
      <c r="E22">
        <v>20.051414000000001</v>
      </c>
      <c r="F22">
        <v>31.538408</v>
      </c>
      <c r="G22">
        <v>28.600746999999998</v>
      </c>
      <c r="H22">
        <v>24.553367000000001</v>
      </c>
      <c r="I22">
        <v>22.214054000000001</v>
      </c>
      <c r="J22">
        <v>55.753185999999999</v>
      </c>
      <c r="K22">
        <v>47.631613000000002</v>
      </c>
      <c r="L22">
        <v>281.85063700000001</v>
      </c>
      <c r="M22">
        <v>-622.51755000000003</v>
      </c>
      <c r="N22">
        <v>1.28287</v>
      </c>
      <c r="O22">
        <v>2.230254</v>
      </c>
      <c r="P22">
        <f t="shared" si="3"/>
        <v>2.1381166666666668E-5</v>
      </c>
      <c r="Q22" cm="1">
        <f t="array" ref="Q22">[1]!PropsSI("D","T",J22+273.15,"P",101325,"Water")</f>
        <v>985.32664263765457</v>
      </c>
      <c r="R22" cm="1">
        <f t="array" ref="R22">[1]!PropsSI("D","T",K22+273.15,"P",101325,"Water")</f>
        <v>989.08769397534513</v>
      </c>
      <c r="S22">
        <f t="shared" si="2"/>
        <v>987.20716830649985</v>
      </c>
      <c r="T22" cm="1">
        <f t="array" ref="T22">[1]!PropsSI("H","T",J22+273.15,"P",101325,"Water")</f>
        <v>233479.72289626667</v>
      </c>
      <c r="U22" cm="1">
        <f t="array" ref="U22">[1]!PropsSI("H","T",K22+273.15,"P",101325,"Water")</f>
        <v>199516.21177267455</v>
      </c>
      <c r="V22">
        <f t="shared" si="1"/>
        <v>716.88959989932289</v>
      </c>
    </row>
    <row r="23" spans="1:22" x14ac:dyDescent="0.2">
      <c r="A23">
        <v>46068.585667685184</v>
      </c>
      <c r="B23">
        <v>20.206216999999999</v>
      </c>
      <c r="C23">
        <v>19.96669</v>
      </c>
      <c r="D23">
        <v>20.141168</v>
      </c>
      <c r="E23">
        <v>19.965813000000001</v>
      </c>
      <c r="F23">
        <v>31.306978000000001</v>
      </c>
      <c r="G23">
        <v>29.321023</v>
      </c>
      <c r="H23">
        <v>24.619606999999998</v>
      </c>
      <c r="I23">
        <v>22.255071000000001</v>
      </c>
      <c r="J23">
        <v>55.751753999999998</v>
      </c>
      <c r="K23">
        <v>47.632089000000001</v>
      </c>
      <c r="L23">
        <v>298.77795300000002</v>
      </c>
      <c r="M23">
        <v>-622.51469299999997</v>
      </c>
      <c r="N23">
        <v>1.289652</v>
      </c>
      <c r="O23">
        <v>2.2654169999999998</v>
      </c>
      <c r="P23">
        <f t="shared" si="3"/>
        <v>2.1494200000000002E-5</v>
      </c>
      <c r="Q23" cm="1">
        <f t="array" ref="Q23">[1]!PropsSI("D","T",J23+273.15,"P",101325,"Water")</f>
        <v>985.32734266617706</v>
      </c>
      <c r="R23" cm="1">
        <f t="array" ref="R23">[1]!PropsSI("D","T",K23+273.15,"P",101325,"Water")</f>
        <v>989.08748617947856</v>
      </c>
      <c r="S23">
        <f t="shared" si="2"/>
        <v>987.20741442282781</v>
      </c>
      <c r="T23" cm="1">
        <f t="array" ref="T23">[1]!PropsSI("H","T",J23+273.15,"P",101325,"Water")</f>
        <v>233473.73250657853</v>
      </c>
      <c r="U23" cm="1">
        <f t="array" ref="U23">[1]!PropsSI("H","T",K23+273.15,"P",101325,"Water")</f>
        <v>199518.20179512392</v>
      </c>
      <c r="V23">
        <f t="shared" si="1"/>
        <v>720.51033841897731</v>
      </c>
    </row>
    <row r="24" spans="1:22" x14ac:dyDescent="0.2">
      <c r="A24">
        <v>46068.58578400463</v>
      </c>
      <c r="B24">
        <v>19.998723999999999</v>
      </c>
      <c r="C24">
        <v>19.815245999999998</v>
      </c>
      <c r="D24">
        <v>19.951953</v>
      </c>
      <c r="E24">
        <v>19.900998000000001</v>
      </c>
      <c r="F24">
        <v>31.002030999999999</v>
      </c>
      <c r="G24">
        <v>28.582374000000002</v>
      </c>
      <c r="H24">
        <v>24.434549000000001</v>
      </c>
      <c r="I24">
        <v>22.061692000000001</v>
      </c>
      <c r="J24">
        <v>55.753504999999997</v>
      </c>
      <c r="K24">
        <v>47.617007999999998</v>
      </c>
      <c r="L24">
        <v>299.73341499999998</v>
      </c>
      <c r="M24">
        <v>-622.48653100000001</v>
      </c>
      <c r="N24">
        <v>1.2857099999999999</v>
      </c>
      <c r="O24">
        <v>1.833223</v>
      </c>
      <c r="P24">
        <f t="shared" si="3"/>
        <v>2.14285E-5</v>
      </c>
      <c r="Q24" cm="1">
        <f t="array" ref="Q24">[1]!PropsSI("D","T",J24+273.15,"P",101325,"Water")</f>
        <v>985.3264866938573</v>
      </c>
      <c r="R24" cm="1">
        <f t="array" ref="R24">[1]!PropsSI("D","T",K24+273.15,"P",101325,"Water")</f>
        <v>989.09406898539771</v>
      </c>
      <c r="S24">
        <f t="shared" si="2"/>
        <v>987.21027783962745</v>
      </c>
      <c r="T24" cm="1">
        <f t="array" ref="T24">[1]!PropsSI("H","T",J24+273.15,"P",101325,"Water")</f>
        <v>233481.05734765859</v>
      </c>
      <c r="U24" cm="1">
        <f t="array" ref="U24">[1]!PropsSI("H","T",K24+273.15,"P",101325,"Water")</f>
        <v>199455.15239388982</v>
      </c>
      <c r="V24">
        <f t="shared" si="1"/>
        <v>719.79880958738318</v>
      </c>
    </row>
    <row r="25" spans="1:22" x14ac:dyDescent="0.2">
      <c r="A25">
        <v>46068.585899745369</v>
      </c>
      <c r="B25">
        <v>19.716632000000001</v>
      </c>
      <c r="C25">
        <v>19.763594999999999</v>
      </c>
      <c r="D25">
        <v>20.001781999999999</v>
      </c>
      <c r="E25">
        <v>19.801404999999999</v>
      </c>
      <c r="F25">
        <v>30.873408000000001</v>
      </c>
      <c r="G25">
        <v>28.689436000000001</v>
      </c>
      <c r="H25">
        <v>24.431698000000001</v>
      </c>
      <c r="I25">
        <v>22.430230999999999</v>
      </c>
      <c r="J25">
        <v>55.753982000000001</v>
      </c>
      <c r="K25">
        <v>47.596688</v>
      </c>
      <c r="L25">
        <v>285.776971</v>
      </c>
      <c r="M25">
        <v>-622.48449100000005</v>
      </c>
      <c r="N25">
        <v>1.2816650000000001</v>
      </c>
      <c r="O25">
        <v>2.300109</v>
      </c>
      <c r="P25">
        <f t="shared" si="3"/>
        <v>2.1361083333333334E-5</v>
      </c>
      <c r="Q25" cm="1">
        <f t="array" ref="Q25">[1]!PropsSI("D","T",J25+273.15,"P",101325,"Water")</f>
        <v>985.32625351020761</v>
      </c>
      <c r="R25" cm="1">
        <f t="array" ref="R25">[1]!PropsSI("D","T",K25+273.15,"P",101325,"Water")</f>
        <v>989.10293617048626</v>
      </c>
      <c r="S25">
        <f t="shared" si="2"/>
        <v>987.21459484034699</v>
      </c>
      <c r="T25" cm="1">
        <f t="array" ref="T25">[1]!PropsSI("H","T",J25+273.15,"P",101325,"Water")</f>
        <v>233483.0527500954</v>
      </c>
      <c r="U25" cm="1">
        <f t="array" ref="U25">[1]!PropsSI("H","T",K25+273.15,"P",101325,"Water")</f>
        <v>199370.20030076167</v>
      </c>
      <c r="V25">
        <f t="shared" si="1"/>
        <v>719.37091919139107</v>
      </c>
    </row>
    <row r="26" spans="1:22" x14ac:dyDescent="0.2">
      <c r="A26">
        <v>46068.586016064815</v>
      </c>
      <c r="B26">
        <v>19.804424000000001</v>
      </c>
      <c r="C26">
        <v>19.606331999999998</v>
      </c>
      <c r="D26">
        <v>19.945781</v>
      </c>
      <c r="E26">
        <v>19.823878000000001</v>
      </c>
      <c r="F26">
        <v>30.819986</v>
      </c>
      <c r="G26">
        <v>29.486037</v>
      </c>
      <c r="H26">
        <v>24.54964</v>
      </c>
      <c r="I26">
        <v>22.242314</v>
      </c>
      <c r="J26">
        <v>55.748730000000002</v>
      </c>
      <c r="K26">
        <v>47.573509999999999</v>
      </c>
      <c r="L26">
        <v>301.19293399999998</v>
      </c>
      <c r="M26">
        <v>-622.48285799999996</v>
      </c>
      <c r="N26">
        <v>1.2844519999999999</v>
      </c>
      <c r="O26">
        <v>2.232796</v>
      </c>
      <c r="P26">
        <f t="shared" si="3"/>
        <v>2.1407533333333331E-5</v>
      </c>
      <c r="Q26" cm="1">
        <f t="array" ref="Q26">[1]!PropsSI("D","T",J26+273.15,"P",101325,"Water")</f>
        <v>985.32882089719374</v>
      </c>
      <c r="R26" cm="1">
        <f t="array" ref="R26">[1]!PropsSI("D","T",K26+273.15,"P",101325,"Water")</f>
        <v>989.11304711962202</v>
      </c>
      <c r="S26">
        <f t="shared" si="2"/>
        <v>987.22093400840788</v>
      </c>
      <c r="T26" cm="1">
        <f t="array" ref="T26">[1]!PropsSI("H","T",J26+273.15,"P",101325,"Water")</f>
        <v>233461.08241245791</v>
      </c>
      <c r="U26" cm="1">
        <f t="array" ref="U26">[1]!PropsSI("H","T",K26+273.15,"P",101325,"Water")</f>
        <v>199273.29985132351</v>
      </c>
      <c r="V26">
        <f t="shared" si="1"/>
        <v>722.52340185749904</v>
      </c>
    </row>
    <row r="27" spans="1:22" x14ac:dyDescent="0.2">
      <c r="A27">
        <v>46068.586131805554</v>
      </c>
      <c r="B27">
        <v>19.857225</v>
      </c>
      <c r="C27">
        <v>19.733447999999999</v>
      </c>
      <c r="D27">
        <v>20.027601000000001</v>
      </c>
      <c r="E27">
        <v>19.954274999999999</v>
      </c>
      <c r="F27">
        <v>31.095779</v>
      </c>
      <c r="G27">
        <v>27.712675000000001</v>
      </c>
      <c r="H27">
        <v>24.546512</v>
      </c>
      <c r="I27">
        <v>21.943669</v>
      </c>
      <c r="J27">
        <v>55.747298000000001</v>
      </c>
      <c r="K27">
        <v>47.569223999999998</v>
      </c>
      <c r="L27">
        <v>297.000899</v>
      </c>
      <c r="M27">
        <v>-622.48122499999999</v>
      </c>
      <c r="N27">
        <v>1.2822960000000001</v>
      </c>
      <c r="O27">
        <v>2.8596349999999999</v>
      </c>
      <c r="P27">
        <f t="shared" si="3"/>
        <v>2.13716E-5</v>
      </c>
      <c r="Q27" cm="1">
        <f t="array" ref="Q27">[1]!PropsSI("D","T",J27+273.15,"P",101325,"Water")</f>
        <v>985.3295208863899</v>
      </c>
      <c r="R27" cm="1">
        <f t="array" ref="R27">[1]!PropsSI("D","T",K27+273.15,"P",101325,"Water")</f>
        <v>989.11491640602878</v>
      </c>
      <c r="S27">
        <f t="shared" si="2"/>
        <v>987.22221864620928</v>
      </c>
      <c r="T27" cm="1">
        <f t="array" ref="T27">[1]!PropsSI("H","T",J27+273.15,"P",101325,"Water")</f>
        <v>233455.09202517587</v>
      </c>
      <c r="U27" cm="1">
        <f t="array" ref="U27">[1]!PropsSI("H","T",K27+273.15,"P",101325,"Water")</f>
        <v>199255.38135116256</v>
      </c>
      <c r="V27">
        <f t="shared" si="1"/>
        <v>721.56322383661632</v>
      </c>
    </row>
    <row r="28" spans="1:22" x14ac:dyDescent="0.2">
      <c r="A28">
        <v>46068.586248125001</v>
      </c>
      <c r="B28">
        <v>19.959468000000001</v>
      </c>
      <c r="C28">
        <v>19.829736</v>
      </c>
      <c r="D28">
        <v>20.028887000000001</v>
      </c>
      <c r="E28">
        <v>19.959454000000001</v>
      </c>
      <c r="F28">
        <v>30.986675999999999</v>
      </c>
      <c r="G28">
        <v>28.959250999999998</v>
      </c>
      <c r="H28">
        <v>24.388774999999999</v>
      </c>
      <c r="I28">
        <v>22.172620999999999</v>
      </c>
      <c r="J28">
        <v>55.747934999999998</v>
      </c>
      <c r="K28">
        <v>47.579225000000001</v>
      </c>
      <c r="L28">
        <v>290.312254</v>
      </c>
      <c r="M28">
        <v>-622.51387699999998</v>
      </c>
      <c r="N28">
        <v>1.285312</v>
      </c>
      <c r="O28">
        <v>1.854026</v>
      </c>
      <c r="P28">
        <f t="shared" si="3"/>
        <v>2.1421866666666669E-5</v>
      </c>
      <c r="Q28" cm="1">
        <f t="array" ref="Q28">[1]!PropsSI("D","T",J28+273.15,"P",101325,"Water")</f>
        <v>985.32920951009112</v>
      </c>
      <c r="R28" cm="1">
        <f t="array" ref="R28">[1]!PropsSI("D","T",K28+273.15,"P",101325,"Water")</f>
        <v>989.11055439946301</v>
      </c>
      <c r="S28">
        <f t="shared" si="2"/>
        <v>987.21988195477707</v>
      </c>
      <c r="T28" cm="1">
        <f t="array" ref="T28">[1]!PropsSI("H","T",J28+273.15,"P",101325,"Water")</f>
        <v>233457.75674343377</v>
      </c>
      <c r="U28" cm="1">
        <f t="array" ref="U28">[1]!PropsSI("H","T",K28+273.15,"P",101325,"Water")</f>
        <v>199297.19258538409</v>
      </c>
      <c r="V28">
        <f t="shared" si="1"/>
        <v>722.43077688102846</v>
      </c>
    </row>
    <row r="29" spans="1:22" x14ac:dyDescent="0.2">
      <c r="A29">
        <v>46068.586364444447</v>
      </c>
      <c r="B29">
        <v>20.122800000000002</v>
      </c>
      <c r="C29">
        <v>19.871413</v>
      </c>
      <c r="D29">
        <v>20.162006000000002</v>
      </c>
      <c r="E29">
        <v>20.045953000000001</v>
      </c>
      <c r="F29">
        <v>31.220427000000001</v>
      </c>
      <c r="G29">
        <v>28.949780000000001</v>
      </c>
      <c r="H29">
        <v>24.882439000000002</v>
      </c>
      <c r="I29">
        <v>22.526339</v>
      </c>
      <c r="J29">
        <v>55.750957999999997</v>
      </c>
      <c r="K29">
        <v>47.593671000000001</v>
      </c>
      <c r="L29">
        <v>294.97447</v>
      </c>
      <c r="M29">
        <v>-622.49102100000005</v>
      </c>
      <c r="N29">
        <v>1.2859929999999999</v>
      </c>
      <c r="O29">
        <v>2.7059340000000001</v>
      </c>
      <c r="P29">
        <f t="shared" si="3"/>
        <v>2.1433216666666667E-5</v>
      </c>
      <c r="Q29" cm="1">
        <f t="array" ref="Q29">[1]!PropsSI("D","T",J29+273.15,"P",101325,"Water")</f>
        <v>985.32773178272225</v>
      </c>
      <c r="R29" cm="1">
        <f t="array" ref="R29">[1]!PropsSI("D","T",K29+273.15,"P",101325,"Water")</f>
        <v>989.1042524829694</v>
      </c>
      <c r="S29">
        <f t="shared" si="2"/>
        <v>987.21599213284583</v>
      </c>
      <c r="T29" cm="1">
        <f t="array" ref="T29">[1]!PropsSI("H","T",J29+273.15,"P",101325,"Water")</f>
        <v>233470.40265343193</v>
      </c>
      <c r="U29" cm="1">
        <f t="array" ref="U29">[1]!PropsSI("H","T",K29+273.15,"P",101325,"Water")</f>
        <v>199357.58709750953</v>
      </c>
      <c r="V29">
        <f t="shared" si="1"/>
        <v>721.80037322936585</v>
      </c>
    </row>
    <row r="30" spans="1:22" x14ac:dyDescent="0.2">
      <c r="A30">
        <v>46068.586480763886</v>
      </c>
      <c r="B30">
        <v>20.011776999999999</v>
      </c>
      <c r="C30">
        <v>19.842359999999999</v>
      </c>
      <c r="D30">
        <v>20.138541</v>
      </c>
      <c r="E30">
        <v>20.013304999999999</v>
      </c>
      <c r="F30">
        <v>31.174771</v>
      </c>
      <c r="G30">
        <v>29.523693999999999</v>
      </c>
      <c r="H30">
        <v>24.50639</v>
      </c>
      <c r="I30">
        <v>21.850389</v>
      </c>
      <c r="J30">
        <v>55.753504999999997</v>
      </c>
      <c r="K30">
        <v>47.605260000000001</v>
      </c>
      <c r="L30">
        <v>286.15735999999998</v>
      </c>
      <c r="M30">
        <v>-622.49877600000002</v>
      </c>
      <c r="N30">
        <v>1.2830140000000001</v>
      </c>
      <c r="O30">
        <v>1.952118</v>
      </c>
      <c r="P30">
        <f t="shared" si="3"/>
        <v>2.1383566666666666E-5</v>
      </c>
      <c r="Q30" cm="1">
        <f t="array" ref="Q30">[1]!PropsSI("D","T",J30+273.15,"P",101325,"Water")</f>
        <v>985.3264866938573</v>
      </c>
      <c r="R30" cm="1">
        <f t="array" ref="R30">[1]!PropsSI("D","T",K30+273.15,"P",101325,"Water")</f>
        <v>989.09919588472758</v>
      </c>
      <c r="S30">
        <f t="shared" si="2"/>
        <v>987.21284128929244</v>
      </c>
      <c r="T30" cm="1">
        <f t="array" ref="T30">[1]!PropsSI("H","T",J30+273.15,"P",101325,"Water")</f>
        <v>233481.05734765859</v>
      </c>
      <c r="U30" cm="1">
        <f t="array" ref="U30">[1]!PropsSI("H","T",K30+273.15,"P",101325,"Water")</f>
        <v>199406.03736249977</v>
      </c>
      <c r="V30">
        <f t="shared" si="1"/>
        <v>719.32815636034127</v>
      </c>
    </row>
    <row r="31" spans="1:22" x14ac:dyDescent="0.2">
      <c r="A31">
        <v>46068.586596504632</v>
      </c>
      <c r="B31">
        <v>20.086894999999998</v>
      </c>
      <c r="C31">
        <v>19.790275999999999</v>
      </c>
      <c r="D31">
        <v>19.998269000000001</v>
      </c>
      <c r="E31">
        <v>19.896286</v>
      </c>
      <c r="F31">
        <v>31.028032</v>
      </c>
      <c r="G31">
        <v>29.308138</v>
      </c>
      <c r="H31">
        <v>24.343167000000001</v>
      </c>
      <c r="I31">
        <v>22.282050000000002</v>
      </c>
      <c r="J31">
        <v>55.747298000000001</v>
      </c>
      <c r="K31">
        <v>47.607323999999998</v>
      </c>
      <c r="L31">
        <v>303.27323799999999</v>
      </c>
      <c r="M31">
        <v>-622.50530600000002</v>
      </c>
      <c r="N31">
        <v>1.291012</v>
      </c>
      <c r="O31">
        <v>1.7402280000000001</v>
      </c>
      <c r="P31">
        <f t="shared" si="3"/>
        <v>2.1516866666666667E-5</v>
      </c>
      <c r="Q31" cm="1">
        <f t="array" ref="Q31">[1]!PropsSI("D","T",J31+273.15,"P",101325,"Water")</f>
        <v>985.3295208863899</v>
      </c>
      <c r="R31" cm="1">
        <f t="array" ref="R31">[1]!PropsSI("D","T",K31+273.15,"P",101325,"Water")</f>
        <v>989.09829520986921</v>
      </c>
      <c r="S31">
        <f t="shared" si="2"/>
        <v>987.2139080481295</v>
      </c>
      <c r="T31" cm="1">
        <f t="array" ref="T31">[1]!PropsSI("H","T",J31+273.15,"P",101325,"Water")</f>
        <v>233455.09202517587</v>
      </c>
      <c r="U31" cm="1">
        <f t="array" ref="U31">[1]!PropsSI("H","T",K31+273.15,"P",101325,"Water")</f>
        <v>199414.66635435951</v>
      </c>
      <c r="V31">
        <f t="shared" si="1"/>
        <v>723.07821304663264</v>
      </c>
    </row>
    <row r="32" spans="1:22" x14ac:dyDescent="0.2">
      <c r="A32">
        <v>46068.586712824072</v>
      </c>
      <c r="B32">
        <v>19.850639999999999</v>
      </c>
      <c r="C32">
        <v>19.666986000000001</v>
      </c>
      <c r="D32">
        <v>19.936799000000001</v>
      </c>
      <c r="E32">
        <v>19.750406999999999</v>
      </c>
      <c r="F32">
        <v>30.797345</v>
      </c>
      <c r="G32">
        <v>29.033168</v>
      </c>
      <c r="H32">
        <v>24.428955999999999</v>
      </c>
      <c r="I32">
        <v>22.252853000000002</v>
      </c>
      <c r="J32">
        <v>55.743955999999997</v>
      </c>
      <c r="K32">
        <v>47.592877999999999</v>
      </c>
      <c r="L32">
        <v>283.25423999999998</v>
      </c>
      <c r="M32">
        <v>-622.53061100000002</v>
      </c>
      <c r="N32">
        <v>1.284583</v>
      </c>
      <c r="O32">
        <v>2.294225</v>
      </c>
      <c r="P32">
        <f t="shared" ref="P32:P45" si="4" xml:space="preserve"> N32*0.001/60</f>
        <v>2.1409716666666666E-5</v>
      </c>
      <c r="Q32" cm="1">
        <f t="array" ref="Q32">[1]!PropsSI("D","T",J32+273.15,"P",101325,"Water")</f>
        <v>985.3311544712916</v>
      </c>
      <c r="R32" cm="1">
        <f t="array" ref="R32">[1]!PropsSI("D","T",K32+273.15,"P",101325,"Water")</f>
        <v>989.10459845745174</v>
      </c>
      <c r="S32">
        <f t="shared" ref="S32:S45" si="5">(Q32+R32)/2</f>
        <v>987.21787646437167</v>
      </c>
      <c r="T32" cm="1">
        <f t="array" ref="T32">[1]!PropsSI("H","T",J32+273.15,"P",101325,"Water")</f>
        <v>233441.11166896878</v>
      </c>
      <c r="U32" cm="1">
        <f t="array" ref="U32">[1]!PropsSI("H","T",K32+273.15,"P",101325,"Water")</f>
        <v>199354.27179447745</v>
      </c>
      <c r="V32">
        <f t="shared" ref="V32:V45" si="6">S32*P32*(T32-U32)</f>
        <v>720.46132316006936</v>
      </c>
    </row>
    <row r="33" spans="1:22" x14ac:dyDescent="0.2">
      <c r="A33">
        <v>46068.586829143518</v>
      </c>
      <c r="B33">
        <v>19.863012000000001</v>
      </c>
      <c r="C33">
        <v>19.736398999999999</v>
      </c>
      <c r="D33">
        <v>19.900770000000001</v>
      </c>
      <c r="E33">
        <v>19.804373999999999</v>
      </c>
      <c r="F33">
        <v>31.166782000000001</v>
      </c>
      <c r="G33">
        <v>28.056180000000001</v>
      </c>
      <c r="H33">
        <v>24.469474999999999</v>
      </c>
      <c r="I33">
        <v>21.989985999999998</v>
      </c>
      <c r="J33">
        <v>55.739977000000003</v>
      </c>
      <c r="K33">
        <v>47.572716</v>
      </c>
      <c r="L33">
        <v>298.08043700000002</v>
      </c>
      <c r="M33">
        <v>-622.48897999999997</v>
      </c>
      <c r="N33">
        <v>1.280645</v>
      </c>
      <c r="O33">
        <v>1.9748650000000001</v>
      </c>
      <c r="P33">
        <f t="shared" si="4"/>
        <v>2.1344083333333331E-5</v>
      </c>
      <c r="Q33" cm="1">
        <f t="array" ref="Q33">[1]!PropsSI("D","T",J33+273.15,"P",101325,"Water")</f>
        <v>985.33309933500345</v>
      </c>
      <c r="R33" cm="1">
        <f t="array" ref="R33">[1]!PropsSI("D","T",K33+273.15,"P",101325,"Water")</f>
        <v>989.11339342235215</v>
      </c>
      <c r="S33">
        <f t="shared" si="5"/>
        <v>987.2232463786778</v>
      </c>
      <c r="T33" cm="1">
        <f t="array" ref="T33">[1]!PropsSI("H","T",J33+273.15,"P",101325,"Water")</f>
        <v>233424.46660039967</v>
      </c>
      <c r="U33" cm="1">
        <f t="array" ref="U33">[1]!PropsSI("H","T",K33+273.15,"P",101325,"Water")</f>
        <v>199269.9803715233</v>
      </c>
      <c r="V33">
        <f t="shared" si="6"/>
        <v>719.68199543451226</v>
      </c>
    </row>
    <row r="34" spans="1:22" x14ac:dyDescent="0.2">
      <c r="A34">
        <v>46068.586944884257</v>
      </c>
      <c r="B34">
        <v>19.893516000000002</v>
      </c>
      <c r="C34">
        <v>19.751321000000001</v>
      </c>
      <c r="D34">
        <v>20.004836999999998</v>
      </c>
      <c r="E34">
        <v>19.865788999999999</v>
      </c>
      <c r="F34">
        <v>31.293977000000002</v>
      </c>
      <c r="G34">
        <v>29.136409</v>
      </c>
      <c r="H34">
        <v>24.268094999999999</v>
      </c>
      <c r="I34">
        <v>22.568415000000002</v>
      </c>
      <c r="J34">
        <v>55.744433000000001</v>
      </c>
      <c r="K34">
        <v>47.575256000000003</v>
      </c>
      <c r="L34">
        <v>297.11395499999998</v>
      </c>
      <c r="M34">
        <v>-622.51469299999997</v>
      </c>
      <c r="N34">
        <v>1.2830870000000001</v>
      </c>
      <c r="O34">
        <v>0.68196999999999997</v>
      </c>
      <c r="P34">
        <f t="shared" si="4"/>
        <v>2.1384783333333332E-5</v>
      </c>
      <c r="Q34" cm="1">
        <f t="array" ref="Q34">[1]!PropsSI("D","T",J34+273.15,"P",101325,"Water")</f>
        <v>985.33092131573346</v>
      </c>
      <c r="R34" cm="1">
        <f t="array" ref="R34">[1]!PropsSI("D","T",K34+273.15,"P",101325,"Water")</f>
        <v>989.11228558757807</v>
      </c>
      <c r="S34">
        <f t="shared" si="5"/>
        <v>987.22160345165571</v>
      </c>
      <c r="T34" cm="1">
        <f t="array" ref="T34">[1]!PropsSI("H","T",J34+273.15,"P",101325,"Water")</f>
        <v>233443.10706966728</v>
      </c>
      <c r="U34" cm="1">
        <f t="array" ref="U34">[1]!PropsSI("H","T",K34+273.15,"P",101325,"Water")</f>
        <v>199280.59936293098</v>
      </c>
      <c r="V34">
        <f t="shared" si="6"/>
        <v>721.22246783702133</v>
      </c>
    </row>
    <row r="35" spans="1:22" x14ac:dyDescent="0.2">
      <c r="A35">
        <v>46068.587060625003</v>
      </c>
      <c r="B35">
        <v>20.005953999999999</v>
      </c>
      <c r="C35">
        <v>19.788271999999999</v>
      </c>
      <c r="D35">
        <v>19.927776999999999</v>
      </c>
      <c r="E35">
        <v>19.775490000000001</v>
      </c>
      <c r="F35">
        <v>31.105322000000001</v>
      </c>
      <c r="G35">
        <v>29.122983999999999</v>
      </c>
      <c r="H35">
        <v>24.523474</v>
      </c>
      <c r="I35">
        <v>22.127071000000001</v>
      </c>
      <c r="J35">
        <v>55.746502</v>
      </c>
      <c r="K35">
        <v>47.584145999999997</v>
      </c>
      <c r="L35">
        <v>283.50851299999999</v>
      </c>
      <c r="M35">
        <v>-622.49795900000004</v>
      </c>
      <c r="N35">
        <v>1.2882670000000001</v>
      </c>
      <c r="O35">
        <v>2.4712450000000001</v>
      </c>
      <c r="P35">
        <f t="shared" si="4"/>
        <v>2.1471116666666669E-5</v>
      </c>
      <c r="Q35" cm="1">
        <f t="array" ref="Q35">[1]!PropsSI("D","T",J35+273.15,"P",101325,"Water")</f>
        <v>985.32990998108153</v>
      </c>
      <c r="R35" cm="1">
        <f t="array" ref="R35">[1]!PropsSI("D","T",K35+273.15,"P",101325,"Water")</f>
        <v>989.10840782283412</v>
      </c>
      <c r="S35">
        <f t="shared" si="5"/>
        <v>987.21915890195783</v>
      </c>
      <c r="T35" cm="1">
        <f t="array" ref="T35">[1]!PropsSI("H","T",J35+273.15,"P",101325,"Water")</f>
        <v>233451.76217335148</v>
      </c>
      <c r="U35" cm="1">
        <f t="array" ref="U35">[1]!PropsSI("H","T",K35+273.15,"P",101325,"Water")</f>
        <v>199317.76584520299</v>
      </c>
      <c r="V35">
        <f t="shared" si="6"/>
        <v>723.52800270152898</v>
      </c>
    </row>
    <row r="36" spans="1:22" x14ac:dyDescent="0.2">
      <c r="A36">
        <v>46068.587176365741</v>
      </c>
      <c r="B36">
        <v>20.003225</v>
      </c>
      <c r="C36">
        <v>19.829001000000002</v>
      </c>
      <c r="D36">
        <v>20.060421999999999</v>
      </c>
      <c r="E36">
        <v>19.862670999999999</v>
      </c>
      <c r="F36">
        <v>31.475677999999998</v>
      </c>
      <c r="G36">
        <v>29.415375000000001</v>
      </c>
      <c r="H36">
        <v>24.393806999999999</v>
      </c>
      <c r="I36">
        <v>22.209447000000001</v>
      </c>
      <c r="J36">
        <v>55.748730000000002</v>
      </c>
      <c r="K36">
        <v>47.593513000000002</v>
      </c>
      <c r="L36">
        <v>295.58994899999999</v>
      </c>
      <c r="M36">
        <v>-622.50204099999996</v>
      </c>
      <c r="N36">
        <v>1.286181</v>
      </c>
      <c r="O36">
        <v>2.7237369999999999</v>
      </c>
      <c r="P36">
        <f t="shared" si="4"/>
        <v>2.143635E-5</v>
      </c>
      <c r="Q36" cm="1">
        <f t="array" ref="Q36">[1]!PropsSI("D","T",J36+273.15,"P",101325,"Water")</f>
        <v>985.32882089719374</v>
      </c>
      <c r="R36" cm="1">
        <f t="array" ref="R36">[1]!PropsSI("D","T",K36+273.15,"P",101325,"Water")</f>
        <v>989.10432141644753</v>
      </c>
      <c r="S36">
        <f t="shared" si="5"/>
        <v>987.21657115682069</v>
      </c>
      <c r="T36" cm="1">
        <f t="array" ref="T36">[1]!PropsSI("H","T",J36+273.15,"P",101325,"Water")</f>
        <v>233461.08241245791</v>
      </c>
      <c r="U36" cm="1">
        <f t="array" ref="U36">[1]!PropsSI("H","T",K36+273.15,"P",101325,"Water")</f>
        <v>199356.92654522526</v>
      </c>
      <c r="V36">
        <f t="shared" si="6"/>
        <v>721.72305792053396</v>
      </c>
    </row>
    <row r="37" spans="1:22" x14ac:dyDescent="0.2">
      <c r="A37">
        <v>46068.587292685188</v>
      </c>
      <c r="B37">
        <v>20.059968999999999</v>
      </c>
      <c r="C37">
        <v>19.789584000000001</v>
      </c>
      <c r="D37">
        <v>20.102509000000001</v>
      </c>
      <c r="E37">
        <v>19.925934999999999</v>
      </c>
      <c r="F37">
        <v>31.067547999999999</v>
      </c>
      <c r="G37">
        <v>30.025829000000002</v>
      </c>
      <c r="H37">
        <v>24.822765</v>
      </c>
      <c r="I37">
        <v>22.146491000000001</v>
      </c>
      <c r="J37">
        <v>55.751435999999998</v>
      </c>
      <c r="K37">
        <v>47.596845999999999</v>
      </c>
      <c r="L37">
        <v>320.92296700000003</v>
      </c>
      <c r="M37">
        <v>-622.49877600000002</v>
      </c>
      <c r="N37">
        <v>1.285792</v>
      </c>
      <c r="O37">
        <v>2.0460029999999998</v>
      </c>
      <c r="P37">
        <f t="shared" si="4"/>
        <v>2.1429866666666666E-5</v>
      </c>
      <c r="Q37" cm="1">
        <f t="array" ref="Q37">[1]!PropsSI("D","T",J37+273.15,"P",101325,"Water")</f>
        <v>985.32749811773544</v>
      </c>
      <c r="R37" cm="1">
        <f t="array" ref="R37">[1]!PropsSI("D","T",K37+273.15,"P",101325,"Water")</f>
        <v>989.10286723361241</v>
      </c>
      <c r="S37">
        <f t="shared" si="5"/>
        <v>987.21518267567399</v>
      </c>
      <c r="T37" cm="1">
        <f t="array" ref="T37">[1]!PropsSI("H","T",J37+273.15,"P",101325,"Water")</f>
        <v>233472.40223858942</v>
      </c>
      <c r="U37" cm="1">
        <f t="array" ref="U37">[1]!PropsSI("H","T",K37+273.15,"P",101325,"Water")</f>
        <v>199370.86085312313</v>
      </c>
      <c r="V37">
        <f t="shared" si="6"/>
        <v>721.44844938022527</v>
      </c>
    </row>
    <row r="38" spans="1:22" x14ac:dyDescent="0.2">
      <c r="A38">
        <v>44606.587408427898</v>
      </c>
      <c r="B38">
        <v>19.963207000000001</v>
      </c>
      <c r="C38">
        <v>19.834371999999998</v>
      </c>
      <c r="D38">
        <v>20.112683000000001</v>
      </c>
      <c r="E38">
        <v>20.004712999999999</v>
      </c>
      <c r="F38">
        <v>30.937161</v>
      </c>
      <c r="G38">
        <v>30.302779999999998</v>
      </c>
      <c r="H38">
        <v>24.677738999999999</v>
      </c>
      <c r="I38">
        <v>22.15192</v>
      </c>
      <c r="J38">
        <v>55.746184</v>
      </c>
      <c r="K38">
        <v>47.603513999999997</v>
      </c>
      <c r="L38">
        <v>279.97032300000001</v>
      </c>
      <c r="M38">
        <v>-622.49632699999995</v>
      </c>
      <c r="N38">
        <v>1.2836529999999999</v>
      </c>
      <c r="O38">
        <v>1.9650540000000001</v>
      </c>
      <c r="P38">
        <f t="shared" si="4"/>
        <v>2.1394216666666666E-5</v>
      </c>
      <c r="Q38" cm="1">
        <f t="array" ref="Q38">[1]!PropsSI("D","T",J38+273.15,"P",101325,"Water")</f>
        <v>985.33006542234796</v>
      </c>
      <c r="R38" cm="1">
        <f t="array" ref="R38">[1]!PropsSI("D","T",K38+273.15,"P",101325,"Water")</f>
        <v>989.09995777036761</v>
      </c>
      <c r="S38">
        <f t="shared" si="5"/>
        <v>987.21501159635773</v>
      </c>
      <c r="T38" cm="1">
        <f t="array" ref="T38">[1]!PropsSI("H","T",J38+273.15,"P",101325,"Water")</f>
        <v>233450.43190597027</v>
      </c>
      <c r="U38" cm="1">
        <f t="array" ref="U38">[1]!PropsSI("H","T",K38+273.15,"P",101325,"Water")</f>
        <v>199398.73783821898</v>
      </c>
      <c r="V38">
        <f t="shared" si="6"/>
        <v>719.19533753475275</v>
      </c>
    </row>
    <row r="39" spans="1:22" x14ac:dyDescent="0.2">
      <c r="A39">
        <v>44606.587524168703</v>
      </c>
      <c r="B39">
        <v>19.880552000000002</v>
      </c>
      <c r="C39">
        <v>19.79514</v>
      </c>
      <c r="D39">
        <v>20.014970999999999</v>
      </c>
      <c r="E39">
        <v>19.900639000000002</v>
      </c>
      <c r="F39">
        <v>31.008261999999998</v>
      </c>
      <c r="G39">
        <v>29.002791999999999</v>
      </c>
      <c r="H39">
        <v>24.414370000000002</v>
      </c>
      <c r="I39">
        <v>22.537897999999998</v>
      </c>
      <c r="J39">
        <v>55.746343000000003</v>
      </c>
      <c r="K39">
        <v>47.603037999999998</v>
      </c>
      <c r="L39">
        <v>286.28429299999999</v>
      </c>
      <c r="M39">
        <v>-622.48326599999996</v>
      </c>
      <c r="N39">
        <v>1.2902340000000001</v>
      </c>
      <c r="O39">
        <v>2.3568750000000001</v>
      </c>
      <c r="P39">
        <f t="shared" si="4"/>
        <v>2.1503900000000003E-5</v>
      </c>
      <c r="Q39" cm="1">
        <f t="array" ref="Q39">[1]!PropsSI("D","T",J39+273.15,"P",101325,"Water")</f>
        <v>985.3299877017995</v>
      </c>
      <c r="R39" cm="1">
        <f t="array" ref="R39">[1]!PropsSI("D","T",K39+273.15,"P",101325,"Water")</f>
        <v>989.10016547442422</v>
      </c>
      <c r="S39">
        <f t="shared" si="5"/>
        <v>987.21507658811186</v>
      </c>
      <c r="T39" cm="1">
        <f t="array" ref="T39">[1]!PropsSI("H","T",J39+273.15,"P",101325,"Water")</f>
        <v>233451.09703963765</v>
      </c>
      <c r="U39" cm="1">
        <f t="array" ref="U39">[1]!PropsSI("H","T",K39+273.15,"P",101325,"Water")</f>
        <v>199396.74781914387</v>
      </c>
      <c r="V39">
        <f t="shared" si="6"/>
        <v>722.93890390936178</v>
      </c>
    </row>
    <row r="40" spans="1:22" x14ac:dyDescent="0.2">
      <c r="A40">
        <v>44606.587640488098</v>
      </c>
      <c r="B40">
        <v>19.880944</v>
      </c>
      <c r="C40">
        <v>19.85708</v>
      </c>
      <c r="D40">
        <v>20.265366</v>
      </c>
      <c r="E40">
        <v>20.006498000000001</v>
      </c>
      <c r="F40">
        <v>31.068819000000001</v>
      </c>
      <c r="G40">
        <v>29.777180999999999</v>
      </c>
      <c r="H40">
        <v>24.63045</v>
      </c>
      <c r="I40">
        <v>22.722549999999998</v>
      </c>
      <c r="J40">
        <v>55.746343000000003</v>
      </c>
      <c r="K40">
        <v>47.601291000000003</v>
      </c>
      <c r="L40">
        <v>297.42944899999998</v>
      </c>
      <c r="M40">
        <v>-622.50693799999999</v>
      </c>
      <c r="N40">
        <v>1.2865660000000001</v>
      </c>
      <c r="O40">
        <v>2.0079180000000001</v>
      </c>
      <c r="P40">
        <f t="shared" si="4"/>
        <v>2.1442766666666667E-5</v>
      </c>
      <c r="Q40" cm="1">
        <f t="array" ref="Q40">[1]!PropsSI("D","T",J40+273.15,"P",101325,"Water")</f>
        <v>985.3299877017995</v>
      </c>
      <c r="R40" cm="1">
        <f t="array" ref="R40">[1]!PropsSI("D","T",K40+273.15,"P",101325,"Water")</f>
        <v>989.10092777024659</v>
      </c>
      <c r="S40">
        <f t="shared" si="5"/>
        <v>987.21545773602304</v>
      </c>
      <c r="T40" cm="1">
        <f t="array" ref="T40">[1]!PropsSI("H","T",J40+273.15,"P",101325,"Water")</f>
        <v>233451.09703963765</v>
      </c>
      <c r="U40" cm="1">
        <f t="array" ref="U40">[1]!PropsSI("H","T",K40+273.15,"P",101325,"Water")</f>
        <v>199389.4441150573</v>
      </c>
      <c r="V40">
        <f t="shared" si="6"/>
        <v>721.03855213127292</v>
      </c>
    </row>
    <row r="41" spans="1:22" x14ac:dyDescent="0.2">
      <c r="A41">
        <v>44606.587756807603</v>
      </c>
      <c r="B41">
        <v>19.656419</v>
      </c>
      <c r="C41">
        <v>19.765620999999999</v>
      </c>
      <c r="D41">
        <v>20.014951</v>
      </c>
      <c r="E41">
        <v>19.910041</v>
      </c>
      <c r="F41">
        <v>30.853812999999999</v>
      </c>
      <c r="G41">
        <v>29.293980000000001</v>
      </c>
      <c r="H41">
        <v>24.491323000000001</v>
      </c>
      <c r="I41">
        <v>21.354876999999998</v>
      </c>
      <c r="J41">
        <v>55.751435999999998</v>
      </c>
      <c r="K41">
        <v>47.597005000000003</v>
      </c>
      <c r="L41">
        <v>303.45526999999998</v>
      </c>
      <c r="M41">
        <v>-622.50489800000003</v>
      </c>
      <c r="N41">
        <v>1.2838860000000001</v>
      </c>
      <c r="O41">
        <v>2.1636519999999999</v>
      </c>
      <c r="P41">
        <f t="shared" si="4"/>
        <v>2.1398100000000001E-5</v>
      </c>
      <c r="Q41" cm="1">
        <f t="array" ref="Q41">[1]!PropsSI("D","T",J41+273.15,"P",101325,"Water")</f>
        <v>985.32749811773544</v>
      </c>
      <c r="R41" cm="1">
        <f t="array" ref="R41">[1]!PropsSI("D","T",K41+273.15,"P",101325,"Water")</f>
        <v>989.10279786027445</v>
      </c>
      <c r="S41">
        <f t="shared" si="5"/>
        <v>987.21514798900489</v>
      </c>
      <c r="T41" cm="1">
        <f t="array" ref="T41">[1]!PropsSI("H","T",J41+273.15,"P",101325,"Water")</f>
        <v>233472.40223858942</v>
      </c>
      <c r="U41" cm="1">
        <f t="array" ref="U41">[1]!PropsSI("H","T",K41+273.15,"P",101325,"Water")</f>
        <v>199371.52558613173</v>
      </c>
      <c r="V41">
        <f t="shared" si="6"/>
        <v>720.36493929384869</v>
      </c>
    </row>
    <row r="42" spans="1:22" x14ac:dyDescent="0.2">
      <c r="A42">
        <v>46068.587873124998</v>
      </c>
      <c r="B42">
        <v>19.914586</v>
      </c>
      <c r="C42">
        <v>19.850724</v>
      </c>
      <c r="D42">
        <v>20.112777000000001</v>
      </c>
      <c r="E42">
        <v>19.935638999999998</v>
      </c>
      <c r="F42">
        <v>31.285114</v>
      </c>
      <c r="G42">
        <v>29.422557000000001</v>
      </c>
      <c r="H42">
        <v>24.617462</v>
      </c>
      <c r="I42">
        <v>22.348458000000001</v>
      </c>
      <c r="J42">
        <v>55.748730000000002</v>
      </c>
      <c r="K42">
        <v>47.587955999999998</v>
      </c>
      <c r="L42">
        <v>299.53097600000001</v>
      </c>
      <c r="M42">
        <v>-622.48693900000001</v>
      </c>
      <c r="N42">
        <v>1.2844599999999999</v>
      </c>
      <c r="O42">
        <v>2.1885469999999998</v>
      </c>
      <c r="P42">
        <f t="shared" si="4"/>
        <v>2.1407666666666665E-5</v>
      </c>
      <c r="Q42" cm="1">
        <f t="array" ref="Q42">[1]!PropsSI("D","T",J42+273.15,"P",101325,"Water")</f>
        <v>985.32882089719374</v>
      </c>
      <c r="R42" cm="1">
        <f t="array" ref="R42">[1]!PropsSI("D","T",K42+273.15,"P",101325,"Water")</f>
        <v>989.10674576039071</v>
      </c>
      <c r="S42">
        <f t="shared" si="5"/>
        <v>987.21778332879217</v>
      </c>
      <c r="T42" cm="1">
        <f t="array" ref="T42">[1]!PropsSI("H","T",J42+273.15,"P",101325,"Water")</f>
        <v>233461.08241245791</v>
      </c>
      <c r="U42" cm="1">
        <f t="array" ref="U42">[1]!PropsSI("H","T",K42+273.15,"P",101325,"Water")</f>
        <v>199333.69434345135</v>
      </c>
      <c r="V42">
        <f t="shared" si="6"/>
        <v>721.24921709319176</v>
      </c>
    </row>
    <row r="43" spans="1:22" x14ac:dyDescent="0.2">
      <c r="A43">
        <v>46068.587988865744</v>
      </c>
      <c r="B43">
        <v>20.034662999999998</v>
      </c>
      <c r="C43">
        <v>19.82836</v>
      </c>
      <c r="D43">
        <v>20.013351</v>
      </c>
      <c r="E43">
        <v>19.887775000000001</v>
      </c>
      <c r="F43">
        <v>31.223068999999999</v>
      </c>
      <c r="G43">
        <v>29.825607999999999</v>
      </c>
      <c r="H43">
        <v>24.371738000000001</v>
      </c>
      <c r="I43">
        <v>22.346249</v>
      </c>
      <c r="J43">
        <v>55.748252999999998</v>
      </c>
      <c r="K43">
        <v>47.591608000000001</v>
      </c>
      <c r="L43">
        <v>271.92133799999999</v>
      </c>
      <c r="M43">
        <v>-622.49510199999997</v>
      </c>
      <c r="N43">
        <v>1.294008</v>
      </c>
      <c r="O43">
        <v>2.3257029999999999</v>
      </c>
      <c r="P43">
        <f t="shared" si="4"/>
        <v>2.1566800000000002E-5</v>
      </c>
      <c r="Q43" cm="1">
        <f t="array" ref="Q43">[1]!PropsSI("D","T",J43+273.15,"P",101325,"Water")</f>
        <v>985.32905406537066</v>
      </c>
      <c r="R43" cm="1">
        <f t="array" ref="R43">[1]!PropsSI("D","T",K43+273.15,"P",101325,"Water")</f>
        <v>989.10515253137692</v>
      </c>
      <c r="S43">
        <f t="shared" si="5"/>
        <v>987.21710329837379</v>
      </c>
      <c r="T43" cm="1">
        <f t="array" ref="T43">[1]!PropsSI("H","T",J43+273.15,"P",101325,"Water")</f>
        <v>233459.08701104645</v>
      </c>
      <c r="U43" cm="1">
        <f t="array" ref="U43">[1]!PropsSI("H","T",K43+273.15,"P",101325,"Water")</f>
        <v>199348.96229314781</v>
      </c>
      <c r="V43">
        <f t="shared" si="6"/>
        <v>726.24254789967404</v>
      </c>
    </row>
    <row r="44" spans="1:22" x14ac:dyDescent="0.2">
      <c r="A44">
        <v>46068.588105185183</v>
      </c>
      <c r="B44">
        <v>20.051839999999999</v>
      </c>
      <c r="C44">
        <v>19.839124999999999</v>
      </c>
      <c r="D44">
        <v>20.061254000000002</v>
      </c>
      <c r="E44">
        <v>20.014928999999999</v>
      </c>
      <c r="F44">
        <v>31.088049999999999</v>
      </c>
      <c r="G44">
        <v>29.113398</v>
      </c>
      <c r="H44">
        <v>24.473222</v>
      </c>
      <c r="I44">
        <v>22.225045000000001</v>
      </c>
      <c r="J44">
        <v>55.740454999999997</v>
      </c>
      <c r="K44">
        <v>47.59637</v>
      </c>
      <c r="L44">
        <v>291.26404300000002</v>
      </c>
      <c r="M44">
        <v>-622.49591899999996</v>
      </c>
      <c r="N44">
        <v>1.2863199999999999</v>
      </c>
      <c r="O44">
        <v>2.5495260000000002</v>
      </c>
      <c r="P44">
        <f t="shared" si="4"/>
        <v>2.1438666666666665E-5</v>
      </c>
      <c r="Q44" cm="1">
        <f t="array" ref="Q44">[1]!PropsSI("D","T",J44+273.15,"P",101325,"Water")</f>
        <v>985.33286570234031</v>
      </c>
      <c r="R44" cm="1">
        <f t="array" ref="R44">[1]!PropsSI("D","T",K44+273.15,"P",101325,"Water")</f>
        <v>989.10307491628521</v>
      </c>
      <c r="S44">
        <f t="shared" si="5"/>
        <v>987.2179703093127</v>
      </c>
      <c r="T44" cm="1">
        <f t="array" ref="T44">[1]!PropsSI("H","T",J44+273.15,"P",101325,"Water")</f>
        <v>233426.46618359073</v>
      </c>
      <c r="U44" cm="1">
        <f t="array" ref="U44">[1]!PropsSI("H","T",K44+273.15,"P",101325,"Water")</f>
        <v>199368.87083479407</v>
      </c>
      <c r="V44">
        <f t="shared" si="6"/>
        <v>720.81664240511111</v>
      </c>
    </row>
    <row r="45" spans="1:22" x14ac:dyDescent="0.2">
      <c r="A45">
        <v>46068.588221504629</v>
      </c>
      <c r="B45">
        <v>20.030251</v>
      </c>
      <c r="C45">
        <v>19.848140000000001</v>
      </c>
      <c r="D45">
        <v>20.073979000000001</v>
      </c>
      <c r="E45">
        <v>19.894936000000001</v>
      </c>
      <c r="F45">
        <v>31.010574999999999</v>
      </c>
      <c r="G45">
        <v>29.291989999999998</v>
      </c>
      <c r="H45">
        <v>24.407498</v>
      </c>
      <c r="I45">
        <v>22.046378000000001</v>
      </c>
      <c r="J45">
        <v>55.741886999999998</v>
      </c>
      <c r="K45">
        <v>47.603355000000001</v>
      </c>
      <c r="L45">
        <v>291.551376</v>
      </c>
      <c r="M45">
        <v>-622.48367399999995</v>
      </c>
      <c r="N45">
        <v>1.291385</v>
      </c>
      <c r="O45">
        <v>2.3433410000000001</v>
      </c>
      <c r="P45">
        <f t="shared" si="4"/>
        <v>2.1523083333333331E-5</v>
      </c>
      <c r="Q45" cm="1">
        <f t="array" ref="Q45">[1]!PropsSI("D","T",J45+273.15,"P",101325,"Water")</f>
        <v>985.33216577349003</v>
      </c>
      <c r="R45" cm="1">
        <f t="array" ref="R45">[1]!PropsSI("D","T",K45+273.15,"P",101325,"Water")</f>
        <v>989.10002715066219</v>
      </c>
      <c r="S45">
        <f t="shared" si="5"/>
        <v>987.21609646207617</v>
      </c>
      <c r="T45" cm="1">
        <f t="array" ref="T45">[1]!PropsSI("H","T",J45+273.15,"P",101325,"Water")</f>
        <v>233432.45656724292</v>
      </c>
      <c r="U45" cm="1">
        <f t="array" ref="U45">[1]!PropsSI("H","T",K45+273.15,"P",101325,"Water")</f>
        <v>199398.07310496521</v>
      </c>
      <c r="V45">
        <f t="shared" si="6"/>
        <v>723.16034416138564</v>
      </c>
    </row>
    <row r="47" spans="1:22" x14ac:dyDescent="0.2">
      <c r="F47" s="1" t="s">
        <v>22</v>
      </c>
    </row>
    <row r="48" spans="1:22" x14ac:dyDescent="0.2">
      <c r="F48">
        <f>AVERAGE(V28:V45)</f>
        <v>721.65051668776994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DED0-68AB-BD4C-86C7-31FF0AF766ED}">
  <dimension ref="A1:V36"/>
  <sheetViews>
    <sheetView workbookViewId="0">
      <selection activeCell="F26" sqref="F26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44606.579201830697</v>
      </c>
      <c r="B2">
        <v>20.229203999999999</v>
      </c>
      <c r="C2">
        <v>20.291359</v>
      </c>
      <c r="D2">
        <v>19.875620000000001</v>
      </c>
      <c r="E2">
        <v>19.881056999999998</v>
      </c>
      <c r="F2">
        <v>30.267879000000001</v>
      </c>
      <c r="G2">
        <v>28.052913</v>
      </c>
      <c r="H2">
        <v>24.243532999999999</v>
      </c>
      <c r="I2">
        <v>21.536429999999999</v>
      </c>
      <c r="J2">
        <v>55.796156000000003</v>
      </c>
      <c r="K2">
        <v>47.085237999999997</v>
      </c>
      <c r="L2">
        <v>382.62967300000003</v>
      </c>
      <c r="M2">
        <v>-622.493878</v>
      </c>
      <c r="N2">
        <v>1.281817</v>
      </c>
      <c r="O2">
        <v>2.7348439999999998</v>
      </c>
      <c r="P2">
        <f xml:space="preserve"> N2*0.001/60</f>
        <v>2.1363616666666667E-5</v>
      </c>
      <c r="Q2" cm="1">
        <f t="array" ref="Q2">[1]!PropsSI("D","T",J2+273.15,"P",101325,"Water")</f>
        <v>985.30563101841051</v>
      </c>
      <c r="R2" cm="1">
        <f t="array" ref="R2">[1]!PropsSI("D","T",K2+273.15,"P",101325,"Water")</f>
        <v>989.32520174881438</v>
      </c>
      <c r="S2">
        <f>(Q2+R2)/2</f>
        <v>987.3154163836125</v>
      </c>
      <c r="T2" cm="1">
        <f t="array" ref="T2">[1]!PropsSI("H","T",J2+273.15,"P",101325,"Water")</f>
        <v>233659.47677512505</v>
      </c>
      <c r="U2" cm="1">
        <f t="array" ref="U2">[1]!PropsSI("H","T",K2+273.15,"P",101325,"Water")</f>
        <v>197232.00706497792</v>
      </c>
      <c r="V2">
        <f>S2*P2*(T2-U2)</f>
        <v>768.35107066316789</v>
      </c>
    </row>
    <row r="3" spans="1:22" x14ac:dyDescent="0.2">
      <c r="A3">
        <v>44606.579317571399</v>
      </c>
      <c r="B3">
        <v>20.295555</v>
      </c>
      <c r="C3">
        <v>20.485299000000001</v>
      </c>
      <c r="D3">
        <v>19.812552</v>
      </c>
      <c r="E3">
        <v>19.971454000000001</v>
      </c>
      <c r="F3">
        <v>30.515407</v>
      </c>
      <c r="G3">
        <v>29.102643</v>
      </c>
      <c r="H3">
        <v>24.036149000000002</v>
      </c>
      <c r="I3">
        <v>21.778269999999999</v>
      </c>
      <c r="J3">
        <v>55.79918</v>
      </c>
      <c r="K3">
        <v>47.102381000000001</v>
      </c>
      <c r="L3">
        <v>402.66091499999999</v>
      </c>
      <c r="M3">
        <v>-622.48449100000005</v>
      </c>
      <c r="N3">
        <v>1.2850299999999999</v>
      </c>
      <c r="O3">
        <v>2.1245889999999998</v>
      </c>
      <c r="P3">
        <f t="shared" ref="P3" si="0" xml:space="preserve"> N3*0.001/60</f>
        <v>2.1417166666666665E-5</v>
      </c>
      <c r="Q3" cm="1">
        <f t="array" ref="Q3">[1]!PropsSI("D","T",J3+273.15,"P",101325,"Water")</f>
        <v>985.30415190421559</v>
      </c>
      <c r="R3" cm="1">
        <f t="array" ref="R3">[1]!PropsSI("D","T",K3+273.15,"P",101325,"Water")</f>
        <v>989.3177804663967</v>
      </c>
      <c r="S3">
        <f>(Q3+R3)/2</f>
        <v>987.31096618530614</v>
      </c>
      <c r="T3" cm="1">
        <f t="array" ref="T3">[1]!PropsSI("H","T",J3+273.15,"P",101325,"Water")</f>
        <v>233672.12692280181</v>
      </c>
      <c r="U3" cm="1">
        <f t="array" ref="U3">[1]!PropsSI("H","T",K3+273.15,"P",101325,"Water")</f>
        <v>197303.67493949397</v>
      </c>
      <c r="V3">
        <f t="shared" ref="V3:V31" si="1">S3*P3*(T3-U3)</f>
        <v>769.02559238906792</v>
      </c>
    </row>
    <row r="4" spans="1:22" x14ac:dyDescent="0.2">
      <c r="A4">
        <v>44606.579433890904</v>
      </c>
      <c r="B4">
        <v>20.505573999999999</v>
      </c>
      <c r="C4">
        <v>20.144483000000001</v>
      </c>
      <c r="D4">
        <v>19.652408000000001</v>
      </c>
      <c r="E4">
        <v>19.583628999999998</v>
      </c>
      <c r="F4">
        <v>30.497700999999999</v>
      </c>
      <c r="G4">
        <v>28.489961000000001</v>
      </c>
      <c r="H4">
        <v>24.021408999999998</v>
      </c>
      <c r="I4">
        <v>21.342576000000001</v>
      </c>
      <c r="J4">
        <v>55.801248000000001</v>
      </c>
      <c r="K4">
        <v>47.121268999999998</v>
      </c>
      <c r="L4">
        <v>404.12737199999998</v>
      </c>
      <c r="M4">
        <v>-622.51877500000001</v>
      </c>
      <c r="N4">
        <v>1.286902</v>
      </c>
      <c r="O4">
        <v>2.013687</v>
      </c>
      <c r="P4">
        <f xml:space="preserve"> N4*0.001/60</f>
        <v>2.1448366666666666E-5</v>
      </c>
      <c r="Q4" cm="1">
        <f t="array" ref="Q4">[1]!PropsSI("D","T",J4+273.15,"P",101325,"Water")</f>
        <v>985.3031403611609</v>
      </c>
      <c r="R4" cm="1">
        <f t="array" ref="R4">[1]!PropsSI("D","T",K4+273.15,"P",101325,"Water")</f>
        <v>989.30960145533084</v>
      </c>
      <c r="S4">
        <f t="shared" ref="S4:S31" si="2">(Q4+R4)/2</f>
        <v>987.30637090824587</v>
      </c>
      <c r="T4" cm="1">
        <f t="array" ref="T4">[1]!PropsSI("H","T",J4+273.15,"P",101325,"Water")</f>
        <v>233680.77788551626</v>
      </c>
      <c r="U4" cm="1">
        <f t="array" ref="U4">[1]!PropsSI("H","T",K4+273.15,"P",101325,"Water")</f>
        <v>197382.63802507182</v>
      </c>
      <c r="V4">
        <f t="shared" si="1"/>
        <v>768.65336819932372</v>
      </c>
    </row>
    <row r="5" spans="1:22" x14ac:dyDescent="0.2">
      <c r="A5">
        <v>44606.579549631599</v>
      </c>
      <c r="B5">
        <v>20.507436999999999</v>
      </c>
      <c r="C5">
        <v>20.481822000000001</v>
      </c>
      <c r="D5">
        <v>19.900556000000002</v>
      </c>
      <c r="E5">
        <v>19.901371999999999</v>
      </c>
      <c r="F5">
        <v>30.546309999999998</v>
      </c>
      <c r="G5">
        <v>29.085785000000001</v>
      </c>
      <c r="H5">
        <v>24.058978</v>
      </c>
      <c r="I5">
        <v>21.566746999999999</v>
      </c>
      <c r="J5">
        <v>55.79918</v>
      </c>
      <c r="K5">
        <v>47.124920000000003</v>
      </c>
      <c r="L5">
        <v>394.95599399999998</v>
      </c>
      <c r="M5">
        <v>-622.48000100000002</v>
      </c>
      <c r="N5">
        <v>1.2878160000000001</v>
      </c>
      <c r="O5">
        <v>1.9783470000000001</v>
      </c>
      <c r="P5">
        <f t="shared" ref="P5:P31" si="3" xml:space="preserve"> N5*0.001/60</f>
        <v>2.1463599999999999E-5</v>
      </c>
      <c r="Q5" cm="1">
        <f t="array" ref="Q5">[1]!PropsSI("D","T",J5+273.15,"P",101325,"Water")</f>
        <v>985.30415190421559</v>
      </c>
      <c r="R5" cm="1">
        <f t="array" ref="R5">[1]!PropsSI("D","T",K5+273.15,"P",101325,"Water")</f>
        <v>989.30802019499845</v>
      </c>
      <c r="S5">
        <f t="shared" si="2"/>
        <v>987.30608604960707</v>
      </c>
      <c r="T5" cm="1">
        <f t="array" ref="T5">[1]!PropsSI("H","T",J5+273.15,"P",101325,"Water")</f>
        <v>233672.12692280181</v>
      </c>
      <c r="U5" cm="1">
        <f t="array" ref="U5">[1]!PropsSI("H","T",K5+273.15,"P",101325,"Water")</f>
        <v>197397.90138849232</v>
      </c>
      <c r="V5">
        <f t="shared" si="1"/>
        <v>768.69229719395798</v>
      </c>
    </row>
    <row r="6" spans="1:22" x14ac:dyDescent="0.2">
      <c r="A6">
        <v>46068.579665949073</v>
      </c>
      <c r="B6">
        <v>20.120636999999999</v>
      </c>
      <c r="C6">
        <v>20.303515000000001</v>
      </c>
      <c r="D6">
        <v>19.804421000000001</v>
      </c>
      <c r="E6">
        <v>19.848047000000001</v>
      </c>
      <c r="F6">
        <v>30.211373999999999</v>
      </c>
      <c r="G6">
        <v>28.959980999999999</v>
      </c>
      <c r="H6">
        <v>23.989803999999999</v>
      </c>
      <c r="I6">
        <v>21.588867</v>
      </c>
      <c r="J6">
        <v>55.798225000000002</v>
      </c>
      <c r="K6">
        <v>47.128570000000003</v>
      </c>
      <c r="L6">
        <v>365.10850900000003</v>
      </c>
      <c r="M6">
        <v>-622.46285899999998</v>
      </c>
      <c r="N6">
        <v>1.2851939999999999</v>
      </c>
      <c r="O6">
        <v>1.477735</v>
      </c>
      <c r="P6">
        <f t="shared" si="3"/>
        <v>2.1419899999999998E-5</v>
      </c>
      <c r="Q6" cm="1">
        <f t="array" ref="Q6">[1]!PropsSI("D","T",J6+273.15,"P",101325,"Water")</f>
        <v>985.3046190247419</v>
      </c>
      <c r="R6" cm="1">
        <f t="array" ref="R6">[1]!PropsSI("D","T",K6+273.15,"P",101325,"Water")</f>
        <v>989.30643927732706</v>
      </c>
      <c r="S6">
        <f t="shared" si="2"/>
        <v>987.30552915103453</v>
      </c>
      <c r="T6" cm="1">
        <f t="array" ref="T6">[1]!PropsSI("H","T",J6+273.15,"P",101325,"Water")</f>
        <v>233668.13191878141</v>
      </c>
      <c r="U6" cm="1">
        <f t="array" ref="U6">[1]!PropsSI("H","T",K6+273.15,"P",101325,"Water")</f>
        <v>197413.16057435673</v>
      </c>
      <c r="V6">
        <f t="shared" si="1"/>
        <v>766.71961568582833</v>
      </c>
    </row>
    <row r="7" spans="1:22" x14ac:dyDescent="0.2">
      <c r="A7">
        <v>46068.57978226852</v>
      </c>
      <c r="B7">
        <v>20.118100999999999</v>
      </c>
      <c r="C7">
        <v>20.402920999999999</v>
      </c>
      <c r="D7">
        <v>19.724813000000001</v>
      </c>
      <c r="E7">
        <v>19.735472999999999</v>
      </c>
      <c r="F7">
        <v>30.395931000000001</v>
      </c>
      <c r="G7">
        <v>28.526916</v>
      </c>
      <c r="H7">
        <v>24.229593999999999</v>
      </c>
      <c r="I7">
        <v>21.719538</v>
      </c>
      <c r="J7">
        <v>55.795360000000002</v>
      </c>
      <c r="K7">
        <v>47.124442999999999</v>
      </c>
      <c r="L7">
        <v>396.73386499999998</v>
      </c>
      <c r="M7">
        <v>-622.48857199999998</v>
      </c>
      <c r="N7">
        <v>1.2853159999999999</v>
      </c>
      <c r="O7">
        <v>3.0864950000000002</v>
      </c>
      <c r="P7">
        <f t="shared" si="3"/>
        <v>2.1421933333333332E-5</v>
      </c>
      <c r="Q7" cm="1">
        <f t="array" ref="Q7">[1]!PropsSI("D","T",J7+273.15,"P",101325,"Water")</f>
        <v>985.30602035262996</v>
      </c>
      <c r="R7" cm="1">
        <f t="array" ref="R7">[1]!PropsSI("D","T",K7+273.15,"P",101325,"Water")</f>
        <v>989.30822679041626</v>
      </c>
      <c r="S7">
        <f t="shared" si="2"/>
        <v>987.30712357152311</v>
      </c>
      <c r="T7" cm="1">
        <f t="array" ref="T7">[1]!PropsSI("H","T",J7+273.15,"P",101325,"Water")</f>
        <v>233656.14690870867</v>
      </c>
      <c r="U7" cm="1">
        <f t="array" ref="U7">[1]!PropsSI("H","T",K7+273.15,"P",101325,"Water")</f>
        <v>197395.907243008</v>
      </c>
      <c r="V7">
        <f t="shared" si="1"/>
        <v>766.90506175938026</v>
      </c>
    </row>
    <row r="8" spans="1:22" x14ac:dyDescent="0.2">
      <c r="A8">
        <v>46068.579898587966</v>
      </c>
      <c r="B8">
        <v>20.302039000000001</v>
      </c>
      <c r="C8">
        <v>20.400725000000001</v>
      </c>
      <c r="D8">
        <v>20.094100000000001</v>
      </c>
      <c r="E8">
        <v>20.082364999999999</v>
      </c>
      <c r="F8">
        <v>30.448993999999999</v>
      </c>
      <c r="G8">
        <v>28.656988999999999</v>
      </c>
      <c r="H8">
        <v>23.997344999999999</v>
      </c>
      <c r="I8">
        <v>21.756308000000001</v>
      </c>
      <c r="J8">
        <v>55.791541000000002</v>
      </c>
      <c r="K8">
        <v>47.136347999999998</v>
      </c>
      <c r="L8">
        <v>375.46554200000003</v>
      </c>
      <c r="M8">
        <v>-622.474695</v>
      </c>
      <c r="N8">
        <v>1.2886850000000001</v>
      </c>
      <c r="O8">
        <v>2.2724700000000002</v>
      </c>
      <c r="P8">
        <f t="shared" si="3"/>
        <v>2.1478083333333337E-5</v>
      </c>
      <c r="Q8" cm="1">
        <f t="array" ref="Q8">[1]!PropsSI("D","T",J8+273.15,"P",101325,"Water")</f>
        <v>985.30788822207967</v>
      </c>
      <c r="R8" cm="1">
        <f t="array" ref="R8">[1]!PropsSI("D","T",K8+273.15,"P",101325,"Water")</f>
        <v>989.30307010515241</v>
      </c>
      <c r="S8">
        <f t="shared" si="2"/>
        <v>987.30547916361604</v>
      </c>
      <c r="T8" cm="1">
        <f t="array" ref="T8">[1]!PropsSI("H","T",J8+273.15,"P",101325,"Water")</f>
        <v>233640.17108342017</v>
      </c>
      <c r="U8" cm="1">
        <f t="array" ref="U8">[1]!PropsSI("H","T",K8+273.15,"P",101325,"Water")</f>
        <v>197445.67728281548</v>
      </c>
      <c r="V8">
        <f t="shared" si="1"/>
        <v>767.51978139866287</v>
      </c>
    </row>
    <row r="9" spans="1:22" x14ac:dyDescent="0.2">
      <c r="A9">
        <v>46068.580014907406</v>
      </c>
      <c r="B9">
        <v>20.382348</v>
      </c>
      <c r="C9">
        <v>20.458765</v>
      </c>
      <c r="D9">
        <v>19.843596000000002</v>
      </c>
      <c r="E9">
        <v>20.151524999999999</v>
      </c>
      <c r="F9">
        <v>30.751821</v>
      </c>
      <c r="G9">
        <v>28.49991</v>
      </c>
      <c r="H9">
        <v>24.171631999999999</v>
      </c>
      <c r="I9">
        <v>21.393184000000002</v>
      </c>
      <c r="J9">
        <v>55.787402999999998</v>
      </c>
      <c r="K9">
        <v>47.166981999999997</v>
      </c>
      <c r="L9">
        <v>397.16200600000002</v>
      </c>
      <c r="M9">
        <v>-622.51959099999999</v>
      </c>
      <c r="N9">
        <v>1.2835829999999999</v>
      </c>
      <c r="O9">
        <v>1.9528300000000001</v>
      </c>
      <c r="P9">
        <f t="shared" si="3"/>
        <v>2.139305E-5</v>
      </c>
      <c r="Q9" cm="1">
        <f t="array" ref="Q9">[1]!PropsSI("D","T",J9+273.15,"P",101325,"Water")</f>
        <v>985.3099120127946</v>
      </c>
      <c r="R9" cm="1">
        <f t="array" ref="R9">[1]!PropsSI("D","T",K9+273.15,"P",101325,"Water")</f>
        <v>989.28979647767585</v>
      </c>
      <c r="S9">
        <f t="shared" si="2"/>
        <v>987.29985424523522</v>
      </c>
      <c r="T9" cm="1">
        <f t="array" ref="T9">[1]!PropsSI("H","T",J9+273.15,"P",101325,"Water")</f>
        <v>233622.86080803865</v>
      </c>
      <c r="U9" cm="1">
        <f t="array" ref="U9">[1]!PropsSI("H","T",K9+273.15,"P",101325,"Water")</f>
        <v>197573.74592746331</v>
      </c>
      <c r="V9">
        <f t="shared" si="1"/>
        <v>761.40615812262433</v>
      </c>
    </row>
    <row r="10" spans="1:22" x14ac:dyDescent="0.2">
      <c r="A10">
        <v>44606.580130650102</v>
      </c>
      <c r="B10">
        <v>20.533190000000001</v>
      </c>
      <c r="C10">
        <v>20.541948000000001</v>
      </c>
      <c r="D10">
        <v>19.988087</v>
      </c>
      <c r="E10">
        <v>20.162859999999998</v>
      </c>
      <c r="F10">
        <v>30.935184</v>
      </c>
      <c r="G10">
        <v>28.750302999999999</v>
      </c>
      <c r="H10">
        <v>24.457512000000001</v>
      </c>
      <c r="I10">
        <v>22.023548000000002</v>
      </c>
      <c r="J10">
        <v>55.789152999999999</v>
      </c>
      <c r="K10">
        <v>47.181108999999999</v>
      </c>
      <c r="L10">
        <v>415.50761799999998</v>
      </c>
      <c r="M10">
        <v>-622.48244999999997</v>
      </c>
      <c r="N10">
        <v>1.282907</v>
      </c>
      <c r="O10">
        <v>1.8373280000000001</v>
      </c>
      <c r="P10">
        <f t="shared" si="3"/>
        <v>2.1381783333333332E-5</v>
      </c>
      <c r="Q10" cm="1">
        <f t="array" ref="Q10">[1]!PropsSI("D","T",J10+273.15,"P",101325,"Water")</f>
        <v>985.30905614510311</v>
      </c>
      <c r="R10" cm="1">
        <f t="array" ref="R10">[1]!PropsSI("D","T",K10+273.15,"P",101325,"Water")</f>
        <v>989.2836731426155</v>
      </c>
      <c r="S10">
        <f t="shared" si="2"/>
        <v>987.29636464385931</v>
      </c>
      <c r="T10" cm="1">
        <f t="array" ref="T10">[1]!PropsSI("H","T",J10+273.15,"P",101325,"Water")</f>
        <v>233630.18148918246</v>
      </c>
      <c r="U10" cm="1">
        <f t="array" ref="U10">[1]!PropsSI("H","T",K10+273.15,"P",101325,"Water")</f>
        <v>197632.80540436201</v>
      </c>
      <c r="V10">
        <f t="shared" si="1"/>
        <v>759.91025910441999</v>
      </c>
    </row>
    <row r="11" spans="1:22" x14ac:dyDescent="0.2">
      <c r="A11">
        <v>44606.580246969599</v>
      </c>
      <c r="B11">
        <v>20.523941000000001</v>
      </c>
      <c r="C11">
        <v>20.505153</v>
      </c>
      <c r="D11">
        <v>19.907637999999999</v>
      </c>
      <c r="E11">
        <v>20.071297999999999</v>
      </c>
      <c r="F11">
        <v>30.837183</v>
      </c>
      <c r="G11">
        <v>27.817466</v>
      </c>
      <c r="H11">
        <v>24.517081999999998</v>
      </c>
      <c r="I11">
        <v>21.834067000000001</v>
      </c>
      <c r="J11">
        <v>55.789152999999999</v>
      </c>
      <c r="K11">
        <v>47.186506000000001</v>
      </c>
      <c r="L11">
        <v>406.40888999999999</v>
      </c>
      <c r="M11">
        <v>-622.49061300000005</v>
      </c>
      <c r="N11">
        <v>1.280702</v>
      </c>
      <c r="O11">
        <v>2.3895089999999999</v>
      </c>
      <c r="P11">
        <f t="shared" si="3"/>
        <v>2.1345033333333337E-5</v>
      </c>
      <c r="Q11" cm="1">
        <f t="array" ref="Q11">[1]!PropsSI("D","T",J11+273.15,"P",101325,"Water")</f>
        <v>985.30905614510311</v>
      </c>
      <c r="R11" cm="1">
        <f t="array" ref="R11">[1]!PropsSI("D","T",K11+273.15,"P",101325,"Water")</f>
        <v>989.28133346059963</v>
      </c>
      <c r="S11">
        <f t="shared" si="2"/>
        <v>987.29519480285137</v>
      </c>
      <c r="T11" cm="1">
        <f t="array" ref="T11">[1]!PropsSI("H","T",J11+273.15,"P",101325,"Water")</f>
        <v>233630.18148918246</v>
      </c>
      <c r="U11" cm="1">
        <f t="array" ref="U11">[1]!PropsSI("H","T",K11+273.15,"P",101325,"Water")</f>
        <v>197655.36816871792</v>
      </c>
      <c r="V11">
        <f t="shared" si="1"/>
        <v>758.12777806725592</v>
      </c>
    </row>
    <row r="12" spans="1:22" x14ac:dyDescent="0.2">
      <c r="A12">
        <v>44606.580363289002</v>
      </c>
      <c r="B12">
        <v>20.180641999999999</v>
      </c>
      <c r="C12">
        <v>20.110619</v>
      </c>
      <c r="D12">
        <v>19.798441</v>
      </c>
      <c r="E12">
        <v>19.830409</v>
      </c>
      <c r="F12">
        <v>30.199612999999999</v>
      </c>
      <c r="G12">
        <v>27.708565</v>
      </c>
      <c r="H12">
        <v>23.957352</v>
      </c>
      <c r="I12">
        <v>21.48779</v>
      </c>
      <c r="J12">
        <v>55.784697000000001</v>
      </c>
      <c r="K12">
        <v>47.188251999999999</v>
      </c>
      <c r="L12">
        <v>394.13195400000001</v>
      </c>
      <c r="M12">
        <v>-622.49469399999998</v>
      </c>
      <c r="N12">
        <v>1.294791</v>
      </c>
      <c r="O12">
        <v>2.0376289999999999</v>
      </c>
      <c r="P12">
        <f t="shared" si="3"/>
        <v>2.157985E-5</v>
      </c>
      <c r="Q12" cm="1">
        <f t="array" ref="Q12">[1]!PropsSI("D","T",J12+273.15,"P",101325,"Water")</f>
        <v>985.3112353916589</v>
      </c>
      <c r="R12" cm="1">
        <f t="array" ref="R12">[1]!PropsSI("D","T",K12+273.15,"P",101325,"Water")</f>
        <v>989.28057650060816</v>
      </c>
      <c r="S12">
        <f t="shared" si="2"/>
        <v>987.29590594613353</v>
      </c>
      <c r="T12" cm="1">
        <f t="array" ref="T12">[1]!PropsSI("H","T",J12+273.15,"P",101325,"Water")</f>
        <v>233611.54094555581</v>
      </c>
      <c r="U12" cm="1">
        <f t="array" ref="U12">[1]!PropsSI("H","T",K12+273.15,"P",101325,"Water")</f>
        <v>197662.66751917932</v>
      </c>
      <c r="V12">
        <f t="shared" si="1"/>
        <v>765.91582469884668</v>
      </c>
    </row>
    <row r="13" spans="1:22" x14ac:dyDescent="0.2">
      <c r="A13">
        <v>44606.580479029799</v>
      </c>
      <c r="B13">
        <v>20.471119999999999</v>
      </c>
      <c r="C13">
        <v>20.807206999999998</v>
      </c>
      <c r="D13">
        <v>19.833190999999999</v>
      </c>
      <c r="E13">
        <v>20.060352000000002</v>
      </c>
      <c r="F13">
        <v>30.572406000000001</v>
      </c>
      <c r="G13">
        <v>29.474892000000001</v>
      </c>
      <c r="H13">
        <v>24.15185</v>
      </c>
      <c r="I13">
        <v>21.870553000000001</v>
      </c>
      <c r="J13">
        <v>55.784061000000001</v>
      </c>
      <c r="K13">
        <v>47.174441999999999</v>
      </c>
      <c r="L13">
        <v>392.14266600000002</v>
      </c>
      <c r="M13">
        <v>-622.47877700000004</v>
      </c>
      <c r="N13">
        <v>1.2813829999999999</v>
      </c>
      <c r="O13">
        <v>2.0675300000000001</v>
      </c>
      <c r="P13">
        <f t="shared" si="3"/>
        <v>2.1356383333333331E-5</v>
      </c>
      <c r="Q13" cm="1">
        <f t="array" ref="Q13">[1]!PropsSI("D","T",J13+273.15,"P",101325,"Water")</f>
        <v>985.31154642315403</v>
      </c>
      <c r="R13" cm="1">
        <f t="array" ref="R13">[1]!PropsSI("D","T",K13+273.15,"P",101325,"Water")</f>
        <v>989.28656311628367</v>
      </c>
      <c r="S13">
        <f t="shared" si="2"/>
        <v>987.29905476971885</v>
      </c>
      <c r="T13" cm="1">
        <f t="array" ref="T13">[1]!PropsSI("H","T",J13+273.15,"P",101325,"Water")</f>
        <v>233608.88040177873</v>
      </c>
      <c r="U13" cm="1">
        <f t="array" ref="U13">[1]!PropsSI("H","T",K13+273.15,"P",101325,"Water")</f>
        <v>197604.93327192368</v>
      </c>
      <c r="V13">
        <f t="shared" si="1"/>
        <v>759.14816059285147</v>
      </c>
    </row>
    <row r="14" spans="1:22" x14ac:dyDescent="0.2">
      <c r="A14">
        <v>44606.580595349202</v>
      </c>
      <c r="B14">
        <v>20.365417000000001</v>
      </c>
      <c r="C14">
        <v>20.479817000000001</v>
      </c>
      <c r="D14">
        <v>19.813569999999999</v>
      </c>
      <c r="E14">
        <v>20.163629</v>
      </c>
      <c r="F14">
        <v>30.725626999999999</v>
      </c>
      <c r="G14">
        <v>28.385831</v>
      </c>
      <c r="H14">
        <v>24.239329000000001</v>
      </c>
      <c r="I14">
        <v>21.770987000000002</v>
      </c>
      <c r="J14">
        <v>55.78613</v>
      </c>
      <c r="K14">
        <v>47.191901999999999</v>
      </c>
      <c r="L14">
        <v>407.57658700000002</v>
      </c>
      <c r="M14">
        <v>-622.48326599999996</v>
      </c>
      <c r="N14">
        <v>1.286427</v>
      </c>
      <c r="O14">
        <v>2.434177</v>
      </c>
      <c r="P14">
        <f t="shared" si="3"/>
        <v>2.1440449999999999E-5</v>
      </c>
      <c r="Q14" cm="1">
        <f t="array" ref="Q14">[1]!PropsSI("D","T",J14+273.15,"P",101325,"Water")</f>
        <v>985.31053458357007</v>
      </c>
      <c r="R14" cm="1">
        <f t="array" ref="R14">[1]!PropsSI("D","T",K14+273.15,"P",101325,"Water")</f>
        <v>989.27899401459922</v>
      </c>
      <c r="S14">
        <f t="shared" si="2"/>
        <v>987.29476429908459</v>
      </c>
      <c r="T14" cm="1">
        <f t="array" ref="T14">[1]!PropsSI("H","T",J14+273.15,"P",101325,"Water")</f>
        <v>233617.53553608447</v>
      </c>
      <c r="U14" cm="1">
        <f t="array" ref="U14">[1]!PropsSI("H","T",K14+273.15,"P",101325,"Water")</f>
        <v>197677.92675925427</v>
      </c>
      <c r="V14">
        <f t="shared" si="1"/>
        <v>760.7712209807504</v>
      </c>
    </row>
    <row r="15" spans="1:22" x14ac:dyDescent="0.2">
      <c r="A15">
        <v>46068.580711087961</v>
      </c>
      <c r="B15">
        <v>20.358301000000001</v>
      </c>
      <c r="C15">
        <v>20.597415000000002</v>
      </c>
      <c r="D15">
        <v>19.985523000000001</v>
      </c>
      <c r="E15">
        <v>20.075771</v>
      </c>
      <c r="F15">
        <v>30.491776999999999</v>
      </c>
      <c r="G15">
        <v>28.513656000000001</v>
      </c>
      <c r="H15">
        <v>24.165935999999999</v>
      </c>
      <c r="I15">
        <v>22.023299999999999</v>
      </c>
      <c r="J15">
        <v>55.779922999999997</v>
      </c>
      <c r="K15">
        <v>47.190314999999998</v>
      </c>
      <c r="L15">
        <v>376.87159400000002</v>
      </c>
      <c r="M15">
        <v>-622.48775599999999</v>
      </c>
      <c r="N15">
        <v>1.2820830000000001</v>
      </c>
      <c r="O15">
        <v>2.0690930000000001</v>
      </c>
      <c r="P15">
        <f t="shared" si="3"/>
        <v>2.1368049999999999E-5</v>
      </c>
      <c r="Q15" cm="1">
        <f t="array" ref="Q15">[1]!PropsSI("D","T",J15+273.15,"P",101325,"Water")</f>
        <v>985.31357002328116</v>
      </c>
      <c r="R15" cm="1">
        <f t="array" ref="R15">[1]!PropsSI("D","T",K15+273.15,"P",101325,"Water")</f>
        <v>989.2796820819409</v>
      </c>
      <c r="S15">
        <f t="shared" si="2"/>
        <v>987.29662605261103</v>
      </c>
      <c r="T15" cm="1">
        <f t="array" ref="T15">[1]!PropsSI("H","T",J15+273.15,"P",101325,"Water")</f>
        <v>233591.57013794529</v>
      </c>
      <c r="U15" cm="1">
        <f t="array" ref="U15">[1]!PropsSI("H","T",K15+273.15,"P",101325,"Water")</f>
        <v>197671.29212492928</v>
      </c>
      <c r="V15">
        <f t="shared" si="1"/>
        <v>757.79586896843387</v>
      </c>
    </row>
    <row r="16" spans="1:22" x14ac:dyDescent="0.2">
      <c r="A16">
        <v>46068.580827407408</v>
      </c>
      <c r="B16">
        <v>20.496656000000002</v>
      </c>
      <c r="C16">
        <v>20.442112999999999</v>
      </c>
      <c r="D16">
        <v>19.922135999999998</v>
      </c>
      <c r="E16">
        <v>20.052329</v>
      </c>
      <c r="F16">
        <v>30.910868000000001</v>
      </c>
      <c r="G16">
        <v>28.319834</v>
      </c>
      <c r="H16">
        <v>24.581015000000001</v>
      </c>
      <c r="I16">
        <v>21.805861</v>
      </c>
      <c r="J16">
        <v>55.773874999999997</v>
      </c>
      <c r="K16">
        <v>47.203014000000003</v>
      </c>
      <c r="L16">
        <v>405.86238700000001</v>
      </c>
      <c r="M16">
        <v>-622.49510199999997</v>
      </c>
      <c r="N16">
        <v>1.2860339999999999</v>
      </c>
      <c r="O16">
        <v>1.456297</v>
      </c>
      <c r="P16">
        <f t="shared" si="3"/>
        <v>2.1433899999999998E-5</v>
      </c>
      <c r="Q16" cm="1">
        <f t="array" ref="Q16">[1]!PropsSI("D","T",J16+273.15,"P",101325,"Water")</f>
        <v>985.31652747825808</v>
      </c>
      <c r="R16" cm="1">
        <f t="array" ref="R16">[1]!PropsSI("D","T",K16+273.15,"P",101325,"Water")</f>
        <v>989.2741757639559</v>
      </c>
      <c r="S16">
        <f t="shared" si="2"/>
        <v>987.29535162110699</v>
      </c>
      <c r="T16" cm="1">
        <f t="array" ref="T16">[1]!PropsSI("H","T",J16+273.15,"P",101325,"Water")</f>
        <v>233566.26988953378</v>
      </c>
      <c r="U16" cm="1">
        <f t="array" ref="U16">[1]!PropsSI("H","T",K16+273.15,"P",101325,"Water")</f>
        <v>197724.38175832809</v>
      </c>
      <c r="V16">
        <f t="shared" si="1"/>
        <v>758.47133562021475</v>
      </c>
    </row>
    <row r="17" spans="1:22" x14ac:dyDescent="0.2">
      <c r="A17">
        <v>46068.580943726854</v>
      </c>
      <c r="B17">
        <v>20.213394999999998</v>
      </c>
      <c r="C17">
        <v>20.163301000000001</v>
      </c>
      <c r="D17">
        <v>19.645479000000002</v>
      </c>
      <c r="E17">
        <v>19.697310000000002</v>
      </c>
      <c r="F17">
        <v>30.433637999999998</v>
      </c>
      <c r="G17">
        <v>28.902804</v>
      </c>
      <c r="H17">
        <v>23.994212999999998</v>
      </c>
      <c r="I17">
        <v>21.803514</v>
      </c>
      <c r="J17">
        <v>55.767986999999998</v>
      </c>
      <c r="K17">
        <v>47.190474000000002</v>
      </c>
      <c r="L17">
        <v>368.23365899999999</v>
      </c>
      <c r="M17">
        <v>-622.48163399999999</v>
      </c>
      <c r="N17">
        <v>1.2826900000000001</v>
      </c>
      <c r="O17">
        <v>2.167592</v>
      </c>
      <c r="P17">
        <f t="shared" si="3"/>
        <v>2.1378166666666668E-5</v>
      </c>
      <c r="Q17" cm="1">
        <f t="array" ref="Q17">[1]!PropsSI("D","T",J17+273.15,"P",101325,"Water")</f>
        <v>985.31940647729255</v>
      </c>
      <c r="R17" cm="1">
        <f t="array" ref="R17">[1]!PropsSI("D","T",K17+273.15,"P",101325,"Water")</f>
        <v>989.27961314590868</v>
      </c>
      <c r="S17">
        <f t="shared" si="2"/>
        <v>987.29950981160061</v>
      </c>
      <c r="T17" cm="1">
        <f t="array" ref="T17">[1]!PropsSI("H","T",J17+273.15,"P",101325,"Water")</f>
        <v>233541.63897294257</v>
      </c>
      <c r="U17" cm="1">
        <f t="array" ref="U17">[1]!PropsSI("H","T",K17+273.15,"P",101325,"Water")</f>
        <v>197671.95684251146</v>
      </c>
      <c r="V17">
        <f t="shared" si="1"/>
        <v>757.08895083011873</v>
      </c>
    </row>
    <row r="18" spans="1:22" x14ac:dyDescent="0.2">
      <c r="A18">
        <v>46068.581059467593</v>
      </c>
      <c r="B18">
        <v>20.43064</v>
      </c>
      <c r="C18">
        <v>20.514309999999998</v>
      </c>
      <c r="D18">
        <v>19.747762000000002</v>
      </c>
      <c r="E18">
        <v>19.780939</v>
      </c>
      <c r="F18">
        <v>30.765965999999999</v>
      </c>
      <c r="G18">
        <v>29.138411999999999</v>
      </c>
      <c r="H18">
        <v>24.188523</v>
      </c>
      <c r="I18">
        <v>21.52176</v>
      </c>
      <c r="J18">
        <v>55.766395000000003</v>
      </c>
      <c r="K18">
        <v>47.171585</v>
      </c>
      <c r="L18">
        <v>377.35850799999997</v>
      </c>
      <c r="M18">
        <v>-622.48040900000001</v>
      </c>
      <c r="N18">
        <v>1.286513</v>
      </c>
      <c r="O18">
        <v>1.845512</v>
      </c>
      <c r="P18">
        <f t="shared" si="3"/>
        <v>2.1441883333333332E-5</v>
      </c>
      <c r="Q18" cm="1">
        <f t="array" ref="Q18">[1]!PropsSI("D","T",J18+273.15,"P",101325,"Water")</f>
        <v>985.32018486562038</v>
      </c>
      <c r="R18" cm="1">
        <f t="array" ref="R18">[1]!PropsSI("D","T",K18+273.15,"P",101325,"Water")</f>
        <v>989.28780146026725</v>
      </c>
      <c r="S18">
        <f t="shared" si="2"/>
        <v>987.30399316294381</v>
      </c>
      <c r="T18" cm="1">
        <f t="array" ref="T18">[1]!PropsSI("H","T",J18+273.15,"P",101325,"Water")</f>
        <v>233534.97925725611</v>
      </c>
      <c r="U18" cm="1">
        <f t="array" ref="U18">[1]!PropsSI("H","T",K18+273.15,"P",101325,"Water")</f>
        <v>197592.98926997432</v>
      </c>
      <c r="V18">
        <f t="shared" si="1"/>
        <v>760.87960121972833</v>
      </c>
    </row>
    <row r="19" spans="1:22" x14ac:dyDescent="0.2">
      <c r="A19">
        <v>46068.581175208332</v>
      </c>
      <c r="B19">
        <v>20.342199000000001</v>
      </c>
      <c r="C19">
        <v>20.230432</v>
      </c>
      <c r="D19">
        <v>19.802385000000001</v>
      </c>
      <c r="E19">
        <v>19.90831</v>
      </c>
      <c r="F19">
        <v>30.552488</v>
      </c>
      <c r="G19">
        <v>28.453513999999998</v>
      </c>
      <c r="H19">
        <v>24.085764999999999</v>
      </c>
      <c r="I19">
        <v>21.391401999999999</v>
      </c>
      <c r="J19">
        <v>55.764645000000002</v>
      </c>
      <c r="K19">
        <v>47.175395000000002</v>
      </c>
      <c r="L19">
        <v>356.00896499999999</v>
      </c>
      <c r="M19">
        <v>-622.50081599999999</v>
      </c>
      <c r="N19">
        <v>1.285579</v>
      </c>
      <c r="O19">
        <v>1.7282569999999999</v>
      </c>
      <c r="P19">
        <f t="shared" si="3"/>
        <v>2.1426316666666669E-5</v>
      </c>
      <c r="Q19" cm="1">
        <f t="array" ref="Q19">[1]!PropsSI("D","T",J19+273.15,"P",101325,"Water")</f>
        <v>985.32104048805263</v>
      </c>
      <c r="R19" cm="1">
        <f t="array" ref="R19">[1]!PropsSI("D","T",K19+273.15,"P",101325,"Water")</f>
        <v>989.28615003366201</v>
      </c>
      <c r="S19">
        <f t="shared" si="2"/>
        <v>987.30359526085726</v>
      </c>
      <c r="T19" cm="1">
        <f t="array" ref="T19">[1]!PropsSI("H","T",J19+273.15,"P",101325,"Water")</f>
        <v>233527.65859096116</v>
      </c>
      <c r="U19" cm="1">
        <f t="array" ref="U19">[1]!PropsSI("H","T",K19+273.15,"P",101325,"Water")</f>
        <v>197608.91739342024</v>
      </c>
      <c r="V19">
        <f t="shared" si="1"/>
        <v>759.83508979783164</v>
      </c>
    </row>
    <row r="20" spans="1:22" x14ac:dyDescent="0.2">
      <c r="A20">
        <v>46068.581291527778</v>
      </c>
      <c r="B20">
        <v>20.396287999999998</v>
      </c>
      <c r="C20">
        <v>20.408051</v>
      </c>
      <c r="D20">
        <v>19.930094</v>
      </c>
      <c r="E20">
        <v>19.875685000000001</v>
      </c>
      <c r="F20">
        <v>30.637459</v>
      </c>
      <c r="G20">
        <v>27.838391999999999</v>
      </c>
      <c r="H20">
        <v>24.240680000000001</v>
      </c>
      <c r="I20">
        <v>21.850653999999999</v>
      </c>
      <c r="J20">
        <v>55.764167</v>
      </c>
      <c r="K20">
        <v>47.184441999999997</v>
      </c>
      <c r="L20">
        <v>405.74933099999998</v>
      </c>
      <c r="M20">
        <v>-622.49142900000004</v>
      </c>
      <c r="N20">
        <v>1.27894</v>
      </c>
      <c r="O20">
        <v>1.8355619999999999</v>
      </c>
      <c r="P20">
        <f t="shared" si="3"/>
        <v>2.1315666666666666E-5</v>
      </c>
      <c r="Q20" cm="1">
        <f t="array" ref="Q20">[1]!PropsSI("D","T",J20+273.15,"P",101325,"Water")</f>
        <v>985.32127419193785</v>
      </c>
      <c r="R20" cm="1">
        <f t="array" ref="R20">[1]!PropsSI("D","T",K20+273.15,"P",101325,"Water")</f>
        <v>989.28222825949626</v>
      </c>
      <c r="S20">
        <f t="shared" si="2"/>
        <v>987.301751225717</v>
      </c>
      <c r="T20" cm="1">
        <f t="array" ref="T20">[1]!PropsSI("H","T",J20+273.15,"P",101325,"Water")</f>
        <v>233525.65900344617</v>
      </c>
      <c r="U20" cm="1">
        <f t="array" ref="U20">[1]!PropsSI("H","T",K20+273.15,"P",101325,"Water")</f>
        <v>197646.73938421722</v>
      </c>
      <c r="V20">
        <f t="shared" si="1"/>
        <v>755.07168501619014</v>
      </c>
    </row>
    <row r="21" spans="1:22" x14ac:dyDescent="0.2">
      <c r="A21">
        <v>46068.581407268517</v>
      </c>
      <c r="B21">
        <v>20.323395000000001</v>
      </c>
      <c r="C21">
        <v>20.449062000000001</v>
      </c>
      <c r="D21">
        <v>19.882186000000001</v>
      </c>
      <c r="E21">
        <v>20.02589</v>
      </c>
      <c r="F21">
        <v>30.544011000000001</v>
      </c>
      <c r="G21">
        <v>28.232247000000001</v>
      </c>
      <c r="H21">
        <v>24.215244999999999</v>
      </c>
      <c r="I21">
        <v>21.470102000000001</v>
      </c>
      <c r="J21">
        <v>55.757323999999997</v>
      </c>
      <c r="K21">
        <v>47.189680000000003</v>
      </c>
      <c r="L21">
        <v>390.90354400000001</v>
      </c>
      <c r="M21">
        <v>-622.49469399999998</v>
      </c>
      <c r="N21">
        <v>1.282645</v>
      </c>
      <c r="O21">
        <v>1.605499</v>
      </c>
      <c r="P21">
        <f t="shared" si="3"/>
        <v>2.1377416666666666E-5</v>
      </c>
      <c r="Q21" cm="1">
        <f t="array" ref="Q21">[1]!PropsSI("D","T",J21+273.15,"P",101325,"Water")</f>
        <v>985.32461971891803</v>
      </c>
      <c r="R21" cm="1">
        <f t="array" ref="R21">[1]!PropsSI("D","T",K21+273.15,"P",101325,"Water")</f>
        <v>989.27995739079688</v>
      </c>
      <c r="S21">
        <f t="shared" si="2"/>
        <v>987.30228855485745</v>
      </c>
      <c r="T21" cm="1">
        <f t="array" ref="T21">[1]!PropsSI("H","T",J21+273.15,"P",101325,"Water")</f>
        <v>233497.03311878038</v>
      </c>
      <c r="U21" cm="1">
        <f t="array" ref="U21">[1]!PropsSI("H","T",K21+273.15,"P",101325,"Water")</f>
        <v>197668.63743521689</v>
      </c>
      <c r="V21">
        <f t="shared" si="1"/>
        <v>756.19313037591337</v>
      </c>
    </row>
    <row r="22" spans="1:22" x14ac:dyDescent="0.2">
      <c r="A22">
        <v>46068.581523009256</v>
      </c>
      <c r="B22">
        <v>20.351656999999999</v>
      </c>
      <c r="C22">
        <v>20.482191</v>
      </c>
      <c r="D22">
        <v>19.953396999999999</v>
      </c>
      <c r="E22">
        <v>19.93253</v>
      </c>
      <c r="F22">
        <v>30.607102000000001</v>
      </c>
      <c r="G22">
        <v>27.119572000000002</v>
      </c>
      <c r="H22">
        <v>24.470782</v>
      </c>
      <c r="I22">
        <v>21.773896000000001</v>
      </c>
      <c r="J22">
        <v>55.752071999999998</v>
      </c>
      <c r="K22">
        <v>47.184283000000001</v>
      </c>
      <c r="L22">
        <v>399.26271700000001</v>
      </c>
      <c r="M22">
        <v>-622.49224500000003</v>
      </c>
      <c r="N22">
        <v>1.2830870000000001</v>
      </c>
      <c r="O22">
        <v>1.401894</v>
      </c>
      <c r="P22">
        <f t="shared" si="3"/>
        <v>2.1384783333333332E-5</v>
      </c>
      <c r="Q22" cm="1">
        <f t="array" ref="Q22">[1]!PropsSI("D","T",J22+273.15,"P",101325,"Water")</f>
        <v>985.32718721401125</v>
      </c>
      <c r="R22" cm="1">
        <f t="array" ref="R22">[1]!PropsSI("D","T",K22+273.15,"P",101325,"Water")</f>
        <v>989.28229718900309</v>
      </c>
      <c r="S22">
        <f t="shared" si="2"/>
        <v>987.30474220150722</v>
      </c>
      <c r="T22" cm="1">
        <f t="array" ref="T22">[1]!PropsSI("H","T",J22+273.15,"P",101325,"Water")</f>
        <v>233475.06277460934</v>
      </c>
      <c r="U22" cm="1">
        <f t="array" ref="U22">[1]!PropsSI("H","T",K22+273.15,"P",101325,"Water")</f>
        <v>197646.0746668994</v>
      </c>
      <c r="V22">
        <f t="shared" si="1"/>
        <v>756.46810281149158</v>
      </c>
    </row>
    <row r="23" spans="1:22" x14ac:dyDescent="0.2">
      <c r="A23">
        <v>46068.581638750002</v>
      </c>
      <c r="B23">
        <v>20.426151000000001</v>
      </c>
      <c r="C23">
        <v>20.183432</v>
      </c>
      <c r="D23">
        <v>19.909327000000001</v>
      </c>
      <c r="E23">
        <v>19.888911</v>
      </c>
      <c r="F23">
        <v>30.672113</v>
      </c>
      <c r="G23">
        <v>29.475100000000001</v>
      </c>
      <c r="H23">
        <v>24.099270000000001</v>
      </c>
      <c r="I23">
        <v>21.900269000000002</v>
      </c>
      <c r="J23">
        <v>55.745547000000002</v>
      </c>
      <c r="K23">
        <v>47.180157000000001</v>
      </c>
      <c r="L23">
        <v>397.43750299999999</v>
      </c>
      <c r="M23">
        <v>-622.47836800000005</v>
      </c>
      <c r="N23">
        <v>1.2878609999999999</v>
      </c>
      <c r="O23">
        <v>2.7673000000000001</v>
      </c>
      <c r="P23">
        <f t="shared" si="3"/>
        <v>2.1464350000000001E-5</v>
      </c>
      <c r="Q23" cm="1">
        <f t="array" ref="Q23">[1]!PropsSI("D","T",J23+273.15,"P",101325,"Water")</f>
        <v>985.33037679180086</v>
      </c>
      <c r="R23" cm="1">
        <f t="array" ref="R23">[1]!PropsSI("D","T",K23+273.15,"P",101325,"Water")</f>
        <v>989.28408582865757</v>
      </c>
      <c r="S23">
        <f t="shared" si="2"/>
        <v>987.30723131022921</v>
      </c>
      <c r="T23" cm="1">
        <f t="array" ref="T23">[1]!PropsSI("H","T",J23+273.15,"P",101325,"Water")</f>
        <v>233447.7671881243</v>
      </c>
      <c r="U23" cm="1">
        <f t="array" ref="U23">[1]!PropsSI("H","T",K23+273.15,"P",101325,"Water")</f>
        <v>197628.82546223927</v>
      </c>
      <c r="V23">
        <f t="shared" si="1"/>
        <v>759.07171665113469</v>
      </c>
    </row>
    <row r="25" spans="1:22" x14ac:dyDescent="0.2">
      <c r="F25" s="1" t="s">
        <v>22</v>
      </c>
    </row>
    <row r="26" spans="1:22" x14ac:dyDescent="0.2">
      <c r="F26">
        <f>AVERAGE(V2:V23)</f>
        <v>761.9100759157817</v>
      </c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2026-02-25T05:35:58Z</dcterms:modified>
</cp:coreProperties>
</file>