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NURBS IDX30/Final/Front_final_13_2_26/20gps/"/>
    </mc:Choice>
  </mc:AlternateContent>
  <xr:revisionPtr revIDLastSave="0" documentId="13_ncr:1_{1E8D861D-CED3-FC4A-A1B1-389E4CC5EB1C}" xr6:coauthVersionLast="47" xr6:coauthVersionMax="47" xr10:uidLastSave="{00000000-0000-0000-0000-000000000000}"/>
  <bookViews>
    <workbookView xWindow="0" yWindow="660" windowWidth="30240" windowHeight="17540" activeTab="7" xr2:uid="{1C60444A-BEFD-BC4F-B8F6-C471D470F8DA}"/>
  </bookViews>
  <sheets>
    <sheet name="Results" sheetId="13" r:id="rId1"/>
    <sheet name="1mps" sheetId="15" r:id="rId2"/>
    <sheet name="2mps" sheetId="16" r:id="rId3"/>
    <sheet name="3mps" sheetId="17" r:id="rId4"/>
    <sheet name="4mps" sheetId="18" r:id="rId5"/>
    <sheet name="5mps" sheetId="19" r:id="rId6"/>
    <sheet name="6mps" sheetId="20" r:id="rId7"/>
    <sheet name="7mps" sheetId="21" r:id="rId8"/>
  </sheets>
  <externalReferences>
    <externalReference r:id="rId9"/>
  </externalReferences>
  <definedNames>
    <definedName name="ExternalData_1" localSheetId="1" hidden="1">'1mps'!$A$1:$O$9</definedName>
    <definedName name="ExternalData_2" localSheetId="2" hidden="1">'2mps'!$A$1:$O$18</definedName>
    <definedName name="ExternalData_3" localSheetId="3" hidden="1">'3mps'!$A$1:$O$20</definedName>
    <definedName name="ExternalData_4" localSheetId="4" hidden="1">'4mps'!$A$1:$O$9</definedName>
    <definedName name="ExternalData_5" localSheetId="5" hidden="1">'5mps'!$A$1:$O$20</definedName>
    <definedName name="ExternalData_6" localSheetId="6" hidden="1">'6mps'!$A$1:$O$13</definedName>
    <definedName name="ExternalData_7" localSheetId="7" hidden="1">'7mps'!$A$1:$O$11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1" l="1"/>
  <c r="I20" i="20"/>
  <c r="I25" i="19"/>
  <c r="J18" i="18"/>
  <c r="K26" i="17"/>
  <c r="L24" i="16"/>
  <c r="M17" i="15"/>
  <c r="P11" i="21"/>
  <c r="P10" i="21"/>
  <c r="P9" i="21"/>
  <c r="P8" i="21"/>
  <c r="P7" i="21"/>
  <c r="P6" i="21"/>
  <c r="P5" i="21"/>
  <c r="P4" i="21"/>
  <c r="P3" i="21"/>
  <c r="P2" i="21"/>
  <c r="P13" i="20"/>
  <c r="P12" i="20"/>
  <c r="P11" i="20"/>
  <c r="P10" i="20"/>
  <c r="P9" i="20"/>
  <c r="P8" i="20"/>
  <c r="P7" i="20"/>
  <c r="P6" i="20"/>
  <c r="P5" i="20"/>
  <c r="P4" i="20"/>
  <c r="P3" i="20"/>
  <c r="P2" i="20"/>
  <c r="P10" i="19"/>
  <c r="P11" i="19"/>
  <c r="P12" i="19"/>
  <c r="P13" i="19"/>
  <c r="P14" i="19"/>
  <c r="P15" i="19"/>
  <c r="P16" i="19"/>
  <c r="P17" i="19"/>
  <c r="P18" i="19"/>
  <c r="P19" i="19"/>
  <c r="P20" i="19"/>
  <c r="P9" i="19"/>
  <c r="P8" i="19"/>
  <c r="P7" i="19"/>
  <c r="P6" i="19"/>
  <c r="P5" i="19"/>
  <c r="P4" i="19"/>
  <c r="P3" i="19"/>
  <c r="P2" i="19"/>
  <c r="P9" i="18"/>
  <c r="P8" i="18"/>
  <c r="P7" i="18"/>
  <c r="P6" i="18"/>
  <c r="P5" i="18"/>
  <c r="P4" i="18"/>
  <c r="P3" i="18"/>
  <c r="P2" i="18"/>
  <c r="P19" i="17"/>
  <c r="P20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3" i="17"/>
  <c r="P2" i="17"/>
  <c r="P10" i="16"/>
  <c r="P11" i="16"/>
  <c r="P12" i="16"/>
  <c r="P13" i="16"/>
  <c r="P14" i="16"/>
  <c r="P15" i="16"/>
  <c r="P16" i="16"/>
  <c r="P17" i="16"/>
  <c r="P18" i="16"/>
  <c r="P9" i="16"/>
  <c r="P8" i="16"/>
  <c r="P7" i="16"/>
  <c r="P6" i="16"/>
  <c r="P5" i="16"/>
  <c r="P4" i="16"/>
  <c r="P3" i="16"/>
  <c r="P2" i="16"/>
  <c r="P4" i="15"/>
  <c r="S2" i="15"/>
  <c r="P2" i="15"/>
  <c r="P3" i="15"/>
  <c r="P5" i="15"/>
  <c r="P6" i="15"/>
  <c r="P7" i="15"/>
  <c r="P8" i="15"/>
  <c r="P9" i="15"/>
  <c r="U11" i="21" a="1"/>
  <c r="T9" i="21" a="1"/>
  <c r="R6" i="21" a="1"/>
  <c r="Q4" i="21" a="1"/>
  <c r="Q7" i="21" a="1"/>
  <c r="U2" i="21" a="1"/>
  <c r="U4" i="21" a="1"/>
  <c r="T3" i="21" a="1"/>
  <c r="U6" i="21" a="1"/>
  <c r="T6" i="21" a="1"/>
  <c r="Q2" i="21" a="1"/>
  <c r="T8" i="21" a="1"/>
  <c r="T10" i="21" a="1"/>
  <c r="R7" i="21" a="1"/>
  <c r="Q5" i="21" a="1"/>
  <c r="R10" i="21" a="1"/>
  <c r="U3" i="21" a="1"/>
  <c r="Q9" i="21" a="1"/>
  <c r="T2" i="21" a="1"/>
  <c r="U7" i="21" a="1"/>
  <c r="R3" i="21" a="1"/>
  <c r="R4" i="21" a="1"/>
  <c r="U10" i="21" a="1"/>
  <c r="T11" i="21" a="1"/>
  <c r="R8" i="21" a="1"/>
  <c r="Q6" i="21" a="1"/>
  <c r="R9" i="21" a="1"/>
  <c r="Q8" i="21" a="1"/>
  <c r="R11" i="21" a="1"/>
  <c r="U5" i="21" a="1"/>
  <c r="Q11" i="21" a="1"/>
  <c r="R2" i="21" a="1"/>
  <c r="U8" i="21" a="1"/>
  <c r="T7" i="21" a="1"/>
  <c r="R5" i="21" a="1"/>
  <c r="Q10" i="21" a="1"/>
  <c r="T4" i="21" a="1"/>
  <c r="T5" i="21" a="1"/>
  <c r="U9" i="21" a="1"/>
  <c r="Q3" i="21" a="1"/>
  <c r="R13" i="20" a="1"/>
  <c r="Q11" i="20" a="1"/>
  <c r="U6" i="20" a="1"/>
  <c r="T4" i="20" a="1"/>
  <c r="R4" i="20" a="1"/>
  <c r="U10" i="20" a="1"/>
  <c r="U11" i="20" a="1"/>
  <c r="Q4" i="20" a="1"/>
  <c r="T12" i="20" a="1"/>
  <c r="U2" i="20" a="1"/>
  <c r="R11" i="20" a="1"/>
  <c r="Q12" i="20" a="1"/>
  <c r="U7" i="20" a="1"/>
  <c r="T5" i="20" a="1"/>
  <c r="R2" i="20" a="1"/>
  <c r="T7" i="20" a="1"/>
  <c r="R5" i="20" a="1"/>
  <c r="R6" i="20" a="1"/>
  <c r="Q7" i="20" a="1"/>
  <c r="R10" i="20" a="1"/>
  <c r="Q9" i="20" a="1"/>
  <c r="T2" i="20" a="1"/>
  <c r="R12" i="20" a="1"/>
  <c r="U5" i="20" a="1"/>
  <c r="Q13" i="20" a="1"/>
  <c r="U8" i="20" a="1"/>
  <c r="T6" i="20" a="1"/>
  <c r="R3" i="20" a="1"/>
  <c r="U9" i="20" a="1"/>
  <c r="Q2" i="20" a="1"/>
  <c r="T8" i="20" a="1"/>
  <c r="Q3" i="20" a="1"/>
  <c r="T9" i="20" a="1"/>
  <c r="R9" i="20" a="1"/>
  <c r="T13" i="20" a="1"/>
  <c r="Q8" i="20" a="1"/>
  <c r="U4" i="20" a="1"/>
  <c r="Q10" i="20" a="1"/>
  <c r="U12" i="20" a="1"/>
  <c r="T10" i="20" a="1"/>
  <c r="R7" i="20" a="1"/>
  <c r="Q5" i="20" a="1"/>
  <c r="U13" i="20" a="1"/>
  <c r="T11" i="20" a="1"/>
  <c r="R8" i="20" a="1"/>
  <c r="Q6" i="20" a="1"/>
  <c r="U3" i="20" a="1"/>
  <c r="T3" i="20" a="1"/>
  <c r="Q11" i="19" a="1"/>
  <c r="R13" i="19" a="1"/>
  <c r="T16" i="19" a="1"/>
  <c r="U18" i="19" a="1"/>
  <c r="T12" i="19" a="1"/>
  <c r="Q19" i="19" a="1"/>
  <c r="R20" i="19" a="1"/>
  <c r="T19" i="19" a="1"/>
  <c r="T18" i="19" a="1"/>
  <c r="T17" i="19" a="1"/>
  <c r="Q10" i="19" a="1"/>
  <c r="R12" i="19" a="1"/>
  <c r="T15" i="19" a="1"/>
  <c r="U17" i="19" a="1"/>
  <c r="T13" i="19" a="1"/>
  <c r="Q20" i="19" a="1"/>
  <c r="U14" i="19" a="1"/>
  <c r="T11" i="19" a="1"/>
  <c r="Q18" i="19" a="1"/>
  <c r="R15" i="19" a="1"/>
  <c r="Q12" i="19" a="1"/>
  <c r="R11" i="19" a="1"/>
  <c r="T14" i="19" a="1"/>
  <c r="U16" i="19" a="1"/>
  <c r="U15" i="19" a="1"/>
  <c r="U13" i="19" a="1"/>
  <c r="Q15" i="19" a="1"/>
  <c r="T20" i="19" a="1"/>
  <c r="Q14" i="19" a="1"/>
  <c r="R14" i="19" a="1"/>
  <c r="R10" i="19" a="1"/>
  <c r="T10" i="19" a="1"/>
  <c r="U12" i="19" a="1"/>
  <c r="Q17" i="19" a="1"/>
  <c r="R19" i="19" a="1"/>
  <c r="U11" i="19" a="1"/>
  <c r="Q16" i="19" a="1"/>
  <c r="R18" i="19" a="1"/>
  <c r="U10" i="19" a="1"/>
  <c r="R17" i="19" a="1"/>
  <c r="R16" i="19" a="1"/>
  <c r="Q13" i="19" a="1"/>
  <c r="U20" i="19" a="1"/>
  <c r="U19" i="19" a="1"/>
  <c r="U7" i="19" a="1"/>
  <c r="T5" i="19" a="1"/>
  <c r="R2" i="19" a="1"/>
  <c r="R5" i="19" a="1"/>
  <c r="Q4" i="19" a="1"/>
  <c r="R7" i="19" a="1"/>
  <c r="Q6" i="19" a="1"/>
  <c r="U6" i="19" a="1"/>
  <c r="U8" i="19" a="1"/>
  <c r="T6" i="19" a="1"/>
  <c r="R3" i="19" a="1"/>
  <c r="T8" i="19" a="1"/>
  <c r="R6" i="19" a="1"/>
  <c r="Q5" i="19" a="1"/>
  <c r="R8" i="19" a="1"/>
  <c r="Q9" i="19" a="1"/>
  <c r="U5" i="19" a="1"/>
  <c r="T4" i="19" a="1"/>
  <c r="U9" i="19" a="1"/>
  <c r="T7" i="19" a="1"/>
  <c r="R4" i="19" a="1"/>
  <c r="Q2" i="19" a="1"/>
  <c r="Q3" i="19" a="1"/>
  <c r="T9" i="19" a="1"/>
  <c r="T2" i="19" a="1"/>
  <c r="T3" i="19" a="1"/>
  <c r="R9" i="19" a="1"/>
  <c r="Q7" i="19" a="1"/>
  <c r="U2" i="19" a="1"/>
  <c r="Q8" i="19" a="1"/>
  <c r="U3" i="19" a="1"/>
  <c r="U4" i="19" a="1"/>
  <c r="Q9" i="18" a="1"/>
  <c r="U4" i="18" a="1"/>
  <c r="T2" i="18" a="1"/>
  <c r="U7" i="18" a="1"/>
  <c r="R2" i="18" a="1"/>
  <c r="T6" i="18" a="1"/>
  <c r="T7" i="18" a="1"/>
  <c r="U5" i="18" a="1"/>
  <c r="T3" i="18" a="1"/>
  <c r="U6" i="18" a="1"/>
  <c r="T4" i="18" a="1"/>
  <c r="T5" i="18" a="1"/>
  <c r="U8" i="18" a="1"/>
  <c r="R3" i="18" a="1"/>
  <c r="U9" i="18" a="1"/>
  <c r="R4" i="18" a="1"/>
  <c r="Q2" i="18" a="1"/>
  <c r="Q8" i="18" a="1"/>
  <c r="T8" i="18" a="1"/>
  <c r="R5" i="18" a="1"/>
  <c r="Q3" i="18" a="1"/>
  <c r="Q5" i="18" a="1"/>
  <c r="R8" i="18" a="1"/>
  <c r="Q7" i="18" a="1"/>
  <c r="T9" i="18" a="1"/>
  <c r="R6" i="18" a="1"/>
  <c r="Q4" i="18" a="1"/>
  <c r="R7" i="18" a="1"/>
  <c r="Q6" i="18" a="1"/>
  <c r="R9" i="18" a="1"/>
  <c r="U2" i="18" a="1"/>
  <c r="U3" i="18" a="1"/>
  <c r="Q20" i="17" a="1"/>
  <c r="U20" i="17" a="1"/>
  <c r="Q19" i="17" a="1"/>
  <c r="T20" i="17" a="1"/>
  <c r="U19" i="17" a="1"/>
  <c r="R20" i="17" a="1"/>
  <c r="R19" i="17" a="1"/>
  <c r="T19" i="17" a="1"/>
  <c r="U16" i="17" a="1"/>
  <c r="T14" i="17" a="1"/>
  <c r="R11" i="17" a="1"/>
  <c r="Q9" i="17" a="1"/>
  <c r="U4" i="17" a="1"/>
  <c r="T2" i="17" a="1"/>
  <c r="T15" i="17" a="1"/>
  <c r="R12" i="17" a="1"/>
  <c r="Q10" i="17" a="1"/>
  <c r="U5" i="17" a="1"/>
  <c r="T3" i="17" a="1"/>
  <c r="T16" i="17" a="1"/>
  <c r="R13" i="17" a="1"/>
  <c r="Q11" i="17" a="1"/>
  <c r="U6" i="17" a="1"/>
  <c r="T4" i="17" a="1"/>
  <c r="T17" i="17" a="1"/>
  <c r="R14" i="17" a="1"/>
  <c r="Q12" i="17" a="1"/>
  <c r="U7" i="17" a="1"/>
  <c r="T5" i="17" a="1"/>
  <c r="U8" i="17" a="1"/>
  <c r="T6" i="17" a="1"/>
  <c r="R3" i="17" a="1"/>
  <c r="Q14" i="17" a="1"/>
  <c r="T7" i="17" a="1"/>
  <c r="Q2" i="17" a="1"/>
  <c r="T8" i="17" a="1"/>
  <c r="Q4" i="17" a="1"/>
  <c r="U17" i="17" a="1"/>
  <c r="U18" i="17" a="1"/>
  <c r="R2" i="17" a="1"/>
  <c r="T18" i="17" a="1"/>
  <c r="R15" i="17" a="1"/>
  <c r="Q13" i="17" a="1"/>
  <c r="R16" i="17" a="1"/>
  <c r="R7" i="17" a="1"/>
  <c r="R17" i="17" a="1"/>
  <c r="Q15" i="17" a="1"/>
  <c r="R5" i="17" a="1"/>
  <c r="T10" i="17" a="1"/>
  <c r="U13" i="17" a="1"/>
  <c r="R18" i="17" a="1"/>
  <c r="Q16" i="17" a="1"/>
  <c r="U11" i="17" a="1"/>
  <c r="T9" i="17" a="1"/>
  <c r="R6" i="17" a="1"/>
  <c r="U12" i="17" a="1"/>
  <c r="Q18" i="17" a="1"/>
  <c r="U14" i="17" a="1"/>
  <c r="T12" i="17" a="1"/>
  <c r="R9" i="17" a="1"/>
  <c r="U15" i="17" a="1"/>
  <c r="T13" i="17" a="1"/>
  <c r="R10" i="17" a="1"/>
  <c r="Q8" i="17" a="1"/>
  <c r="U3" i="17" a="1"/>
  <c r="U9" i="17" a="1"/>
  <c r="R4" i="17" a="1"/>
  <c r="U10" i="17" a="1"/>
  <c r="Q3" i="17" a="1"/>
  <c r="Q17" i="17" a="1"/>
  <c r="Q5" i="17" a="1"/>
  <c r="T11" i="17" a="1"/>
  <c r="R8" i="17" a="1"/>
  <c r="Q6" i="17" a="1"/>
  <c r="Q7" i="17" a="1"/>
  <c r="U2" i="17" a="1"/>
  <c r="T17" i="16" a="1"/>
  <c r="Q17" i="16" a="1"/>
  <c r="Q10" i="16" a="1"/>
  <c r="T12" i="16" a="1"/>
  <c r="R10" i="16" a="1"/>
  <c r="Q15" i="16" a="1"/>
  <c r="R16" i="16" a="1"/>
  <c r="T11" i="16" a="1"/>
  <c r="U12" i="16" a="1"/>
  <c r="U18" i="16" a="1"/>
  <c r="Q14" i="16" a="1"/>
  <c r="R15" i="16" a="1"/>
  <c r="T10" i="16" a="1"/>
  <c r="Q13" i="16" a="1"/>
  <c r="R14" i="16" a="1"/>
  <c r="T14" i="16" a="1"/>
  <c r="R12" i="16" a="1"/>
  <c r="T13" i="16" a="1"/>
  <c r="U14" i="16" a="1"/>
  <c r="U13" i="16" a="1"/>
  <c r="U17" i="16" a="1"/>
  <c r="U10" i="16" a="1"/>
  <c r="T15" i="16" a="1"/>
  <c r="U16" i="16" a="1"/>
  <c r="U15" i="16" a="1"/>
  <c r="R18" i="16" a="1"/>
  <c r="Q16" i="16" a="1"/>
  <c r="U11" i="16" a="1"/>
  <c r="T16" i="16" a="1"/>
  <c r="Q12" i="16" a="1"/>
  <c r="R13" i="16" a="1"/>
  <c r="Q18" i="16" a="1"/>
  <c r="Q11" i="16" a="1"/>
  <c r="R11" i="16" a="1"/>
  <c r="R17" i="16" a="1"/>
  <c r="T18" i="16" a="1"/>
  <c r="U7" i="16" a="1"/>
  <c r="T5" i="16" a="1"/>
  <c r="R2" i="16" a="1"/>
  <c r="T8" i="16" a="1"/>
  <c r="R9" i="16" a="1"/>
  <c r="U8" i="16" a="1"/>
  <c r="T6" i="16" a="1"/>
  <c r="R3" i="16" a="1"/>
  <c r="R5" i="16" a="1"/>
  <c r="T9" i="16" a="1"/>
  <c r="Q4" i="16" a="1"/>
  <c r="R7" i="16" a="1"/>
  <c r="Q5" i="16" a="1"/>
  <c r="Q8" i="16" a="1"/>
  <c r="U3" i="16" a="1"/>
  <c r="T2" i="16" a="1"/>
  <c r="U6" i="16" a="1"/>
  <c r="U9" i="16" a="1"/>
  <c r="T7" i="16" a="1"/>
  <c r="R4" i="16" a="1"/>
  <c r="Q2" i="16" a="1"/>
  <c r="Q3" i="16" a="1"/>
  <c r="R6" i="16" a="1"/>
  <c r="Q7" i="16" a="1"/>
  <c r="T4" i="16" a="1"/>
  <c r="U5" i="16" a="1"/>
  <c r="R8" i="16" a="1"/>
  <c r="Q6" i="16" a="1"/>
  <c r="U2" i="16" a="1"/>
  <c r="Q9" i="16" a="1"/>
  <c r="U4" i="16" a="1"/>
  <c r="T3" i="16" a="1"/>
  <c r="U3" i="15" a="1"/>
  <c r="U9" i="15" a="1"/>
  <c r="U4" i="15" a="1"/>
  <c r="U5" i="15" a="1"/>
  <c r="U6" i="15" a="1"/>
  <c r="U7" i="15" a="1"/>
  <c r="U8" i="15" a="1"/>
  <c r="T3" i="15" a="1"/>
  <c r="T9" i="15" a="1"/>
  <c r="T8" i="15" a="1"/>
  <c r="T4" i="15" a="1"/>
  <c r="T5" i="15" a="1"/>
  <c r="T6" i="15" a="1"/>
  <c r="T7" i="15" a="1"/>
  <c r="U2" i="15" a="1"/>
  <c r="T2" i="15" a="1"/>
  <c r="R3" i="15" a="1"/>
  <c r="R9" i="15" a="1"/>
  <c r="R6" i="15" a="1"/>
  <c r="R4" i="15" a="1"/>
  <c r="R7" i="15" a="1"/>
  <c r="R8" i="15" a="1"/>
  <c r="R5" i="15" a="1"/>
  <c r="R2" i="15" a="1"/>
  <c r="Q3" i="15" a="1"/>
  <c r="Q9" i="15" a="1"/>
  <c r="Q4" i="15" a="1"/>
  <c r="Q5" i="15" a="1"/>
  <c r="Q8" i="15" a="1"/>
  <c r="Q6" i="15" a="1"/>
  <c r="Q7" i="15" a="1"/>
  <c r="Q2" i="15" a="1"/>
  <c r="Q3" i="21" l="1"/>
  <c r="U9" i="21"/>
  <c r="T5" i="21"/>
  <c r="T4" i="21"/>
  <c r="Q10" i="21"/>
  <c r="R5" i="21"/>
  <c r="T7" i="21"/>
  <c r="U8" i="21"/>
  <c r="R2" i="21"/>
  <c r="Q11" i="21"/>
  <c r="S11" i="21" s="1"/>
  <c r="V11" i="21" s="1"/>
  <c r="U5" i="21"/>
  <c r="R11" i="21"/>
  <c r="Q8" i="21"/>
  <c r="R9" i="21"/>
  <c r="Q6" i="21"/>
  <c r="R8" i="21"/>
  <c r="T11" i="21"/>
  <c r="U10" i="21"/>
  <c r="R4" i="21"/>
  <c r="R3" i="21"/>
  <c r="U7" i="21"/>
  <c r="T2" i="21"/>
  <c r="Q9" i="21"/>
  <c r="U3" i="21"/>
  <c r="R10" i="21"/>
  <c r="Q5" i="21"/>
  <c r="S5" i="21" s="1"/>
  <c r="V5" i="21" s="1"/>
  <c r="R7" i="21"/>
  <c r="T10" i="21"/>
  <c r="T8" i="21"/>
  <c r="Q2" i="21"/>
  <c r="T6" i="21"/>
  <c r="U6" i="21"/>
  <c r="T3" i="21"/>
  <c r="U4" i="21"/>
  <c r="U2" i="21"/>
  <c r="Q7" i="21"/>
  <c r="Q4" i="21"/>
  <c r="R6" i="21"/>
  <c r="T9" i="21"/>
  <c r="U11" i="21"/>
  <c r="T3" i="20"/>
  <c r="U3" i="20"/>
  <c r="Q6" i="20"/>
  <c r="R8" i="20"/>
  <c r="T11" i="20"/>
  <c r="U13" i="20"/>
  <c r="Q5" i="20"/>
  <c r="R7" i="20"/>
  <c r="T10" i="20"/>
  <c r="U12" i="20"/>
  <c r="Q10" i="20"/>
  <c r="U4" i="20"/>
  <c r="Q8" i="20"/>
  <c r="S8" i="20" s="1"/>
  <c r="T13" i="20"/>
  <c r="R9" i="20"/>
  <c r="T9" i="20"/>
  <c r="Q3" i="20"/>
  <c r="T8" i="20"/>
  <c r="Q2" i="20"/>
  <c r="U9" i="20"/>
  <c r="R3" i="20"/>
  <c r="T6" i="20"/>
  <c r="U8" i="20"/>
  <c r="Q13" i="20"/>
  <c r="S13" i="20" s="1"/>
  <c r="V13" i="20" s="1"/>
  <c r="U5" i="20"/>
  <c r="R12" i="20"/>
  <c r="T2" i="20"/>
  <c r="Q9" i="20"/>
  <c r="S9" i="20" s="1"/>
  <c r="V9" i="20" s="1"/>
  <c r="R10" i="20"/>
  <c r="Q7" i="20"/>
  <c r="S7" i="20" s="1"/>
  <c r="V7" i="20" s="1"/>
  <c r="R6" i="20"/>
  <c r="R5" i="20"/>
  <c r="T7" i="20"/>
  <c r="R2" i="20"/>
  <c r="T5" i="20"/>
  <c r="U7" i="20"/>
  <c r="Q12" i="20"/>
  <c r="S12" i="20" s="1"/>
  <c r="V12" i="20" s="1"/>
  <c r="R11" i="20"/>
  <c r="U2" i="20"/>
  <c r="T12" i="20"/>
  <c r="Q4" i="20"/>
  <c r="U11" i="20"/>
  <c r="U10" i="20"/>
  <c r="R4" i="20"/>
  <c r="T4" i="20"/>
  <c r="U6" i="20"/>
  <c r="Q11" i="20"/>
  <c r="S11" i="20" s="1"/>
  <c r="R13" i="20"/>
  <c r="U19" i="19"/>
  <c r="U20" i="19"/>
  <c r="Q13" i="19"/>
  <c r="R16" i="19"/>
  <c r="R17" i="19"/>
  <c r="U10" i="19"/>
  <c r="R18" i="19"/>
  <c r="Q16" i="19"/>
  <c r="S16" i="19" s="1"/>
  <c r="U11" i="19"/>
  <c r="R19" i="19"/>
  <c r="Q17" i="19"/>
  <c r="S17" i="19" s="1"/>
  <c r="V17" i="19" s="1"/>
  <c r="U12" i="19"/>
  <c r="T10" i="19"/>
  <c r="R10" i="19"/>
  <c r="R14" i="19"/>
  <c r="Q14" i="19"/>
  <c r="S14" i="19" s="1"/>
  <c r="T20" i="19"/>
  <c r="Q15" i="19"/>
  <c r="S15" i="19" s="1"/>
  <c r="U13" i="19"/>
  <c r="U15" i="19"/>
  <c r="U16" i="19"/>
  <c r="T14" i="19"/>
  <c r="R11" i="19"/>
  <c r="Q12" i="19"/>
  <c r="S12" i="19" s="1"/>
  <c r="V12" i="19" s="1"/>
  <c r="R15" i="19"/>
  <c r="Q18" i="19"/>
  <c r="T11" i="19"/>
  <c r="U14" i="19"/>
  <c r="Q20" i="19"/>
  <c r="S20" i="19" s="1"/>
  <c r="V20" i="19" s="1"/>
  <c r="T13" i="19"/>
  <c r="U17" i="19"/>
  <c r="T15" i="19"/>
  <c r="R12" i="19"/>
  <c r="Q10" i="19"/>
  <c r="S10" i="19" s="1"/>
  <c r="V10" i="19" s="1"/>
  <c r="T17" i="19"/>
  <c r="T18" i="19"/>
  <c r="T19" i="19"/>
  <c r="R20" i="19"/>
  <c r="Q19" i="19"/>
  <c r="T12" i="19"/>
  <c r="U18" i="19"/>
  <c r="T16" i="19"/>
  <c r="R13" i="19"/>
  <c r="Q11" i="19"/>
  <c r="U4" i="19"/>
  <c r="U3" i="19"/>
  <c r="Q8" i="19"/>
  <c r="U2" i="19"/>
  <c r="Q7" i="19"/>
  <c r="S7" i="19" s="1"/>
  <c r="R9" i="19"/>
  <c r="T3" i="19"/>
  <c r="T2" i="19"/>
  <c r="T9" i="19"/>
  <c r="Q3" i="19"/>
  <c r="S3" i="19" s="1"/>
  <c r="V3" i="19" s="1"/>
  <c r="Q2" i="19"/>
  <c r="S2" i="19" s="1"/>
  <c r="V2" i="19" s="1"/>
  <c r="R4" i="19"/>
  <c r="T7" i="19"/>
  <c r="U9" i="19"/>
  <c r="T4" i="19"/>
  <c r="U5" i="19"/>
  <c r="Q9" i="19"/>
  <c r="R8" i="19"/>
  <c r="Q5" i="19"/>
  <c r="S5" i="19" s="1"/>
  <c r="V5" i="19" s="1"/>
  <c r="R6" i="19"/>
  <c r="T8" i="19"/>
  <c r="R3" i="19"/>
  <c r="T6" i="19"/>
  <c r="U8" i="19"/>
  <c r="U6" i="19"/>
  <c r="Q6" i="19"/>
  <c r="R7" i="19"/>
  <c r="Q4" i="19"/>
  <c r="R5" i="19"/>
  <c r="R2" i="19"/>
  <c r="T5" i="19"/>
  <c r="U7" i="19"/>
  <c r="U3" i="18"/>
  <c r="U2" i="18"/>
  <c r="R9" i="18"/>
  <c r="Q6" i="18"/>
  <c r="R7" i="18"/>
  <c r="Q4" i="18"/>
  <c r="R6" i="18"/>
  <c r="T9" i="18"/>
  <c r="Q7" i="18"/>
  <c r="R8" i="18"/>
  <c r="Q5" i="18"/>
  <c r="S5" i="18" s="1"/>
  <c r="Q3" i="18"/>
  <c r="R5" i="18"/>
  <c r="T8" i="18"/>
  <c r="Q8" i="18"/>
  <c r="S8" i="18" s="1"/>
  <c r="V8" i="18" s="1"/>
  <c r="Q2" i="18"/>
  <c r="R4" i="18"/>
  <c r="U9" i="18"/>
  <c r="R3" i="18"/>
  <c r="U8" i="18"/>
  <c r="T5" i="18"/>
  <c r="T4" i="18"/>
  <c r="U6" i="18"/>
  <c r="T3" i="18"/>
  <c r="U5" i="18"/>
  <c r="T7" i="18"/>
  <c r="T6" i="18"/>
  <c r="R2" i="18"/>
  <c r="U7" i="18"/>
  <c r="T2" i="18"/>
  <c r="U4" i="18"/>
  <c r="Q9" i="18"/>
  <c r="S9" i="18" s="1"/>
  <c r="T19" i="17"/>
  <c r="R19" i="17"/>
  <c r="R20" i="17"/>
  <c r="U19" i="17"/>
  <c r="T20" i="17"/>
  <c r="Q19" i="17"/>
  <c r="S19" i="17" s="1"/>
  <c r="V19" i="17" s="1"/>
  <c r="U20" i="17"/>
  <c r="Q20" i="17"/>
  <c r="S20" i="17" s="1"/>
  <c r="V20" i="17" s="1"/>
  <c r="U2" i="17"/>
  <c r="Q7" i="17"/>
  <c r="Q6" i="17"/>
  <c r="R8" i="17"/>
  <c r="T11" i="17"/>
  <c r="Q5" i="17"/>
  <c r="S5" i="17" s="1"/>
  <c r="Q17" i="17"/>
  <c r="Q3" i="17"/>
  <c r="U10" i="17"/>
  <c r="R4" i="17"/>
  <c r="U9" i="17"/>
  <c r="U3" i="17"/>
  <c r="Q8" i="17"/>
  <c r="R10" i="17"/>
  <c r="T13" i="17"/>
  <c r="U15" i="17"/>
  <c r="R9" i="17"/>
  <c r="T12" i="17"/>
  <c r="U14" i="17"/>
  <c r="Q18" i="17"/>
  <c r="S18" i="17" s="1"/>
  <c r="U12" i="17"/>
  <c r="R6" i="17"/>
  <c r="T9" i="17"/>
  <c r="U11" i="17"/>
  <c r="Q16" i="17"/>
  <c r="R18" i="17"/>
  <c r="U13" i="17"/>
  <c r="T10" i="17"/>
  <c r="R5" i="17"/>
  <c r="Q15" i="17"/>
  <c r="R17" i="17"/>
  <c r="R7" i="17"/>
  <c r="R16" i="17"/>
  <c r="Q13" i="17"/>
  <c r="S13" i="17" s="1"/>
  <c r="V13" i="17" s="1"/>
  <c r="R15" i="17"/>
  <c r="T18" i="17"/>
  <c r="R2" i="17"/>
  <c r="U18" i="17"/>
  <c r="U17" i="17"/>
  <c r="Q4" i="17"/>
  <c r="T8" i="17"/>
  <c r="Q2" i="17"/>
  <c r="S2" i="17" s="1"/>
  <c r="V2" i="17" s="1"/>
  <c r="T7" i="17"/>
  <c r="Q14" i="17"/>
  <c r="S14" i="17" s="1"/>
  <c r="V14" i="17" s="1"/>
  <c r="R3" i="17"/>
  <c r="T6" i="17"/>
  <c r="U8" i="17"/>
  <c r="T5" i="17"/>
  <c r="U7" i="17"/>
  <c r="Q12" i="17"/>
  <c r="S12" i="17" s="1"/>
  <c r="R14" i="17"/>
  <c r="T17" i="17"/>
  <c r="T4" i="17"/>
  <c r="U6" i="17"/>
  <c r="Q11" i="17"/>
  <c r="S11" i="17" s="1"/>
  <c r="R13" i="17"/>
  <c r="T16" i="17"/>
  <c r="T3" i="17"/>
  <c r="U5" i="17"/>
  <c r="Q10" i="17"/>
  <c r="S10" i="17" s="1"/>
  <c r="V10" i="17" s="1"/>
  <c r="R12" i="17"/>
  <c r="T15" i="17"/>
  <c r="T2" i="17"/>
  <c r="U4" i="17"/>
  <c r="Q9" i="17"/>
  <c r="S9" i="17" s="1"/>
  <c r="R11" i="17"/>
  <c r="T14" i="17"/>
  <c r="U16" i="17"/>
  <c r="T17" i="16"/>
  <c r="Q17" i="16"/>
  <c r="T18" i="16"/>
  <c r="R17" i="16"/>
  <c r="R11" i="16"/>
  <c r="S17" i="16"/>
  <c r="V17" i="16" s="1"/>
  <c r="Q11" i="16"/>
  <c r="S11" i="16" s="1"/>
  <c r="Q18" i="16"/>
  <c r="R13" i="16"/>
  <c r="Q12" i="16"/>
  <c r="T16" i="16"/>
  <c r="U11" i="16"/>
  <c r="Q16" i="16"/>
  <c r="S16" i="16" s="1"/>
  <c r="V16" i="16" s="1"/>
  <c r="R18" i="16"/>
  <c r="U15" i="16"/>
  <c r="U16" i="16"/>
  <c r="T15" i="16"/>
  <c r="U10" i="16"/>
  <c r="U17" i="16"/>
  <c r="U13" i="16"/>
  <c r="U14" i="16"/>
  <c r="T13" i="16"/>
  <c r="R12" i="16"/>
  <c r="T14" i="16"/>
  <c r="R14" i="16"/>
  <c r="Q13" i="16"/>
  <c r="S13" i="16" s="1"/>
  <c r="V13" i="16" s="1"/>
  <c r="T10" i="16"/>
  <c r="R15" i="16"/>
  <c r="Q14" i="16"/>
  <c r="U18" i="16"/>
  <c r="U12" i="16"/>
  <c r="T11" i="16"/>
  <c r="R16" i="16"/>
  <c r="Q15" i="16"/>
  <c r="S15" i="16" s="1"/>
  <c r="V15" i="16" s="1"/>
  <c r="R10" i="16"/>
  <c r="T12" i="16"/>
  <c r="Q10" i="16"/>
  <c r="S10" i="16" s="1"/>
  <c r="V10" i="16" s="1"/>
  <c r="T3" i="16"/>
  <c r="U4" i="16"/>
  <c r="Q9" i="16"/>
  <c r="S9" i="16" s="1"/>
  <c r="U2" i="16"/>
  <c r="Q6" i="16"/>
  <c r="R8" i="16"/>
  <c r="U5" i="16"/>
  <c r="T4" i="16"/>
  <c r="Q7" i="16"/>
  <c r="R6" i="16"/>
  <c r="Q3" i="16"/>
  <c r="S3" i="16" s="1"/>
  <c r="V3" i="16" s="1"/>
  <c r="Q2" i="16"/>
  <c r="S2" i="16" s="1"/>
  <c r="V2" i="16" s="1"/>
  <c r="R4" i="16"/>
  <c r="T7" i="16"/>
  <c r="U9" i="16"/>
  <c r="U6" i="16"/>
  <c r="T2" i="16"/>
  <c r="U3" i="16"/>
  <c r="Q8" i="16"/>
  <c r="S8" i="16" s="1"/>
  <c r="V8" i="16" s="1"/>
  <c r="Q5" i="16"/>
  <c r="R7" i="16"/>
  <c r="Q4" i="16"/>
  <c r="S4" i="16" s="1"/>
  <c r="V4" i="16" s="1"/>
  <c r="T9" i="16"/>
  <c r="R5" i="16"/>
  <c r="R3" i="16"/>
  <c r="T6" i="16"/>
  <c r="U8" i="16"/>
  <c r="R9" i="16"/>
  <c r="T8" i="16"/>
  <c r="R2" i="16"/>
  <c r="T5" i="16"/>
  <c r="U7" i="16"/>
  <c r="U8" i="15"/>
  <c r="U7" i="15"/>
  <c r="U6" i="15"/>
  <c r="U5" i="15"/>
  <c r="U4" i="15"/>
  <c r="U9" i="15"/>
  <c r="U3" i="15"/>
  <c r="T7" i="15"/>
  <c r="T6" i="15"/>
  <c r="T5" i="15"/>
  <c r="T4" i="15"/>
  <c r="T8" i="15"/>
  <c r="T9" i="15"/>
  <c r="T3" i="15"/>
  <c r="U2" i="15"/>
  <c r="T2" i="15"/>
  <c r="R5" i="15"/>
  <c r="R8" i="15"/>
  <c r="R7" i="15"/>
  <c r="R4" i="15"/>
  <c r="R6" i="15"/>
  <c r="R9" i="15"/>
  <c r="R3" i="15"/>
  <c r="R2" i="15"/>
  <c r="Q7" i="15"/>
  <c r="Q6" i="15"/>
  <c r="Q8" i="15"/>
  <c r="Q5" i="15"/>
  <c r="Q4" i="15"/>
  <c r="Q9" i="15"/>
  <c r="Q3" i="15"/>
  <c r="Q2" i="15"/>
  <c r="S3" i="15"/>
  <c r="S4" i="21" l="1"/>
  <c r="V4" i="21" s="1"/>
  <c r="S7" i="21"/>
  <c r="V7" i="21" s="1"/>
  <c r="S10" i="21"/>
  <c r="V10" i="21" s="1"/>
  <c r="S8" i="21"/>
  <c r="V8" i="21" s="1"/>
  <c r="S6" i="21"/>
  <c r="V6" i="21" s="1"/>
  <c r="S9" i="21"/>
  <c r="V9" i="21" s="1"/>
  <c r="S2" i="21"/>
  <c r="V2" i="21" s="1"/>
  <c r="S3" i="21"/>
  <c r="V3" i="21" s="1"/>
  <c r="V8" i="20"/>
  <c r="S3" i="20"/>
  <c r="V3" i="20" s="1"/>
  <c r="S10" i="20"/>
  <c r="V10" i="20" s="1"/>
  <c r="S6" i="20"/>
  <c r="V6" i="20" s="1"/>
  <c r="S2" i="20"/>
  <c r="V2" i="20" s="1"/>
  <c r="S4" i="20"/>
  <c r="V4" i="20" s="1"/>
  <c r="V11" i="20"/>
  <c r="S5" i="20"/>
  <c r="V5" i="20" s="1"/>
  <c r="V16" i="19"/>
  <c r="V14" i="19"/>
  <c r="S19" i="19"/>
  <c r="V19" i="19" s="1"/>
  <c r="S13" i="19"/>
  <c r="V13" i="19" s="1"/>
  <c r="S11" i="19"/>
  <c r="V11" i="19" s="1"/>
  <c r="V15" i="19"/>
  <c r="S18" i="19"/>
  <c r="V18" i="19" s="1"/>
  <c r="S8" i="19"/>
  <c r="V8" i="19" s="1"/>
  <c r="S9" i="19"/>
  <c r="V9" i="19" s="1"/>
  <c r="S6" i="19"/>
  <c r="V6" i="19" s="1"/>
  <c r="V7" i="19"/>
  <c r="S4" i="19"/>
  <c r="V4" i="19" s="1"/>
  <c r="V5" i="18"/>
  <c r="S2" i="18"/>
  <c r="V2" i="18" s="1"/>
  <c r="S7" i="18"/>
  <c r="V7" i="18" s="1"/>
  <c r="S3" i="18"/>
  <c r="V3" i="18" s="1"/>
  <c r="S4" i="18"/>
  <c r="V4" i="18" s="1"/>
  <c r="V9" i="18"/>
  <c r="S6" i="18"/>
  <c r="V6" i="18" s="1"/>
  <c r="S3" i="17"/>
  <c r="V3" i="17" s="1"/>
  <c r="V18" i="17"/>
  <c r="V5" i="17"/>
  <c r="S4" i="17"/>
  <c r="V4" i="17" s="1"/>
  <c r="S6" i="17"/>
  <c r="V6" i="17" s="1"/>
  <c r="S15" i="17"/>
  <c r="V15" i="17" s="1"/>
  <c r="V12" i="17"/>
  <c r="S7" i="17"/>
  <c r="V7" i="17" s="1"/>
  <c r="V11" i="17"/>
  <c r="S17" i="17"/>
  <c r="V17" i="17" s="1"/>
  <c r="V9" i="17"/>
  <c r="S16" i="17"/>
  <c r="V16" i="17" s="1"/>
  <c r="S8" i="17"/>
  <c r="V8" i="17" s="1"/>
  <c r="S12" i="16"/>
  <c r="V12" i="16" s="1"/>
  <c r="S18" i="16"/>
  <c r="V18" i="16" s="1"/>
  <c r="S14" i="16"/>
  <c r="V14" i="16" s="1"/>
  <c r="V11" i="16"/>
  <c r="V9" i="16"/>
  <c r="S7" i="16"/>
  <c r="V7" i="16" s="1"/>
  <c r="S5" i="16"/>
  <c r="V5" i="16" s="1"/>
  <c r="S6" i="16"/>
  <c r="V6" i="16" s="1"/>
  <c r="V2" i="15"/>
  <c r="V3" i="15"/>
  <c r="S4" i="15"/>
  <c r="V4" i="15" s="1"/>
  <c r="S5" i="15"/>
  <c r="V5" i="15" s="1"/>
  <c r="S6" i="15"/>
  <c r="V6" i="15" s="1"/>
  <c r="S8" i="15"/>
  <c r="V8" i="15" s="1"/>
  <c r="S7" i="15"/>
  <c r="V7" i="15" s="1"/>
  <c r="S9" i="15"/>
  <c r="V9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DBACF-D104-FF45-ADB6-6616B8F1CA3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1918B5ED-FFDE-7F46-A02A-F90748244A4E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0022E35C-8554-0D47-A1EE-1B27F0CA5556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7E4C528A-39BD-6948-B11D-E58679F4781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5" xr16:uid="{DB13BAAE-57E6-1A42-8FE9-F5AE070F5CFE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6" xr16:uid="{B2668136-3C3A-6241-8434-C931FF61956A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7" xr16:uid="{0479212A-23B6-A34D-9CF1-0E32E8C014ED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<sst xmlns="http://schemas.openxmlformats.org/spreadsheetml/2006/main" count="163" uniqueCount="25">
  <si>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</si>
  <si>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</si>
  <si>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</si>
  <si>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</si>
  <si>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</si>
  <si>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</si>
  <si>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</si>
  <si>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</si>
  <si>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</si>
  <si>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</si>
  <si>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</si>
  <si>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</si>
  <si>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</si>
  <si>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</si>
  <si>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</si>
  <si>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</si>
  <si>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</si>
  <si>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</si>
  <si>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</si>
  <si>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</si>
  <si>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</si>
  <si>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</si>
  <si>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</si>
  <si>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Velocity (m/s)</t>
  </si>
  <si>
    <t>Q_steady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</si>
</sst>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A0DCF2-F302-234F-8D3A-F0A79CD52A63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F854DC6-0DE2-4045-9A22-265FC6A05489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1693306-F9E6-9842-9A66-F4494C3BEB9A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78BDE87-391E-6A43-8B64-E8C41E7D84C5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B9A5A6BF-B46B-5F40-A605-A8A877D419AC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D05A60B4-958C-6442-AC05-4925D143D69E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DA633E50-433E-5348-9207-17E6C3A105F4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6E360F-5EEF-9549-A4B5-E544756049EF}" name="sheet1" displayName="sheet1" ref="A1:O9" tableType="queryTable" totalsRowShown="0">
  <autoFilter ref="A1:O9" xr:uid="{8A6E360F-5EEF-9549-A4B5-E544756049EF}"/>
  <tableColumns count="15">
    <tableColumn id="1" xr3:uid="{1E3E27C6-CECA-4F40-847D-E1242845E00F}" uniqueName="1" name="Time" queryTableFieldId="1"/>
    <tableColumn id="2" xr3:uid="{8660D2B2-934D-DD41-827D-788A653A5B9B}" uniqueName="2" name="T1" queryTableFieldId="2"/>
    <tableColumn id="3" xr3:uid="{A21CFAD5-8B9B-F74F-B47F-93805A0AD4CD}" uniqueName="3" name="T2" queryTableFieldId="3"/>
    <tableColumn id="4" xr3:uid="{372F4F48-6E8F-494B-B2EF-947D0B18DD38}" uniqueName="4" name="T3" queryTableFieldId="4"/>
    <tableColumn id="5" xr3:uid="{EFEDBFD0-A897-5F40-A54B-00DDECCB69D2}" uniqueName="5" name="T4" queryTableFieldId="5"/>
    <tableColumn id="6" xr3:uid="{C40B7E47-D792-AC43-81A4-1C61343C0EAC}" uniqueName="6" name="T5" queryTableFieldId="6"/>
    <tableColumn id="7" xr3:uid="{1C4BAC9C-09BE-844B-A758-CAA1C72473A9}" uniqueName="7" name="T6" queryTableFieldId="7"/>
    <tableColumn id="8" xr3:uid="{D16498AB-779A-F441-BCB7-BEF05127CA75}" uniqueName="8" name="T7" queryTableFieldId="8"/>
    <tableColumn id="9" xr3:uid="{ADAE82A3-1315-094F-8D9E-A7B2C795B0C2}" uniqueName="9" name="T8" queryTableFieldId="9"/>
    <tableColumn id="10" xr3:uid="{BCEC632A-724D-1D41-8299-F67D01D4F10A}" uniqueName="10" name="RTD_IN" queryTableFieldId="10"/>
    <tableColumn id="11" xr3:uid="{236B0D18-547B-CB45-AEA3-697A0B86C5FF}" uniqueName="11" name="RTD_OUT" queryTableFieldId="11"/>
    <tableColumn id="12" xr3:uid="{9E9D218C-5370-2746-B335-80E54C50DB2E}" uniqueName="12" name="DPT_TS" queryTableFieldId="12"/>
    <tableColumn id="13" xr3:uid="{49AF5B99-5378-8849-9A45-4B5CDB443080}" uniqueName="13" name="DPT_nozzle" queryTableFieldId="13"/>
    <tableColumn id="14" xr3:uid="{B7D92AA5-8BEE-4348-AB00-1FA9E727D82C}" uniqueName="14" name="Flow_gps" queryTableFieldId="14"/>
    <tableColumn id="15" xr3:uid="{6AAC4310-7E25-FA4C-8E92-4B3D619BDD26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DEDC57-9A76-3B43-A66D-2C160B97DF67}" name="sheet1__2" displayName="sheet1__2" ref="A1:O18" tableType="queryTable" totalsRowShown="0">
  <autoFilter ref="A1:O18" xr:uid="{DFDEDC57-9A76-3B43-A66D-2C160B97DF67}"/>
  <tableColumns count="15">
    <tableColumn id="1" xr3:uid="{8D0A82E1-C303-5B4B-847B-53F14BF6C426}" uniqueName="1" name="Time" queryTableFieldId="1"/>
    <tableColumn id="2" xr3:uid="{6BA25A4A-DBE2-254C-828E-520500461FF4}" uniqueName="2" name="T1" queryTableFieldId="2"/>
    <tableColumn id="3" xr3:uid="{AC80A2DB-655D-6A48-B824-5EB68F7003BA}" uniqueName="3" name="T2" queryTableFieldId="3"/>
    <tableColumn id="4" xr3:uid="{CF46CDC3-A560-A140-B8EF-C6BD4667C5A1}" uniqueName="4" name="T3" queryTableFieldId="4"/>
    <tableColumn id="5" xr3:uid="{AF84AF5D-F067-A742-995F-27DCDC8AA45A}" uniqueName="5" name="T4" queryTableFieldId="5"/>
    <tableColumn id="6" xr3:uid="{242C9BB8-432C-294D-9A57-26BF55C7D731}" uniqueName="6" name="T5" queryTableFieldId="6"/>
    <tableColumn id="7" xr3:uid="{F64C4AC7-FF5A-A24E-828E-DB95CD56ACE3}" uniqueName="7" name="T6" queryTableFieldId="7"/>
    <tableColumn id="8" xr3:uid="{FBB96EEA-4BE5-1843-B9AF-C2F8EA039F17}" uniqueName="8" name="T7" queryTableFieldId="8"/>
    <tableColumn id="9" xr3:uid="{ECC52F4A-9473-0543-A28C-A1DE007AA676}" uniqueName="9" name="T8" queryTableFieldId="9"/>
    <tableColumn id="10" xr3:uid="{C20D4880-5C4B-6E4A-B2B3-5348FF71CE05}" uniqueName="10" name="RTD_IN" queryTableFieldId="10"/>
    <tableColumn id="11" xr3:uid="{830BCC7F-0803-1E4D-B9D9-DD3789E014F2}" uniqueName="11" name="RTD_OUT" queryTableFieldId="11"/>
    <tableColumn id="12" xr3:uid="{EA0738B8-64BC-404A-8BCC-EE0E7B91CCBE}" uniqueName="12" name="DPT_TS" queryTableFieldId="12"/>
    <tableColumn id="13" xr3:uid="{B180EAC6-9211-A44B-BB58-20E66E33C214}" uniqueName="13" name="DPT_nozzle" queryTableFieldId="13"/>
    <tableColumn id="14" xr3:uid="{C2DA305D-9D5F-C546-A382-46837F1A11EB}" uniqueName="14" name="Flow_gps" queryTableFieldId="14"/>
    <tableColumn id="15" xr3:uid="{1569F9BA-7134-DB4F-AF80-0F58DCCDD279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526656-0A89-BE4E-BBF9-E303622FBD03}" name="sheet1__3" displayName="sheet1__3" ref="A1:O20" tableType="queryTable" totalsRowShown="0">
  <autoFilter ref="A1:O20" xr:uid="{58526656-0A89-BE4E-BBF9-E303622FBD03}"/>
  <tableColumns count="15">
    <tableColumn id="1" xr3:uid="{AF55D224-7162-E249-8E23-B6105D60BBB3}" uniqueName="1" name="Time" queryTableFieldId="1"/>
    <tableColumn id="2" xr3:uid="{A681CBAF-66AB-D543-9256-329182ABD6A5}" uniqueName="2" name="T1" queryTableFieldId="2"/>
    <tableColumn id="3" xr3:uid="{D271EB2F-DBF6-5C4C-8B42-871516B2835C}" uniqueName="3" name="T2" queryTableFieldId="3"/>
    <tableColumn id="4" xr3:uid="{2CCC9210-6682-BB47-A949-7F675EE6F674}" uniqueName="4" name="T3" queryTableFieldId="4"/>
    <tableColumn id="5" xr3:uid="{D1899383-C476-7047-B5F9-0D2308B1164A}" uniqueName="5" name="T4" queryTableFieldId="5"/>
    <tableColumn id="6" xr3:uid="{49C4A1AC-A0C1-654C-B73D-574AB97A2353}" uniqueName="6" name="T5" queryTableFieldId="6"/>
    <tableColumn id="7" xr3:uid="{A20498B0-32A7-CE47-ABEC-8E09AEABC4EB}" uniqueName="7" name="T6" queryTableFieldId="7"/>
    <tableColumn id="8" xr3:uid="{5982503E-99E6-C942-B0A4-78A7AC1DDACE}" uniqueName="8" name="T7" queryTableFieldId="8"/>
    <tableColumn id="9" xr3:uid="{C58F8733-D9E5-864B-B4BD-CFB634728393}" uniqueName="9" name="T8" queryTableFieldId="9"/>
    <tableColumn id="10" xr3:uid="{D11CA33D-83C5-1345-AC79-E9F7BC664C74}" uniqueName="10" name="RTD_IN" queryTableFieldId="10"/>
    <tableColumn id="11" xr3:uid="{FC1D43A6-A4F2-7B44-814F-E4E4108019BA}" uniqueName="11" name="RTD_OUT" queryTableFieldId="11"/>
    <tableColumn id="12" xr3:uid="{8FAFF824-4BBC-7F41-97B3-1B51168AA4CE}" uniqueName="12" name="DPT_TS" queryTableFieldId="12"/>
    <tableColumn id="13" xr3:uid="{8E089ABE-8DEE-8444-903A-FCBA67C9DB4A}" uniqueName="13" name="DPT_nozzle" queryTableFieldId="13"/>
    <tableColumn id="14" xr3:uid="{FEE84CF7-A924-624E-9701-14EF74A96640}" uniqueName="14" name="Flow_gps" queryTableFieldId="14"/>
    <tableColumn id="15" xr3:uid="{006666A5-2BD3-994D-B578-062D34F97371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9ABA2D-0B08-C64B-9F52-A0EFDD612289}" name="sheet1__4" displayName="sheet1__4" ref="A1:O9" tableType="queryTable" totalsRowShown="0">
  <autoFilter ref="A1:O9" xr:uid="{719ABA2D-0B08-C64B-9F52-A0EFDD612289}"/>
  <tableColumns count="15">
    <tableColumn id="1" xr3:uid="{6C32FF64-F078-734E-BAE7-0BD346A595D5}" uniqueName="1" name="Time" queryTableFieldId="1"/>
    <tableColumn id="2" xr3:uid="{2BF60349-4148-3D4A-A086-548FE446373C}" uniqueName="2" name="T1" queryTableFieldId="2"/>
    <tableColumn id="3" xr3:uid="{B38D049D-2AE2-BC40-A27D-97AF7BE75342}" uniqueName="3" name="T2" queryTableFieldId="3"/>
    <tableColumn id="4" xr3:uid="{0F12496B-1716-A644-9018-3F90240D6486}" uniqueName="4" name="T3" queryTableFieldId="4"/>
    <tableColumn id="5" xr3:uid="{AC1B6EFF-DDC8-114C-A842-489B670E2D2A}" uniqueName="5" name="T4" queryTableFieldId="5"/>
    <tableColumn id="6" xr3:uid="{9784E617-D264-B24B-BD49-69BFE5BFE82C}" uniqueName="6" name="T5" queryTableFieldId="6"/>
    <tableColumn id="7" xr3:uid="{6CB59C6E-8E55-EB42-B5F4-9FD8DB63DB06}" uniqueName="7" name="T6" queryTableFieldId="7"/>
    <tableColumn id="8" xr3:uid="{E07F4010-5B6A-8F42-82D4-892510E046DA}" uniqueName="8" name="T7" queryTableFieldId="8"/>
    <tableColumn id="9" xr3:uid="{3930F6B7-A5A4-CD4B-B4C7-8287CCAA2062}" uniqueName="9" name="T8" queryTableFieldId="9"/>
    <tableColumn id="10" xr3:uid="{DAB8F6AC-4173-D649-B075-82503904BE75}" uniqueName="10" name="RTD_IN" queryTableFieldId="10"/>
    <tableColumn id="11" xr3:uid="{C177353C-A895-934D-ADEB-47E15EFBBB9B}" uniqueName="11" name="RTD_OUT" queryTableFieldId="11"/>
    <tableColumn id="12" xr3:uid="{4E57BEE7-5EF2-3845-8DD1-4EADB956296B}" uniqueName="12" name="DPT_TS" queryTableFieldId="12"/>
    <tableColumn id="13" xr3:uid="{4045ECA1-D5AF-B044-962E-CDDC0F2AC397}" uniqueName="13" name="DPT_nozzle" queryTableFieldId="13"/>
    <tableColumn id="14" xr3:uid="{A69B96F1-F47E-0948-83C9-7CACCC085F2E}" uniqueName="14" name="Flow_gps" queryTableFieldId="14"/>
    <tableColumn id="15" xr3:uid="{6537A31F-CBA5-134D-9CC5-60CF093F0B53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F42CE5-CB5E-DF4F-A982-AC53BB9C6859}" name="sheet1__5" displayName="sheet1__5" ref="A1:O20" tableType="queryTable" totalsRowShown="0">
  <autoFilter ref="A1:O20" xr:uid="{D6F42CE5-CB5E-DF4F-A982-AC53BB9C6859}"/>
  <tableColumns count="15">
    <tableColumn id="1" xr3:uid="{A9D9DC0A-1015-5147-A1EF-9BFF8D7CFDF7}" uniqueName="1" name="Time" queryTableFieldId="1"/>
    <tableColumn id="2" xr3:uid="{6086BEFF-56A9-2141-BA28-93F6AF552435}" uniqueName="2" name="T1" queryTableFieldId="2"/>
    <tableColumn id="3" xr3:uid="{D49AAA81-CBA2-F548-94E8-0AE40BFDE8E7}" uniqueName="3" name="T2" queryTableFieldId="3"/>
    <tableColumn id="4" xr3:uid="{927E857B-DB4B-DB43-B7A0-E1A973A68382}" uniqueName="4" name="T3" queryTableFieldId="4"/>
    <tableColumn id="5" xr3:uid="{6019A49B-A5B2-0E44-86DB-731960040EDF}" uniqueName="5" name="T4" queryTableFieldId="5"/>
    <tableColumn id="6" xr3:uid="{D83166BE-45D8-F84E-B2BE-1D5DCC47B278}" uniqueName="6" name="T5" queryTableFieldId="6"/>
    <tableColumn id="7" xr3:uid="{8AFE3C36-0D80-0340-9597-D1E5E2D0B7CD}" uniqueName="7" name="T6" queryTableFieldId="7"/>
    <tableColumn id="8" xr3:uid="{4574FE83-829F-7442-9397-0A6CD3E1FE99}" uniqueName="8" name="T7" queryTableFieldId="8"/>
    <tableColumn id="9" xr3:uid="{2440926B-7753-2A42-BFAA-70B8A92A7EC5}" uniqueName="9" name="T8" queryTableFieldId="9"/>
    <tableColumn id="10" xr3:uid="{1B61D172-D0D6-5343-B934-47322E3B677A}" uniqueName="10" name="RTD_IN" queryTableFieldId="10"/>
    <tableColumn id="11" xr3:uid="{07D49732-A91C-234D-BAFD-E8B781D3FE4E}" uniqueName="11" name="RTD_OUT" queryTableFieldId="11"/>
    <tableColumn id="12" xr3:uid="{7B2FA335-DD44-3D47-813D-8E3697E32F13}" uniqueName="12" name="DPT_TS" queryTableFieldId="12"/>
    <tableColumn id="13" xr3:uid="{ACC4F3C6-340D-2247-9382-58F58256B97A}" uniqueName="13" name="DPT_nozzle" queryTableFieldId="13"/>
    <tableColumn id="14" xr3:uid="{54F40299-2B71-874C-98EC-B9E16A964108}" uniqueName="14" name="Flow_gps" queryTableFieldId="14"/>
    <tableColumn id="15" xr3:uid="{4D5FD89A-0EE6-014B-8C0B-2FD8A18DDD48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D3F4E5-9C66-1240-BAF7-993EE988B5BD}" name="sheet1__6" displayName="sheet1__6" ref="A1:O13" tableType="queryTable" totalsRowShown="0">
  <autoFilter ref="A1:O13" xr:uid="{AAD3F4E5-9C66-1240-BAF7-993EE988B5BD}"/>
  <tableColumns count="15">
    <tableColumn id="1" xr3:uid="{83DA665B-F7CD-894E-BCF0-E62F02914364}" uniqueName="1" name="Time" queryTableFieldId="1"/>
    <tableColumn id="2" xr3:uid="{C768049E-7AAE-B24C-B28B-5D25D9AE80B6}" uniqueName="2" name="T1" queryTableFieldId="2"/>
    <tableColumn id="3" xr3:uid="{0E3BBF07-5EB3-CE4F-B1AE-958C81384DE1}" uniqueName="3" name="T2" queryTableFieldId="3"/>
    <tableColumn id="4" xr3:uid="{4F211B1F-B5A7-2A4F-84F3-48FBD708D8CA}" uniqueName="4" name="T3" queryTableFieldId="4"/>
    <tableColumn id="5" xr3:uid="{076AAC9B-45FC-6540-B292-EB586E4C46E1}" uniqueName="5" name="T4" queryTableFieldId="5"/>
    <tableColumn id="6" xr3:uid="{BF644525-16B5-144C-80C1-0CF2182F2067}" uniqueName="6" name="T5" queryTableFieldId="6"/>
    <tableColumn id="7" xr3:uid="{4B11448A-3370-1C4B-936F-541C60D8D05E}" uniqueName="7" name="T6" queryTableFieldId="7"/>
    <tableColumn id="8" xr3:uid="{A53DD763-C61E-9C45-95C0-128BF09661BD}" uniqueName="8" name="T7" queryTableFieldId="8"/>
    <tableColumn id="9" xr3:uid="{97D5EF9E-0A18-8742-A3F1-8CBCE3356C74}" uniqueName="9" name="T8" queryTableFieldId="9"/>
    <tableColumn id="10" xr3:uid="{0DF7DD4C-D775-B442-860D-C3D9E8A3A0CA}" uniqueName="10" name="RTD_IN" queryTableFieldId="10"/>
    <tableColumn id="11" xr3:uid="{5D626B9C-E296-C24B-AF7E-734CDCC76D0D}" uniqueName="11" name="RTD_OUT" queryTableFieldId="11"/>
    <tableColumn id="12" xr3:uid="{C7D37579-F278-C74E-938C-E1A82CE36D00}" uniqueName="12" name="DPT_TS" queryTableFieldId="12"/>
    <tableColumn id="13" xr3:uid="{81BF349B-0982-CD4A-8409-49ACF5870068}" uniqueName="13" name="DPT_nozzle" queryTableFieldId="13"/>
    <tableColumn id="14" xr3:uid="{251CDE69-1496-8943-B111-7B79C4392D65}" uniqueName="14" name="Flow_gps" queryTableFieldId="14"/>
    <tableColumn id="15" xr3:uid="{79CE86EA-395C-CE4F-8618-FE3B282D9650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E43539-098B-FC43-8A3F-923AB9AD796D}" name="sheet1__7" displayName="sheet1__7" ref="A1:O11" tableType="queryTable" totalsRowShown="0">
  <autoFilter ref="A1:O11" xr:uid="{E3E43539-098B-FC43-8A3F-923AB9AD796D}"/>
  <tableColumns count="15">
    <tableColumn id="1" xr3:uid="{BC184B76-AE2A-EF4B-B073-5D22A35B0486}" uniqueName="1" name="Time" queryTableFieldId="1"/>
    <tableColumn id="2" xr3:uid="{D538C647-45AE-5649-ACA5-DBAFF27BADC8}" uniqueName="2" name="T1" queryTableFieldId="2"/>
    <tableColumn id="3" xr3:uid="{B5EC5954-B5F9-1F45-A593-3D155F0B9AE4}" uniqueName="3" name="T2" queryTableFieldId="3"/>
    <tableColumn id="4" xr3:uid="{65DB4F71-56DB-CE4B-87DE-C3C023B8733D}" uniqueName="4" name="T3" queryTableFieldId="4"/>
    <tableColumn id="5" xr3:uid="{6669E6FB-CCD0-7F46-B86E-3ECDC3868FB9}" uniqueName="5" name="T4" queryTableFieldId="5"/>
    <tableColumn id="6" xr3:uid="{59419CE2-B304-154F-BE6F-364BF649284F}" uniqueName="6" name="T5" queryTableFieldId="6"/>
    <tableColumn id="7" xr3:uid="{6D2B348E-DFFE-D944-B9AF-46545070D62A}" uniqueName="7" name="T6" queryTableFieldId="7"/>
    <tableColumn id="8" xr3:uid="{182B2201-6A31-964B-ABD3-CA1B359B69E6}" uniqueName="8" name="T7" queryTableFieldId="8"/>
    <tableColumn id="9" xr3:uid="{8A495783-8C98-1647-A9D2-F33287161F47}" uniqueName="9" name="T8" queryTableFieldId="9"/>
    <tableColumn id="10" xr3:uid="{4DC95B17-871D-2F47-9DAB-E039AAC1D209}" uniqueName="10" name="RTD_IN" queryTableFieldId="10"/>
    <tableColumn id="11" xr3:uid="{69AD3DD0-0138-5349-B615-79B62FEA6284}" uniqueName="11" name="RTD_OUT" queryTableFieldId="11"/>
    <tableColumn id="12" xr3:uid="{78C47A37-1107-0242-BD42-DAAACABC9A52}" uniqueName="12" name="DPT_TS" queryTableFieldId="12"/>
    <tableColumn id="13" xr3:uid="{59E5301E-606A-6D4E-8BAB-09479E0380CA}" uniqueName="13" name="DPT_nozzle" queryTableFieldId="13"/>
    <tableColumn id="14" xr3:uid="{1DA2399C-5BBB-9F46-8695-58DE8DAF229D}" uniqueName="14" name="Flow_gps" queryTableFieldId="14"/>
    <tableColumn id="15" xr3:uid="{4B95551F-6733-0A4E-9F5F-2F0AF6592BCE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2463-65CE-6F45-9590-627AE751323C}">
  <dimension ref="A1:B8"/>
  <sheetViews>
    <sheetView workbookViewId="0">
      <selection activeCell="E17" sqref="E17"/>
    </sheetView>
  </sheetViews>
  <sheetFormatPr baseColWidth="10" defaultRowHeight="16" x14ac:dyDescent="0.2"/>
  <cols>
    <col min="1" max="1" width="20.6640625" customWidth="1"/>
    <col min="2" max="2" width="18.6640625" customWidth="1"/>
  </cols>
  <sheetData>
    <row r="1" spans="1:2" x14ac:dyDescent="0.2">
      <c r="A1" s="2" t="s">
        <v>23</v>
      </c>
      <c r="B1" s="2" t="s">
        <v>24</v>
      </c>
    </row>
    <row r="2" spans="1:2" x14ac:dyDescent="0.2">
      <c r="A2">
        <v>1</v>
      </c>
      <c r="B2">
        <v>190.25838625340907</v>
      </c>
    </row>
    <row r="3" spans="1:2" x14ac:dyDescent="0.2">
      <c r="A3">
        <v>2</v>
      </c>
      <c r="B3">
        <v>365.50910587265099</v>
      </c>
    </row>
    <row r="4" spans="1:2" x14ac:dyDescent="0.2">
      <c r="A4">
        <v>3</v>
      </c>
      <c r="B4">
        <v>493.08171137111475</v>
      </c>
    </row>
    <row r="5" spans="1:2" x14ac:dyDescent="0.2">
      <c r="A5">
        <v>4</v>
      </c>
      <c r="B5">
        <v>576.03362458410879</v>
      </c>
    </row>
    <row r="6" spans="1:2" x14ac:dyDescent="0.2">
      <c r="A6">
        <v>5</v>
      </c>
      <c r="B6">
        <v>646.43149192079272</v>
      </c>
    </row>
    <row r="7" spans="1:2" x14ac:dyDescent="0.2">
      <c r="A7">
        <v>6</v>
      </c>
      <c r="B7">
        <v>697.00878503672322</v>
      </c>
    </row>
    <row r="8" spans="1:2" x14ac:dyDescent="0.2">
      <c r="A8">
        <v>7</v>
      </c>
      <c r="B8">
        <v>737.29516022002758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D43F-2CBA-CE4E-87D7-02E27B369FEF}">
  <dimension ref="A1:V36"/>
  <sheetViews>
    <sheetView workbookViewId="0">
      <selection activeCell="M17" sqref="M17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9.6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44604.641669402401</v>
      </c>
      <c r="B2">
        <v>19.249110999999999</v>
      </c>
      <c r="C2">
        <v>18.555011</v>
      </c>
      <c r="D2">
        <v>17.757811</v>
      </c>
      <c r="E2">
        <v>17.890502999999999</v>
      </c>
      <c r="F2">
        <v>38.104059999999997</v>
      </c>
      <c r="G2">
        <v>32.414779000000003</v>
      </c>
      <c r="H2">
        <v>23.388003999999999</v>
      </c>
      <c r="I2">
        <v>27.397852</v>
      </c>
      <c r="J2">
        <v>55.123674000000001</v>
      </c>
      <c r="K2">
        <v>52.979452999999999</v>
      </c>
      <c r="L2">
        <v>9.3753010000000003</v>
      </c>
      <c r="M2">
        <v>-622.48326599999996</v>
      </c>
      <c r="N2">
        <v>1.2896069999999999</v>
      </c>
      <c r="O2">
        <v>1.4789159999999999</v>
      </c>
      <c r="P2">
        <f xml:space="preserve"> N2*0.001/60</f>
        <v>2.149345E-5</v>
      </c>
      <c r="Q2" cm="1">
        <f t="array" ref="Q2">[1]!PropsSI("D","T",J2+273.15,"P",101325,"Water")</f>
        <v>985.63315716408272</v>
      </c>
      <c r="R2" cm="1">
        <f t="array" ref="R2">[1]!PropsSI("D","T",K2+273.15,"P",101325,"Water")</f>
        <v>986.65865950141142</v>
      </c>
      <c r="S2">
        <f>(Q2+R2)/2</f>
        <v>986.14590833274701</v>
      </c>
      <c r="T2" cm="1">
        <f t="array" ref="T2">[1]!PropsSI("H","T",J2+273.15,"P",101325,"Water")</f>
        <v>230846.4006608511</v>
      </c>
      <c r="U2" cm="1">
        <f t="array" ref="U2">[1]!PropsSI("H","T",K2+273.15,"P",101325,"Water")</f>
        <v>221877.93209534505</v>
      </c>
      <c r="V2">
        <f>S2*P2*(T2-U2)</f>
        <v>190.09276983582168</v>
      </c>
    </row>
    <row r="3" spans="1:22" x14ac:dyDescent="0.2">
      <c r="A3">
        <v>44604.641785143198</v>
      </c>
      <c r="B3">
        <v>18.92361</v>
      </c>
      <c r="C3">
        <v>18.470020999999999</v>
      </c>
      <c r="D3">
        <v>17.731522999999999</v>
      </c>
      <c r="E3">
        <v>17.872661999999998</v>
      </c>
      <c r="F3">
        <v>38.954293</v>
      </c>
      <c r="G3">
        <v>32.752150999999998</v>
      </c>
      <c r="H3">
        <v>23.081222</v>
      </c>
      <c r="I3">
        <v>26.414673000000001</v>
      </c>
      <c r="J3">
        <v>55.115876999999998</v>
      </c>
      <c r="K3">
        <v>52.970706</v>
      </c>
      <c r="L3">
        <v>7.3178530000000004</v>
      </c>
      <c r="M3">
        <v>-622.48367399999995</v>
      </c>
      <c r="N3">
        <v>1.2953030000000001</v>
      </c>
      <c r="O3">
        <v>1.3206530000000001</v>
      </c>
      <c r="P3">
        <f t="shared" ref="P3:P9" si="0" xml:space="preserve"> N3*0.001/60</f>
        <v>2.1588383333333335E-5</v>
      </c>
      <c r="Q3" cm="1">
        <f t="array" ref="Q3">[1]!PropsSI("D","T",J3+273.15,"P",101325,"Water")</f>
        <v>985.63693821598622</v>
      </c>
      <c r="R3" cm="1">
        <f t="array" ref="R3">[1]!PropsSI("D","T",K3+273.15,"P",101325,"Water")</f>
        <v>986.66278359587591</v>
      </c>
      <c r="S3">
        <f>(Q3+R3)/2</f>
        <v>986.14986090593106</v>
      </c>
      <c r="T3" cm="1">
        <f t="array" ref="T3">[1]!PropsSI("H","T",J3+273.15,"P",101325,"Water")</f>
        <v>230813.78581030594</v>
      </c>
      <c r="U3" cm="1">
        <f t="array" ref="U3">[1]!PropsSI("H","T",K3+273.15,"P",101325,"Water")</f>
        <v>221841.34990686923</v>
      </c>
      <c r="V3">
        <f t="shared" ref="V3:V36" si="1">S3*P3*(T3-U3)</f>
        <v>191.01760843239728</v>
      </c>
    </row>
    <row r="4" spans="1:22" x14ac:dyDescent="0.2">
      <c r="A4">
        <v>44604.6419008839</v>
      </c>
      <c r="B4">
        <v>19.130268999999998</v>
      </c>
      <c r="C4">
        <v>18.273761</v>
      </c>
      <c r="D4">
        <v>17.710135000000001</v>
      </c>
      <c r="E4">
        <v>17.800958000000001</v>
      </c>
      <c r="F4">
        <v>38.301352999999999</v>
      </c>
      <c r="G4">
        <v>32.458002999999998</v>
      </c>
      <c r="H4">
        <v>23.417763999999998</v>
      </c>
      <c r="I4">
        <v>27.896671999999999</v>
      </c>
      <c r="J4">
        <v>55.112377000000002</v>
      </c>
      <c r="K4">
        <v>52.959893000000001</v>
      </c>
      <c r="L4">
        <v>7.0301119999999999</v>
      </c>
      <c r="M4">
        <v>-622.48408199999994</v>
      </c>
      <c r="N4">
        <v>1.2813540000000001</v>
      </c>
      <c r="O4">
        <v>2.2683399999999998</v>
      </c>
      <c r="P4">
        <f xml:space="preserve"> N4*0.001/60</f>
        <v>2.1355900000000003E-5</v>
      </c>
      <c r="Q4" cm="1">
        <f t="array" ref="Q4">[1]!PropsSI("D","T",J4+273.15,"P",101325,"Water")</f>
        <v>985.6386353720419</v>
      </c>
      <c r="R4" cm="1">
        <f t="array" ref="R4">[1]!PropsSI("D","T",K4+273.15,"P",101325,"Water")</f>
        <v>986.66788111100061</v>
      </c>
      <c r="S4">
        <f t="shared" ref="S4:S36" si="2">(Q4+R4)/2</f>
        <v>986.15325824152126</v>
      </c>
      <c r="T4" cm="1">
        <f t="array" ref="T4">[1]!PropsSI("H","T",J4+273.15,"P",101325,"Water")</f>
        <v>230799.14531771027</v>
      </c>
      <c r="U4" cm="1">
        <f t="array" ref="U4">[1]!PropsSI("H","T",K4+273.15,"P",101325,"Water")</f>
        <v>221796.12721355871</v>
      </c>
      <c r="V4">
        <f t="shared" si="1"/>
        <v>189.60527515710231</v>
      </c>
    </row>
    <row r="5" spans="1:22" x14ac:dyDescent="0.2">
      <c r="A5">
        <v>44604.642016624697</v>
      </c>
      <c r="B5">
        <v>19.271630999999999</v>
      </c>
      <c r="C5">
        <v>18.420825000000001</v>
      </c>
      <c r="D5">
        <v>17.743112</v>
      </c>
      <c r="E5">
        <v>17.922605000000001</v>
      </c>
      <c r="F5">
        <v>38.536368000000003</v>
      </c>
      <c r="G5">
        <v>33.416755000000002</v>
      </c>
      <c r="H5">
        <v>23.320792999999998</v>
      </c>
      <c r="I5">
        <v>27.677485999999998</v>
      </c>
      <c r="J5">
        <v>55.107922000000002</v>
      </c>
      <c r="K5">
        <v>52.956394000000003</v>
      </c>
      <c r="L5">
        <v>7.3582590000000003</v>
      </c>
      <c r="M5">
        <v>-622.49714300000005</v>
      </c>
      <c r="N5">
        <v>1.2891030000000001</v>
      </c>
      <c r="O5">
        <v>2.502672</v>
      </c>
      <c r="P5">
        <f t="shared" si="0"/>
        <v>2.1485050000000002E-5</v>
      </c>
      <c r="Q5" cm="1">
        <f t="array" ref="Q5">[1]!PropsSI("D","T",J5+273.15,"P",101325,"Water")</f>
        <v>985.64079549940629</v>
      </c>
      <c r="R5" cm="1">
        <f t="array" ref="R5">[1]!PropsSI("D","T",K5+273.15,"P",101325,"Water")</f>
        <v>986.6695304671066</v>
      </c>
      <c r="S5">
        <f t="shared" si="2"/>
        <v>986.15516298325645</v>
      </c>
      <c r="T5" cm="1">
        <f t="array" ref="T5">[1]!PropsSI("H","T",J5+273.15,"P",101325,"Water")</f>
        <v>230780.51006855781</v>
      </c>
      <c r="U5" cm="1">
        <f t="array" ref="U5">[1]!PropsSI("H","T",K5+273.15,"P",101325,"Water")</f>
        <v>221781.4935213135</v>
      </c>
      <c r="V5">
        <f t="shared" si="1"/>
        <v>190.66749986337362</v>
      </c>
    </row>
    <row r="6" spans="1:22" x14ac:dyDescent="0.2">
      <c r="A6">
        <v>46066.642132939814</v>
      </c>
      <c r="B6">
        <v>19.301439999999999</v>
      </c>
      <c r="C6">
        <v>18.568653000000001</v>
      </c>
      <c r="D6">
        <v>17.745011999999999</v>
      </c>
      <c r="E6">
        <v>17.922830999999999</v>
      </c>
      <c r="F6">
        <v>38.072761</v>
      </c>
      <c r="G6">
        <v>33.962274999999998</v>
      </c>
      <c r="H6">
        <v>23.258489000000001</v>
      </c>
      <c r="I6">
        <v>27.149744999999999</v>
      </c>
      <c r="J6">
        <v>55.102511999999997</v>
      </c>
      <c r="K6">
        <v>52.955280999999999</v>
      </c>
      <c r="L6">
        <v>7.3725440000000004</v>
      </c>
      <c r="M6">
        <v>-622.47224600000004</v>
      </c>
      <c r="N6">
        <v>1.278961</v>
      </c>
      <c r="O6">
        <v>2.1779609999999998</v>
      </c>
      <c r="P6">
        <f t="shared" si="0"/>
        <v>2.1316016666666667E-5</v>
      </c>
      <c r="Q6" cm="1">
        <f t="array" ref="Q6">[1]!PropsSI("D","T",J6+273.15,"P",101325,"Water")</f>
        <v>985.64341851887502</v>
      </c>
      <c r="R6" cm="1">
        <f t="array" ref="R6">[1]!PropsSI("D","T",K6+273.15,"P",101325,"Water")</f>
        <v>986.67005509595276</v>
      </c>
      <c r="S6">
        <f t="shared" si="2"/>
        <v>986.15673680741384</v>
      </c>
      <c r="T6" cm="1">
        <f t="array" ref="T6">[1]!PropsSI("H","T",J6+273.15,"P",101325,"Water")</f>
        <v>230757.88006748669</v>
      </c>
      <c r="U6" cm="1">
        <f t="array" ref="U6">[1]!PropsSI("H","T",K6+273.15,"P",101325,"Water")</f>
        <v>221776.83867809532</v>
      </c>
      <c r="V6">
        <f t="shared" si="1"/>
        <v>188.78987324791632</v>
      </c>
    </row>
    <row r="7" spans="1:22" x14ac:dyDescent="0.2">
      <c r="A7">
        <v>46066.642249259261</v>
      </c>
      <c r="B7">
        <v>19.182711000000001</v>
      </c>
      <c r="C7">
        <v>18.415469999999999</v>
      </c>
      <c r="D7">
        <v>17.718050000000002</v>
      </c>
      <c r="E7">
        <v>17.842354</v>
      </c>
      <c r="F7">
        <v>38.963867999999998</v>
      </c>
      <c r="G7">
        <v>32.621555000000001</v>
      </c>
      <c r="H7">
        <v>22.968330000000002</v>
      </c>
      <c r="I7">
        <v>26.498117000000001</v>
      </c>
      <c r="J7">
        <v>55.095193000000002</v>
      </c>
      <c r="K7">
        <v>52.944786000000001</v>
      </c>
      <c r="L7">
        <v>8.4300420000000003</v>
      </c>
      <c r="M7">
        <v>-622.50081599999999</v>
      </c>
      <c r="N7">
        <v>1.2934140000000001</v>
      </c>
      <c r="O7">
        <v>2.0140940000000001</v>
      </c>
      <c r="P7">
        <f t="shared" si="0"/>
        <v>2.15569E-5</v>
      </c>
      <c r="Q7" cm="1">
        <f t="array" ref="Q7">[1]!PropsSI("D","T",J7+273.15,"P",101325,"Water")</f>
        <v>985.64696682143392</v>
      </c>
      <c r="R7" cm="1">
        <f t="array" ref="R7">[1]!PropsSI("D","T",K7+273.15,"P",101325,"Water")</f>
        <v>986.67500168143636</v>
      </c>
      <c r="S7">
        <f t="shared" si="2"/>
        <v>986.16098425143514</v>
      </c>
      <c r="T7" cm="1">
        <f t="array" ref="T7">[1]!PropsSI("H","T",J7+273.15,"P",101325,"Water")</f>
        <v>230727.26474654002</v>
      </c>
      <c r="U7" cm="1">
        <f t="array" ref="U7">[1]!PropsSI("H","T",K7+273.15,"P",101325,"Water")</f>
        <v>221732.94599387626</v>
      </c>
      <c r="V7">
        <f t="shared" si="1"/>
        <v>191.2063882773609</v>
      </c>
    </row>
    <row r="8" spans="1:22" x14ac:dyDescent="0.2">
      <c r="A8">
        <v>46066.642365</v>
      </c>
      <c r="B8">
        <v>18.796436</v>
      </c>
      <c r="C8">
        <v>18.223206000000001</v>
      </c>
      <c r="D8">
        <v>17.817867</v>
      </c>
      <c r="E8">
        <v>17.724152</v>
      </c>
      <c r="F8">
        <v>37.262124999999997</v>
      </c>
      <c r="G8">
        <v>31.980115999999999</v>
      </c>
      <c r="H8">
        <v>23.930817000000001</v>
      </c>
      <c r="I8">
        <v>26.792618999999998</v>
      </c>
      <c r="J8">
        <v>55.087555000000002</v>
      </c>
      <c r="K8">
        <v>52.938743000000002</v>
      </c>
      <c r="L8">
        <v>7.9096599999999997</v>
      </c>
      <c r="M8">
        <v>-622.50040799999999</v>
      </c>
      <c r="N8">
        <v>1.2829189999999999</v>
      </c>
      <c r="O8">
        <v>1.3546339999999999</v>
      </c>
      <c r="P8">
        <f t="shared" si="0"/>
        <v>2.1381983333333333E-5</v>
      </c>
      <c r="Q8" cm="1">
        <f t="array" ref="Q8">[1]!PropsSI("D","T",J8+273.15,"P",101325,"Water")</f>
        <v>985.65066942314604</v>
      </c>
      <c r="R8" cm="1">
        <f t="array" ref="R8">[1]!PropsSI("D","T",K8+273.15,"P",101325,"Water")</f>
        <v>986.6778495983508</v>
      </c>
      <c r="S8">
        <f t="shared" si="2"/>
        <v>986.16425951074848</v>
      </c>
      <c r="T8" cm="1">
        <f t="array" ref="T8">[1]!PropsSI("H","T",J8+273.15,"P",101325,"Water")</f>
        <v>230695.31507182194</v>
      </c>
      <c r="U8" cm="1">
        <f t="array" ref="U8">[1]!PropsSI("H","T",K8+273.15,"P",101325,"Water")</f>
        <v>221707.67269063354</v>
      </c>
      <c r="V8">
        <f t="shared" si="1"/>
        <v>189.51475527085762</v>
      </c>
    </row>
    <row r="9" spans="1:22" x14ac:dyDescent="0.2">
      <c r="A9">
        <v>46066.642481319446</v>
      </c>
      <c r="B9">
        <v>18.483407</v>
      </c>
      <c r="C9">
        <v>17.951665999999999</v>
      </c>
      <c r="D9">
        <v>17.728331000000001</v>
      </c>
      <c r="E9">
        <v>17.570031</v>
      </c>
      <c r="F9">
        <v>38.923727</v>
      </c>
      <c r="G9">
        <v>32.339694999999999</v>
      </c>
      <c r="H9">
        <v>22.638031999999999</v>
      </c>
      <c r="I9">
        <v>26.712412</v>
      </c>
      <c r="J9">
        <v>55.080714</v>
      </c>
      <c r="K9">
        <v>52.930951</v>
      </c>
      <c r="L9">
        <v>8.5006500000000003</v>
      </c>
      <c r="M9">
        <v>-622.50204099999996</v>
      </c>
      <c r="N9">
        <v>1.2924469999999999</v>
      </c>
      <c r="O9">
        <v>2.5431849999999998</v>
      </c>
      <c r="P9">
        <f t="shared" si="0"/>
        <v>2.1540783333333332E-5</v>
      </c>
      <c r="Q9" cm="1">
        <f t="array" ref="Q9">[1]!PropsSI("D","T",J9+273.15,"P",101325,"Water")</f>
        <v>985.65398536348255</v>
      </c>
      <c r="R9" cm="1">
        <f t="array" ref="R9">[1]!PropsSI("D","T",K9+273.15,"P",101325,"Water")</f>
        <v>986.68152143377881</v>
      </c>
      <c r="S9">
        <f t="shared" si="2"/>
        <v>986.16775339863068</v>
      </c>
      <c r="T9" cm="1">
        <f t="array" ref="T9">[1]!PropsSI("H","T",J9+273.15,"P",101325,"Water")</f>
        <v>230666.69925780251</v>
      </c>
      <c r="U9" cm="1">
        <f t="array" ref="U9">[1]!PropsSI("H","T",K9+273.15,"P",101325,"Water")</f>
        <v>221675.08465965302</v>
      </c>
      <c r="V9">
        <f t="shared" si="1"/>
        <v>191.00730352485544</v>
      </c>
    </row>
    <row r="10" spans="1:22" x14ac:dyDescent="0.2">
      <c r="P10" s="1"/>
    </row>
    <row r="11" spans="1:22" x14ac:dyDescent="0.2">
      <c r="P11" s="1"/>
    </row>
    <row r="12" spans="1:22" x14ac:dyDescent="0.2">
      <c r="P12" s="1"/>
    </row>
    <row r="13" spans="1:22" x14ac:dyDescent="0.2">
      <c r="P13" s="1"/>
    </row>
    <row r="14" spans="1:22" x14ac:dyDescent="0.2">
      <c r="P14" s="1"/>
    </row>
    <row r="15" spans="1:22" x14ac:dyDescent="0.2">
      <c r="P15" s="1"/>
    </row>
    <row r="16" spans="1:22" x14ac:dyDescent="0.2">
      <c r="M16" t="s">
        <v>22</v>
      </c>
      <c r="P16" s="1"/>
    </row>
    <row r="17" spans="13:16" x14ac:dyDescent="0.2">
      <c r="M17">
        <f>AVERAGE(V3:V9)</f>
        <v>190.25838625340907</v>
      </c>
      <c r="P17" s="1"/>
    </row>
    <row r="18" spans="13:16" x14ac:dyDescent="0.2">
      <c r="P18" s="1"/>
    </row>
    <row r="19" spans="13:16" x14ac:dyDescent="0.2">
      <c r="P19" s="1"/>
    </row>
    <row r="20" spans="13:16" x14ac:dyDescent="0.2">
      <c r="P20" s="1"/>
    </row>
    <row r="21" spans="13:16" x14ac:dyDescent="0.2">
      <c r="P21" s="1"/>
    </row>
    <row r="22" spans="13:16" x14ac:dyDescent="0.2">
      <c r="P22" s="1"/>
    </row>
    <row r="23" spans="13:16" x14ac:dyDescent="0.2">
      <c r="P23" s="1"/>
    </row>
    <row r="24" spans="13:16" x14ac:dyDescent="0.2">
      <c r="P24" s="1"/>
    </row>
    <row r="25" spans="13:16" x14ac:dyDescent="0.2">
      <c r="P25" s="1"/>
    </row>
    <row r="26" spans="13:16" x14ac:dyDescent="0.2">
      <c r="P26" s="1"/>
    </row>
    <row r="27" spans="13:16" x14ac:dyDescent="0.2">
      <c r="P27" s="1"/>
    </row>
    <row r="28" spans="13:16" x14ac:dyDescent="0.2">
      <c r="P28" s="1"/>
    </row>
    <row r="29" spans="13:16" x14ac:dyDescent="0.2">
      <c r="P29" s="1"/>
    </row>
    <row r="30" spans="13:16" x14ac:dyDescent="0.2">
      <c r="P30" s="1"/>
    </row>
    <row r="31" spans="13:16" x14ac:dyDescent="0.2">
      <c r="P31" s="1"/>
    </row>
    <row r="32" spans="13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171D-DADC-524C-BC54-B2C4CE6E5CCE}">
  <dimension ref="A1:V36"/>
  <sheetViews>
    <sheetView workbookViewId="0">
      <selection activeCell="L24" sqref="L2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44604.644695444098</v>
      </c>
      <c r="B2">
        <v>17.821387000000001</v>
      </c>
      <c r="C2">
        <v>18.427864</v>
      </c>
      <c r="D2">
        <v>18.630414999999999</v>
      </c>
      <c r="E2">
        <v>18.942433000000001</v>
      </c>
      <c r="F2">
        <v>39.981971999999999</v>
      </c>
      <c r="G2">
        <v>36.721775999999998</v>
      </c>
      <c r="H2">
        <v>25.462399999999999</v>
      </c>
      <c r="I2">
        <v>25.483889999999999</v>
      </c>
      <c r="J2">
        <v>54.929085000000001</v>
      </c>
      <c r="K2">
        <v>50.818587000000001</v>
      </c>
      <c r="L2">
        <v>29.391849000000001</v>
      </c>
      <c r="M2">
        <v>-622.48367399999995</v>
      </c>
      <c r="N2">
        <v>1.285239</v>
      </c>
      <c r="O2">
        <v>2.020753</v>
      </c>
      <c r="P2">
        <f xml:space="preserve"> N2*0.001/60</f>
        <v>2.1420650000000003E-5</v>
      </c>
      <c r="Q2" cm="1">
        <f t="array" ref="Q2">[1]!PropsSI("D","T",J2+273.15,"P",101325,"Water")</f>
        <v>985.72740776540275</v>
      </c>
      <c r="R2" cm="1">
        <f t="array" ref="R2">[1]!PropsSI("D","T",K2+273.15,"P",101325,"Water")</f>
        <v>987.66261062930425</v>
      </c>
      <c r="S2">
        <f>(Q2+R2)/2</f>
        <v>986.69500919735356</v>
      </c>
      <c r="T2" cm="1">
        <f t="array" ref="T2">[1]!PropsSI("H","T",J2+273.15,"P",101325,"Water")</f>
        <v>230032.44147501103</v>
      </c>
      <c r="U2" cm="1">
        <f t="array" ref="U2">[1]!PropsSI("H","T",K2+273.15,"P",101325,"Water")</f>
        <v>212841.38073284287</v>
      </c>
      <c r="V2">
        <f>S2*P2*(T2-U2)</f>
        <v>363.34421630780213</v>
      </c>
    </row>
    <row r="3" spans="1:22" x14ac:dyDescent="0.2">
      <c r="A3">
        <v>44604.6448111848</v>
      </c>
      <c r="B3">
        <v>17.458981000000001</v>
      </c>
      <c r="C3">
        <v>17.768927999999999</v>
      </c>
      <c r="D3">
        <v>18.684692999999999</v>
      </c>
      <c r="E3">
        <v>17.992884</v>
      </c>
      <c r="F3">
        <v>39.827776</v>
      </c>
      <c r="G3">
        <v>36.635424</v>
      </c>
      <c r="H3">
        <v>25.389928999999999</v>
      </c>
      <c r="I3">
        <v>24.892240999999999</v>
      </c>
      <c r="J3">
        <v>54.918585</v>
      </c>
      <c r="K3">
        <v>50.815727000000003</v>
      </c>
      <c r="L3">
        <v>29.276752999999999</v>
      </c>
      <c r="M3">
        <v>-622.50122399999998</v>
      </c>
      <c r="N3">
        <v>1.2766249999999999</v>
      </c>
      <c r="O3">
        <v>1.3801890000000001</v>
      </c>
      <c r="P3">
        <f t="shared" ref="P3:P9" si="0" xml:space="preserve"> N3*0.001/60</f>
        <v>2.1277083333333333E-5</v>
      </c>
      <c r="Q3" cm="1">
        <f t="array" ref="Q3">[1]!PropsSI("D","T",J3+273.15,"P",101325,"Water")</f>
        <v>985.7324868320045</v>
      </c>
      <c r="R3" cm="1">
        <f t="array" ref="R3">[1]!PropsSI("D","T",K3+273.15,"P",101325,"Water")</f>
        <v>987.66391945802127</v>
      </c>
      <c r="S3">
        <f>(Q3+R3)/2</f>
        <v>986.69820314501294</v>
      </c>
      <c r="T3" cm="1">
        <f t="array" ref="T3">[1]!PropsSI("H","T",J3+273.15,"P",101325,"Water")</f>
        <v>229988.52072057285</v>
      </c>
      <c r="U3" cm="1">
        <f t="array" ref="U3">[1]!PropsSI("H","T",K3+273.15,"P",101325,"Water")</f>
        <v>212829.42141705222</v>
      </c>
      <c r="V3">
        <f t="shared" ref="V3:V36" si="1">S3*P3*(T3-U3)</f>
        <v>360.23915849090724</v>
      </c>
    </row>
    <row r="4" spans="1:22" x14ac:dyDescent="0.2">
      <c r="A4">
        <v>44604.644926925597</v>
      </c>
      <c r="B4">
        <v>17.688866999999998</v>
      </c>
      <c r="C4">
        <v>18.066941</v>
      </c>
      <c r="D4">
        <v>18.582998</v>
      </c>
      <c r="E4">
        <v>18.737587999999999</v>
      </c>
      <c r="F4">
        <v>39.513773999999998</v>
      </c>
      <c r="G4">
        <v>37.099411000000003</v>
      </c>
      <c r="H4">
        <v>26.725228000000001</v>
      </c>
      <c r="I4">
        <v>25.384505000000001</v>
      </c>
      <c r="J4">
        <v>54.911583999999998</v>
      </c>
      <c r="K4">
        <v>50.790936000000002</v>
      </c>
      <c r="L4">
        <v>25.467555999999998</v>
      </c>
      <c r="M4">
        <v>-622.48653100000001</v>
      </c>
      <c r="N4">
        <v>1.2923929999999999</v>
      </c>
      <c r="O4">
        <v>2.6212870000000001</v>
      </c>
      <c r="P4">
        <f xml:space="preserve"> N4*0.001/60</f>
        <v>2.1539883333333334E-5</v>
      </c>
      <c r="Q4" cm="1">
        <f t="array" ref="Q4">[1]!PropsSI("D","T",J4+273.15,"P",101325,"Water")</f>
        <v>985.73587297950166</v>
      </c>
      <c r="R4" cm="1">
        <f t="array" ref="R4">[1]!PropsSI("D","T",K4+273.15,"P",101325,"Water")</f>
        <v>987.67526239578069</v>
      </c>
      <c r="S4">
        <f t="shared" ref="S4:S36" si="2">(Q4+R4)/2</f>
        <v>986.70556768764118</v>
      </c>
      <c r="T4" cm="1">
        <f t="array" ref="T4">[1]!PropsSI("H","T",J4+273.15,"P",101325,"Water")</f>
        <v>229959.23605679814</v>
      </c>
      <c r="U4" cm="1">
        <f t="array" ref="U4">[1]!PropsSI("H","T",K4+273.15,"P",101325,"Water")</f>
        <v>212725.75599476573</v>
      </c>
      <c r="V4">
        <f t="shared" si="1"/>
        <v>366.27216163445075</v>
      </c>
    </row>
    <row r="5" spans="1:22" x14ac:dyDescent="0.2">
      <c r="A5">
        <v>44604.645043245</v>
      </c>
      <c r="B5">
        <v>17.944002999999999</v>
      </c>
      <c r="C5">
        <v>18.416167999999999</v>
      </c>
      <c r="D5">
        <v>18.632003999999998</v>
      </c>
      <c r="E5">
        <v>19.07292</v>
      </c>
      <c r="F5">
        <v>40.031224999999999</v>
      </c>
      <c r="G5">
        <v>36.421275000000001</v>
      </c>
      <c r="H5">
        <v>25.852661999999999</v>
      </c>
      <c r="I5">
        <v>25.278863000000001</v>
      </c>
      <c r="J5">
        <v>54.904902</v>
      </c>
      <c r="K5">
        <v>50.799835999999999</v>
      </c>
      <c r="L5">
        <v>30.185687000000001</v>
      </c>
      <c r="M5">
        <v>-622.51714200000004</v>
      </c>
      <c r="N5">
        <v>1.2840499999999999</v>
      </c>
      <c r="O5">
        <v>2.2417669999999998</v>
      </c>
      <c r="P5">
        <f t="shared" ref="P5:P18" si="3" xml:space="preserve"> N5*0.001/60</f>
        <v>2.140083333333333E-5</v>
      </c>
      <c r="Q5" cm="1">
        <f t="array" ref="Q5">[1]!PropsSI("D","T",J5+273.15,"P",101325,"Water")</f>
        <v>985.73910455339455</v>
      </c>
      <c r="R5" cm="1">
        <f t="array" ref="R5">[1]!PropsSI("D","T",K5+273.15,"P",101325,"Water")</f>
        <v>987.67119072654543</v>
      </c>
      <c r="S5">
        <f t="shared" si="2"/>
        <v>986.70514763996994</v>
      </c>
      <c r="T5" cm="1">
        <f t="array" ref="T5">[1]!PropsSI("H","T",J5+273.15,"P",101325,"Water")</f>
        <v>229931.28576278433</v>
      </c>
      <c r="U5" cm="1">
        <f t="array" ref="U5">[1]!PropsSI("H","T",K5+273.15,"P",101325,"Water")</f>
        <v>212762.9719900573</v>
      </c>
      <c r="V5">
        <f t="shared" si="1"/>
        <v>362.53147724279285</v>
      </c>
    </row>
    <row r="6" spans="1:22" x14ac:dyDescent="0.2">
      <c r="A6">
        <v>46066.645159560183</v>
      </c>
      <c r="B6">
        <v>17.713384999999999</v>
      </c>
      <c r="C6">
        <v>18.162711000000002</v>
      </c>
      <c r="D6">
        <v>18.626117000000001</v>
      </c>
      <c r="E6">
        <v>18.674484</v>
      </c>
      <c r="F6">
        <v>39.865425999999999</v>
      </c>
      <c r="G6">
        <v>37.321691000000001</v>
      </c>
      <c r="H6">
        <v>26.097337</v>
      </c>
      <c r="I6">
        <v>24.461715000000002</v>
      </c>
      <c r="J6">
        <v>54.902833000000001</v>
      </c>
      <c r="K6">
        <v>50.808098999999999</v>
      </c>
      <c r="L6">
        <v>29.248591000000001</v>
      </c>
      <c r="M6">
        <v>-622.50693799999999</v>
      </c>
      <c r="N6">
        <v>1.2882340000000001</v>
      </c>
      <c r="O6">
        <v>1.6858249999999999</v>
      </c>
      <c r="P6">
        <f t="shared" si="3"/>
        <v>2.1470566666666667E-5</v>
      </c>
      <c r="Q6" cm="1">
        <f t="array" ref="Q6">[1]!PropsSI("D","T",J6+273.15,"P",101325,"Water")</f>
        <v>985.74010511466861</v>
      </c>
      <c r="R6" cm="1">
        <f t="array" ref="R6">[1]!PropsSI("D","T",K6+273.15,"P",101325,"Water")</f>
        <v>987.66741001813534</v>
      </c>
      <c r="S6">
        <f t="shared" si="2"/>
        <v>986.70375756640192</v>
      </c>
      <c r="T6" cm="1">
        <f t="array" ref="T6">[1]!PropsSI("H","T",J6+273.15,"P",101325,"Water")</f>
        <v>229922.63129756015</v>
      </c>
      <c r="U6" cm="1">
        <f t="array" ref="U6">[1]!PropsSI("H","T",K6+273.15,"P",101325,"Water")</f>
        <v>212797.5243446432</v>
      </c>
      <c r="V6">
        <f t="shared" si="1"/>
        <v>362.79691162828766</v>
      </c>
    </row>
    <row r="7" spans="1:22" x14ac:dyDescent="0.2">
      <c r="A7">
        <v>46066.645275879629</v>
      </c>
      <c r="B7">
        <v>17.468492000000001</v>
      </c>
      <c r="C7">
        <v>17.782382999999999</v>
      </c>
      <c r="D7">
        <v>18.665721000000001</v>
      </c>
      <c r="E7">
        <v>18.233585999999999</v>
      </c>
      <c r="F7">
        <v>39.683757</v>
      </c>
      <c r="G7">
        <v>37.065117999999998</v>
      </c>
      <c r="H7">
        <v>24.837751000000001</v>
      </c>
      <c r="I7">
        <v>24.692508</v>
      </c>
      <c r="J7">
        <v>54.900765</v>
      </c>
      <c r="K7">
        <v>50.782195999999999</v>
      </c>
      <c r="L7">
        <v>30.120384000000001</v>
      </c>
      <c r="M7">
        <v>-622.51755000000003</v>
      </c>
      <c r="N7">
        <v>1.283817</v>
      </c>
      <c r="O7">
        <v>2.4836610000000001</v>
      </c>
      <c r="P7">
        <f t="shared" si="3"/>
        <v>2.1396950000000002E-5</v>
      </c>
      <c r="Q7" cm="1">
        <f t="array" ref="Q7">[1]!PropsSI("D","T",J7+273.15,"P",101325,"Water")</f>
        <v>985.74110516576525</v>
      </c>
      <c r="R7" cm="1">
        <f t="array" ref="R7">[1]!PropsSI("D","T",K7+273.15,"P",101325,"Water")</f>
        <v>987.67926036539438</v>
      </c>
      <c r="S7">
        <f t="shared" si="2"/>
        <v>986.71018276557982</v>
      </c>
      <c r="T7" cm="1">
        <f t="array" ref="T7">[1]!PropsSI("H","T",J7+273.15,"P",101325,"Water")</f>
        <v>229913.98101686029</v>
      </c>
      <c r="U7" cm="1">
        <f t="array" ref="U7">[1]!PropsSI("H","T",K7+273.15,"P",101325,"Water")</f>
        <v>212689.20907385979</v>
      </c>
      <c r="V7">
        <f t="shared" si="1"/>
        <v>363.65952109372233</v>
      </c>
    </row>
    <row r="8" spans="1:22" x14ac:dyDescent="0.2">
      <c r="A8">
        <v>46066.645392199076</v>
      </c>
      <c r="B8">
        <v>17.341670000000001</v>
      </c>
      <c r="C8">
        <v>17.694320000000001</v>
      </c>
      <c r="D8">
        <v>18.841329999999999</v>
      </c>
      <c r="E8">
        <v>18.011346</v>
      </c>
      <c r="F8">
        <v>39.632243000000003</v>
      </c>
      <c r="G8">
        <v>37.530363999999999</v>
      </c>
      <c r="H8">
        <v>25.978248000000001</v>
      </c>
      <c r="I8">
        <v>24.790127999999999</v>
      </c>
      <c r="J8">
        <v>54.897106000000001</v>
      </c>
      <c r="K8">
        <v>50.746440999999997</v>
      </c>
      <c r="L8">
        <v>28.078854</v>
      </c>
      <c r="M8">
        <v>-622.49714300000005</v>
      </c>
      <c r="N8">
        <v>1.278494</v>
      </c>
      <c r="O8">
        <v>2.3298070000000002</v>
      </c>
      <c r="P8">
        <f t="shared" si="3"/>
        <v>2.1308233333333334E-5</v>
      </c>
      <c r="Q8" cm="1">
        <f t="array" ref="Q8">[1]!PropsSI("D","T",J8+273.15,"P",101325,"Water")</f>
        <v>985.74287453344027</v>
      </c>
      <c r="R8" cm="1">
        <f t="array" ref="R8">[1]!PropsSI("D","T",K8+273.15,"P",101325,"Water")</f>
        <v>987.69561073191448</v>
      </c>
      <c r="S8">
        <f t="shared" si="2"/>
        <v>986.71924263267738</v>
      </c>
      <c r="T8" cm="1">
        <f t="array" ref="T8">[1]!PropsSI("H","T",J8+273.15,"P",101325,"Water")</f>
        <v>229898.67571250306</v>
      </c>
      <c r="U8" cm="1">
        <f t="array" ref="U8">[1]!PropsSI("H","T",K8+273.15,"P",101325,"Water")</f>
        <v>212539.69727730795</v>
      </c>
      <c r="V8">
        <f t="shared" si="1"/>
        <v>364.97675469982414</v>
      </c>
    </row>
    <row r="9" spans="1:22" x14ac:dyDescent="0.2">
      <c r="A9">
        <v>46066.645508518515</v>
      </c>
      <c r="B9">
        <v>17.570734000000002</v>
      </c>
      <c r="C9">
        <v>18.114740000000001</v>
      </c>
      <c r="D9">
        <v>18.515877</v>
      </c>
      <c r="E9">
        <v>18.465636</v>
      </c>
      <c r="F9">
        <v>39.896566999999997</v>
      </c>
      <c r="G9">
        <v>36.855924999999999</v>
      </c>
      <c r="H9">
        <v>26.434937000000001</v>
      </c>
      <c r="I9">
        <v>24.417940999999999</v>
      </c>
      <c r="J9">
        <v>54.899014999999999</v>
      </c>
      <c r="K9">
        <v>50.745488000000002</v>
      </c>
      <c r="L9">
        <v>30.818307999999998</v>
      </c>
      <c r="M9">
        <v>-622.51795800000002</v>
      </c>
      <c r="N9">
        <v>1.2786740000000001</v>
      </c>
      <c r="O9">
        <v>2.291506</v>
      </c>
      <c r="P9">
        <f t="shared" si="3"/>
        <v>2.1311233333333334E-5</v>
      </c>
      <c r="Q9" cm="1">
        <f t="array" ref="Q9">[1]!PropsSI("D","T",J9+273.15,"P",101325,"Water")</f>
        <v>985.74195141650318</v>
      </c>
      <c r="R9" cm="1">
        <f t="array" ref="R9">[1]!PropsSI("D","T",K9+273.15,"P",101325,"Water")</f>
        <v>987.69604641452167</v>
      </c>
      <c r="S9">
        <f t="shared" si="2"/>
        <v>986.71899891551243</v>
      </c>
      <c r="T9" cm="1">
        <f t="array" ref="T9">[1]!PropsSI("H","T",J9+273.15,"P",101325,"Water")</f>
        <v>229906.66090621855</v>
      </c>
      <c r="U9" cm="1">
        <f t="array" ref="U9">[1]!PropsSI("H","T",K9+273.15,"P",101325,"Water")</f>
        <v>212535.7122526126</v>
      </c>
      <c r="V9">
        <f t="shared" si="1"/>
        <v>365.27976198562294</v>
      </c>
    </row>
    <row r="10" spans="1:22" x14ac:dyDescent="0.2">
      <c r="A10">
        <v>44604.645624842196</v>
      </c>
      <c r="B10">
        <v>17.805629</v>
      </c>
      <c r="C10">
        <v>18.345037999999999</v>
      </c>
      <c r="D10">
        <v>18.557974999999999</v>
      </c>
      <c r="E10">
        <v>18.815823000000002</v>
      </c>
      <c r="F10">
        <v>39.617911999999997</v>
      </c>
      <c r="G10">
        <v>37.651533000000001</v>
      </c>
      <c r="H10">
        <v>25.688846999999999</v>
      </c>
      <c r="I10">
        <v>24.381815</v>
      </c>
      <c r="J10">
        <v>54.906810999999998</v>
      </c>
      <c r="K10">
        <v>50.770755000000001</v>
      </c>
      <c r="L10">
        <v>27.056048000000001</v>
      </c>
      <c r="M10">
        <v>-622.48530700000003</v>
      </c>
      <c r="N10">
        <v>1.282403</v>
      </c>
      <c r="O10">
        <v>1.5869709999999999</v>
      </c>
      <c r="P10">
        <f t="shared" si="3"/>
        <v>2.1373383333333331E-5</v>
      </c>
      <c r="Q10" cm="1">
        <f t="array" ref="Q10">[1]!PropsSI("D","T",J10+273.15,"P",101325,"Water")</f>
        <v>985.73818134396276</v>
      </c>
      <c r="R10" cm="1">
        <f t="array" ref="R10">[1]!PropsSI("D","T",K10+273.15,"P",101325,"Water")</f>
        <v>987.68449311264931</v>
      </c>
      <c r="S10">
        <f t="shared" ref="S10:S18" si="4">(Q10+R10)/2</f>
        <v>986.71133722830609</v>
      </c>
      <c r="T10" cm="1">
        <f t="array" ref="T10">[1]!PropsSI("H","T",J10+273.15,"P",101325,"Water")</f>
        <v>229939.27096185589</v>
      </c>
      <c r="U10" cm="1">
        <f t="array" ref="U10">[1]!PropsSI("H","T",K10+273.15,"P",101325,"Water")</f>
        <v>212641.36776684111</v>
      </c>
      <c r="V10">
        <f t="shared" ref="V10:V18" si="5">S10*P10*(T10-U10)</f>
        <v>364.80170166927968</v>
      </c>
    </row>
    <row r="11" spans="1:22" x14ac:dyDescent="0.2">
      <c r="A11">
        <v>44604.645740583001</v>
      </c>
      <c r="B11">
        <v>17.917522000000002</v>
      </c>
      <c r="C11">
        <v>18.373631</v>
      </c>
      <c r="D11">
        <v>18.621583999999999</v>
      </c>
      <c r="E11">
        <v>18.919730000000001</v>
      </c>
      <c r="F11">
        <v>39.729179000000002</v>
      </c>
      <c r="G11">
        <v>38.240544999999997</v>
      </c>
      <c r="H11">
        <v>26.657066</v>
      </c>
      <c r="I11">
        <v>24.461967999999999</v>
      </c>
      <c r="J11">
        <v>54.917630000000003</v>
      </c>
      <c r="K11">
        <v>50.800311999999998</v>
      </c>
      <c r="L11">
        <v>30.359148000000001</v>
      </c>
      <c r="M11">
        <v>-622.47877700000004</v>
      </c>
      <c r="N11">
        <v>1.2884679999999999</v>
      </c>
      <c r="O11">
        <v>1.3739749999999999</v>
      </c>
      <c r="P11">
        <f t="shared" si="3"/>
        <v>2.1474466666666669E-5</v>
      </c>
      <c r="Q11" cm="1">
        <f t="array" ref="Q11">[1]!PropsSI("D","T",J11+273.15,"P",101325,"Water")</f>
        <v>985.73294875121451</v>
      </c>
      <c r="R11" cm="1">
        <f t="array" ref="R11">[1]!PropsSI("D","T",K11+273.15,"P",101325,"Water")</f>
        <v>987.67097294635141</v>
      </c>
      <c r="S11">
        <f t="shared" si="4"/>
        <v>986.70196084878296</v>
      </c>
      <c r="T11" cm="1">
        <f t="array" ref="T11">[1]!PropsSI("H","T",J11+273.15,"P",101325,"Water")</f>
        <v>229984.52602537017</v>
      </c>
      <c r="U11" cm="1">
        <f t="array" ref="U11">[1]!PropsSI("H","T",K11+273.15,"P",101325,"Water")</f>
        <v>212764.96241922464</v>
      </c>
      <c r="V11">
        <f t="shared" si="5"/>
        <v>364.86358319506024</v>
      </c>
    </row>
    <row r="12" spans="1:22" x14ac:dyDescent="0.2">
      <c r="A12">
        <v>44604.645856902403</v>
      </c>
      <c r="B12">
        <v>17.831323999999999</v>
      </c>
      <c r="C12">
        <v>18.236068</v>
      </c>
      <c r="D12">
        <v>18.583869</v>
      </c>
      <c r="E12">
        <v>18.819486999999999</v>
      </c>
      <c r="F12">
        <v>39.901989</v>
      </c>
      <c r="G12">
        <v>38.269758000000003</v>
      </c>
      <c r="H12">
        <v>26.009758000000001</v>
      </c>
      <c r="I12">
        <v>24.243684999999999</v>
      </c>
      <c r="J12">
        <v>54.934972000000002</v>
      </c>
      <c r="K12">
        <v>50.821925</v>
      </c>
      <c r="L12">
        <v>29.264101</v>
      </c>
      <c r="M12">
        <v>-622.48938799999996</v>
      </c>
      <c r="N12">
        <v>1.290033</v>
      </c>
      <c r="O12">
        <v>2.7475260000000001</v>
      </c>
      <c r="P12">
        <f t="shared" si="3"/>
        <v>2.1500550000000002E-5</v>
      </c>
      <c r="Q12" cm="1">
        <f t="array" ref="Q12">[1]!PropsSI("D","T",J12+273.15,"P",101325,"Water")</f>
        <v>985.7245598023793</v>
      </c>
      <c r="R12" cm="1">
        <f t="array" ref="R12">[1]!PropsSI("D","T",K12+273.15,"P",101325,"Water")</f>
        <v>987.66108298507368</v>
      </c>
      <c r="S12">
        <f t="shared" si="4"/>
        <v>986.69282139372649</v>
      </c>
      <c r="T12" cm="1">
        <f t="array" ref="T12">[1]!PropsSI("H","T",J12+273.15,"P",101325,"Water")</f>
        <v>230057.06639546112</v>
      </c>
      <c r="U12" cm="1">
        <f t="array" ref="U12">[1]!PropsSI("H","T",K12+273.15,"P",101325,"Water")</f>
        <v>212855.33884648306</v>
      </c>
      <c r="V12">
        <f t="shared" si="5"/>
        <v>364.92498844676658</v>
      </c>
    </row>
    <row r="13" spans="1:22" x14ac:dyDescent="0.2">
      <c r="A13">
        <v>44604.645973221901</v>
      </c>
      <c r="B13">
        <v>17.832004999999999</v>
      </c>
      <c r="C13">
        <v>18.142202999999999</v>
      </c>
      <c r="D13">
        <v>18.586005</v>
      </c>
      <c r="E13">
        <v>18.762875999999999</v>
      </c>
      <c r="F13">
        <v>40.139592</v>
      </c>
      <c r="G13">
        <v>36.977955000000001</v>
      </c>
      <c r="H13">
        <v>25.983633999999999</v>
      </c>
      <c r="I13">
        <v>24.230609000000001</v>
      </c>
      <c r="J13">
        <v>54.944996000000003</v>
      </c>
      <c r="K13">
        <v>50.822878000000003</v>
      </c>
      <c r="L13">
        <v>28.273945999999999</v>
      </c>
      <c r="M13">
        <v>-622.493878</v>
      </c>
      <c r="N13">
        <v>1.2975319999999999</v>
      </c>
      <c r="O13">
        <v>2.1240679999999998</v>
      </c>
      <c r="P13">
        <f t="shared" si="3"/>
        <v>2.1625533333333332E-5</v>
      </c>
      <c r="Q13" cm="1">
        <f t="array" ref="Q13">[1]!PropsSI("D","T",J13+273.15,"P",101325,"Water")</f>
        <v>985.71970998112261</v>
      </c>
      <c r="R13" cm="1">
        <f t="array" ref="R13">[1]!PropsSI("D","T",K13+273.15,"P",101325,"Water")</f>
        <v>987.66064682889464</v>
      </c>
      <c r="S13">
        <f t="shared" si="4"/>
        <v>986.69017840500862</v>
      </c>
      <c r="T13" cm="1">
        <f t="array" ref="T13">[1]!PropsSI("H","T",J13+273.15,"P",101325,"Water")</f>
        <v>230098.99613413186</v>
      </c>
      <c r="U13" cm="1">
        <f t="array" ref="U13">[1]!PropsSI("H","T",K13+273.15,"P",101325,"Water")</f>
        <v>212859.32389267892</v>
      </c>
      <c r="V13">
        <f t="shared" si="5"/>
        <v>367.85497753536714</v>
      </c>
    </row>
    <row r="14" spans="1:22" x14ac:dyDescent="0.2">
      <c r="A14">
        <v>44604.646089541297</v>
      </c>
      <c r="B14">
        <v>17.744814999999999</v>
      </c>
      <c r="C14">
        <v>18.041537000000002</v>
      </c>
      <c r="D14">
        <v>18.595403000000001</v>
      </c>
      <c r="E14">
        <v>18.833313</v>
      </c>
      <c r="F14">
        <v>40.312063000000002</v>
      </c>
      <c r="G14">
        <v>38.045895000000002</v>
      </c>
      <c r="H14">
        <v>25.853838</v>
      </c>
      <c r="I14">
        <v>24.380466999999999</v>
      </c>
      <c r="J14">
        <v>54.956291999999998</v>
      </c>
      <c r="K14">
        <v>50.828598999999997</v>
      </c>
      <c r="L14">
        <v>28.743718000000001</v>
      </c>
      <c r="M14">
        <v>-622.48857199999998</v>
      </c>
      <c r="N14">
        <v>1.2868900000000001</v>
      </c>
      <c r="O14">
        <v>2.2750870000000001</v>
      </c>
      <c r="P14">
        <f t="shared" si="3"/>
        <v>2.1448166666666669E-5</v>
      </c>
      <c r="Q14" cm="1">
        <f t="array" ref="Q14">[1]!PropsSI("D","T",J14+273.15,"P",101325,"Water")</f>
        <v>985.71424399163902</v>
      </c>
      <c r="R14" cm="1">
        <f t="array" ref="R14">[1]!PropsSI("D","T",K14+273.15,"P",101325,"Water")</f>
        <v>987.65802839483149</v>
      </c>
      <c r="S14">
        <f t="shared" si="4"/>
        <v>986.68613619323526</v>
      </c>
      <c r="T14" cm="1">
        <f t="array" ref="T14">[1]!PropsSI("H","T",J14+273.15,"P",101325,"Water")</f>
        <v>230146.24660930125</v>
      </c>
      <c r="U14" cm="1">
        <f t="array" ref="U14">[1]!PropsSI("H","T",K14+273.15,"P",101325,"Water")</f>
        <v>212883.2467204002</v>
      </c>
      <c r="V14">
        <f t="shared" si="5"/>
        <v>365.3301115810566</v>
      </c>
    </row>
    <row r="15" spans="1:22" x14ac:dyDescent="0.2">
      <c r="A15">
        <v>46066.646205856479</v>
      </c>
      <c r="B15">
        <v>17.620011000000002</v>
      </c>
      <c r="C15">
        <v>18.115971999999999</v>
      </c>
      <c r="D15">
        <v>18.802271999999999</v>
      </c>
      <c r="E15">
        <v>18.535836</v>
      </c>
      <c r="F15">
        <v>39.244014</v>
      </c>
      <c r="G15">
        <v>38.670755999999997</v>
      </c>
      <c r="H15">
        <v>25.867823999999999</v>
      </c>
      <c r="I15">
        <v>24.296209000000001</v>
      </c>
      <c r="J15">
        <v>54.968702</v>
      </c>
      <c r="K15">
        <v>50.822878000000003</v>
      </c>
      <c r="L15">
        <v>-1.3735489999999999</v>
      </c>
      <c r="M15">
        <v>-622.49673499999994</v>
      </c>
      <c r="N15">
        <v>1.2850010000000001</v>
      </c>
      <c r="O15">
        <v>1.2135009999999999</v>
      </c>
      <c r="P15">
        <f t="shared" si="3"/>
        <v>2.1416683333333334E-5</v>
      </c>
      <c r="Q15" cm="1">
        <f t="array" ref="Q15">[1]!PropsSI("D","T",J15+273.15,"P",101325,"Water")</f>
        <v>985.70823803828341</v>
      </c>
      <c r="R15" cm="1">
        <f t="array" ref="R15">[1]!PropsSI("D","T",K15+273.15,"P",101325,"Water")</f>
        <v>987.66064682889464</v>
      </c>
      <c r="S15">
        <f t="shared" si="4"/>
        <v>986.68444243358908</v>
      </c>
      <c r="T15" cm="1">
        <f t="array" ref="T15">[1]!PropsSI("H","T",J15+273.15,"P",101325,"Water")</f>
        <v>230198.15693127731</v>
      </c>
      <c r="U15" cm="1">
        <f t="array" ref="U15">[1]!PropsSI("H","T",K15+273.15,"P",101325,"Water")</f>
        <v>212859.32389267892</v>
      </c>
      <c r="V15">
        <f t="shared" si="5"/>
        <v>366.39569346166394</v>
      </c>
    </row>
    <row r="16" spans="1:22" x14ac:dyDescent="0.2">
      <c r="A16">
        <v>46066.646322175926</v>
      </c>
      <c r="B16">
        <v>17.493924</v>
      </c>
      <c r="C16">
        <v>17.848991999999999</v>
      </c>
      <c r="D16">
        <v>18.561088000000002</v>
      </c>
      <c r="E16">
        <v>18.671195000000001</v>
      </c>
      <c r="F16">
        <v>39.345683999999999</v>
      </c>
      <c r="G16">
        <v>37.983020000000003</v>
      </c>
      <c r="H16">
        <v>26.600612000000002</v>
      </c>
      <c r="I16">
        <v>24.990000999999999</v>
      </c>
      <c r="J16">
        <v>54.980316999999999</v>
      </c>
      <c r="K16">
        <v>50.827644999999997</v>
      </c>
      <c r="L16">
        <v>29.265325000000001</v>
      </c>
      <c r="M16">
        <v>-622.48244999999997</v>
      </c>
      <c r="N16">
        <v>1.284808</v>
      </c>
      <c r="O16">
        <v>2.2318549999999999</v>
      </c>
      <c r="P16">
        <f t="shared" si="3"/>
        <v>2.1413466666666664E-5</v>
      </c>
      <c r="Q16" cm="1">
        <f t="array" ref="Q16">[1]!PropsSI("D","T",J16+273.15,"P",101325,"Water")</f>
        <v>985.70261596726789</v>
      </c>
      <c r="R16" cm="1">
        <f t="array" ref="R16">[1]!PropsSI("D","T",K16+273.15,"P",101325,"Water")</f>
        <v>987.65846504413753</v>
      </c>
      <c r="S16">
        <f t="shared" si="4"/>
        <v>986.68054050570277</v>
      </c>
      <c r="T16" cm="1">
        <f t="array" ref="T16">[1]!PropsSI("H","T",J16+273.15,"P",101325,"Water")</f>
        <v>230246.741863993</v>
      </c>
      <c r="U16" cm="1">
        <f t="array" ref="U16">[1]!PropsSI("H","T",K16+273.15,"P",101325,"Water")</f>
        <v>212879.25749097957</v>
      </c>
      <c r="V16">
        <f t="shared" si="5"/>
        <v>366.94456672295729</v>
      </c>
    </row>
    <row r="17" spans="1:22" x14ac:dyDescent="0.2">
      <c r="A17">
        <v>46066.646438495372</v>
      </c>
      <c r="B17">
        <v>17.901288000000001</v>
      </c>
      <c r="C17">
        <v>18.271121999999998</v>
      </c>
      <c r="D17">
        <v>18.731332999999999</v>
      </c>
      <c r="E17">
        <v>19.074100000000001</v>
      </c>
      <c r="F17">
        <v>39.885449999999999</v>
      </c>
      <c r="G17">
        <v>38.453046000000001</v>
      </c>
      <c r="H17">
        <v>25.755291</v>
      </c>
      <c r="I17">
        <v>24.946262999999998</v>
      </c>
      <c r="J17">
        <v>54.985249000000003</v>
      </c>
      <c r="K17">
        <v>50.82987</v>
      </c>
      <c r="L17">
        <v>30.947282000000001</v>
      </c>
      <c r="M17">
        <v>-622.50938699999995</v>
      </c>
      <c r="N17">
        <v>1.294205</v>
      </c>
      <c r="O17">
        <v>1.7301500000000001</v>
      </c>
      <c r="P17">
        <f t="shared" si="3"/>
        <v>2.1570083333333335E-5</v>
      </c>
      <c r="Q17" cm="1">
        <f t="array" ref="Q17">[1]!PropsSI("D","T",J17+273.15,"P",101325,"Water")</f>
        <v>985.70022845135361</v>
      </c>
      <c r="R17" cm="1">
        <f t="array" ref="R17">[1]!PropsSI("D","T",K17+273.15,"P",101325,"Water")</f>
        <v>987.65744664430224</v>
      </c>
      <c r="S17">
        <f t="shared" si="4"/>
        <v>986.67883754782792</v>
      </c>
      <c r="T17" cm="1">
        <f t="array" ref="T17">[1]!PropsSI("H","T",J17+273.15,"P",101325,"Water")</f>
        <v>230267.37217476277</v>
      </c>
      <c r="U17" cm="1">
        <f t="array" ref="U17">[1]!PropsSI("H","T",K17+273.15,"P",101325,"Water")</f>
        <v>212888.56151177848</v>
      </c>
      <c r="V17">
        <f t="shared" si="5"/>
        <v>369.86879138398132</v>
      </c>
    </row>
    <row r="18" spans="1:22" x14ac:dyDescent="0.2">
      <c r="A18">
        <v>46066.646554236111</v>
      </c>
      <c r="B18">
        <v>17.729505</v>
      </c>
      <c r="C18">
        <v>17.998252000000001</v>
      </c>
      <c r="D18">
        <v>18.630689</v>
      </c>
      <c r="E18">
        <v>18.892168999999999</v>
      </c>
      <c r="F18">
        <v>39.900981999999999</v>
      </c>
      <c r="G18">
        <v>38.345730000000003</v>
      </c>
      <c r="H18">
        <v>26.203600999999999</v>
      </c>
      <c r="I18">
        <v>25.456904999999999</v>
      </c>
      <c r="J18">
        <v>54.992089999999997</v>
      </c>
      <c r="K18">
        <v>50.855614000000003</v>
      </c>
      <c r="L18">
        <v>30.081610999999999</v>
      </c>
      <c r="M18">
        <v>-622.50449000000003</v>
      </c>
      <c r="N18">
        <v>1.287005</v>
      </c>
      <c r="O18">
        <v>2.2211810000000001</v>
      </c>
      <c r="P18">
        <f t="shared" si="3"/>
        <v>2.1450083333333333E-5</v>
      </c>
      <c r="Q18" cm="1">
        <f t="array" ref="Q18">[1]!PropsSI("D","T",J18+273.15,"P",101325,"Water")</f>
        <v>985.69691656382156</v>
      </c>
      <c r="R18" cm="1">
        <f t="array" ref="R18">[1]!PropsSI("D","T",K18+273.15,"P",101325,"Water")</f>
        <v>987.64566107592657</v>
      </c>
      <c r="S18">
        <f t="shared" si="4"/>
        <v>986.67128881987401</v>
      </c>
      <c r="T18" cm="1">
        <f t="array" ref="T18">[1]!PropsSI("H","T",J18+273.15,"P",101325,"Water")</f>
        <v>230295.98775219094</v>
      </c>
      <c r="U18" cm="1">
        <f t="array" ref="U18">[1]!PropsSI("H","T",K18+273.15,"P",101325,"Water")</f>
        <v>212996.21227558816</v>
      </c>
      <c r="V18">
        <f t="shared" si="5"/>
        <v>366.1355858089309</v>
      </c>
    </row>
    <row r="19" spans="1:22" x14ac:dyDescent="0.2">
      <c r="P19" s="1"/>
    </row>
    <row r="20" spans="1:22" x14ac:dyDescent="0.2">
      <c r="P20" s="1"/>
    </row>
    <row r="21" spans="1:22" x14ac:dyDescent="0.2">
      <c r="P21" s="1"/>
    </row>
    <row r="22" spans="1:22" x14ac:dyDescent="0.2">
      <c r="P22" s="1"/>
    </row>
    <row r="23" spans="1:22" x14ac:dyDescent="0.2">
      <c r="L23" t="s">
        <v>22</v>
      </c>
      <c r="P23" s="1"/>
    </row>
    <row r="24" spans="1:22" x14ac:dyDescent="0.2">
      <c r="L24">
        <f>AVERAGE(V4:V18)</f>
        <v>365.50910587265099</v>
      </c>
      <c r="P24" s="1"/>
    </row>
    <row r="25" spans="1:22" x14ac:dyDescent="0.2">
      <c r="P25" s="1"/>
    </row>
    <row r="26" spans="1:22" x14ac:dyDescent="0.2">
      <c r="P26" s="1"/>
    </row>
    <row r="27" spans="1:22" x14ac:dyDescent="0.2">
      <c r="P27" s="1"/>
    </row>
    <row r="28" spans="1:22" x14ac:dyDescent="0.2">
      <c r="P28" s="1"/>
    </row>
    <row r="29" spans="1:22" x14ac:dyDescent="0.2">
      <c r="P29" s="1"/>
    </row>
    <row r="30" spans="1:22" x14ac:dyDescent="0.2">
      <c r="P30" s="1"/>
    </row>
    <row r="31" spans="1:22" x14ac:dyDescent="0.2"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DB1C-CD6D-B144-8E5D-F429BB5333FD}">
  <dimension ref="A1:V36"/>
  <sheetViews>
    <sheetView workbookViewId="0">
      <selection activeCell="K26" sqref="K26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44604.647235953402</v>
      </c>
      <c r="B2">
        <v>17.417735</v>
      </c>
      <c r="C2">
        <v>17.732952000000001</v>
      </c>
      <c r="D2">
        <v>18.736941999999999</v>
      </c>
      <c r="E2">
        <v>19.039384999999999</v>
      </c>
      <c r="F2">
        <v>37.144018000000003</v>
      </c>
      <c r="G2">
        <v>34.782620999999999</v>
      </c>
      <c r="H2">
        <v>25.153952</v>
      </c>
      <c r="I2">
        <v>23.007611000000001</v>
      </c>
      <c r="J2">
        <v>55.066076000000002</v>
      </c>
      <c r="K2">
        <v>49.614094999999999</v>
      </c>
      <c r="L2">
        <v>68.616007999999994</v>
      </c>
      <c r="M2">
        <v>-622.51346899999999</v>
      </c>
      <c r="N2">
        <v>1.2750840000000001</v>
      </c>
      <c r="O2">
        <v>2.159751</v>
      </c>
      <c r="P2">
        <f xml:space="preserve"> N2*0.001/60</f>
        <v>2.1251400000000001E-5</v>
      </c>
      <c r="Q2" cm="1">
        <f t="array" ref="Q2">[1]!PropsSI("D","T",J2+273.15,"P",101325,"Water")</f>
        <v>985.66107965725655</v>
      </c>
      <c r="R2" cm="1">
        <f t="array" ref="R2">[1]!PropsSI("D","T",K2+273.15,"P",101325,"Water")</f>
        <v>988.20910093745954</v>
      </c>
      <c r="S2">
        <f>(Q2+R2)/2</f>
        <v>986.9350902973581</v>
      </c>
      <c r="T2" cm="1">
        <f t="array" ref="T2">[1]!PropsSI("H","T",J2+273.15,"P",101325,"Water")</f>
        <v>230605.46875121162</v>
      </c>
      <c r="U2" cm="1">
        <f t="array" ref="U2">[1]!PropsSI("H","T",K2+273.15,"P",101325,"Water")</f>
        <v>207804.91200144088</v>
      </c>
      <c r="V2">
        <f>S2*P2*(T2-U2)</f>
        <v>478.21323134898029</v>
      </c>
    </row>
    <row r="3" spans="1:22" x14ac:dyDescent="0.2">
      <c r="A3">
        <v>44604.647351694097</v>
      </c>
      <c r="B3">
        <v>17.281874999999999</v>
      </c>
      <c r="C3">
        <v>17.584970999999999</v>
      </c>
      <c r="D3">
        <v>18.662922999999999</v>
      </c>
      <c r="E3">
        <v>18.895465000000002</v>
      </c>
      <c r="F3">
        <v>36.519447</v>
      </c>
      <c r="G3">
        <v>36.948878000000001</v>
      </c>
      <c r="H3">
        <v>24.569868</v>
      </c>
      <c r="I3">
        <v>22.810763999999999</v>
      </c>
      <c r="J3">
        <v>55.073234999999997</v>
      </c>
      <c r="K3">
        <v>49.535463999999997</v>
      </c>
      <c r="L3">
        <v>67.107512</v>
      </c>
      <c r="M3">
        <v>-622.48816399999998</v>
      </c>
      <c r="N3">
        <v>1.2848329999999999</v>
      </c>
      <c r="O3">
        <v>1.6158809999999999</v>
      </c>
      <c r="P3">
        <f t="shared" ref="P3:P9" si="0" xml:space="preserve"> N3*0.001/60</f>
        <v>2.1413883333333332E-5</v>
      </c>
      <c r="Q3" cm="1">
        <f t="array" ref="Q3">[1]!PropsSI("D","T",J3+273.15,"P",101325,"Water")</f>
        <v>985.65761022028551</v>
      </c>
      <c r="R3" cm="1">
        <f t="array" ref="R3">[1]!PropsSI("D","T",K3+273.15,"P",101325,"Water")</f>
        <v>988.2444456790937</v>
      </c>
      <c r="S3">
        <f>(Q3+R3)/2</f>
        <v>986.95102794968966</v>
      </c>
      <c r="T3" cm="1">
        <f t="array" ref="T3">[1]!PropsSI("H","T",J3+273.15,"P",101325,"Water")</f>
        <v>230635.41471751023</v>
      </c>
      <c r="U3" cm="1">
        <f t="array" ref="U3">[1]!PropsSI("H","T",K3+273.15,"P",101325,"Water")</f>
        <v>207476.13821630619</v>
      </c>
      <c r="V3">
        <f t="shared" ref="V3:V36" si="1">S3*P3*(T3-U3)</f>
        <v>489.45866778401768</v>
      </c>
    </row>
    <row r="4" spans="1:22" x14ac:dyDescent="0.2">
      <c r="A4">
        <v>44604.647467434799</v>
      </c>
      <c r="B4">
        <v>17.503018999999998</v>
      </c>
      <c r="C4">
        <v>17.816037000000001</v>
      </c>
      <c r="D4">
        <v>18.722453999999999</v>
      </c>
      <c r="E4">
        <v>19.223013000000002</v>
      </c>
      <c r="F4">
        <v>36.916086</v>
      </c>
      <c r="G4">
        <v>34.752386999999999</v>
      </c>
      <c r="H4">
        <v>24.58108</v>
      </c>
      <c r="I4">
        <v>22.832550999999999</v>
      </c>
      <c r="J4">
        <v>55.076417999999997</v>
      </c>
      <c r="K4">
        <v>49.503377</v>
      </c>
      <c r="L4">
        <v>64.340304000000003</v>
      </c>
      <c r="M4">
        <v>-622.48326599999996</v>
      </c>
      <c r="N4">
        <v>1.2763709999999999</v>
      </c>
      <c r="O4">
        <v>2.2934380000000001</v>
      </c>
      <c r="P4">
        <f xml:space="preserve"> N4*0.001/60</f>
        <v>2.1272849999999997E-5</v>
      </c>
      <c r="Q4" cm="1">
        <f t="array" ref="Q4">[1]!PropsSI("D","T",J4+273.15,"P",101325,"Water")</f>
        <v>985.65606755389922</v>
      </c>
      <c r="R4" cm="1">
        <f t="array" ref="R4">[1]!PropsSI("D","T",K4+273.15,"P",101325,"Water")</f>
        <v>988.25885711691512</v>
      </c>
      <c r="S4">
        <f t="shared" ref="S4:S36" si="2">(Q4+R4)/2</f>
        <v>986.95746233540717</v>
      </c>
      <c r="T4" cm="1">
        <f t="array" ref="T4">[1]!PropsSI("H","T",J4+273.15,"P",101325,"Water")</f>
        <v>230648.72915437203</v>
      </c>
      <c r="U4" cm="1">
        <f t="array" ref="U4">[1]!PropsSI("H","T",K4+273.15,"P",101325,"Water")</f>
        <v>207341.97578721179</v>
      </c>
      <c r="V4">
        <f t="shared" si="1"/>
        <v>489.33456425827808</v>
      </c>
    </row>
    <row r="5" spans="1:22" x14ac:dyDescent="0.2">
      <c r="A5">
        <v>44604.647583754297</v>
      </c>
      <c r="B5">
        <v>17.435654</v>
      </c>
      <c r="C5">
        <v>17.761824000000001</v>
      </c>
      <c r="D5">
        <v>18.685179000000002</v>
      </c>
      <c r="E5">
        <v>19.167722999999999</v>
      </c>
      <c r="F5">
        <v>36.226230000000001</v>
      </c>
      <c r="G5">
        <v>37.218409000000001</v>
      </c>
      <c r="H5">
        <v>24.522849999999998</v>
      </c>
      <c r="I5">
        <v>22.895613999999998</v>
      </c>
      <c r="J5">
        <v>55.077691000000002</v>
      </c>
      <c r="K5">
        <v>49.496386999999999</v>
      </c>
      <c r="L5">
        <v>63.404024</v>
      </c>
      <c r="M5">
        <v>-622.49347</v>
      </c>
      <c r="N5">
        <v>1.2837019999999999</v>
      </c>
      <c r="O5">
        <v>1.820808</v>
      </c>
      <c r="P5">
        <f t="shared" ref="P5:P18" si="3" xml:space="preserve"> N5*0.001/60</f>
        <v>2.1395033333333331E-5</v>
      </c>
      <c r="Q5" cm="1">
        <f t="array" ref="Q5">[1]!PropsSI("D","T",J5+273.15,"P",101325,"Water")</f>
        <v>985.65545056666485</v>
      </c>
      <c r="R5" cm="1">
        <f t="array" ref="R5">[1]!PropsSI("D","T",K5+273.15,"P",101325,"Water")</f>
        <v>988.26199567902313</v>
      </c>
      <c r="S5">
        <f t="shared" si="2"/>
        <v>986.95872312284405</v>
      </c>
      <c r="T5" cm="1">
        <f t="array" ref="T5">[1]!PropsSI("H","T",J5+273.15,"P",101325,"Water")</f>
        <v>230654.05409353212</v>
      </c>
      <c r="U5" cm="1">
        <f t="array" ref="U5">[1]!PropsSI("H","T",K5+273.15,"P",101325,"Water")</f>
        <v>207312.74917905094</v>
      </c>
      <c r="V5">
        <f t="shared" si="1"/>
        <v>492.87533955487481</v>
      </c>
    </row>
    <row r="6" spans="1:22" x14ac:dyDescent="0.2">
      <c r="A6">
        <v>46066.647699490743</v>
      </c>
      <c r="B6">
        <v>17.591457999999999</v>
      </c>
      <c r="C6">
        <v>18.075118</v>
      </c>
      <c r="D6">
        <v>18.812714</v>
      </c>
      <c r="E6">
        <v>19.311986999999998</v>
      </c>
      <c r="F6">
        <v>36.978791999999999</v>
      </c>
      <c r="G6">
        <v>35.917060999999997</v>
      </c>
      <c r="H6">
        <v>24.861363000000001</v>
      </c>
      <c r="I6">
        <v>23.343032999999998</v>
      </c>
      <c r="J6">
        <v>55.076895</v>
      </c>
      <c r="K6">
        <v>49.485585999999998</v>
      </c>
      <c r="L6">
        <v>65.518203999999997</v>
      </c>
      <c r="M6">
        <v>-622.48449100000005</v>
      </c>
      <c r="N6">
        <v>1.2844439999999999</v>
      </c>
      <c r="O6">
        <v>1.7895589999999999</v>
      </c>
      <c r="P6">
        <f t="shared" si="3"/>
        <v>2.1407400000000001E-5</v>
      </c>
      <c r="Q6" cm="1">
        <f t="array" ref="Q6">[1]!PropsSI("D","T",J6+273.15,"P",101325,"Water")</f>
        <v>985.65583636660949</v>
      </c>
      <c r="R6" cm="1">
        <f t="array" ref="R6">[1]!PropsSI("D","T",K6+273.15,"P",101325,"Water")</f>
        <v>988.26684477458491</v>
      </c>
      <c r="S6">
        <f t="shared" si="2"/>
        <v>986.96134057059726</v>
      </c>
      <c r="T6" cm="1">
        <f t="array" ref="T6">[1]!PropsSI("H","T",J6+273.15,"P",101325,"Water")</f>
        <v>230650.72443787401</v>
      </c>
      <c r="U6" cm="1">
        <f t="array" ref="U6">[1]!PropsSI("H","T",K6+273.15,"P",101325,"Water")</f>
        <v>207267.58803315586</v>
      </c>
      <c r="V6">
        <f t="shared" si="1"/>
        <v>494.04536443098976</v>
      </c>
    </row>
    <row r="7" spans="1:22" x14ac:dyDescent="0.2">
      <c r="A7">
        <v>46066.647815810182</v>
      </c>
      <c r="B7">
        <v>17.637291999999999</v>
      </c>
      <c r="C7">
        <v>18.168600000000001</v>
      </c>
      <c r="D7">
        <v>18.808751000000001</v>
      </c>
      <c r="E7">
        <v>19.340377</v>
      </c>
      <c r="F7">
        <v>36.960061000000003</v>
      </c>
      <c r="G7">
        <v>35.922904000000003</v>
      </c>
      <c r="H7">
        <v>25.126667999999999</v>
      </c>
      <c r="I7">
        <v>22.462260000000001</v>
      </c>
      <c r="J7">
        <v>55.077213</v>
      </c>
      <c r="K7">
        <v>49.495117</v>
      </c>
      <c r="L7">
        <v>66.937315999999996</v>
      </c>
      <c r="M7">
        <v>-622.51020400000004</v>
      </c>
      <c r="N7">
        <v>1.282149</v>
      </c>
      <c r="O7">
        <v>1.77342</v>
      </c>
      <c r="P7">
        <f t="shared" si="3"/>
        <v>2.1369149999999999E-5</v>
      </c>
      <c r="Q7" cm="1">
        <f t="array" ref="Q7">[1]!PropsSI("D","T",J7+273.15,"P",101325,"Water")</f>
        <v>985.65568224097706</v>
      </c>
      <c r="R7" cm="1">
        <f t="array" ref="R7">[1]!PropsSI("D","T",K7+273.15,"P",101325,"Water")</f>
        <v>988.26256588388674</v>
      </c>
      <c r="S7">
        <f t="shared" si="2"/>
        <v>986.9591240624319</v>
      </c>
      <c r="T7" cm="1">
        <f t="array" ref="T7">[1]!PropsSI("H","T",J7+273.15,"P",101325,"Water")</f>
        <v>230652.05462692474</v>
      </c>
      <c r="U7" cm="1">
        <f t="array" ref="U7">[1]!PropsSI("H","T",K7+273.15,"P",101325,"Water")</f>
        <v>207307.43905282926</v>
      </c>
      <c r="V7">
        <f t="shared" si="1"/>
        <v>492.34909105139121</v>
      </c>
    </row>
    <row r="8" spans="1:22" x14ac:dyDescent="0.2">
      <c r="A8">
        <v>46066.647931550928</v>
      </c>
      <c r="B8">
        <v>17.650905000000002</v>
      </c>
      <c r="C8">
        <v>18.012260000000001</v>
      </c>
      <c r="D8">
        <v>18.846418</v>
      </c>
      <c r="E8">
        <v>19.369229000000001</v>
      </c>
      <c r="F8">
        <v>37.095176000000002</v>
      </c>
      <c r="G8">
        <v>36.438400999999999</v>
      </c>
      <c r="H8">
        <v>25.979222</v>
      </c>
      <c r="I8">
        <v>22.973458000000001</v>
      </c>
      <c r="J8">
        <v>55.076895</v>
      </c>
      <c r="K8">
        <v>49.493845999999998</v>
      </c>
      <c r="L8">
        <v>64.456215999999998</v>
      </c>
      <c r="M8">
        <v>-622.49102100000005</v>
      </c>
      <c r="N8">
        <v>1.2814890000000001</v>
      </c>
      <c r="O8">
        <v>2.4553479999999999</v>
      </c>
      <c r="P8">
        <f t="shared" si="3"/>
        <v>2.1358150000000001E-5</v>
      </c>
      <c r="Q8" cm="1">
        <f t="array" ref="Q8">[1]!PropsSI("D","T",J8+273.15,"P",101325,"Water")</f>
        <v>985.65583636660949</v>
      </c>
      <c r="R8" cm="1">
        <f t="array" ref="R8">[1]!PropsSI("D","T",K8+273.15,"P",101325,"Water")</f>
        <v>988.26313652705358</v>
      </c>
      <c r="S8">
        <f t="shared" si="2"/>
        <v>986.95948644683153</v>
      </c>
      <c r="T8" cm="1">
        <f t="array" ref="T8">[1]!PropsSI("H","T",J8+273.15,"P",101325,"Water")</f>
        <v>230650.72443787401</v>
      </c>
      <c r="U8" cm="1">
        <f t="array" ref="U8">[1]!PropsSI("H","T",K8+273.15,"P",101325,"Water")</f>
        <v>207302.12474588817</v>
      </c>
      <c r="V8">
        <f t="shared" si="1"/>
        <v>492.17981346677846</v>
      </c>
    </row>
    <row r="9" spans="1:22" x14ac:dyDescent="0.2">
      <c r="A9">
        <v>46066.648047870367</v>
      </c>
      <c r="B9">
        <v>17.916982000000001</v>
      </c>
      <c r="C9">
        <v>18.455538000000001</v>
      </c>
      <c r="D9">
        <v>19.018895000000001</v>
      </c>
      <c r="E9">
        <v>19.423266999999999</v>
      </c>
      <c r="F9">
        <v>36.893433000000002</v>
      </c>
      <c r="G9">
        <v>37.418413000000001</v>
      </c>
      <c r="H9">
        <v>24.971243999999999</v>
      </c>
      <c r="I9">
        <v>22.886834</v>
      </c>
      <c r="J9">
        <v>55.074348999999998</v>
      </c>
      <c r="K9">
        <v>49.500835000000002</v>
      </c>
      <c r="L9">
        <v>66.097358</v>
      </c>
      <c r="M9">
        <v>-622.50040799999999</v>
      </c>
      <c r="N9">
        <v>1.2816940000000001</v>
      </c>
      <c r="O9">
        <v>2.3314339999999998</v>
      </c>
      <c r="P9">
        <f t="shared" si="3"/>
        <v>2.1361566666666669E-5</v>
      </c>
      <c r="Q9" cm="1">
        <f t="array" ref="Q9">[1]!PropsSI("D","T",J9+273.15,"P",101325,"Water")</f>
        <v>985.65707031841691</v>
      </c>
      <c r="R9" cm="1">
        <f t="array" ref="R9">[1]!PropsSI("D","T",K9+273.15,"P",101325,"Water")</f>
        <v>988.25999853116605</v>
      </c>
      <c r="S9">
        <f t="shared" si="2"/>
        <v>986.95853442479142</v>
      </c>
      <c r="T9" cm="1">
        <f t="array" ref="T9">[1]!PropsSI("H","T",J9+273.15,"P",101325,"Water")</f>
        <v>230640.07456085584</v>
      </c>
      <c r="U9" cm="1">
        <f t="array" ref="U9">[1]!PropsSI("H","T",K9+273.15,"P",101325,"Water")</f>
        <v>207331.34716792405</v>
      </c>
      <c r="V9">
        <f t="shared" si="1"/>
        <v>491.41744581243557</v>
      </c>
    </row>
    <row r="10" spans="1:22" x14ac:dyDescent="0.2">
      <c r="A10">
        <v>44604.648164194099</v>
      </c>
      <c r="B10">
        <v>17.906016000000001</v>
      </c>
      <c r="C10">
        <v>18.312180999999999</v>
      </c>
      <c r="D10">
        <v>18.958335000000002</v>
      </c>
      <c r="E10">
        <v>19.436076</v>
      </c>
      <c r="F10">
        <v>36.850709000000002</v>
      </c>
      <c r="G10">
        <v>36.205525999999999</v>
      </c>
      <c r="H10">
        <v>25.253146999999998</v>
      </c>
      <c r="I10">
        <v>23.120934999999999</v>
      </c>
      <c r="J10">
        <v>55.069893999999998</v>
      </c>
      <c r="K10">
        <v>49.516719999999999</v>
      </c>
      <c r="L10">
        <v>67.056901999999994</v>
      </c>
      <c r="M10">
        <v>-622.50530600000002</v>
      </c>
      <c r="N10">
        <v>1.2860659999999999</v>
      </c>
      <c r="O10">
        <v>1.509708</v>
      </c>
      <c r="P10">
        <f t="shared" si="3"/>
        <v>2.1434433333333333E-5</v>
      </c>
      <c r="Q10" cm="1">
        <f t="array" ref="Q10">[1]!PropsSI("D","T",J10+273.15,"P",101325,"Water")</f>
        <v>985.65922939505379</v>
      </c>
      <c r="R10" cm="1">
        <f t="array" ref="R10">[1]!PropsSI("D","T",K10+273.15,"P",101325,"Water")</f>
        <v>988.2528651155576</v>
      </c>
      <c r="S10">
        <f t="shared" si="2"/>
        <v>986.95604725530575</v>
      </c>
      <c r="T10" cm="1">
        <f t="array" ref="T10">[1]!PropsSI("H","T",J10+273.15,"P",101325,"Water")</f>
        <v>230621.43937319805</v>
      </c>
      <c r="U10" cm="1">
        <f t="array" ref="U10">[1]!PropsSI("H","T",K10+273.15,"P",101325,"Water")</f>
        <v>207397.76561449043</v>
      </c>
      <c r="V10">
        <f t="shared" si="1"/>
        <v>491.29318613234989</v>
      </c>
    </row>
    <row r="11" spans="1:22" x14ac:dyDescent="0.2">
      <c r="A11">
        <v>44604.648279934801</v>
      </c>
      <c r="B11">
        <v>18.111450999999999</v>
      </c>
      <c r="C11">
        <v>18.532243999999999</v>
      </c>
      <c r="D11">
        <v>19.039180000000002</v>
      </c>
      <c r="E11">
        <v>19.426349999999999</v>
      </c>
      <c r="F11">
        <v>37.029107000000003</v>
      </c>
      <c r="G11">
        <v>37.211944000000003</v>
      </c>
      <c r="H11">
        <v>24.910671000000001</v>
      </c>
      <c r="I11">
        <v>23.035323000000002</v>
      </c>
      <c r="J11">
        <v>55.063051999999999</v>
      </c>
      <c r="K11">
        <v>49.506394999999998</v>
      </c>
      <c r="L11">
        <v>60.511924</v>
      </c>
      <c r="M11">
        <v>-622.49306200000001</v>
      </c>
      <c r="N11">
        <v>1.2945610000000001</v>
      </c>
      <c r="O11">
        <v>1.463387</v>
      </c>
      <c r="P11">
        <f t="shared" si="3"/>
        <v>2.1576016666666668E-5</v>
      </c>
      <c r="Q11" cm="1">
        <f t="array" ref="Q11">[1]!PropsSI("D","T",J11+273.15,"P",101325,"Water")</f>
        <v>985.66254507049405</v>
      </c>
      <c r="R11" cm="1">
        <f t="array" ref="R11">[1]!PropsSI("D","T",K11+273.15,"P",101325,"Water")</f>
        <v>988.25750191278041</v>
      </c>
      <c r="S11">
        <f t="shared" si="2"/>
        <v>986.96002349163723</v>
      </c>
      <c r="T11" cm="1">
        <f t="array" ref="T11">[1]!PropsSI("H","T",J11+273.15,"P",101325,"Water")</f>
        <v>230592.81942009128</v>
      </c>
      <c r="U11" cm="1">
        <f t="array" ref="U11">[1]!PropsSI("H","T",K11+273.15,"P",101325,"Water")</f>
        <v>207354.59466166931</v>
      </c>
      <c r="V11">
        <f t="shared" si="1"/>
        <v>494.85023271591456</v>
      </c>
    </row>
    <row r="12" spans="1:22" x14ac:dyDescent="0.2">
      <c r="A12">
        <v>44604.648396254299</v>
      </c>
      <c r="B12">
        <v>17.967320999999998</v>
      </c>
      <c r="C12">
        <v>18.487952</v>
      </c>
      <c r="D12">
        <v>18.980791</v>
      </c>
      <c r="E12">
        <v>19.446425999999999</v>
      </c>
      <c r="F12">
        <v>37.260123999999998</v>
      </c>
      <c r="G12">
        <v>35.027337000000003</v>
      </c>
      <c r="H12">
        <v>25.526918999999999</v>
      </c>
      <c r="I12">
        <v>23.073837000000001</v>
      </c>
      <c r="J12">
        <v>55.064166</v>
      </c>
      <c r="K12">
        <v>49.511001</v>
      </c>
      <c r="L12">
        <v>66.261840000000007</v>
      </c>
      <c r="M12">
        <v>-622.487348</v>
      </c>
      <c r="N12">
        <v>1.2828949999999999</v>
      </c>
      <c r="O12">
        <v>2.429284</v>
      </c>
      <c r="P12">
        <f t="shared" si="3"/>
        <v>2.1381583333333332E-5</v>
      </c>
      <c r="Q12" cm="1">
        <f t="array" ref="Q12">[1]!PropsSI("D","T",J12+273.15,"P",101325,"Water")</f>
        <v>985.66200523902069</v>
      </c>
      <c r="R12" cm="1">
        <f t="array" ref="R12">[1]!PropsSI("D","T",K12+273.15,"P",101325,"Water")</f>
        <v>988.25543351656188</v>
      </c>
      <c r="S12">
        <f t="shared" si="2"/>
        <v>986.95871937779134</v>
      </c>
      <c r="T12" cm="1">
        <f t="array" ref="T12">[1]!PropsSI("H","T",J12+273.15,"P",101325,"Water")</f>
        <v>230597.47925924219</v>
      </c>
      <c r="U12" cm="1">
        <f t="array" ref="U12">[1]!PropsSI("H","T",K12+273.15,"P",101325,"Water")</f>
        <v>207373.85329327997</v>
      </c>
      <c r="V12">
        <f t="shared" si="1"/>
        <v>490.08214305394841</v>
      </c>
    </row>
    <row r="13" spans="1:22" x14ac:dyDescent="0.2">
      <c r="A13">
        <v>44604.648512573702</v>
      </c>
      <c r="B13">
        <v>17.706778</v>
      </c>
      <c r="C13">
        <v>18.045793</v>
      </c>
      <c r="D13">
        <v>18.943719000000002</v>
      </c>
      <c r="E13">
        <v>19.468451999999999</v>
      </c>
      <c r="F13">
        <v>36.509098000000002</v>
      </c>
      <c r="G13">
        <v>36.299407000000002</v>
      </c>
      <c r="H13">
        <v>24.755509</v>
      </c>
      <c r="I13">
        <v>22.459603999999999</v>
      </c>
      <c r="J13">
        <v>55.060507000000001</v>
      </c>
      <c r="K13">
        <v>49.502423</v>
      </c>
      <c r="L13">
        <v>66.986293000000003</v>
      </c>
      <c r="M13">
        <v>-622.51142800000002</v>
      </c>
      <c r="N13">
        <v>1.2868329999999999</v>
      </c>
      <c r="O13">
        <v>1.9018200000000001</v>
      </c>
      <c r="P13">
        <f t="shared" si="3"/>
        <v>2.1447216666666664E-5</v>
      </c>
      <c r="Q13" cm="1">
        <f t="array" ref="Q13">[1]!PropsSI("D","T",J13+273.15,"P",101325,"Water")</f>
        <v>985.6637783191278</v>
      </c>
      <c r="R13" cm="1">
        <f t="array" ref="R13">[1]!PropsSI("D","T",K13+273.15,"P",101325,"Water")</f>
        <v>988.25928548901754</v>
      </c>
      <c r="S13">
        <f t="shared" si="2"/>
        <v>986.96153190407267</v>
      </c>
      <c r="T13" cm="1">
        <f t="array" ref="T13">[1]!PropsSI("H","T",J13+273.15,"P",101325,"Water")</f>
        <v>230582.1737388176</v>
      </c>
      <c r="U13" cm="1">
        <f t="array" ref="U13">[1]!PropsSI("H","T",K13+273.15,"P",101325,"Water")</f>
        <v>207337.98691885403</v>
      </c>
      <c r="V13">
        <f t="shared" si="1"/>
        <v>492.02313329079436</v>
      </c>
    </row>
    <row r="14" spans="1:22" x14ac:dyDescent="0.2">
      <c r="A14">
        <v>44604.648628314499</v>
      </c>
      <c r="B14">
        <v>17.650103000000001</v>
      </c>
      <c r="C14">
        <v>17.975418000000001</v>
      </c>
      <c r="D14">
        <v>18.87097</v>
      </c>
      <c r="E14">
        <v>19.496027999999999</v>
      </c>
      <c r="F14">
        <v>36.981859</v>
      </c>
      <c r="G14">
        <v>36.838527999999997</v>
      </c>
      <c r="H14">
        <v>25.243299</v>
      </c>
      <c r="I14">
        <v>22.796271999999998</v>
      </c>
      <c r="J14">
        <v>55.058278999999999</v>
      </c>
      <c r="K14">
        <v>49.485745000000001</v>
      </c>
      <c r="L14">
        <v>66.577333999999993</v>
      </c>
      <c r="M14">
        <v>-622.49183700000003</v>
      </c>
      <c r="N14">
        <v>1.2842960000000001</v>
      </c>
      <c r="O14">
        <v>1.8901159999999999</v>
      </c>
      <c r="P14">
        <f t="shared" si="3"/>
        <v>2.1404933333333336E-5</v>
      </c>
      <c r="Q14" cm="1">
        <f t="array" ref="Q14">[1]!PropsSI("D","T",J14+273.15,"P",101325,"Water")</f>
        <v>985.66485792383855</v>
      </c>
      <c r="R14" cm="1">
        <f t="array" ref="R14">[1]!PropsSI("D","T",K14+273.15,"P",101325,"Water")</f>
        <v>988.26677339732453</v>
      </c>
      <c r="S14">
        <f t="shared" si="2"/>
        <v>986.96581566058148</v>
      </c>
      <c r="T14" cm="1">
        <f t="array" ref="T14">[1]!PropsSI("H","T",J14+273.15,"P",101325,"Water")</f>
        <v>230572.85406374908</v>
      </c>
      <c r="U14" cm="1">
        <f t="array" ref="U14">[1]!PropsSI("H","T",K14+273.15,"P",101325,"Water")</f>
        <v>207268.25284375463</v>
      </c>
      <c r="V14">
        <f t="shared" si="1"/>
        <v>492.33154852126773</v>
      </c>
    </row>
    <row r="15" spans="1:22" x14ac:dyDescent="0.2">
      <c r="A15">
        <v>46066.648744629631</v>
      </c>
      <c r="B15">
        <v>17.318528000000001</v>
      </c>
      <c r="C15">
        <v>17.672944000000001</v>
      </c>
      <c r="D15">
        <v>18.707467000000001</v>
      </c>
      <c r="E15">
        <v>19.048061000000001</v>
      </c>
      <c r="F15">
        <v>36.915717999999998</v>
      </c>
      <c r="G15">
        <v>36.103138999999999</v>
      </c>
      <c r="H15">
        <v>25.441053</v>
      </c>
      <c r="I15">
        <v>22.470089999999999</v>
      </c>
      <c r="J15">
        <v>55.058120000000002</v>
      </c>
      <c r="K15">
        <v>49.454134000000003</v>
      </c>
      <c r="L15">
        <v>61.703293000000002</v>
      </c>
      <c r="M15">
        <v>-622.52326400000004</v>
      </c>
      <c r="N15">
        <v>1.287882</v>
      </c>
      <c r="O15">
        <v>1.8150770000000001</v>
      </c>
      <c r="P15">
        <f t="shared" si="3"/>
        <v>2.1464699999999998E-5</v>
      </c>
      <c r="Q15" cm="1">
        <f t="array" ref="Q15">[1]!PropsSI("D","T",J15+273.15,"P",101325,"Water")</f>
        <v>985.66493496805413</v>
      </c>
      <c r="R15" cm="1">
        <f t="array" ref="R15">[1]!PropsSI("D","T",K15+273.15,"P",101325,"Water")</f>
        <v>988.28096072601886</v>
      </c>
      <c r="S15">
        <f t="shared" si="2"/>
        <v>986.97294784703649</v>
      </c>
      <c r="T15" cm="1">
        <f t="array" ref="T15">[1]!PropsSI("H","T",J15+273.15,"P",101325,"Water")</f>
        <v>230572.18897030479</v>
      </c>
      <c r="U15" cm="1">
        <f t="array" ref="U15">[1]!PropsSI("H","T",K15+273.15,"P",101325,"Water")</f>
        <v>207136.08109917241</v>
      </c>
      <c r="V15">
        <f t="shared" si="1"/>
        <v>496.49577874225344</v>
      </c>
    </row>
    <row r="16" spans="1:22" x14ac:dyDescent="0.2">
      <c r="A16">
        <v>46066.648860949077</v>
      </c>
      <c r="B16">
        <v>17.286715000000001</v>
      </c>
      <c r="C16">
        <v>17.491489999999999</v>
      </c>
      <c r="D16">
        <v>18.634608</v>
      </c>
      <c r="E16">
        <v>19.023322</v>
      </c>
      <c r="F16">
        <v>37.247705000000003</v>
      </c>
      <c r="G16">
        <v>35.592314999999999</v>
      </c>
      <c r="H16">
        <v>24.805439</v>
      </c>
      <c r="I16">
        <v>23.182894000000001</v>
      </c>
      <c r="J16">
        <v>55.061461000000001</v>
      </c>
      <c r="K16">
        <v>49.421253999999998</v>
      </c>
      <c r="L16">
        <v>63.632176000000001</v>
      </c>
      <c r="M16">
        <v>-622.50204099999996</v>
      </c>
      <c r="N16">
        <v>1.2826569999999999</v>
      </c>
      <c r="O16">
        <v>1.5657620000000001</v>
      </c>
      <c r="P16">
        <f t="shared" si="3"/>
        <v>2.1377616666666667E-5</v>
      </c>
      <c r="Q16" cm="1">
        <f t="array" ref="Q16">[1]!PropsSI("D","T",J16+273.15,"P",101325,"Water")</f>
        <v>985.66331603731373</v>
      </c>
      <c r="R16" cm="1">
        <f t="array" ref="R16">[1]!PropsSI("D","T",K16+273.15,"P",101325,"Water")</f>
        <v>988.29571059567786</v>
      </c>
      <c r="S16">
        <f t="shared" si="2"/>
        <v>986.97951331649574</v>
      </c>
      <c r="T16" cm="1">
        <f t="array" ref="T16">[1]!PropsSI("H","T",J16+273.15,"P",101325,"Water")</f>
        <v>230586.16430032763</v>
      </c>
      <c r="U16" cm="1">
        <f t="array" ref="U16">[1]!PropsSI("H","T",K16+273.15,"P",101325,"Water")</f>
        <v>206998.60370895147</v>
      </c>
      <c r="V16">
        <f t="shared" si="1"/>
        <v>497.68030233000275</v>
      </c>
    </row>
    <row r="17" spans="1:22" x14ac:dyDescent="0.2">
      <c r="A17">
        <v>46066.648976689816</v>
      </c>
      <c r="B17">
        <v>17.466774999999998</v>
      </c>
      <c r="C17">
        <v>17.812642</v>
      </c>
      <c r="D17">
        <v>18.762117</v>
      </c>
      <c r="E17">
        <v>19.394092000000001</v>
      </c>
      <c r="F17">
        <v>36.654842000000002</v>
      </c>
      <c r="G17">
        <v>36.039141999999998</v>
      </c>
      <c r="H17">
        <v>25.404226999999999</v>
      </c>
      <c r="I17">
        <v>22.472058000000001</v>
      </c>
      <c r="J17">
        <v>55.061939000000002</v>
      </c>
      <c r="K17">
        <v>49.412359000000002</v>
      </c>
      <c r="L17">
        <v>63.255051999999999</v>
      </c>
      <c r="M17">
        <v>-622.48000100000002</v>
      </c>
      <c r="N17">
        <v>1.282764</v>
      </c>
      <c r="O17">
        <v>1.6468</v>
      </c>
      <c r="P17">
        <f t="shared" si="3"/>
        <v>2.1379400000000001E-5</v>
      </c>
      <c r="Q17" cm="1">
        <f t="array" ref="Q17">[1]!PropsSI("D","T",J17+273.15,"P",101325,"Water")</f>
        <v>985.66308440973069</v>
      </c>
      <c r="R17" cm="1">
        <f t="array" ref="R17">[1]!PropsSI("D","T",K17+273.15,"P",101325,"Water")</f>
        <v>988.29969963924668</v>
      </c>
      <c r="S17">
        <f t="shared" si="2"/>
        <v>986.98139202448874</v>
      </c>
      <c r="T17" cm="1">
        <f t="array" ref="T17">[1]!PropsSI("H","T",J17+273.15,"P",101325,"Water")</f>
        <v>230588.16376423472</v>
      </c>
      <c r="U17" cm="1">
        <f t="array" ref="U17">[1]!PropsSI("H","T",K17+273.15,"P",101325,"Water")</f>
        <v>206961.412111766</v>
      </c>
      <c r="V17">
        <f t="shared" si="1"/>
        <v>498.54973984512765</v>
      </c>
    </row>
    <row r="18" spans="1:22" x14ac:dyDescent="0.2">
      <c r="A18">
        <v>46066.649092430554</v>
      </c>
      <c r="B18">
        <v>17.417200000000001</v>
      </c>
      <c r="C18">
        <v>17.712731999999999</v>
      </c>
      <c r="D18">
        <v>18.777331</v>
      </c>
      <c r="E18">
        <v>19.222100999999999</v>
      </c>
      <c r="F18">
        <v>36.693331999999998</v>
      </c>
      <c r="G18">
        <v>36.051896999999997</v>
      </c>
      <c r="H18">
        <v>25.222638</v>
      </c>
      <c r="I18">
        <v>22.126169999999998</v>
      </c>
      <c r="J18">
        <v>55.060665999999998</v>
      </c>
      <c r="K18">
        <v>49.420777000000001</v>
      </c>
      <c r="L18">
        <v>70.286535999999998</v>
      </c>
      <c r="M18">
        <v>-622.49510199999997</v>
      </c>
      <c r="N18">
        <v>1.275973</v>
      </c>
      <c r="O18">
        <v>2.4334519999999999</v>
      </c>
      <c r="P18">
        <f t="shared" si="3"/>
        <v>2.126621666666667E-5</v>
      </c>
      <c r="Q18" cm="1">
        <f t="array" ref="Q18">[1]!PropsSI("D","T",J18+273.15,"P",101325,"Water")</f>
        <v>985.66370127255516</v>
      </c>
      <c r="R18" cm="1">
        <f t="array" ref="R18">[1]!PropsSI("D","T",K18+273.15,"P",101325,"Water")</f>
        <v>988.29592452390841</v>
      </c>
      <c r="S18">
        <f t="shared" si="2"/>
        <v>986.97981289823178</v>
      </c>
      <c r="T18" cm="1">
        <f t="array" ref="T18">[1]!PropsSI("H","T",J18+273.15,"P",101325,"Water")</f>
        <v>230582.8388323765</v>
      </c>
      <c r="U18" cm="1">
        <f t="array" ref="U18">[1]!PropsSI("H","T",K18+273.15,"P",101325,"Water")</f>
        <v>206996.6092854609</v>
      </c>
      <c r="V18">
        <f t="shared" si="1"/>
        <v>495.05907396610542</v>
      </c>
    </row>
    <row r="19" spans="1:22" x14ac:dyDescent="0.2">
      <c r="A19">
        <v>46066.649208750001</v>
      </c>
      <c r="B19">
        <v>17.532267999999998</v>
      </c>
      <c r="C19">
        <v>17.772739000000001</v>
      </c>
      <c r="D19">
        <v>18.750788</v>
      </c>
      <c r="E19">
        <v>19.312306</v>
      </c>
      <c r="F19">
        <v>36.019385</v>
      </c>
      <c r="G19">
        <v>37.040415000000003</v>
      </c>
      <c r="H19">
        <v>25.384677</v>
      </c>
      <c r="I19">
        <v>22.568515000000001</v>
      </c>
      <c r="J19">
        <v>55.058120000000002</v>
      </c>
      <c r="K19">
        <v>49.417124000000001</v>
      </c>
      <c r="L19">
        <v>64.841094999999996</v>
      </c>
      <c r="M19">
        <v>-622.50081599999999</v>
      </c>
      <c r="N19">
        <v>1.287738</v>
      </c>
      <c r="O19">
        <v>1.256402</v>
      </c>
      <c r="P19">
        <f t="shared" ref="P19:P20" si="4" xml:space="preserve"> N19*0.001/60</f>
        <v>2.1462300000000003E-5</v>
      </c>
      <c r="Q19" cm="1">
        <f t="array" ref="Q19">[1]!PropsSI("D","T",J19+273.15,"P",101325,"Water")</f>
        <v>985.66493496805413</v>
      </c>
      <c r="R19" cm="1">
        <f t="array" ref="R19">[1]!PropsSI("D","T",K19+273.15,"P",101325,"Water")</f>
        <v>988.29756279668914</v>
      </c>
      <c r="S19">
        <f t="shared" ref="S19:S20" si="5">(Q19+R19)/2</f>
        <v>986.98124888237157</v>
      </c>
      <c r="T19" cm="1">
        <f t="array" ref="T19">[1]!PropsSI("H","T",J19+273.15,"P",101325,"Water")</f>
        <v>230572.18897030479</v>
      </c>
      <c r="U19" cm="1">
        <f t="array" ref="U19">[1]!PropsSI("H","T",K19+273.15,"P",101325,"Water")</f>
        <v>206981.33543230759</v>
      </c>
      <c r="V19">
        <f t="shared" ref="V19:V20" si="6">S19*P19*(T19-U19)</f>
        <v>499.7224002490874</v>
      </c>
    </row>
    <row r="20" spans="1:22" x14ac:dyDescent="0.2">
      <c r="A20">
        <v>46066.64932449074</v>
      </c>
      <c r="B20">
        <v>17.335697</v>
      </c>
      <c r="C20">
        <v>17.604323999999998</v>
      </c>
      <c r="D20">
        <v>18.669536000000001</v>
      </c>
      <c r="E20">
        <v>19.102118999999998</v>
      </c>
      <c r="F20">
        <v>36.383336999999997</v>
      </c>
      <c r="G20">
        <v>35.894312999999997</v>
      </c>
      <c r="H20">
        <v>25.094466000000001</v>
      </c>
      <c r="I20">
        <v>22.669703999999999</v>
      </c>
      <c r="J20">
        <v>55.055732999999996</v>
      </c>
      <c r="K20">
        <v>49.402192999999997</v>
      </c>
      <c r="L20">
        <v>65.012514999999993</v>
      </c>
      <c r="M20">
        <v>-622.53020300000003</v>
      </c>
      <c r="N20">
        <v>1.2871109999999999</v>
      </c>
      <c r="O20">
        <v>0.79082600000000003</v>
      </c>
      <c r="P20">
        <f t="shared" si="4"/>
        <v>2.1451849999999997E-5</v>
      </c>
      <c r="Q20" cm="1">
        <f t="array" ref="Q20">[1]!PropsSI("D","T",J20+273.15,"P",101325,"Water")</f>
        <v>985.66609158161941</v>
      </c>
      <c r="R20" cm="1">
        <f t="array" ref="R20">[1]!PropsSI("D","T",K20+273.15,"P",101325,"Water")</f>
        <v>988.30425803445996</v>
      </c>
      <c r="S20">
        <f t="shared" si="5"/>
        <v>986.98517480803969</v>
      </c>
      <c r="T20" cm="1">
        <f t="array" ref="T20">[1]!PropsSI("H","T",J20+273.15,"P",101325,"Water")</f>
        <v>230562.20420393726</v>
      </c>
      <c r="U20" cm="1">
        <f t="array" ref="U20">[1]!PropsSI("H","T",K20+273.15,"P",101325,"Water")</f>
        <v>206918.9062610954</v>
      </c>
      <c r="V20">
        <f t="shared" si="6"/>
        <v>500.59145949658387</v>
      </c>
    </row>
    <row r="21" spans="1:22" x14ac:dyDescent="0.2">
      <c r="P21" s="1"/>
    </row>
    <row r="22" spans="1:22" x14ac:dyDescent="0.2">
      <c r="P22" s="1"/>
    </row>
    <row r="23" spans="1:22" x14ac:dyDescent="0.2">
      <c r="P23" s="1"/>
    </row>
    <row r="24" spans="1:22" x14ac:dyDescent="0.2">
      <c r="P24" s="1"/>
    </row>
    <row r="25" spans="1:22" x14ac:dyDescent="0.2">
      <c r="K25" t="s">
        <v>22</v>
      </c>
      <c r="P25" s="1"/>
    </row>
    <row r="26" spans="1:22" x14ac:dyDescent="0.2">
      <c r="K26">
        <f>AVERAGE(V2:V20)</f>
        <v>493.08171137111475</v>
      </c>
      <c r="P26" s="1"/>
    </row>
    <row r="27" spans="1:22" x14ac:dyDescent="0.2">
      <c r="P27" s="1"/>
    </row>
    <row r="28" spans="1:22" x14ac:dyDescent="0.2">
      <c r="P28" s="1"/>
    </row>
    <row r="29" spans="1:22" x14ac:dyDescent="0.2">
      <c r="P29" s="1"/>
    </row>
    <row r="30" spans="1:22" x14ac:dyDescent="0.2">
      <c r="P30" s="1"/>
    </row>
    <row r="31" spans="1:22" x14ac:dyDescent="0.2"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F503-5ADF-6540-B57A-022637CE85F0}">
  <dimension ref="A1:V36"/>
  <sheetViews>
    <sheetView workbookViewId="0">
      <selection activeCell="J18" sqref="J18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44604.650097064499</v>
      </c>
      <c r="B2">
        <v>17.767554000000001</v>
      </c>
      <c r="C2">
        <v>18.380057000000001</v>
      </c>
      <c r="D2">
        <v>19.153987999999998</v>
      </c>
      <c r="E2">
        <v>19.609971999999999</v>
      </c>
      <c r="F2">
        <v>34.177948999999998</v>
      </c>
      <c r="G2">
        <v>33.767589000000001</v>
      </c>
      <c r="H2">
        <v>24.675046999999999</v>
      </c>
      <c r="I2">
        <v>21.466808</v>
      </c>
      <c r="J2">
        <v>55.065280000000001</v>
      </c>
      <c r="K2">
        <v>48.530909999999999</v>
      </c>
      <c r="L2">
        <v>116.143832</v>
      </c>
      <c r="M2">
        <v>-622.525305</v>
      </c>
      <c r="N2">
        <v>1.283112</v>
      </c>
      <c r="O2">
        <v>0.48244500000000001</v>
      </c>
      <c r="P2">
        <f xml:space="preserve"> N2*0.001/60</f>
        <v>2.1385200000000003E-5</v>
      </c>
      <c r="Q2" cm="1">
        <f t="array" ref="Q2">[1]!PropsSI("D","T",J2+273.15,"P",101325,"Water")</f>
        <v>985.6614653998414</v>
      </c>
      <c r="R2" cm="1">
        <f t="array" ref="R2">[1]!PropsSI("D","T",K2+273.15,"P",101325,"Water")</f>
        <v>988.69239305388692</v>
      </c>
      <c r="S2">
        <f>(Q2+R2)/2</f>
        <v>987.1769292268641</v>
      </c>
      <c r="T2" cm="1">
        <f t="array" ref="T2">[1]!PropsSI("H","T",J2+273.15,"P",101325,"Water")</f>
        <v>230602.13909893995</v>
      </c>
      <c r="U2" cm="1">
        <f t="array" ref="U2">[1]!PropsSI("H","T",K2+273.15,"P",101325,"Water")</f>
        <v>203276.02035500621</v>
      </c>
      <c r="V2">
        <f>S2*P2*(T2-U2)</f>
        <v>576.88103880451649</v>
      </c>
    </row>
    <row r="3" spans="1:22" x14ac:dyDescent="0.2">
      <c r="A3">
        <v>44604.650212805202</v>
      </c>
      <c r="B3">
        <v>17.860641000000001</v>
      </c>
      <c r="C3">
        <v>18.245470000000001</v>
      </c>
      <c r="D3">
        <v>19.221723000000001</v>
      </c>
      <c r="E3">
        <v>19.626415000000001</v>
      </c>
      <c r="F3">
        <v>34.532440999999999</v>
      </c>
      <c r="G3">
        <v>33.318564000000002</v>
      </c>
      <c r="H3">
        <v>24.993127999999999</v>
      </c>
      <c r="I3">
        <v>22.105385999999999</v>
      </c>
      <c r="J3">
        <v>55.061301999999998</v>
      </c>
      <c r="K3">
        <v>48.521382000000003</v>
      </c>
      <c r="L3">
        <v>112.6236</v>
      </c>
      <c r="M3">
        <v>-622.49020499999995</v>
      </c>
      <c r="N3">
        <v>1.2905169999999999</v>
      </c>
      <c r="O3">
        <v>2.700901</v>
      </c>
      <c r="P3">
        <f t="shared" ref="P3:P9" si="0" xml:space="preserve"> N3*0.001/60</f>
        <v>2.1508616666666666E-5</v>
      </c>
      <c r="Q3" cm="1">
        <f t="array" ref="Q3">[1]!PropsSI("D","T",J3+273.15,"P",101325,"Water")</f>
        <v>985.66339308468969</v>
      </c>
      <c r="R3" cm="1">
        <f t="array" ref="R3">[1]!PropsSI("D","T",K3+273.15,"P",101325,"Water")</f>
        <v>988.69660963450667</v>
      </c>
      <c r="S3">
        <f>(Q3+R3)/2</f>
        <v>987.18000135959824</v>
      </c>
      <c r="T3" cm="1">
        <f t="array" ref="T3">[1]!PropsSI("H","T",J3+273.15,"P",101325,"Water")</f>
        <v>230585.49920673971</v>
      </c>
      <c r="U3" cm="1">
        <f t="array" ref="U3">[1]!PropsSI("H","T",K3+273.15,"P",101325,"Water")</f>
        <v>203236.18432619466</v>
      </c>
      <c r="V3">
        <f t="shared" ref="V3:V36" si="1">S3*P3*(T3-U3)</f>
        <v>580.70461784055817</v>
      </c>
    </row>
    <row r="4" spans="1:22" x14ac:dyDescent="0.2">
      <c r="A4">
        <v>44604.650329124597</v>
      </c>
      <c r="B4">
        <v>17.909672</v>
      </c>
      <c r="C4">
        <v>18.425604</v>
      </c>
      <c r="D4">
        <v>19.192333000000001</v>
      </c>
      <c r="E4">
        <v>19.626460999999999</v>
      </c>
      <c r="F4">
        <v>34.708081</v>
      </c>
      <c r="G4">
        <v>33.751736000000001</v>
      </c>
      <c r="H4">
        <v>24.101455999999999</v>
      </c>
      <c r="I4">
        <v>22.010286000000001</v>
      </c>
      <c r="J4">
        <v>55.057006000000001</v>
      </c>
      <c r="K4">
        <v>48.508361000000001</v>
      </c>
      <c r="L4">
        <v>115.617328</v>
      </c>
      <c r="M4">
        <v>-622.51306099999999</v>
      </c>
      <c r="N4">
        <v>1.2798130000000001</v>
      </c>
      <c r="O4">
        <v>0.64976900000000004</v>
      </c>
      <c r="P4">
        <f xml:space="preserve"> N4*0.001/60</f>
        <v>2.1330216666666668E-5</v>
      </c>
      <c r="Q4" cm="1">
        <f t="array" ref="Q4">[1]!PropsSI("D","T",J4+273.15,"P",101325,"Water")</f>
        <v>985.66547475774325</v>
      </c>
      <c r="R4" cm="1">
        <f t="array" ref="R4">[1]!PropsSI("D","T",K4+273.15,"P",101325,"Water")</f>
        <v>988.70237104934972</v>
      </c>
      <c r="S4">
        <f t="shared" ref="S4:S36" si="2">(Q4+R4)/2</f>
        <v>987.18392290354655</v>
      </c>
      <c r="T4" cm="1">
        <f t="array" ref="T4">[1]!PropsSI("H","T",J4+273.15,"P",101325,"Water")</f>
        <v>230567.52913357661</v>
      </c>
      <c r="U4" cm="1">
        <f t="array" ref="U4">[1]!PropsSI("H","T",K4+273.15,"P",101325,"Water")</f>
        <v>203181.74430003556</v>
      </c>
      <c r="V4">
        <f t="shared" si="1"/>
        <v>576.65828026677002</v>
      </c>
    </row>
    <row r="5" spans="1:22" x14ac:dyDescent="0.2">
      <c r="A5">
        <v>44604.650445444102</v>
      </c>
      <c r="B5">
        <v>17.918313999999999</v>
      </c>
      <c r="C5">
        <v>18.533183000000001</v>
      </c>
      <c r="D5">
        <v>19.151181000000001</v>
      </c>
      <c r="E5">
        <v>19.612938</v>
      </c>
      <c r="F5">
        <v>34.720059999999997</v>
      </c>
      <c r="G5">
        <v>33.884422999999998</v>
      </c>
      <c r="H5">
        <v>24.608519000000001</v>
      </c>
      <c r="I5">
        <v>22.340655000000002</v>
      </c>
      <c r="J5">
        <v>55.052551000000001</v>
      </c>
      <c r="K5">
        <v>48.507249000000002</v>
      </c>
      <c r="L5">
        <v>127.39143199999999</v>
      </c>
      <c r="M5">
        <v>-622.47836800000005</v>
      </c>
      <c r="N5">
        <v>1.2707409999999999</v>
      </c>
      <c r="O5">
        <v>3.2036099999999998</v>
      </c>
      <c r="P5">
        <f t="shared" ref="P5:P18" si="3" xml:space="preserve"> N5*0.001/60</f>
        <v>2.1179016666666665E-5</v>
      </c>
      <c r="Q5" cm="1">
        <f t="array" ref="Q5">[1]!PropsSI("D","T",J5+273.15,"P",101325,"Water")</f>
        <v>985.6676333550306</v>
      </c>
      <c r="R5" cm="1">
        <f t="array" ref="R5">[1]!PropsSI("D","T",K5+273.15,"P",101325,"Water")</f>
        <v>988.70286302464763</v>
      </c>
      <c r="S5">
        <f t="shared" si="2"/>
        <v>987.18524818983906</v>
      </c>
      <c r="T5" cm="1">
        <f t="array" ref="T5">[1]!PropsSI("H","T",J5+273.15,"P",101325,"Water")</f>
        <v>230548.89397392582</v>
      </c>
      <c r="U5" cm="1">
        <f t="array" ref="U5">[1]!PropsSI("H","T",K5+273.15,"P",101325,"Water")</f>
        <v>203177.09509627536</v>
      </c>
      <c r="V5">
        <f t="shared" si="1"/>
        <v>572.27897324400146</v>
      </c>
    </row>
    <row r="6" spans="1:22" x14ac:dyDescent="0.2">
      <c r="A6">
        <v>46066.650561759256</v>
      </c>
      <c r="B6">
        <v>17.979669000000001</v>
      </c>
      <c r="C6">
        <v>18.658279</v>
      </c>
      <c r="D6">
        <v>19.195224</v>
      </c>
      <c r="E6">
        <v>19.604970000000002</v>
      </c>
      <c r="F6">
        <v>34.379722000000001</v>
      </c>
      <c r="G6">
        <v>33.173377000000002</v>
      </c>
      <c r="H6">
        <v>24.738271000000001</v>
      </c>
      <c r="I6">
        <v>22.15849</v>
      </c>
      <c r="J6">
        <v>55.050483</v>
      </c>
      <c r="K6">
        <v>48.502961999999997</v>
      </c>
      <c r="L6">
        <v>109.982508</v>
      </c>
      <c r="M6">
        <v>-622.51142800000002</v>
      </c>
      <c r="N6">
        <v>1.2913479999999999</v>
      </c>
      <c r="O6">
        <v>2.563593</v>
      </c>
      <c r="P6">
        <f t="shared" si="3"/>
        <v>2.1522466666666666E-5</v>
      </c>
      <c r="Q6" cm="1">
        <f t="array" ref="Q6">[1]!PropsSI("D","T",J6+273.15,"P",101325,"Water")</f>
        <v>985.66863532871378</v>
      </c>
      <c r="R6" cm="1">
        <f t="array" ref="R6">[1]!PropsSI("D","T",K6+273.15,"P",101325,"Water")</f>
        <v>988.70475961835075</v>
      </c>
      <c r="S6">
        <f t="shared" si="2"/>
        <v>987.18669747353226</v>
      </c>
      <c r="T6" cm="1">
        <f t="array" ref="T6">[1]!PropsSI("H","T",J6+273.15,"P",101325,"Water")</f>
        <v>230540.24358130875</v>
      </c>
      <c r="U6" cm="1">
        <f t="array" ref="U6">[1]!PropsSI("H","T",K6+273.15,"P",101325,"Water")</f>
        <v>203159.17141512717</v>
      </c>
      <c r="V6">
        <f t="shared" si="1"/>
        <v>581.7572285798102</v>
      </c>
    </row>
    <row r="7" spans="1:22" x14ac:dyDescent="0.2">
      <c r="A7">
        <v>46066.650677500002</v>
      </c>
      <c r="B7">
        <v>18.125311</v>
      </c>
      <c r="C7">
        <v>18.889810000000001</v>
      </c>
      <c r="D7">
        <v>19.148181000000001</v>
      </c>
      <c r="E7">
        <v>19.581147000000001</v>
      </c>
      <c r="F7">
        <v>34.441839999999999</v>
      </c>
      <c r="G7">
        <v>33.343953999999997</v>
      </c>
      <c r="H7">
        <v>24.630747</v>
      </c>
      <c r="I7">
        <v>21.972823999999999</v>
      </c>
      <c r="J7">
        <v>55.043323000000001</v>
      </c>
      <c r="K7">
        <v>48.508043000000001</v>
      </c>
      <c r="L7">
        <v>123.95609399999999</v>
      </c>
      <c r="M7">
        <v>-622.49918400000001</v>
      </c>
      <c r="N7">
        <v>1.279018</v>
      </c>
      <c r="O7">
        <v>0.94973700000000005</v>
      </c>
      <c r="P7">
        <f t="shared" si="3"/>
        <v>2.1316966666666666E-5</v>
      </c>
      <c r="Q7" cm="1">
        <f t="array" ref="Q7">[1]!PropsSI("D","T",J7+273.15,"P",101325,"Water")</f>
        <v>985.67210423957874</v>
      </c>
      <c r="R7" cm="1">
        <f t="array" ref="R7">[1]!PropsSI("D","T",K7+273.15,"P",101325,"Water")</f>
        <v>988.70251174095858</v>
      </c>
      <c r="S7">
        <f t="shared" si="2"/>
        <v>987.18730799026866</v>
      </c>
      <c r="T7" cm="1">
        <f t="array" ref="T7">[1]!PropsSI("H","T",J7+273.15,"P",101325,"Water")</f>
        <v>230510.29349115392</v>
      </c>
      <c r="U7" cm="1">
        <f t="array" ref="U7">[1]!PropsSI("H","T",K7+273.15,"P",101325,"Water")</f>
        <v>203180.41476155847</v>
      </c>
      <c r="V7">
        <f t="shared" si="1"/>
        <v>575.12556618573365</v>
      </c>
    </row>
    <row r="8" spans="1:22" x14ac:dyDescent="0.2">
      <c r="A8">
        <v>46066.65079324074</v>
      </c>
      <c r="B8">
        <v>18.362673999999998</v>
      </c>
      <c r="C8">
        <v>19.026665000000001</v>
      </c>
      <c r="D8">
        <v>19.118703</v>
      </c>
      <c r="E8">
        <v>19.672148</v>
      </c>
      <c r="F8">
        <v>34.568548</v>
      </c>
      <c r="G8">
        <v>34.143205000000002</v>
      </c>
      <c r="H8">
        <v>24.794273</v>
      </c>
      <c r="I8">
        <v>22.096475000000002</v>
      </c>
      <c r="J8">
        <v>55.041255</v>
      </c>
      <c r="K8">
        <v>48.518841000000002</v>
      </c>
      <c r="L8">
        <v>125.243785</v>
      </c>
      <c r="M8">
        <v>-622.474695</v>
      </c>
      <c r="N8">
        <v>1.282378</v>
      </c>
      <c r="O8">
        <v>3.190661</v>
      </c>
      <c r="P8">
        <f t="shared" si="3"/>
        <v>2.1372966666666667E-5</v>
      </c>
      <c r="Q8" cm="1">
        <f t="array" ref="Q8">[1]!PropsSI("D","T",J8+273.15,"P",101325,"Water")</f>
        <v>985.67310609484775</v>
      </c>
      <c r="R8" cm="1">
        <f t="array" ref="R8">[1]!PropsSI("D","T",K8+273.15,"P",101325,"Water")</f>
        <v>988.69773404217119</v>
      </c>
      <c r="S8">
        <f t="shared" si="2"/>
        <v>987.18542006850953</v>
      </c>
      <c r="T8" cm="1">
        <f t="array" ref="T8">[1]!PropsSI("H","T",J8+273.15,"P",101325,"Water")</f>
        <v>230501.6431054688</v>
      </c>
      <c r="U8" cm="1">
        <f t="array" ref="U8">[1]!PropsSI("H","T",K8+273.15,"P",101325,"Water")</f>
        <v>203225.56055300482</v>
      </c>
      <c r="V8">
        <f t="shared" si="1"/>
        <v>575.5002772358439</v>
      </c>
    </row>
    <row r="9" spans="1:22" x14ac:dyDescent="0.2">
      <c r="A9">
        <v>46066.650909560187</v>
      </c>
      <c r="B9">
        <v>18.401565999999999</v>
      </c>
      <c r="C9">
        <v>19.056930000000001</v>
      </c>
      <c r="D9">
        <v>19.217015</v>
      </c>
      <c r="E9">
        <v>19.698761999999999</v>
      </c>
      <c r="F9">
        <v>34.618288999999997</v>
      </c>
      <c r="G9">
        <v>34.772655999999998</v>
      </c>
      <c r="H9">
        <v>24.320931999999999</v>
      </c>
      <c r="I9">
        <v>22.184666</v>
      </c>
      <c r="J9">
        <v>55.033617</v>
      </c>
      <c r="K9">
        <v>48.518523999999999</v>
      </c>
      <c r="L9">
        <v>114.708394</v>
      </c>
      <c r="M9">
        <v>-622.49591899999996</v>
      </c>
      <c r="N9">
        <v>1.2701260000000001</v>
      </c>
      <c r="O9">
        <v>2.4713470000000002</v>
      </c>
      <c r="P9">
        <f t="shared" si="3"/>
        <v>2.116876666666667E-5</v>
      </c>
      <c r="Q9" cm="1">
        <f t="array" ref="Q9">[1]!PropsSI("D","T",J9+273.15,"P",101325,"Water")</f>
        <v>985.67680614071787</v>
      </c>
      <c r="R9" cm="1">
        <f t="array" ref="R9">[1]!PropsSI("D","T",K9+273.15,"P",101325,"Water")</f>
        <v>988.69787431352506</v>
      </c>
      <c r="S9">
        <f t="shared" si="2"/>
        <v>987.18734022712147</v>
      </c>
      <c r="T9" cm="1">
        <f t="array" ref="T9">[1]!PropsSI("H","T",J9+273.15,"P",101325,"Water")</f>
        <v>230469.69358013695</v>
      </c>
      <c r="U9" cm="1">
        <f t="array" ref="U9">[1]!PropsSI("H","T",K9+273.15,"P",101325,"Water")</f>
        <v>203224.23519454373</v>
      </c>
      <c r="V9">
        <f t="shared" si="1"/>
        <v>569.36301451563668</v>
      </c>
    </row>
    <row r="17" spans="10:16" x14ac:dyDescent="0.2">
      <c r="J17" t="s">
        <v>22</v>
      </c>
    </row>
    <row r="18" spans="10:16" x14ac:dyDescent="0.2">
      <c r="J18">
        <f>AVERAGE(V2:V9)</f>
        <v>576.03362458410879</v>
      </c>
    </row>
    <row r="19" spans="10:16" x14ac:dyDescent="0.2">
      <c r="P19" s="1"/>
    </row>
    <row r="20" spans="10:16" x14ac:dyDescent="0.2">
      <c r="P20" s="1"/>
    </row>
    <row r="21" spans="10:16" x14ac:dyDescent="0.2">
      <c r="P21" s="1"/>
    </row>
    <row r="22" spans="10:16" x14ac:dyDescent="0.2">
      <c r="P22" s="1"/>
    </row>
    <row r="23" spans="10:16" x14ac:dyDescent="0.2">
      <c r="P23" s="1"/>
    </row>
    <row r="24" spans="10:16" x14ac:dyDescent="0.2">
      <c r="P24" s="1"/>
    </row>
    <row r="25" spans="10:16" x14ac:dyDescent="0.2">
      <c r="P25" s="1"/>
    </row>
    <row r="26" spans="10:16" x14ac:dyDescent="0.2">
      <c r="P26" s="1"/>
    </row>
    <row r="27" spans="10:16" x14ac:dyDescent="0.2">
      <c r="P27" s="1"/>
    </row>
    <row r="28" spans="10:16" x14ac:dyDescent="0.2">
      <c r="P28" s="1"/>
    </row>
    <row r="29" spans="10:16" x14ac:dyDescent="0.2">
      <c r="P29" s="1"/>
    </row>
    <row r="30" spans="10:16" x14ac:dyDescent="0.2">
      <c r="P30" s="1"/>
    </row>
    <row r="31" spans="10:16" x14ac:dyDescent="0.2">
      <c r="P31" s="1"/>
    </row>
    <row r="32" spans="10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BD40-EB83-4045-ACB1-2C3C3294BFA6}">
  <dimension ref="A1:V36"/>
  <sheetViews>
    <sheetView workbookViewId="0">
      <selection activeCell="I25" sqref="I25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44604.6517978747</v>
      </c>
      <c r="B2">
        <v>18.564209999999999</v>
      </c>
      <c r="C2">
        <v>19.205307000000001</v>
      </c>
      <c r="D2">
        <v>19.353553000000002</v>
      </c>
      <c r="E2">
        <v>19.931238</v>
      </c>
      <c r="F2">
        <v>32.324567000000002</v>
      </c>
      <c r="G2">
        <v>30.515031</v>
      </c>
      <c r="H2">
        <v>23.384895</v>
      </c>
      <c r="I2">
        <v>21.266631</v>
      </c>
      <c r="J2">
        <v>55.022956999999998</v>
      </c>
      <c r="K2">
        <v>47.737659999999998</v>
      </c>
      <c r="L2">
        <v>193.21629999999999</v>
      </c>
      <c r="M2">
        <v>-622.493878</v>
      </c>
      <c r="N2">
        <v>1.285353</v>
      </c>
      <c r="O2">
        <v>1.7371399999999999</v>
      </c>
      <c r="P2">
        <f xml:space="preserve"> N2*0.001/60</f>
        <v>2.142255E-5</v>
      </c>
      <c r="Q2" cm="1">
        <f t="array" ref="Q2">[1]!PropsSI("D","T",J2+273.15,"P",101325,"Water")</f>
        <v>985.68196951676293</v>
      </c>
      <c r="R2" cm="1">
        <f t="array" ref="R2">[1]!PropsSI("D","T",K2+273.15,"P",101325,"Water")</f>
        <v>989.04136184647916</v>
      </c>
      <c r="S2">
        <f>(Q2+R2)/2</f>
        <v>987.36166568162105</v>
      </c>
      <c r="T2" cm="1">
        <f t="array" ref="T2">[1]!PropsSI("H","T",J2+273.15,"P",101325,"Water")</f>
        <v>230425.10315463852</v>
      </c>
      <c r="U2" cm="1">
        <f t="array" ref="U2">[1]!PropsSI("H","T",K2+273.15,"P",101325,"Water")</f>
        <v>199959.56587636063</v>
      </c>
      <c r="V2">
        <f>S2*P2*(T2-U2)</f>
        <v>644.40109310239529</v>
      </c>
    </row>
    <row r="3" spans="1:22" x14ac:dyDescent="0.2">
      <c r="A3">
        <v>44604.651913615402</v>
      </c>
      <c r="B3">
        <v>18.579822</v>
      </c>
      <c r="C3">
        <v>19.189195999999999</v>
      </c>
      <c r="D3">
        <v>19.261415</v>
      </c>
      <c r="E3">
        <v>19.779095000000002</v>
      </c>
      <c r="F3">
        <v>32.479225999999997</v>
      </c>
      <c r="G3">
        <v>29.872150999999999</v>
      </c>
      <c r="H3">
        <v>23.600783</v>
      </c>
      <c r="I3">
        <v>21.175932</v>
      </c>
      <c r="J3">
        <v>55.020251999999999</v>
      </c>
      <c r="K3">
        <v>47.722102</v>
      </c>
      <c r="L3">
        <v>195.112123</v>
      </c>
      <c r="M3">
        <v>-622.46694000000002</v>
      </c>
      <c r="N3">
        <v>1.2897380000000001</v>
      </c>
      <c r="O3">
        <v>2.0393949999999998</v>
      </c>
      <c r="P3">
        <f t="shared" ref="P3:P9" si="0" xml:space="preserve"> N3*0.001/60</f>
        <v>2.1495633333333335E-5</v>
      </c>
      <c r="Q3" cm="1">
        <f t="array" ref="Q3">[1]!PropsSI("D","T",J3+273.15,"P",101325,"Water")</f>
        <v>985.68327962334968</v>
      </c>
      <c r="R3" cm="1">
        <f t="array" ref="R3">[1]!PropsSI("D","T",K3+273.15,"P",101325,"Water")</f>
        <v>989.04816390989754</v>
      </c>
      <c r="S3">
        <f>(Q3+R3)/2</f>
        <v>987.36572176662366</v>
      </c>
      <c r="T3" cm="1">
        <f t="array" ref="T3">[1]!PropsSI("H","T",J3+273.15,"P",101325,"Water")</f>
        <v>230413.78823610774</v>
      </c>
      <c r="U3" cm="1">
        <f t="array" ref="U3">[1]!PropsSI("H","T",K3+273.15,"P",101325,"Water")</f>
        <v>199894.5218736082</v>
      </c>
      <c r="V3">
        <f t="shared" ref="V3:V36" si="1">S3*P3*(T3-U3)</f>
        <v>647.74248166073187</v>
      </c>
    </row>
    <row r="4" spans="1:22" x14ac:dyDescent="0.2">
      <c r="A4">
        <v>44604.652029934798</v>
      </c>
      <c r="B4">
        <v>18.230522000000001</v>
      </c>
      <c r="C4">
        <v>18.955922000000001</v>
      </c>
      <c r="D4">
        <v>19.291322000000001</v>
      </c>
      <c r="E4">
        <v>19.841141</v>
      </c>
      <c r="F4">
        <v>32.261501000000003</v>
      </c>
      <c r="G4">
        <v>30.018764000000001</v>
      </c>
      <c r="H4">
        <v>23.873816000000001</v>
      </c>
      <c r="I4">
        <v>21.003097</v>
      </c>
      <c r="J4">
        <v>55.016751999999997</v>
      </c>
      <c r="K4">
        <v>47.706384999999997</v>
      </c>
      <c r="L4">
        <v>199.890659</v>
      </c>
      <c r="M4">
        <v>-622.5</v>
      </c>
      <c r="N4">
        <v>1.2915209999999999</v>
      </c>
      <c r="O4">
        <v>2.3543720000000001</v>
      </c>
      <c r="P4">
        <f xml:space="preserve"> N4*0.001/60</f>
        <v>2.1525349999999999E-5</v>
      </c>
      <c r="Q4" cm="1">
        <f t="array" ref="Q4">[1]!PropsSI("D","T",J4+273.15,"P",101325,"Water")</f>
        <v>985.68497470310774</v>
      </c>
      <c r="R4" cm="1">
        <f t="array" ref="R4">[1]!PropsSI("D","T",K4+273.15,"P",101325,"Water")</f>
        <v>989.0550338330753</v>
      </c>
      <c r="S4">
        <f t="shared" ref="S4:S36" si="2">(Q4+R4)/2</f>
        <v>987.37000426809152</v>
      </c>
      <c r="T4" cm="1">
        <f t="array" ref="T4">[1]!PropsSI("H","T",J4+273.15,"P",101325,"Water")</f>
        <v>230399.1478649732</v>
      </c>
      <c r="U4" cm="1">
        <f t="array" ref="U4">[1]!PropsSI("H","T",K4+273.15,"P",101325,"Water")</f>
        <v>199828.81319277943</v>
      </c>
      <c r="V4">
        <f t="shared" si="1"/>
        <v>649.72614699677092</v>
      </c>
    </row>
    <row r="5" spans="1:22" x14ac:dyDescent="0.2">
      <c r="A5">
        <v>44604.652145675602</v>
      </c>
      <c r="B5">
        <v>18.853643999999999</v>
      </c>
      <c r="C5">
        <v>19.116643</v>
      </c>
      <c r="D5">
        <v>19.300568999999999</v>
      </c>
      <c r="E5">
        <v>19.818536999999999</v>
      </c>
      <c r="F5">
        <v>32.582993000000002</v>
      </c>
      <c r="G5">
        <v>29.558416000000001</v>
      </c>
      <c r="H5">
        <v>23.473146</v>
      </c>
      <c r="I5">
        <v>21.554027000000001</v>
      </c>
      <c r="J5">
        <v>55.014684000000003</v>
      </c>
      <c r="K5">
        <v>47.689399000000002</v>
      </c>
      <c r="L5">
        <v>184.497961</v>
      </c>
      <c r="M5">
        <v>-622.49755100000004</v>
      </c>
      <c r="N5">
        <v>1.266467</v>
      </c>
      <c r="O5">
        <v>2.6854360000000002</v>
      </c>
      <c r="P5">
        <f t="shared" ref="P5:P18" si="3" xml:space="preserve"> N5*0.001/60</f>
        <v>2.1107783333333335E-5</v>
      </c>
      <c r="Q5" cm="1">
        <f t="array" ref="Q5">[1]!PropsSI("D","T",J5+273.15,"P",101325,"Water")</f>
        <v>985.68597621738411</v>
      </c>
      <c r="R5" cm="1">
        <f t="array" ref="R5">[1]!PropsSI("D","T",K5+273.15,"P",101325,"Water")</f>
        <v>989.06245656603915</v>
      </c>
      <c r="S5">
        <f t="shared" si="2"/>
        <v>987.37421639171157</v>
      </c>
      <c r="T5" cm="1">
        <f t="array" ref="T5">[1]!PropsSI("H","T",J5+273.15,"P",101325,"Water")</f>
        <v>230390.49749911844</v>
      </c>
      <c r="U5" cm="1">
        <f t="array" ref="U5">[1]!PropsSI("H","T",K5+273.15,"P",101325,"Water")</f>
        <v>199757.79922148882</v>
      </c>
      <c r="V5">
        <f t="shared" si="1"/>
        <v>638.42467346581782</v>
      </c>
    </row>
    <row r="6" spans="1:22" x14ac:dyDescent="0.2">
      <c r="A6">
        <v>46066.65226141204</v>
      </c>
      <c r="B6">
        <v>18.514026999999999</v>
      </c>
      <c r="C6">
        <v>19.040903</v>
      </c>
      <c r="D6">
        <v>19.328130999999999</v>
      </c>
      <c r="E6">
        <v>19.921071000000001</v>
      </c>
      <c r="F6">
        <v>32.659669999999998</v>
      </c>
      <c r="G6">
        <v>31.599214</v>
      </c>
      <c r="H6">
        <v>24.04439</v>
      </c>
      <c r="I6">
        <v>21.257767000000001</v>
      </c>
      <c r="J6">
        <v>55.005932999999999</v>
      </c>
      <c r="K6">
        <v>47.693685000000002</v>
      </c>
      <c r="L6">
        <v>197.71362500000001</v>
      </c>
      <c r="M6">
        <v>-622.49183700000003</v>
      </c>
      <c r="N6">
        <v>1.275801</v>
      </c>
      <c r="O6">
        <v>1.9656389999999999</v>
      </c>
      <c r="P6">
        <f t="shared" si="3"/>
        <v>2.126335E-5</v>
      </c>
      <c r="Q6" cm="1">
        <f t="array" ref="Q6">[1]!PropsSI("D","T",J6+273.15,"P",101325,"Water")</f>
        <v>985.69021395600748</v>
      </c>
      <c r="R6" cm="1">
        <f t="array" ref="R6">[1]!PropsSI("D","T",K6+273.15,"P",101325,"Water")</f>
        <v>989.06058380507125</v>
      </c>
      <c r="S6">
        <f t="shared" si="2"/>
        <v>987.37539888053936</v>
      </c>
      <c r="T6" cm="1">
        <f t="array" ref="T6">[1]!PropsSI("H","T",J6+273.15,"P",101325,"Water")</f>
        <v>230353.89241411732</v>
      </c>
      <c r="U6" cm="1">
        <f t="array" ref="U6">[1]!PropsSI("H","T",K6+273.15,"P",101325,"Water")</f>
        <v>199775.71784674638</v>
      </c>
      <c r="V6">
        <f t="shared" si="1"/>
        <v>641.98598288114886</v>
      </c>
    </row>
    <row r="7" spans="1:22" x14ac:dyDescent="0.2">
      <c r="A7">
        <v>46066.65237773148</v>
      </c>
      <c r="B7">
        <v>18.422889000000001</v>
      </c>
      <c r="C7">
        <v>18.886275000000001</v>
      </c>
      <c r="D7">
        <v>19.347304000000001</v>
      </c>
      <c r="E7">
        <v>19.854227000000002</v>
      </c>
      <c r="F7">
        <v>32.180286000000002</v>
      </c>
      <c r="G7">
        <v>30.273859999999999</v>
      </c>
      <c r="H7">
        <v>23.380485</v>
      </c>
      <c r="I7">
        <v>21.728752</v>
      </c>
      <c r="J7">
        <v>54.996386000000001</v>
      </c>
      <c r="K7">
        <v>47.663522</v>
      </c>
      <c r="L7">
        <v>202.40890099999999</v>
      </c>
      <c r="M7">
        <v>-622.487348</v>
      </c>
      <c r="N7">
        <v>1.278457</v>
      </c>
      <c r="O7">
        <v>2.2915190000000001</v>
      </c>
      <c r="P7">
        <f t="shared" si="3"/>
        <v>2.1307616666666666E-5</v>
      </c>
      <c r="Q7" cm="1">
        <f t="array" ref="Q7">[1]!PropsSI("D","T",J7+273.15,"P",101325,"Water")</f>
        <v>985.69483662156324</v>
      </c>
      <c r="R7" cm="1">
        <f t="array" ref="R7">[1]!PropsSI("D","T",K7+273.15,"P",101325,"Water")</f>
        <v>989.0737608493871</v>
      </c>
      <c r="S7">
        <f t="shared" si="2"/>
        <v>987.38429873547511</v>
      </c>
      <c r="T7" cm="1">
        <f t="array" ref="T7">[1]!PropsSI("H","T",J7+273.15,"P",101325,"Water")</f>
        <v>230313.95772438234</v>
      </c>
      <c r="U7" cm="1">
        <f t="array" ref="U7">[1]!PropsSI("H","T",K7+273.15,"P",101325,"Water")</f>
        <v>199649.61446705103</v>
      </c>
      <c r="V7">
        <f t="shared" si="1"/>
        <v>645.14117320573314</v>
      </c>
    </row>
    <row r="8" spans="1:22" x14ac:dyDescent="0.2">
      <c r="A8">
        <v>46066.652494050926</v>
      </c>
      <c r="B8">
        <v>18.228731</v>
      </c>
      <c r="C8">
        <v>18.943681999999999</v>
      </c>
      <c r="D8">
        <v>19.302885</v>
      </c>
      <c r="E8">
        <v>19.858910000000002</v>
      </c>
      <c r="F8">
        <v>32.246603999999998</v>
      </c>
      <c r="G8">
        <v>29.172654000000001</v>
      </c>
      <c r="H8">
        <v>23.946290000000001</v>
      </c>
      <c r="I8">
        <v>21.797125000000001</v>
      </c>
      <c r="J8">
        <v>54.997500000000002</v>
      </c>
      <c r="K8">
        <v>47.661141000000001</v>
      </c>
      <c r="L8">
        <v>186.23950600000001</v>
      </c>
      <c r="M8">
        <v>-622.48204199999998</v>
      </c>
      <c r="N8">
        <v>1.290205</v>
      </c>
      <c r="O8">
        <v>2.7380080000000002</v>
      </c>
      <c r="P8">
        <f t="shared" si="3"/>
        <v>2.1503416666666668E-5</v>
      </c>
      <c r="Q8" cm="1">
        <f t="array" ref="Q8">[1]!PropsSI("D","T",J8+273.15,"P",101325,"Water")</f>
        <v>985.69429725095722</v>
      </c>
      <c r="R8" cm="1">
        <f t="array" ref="R8">[1]!PropsSI("D","T",K8+273.15,"P",101325,"Water")</f>
        <v>989.07480075467879</v>
      </c>
      <c r="S8">
        <f t="shared" si="2"/>
        <v>987.38454900281795</v>
      </c>
      <c r="T8" cm="1">
        <f t="array" ref="T8">[1]!PropsSI("H","T",J8+273.15,"P",101325,"Water")</f>
        <v>230318.61753670397</v>
      </c>
      <c r="U8" cm="1">
        <f t="array" ref="U8">[1]!PropsSI("H","T",K8+273.15,"P",101325,"Water")</f>
        <v>199639.66015674663</v>
      </c>
      <c r="V8">
        <f t="shared" si="1"/>
        <v>651.37996009680887</v>
      </c>
    </row>
    <row r="9" spans="1:22" x14ac:dyDescent="0.2">
      <c r="A9">
        <v>46066.652609791665</v>
      </c>
      <c r="B9">
        <v>18.418548999999999</v>
      </c>
      <c r="C9">
        <v>19.072520999999998</v>
      </c>
      <c r="D9">
        <v>19.273693000000002</v>
      </c>
      <c r="E9">
        <v>19.876377999999999</v>
      </c>
      <c r="F9">
        <v>32.244112000000001</v>
      </c>
      <c r="G9">
        <v>29.986917999999999</v>
      </c>
      <c r="H9">
        <v>23.570179</v>
      </c>
      <c r="I9">
        <v>21.23837</v>
      </c>
      <c r="J9">
        <v>54.995750000000001</v>
      </c>
      <c r="K9">
        <v>47.646535</v>
      </c>
      <c r="L9">
        <v>195.95534599999999</v>
      </c>
      <c r="M9">
        <v>-622.51346899999999</v>
      </c>
      <c r="N9">
        <v>1.2817229999999999</v>
      </c>
      <c r="O9">
        <v>2.1273330000000001</v>
      </c>
      <c r="P9">
        <f t="shared" si="3"/>
        <v>2.136205E-5</v>
      </c>
      <c r="Q9" cm="1">
        <f t="array" ref="Q9">[1]!PropsSI("D","T",J9+273.15,"P",101325,"Water")</f>
        <v>985.69514455317028</v>
      </c>
      <c r="R9" cm="1">
        <f t="array" ref="R9">[1]!PropsSI("D","T",K9+273.15,"P",101325,"Water")</f>
        <v>989.08117911023578</v>
      </c>
      <c r="S9">
        <f t="shared" si="2"/>
        <v>987.38816183170297</v>
      </c>
      <c r="T9" cm="1">
        <f t="array" ref="T9">[1]!PropsSI("H","T",J9+273.15,"P",101325,"Water")</f>
        <v>230311.29736500408</v>
      </c>
      <c r="U9" cm="1">
        <f t="array" ref="U9">[1]!PropsSI("H","T",K9+273.15,"P",101325,"Water")</f>
        <v>199578.59649247158</v>
      </c>
      <c r="V9">
        <f t="shared" si="1"/>
        <v>648.23365074917388</v>
      </c>
    </row>
    <row r="10" spans="1:22" x14ac:dyDescent="0.2">
      <c r="A10">
        <v>44604.652726115397</v>
      </c>
      <c r="B10">
        <v>18.062404999999998</v>
      </c>
      <c r="C10">
        <v>18.712934000000001</v>
      </c>
      <c r="D10">
        <v>19.235122</v>
      </c>
      <c r="E10">
        <v>19.692478000000001</v>
      </c>
      <c r="F10">
        <v>32.009742000000003</v>
      </c>
      <c r="G10">
        <v>29.858726000000001</v>
      </c>
      <c r="H10">
        <v>23.545919999999999</v>
      </c>
      <c r="I10">
        <v>21.454198999999999</v>
      </c>
      <c r="J10">
        <v>54.990977000000001</v>
      </c>
      <c r="K10">
        <v>47.640025999999999</v>
      </c>
      <c r="L10">
        <v>194.27175700000001</v>
      </c>
      <c r="M10">
        <v>-622.50040799999999</v>
      </c>
      <c r="N10">
        <v>1.262967</v>
      </c>
      <c r="O10">
        <v>1.818762</v>
      </c>
      <c r="P10">
        <f t="shared" ref="P10:P20" si="4" xml:space="preserve"> N10*0.001/60</f>
        <v>2.1049450000000002E-5</v>
      </c>
      <c r="Q10" cm="1">
        <f t="array" ref="Q10">[1]!PropsSI("D","T",J10+273.15,"P",101325,"Water")</f>
        <v>985.69745541284499</v>
      </c>
      <c r="R10" cm="1">
        <f t="array" ref="R10">[1]!PropsSI("D","T",K10+273.15,"P",101325,"Water")</f>
        <v>989.08402108938253</v>
      </c>
      <c r="S10">
        <f t="shared" ref="S10:S20" si="5">(Q10+R10)/2</f>
        <v>987.39073825111382</v>
      </c>
      <c r="T10" cm="1">
        <f t="array" ref="T10">[1]!PropsSI("H","T",J10+273.15,"P",101325,"Water")</f>
        <v>230291.33212501128</v>
      </c>
      <c r="U10" cm="1">
        <f t="array" ref="U10">[1]!PropsSI("H","T",K10+273.15,"P",101325,"Water")</f>
        <v>199551.38417238282</v>
      </c>
      <c r="V10">
        <f t="shared" ref="V10:V20" si="6">S10*P10*(T10-U10)</f>
        <v>638.90006116587006</v>
      </c>
    </row>
    <row r="11" spans="1:22" x14ac:dyDescent="0.2">
      <c r="A11">
        <v>44604.6528424348</v>
      </c>
      <c r="B11">
        <v>18.450220000000002</v>
      </c>
      <c r="C11">
        <v>19.131211</v>
      </c>
      <c r="D11">
        <v>19.223157</v>
      </c>
      <c r="E11">
        <v>19.837730000000001</v>
      </c>
      <c r="F11">
        <v>32.198708000000003</v>
      </c>
      <c r="G11">
        <v>30.321321000000001</v>
      </c>
      <c r="H11">
        <v>23.606809999999999</v>
      </c>
      <c r="I11">
        <v>21.532971</v>
      </c>
      <c r="J11">
        <v>54.987954000000002</v>
      </c>
      <c r="K11">
        <v>47.622405000000001</v>
      </c>
      <c r="L11">
        <v>191.48455000000001</v>
      </c>
      <c r="M11">
        <v>-622.48897999999997</v>
      </c>
      <c r="N11">
        <v>1.2865580000000001</v>
      </c>
      <c r="O11">
        <v>2.2841480000000001</v>
      </c>
      <c r="P11">
        <f t="shared" si="4"/>
        <v>2.1442633333333337E-5</v>
      </c>
      <c r="Q11" cm="1">
        <f t="array" ref="Q11">[1]!PropsSI("D","T",J11+273.15,"P",101325,"Water")</f>
        <v>985.69891893253043</v>
      </c>
      <c r="R11" cm="1">
        <f t="array" ref="R11">[1]!PropsSI("D","T",K11+273.15,"P",101325,"Water")</f>
        <v>989.09171338929116</v>
      </c>
      <c r="S11">
        <f t="shared" si="5"/>
        <v>987.39531616091085</v>
      </c>
      <c r="T11" cm="1">
        <f t="array" ref="T11">[1]!PropsSI("H","T",J11+273.15,"P",101325,"Water")</f>
        <v>230278.68705901899</v>
      </c>
      <c r="U11" cm="1">
        <f t="array" ref="U11">[1]!PropsSI("H","T",K11+273.15,"P",101325,"Water")</f>
        <v>199477.71572009393</v>
      </c>
      <c r="V11">
        <f t="shared" si="6"/>
        <v>652.12912169351171</v>
      </c>
    </row>
    <row r="12" spans="1:22" x14ac:dyDescent="0.2">
      <c r="A12">
        <v>44604.652958175597</v>
      </c>
      <c r="B12">
        <v>18.458608999999999</v>
      </c>
      <c r="C12">
        <v>19.078869999999998</v>
      </c>
      <c r="D12">
        <v>19.273886000000001</v>
      </c>
      <c r="E12">
        <v>19.881848999999999</v>
      </c>
      <c r="F12">
        <v>32.397838999999998</v>
      </c>
      <c r="G12">
        <v>29.791219999999999</v>
      </c>
      <c r="H12">
        <v>23.558371999999999</v>
      </c>
      <c r="I12">
        <v>21.418498</v>
      </c>
      <c r="J12">
        <v>54.986362999999997</v>
      </c>
      <c r="K12">
        <v>47.637962999999999</v>
      </c>
      <c r="L12">
        <v>212.327179</v>
      </c>
      <c r="M12">
        <v>-622.49918400000001</v>
      </c>
      <c r="N12">
        <v>1.2816160000000001</v>
      </c>
      <c r="O12">
        <v>1.343629</v>
      </c>
      <c r="P12">
        <f t="shared" si="4"/>
        <v>2.1360266666666669E-5</v>
      </c>
      <c r="Q12" cm="1">
        <f t="array" ref="Q12">[1]!PropsSI("D","T",J12+273.15,"P",101325,"Water")</f>
        <v>985.6996891577935</v>
      </c>
      <c r="R12" cm="1">
        <f t="array" ref="R12">[1]!PropsSI("D","T",K12+273.15,"P",101325,"Water")</f>
        <v>989.08492178302822</v>
      </c>
      <c r="S12">
        <f t="shared" si="5"/>
        <v>987.39230547041086</v>
      </c>
      <c r="T12" cm="1">
        <f t="array" ref="T12">[1]!PropsSI("H","T",J12+273.15,"P",101325,"Water")</f>
        <v>230272.0319826109</v>
      </c>
      <c r="U12" cm="1">
        <f t="array" ref="U12">[1]!PropsSI("H","T",K12+273.15,"P",101325,"Water")</f>
        <v>199542.75934486694</v>
      </c>
      <c r="V12">
        <f t="shared" si="6"/>
        <v>648.10995066659814</v>
      </c>
    </row>
    <row r="13" spans="1:22" x14ac:dyDescent="0.2">
      <c r="A13">
        <v>44604.653074495</v>
      </c>
      <c r="B13">
        <v>18.800519000000001</v>
      </c>
      <c r="C13">
        <v>19.429454</v>
      </c>
      <c r="D13">
        <v>19.432915999999999</v>
      </c>
      <c r="E13">
        <v>19.921510000000001</v>
      </c>
      <c r="F13">
        <v>32.308843000000003</v>
      </c>
      <c r="G13">
        <v>30.185362000000001</v>
      </c>
      <c r="H13">
        <v>23.777138000000001</v>
      </c>
      <c r="I13">
        <v>21.298684999999999</v>
      </c>
      <c r="J13">
        <v>54.984931000000003</v>
      </c>
      <c r="K13">
        <v>47.650503999999998</v>
      </c>
      <c r="L13">
        <v>195.97208000000001</v>
      </c>
      <c r="M13">
        <v>-622.47714399999995</v>
      </c>
      <c r="N13">
        <v>1.2794479999999999</v>
      </c>
      <c r="O13">
        <v>1.774208</v>
      </c>
      <c r="P13">
        <f t="shared" si="4"/>
        <v>2.1324133333333331E-5</v>
      </c>
      <c r="Q13" cm="1">
        <f t="array" ref="Q13">[1]!PropsSI("D","T",J13+273.15,"P",101325,"Water")</f>
        <v>985.70038239550126</v>
      </c>
      <c r="R13" cm="1">
        <f t="array" ref="R13">[1]!PropsSI("D","T",K13+273.15,"P",101325,"Water")</f>
        <v>989.07944601330701</v>
      </c>
      <c r="S13">
        <f t="shared" si="5"/>
        <v>987.38991420440414</v>
      </c>
      <c r="T13" cm="1">
        <f t="array" ref="T13">[1]!PropsSI("H","T",J13+273.15,"P",101325,"Water")</f>
        <v>230266.04199630726</v>
      </c>
      <c r="U13" cm="1">
        <f t="array" ref="U13">[1]!PropsSI("H","T",K13+273.15,"P",101325,"Water")</f>
        <v>199595.18978346846</v>
      </c>
      <c r="V13">
        <f t="shared" si="6"/>
        <v>645.78197591765627</v>
      </c>
    </row>
    <row r="14" spans="1:22" x14ac:dyDescent="0.2">
      <c r="A14">
        <v>44604.653190814497</v>
      </c>
      <c r="B14">
        <v>18.424949000000002</v>
      </c>
      <c r="C14">
        <v>19.175640000000001</v>
      </c>
      <c r="D14">
        <v>19.232877999999999</v>
      </c>
      <c r="E14">
        <v>19.768926</v>
      </c>
      <c r="F14">
        <v>32.282316999999999</v>
      </c>
      <c r="G14">
        <v>30.024184999999999</v>
      </c>
      <c r="H14">
        <v>23.518847000000001</v>
      </c>
      <c r="I14">
        <v>21.291793999999999</v>
      </c>
      <c r="J14">
        <v>54.989863</v>
      </c>
      <c r="K14">
        <v>47.658442000000001</v>
      </c>
      <c r="L14">
        <v>194.40317899999999</v>
      </c>
      <c r="M14">
        <v>-622.48204199999998</v>
      </c>
      <c r="N14">
        <v>1.2751459999999999</v>
      </c>
      <c r="O14">
        <v>1.155464</v>
      </c>
      <c r="P14">
        <f t="shared" si="4"/>
        <v>2.1252433333333333E-5</v>
      </c>
      <c r="Q14" cm="1">
        <f t="array" ref="Q14">[1]!PropsSI("D","T",J14+273.15,"P",101325,"Water")</f>
        <v>985.69799473831574</v>
      </c>
      <c r="R14" cm="1">
        <f t="array" ref="R14">[1]!PropsSI("D","T",K14+273.15,"P",101325,"Water")</f>
        <v>989.07597950066986</v>
      </c>
      <c r="S14">
        <f t="shared" si="5"/>
        <v>987.3869871194928</v>
      </c>
      <c r="T14" cm="1">
        <f t="array" ref="T14">[1]!PropsSI("H","T",J14+273.15,"P",101325,"Water")</f>
        <v>230286.67231530068</v>
      </c>
      <c r="U14" cm="1">
        <f t="array" ref="U14">[1]!PropsSI("H","T",K14+273.15,"P",101325,"Water")</f>
        <v>199628.37637699716</v>
      </c>
      <c r="V14">
        <f t="shared" si="6"/>
        <v>643.34521310502146</v>
      </c>
    </row>
    <row r="15" spans="1:22" x14ac:dyDescent="0.2">
      <c r="A15">
        <v>46066.653306550928</v>
      </c>
      <c r="B15">
        <v>18.256103</v>
      </c>
      <c r="C15">
        <v>19.199062999999999</v>
      </c>
      <c r="D15">
        <v>19.219695999999999</v>
      </c>
      <c r="E15">
        <v>19.790281</v>
      </c>
      <c r="F15">
        <v>32.299081999999999</v>
      </c>
      <c r="G15">
        <v>29.932276000000002</v>
      </c>
      <c r="H15">
        <v>23.722245000000001</v>
      </c>
      <c r="I15">
        <v>21.449567999999999</v>
      </c>
      <c r="J15">
        <v>54.994318</v>
      </c>
      <c r="K15">
        <v>47.649869000000002</v>
      </c>
      <c r="L15">
        <v>187.39291800000001</v>
      </c>
      <c r="M15">
        <v>-622.512652</v>
      </c>
      <c r="N15">
        <v>1.2723549999999999</v>
      </c>
      <c r="O15">
        <v>2.3387159999999998</v>
      </c>
      <c r="P15">
        <f t="shared" si="4"/>
        <v>2.1205916666666666E-5</v>
      </c>
      <c r="Q15" cm="1">
        <f t="array" ref="Q15">[1]!PropsSI("D","T",J15+273.15,"P",101325,"Water")</f>
        <v>985.69583787436613</v>
      </c>
      <c r="R15" cm="1">
        <f t="array" ref="R15">[1]!PropsSI("D","T",K15+273.15,"P",101325,"Water")</f>
        <v>989.07972329847973</v>
      </c>
      <c r="S15">
        <f t="shared" si="5"/>
        <v>987.38778058642288</v>
      </c>
      <c r="T15" cm="1">
        <f t="array" ref="T15">[1]!PropsSI("H","T",J15+273.15,"P",101325,"Water")</f>
        <v>230305.30737380384</v>
      </c>
      <c r="U15" cm="1">
        <f t="array" ref="U15">[1]!PropsSI("H","T",K15+273.15,"P",101325,"Water")</f>
        <v>199592.53502390761</v>
      </c>
      <c r="V15">
        <f t="shared" si="6"/>
        <v>643.07824725461285</v>
      </c>
    </row>
    <row r="16" spans="1:22" x14ac:dyDescent="0.2">
      <c r="A16">
        <v>46066.653422870368</v>
      </c>
      <c r="B16">
        <v>18.640554999999999</v>
      </c>
      <c r="C16">
        <v>19.043202000000001</v>
      </c>
      <c r="D16">
        <v>19.234014999999999</v>
      </c>
      <c r="E16">
        <v>19.816441999999999</v>
      </c>
      <c r="F16">
        <v>32.311064999999999</v>
      </c>
      <c r="G16">
        <v>30.080444</v>
      </c>
      <c r="H16">
        <v>23.798998000000001</v>
      </c>
      <c r="I16">
        <v>21.633001</v>
      </c>
      <c r="J16">
        <v>54.991771999999997</v>
      </c>
      <c r="K16">
        <v>47.637009999999997</v>
      </c>
      <c r="L16">
        <v>186.91661500000001</v>
      </c>
      <c r="M16">
        <v>-622.50530600000002</v>
      </c>
      <c r="N16">
        <v>1.282735</v>
      </c>
      <c r="O16">
        <v>2.102007</v>
      </c>
      <c r="P16">
        <f t="shared" si="4"/>
        <v>2.1378916666666666E-5</v>
      </c>
      <c r="Q16" cm="1">
        <f t="array" ref="Q16">[1]!PropsSI("D","T",J16+273.15,"P",101325,"Water")</f>
        <v>985.6970705214577</v>
      </c>
      <c r="R16" cm="1">
        <f t="array" ref="R16">[1]!PropsSI("D","T",K16+273.15,"P",101325,"Water")</f>
        <v>989.08533784748158</v>
      </c>
      <c r="S16">
        <f t="shared" si="5"/>
        <v>987.39120418446964</v>
      </c>
      <c r="T16" cm="1">
        <f t="array" ref="T16">[1]!PropsSI("H","T",J16+273.15,"P",101325,"Water")</f>
        <v>230294.6575729608</v>
      </c>
      <c r="U16" cm="1">
        <f t="array" ref="U16">[1]!PropsSI("H","T",K16+273.15,"P",101325,"Water")</f>
        <v>199538.77511810168</v>
      </c>
      <c r="V16">
        <f t="shared" si="6"/>
        <v>649.2368186771356</v>
      </c>
    </row>
    <row r="17" spans="1:22" x14ac:dyDescent="0.2">
      <c r="A17">
        <v>46066.653539189814</v>
      </c>
      <c r="B17">
        <v>18.122036999999999</v>
      </c>
      <c r="C17">
        <v>18.700776000000001</v>
      </c>
      <c r="D17">
        <v>19.155111999999999</v>
      </c>
      <c r="E17">
        <v>19.835816000000001</v>
      </c>
      <c r="F17">
        <v>32.138522000000002</v>
      </c>
      <c r="G17">
        <v>30.271553999999998</v>
      </c>
      <c r="H17">
        <v>23.765630000000002</v>
      </c>
      <c r="I17">
        <v>21.362494999999999</v>
      </c>
      <c r="J17">
        <v>54.984613000000003</v>
      </c>
      <c r="K17">
        <v>47.640503000000002</v>
      </c>
      <c r="L17">
        <v>186.99416199999999</v>
      </c>
      <c r="M17">
        <v>-622.50775499999997</v>
      </c>
      <c r="N17">
        <v>1.289623</v>
      </c>
      <c r="O17">
        <v>1.781617</v>
      </c>
      <c r="P17">
        <f t="shared" si="4"/>
        <v>2.1493716666666667E-5</v>
      </c>
      <c r="Q17" cm="1">
        <f t="array" ref="Q17">[1]!PropsSI("D","T",J17+273.15,"P",101325,"Water")</f>
        <v>985.70053633902717</v>
      </c>
      <c r="R17" cm="1">
        <f t="array" ref="R17">[1]!PropsSI("D","T",K17+273.15,"P",101325,"Water")</f>
        <v>989.08381282993128</v>
      </c>
      <c r="S17">
        <f t="shared" si="5"/>
        <v>987.39217458447922</v>
      </c>
      <c r="T17" cm="1">
        <f t="array" ref="T17">[1]!PropsSI("H","T",J17+273.15,"P",101325,"Water")</f>
        <v>230264.71181793843</v>
      </c>
      <c r="U17" cm="1">
        <f t="array" ref="U17">[1]!PropsSI("H","T",K17+273.15,"P",101325,"Water")</f>
        <v>199553.37837647283</v>
      </c>
      <c r="V17">
        <f t="shared" si="6"/>
        <v>651.77826507110331</v>
      </c>
    </row>
    <row r="18" spans="1:22" x14ac:dyDescent="0.2">
      <c r="A18">
        <v>46066.653655509261</v>
      </c>
      <c r="B18">
        <v>18.447286999999999</v>
      </c>
      <c r="C18">
        <v>19.233135000000001</v>
      </c>
      <c r="D18">
        <v>19.164147</v>
      </c>
      <c r="E18">
        <v>19.744979000000001</v>
      </c>
      <c r="F18">
        <v>32.365282000000001</v>
      </c>
      <c r="G18">
        <v>30.581693999999999</v>
      </c>
      <c r="H18">
        <v>23.225604000000001</v>
      </c>
      <c r="I18">
        <v>21.493568</v>
      </c>
      <c r="J18">
        <v>54.983817000000002</v>
      </c>
      <c r="K18">
        <v>47.60145</v>
      </c>
      <c r="L18">
        <v>195.349254</v>
      </c>
      <c r="M18">
        <v>-622.50571400000001</v>
      </c>
      <c r="N18">
        <v>1.271593</v>
      </c>
      <c r="O18">
        <v>2.2412339999999999</v>
      </c>
      <c r="P18">
        <f t="shared" si="4"/>
        <v>2.1193216666666666E-5</v>
      </c>
      <c r="Q18" cm="1">
        <f t="array" ref="Q18">[1]!PropsSI("D","T",J18+273.15,"P",101325,"Water")</f>
        <v>985.7009216791663</v>
      </c>
      <c r="R18" cm="1">
        <f t="array" ref="R18">[1]!PropsSI("D","T",K18+273.15,"P",101325,"Water")</f>
        <v>989.10085839212502</v>
      </c>
      <c r="S18">
        <f t="shared" si="5"/>
        <v>987.40089003564572</v>
      </c>
      <c r="T18" cm="1">
        <f t="array" ref="T18">[1]!PropsSI("H","T",J18+273.15,"P",101325,"Water")</f>
        <v>230261.38218908737</v>
      </c>
      <c r="U18" cm="1">
        <f t="array" ref="U18">[1]!PropsSI("H","T",K18+273.15,"P",101325,"Water")</f>
        <v>199390.10884827151</v>
      </c>
      <c r="V18">
        <f t="shared" si="6"/>
        <v>646.01847103686657</v>
      </c>
    </row>
    <row r="19" spans="1:22" x14ac:dyDescent="0.2">
      <c r="A19">
        <v>46066.653771828707</v>
      </c>
      <c r="B19">
        <v>18.395602</v>
      </c>
      <c r="C19">
        <v>19.116235</v>
      </c>
      <c r="D19">
        <v>19.279577</v>
      </c>
      <c r="E19">
        <v>19.857437999999998</v>
      </c>
      <c r="F19">
        <v>32.252409999999998</v>
      </c>
      <c r="G19">
        <v>29.843392999999999</v>
      </c>
      <c r="H19">
        <v>23.699697</v>
      </c>
      <c r="I19">
        <v>21.477228</v>
      </c>
      <c r="J19">
        <v>54.987476000000001</v>
      </c>
      <c r="K19">
        <v>47.616531000000002</v>
      </c>
      <c r="L19">
        <v>190.96498399999999</v>
      </c>
      <c r="M19">
        <v>-622.48979599999996</v>
      </c>
      <c r="N19">
        <v>1.279129</v>
      </c>
      <c r="O19">
        <v>2.018745</v>
      </c>
      <c r="P19">
        <f t="shared" si="4"/>
        <v>2.1318816666666667E-5</v>
      </c>
      <c r="Q19" cm="1">
        <f t="array" ref="Q19">[1]!PropsSI("D","T",J19+273.15,"P",101325,"Water")</f>
        <v>985.69915034064866</v>
      </c>
      <c r="R19" cm="1">
        <f t="array" ref="R19">[1]!PropsSI("D","T",K19+273.15,"P",101325,"Water")</f>
        <v>989.09427716925325</v>
      </c>
      <c r="S19">
        <f t="shared" si="5"/>
        <v>987.39671375495095</v>
      </c>
      <c r="T19" cm="1">
        <f t="array" ref="T19">[1]!PropsSI("H","T",J19+273.15,"P",101325,"Water")</f>
        <v>230276.68760790737</v>
      </c>
      <c r="U19" cm="1">
        <f t="array" ref="U19">[1]!PropsSI("H","T",K19+273.15,"P",101325,"Water")</f>
        <v>199453.15819253484</v>
      </c>
      <c r="V19">
        <f t="shared" si="6"/>
        <v>648.8392863896471</v>
      </c>
    </row>
    <row r="20" spans="1:22" x14ac:dyDescent="0.2">
      <c r="A20">
        <v>46066.653887569446</v>
      </c>
      <c r="B20">
        <v>18.457221000000001</v>
      </c>
      <c r="C20">
        <v>19.214808000000001</v>
      </c>
      <c r="D20">
        <v>19.299741999999998</v>
      </c>
      <c r="E20">
        <v>19.858649</v>
      </c>
      <c r="F20">
        <v>32.218674</v>
      </c>
      <c r="G20">
        <v>30.083558</v>
      </c>
      <c r="H20">
        <v>23.713134</v>
      </c>
      <c r="I20">
        <v>21.274991</v>
      </c>
      <c r="J20">
        <v>54.985885000000003</v>
      </c>
      <c r="K20">
        <v>47.619070999999998</v>
      </c>
      <c r="L20">
        <v>198.540931</v>
      </c>
      <c r="M20">
        <v>-622.48040900000001</v>
      </c>
      <c r="N20">
        <v>1.278084</v>
      </c>
      <c r="O20">
        <v>2.5098769999999999</v>
      </c>
      <c r="P20">
        <f t="shared" si="4"/>
        <v>2.1301400000000002E-5</v>
      </c>
      <c r="Q20" cm="1">
        <f t="array" ref="Q20">[1]!PropsSI("D","T",J20+273.15,"P",101325,"Water")</f>
        <v>985.6999205611736</v>
      </c>
      <c r="R20" cm="1">
        <f t="array" ref="R20">[1]!PropsSI("D","T",K20+273.15,"P",101325,"Water")</f>
        <v>989.09316858340037</v>
      </c>
      <c r="S20">
        <f t="shared" si="5"/>
        <v>987.39654457228698</v>
      </c>
      <c r="T20" cm="1">
        <f t="array" ref="T20">[1]!PropsSI("H","T",J20+273.15,"P",101325,"Water")</f>
        <v>230270.03253181302</v>
      </c>
      <c r="U20" cm="1">
        <f t="array" ref="U20">[1]!PropsSI("H","T",K20+273.15,"P",101325,"Water")</f>
        <v>199463.77721094037</v>
      </c>
      <c r="V20">
        <f t="shared" si="6"/>
        <v>647.94577335845645</v>
      </c>
    </row>
    <row r="21" spans="1:22" x14ac:dyDescent="0.2">
      <c r="P21" s="1"/>
    </row>
    <row r="22" spans="1:22" x14ac:dyDescent="0.2">
      <c r="P22" s="1"/>
    </row>
    <row r="23" spans="1:22" x14ac:dyDescent="0.2">
      <c r="P23" s="1"/>
    </row>
    <row r="24" spans="1:22" x14ac:dyDescent="0.2">
      <c r="I24" t="s">
        <v>22</v>
      </c>
      <c r="P24" s="1"/>
    </row>
    <row r="25" spans="1:22" x14ac:dyDescent="0.2">
      <c r="I25">
        <f>AVERAGE(V2:V20)</f>
        <v>646.43149192079272</v>
      </c>
      <c r="P25" s="1"/>
    </row>
    <row r="26" spans="1:22" x14ac:dyDescent="0.2">
      <c r="P26" s="1"/>
    </row>
    <row r="27" spans="1:22" x14ac:dyDescent="0.2">
      <c r="P27" s="1"/>
    </row>
    <row r="28" spans="1:22" x14ac:dyDescent="0.2">
      <c r="P28" s="1"/>
    </row>
    <row r="29" spans="1:22" x14ac:dyDescent="0.2">
      <c r="P29" s="1"/>
    </row>
    <row r="30" spans="1:22" x14ac:dyDescent="0.2">
      <c r="P30" s="1"/>
    </row>
    <row r="31" spans="1:22" x14ac:dyDescent="0.2"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02C1-A1B9-E84D-A52E-82F2FC447323}">
  <dimension ref="A1:V36"/>
  <sheetViews>
    <sheetView workbookViewId="0">
      <selection activeCell="I20" sqref="I20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44604.654668244999</v>
      </c>
      <c r="B2">
        <v>18.021174999999999</v>
      </c>
      <c r="C2">
        <v>18.673901999999998</v>
      </c>
      <c r="D2">
        <v>19.136576999999999</v>
      </c>
      <c r="E2">
        <v>19.710688999999999</v>
      </c>
      <c r="F2">
        <v>30.751051</v>
      </c>
      <c r="G2">
        <v>28.453536</v>
      </c>
      <c r="H2">
        <v>23.186336000000001</v>
      </c>
      <c r="I2">
        <v>21.039852</v>
      </c>
      <c r="J2">
        <v>54.978566999999998</v>
      </c>
      <c r="K2">
        <v>47.126030999999998</v>
      </c>
      <c r="L2">
        <v>260.661494</v>
      </c>
      <c r="M2">
        <v>-622.48979599999996</v>
      </c>
      <c r="N2">
        <v>1.2879510000000001</v>
      </c>
      <c r="O2">
        <v>2.1994630000000002</v>
      </c>
      <c r="P2">
        <f xml:space="preserve"> N2*0.001/60</f>
        <v>2.146585E-5</v>
      </c>
      <c r="Q2" cm="1">
        <f t="array" ref="Q2">[1]!PropsSI("D","T",J2+273.15,"P",101325,"Water")</f>
        <v>985.70346308280602</v>
      </c>
      <c r="R2" cm="1">
        <f t="array" ref="R2">[1]!PropsSI("D","T",K2+273.15,"P",101325,"Water")</f>
        <v>989.30753899922217</v>
      </c>
      <c r="S2">
        <f>(Q2+R2)/2</f>
        <v>987.5055010410141</v>
      </c>
      <c r="T2" cm="1">
        <f t="array" ref="T2">[1]!PropsSI("H","T",J2+273.15,"P",101325,"Water")</f>
        <v>230239.42170313193</v>
      </c>
      <c r="U2" cm="1">
        <f t="array" ref="U2">[1]!PropsSI("H","T",K2+273.15,"P",101325,"Water")</f>
        <v>197402.54603347709</v>
      </c>
      <c r="V2">
        <f>S2*P2*(T2-U2)</f>
        <v>696.06443202528487</v>
      </c>
    </row>
    <row r="3" spans="1:22" x14ac:dyDescent="0.2">
      <c r="A3">
        <v>44604.654783985803</v>
      </c>
      <c r="B3">
        <v>18.626777000000001</v>
      </c>
      <c r="C3">
        <v>19.240676000000001</v>
      </c>
      <c r="D3">
        <v>19.352923000000001</v>
      </c>
      <c r="E3">
        <v>20.024615000000001</v>
      </c>
      <c r="F3">
        <v>31.136676999999999</v>
      </c>
      <c r="G3">
        <v>28.643463000000001</v>
      </c>
      <c r="H3">
        <v>23.651153000000001</v>
      </c>
      <c r="I3">
        <v>21.428324</v>
      </c>
      <c r="J3">
        <v>54.983339999999998</v>
      </c>
      <c r="K3">
        <v>47.106189999999998</v>
      </c>
      <c r="L3">
        <v>279.39239300000003</v>
      </c>
      <c r="M3">
        <v>-622.47387900000001</v>
      </c>
      <c r="N3">
        <v>1.2911269999999999</v>
      </c>
      <c r="O3">
        <v>2.3499750000000001</v>
      </c>
      <c r="P3">
        <f t="shared" ref="P3:P9" si="0" xml:space="preserve"> N3*0.001/60</f>
        <v>2.1518783333333335E-5</v>
      </c>
      <c r="Q3" cm="1">
        <f t="array" ref="Q3">[1]!PropsSI("D","T",J3+273.15,"P",101325,"Water")</f>
        <v>985.70115259090392</v>
      </c>
      <c r="R3" cm="1">
        <f t="array" ref="R3">[1]!PropsSI("D","T",K3+273.15,"P",101325,"Water")</f>
        <v>989.31613126207765</v>
      </c>
      <c r="S3">
        <f>(Q3+R3)/2</f>
        <v>987.50864192649078</v>
      </c>
      <c r="T3" cm="1">
        <f t="array" ref="T3">[1]!PropsSI("H","T",J3+273.15,"P",101325,"Water")</f>
        <v>230259.38692164153</v>
      </c>
      <c r="U3" cm="1">
        <f t="array" ref="U3">[1]!PropsSI("H","T",K3+273.15,"P",101325,"Water")</f>
        <v>197319.59882059239</v>
      </c>
      <c r="V3">
        <f t="shared" ref="V3:V36" si="1">S3*P3*(T3-U3)</f>
        <v>699.96998675879627</v>
      </c>
    </row>
    <row r="4" spans="1:22" x14ac:dyDescent="0.2">
      <c r="A4">
        <v>44604.654899726498</v>
      </c>
      <c r="B4">
        <v>18.615043</v>
      </c>
      <c r="C4">
        <v>19.321338999999998</v>
      </c>
      <c r="D4">
        <v>19.300438</v>
      </c>
      <c r="E4">
        <v>19.919756</v>
      </c>
      <c r="F4">
        <v>31.081198000000001</v>
      </c>
      <c r="G4">
        <v>29.237082999999998</v>
      </c>
      <c r="H4">
        <v>23.112898000000001</v>
      </c>
      <c r="I4">
        <v>21.5489</v>
      </c>
      <c r="J4">
        <v>54.982067000000001</v>
      </c>
      <c r="K4">
        <v>47.106507000000001</v>
      </c>
      <c r="L4">
        <v>266.59099300000003</v>
      </c>
      <c r="M4">
        <v>-622.51795800000002</v>
      </c>
      <c r="N4">
        <v>1.2848040000000001</v>
      </c>
      <c r="O4">
        <v>1.703654</v>
      </c>
      <c r="P4">
        <f xml:space="preserve"> N4*0.001/60</f>
        <v>2.1413400000000001E-5</v>
      </c>
      <c r="Q4" cm="1">
        <f t="array" ref="Q4">[1]!PropsSI("D","T",J4+273.15,"P",101325,"Water")</f>
        <v>985.70176883272075</v>
      </c>
      <c r="R4" cm="1">
        <f t="array" ref="R4">[1]!PropsSI("D","T",K4+273.15,"P",101325,"Water")</f>
        <v>989.31599400434231</v>
      </c>
      <c r="S4">
        <f t="shared" ref="S4:S36" si="2">(Q4+R4)/2</f>
        <v>987.50888141853147</v>
      </c>
      <c r="T4" cm="1">
        <f t="array" ref="T4">[1]!PropsSI("H","T",J4+273.15,"P",101325,"Water")</f>
        <v>230254.06202598961</v>
      </c>
      <c r="U4" cm="1">
        <f t="array" ref="U4">[1]!PropsSI("H","T",K4+273.15,"P",101325,"Water")</f>
        <v>197320.92406895926</v>
      </c>
      <c r="V4">
        <f t="shared" si="1"/>
        <v>696.4015888941758</v>
      </c>
    </row>
    <row r="5" spans="1:22" x14ac:dyDescent="0.2">
      <c r="A5">
        <v>44604.655016045901</v>
      </c>
      <c r="B5">
        <v>18.436948999999998</v>
      </c>
      <c r="C5">
        <v>19.045029</v>
      </c>
      <c r="D5">
        <v>19.004425999999999</v>
      </c>
      <c r="E5">
        <v>19.892674</v>
      </c>
      <c r="F5">
        <v>31.030138999999998</v>
      </c>
      <c r="G5">
        <v>29.064627000000002</v>
      </c>
      <c r="H5">
        <v>23.063321999999999</v>
      </c>
      <c r="I5">
        <v>20.884588999999998</v>
      </c>
      <c r="J5">
        <v>54.981907999999997</v>
      </c>
      <c r="K5">
        <v>47.110157999999998</v>
      </c>
      <c r="L5">
        <v>266.95750500000003</v>
      </c>
      <c r="M5">
        <v>-622.47265400000003</v>
      </c>
      <c r="N5">
        <v>1.2900039999999999</v>
      </c>
      <c r="O5">
        <v>2.4287380000000001</v>
      </c>
      <c r="P5">
        <f t="shared" ref="P5:P20" si="3" xml:space="preserve"> N5*0.001/60</f>
        <v>2.1500066666666668E-5</v>
      </c>
      <c r="Q5" cm="1">
        <f t="array" ref="Q5">[1]!PropsSI("D","T",J5+273.15,"P",101325,"Water")</f>
        <v>985.70184580172497</v>
      </c>
      <c r="R5" cm="1">
        <f t="array" ref="R5">[1]!PropsSI("D","T",K5+273.15,"P",101325,"Water")</f>
        <v>989.31441310989612</v>
      </c>
      <c r="S5">
        <f t="shared" si="2"/>
        <v>987.5081294558106</v>
      </c>
      <c r="T5" cm="1">
        <f t="array" ref="T5">[1]!PropsSI("H","T",J5+273.15,"P",101325,"Water")</f>
        <v>230253.39693695679</v>
      </c>
      <c r="U5" cm="1">
        <f t="array" ref="U5">[1]!PropsSI("H","T",K5+273.15,"P",101325,"Water")</f>
        <v>197336.18741969299</v>
      </c>
      <c r="V5">
        <f t="shared" si="1"/>
        <v>698.88142500937761</v>
      </c>
    </row>
    <row r="6" spans="1:22" x14ac:dyDescent="0.2">
      <c r="A6">
        <v>46066.655132361113</v>
      </c>
      <c r="B6">
        <v>18.705285</v>
      </c>
      <c r="C6">
        <v>19.239436000000001</v>
      </c>
      <c r="D6">
        <v>19.128633000000001</v>
      </c>
      <c r="E6">
        <v>19.839576000000001</v>
      </c>
      <c r="F6">
        <v>31.411781000000001</v>
      </c>
      <c r="G6">
        <v>28.300484000000001</v>
      </c>
      <c r="H6">
        <v>23.058926</v>
      </c>
      <c r="I6">
        <v>21.185255999999999</v>
      </c>
      <c r="J6">
        <v>54.984931000000003</v>
      </c>
      <c r="K6">
        <v>47.104444000000001</v>
      </c>
      <c r="L6">
        <v>269.73614199999997</v>
      </c>
      <c r="M6">
        <v>-622.49306200000001</v>
      </c>
      <c r="N6">
        <v>1.2817510000000001</v>
      </c>
      <c r="O6">
        <v>2.233889</v>
      </c>
      <c r="P6">
        <f t="shared" si="3"/>
        <v>2.1362516666666668E-5</v>
      </c>
      <c r="Q6" cm="1">
        <f t="array" ref="Q6">[1]!PropsSI("D","T",J6+273.15,"P",101325,"Water")</f>
        <v>985.70038239550126</v>
      </c>
      <c r="R6" cm="1">
        <f t="array" ref="R6">[1]!PropsSI("D","T",K6+273.15,"P",101325,"Water")</f>
        <v>989.31688724982951</v>
      </c>
      <c r="S6">
        <f t="shared" si="2"/>
        <v>987.50863482266539</v>
      </c>
      <c r="T6" cm="1">
        <f t="array" ref="T6">[1]!PropsSI("H","T",J6+273.15,"P",101325,"Water")</f>
        <v>230266.04199630726</v>
      </c>
      <c r="U6" cm="1">
        <f t="array" ref="U6">[1]!PropsSI("H","T",K6+273.15,"P",101325,"Water")</f>
        <v>197312.29950368253</v>
      </c>
      <c r="V6">
        <f t="shared" si="1"/>
        <v>695.18126601058191</v>
      </c>
    </row>
    <row r="7" spans="1:22" x14ac:dyDescent="0.2">
      <c r="A7">
        <v>46066.655248680552</v>
      </c>
      <c r="B7">
        <v>18.445733000000001</v>
      </c>
      <c r="C7">
        <v>19.118127999999999</v>
      </c>
      <c r="D7">
        <v>19.034504999999999</v>
      </c>
      <c r="E7">
        <v>19.787113000000002</v>
      </c>
      <c r="F7">
        <v>31.248947000000001</v>
      </c>
      <c r="G7">
        <v>28.500626</v>
      </c>
      <c r="H7">
        <v>23.228217999999998</v>
      </c>
      <c r="I7">
        <v>20.822126000000001</v>
      </c>
      <c r="J7">
        <v>54.980158000000003</v>
      </c>
      <c r="K7">
        <v>47.094762000000003</v>
      </c>
      <c r="L7">
        <v>272.79313100000002</v>
      </c>
      <c r="M7">
        <v>-622.48367399999995</v>
      </c>
      <c r="N7">
        <v>1.281854</v>
      </c>
      <c r="O7">
        <v>1.989047</v>
      </c>
      <c r="P7">
        <f t="shared" si="3"/>
        <v>2.1364233333333335E-5</v>
      </c>
      <c r="Q7" cm="1">
        <f t="array" ref="Q7">[1]!PropsSI("D","T",J7+273.15,"P",101325,"Water")</f>
        <v>985.70269293454555</v>
      </c>
      <c r="R7" cm="1">
        <f t="array" ref="R7">[1]!PropsSI("D","T",K7+273.15,"P",101325,"Water")</f>
        <v>989.32107901239783</v>
      </c>
      <c r="S7">
        <f t="shared" si="2"/>
        <v>987.51188597347164</v>
      </c>
      <c r="T7" cm="1">
        <f t="array" ref="T7">[1]!PropsSI("H","T",J7+273.15,"P",101325,"Water")</f>
        <v>230246.0767750534</v>
      </c>
      <c r="U7" cm="1">
        <f t="array" ref="U7">[1]!PropsSI("H","T",K7+273.15,"P",101325,"Water")</f>
        <v>197271.82300685887</v>
      </c>
      <c r="V7">
        <f t="shared" si="1"/>
        <v>695.67215416013994</v>
      </c>
    </row>
    <row r="8" spans="1:22" x14ac:dyDescent="0.2">
      <c r="A8">
        <v>46066.655364421298</v>
      </c>
      <c r="B8">
        <v>18.405783</v>
      </c>
      <c r="C8">
        <v>19.192879999999999</v>
      </c>
      <c r="D8">
        <v>19.158881999999998</v>
      </c>
      <c r="E8">
        <v>19.749116000000001</v>
      </c>
      <c r="F8">
        <v>31.144659000000001</v>
      </c>
      <c r="G8">
        <v>28.367844999999999</v>
      </c>
      <c r="H8">
        <v>23.212683999999999</v>
      </c>
      <c r="I8">
        <v>21.120125000000002</v>
      </c>
      <c r="J8">
        <v>54.982067000000001</v>
      </c>
      <c r="K8">
        <v>47.083016000000001</v>
      </c>
      <c r="L8">
        <v>269.57941499999998</v>
      </c>
      <c r="M8">
        <v>-622.49142900000004</v>
      </c>
      <c r="N8">
        <v>1.2836000000000001</v>
      </c>
      <c r="O8">
        <v>2.0535389999999998</v>
      </c>
      <c r="P8">
        <f t="shared" si="3"/>
        <v>2.1393333333333337E-5</v>
      </c>
      <c r="Q8" cm="1">
        <f t="array" ref="Q8">[1]!PropsSI("D","T",J8+273.15,"P",101325,"Water")</f>
        <v>985.70176883272075</v>
      </c>
      <c r="R8" cm="1">
        <f t="array" ref="R8">[1]!PropsSI("D","T",K8+273.15,"P",101325,"Water")</f>
        <v>989.32616351658214</v>
      </c>
      <c r="S8">
        <f t="shared" si="2"/>
        <v>987.51396617465139</v>
      </c>
      <c r="T8" cm="1">
        <f t="array" ref="T8">[1]!PropsSI("H","T",J8+273.15,"P",101325,"Water")</f>
        <v>230254.06202598961</v>
      </c>
      <c r="U8" cm="1">
        <f t="array" ref="U8">[1]!PropsSI("H","T",K8+273.15,"P",101325,"Water")</f>
        <v>197222.71779643127</v>
      </c>
      <c r="V8">
        <f t="shared" si="1"/>
        <v>697.8272947867348</v>
      </c>
    </row>
    <row r="9" spans="1:22" x14ac:dyDescent="0.2">
      <c r="A9">
        <v>46066.655480740737</v>
      </c>
      <c r="B9">
        <v>18.580884999999999</v>
      </c>
      <c r="C9">
        <v>19.357679999999998</v>
      </c>
      <c r="D9">
        <v>19.21584</v>
      </c>
      <c r="E9">
        <v>19.908377999999999</v>
      </c>
      <c r="F9">
        <v>30.996607000000001</v>
      </c>
      <c r="G9">
        <v>28.114015999999999</v>
      </c>
      <c r="H9">
        <v>23.574849</v>
      </c>
      <c r="I9">
        <v>20.943477999999999</v>
      </c>
      <c r="J9">
        <v>54.982385000000001</v>
      </c>
      <c r="K9">
        <v>47.083174999999997</v>
      </c>
      <c r="L9">
        <v>272.40906899999999</v>
      </c>
      <c r="M9">
        <v>-622.48653100000001</v>
      </c>
      <c r="N9">
        <v>1.288386</v>
      </c>
      <c r="O9">
        <v>1.684199</v>
      </c>
      <c r="P9">
        <f t="shared" si="3"/>
        <v>2.1473100000000003E-5</v>
      </c>
      <c r="Q9" cm="1">
        <f t="array" ref="Q9">[1]!PropsSI("D","T",J9+273.15,"P",101325,"Water")</f>
        <v>985.70161489422799</v>
      </c>
      <c r="R9" cm="1">
        <f t="array" ref="R9">[1]!PropsSI("D","T",K9+273.15,"P",101325,"Water")</f>
        <v>989.32609469635111</v>
      </c>
      <c r="S9">
        <f t="shared" si="2"/>
        <v>987.51385479528949</v>
      </c>
      <c r="T9" cm="1">
        <f t="array" ref="T9">[1]!PropsSI("H","T",J9+273.15,"P",101325,"Water")</f>
        <v>230255.39220411147</v>
      </c>
      <c r="U9" cm="1">
        <f t="array" ref="U9">[1]!PropsSI("H","T",K9+273.15,"P",101325,"Water")</f>
        <v>197223.38250997374</v>
      </c>
      <c r="V9">
        <f t="shared" si="1"/>
        <v>700.44322897256211</v>
      </c>
    </row>
    <row r="10" spans="1:22" x14ac:dyDescent="0.2">
      <c r="A10">
        <v>44604.655596485798</v>
      </c>
      <c r="B10">
        <v>18.905691999999998</v>
      </c>
      <c r="C10">
        <v>19.401092999999999</v>
      </c>
      <c r="D10">
        <v>19.237463999999999</v>
      </c>
      <c r="E10">
        <v>19.96499</v>
      </c>
      <c r="F10">
        <v>31.177662999999999</v>
      </c>
      <c r="G10">
        <v>28.875629</v>
      </c>
      <c r="H10">
        <v>23.378409000000001</v>
      </c>
      <c r="I10">
        <v>21.064267000000001</v>
      </c>
      <c r="J10">
        <v>54.980794000000003</v>
      </c>
      <c r="K10">
        <v>47.095396999999998</v>
      </c>
      <c r="L10">
        <v>278.14755700000001</v>
      </c>
      <c r="M10">
        <v>-622.50897899999995</v>
      </c>
      <c r="N10">
        <v>1.288292</v>
      </c>
      <c r="O10">
        <v>2.0457619999999999</v>
      </c>
      <c r="P10">
        <f t="shared" si="3"/>
        <v>2.1471533333333336E-5</v>
      </c>
      <c r="Q10" cm="1">
        <f t="array" ref="Q10">[1]!PropsSI("D","T",J10+273.15,"P",101325,"Water")</f>
        <v>985.7023850644805</v>
      </c>
      <c r="R10" cm="1">
        <f t="array" ref="R10">[1]!PropsSI("D","T",K10+273.15,"P",101325,"Water")</f>
        <v>989.3208041125323</v>
      </c>
      <c r="S10">
        <f t="shared" si="2"/>
        <v>987.51159458850634</v>
      </c>
      <c r="T10" cm="1">
        <f t="array" ref="T10">[1]!PropsSI("H","T",J10+273.15,"P",101325,"Water")</f>
        <v>230248.73713095131</v>
      </c>
      <c r="U10" cm="1">
        <f t="array" ref="U10">[1]!PropsSI("H","T",K10+273.15,"P",101325,"Water")</f>
        <v>197274.4776824516</v>
      </c>
      <c r="V10">
        <f t="shared" si="1"/>
        <v>699.16602106469873</v>
      </c>
    </row>
    <row r="11" spans="1:22" x14ac:dyDescent="0.2">
      <c r="A11">
        <v>44604.6557122265</v>
      </c>
      <c r="B11">
        <v>18.188776000000001</v>
      </c>
      <c r="C11">
        <v>18.896946</v>
      </c>
      <c r="D11">
        <v>19.047450000000001</v>
      </c>
      <c r="E11">
        <v>19.827580999999999</v>
      </c>
      <c r="F11">
        <v>31.036214000000001</v>
      </c>
      <c r="G11">
        <v>28.467355999999999</v>
      </c>
      <c r="H11">
        <v>23.233774</v>
      </c>
      <c r="I11">
        <v>21.010238999999999</v>
      </c>
      <c r="J11">
        <v>54.981749000000001</v>
      </c>
      <c r="K11">
        <v>47.092697999999999</v>
      </c>
      <c r="L11">
        <v>288.37602500000003</v>
      </c>
      <c r="M11">
        <v>-622.48204199999998</v>
      </c>
      <c r="N11">
        <v>1.284497</v>
      </c>
      <c r="O11">
        <v>2.2187030000000001</v>
      </c>
      <c r="P11">
        <f t="shared" si="3"/>
        <v>2.1408283333333336E-5</v>
      </c>
      <c r="Q11" cm="1">
        <f t="array" ref="Q11">[1]!PropsSI("D","T",J11+273.15,"P",101325,"Water")</f>
        <v>985.70192277059562</v>
      </c>
      <c r="R11" cm="1">
        <f t="array" ref="R11">[1]!PropsSI("D","T",K11+273.15,"P",101325,"Water")</f>
        <v>989.32197252621791</v>
      </c>
      <c r="S11">
        <f t="shared" si="2"/>
        <v>987.5119476484067</v>
      </c>
      <c r="T11" cm="1">
        <f t="array" ref="T11">[1]!PropsSI("H","T",J11+273.15,"P",101325,"Water")</f>
        <v>230252.73184791239</v>
      </c>
      <c r="U11" cm="1">
        <f t="array" ref="U11">[1]!PropsSI("H","T",K11+273.15,"P",101325,"Water")</f>
        <v>197263.19426673499</v>
      </c>
      <c r="V11">
        <f t="shared" si="1"/>
        <v>697.42968849795648</v>
      </c>
    </row>
    <row r="12" spans="1:22" x14ac:dyDescent="0.2">
      <c r="A12">
        <v>44604.655827967203</v>
      </c>
      <c r="B12">
        <v>18.340954</v>
      </c>
      <c r="C12">
        <v>19.086074</v>
      </c>
      <c r="D12">
        <v>19.087793999999999</v>
      </c>
      <c r="E12">
        <v>19.745892999999999</v>
      </c>
      <c r="F12">
        <v>31.062228000000001</v>
      </c>
      <c r="G12">
        <v>28.847507</v>
      </c>
      <c r="H12">
        <v>23.213832</v>
      </c>
      <c r="I12">
        <v>21.026561000000001</v>
      </c>
      <c r="J12">
        <v>54.982543999999997</v>
      </c>
      <c r="K12">
        <v>47.068573000000001</v>
      </c>
      <c r="L12">
        <v>252.959023</v>
      </c>
      <c r="M12">
        <v>-622.49265300000002</v>
      </c>
      <c r="N12">
        <v>1.272494</v>
      </c>
      <c r="O12">
        <v>1.8656790000000001</v>
      </c>
      <c r="P12">
        <f t="shared" si="3"/>
        <v>2.1208233333333335E-5</v>
      </c>
      <c r="Q12" cm="1">
        <f t="array" ref="Q12">[1]!PropsSI("D","T",J12+273.15,"P",101325,"Water")</f>
        <v>985.70153792475901</v>
      </c>
      <c r="R12" cm="1">
        <f t="array" ref="R12">[1]!PropsSI("D","T",K12+273.15,"P",101325,"Water")</f>
        <v>989.33241418987882</v>
      </c>
      <c r="S12">
        <f t="shared" si="2"/>
        <v>987.51697605731897</v>
      </c>
      <c r="T12" cm="1">
        <f t="array" ref="T12">[1]!PropsSI("H","T",J12+273.15,"P",101325,"Water")</f>
        <v>230256.05729321993</v>
      </c>
      <c r="U12" cm="1">
        <f t="array" ref="U12">[1]!PropsSI("H","T",K12+273.15,"P",101325,"Water")</f>
        <v>197162.33757874611</v>
      </c>
      <c r="V12">
        <f t="shared" si="1"/>
        <v>693.09800275704663</v>
      </c>
    </row>
    <row r="13" spans="1:22" x14ac:dyDescent="0.2">
      <c r="A13">
        <v>44604.6559442867</v>
      </c>
      <c r="B13">
        <v>18.282603999999999</v>
      </c>
      <c r="C13">
        <v>19.145461000000001</v>
      </c>
      <c r="D13">
        <v>19.248805999999998</v>
      </c>
      <c r="E13">
        <v>19.946007000000002</v>
      </c>
      <c r="F13">
        <v>31.134385000000002</v>
      </c>
      <c r="G13">
        <v>29.278148000000002</v>
      </c>
      <c r="H13">
        <v>23.585632</v>
      </c>
      <c r="I13">
        <v>21.09507</v>
      </c>
      <c r="J13">
        <v>54.982225999999997</v>
      </c>
      <c r="K13">
        <v>47.071587999999998</v>
      </c>
      <c r="L13">
        <v>263.07647500000002</v>
      </c>
      <c r="M13">
        <v>-622.47673599999996</v>
      </c>
      <c r="N13">
        <v>1.2746329999999999</v>
      </c>
      <c r="O13">
        <v>2.2110530000000002</v>
      </c>
      <c r="P13">
        <f t="shared" si="3"/>
        <v>2.1243883333333332E-5</v>
      </c>
      <c r="Q13" cm="1">
        <f t="array" ref="Q13">[1]!PropsSI("D","T",J13+273.15,"P",101325,"Water")</f>
        <v>985.70169186355633</v>
      </c>
      <c r="R13" cm="1">
        <f t="array" ref="R13">[1]!PropsSI("D","T",K13+273.15,"P",101325,"Water")</f>
        <v>989.33110946855879</v>
      </c>
      <c r="S13">
        <f t="shared" si="2"/>
        <v>987.51640066605751</v>
      </c>
      <c r="T13" cm="1">
        <f t="array" ref="T13">[1]!PropsSI("H","T",J13+273.15,"P",101325,"Water")</f>
        <v>230254.72711506652</v>
      </c>
      <c r="U13" cm="1">
        <f t="array" ref="U13">[1]!PropsSI("H","T",K13+273.15,"P",101325,"Water")</f>
        <v>197174.94204441499</v>
      </c>
      <c r="V13">
        <f t="shared" si="1"/>
        <v>693.9703315033255</v>
      </c>
    </row>
    <row r="19" spans="9:16" x14ac:dyDescent="0.2">
      <c r="I19" t="s">
        <v>22</v>
      </c>
    </row>
    <row r="20" spans="9:16" x14ac:dyDescent="0.2">
      <c r="I20">
        <f>AVERAGE(V2:V13)</f>
        <v>697.00878503672322</v>
      </c>
    </row>
    <row r="21" spans="9:16" x14ac:dyDescent="0.2">
      <c r="P21" s="1"/>
    </row>
    <row r="22" spans="9:16" x14ac:dyDescent="0.2">
      <c r="P22" s="1"/>
    </row>
    <row r="23" spans="9:16" x14ac:dyDescent="0.2">
      <c r="P23" s="1"/>
    </row>
    <row r="24" spans="9:16" x14ac:dyDescent="0.2">
      <c r="P24" s="1"/>
    </row>
    <row r="25" spans="9:16" x14ac:dyDescent="0.2">
      <c r="P25" s="1"/>
    </row>
    <row r="26" spans="9:16" x14ac:dyDescent="0.2">
      <c r="P26" s="1"/>
    </row>
    <row r="27" spans="9:16" x14ac:dyDescent="0.2">
      <c r="P27" s="1"/>
    </row>
    <row r="28" spans="9:16" x14ac:dyDescent="0.2">
      <c r="P28" s="1"/>
    </row>
    <row r="29" spans="9:16" x14ac:dyDescent="0.2">
      <c r="P29" s="1"/>
    </row>
    <row r="30" spans="9:16" x14ac:dyDescent="0.2">
      <c r="P30" s="1"/>
    </row>
    <row r="31" spans="9:16" x14ac:dyDescent="0.2">
      <c r="P31" s="1"/>
    </row>
    <row r="32" spans="9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5463-DB8F-7849-A8AD-061B0004FCF9}">
  <dimension ref="A1:V36"/>
  <sheetViews>
    <sheetView tabSelected="1" workbookViewId="0">
      <selection activeCell="J30" sqref="J30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44604.656830860797</v>
      </c>
      <c r="B2">
        <v>18.779202000000002</v>
      </c>
      <c r="C2">
        <v>19.670256999999999</v>
      </c>
      <c r="D2">
        <v>19.375140999999999</v>
      </c>
      <c r="E2">
        <v>20.005279999999999</v>
      </c>
      <c r="F2">
        <v>30.291418</v>
      </c>
      <c r="G2">
        <v>27.648776999999999</v>
      </c>
      <c r="H2">
        <v>23.086866000000001</v>
      </c>
      <c r="I2">
        <v>21.118386000000001</v>
      </c>
      <c r="J2">
        <v>54.985726</v>
      </c>
      <c r="K2">
        <v>46.661476</v>
      </c>
      <c r="L2">
        <v>388.99629299999998</v>
      </c>
      <c r="M2">
        <v>-622.49673499999994</v>
      </c>
      <c r="N2">
        <v>1.2831900000000001</v>
      </c>
      <c r="O2">
        <v>2.1292019999999998</v>
      </c>
      <c r="P2">
        <f xml:space="preserve"> N2*0.001/60</f>
        <v>2.1386499999999999E-5</v>
      </c>
      <c r="Q2" cm="1">
        <f t="array" ref="Q2">[1]!PropsSI("D","T",J2+273.15,"P",101325,"Water")</f>
        <v>985.6999975339736</v>
      </c>
      <c r="R2" cm="1">
        <f t="array" ref="R2">[1]!PropsSI("D","T",K2+273.15,"P",101325,"Water")</f>
        <v>989.50801479589461</v>
      </c>
      <c r="S2">
        <f>(Q2+R2)/2</f>
        <v>987.60400616493416</v>
      </c>
      <c r="T2" cm="1">
        <f t="array" ref="T2">[1]!PropsSI("H","T",J2+273.15,"P",101325,"Water")</f>
        <v>230269.36744251626</v>
      </c>
      <c r="U2" cm="1">
        <f t="array" ref="U2">[1]!PropsSI("H","T",K2+273.15,"P",101325,"Water")</f>
        <v>195460.45295504568</v>
      </c>
      <c r="V2">
        <f>S2*P2*(T2-U2)</f>
        <v>735.21276550300718</v>
      </c>
    </row>
    <row r="3" spans="1:22" x14ac:dyDescent="0.2">
      <c r="A3">
        <v>44604.656947180199</v>
      </c>
      <c r="B3">
        <v>18.920237</v>
      </c>
      <c r="C3">
        <v>19.662541999999998</v>
      </c>
      <c r="D3">
        <v>19.443351</v>
      </c>
      <c r="E3">
        <v>19.857536</v>
      </c>
      <c r="F3">
        <v>30.261209000000001</v>
      </c>
      <c r="G3">
        <v>27.344804</v>
      </c>
      <c r="H3">
        <v>23.191172000000002</v>
      </c>
      <c r="I3">
        <v>21.216237</v>
      </c>
      <c r="J3">
        <v>54.986044</v>
      </c>
      <c r="K3">
        <v>46.658143000000003</v>
      </c>
      <c r="L3">
        <v>373.09749699999998</v>
      </c>
      <c r="M3">
        <v>-622.48979599999996</v>
      </c>
      <c r="N3">
        <v>1.291242</v>
      </c>
      <c r="O3">
        <v>2.1798929999999999</v>
      </c>
      <c r="P3">
        <f t="shared" ref="P3:P9" si="0" xml:space="preserve"> N3*0.001/60</f>
        <v>2.1520699999999999E-5</v>
      </c>
      <c r="Q3" cm="1">
        <f t="array" ref="Q3">[1]!PropsSI("D","T",J3+273.15,"P",101325,"Water")</f>
        <v>985.69984358825604</v>
      </c>
      <c r="R3" cm="1">
        <f t="array" ref="R3">[1]!PropsSI("D","T",K3+273.15,"P",101325,"Water")</f>
        <v>989.50944781854241</v>
      </c>
      <c r="S3">
        <f>(Q3+R3)/2</f>
        <v>987.60464570339923</v>
      </c>
      <c r="T3" cm="1">
        <f t="array" ref="T3">[1]!PropsSI("H","T",J3+273.15,"P",101325,"Water")</f>
        <v>230270.69762106679</v>
      </c>
      <c r="U3" cm="1">
        <f t="array" ref="U3">[1]!PropsSI("H","T",K3+273.15,"P",101325,"Water")</f>
        <v>195446.51937678523</v>
      </c>
      <c r="V3">
        <f t="shared" ref="V3:V36" si="1">S3*P3*(T3-U3)</f>
        <v>740.15110983088675</v>
      </c>
    </row>
    <row r="4" spans="1:22" x14ac:dyDescent="0.2">
      <c r="A4">
        <v>44604.657063499697</v>
      </c>
      <c r="B4">
        <v>18.901399999999999</v>
      </c>
      <c r="C4">
        <v>19.657613999999999</v>
      </c>
      <c r="D4">
        <v>19.551062999999999</v>
      </c>
      <c r="E4">
        <v>19.984885999999999</v>
      </c>
      <c r="F4">
        <v>30.311243999999999</v>
      </c>
      <c r="G4">
        <v>27.531082999999999</v>
      </c>
      <c r="H4">
        <v>23.245201999999999</v>
      </c>
      <c r="I4">
        <v>21.088927000000002</v>
      </c>
      <c r="J4">
        <v>54.989227</v>
      </c>
      <c r="K4">
        <v>46.643383999999998</v>
      </c>
      <c r="L4">
        <v>381.60727500000002</v>
      </c>
      <c r="M4">
        <v>-622.45714499999997</v>
      </c>
      <c r="N4">
        <v>1.2847390000000001</v>
      </c>
      <c r="O4">
        <v>1.840149</v>
      </c>
      <c r="P4">
        <f xml:space="preserve"> N4*0.001/60</f>
        <v>2.1412316666666668E-5</v>
      </c>
      <c r="Q4" cm="1">
        <f t="array" ref="Q4">[1]!PropsSI("D","T",J4+273.15,"P",101325,"Water")</f>
        <v>985.69830264419249</v>
      </c>
      <c r="R4" cm="1">
        <f t="array" ref="R4">[1]!PropsSI("D","T",K4+273.15,"P",101325,"Water")</f>
        <v>989.51579253615728</v>
      </c>
      <c r="S4">
        <f t="shared" ref="S4:S36" si="2">(Q4+R4)/2</f>
        <v>987.60704759017494</v>
      </c>
      <c r="T4" cm="1">
        <f t="array" ref="T4">[1]!PropsSI("H","T",J4+273.15,"P",101325,"Water")</f>
        <v>230284.01195739591</v>
      </c>
      <c r="U4" cm="1">
        <f t="array" ref="U4">[1]!PropsSI("H","T",K4+273.15,"P",101325,"Water")</f>
        <v>195384.81953227625</v>
      </c>
      <c r="V4">
        <f t="shared" si="1"/>
        <v>738.01164634908775</v>
      </c>
    </row>
    <row r="5" spans="1:22" x14ac:dyDescent="0.2">
      <c r="A5">
        <v>44604.657179240399</v>
      </c>
      <c r="B5">
        <v>18.362967999999999</v>
      </c>
      <c r="C5">
        <v>19.137322000000001</v>
      </c>
      <c r="D5">
        <v>19.551646000000002</v>
      </c>
      <c r="E5">
        <v>20.007735</v>
      </c>
      <c r="F5">
        <v>29.978842</v>
      </c>
      <c r="G5">
        <v>27.731078</v>
      </c>
      <c r="H5">
        <v>23.091177999999999</v>
      </c>
      <c r="I5">
        <v>21.181632</v>
      </c>
      <c r="J5">
        <v>54.985567000000003</v>
      </c>
      <c r="K5">
        <v>46.647033999999998</v>
      </c>
      <c r="L5">
        <v>375.21371799999997</v>
      </c>
      <c r="M5">
        <v>-622.47877700000004</v>
      </c>
      <c r="N5">
        <v>1.278149</v>
      </c>
      <c r="O5">
        <v>2.4643959999999998</v>
      </c>
      <c r="P5">
        <f t="shared" ref="P5:P20" si="3" xml:space="preserve"> N5*0.001/60</f>
        <v>2.1302483333333331E-5</v>
      </c>
      <c r="Q5" cm="1">
        <f t="array" ref="Q5">[1]!PropsSI("D","T",J5+273.15,"P",101325,"Water")</f>
        <v>985.70007450659296</v>
      </c>
      <c r="R5" cm="1">
        <f t="array" ref="R5">[1]!PropsSI("D","T",K5+273.15,"P",101325,"Water")</f>
        <v>989.51422358320724</v>
      </c>
      <c r="S5">
        <f t="shared" si="2"/>
        <v>987.6071490449001</v>
      </c>
      <c r="T5" cm="1">
        <f t="array" ref="T5">[1]!PropsSI("H","T",J5+273.15,"P",101325,"Water")</f>
        <v>230268.7023532876</v>
      </c>
      <c r="U5" cm="1">
        <f t="array" ref="U5">[1]!PropsSI("H","T",K5+273.15,"P",101325,"Water")</f>
        <v>195400.0783143687</v>
      </c>
      <c r="V5">
        <f t="shared" si="1"/>
        <v>733.58301796979617</v>
      </c>
    </row>
    <row r="6" spans="1:22" x14ac:dyDescent="0.2">
      <c r="A6">
        <v>46066.657295555553</v>
      </c>
      <c r="B6">
        <v>18.712045</v>
      </c>
      <c r="C6">
        <v>19.410622</v>
      </c>
      <c r="D6">
        <v>19.582563</v>
      </c>
      <c r="E6">
        <v>20.035360000000001</v>
      </c>
      <c r="F6">
        <v>30.255946999999999</v>
      </c>
      <c r="G6">
        <v>26.478424</v>
      </c>
      <c r="H6">
        <v>23.10369</v>
      </c>
      <c r="I6">
        <v>21.193587000000001</v>
      </c>
      <c r="J6">
        <v>54.981430000000003</v>
      </c>
      <c r="K6">
        <v>46.633702999999997</v>
      </c>
      <c r="L6">
        <v>357.62317000000002</v>
      </c>
      <c r="M6">
        <v>-622.49714300000005</v>
      </c>
      <c r="N6">
        <v>1.289644</v>
      </c>
      <c r="O6">
        <v>2.2373449999999999</v>
      </c>
      <c r="P6">
        <f t="shared" si="3"/>
        <v>2.1494066666666665E-5</v>
      </c>
      <c r="Q6" cm="1">
        <f t="array" ref="Q6">[1]!PropsSI("D","T",J6+273.15,"P",101325,"Water")</f>
        <v>985.70207719189773</v>
      </c>
      <c r="R6" cm="1">
        <f t="array" ref="R6">[1]!PropsSI("D","T",K6+273.15,"P",101325,"Water")</f>
        <v>989.51995347457569</v>
      </c>
      <c r="S6">
        <f t="shared" si="2"/>
        <v>987.61101533323676</v>
      </c>
      <c r="T6" cm="1">
        <f t="array" ref="T6">[1]!PropsSI("H","T",J6+273.15,"P",101325,"Water")</f>
        <v>230251.39748688071</v>
      </c>
      <c r="U6" cm="1">
        <f t="array" ref="U6">[1]!PropsSI("H","T",K6+273.15,"P",101325,"Water")</f>
        <v>195344.34824008515</v>
      </c>
      <c r="V6">
        <f t="shared" si="1"/>
        <v>740.99905728933686</v>
      </c>
    </row>
    <row r="7" spans="1:22" x14ac:dyDescent="0.2">
      <c r="A7">
        <v>46066.657411296299</v>
      </c>
      <c r="B7">
        <v>18.632002</v>
      </c>
      <c r="C7">
        <v>19.245746</v>
      </c>
      <c r="D7">
        <v>19.224757</v>
      </c>
      <c r="E7">
        <v>19.954167000000002</v>
      </c>
      <c r="F7">
        <v>30.390391000000001</v>
      </c>
      <c r="G7">
        <v>26.384452</v>
      </c>
      <c r="H7">
        <v>23.226586000000001</v>
      </c>
      <c r="I7">
        <v>20.902588000000002</v>
      </c>
      <c r="J7">
        <v>54.979202999999998</v>
      </c>
      <c r="K7">
        <v>46.622435000000003</v>
      </c>
      <c r="L7">
        <v>369.208304</v>
      </c>
      <c r="M7">
        <v>-622.51142800000002</v>
      </c>
      <c r="N7">
        <v>1.287701</v>
      </c>
      <c r="O7">
        <v>1.890066</v>
      </c>
      <c r="P7">
        <f t="shared" si="3"/>
        <v>2.1461683333333335E-5</v>
      </c>
      <c r="Q7" cm="1">
        <f t="array" ref="Q7">[1]!PropsSI("D","T",J7+273.15,"P",101325,"Water")</f>
        <v>985.70315521900739</v>
      </c>
      <c r="R7" cm="1">
        <f t="array" ref="R7">[1]!PropsSI("D","T",K7+273.15,"P",101325,"Water")</f>
        <v>989.52479570694425</v>
      </c>
      <c r="S7">
        <f t="shared" si="2"/>
        <v>987.61397546297576</v>
      </c>
      <c r="T7" cm="1">
        <f t="array" ref="T7">[1]!PropsSI("H","T",J7+273.15,"P",101325,"Water")</f>
        <v>230242.08205865513</v>
      </c>
      <c r="U7" cm="1">
        <f t="array" ref="U7">[1]!PropsSI("H","T",K7+273.15,"P",101325,"Water")</f>
        <v>195297.24254201219</v>
      </c>
      <c r="V7">
        <f t="shared" si="1"/>
        <v>740.68587009928467</v>
      </c>
    </row>
    <row r="8" spans="1:22" x14ac:dyDescent="0.2">
      <c r="A8">
        <v>46066.657527037038</v>
      </c>
      <c r="B8">
        <v>18.738762000000001</v>
      </c>
      <c r="C8">
        <v>19.218032000000001</v>
      </c>
      <c r="D8">
        <v>19.486288999999999</v>
      </c>
      <c r="E8">
        <v>20.0764</v>
      </c>
      <c r="F8">
        <v>30.214497999999999</v>
      </c>
      <c r="G8">
        <v>26.886934</v>
      </c>
      <c r="H8">
        <v>23.272487999999999</v>
      </c>
      <c r="I8">
        <v>21.252288</v>
      </c>
      <c r="J8">
        <v>54.978248000000001</v>
      </c>
      <c r="K8">
        <v>46.607199999999999</v>
      </c>
      <c r="L8">
        <v>364.54486400000002</v>
      </c>
      <c r="M8">
        <v>-622.51102000000003</v>
      </c>
      <c r="N8">
        <v>1.2903119999999999</v>
      </c>
      <c r="O8">
        <v>1.3969640000000001</v>
      </c>
      <c r="P8">
        <f t="shared" si="3"/>
        <v>2.1505199999999999E-5</v>
      </c>
      <c r="Q8" cm="1">
        <f t="array" ref="Q8">[1]!PropsSI("D","T",J8+273.15,"P",101325,"Water")</f>
        <v>985.70361749780329</v>
      </c>
      <c r="R8" cm="1">
        <f t="array" ref="R8">[1]!PropsSI("D","T",K8+273.15,"P",101325,"Water")</f>
        <v>989.53134131165257</v>
      </c>
      <c r="S8">
        <f t="shared" si="2"/>
        <v>987.61747940472787</v>
      </c>
      <c r="T8" cm="1">
        <f t="array" ref="T8">[1]!PropsSI("H","T",J8+273.15,"P",101325,"Water")</f>
        <v>230238.08734252673</v>
      </c>
      <c r="U8" cm="1">
        <f t="array" ref="U8">[1]!PropsSI("H","T",K8+273.15,"P",101325,"Water")</f>
        <v>195233.55290786014</v>
      </c>
      <c r="V8">
        <f t="shared" si="1"/>
        <v>743.4582060895242</v>
      </c>
    </row>
    <row r="9" spans="1:22" x14ac:dyDescent="0.2">
      <c r="A9">
        <v>46066.657642777776</v>
      </c>
      <c r="B9">
        <v>18.616440000000001</v>
      </c>
      <c r="C9">
        <v>19.363956999999999</v>
      </c>
      <c r="D9">
        <v>19.466739</v>
      </c>
      <c r="E9">
        <v>20.064978</v>
      </c>
      <c r="F9">
        <v>30.268877</v>
      </c>
      <c r="G9">
        <v>26.427686999999999</v>
      </c>
      <c r="H9">
        <v>23.102974</v>
      </c>
      <c r="I9">
        <v>21.172377999999998</v>
      </c>
      <c r="J9">
        <v>54.971724999999999</v>
      </c>
      <c r="K9">
        <v>46.614817000000002</v>
      </c>
      <c r="L9">
        <v>377.74787600000002</v>
      </c>
      <c r="M9">
        <v>-622.51020400000004</v>
      </c>
      <c r="N9">
        <v>1.2744489999999999</v>
      </c>
      <c r="O9">
        <v>2.368045</v>
      </c>
      <c r="P9">
        <f t="shared" si="3"/>
        <v>2.1240816666666665E-5</v>
      </c>
      <c r="Q9" cm="1">
        <f t="array" ref="Q9">[1]!PropsSI("D","T",J9+273.15,"P",101325,"Water")</f>
        <v>985.70677487996284</v>
      </c>
      <c r="R9" cm="1">
        <f t="array" ref="R9">[1]!PropsSI("D","T",K9+273.15,"P",101325,"Water")</f>
        <v>989.52806892226226</v>
      </c>
      <c r="S9">
        <f t="shared" si="2"/>
        <v>987.61742190111249</v>
      </c>
      <c r="T9" cm="1">
        <f t="array" ref="T9">[1]!PropsSI("H","T",J9+273.15,"P",101325,"Water")</f>
        <v>230210.80197621684</v>
      </c>
      <c r="U9" cm="1">
        <f t="array" ref="U9">[1]!PropsSI("H","T",K9+273.15,"P",101325,"Water")</f>
        <v>195265.39562821487</v>
      </c>
      <c r="V9">
        <f t="shared" si="1"/>
        <v>733.07776609387315</v>
      </c>
    </row>
    <row r="10" spans="1:22" x14ac:dyDescent="0.2">
      <c r="A10">
        <v>44604.657758522801</v>
      </c>
      <c r="B10">
        <v>18.879038999999999</v>
      </c>
      <c r="C10">
        <v>19.450492000000001</v>
      </c>
      <c r="D10">
        <v>19.579788000000001</v>
      </c>
      <c r="E10">
        <v>20.089908000000001</v>
      </c>
      <c r="F10">
        <v>30.184453000000001</v>
      </c>
      <c r="G10">
        <v>26.417978000000002</v>
      </c>
      <c r="H10">
        <v>23.367486</v>
      </c>
      <c r="I10">
        <v>21.075135</v>
      </c>
      <c r="J10">
        <v>54.971406999999999</v>
      </c>
      <c r="K10">
        <v>46.618785000000003</v>
      </c>
      <c r="L10">
        <v>372.53099500000002</v>
      </c>
      <c r="M10">
        <v>-622.48897999999997</v>
      </c>
      <c r="N10">
        <v>1.278842</v>
      </c>
      <c r="O10">
        <v>1.9808760000000001</v>
      </c>
      <c r="P10">
        <f t="shared" si="3"/>
        <v>2.1314033333333336E-5</v>
      </c>
      <c r="Q10" cm="1">
        <f t="array" ref="Q10">[1]!PropsSI("D","T",J10+273.15,"P",101325,"Water")</f>
        <v>985.70692879737305</v>
      </c>
      <c r="R10" cm="1">
        <f t="array" ref="R10">[1]!PropsSI("D","T",K10+273.15,"P",101325,"Water")</f>
        <v>989.52636404678015</v>
      </c>
      <c r="S10">
        <f t="shared" si="2"/>
        <v>987.61664642207666</v>
      </c>
      <c r="T10" cm="1">
        <f t="array" ref="T10">[1]!PropsSI("H","T",J10+273.15,"P",101325,"Water")</f>
        <v>230209.47179935296</v>
      </c>
      <c r="U10" cm="1">
        <f t="array" ref="U10">[1]!PropsSI("H","T",K10+273.15,"P",101325,"Water")</f>
        <v>195281.98378014867</v>
      </c>
      <c r="V10">
        <f t="shared" si="1"/>
        <v>735.22691026307496</v>
      </c>
    </row>
    <row r="11" spans="1:22" x14ac:dyDescent="0.2">
      <c r="A11">
        <v>44604.657874842203</v>
      </c>
      <c r="B11">
        <v>18.731349000000002</v>
      </c>
      <c r="C11">
        <v>19.346888</v>
      </c>
      <c r="D11">
        <v>19.356649999999998</v>
      </c>
      <c r="E11">
        <v>20.085636999999998</v>
      </c>
      <c r="F11">
        <v>29.991807000000001</v>
      </c>
      <c r="G11">
        <v>26.471070999999998</v>
      </c>
      <c r="H11">
        <v>23.109183999999999</v>
      </c>
      <c r="I11">
        <v>21.106417</v>
      </c>
      <c r="J11">
        <v>54.967269999999999</v>
      </c>
      <c r="K11">
        <v>46.622275999999999</v>
      </c>
      <c r="L11">
        <v>360.31242300000002</v>
      </c>
      <c r="M11">
        <v>-622.48204199999998</v>
      </c>
      <c r="N11">
        <v>1.275342</v>
      </c>
      <c r="O11">
        <v>2.4013270000000002</v>
      </c>
      <c r="P11">
        <f t="shared" si="3"/>
        <v>2.12557E-5</v>
      </c>
      <c r="Q11" cm="1">
        <f t="array" ref="Q11">[1]!PropsSI("D","T",J11+273.15,"P",101325,"Water")</f>
        <v>985.70893111894952</v>
      </c>
      <c r="R11" cm="1">
        <f t="array" ref="R11">[1]!PropsSI("D","T",K11+273.15,"P",101325,"Water")</f>
        <v>989.52486402830516</v>
      </c>
      <c r="S11">
        <f t="shared" si="2"/>
        <v>987.61689757362728</v>
      </c>
      <c r="T11" cm="1">
        <f t="array" ref="T11">[1]!PropsSI("H","T",J11+273.15,"P",101325,"Water")</f>
        <v>230192.16695412336</v>
      </c>
      <c r="U11" cm="1">
        <f t="array" ref="U11">[1]!PropsSI("H","T",K11+273.15,"P",101325,"Water")</f>
        <v>195296.57784519595</v>
      </c>
      <c r="V11">
        <f t="shared" si="1"/>
        <v>732.5452527124047</v>
      </c>
    </row>
    <row r="16" spans="1:22" x14ac:dyDescent="0.2">
      <c r="I16" t="s">
        <v>22</v>
      </c>
    </row>
    <row r="17" spans="9:16" x14ac:dyDescent="0.2">
      <c r="I17">
        <f>AVERAGE(V2:V11)</f>
        <v>737.29516022002758</v>
      </c>
    </row>
    <row r="21" spans="9:16" x14ac:dyDescent="0.2">
      <c r="P21" s="1"/>
    </row>
    <row r="22" spans="9:16" x14ac:dyDescent="0.2">
      <c r="P22" s="1"/>
    </row>
    <row r="23" spans="9:16" x14ac:dyDescent="0.2">
      <c r="P23" s="1"/>
    </row>
    <row r="24" spans="9:16" x14ac:dyDescent="0.2">
      <c r="P24" s="1"/>
    </row>
    <row r="25" spans="9:16" x14ac:dyDescent="0.2">
      <c r="P25" s="1"/>
    </row>
    <row r="26" spans="9:16" x14ac:dyDescent="0.2">
      <c r="P26" s="1"/>
    </row>
    <row r="27" spans="9:16" x14ac:dyDescent="0.2">
      <c r="P27" s="1"/>
    </row>
    <row r="28" spans="9:16" x14ac:dyDescent="0.2">
      <c r="P28" s="1"/>
    </row>
    <row r="29" spans="9:16" x14ac:dyDescent="0.2">
      <c r="P29" s="1"/>
    </row>
    <row r="30" spans="9:16" x14ac:dyDescent="0.2">
      <c r="P30" s="1"/>
    </row>
    <row r="31" spans="9:16" x14ac:dyDescent="0.2">
      <c r="P31" s="1"/>
    </row>
    <row r="32" spans="9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8965AE-832C-D74C-8C30-C9D4CE793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2026-02-25T01:57:25Z</dcterms:created>
  <dcterms:modified xsi:type="dcterms:W3CDTF">2026-02-25T04:01:01Z</dcterms:modified>
</cp:coreProperties>
</file>