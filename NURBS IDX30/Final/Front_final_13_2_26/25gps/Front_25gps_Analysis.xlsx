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Front_final_13_2_26/25gps/"/>
    </mc:Choice>
  </mc:AlternateContent>
  <xr:revisionPtr revIDLastSave="0" documentId="13_ncr:1_{5101BA82-3BB9-E44D-B560-AE6FA67C2367}" xr6:coauthVersionLast="47" xr6:coauthVersionMax="47" xr10:uidLastSave="{00000000-0000-0000-0000-000000000000}"/>
  <bookViews>
    <workbookView xWindow="20" yWindow="660" windowWidth="30240" windowHeight="17540" xr2:uid="{1C60444A-BEFD-BC4F-B8F6-C471D470F8DA}"/>
  </bookViews>
  <sheets>
    <sheet name="Results" sheetId="13" r:id="rId1"/>
    <sheet name="1mps" sheetId="22" r:id="rId2"/>
    <sheet name="2mps" sheetId="23" r:id="rId3"/>
    <sheet name="3mps" sheetId="24" r:id="rId4"/>
    <sheet name="4mps" sheetId="25" r:id="rId5"/>
    <sheet name="5mps" sheetId="27" r:id="rId6"/>
    <sheet name="6mps" sheetId="28" r:id="rId7"/>
    <sheet name="7mps" sheetId="29" r:id="rId8"/>
  </sheets>
  <externalReferences>
    <externalReference r:id="rId9"/>
  </externalReferences>
  <definedNames>
    <definedName name="ExternalData_2" localSheetId="1" hidden="1">'1mps'!$A$1:$O$11</definedName>
    <definedName name="ExternalData_3" localSheetId="2" hidden="1">'2mps'!$A$1:$O$15</definedName>
    <definedName name="ExternalData_4" localSheetId="3" hidden="1">'3mps'!$A$1:$O$16</definedName>
    <definedName name="ExternalData_5" localSheetId="4" hidden="1">'4mps'!$A$1:$O$21</definedName>
    <definedName name="ExternalData_5" localSheetId="5" hidden="1">'5mps'!$A$1:$O$16</definedName>
    <definedName name="ExternalData_6" localSheetId="6" hidden="1">'6mps'!$A$1:$O$12</definedName>
    <definedName name="ExternalData_7" localSheetId="7" hidden="1">'7mps'!$A$1:$O$11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9" l="1"/>
  <c r="H17" i="28"/>
  <c r="G22" i="27"/>
  <c r="H25" i="25"/>
  <c r="H20" i="24"/>
  <c r="H19" i="23"/>
  <c r="I18" i="22"/>
  <c r="P11" i="29"/>
  <c r="P10" i="29"/>
  <c r="P9" i="29"/>
  <c r="P8" i="29"/>
  <c r="P7" i="29"/>
  <c r="P6" i="29"/>
  <c r="P5" i="29"/>
  <c r="P4" i="29"/>
  <c r="P3" i="29"/>
  <c r="P2" i="29"/>
  <c r="P12" i="28"/>
  <c r="P11" i="28"/>
  <c r="P10" i="28"/>
  <c r="P9" i="28"/>
  <c r="P8" i="28"/>
  <c r="P7" i="28"/>
  <c r="P6" i="28"/>
  <c r="P5" i="28"/>
  <c r="P4" i="28"/>
  <c r="P3" i="28"/>
  <c r="P2" i="28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3" i="27"/>
  <c r="P2" i="27"/>
  <c r="P17" i="25"/>
  <c r="P18" i="25"/>
  <c r="P19" i="25"/>
  <c r="P20" i="25"/>
  <c r="P21" i="25"/>
  <c r="P16" i="25"/>
  <c r="P15" i="25"/>
  <c r="P14" i="25"/>
  <c r="P13" i="25"/>
  <c r="P12" i="25"/>
  <c r="P11" i="25"/>
  <c r="P10" i="25"/>
  <c r="P9" i="25"/>
  <c r="P8" i="25"/>
  <c r="P7" i="25"/>
  <c r="P6" i="25"/>
  <c r="P5" i="25"/>
  <c r="P4" i="25"/>
  <c r="P3" i="25"/>
  <c r="P2" i="25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3" i="24"/>
  <c r="P2" i="24"/>
  <c r="P12" i="23"/>
  <c r="P13" i="23"/>
  <c r="P14" i="23"/>
  <c r="P15" i="23"/>
  <c r="P11" i="23"/>
  <c r="P10" i="23"/>
  <c r="P9" i="23"/>
  <c r="P8" i="23"/>
  <c r="P7" i="23"/>
  <c r="P6" i="23"/>
  <c r="P5" i="23"/>
  <c r="P4" i="23"/>
  <c r="P3" i="23"/>
  <c r="P2" i="23"/>
  <c r="P11" i="22"/>
  <c r="P10" i="22"/>
  <c r="P9" i="22"/>
  <c r="P8" i="22"/>
  <c r="P7" i="22"/>
  <c r="P6" i="22"/>
  <c r="P5" i="22"/>
  <c r="P4" i="22"/>
  <c r="P3" i="22"/>
  <c r="P2" i="22"/>
  <c r="U7" i="29" a="1"/>
  <c r="T5" i="29" a="1"/>
  <c r="R2" i="29" a="1"/>
  <c r="U10" i="29" a="1"/>
  <c r="R5" i="29" a="1"/>
  <c r="U11" i="29" a="1"/>
  <c r="R6" i="29" a="1"/>
  <c r="R7" i="29" a="1"/>
  <c r="Q9" i="29" a="1"/>
  <c r="U8" i="29" a="1"/>
  <c r="T6" i="29" a="1"/>
  <c r="R3" i="29" a="1"/>
  <c r="T8" i="29" a="1"/>
  <c r="Q3" i="29" a="1"/>
  <c r="T9" i="29" a="1"/>
  <c r="Q4" i="29" a="1"/>
  <c r="T10" i="29" a="1"/>
  <c r="U9" i="29" a="1"/>
  <c r="T7" i="29" a="1"/>
  <c r="R4" i="29" a="1"/>
  <c r="Q2" i="29" a="1"/>
  <c r="Q5" i="29" a="1"/>
  <c r="Q8" i="29" a="1"/>
  <c r="U3" i="29" a="1"/>
  <c r="U4" i="29" a="1"/>
  <c r="T2" i="29" a="1"/>
  <c r="T11" i="29" a="1"/>
  <c r="R8" i="29" a="1"/>
  <c r="Q6" i="29" a="1"/>
  <c r="R9" i="29" a="1"/>
  <c r="Q7" i="29" a="1"/>
  <c r="U2" i="29" a="1"/>
  <c r="R10" i="29" a="1"/>
  <c r="R11" i="29" a="1"/>
  <c r="Q10" i="29" a="1"/>
  <c r="U5" i="29" a="1"/>
  <c r="Q11" i="29" a="1"/>
  <c r="U6" i="29" a="1"/>
  <c r="T3" i="29" a="1"/>
  <c r="T4" i="29" a="1"/>
  <c r="Q12" i="28" a="1"/>
  <c r="U7" i="28" a="1"/>
  <c r="T5" i="28" a="1"/>
  <c r="R2" i="28" a="1"/>
  <c r="T6" i="28" a="1"/>
  <c r="U8" i="28" a="1"/>
  <c r="R3" i="28" a="1"/>
  <c r="U9" i="28" a="1"/>
  <c r="T7" i="28" a="1"/>
  <c r="R4" i="28" a="1"/>
  <c r="Q2" i="28" a="1"/>
  <c r="U10" i="28" a="1"/>
  <c r="Q3" i="28" a="1"/>
  <c r="R8" i="28" a="1"/>
  <c r="T8" i="28" a="1"/>
  <c r="R9" i="28" a="1"/>
  <c r="Q7" i="28" a="1"/>
  <c r="U11" i="28" a="1"/>
  <c r="T9" i="28" a="1"/>
  <c r="R6" i="28" a="1"/>
  <c r="Q4" i="28" a="1"/>
  <c r="R7" i="28" a="1"/>
  <c r="U12" i="28" a="1"/>
  <c r="T10" i="28" a="1"/>
  <c r="Q5" i="28" a="1"/>
  <c r="T11" i="28" a="1"/>
  <c r="T12" i="28" a="1"/>
  <c r="R10" i="28" a="1"/>
  <c r="Q8" i="28" a="1"/>
  <c r="U3" i="28" a="1"/>
  <c r="T3" i="28" a="1"/>
  <c r="Q6" i="28" a="1"/>
  <c r="R11" i="28" a="1"/>
  <c r="Q9" i="28" a="1"/>
  <c r="U4" i="28" a="1"/>
  <c r="T2" i="28" a="1"/>
  <c r="U5" i="28" a="1"/>
  <c r="R12" i="28" a="1"/>
  <c r="Q10" i="28" a="1"/>
  <c r="Q11" i="28" a="1"/>
  <c r="U6" i="28" a="1"/>
  <c r="T4" i="28" a="1"/>
  <c r="R5" i="28" a="1"/>
  <c r="U2" i="28" a="1"/>
  <c r="R14" i="27" a="1"/>
  <c r="Q12" i="27" a="1"/>
  <c r="U7" i="27" a="1"/>
  <c r="T5" i="27" a="1"/>
  <c r="R2" i="27" a="1"/>
  <c r="Q15" i="27" a="1"/>
  <c r="R5" i="27" a="1"/>
  <c r="U11" i="27" a="1"/>
  <c r="U12" i="27" a="1"/>
  <c r="U15" i="27" a="1"/>
  <c r="R10" i="27" a="1"/>
  <c r="T14" i="27" a="1"/>
  <c r="T15" i="27" a="1"/>
  <c r="R13" i="27" a="1"/>
  <c r="U6" i="27" a="1"/>
  <c r="R15" i="27" a="1"/>
  <c r="Q13" i="27" a="1"/>
  <c r="U8" i="27" a="1"/>
  <c r="T6" i="27" a="1"/>
  <c r="R3" i="27" a="1"/>
  <c r="U10" i="27" a="1"/>
  <c r="Q16" i="27" a="1"/>
  <c r="R6" i="27" a="1"/>
  <c r="T10" i="27" a="1"/>
  <c r="U2" i="27" a="1"/>
  <c r="T13" i="27" a="1"/>
  <c r="Q8" i="27" a="1"/>
  <c r="U16" i="27" a="1"/>
  <c r="U4" i="27" a="1"/>
  <c r="R12" i="27" a="1"/>
  <c r="Q10" i="27" a="1"/>
  <c r="U5" i="27" a="1"/>
  <c r="T3" i="27" a="1"/>
  <c r="R16" i="27" a="1"/>
  <c r="Q14" i="27" a="1"/>
  <c r="U9" i="27" a="1"/>
  <c r="T7" i="27" a="1"/>
  <c r="R4" i="27" a="1"/>
  <c r="Q2" i="27" a="1"/>
  <c r="T8" i="27" a="1"/>
  <c r="Q3" i="27" a="1"/>
  <c r="T9" i="27" a="1"/>
  <c r="Q4" i="27" a="1"/>
  <c r="R7" i="27" a="1"/>
  <c r="U3" i="27" a="1"/>
  <c r="R11" i="27" a="1"/>
  <c r="T2" i="27" a="1"/>
  <c r="Q11" i="27" a="1"/>
  <c r="T4" i="27" a="1"/>
  <c r="Q9" i="27" a="1"/>
  <c r="T16" i="27" a="1"/>
  <c r="Q5" i="27" a="1"/>
  <c r="U13" i="27" a="1"/>
  <c r="T11" i="27" a="1"/>
  <c r="R8" i="27" a="1"/>
  <c r="Q6" i="27" a="1"/>
  <c r="U14" i="27" a="1"/>
  <c r="T12" i="27" a="1"/>
  <c r="R9" i="27" a="1"/>
  <c r="Q7" i="27" a="1"/>
  <c r="Q18" i="25" a="1"/>
  <c r="R20" i="25" a="1"/>
  <c r="T19" i="25" a="1"/>
  <c r="U21" i="25" a="1"/>
  <c r="U20" i="25" a="1"/>
  <c r="Q20" i="25" a="1"/>
  <c r="Q17" i="25" a="1"/>
  <c r="R19" i="25" a="1"/>
  <c r="T20" i="25" a="1"/>
  <c r="U18" i="25" a="1"/>
  <c r="R18" i="25" a="1"/>
  <c r="T21" i="25" a="1"/>
  <c r="R17" i="25" a="1"/>
  <c r="T18" i="25" a="1"/>
  <c r="U19" i="25" a="1"/>
  <c r="U17" i="25" a="1"/>
  <c r="Q21" i="25" a="1"/>
  <c r="R21" i="25" a="1"/>
  <c r="T17" i="25" a="1"/>
  <c r="Q19" i="25" a="1"/>
  <c r="U14" i="25" a="1"/>
  <c r="T12" i="25" a="1"/>
  <c r="R9" i="25" a="1"/>
  <c r="Q7" i="25" a="1"/>
  <c r="U2" i="25" a="1"/>
  <c r="T14" i="25" a="1"/>
  <c r="R11" i="25" a="1"/>
  <c r="T2" i="25" a="1"/>
  <c r="T15" i="25" a="1"/>
  <c r="U15" i="25" a="1"/>
  <c r="T13" i="25" a="1"/>
  <c r="R10" i="25" a="1"/>
  <c r="Q8" i="25" a="1"/>
  <c r="U3" i="25" a="1"/>
  <c r="U16" i="25" a="1"/>
  <c r="Q9" i="25" a="1"/>
  <c r="U4" i="25" a="1"/>
  <c r="R12" i="25" a="1"/>
  <c r="Q10" i="25" a="1"/>
  <c r="U5" i="25" a="1"/>
  <c r="T3" i="25" a="1"/>
  <c r="R6" i="25" a="1"/>
  <c r="T10" i="25" a="1"/>
  <c r="T16" i="25" a="1"/>
  <c r="R13" i="25" a="1"/>
  <c r="Q11" i="25" a="1"/>
  <c r="U6" i="25" a="1"/>
  <c r="T4" i="25" a="1"/>
  <c r="R14" i="25" a="1"/>
  <c r="Q12" i="25" a="1"/>
  <c r="U7" i="25" a="1"/>
  <c r="T5" i="25" a="1"/>
  <c r="R2" i="25" a="1"/>
  <c r="T9" i="25" a="1"/>
  <c r="U12" i="25" a="1"/>
  <c r="Q5" i="25" a="1"/>
  <c r="Q6" i="25" a="1"/>
  <c r="R15" i="25" a="1"/>
  <c r="Q13" i="25" a="1"/>
  <c r="U8" i="25" a="1"/>
  <c r="T6" i="25" a="1"/>
  <c r="R3" i="25" a="1"/>
  <c r="R16" i="25" a="1"/>
  <c r="Q14" i="25" a="1"/>
  <c r="U9" i="25" a="1"/>
  <c r="T7" i="25" a="1"/>
  <c r="R4" i="25" a="1"/>
  <c r="Q2" i="25" a="1"/>
  <c r="Q15" i="25" a="1"/>
  <c r="U10" i="25" a="1"/>
  <c r="T8" i="25" a="1"/>
  <c r="R5" i="25" a="1"/>
  <c r="Q3" i="25" a="1"/>
  <c r="Q16" i="25" a="1"/>
  <c r="U11" i="25" a="1"/>
  <c r="Q4" i="25" a="1"/>
  <c r="R7" i="25" a="1"/>
  <c r="T11" i="25" a="1"/>
  <c r="U13" i="25" a="1"/>
  <c r="R8" i="25" a="1"/>
  <c r="T16" i="24" a="1"/>
  <c r="Q16" i="24" a="1"/>
  <c r="U16" i="24" a="1"/>
  <c r="R16" i="24" a="1"/>
  <c r="U13" i="24" a="1"/>
  <c r="T11" i="24" a="1"/>
  <c r="R8" i="24" a="1"/>
  <c r="Q6" i="24" a="1"/>
  <c r="R10" i="24" a="1"/>
  <c r="U3" i="24" a="1"/>
  <c r="Q9" i="24" a="1"/>
  <c r="U4" i="24" a="1"/>
  <c r="Q10" i="24" a="1"/>
  <c r="T3" i="24" a="1"/>
  <c r="U14" i="24" a="1"/>
  <c r="T12" i="24" a="1"/>
  <c r="R9" i="24" a="1"/>
  <c r="Q7" i="24" a="1"/>
  <c r="U2" i="24" a="1"/>
  <c r="T13" i="24" a="1"/>
  <c r="Q8" i="24" a="1"/>
  <c r="T14" i="24" a="1"/>
  <c r="R11" i="24" a="1"/>
  <c r="T2" i="24" a="1"/>
  <c r="R12" i="24" a="1"/>
  <c r="U5" i="24" a="1"/>
  <c r="R13" i="24" a="1"/>
  <c r="U10" i="24" a="1"/>
  <c r="U15" i="24" a="1"/>
  <c r="Q11" i="24" a="1"/>
  <c r="U6" i="24" a="1"/>
  <c r="R2" i="24" a="1"/>
  <c r="R4" i="24" a="1"/>
  <c r="Q3" i="24" a="1"/>
  <c r="Q2" i="24" a="1"/>
  <c r="T8" i="24" a="1"/>
  <c r="T15" i="24" a="1"/>
  <c r="U7" i="24" a="1"/>
  <c r="T5" i="24" a="1"/>
  <c r="U9" i="24" a="1"/>
  <c r="R5" i="24" a="1"/>
  <c r="T4" i="24" a="1"/>
  <c r="R14" i="24" a="1"/>
  <c r="Q12" i="24" a="1"/>
  <c r="R15" i="24" a="1"/>
  <c r="Q13" i="24" a="1"/>
  <c r="U8" i="24" a="1"/>
  <c r="T6" i="24" a="1"/>
  <c r="R3" i="24" a="1"/>
  <c r="T7" i="24" a="1"/>
  <c r="Q5" i="24" a="1"/>
  <c r="Q14" i="24" a="1"/>
  <c r="Q15" i="24" a="1"/>
  <c r="U11" i="24" a="1"/>
  <c r="T9" i="24" a="1"/>
  <c r="R6" i="24" a="1"/>
  <c r="Q4" i="24" a="1"/>
  <c r="U12" i="24" a="1"/>
  <c r="T10" i="24" a="1"/>
  <c r="R7" i="24" a="1"/>
  <c r="Q13" i="23" a="1"/>
  <c r="R15" i="23" a="1"/>
  <c r="T15" i="23" a="1"/>
  <c r="T13" i="23" a="1"/>
  <c r="Q15" i="23" a="1"/>
  <c r="Q14" i="23" a="1"/>
  <c r="Q12" i="23" a="1"/>
  <c r="R14" i="23" a="1"/>
  <c r="U15" i="23" a="1"/>
  <c r="R13" i="23" a="1"/>
  <c r="T14" i="23" a="1"/>
  <c r="U12" i="23" a="1"/>
  <c r="R12" i="23" a="1"/>
  <c r="T12" i="23" a="1"/>
  <c r="U14" i="23" a="1"/>
  <c r="U13" i="23" a="1"/>
  <c r="U9" i="23" a="1"/>
  <c r="T7" i="23" a="1"/>
  <c r="R4" i="23" a="1"/>
  <c r="Q2" i="23" a="1"/>
  <c r="T8" i="23" a="1"/>
  <c r="R5" i="23" a="1"/>
  <c r="Q3" i="23" a="1"/>
  <c r="T9" i="23" a="1"/>
  <c r="R6" i="23" a="1"/>
  <c r="Q4" i="23" a="1"/>
  <c r="T10" i="23" a="1"/>
  <c r="R7" i="23" a="1"/>
  <c r="Q5" i="23" a="1"/>
  <c r="U10" i="23" a="1"/>
  <c r="U11" i="23" a="1"/>
  <c r="R10" i="23" a="1"/>
  <c r="Q8" i="23" a="1"/>
  <c r="U3" i="23" a="1"/>
  <c r="U5" i="23" a="1"/>
  <c r="T4" i="23" a="1"/>
  <c r="R2" i="23" a="1"/>
  <c r="R3" i="23" a="1"/>
  <c r="R11" i="23" a="1"/>
  <c r="Q9" i="23" a="1"/>
  <c r="U4" i="23" a="1"/>
  <c r="T2" i="23" a="1"/>
  <c r="T3" i="23" a="1"/>
  <c r="Q11" i="23" a="1"/>
  <c r="U7" i="23" a="1"/>
  <c r="T6" i="23" a="1"/>
  <c r="T11" i="23" a="1"/>
  <c r="R8" i="23" a="1"/>
  <c r="R9" i="23" a="1"/>
  <c r="U2" i="23" a="1"/>
  <c r="Q10" i="23" a="1"/>
  <c r="U6" i="23" a="1"/>
  <c r="T5" i="23" a="1"/>
  <c r="U8" i="23" a="1"/>
  <c r="Q7" i="23" a="1"/>
  <c r="Q6" i="23" a="1"/>
  <c r="R11" i="22" a="1"/>
  <c r="Q9" i="22" a="1"/>
  <c r="U4" i="22" a="1"/>
  <c r="T2" i="22" a="1"/>
  <c r="U7" i="22" a="1"/>
  <c r="R2" i="22" a="1"/>
  <c r="R3" i="22" a="1"/>
  <c r="R6" i="22" a="1"/>
  <c r="T10" i="22" a="1"/>
  <c r="Q6" i="22" a="1"/>
  <c r="Q7" i="22" a="1"/>
  <c r="U2" i="22" a="1"/>
  <c r="R10" i="22" a="1"/>
  <c r="U3" i="22" a="1"/>
  <c r="Q10" i="22" a="1"/>
  <c r="U5" i="22" a="1"/>
  <c r="T3" i="22" a="1"/>
  <c r="Q11" i="22" a="1"/>
  <c r="U6" i="22" a="1"/>
  <c r="T4" i="22" a="1"/>
  <c r="T5" i="22" a="1"/>
  <c r="T6" i="22" a="1"/>
  <c r="Q2" i="22" a="1"/>
  <c r="T8" i="22" a="1"/>
  <c r="U11" i="22" a="1"/>
  <c r="U8" i="22" a="1"/>
  <c r="U9" i="22" a="1"/>
  <c r="T7" i="22" a="1"/>
  <c r="R4" i="22" a="1"/>
  <c r="U10" i="22" a="1"/>
  <c r="Q3" i="22" a="1"/>
  <c r="T9" i="22" a="1"/>
  <c r="Q4" i="22" a="1"/>
  <c r="R7" i="22" a="1"/>
  <c r="T11" i="22" a="1"/>
  <c r="Q8" i="22" a="1"/>
  <c r="R5" i="22" a="1"/>
  <c r="Q5" i="22" a="1"/>
  <c r="R8" i="22" a="1"/>
  <c r="R9" i="22" a="1"/>
  <c r="T4" i="29" l="1"/>
  <c r="T3" i="29"/>
  <c r="U6" i="29"/>
  <c r="Q11" i="29"/>
  <c r="S11" i="29" s="1"/>
  <c r="U5" i="29"/>
  <c r="Q10" i="29"/>
  <c r="S10" i="29" s="1"/>
  <c r="R11" i="29"/>
  <c r="R10" i="29"/>
  <c r="U2" i="29"/>
  <c r="Q7" i="29"/>
  <c r="S7" i="29" s="1"/>
  <c r="V7" i="29" s="1"/>
  <c r="R9" i="29"/>
  <c r="Q6" i="29"/>
  <c r="R8" i="29"/>
  <c r="T11" i="29"/>
  <c r="T2" i="29"/>
  <c r="U4" i="29"/>
  <c r="U3" i="29"/>
  <c r="Q8" i="29"/>
  <c r="S8" i="29" s="1"/>
  <c r="V8" i="29" s="1"/>
  <c r="Q5" i="29"/>
  <c r="Q2" i="29"/>
  <c r="S2" i="29" s="1"/>
  <c r="R4" i="29"/>
  <c r="T7" i="29"/>
  <c r="U9" i="29"/>
  <c r="T10" i="29"/>
  <c r="Q4" i="29"/>
  <c r="T9" i="29"/>
  <c r="Q3" i="29"/>
  <c r="T8" i="29"/>
  <c r="R3" i="29"/>
  <c r="T6" i="29"/>
  <c r="U8" i="29"/>
  <c r="Q9" i="29"/>
  <c r="R7" i="29"/>
  <c r="R6" i="29"/>
  <c r="U11" i="29"/>
  <c r="R5" i="29"/>
  <c r="U10" i="29"/>
  <c r="R2" i="29"/>
  <c r="T5" i="29"/>
  <c r="U7" i="29"/>
  <c r="U2" i="28"/>
  <c r="R5" i="28"/>
  <c r="T4" i="28"/>
  <c r="U6" i="28"/>
  <c r="Q11" i="28"/>
  <c r="Q10" i="28"/>
  <c r="S10" i="28" s="1"/>
  <c r="R12" i="28"/>
  <c r="U5" i="28"/>
  <c r="T2" i="28"/>
  <c r="U4" i="28"/>
  <c r="Q9" i="28"/>
  <c r="S9" i="28" s="1"/>
  <c r="R11" i="28"/>
  <c r="Q6" i="28"/>
  <c r="S6" i="28" s="1"/>
  <c r="V6" i="28" s="1"/>
  <c r="T3" i="28"/>
  <c r="U3" i="28"/>
  <c r="Q8" i="28"/>
  <c r="S8" i="28" s="1"/>
  <c r="V8" i="28" s="1"/>
  <c r="R10" i="28"/>
  <c r="T12" i="28"/>
  <c r="T11" i="28"/>
  <c r="Q5" i="28"/>
  <c r="S5" i="28" s="1"/>
  <c r="T10" i="28"/>
  <c r="U12" i="28"/>
  <c r="R7" i="28"/>
  <c r="Q4" i="28"/>
  <c r="R6" i="28"/>
  <c r="T9" i="28"/>
  <c r="U11" i="28"/>
  <c r="Q7" i="28"/>
  <c r="R9" i="28"/>
  <c r="T8" i="28"/>
  <c r="R8" i="28"/>
  <c r="Q3" i="28"/>
  <c r="S3" i="28" s="1"/>
  <c r="U10" i="28"/>
  <c r="Q2" i="28"/>
  <c r="S2" i="28" s="1"/>
  <c r="V2" i="28" s="1"/>
  <c r="R4" i="28"/>
  <c r="T7" i="28"/>
  <c r="U9" i="28"/>
  <c r="R3" i="28"/>
  <c r="U8" i="28"/>
  <c r="T6" i="28"/>
  <c r="R2" i="28"/>
  <c r="T5" i="28"/>
  <c r="U7" i="28"/>
  <c r="Q12" i="28"/>
  <c r="Q7" i="27"/>
  <c r="R9" i="27"/>
  <c r="T12" i="27"/>
  <c r="U14" i="27"/>
  <c r="Q6" i="27"/>
  <c r="S6" i="27" s="1"/>
  <c r="R8" i="27"/>
  <c r="T11" i="27"/>
  <c r="U13" i="27"/>
  <c r="Q5" i="27"/>
  <c r="T16" i="27"/>
  <c r="Q9" i="27"/>
  <c r="S9" i="27" s="1"/>
  <c r="T4" i="27"/>
  <c r="Q11" i="27"/>
  <c r="T2" i="27"/>
  <c r="R11" i="27"/>
  <c r="U3" i="27"/>
  <c r="R7" i="27"/>
  <c r="Q4" i="27"/>
  <c r="T9" i="27"/>
  <c r="Q3" i="27"/>
  <c r="T8" i="27"/>
  <c r="Q2" i="27"/>
  <c r="S2" i="27" s="1"/>
  <c r="R4" i="27"/>
  <c r="T7" i="27"/>
  <c r="U9" i="27"/>
  <c r="Q14" i="27"/>
  <c r="S14" i="27" s="1"/>
  <c r="V14" i="27" s="1"/>
  <c r="R16" i="27"/>
  <c r="T3" i="27"/>
  <c r="U5" i="27"/>
  <c r="Q10" i="27"/>
  <c r="S10" i="27" s="1"/>
  <c r="V10" i="27" s="1"/>
  <c r="R12" i="27"/>
  <c r="U4" i="27"/>
  <c r="U16" i="27"/>
  <c r="Q8" i="27"/>
  <c r="S8" i="27" s="1"/>
  <c r="V8" i="27" s="1"/>
  <c r="T13" i="27"/>
  <c r="U2" i="27"/>
  <c r="T10" i="27"/>
  <c r="R6" i="27"/>
  <c r="Q16" i="27"/>
  <c r="S16" i="27" s="1"/>
  <c r="U10" i="27"/>
  <c r="R3" i="27"/>
  <c r="T6" i="27"/>
  <c r="U8" i="27"/>
  <c r="Q13" i="27"/>
  <c r="S13" i="27" s="1"/>
  <c r="R15" i="27"/>
  <c r="U6" i="27"/>
  <c r="R13" i="27"/>
  <c r="T15" i="27"/>
  <c r="T14" i="27"/>
  <c r="R10" i="27"/>
  <c r="U15" i="27"/>
  <c r="U12" i="27"/>
  <c r="U11" i="27"/>
  <c r="R5" i="27"/>
  <c r="Q15" i="27"/>
  <c r="S15" i="27" s="1"/>
  <c r="V15" i="27" s="1"/>
  <c r="R2" i="27"/>
  <c r="T5" i="27"/>
  <c r="U7" i="27"/>
  <c r="Q12" i="27"/>
  <c r="R14" i="27"/>
  <c r="Q19" i="25"/>
  <c r="T17" i="25"/>
  <c r="R21" i="25"/>
  <c r="Q21" i="25"/>
  <c r="S21" i="25" s="1"/>
  <c r="U17" i="25"/>
  <c r="U19" i="25"/>
  <c r="T18" i="25"/>
  <c r="R17" i="25"/>
  <c r="T21" i="25"/>
  <c r="R18" i="25"/>
  <c r="U18" i="25"/>
  <c r="T20" i="25"/>
  <c r="R19" i="25"/>
  <c r="Q17" i="25"/>
  <c r="Q20" i="25"/>
  <c r="U20" i="25"/>
  <c r="U21" i="25"/>
  <c r="T19" i="25"/>
  <c r="R20" i="25"/>
  <c r="Q18" i="25"/>
  <c r="R8" i="25"/>
  <c r="U13" i="25"/>
  <c r="T11" i="25"/>
  <c r="R7" i="25"/>
  <c r="Q4" i="25"/>
  <c r="S4" i="25" s="1"/>
  <c r="U11" i="25"/>
  <c r="Q16" i="25"/>
  <c r="S16" i="25" s="1"/>
  <c r="Q3" i="25"/>
  <c r="S3" i="25" s="1"/>
  <c r="R5" i="25"/>
  <c r="T8" i="25"/>
  <c r="U10" i="25"/>
  <c r="Q15" i="25"/>
  <c r="S15" i="25" s="1"/>
  <c r="V15" i="25" s="1"/>
  <c r="Q2" i="25"/>
  <c r="R4" i="25"/>
  <c r="T7" i="25"/>
  <c r="U9" i="25"/>
  <c r="Q14" i="25"/>
  <c r="R16" i="25"/>
  <c r="R3" i="25"/>
  <c r="T6" i="25"/>
  <c r="U8" i="25"/>
  <c r="Q13" i="25"/>
  <c r="R15" i="25"/>
  <c r="Q6" i="25"/>
  <c r="S6" i="25" s="1"/>
  <c r="V6" i="25" s="1"/>
  <c r="Q5" i="25"/>
  <c r="U12" i="25"/>
  <c r="T9" i="25"/>
  <c r="R2" i="25"/>
  <c r="T5" i="25"/>
  <c r="U7" i="25"/>
  <c r="Q12" i="25"/>
  <c r="R14" i="25"/>
  <c r="T4" i="25"/>
  <c r="U6" i="25"/>
  <c r="Q11" i="25"/>
  <c r="S11" i="25" s="1"/>
  <c r="V11" i="25" s="1"/>
  <c r="R13" i="25"/>
  <c r="T16" i="25"/>
  <c r="T10" i="25"/>
  <c r="R6" i="25"/>
  <c r="T3" i="25"/>
  <c r="U5" i="25"/>
  <c r="Q10" i="25"/>
  <c r="S10" i="25" s="1"/>
  <c r="R12" i="25"/>
  <c r="U4" i="25"/>
  <c r="Q9" i="25"/>
  <c r="U16" i="25"/>
  <c r="U3" i="25"/>
  <c r="Q8" i="25"/>
  <c r="S8" i="25" s="1"/>
  <c r="V8" i="25" s="1"/>
  <c r="R10" i="25"/>
  <c r="T13" i="25"/>
  <c r="U15" i="25"/>
  <c r="T15" i="25"/>
  <c r="T2" i="25"/>
  <c r="R11" i="25"/>
  <c r="T14" i="25"/>
  <c r="U2" i="25"/>
  <c r="Q7" i="25"/>
  <c r="S7" i="25" s="1"/>
  <c r="V7" i="25" s="1"/>
  <c r="R9" i="25"/>
  <c r="T12" i="25"/>
  <c r="U14" i="25"/>
  <c r="R16" i="24"/>
  <c r="U16" i="24"/>
  <c r="Q16" i="24"/>
  <c r="S16" i="24" s="1"/>
  <c r="V16" i="24" s="1"/>
  <c r="T16" i="24"/>
  <c r="R7" i="24"/>
  <c r="T10" i="24"/>
  <c r="U12" i="24"/>
  <c r="Q4" i="24"/>
  <c r="R6" i="24"/>
  <c r="T9" i="24"/>
  <c r="U11" i="24"/>
  <c r="Q15" i="24"/>
  <c r="S15" i="24" s="1"/>
  <c r="Q14" i="24"/>
  <c r="S14" i="24" s="1"/>
  <c r="Q5" i="24"/>
  <c r="S5" i="24" s="1"/>
  <c r="T7" i="24"/>
  <c r="R3" i="24"/>
  <c r="T6" i="24"/>
  <c r="U8" i="24"/>
  <c r="Q13" i="24"/>
  <c r="R15" i="24"/>
  <c r="Q12" i="24"/>
  <c r="R14" i="24"/>
  <c r="T4" i="24"/>
  <c r="R5" i="24"/>
  <c r="U9" i="24"/>
  <c r="T5" i="24"/>
  <c r="U7" i="24"/>
  <c r="T15" i="24"/>
  <c r="T8" i="24"/>
  <c r="Q2" i="24"/>
  <c r="Q3" i="24"/>
  <c r="R4" i="24"/>
  <c r="R2" i="24"/>
  <c r="U6" i="24"/>
  <c r="Q11" i="24"/>
  <c r="S11" i="24" s="1"/>
  <c r="U15" i="24"/>
  <c r="U10" i="24"/>
  <c r="R13" i="24"/>
  <c r="U5" i="24"/>
  <c r="R12" i="24"/>
  <c r="T2" i="24"/>
  <c r="R11" i="24"/>
  <c r="T14" i="24"/>
  <c r="Q8" i="24"/>
  <c r="T13" i="24"/>
  <c r="U2" i="24"/>
  <c r="Q7" i="24"/>
  <c r="S7" i="24" s="1"/>
  <c r="R9" i="24"/>
  <c r="T12" i="24"/>
  <c r="U14" i="24"/>
  <c r="T3" i="24"/>
  <c r="Q10" i="24"/>
  <c r="S10" i="24" s="1"/>
  <c r="V10" i="24" s="1"/>
  <c r="U4" i="24"/>
  <c r="Q9" i="24"/>
  <c r="U3" i="24"/>
  <c r="R10" i="24"/>
  <c r="Q6" i="24"/>
  <c r="S6" i="24" s="1"/>
  <c r="V6" i="24" s="1"/>
  <c r="R8" i="24"/>
  <c r="T11" i="24"/>
  <c r="U13" i="24"/>
  <c r="U13" i="23"/>
  <c r="U14" i="23"/>
  <c r="T12" i="23"/>
  <c r="R12" i="23"/>
  <c r="U12" i="23"/>
  <c r="T14" i="23"/>
  <c r="R13" i="23"/>
  <c r="U15" i="23"/>
  <c r="R14" i="23"/>
  <c r="Q12" i="23"/>
  <c r="S12" i="23" s="1"/>
  <c r="V12" i="23" s="1"/>
  <c r="Q14" i="23"/>
  <c r="S14" i="23" s="1"/>
  <c r="V14" i="23" s="1"/>
  <c r="Q15" i="23"/>
  <c r="S15" i="23" s="1"/>
  <c r="V15" i="23" s="1"/>
  <c r="T13" i="23"/>
  <c r="T15" i="23"/>
  <c r="R15" i="23"/>
  <c r="Q13" i="23"/>
  <c r="Q6" i="23"/>
  <c r="Q7" i="23"/>
  <c r="U8" i="23"/>
  <c r="T5" i="23"/>
  <c r="U6" i="23"/>
  <c r="Q10" i="23"/>
  <c r="S10" i="23" s="1"/>
  <c r="V10" i="23" s="1"/>
  <c r="U2" i="23"/>
  <c r="R9" i="23"/>
  <c r="R8" i="23"/>
  <c r="T11" i="23"/>
  <c r="T6" i="23"/>
  <c r="U7" i="23"/>
  <c r="Q11" i="23"/>
  <c r="T3" i="23"/>
  <c r="T2" i="23"/>
  <c r="U4" i="23"/>
  <c r="Q9" i="23"/>
  <c r="R11" i="23"/>
  <c r="R3" i="23"/>
  <c r="R2" i="23"/>
  <c r="T4" i="23"/>
  <c r="U5" i="23"/>
  <c r="U3" i="23"/>
  <c r="Q8" i="23"/>
  <c r="S8" i="23" s="1"/>
  <c r="V8" i="23" s="1"/>
  <c r="R10" i="23"/>
  <c r="U11" i="23"/>
  <c r="U10" i="23"/>
  <c r="Q5" i="23"/>
  <c r="R7" i="23"/>
  <c r="T10" i="23"/>
  <c r="Q4" i="23"/>
  <c r="S4" i="23" s="1"/>
  <c r="V4" i="23" s="1"/>
  <c r="R6" i="23"/>
  <c r="T9" i="23"/>
  <c r="Q3" i="23"/>
  <c r="S3" i="23" s="1"/>
  <c r="R5" i="23"/>
  <c r="T8" i="23"/>
  <c r="Q2" i="23"/>
  <c r="R4" i="23"/>
  <c r="T7" i="23"/>
  <c r="U9" i="23"/>
  <c r="R9" i="22"/>
  <c r="R8" i="22"/>
  <c r="Q5" i="22"/>
  <c r="R5" i="22"/>
  <c r="Q8" i="22"/>
  <c r="S8" i="22" s="1"/>
  <c r="T11" i="22"/>
  <c r="R7" i="22"/>
  <c r="Q4" i="22"/>
  <c r="T9" i="22"/>
  <c r="Q3" i="22"/>
  <c r="U10" i="22"/>
  <c r="R4" i="22"/>
  <c r="T7" i="22"/>
  <c r="U9" i="22"/>
  <c r="U8" i="22"/>
  <c r="U11" i="22"/>
  <c r="T8" i="22"/>
  <c r="Q2" i="22"/>
  <c r="T6" i="22"/>
  <c r="T5" i="22"/>
  <c r="T4" i="22"/>
  <c r="U6" i="22"/>
  <c r="Q11" i="22"/>
  <c r="S11" i="22" s="1"/>
  <c r="V11" i="22" s="1"/>
  <c r="T3" i="22"/>
  <c r="U5" i="22"/>
  <c r="Q10" i="22"/>
  <c r="U3" i="22"/>
  <c r="R10" i="22"/>
  <c r="U2" i="22"/>
  <c r="Q7" i="22"/>
  <c r="Q6" i="22"/>
  <c r="T10" i="22"/>
  <c r="R6" i="22"/>
  <c r="R3" i="22"/>
  <c r="R2" i="22"/>
  <c r="U7" i="22"/>
  <c r="T2" i="22"/>
  <c r="U4" i="22"/>
  <c r="Q9" i="22"/>
  <c r="S9" i="22" s="1"/>
  <c r="R11" i="22"/>
  <c r="S9" i="29" l="1"/>
  <c r="V9" i="29" s="1"/>
  <c r="V10" i="29"/>
  <c r="S3" i="29"/>
  <c r="V3" i="29" s="1"/>
  <c r="S4" i="29"/>
  <c r="V4" i="29" s="1"/>
  <c r="V11" i="29"/>
  <c r="V2" i="29"/>
  <c r="S5" i="29"/>
  <c r="V5" i="29" s="1"/>
  <c r="S6" i="29"/>
  <c r="V6" i="29" s="1"/>
  <c r="S4" i="28"/>
  <c r="V4" i="28" s="1"/>
  <c r="V9" i="28"/>
  <c r="V3" i="28"/>
  <c r="V10" i="28"/>
  <c r="S12" i="28"/>
  <c r="V12" i="28" s="1"/>
  <c r="S11" i="28"/>
  <c r="V11" i="28" s="1"/>
  <c r="S7" i="28"/>
  <c r="V7" i="28" s="1"/>
  <c r="V5" i="28"/>
  <c r="V2" i="27"/>
  <c r="V9" i="27"/>
  <c r="S3" i="27"/>
  <c r="V3" i="27" s="1"/>
  <c r="V16" i="27"/>
  <c r="S4" i="27"/>
  <c r="V4" i="27" s="1"/>
  <c r="V13" i="27"/>
  <c r="V6" i="27"/>
  <c r="S12" i="27"/>
  <c r="V12" i="27" s="1"/>
  <c r="S11" i="27"/>
  <c r="V11" i="27" s="1"/>
  <c r="S5" i="27"/>
  <c r="V5" i="27" s="1"/>
  <c r="S7" i="27"/>
  <c r="V7" i="27" s="1"/>
  <c r="S18" i="25"/>
  <c r="V18" i="25" s="1"/>
  <c r="S20" i="25"/>
  <c r="V20" i="25" s="1"/>
  <c r="S17" i="25"/>
  <c r="V17" i="25" s="1"/>
  <c r="V21" i="25"/>
  <c r="S19" i="25"/>
  <c r="V19" i="25" s="1"/>
  <c r="V16" i="25"/>
  <c r="S14" i="25"/>
  <c r="V14" i="25" s="1"/>
  <c r="S9" i="25"/>
  <c r="V9" i="25" s="1"/>
  <c r="V10" i="25"/>
  <c r="S13" i="25"/>
  <c r="V13" i="25" s="1"/>
  <c r="V3" i="25"/>
  <c r="S12" i="25"/>
  <c r="V12" i="25" s="1"/>
  <c r="V4" i="25"/>
  <c r="S5" i="25"/>
  <c r="V5" i="25" s="1"/>
  <c r="S2" i="25"/>
  <c r="V2" i="25" s="1"/>
  <c r="V5" i="24"/>
  <c r="V15" i="24"/>
  <c r="V7" i="24"/>
  <c r="V11" i="24"/>
  <c r="S2" i="24"/>
  <c r="V2" i="24" s="1"/>
  <c r="V14" i="24"/>
  <c r="S12" i="24"/>
  <c r="V12" i="24" s="1"/>
  <c r="S8" i="24"/>
  <c r="V8" i="24" s="1"/>
  <c r="S4" i="24"/>
  <c r="V4" i="24" s="1"/>
  <c r="S3" i="24"/>
  <c r="V3" i="24" s="1"/>
  <c r="S13" i="24"/>
  <c r="V13" i="24" s="1"/>
  <c r="S9" i="24"/>
  <c r="V9" i="24" s="1"/>
  <c r="S13" i="23"/>
  <c r="V13" i="23" s="1"/>
  <c r="S5" i="23"/>
  <c r="V5" i="23" s="1"/>
  <c r="V3" i="23"/>
  <c r="S9" i="23"/>
  <c r="V9" i="23" s="1"/>
  <c r="S7" i="23"/>
  <c r="V7" i="23" s="1"/>
  <c r="S2" i="23"/>
  <c r="V2" i="23" s="1"/>
  <c r="S11" i="23"/>
  <c r="V11" i="23" s="1"/>
  <c r="S6" i="23"/>
  <c r="V6" i="23" s="1"/>
  <c r="S10" i="22"/>
  <c r="V10" i="22" s="1"/>
  <c r="V8" i="22"/>
  <c r="S5" i="22"/>
  <c r="V5" i="22" s="1"/>
  <c r="S2" i="22"/>
  <c r="V2" i="22" s="1"/>
  <c r="V9" i="22"/>
  <c r="S7" i="22"/>
  <c r="V7" i="22" s="1"/>
  <c r="S4" i="22"/>
  <c r="V4" i="22" s="1"/>
  <c r="S6" i="22"/>
  <c r="V6" i="22" s="1"/>
  <c r="S3" i="22"/>
  <c r="V3" i="2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8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9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10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11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2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3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4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<sst xmlns="http://schemas.openxmlformats.org/spreadsheetml/2006/main" count="163" uniqueCount="25">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</sst>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4AF4C4CD-8F1C-334F-8BF5-17DBF952045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D021883B-2B60-A541-996B-DDF76BC4F7B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4BD05E4-C380-D941-BA7B-210CE51D7125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F2E304C8-FE9D-3B48-8AD1-CFFD8118475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9AA16C20-72DC-E94D-9CD8-1DC8C82F74F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03458988-249E-D342-9A20-E427ADB14BE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3B764479-29EF-014C-A1DC-7126D857E08F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76F64C-13C7-F547-AD8E-0AF50481E34A}" name="sheet1__8" displayName="sheet1__8" ref="A1:O11" tableType="queryTable" totalsRowShown="0">
  <autoFilter ref="A1:O11" xr:uid="{BE76F64C-13C7-F547-AD8E-0AF50481E34A}"/>
  <tableColumns count="15">
    <tableColumn id="1" xr3:uid="{30A94B46-8F74-A442-A2AD-CA0518856745}" uniqueName="1" name="Time" queryTableFieldId="1"/>
    <tableColumn id="2" xr3:uid="{215C4A07-2548-9946-89D2-0BFC499D5EA1}" uniqueName="2" name="T1" queryTableFieldId="2"/>
    <tableColumn id="3" xr3:uid="{325DCA6E-3918-DF45-A841-044A17F2FB86}" uniqueName="3" name="T2" queryTableFieldId="3"/>
    <tableColumn id="4" xr3:uid="{078E9CFF-6225-D149-9950-93F168B8A7B6}" uniqueName="4" name="T3" queryTableFieldId="4"/>
    <tableColumn id="5" xr3:uid="{A6803133-2BA5-3948-85FF-4D37717C259D}" uniqueName="5" name="T4" queryTableFieldId="5"/>
    <tableColumn id="6" xr3:uid="{FF39455C-BAB7-C146-B32D-44E5E1BD68C4}" uniqueName="6" name="T5" queryTableFieldId="6"/>
    <tableColumn id="7" xr3:uid="{EA0458D7-02A4-8A46-A892-C92F2FBA8960}" uniqueName="7" name="T6" queryTableFieldId="7"/>
    <tableColumn id="8" xr3:uid="{CFF6DB84-6BC2-704A-BA26-014EE573F56C}" uniqueName="8" name="T7" queryTableFieldId="8"/>
    <tableColumn id="9" xr3:uid="{B7C415C2-C164-474F-BF6A-C5F1478E36BF}" uniqueName="9" name="T8" queryTableFieldId="9"/>
    <tableColumn id="10" xr3:uid="{D00672C9-7716-FC42-A985-8E0BDD893662}" uniqueName="10" name="RTD_IN" queryTableFieldId="10"/>
    <tableColumn id="11" xr3:uid="{24BC776E-E559-3E4A-848C-55E319EA62C0}" uniqueName="11" name="RTD_OUT" queryTableFieldId="11"/>
    <tableColumn id="12" xr3:uid="{899C4E83-824B-424D-8110-DDCF8A02079A}" uniqueName="12" name="DPT_TS" queryTableFieldId="12"/>
    <tableColumn id="13" xr3:uid="{41A3C5F5-408A-2B49-87D6-D3569127EEEF}" uniqueName="13" name="DPT_nozzle" queryTableFieldId="13"/>
    <tableColumn id="14" xr3:uid="{85972422-CE4F-6344-8C11-E2209D9ADB1E}" uniqueName="14" name="Flow_gps" queryTableFieldId="14"/>
    <tableColumn id="15" xr3:uid="{69036562-FB39-2C41-BB38-889BC9FB8186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1F2B9E-FA8C-9B44-8AD3-0F287992EEB2}" name="sheet1__9" displayName="sheet1__9" ref="A1:O15" tableType="queryTable" totalsRowShown="0">
  <autoFilter ref="A1:O15" xr:uid="{691F2B9E-FA8C-9B44-8AD3-0F287992EEB2}"/>
  <tableColumns count="15">
    <tableColumn id="1" xr3:uid="{4E188CAD-D965-9D45-BBC1-4B2E4CF20E98}" uniqueName="1" name="Time" queryTableFieldId="1"/>
    <tableColumn id="2" xr3:uid="{6F4D1A27-842F-E143-B925-2559F0FC3FE6}" uniqueName="2" name="T1" queryTableFieldId="2"/>
    <tableColumn id="3" xr3:uid="{E8BAAB70-6D38-DC41-A6AF-C7F3E5E9E0B5}" uniqueName="3" name="T2" queryTableFieldId="3"/>
    <tableColumn id="4" xr3:uid="{4975392C-8231-9249-8D53-1B27BAA11045}" uniqueName="4" name="T3" queryTableFieldId="4"/>
    <tableColumn id="5" xr3:uid="{A97DDB48-1E6F-6B4F-B75E-660E04D16C99}" uniqueName="5" name="T4" queryTableFieldId="5"/>
    <tableColumn id="6" xr3:uid="{E518CFAD-B078-FE4B-873B-3A28E471534B}" uniqueName="6" name="T5" queryTableFieldId="6"/>
    <tableColumn id="7" xr3:uid="{9EF41750-871D-7B4C-B76D-DF06841546BA}" uniqueName="7" name="T6" queryTableFieldId="7"/>
    <tableColumn id="8" xr3:uid="{CC5459E8-B9FD-6F4E-B9A7-2F00104FFF52}" uniqueName="8" name="T7" queryTableFieldId="8"/>
    <tableColumn id="9" xr3:uid="{66634394-DFA7-A643-8423-B044F131E8B0}" uniqueName="9" name="T8" queryTableFieldId="9"/>
    <tableColumn id="10" xr3:uid="{E68E7F6C-14D2-B74A-92E7-F8FEA639C620}" uniqueName="10" name="RTD_IN" queryTableFieldId="10"/>
    <tableColumn id="11" xr3:uid="{1847CC45-4B93-7845-9040-E4C02310C799}" uniqueName="11" name="RTD_OUT" queryTableFieldId="11"/>
    <tableColumn id="12" xr3:uid="{0EDF35F6-8BDA-D840-9B55-724D0A712FDF}" uniqueName="12" name="DPT_TS" queryTableFieldId="12"/>
    <tableColumn id="13" xr3:uid="{C1118B9F-7E20-F64F-9A2D-24401417643C}" uniqueName="13" name="DPT_nozzle" queryTableFieldId="13"/>
    <tableColumn id="14" xr3:uid="{B5763882-539D-1240-B4F6-D5060086A3A2}" uniqueName="14" name="Flow_gps" queryTableFieldId="14"/>
    <tableColumn id="15" xr3:uid="{1AC01F1D-9915-3A4D-9577-1877CD463902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E944F7-E5CA-9747-A70E-9D075D20DD99}" name="sheet1__10" displayName="sheet1__10" ref="A1:O16" tableType="queryTable" totalsRowShown="0">
  <autoFilter ref="A1:O16" xr:uid="{CDE944F7-E5CA-9747-A70E-9D075D20DD99}"/>
  <tableColumns count="15">
    <tableColumn id="1" xr3:uid="{7D5A5EED-DF8F-2E42-B356-29EDAD0B3D56}" uniqueName="1" name="Time" queryTableFieldId="1"/>
    <tableColumn id="2" xr3:uid="{7E10D7F7-D6FC-AD4B-81B2-2C15417F291E}" uniqueName="2" name="T1" queryTableFieldId="2"/>
    <tableColumn id="3" xr3:uid="{2B4299F8-E2E5-6F47-BA27-FC889342905E}" uniqueName="3" name="T2" queryTableFieldId="3"/>
    <tableColumn id="4" xr3:uid="{2FAE100D-421A-1941-803F-3CFEDC7B4BE0}" uniqueName="4" name="T3" queryTableFieldId="4"/>
    <tableColumn id="5" xr3:uid="{14BC7674-D23F-F146-8D45-E7BD1285DF6D}" uniqueName="5" name="T4" queryTableFieldId="5"/>
    <tableColumn id="6" xr3:uid="{5BCFABD8-35DA-BE44-B810-2B9F1957BCAA}" uniqueName="6" name="T5" queryTableFieldId="6"/>
    <tableColumn id="7" xr3:uid="{6146D750-02C4-9942-A614-A237B1ED5A9B}" uniqueName="7" name="T6" queryTableFieldId="7"/>
    <tableColumn id="8" xr3:uid="{C500E32F-CFFE-7546-A186-CCCBED204AB8}" uniqueName="8" name="T7" queryTableFieldId="8"/>
    <tableColumn id="9" xr3:uid="{A17029E3-50B7-D743-87BA-41783D7AF043}" uniqueName="9" name="T8" queryTableFieldId="9"/>
    <tableColumn id="10" xr3:uid="{2B6C23C5-F206-6245-9FCB-8F2C71086622}" uniqueName="10" name="RTD_IN" queryTableFieldId="10"/>
    <tableColumn id="11" xr3:uid="{4B55960F-636C-D44C-BC89-0C1481895634}" uniqueName="11" name="RTD_OUT" queryTableFieldId="11"/>
    <tableColumn id="12" xr3:uid="{8920DF92-47AE-3741-BF6E-65D4E4D4060E}" uniqueName="12" name="DPT_TS" queryTableFieldId="12"/>
    <tableColumn id="13" xr3:uid="{FB65EB9D-A781-204A-83BB-CB6361FFF8D9}" uniqueName="13" name="DPT_nozzle" queryTableFieldId="13"/>
    <tableColumn id="14" xr3:uid="{D5279541-0827-4740-B07E-4B78F2198305}" uniqueName="14" name="Flow_gps" queryTableFieldId="14"/>
    <tableColumn id="15" xr3:uid="{2DEF67BE-2D8C-114B-85ED-23235FDE2FD9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ED661F-3E3A-8D4E-AC01-55D9323761FB}" name="sheet1__11" displayName="sheet1__11" ref="A1:O21" tableType="queryTable" totalsRowShown="0">
  <autoFilter ref="A1:O21" xr:uid="{EEED661F-3E3A-8D4E-AC01-55D9323761FB}"/>
  <tableColumns count="15">
    <tableColumn id="1" xr3:uid="{A20AAB43-7BBA-C341-9EEE-6114C3C29CE8}" uniqueName="1" name="Time" queryTableFieldId="1"/>
    <tableColumn id="2" xr3:uid="{125FE47C-BB47-EC43-B643-4328220CBEA0}" uniqueName="2" name="T1" queryTableFieldId="2"/>
    <tableColumn id="3" xr3:uid="{F01EE524-789F-374F-8450-A4D9FC5FF58C}" uniqueName="3" name="T2" queryTableFieldId="3"/>
    <tableColumn id="4" xr3:uid="{4329BA6C-FB7D-9B43-AD54-C2AA3FF77DFF}" uniqueName="4" name="T3" queryTableFieldId="4"/>
    <tableColumn id="5" xr3:uid="{77D6DB2C-F60A-F846-9393-87DF12144A2C}" uniqueName="5" name="T4" queryTableFieldId="5"/>
    <tableColumn id="6" xr3:uid="{B9335E0F-A06F-AE41-91DE-85EADDB075D4}" uniqueName="6" name="T5" queryTableFieldId="6"/>
    <tableColumn id="7" xr3:uid="{FCEB45DC-E3C3-8A46-903C-CD418DD2B367}" uniqueName="7" name="T6" queryTableFieldId="7"/>
    <tableColumn id="8" xr3:uid="{B3FC49C4-DEE9-2E43-BDD5-656E2A81B780}" uniqueName="8" name="T7" queryTableFieldId="8"/>
    <tableColumn id="9" xr3:uid="{AEC8D6DC-87BE-D34A-8A13-26480A840B7D}" uniqueName="9" name="T8" queryTableFieldId="9"/>
    <tableColumn id="10" xr3:uid="{0D16ABBF-BAB7-F147-94EA-3B9475FD96AB}" uniqueName="10" name="RTD_IN" queryTableFieldId="10"/>
    <tableColumn id="11" xr3:uid="{85C9AC4C-60DE-8A4C-8AAF-07182C64EF90}" uniqueName="11" name="RTD_OUT" queryTableFieldId="11"/>
    <tableColumn id="12" xr3:uid="{F56A345C-1C05-EA49-AD65-4D98A7A1C8D9}" uniqueName="12" name="DPT_TS" queryTableFieldId="12"/>
    <tableColumn id="13" xr3:uid="{F0DB0975-B2AE-AA43-9F0A-A41CEC5875B9}" uniqueName="13" name="DPT_nozzle" queryTableFieldId="13"/>
    <tableColumn id="14" xr3:uid="{E7383748-EDB7-584E-801B-5A5D9777AE0F}" uniqueName="14" name="Flow_gps" queryTableFieldId="14"/>
    <tableColumn id="15" xr3:uid="{A690624A-6E1E-2340-B8DB-1458A709E5D1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34DDB4-84B2-5042-A0E5-629D8EB7CD8A}" name="sheet1__12" displayName="sheet1__12" ref="A1:O16" tableType="queryTable" totalsRowShown="0">
  <autoFilter ref="A1:O16" xr:uid="{C434DDB4-84B2-5042-A0E5-629D8EB7CD8A}"/>
  <tableColumns count="15">
    <tableColumn id="1" xr3:uid="{69A0B4E1-B2FF-F942-859A-997CFEE7F9C6}" uniqueName="1" name="Time" queryTableFieldId="1"/>
    <tableColumn id="2" xr3:uid="{F822FE65-953D-0547-91CE-EF23B1F9B56A}" uniqueName="2" name="T1" queryTableFieldId="2"/>
    <tableColumn id="3" xr3:uid="{066D8042-7BCC-5F4E-8AE7-1294CBA417A9}" uniqueName="3" name="T2" queryTableFieldId="3"/>
    <tableColumn id="4" xr3:uid="{C48C2CBA-308C-AA4D-B54B-BEAD69117BAC}" uniqueName="4" name="T3" queryTableFieldId="4"/>
    <tableColumn id="5" xr3:uid="{7A0A80FE-7229-AD49-B8D1-766CE355A9FE}" uniqueName="5" name="T4" queryTableFieldId="5"/>
    <tableColumn id="6" xr3:uid="{1453AD32-A9D0-0C46-BA07-5FCDA349C7B2}" uniqueName="6" name="T5" queryTableFieldId="6"/>
    <tableColumn id="7" xr3:uid="{BE1665FE-C018-E94B-B5BE-D01071A79E03}" uniqueName="7" name="T6" queryTableFieldId="7"/>
    <tableColumn id="8" xr3:uid="{6AC84D24-0309-B14E-86CE-700B2AB743AD}" uniqueName="8" name="T7" queryTableFieldId="8"/>
    <tableColumn id="9" xr3:uid="{ECBAC15F-9F08-4749-B75C-6A403A805422}" uniqueName="9" name="T8" queryTableFieldId="9"/>
    <tableColumn id="10" xr3:uid="{BD65A05A-897B-FD4A-B77E-D99162BEA79B}" uniqueName="10" name="RTD_IN" queryTableFieldId="10"/>
    <tableColumn id="11" xr3:uid="{076E4AA6-4808-7647-8987-51FA693551EF}" uniqueName="11" name="RTD_OUT" queryTableFieldId="11"/>
    <tableColumn id="12" xr3:uid="{7EBFA30D-55DC-AE4A-8AA4-2BBEDA436BB0}" uniqueName="12" name="DPT_TS" queryTableFieldId="12"/>
    <tableColumn id="13" xr3:uid="{42FA0882-7067-AD4F-9407-27F9167B9104}" uniqueName="13" name="DPT_nozzle" queryTableFieldId="13"/>
    <tableColumn id="14" xr3:uid="{A0972DDB-C9FF-2F49-A8DA-9C43CF8DA462}" uniqueName="14" name="Flow_gps" queryTableFieldId="14"/>
    <tableColumn id="15" xr3:uid="{A512801E-7824-E945-B74B-3B3D508C768D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5C1C6D-72D1-3C40-804A-1250F7D260FC}" name="sheet1__13" displayName="sheet1__13" ref="A1:O12" tableType="queryTable" totalsRowShown="0">
  <autoFilter ref="A1:O12" xr:uid="{545C1C6D-72D1-3C40-804A-1250F7D260FC}"/>
  <tableColumns count="15">
    <tableColumn id="1" xr3:uid="{564357B7-5821-5C4A-B5E7-E812A9FF4423}" uniqueName="1" name="Time" queryTableFieldId="1"/>
    <tableColumn id="2" xr3:uid="{A4977115-0EA8-9045-B933-0B9449E61AFF}" uniqueName="2" name="T1" queryTableFieldId="2"/>
    <tableColumn id="3" xr3:uid="{09AFC994-A178-2A46-B3D0-84F820419F1D}" uniqueName="3" name="T2" queryTableFieldId="3"/>
    <tableColumn id="4" xr3:uid="{AA95BB16-EEB3-9546-BF60-DAECF0AE14C4}" uniqueName="4" name="T3" queryTableFieldId="4"/>
    <tableColumn id="5" xr3:uid="{1E2585F7-9C5F-8844-9A6F-37A6C3B76579}" uniqueName="5" name="T4" queryTableFieldId="5"/>
    <tableColumn id="6" xr3:uid="{A0C4BD93-DE13-D14B-8811-1B0AF1FC29A4}" uniqueName="6" name="T5" queryTableFieldId="6"/>
    <tableColumn id="7" xr3:uid="{149F616A-D68C-CA4C-8EA1-5BD0608CEB90}" uniqueName="7" name="T6" queryTableFieldId="7"/>
    <tableColumn id="8" xr3:uid="{14A5D1D3-5599-FF48-B5C1-0AE5A0C26D13}" uniqueName="8" name="T7" queryTableFieldId="8"/>
    <tableColumn id="9" xr3:uid="{7A64BAC9-8781-2941-B508-254DFB2F232E}" uniqueName="9" name="T8" queryTableFieldId="9"/>
    <tableColumn id="10" xr3:uid="{4A7FC46D-2BDB-7340-A385-571E1192977A}" uniqueName="10" name="RTD_IN" queryTableFieldId="10"/>
    <tableColumn id="11" xr3:uid="{427E3CC5-34DE-8B46-A163-D091BF5738B7}" uniqueName="11" name="RTD_OUT" queryTableFieldId="11"/>
    <tableColumn id="12" xr3:uid="{34F4F6A8-2B1C-884C-918B-CE50CABB2144}" uniqueName="12" name="DPT_TS" queryTableFieldId="12"/>
    <tableColumn id="13" xr3:uid="{EA1EE4F1-9417-9F4C-9086-A30C9E18FC2B}" uniqueName="13" name="DPT_nozzle" queryTableFieldId="13"/>
    <tableColumn id="14" xr3:uid="{8E6FB397-4BD8-274C-9F82-2F6A8B6D3087}" uniqueName="14" name="Flow_gps" queryTableFieldId="14"/>
    <tableColumn id="15" xr3:uid="{88450FF1-E400-1F41-B748-CA1EE871D0FD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045E923-BCAC-CA4F-A7FA-1E7BA69FC892}" name="sheet1__14" displayName="sheet1__14" ref="A1:O11" tableType="queryTable" totalsRowShown="0">
  <autoFilter ref="A1:O11" xr:uid="{2045E923-BCAC-CA4F-A7FA-1E7BA69FC892}"/>
  <tableColumns count="15">
    <tableColumn id="1" xr3:uid="{C0211F08-7DCB-A342-9891-C44286DCBA9B}" uniqueName="1" name="Time" queryTableFieldId="1"/>
    <tableColumn id="2" xr3:uid="{C29F48AE-3A96-4D4A-8925-2E27D2AF4BC0}" uniqueName="2" name="T1" queryTableFieldId="2"/>
    <tableColumn id="3" xr3:uid="{340382D2-4F51-1945-8088-51371AF4F548}" uniqueName="3" name="T2" queryTableFieldId="3"/>
    <tableColumn id="4" xr3:uid="{9FC81417-9BBD-774B-840E-86D1FD5565AD}" uniqueName="4" name="T3" queryTableFieldId="4"/>
    <tableColumn id="5" xr3:uid="{1F320CF7-C22D-114F-98FD-DC549FB79D79}" uniqueName="5" name="T4" queryTableFieldId="5"/>
    <tableColumn id="6" xr3:uid="{68678DCC-68C5-2E4E-A12F-B4A285E4824B}" uniqueName="6" name="T5" queryTableFieldId="6"/>
    <tableColumn id="7" xr3:uid="{2A435488-6830-6440-AD27-5B38E83E3D2F}" uniqueName="7" name="T6" queryTableFieldId="7"/>
    <tableColumn id="8" xr3:uid="{BC849328-66A6-1F48-875E-992D7F150F08}" uniqueName="8" name="T7" queryTableFieldId="8"/>
    <tableColumn id="9" xr3:uid="{67172DAF-895D-AD4A-9365-C895E39DEC16}" uniqueName="9" name="T8" queryTableFieldId="9"/>
    <tableColumn id="10" xr3:uid="{2C6F220E-86B0-334C-98CB-980A7AAF4788}" uniqueName="10" name="RTD_IN" queryTableFieldId="10"/>
    <tableColumn id="11" xr3:uid="{4DFE2377-59BB-2743-8B76-74DE3EFAC51F}" uniqueName="11" name="RTD_OUT" queryTableFieldId="11"/>
    <tableColumn id="12" xr3:uid="{D3AF9E55-9A71-9344-BD88-EA8BB0F254BB}" uniqueName="12" name="DPT_TS" queryTableFieldId="12"/>
    <tableColumn id="13" xr3:uid="{406396BD-EC44-164D-BAF2-D89E625E94B9}" uniqueName="13" name="DPT_nozzle" queryTableFieldId="13"/>
    <tableColumn id="14" xr3:uid="{8BB77B77-C818-6D47-8C36-0CCEE32CCB36}" uniqueName="14" name="Flow_gps" queryTableFieldId="14"/>
    <tableColumn id="15" xr3:uid="{0CA6028A-D1B0-C14D-8286-10BFD34523A6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F21" sqref="F21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207.05238114638814</v>
      </c>
    </row>
    <row r="3" spans="1:2" x14ac:dyDescent="0.2">
      <c r="A3">
        <v>2</v>
      </c>
      <c r="B3">
        <v>381.5658036965487</v>
      </c>
    </row>
    <row r="4" spans="1:2" x14ac:dyDescent="0.2">
      <c r="A4">
        <v>3</v>
      </c>
      <c r="B4">
        <v>511.31592746920393</v>
      </c>
    </row>
    <row r="5" spans="1:2" x14ac:dyDescent="0.2">
      <c r="A5">
        <v>4</v>
      </c>
      <c r="B5">
        <v>602.73584130529036</v>
      </c>
    </row>
    <row r="6" spans="1:2" x14ac:dyDescent="0.2">
      <c r="A6">
        <v>5</v>
      </c>
      <c r="B6">
        <v>673.93689400849064</v>
      </c>
    </row>
    <row r="7" spans="1:2" x14ac:dyDescent="0.2">
      <c r="A7">
        <v>6</v>
      </c>
      <c r="B7">
        <v>715.46754311061295</v>
      </c>
    </row>
    <row r="8" spans="1:2" x14ac:dyDescent="0.2">
      <c r="A8">
        <v>7</v>
      </c>
      <c r="B8">
        <v>758.74836547589541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3F8B-DF26-0343-86A3-1489A0E6C9F5}">
  <dimension ref="A1:V36"/>
  <sheetViews>
    <sheetView workbookViewId="0">
      <selection activeCell="I18" sqref="I1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44604.639470328402</v>
      </c>
      <c r="B2">
        <v>18.497935999999999</v>
      </c>
      <c r="C2">
        <v>17.990611999999999</v>
      </c>
      <c r="D2">
        <v>17.705643999999999</v>
      </c>
      <c r="E2">
        <v>17.614889000000002</v>
      </c>
      <c r="F2">
        <v>39.12576</v>
      </c>
      <c r="G2">
        <v>32.878127999999997</v>
      </c>
      <c r="H2">
        <v>23.619184000000001</v>
      </c>
      <c r="I2">
        <v>26.275341999999998</v>
      </c>
      <c r="J2">
        <v>55.318911</v>
      </c>
      <c r="K2">
        <v>53.413618999999997</v>
      </c>
      <c r="L2">
        <v>7.1929610000000004</v>
      </c>
      <c r="M2">
        <v>-622.48367399999995</v>
      </c>
      <c r="N2">
        <v>1.596984</v>
      </c>
      <c r="O2">
        <v>2.7557480000000001</v>
      </c>
      <c r="P2">
        <f xml:space="preserve"> N2*0.001/60</f>
        <v>2.6616400000000002E-5</v>
      </c>
      <c r="Q2" cm="1">
        <f t="array" ref="Q2">[1]!PropsSI("D","T",J2+273.15,"P",101325,"Water")</f>
        <v>985.53835676331278</v>
      </c>
      <c r="R2" cm="1">
        <f t="array" ref="R2">[1]!PropsSI("D","T",K2+273.15,"P",101325,"Water")</f>
        <v>986.45334700339333</v>
      </c>
      <c r="S2">
        <f>(Q2+R2)/2</f>
        <v>985.995851883353</v>
      </c>
      <c r="T2" cm="1">
        <f t="array" ref="T2">[1]!PropsSI("H","T",J2+273.15,"P",101325,"Water")</f>
        <v>231663.08424665459</v>
      </c>
      <c r="U2" cm="1">
        <f t="array" ref="U2">[1]!PropsSI("H","T",K2+273.15,"P",101325,"Water")</f>
        <v>223693.75721778779</v>
      </c>
      <c r="V2">
        <f>S2*P2*(T2-U2)</f>
        <v>209.1443089111784</v>
      </c>
    </row>
    <row r="3" spans="1:22" x14ac:dyDescent="0.2">
      <c r="A3">
        <v>44604.639586647798</v>
      </c>
      <c r="B3">
        <v>19.003771</v>
      </c>
      <c r="C3">
        <v>18.399398000000001</v>
      </c>
      <c r="D3">
        <v>17.757383000000001</v>
      </c>
      <c r="E3">
        <v>17.861272</v>
      </c>
      <c r="F3">
        <v>39.261667000000003</v>
      </c>
      <c r="G3">
        <v>32.049875999999998</v>
      </c>
      <c r="H3">
        <v>23.051441000000001</v>
      </c>
      <c r="I3">
        <v>26.003026999999999</v>
      </c>
      <c r="J3">
        <v>55.325276000000002</v>
      </c>
      <c r="K3">
        <v>53.429364999999997</v>
      </c>
      <c r="L3">
        <v>9.865888</v>
      </c>
      <c r="M3">
        <v>-622.49591899999996</v>
      </c>
      <c r="N3">
        <v>1.597075</v>
      </c>
      <c r="O3">
        <v>2.7007110000000001</v>
      </c>
      <c r="P3">
        <f t="shared" ref="P3" si="0" xml:space="preserve"> N3*0.001/60</f>
        <v>2.6617916666666668E-5</v>
      </c>
      <c r="Q3" cm="1">
        <f t="array" ref="Q3">[1]!PropsSI("D","T",J3+273.15,"P",101325,"Water")</f>
        <v>985.5352621648608</v>
      </c>
      <c r="R3" cm="1">
        <f t="array" ref="R3">[1]!PropsSI("D","T",K3+273.15,"P",101325,"Water")</f>
        <v>986.44587848877268</v>
      </c>
      <c r="S3">
        <f>(Q3+R3)/2</f>
        <v>985.99057032681674</v>
      </c>
      <c r="T3" cm="1">
        <f t="array" ref="T3">[1]!PropsSI("H","T",J3+273.15,"P",101325,"Water")</f>
        <v>231689.70951148894</v>
      </c>
      <c r="U3" cm="1">
        <f t="array" ref="U3">[1]!PropsSI("H","T",K3+273.15,"P",101325,"Water")</f>
        <v>223759.613360088</v>
      </c>
      <c r="V3">
        <f t="shared" ref="V3:V18" si="1">S3*P3*(T3-U3)</f>
        <v>208.12549113711538</v>
      </c>
    </row>
    <row r="4" spans="1:22" x14ac:dyDescent="0.2">
      <c r="A4">
        <v>44604.639702967201</v>
      </c>
      <c r="B4">
        <v>18.863061999999999</v>
      </c>
      <c r="C4">
        <v>18.409419</v>
      </c>
      <c r="D4">
        <v>17.736369</v>
      </c>
      <c r="E4">
        <v>17.829879999999999</v>
      </c>
      <c r="F4">
        <v>37.614010999999998</v>
      </c>
      <c r="G4">
        <v>32.980500999999997</v>
      </c>
      <c r="H4">
        <v>24.043751</v>
      </c>
      <c r="I4">
        <v>27.405737999999999</v>
      </c>
      <c r="J4">
        <v>55.330368</v>
      </c>
      <c r="K4">
        <v>53.438907</v>
      </c>
      <c r="L4">
        <v>7.7435450000000001</v>
      </c>
      <c r="M4">
        <v>-622.49795900000004</v>
      </c>
      <c r="N4">
        <v>1.599156</v>
      </c>
      <c r="O4">
        <v>3.408372</v>
      </c>
      <c r="P4">
        <f xml:space="preserve"> N4*0.001/60</f>
        <v>2.66526E-5</v>
      </c>
      <c r="Q4" cm="1">
        <f t="array" ref="Q4">[1]!PropsSI("D","T",J4+273.15,"P",101325,"Water")</f>
        <v>985.53278630566092</v>
      </c>
      <c r="R4" cm="1">
        <f t="array" ref="R4">[1]!PropsSI("D","T",K4+273.15,"P",101325,"Water")</f>
        <v>986.44135184334016</v>
      </c>
      <c r="S4">
        <f t="shared" ref="S4:S18" si="2">(Q4+R4)/2</f>
        <v>985.9870690745006</v>
      </c>
      <c r="T4" cm="1">
        <f t="array" ref="T4">[1]!PropsSI("H","T",J4+273.15,"P",101325,"Water")</f>
        <v>231711.00973403786</v>
      </c>
      <c r="U4" cm="1">
        <f t="array" ref="U4">[1]!PropsSI("H","T",K4+273.15,"P",101325,"Water")</f>
        <v>223799.52190519936</v>
      </c>
      <c r="V4">
        <f t="shared" si="1"/>
        <v>207.90692978260566</v>
      </c>
    </row>
    <row r="5" spans="1:22" x14ac:dyDescent="0.2">
      <c r="A5">
        <v>44604.639819286698</v>
      </c>
      <c r="B5">
        <v>18.728826999999999</v>
      </c>
      <c r="C5">
        <v>18.259929</v>
      </c>
      <c r="D5">
        <v>17.811150999999999</v>
      </c>
      <c r="E5">
        <v>17.819504999999999</v>
      </c>
      <c r="F5">
        <v>39.26314</v>
      </c>
      <c r="G5">
        <v>32.159654000000003</v>
      </c>
      <c r="H5">
        <v>23.852644999999999</v>
      </c>
      <c r="I5">
        <v>27.286686</v>
      </c>
      <c r="J5">
        <v>55.336095999999998</v>
      </c>
      <c r="K5">
        <v>53.446382999999997</v>
      </c>
      <c r="L5">
        <v>7.9337400000000002</v>
      </c>
      <c r="M5">
        <v>-622.48653100000001</v>
      </c>
      <c r="N5">
        <v>1.596325</v>
      </c>
      <c r="O5">
        <v>2.8298730000000001</v>
      </c>
      <c r="P5">
        <f t="shared" ref="P5:P18" si="3" xml:space="preserve"> N5*0.001/60</f>
        <v>2.6605416666666668E-5</v>
      </c>
      <c r="Q5" cm="1">
        <f t="array" ref="Q5">[1]!PropsSI("D","T",J5+273.15,"P",101325,"Water")</f>
        <v>985.53000101543466</v>
      </c>
      <c r="R5" cm="1">
        <f t="array" ref="R5">[1]!PropsSI("D","T",K5+273.15,"P",101325,"Water")</f>
        <v>986.43780488959669</v>
      </c>
      <c r="S5">
        <f t="shared" si="2"/>
        <v>985.98390295251568</v>
      </c>
      <c r="T5" cm="1">
        <f t="array" ref="T5">[1]!PropsSI("H","T",J5+273.15,"P",101325,"Water")</f>
        <v>231734.97040421885</v>
      </c>
      <c r="U5" cm="1">
        <f t="array" ref="U5">[1]!PropsSI("H","T",K5+273.15,"P",101325,"Water")</f>
        <v>223830.78961512106</v>
      </c>
      <c r="V5">
        <f t="shared" si="1"/>
        <v>207.34652186349365</v>
      </c>
    </row>
    <row r="6" spans="1:22" x14ac:dyDescent="0.2">
      <c r="A6">
        <v>46066.639935601852</v>
      </c>
      <c r="B6">
        <v>18.729856000000002</v>
      </c>
      <c r="C6">
        <v>18.129686</v>
      </c>
      <c r="D6">
        <v>17.839040000000001</v>
      </c>
      <c r="E6">
        <v>17.655017999999998</v>
      </c>
      <c r="F6">
        <v>37.976044000000002</v>
      </c>
      <c r="G6">
        <v>32.636111999999997</v>
      </c>
      <c r="H6">
        <v>23.990158999999998</v>
      </c>
      <c r="I6">
        <v>27.006277000000001</v>
      </c>
      <c r="J6">
        <v>55.336413999999998</v>
      </c>
      <c r="K6">
        <v>53.453699</v>
      </c>
      <c r="L6">
        <v>7.7464019999999998</v>
      </c>
      <c r="M6">
        <v>-622.51387699999998</v>
      </c>
      <c r="N6">
        <v>1.5977749999999999</v>
      </c>
      <c r="O6">
        <v>2.4657559999999998</v>
      </c>
      <c r="P6">
        <f t="shared" si="3"/>
        <v>2.6629583333333333E-5</v>
      </c>
      <c r="Q6" cm="1">
        <f t="array" ref="Q6">[1]!PropsSI("D","T",J6+273.15,"P",101325,"Water")</f>
        <v>985.52984637919974</v>
      </c>
      <c r="R6" cm="1">
        <f t="array" ref="R6">[1]!PropsSI("D","T",K6+273.15,"P",101325,"Water")</f>
        <v>986.43433350556779</v>
      </c>
      <c r="S6">
        <f t="shared" si="2"/>
        <v>985.98208994238371</v>
      </c>
      <c r="T6" cm="1">
        <f t="array" ref="T6">[1]!PropsSI("H","T",J6+273.15,"P",101325,"Water")</f>
        <v>231736.30062335217</v>
      </c>
      <c r="U6" cm="1">
        <f t="array" ref="U6">[1]!PropsSI("H","T",K6+273.15,"P",101325,"Water")</f>
        <v>223861.38815743726</v>
      </c>
      <c r="V6">
        <f t="shared" si="1"/>
        <v>206.76600298517891</v>
      </c>
    </row>
    <row r="7" spans="1:22" x14ac:dyDescent="0.2">
      <c r="A7">
        <v>46066.640051921298</v>
      </c>
      <c r="B7">
        <v>18.430222000000001</v>
      </c>
      <c r="C7">
        <v>17.816765</v>
      </c>
      <c r="D7">
        <v>17.824138999999999</v>
      </c>
      <c r="E7">
        <v>17.446061</v>
      </c>
      <c r="F7">
        <v>39.112369999999999</v>
      </c>
      <c r="G7">
        <v>32.493453000000002</v>
      </c>
      <c r="H7">
        <v>24.026309000000001</v>
      </c>
      <c r="I7">
        <v>26.138418000000001</v>
      </c>
      <c r="J7">
        <v>55.345802999999997</v>
      </c>
      <c r="K7">
        <v>53.46181</v>
      </c>
      <c r="L7">
        <v>10.707478999999999</v>
      </c>
      <c r="M7">
        <v>-622.49918400000001</v>
      </c>
      <c r="N7">
        <v>1.598644</v>
      </c>
      <c r="O7">
        <v>2.6200160000000001</v>
      </c>
      <c r="P7">
        <f t="shared" si="3"/>
        <v>2.6644066666666668E-5</v>
      </c>
      <c r="Q7" cm="1">
        <f t="array" ref="Q7">[1]!PropsSI("D","T",J7+273.15,"P",101325,"Water")</f>
        <v>985.52528043814914</v>
      </c>
      <c r="R7" cm="1">
        <f t="array" ref="R7">[1]!PropsSI("D","T",K7+273.15,"P",101325,"Water")</f>
        <v>986.43048450550828</v>
      </c>
      <c r="S7">
        <f t="shared" si="2"/>
        <v>985.97788247182871</v>
      </c>
      <c r="T7" cm="1">
        <f t="array" ref="T7">[1]!PropsSI("H","T",J7+273.15,"P",101325,"Water")</f>
        <v>231775.57556886907</v>
      </c>
      <c r="U7" cm="1">
        <f t="array" ref="U7">[1]!PropsSI("H","T",K7+273.15,"P",101325,"Water")</f>
        <v>223895.31174024518</v>
      </c>
      <c r="V7">
        <f t="shared" si="1"/>
        <v>207.01815910703826</v>
      </c>
    </row>
    <row r="8" spans="1:22" x14ac:dyDescent="0.2">
      <c r="A8">
        <v>46066.640167662037</v>
      </c>
      <c r="B8">
        <v>18.398586000000002</v>
      </c>
      <c r="C8">
        <v>17.929437</v>
      </c>
      <c r="D8">
        <v>17.872368999999999</v>
      </c>
      <c r="E8">
        <v>17.555076</v>
      </c>
      <c r="F8">
        <v>39.281368000000001</v>
      </c>
      <c r="G8">
        <v>32.311078999999999</v>
      </c>
      <c r="H8">
        <v>24.864197000000001</v>
      </c>
      <c r="I8">
        <v>26.405269000000001</v>
      </c>
      <c r="J8">
        <v>55.347552999999998</v>
      </c>
      <c r="K8">
        <v>53.468172000000003</v>
      </c>
      <c r="L8">
        <v>8.2292349999999992</v>
      </c>
      <c r="M8">
        <v>-622.50285699999995</v>
      </c>
      <c r="N8">
        <v>1.5999019999999999</v>
      </c>
      <c r="O8">
        <v>2.3453110000000001</v>
      </c>
      <c r="P8">
        <f t="shared" si="3"/>
        <v>2.6665033333333333E-5</v>
      </c>
      <c r="Q8" cm="1">
        <f t="array" ref="Q8">[1]!PropsSI("D","T",J8+273.15,"P",101325,"Water")</f>
        <v>985.52442933974885</v>
      </c>
      <c r="R8" cm="1">
        <f t="array" ref="R8">[1]!PropsSI("D","T",K8+273.15,"P",101325,"Water")</f>
        <v>986.42746518671186</v>
      </c>
      <c r="S8">
        <f t="shared" si="2"/>
        <v>985.97594726323041</v>
      </c>
      <c r="T8" cm="1">
        <f t="array" ref="T8">[1]!PropsSI("H","T",J8+273.15,"P",101325,"Water")</f>
        <v>231782.89596380646</v>
      </c>
      <c r="U8" cm="1">
        <f t="array" ref="U8">[1]!PropsSI("H","T",K8+273.15,"P",101325,"Water")</f>
        <v>223921.92029159117</v>
      </c>
      <c r="V8">
        <f t="shared" si="1"/>
        <v>206.67355206489103</v>
      </c>
    </row>
    <row r="9" spans="1:22" x14ac:dyDescent="0.2">
      <c r="A9">
        <v>46066.640283402776</v>
      </c>
      <c r="B9">
        <v>18.430543</v>
      </c>
      <c r="C9">
        <v>17.998660999999998</v>
      </c>
      <c r="D9">
        <v>17.927240999999999</v>
      </c>
      <c r="E9">
        <v>17.552910000000001</v>
      </c>
      <c r="F9">
        <v>38.464486000000001</v>
      </c>
      <c r="G9">
        <v>32.771241000000003</v>
      </c>
      <c r="H9">
        <v>23.870764999999999</v>
      </c>
      <c r="I9">
        <v>27.41733</v>
      </c>
      <c r="J9">
        <v>55.349144000000003</v>
      </c>
      <c r="K9">
        <v>53.472943999999998</v>
      </c>
      <c r="L9">
        <v>7.1594930000000003</v>
      </c>
      <c r="M9">
        <v>-622.48897999999997</v>
      </c>
      <c r="N9">
        <v>1.5999760000000001</v>
      </c>
      <c r="O9">
        <v>3.2696149999999999</v>
      </c>
      <c r="P9">
        <f t="shared" si="3"/>
        <v>2.6666266666666669E-5</v>
      </c>
      <c r="Q9" cm="1">
        <f t="array" ref="Q9">[1]!PropsSI("D","T",J9+273.15,"P",101325,"Water")</f>
        <v>985.52365555327515</v>
      </c>
      <c r="R9" cm="1">
        <f t="array" ref="R9">[1]!PropsSI("D","T",K9+273.15,"P",101325,"Water")</f>
        <v>986.42520029269031</v>
      </c>
      <c r="S9">
        <f t="shared" si="2"/>
        <v>985.97442792298273</v>
      </c>
      <c r="T9" cm="1">
        <f t="array" ref="T9">[1]!PropsSI("H","T",J9+273.15,"P",101325,"Water")</f>
        <v>231789.55124954891</v>
      </c>
      <c r="U9" cm="1">
        <f t="array" ref="U9">[1]!PropsSI("H","T",K9+273.15,"P",101325,"Water")</f>
        <v>223941.87880526026</v>
      </c>
      <c r="V9">
        <f t="shared" si="1"/>
        <v>206.33302092584597</v>
      </c>
    </row>
    <row r="10" spans="1:22" x14ac:dyDescent="0.2">
      <c r="A10">
        <v>44604.640399726501</v>
      </c>
      <c r="B10">
        <v>18.776453</v>
      </c>
      <c r="C10">
        <v>17.973234000000001</v>
      </c>
      <c r="D10">
        <v>17.806432999999998</v>
      </c>
      <c r="E10">
        <v>17.516047</v>
      </c>
      <c r="F10">
        <v>39.446091000000003</v>
      </c>
      <c r="G10">
        <v>32.547837999999999</v>
      </c>
      <c r="H10">
        <v>23.610346</v>
      </c>
      <c r="I10">
        <v>25.523178999999999</v>
      </c>
      <c r="J10">
        <v>55.351053999999998</v>
      </c>
      <c r="K10">
        <v>53.47692</v>
      </c>
      <c r="L10">
        <v>9.7397720000000003</v>
      </c>
      <c r="M10">
        <v>-622.49877600000002</v>
      </c>
      <c r="N10">
        <v>1.6014139999999999</v>
      </c>
      <c r="O10">
        <v>2.3071869999999999</v>
      </c>
      <c r="P10">
        <f t="shared" si="3"/>
        <v>2.6690233333333334E-5</v>
      </c>
      <c r="Q10" cm="1">
        <f t="array" ref="Q10">[1]!PropsSI("D","T",J10+273.15,"P",101325,"Water")</f>
        <v>985.52272659974835</v>
      </c>
      <c r="R10" cm="1">
        <f t="array" ref="R10">[1]!PropsSI("D","T",K10+273.15,"P",101325,"Water")</f>
        <v>986.42331308768337</v>
      </c>
      <c r="S10">
        <f t="shared" si="2"/>
        <v>985.97301984371586</v>
      </c>
      <c r="T10" cm="1">
        <f t="array" ref="T10">[1]!PropsSI("H","T",J10+273.15,"P",101325,"Water")</f>
        <v>231797.54094012288</v>
      </c>
      <c r="U10" cm="1">
        <f t="array" ref="U10">[1]!PropsSI("H","T",K10+273.15,"P",101325,"Water")</f>
        <v>223958.50811764321</v>
      </c>
      <c r="V10">
        <f t="shared" si="1"/>
        <v>206.29081158789086</v>
      </c>
    </row>
    <row r="11" spans="1:22" x14ac:dyDescent="0.2">
      <c r="A11">
        <v>44604.640515467203</v>
      </c>
      <c r="B11">
        <v>18.508257</v>
      </c>
      <c r="C11">
        <v>18.046137000000002</v>
      </c>
      <c r="D11">
        <v>17.794595000000001</v>
      </c>
      <c r="E11">
        <v>17.673289</v>
      </c>
      <c r="F11">
        <v>38.205585999999997</v>
      </c>
      <c r="G11">
        <v>32.490651</v>
      </c>
      <c r="H11">
        <v>22.697258000000001</v>
      </c>
      <c r="I11">
        <v>25.920023</v>
      </c>
      <c r="J11">
        <v>55.353121999999999</v>
      </c>
      <c r="K11">
        <v>53.486781000000001</v>
      </c>
      <c r="L11">
        <v>11.066644</v>
      </c>
      <c r="M11">
        <v>-622.49714300000005</v>
      </c>
      <c r="N11">
        <v>1.5974109999999999</v>
      </c>
      <c r="O11">
        <v>2.221155</v>
      </c>
      <c r="P11">
        <f t="shared" si="3"/>
        <v>2.6623516666666667E-5</v>
      </c>
      <c r="Q11" cm="1">
        <f t="array" ref="Q11">[1]!PropsSI("D","T",J11+273.15,"P",101325,"Water")</f>
        <v>985.52172077540092</v>
      </c>
      <c r="R11" cm="1">
        <f t="array" ref="R11">[1]!PropsSI("D","T",K11+273.15,"P",101325,"Water")</f>
        <v>986.41863214201021</v>
      </c>
      <c r="S11">
        <f t="shared" si="2"/>
        <v>985.97017645870551</v>
      </c>
      <c r="T11" cm="1">
        <f t="array" ref="T11">[1]!PropsSI("H","T",J11+273.15,"P",101325,"Water")</f>
        <v>231806.19155953577</v>
      </c>
      <c r="U11" cm="1">
        <f t="array" ref="U11">[1]!PropsSI("H","T",K11+273.15,"P",101325,"Water")</f>
        <v>223999.75101020758</v>
      </c>
      <c r="V11">
        <f t="shared" si="1"/>
        <v>204.91901309864363</v>
      </c>
    </row>
    <row r="17" spans="9:16" x14ac:dyDescent="0.2">
      <c r="I17" t="s">
        <v>22</v>
      </c>
    </row>
    <row r="18" spans="9:16" x14ac:dyDescent="0.2">
      <c r="I18">
        <f>AVERAGE(V2:V11)</f>
        <v>207.05238114638814</v>
      </c>
    </row>
    <row r="19" spans="9:16" x14ac:dyDescent="0.2">
      <c r="P19" s="1"/>
    </row>
    <row r="20" spans="9:16" x14ac:dyDescent="0.2">
      <c r="P20" s="1"/>
    </row>
    <row r="21" spans="9:16" x14ac:dyDescent="0.2">
      <c r="P21" s="1"/>
    </row>
    <row r="22" spans="9:16" x14ac:dyDescent="0.2">
      <c r="P22" s="1"/>
    </row>
    <row r="23" spans="9:16" x14ac:dyDescent="0.2">
      <c r="P23" s="1"/>
    </row>
    <row r="24" spans="9:16" x14ac:dyDescent="0.2">
      <c r="P24" s="1"/>
    </row>
    <row r="25" spans="9:16" x14ac:dyDescent="0.2">
      <c r="P25" s="1"/>
    </row>
    <row r="26" spans="9:16" x14ac:dyDescent="0.2">
      <c r="P26" s="1"/>
    </row>
    <row r="27" spans="9:16" x14ac:dyDescent="0.2">
      <c r="P27" s="1"/>
    </row>
    <row r="28" spans="9:16" x14ac:dyDescent="0.2">
      <c r="P28" s="1"/>
    </row>
    <row r="29" spans="9:16" x14ac:dyDescent="0.2">
      <c r="P29" s="1"/>
    </row>
    <row r="30" spans="9:16" x14ac:dyDescent="0.2">
      <c r="P30" s="1"/>
    </row>
    <row r="31" spans="9:16" x14ac:dyDescent="0.2">
      <c r="P31" s="1"/>
    </row>
    <row r="32" spans="9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1E52-5891-CA4F-A93D-831E1604560C}">
  <dimension ref="A1:V36"/>
  <sheetViews>
    <sheetView workbookViewId="0">
      <selection activeCell="H19" sqref="H19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44604.636577967198</v>
      </c>
      <c r="B2">
        <v>18.440232999999999</v>
      </c>
      <c r="C2">
        <v>19.279484</v>
      </c>
      <c r="D2">
        <v>18.943408999999999</v>
      </c>
      <c r="E2">
        <v>19.341956</v>
      </c>
      <c r="F2">
        <v>40.737706000000003</v>
      </c>
      <c r="G2">
        <v>37.562795000000001</v>
      </c>
      <c r="H2">
        <v>26.307608999999999</v>
      </c>
      <c r="I2">
        <v>24.948533999999999</v>
      </c>
      <c r="J2">
        <v>55.233303999999997</v>
      </c>
      <c r="K2">
        <v>51.777462</v>
      </c>
      <c r="L2">
        <v>30.101202000000001</v>
      </c>
      <c r="M2">
        <v>-622.51836600000001</v>
      </c>
      <c r="N2">
        <v>1.5961609999999999</v>
      </c>
      <c r="O2">
        <v>2.781825</v>
      </c>
      <c r="P2">
        <f xml:space="preserve"> N2*0.001/60</f>
        <v>2.6602683333333335E-5</v>
      </c>
      <c r="Q2" cm="1">
        <f t="array" ref="Q2">[1]!PropsSI("D","T",J2+273.15,"P",101325,"Water")</f>
        <v>985.57995365360784</v>
      </c>
      <c r="R2" cm="1">
        <f t="array" ref="R2">[1]!PropsSI("D","T",K2+273.15,"P",101325,"Water")</f>
        <v>987.22081289636492</v>
      </c>
      <c r="S2">
        <f>(Q2+R2)/2</f>
        <v>986.40038327498632</v>
      </c>
      <c r="T2" cm="1">
        <f t="array" ref="T2">[1]!PropsSI("H","T",J2+273.15,"P",101325,"Water")</f>
        <v>231304.98528853411</v>
      </c>
      <c r="U2" cm="1">
        <f t="array" ref="U2">[1]!PropsSI("H","T",K2+273.15,"P",101325,"Water")</f>
        <v>216851.13122749652</v>
      </c>
      <c r="V2">
        <f>S2*P2*(T2-U2)</f>
        <v>379.28209619112613</v>
      </c>
    </row>
    <row r="3" spans="1:22" x14ac:dyDescent="0.2">
      <c r="A3">
        <v>44604.636693708002</v>
      </c>
      <c r="B3">
        <v>18.074656999999998</v>
      </c>
      <c r="C3">
        <v>18.722062000000001</v>
      </c>
      <c r="D3">
        <v>18.797234</v>
      </c>
      <c r="E3">
        <v>19.000174999999999</v>
      </c>
      <c r="F3">
        <v>40.700695000000003</v>
      </c>
      <c r="G3">
        <v>37.412449000000002</v>
      </c>
      <c r="H3">
        <v>25.915451000000001</v>
      </c>
      <c r="I3">
        <v>24.812076000000001</v>
      </c>
      <c r="J3">
        <v>55.237758999999997</v>
      </c>
      <c r="K3">
        <v>51.774442000000001</v>
      </c>
      <c r="L3">
        <v>30.495467999999999</v>
      </c>
      <c r="M3">
        <v>-622.50326500000006</v>
      </c>
      <c r="N3">
        <v>1.594681</v>
      </c>
      <c r="O3">
        <v>2.4915780000000001</v>
      </c>
      <c r="P3">
        <f t="shared" ref="P3" si="0" xml:space="preserve"> N3*0.001/60</f>
        <v>2.6578016666666669E-5</v>
      </c>
      <c r="Q3" cm="1">
        <f t="array" ref="Q3">[1]!PropsSI("D","T",J3+273.15,"P",101325,"Water")</f>
        <v>985.57779006485089</v>
      </c>
      <c r="R3" cm="1">
        <f t="array" ref="R3">[1]!PropsSI("D","T",K3+273.15,"P",101325,"Water")</f>
        <v>987.2222136606656</v>
      </c>
      <c r="S3">
        <f>(Q3+R3)/2</f>
        <v>986.40000186275824</v>
      </c>
      <c r="T3" cm="1">
        <f t="array" ref="T3">[1]!PropsSI("H","T",J3+273.15,"P",101325,"Water")</f>
        <v>231323.62074120226</v>
      </c>
      <c r="U3" cm="1">
        <f t="array" ref="U3">[1]!PropsSI("H","T",K3+273.15,"P",101325,"Water")</f>
        <v>216838.50197892624</v>
      </c>
      <c r="V3">
        <f t="shared" ref="V3:V18" si="1">S3*P3*(T3-U3)</f>
        <v>379.74992270035256</v>
      </c>
    </row>
    <row r="4" spans="1:22" x14ac:dyDescent="0.2">
      <c r="A4">
        <v>44604.636810027398</v>
      </c>
      <c r="B4">
        <v>17.845046</v>
      </c>
      <c r="C4">
        <v>18.286027000000001</v>
      </c>
      <c r="D4">
        <v>18.707847000000001</v>
      </c>
      <c r="E4">
        <v>18.884012999999999</v>
      </c>
      <c r="F4">
        <v>40.279403000000002</v>
      </c>
      <c r="G4">
        <v>37.071989000000002</v>
      </c>
      <c r="H4">
        <v>26.023916</v>
      </c>
      <c r="I4">
        <v>24.474857</v>
      </c>
      <c r="J4">
        <v>55.243805999999999</v>
      </c>
      <c r="K4">
        <v>51.771262999999998</v>
      </c>
      <c r="L4">
        <v>31.866419</v>
      </c>
      <c r="M4">
        <v>-622.50285699999995</v>
      </c>
      <c r="N4">
        <v>1.5959190000000001</v>
      </c>
      <c r="O4">
        <v>2.636485</v>
      </c>
      <c r="P4">
        <f xml:space="preserve"> N4*0.001/60</f>
        <v>2.6598650000000003E-5</v>
      </c>
      <c r="Q4" cm="1">
        <f t="array" ref="Q4">[1]!PropsSI("D","T",J4+273.15,"P",101325,"Water")</f>
        <v>985.57485311823325</v>
      </c>
      <c r="R4" cm="1">
        <f t="array" ref="R4">[1]!PropsSI("D","T",K4+273.15,"P",101325,"Water")</f>
        <v>987.22368811048239</v>
      </c>
      <c r="S4">
        <f t="shared" ref="S4:S18" si="2">(Q4+R4)/2</f>
        <v>986.39927061435787</v>
      </c>
      <c r="T4" cm="1">
        <f t="array" ref="T4">[1]!PropsSI("H","T",J4+273.15,"P",101325,"Water")</f>
        <v>231348.91560855898</v>
      </c>
      <c r="U4" cm="1">
        <f t="array" ref="U4">[1]!PropsSI("H","T",K4+273.15,"P",101325,"Water")</f>
        <v>216825.20781600359</v>
      </c>
      <c r="V4">
        <f t="shared" si="1"/>
        <v>381.05690863098209</v>
      </c>
    </row>
    <row r="5" spans="1:22" x14ac:dyDescent="0.2">
      <c r="A5">
        <v>44604.636926346902</v>
      </c>
      <c r="B5">
        <v>17.626552</v>
      </c>
      <c r="C5">
        <v>17.927551999999999</v>
      </c>
      <c r="D5">
        <v>18.870505000000001</v>
      </c>
      <c r="E5">
        <v>18.529312999999998</v>
      </c>
      <c r="F5">
        <v>39.716673</v>
      </c>
      <c r="G5">
        <v>38.459771000000003</v>
      </c>
      <c r="H5">
        <v>26.767315</v>
      </c>
      <c r="I5">
        <v>24.385238000000001</v>
      </c>
      <c r="J5">
        <v>55.250171000000002</v>
      </c>
      <c r="K5">
        <v>51.748531</v>
      </c>
      <c r="L5">
        <v>28.964116000000001</v>
      </c>
      <c r="M5">
        <v>-622.48653100000001</v>
      </c>
      <c r="N5">
        <v>1.5940460000000001</v>
      </c>
      <c r="O5">
        <v>2.4669379999999999</v>
      </c>
      <c r="P5">
        <f t="shared" ref="P5:P18" si="3" xml:space="preserve"> N5*0.001/60</f>
        <v>2.6567433333333333E-5</v>
      </c>
      <c r="Q5" cm="1">
        <f t="array" ref="Q5">[1]!PropsSI("D","T",J5+273.15,"P",101325,"Water")</f>
        <v>985.57176147870803</v>
      </c>
      <c r="R5" cm="1">
        <f t="array" ref="R5">[1]!PropsSI("D","T",K5+273.15,"P",101325,"Water")</f>
        <v>987.23422953041143</v>
      </c>
      <c r="S5">
        <f t="shared" si="2"/>
        <v>986.40299550455973</v>
      </c>
      <c r="T5" cm="1">
        <f t="array" ref="T5">[1]!PropsSI("H","T",J5+273.15,"P",101325,"Water")</f>
        <v>231375.54069835422</v>
      </c>
      <c r="U5" cm="1">
        <f t="array" ref="U5">[1]!PropsSI("H","T",K5+273.15,"P",101325,"Water")</f>
        <v>216730.1456518987</v>
      </c>
      <c r="V5">
        <f t="shared" si="1"/>
        <v>383.8000904906699</v>
      </c>
    </row>
    <row r="6" spans="1:22" x14ac:dyDescent="0.2">
      <c r="A6">
        <v>46066.637042083334</v>
      </c>
      <c r="B6">
        <v>17.685934</v>
      </c>
      <c r="C6">
        <v>17.97034</v>
      </c>
      <c r="D6">
        <v>18.867756</v>
      </c>
      <c r="E6">
        <v>18.796219000000001</v>
      </c>
      <c r="F6">
        <v>39.737842000000001</v>
      </c>
      <c r="G6">
        <v>38.394590999999998</v>
      </c>
      <c r="H6">
        <v>26.600826999999999</v>
      </c>
      <c r="I6">
        <v>24.3018</v>
      </c>
      <c r="J6">
        <v>55.258445000000002</v>
      </c>
      <c r="K6">
        <v>51.748531</v>
      </c>
      <c r="L6">
        <v>30.717904999999998</v>
      </c>
      <c r="M6">
        <v>-622.51591800000006</v>
      </c>
      <c r="N6">
        <v>1.5976030000000001</v>
      </c>
      <c r="O6">
        <v>2.5978279999999998</v>
      </c>
      <c r="P6">
        <f t="shared" si="3"/>
        <v>2.662671666666667E-5</v>
      </c>
      <c r="Q6" cm="1">
        <f t="array" ref="Q6">[1]!PropsSI("D","T",J6+273.15,"P",101325,"Water")</f>
        <v>985.56774221519674</v>
      </c>
      <c r="R6" cm="1">
        <f t="array" ref="R6">[1]!PropsSI("D","T",K6+273.15,"P",101325,"Water")</f>
        <v>987.23422953041143</v>
      </c>
      <c r="S6">
        <f t="shared" si="2"/>
        <v>986.40098587280409</v>
      </c>
      <c r="T6" cm="1">
        <f t="array" ref="T6">[1]!PropsSI("H","T",J6+273.15,"P",101325,"Water")</f>
        <v>231410.15124573212</v>
      </c>
      <c r="U6" cm="1">
        <f t="array" ref="U6">[1]!PropsSI("H","T",K6+273.15,"P",101325,"Water")</f>
        <v>216730.1456518987</v>
      </c>
      <c r="V6">
        <f t="shared" si="1"/>
        <v>385.56476221566641</v>
      </c>
    </row>
    <row r="7" spans="1:22" x14ac:dyDescent="0.2">
      <c r="A7">
        <v>46066.63715840278</v>
      </c>
      <c r="B7">
        <v>17.530840999999999</v>
      </c>
      <c r="C7">
        <v>17.870851999999999</v>
      </c>
      <c r="D7">
        <v>18.791457999999999</v>
      </c>
      <c r="E7">
        <v>18.038126999999999</v>
      </c>
      <c r="F7">
        <v>40.288961999999998</v>
      </c>
      <c r="G7">
        <v>37.743519999999997</v>
      </c>
      <c r="H7">
        <v>26.732713</v>
      </c>
      <c r="I7">
        <v>24.794405999999999</v>
      </c>
      <c r="J7">
        <v>55.260672999999997</v>
      </c>
      <c r="K7">
        <v>51.753458999999999</v>
      </c>
      <c r="L7">
        <v>28.937586</v>
      </c>
      <c r="M7">
        <v>-622.48408199999994</v>
      </c>
      <c r="N7">
        <v>1.599763</v>
      </c>
      <c r="O7">
        <v>2.4901930000000001</v>
      </c>
      <c r="P7">
        <f t="shared" si="3"/>
        <v>2.6662716666666668E-5</v>
      </c>
      <c r="Q7" cm="1">
        <f t="array" ref="Q7">[1]!PropsSI("D","T",J7+273.15,"P",101325,"Water")</f>
        <v>985.56665984649521</v>
      </c>
      <c r="R7" cm="1">
        <f t="array" ref="R7">[1]!PropsSI("D","T",K7+273.15,"P",101325,"Water")</f>
        <v>987.23194457064062</v>
      </c>
      <c r="S7">
        <f t="shared" si="2"/>
        <v>986.39930220856786</v>
      </c>
      <c r="T7" cm="1">
        <f t="array" ref="T7">[1]!PropsSI("H","T",J7+273.15,"P",101325,"Water")</f>
        <v>231419.47108321864</v>
      </c>
      <c r="U7" cm="1">
        <f t="array" ref="U7">[1]!PropsSI("H","T",K7+273.15,"P",101325,"Water")</f>
        <v>216750.75387089743</v>
      </c>
      <c r="V7">
        <f t="shared" si="1"/>
        <v>385.78851121168964</v>
      </c>
    </row>
    <row r="8" spans="1:22" x14ac:dyDescent="0.2">
      <c r="A8">
        <v>46066.637274722219</v>
      </c>
      <c r="B8">
        <v>17.629631</v>
      </c>
      <c r="C8">
        <v>17.955568</v>
      </c>
      <c r="D8">
        <v>18.779823</v>
      </c>
      <c r="E8">
        <v>18.547986000000002</v>
      </c>
      <c r="F8">
        <v>40.039242999999999</v>
      </c>
      <c r="G8">
        <v>38.056505999999999</v>
      </c>
      <c r="H8">
        <v>26.11543</v>
      </c>
      <c r="I8">
        <v>24.017520999999999</v>
      </c>
      <c r="J8">
        <v>55.262104999999998</v>
      </c>
      <c r="K8">
        <v>51.747736000000003</v>
      </c>
      <c r="L8">
        <v>29.280833999999999</v>
      </c>
      <c r="M8">
        <v>-622.5</v>
      </c>
      <c r="N8">
        <v>1.60023</v>
      </c>
      <c r="O8">
        <v>2.4721600000000001</v>
      </c>
      <c r="P8">
        <f t="shared" si="3"/>
        <v>2.6670500000000002E-5</v>
      </c>
      <c r="Q8" cm="1">
        <f t="array" ref="Q8">[1]!PropsSI("D","T",J8+273.15,"P",101325,"Water")</f>
        <v>985.56596416065133</v>
      </c>
      <c r="R8" cm="1">
        <f t="array" ref="R8">[1]!PropsSI("D","T",K8+273.15,"P",101325,"Water")</f>
        <v>987.23459813248905</v>
      </c>
      <c r="S8">
        <f t="shared" si="2"/>
        <v>986.40028114657025</v>
      </c>
      <c r="T8" cm="1">
        <f t="array" ref="T8">[1]!PropsSI("H","T",J8+273.15,"P",101325,"Water")</f>
        <v>231425.4612129899</v>
      </c>
      <c r="U8" cm="1">
        <f t="array" ref="U8">[1]!PropsSI("H","T",K8+273.15,"P",101325,"Water")</f>
        <v>216726.82107179324</v>
      </c>
      <c r="V8">
        <f t="shared" si="1"/>
        <v>386.68871898724046</v>
      </c>
    </row>
    <row r="9" spans="1:22" x14ac:dyDescent="0.2">
      <c r="A9">
        <v>46066.637390462965</v>
      </c>
      <c r="B9">
        <v>17.600453000000002</v>
      </c>
      <c r="C9">
        <v>18.053207</v>
      </c>
      <c r="D9">
        <v>18.844446000000001</v>
      </c>
      <c r="E9">
        <v>18.702531</v>
      </c>
      <c r="F9">
        <v>40.156222</v>
      </c>
      <c r="G9">
        <v>38.659112999999998</v>
      </c>
      <c r="H9">
        <v>25.825721000000001</v>
      </c>
      <c r="I9">
        <v>24.552613000000001</v>
      </c>
      <c r="J9">
        <v>55.267195999999998</v>
      </c>
      <c r="K9">
        <v>51.760612000000002</v>
      </c>
      <c r="L9">
        <v>30.932587999999999</v>
      </c>
      <c r="M9">
        <v>-622.50367300000005</v>
      </c>
      <c r="N9">
        <v>1.5968659999999999</v>
      </c>
      <c r="O9">
        <v>2.7966039999999999</v>
      </c>
      <c r="P9">
        <f t="shared" si="3"/>
        <v>2.6614433333333334E-5</v>
      </c>
      <c r="Q9" cm="1">
        <f t="array" ref="Q9">[1]!PropsSI("D","T",J9+273.15,"P",101325,"Water")</f>
        <v>985.56349077803384</v>
      </c>
      <c r="R9" cm="1">
        <f t="array" ref="R9">[1]!PropsSI("D","T",K9+273.15,"P",101325,"Water")</f>
        <v>987.22862767001311</v>
      </c>
      <c r="S9">
        <f t="shared" si="2"/>
        <v>986.39605922402347</v>
      </c>
      <c r="T9" cm="1">
        <f t="array" ref="T9">[1]!PropsSI("H","T",J9+273.15,"P",101325,"Water")</f>
        <v>231446.75713470535</v>
      </c>
      <c r="U9" cm="1">
        <f t="array" ref="U9">[1]!PropsSI("H","T",K9+273.15,"P",101325,"Water")</f>
        <v>216780.6667476742</v>
      </c>
      <c r="V9">
        <f t="shared" si="1"/>
        <v>385.01966295025483</v>
      </c>
    </row>
    <row r="10" spans="1:22" x14ac:dyDescent="0.2">
      <c r="A10">
        <v>44604.637506786697</v>
      </c>
      <c r="B10">
        <v>17.862964999999999</v>
      </c>
      <c r="C10">
        <v>18.585712999999998</v>
      </c>
      <c r="D10">
        <v>18.825348000000002</v>
      </c>
      <c r="E10">
        <v>19.249559999999999</v>
      </c>
      <c r="F10">
        <v>40.435918999999998</v>
      </c>
      <c r="G10">
        <v>37.827784999999999</v>
      </c>
      <c r="H10">
        <v>26.544944999999998</v>
      </c>
      <c r="I10">
        <v>25.342434000000001</v>
      </c>
      <c r="J10">
        <v>55.272447</v>
      </c>
      <c r="K10">
        <v>51.787635999999999</v>
      </c>
      <c r="L10">
        <v>30.541996000000001</v>
      </c>
      <c r="M10">
        <v>-622.50326500000006</v>
      </c>
      <c r="N10">
        <v>1.5955459999999999</v>
      </c>
      <c r="O10">
        <v>2.497843</v>
      </c>
      <c r="P10">
        <f t="shared" si="3"/>
        <v>2.6592433333333333E-5</v>
      </c>
      <c r="Q10" cm="1">
        <f t="array" ref="Q10">[1]!PropsSI("D","T",J10+273.15,"P",101325,"Water")</f>
        <v>985.56093949380465</v>
      </c>
      <c r="R10" cm="1">
        <f t="array" ref="R10">[1]!PropsSI("D","T",K10+273.15,"P",101325,"Water")</f>
        <v>987.2160934662395</v>
      </c>
      <c r="S10">
        <f t="shared" si="2"/>
        <v>986.38851648002208</v>
      </c>
      <c r="T10" cm="1">
        <f t="array" ref="T10">[1]!PropsSI("H","T",J10+273.15,"P",101325,"Water")</f>
        <v>231468.72235473953</v>
      </c>
      <c r="U10" cm="1">
        <f t="array" ref="U10">[1]!PropsSI("H","T",K10+273.15,"P",101325,"Water")</f>
        <v>216893.67759779093</v>
      </c>
      <c r="V10">
        <f t="shared" si="1"/>
        <v>382.31028685700886</v>
      </c>
    </row>
    <row r="11" spans="1:22" x14ac:dyDescent="0.2">
      <c r="A11">
        <v>44604.6376231061</v>
      </c>
      <c r="B11">
        <v>17.961449999999999</v>
      </c>
      <c r="C11">
        <v>18.538377000000001</v>
      </c>
      <c r="D11">
        <v>18.892423000000001</v>
      </c>
      <c r="E11">
        <v>19.300619000000001</v>
      </c>
      <c r="F11">
        <v>40.026653000000003</v>
      </c>
      <c r="G11">
        <v>37.401817999999999</v>
      </c>
      <c r="H11">
        <v>26.203437999999998</v>
      </c>
      <c r="I11">
        <v>24.659988999999999</v>
      </c>
      <c r="J11">
        <v>55.27563</v>
      </c>
      <c r="K11">
        <v>51.809573</v>
      </c>
      <c r="L11">
        <v>28.460467000000001</v>
      </c>
      <c r="M11">
        <v>-622.49959200000001</v>
      </c>
      <c r="N11">
        <v>1.5944309999999999</v>
      </c>
      <c r="O11">
        <v>2.5543290000000001</v>
      </c>
      <c r="P11">
        <f t="shared" si="3"/>
        <v>2.657385E-5</v>
      </c>
      <c r="Q11" cm="1">
        <f t="array" ref="Q11">[1]!PropsSI("D","T",J11+273.15,"P",101325,"Water")</f>
        <v>985.55939289812147</v>
      </c>
      <c r="R11" cm="1">
        <f t="array" ref="R11">[1]!PropsSI("D","T",K11+273.15,"P",101325,"Water")</f>
        <v>987.20591525017835</v>
      </c>
      <c r="S11">
        <f t="shared" si="2"/>
        <v>986.38265407414997</v>
      </c>
      <c r="T11" cm="1">
        <f t="array" ref="T11">[1]!PropsSI("H","T",J11+273.15,"P",101325,"Water")</f>
        <v>231482.03702266945</v>
      </c>
      <c r="U11" cm="1">
        <f t="array" ref="U11">[1]!PropsSI("H","T",K11+273.15,"P",101325,"Water")</f>
        <v>216985.41544355403</v>
      </c>
      <c r="V11">
        <f t="shared" si="1"/>
        <v>379.98522291703159</v>
      </c>
    </row>
    <row r="12" spans="1:22" x14ac:dyDescent="0.2">
      <c r="A12">
        <v>44604.637738846897</v>
      </c>
      <c r="B12">
        <v>18.127246</v>
      </c>
      <c r="C12">
        <v>18.687116</v>
      </c>
      <c r="D12">
        <v>18.930444999999999</v>
      </c>
      <c r="E12">
        <v>19.322337000000001</v>
      </c>
      <c r="F12">
        <v>40.385252999999999</v>
      </c>
      <c r="G12">
        <v>36.004508000000001</v>
      </c>
      <c r="H12">
        <v>26.530076000000001</v>
      </c>
      <c r="I12">
        <v>24.979880999999999</v>
      </c>
      <c r="J12">
        <v>55.277220999999997</v>
      </c>
      <c r="K12">
        <v>51.821972000000002</v>
      </c>
      <c r="L12">
        <v>30.587707999999999</v>
      </c>
      <c r="M12">
        <v>-622.506122</v>
      </c>
      <c r="N12">
        <v>1.597718</v>
      </c>
      <c r="O12">
        <v>2.6794889999999998</v>
      </c>
      <c r="P12">
        <f t="shared" ref="P12:P15" si="4" xml:space="preserve"> N12*0.001/60</f>
        <v>2.6628633333333331E-5</v>
      </c>
      <c r="Q12" cm="1">
        <f t="array" ref="Q12">[1]!PropsSI("D","T",J12+273.15,"P",101325,"Water")</f>
        <v>985.55861981971225</v>
      </c>
      <c r="R12" cm="1">
        <f t="array" ref="R12">[1]!PropsSI("D","T",K12+273.15,"P",101325,"Water")</f>
        <v>987.20016105822424</v>
      </c>
      <c r="S12">
        <f t="shared" ref="S12:S15" si="5">(Q12+R12)/2</f>
        <v>986.37939043896824</v>
      </c>
      <c r="T12" cm="1">
        <f t="array" ref="T12">[1]!PropsSI("H","T",J12+273.15,"P",101325,"Water")</f>
        <v>231488.69226650483</v>
      </c>
      <c r="U12" cm="1">
        <f t="array" ref="U12">[1]!PropsSI("H","T",K12+273.15,"P",101325,"Water")</f>
        <v>217037.26660863211</v>
      </c>
      <c r="V12">
        <f t="shared" ref="V12:V15" si="6">S12*P12*(T12-U12)</f>
        <v>379.58020865696784</v>
      </c>
    </row>
    <row r="13" spans="1:22" x14ac:dyDescent="0.2">
      <c r="A13">
        <v>44604.6378545876</v>
      </c>
      <c r="B13">
        <v>18.000972000000001</v>
      </c>
      <c r="C13">
        <v>18.501047</v>
      </c>
      <c r="D13">
        <v>18.901864</v>
      </c>
      <c r="E13">
        <v>19.183471000000001</v>
      </c>
      <c r="F13">
        <v>39.760587999999998</v>
      </c>
      <c r="G13">
        <v>38.780253999999999</v>
      </c>
      <c r="H13">
        <v>27.078033000000001</v>
      </c>
      <c r="I13">
        <v>24.381916</v>
      </c>
      <c r="J13">
        <v>55.278334999999998</v>
      </c>
      <c r="K13">
        <v>51.833416999999997</v>
      </c>
      <c r="L13">
        <v>31.226451000000001</v>
      </c>
      <c r="M13">
        <v>-622.47224600000004</v>
      </c>
      <c r="N13">
        <v>1.5950260000000001</v>
      </c>
      <c r="O13">
        <v>2.5631360000000001</v>
      </c>
      <c r="P13">
        <f t="shared" si="4"/>
        <v>2.6583766666666668E-5</v>
      </c>
      <c r="Q13" cm="1">
        <f t="array" ref="Q13">[1]!PropsSI("D","T",J13+273.15,"P",101325,"Water")</f>
        <v>985.55807850973247</v>
      </c>
      <c r="R13" cm="1">
        <f t="array" ref="R13">[1]!PropsSI("D","T",K13+273.15,"P",101325,"Water")</f>
        <v>987.19484872681335</v>
      </c>
      <c r="S13">
        <f t="shared" si="5"/>
        <v>986.37646361827296</v>
      </c>
      <c r="T13" cm="1">
        <f t="array" ref="T13">[1]!PropsSI("H","T",J13+273.15,"P",101325,"Water")</f>
        <v>231493.35219261277</v>
      </c>
      <c r="U13" cm="1">
        <f t="array" ref="U13">[1]!PropsSI("H","T",K13+273.15,"P",101325,"Water")</f>
        <v>217085.12830005525</v>
      </c>
      <c r="V13">
        <f t="shared" si="6"/>
        <v>377.80670889772153</v>
      </c>
    </row>
    <row r="14" spans="1:22" x14ac:dyDescent="0.2">
      <c r="A14">
        <v>44604.637970328396</v>
      </c>
      <c r="B14">
        <v>18.223061999999999</v>
      </c>
      <c r="C14">
        <v>18.945740000000001</v>
      </c>
      <c r="D14">
        <v>18.936392000000001</v>
      </c>
      <c r="E14">
        <v>19.390469</v>
      </c>
      <c r="F14">
        <v>40.549677000000003</v>
      </c>
      <c r="G14">
        <v>39.023072999999997</v>
      </c>
      <c r="H14">
        <v>26.467093999999999</v>
      </c>
      <c r="I14">
        <v>24.905622999999999</v>
      </c>
      <c r="J14">
        <v>55.281039999999997</v>
      </c>
      <c r="K14">
        <v>51.836914999999998</v>
      </c>
      <c r="L14">
        <v>30.334658999999998</v>
      </c>
      <c r="M14">
        <v>-622.50408100000004</v>
      </c>
      <c r="N14">
        <v>1.596878</v>
      </c>
      <c r="O14">
        <v>2.4785020000000002</v>
      </c>
      <c r="P14">
        <f t="shared" si="4"/>
        <v>2.6614633333333334E-5</v>
      </c>
      <c r="Q14" cm="1">
        <f t="array" ref="Q14">[1]!PropsSI("D","T",J14+273.15,"P",101325,"Water")</f>
        <v>985.55676407605165</v>
      </c>
      <c r="R14" cm="1">
        <f t="array" ref="R14">[1]!PropsSI("D","T",K14+273.15,"P",101325,"Water")</f>
        <v>987.19322492105118</v>
      </c>
      <c r="S14">
        <f t="shared" si="5"/>
        <v>986.37499449855136</v>
      </c>
      <c r="T14" cm="1">
        <f t="array" ref="T14">[1]!PropsSI("H","T",J14+273.15,"P",101325,"Water")</f>
        <v>231504.66736529843</v>
      </c>
      <c r="U14" cm="1">
        <f t="array" ref="U14">[1]!PropsSI("H","T",K14+273.15,"P",101325,"Water")</f>
        <v>217099.75654733789</v>
      </c>
      <c r="V14">
        <f t="shared" si="6"/>
        <v>378.15784566791916</v>
      </c>
    </row>
    <row r="15" spans="1:22" x14ac:dyDescent="0.2">
      <c r="A15">
        <v>46066.638086643521</v>
      </c>
      <c r="B15">
        <v>18.113543</v>
      </c>
      <c r="C15">
        <v>18.665143</v>
      </c>
      <c r="D15">
        <v>18.928588999999999</v>
      </c>
      <c r="E15">
        <v>19.196681999999999</v>
      </c>
      <c r="F15">
        <v>40.328296000000002</v>
      </c>
      <c r="G15">
        <v>37.940173000000001</v>
      </c>
      <c r="H15">
        <v>26.626947999999999</v>
      </c>
      <c r="I15">
        <v>24.217313999999998</v>
      </c>
      <c r="J15">
        <v>55.284063000000003</v>
      </c>
      <c r="K15">
        <v>51.855037000000003</v>
      </c>
      <c r="L15">
        <v>28.140075</v>
      </c>
      <c r="M15">
        <v>-622.48040900000001</v>
      </c>
      <c r="N15">
        <v>1.599558</v>
      </c>
      <c r="O15">
        <v>3.1398299999999999</v>
      </c>
      <c r="P15">
        <f t="shared" si="4"/>
        <v>2.6659300000000001E-5</v>
      </c>
      <c r="Q15" cm="1">
        <f t="array" ref="Q15">[1]!PropsSI("D","T",J15+273.15,"P",101325,"Water")</f>
        <v>985.55529506384141</v>
      </c>
      <c r="R15" cm="1">
        <f t="array" ref="R15">[1]!PropsSI("D","T",K15+273.15,"P",101325,"Water")</f>
        <v>987.18481125327492</v>
      </c>
      <c r="S15">
        <f t="shared" si="5"/>
        <v>986.37005315855822</v>
      </c>
      <c r="T15" cm="1">
        <f t="array" ref="T15">[1]!PropsSI("H","T",J15+273.15,"P",101325,"Water")</f>
        <v>231517.31275362268</v>
      </c>
      <c r="U15" cm="1">
        <f t="array" ref="U15">[1]!PropsSI("H","T",K15+273.15,"P",101325,"Water")</f>
        <v>217175.54079880862</v>
      </c>
      <c r="V15">
        <f t="shared" si="6"/>
        <v>377.13030537705083</v>
      </c>
    </row>
    <row r="18" spans="8:16" x14ac:dyDescent="0.2">
      <c r="H18" t="s">
        <v>22</v>
      </c>
    </row>
    <row r="19" spans="8:16" x14ac:dyDescent="0.2">
      <c r="H19">
        <f>AVERAGE(V2:V15)</f>
        <v>381.5658036965487</v>
      </c>
      <c r="P19" s="1"/>
    </row>
    <row r="20" spans="8:16" x14ac:dyDescent="0.2">
      <c r="P20" s="1"/>
    </row>
    <row r="21" spans="8:16" x14ac:dyDescent="0.2">
      <c r="P21" s="1"/>
    </row>
    <row r="22" spans="8:16" x14ac:dyDescent="0.2">
      <c r="P22" s="1"/>
    </row>
    <row r="23" spans="8:16" x14ac:dyDescent="0.2">
      <c r="P23" s="1"/>
    </row>
    <row r="24" spans="8:16" x14ac:dyDescent="0.2">
      <c r="P24" s="1"/>
    </row>
    <row r="25" spans="8:16" x14ac:dyDescent="0.2">
      <c r="P25" s="1"/>
    </row>
    <row r="26" spans="8:16" x14ac:dyDescent="0.2">
      <c r="P26" s="1"/>
    </row>
    <row r="27" spans="8:16" x14ac:dyDescent="0.2">
      <c r="P27" s="1"/>
    </row>
    <row r="28" spans="8:16" x14ac:dyDescent="0.2">
      <c r="P28" s="1"/>
    </row>
    <row r="29" spans="8:16" x14ac:dyDescent="0.2">
      <c r="P29" s="1"/>
    </row>
    <row r="30" spans="8:16" x14ac:dyDescent="0.2">
      <c r="P30" s="1"/>
    </row>
    <row r="31" spans="8:16" x14ac:dyDescent="0.2">
      <c r="P31" s="1"/>
    </row>
    <row r="32" spans="8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9DCB-849D-B849-A4C3-B0A28FFFB5BE}">
  <dimension ref="A1:V36"/>
  <sheetViews>
    <sheetView workbookViewId="0">
      <selection activeCell="H20" sqref="H20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44604.633888152399</v>
      </c>
      <c r="B2">
        <v>17.862233</v>
      </c>
      <c r="C2">
        <v>18.293769999999999</v>
      </c>
      <c r="D2">
        <v>19.181713999999999</v>
      </c>
      <c r="E2">
        <v>19.676580000000001</v>
      </c>
      <c r="F2">
        <v>37.140148000000003</v>
      </c>
      <c r="G2">
        <v>35.903658</v>
      </c>
      <c r="H2">
        <v>25.219301000000002</v>
      </c>
      <c r="I2">
        <v>23.426103000000001</v>
      </c>
      <c r="J2">
        <v>55.186045999999997</v>
      </c>
      <c r="K2">
        <v>50.499346000000003</v>
      </c>
      <c r="L2">
        <v>64.621105999999997</v>
      </c>
      <c r="M2">
        <v>-622.49918400000001</v>
      </c>
      <c r="N2">
        <v>1.597513</v>
      </c>
      <c r="O2">
        <v>2.5607850000000001</v>
      </c>
      <c r="P2">
        <f xml:space="preserve"> N2*0.001/60</f>
        <v>2.6625216666666667E-5</v>
      </c>
      <c r="Q2" cm="1">
        <f t="array" ref="Q2">[1]!PropsSI("D","T",J2+273.15,"P",101325,"Water")</f>
        <v>985.60289712382314</v>
      </c>
      <c r="R2" cm="1">
        <f t="array" ref="R2">[1]!PropsSI("D","T",K2+273.15,"P",101325,"Water")</f>
        <v>987.80837709693731</v>
      </c>
      <c r="S2">
        <f>(Q2+R2)/2</f>
        <v>986.70563711038017</v>
      </c>
      <c r="T2" cm="1">
        <f t="array" ref="T2">[1]!PropsSI("H","T",J2+273.15,"P",101325,"Water")</f>
        <v>231107.30352965835</v>
      </c>
      <c r="U2" cm="1">
        <f t="array" ref="U2">[1]!PropsSI("H","T",K2+273.15,"P",101325,"Water")</f>
        <v>211506.46416104061</v>
      </c>
      <c r="V2">
        <f>S2*P2*(T2-U2)</f>
        <v>514.93857819994332</v>
      </c>
    </row>
    <row r="3" spans="1:22" x14ac:dyDescent="0.2">
      <c r="A3">
        <v>44604.634003893203</v>
      </c>
      <c r="B3">
        <v>17.940556999999998</v>
      </c>
      <c r="C3">
        <v>18.372861</v>
      </c>
      <c r="D3">
        <v>19.247949999999999</v>
      </c>
      <c r="E3">
        <v>19.732609</v>
      </c>
      <c r="F3">
        <v>37.579284999999999</v>
      </c>
      <c r="G3">
        <v>36.725647000000002</v>
      </c>
      <c r="H3">
        <v>25.172039000000002</v>
      </c>
      <c r="I3">
        <v>23.792341</v>
      </c>
      <c r="J3">
        <v>55.191775</v>
      </c>
      <c r="K3">
        <v>50.498075</v>
      </c>
      <c r="L3">
        <v>66.875279000000006</v>
      </c>
      <c r="M3">
        <v>-622.50653</v>
      </c>
      <c r="N3">
        <v>1.6000700000000001</v>
      </c>
      <c r="O3">
        <v>2.571574</v>
      </c>
      <c r="P3">
        <f t="shared" ref="P3" si="0" xml:space="preserve"> N3*0.001/60</f>
        <v>2.6667833333333336E-5</v>
      </c>
      <c r="Q3" cm="1">
        <f t="array" ref="Q3">[1]!PropsSI("D","T",J3+273.15,"P",101325,"Water")</f>
        <v>985.60011646628868</v>
      </c>
      <c r="R3" cm="1">
        <f t="array" ref="R3">[1]!PropsSI("D","T",K3+273.15,"P",101325,"Water")</f>
        <v>987.80895611282892</v>
      </c>
      <c r="S3">
        <f>(Q3+R3)/2</f>
        <v>986.70453628955875</v>
      </c>
      <c r="T3" cm="1">
        <f t="array" ref="T3">[1]!PropsSI("H","T",J3+273.15,"P",101325,"Water")</f>
        <v>231131.26808045909</v>
      </c>
      <c r="U3" cm="1">
        <f t="array" ref="U3">[1]!PropsSI("H","T",K3+273.15,"P",101325,"Water")</f>
        <v>211501.14949306883</v>
      </c>
      <c r="V3">
        <f t="shared" ref="V3:V18" si="1">S3*P3*(T3-U3)</f>
        <v>516.53265219703314</v>
      </c>
    </row>
    <row r="4" spans="1:22" x14ac:dyDescent="0.2">
      <c r="A4">
        <v>44604.634119633898</v>
      </c>
      <c r="B4">
        <v>18.049216999999999</v>
      </c>
      <c r="C4">
        <v>18.561188000000001</v>
      </c>
      <c r="D4">
        <v>19.357035</v>
      </c>
      <c r="E4">
        <v>19.762682999999999</v>
      </c>
      <c r="F4">
        <v>37.201140000000002</v>
      </c>
      <c r="G4">
        <v>36.967447999999997</v>
      </c>
      <c r="H4">
        <v>25.501971999999999</v>
      </c>
      <c r="I4">
        <v>23.721526999999998</v>
      </c>
      <c r="J4">
        <v>55.196866</v>
      </c>
      <c r="K4">
        <v>50.513806000000002</v>
      </c>
      <c r="L4">
        <v>62.722425000000001</v>
      </c>
      <c r="M4">
        <v>-622.48367399999995</v>
      </c>
      <c r="N4">
        <v>1.598042</v>
      </c>
      <c r="O4">
        <v>2.7460399999999998</v>
      </c>
      <c r="P4">
        <f xml:space="preserve"> N4*0.001/60</f>
        <v>2.6634033333333333E-5</v>
      </c>
      <c r="Q4" cm="1">
        <f t="array" ref="Q4">[1]!PropsSI("D","T",J4+273.15,"P",101325,"Water")</f>
        <v>985.59764530112284</v>
      </c>
      <c r="R4" cm="1">
        <f t="array" ref="R4">[1]!PropsSI("D","T",K4+273.15,"P",101325,"Water")</f>
        <v>987.8017889674361</v>
      </c>
      <c r="S4">
        <f t="shared" ref="S4:S18" si="2">(Q4+R4)/2</f>
        <v>986.69971713427947</v>
      </c>
      <c r="T4" cm="1">
        <f t="array" ref="T4">[1]!PropsSI("H","T",J4+273.15,"P",101325,"Water")</f>
        <v>231152.56387138975</v>
      </c>
      <c r="U4" cm="1">
        <f t="array" ref="U4">[1]!PropsSI("H","T",K4+273.15,"P",101325,"Water")</f>
        <v>211566.92847354486</v>
      </c>
      <c r="V4">
        <f t="shared" si="1"/>
        <v>514.7064470870348</v>
      </c>
    </row>
    <row r="5" spans="1:22" x14ac:dyDescent="0.2">
      <c r="A5">
        <v>44604.634235374702</v>
      </c>
      <c r="B5">
        <v>18.176148999999999</v>
      </c>
      <c r="C5">
        <v>18.882463000000001</v>
      </c>
      <c r="D5">
        <v>19.386762999999998</v>
      </c>
      <c r="E5">
        <v>19.802036999999999</v>
      </c>
      <c r="F5">
        <v>37.538677</v>
      </c>
      <c r="G5">
        <v>35.581620000000001</v>
      </c>
      <c r="H5">
        <v>25.259602000000001</v>
      </c>
      <c r="I5">
        <v>23.466459</v>
      </c>
      <c r="J5">
        <v>55.202913000000002</v>
      </c>
      <c r="K5">
        <v>50.538753</v>
      </c>
      <c r="L5">
        <v>66.963029000000006</v>
      </c>
      <c r="M5">
        <v>-622.48816399999998</v>
      </c>
      <c r="N5">
        <v>1.597915</v>
      </c>
      <c r="O5">
        <v>2.8412850000000001</v>
      </c>
      <c r="P5">
        <f t="shared" ref="P5:P18" si="3" xml:space="preserve"> N5*0.001/60</f>
        <v>2.6631916666666668E-5</v>
      </c>
      <c r="Q5" cm="1">
        <f t="array" ref="Q5">[1]!PropsSI("D","T",J5+273.15,"P",101325,"Water")</f>
        <v>985.59470988608791</v>
      </c>
      <c r="R5" cm="1">
        <f t="array" ref="R5">[1]!PropsSI("D","T",K5+273.15,"P",101325,"Water")</f>
        <v>987.79041964436851</v>
      </c>
      <c r="S5">
        <f t="shared" si="2"/>
        <v>986.69256476522821</v>
      </c>
      <c r="T5" cm="1">
        <f t="array" ref="T5">[1]!PropsSI("H","T",J5+273.15,"P",101325,"Water")</f>
        <v>231177.85864846461</v>
      </c>
      <c r="U5" cm="1">
        <f t="array" ref="U5">[1]!PropsSI("H","T",K5+273.15,"P",101325,"Water")</f>
        <v>211671.24419101217</v>
      </c>
      <c r="V5">
        <f t="shared" si="1"/>
        <v>512.58533762808975</v>
      </c>
    </row>
    <row r="6" spans="1:22" x14ac:dyDescent="0.2">
      <c r="A6">
        <v>46066.634351689812</v>
      </c>
      <c r="B6">
        <v>18.374077</v>
      </c>
      <c r="C6">
        <v>18.982828999999999</v>
      </c>
      <c r="D6">
        <v>19.452746000000001</v>
      </c>
      <c r="E6">
        <v>19.785664000000001</v>
      </c>
      <c r="F6">
        <v>37.482610999999999</v>
      </c>
      <c r="G6">
        <v>36.354267</v>
      </c>
      <c r="H6">
        <v>25.647217000000001</v>
      </c>
      <c r="I6">
        <v>23.304365000000001</v>
      </c>
      <c r="J6">
        <v>55.202913000000002</v>
      </c>
      <c r="K6">
        <v>50.556232000000001</v>
      </c>
      <c r="L6">
        <v>61.394328999999999</v>
      </c>
      <c r="M6">
        <v>-622.48367399999995</v>
      </c>
      <c r="N6">
        <v>1.5971649999999999</v>
      </c>
      <c r="O6">
        <v>3.04278</v>
      </c>
      <c r="P6">
        <f t="shared" si="3"/>
        <v>2.6619416666666668E-5</v>
      </c>
      <c r="Q6" cm="1">
        <f t="array" ref="Q6">[1]!PropsSI("D","T",J6+273.15,"P",101325,"Water")</f>
        <v>985.59470988608791</v>
      </c>
      <c r="R6" cm="1">
        <f t="array" ref="R6">[1]!PropsSI("D","T",K6+273.15,"P",101325,"Water")</f>
        <v>987.78245136365433</v>
      </c>
      <c r="S6">
        <f t="shared" si="2"/>
        <v>986.68858062487107</v>
      </c>
      <c r="T6" cm="1">
        <f t="array" ref="T6">[1]!PropsSI("H","T",J6+273.15,"P",101325,"Water")</f>
        <v>231177.85864846461</v>
      </c>
      <c r="U6" cm="1">
        <f t="array" ref="U6">[1]!PropsSI("H","T",K6+273.15,"P",101325,"Water")</f>
        <v>211744.33262346228</v>
      </c>
      <c r="V6">
        <f t="shared" si="1"/>
        <v>510.42300783179837</v>
      </c>
    </row>
    <row r="7" spans="1:22" x14ac:dyDescent="0.2">
      <c r="A7">
        <v>46066.634468009259</v>
      </c>
      <c r="B7">
        <v>18.231401000000002</v>
      </c>
      <c r="C7">
        <v>18.754297999999999</v>
      </c>
      <c r="D7">
        <v>19.387701</v>
      </c>
      <c r="E7">
        <v>19.820633999999998</v>
      </c>
      <c r="F7">
        <v>37.475073000000002</v>
      </c>
      <c r="G7">
        <v>36.691228000000002</v>
      </c>
      <c r="H7">
        <v>25.767284</v>
      </c>
      <c r="I7">
        <v>23.114063999999999</v>
      </c>
      <c r="J7">
        <v>55.206572000000001</v>
      </c>
      <c r="K7">
        <v>50.569578999999997</v>
      </c>
      <c r="L7">
        <v>62.513047999999998</v>
      </c>
      <c r="M7">
        <v>-622.47918500000003</v>
      </c>
      <c r="N7">
        <v>1.594956</v>
      </c>
      <c r="O7">
        <v>2.8726600000000002</v>
      </c>
      <c r="P7">
        <f t="shared" si="3"/>
        <v>2.6582600000000002E-5</v>
      </c>
      <c r="Q7" cm="1">
        <f t="array" ref="Q7">[1]!PropsSI("D","T",J7+273.15,"P",101325,"Water")</f>
        <v>985.59293357572869</v>
      </c>
      <c r="R7" cm="1">
        <f t="array" ref="R7">[1]!PropsSI("D","T",K7+273.15,"P",101325,"Water")</f>
        <v>987.77636542747121</v>
      </c>
      <c r="S7">
        <f t="shared" si="2"/>
        <v>986.68464950160001</v>
      </c>
      <c r="T7" cm="1">
        <f t="array" ref="T7">[1]!PropsSI("H","T",J7+273.15,"P",101325,"Water")</f>
        <v>231193.16435850598</v>
      </c>
      <c r="U7" cm="1">
        <f t="array" ref="U7">[1]!PropsSI("H","T",K7+273.15,"P",101325,"Water")</f>
        <v>211800.14315940381</v>
      </c>
      <c r="V7">
        <f t="shared" si="1"/>
        <v>508.65263677866335</v>
      </c>
    </row>
    <row r="8" spans="1:22" x14ac:dyDescent="0.2">
      <c r="A8">
        <v>46066.634584328705</v>
      </c>
      <c r="B8">
        <v>18.208102</v>
      </c>
      <c r="C8">
        <v>18.929362000000001</v>
      </c>
      <c r="D8">
        <v>19.412369000000002</v>
      </c>
      <c r="E8">
        <v>19.806865999999999</v>
      </c>
      <c r="F8">
        <v>37.520316000000001</v>
      </c>
      <c r="G8">
        <v>36.170442000000001</v>
      </c>
      <c r="H8">
        <v>25.496302</v>
      </c>
      <c r="I8">
        <v>23.688571</v>
      </c>
      <c r="J8">
        <v>55.207526999999999</v>
      </c>
      <c r="K8">
        <v>50.568466999999998</v>
      </c>
      <c r="L8">
        <v>63.623196999999998</v>
      </c>
      <c r="M8">
        <v>-622.48938799999996</v>
      </c>
      <c r="N8">
        <v>1.5958570000000001</v>
      </c>
      <c r="O8">
        <v>2.5385970000000002</v>
      </c>
      <c r="P8">
        <f t="shared" si="3"/>
        <v>2.6597616666666671E-5</v>
      </c>
      <c r="Q8" cm="1">
        <f t="array" ref="Q8">[1]!PropsSI("D","T",J8+273.15,"P",101325,"Water")</f>
        <v>985.5924699445834</v>
      </c>
      <c r="R8" cm="1">
        <f t="array" ref="R8">[1]!PropsSI("D","T",K8+273.15,"P",101325,"Water")</f>
        <v>987.77687251914551</v>
      </c>
      <c r="S8">
        <f t="shared" si="2"/>
        <v>986.68467123186451</v>
      </c>
      <c r="T8" cm="1">
        <f t="array" ref="T8">[1]!PropsSI("H","T",J8+273.15,"P",101325,"Water")</f>
        <v>231197.15915383966</v>
      </c>
      <c r="U8" cm="1">
        <f t="array" ref="U8">[1]!PropsSI("H","T",K8+273.15,"P",101325,"Water")</f>
        <v>211795.4933247981</v>
      </c>
      <c r="V8">
        <f t="shared" si="1"/>
        <v>509.16685385115505</v>
      </c>
    </row>
    <row r="9" spans="1:22" x14ac:dyDescent="0.2">
      <c r="A9">
        <v>46066.634700069444</v>
      </c>
      <c r="B9">
        <v>17.991944</v>
      </c>
      <c r="C9">
        <v>18.456810000000001</v>
      </c>
      <c r="D9">
        <v>19.412655999999998</v>
      </c>
      <c r="E9">
        <v>19.78416</v>
      </c>
      <c r="F9">
        <v>37.155779000000003</v>
      </c>
      <c r="G9">
        <v>36.069693999999998</v>
      </c>
      <c r="H9">
        <v>25.177378999999998</v>
      </c>
      <c r="I9">
        <v>23.192792000000001</v>
      </c>
      <c r="J9">
        <v>55.208641</v>
      </c>
      <c r="K9">
        <v>50.572597999999999</v>
      </c>
      <c r="L9">
        <v>65.161486999999994</v>
      </c>
      <c r="M9">
        <v>-622.47959300000002</v>
      </c>
      <c r="N9">
        <v>1.59344</v>
      </c>
      <c r="O9">
        <v>2.6305130000000001</v>
      </c>
      <c r="P9">
        <f t="shared" si="3"/>
        <v>2.6557333333333334E-5</v>
      </c>
      <c r="Q9" cm="1">
        <f t="array" ref="Q9">[1]!PropsSI("D","T",J9+273.15,"P",101325,"Water")</f>
        <v>985.59192911537866</v>
      </c>
      <c r="R9" cm="1">
        <f t="array" ref="R9">[1]!PropsSI("D","T",K9+273.15,"P",101325,"Water")</f>
        <v>987.77498866938686</v>
      </c>
      <c r="S9">
        <f t="shared" si="2"/>
        <v>986.68345889238276</v>
      </c>
      <c r="T9" cm="1">
        <f t="array" ref="T9">[1]!PropsSI("H","T",J9+273.15,"P",101325,"Water")</f>
        <v>231201.81905157331</v>
      </c>
      <c r="U9" cm="1">
        <f t="array" ref="U9">[1]!PropsSI("H","T",K9+273.15,"P",101325,"Water")</f>
        <v>211812.76712768635</v>
      </c>
      <c r="V9">
        <f t="shared" si="1"/>
        <v>508.06454143881291</v>
      </c>
    </row>
    <row r="10" spans="1:22" x14ac:dyDescent="0.2">
      <c r="A10">
        <v>44604.634815814497</v>
      </c>
      <c r="B10">
        <v>18.296382000000001</v>
      </c>
      <c r="C10">
        <v>18.913862999999999</v>
      </c>
      <c r="D10">
        <v>19.451505000000001</v>
      </c>
      <c r="E10">
        <v>19.758731999999998</v>
      </c>
      <c r="F10">
        <v>37.528019</v>
      </c>
      <c r="G10">
        <v>35.644461</v>
      </c>
      <c r="H10">
        <v>25.281503000000001</v>
      </c>
      <c r="I10">
        <v>23.043873999999999</v>
      </c>
      <c r="J10">
        <v>55.213574000000001</v>
      </c>
      <c r="K10">
        <v>50.566878000000003</v>
      </c>
      <c r="L10">
        <v>64.129701999999995</v>
      </c>
      <c r="M10">
        <v>-622.51510099999996</v>
      </c>
      <c r="N10">
        <v>1.5967100000000001</v>
      </c>
      <c r="O10">
        <v>2.6559919999999999</v>
      </c>
      <c r="P10">
        <f t="shared" si="3"/>
        <v>2.6611833333333335E-5</v>
      </c>
      <c r="Q10" cm="1">
        <f t="array" ref="Q10">[1]!PropsSI("D","T",J10+273.15,"P",101325,"Water")</f>
        <v>985.58953413019799</v>
      </c>
      <c r="R10" cm="1">
        <f t="array" ref="R10">[1]!PropsSI("D","T",K10+273.15,"P",101325,"Water")</f>
        <v>987.77759711729561</v>
      </c>
      <c r="S10">
        <f t="shared" si="2"/>
        <v>986.68356562374674</v>
      </c>
      <c r="T10" cm="1">
        <f t="array" ref="T10">[1]!PropsSI("H","T",J10+273.15,"P",101325,"Water")</f>
        <v>231222.453954428</v>
      </c>
      <c r="U10" cm="1">
        <f t="array" ref="U10">[1]!PropsSI("H","T",K10+273.15,"P",101325,"Water")</f>
        <v>211788.84891247112</v>
      </c>
      <c r="V10">
        <f t="shared" si="1"/>
        <v>510.27707985966487</v>
      </c>
    </row>
    <row r="11" spans="1:22" x14ac:dyDescent="0.2">
      <c r="A11">
        <v>44604.6349315552</v>
      </c>
      <c r="B11">
        <v>18.038506000000002</v>
      </c>
      <c r="C11">
        <v>18.460512999999999</v>
      </c>
      <c r="D11">
        <v>19.315656000000001</v>
      </c>
      <c r="E11">
        <v>19.737877999999998</v>
      </c>
      <c r="F11">
        <v>37.303790999999997</v>
      </c>
      <c r="G11">
        <v>35.128270000000001</v>
      </c>
      <c r="H11">
        <v>25.357182999999999</v>
      </c>
      <c r="I11">
        <v>23.271118000000001</v>
      </c>
      <c r="J11">
        <v>55.212936999999997</v>
      </c>
      <c r="K11">
        <v>50.577365999999998</v>
      </c>
      <c r="L11">
        <v>61.397185999999998</v>
      </c>
      <c r="M11">
        <v>-622.47632799999997</v>
      </c>
      <c r="N11">
        <v>1.5944560000000001</v>
      </c>
      <c r="O11">
        <v>2.8707669999999998</v>
      </c>
      <c r="P11">
        <f t="shared" si="3"/>
        <v>2.6574266666666671E-5</v>
      </c>
      <c r="Q11" cm="1">
        <f t="array" ref="Q11">[1]!PropsSI("D","T",J11+273.15,"P",101325,"Water")</f>
        <v>985.58984340394352</v>
      </c>
      <c r="R11" cm="1">
        <f t="array" ref="R11">[1]!PropsSI("D","T",K11+273.15,"P",101325,"Water")</f>
        <v>987.77281419182054</v>
      </c>
      <c r="S11">
        <f t="shared" si="2"/>
        <v>986.68132879788209</v>
      </c>
      <c r="T11" cm="1">
        <f t="array" ref="T11">[1]!PropsSI("H","T",J11+273.15,"P",101325,"Water")</f>
        <v>231219.78936172079</v>
      </c>
      <c r="U11" cm="1">
        <f t="array" ref="U11">[1]!PropsSI("H","T",K11+273.15,"P",101325,"Water")</f>
        <v>211832.70455627507</v>
      </c>
      <c r="V11">
        <f t="shared" si="1"/>
        <v>508.33581458332213</v>
      </c>
    </row>
    <row r="12" spans="1:22" x14ac:dyDescent="0.2">
      <c r="A12">
        <v>44604.635047874603</v>
      </c>
      <c r="B12">
        <v>17.875926</v>
      </c>
      <c r="C12">
        <v>18.240144000000001</v>
      </c>
      <c r="D12">
        <v>19.209643</v>
      </c>
      <c r="E12">
        <v>19.686624999999999</v>
      </c>
      <c r="F12">
        <v>37.69885</v>
      </c>
      <c r="G12">
        <v>35.907493000000002</v>
      </c>
      <c r="H12">
        <v>25.214649000000001</v>
      </c>
      <c r="I12">
        <v>23.042985999999999</v>
      </c>
      <c r="J12">
        <v>55.211823000000003</v>
      </c>
      <c r="K12">
        <v>50.565130000000003</v>
      </c>
      <c r="L12">
        <v>60.186633999999998</v>
      </c>
      <c r="M12">
        <v>-622.51387699999998</v>
      </c>
      <c r="N12">
        <v>1.596738</v>
      </c>
      <c r="O12">
        <v>2.6638069999999998</v>
      </c>
      <c r="P12">
        <f t="shared" si="3"/>
        <v>2.6612300000000003E-5</v>
      </c>
      <c r="Q12" cm="1">
        <f t="array" ref="Q12">[1]!PropsSI("D","T",J12+273.15,"P",101325,"Water")</f>
        <v>985.5903842628004</v>
      </c>
      <c r="R12" cm="1">
        <f t="array" ref="R12">[1]!PropsSI("D","T",K12+273.15,"P",101325,"Water")</f>
        <v>987.7783942018566</v>
      </c>
      <c r="S12">
        <f t="shared" si="2"/>
        <v>986.6843892323285</v>
      </c>
      <c r="T12" cm="1">
        <f t="array" ref="T12">[1]!PropsSI("H","T",J12+273.15,"P",101325,"Water")</f>
        <v>231215.12946223875</v>
      </c>
      <c r="U12" cm="1">
        <f t="array" ref="U12">[1]!PropsSI("H","T",K12+273.15,"P",101325,"Water")</f>
        <v>211781.53964162848</v>
      </c>
      <c r="V12">
        <f t="shared" si="1"/>
        <v>510.28605437523953</v>
      </c>
    </row>
    <row r="13" spans="1:22" x14ac:dyDescent="0.2">
      <c r="A13">
        <v>44604.6351636154</v>
      </c>
      <c r="B13">
        <v>17.847892000000002</v>
      </c>
      <c r="C13">
        <v>18.234414999999998</v>
      </c>
      <c r="D13">
        <v>19.185908999999999</v>
      </c>
      <c r="E13">
        <v>19.716923000000001</v>
      </c>
      <c r="F13">
        <v>37.225915999999998</v>
      </c>
      <c r="G13">
        <v>36.249796000000003</v>
      </c>
      <c r="H13">
        <v>25.586717</v>
      </c>
      <c r="I13">
        <v>23.73433</v>
      </c>
      <c r="J13">
        <v>55.210869000000002</v>
      </c>
      <c r="K13">
        <v>50.543837000000003</v>
      </c>
      <c r="L13">
        <v>66.433667999999997</v>
      </c>
      <c r="M13">
        <v>-622.48040900000001</v>
      </c>
      <c r="N13">
        <v>1.595194</v>
      </c>
      <c r="O13">
        <v>3.0360960000000001</v>
      </c>
      <c r="P13">
        <f t="shared" si="3"/>
        <v>2.6586566666666667E-5</v>
      </c>
      <c r="Q13" cm="1">
        <f t="array" ref="Q13">[1]!PropsSI("D","T",J13+273.15,"P",101325,"Water")</f>
        <v>985.59084743384813</v>
      </c>
      <c r="R13" cm="1">
        <f t="array" ref="R13">[1]!PropsSI("D","T",K13+273.15,"P",101325,"Water")</f>
        <v>987.78810216913405</v>
      </c>
      <c r="S13">
        <f t="shared" si="2"/>
        <v>986.68947480149109</v>
      </c>
      <c r="T13" cm="1">
        <f t="array" ref="T13">[1]!PropsSI("H","T",J13+273.15,"P",101325,"Water")</f>
        <v>231211.13884849005</v>
      </c>
      <c r="U13" cm="1">
        <f t="array" ref="U13">[1]!PropsSI("H","T",K13+273.15,"P",101325,"Water")</f>
        <v>211692.50292607688</v>
      </c>
      <c r="V13">
        <f t="shared" si="1"/>
        <v>512.02623756329706</v>
      </c>
    </row>
    <row r="14" spans="1:22" x14ac:dyDescent="0.2">
      <c r="A14">
        <v>44604.635279934802</v>
      </c>
      <c r="B14">
        <v>17.706257000000001</v>
      </c>
      <c r="C14">
        <v>18.035309999999999</v>
      </c>
      <c r="D14">
        <v>19.059273000000001</v>
      </c>
      <c r="E14">
        <v>19.464528999999999</v>
      </c>
      <c r="F14">
        <v>37.059179</v>
      </c>
      <c r="G14">
        <v>35.100625000000001</v>
      </c>
      <c r="H14">
        <v>25.306933000000001</v>
      </c>
      <c r="I14">
        <v>23.759952999999999</v>
      </c>
      <c r="J14">
        <v>55.209277</v>
      </c>
      <c r="K14">
        <v>50.546697999999999</v>
      </c>
      <c r="L14">
        <v>64.795383000000001</v>
      </c>
      <c r="M14">
        <v>-622.50367300000005</v>
      </c>
      <c r="N14">
        <v>1.5966070000000001</v>
      </c>
      <c r="O14">
        <v>2.6241720000000002</v>
      </c>
      <c r="P14">
        <f t="shared" si="3"/>
        <v>2.6610116666666668E-5</v>
      </c>
      <c r="Q14" cm="1">
        <f t="array" ref="Q14">[1]!PropsSI("D","T",J14+273.15,"P",101325,"Water")</f>
        <v>985.59162034407211</v>
      </c>
      <c r="R14" cm="1">
        <f t="array" ref="R14">[1]!PropsSI("D","T",K14+273.15,"P",101325,"Water")</f>
        <v>987.78679794546804</v>
      </c>
      <c r="S14">
        <f t="shared" si="2"/>
        <v>986.68920914477007</v>
      </c>
      <c r="T14" cm="1">
        <f t="array" ref="T14">[1]!PropsSI("H","T",J14+273.15,"P",101325,"Water")</f>
        <v>231204.47946017285</v>
      </c>
      <c r="U14" cm="1">
        <f t="array" ref="U14">[1]!PropsSI("H","T",K14+273.15,"P",101325,"Water")</f>
        <v>211704.46619469297</v>
      </c>
      <c r="V14">
        <f t="shared" si="1"/>
        <v>511.990690194438</v>
      </c>
    </row>
    <row r="15" spans="1:22" x14ac:dyDescent="0.2">
      <c r="A15">
        <v>46066.63539625</v>
      </c>
      <c r="B15">
        <v>18.087092999999999</v>
      </c>
      <c r="C15">
        <v>18.609848</v>
      </c>
      <c r="D15">
        <v>19.289408999999999</v>
      </c>
      <c r="E15">
        <v>19.723472000000001</v>
      </c>
      <c r="F15">
        <v>37.362178999999998</v>
      </c>
      <c r="G15">
        <v>34.85116</v>
      </c>
      <c r="H15">
        <v>25.698848999999999</v>
      </c>
      <c r="I15">
        <v>23.756060999999999</v>
      </c>
      <c r="J15">
        <v>55.210073000000001</v>
      </c>
      <c r="K15">
        <v>50.541454000000002</v>
      </c>
      <c r="L15">
        <v>65.224749000000003</v>
      </c>
      <c r="M15">
        <v>-622.48857199999998</v>
      </c>
      <c r="N15">
        <v>1.596751</v>
      </c>
      <c r="O15">
        <v>2.7823199999999999</v>
      </c>
      <c r="P15">
        <f t="shared" si="3"/>
        <v>2.6612516666666666E-5</v>
      </c>
      <c r="Q15" cm="1">
        <f t="array" ref="Q15">[1]!PropsSI("D","T",J15+273.15,"P",101325,"Water")</f>
        <v>985.59123389093327</v>
      </c>
      <c r="R15" cm="1">
        <f t="array" ref="R15">[1]!PropsSI("D","T",K15+273.15,"P",101325,"Water")</f>
        <v>987.78918844965972</v>
      </c>
      <c r="S15">
        <f t="shared" si="2"/>
        <v>986.69021117029649</v>
      </c>
      <c r="T15" cm="1">
        <f t="array" ref="T15">[1]!PropsSI("H","T",J15+273.15,"P",101325,"Water")</f>
        <v>231207.80915419714</v>
      </c>
      <c r="U15" cm="1">
        <f t="array" ref="U15">[1]!PropsSI("H","T",K15+273.15,"P",101325,"Water")</f>
        <v>211682.53841576871</v>
      </c>
      <c r="V15">
        <f t="shared" si="1"/>
        <v>512.70060582306292</v>
      </c>
    </row>
    <row r="16" spans="1:22" x14ac:dyDescent="0.2">
      <c r="A16">
        <v>46066.635512569446</v>
      </c>
      <c r="B16">
        <v>18.197009000000001</v>
      </c>
      <c r="C16">
        <v>18.864805</v>
      </c>
      <c r="D16">
        <v>19.260522999999999</v>
      </c>
      <c r="E16">
        <v>19.714575</v>
      </c>
      <c r="F16">
        <v>37.362476000000001</v>
      </c>
      <c r="G16">
        <v>36.037602999999997</v>
      </c>
      <c r="H16">
        <v>25.287890999999998</v>
      </c>
      <c r="I16">
        <v>22.907893999999999</v>
      </c>
      <c r="J16">
        <v>55.209595999999998</v>
      </c>
      <c r="K16">
        <v>50.566560000000003</v>
      </c>
      <c r="L16">
        <v>63.003228</v>
      </c>
      <c r="M16">
        <v>-622.49632699999995</v>
      </c>
      <c r="N16">
        <v>1.5941320000000001</v>
      </c>
      <c r="O16">
        <v>2.7723580000000001</v>
      </c>
      <c r="P16">
        <f t="shared" ref="P16" si="4" xml:space="preserve"> N16*0.001/60</f>
        <v>2.6568866666666669E-5</v>
      </c>
      <c r="Q16" cm="1">
        <f t="array" ref="Q16">[1]!PropsSI("D","T",J16+273.15,"P",101325,"Water")</f>
        <v>985.59146547198793</v>
      </c>
      <c r="R16" cm="1">
        <f t="array" ref="R16">[1]!PropsSI("D","T",K16+273.15,"P",101325,"Water")</f>
        <v>987.7777421261502</v>
      </c>
      <c r="S16">
        <f t="shared" ref="S16" si="5">(Q16+R16)/2</f>
        <v>986.68460379906901</v>
      </c>
      <c r="T16" cm="1">
        <f t="array" ref="T16">[1]!PropsSI("H","T",J16+273.15,"P",101325,"Water")</f>
        <v>231205.81384759973</v>
      </c>
      <c r="U16" cm="1">
        <f t="array" ref="U16">[1]!PropsSI("H","T",K16+273.15,"P",101325,"Water")</f>
        <v>211787.51919378812</v>
      </c>
      <c r="V16">
        <f t="shared" ref="V16" si="6">S16*P16*(T16-U16)</f>
        <v>509.05237462650399</v>
      </c>
    </row>
    <row r="19" spans="8:16" x14ac:dyDescent="0.2">
      <c r="H19" s="1" t="s">
        <v>22</v>
      </c>
      <c r="P19" s="1"/>
    </row>
    <row r="20" spans="8:16" x14ac:dyDescent="0.2">
      <c r="H20" s="1">
        <f>AVERAGE(V2:V16)</f>
        <v>511.31592746920393</v>
      </c>
      <c r="P20" s="1"/>
    </row>
    <row r="21" spans="8:16" x14ac:dyDescent="0.2">
      <c r="P21" s="1"/>
    </row>
    <row r="22" spans="8:16" x14ac:dyDescent="0.2">
      <c r="P22" s="1"/>
    </row>
    <row r="23" spans="8:16" x14ac:dyDescent="0.2">
      <c r="P23" s="1"/>
    </row>
    <row r="24" spans="8:16" x14ac:dyDescent="0.2">
      <c r="P24" s="1"/>
    </row>
    <row r="25" spans="8:16" x14ac:dyDescent="0.2">
      <c r="P25" s="1"/>
    </row>
    <row r="26" spans="8:16" x14ac:dyDescent="0.2">
      <c r="P26" s="1"/>
    </row>
    <row r="27" spans="8:16" x14ac:dyDescent="0.2">
      <c r="P27" s="1"/>
    </row>
    <row r="28" spans="8:16" x14ac:dyDescent="0.2">
      <c r="P28" s="1"/>
    </row>
    <row r="29" spans="8:16" x14ac:dyDescent="0.2">
      <c r="P29" s="1"/>
    </row>
    <row r="30" spans="8:16" x14ac:dyDescent="0.2">
      <c r="P30" s="1"/>
    </row>
    <row r="31" spans="8:16" x14ac:dyDescent="0.2">
      <c r="P31" s="1"/>
    </row>
    <row r="32" spans="8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C1A3-3A52-A548-B46B-E600997278E8}">
  <dimension ref="A1:V36"/>
  <sheetViews>
    <sheetView workbookViewId="0">
      <selection activeCell="H25" sqref="H2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44604.630608059801</v>
      </c>
      <c r="B2">
        <v>18.535402000000001</v>
      </c>
      <c r="C2">
        <v>19.49119</v>
      </c>
      <c r="D2">
        <v>19.454872999999999</v>
      </c>
      <c r="E2">
        <v>19.891352999999999</v>
      </c>
      <c r="F2">
        <v>35.341732</v>
      </c>
      <c r="G2">
        <v>33.494776999999999</v>
      </c>
      <c r="H2">
        <v>24.476960999999999</v>
      </c>
      <c r="I2">
        <v>22.593675000000001</v>
      </c>
      <c r="J2">
        <v>55.141812999999999</v>
      </c>
      <c r="K2">
        <v>49.672711999999997</v>
      </c>
      <c r="L2">
        <v>113.57579699999999</v>
      </c>
      <c r="M2">
        <v>-622.49795900000004</v>
      </c>
      <c r="N2">
        <v>1.5979190000000001</v>
      </c>
      <c r="O2">
        <v>2.6537809999999999</v>
      </c>
      <c r="P2">
        <f xml:space="preserve"> N2*0.001/60</f>
        <v>2.6631983333333335E-5</v>
      </c>
      <c r="Q2" cm="1">
        <f t="array" ref="Q2">[1]!PropsSI("D","T",J2+273.15,"P",101325,"Water")</f>
        <v>985.62435943789706</v>
      </c>
      <c r="R2" cm="1">
        <f t="array" ref="R2">[1]!PropsSI("D","T",K2+273.15,"P",101325,"Water")</f>
        <v>988.18272601023943</v>
      </c>
      <c r="S2">
        <f>(Q2+R2)/2</f>
        <v>986.9035427240683</v>
      </c>
      <c r="T2" cm="1">
        <f t="array" ref="T2">[1]!PropsSI("H","T",J2+273.15,"P",101325,"Water")</f>
        <v>230922.27618237489</v>
      </c>
      <c r="U2" cm="1">
        <f t="array" ref="U2">[1]!PropsSI("H","T",K2+273.15,"P",101325,"Water")</f>
        <v>208050.00389130332</v>
      </c>
      <c r="V2">
        <f>S2*P2*(T2-U2)</f>
        <v>601.15647737956022</v>
      </c>
    </row>
    <row r="3" spans="1:22" x14ac:dyDescent="0.2">
      <c r="A3">
        <v>44604.630723800597</v>
      </c>
      <c r="B3">
        <v>18.579637000000002</v>
      </c>
      <c r="C3">
        <v>19.418208</v>
      </c>
      <c r="D3">
        <v>19.484477999999999</v>
      </c>
      <c r="E3">
        <v>19.970112</v>
      </c>
      <c r="F3">
        <v>34.985334999999999</v>
      </c>
      <c r="G3">
        <v>33.929135000000002</v>
      </c>
      <c r="H3">
        <v>24.572762999999998</v>
      </c>
      <c r="I3">
        <v>22.185555000000001</v>
      </c>
      <c r="J3">
        <v>55.146903999999999</v>
      </c>
      <c r="K3">
        <v>49.691932999999999</v>
      </c>
      <c r="L3">
        <v>116.96746400000001</v>
      </c>
      <c r="M3">
        <v>-622.50653</v>
      </c>
      <c r="N3">
        <v>1.5950219999999999</v>
      </c>
      <c r="O3">
        <v>2.7247669999999999</v>
      </c>
      <c r="P3">
        <f t="shared" ref="P3" si="0" xml:space="preserve"> N3*0.001/60</f>
        <v>2.6583700000000001E-5</v>
      </c>
      <c r="Q3" cm="1">
        <f t="array" ref="Q3">[1]!PropsSI("D","T",J3+273.15,"P",101325,"Water")</f>
        <v>985.62188984898057</v>
      </c>
      <c r="R3" cm="1">
        <f t="array" ref="R3">[1]!PropsSI("D","T",K3+273.15,"P",101325,"Water")</f>
        <v>988.17407252681971</v>
      </c>
      <c r="S3">
        <f>(Q3+R3)/2</f>
        <v>986.89798118790009</v>
      </c>
      <c r="T3" cm="1">
        <f t="array" ref="T3">[1]!PropsSI("H","T",J3+273.15,"P",101325,"Water")</f>
        <v>230943.57188061852</v>
      </c>
      <c r="U3" cm="1">
        <f t="array" ref="U3">[1]!PropsSI("H","T",K3+273.15,"P",101325,"Water")</f>
        <v>208130.37176021634</v>
      </c>
      <c r="V3">
        <f t="shared" ref="V3:V18" si="1">S3*P3*(T3-U3)</f>
        <v>598.51342730209331</v>
      </c>
    </row>
    <row r="4" spans="1:22" x14ac:dyDescent="0.2">
      <c r="A4">
        <v>44604.6308395413</v>
      </c>
      <c r="B4">
        <v>18.414224000000001</v>
      </c>
      <c r="C4">
        <v>19.125437999999999</v>
      </c>
      <c r="D4">
        <v>19.413307</v>
      </c>
      <c r="E4">
        <v>19.912099999999999</v>
      </c>
      <c r="F4">
        <v>35.187913000000002</v>
      </c>
      <c r="G4">
        <v>33.595509</v>
      </c>
      <c r="H4">
        <v>24.428169</v>
      </c>
      <c r="I4">
        <v>21.912855</v>
      </c>
      <c r="J4">
        <v>55.154859999999999</v>
      </c>
      <c r="K4">
        <v>49.703370999999997</v>
      </c>
      <c r="L4">
        <v>112.166072</v>
      </c>
      <c r="M4">
        <v>-622.47877700000004</v>
      </c>
      <c r="N4">
        <v>1.5972919999999999</v>
      </c>
      <c r="O4">
        <v>2.5157099999999999</v>
      </c>
      <c r="P4">
        <f xml:space="preserve"> N4*0.001/60</f>
        <v>2.6621533333333333E-5</v>
      </c>
      <c r="Q4" cm="1">
        <f t="array" ref="Q4">[1]!PropsSI("D","T",J4+273.15,"P",101325,"Water")</f>
        <v>985.61803015792464</v>
      </c>
      <c r="R4" cm="1">
        <f t="array" ref="R4">[1]!PropsSI("D","T",K4+273.15,"P",101325,"Water")</f>
        <v>988.16892187234862</v>
      </c>
      <c r="S4">
        <f t="shared" ref="S4:S18" si="2">(Q4+R4)/2</f>
        <v>986.89347601513668</v>
      </c>
      <c r="T4" cm="1">
        <f t="array" ref="T4">[1]!PropsSI("H","T",J4+273.15,"P",101325,"Water")</f>
        <v>230976.85191818574</v>
      </c>
      <c r="U4" cm="1">
        <f t="array" ref="U4">[1]!PropsSI("H","T",K4+273.15,"P",101325,"Water")</f>
        <v>208178.19698375309</v>
      </c>
      <c r="V4">
        <f t="shared" si="1"/>
        <v>598.98034216138933</v>
      </c>
    </row>
    <row r="5" spans="1:22" x14ac:dyDescent="0.2">
      <c r="A5">
        <v>44604.630955860797</v>
      </c>
      <c r="B5">
        <v>18.346077000000001</v>
      </c>
      <c r="C5">
        <v>18.877649000000002</v>
      </c>
      <c r="D5">
        <v>19.464929000000001</v>
      </c>
      <c r="E5">
        <v>19.899173000000001</v>
      </c>
      <c r="F5">
        <v>34.572355999999999</v>
      </c>
      <c r="G5">
        <v>34.538952000000002</v>
      </c>
      <c r="H5">
        <v>24.471205999999999</v>
      </c>
      <c r="I5">
        <v>22.271719000000001</v>
      </c>
      <c r="J5">
        <v>55.162497000000002</v>
      </c>
      <c r="K5">
        <v>49.700512000000003</v>
      </c>
      <c r="L5">
        <v>119.280818</v>
      </c>
      <c r="M5">
        <v>-622.49265300000002</v>
      </c>
      <c r="N5">
        <v>1.5946279999999999</v>
      </c>
      <c r="O5">
        <v>2.7306499999999998</v>
      </c>
      <c r="P5">
        <f t="shared" ref="P5:P18" si="3" xml:space="preserve"> N5*0.001/60</f>
        <v>2.6577133333333333E-5</v>
      </c>
      <c r="Q5" cm="1">
        <f t="array" ref="Q5">[1]!PropsSI("D","T",J5+273.15,"P",101325,"Water")</f>
        <v>985.61432485418914</v>
      </c>
      <c r="R5" cm="1">
        <f t="array" ref="R5">[1]!PropsSI("D","T",K5+273.15,"P",101325,"Water")</f>
        <v>988.1702093915311</v>
      </c>
      <c r="S5">
        <f t="shared" si="2"/>
        <v>986.89226712286018</v>
      </c>
      <c r="T5" cm="1">
        <f t="array" ref="T5">[1]!PropsSI("H","T",J5+273.15,"P",101325,"Water")</f>
        <v>231008.79759688413</v>
      </c>
      <c r="U5" cm="1">
        <f t="array" ref="U5">[1]!PropsSI("H","T",K5+273.15,"P",101325,"Water")</f>
        <v>208166.24276509916</v>
      </c>
      <c r="V5">
        <f t="shared" si="1"/>
        <v>599.13205679559837</v>
      </c>
    </row>
    <row r="6" spans="1:22" x14ac:dyDescent="0.2">
      <c r="A6">
        <v>46066.631072175929</v>
      </c>
      <c r="B6">
        <v>18.070422000000001</v>
      </c>
      <c r="C6">
        <v>18.624186000000002</v>
      </c>
      <c r="D6">
        <v>19.472107000000001</v>
      </c>
      <c r="E6">
        <v>19.948809000000001</v>
      </c>
      <c r="F6">
        <v>35.055804999999999</v>
      </c>
      <c r="G6">
        <v>32.805753000000003</v>
      </c>
      <c r="H6">
        <v>24.776121</v>
      </c>
      <c r="I6">
        <v>22.187766</v>
      </c>
      <c r="J6">
        <v>55.172522000000001</v>
      </c>
      <c r="K6">
        <v>49.693840000000002</v>
      </c>
      <c r="L6">
        <v>117.34581300000001</v>
      </c>
      <c r="M6">
        <v>-622.47673599999996</v>
      </c>
      <c r="N6">
        <v>1.5959350000000001</v>
      </c>
      <c r="O6">
        <v>2.917316</v>
      </c>
      <c r="P6">
        <f t="shared" si="3"/>
        <v>2.659891666666667E-5</v>
      </c>
      <c r="Q6" cm="1">
        <f t="array" ref="Q6">[1]!PropsSI("D","T",J6+273.15,"P",101325,"Water")</f>
        <v>985.60946039688258</v>
      </c>
      <c r="R6" cm="1">
        <f t="array" ref="R6">[1]!PropsSI("D","T",K6+273.15,"P",101325,"Water")</f>
        <v>988.17321384402305</v>
      </c>
      <c r="S6">
        <f t="shared" si="2"/>
        <v>986.89133712045282</v>
      </c>
      <c r="T6" cm="1">
        <f t="array" ref="T6">[1]!PropsSI("H","T",J6+273.15,"P",101325,"Water")</f>
        <v>231050.73234540169</v>
      </c>
      <c r="U6" cm="1">
        <f t="array" ref="U6">[1]!PropsSI("H","T",K6+273.15,"P",101325,"Water")</f>
        <v>208138.345415802</v>
      </c>
      <c r="V6">
        <f t="shared" si="1"/>
        <v>601.4556658445423</v>
      </c>
    </row>
    <row r="7" spans="1:22" x14ac:dyDescent="0.2">
      <c r="A7">
        <v>46066.631188495368</v>
      </c>
      <c r="B7">
        <v>18.126487999999998</v>
      </c>
      <c r="C7">
        <v>18.674500999999999</v>
      </c>
      <c r="D7">
        <v>19.427696000000001</v>
      </c>
      <c r="E7">
        <v>19.917186999999998</v>
      </c>
      <c r="F7">
        <v>34.883561999999998</v>
      </c>
      <c r="G7">
        <v>33.244635000000002</v>
      </c>
      <c r="H7">
        <v>24.689513000000002</v>
      </c>
      <c r="I7">
        <v>22.465617999999999</v>
      </c>
      <c r="J7">
        <v>55.178409000000002</v>
      </c>
      <c r="K7">
        <v>49.698287999999998</v>
      </c>
      <c r="L7">
        <v>112.69053599999999</v>
      </c>
      <c r="M7">
        <v>-622.50693799999999</v>
      </c>
      <c r="N7">
        <v>1.595845</v>
      </c>
      <c r="O7">
        <v>2.5229159999999999</v>
      </c>
      <c r="P7">
        <f t="shared" si="3"/>
        <v>2.6597416666666667E-5</v>
      </c>
      <c r="Q7" cm="1">
        <f t="array" ref="Q7">[1]!PropsSI("D","T",J7+273.15,"P",101325,"Water")</f>
        <v>985.6066035420597</v>
      </c>
      <c r="R7" cm="1">
        <f t="array" ref="R7">[1]!PropsSI("D","T",K7+273.15,"P",101325,"Water")</f>
        <v>988.17121090824276</v>
      </c>
      <c r="S7">
        <f t="shared" si="2"/>
        <v>986.88890722515123</v>
      </c>
      <c r="T7" cm="1">
        <f t="array" ref="T7">[1]!PropsSI("H","T",J7+273.15,"P",101325,"Water")</f>
        <v>231075.35778544471</v>
      </c>
      <c r="U7" cm="1">
        <f t="array" ref="U7">[1]!PropsSI("H","T",K7+273.15,"P",101325,"Water")</f>
        <v>208156.94364727577</v>
      </c>
      <c r="V7">
        <f t="shared" si="1"/>
        <v>601.57847334931591</v>
      </c>
    </row>
    <row r="8" spans="1:22" x14ac:dyDescent="0.2">
      <c r="A8">
        <v>46066.631304236114</v>
      </c>
      <c r="B8">
        <v>17.915603000000001</v>
      </c>
      <c r="C8">
        <v>18.275711999999999</v>
      </c>
      <c r="D8">
        <v>19.404693000000002</v>
      </c>
      <c r="E8">
        <v>19.933931000000001</v>
      </c>
      <c r="F8">
        <v>34.512889999999999</v>
      </c>
      <c r="G8">
        <v>32.896312999999999</v>
      </c>
      <c r="H8">
        <v>24.989373000000001</v>
      </c>
      <c r="I8">
        <v>21.806989000000002</v>
      </c>
      <c r="J8">
        <v>55.179682</v>
      </c>
      <c r="K8">
        <v>49.688597000000001</v>
      </c>
      <c r="L8">
        <v>121.16766200000001</v>
      </c>
      <c r="M8">
        <v>-622.50938699999995</v>
      </c>
      <c r="N8">
        <v>1.594903</v>
      </c>
      <c r="O8">
        <v>2.4686279999999998</v>
      </c>
      <c r="P8">
        <f t="shared" si="3"/>
        <v>2.6581716666666667E-5</v>
      </c>
      <c r="Q8" cm="1">
        <f t="array" ref="Q8">[1]!PropsSI("D","T",J8+273.15,"P",101325,"Water")</f>
        <v>985.60598574989308</v>
      </c>
      <c r="R8" cm="1">
        <f t="array" ref="R8">[1]!PropsSI("D","T",K8+273.15,"P",101325,"Water")</f>
        <v>988.17557460128148</v>
      </c>
      <c r="S8">
        <f t="shared" si="2"/>
        <v>986.89078017558722</v>
      </c>
      <c r="T8" cm="1">
        <f t="array" ref="T8">[1]!PropsSI("H","T",J8+273.15,"P",101325,"Water")</f>
        <v>231080.68277180975</v>
      </c>
      <c r="U8" cm="1">
        <f t="array" ref="U8">[1]!PropsSI("H","T",K8+273.15,"P",101325,"Water")</f>
        <v>208116.42309196628</v>
      </c>
      <c r="V8">
        <f t="shared" si="1"/>
        <v>602.42719049713537</v>
      </c>
    </row>
    <row r="9" spans="1:22" x14ac:dyDescent="0.2">
      <c r="A9">
        <v>46066.631420555554</v>
      </c>
      <c r="B9">
        <v>17.799284</v>
      </c>
      <c r="C9">
        <v>18.253285999999999</v>
      </c>
      <c r="D9">
        <v>19.401191000000001</v>
      </c>
      <c r="E9">
        <v>19.876335000000001</v>
      </c>
      <c r="F9">
        <v>34.36947</v>
      </c>
      <c r="G9">
        <v>32.892983999999998</v>
      </c>
      <c r="H9">
        <v>25.127435999999999</v>
      </c>
      <c r="I9">
        <v>21.855609000000001</v>
      </c>
      <c r="J9">
        <v>55.181908999999997</v>
      </c>
      <c r="K9">
        <v>49.655714000000003</v>
      </c>
      <c r="L9">
        <v>109.04010599999999</v>
      </c>
      <c r="M9">
        <v>-622.50489800000003</v>
      </c>
      <c r="N9">
        <v>1.5967340000000001</v>
      </c>
      <c r="O9">
        <v>2.845402</v>
      </c>
      <c r="P9">
        <f t="shared" si="3"/>
        <v>2.6612233333333332E-5</v>
      </c>
      <c r="Q9" cm="1">
        <f t="array" ref="Q9">[1]!PropsSI("D","T",J9+273.15,"P",101325,"Water")</f>
        <v>985.60490495344527</v>
      </c>
      <c r="R9" cm="1">
        <f t="array" ref="R9">[1]!PropsSI("D","T",K9+273.15,"P",101325,"Water")</f>
        <v>988.19037665037433</v>
      </c>
      <c r="S9">
        <f t="shared" si="2"/>
        <v>986.8976408019098</v>
      </c>
      <c r="T9" cm="1">
        <f t="array" ref="T9">[1]!PropsSI("H","T",J9+273.15,"P",101325,"Water")</f>
        <v>231089.99836218901</v>
      </c>
      <c r="U9" cm="1">
        <f t="array" ref="U9">[1]!PropsSI("H","T",K9+273.15,"P",101325,"Water")</f>
        <v>207978.93103377506</v>
      </c>
      <c r="V9">
        <f t="shared" si="1"/>
        <v>606.97867910786601</v>
      </c>
    </row>
    <row r="10" spans="1:22" x14ac:dyDescent="0.2">
      <c r="A10">
        <v>44604.6315363006</v>
      </c>
      <c r="B10">
        <v>17.495542</v>
      </c>
      <c r="C10">
        <v>17.909423</v>
      </c>
      <c r="D10">
        <v>19.144210000000001</v>
      </c>
      <c r="E10">
        <v>19.569161000000001</v>
      </c>
      <c r="F10">
        <v>34.304532999999999</v>
      </c>
      <c r="G10">
        <v>33.756036000000002</v>
      </c>
      <c r="H10">
        <v>24.242744999999999</v>
      </c>
      <c r="I10">
        <v>22.048327</v>
      </c>
      <c r="J10">
        <v>55.184773999999997</v>
      </c>
      <c r="K10">
        <v>49.640464000000001</v>
      </c>
      <c r="L10">
        <v>114.281476</v>
      </c>
      <c r="M10">
        <v>-622.50163299999997</v>
      </c>
      <c r="N10">
        <v>1.594042</v>
      </c>
      <c r="O10">
        <v>2.6333470000000001</v>
      </c>
      <c r="P10">
        <f t="shared" si="3"/>
        <v>2.6567366666666666E-5</v>
      </c>
      <c r="Q10" cm="1">
        <f t="array" ref="Q10">[1]!PropsSI("D","T",J10+273.15,"P",101325,"Water")</f>
        <v>985.603514480846</v>
      </c>
      <c r="R10" cm="1">
        <f t="array" ref="R10">[1]!PropsSI("D","T",K10+273.15,"P",101325,"Water")</f>
        <v>988.19723891276624</v>
      </c>
      <c r="S10">
        <f t="shared" si="2"/>
        <v>986.90037669680612</v>
      </c>
      <c r="T10" cm="1">
        <f t="array" ref="T10">[1]!PropsSI("H","T",J10+273.15,"P",101325,"Water")</f>
        <v>231101.98272324839</v>
      </c>
      <c r="U10" cm="1">
        <f t="array" ref="U10">[1]!PropsSI("H","T",K10+273.15,"P",101325,"Water")</f>
        <v>207915.16706630768</v>
      </c>
      <c r="V10">
        <f t="shared" si="1"/>
        <v>607.94309994292939</v>
      </c>
    </row>
    <row r="11" spans="1:22" x14ac:dyDescent="0.2">
      <c r="A11">
        <v>44604.631652620003</v>
      </c>
      <c r="B11">
        <v>17.551311999999999</v>
      </c>
      <c r="C11">
        <v>17.798013999999998</v>
      </c>
      <c r="D11">
        <v>19.269376000000001</v>
      </c>
      <c r="E11">
        <v>19.702393000000001</v>
      </c>
      <c r="F11">
        <v>34.583618999999999</v>
      </c>
      <c r="G11">
        <v>32.876192000000003</v>
      </c>
      <c r="H11">
        <v>24.714623</v>
      </c>
      <c r="I11">
        <v>22.290213000000001</v>
      </c>
      <c r="J11">
        <v>55.188115000000003</v>
      </c>
      <c r="K11">
        <v>49.624420000000001</v>
      </c>
      <c r="L11">
        <v>117.28295900000001</v>
      </c>
      <c r="M11">
        <v>-622.49183700000003</v>
      </c>
      <c r="N11">
        <v>1.5951029999999999</v>
      </c>
      <c r="O11">
        <v>2.5860859999999999</v>
      </c>
      <c r="P11">
        <f t="shared" si="3"/>
        <v>2.6585050000000001E-5</v>
      </c>
      <c r="Q11" cm="1">
        <f t="array" ref="Q11">[1]!PropsSI("D","T",J11+273.15,"P",101325,"Water")</f>
        <v>985.60189292655264</v>
      </c>
      <c r="R11" cm="1">
        <f t="array" ref="R11">[1]!PropsSI("D","T",K11+273.15,"P",101325,"Water")</f>
        <v>988.2044568092582</v>
      </c>
      <c r="S11">
        <f t="shared" si="2"/>
        <v>986.90317486790536</v>
      </c>
      <c r="T11" cm="1">
        <f t="array" ref="T11">[1]!PropsSI("H","T",J11+273.15,"P",101325,"Water")</f>
        <v>231115.95820716827</v>
      </c>
      <c r="U11" cm="1">
        <f t="array" ref="U11">[1]!PropsSI("H","T",K11+273.15,"P",101325,"Water")</f>
        <v>207848.08326089391</v>
      </c>
      <c r="V11">
        <f t="shared" si="1"/>
        <v>610.47621593587019</v>
      </c>
    </row>
    <row r="12" spans="1:22" x14ac:dyDescent="0.2">
      <c r="A12">
        <v>44604.6317689395</v>
      </c>
      <c r="B12">
        <v>17.573748999999999</v>
      </c>
      <c r="C12">
        <v>18.033902000000001</v>
      </c>
      <c r="D12">
        <v>19.35604</v>
      </c>
      <c r="E12">
        <v>19.793901999999999</v>
      </c>
      <c r="F12">
        <v>34.074097999999999</v>
      </c>
      <c r="G12">
        <v>31.260995999999999</v>
      </c>
      <c r="H12">
        <v>24.642403000000002</v>
      </c>
      <c r="I12">
        <v>22.411055000000001</v>
      </c>
      <c r="J12">
        <v>55.190502000000002</v>
      </c>
      <c r="K12">
        <v>49.631092000000002</v>
      </c>
      <c r="L12">
        <v>124.41403</v>
      </c>
      <c r="M12">
        <v>-622.49428599999999</v>
      </c>
      <c r="N12">
        <v>1.5959479999999999</v>
      </c>
      <c r="O12">
        <v>2.6691699999999998</v>
      </c>
      <c r="P12">
        <f t="shared" si="3"/>
        <v>2.6599133333333334E-5</v>
      </c>
      <c r="Q12" cm="1">
        <f t="array" ref="Q12">[1]!PropsSI("D","T",J12+273.15,"P",101325,"Water")</f>
        <v>985.60073435381685</v>
      </c>
      <c r="R12" cm="1">
        <f t="array" ref="R12">[1]!PropsSI("D","T",K12+273.15,"P",101325,"Water")</f>
        <v>988.20145540679925</v>
      </c>
      <c r="S12">
        <f t="shared" si="2"/>
        <v>986.90109488030805</v>
      </c>
      <c r="T12" cm="1">
        <f t="array" ref="T12">[1]!PropsSI("H","T",J12+273.15,"P",101325,"Water")</f>
        <v>231125.94308853042</v>
      </c>
      <c r="U12" cm="1">
        <f t="array" ref="U12">[1]!PropsSI("H","T",K12+273.15,"P",101325,"Water")</f>
        <v>207875.98048170019</v>
      </c>
      <c r="V12">
        <f t="shared" si="1"/>
        <v>610.32811447426673</v>
      </c>
    </row>
    <row r="13" spans="1:22" x14ac:dyDescent="0.2">
      <c r="A13">
        <v>44604.631885258903</v>
      </c>
      <c r="B13">
        <v>17.896961999999998</v>
      </c>
      <c r="C13">
        <v>18.297533000000001</v>
      </c>
      <c r="D13">
        <v>19.475777000000001</v>
      </c>
      <c r="E13">
        <v>19.851911000000001</v>
      </c>
      <c r="F13">
        <v>34.610227000000002</v>
      </c>
      <c r="G13">
        <v>33.411454999999997</v>
      </c>
      <c r="H13">
        <v>24.817007</v>
      </c>
      <c r="I13">
        <v>22.636319</v>
      </c>
      <c r="J13">
        <v>55.191456000000002</v>
      </c>
      <c r="K13">
        <v>49.644753000000001</v>
      </c>
      <c r="L13">
        <v>111.374683</v>
      </c>
      <c r="M13">
        <v>-622.493878</v>
      </c>
      <c r="N13">
        <v>1.594436</v>
      </c>
      <c r="O13">
        <v>3.0298940000000001</v>
      </c>
      <c r="P13">
        <f t="shared" si="3"/>
        <v>2.6573933333333333E-5</v>
      </c>
      <c r="Q13" cm="1">
        <f t="array" ref="Q13">[1]!PropsSI("D","T",J13+273.15,"P",101325,"Water")</f>
        <v>985.60027130312517</v>
      </c>
      <c r="R13" cm="1">
        <f t="array" ref="R13">[1]!PropsSI("D","T",K13+273.15,"P",101325,"Water")</f>
        <v>988.19530908443573</v>
      </c>
      <c r="S13">
        <f t="shared" si="2"/>
        <v>986.89779019378045</v>
      </c>
      <c r="T13" cm="1">
        <f t="array" ref="T13">[1]!PropsSI("H","T",J13+273.15,"P",101325,"Water")</f>
        <v>231129.93369517478</v>
      </c>
      <c r="U13" cm="1">
        <f t="array" ref="U13">[1]!PropsSI("H","T",K13+273.15,"P",101325,"Water")</f>
        <v>207933.10041435494</v>
      </c>
      <c r="V13">
        <f t="shared" si="1"/>
        <v>608.354491530622</v>
      </c>
    </row>
    <row r="14" spans="1:22" x14ac:dyDescent="0.2">
      <c r="A14">
        <v>44604.632000999598</v>
      </c>
      <c r="B14">
        <v>17.990583000000001</v>
      </c>
      <c r="C14">
        <v>18.488361000000001</v>
      </c>
      <c r="D14">
        <v>19.400492</v>
      </c>
      <c r="E14">
        <v>19.814533999999998</v>
      </c>
      <c r="F14">
        <v>34.743031999999999</v>
      </c>
      <c r="G14">
        <v>32.041791000000003</v>
      </c>
      <c r="H14">
        <v>25.048839999999998</v>
      </c>
      <c r="I14">
        <v>22.414093000000001</v>
      </c>
      <c r="J14">
        <v>55.192570000000003</v>
      </c>
      <c r="K14">
        <v>49.668422999999997</v>
      </c>
      <c r="L14">
        <v>115.11041400000001</v>
      </c>
      <c r="M14">
        <v>-622.49795900000004</v>
      </c>
      <c r="N14">
        <v>1.5930299999999999</v>
      </c>
      <c r="O14">
        <v>2.8228080000000002</v>
      </c>
      <c r="P14">
        <f t="shared" si="3"/>
        <v>2.6550499999999999E-5</v>
      </c>
      <c r="Q14" cm="1">
        <f t="array" ref="Q14">[1]!PropsSI("D","T",J14+273.15,"P",101325,"Water")</f>
        <v>985.59973058482831</v>
      </c>
      <c r="R14" cm="1">
        <f t="array" ref="R14">[1]!PropsSI("D","T",K14+273.15,"P",101325,"Water")</f>
        <v>988.18465662831295</v>
      </c>
      <c r="S14">
        <f t="shared" si="2"/>
        <v>986.89219360657057</v>
      </c>
      <c r="T14" cm="1">
        <f t="array" ref="T14">[1]!PropsSI("H","T",J14+273.15,"P",101325,"Water")</f>
        <v>231134.59358640719</v>
      </c>
      <c r="U14" cm="1">
        <f t="array" ref="U14">[1]!PropsSI("H","T",K14+273.15,"P",101325,"Water")</f>
        <v>208032.07051004242</v>
      </c>
      <c r="V14">
        <f t="shared" si="1"/>
        <v>605.34342626569355</v>
      </c>
    </row>
    <row r="15" spans="1:22" x14ac:dyDescent="0.2">
      <c r="A15">
        <v>46066.632117314817</v>
      </c>
      <c r="B15">
        <v>17.995063999999999</v>
      </c>
      <c r="C15">
        <v>18.512342</v>
      </c>
      <c r="D15">
        <v>19.359864999999999</v>
      </c>
      <c r="E15">
        <v>19.808147999999999</v>
      </c>
      <c r="F15">
        <v>34.593383000000003</v>
      </c>
      <c r="G15">
        <v>32.350603</v>
      </c>
      <c r="H15">
        <v>24.579032999999999</v>
      </c>
      <c r="I15">
        <v>22.223420000000001</v>
      </c>
      <c r="J15">
        <v>55.190502000000002</v>
      </c>
      <c r="K15">
        <v>49.679065999999999</v>
      </c>
      <c r="L15">
        <v>113.537432</v>
      </c>
      <c r="M15">
        <v>-622.50163299999997</v>
      </c>
      <c r="N15">
        <v>1.5953170000000001</v>
      </c>
      <c r="O15">
        <v>3.0265520000000001</v>
      </c>
      <c r="P15">
        <f t="shared" si="3"/>
        <v>2.6588616666666668E-5</v>
      </c>
      <c r="Q15" cm="1">
        <f t="array" ref="Q15">[1]!PropsSI("D","T",J15+273.15,"P",101325,"Water")</f>
        <v>985.60073435381685</v>
      </c>
      <c r="R15" cm="1">
        <f t="array" ref="R15">[1]!PropsSI("D","T",K15+273.15,"P",101325,"Water")</f>
        <v>988.1798656460154</v>
      </c>
      <c r="S15">
        <f t="shared" si="2"/>
        <v>986.89029999991612</v>
      </c>
      <c r="T15" cm="1">
        <f t="array" ref="T15">[1]!PropsSI("H","T",J15+273.15,"P",101325,"Water")</f>
        <v>231125.94308853042</v>
      </c>
      <c r="U15" cm="1">
        <f t="array" ref="U15">[1]!PropsSI("H","T",K15+273.15,"P",101325,"Water")</f>
        <v>208076.57156314419</v>
      </c>
      <c r="V15">
        <f t="shared" si="1"/>
        <v>604.81661240121866</v>
      </c>
    </row>
    <row r="16" spans="1:22" x14ac:dyDescent="0.2">
      <c r="A16">
        <v>46066.632233634256</v>
      </c>
      <c r="B16">
        <v>18.482282000000001</v>
      </c>
      <c r="C16">
        <v>19.080416</v>
      </c>
      <c r="D16">
        <v>19.440556999999998</v>
      </c>
      <c r="E16">
        <v>19.866112999999999</v>
      </c>
      <c r="F16">
        <v>34.983134</v>
      </c>
      <c r="G16">
        <v>33.833595000000003</v>
      </c>
      <c r="H16">
        <v>24.934562</v>
      </c>
      <c r="I16">
        <v>22.361644999999999</v>
      </c>
      <c r="J16">
        <v>55.187956</v>
      </c>
      <c r="K16">
        <v>49.699081999999997</v>
      </c>
      <c r="L16">
        <v>114.121893</v>
      </c>
      <c r="M16">
        <v>-622.50938699999995</v>
      </c>
      <c r="N16">
        <v>1.5952550000000001</v>
      </c>
      <c r="O16">
        <v>2.843712</v>
      </c>
      <c r="P16">
        <f t="shared" si="3"/>
        <v>2.6587583333333336E-5</v>
      </c>
      <c r="Q16" cm="1">
        <f t="array" ref="Q16">[1]!PropsSI("D","T",J16+273.15,"P",101325,"Water")</f>
        <v>985.60197009876481</v>
      </c>
      <c r="R16" cm="1">
        <f t="array" ref="R16">[1]!PropsSI("D","T",K16+273.15,"P",101325,"Water")</f>
        <v>988.17085335611307</v>
      </c>
      <c r="S16">
        <f t="shared" si="2"/>
        <v>986.88641172743894</v>
      </c>
      <c r="T16" cm="1">
        <f t="array" ref="T16">[1]!PropsSI("H","T",J16+273.15,"P",101325,"Water")</f>
        <v>231115.2931062892</v>
      </c>
      <c r="U16" cm="1">
        <f t="array" ref="U16">[1]!PropsSI("H","T",K16+273.15,"P",101325,"Water")</f>
        <v>208160.26356596299</v>
      </c>
      <c r="V16">
        <f t="shared" si="1"/>
        <v>602.31529187810497</v>
      </c>
    </row>
    <row r="17" spans="1:22" x14ac:dyDescent="0.2">
      <c r="A17">
        <v>46066.632349953703</v>
      </c>
      <c r="B17">
        <v>18.599895</v>
      </c>
      <c r="C17">
        <v>19.167670000000001</v>
      </c>
      <c r="D17">
        <v>19.493065000000001</v>
      </c>
      <c r="E17">
        <v>19.951933</v>
      </c>
      <c r="F17">
        <v>35.009467999999998</v>
      </c>
      <c r="G17">
        <v>32.595747000000003</v>
      </c>
      <c r="H17">
        <v>25.342618000000002</v>
      </c>
      <c r="I17">
        <v>22.402415999999999</v>
      </c>
      <c r="J17">
        <v>55.186045999999997</v>
      </c>
      <c r="K17">
        <v>49.722909999999999</v>
      </c>
      <c r="L17">
        <v>117.254389</v>
      </c>
      <c r="M17">
        <v>-622.49347</v>
      </c>
      <c r="N17">
        <v>1.596689</v>
      </c>
      <c r="O17">
        <v>2.5804179999999999</v>
      </c>
      <c r="P17">
        <f t="shared" ref="P17:P21" si="4" xml:space="preserve"> N17*0.001/60</f>
        <v>2.6611483333333334E-5</v>
      </c>
      <c r="Q17" cm="1">
        <f t="array" ref="Q17">[1]!PropsSI("D","T",J17+273.15,"P",101325,"Water")</f>
        <v>985.60289712382314</v>
      </c>
      <c r="R17" cm="1">
        <f t="array" ref="R17">[1]!PropsSI("D","T",K17+273.15,"P",101325,"Water")</f>
        <v>988.16012125856014</v>
      </c>
      <c r="S17">
        <f t="shared" ref="S17:S21" si="5">(Q17+R17)/2</f>
        <v>986.88150919119164</v>
      </c>
      <c r="T17" cm="1">
        <f t="array" ref="T17">[1]!PropsSI("H","T",J17+273.15,"P",101325,"Water")</f>
        <v>231107.30352965835</v>
      </c>
      <c r="U17" cm="1">
        <f t="array" ref="U17">[1]!PropsSI("H","T",K17+273.15,"P",101325,"Water")</f>
        <v>208259.89465860091</v>
      </c>
      <c r="V17">
        <f t="shared" ref="V17:V21" si="6">S17*P17*(T17-U17)</f>
        <v>600.02735283762217</v>
      </c>
    </row>
    <row r="18" spans="1:22" x14ac:dyDescent="0.2">
      <c r="A18">
        <v>46066.632465694442</v>
      </c>
      <c r="B18">
        <v>18.31916</v>
      </c>
      <c r="C18">
        <v>19.143273000000001</v>
      </c>
      <c r="D18">
        <v>19.404769000000002</v>
      </c>
      <c r="E18">
        <v>19.800255</v>
      </c>
      <c r="F18">
        <v>34.561621000000002</v>
      </c>
      <c r="G18">
        <v>33.470596</v>
      </c>
      <c r="H18">
        <v>24.783588000000002</v>
      </c>
      <c r="I18">
        <v>22.174344999999999</v>
      </c>
      <c r="J18">
        <v>55.187001000000002</v>
      </c>
      <c r="K18">
        <v>49.736255</v>
      </c>
      <c r="L18">
        <v>114.328413</v>
      </c>
      <c r="M18">
        <v>-622.49510199999997</v>
      </c>
      <c r="N18">
        <v>1.593796</v>
      </c>
      <c r="O18">
        <v>2.5697950000000001</v>
      </c>
      <c r="P18">
        <f t="shared" si="4"/>
        <v>2.6563266666666667E-5</v>
      </c>
      <c r="Q18" cm="1">
        <f t="array" ref="Q18">[1]!PropsSI("D","T",J18+273.15,"P",101325,"Water")</f>
        <v>985.60243361413961</v>
      </c>
      <c r="R18" cm="1">
        <f t="array" ref="R18">[1]!PropsSI("D","T",K18+273.15,"P",101325,"Water")</f>
        <v>988.15410905714577</v>
      </c>
      <c r="S18">
        <f t="shared" si="5"/>
        <v>986.87827133564269</v>
      </c>
      <c r="T18" cm="1">
        <f t="array" ref="T18">[1]!PropsSI("H","T",J18+273.15,"P",101325,"Water")</f>
        <v>231111.29831777237</v>
      </c>
      <c r="U18" cm="1">
        <f t="array" ref="U18">[1]!PropsSI("H","T",K18+273.15,"P",101325,"Water")</f>
        <v>208315.69365874393</v>
      </c>
      <c r="V18">
        <f t="shared" si="6"/>
        <v>597.58018111788238</v>
      </c>
    </row>
    <row r="19" spans="1:22" x14ac:dyDescent="0.2">
      <c r="A19">
        <v>46066.632582013888</v>
      </c>
      <c r="B19">
        <v>18.253374000000001</v>
      </c>
      <c r="C19">
        <v>19.027918</v>
      </c>
      <c r="D19">
        <v>19.337983000000001</v>
      </c>
      <c r="E19">
        <v>19.875381000000001</v>
      </c>
      <c r="F19">
        <v>34.636733</v>
      </c>
      <c r="G19">
        <v>33.660997999999999</v>
      </c>
      <c r="H19">
        <v>24.543904000000001</v>
      </c>
      <c r="I19">
        <v>21.962862000000001</v>
      </c>
      <c r="J19">
        <v>55.184296000000003</v>
      </c>
      <c r="K19">
        <v>49.733871999999998</v>
      </c>
      <c r="L19">
        <v>120.41871999999999</v>
      </c>
      <c r="M19">
        <v>-622.48122499999999</v>
      </c>
      <c r="N19">
        <v>1.5936079999999999</v>
      </c>
      <c r="O19">
        <v>2.6040930000000002</v>
      </c>
      <c r="P19">
        <f t="shared" si="4"/>
        <v>2.6560133333333333E-5</v>
      </c>
      <c r="Q19" cm="1">
        <f t="array" ref="Q19">[1]!PropsSI("D","T",J19+273.15,"P",101325,"Water")</f>
        <v>985.60374647248682</v>
      </c>
      <c r="R19" cm="1">
        <f t="array" ref="R19">[1]!PropsSI("D","T",K19+273.15,"P",101325,"Water")</f>
        <v>988.15518273438227</v>
      </c>
      <c r="S19">
        <f t="shared" si="5"/>
        <v>986.8794646034346</v>
      </c>
      <c r="T19" cm="1">
        <f t="array" ref="T19">[1]!PropsSI("H","T",J19+273.15,"P",101325,"Water")</f>
        <v>231099.98323806227</v>
      </c>
      <c r="U19" cm="1">
        <f t="array" ref="U19">[1]!PropsSI("H","T",K19+273.15,"P",101325,"Water")</f>
        <v>208305.72969726377</v>
      </c>
      <c r="V19">
        <f t="shared" si="6"/>
        <v>597.47499955627484</v>
      </c>
    </row>
    <row r="20" spans="1:22" x14ac:dyDescent="0.2">
      <c r="A20">
        <v>46066.632698333335</v>
      </c>
      <c r="B20">
        <v>18.170964999999999</v>
      </c>
      <c r="C20">
        <v>18.684618</v>
      </c>
      <c r="D20">
        <v>19.330237</v>
      </c>
      <c r="E20">
        <v>19.760617</v>
      </c>
      <c r="F20">
        <v>34.885565</v>
      </c>
      <c r="G20">
        <v>32.239390999999998</v>
      </c>
      <c r="H20">
        <v>24.525613</v>
      </c>
      <c r="I20">
        <v>22.298376999999999</v>
      </c>
      <c r="J20">
        <v>55.178567999999999</v>
      </c>
      <c r="K20">
        <v>49.723387000000002</v>
      </c>
      <c r="L20">
        <v>111.373051</v>
      </c>
      <c r="M20">
        <v>-622.49836700000003</v>
      </c>
      <c r="N20">
        <v>1.5958490000000001</v>
      </c>
      <c r="O20">
        <v>2.842975</v>
      </c>
      <c r="P20">
        <f t="shared" si="4"/>
        <v>2.6597483333333334E-5</v>
      </c>
      <c r="Q20" cm="1">
        <f t="array" ref="Q20">[1]!PropsSI("D","T",J20+273.15,"P",101325,"Water")</f>
        <v>985.60652637926489</v>
      </c>
      <c r="R20" cm="1">
        <f t="array" ref="R20">[1]!PropsSI("D","T",K20+273.15,"P",101325,"Water")</f>
        <v>988.15990638028347</v>
      </c>
      <c r="S20">
        <f t="shared" si="5"/>
        <v>986.88321637977424</v>
      </c>
      <c r="T20" cm="1">
        <f t="array" ref="T20">[1]!PropsSI("H","T",J20+273.15,"P",101325,"Water")</f>
        <v>231076.0228857995</v>
      </c>
      <c r="U20" cm="1">
        <f t="array" ref="U20">[1]!PropsSI("H","T",K20+273.15,"P",101325,"Water")</f>
        <v>208261.88912181085</v>
      </c>
      <c r="V20">
        <f t="shared" si="6"/>
        <v>598.83929736840071</v>
      </c>
    </row>
    <row r="21" spans="1:22" x14ac:dyDescent="0.2">
      <c r="A21">
        <v>46066.632814074073</v>
      </c>
      <c r="B21">
        <v>17.960305999999999</v>
      </c>
      <c r="C21">
        <v>18.441022</v>
      </c>
      <c r="D21">
        <v>19.295013000000001</v>
      </c>
      <c r="E21">
        <v>19.773212000000001</v>
      </c>
      <c r="F21">
        <v>34.854916000000003</v>
      </c>
      <c r="G21">
        <v>31.807416</v>
      </c>
      <c r="H21">
        <v>24.775179999999999</v>
      </c>
      <c r="I21">
        <v>22.482146</v>
      </c>
      <c r="J21">
        <v>55.177295000000001</v>
      </c>
      <c r="K21">
        <v>49.703212000000001</v>
      </c>
      <c r="L21">
        <v>118.863696</v>
      </c>
      <c r="M21">
        <v>-622.47387900000001</v>
      </c>
      <c r="N21">
        <v>1.596058</v>
      </c>
      <c r="O21">
        <v>2.5774699999999999</v>
      </c>
      <c r="P21">
        <f t="shared" si="4"/>
        <v>2.6600966666666668E-5</v>
      </c>
      <c r="Q21" cm="1">
        <f t="array" ref="Q21">[1]!PropsSI("D","T",J21+273.15,"P",101325,"Water")</f>
        <v>985.60714416261317</v>
      </c>
      <c r="R21" cm="1">
        <f t="array" ref="R21">[1]!PropsSI("D","T",K21+273.15,"P",101325,"Water")</f>
        <v>988.168993477664</v>
      </c>
      <c r="S21">
        <f t="shared" si="5"/>
        <v>986.88806882013864</v>
      </c>
      <c r="T21" cm="1">
        <f t="array" ref="T21">[1]!PropsSI("H","T",J21+273.15,"P",101325,"Water")</f>
        <v>231070.69789997273</v>
      </c>
      <c r="U21" cm="1">
        <f t="array" ref="U21">[1]!PropsSI("H","T",K21+273.15,"P",101325,"Water")</f>
        <v>208177.5321635264</v>
      </c>
      <c r="V21">
        <f t="shared" si="6"/>
        <v>600.99543035942099</v>
      </c>
    </row>
    <row r="22" spans="1:22" x14ac:dyDescent="0.2">
      <c r="P22" s="1"/>
    </row>
    <row r="23" spans="1:22" x14ac:dyDescent="0.2">
      <c r="P23" s="1"/>
    </row>
    <row r="24" spans="1:22" x14ac:dyDescent="0.2">
      <c r="H24" s="1" t="s">
        <v>22</v>
      </c>
      <c r="P24" s="1"/>
    </row>
    <row r="25" spans="1:22" x14ac:dyDescent="0.2">
      <c r="H25">
        <f>AVERAGE(V2:V21)</f>
        <v>602.73584130529036</v>
      </c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2360-48A6-FD48-9FEA-13080D9502FD}">
  <dimension ref="A1:V36"/>
  <sheetViews>
    <sheetView workbookViewId="0">
      <selection activeCell="G22" sqref="G2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44604.628117897802</v>
      </c>
      <c r="B2">
        <v>19.029748999999999</v>
      </c>
      <c r="C2">
        <v>19.798697000000001</v>
      </c>
      <c r="D2">
        <v>19.574435999999999</v>
      </c>
      <c r="E2">
        <v>20.145883999999999</v>
      </c>
      <c r="F2">
        <v>32.849514999999997</v>
      </c>
      <c r="G2">
        <v>29.345559000000002</v>
      </c>
      <c r="H2">
        <v>23.887933</v>
      </c>
      <c r="I2">
        <v>21.917956</v>
      </c>
      <c r="J2">
        <v>55.023912000000003</v>
      </c>
      <c r="K2">
        <v>48.946826999999999</v>
      </c>
      <c r="L2">
        <v>189.93279100000001</v>
      </c>
      <c r="M2">
        <v>-622.47714399999995</v>
      </c>
      <c r="N2">
        <v>1.5876950000000001</v>
      </c>
      <c r="O2">
        <v>2.5133589999999999</v>
      </c>
      <c r="P2">
        <f xml:space="preserve"> N2*0.001/60</f>
        <v>2.6461583333333334E-5</v>
      </c>
      <c r="Q2" cm="1">
        <f t="array" ref="Q2">[1]!PropsSI("D","T",J2+273.15,"P",101325,"Water")</f>
        <v>985.68150697289457</v>
      </c>
      <c r="R2" cm="1">
        <f t="array" ref="R2">[1]!PropsSI("D","T",K2+273.15,"P",101325,"Water")</f>
        <v>988.50774107020663</v>
      </c>
      <c r="S2">
        <f>(Q2+R2)/2</f>
        <v>987.09462402155054</v>
      </c>
      <c r="T2" cm="1">
        <f t="array" ref="T2">[1]!PropsSI("H","T",J2+273.15,"P",101325,"Water")</f>
        <v>230429.09788619447</v>
      </c>
      <c r="U2" cm="1">
        <f t="array" ref="U2">[1]!PropsSI("H","T",K2+273.15,"P",101325,"Water")</f>
        <v>205014.96885291723</v>
      </c>
      <c r="V2">
        <f>S2*P2*(T2-U2)</f>
        <v>663.81925251986524</v>
      </c>
    </row>
    <row r="3" spans="1:22" x14ac:dyDescent="0.2">
      <c r="A3">
        <v>44604.628233638497</v>
      </c>
      <c r="B3">
        <v>18.698347999999999</v>
      </c>
      <c r="C3">
        <v>19.358829</v>
      </c>
      <c r="D3">
        <v>19.617550000000001</v>
      </c>
      <c r="E3">
        <v>20.133526</v>
      </c>
      <c r="F3">
        <v>32.623305999999999</v>
      </c>
      <c r="G3">
        <v>28.777274999999999</v>
      </c>
      <c r="H3">
        <v>24.110925999999999</v>
      </c>
      <c r="I3">
        <v>21.667005</v>
      </c>
      <c r="J3">
        <v>55.028049000000003</v>
      </c>
      <c r="K3">
        <v>48.955404000000001</v>
      </c>
      <c r="L3">
        <v>195.68189000000001</v>
      </c>
      <c r="M3">
        <v>-622.50285699999995</v>
      </c>
      <c r="N3">
        <v>1.6016969999999999</v>
      </c>
      <c r="O3">
        <v>2.7235719999999999</v>
      </c>
      <c r="P3">
        <f t="shared" ref="P3" si="0" xml:space="preserve"> N3*0.001/60</f>
        <v>2.6694950000000001E-5</v>
      </c>
      <c r="Q3" cm="1">
        <f t="array" ref="Q3">[1]!PropsSI("D","T",J3+273.15,"P",101325,"Water")</f>
        <v>985.67950319659622</v>
      </c>
      <c r="R3" cm="1">
        <f t="array" ref="R3">[1]!PropsSI("D","T",K3+273.15,"P",101325,"Water")</f>
        <v>988.50392108672668</v>
      </c>
      <c r="S3">
        <f>(Q3+R3)/2</f>
        <v>987.09171214166145</v>
      </c>
      <c r="T3" cm="1">
        <f t="array" ref="T3">[1]!PropsSI("H","T",J3+273.15,"P",101325,"Water")</f>
        <v>230446.40281617129</v>
      </c>
      <c r="U3" cm="1">
        <f t="array" ref="U3">[1]!PropsSI("H","T",K3+273.15,"P",101325,"Water")</f>
        <v>205050.82975898302</v>
      </c>
      <c r="V3">
        <f t="shared" ref="V3:V21" si="1">S3*P3*(T3-U3)</f>
        <v>669.18259153225756</v>
      </c>
    </row>
    <row r="4" spans="1:22" x14ac:dyDescent="0.2">
      <c r="A4">
        <v>44604.628349958002</v>
      </c>
      <c r="B4">
        <v>18.484283000000001</v>
      </c>
      <c r="C4">
        <v>19.239923000000001</v>
      </c>
      <c r="D4">
        <v>19.560327000000001</v>
      </c>
      <c r="E4">
        <v>20.115103000000001</v>
      </c>
      <c r="F4">
        <v>32.410791000000003</v>
      </c>
      <c r="G4">
        <v>28.95091</v>
      </c>
      <c r="H4">
        <v>24.127942999999998</v>
      </c>
      <c r="I4">
        <v>21.320943</v>
      </c>
      <c r="J4">
        <v>55.034889999999997</v>
      </c>
      <c r="K4">
        <v>48.949210000000001</v>
      </c>
      <c r="L4">
        <v>192.10941600000001</v>
      </c>
      <c r="M4">
        <v>-622.49918400000001</v>
      </c>
      <c r="N4">
        <v>1.595845</v>
      </c>
      <c r="O4">
        <v>2.5329290000000002</v>
      </c>
      <c r="P4">
        <f xml:space="preserve"> N4*0.001/60</f>
        <v>2.6597416666666667E-5</v>
      </c>
      <c r="Q4" cm="1">
        <f t="array" ref="Q4">[1]!PropsSI("D","T",J4+273.15,"P",101325,"Water")</f>
        <v>985.67618949153132</v>
      </c>
      <c r="R4" cm="1">
        <f t="array" ref="R4">[1]!PropsSI("D","T",K4+273.15,"P",101325,"Water")</f>
        <v>988.50667978999434</v>
      </c>
      <c r="S4">
        <f t="shared" ref="S4:S21" si="2">(Q4+R4)/2</f>
        <v>987.09143464076283</v>
      </c>
      <c r="T4" cm="1">
        <f t="array" ref="T4">[1]!PropsSI("H","T",J4+273.15,"P",101325,"Water")</f>
        <v>230475.01849956732</v>
      </c>
      <c r="U4" cm="1">
        <f t="array" ref="U4">[1]!PropsSI("H","T",K4+273.15,"P",101325,"Water")</f>
        <v>205024.93230432682</v>
      </c>
      <c r="V4">
        <f t="shared" si="1"/>
        <v>668.16865433673775</v>
      </c>
    </row>
    <row r="5" spans="1:22" x14ac:dyDescent="0.2">
      <c r="A5">
        <v>44604.628465698697</v>
      </c>
      <c r="B5">
        <v>18.544191000000001</v>
      </c>
      <c r="C5">
        <v>19.328465999999999</v>
      </c>
      <c r="D5">
        <v>19.568926999999999</v>
      </c>
      <c r="E5">
        <v>19.985040000000001</v>
      </c>
      <c r="F5">
        <v>32.892353</v>
      </c>
      <c r="G5">
        <v>29.789636999999999</v>
      </c>
      <c r="H5">
        <v>24.008281</v>
      </c>
      <c r="I5">
        <v>21.509896000000001</v>
      </c>
      <c r="J5">
        <v>55.045073000000002</v>
      </c>
      <c r="K5">
        <v>48.938569000000001</v>
      </c>
      <c r="L5">
        <v>201.73015899999999</v>
      </c>
      <c r="M5">
        <v>-622.48857199999998</v>
      </c>
      <c r="N5">
        <v>1.5902799999999999</v>
      </c>
      <c r="O5">
        <v>2.5844339999999999</v>
      </c>
      <c r="P5">
        <f t="shared" ref="P5:P21" si="3" xml:space="preserve"> N5*0.001/60</f>
        <v>2.6504666666666664E-5</v>
      </c>
      <c r="Q5" cm="1">
        <f t="array" ref="Q5">[1]!PropsSI("D","T",J5+273.15,"P",101325,"Water")</f>
        <v>985.67125642063104</v>
      </c>
      <c r="R5" cm="1">
        <f t="array" ref="R5">[1]!PropsSI("D","T",K5+273.15,"P",101325,"Water")</f>
        <v>988.5114185173818</v>
      </c>
      <c r="S5">
        <f t="shared" si="2"/>
        <v>987.09133746900648</v>
      </c>
      <c r="T5" cm="1">
        <f t="array" ref="T5">[1]!PropsSI("H","T",J5+273.15,"P",101325,"Water")</f>
        <v>230517.61369300814</v>
      </c>
      <c r="U5" cm="1">
        <f t="array" ref="U5">[1]!PropsSI("H","T",K5+273.15,"P",101325,"Water")</f>
        <v>204980.44172179932</v>
      </c>
      <c r="V5">
        <f t="shared" si="1"/>
        <v>668.11694785937073</v>
      </c>
    </row>
    <row r="6" spans="1:22" x14ac:dyDescent="0.2">
      <c r="A6">
        <v>46066.628582013887</v>
      </c>
      <c r="B6">
        <v>18.451951000000001</v>
      </c>
      <c r="C6">
        <v>19.282859999999999</v>
      </c>
      <c r="D6">
        <v>19.500592999999999</v>
      </c>
      <c r="E6">
        <v>19.929518999999999</v>
      </c>
      <c r="F6">
        <v>32.895386999999999</v>
      </c>
      <c r="G6">
        <v>29.358854999999998</v>
      </c>
      <c r="H6">
        <v>23.858962999999999</v>
      </c>
      <c r="I6">
        <v>21.835729000000001</v>
      </c>
      <c r="J6">
        <v>55.05462</v>
      </c>
      <c r="K6">
        <v>48.942856999999997</v>
      </c>
      <c r="L6">
        <v>187.38761199999999</v>
      </c>
      <c r="M6">
        <v>-622.474695</v>
      </c>
      <c r="N6">
        <v>1.604967</v>
      </c>
      <c r="O6">
        <v>2.8287170000000001</v>
      </c>
      <c r="P6">
        <f t="shared" si="3"/>
        <v>2.6749450000000002E-5</v>
      </c>
      <c r="Q6" cm="1">
        <f t="array" ref="Q6">[1]!PropsSI("D","T",J6+273.15,"P",101325,"Water")</f>
        <v>985.66663087028257</v>
      </c>
      <c r="R6" cm="1">
        <f t="array" ref="R6">[1]!PropsSI("D","T",K6+273.15,"P",101325,"Water")</f>
        <v>988.50950904453032</v>
      </c>
      <c r="S6">
        <f t="shared" si="2"/>
        <v>987.08806995740645</v>
      </c>
      <c r="T6" cm="1">
        <f t="array" ref="T6">[1]!PropsSI("H","T",J6+273.15,"P",101325,"Water")</f>
        <v>230557.54855109943</v>
      </c>
      <c r="U6" cm="1">
        <f t="array" ref="U6">[1]!PropsSI("H","T",K6+273.15,"P",101325,"Water")</f>
        <v>204998.37007246507</v>
      </c>
      <c r="V6">
        <f t="shared" si="1"/>
        <v>674.86615808601823</v>
      </c>
    </row>
    <row r="7" spans="1:22" x14ac:dyDescent="0.2">
      <c r="A7">
        <v>46066.628698333334</v>
      </c>
      <c r="B7">
        <v>18.519131999999999</v>
      </c>
      <c r="C7">
        <v>19.045141000000001</v>
      </c>
      <c r="D7">
        <v>19.485073</v>
      </c>
      <c r="E7">
        <v>19.96264</v>
      </c>
      <c r="F7">
        <v>32.646496999999997</v>
      </c>
      <c r="G7">
        <v>30.181256000000001</v>
      </c>
      <c r="H7">
        <v>23.762146000000001</v>
      </c>
      <c r="I7">
        <v>21.646847000000001</v>
      </c>
      <c r="J7">
        <v>55.062257000000002</v>
      </c>
      <c r="K7">
        <v>48.945557000000001</v>
      </c>
      <c r="L7">
        <v>190.56949299999999</v>
      </c>
      <c r="M7">
        <v>-622.52081499999997</v>
      </c>
      <c r="N7">
        <v>1.588473</v>
      </c>
      <c r="O7">
        <v>2.4817040000000001</v>
      </c>
      <c r="P7">
        <f t="shared" si="3"/>
        <v>2.6474549999999999E-5</v>
      </c>
      <c r="Q7" cm="1">
        <f t="array" ref="Q7">[1]!PropsSI("D","T",J7+273.15,"P",101325,"Water")</f>
        <v>985.66293031357566</v>
      </c>
      <c r="R7" cm="1">
        <f t="array" ref="R7">[1]!PropsSI("D","T",K7+273.15,"P",101325,"Water")</f>
        <v>988.50830665524325</v>
      </c>
      <c r="S7">
        <f t="shared" si="2"/>
        <v>987.08561848440945</v>
      </c>
      <c r="T7" cm="1">
        <f t="array" ref="T7">[1]!PropsSI("H","T",J7+273.15,"P",101325,"Water")</f>
        <v>230589.49395157822</v>
      </c>
      <c r="U7" cm="1">
        <f t="array" ref="U7">[1]!PropsSI("H","T",K7+273.15,"P",101325,"Water")</f>
        <v>205009.65891513141</v>
      </c>
      <c r="V7">
        <f t="shared" si="1"/>
        <v>668.46881367205538</v>
      </c>
    </row>
    <row r="8" spans="1:22" x14ac:dyDescent="0.2">
      <c r="A8">
        <v>46066.628814074073</v>
      </c>
      <c r="B8">
        <v>17.963692999999999</v>
      </c>
      <c r="C8">
        <v>18.489478999999999</v>
      </c>
      <c r="D8">
        <v>19.518623999999999</v>
      </c>
      <c r="E8">
        <v>19.903635000000001</v>
      </c>
      <c r="F8">
        <v>32.367859000000003</v>
      </c>
      <c r="G8">
        <v>29.112411999999999</v>
      </c>
      <c r="H8">
        <v>23.859276999999999</v>
      </c>
      <c r="I8">
        <v>21.456530000000001</v>
      </c>
      <c r="J8">
        <v>55.070531000000003</v>
      </c>
      <c r="K8">
        <v>48.919193</v>
      </c>
      <c r="L8">
        <v>189.596889</v>
      </c>
      <c r="M8">
        <v>-622.50653</v>
      </c>
      <c r="N8">
        <v>1.5928249999999999</v>
      </c>
      <c r="O8">
        <v>2.775407</v>
      </c>
      <c r="P8">
        <f t="shared" si="3"/>
        <v>2.6547083333333332E-5</v>
      </c>
      <c r="Q8" cm="1">
        <f t="array" ref="Q8">[1]!PropsSI("D","T",J8+273.15,"P",101325,"Water")</f>
        <v>985.65892068614494</v>
      </c>
      <c r="R8" cm="1">
        <f t="array" ref="R8">[1]!PropsSI("D","T",K8+273.15,"P",101325,"Water")</f>
        <v>988.52004524701772</v>
      </c>
      <c r="S8">
        <f t="shared" si="2"/>
        <v>987.08948296658127</v>
      </c>
      <c r="T8" cm="1">
        <f t="array" ref="T8">[1]!PropsSI("H","T",J8+273.15,"P",101325,"Water")</f>
        <v>230624.10393270254</v>
      </c>
      <c r="U8" cm="1">
        <f t="array" ref="U8">[1]!PropsSI("H","T",K8+273.15,"P",101325,"Water")</f>
        <v>204899.42972045418</v>
      </c>
      <c r="V8">
        <f t="shared" si="1"/>
        <v>674.09828339133765</v>
      </c>
    </row>
    <row r="9" spans="1:22" x14ac:dyDescent="0.2">
      <c r="A9">
        <v>46066.628929814811</v>
      </c>
      <c r="B9">
        <v>17.886635999999999</v>
      </c>
      <c r="C9">
        <v>18.550287000000001</v>
      </c>
      <c r="D9">
        <v>19.496528999999999</v>
      </c>
      <c r="E9">
        <v>19.881724999999999</v>
      </c>
      <c r="F9">
        <v>32.126900999999997</v>
      </c>
      <c r="G9">
        <v>29.234691999999999</v>
      </c>
      <c r="H9">
        <v>23.755431000000002</v>
      </c>
      <c r="I9">
        <v>21.504757000000001</v>
      </c>
      <c r="J9">
        <v>55.078963000000002</v>
      </c>
      <c r="K9">
        <v>48.907598999999998</v>
      </c>
      <c r="L9">
        <v>192.84652199999999</v>
      </c>
      <c r="M9">
        <v>-622.51346899999999</v>
      </c>
      <c r="N9">
        <v>1.604074</v>
      </c>
      <c r="O9">
        <v>3.261139</v>
      </c>
      <c r="P9">
        <f t="shared" si="3"/>
        <v>2.6734566666666666E-5</v>
      </c>
      <c r="Q9" cm="1">
        <f t="array" ref="Q9">[1]!PropsSI("D","T",J9+273.15,"P",101325,"Water")</f>
        <v>985.6548340540752</v>
      </c>
      <c r="R9" cm="1">
        <f t="array" ref="R9">[1]!PropsSI("D","T",K9+273.15,"P",101325,"Water")</f>
        <v>988.52520602307311</v>
      </c>
      <c r="S9">
        <f t="shared" si="2"/>
        <v>987.09002003857415</v>
      </c>
      <c r="T9" cm="1">
        <f t="array" ref="T9">[1]!PropsSI("H","T",J9+273.15,"P",101325,"Water")</f>
        <v>230659.37485031312</v>
      </c>
      <c r="U9" cm="1">
        <f t="array" ref="U9">[1]!PropsSI("H","T",K9+273.15,"P",101325,"Water")</f>
        <v>204850.95468836604</v>
      </c>
      <c r="V9">
        <f t="shared" si="1"/>
        <v>681.06934104876461</v>
      </c>
    </row>
    <row r="10" spans="1:22" x14ac:dyDescent="0.2">
      <c r="A10">
        <v>44604.6290461385</v>
      </c>
      <c r="B10">
        <v>18.132366000000001</v>
      </c>
      <c r="C10">
        <v>18.699422999999999</v>
      </c>
      <c r="D10">
        <v>19.508378</v>
      </c>
      <c r="E10">
        <v>20.039480000000001</v>
      </c>
      <c r="F10">
        <v>32.310972999999997</v>
      </c>
      <c r="G10">
        <v>30.294643000000001</v>
      </c>
      <c r="H10">
        <v>24.018637999999999</v>
      </c>
      <c r="I10">
        <v>21.800408000000001</v>
      </c>
      <c r="J10">
        <v>55.084214000000003</v>
      </c>
      <c r="K10">
        <v>48.930945999999999</v>
      </c>
      <c r="L10">
        <v>191.13681199999999</v>
      </c>
      <c r="M10">
        <v>-622.47918500000003</v>
      </c>
      <c r="N10">
        <v>1.5891249999999999</v>
      </c>
      <c r="O10">
        <v>2.6090490000000002</v>
      </c>
      <c r="P10">
        <f t="shared" si="3"/>
        <v>2.6485416666666662E-5</v>
      </c>
      <c r="Q10" cm="1">
        <f t="array" ref="Q10">[1]!PropsSI("D","T",J10+273.15,"P",101325,"Water")</f>
        <v>985.65228889469006</v>
      </c>
      <c r="R10" cm="1">
        <f t="array" ref="R10">[1]!PropsSI("D","T",K10+273.15,"P",101325,"Water")</f>
        <v>988.51481278477388</v>
      </c>
      <c r="S10">
        <f t="shared" si="2"/>
        <v>987.08355083973197</v>
      </c>
      <c r="T10" cm="1">
        <f t="array" ref="T10">[1]!PropsSI("H","T",J10+273.15,"P",101325,"Water")</f>
        <v>230681.33971016982</v>
      </c>
      <c r="U10" cm="1">
        <f t="array" ref="U10">[1]!PropsSI("H","T",K10+273.15,"P",101325,"Water")</f>
        <v>204948.56957502017</v>
      </c>
      <c r="V10">
        <f t="shared" si="1"/>
        <v>672.74002171135226</v>
      </c>
    </row>
    <row r="11" spans="1:22" x14ac:dyDescent="0.2">
      <c r="A11">
        <v>44604.629162457997</v>
      </c>
      <c r="B11">
        <v>18.462537000000001</v>
      </c>
      <c r="C11">
        <v>19.134247999999999</v>
      </c>
      <c r="D11">
        <v>19.587537999999999</v>
      </c>
      <c r="E11">
        <v>20.08839</v>
      </c>
      <c r="F11">
        <v>32.754249000000002</v>
      </c>
      <c r="G11">
        <v>29.307914</v>
      </c>
      <c r="H11">
        <v>24.002699</v>
      </c>
      <c r="I11">
        <v>21.491522</v>
      </c>
      <c r="J11">
        <v>55.092646999999999</v>
      </c>
      <c r="K11">
        <v>48.950957000000002</v>
      </c>
      <c r="L11">
        <v>199.445784</v>
      </c>
      <c r="M11">
        <v>-622.49102100000005</v>
      </c>
      <c r="N11">
        <v>1.5939190000000001</v>
      </c>
      <c r="O11">
        <v>2.8244470000000002</v>
      </c>
      <c r="P11">
        <f t="shared" si="3"/>
        <v>2.6565316666666668E-5</v>
      </c>
      <c r="Q11" cm="1">
        <f t="array" ref="Q11">[1]!PropsSI("D","T",J11+273.15,"P",101325,"Water")</f>
        <v>985.64820106219418</v>
      </c>
      <c r="R11" cm="1">
        <f t="array" ref="R11">[1]!PropsSI("D","T",K11+273.15,"P",101325,"Water")</f>
        <v>988.50590173142166</v>
      </c>
      <c r="S11">
        <f t="shared" si="2"/>
        <v>987.07705139680797</v>
      </c>
      <c r="T11" cm="1">
        <f t="array" ref="T11">[1]!PropsSI("H","T",J11+273.15,"P",101325,"Water")</f>
        <v>230716.61485261715</v>
      </c>
      <c r="U11" cm="1">
        <f t="array" ref="U11">[1]!PropsSI("H","T",K11+273.15,"P",101325,"Water")</f>
        <v>205032.23660637552</v>
      </c>
      <c r="V11">
        <f t="shared" si="1"/>
        <v>673.49613737751997</v>
      </c>
    </row>
    <row r="12" spans="1:22" x14ac:dyDescent="0.2">
      <c r="A12">
        <v>44604.629278198699</v>
      </c>
      <c r="B12">
        <v>18.269860999999999</v>
      </c>
      <c r="C12">
        <v>18.912979</v>
      </c>
      <c r="D12">
        <v>19.432188</v>
      </c>
      <c r="E12">
        <v>20.019390999999999</v>
      </c>
      <c r="F12">
        <v>32.699317000000001</v>
      </c>
      <c r="G12">
        <v>28.561906</v>
      </c>
      <c r="H12">
        <v>23.947758</v>
      </c>
      <c r="I12">
        <v>21.717033000000001</v>
      </c>
      <c r="J12">
        <v>55.097738999999997</v>
      </c>
      <c r="K12">
        <v>48.967314999999999</v>
      </c>
      <c r="L12">
        <v>191.82249200000001</v>
      </c>
      <c r="M12">
        <v>-622.48612300000002</v>
      </c>
      <c r="N12">
        <v>1.6029100000000001</v>
      </c>
      <c r="O12">
        <v>2.638557</v>
      </c>
      <c r="P12">
        <f t="shared" si="3"/>
        <v>2.6715166666666668E-5</v>
      </c>
      <c r="Q12" cm="1">
        <f t="array" ref="Q12">[1]!PropsSI("D","T",J12+273.15,"P",101325,"Water")</f>
        <v>985.64573254044399</v>
      </c>
      <c r="R12" cm="1">
        <f t="array" ref="R12">[1]!PropsSI("D","T",K12+273.15,"P",101325,"Water")</f>
        <v>988.49861541201665</v>
      </c>
      <c r="S12">
        <f t="shared" si="2"/>
        <v>987.07217397623026</v>
      </c>
      <c r="T12" cm="1">
        <f t="array" ref="T12">[1]!PropsSI("H","T",J12+273.15,"P",101325,"Water")</f>
        <v>230737.9146428314</v>
      </c>
      <c r="U12" cm="1">
        <f t="array" ref="U12">[1]!PropsSI("H","T",K12+273.15,"P",101325,"Water")</f>
        <v>205100.63033373121</v>
      </c>
      <c r="V12">
        <f t="shared" si="1"/>
        <v>676.0499992650939</v>
      </c>
    </row>
    <row r="13" spans="1:22" x14ac:dyDescent="0.2">
      <c r="A13">
        <v>44604.629394518197</v>
      </c>
      <c r="B13">
        <v>18.326483</v>
      </c>
      <c r="C13">
        <v>18.781711999999999</v>
      </c>
      <c r="D13">
        <v>19.449131000000001</v>
      </c>
      <c r="E13">
        <v>20.096550000000001</v>
      </c>
      <c r="F13">
        <v>32.696781000000001</v>
      </c>
      <c r="G13">
        <v>29.552689000000001</v>
      </c>
      <c r="H13">
        <v>24.243027000000001</v>
      </c>
      <c r="I13">
        <v>21.913027</v>
      </c>
      <c r="J13">
        <v>55.102671000000001</v>
      </c>
      <c r="K13">
        <v>48.972079999999998</v>
      </c>
      <c r="L13">
        <v>184.36653899999999</v>
      </c>
      <c r="M13">
        <v>-622.52285600000005</v>
      </c>
      <c r="N13">
        <v>1.588293</v>
      </c>
      <c r="O13">
        <v>2.5579510000000001</v>
      </c>
      <c r="P13">
        <f t="shared" si="3"/>
        <v>2.6471549999999999E-5</v>
      </c>
      <c r="Q13" cm="1">
        <f t="array" ref="Q13">[1]!PropsSI("D","T",J13+273.15,"P",101325,"Water")</f>
        <v>985.64334143086899</v>
      </c>
      <c r="R13" cm="1">
        <f t="array" ref="R13">[1]!PropsSI("D","T",K13+273.15,"P",101325,"Water")</f>
        <v>988.49649261108641</v>
      </c>
      <c r="S13">
        <f t="shared" si="2"/>
        <v>987.06991702097775</v>
      </c>
      <c r="T13" cm="1">
        <f t="array" ref="T13">[1]!PropsSI("H","T",J13+273.15,"P",101325,"Water")</f>
        <v>230758.54516343804</v>
      </c>
      <c r="U13" cm="1">
        <f t="array" ref="U13">[1]!PropsSI("H","T",K13+273.15,"P",101325,"Water")</f>
        <v>205120.55308283214</v>
      </c>
      <c r="V13">
        <f t="shared" si="1"/>
        <v>669.90203430222778</v>
      </c>
    </row>
    <row r="14" spans="1:22" x14ac:dyDescent="0.2">
      <c r="A14">
        <v>44604.629510258899</v>
      </c>
      <c r="B14">
        <v>18.251850999999998</v>
      </c>
      <c r="C14">
        <v>18.901319000000001</v>
      </c>
      <c r="D14">
        <v>19.451035000000001</v>
      </c>
      <c r="E14">
        <v>19.975909000000001</v>
      </c>
      <c r="F14">
        <v>32.687475999999997</v>
      </c>
      <c r="G14">
        <v>30.210377000000001</v>
      </c>
      <c r="H14">
        <v>23.878073000000001</v>
      </c>
      <c r="I14">
        <v>21.309569</v>
      </c>
      <c r="J14">
        <v>55.109354000000003</v>
      </c>
      <c r="K14">
        <v>48.965727000000001</v>
      </c>
      <c r="L14">
        <v>186.642751</v>
      </c>
      <c r="M14">
        <v>-622.49673499999994</v>
      </c>
      <c r="N14">
        <v>1.5996030000000001</v>
      </c>
      <c r="O14">
        <v>2.5206149999999998</v>
      </c>
      <c r="P14">
        <f t="shared" si="3"/>
        <v>2.6660050000000002E-5</v>
      </c>
      <c r="Q14" cm="1">
        <f t="array" ref="Q14">[1]!PropsSI("D","T",J14+273.15,"P",101325,"Water")</f>
        <v>985.64010116884822</v>
      </c>
      <c r="R14" cm="1">
        <f t="array" ref="R14">[1]!PropsSI("D","T",K14+273.15,"P",101325,"Water")</f>
        <v>988.49932283032615</v>
      </c>
      <c r="S14">
        <f t="shared" si="2"/>
        <v>987.06971199958718</v>
      </c>
      <c r="T14" cm="1">
        <f t="array" ref="T14">[1]!PropsSI("H","T",J14+273.15,"P",101325,"Water")</f>
        <v>230786.50011870757</v>
      </c>
      <c r="U14" cm="1">
        <f t="array" ref="U14">[1]!PropsSI("H","T",K14+273.15,"P",101325,"Water")</f>
        <v>205093.9908124498</v>
      </c>
      <c r="V14">
        <f t="shared" si="1"/>
        <v>676.1068063358</v>
      </c>
    </row>
    <row r="15" spans="1:22" x14ac:dyDescent="0.2">
      <c r="A15">
        <v>46066.629626574075</v>
      </c>
      <c r="B15">
        <v>18.317885</v>
      </c>
      <c r="C15">
        <v>19.044647000000001</v>
      </c>
      <c r="D15">
        <v>19.506824999999999</v>
      </c>
      <c r="E15">
        <v>19.976407999999999</v>
      </c>
      <c r="F15">
        <v>32.629699000000002</v>
      </c>
      <c r="G15">
        <v>28.710757999999998</v>
      </c>
      <c r="H15">
        <v>24.175056999999999</v>
      </c>
      <c r="I15">
        <v>21.611134</v>
      </c>
      <c r="J15">
        <v>55.11365</v>
      </c>
      <c r="K15">
        <v>48.983832</v>
      </c>
      <c r="L15">
        <v>194.58561900000001</v>
      </c>
      <c r="M15">
        <v>-622.48204199999998</v>
      </c>
      <c r="N15">
        <v>1.603602</v>
      </c>
      <c r="O15">
        <v>2.8027289999999998</v>
      </c>
      <c r="P15">
        <f t="shared" si="3"/>
        <v>2.6726699999999999E-5</v>
      </c>
      <c r="Q15" cm="1">
        <f t="array" ref="Q15">[1]!PropsSI("D","T",J15+273.15,"P",101325,"Water")</f>
        <v>985.6380181009232</v>
      </c>
      <c r="R15" cm="1">
        <f t="array" ref="R15">[1]!PropsSI("D","T",K15+273.15,"P",101325,"Water")</f>
        <v>988.49125646702021</v>
      </c>
      <c r="S15">
        <f t="shared" si="2"/>
        <v>987.06463728397171</v>
      </c>
      <c r="T15" cm="1">
        <f t="array" ref="T15">[1]!PropsSI("H","T",J15+273.15,"P",101325,"Water")</f>
        <v>230804.47027349041</v>
      </c>
      <c r="U15" cm="1">
        <f t="array" ref="U15">[1]!PropsSI("H","T",K15+273.15,"P",101325,"Water")</f>
        <v>205169.68892131987</v>
      </c>
      <c r="V15">
        <f t="shared" si="1"/>
        <v>676.27066546854951</v>
      </c>
    </row>
    <row r="16" spans="1:22" x14ac:dyDescent="0.2">
      <c r="A16">
        <v>46066.629742314813</v>
      </c>
      <c r="B16">
        <v>18.793341000000002</v>
      </c>
      <c r="C16">
        <v>19.413402999999999</v>
      </c>
      <c r="D16">
        <v>19.505462999999999</v>
      </c>
      <c r="E16">
        <v>19.989346000000001</v>
      </c>
      <c r="F16">
        <v>32.88232</v>
      </c>
      <c r="G16">
        <v>30.472612999999999</v>
      </c>
      <c r="H16">
        <v>24.062861000000002</v>
      </c>
      <c r="I16">
        <v>21.454623999999999</v>
      </c>
      <c r="J16">
        <v>55.118423</v>
      </c>
      <c r="K16">
        <v>48.988596999999999</v>
      </c>
      <c r="L16">
        <v>182.70988700000001</v>
      </c>
      <c r="M16">
        <v>-622.46041000000002</v>
      </c>
      <c r="N16">
        <v>1.589297</v>
      </c>
      <c r="O16">
        <v>2.7232799999999999</v>
      </c>
      <c r="P16">
        <f t="shared" si="3"/>
        <v>2.6488283333333332E-5</v>
      </c>
      <c r="Q16" cm="1">
        <f t="array" ref="Q16">[1]!PropsSI("D","T",J16+273.15,"P",101325,"Water")</f>
        <v>985.63570360843869</v>
      </c>
      <c r="R16" cm="1">
        <f t="array" ref="R16">[1]!PropsSI("D","T",K16+273.15,"P",101325,"Water")</f>
        <v>988.48913314363426</v>
      </c>
      <c r="S16">
        <f t="shared" si="2"/>
        <v>987.06241837603648</v>
      </c>
      <c r="T16" cm="1">
        <f t="array" ref="T16">[1]!PropsSI("H","T",J16+273.15,"P",101325,"Water")</f>
        <v>230824.43572573506</v>
      </c>
      <c r="U16" cm="1">
        <f t="array" ref="U16">[1]!PropsSI("H","T",K16+273.15,"P",101325,"Water")</f>
        <v>205189.61169134971</v>
      </c>
      <c r="V16">
        <f t="shared" si="1"/>
        <v>670.23757343467673</v>
      </c>
    </row>
    <row r="21" spans="7:16" x14ac:dyDescent="0.2">
      <c r="G21" s="1" t="s">
        <v>22</v>
      </c>
    </row>
    <row r="22" spans="7:16" x14ac:dyDescent="0.2">
      <c r="G22">
        <f>AVERAGE(V6:V16)</f>
        <v>673.93689400849064</v>
      </c>
      <c r="P22" s="1"/>
    </row>
    <row r="23" spans="7:16" x14ac:dyDescent="0.2">
      <c r="P23" s="1"/>
    </row>
    <row r="24" spans="7:16" x14ac:dyDescent="0.2">
      <c r="P24" s="1"/>
    </row>
    <row r="25" spans="7:16" x14ac:dyDescent="0.2">
      <c r="P25" s="1"/>
    </row>
    <row r="26" spans="7:16" x14ac:dyDescent="0.2">
      <c r="P26" s="1"/>
    </row>
    <row r="27" spans="7:16" x14ac:dyDescent="0.2">
      <c r="P27" s="1"/>
    </row>
    <row r="28" spans="7:16" x14ac:dyDescent="0.2">
      <c r="P28" s="1"/>
    </row>
    <row r="29" spans="7:16" x14ac:dyDescent="0.2">
      <c r="P29" s="1"/>
    </row>
    <row r="30" spans="7:16" x14ac:dyDescent="0.2">
      <c r="P30" s="1"/>
    </row>
    <row r="31" spans="7:16" x14ac:dyDescent="0.2">
      <c r="P31" s="1"/>
    </row>
    <row r="32" spans="7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4D9E-265A-EA42-AB53-797ECC22D2A0}">
  <dimension ref="A1:V36"/>
  <sheetViews>
    <sheetView workbookViewId="0">
      <selection activeCell="H17" sqref="H17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44604.626126578398</v>
      </c>
      <c r="B2">
        <v>18.925066000000001</v>
      </c>
      <c r="C2">
        <v>19.752205</v>
      </c>
      <c r="D2">
        <v>19.532529</v>
      </c>
      <c r="E2">
        <v>20.146767000000001</v>
      </c>
      <c r="F2">
        <v>31.658470000000001</v>
      </c>
      <c r="G2">
        <v>28.186426999999998</v>
      </c>
      <c r="H2">
        <v>23.596871</v>
      </c>
      <c r="I2">
        <v>21.561503999999999</v>
      </c>
      <c r="J2">
        <v>54.966155999999998</v>
      </c>
      <c r="K2">
        <v>48.451988999999998</v>
      </c>
      <c r="L2">
        <v>263.06178199999999</v>
      </c>
      <c r="M2">
        <v>-622.49347</v>
      </c>
      <c r="N2">
        <v>1.594349</v>
      </c>
      <c r="O2">
        <v>2.5929739999999999</v>
      </c>
      <c r="P2">
        <f xml:space="preserve"> N2*0.001/60</f>
        <v>2.6572483333333337E-5</v>
      </c>
      <c r="Q2" cm="1">
        <f t="array" ref="Q2">[1]!PropsSI("D","T",J2+273.15,"P",101325,"Water")</f>
        <v>985.70947028044714</v>
      </c>
      <c r="R2" cm="1">
        <f t="array" ref="R2">[1]!PropsSI("D","T",K2+273.15,"P",101325,"Water")</f>
        <v>988.72730096613452</v>
      </c>
      <c r="S2">
        <f>(Q2+R2)/2</f>
        <v>987.21838562329083</v>
      </c>
      <c r="T2" cm="1">
        <f t="array" ref="T2">[1]!PropsSI("H","T",J2+273.15,"P",101325,"Water")</f>
        <v>230187.50715396265</v>
      </c>
      <c r="U2" cm="1">
        <f t="array" ref="U2">[1]!PropsSI("H","T",K2+273.15,"P",101325,"Water")</f>
        <v>202946.05682647854</v>
      </c>
      <c r="V2">
        <f>S2*P2*(T2-U2)</f>
        <v>714.62071945343132</v>
      </c>
    </row>
    <row r="3" spans="1:22" x14ac:dyDescent="0.2">
      <c r="A3">
        <v>44604.626242897801</v>
      </c>
      <c r="B3">
        <v>19.094298999999999</v>
      </c>
      <c r="C3">
        <v>19.588652</v>
      </c>
      <c r="D3">
        <v>19.533757999999999</v>
      </c>
      <c r="E3">
        <v>20.081776000000001</v>
      </c>
      <c r="F3">
        <v>31.694583999999999</v>
      </c>
      <c r="G3">
        <v>28.362057</v>
      </c>
      <c r="H3">
        <v>23.579834999999999</v>
      </c>
      <c r="I3">
        <v>21.313314999999999</v>
      </c>
      <c r="J3">
        <v>54.969498000000002</v>
      </c>
      <c r="K3">
        <v>48.445318999999998</v>
      </c>
      <c r="L3">
        <v>255.96213700000001</v>
      </c>
      <c r="M3">
        <v>-622.48571500000003</v>
      </c>
      <c r="N3">
        <v>1.596603</v>
      </c>
      <c r="O3">
        <v>2.4741430000000002</v>
      </c>
      <c r="P3">
        <f t="shared" ref="P3" si="0" xml:space="preserve"> N3*0.001/60</f>
        <v>2.6610050000000001E-5</v>
      </c>
      <c r="Q3" cm="1">
        <f t="array" ref="Q3">[1]!PropsSI("D","T",J3+273.15,"P",101325,"Water")</f>
        <v>985.70785277283824</v>
      </c>
      <c r="R3" cm="1">
        <f t="array" ref="R3">[1]!PropsSI("D","T",K3+273.15,"P",101325,"Water")</f>
        <v>988.73024929852352</v>
      </c>
      <c r="S3">
        <f>(Q3+R3)/2</f>
        <v>987.21905103568088</v>
      </c>
      <c r="T3" cm="1">
        <f t="array" ref="T3">[1]!PropsSI("H","T",J3+273.15,"P",101325,"Water")</f>
        <v>230201.48655575636</v>
      </c>
      <c r="U3" cm="1">
        <f t="array" ref="U3">[1]!PropsSI("H","T",K3+273.15,"P",101325,"Water")</f>
        <v>202918.17006709686</v>
      </c>
      <c r="V3">
        <f t="shared" ref="V3:V21" si="1">S3*P3*(T3-U3)</f>
        <v>716.73131385550062</v>
      </c>
    </row>
    <row r="4" spans="1:22" x14ac:dyDescent="0.2">
      <c r="A4">
        <v>44604.626358638503</v>
      </c>
      <c r="B4">
        <v>18.952967000000001</v>
      </c>
      <c r="C4">
        <v>19.559197000000001</v>
      </c>
      <c r="D4">
        <v>19.443693</v>
      </c>
      <c r="E4">
        <v>20.143713000000002</v>
      </c>
      <c r="F4">
        <v>31.578063</v>
      </c>
      <c r="G4">
        <v>28.934847999999999</v>
      </c>
      <c r="H4">
        <v>23.763542000000001</v>
      </c>
      <c r="I4">
        <v>21.394134999999999</v>
      </c>
      <c r="J4">
        <v>54.973157</v>
      </c>
      <c r="K4">
        <v>48.452464999999997</v>
      </c>
      <c r="L4">
        <v>275.161992</v>
      </c>
      <c r="M4">
        <v>-622.50571400000001</v>
      </c>
      <c r="N4">
        <v>1.594263</v>
      </c>
      <c r="O4">
        <v>2.5501990000000001</v>
      </c>
      <c r="P4">
        <f xml:space="preserve"> N4*0.001/60</f>
        <v>2.657105E-5</v>
      </c>
      <c r="Q4" cm="1">
        <f t="array" ref="Q4">[1]!PropsSI("D","T",J4+273.15,"P",101325,"Water")</f>
        <v>985.7060817596697</v>
      </c>
      <c r="R4" cm="1">
        <f t="array" ref="R4">[1]!PropsSI("D","T",K4+273.15,"P",101325,"Water")</f>
        <v>988.72709054903748</v>
      </c>
      <c r="S4">
        <f t="shared" ref="S4:S21" si="2">(Q4+R4)/2</f>
        <v>987.21658615435354</v>
      </c>
      <c r="T4" cm="1">
        <f t="array" ref="T4">[1]!PropsSI("H","T",J4+273.15,"P",101325,"Water")</f>
        <v>230216.79195566627</v>
      </c>
      <c r="U4" cm="1">
        <f t="array" ref="U4">[1]!PropsSI("H","T",K4+273.15,"P",101325,"Water")</f>
        <v>202948.04694650983</v>
      </c>
      <c r="V4">
        <f t="shared" si="1"/>
        <v>715.29684713149425</v>
      </c>
    </row>
    <row r="5" spans="1:22" x14ac:dyDescent="0.2">
      <c r="A5">
        <v>44604.626474958</v>
      </c>
      <c r="B5">
        <v>19.061358999999999</v>
      </c>
      <c r="C5">
        <v>19.721727000000001</v>
      </c>
      <c r="D5">
        <v>19.598511999999999</v>
      </c>
      <c r="E5">
        <v>20.125122000000001</v>
      </c>
      <c r="F5">
        <v>31.465274999999998</v>
      </c>
      <c r="G5">
        <v>28.624182000000001</v>
      </c>
      <c r="H5">
        <v>23.596131</v>
      </c>
      <c r="I5">
        <v>21.691375000000001</v>
      </c>
      <c r="J5">
        <v>54.974747999999998</v>
      </c>
      <c r="K5">
        <v>48.443573000000001</v>
      </c>
      <c r="L5">
        <v>274.22408000000001</v>
      </c>
      <c r="M5">
        <v>-622.49959200000001</v>
      </c>
      <c r="N5">
        <v>1.5914649999999999</v>
      </c>
      <c r="O5">
        <v>2.6127220000000002</v>
      </c>
      <c r="P5">
        <f t="shared" ref="P5:P21" si="3" xml:space="preserve"> N5*0.001/60</f>
        <v>2.6524416666666666E-5</v>
      </c>
      <c r="Q5" cm="1">
        <f t="array" ref="Q5">[1]!PropsSI("D","T",J5+273.15,"P",101325,"Water")</f>
        <v>985.70531166487615</v>
      </c>
      <c r="R5" cm="1">
        <f t="array" ref="R5">[1]!PropsSI("D","T",K5+273.15,"P",101325,"Water")</f>
        <v>988.73102103181179</v>
      </c>
      <c r="S5">
        <f t="shared" si="2"/>
        <v>987.21816634834397</v>
      </c>
      <c r="T5" cm="1">
        <f t="array" ref="T5">[1]!PropsSI("H","T",J5+273.15,"P",101325,"Water")</f>
        <v>230223.44702446068</v>
      </c>
      <c r="U5" cm="1">
        <f t="array" ref="U5">[1]!PropsSI("H","T",K5+273.15,"P",101325,"Water")</f>
        <v>202910.87017664878</v>
      </c>
      <c r="V5">
        <f t="shared" si="1"/>
        <v>715.19036700837387</v>
      </c>
    </row>
    <row r="6" spans="1:22" x14ac:dyDescent="0.2">
      <c r="A6">
        <v>46066.626590694446</v>
      </c>
      <c r="B6">
        <v>19.001909000000001</v>
      </c>
      <c r="C6">
        <v>19.556591000000001</v>
      </c>
      <c r="D6">
        <v>19.584135</v>
      </c>
      <c r="E6">
        <v>20.166685999999999</v>
      </c>
      <c r="F6">
        <v>31.862179000000001</v>
      </c>
      <c r="G6">
        <v>28.19434</v>
      </c>
      <c r="H6">
        <v>23.731715999999999</v>
      </c>
      <c r="I6">
        <v>21.472906999999999</v>
      </c>
      <c r="J6">
        <v>54.979202999999998</v>
      </c>
      <c r="K6">
        <v>48.454211999999998</v>
      </c>
      <c r="L6">
        <v>267.233002</v>
      </c>
      <c r="M6">
        <v>-622.506122</v>
      </c>
      <c r="N6">
        <v>1.5943620000000001</v>
      </c>
      <c r="O6">
        <v>3.1022020000000001</v>
      </c>
      <c r="P6">
        <f t="shared" si="3"/>
        <v>2.6572700000000001E-5</v>
      </c>
      <c r="Q6" cm="1">
        <f t="array" ref="Q6">[1]!PropsSI("D","T",J6+273.15,"P",101325,"Water")</f>
        <v>985.70315521900739</v>
      </c>
      <c r="R6" cm="1">
        <f t="array" ref="R6">[1]!PropsSI("D","T",K6+273.15,"P",101325,"Water")</f>
        <v>988.72631826997906</v>
      </c>
      <c r="S6">
        <f t="shared" si="2"/>
        <v>987.21473674449317</v>
      </c>
      <c r="T6" cm="1">
        <f t="array" ref="T6">[1]!PropsSI("H","T",J6+273.15,"P",101325,"Water")</f>
        <v>230242.08205865513</v>
      </c>
      <c r="U6" cm="1">
        <f t="array" ref="U6">[1]!PropsSI("H","T",K6+273.15,"P",101325,"Water")</f>
        <v>202955.35102183316</v>
      </c>
      <c r="V6">
        <f t="shared" si="1"/>
        <v>715.81175206394232</v>
      </c>
    </row>
    <row r="7" spans="1:22" x14ac:dyDescent="0.2">
      <c r="A7">
        <v>46066.626707013886</v>
      </c>
      <c r="B7">
        <v>18.69463</v>
      </c>
      <c r="C7">
        <v>19.519594999999999</v>
      </c>
      <c r="D7">
        <v>19.569953000000002</v>
      </c>
      <c r="E7">
        <v>20.173743999999999</v>
      </c>
      <c r="F7">
        <v>31.502870000000001</v>
      </c>
      <c r="G7">
        <v>28.316514000000002</v>
      </c>
      <c r="H7">
        <v>23.213584000000001</v>
      </c>
      <c r="I7">
        <v>21.376455</v>
      </c>
      <c r="J7">
        <v>54.981907999999997</v>
      </c>
      <c r="K7">
        <v>48.462786999999999</v>
      </c>
      <c r="L7">
        <v>264.393552</v>
      </c>
      <c r="M7">
        <v>-622.48163399999999</v>
      </c>
      <c r="N7">
        <v>1.590633</v>
      </c>
      <c r="O7">
        <v>2.576009</v>
      </c>
      <c r="P7">
        <f t="shared" si="3"/>
        <v>2.651055E-5</v>
      </c>
      <c r="Q7" cm="1">
        <f t="array" ref="Q7">[1]!PropsSI("D","T",J7+273.15,"P",101325,"Water")</f>
        <v>985.70184580172497</v>
      </c>
      <c r="R7" cm="1">
        <f t="array" ref="R7">[1]!PropsSI("D","T",K7+273.15,"P",101325,"Water")</f>
        <v>988.72252730871207</v>
      </c>
      <c r="S7">
        <f t="shared" si="2"/>
        <v>987.21218655521852</v>
      </c>
      <c r="T7" cm="1">
        <f t="array" ref="T7">[1]!PropsSI("H","T",J7+273.15,"P",101325,"Water")</f>
        <v>230253.39693695679</v>
      </c>
      <c r="U7" cm="1">
        <f t="array" ref="U7">[1]!PropsSI("H","T",K7+273.15,"P",101325,"Water")</f>
        <v>202991.20246208433</v>
      </c>
      <c r="V7">
        <f t="shared" si="1"/>
        <v>713.49355954257783</v>
      </c>
    </row>
    <row r="8" spans="1:22" x14ac:dyDescent="0.2">
      <c r="A8">
        <v>46066.626823333332</v>
      </c>
      <c r="B8">
        <v>19.034559000000002</v>
      </c>
      <c r="C8">
        <v>19.572711000000002</v>
      </c>
      <c r="D8">
        <v>19.621001</v>
      </c>
      <c r="E8">
        <v>20.270091000000001</v>
      </c>
      <c r="F8">
        <v>31.719016</v>
      </c>
      <c r="G8">
        <v>28.916634999999999</v>
      </c>
      <c r="H8">
        <v>23.439288000000001</v>
      </c>
      <c r="I8">
        <v>21.665441000000001</v>
      </c>
      <c r="J8">
        <v>54.985885000000003</v>
      </c>
      <c r="K8">
        <v>48.471519999999998</v>
      </c>
      <c r="L8">
        <v>261.17575399999998</v>
      </c>
      <c r="M8">
        <v>-622.50734699999998</v>
      </c>
      <c r="N8">
        <v>1.5956729999999999</v>
      </c>
      <c r="O8">
        <v>2.7898049999999999</v>
      </c>
      <c r="P8">
        <f t="shared" si="3"/>
        <v>2.6594549999999998E-5</v>
      </c>
      <c r="Q8" cm="1">
        <f t="array" ref="Q8">[1]!PropsSI("D","T",J8+273.15,"P",101325,"Water")</f>
        <v>985.6999205611736</v>
      </c>
      <c r="R8" cm="1">
        <f t="array" ref="R8">[1]!PropsSI("D","T",K8+273.15,"P",101325,"Water")</f>
        <v>988.71866599175212</v>
      </c>
      <c r="S8">
        <f t="shared" si="2"/>
        <v>987.20929327646286</v>
      </c>
      <c r="T8" cm="1">
        <f t="array" ref="T8">[1]!PropsSI("H","T",J8+273.15,"P",101325,"Water")</f>
        <v>230270.03253181302</v>
      </c>
      <c r="U8" cm="1">
        <f t="array" ref="U8">[1]!PropsSI("H","T",K8+273.15,"P",101325,"Water")</f>
        <v>203027.7145080303</v>
      </c>
      <c r="V8">
        <f t="shared" si="1"/>
        <v>715.23035773543052</v>
      </c>
    </row>
    <row r="9" spans="1:22" x14ac:dyDescent="0.2">
      <c r="A9">
        <v>46066.626939074071</v>
      </c>
      <c r="B9">
        <v>18.717030999999999</v>
      </c>
      <c r="C9">
        <v>19.225794</v>
      </c>
      <c r="D9">
        <v>19.660169</v>
      </c>
      <c r="E9">
        <v>20.250959000000002</v>
      </c>
      <c r="F9">
        <v>31.264537000000001</v>
      </c>
      <c r="G9">
        <v>27.720265999999999</v>
      </c>
      <c r="H9">
        <v>23.767879000000001</v>
      </c>
      <c r="I9">
        <v>21.245809000000001</v>
      </c>
      <c r="J9">
        <v>54.989066999999999</v>
      </c>
      <c r="K9">
        <v>48.484383000000001</v>
      </c>
      <c r="L9">
        <v>261.19616100000002</v>
      </c>
      <c r="M9">
        <v>-622.50040799999999</v>
      </c>
      <c r="N9">
        <v>1.594735</v>
      </c>
      <c r="O9">
        <v>2.9575870000000002</v>
      </c>
      <c r="P9">
        <f t="shared" si="3"/>
        <v>2.6578916666666667E-5</v>
      </c>
      <c r="Q9" cm="1">
        <f t="array" ref="Q9">[1]!PropsSI("D","T",J9+273.15,"P",101325,"Water")</f>
        <v>985.69838010438787</v>
      </c>
      <c r="R9" cm="1">
        <f t="array" ref="R9">[1]!PropsSI("D","T",K9+273.15,"P",101325,"Water")</f>
        <v>988.71297765780014</v>
      </c>
      <c r="S9">
        <f t="shared" si="2"/>
        <v>987.20567888109395</v>
      </c>
      <c r="T9" cm="1">
        <f t="array" ref="T9">[1]!PropsSI("H","T",J9+273.15,"P",101325,"Water")</f>
        <v>230283.34268499172</v>
      </c>
      <c r="U9" cm="1">
        <f t="array" ref="U9">[1]!PropsSI("H","T",K9+273.15,"P",101325,"Water")</f>
        <v>203081.49382323652</v>
      </c>
      <c r="V9">
        <f t="shared" si="1"/>
        <v>713.7454352541464</v>
      </c>
    </row>
    <row r="10" spans="1:22" x14ac:dyDescent="0.2">
      <c r="A10">
        <v>44604.627055397803</v>
      </c>
      <c r="B10">
        <v>18.501695000000002</v>
      </c>
      <c r="C10">
        <v>19.12642</v>
      </c>
      <c r="D10">
        <v>19.442055</v>
      </c>
      <c r="E10">
        <v>20.228755</v>
      </c>
      <c r="F10">
        <v>31.427610999999999</v>
      </c>
      <c r="G10">
        <v>27.765750000000001</v>
      </c>
      <c r="H10">
        <v>23.572623</v>
      </c>
      <c r="I10">
        <v>21.173767000000002</v>
      </c>
      <c r="J10">
        <v>54.987954000000002</v>
      </c>
      <c r="K10">
        <v>48.474220000000003</v>
      </c>
      <c r="L10">
        <v>262.62547699999999</v>
      </c>
      <c r="M10">
        <v>-622.48530700000003</v>
      </c>
      <c r="N10">
        <v>1.596611</v>
      </c>
      <c r="O10">
        <v>2.6809370000000001</v>
      </c>
      <c r="P10">
        <f t="shared" si="3"/>
        <v>2.6610183333333331E-5</v>
      </c>
      <c r="Q10" cm="1">
        <f t="array" ref="Q10">[1]!PropsSI("D","T",J10+273.15,"P",101325,"Water")</f>
        <v>985.69891893253043</v>
      </c>
      <c r="R10" cm="1">
        <f t="array" ref="R10">[1]!PropsSI("D","T",K10+273.15,"P",101325,"Water")</f>
        <v>988.71747207718465</v>
      </c>
      <c r="S10">
        <f t="shared" si="2"/>
        <v>987.20819550485749</v>
      </c>
      <c r="T10" cm="1">
        <f t="array" ref="T10">[1]!PropsSI("H","T",J10+273.15,"P",101325,"Water")</f>
        <v>230278.68705901899</v>
      </c>
      <c r="U10" cm="1">
        <f t="array" ref="U10">[1]!PropsSI("H","T",K10+273.15,"P",101325,"Water")</f>
        <v>203039.00301814763</v>
      </c>
      <c r="V10">
        <f t="shared" si="1"/>
        <v>715.58080858157928</v>
      </c>
    </row>
    <row r="11" spans="1:22" x14ac:dyDescent="0.2">
      <c r="A11">
        <v>44604.627171717199</v>
      </c>
      <c r="B11">
        <v>18.275275000000001</v>
      </c>
      <c r="C11">
        <v>18.855236999999999</v>
      </c>
      <c r="D11">
        <v>19.530577000000001</v>
      </c>
      <c r="E11">
        <v>20.117781000000001</v>
      </c>
      <c r="F11">
        <v>31.006672999999999</v>
      </c>
      <c r="G11">
        <v>27.868869</v>
      </c>
      <c r="H11">
        <v>23.390165</v>
      </c>
      <c r="I11">
        <v>21.170428999999999</v>
      </c>
      <c r="J11">
        <v>54.990659000000001</v>
      </c>
      <c r="K11">
        <v>48.460087000000001</v>
      </c>
      <c r="L11">
        <v>257.02453300000002</v>
      </c>
      <c r="M11">
        <v>-622.49795900000004</v>
      </c>
      <c r="N11">
        <v>1.5948450000000001</v>
      </c>
      <c r="O11">
        <v>2.502786</v>
      </c>
      <c r="P11">
        <f t="shared" si="3"/>
        <v>2.6580750000000001E-5</v>
      </c>
      <c r="Q11" cm="1">
        <f t="array" ref="Q11">[1]!PropsSI("D","T",J11+273.15,"P",101325,"Water")</f>
        <v>985.69760936829289</v>
      </c>
      <c r="R11" cm="1">
        <f t="array" ref="R11">[1]!PropsSI("D","T",K11+273.15,"P",101325,"Water")</f>
        <v>988.72372101714041</v>
      </c>
      <c r="S11">
        <f t="shared" si="2"/>
        <v>987.21066519271665</v>
      </c>
      <c r="T11" cm="1">
        <f t="array" ref="T11">[1]!PropsSI("H","T",J11+273.15,"P",101325,"Water")</f>
        <v>230290.00194588746</v>
      </c>
      <c r="U11" cm="1">
        <f t="array" ref="U11">[1]!PropsSI("H","T",K11+273.15,"P",101325,"Water")</f>
        <v>202979.91395983912</v>
      </c>
      <c r="V11">
        <f t="shared" si="1"/>
        <v>716.63855378799735</v>
      </c>
    </row>
    <row r="12" spans="1:22" x14ac:dyDescent="0.2">
      <c r="A12">
        <v>44604.627287458003</v>
      </c>
      <c r="B12">
        <v>18.776896000000001</v>
      </c>
      <c r="C12">
        <v>19.423926999999999</v>
      </c>
      <c r="D12">
        <v>19.526624999999999</v>
      </c>
      <c r="E12">
        <v>20.220359999999999</v>
      </c>
      <c r="F12">
        <v>31.823066000000001</v>
      </c>
      <c r="G12">
        <v>27.296651000000001</v>
      </c>
      <c r="H12">
        <v>23.717793</v>
      </c>
      <c r="I12">
        <v>21.576810999999999</v>
      </c>
      <c r="J12">
        <v>54.993682</v>
      </c>
      <c r="K12">
        <v>48.462310000000002</v>
      </c>
      <c r="L12">
        <v>261.36349999999999</v>
      </c>
      <c r="M12">
        <v>-622.48285799999996</v>
      </c>
      <c r="N12">
        <v>1.597243</v>
      </c>
      <c r="O12">
        <v>2.789704</v>
      </c>
      <c r="P12">
        <f t="shared" si="3"/>
        <v>2.6620716666666664E-5</v>
      </c>
      <c r="Q12" cm="1">
        <f t="array" ref="Q12">[1]!PropsSI("D","T",J12+273.15,"P",101325,"Water")</f>
        <v>985.69614579782751</v>
      </c>
      <c r="R12" cm="1">
        <f t="array" ref="R12">[1]!PropsSI("D","T",K12+273.15,"P",101325,"Water")</f>
        <v>988.7227382007477</v>
      </c>
      <c r="S12">
        <f t="shared" si="2"/>
        <v>987.20944199928761</v>
      </c>
      <c r="T12" cm="1">
        <f t="array" ref="T12">[1]!PropsSI("H","T",J12+273.15,"P",101325,"Water")</f>
        <v>230302.6470148488</v>
      </c>
      <c r="U12" cm="1">
        <f t="array" ref="U12">[1]!PropsSI("H","T",K12+273.15,"P",101325,"Water")</f>
        <v>202989.20815988825</v>
      </c>
      <c r="V12">
        <f t="shared" si="1"/>
        <v>717.80325980226689</v>
      </c>
    </row>
    <row r="16" spans="1:22" x14ac:dyDescent="0.2">
      <c r="H16" s="1" t="s">
        <v>22</v>
      </c>
    </row>
    <row r="17" spans="8:16" x14ac:dyDescent="0.2">
      <c r="H17">
        <f>AVERAGE(V2:V12)</f>
        <v>715.46754311061295</v>
      </c>
    </row>
    <row r="22" spans="8:16" x14ac:dyDescent="0.2">
      <c r="P22" s="1"/>
    </row>
    <row r="23" spans="8:16" x14ac:dyDescent="0.2">
      <c r="P23" s="1"/>
    </row>
    <row r="24" spans="8:16" x14ac:dyDescent="0.2">
      <c r="P24" s="1"/>
    </row>
    <row r="25" spans="8:16" x14ac:dyDescent="0.2">
      <c r="P25" s="1"/>
    </row>
    <row r="26" spans="8:16" x14ac:dyDescent="0.2">
      <c r="P26" s="1"/>
    </row>
    <row r="27" spans="8:16" x14ac:dyDescent="0.2">
      <c r="P27" s="1"/>
    </row>
    <row r="28" spans="8:16" x14ac:dyDescent="0.2">
      <c r="P28" s="1"/>
    </row>
    <row r="29" spans="8:16" x14ac:dyDescent="0.2">
      <c r="P29" s="1"/>
    </row>
    <row r="30" spans="8:16" x14ac:dyDescent="0.2">
      <c r="P30" s="1"/>
    </row>
    <row r="31" spans="8:16" x14ac:dyDescent="0.2">
      <c r="P31" s="1"/>
    </row>
    <row r="32" spans="8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5007-955C-8747-AE9D-F577B1127D4D}">
  <dimension ref="A1:V36"/>
  <sheetViews>
    <sheetView workbookViewId="0">
      <selection activeCell="H15" sqref="H1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44604.624225536703</v>
      </c>
      <c r="B2">
        <v>19.231470999999999</v>
      </c>
      <c r="C2">
        <v>19.832287999999998</v>
      </c>
      <c r="D2">
        <v>19.822018</v>
      </c>
      <c r="E2">
        <v>20.254006</v>
      </c>
      <c r="F2">
        <v>30.744793999999999</v>
      </c>
      <c r="G2">
        <v>27.260003000000001</v>
      </c>
      <c r="H2">
        <v>23.265806999999999</v>
      </c>
      <c r="I2">
        <v>21.483872999999999</v>
      </c>
      <c r="J2">
        <v>54.991613000000001</v>
      </c>
      <c r="K2">
        <v>48.158712000000001</v>
      </c>
      <c r="L2">
        <v>376.87363399999998</v>
      </c>
      <c r="M2">
        <v>-622.50857099999996</v>
      </c>
      <c r="N2">
        <v>1.5960540000000001</v>
      </c>
      <c r="O2">
        <v>2.4891760000000001</v>
      </c>
      <c r="P2">
        <f xml:space="preserve"> N2*0.001/60</f>
        <v>2.6600900000000001E-5</v>
      </c>
      <c r="Q2" cm="1">
        <f t="array" ref="Q2">[1]!PropsSI("D","T",J2+273.15,"P",101325,"Water")</f>
        <v>985.69714750005323</v>
      </c>
      <c r="R2" cm="1">
        <f t="array" ref="R2">[1]!PropsSI("D","T",K2+273.15,"P",101325,"Water")</f>
        <v>988.85665679551278</v>
      </c>
      <c r="S2">
        <f>(Q2+R2)/2</f>
        <v>987.27690214778295</v>
      </c>
      <c r="T2" cm="1">
        <f t="array" ref="T2">[1]!PropsSI("H","T",J2+273.15,"P",101325,"Water")</f>
        <v>230293.9924833421</v>
      </c>
      <c r="U2" cm="1">
        <f t="array" ref="U2">[1]!PropsSI("H","T",K2+273.15,"P",101325,"Water")</f>
        <v>201719.89887016182</v>
      </c>
      <c r="V2">
        <f>S2*P2*(T2-U2)</f>
        <v>750.42582328945821</v>
      </c>
    </row>
    <row r="3" spans="1:22" x14ac:dyDescent="0.2">
      <c r="A3">
        <v>44604.624341277398</v>
      </c>
      <c r="B3">
        <v>19.059736999999998</v>
      </c>
      <c r="C3">
        <v>19.724291999999998</v>
      </c>
      <c r="D3">
        <v>19.725898000000001</v>
      </c>
      <c r="E3">
        <v>20.227139000000001</v>
      </c>
      <c r="F3">
        <v>30.468108999999998</v>
      </c>
      <c r="G3">
        <v>27.205686</v>
      </c>
      <c r="H3">
        <v>23.349792999999998</v>
      </c>
      <c r="I3">
        <v>21.174234999999999</v>
      </c>
      <c r="J3">
        <v>54.987476000000001</v>
      </c>
      <c r="K3">
        <v>48.137118000000001</v>
      </c>
      <c r="L3">
        <v>369.77807100000001</v>
      </c>
      <c r="M3">
        <v>-622.46898099999999</v>
      </c>
      <c r="N3">
        <v>1.5953079999999999</v>
      </c>
      <c r="O3">
        <v>2.644263</v>
      </c>
      <c r="P3">
        <f t="shared" ref="P3" si="0" xml:space="preserve"> N3*0.001/60</f>
        <v>2.6588466666666665E-5</v>
      </c>
      <c r="Q3" cm="1">
        <f t="array" ref="Q3">[1]!PropsSI("D","T",J3+273.15,"P",101325,"Water")</f>
        <v>985.69915034064866</v>
      </c>
      <c r="R3" cm="1">
        <f t="array" ref="R3">[1]!PropsSI("D","T",K3+273.15,"P",101325,"Water")</f>
        <v>988.86615850810665</v>
      </c>
      <c r="S3">
        <f>(Q3+R3)/2</f>
        <v>987.2826544243776</v>
      </c>
      <c r="T3" cm="1">
        <f t="array" ref="T3">[1]!PropsSI("H","T",J3+273.15,"P",101325,"Water")</f>
        <v>230276.68760790737</v>
      </c>
      <c r="U3" cm="1">
        <f t="array" ref="U3">[1]!PropsSI("H","T",K3+273.15,"P",101325,"Water")</f>
        <v>201629.61766108638</v>
      </c>
      <c r="V3">
        <f t="shared" ref="V3:V21" si="1">S3*P3*(T3-U3)</f>
        <v>751.99509543419902</v>
      </c>
    </row>
    <row r="4" spans="1:22" x14ac:dyDescent="0.2">
      <c r="A4">
        <v>44604.624457018203</v>
      </c>
      <c r="B4">
        <v>19.089922000000001</v>
      </c>
      <c r="C4">
        <v>19.816163</v>
      </c>
      <c r="D4">
        <v>19.724392999999999</v>
      </c>
      <c r="E4">
        <v>20.296178000000001</v>
      </c>
      <c r="F4">
        <v>30.359164</v>
      </c>
      <c r="G4">
        <v>27.443875999999999</v>
      </c>
      <c r="H4">
        <v>23.455563000000001</v>
      </c>
      <c r="I4">
        <v>21.447835999999999</v>
      </c>
      <c r="J4">
        <v>54.990022000000003</v>
      </c>
      <c r="K4">
        <v>48.125686000000002</v>
      </c>
      <c r="L4">
        <v>359.740207</v>
      </c>
      <c r="M4">
        <v>-622.49959200000001</v>
      </c>
      <c r="N4">
        <v>1.594587</v>
      </c>
      <c r="O4">
        <v>2.4748160000000001</v>
      </c>
      <c r="P4">
        <f xml:space="preserve"> N4*0.001/60</f>
        <v>2.6576449999999999E-5</v>
      </c>
      <c r="Q4" cm="1">
        <f t="array" ref="Q4">[1]!PropsSI("D","T",J4+273.15,"P",101325,"Water")</f>
        <v>985.69791776146371</v>
      </c>
      <c r="R4" cm="1">
        <f t="array" ref="R4">[1]!PropsSI("D","T",K4+273.15,"P",101325,"Water")</f>
        <v>988.87118750910417</v>
      </c>
      <c r="S4">
        <f t="shared" ref="S4:S21" si="2">(Q4+R4)/2</f>
        <v>987.28455263528394</v>
      </c>
      <c r="T4" cm="1">
        <f t="array" ref="T4">[1]!PropsSI("H","T",J4+273.15,"P",101325,"Water")</f>
        <v>230287.33740481245</v>
      </c>
      <c r="U4" cm="1">
        <f t="array" ref="U4">[1]!PropsSI("H","T",K4+273.15,"P",101325,"Water")</f>
        <v>201581.82226629317</v>
      </c>
      <c r="V4">
        <f t="shared" si="1"/>
        <v>753.19019141730848</v>
      </c>
    </row>
    <row r="5" spans="1:22" x14ac:dyDescent="0.2">
      <c r="A5">
        <v>44604.624573337598</v>
      </c>
      <c r="B5">
        <v>18.943507</v>
      </c>
      <c r="C5">
        <v>19.538699999999999</v>
      </c>
      <c r="D5">
        <v>19.606247</v>
      </c>
      <c r="E5">
        <v>20.315192</v>
      </c>
      <c r="F5">
        <v>30.509979999999999</v>
      </c>
      <c r="G5">
        <v>27.233602999999999</v>
      </c>
      <c r="H5">
        <v>23.489878999999998</v>
      </c>
      <c r="I5">
        <v>21.480384999999998</v>
      </c>
      <c r="J5">
        <v>54.986680999999997</v>
      </c>
      <c r="K5">
        <v>48.113936000000002</v>
      </c>
      <c r="L5">
        <v>369.17769299999998</v>
      </c>
      <c r="M5">
        <v>-622.48163399999999</v>
      </c>
      <c r="N5">
        <v>1.5933250000000001</v>
      </c>
      <c r="O5">
        <v>2.9744630000000001</v>
      </c>
      <c r="P5">
        <f t="shared" ref="P5:P21" si="3" xml:space="preserve"> N5*0.001/60</f>
        <v>2.6555416666666667E-5</v>
      </c>
      <c r="Q5" cm="1">
        <f t="array" ref="Q5">[1]!PropsSI("D","T",J5+273.15,"P",101325,"Water")</f>
        <v>985.69953521084835</v>
      </c>
      <c r="R5" cm="1">
        <f t="array" ref="R5">[1]!PropsSI("D","T",K5+273.15,"P",101325,"Water")</f>
        <v>988.87635548680635</v>
      </c>
      <c r="S5">
        <f t="shared" si="2"/>
        <v>987.28794534882741</v>
      </c>
      <c r="T5" cm="1">
        <f t="array" ref="T5">[1]!PropsSI("H","T",J5+273.15,"P",101325,"Water")</f>
        <v>230273.36216125466</v>
      </c>
      <c r="U5" cm="1">
        <f t="array" ref="U5">[1]!PropsSI("H","T",K5+273.15,"P",101325,"Water")</f>
        <v>201532.69739766701</v>
      </c>
      <c r="V5">
        <f t="shared" si="1"/>
        <v>753.51822955269142</v>
      </c>
    </row>
    <row r="6" spans="1:22" x14ac:dyDescent="0.2">
      <c r="A6">
        <v>46066.624689074073</v>
      </c>
      <c r="B6">
        <v>18.928034</v>
      </c>
      <c r="C6">
        <v>19.333818000000001</v>
      </c>
      <c r="D6">
        <v>19.480547000000001</v>
      </c>
      <c r="E6">
        <v>20.186453</v>
      </c>
      <c r="F6">
        <v>30.640294000000001</v>
      </c>
      <c r="G6">
        <v>26.995166999999999</v>
      </c>
      <c r="H6">
        <v>23.373301000000001</v>
      </c>
      <c r="I6">
        <v>21.179925999999998</v>
      </c>
      <c r="J6">
        <v>54.987316999999997</v>
      </c>
      <c r="K6">
        <v>48.097740999999999</v>
      </c>
      <c r="L6">
        <v>371.43390699999998</v>
      </c>
      <c r="M6">
        <v>-622.48612300000002</v>
      </c>
      <c r="N6">
        <v>1.5948990000000001</v>
      </c>
      <c r="O6">
        <v>2.5209589999999999</v>
      </c>
      <c r="P6">
        <f t="shared" si="3"/>
        <v>2.6581650000000003E-5</v>
      </c>
      <c r="Q6" cm="1">
        <f t="array" ref="Q6">[1]!PropsSI("D","T",J6+273.15,"P",101325,"Water")</f>
        <v>985.69922731501219</v>
      </c>
      <c r="R6" cm="1">
        <f t="array" ref="R6">[1]!PropsSI("D","T",K6+273.15,"P",101325,"Water")</f>
        <v>988.88347698182588</v>
      </c>
      <c r="S6">
        <f t="shared" si="2"/>
        <v>987.29135214841904</v>
      </c>
      <c r="T6" cm="1">
        <f t="array" ref="T6">[1]!PropsSI("H","T",J6+273.15,"P",101325,"Water")</f>
        <v>230276.02251858075</v>
      </c>
      <c r="U6" cm="1">
        <f t="array" ref="U6">[1]!PropsSI("H","T",K6+273.15,"P",101325,"Water")</f>
        <v>201464.98875264853</v>
      </c>
      <c r="V6">
        <f t="shared" si="1"/>
        <v>756.11196363244892</v>
      </c>
    </row>
    <row r="7" spans="1:22" x14ac:dyDescent="0.2">
      <c r="A7">
        <v>46066.624804814812</v>
      </c>
      <c r="B7">
        <v>18.720302</v>
      </c>
      <c r="C7">
        <v>19.496424999999999</v>
      </c>
      <c r="D7">
        <v>19.414940999999999</v>
      </c>
      <c r="E7">
        <v>20.080262000000001</v>
      </c>
      <c r="F7">
        <v>30.366935000000002</v>
      </c>
      <c r="G7">
        <v>26.928906999999999</v>
      </c>
      <c r="H7">
        <v>23.361262</v>
      </c>
      <c r="I7">
        <v>21.141794000000001</v>
      </c>
      <c r="J7">
        <v>54.985249000000003</v>
      </c>
      <c r="K7">
        <v>48.078052999999997</v>
      </c>
      <c r="L7">
        <v>359.501035</v>
      </c>
      <c r="M7">
        <v>-622.49918400000001</v>
      </c>
      <c r="N7">
        <v>1.594989</v>
      </c>
      <c r="O7">
        <v>2.7181839999999999</v>
      </c>
      <c r="P7">
        <f t="shared" si="3"/>
        <v>2.658315E-5</v>
      </c>
      <c r="Q7" cm="1">
        <f t="array" ref="Q7">[1]!PropsSI("D","T",J7+273.15,"P",101325,"Water")</f>
        <v>985.70022845135361</v>
      </c>
      <c r="R7" cm="1">
        <f t="array" ref="R7">[1]!PropsSI("D","T",K7+273.15,"P",101325,"Water")</f>
        <v>988.89213209883792</v>
      </c>
      <c r="S7">
        <f t="shared" si="2"/>
        <v>987.29618027509582</v>
      </c>
      <c r="T7" cm="1">
        <f t="array" ref="T7">[1]!PropsSI("H","T",J7+273.15,"P",101325,"Water")</f>
        <v>230267.37217476277</v>
      </c>
      <c r="U7" cm="1">
        <f t="array" ref="U7">[1]!PropsSI("H","T",K7+273.15,"P",101325,"Water")</f>
        <v>201382.67653482759</v>
      </c>
      <c r="V7">
        <f t="shared" si="1"/>
        <v>758.09161723886245</v>
      </c>
    </row>
    <row r="8" spans="1:22" x14ac:dyDescent="0.2">
      <c r="A8">
        <v>46066.624920555558</v>
      </c>
      <c r="B8">
        <v>19.043956999999999</v>
      </c>
      <c r="C8">
        <v>19.554559999999999</v>
      </c>
      <c r="D8">
        <v>19.457908</v>
      </c>
      <c r="E8">
        <v>20.136226000000001</v>
      </c>
      <c r="F8">
        <v>30.507708000000001</v>
      </c>
      <c r="G8">
        <v>27.073796999999999</v>
      </c>
      <c r="H8">
        <v>23.326560000000001</v>
      </c>
      <c r="I8">
        <v>21.423507000000001</v>
      </c>
      <c r="J8">
        <v>54.98509</v>
      </c>
      <c r="K8">
        <v>48.058047999999999</v>
      </c>
      <c r="L8">
        <v>358.48924899999997</v>
      </c>
      <c r="M8">
        <v>-622.49469399999998</v>
      </c>
      <c r="N8">
        <v>1.5977220000000001</v>
      </c>
      <c r="O8">
        <v>2.5602510000000001</v>
      </c>
      <c r="P8">
        <f t="shared" si="3"/>
        <v>2.6628700000000005E-5</v>
      </c>
      <c r="Q8" cm="1">
        <f t="array" ref="Q8">[1]!PropsSI("D","T",J8+273.15,"P",101325,"Water")</f>
        <v>985.70030542351333</v>
      </c>
      <c r="R8" cm="1">
        <f t="array" ref="R8">[1]!PropsSI("D","T",K8+273.15,"P",101325,"Water")</f>
        <v>988.90092390949962</v>
      </c>
      <c r="S8">
        <f t="shared" si="2"/>
        <v>987.30061466650648</v>
      </c>
      <c r="T8" cm="1">
        <f t="array" ref="T8">[1]!PropsSI("H","T",J8+273.15,"P",101325,"Water")</f>
        <v>230266.70708552966</v>
      </c>
      <c r="U8" cm="1">
        <f t="array" ref="U8">[1]!PropsSI("H","T",K8+273.15,"P",101325,"Water")</f>
        <v>201299.03909280946</v>
      </c>
      <c r="V8">
        <f t="shared" si="1"/>
        <v>761.57539878726845</v>
      </c>
    </row>
    <row r="9" spans="1:22" x14ac:dyDescent="0.2">
      <c r="A9">
        <v>46066.625036874997</v>
      </c>
      <c r="B9">
        <v>18.937971999999998</v>
      </c>
      <c r="C9">
        <v>19.695846</v>
      </c>
      <c r="D9">
        <v>19.574966</v>
      </c>
      <c r="E9">
        <v>20.031281</v>
      </c>
      <c r="F9">
        <v>30.478456999999999</v>
      </c>
      <c r="G9">
        <v>27.118373999999999</v>
      </c>
      <c r="H9">
        <v>23.292705999999999</v>
      </c>
      <c r="I9">
        <v>21.158177999999999</v>
      </c>
      <c r="J9">
        <v>54.983657999999998</v>
      </c>
      <c r="K9">
        <v>48.074401999999999</v>
      </c>
      <c r="L9">
        <v>372.53752500000002</v>
      </c>
      <c r="M9">
        <v>-622.50489800000003</v>
      </c>
      <c r="N9">
        <v>1.5934600000000001</v>
      </c>
      <c r="O9">
        <v>3.0461100000000001</v>
      </c>
      <c r="P9">
        <f t="shared" si="3"/>
        <v>2.6557666666666668E-5</v>
      </c>
      <c r="Q9" cm="1">
        <f t="array" ref="Q9">[1]!PropsSI("D","T",J9+273.15,"P",101325,"Water")</f>
        <v>985.70099864991028</v>
      </c>
      <c r="R9" cm="1">
        <f t="array" ref="R9">[1]!PropsSI("D","T",K9+273.15,"P",101325,"Water")</f>
        <v>988.89373684305258</v>
      </c>
      <c r="S9">
        <f t="shared" si="2"/>
        <v>987.29736774648143</v>
      </c>
      <c r="T9" cm="1">
        <f t="array" ref="T9">[1]!PropsSI("H","T",J9+273.15,"P",101325,"Water")</f>
        <v>230260.71709994276</v>
      </c>
      <c r="U9" cm="1">
        <f t="array" ref="U9">[1]!PropsSI("H","T",K9+273.15,"P",101325,"Water")</f>
        <v>201367.41232839663</v>
      </c>
      <c r="V9">
        <f t="shared" si="1"/>
        <v>757.59153497682007</v>
      </c>
    </row>
    <row r="10" spans="1:22" x14ac:dyDescent="0.2">
      <c r="A10">
        <v>44604.625152619999</v>
      </c>
      <c r="B10">
        <v>18.672373</v>
      </c>
      <c r="C10">
        <v>19.382169000000001</v>
      </c>
      <c r="D10">
        <v>19.498542</v>
      </c>
      <c r="E10">
        <v>20.117805000000001</v>
      </c>
      <c r="F10">
        <v>30.162956999999999</v>
      </c>
      <c r="G10">
        <v>27.293597999999999</v>
      </c>
      <c r="H10">
        <v>23.388805000000001</v>
      </c>
      <c r="I10">
        <v>21.266143</v>
      </c>
      <c r="J10">
        <v>54.983499000000002</v>
      </c>
      <c r="K10">
        <v>48.059317999999998</v>
      </c>
      <c r="L10">
        <v>365.62072799999999</v>
      </c>
      <c r="M10">
        <v>-622.51346899999999</v>
      </c>
      <c r="N10">
        <v>1.596034</v>
      </c>
      <c r="O10">
        <v>3.0678909999999999</v>
      </c>
      <c r="P10">
        <f t="shared" si="3"/>
        <v>2.6600566666666667E-5</v>
      </c>
      <c r="Q10" cm="1">
        <f t="array" ref="Q10">[1]!PropsSI("D","T",J10+273.15,"P",101325,"Water")</f>
        <v>985.70107562048042</v>
      </c>
      <c r="R10" cm="1">
        <f t="array" ref="R10">[1]!PropsSI("D","T",K10+273.15,"P",101325,"Water")</f>
        <v>988.90036584889549</v>
      </c>
      <c r="S10">
        <f t="shared" si="2"/>
        <v>987.30072073468796</v>
      </c>
      <c r="T10" cm="1">
        <f t="array" ref="T10">[1]!PropsSI("H","T",J10+273.15,"P",101325,"Water")</f>
        <v>230260.05201078791</v>
      </c>
      <c r="U10" cm="1">
        <f t="array" ref="U10">[1]!PropsSI("H","T",K10+273.15,"P",101325,"Water")</f>
        <v>201304.34874000674</v>
      </c>
      <c r="V10">
        <f t="shared" si="1"/>
        <v>760.45664630848057</v>
      </c>
    </row>
    <row r="11" spans="1:22" x14ac:dyDescent="0.2">
      <c r="A11">
        <v>44604.625268360804</v>
      </c>
      <c r="B11">
        <v>18.993376999999999</v>
      </c>
      <c r="C11">
        <v>19.913653</v>
      </c>
      <c r="D11">
        <v>19.628727999999999</v>
      </c>
      <c r="E11">
        <v>20.213184999999999</v>
      </c>
      <c r="F11">
        <v>30.558138</v>
      </c>
      <c r="G11">
        <v>27.150500000000001</v>
      </c>
      <c r="H11">
        <v>23.261496000000001</v>
      </c>
      <c r="I11">
        <v>21.499417000000001</v>
      </c>
      <c r="J11">
        <v>54.982385000000001</v>
      </c>
      <c r="K11">
        <v>48.065987</v>
      </c>
      <c r="L11">
        <v>350.78841</v>
      </c>
      <c r="M11">
        <v>-622.50081599999999</v>
      </c>
      <c r="N11">
        <v>1.594063</v>
      </c>
      <c r="O11">
        <v>2.4746890000000001</v>
      </c>
      <c r="P11">
        <f t="shared" si="3"/>
        <v>2.6567716666666666E-5</v>
      </c>
      <c r="Q11" cm="1">
        <f t="array" ref="Q11">[1]!PropsSI("D","T",J11+273.15,"P",101325,"Water")</f>
        <v>985.70161489422799</v>
      </c>
      <c r="R11" cm="1">
        <f t="array" ref="R11">[1]!PropsSI("D","T",K11+273.15,"P",101325,"Water")</f>
        <v>988.89743519392061</v>
      </c>
      <c r="S11">
        <f t="shared" si="2"/>
        <v>987.29952504407424</v>
      </c>
      <c r="T11" cm="1">
        <f t="array" ref="T11">[1]!PropsSI("H","T",J11+273.15,"P",101325,"Water")</f>
        <v>230255.39220411147</v>
      </c>
      <c r="U11" cm="1">
        <f t="array" ref="U11">[1]!PropsSI("H","T",K11+273.15,"P",101325,"Water")</f>
        <v>201332.23066553302</v>
      </c>
      <c r="V11">
        <f t="shared" si="1"/>
        <v>758.66303191149234</v>
      </c>
    </row>
    <row r="14" spans="1:22" x14ac:dyDescent="0.2">
      <c r="H14" s="1" t="s">
        <v>22</v>
      </c>
    </row>
    <row r="15" spans="1:22" x14ac:dyDescent="0.2">
      <c r="H15">
        <f>AVERAGE(V6:V11)</f>
        <v>758.74836547589541</v>
      </c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2026-02-25T04:14:00Z</dcterms:modified>
</cp:coreProperties>
</file>