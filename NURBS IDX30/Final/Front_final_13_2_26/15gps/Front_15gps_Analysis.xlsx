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NURBS IDX30/Final/Front_final_13_2_26/15gps/"/>
    </mc:Choice>
  </mc:AlternateContent>
  <xr:revisionPtr revIDLastSave="0" documentId="13_ncr:1_{C9CD9CCC-E700-D14A-BCCD-F843FF752DC0}" xr6:coauthVersionLast="47" xr6:coauthVersionMax="47" xr10:uidLastSave="{00000000-0000-0000-0000-000000000000}"/>
  <bookViews>
    <workbookView xWindow="20" yWindow="660" windowWidth="30240" windowHeight="17540" xr2:uid="{1C60444A-BEFD-BC4F-B8F6-C471D470F8DA}"/>
  </bookViews>
  <sheets>
    <sheet name="Results" sheetId="13" r:id="rId1"/>
    <sheet name="Graphs 1-4" sheetId="1" r:id="rId2"/>
    <sheet name="Graphs 5-7" sheetId="12" r:id="rId3"/>
    <sheet name="1mps" sheetId="4" r:id="rId4"/>
    <sheet name="2mps" sheetId="5" r:id="rId5"/>
    <sheet name="3mps" sheetId="6" r:id="rId6"/>
    <sheet name="4mps" sheetId="7" r:id="rId7"/>
    <sheet name="5mps" sheetId="8" r:id="rId8"/>
    <sheet name="6mps" sheetId="9" r:id="rId9"/>
    <sheet name="7mps" sheetId="10" r:id="rId10"/>
  </sheets>
  <externalReferences>
    <externalReference r:id="rId11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" i="10" l="1"/>
  <c r="Y9" i="9"/>
  <c r="Y10" i="8"/>
  <c r="AA12" i="5"/>
  <c r="AA12" i="6"/>
  <c r="AA12" i="7"/>
  <c r="Y2" i="7"/>
  <c r="Y43" i="7"/>
  <c r="Y42" i="7"/>
  <c r="Y41" i="7"/>
  <c r="Y40" i="7"/>
  <c r="Y39" i="7"/>
  <c r="Y38" i="7"/>
  <c r="Y37" i="7"/>
  <c r="Y36" i="7"/>
  <c r="Y35" i="7"/>
  <c r="Y34" i="7"/>
  <c r="Y33" i="7"/>
  <c r="Y32" i="7"/>
  <c r="Y31" i="7"/>
  <c r="Y30" i="7"/>
  <c r="Y29" i="7"/>
  <c r="Y28" i="7"/>
  <c r="Y27" i="7"/>
  <c r="Y26" i="7"/>
  <c r="Y25" i="7"/>
  <c r="Y24" i="7"/>
  <c r="Y23" i="7"/>
  <c r="Y22" i="7"/>
  <c r="Y21" i="7"/>
  <c r="Y20" i="7"/>
  <c r="Y19" i="7"/>
  <c r="Y18" i="7"/>
  <c r="Y17" i="7"/>
  <c r="Y16" i="7"/>
  <c r="Y15" i="7"/>
  <c r="Y14" i="7"/>
  <c r="Y13" i="7"/>
  <c r="Y12" i="7"/>
  <c r="Y11" i="7"/>
  <c r="Y10" i="7"/>
  <c r="Y9" i="7"/>
  <c r="Y8" i="7"/>
  <c r="Y7" i="7"/>
  <c r="Y6" i="7"/>
  <c r="Y5" i="7"/>
  <c r="Y4" i="7"/>
  <c r="Y3" i="7"/>
  <c r="Y32" i="6"/>
  <c r="Y33" i="6"/>
  <c r="Y34" i="6"/>
  <c r="Y35" i="6"/>
  <c r="Y36" i="6"/>
  <c r="Y37" i="6"/>
  <c r="Y38" i="6"/>
  <c r="Y39" i="6"/>
  <c r="Y40" i="6"/>
  <c r="Y41" i="6"/>
  <c r="Y42" i="6"/>
  <c r="Y31" i="6"/>
  <c r="Y30" i="6"/>
  <c r="Y29" i="6"/>
  <c r="Y28" i="6"/>
  <c r="Y27" i="6"/>
  <c r="Y26" i="6"/>
  <c r="Y25" i="6"/>
  <c r="Y24" i="6"/>
  <c r="Y23" i="6"/>
  <c r="Y22" i="6"/>
  <c r="Y21" i="6"/>
  <c r="Y20" i="6"/>
  <c r="Y19" i="6"/>
  <c r="Y18" i="6"/>
  <c r="Y17" i="6"/>
  <c r="Y16" i="6"/>
  <c r="Y15" i="6"/>
  <c r="Y14" i="6"/>
  <c r="Y13" i="6"/>
  <c r="Y12" i="6"/>
  <c r="Y11" i="6"/>
  <c r="Y10" i="6"/>
  <c r="Y9" i="6"/>
  <c r="Y8" i="6"/>
  <c r="Y7" i="6"/>
  <c r="Y6" i="6"/>
  <c r="Y5" i="6"/>
  <c r="Y4" i="6"/>
  <c r="Y3" i="6"/>
  <c r="Y2" i="6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4" i="5"/>
  <c r="Y3" i="5"/>
  <c r="Y2" i="5"/>
  <c r="AA12" i="4"/>
  <c r="Y2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" i="4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Q4" i="10"/>
  <c r="Q3" i="10"/>
  <c r="Q2" i="10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Q5" i="9"/>
  <c r="Q4" i="9"/>
  <c r="Q3" i="9"/>
  <c r="Q2" i="9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Q2" i="8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Q2" i="7"/>
  <c r="W37" i="6"/>
  <c r="W38" i="6"/>
  <c r="W39" i="6"/>
  <c r="W40" i="6"/>
  <c r="W41" i="6"/>
  <c r="W42" i="6"/>
  <c r="T37" i="6"/>
  <c r="T38" i="6"/>
  <c r="T39" i="6"/>
  <c r="T40" i="6"/>
  <c r="T41" i="6"/>
  <c r="T42" i="6"/>
  <c r="Q37" i="6"/>
  <c r="Q38" i="6"/>
  <c r="Q39" i="6"/>
  <c r="Q40" i="6"/>
  <c r="Q41" i="6"/>
  <c r="Q42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Q2" i="6"/>
  <c r="W6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U20" i="10" a="1"/>
  <c r="S17" i="10" a="1"/>
  <c r="R15" i="10" a="1"/>
  <c r="V10" i="10" a="1"/>
  <c r="U8" i="10" a="1"/>
  <c r="S5" i="10" a="1"/>
  <c r="R3" i="10" a="1"/>
  <c r="S20" i="10" a="1"/>
  <c r="R19" i="10" a="1"/>
  <c r="V14" i="10" a="1"/>
  <c r="U12" i="10" a="1"/>
  <c r="R7" i="10" a="1"/>
  <c r="V2" i="10" a="1"/>
  <c r="U7" i="10" a="1"/>
  <c r="R2" i="10" a="1"/>
  <c r="U21" i="10" a="1"/>
  <c r="S18" i="10" a="1"/>
  <c r="R16" i="10" a="1"/>
  <c r="V11" i="10" a="1"/>
  <c r="U9" i="10" a="1"/>
  <c r="S6" i="10" a="1"/>
  <c r="R4" i="10" a="1"/>
  <c r="V13" i="10" a="1"/>
  <c r="U11" i="10" a="1"/>
  <c r="R6" i="10" a="1"/>
  <c r="S21" i="10" a="1"/>
  <c r="S9" i="10" a="1"/>
  <c r="R20" i="10" a="1"/>
  <c r="V15" i="10" a="1"/>
  <c r="U13" i="10" a="1"/>
  <c r="S10" i="10" a="1"/>
  <c r="R8" i="10" a="1"/>
  <c r="V3" i="10" a="1"/>
  <c r="S19" i="10" a="1"/>
  <c r="R17" i="10" a="1"/>
  <c r="V12" i="10" a="1"/>
  <c r="U10" i="10" a="1"/>
  <c r="S7" i="10" a="1"/>
  <c r="R5" i="10" a="1"/>
  <c r="R18" i="10" a="1"/>
  <c r="S8" i="10" a="1"/>
  <c r="R21" i="10" a="1"/>
  <c r="V16" i="10" a="1"/>
  <c r="U14" i="10" a="1"/>
  <c r="S11" i="10" a="1"/>
  <c r="R9" i="10" a="1"/>
  <c r="V4" i="10" a="1"/>
  <c r="U2" i="10" a="1"/>
  <c r="V17" i="10" a="1"/>
  <c r="U15" i="10" a="1"/>
  <c r="S12" i="10" a="1"/>
  <c r="R10" i="10" a="1"/>
  <c r="V5" i="10" a="1"/>
  <c r="R11" i="10" a="1"/>
  <c r="V6" i="10" a="1"/>
  <c r="U4" i="10" a="1"/>
  <c r="V7" i="10" a="1"/>
  <c r="U19" i="10" a="1"/>
  <c r="S16" i="10" a="1"/>
  <c r="R14" i="10" a="1"/>
  <c r="V9" i="10" a="1"/>
  <c r="S4" i="10" a="1"/>
  <c r="U3" i="10" a="1"/>
  <c r="V18" i="10" a="1"/>
  <c r="U16" i="10" a="1"/>
  <c r="S13" i="10" a="1"/>
  <c r="V19" i="10" a="1"/>
  <c r="U17" i="10" a="1"/>
  <c r="S14" i="10" a="1"/>
  <c r="R12" i="10" a="1"/>
  <c r="U5" i="10" a="1"/>
  <c r="S2" i="10" a="1"/>
  <c r="S3" i="10" a="1"/>
  <c r="V20" i="10" a="1"/>
  <c r="U18" i="10" a="1"/>
  <c r="S15" i="10" a="1"/>
  <c r="R13" i="10" a="1"/>
  <c r="V8" i="10" a="1"/>
  <c r="U6" i="10" a="1"/>
  <c r="V21" i="10" a="1"/>
  <c r="R23" i="9" a="1"/>
  <c r="V18" i="9" a="1"/>
  <c r="U16" i="9" a="1"/>
  <c r="S13" i="9" a="1"/>
  <c r="R11" i="9" a="1"/>
  <c r="V6" i="9" a="1"/>
  <c r="U4" i="9" a="1"/>
  <c r="S15" i="9" a="1"/>
  <c r="R13" i="9" a="1"/>
  <c r="V8" i="9" a="1"/>
  <c r="U6" i="9" a="1"/>
  <c r="R14" i="9" a="1"/>
  <c r="V9" i="9" a="1"/>
  <c r="R2" i="9" a="1"/>
  <c r="S18" i="9" a="1"/>
  <c r="R4" i="9" a="1"/>
  <c r="R24" i="9" a="1"/>
  <c r="V19" i="9" a="1"/>
  <c r="U17" i="9" a="1"/>
  <c r="S14" i="9" a="1"/>
  <c r="R12" i="9" a="1"/>
  <c r="V7" i="9" a="1"/>
  <c r="U5" i="9" a="1"/>
  <c r="S2" i="9" a="1"/>
  <c r="S3" i="9" a="1"/>
  <c r="S4" i="9" a="1"/>
  <c r="R15" i="9" a="1"/>
  <c r="V10" i="9" a="1"/>
  <c r="U8" i="9" a="1"/>
  <c r="S5" i="9" a="1"/>
  <c r="R16" i="9" a="1"/>
  <c r="V11" i="9" a="1"/>
  <c r="U9" i="9" a="1"/>
  <c r="S6" i="9" a="1"/>
  <c r="U15" i="9" a="1"/>
  <c r="V5" i="9" a="1"/>
  <c r="V20" i="9" a="1"/>
  <c r="U18" i="9" a="1"/>
  <c r="R3" i="9" a="1"/>
  <c r="S21" i="9" a="1"/>
  <c r="R19" i="9" a="1"/>
  <c r="V14" i="9" a="1"/>
  <c r="U2" i="9" a="1"/>
  <c r="S12" i="9" a="1"/>
  <c r="V21" i="9" a="1"/>
  <c r="U19" i="9" a="1"/>
  <c r="S16" i="9" a="1"/>
  <c r="U7" i="9" a="1"/>
  <c r="V22" i="9" a="1"/>
  <c r="S17" i="9" a="1"/>
  <c r="S10" i="9" a="1"/>
  <c r="R10" i="9" a="1"/>
  <c r="U20" i="9" a="1"/>
  <c r="U12" i="9" a="1"/>
  <c r="S9" i="9" a="1"/>
  <c r="R7" i="9" a="1"/>
  <c r="V2" i="9" a="1"/>
  <c r="S22" i="9" a="1"/>
  <c r="R20" i="9" a="1"/>
  <c r="V15" i="9" a="1"/>
  <c r="R8" i="9" a="1"/>
  <c r="U3" i="9" a="1"/>
  <c r="V23" i="9" a="1"/>
  <c r="U21" i="9" a="1"/>
  <c r="U24" i="9" a="1"/>
  <c r="V24" i="9" a="1"/>
  <c r="U22" i="9" a="1"/>
  <c r="S19" i="9" a="1"/>
  <c r="R17" i="9" a="1"/>
  <c r="V12" i="9" a="1"/>
  <c r="U10" i="9" a="1"/>
  <c r="S7" i="9" a="1"/>
  <c r="R5" i="9" a="1"/>
  <c r="R6" i="9" a="1"/>
  <c r="V17" i="9" a="1"/>
  <c r="U23" i="9" a="1"/>
  <c r="S20" i="9" a="1"/>
  <c r="R18" i="9" a="1"/>
  <c r="V13" i="9" a="1"/>
  <c r="U11" i="9" a="1"/>
  <c r="S8" i="9" a="1"/>
  <c r="V3" i="9" a="1"/>
  <c r="R9" i="9" a="1"/>
  <c r="U13" i="9" a="1"/>
  <c r="R22" i="9" a="1"/>
  <c r="S23" i="9" a="1"/>
  <c r="R21" i="9" a="1"/>
  <c r="V16" i="9" a="1"/>
  <c r="U14" i="9" a="1"/>
  <c r="S11" i="9" a="1"/>
  <c r="V4" i="9" a="1"/>
  <c r="S24" i="9" a="1"/>
  <c r="V44" i="8" a="1"/>
  <c r="R44" i="8" a="1"/>
  <c r="U44" i="8" a="1"/>
  <c r="S44" i="8" a="1"/>
  <c r="V41" i="8" a="1"/>
  <c r="U39" i="8" a="1"/>
  <c r="S36" i="8" a="1"/>
  <c r="R34" i="8" a="1"/>
  <c r="V29" i="8" a="1"/>
  <c r="U27" i="8" a="1"/>
  <c r="S24" i="8" a="1"/>
  <c r="R22" i="8" a="1"/>
  <c r="V17" i="8" a="1"/>
  <c r="U15" i="8" a="1"/>
  <c r="S12" i="8" a="1"/>
  <c r="R10" i="8" a="1"/>
  <c r="V5" i="8" a="1"/>
  <c r="U3" i="8" a="1"/>
  <c r="U28" i="8" a="1"/>
  <c r="S25" i="8" a="1"/>
  <c r="R23" i="8" a="1"/>
  <c r="V18" i="8" a="1"/>
  <c r="U16" i="8" a="1"/>
  <c r="S13" i="8" a="1"/>
  <c r="R11" i="8" a="1"/>
  <c r="V6" i="8" a="1"/>
  <c r="U4" i="8" a="1"/>
  <c r="S2" i="8" a="1"/>
  <c r="S3" i="8" a="1"/>
  <c r="U31" i="8" a="1"/>
  <c r="S17" i="8" a="1"/>
  <c r="U8" i="8" a="1"/>
  <c r="R28" i="8" a="1"/>
  <c r="V23" i="8" a="1"/>
  <c r="U21" i="8" a="1"/>
  <c r="S18" i="8" a="1"/>
  <c r="V42" i="8" a="1"/>
  <c r="U40" i="8" a="1"/>
  <c r="S37" i="8" a="1"/>
  <c r="R35" i="8" a="1"/>
  <c r="V30" i="8" a="1"/>
  <c r="U17" i="8" a="1"/>
  <c r="R26" i="8" a="1"/>
  <c r="S16" i="8" a="1"/>
  <c r="R14" i="8" a="1"/>
  <c r="V9" i="8" a="1"/>
  <c r="V22" i="8" a="1"/>
  <c r="V10" i="8" a="1"/>
  <c r="R3" i="8" a="1"/>
  <c r="V43" i="8" a="1"/>
  <c r="U41" i="8" a="1"/>
  <c r="S38" i="8" a="1"/>
  <c r="R36" i="8" a="1"/>
  <c r="V31" i="8" a="1"/>
  <c r="U29" i="8" a="1"/>
  <c r="S26" i="8" a="1"/>
  <c r="R24" i="8" a="1"/>
  <c r="V19" i="8" a="1"/>
  <c r="S14" i="8" a="1"/>
  <c r="R12" i="8" a="1"/>
  <c r="V7" i="8" a="1"/>
  <c r="U5" i="8" a="1"/>
  <c r="V33" i="8" a="1"/>
  <c r="S4" i="8" a="1"/>
  <c r="R2" i="8" a="1"/>
  <c r="S29" i="8" a="1"/>
  <c r="R27" i="8" a="1"/>
  <c r="U20" i="8" a="1"/>
  <c r="R15" i="8" a="1"/>
  <c r="S5" i="8" a="1"/>
  <c r="S6" i="8" a="1"/>
  <c r="R17" i="8" a="1"/>
  <c r="U42" i="8" a="1"/>
  <c r="S39" i="8" a="1"/>
  <c r="R37" i="8" a="1"/>
  <c r="V32" i="8" a="1"/>
  <c r="U30" i="8" a="1"/>
  <c r="S27" i="8" a="1"/>
  <c r="R25" i="8" a="1"/>
  <c r="V20" i="8" a="1"/>
  <c r="U18" i="8" a="1"/>
  <c r="S15" i="8" a="1"/>
  <c r="R13" i="8" a="1"/>
  <c r="V8" i="8" a="1"/>
  <c r="U6" i="8" a="1"/>
  <c r="S28" i="8" a="1"/>
  <c r="V21" i="8" a="1"/>
  <c r="U19" i="8" a="1"/>
  <c r="U7" i="8" a="1"/>
  <c r="U43" i="8" a="1"/>
  <c r="S40" i="8" a="1"/>
  <c r="R38" i="8" a="1"/>
  <c r="V11" i="8" a="1"/>
  <c r="S41" i="8" a="1"/>
  <c r="R39" i="8" a="1"/>
  <c r="V34" i="8" a="1"/>
  <c r="U32" i="8" a="1"/>
  <c r="S42" i="8" a="1"/>
  <c r="R40" i="8" a="1"/>
  <c r="V35" i="8" a="1"/>
  <c r="U33" i="8" a="1"/>
  <c r="S30" i="8" a="1"/>
  <c r="R16" i="8" a="1"/>
  <c r="U9" i="8" a="1"/>
  <c r="S43" i="8" a="1"/>
  <c r="R41" i="8" a="1"/>
  <c r="V36" i="8" a="1"/>
  <c r="U34" i="8" a="1"/>
  <c r="S31" i="8" a="1"/>
  <c r="R29" i="8" a="1"/>
  <c r="V24" i="8" a="1"/>
  <c r="U22" i="8" a="1"/>
  <c r="S19" i="8" a="1"/>
  <c r="R42" i="8" a="1"/>
  <c r="V37" i="8" a="1"/>
  <c r="U35" i="8" a="1"/>
  <c r="S32" i="8" a="1"/>
  <c r="R30" i="8" a="1"/>
  <c r="V25" i="8" a="1"/>
  <c r="U23" i="8" a="1"/>
  <c r="S20" i="8" a="1"/>
  <c r="R18" i="8" a="1"/>
  <c r="V13" i="8" a="1"/>
  <c r="U11" i="8" a="1"/>
  <c r="S8" i="8" a="1"/>
  <c r="R43" i="8" a="1"/>
  <c r="V38" i="8" a="1"/>
  <c r="U36" i="8" a="1"/>
  <c r="S33" i="8" a="1"/>
  <c r="R31" i="8" a="1"/>
  <c r="V26" i="8" a="1"/>
  <c r="U24" i="8" a="1"/>
  <c r="S21" i="8" a="1"/>
  <c r="R19" i="8" a="1"/>
  <c r="V14" i="8" a="1"/>
  <c r="U12" i="8" a="1"/>
  <c r="S9" i="8" a="1"/>
  <c r="R7" i="8" a="1"/>
  <c r="V2" i="8" a="1"/>
  <c r="R20" i="8" a="1"/>
  <c r="U13" i="8" a="1"/>
  <c r="S10" i="8" a="1"/>
  <c r="V3" i="8" a="1"/>
  <c r="R9" i="8" a="1"/>
  <c r="U2" i="8" a="1"/>
  <c r="R4" i="8" a="1"/>
  <c r="S7" i="8" a="1"/>
  <c r="V39" i="8" a="1"/>
  <c r="U37" i="8" a="1"/>
  <c r="S34" i="8" a="1"/>
  <c r="R32" i="8" a="1"/>
  <c r="V27" i="8" a="1"/>
  <c r="U25" i="8" a="1"/>
  <c r="S22" i="8" a="1"/>
  <c r="V15" i="8" a="1"/>
  <c r="R8" i="8" a="1"/>
  <c r="S11" i="8" a="1"/>
  <c r="V4" i="8" a="1"/>
  <c r="V40" i="8" a="1"/>
  <c r="U38" i="8" a="1"/>
  <c r="S35" i="8" a="1"/>
  <c r="R33" i="8" a="1"/>
  <c r="V28" i="8" a="1"/>
  <c r="U26" i="8" a="1"/>
  <c r="S23" i="8" a="1"/>
  <c r="R21" i="8" a="1"/>
  <c r="V16" i="8" a="1"/>
  <c r="U14" i="8" a="1"/>
  <c r="V12" i="8" a="1"/>
  <c r="U10" i="8" a="1"/>
  <c r="R5" i="8" a="1"/>
  <c r="R6" i="8" a="1"/>
  <c r="S43" i="7" a="1"/>
  <c r="U43" i="7" a="1"/>
  <c r="V43" i="7" a="1"/>
  <c r="R43" i="7" a="1"/>
  <c r="V40" i="7" a="1"/>
  <c r="U38" i="7" a="1"/>
  <c r="S35" i="7" a="1"/>
  <c r="R33" i="7" a="1"/>
  <c r="V28" i="7" a="1"/>
  <c r="U26" i="7" a="1"/>
  <c r="S23" i="7" a="1"/>
  <c r="R21" i="7" a="1"/>
  <c r="V16" i="7" a="1"/>
  <c r="U14" i="7" a="1"/>
  <c r="S11" i="7" a="1"/>
  <c r="R9" i="7" a="1"/>
  <c r="V4" i="7" a="1"/>
  <c r="S15" i="7" a="1"/>
  <c r="U24" i="7" a="1"/>
  <c r="U12" i="7" a="1"/>
  <c r="S9" i="7" a="1"/>
  <c r="V41" i="7" a="1"/>
  <c r="U39" i="7" a="1"/>
  <c r="S36" i="7" a="1"/>
  <c r="R34" i="7" a="1"/>
  <c r="V29" i="7" a="1"/>
  <c r="U27" i="7" a="1"/>
  <c r="S24" i="7" a="1"/>
  <c r="R22" i="7" a="1"/>
  <c r="V17" i="7" a="1"/>
  <c r="U15" i="7" a="1"/>
  <c r="S12" i="7" a="1"/>
  <c r="R10" i="7" a="1"/>
  <c r="V5" i="7" a="1"/>
  <c r="U3" i="7" a="1"/>
  <c r="U41" i="7" a="1"/>
  <c r="S38" i="7" a="1"/>
  <c r="R36" i="7" a="1"/>
  <c r="V31" i="7" a="1"/>
  <c r="U29" i="7" a="1"/>
  <c r="S26" i="7" a="1"/>
  <c r="V19" i="7" a="1"/>
  <c r="S14" i="7" a="1"/>
  <c r="R12" i="7" a="1"/>
  <c r="V7" i="7" a="1"/>
  <c r="R25" i="7" a="1"/>
  <c r="R14" i="7" a="1"/>
  <c r="S5" i="7" a="1"/>
  <c r="R18" i="7" a="1"/>
  <c r="U11" i="7" a="1"/>
  <c r="V26" i="7" a="1"/>
  <c r="V42" i="7" a="1"/>
  <c r="U40" i="7" a="1"/>
  <c r="S37" i="7" a="1"/>
  <c r="R35" i="7" a="1"/>
  <c r="V30" i="7" a="1"/>
  <c r="U28" i="7" a="1"/>
  <c r="S25" i="7" a="1"/>
  <c r="R23" i="7" a="1"/>
  <c r="V18" i="7" a="1"/>
  <c r="U16" i="7" a="1"/>
  <c r="S13" i="7" a="1"/>
  <c r="R11" i="7" a="1"/>
  <c r="V6" i="7" a="1"/>
  <c r="U4" i="7" a="1"/>
  <c r="R24" i="7" a="1"/>
  <c r="U17" i="7" a="1"/>
  <c r="R37" i="7" a="1"/>
  <c r="U5" i="7" a="1"/>
  <c r="S2" i="7" a="1"/>
  <c r="U18" i="7" a="1"/>
  <c r="R13" i="7" a="1"/>
  <c r="V8" i="7" a="1"/>
  <c r="U33" i="7" a="1"/>
  <c r="R28" i="7" a="1"/>
  <c r="V23" i="7" a="1"/>
  <c r="S18" i="7" a="1"/>
  <c r="U42" i="7" a="1"/>
  <c r="S39" i="7" a="1"/>
  <c r="V32" i="7" a="1"/>
  <c r="U30" i="7" a="1"/>
  <c r="S27" i="7" a="1"/>
  <c r="U6" i="7" a="1"/>
  <c r="S3" i="7" a="1"/>
  <c r="V9" i="7" a="1"/>
  <c r="U7" i="7" a="1"/>
  <c r="S4" i="7" a="1"/>
  <c r="R2" i="7" a="1"/>
  <c r="R15" i="7" a="1"/>
  <c r="V10" i="7" a="1"/>
  <c r="R3" i="7" a="1"/>
  <c r="U21" i="7" a="1"/>
  <c r="S20" i="7" a="1"/>
  <c r="S40" i="7" a="1"/>
  <c r="R38" i="7" a="1"/>
  <c r="V33" i="7" a="1"/>
  <c r="U31" i="7" a="1"/>
  <c r="S28" i="7" a="1"/>
  <c r="R26" i="7" a="1"/>
  <c r="V21" i="7" a="1"/>
  <c r="U19" i="7" a="1"/>
  <c r="S16" i="7" a="1"/>
  <c r="R6" i="7" a="1"/>
  <c r="R31" i="7" a="1"/>
  <c r="V14" i="7" a="1"/>
  <c r="S41" i="7" a="1"/>
  <c r="R39" i="7" a="1"/>
  <c r="V34" i="7" a="1"/>
  <c r="U32" i="7" a="1"/>
  <c r="S29" i="7" a="1"/>
  <c r="R27" i="7" a="1"/>
  <c r="V22" i="7" a="1"/>
  <c r="U20" i="7" a="1"/>
  <c r="S17" i="7" a="1"/>
  <c r="S30" i="7" a="1"/>
  <c r="R16" i="7" a="1"/>
  <c r="V11" i="7" a="1"/>
  <c r="U9" i="7" a="1"/>
  <c r="S6" i="7" a="1"/>
  <c r="R4" i="7" a="1"/>
  <c r="V25" i="7" a="1"/>
  <c r="S8" i="7" a="1"/>
  <c r="R7" i="7" a="1"/>
  <c r="V2" i="7" a="1"/>
  <c r="S42" i="7" a="1"/>
  <c r="R40" i="7" a="1"/>
  <c r="V35" i="7" a="1"/>
  <c r="R41" i="7" a="1"/>
  <c r="V36" i="7" a="1"/>
  <c r="U34" i="7" a="1"/>
  <c r="S31" i="7" a="1"/>
  <c r="R29" i="7" a="1"/>
  <c r="V24" i="7" a="1"/>
  <c r="U22" i="7" a="1"/>
  <c r="S19" i="7" a="1"/>
  <c r="R17" i="7" a="1"/>
  <c r="V12" i="7" a="1"/>
  <c r="U10" i="7" a="1"/>
  <c r="S7" i="7" a="1"/>
  <c r="R5" i="7" a="1"/>
  <c r="U35" i="7" a="1"/>
  <c r="R30" i="7" a="1"/>
  <c r="U23" i="7" a="1"/>
  <c r="V13" i="7" a="1"/>
  <c r="R19" i="7" a="1"/>
  <c r="R42" i="7" a="1"/>
  <c r="V37" i="7" a="1"/>
  <c r="S32" i="7" a="1"/>
  <c r="V38" i="7" a="1"/>
  <c r="U36" i="7" a="1"/>
  <c r="S33" i="7" a="1"/>
  <c r="S21" i="7" a="1"/>
  <c r="V39" i="7" a="1"/>
  <c r="U37" i="7" a="1"/>
  <c r="S34" i="7" a="1"/>
  <c r="R32" i="7" a="1"/>
  <c r="V27" i="7" a="1"/>
  <c r="U25" i="7" a="1"/>
  <c r="S22" i="7" a="1"/>
  <c r="R20" i="7" a="1"/>
  <c r="V15" i="7" a="1"/>
  <c r="U13" i="7" a="1"/>
  <c r="S10" i="7" a="1"/>
  <c r="R8" i="7" a="1"/>
  <c r="V3" i="7" a="1"/>
  <c r="U2" i="7" a="1"/>
  <c r="V20" i="7" a="1"/>
  <c r="U8" i="7" a="1"/>
  <c r="V37" i="6" a="1"/>
  <c r="V41" i="6" a="1"/>
  <c r="V38" i="6" a="1"/>
  <c r="V40" i="6" a="1"/>
  <c r="V39" i="6" a="1"/>
  <c r="V42" i="6" a="1"/>
  <c r="U37" i="6" a="1"/>
  <c r="U40" i="6" a="1"/>
  <c r="U39" i="6" a="1"/>
  <c r="U42" i="6" a="1"/>
  <c r="U38" i="6" a="1"/>
  <c r="U41" i="6" a="1"/>
  <c r="S37" i="6" a="1"/>
  <c r="S39" i="6" a="1"/>
  <c r="S40" i="6" a="1"/>
  <c r="S38" i="6" a="1"/>
  <c r="S42" i="6" a="1"/>
  <c r="S41" i="6" a="1"/>
  <c r="R37" i="6" a="1"/>
  <c r="R40" i="6" a="1"/>
  <c r="R39" i="6" a="1"/>
  <c r="R38" i="6" a="1"/>
  <c r="R42" i="6" a="1"/>
  <c r="R41" i="6" a="1"/>
  <c r="V34" i="6" a="1"/>
  <c r="U32" i="6" a="1"/>
  <c r="S29" i="6" a="1"/>
  <c r="R27" i="6" a="1"/>
  <c r="V22" i="6" a="1"/>
  <c r="U20" i="6" a="1"/>
  <c r="S17" i="6" a="1"/>
  <c r="R15" i="6" a="1"/>
  <c r="V10" i="6" a="1"/>
  <c r="U8" i="6" a="1"/>
  <c r="S5" i="6" a="1"/>
  <c r="R3" i="6" a="1"/>
  <c r="V11" i="6" a="1"/>
  <c r="U9" i="6" a="1"/>
  <c r="S6" i="6" a="1"/>
  <c r="R4" i="6" a="1"/>
  <c r="U23" i="6" a="1"/>
  <c r="R18" i="6" a="1"/>
  <c r="U11" i="6" a="1"/>
  <c r="R6" i="6" a="1"/>
  <c r="V27" i="6" a="1"/>
  <c r="S22" i="6" a="1"/>
  <c r="V15" i="6" a="1"/>
  <c r="R8" i="6" a="1"/>
  <c r="R33" i="6" a="1"/>
  <c r="S23" i="6" a="1"/>
  <c r="V16" i="6" a="1"/>
  <c r="V4" i="6" a="1"/>
  <c r="U27" i="6" a="1"/>
  <c r="R22" i="6" a="1"/>
  <c r="U15" i="6" a="1"/>
  <c r="S12" i="6" a="1"/>
  <c r="V35" i="6" a="1"/>
  <c r="U33" i="6" a="1"/>
  <c r="S30" i="6" a="1"/>
  <c r="R28" i="6" a="1"/>
  <c r="V23" i="6" a="1"/>
  <c r="U21" i="6" a="1"/>
  <c r="S18" i="6" a="1"/>
  <c r="R16" i="6" a="1"/>
  <c r="V36" i="6" a="1"/>
  <c r="U34" i="6" a="1"/>
  <c r="S31" i="6" a="1"/>
  <c r="R29" i="6" a="1"/>
  <c r="V24" i="6" a="1"/>
  <c r="U22" i="6" a="1"/>
  <c r="S19" i="6" a="1"/>
  <c r="R17" i="6" a="1"/>
  <c r="V12" i="6" a="1"/>
  <c r="U10" i="6" a="1"/>
  <c r="S7" i="6" a="1"/>
  <c r="R5" i="6" a="1"/>
  <c r="U35" i="6" a="1"/>
  <c r="S32" i="6" a="1"/>
  <c r="R30" i="6" a="1"/>
  <c r="V25" i="6" a="1"/>
  <c r="S20" i="6" a="1"/>
  <c r="S8" i="6" a="1"/>
  <c r="U13" i="6" a="1"/>
  <c r="V3" i="6" a="1"/>
  <c r="V28" i="6" a="1"/>
  <c r="R21" i="6" a="1"/>
  <c r="R9" i="6" a="1"/>
  <c r="V13" i="6" a="1"/>
  <c r="U25" i="6" a="1"/>
  <c r="R20" i="6" a="1"/>
  <c r="S10" i="6" a="1"/>
  <c r="S35" i="6" a="1"/>
  <c r="U26" i="6" a="1"/>
  <c r="S11" i="6" a="1"/>
  <c r="U2" i="6" a="1"/>
  <c r="S36" i="6" a="1"/>
  <c r="R34" i="6" a="1"/>
  <c r="V29" i="6" a="1"/>
  <c r="S24" i="6" a="1"/>
  <c r="V17" i="6" a="1"/>
  <c r="R10" i="6" a="1"/>
  <c r="U36" i="6" a="1"/>
  <c r="S33" i="6" a="1"/>
  <c r="R31" i="6" a="1"/>
  <c r="V26" i="6" a="1"/>
  <c r="U24" i="6" a="1"/>
  <c r="S21" i="6" a="1"/>
  <c r="R19" i="6" a="1"/>
  <c r="V14" i="6" a="1"/>
  <c r="U12" i="6" a="1"/>
  <c r="S9" i="6" a="1"/>
  <c r="R7" i="6" a="1"/>
  <c r="V2" i="6" a="1"/>
  <c r="S34" i="6" a="1"/>
  <c r="R32" i="6" a="1"/>
  <c r="U14" i="6" a="1"/>
  <c r="V5" i="6" a="1"/>
  <c r="U3" i="6" a="1"/>
  <c r="V30" i="6" a="1"/>
  <c r="U28" i="6" a="1"/>
  <c r="S25" i="6" a="1"/>
  <c r="R23" i="6" a="1"/>
  <c r="S13" i="6" a="1"/>
  <c r="V6" i="6" a="1"/>
  <c r="U4" i="6" a="1"/>
  <c r="V31" i="6" a="1"/>
  <c r="V19" i="6" a="1"/>
  <c r="R12" i="6" a="1"/>
  <c r="V32" i="6" a="1"/>
  <c r="U30" i="6" a="1"/>
  <c r="V20" i="6" a="1"/>
  <c r="R13" i="6" a="1"/>
  <c r="U6" i="6" a="1"/>
  <c r="V33" i="6" a="1"/>
  <c r="U19" i="6" a="1"/>
  <c r="R14" i="6" a="1"/>
  <c r="R35" i="6" a="1"/>
  <c r="V18" i="6" a="1"/>
  <c r="R11" i="6" a="1"/>
  <c r="S26" i="6" a="1"/>
  <c r="U17" i="6" a="1"/>
  <c r="S2" i="6" a="1"/>
  <c r="S27" i="6" a="1"/>
  <c r="R25" i="6" a="1"/>
  <c r="U18" i="6" a="1"/>
  <c r="S15" i="6" a="1"/>
  <c r="V8" i="6" a="1"/>
  <c r="U31" i="6" a="1"/>
  <c r="R26" i="6" a="1"/>
  <c r="S16" i="6" a="1"/>
  <c r="U7" i="6" a="1"/>
  <c r="R2" i="6" a="1"/>
  <c r="U16" i="6" a="1"/>
  <c r="U29" i="6" a="1"/>
  <c r="R24" i="6" a="1"/>
  <c r="S14" i="6" a="1"/>
  <c r="U5" i="6" a="1"/>
  <c r="R36" i="6" a="1"/>
  <c r="V7" i="6" a="1"/>
  <c r="S3" i="6" a="1"/>
  <c r="S28" i="6" a="1"/>
  <c r="V21" i="6" a="1"/>
  <c r="V9" i="6" a="1"/>
  <c r="S4" i="6" a="1"/>
  <c r="S29" i="5" a="1"/>
  <c r="R27" i="5" a="1"/>
  <c r="V22" i="5" a="1"/>
  <c r="U20" i="5" a="1"/>
  <c r="S17" i="5" a="1"/>
  <c r="R15" i="5" a="1"/>
  <c r="V10" i="5" a="1"/>
  <c r="S5" i="5" a="1"/>
  <c r="R3" i="5" a="1"/>
  <c r="U9" i="5" a="1"/>
  <c r="S6" i="5" a="1"/>
  <c r="R4" i="5" a="1"/>
  <c r="R19" i="5" a="1"/>
  <c r="S30" i="5" a="1"/>
  <c r="R28" i="5" a="1"/>
  <c r="V23" i="5" a="1"/>
  <c r="U21" i="5" a="1"/>
  <c r="S18" i="5" a="1"/>
  <c r="R16" i="5" a="1"/>
  <c r="V11" i="5" a="1"/>
  <c r="R6" i="5" a="1"/>
  <c r="U24" i="5" a="1"/>
  <c r="R7" i="5" a="1"/>
  <c r="V2" i="5" a="1"/>
  <c r="R11" i="5" a="1"/>
  <c r="R24" i="5" a="1"/>
  <c r="U17" i="5" a="1"/>
  <c r="V7" i="5" a="1"/>
  <c r="V8" i="5" a="1"/>
  <c r="S31" i="5" a="1"/>
  <c r="R29" i="5" a="1"/>
  <c r="V24" i="5" a="1"/>
  <c r="U22" i="5" a="1"/>
  <c r="S19" i="5" a="1"/>
  <c r="R17" i="5" a="1"/>
  <c r="V12" i="5" a="1"/>
  <c r="U10" i="5" a="1"/>
  <c r="S7" i="5" a="1"/>
  <c r="R5" i="5" a="1"/>
  <c r="R30" i="5" a="1"/>
  <c r="V25" i="5" a="1"/>
  <c r="S20" i="5" a="1"/>
  <c r="R18" i="5" a="1"/>
  <c r="V13" i="5" a="1"/>
  <c r="U11" i="5" a="1"/>
  <c r="S8" i="5" a="1"/>
  <c r="U12" i="5" a="1"/>
  <c r="U23" i="5" a="1"/>
  <c r="R31" i="5" a="1"/>
  <c r="V26" i="5" a="1"/>
  <c r="S21" i="5" a="1"/>
  <c r="V14" i="5" a="1"/>
  <c r="S9" i="5" a="1"/>
  <c r="U4" i="5" a="1"/>
  <c r="S27" i="5" a="1"/>
  <c r="R25" i="5" a="1"/>
  <c r="V20" i="5" a="1"/>
  <c r="R13" i="5" a="1"/>
  <c r="V27" i="5" a="1"/>
  <c r="U25" i="5" a="1"/>
  <c r="S22" i="5" a="1"/>
  <c r="R20" i="5" a="1"/>
  <c r="V15" i="5" a="1"/>
  <c r="U13" i="5" a="1"/>
  <c r="S10" i="5" a="1"/>
  <c r="R8" i="5" a="1"/>
  <c r="V3" i="5" a="1"/>
  <c r="R9" i="5" a="1"/>
  <c r="V4" i="5" a="1"/>
  <c r="U2" i="5" a="1"/>
  <c r="U3" i="5" a="1"/>
  <c r="V6" i="5" a="1"/>
  <c r="S14" i="5" a="1"/>
  <c r="S15" i="5" a="1"/>
  <c r="S3" i="5" a="1"/>
  <c r="V28" i="5" a="1"/>
  <c r="U26" i="5" a="1"/>
  <c r="S23" i="5" a="1"/>
  <c r="R21" i="5" a="1"/>
  <c r="V16" i="5" a="1"/>
  <c r="U14" i="5" a="1"/>
  <c r="S11" i="5" a="1"/>
  <c r="V5" i="5" a="1"/>
  <c r="R12" i="5" a="1"/>
  <c r="V29" i="5" a="1"/>
  <c r="U27" i="5" a="1"/>
  <c r="S24" i="5" a="1"/>
  <c r="R22" i="5" a="1"/>
  <c r="V17" i="5" a="1"/>
  <c r="U15" i="5" a="1"/>
  <c r="S12" i="5" a="1"/>
  <c r="R10" i="5" a="1"/>
  <c r="U18" i="5" a="1"/>
  <c r="U6" i="5" a="1"/>
  <c r="V30" i="5" a="1"/>
  <c r="U28" i="5" a="1"/>
  <c r="S25" i="5" a="1"/>
  <c r="R23" i="5" a="1"/>
  <c r="V18" i="5" a="1"/>
  <c r="U16" i="5" a="1"/>
  <c r="S13" i="5" a="1"/>
  <c r="S2" i="5" a="1"/>
  <c r="V31" i="5" a="1"/>
  <c r="U29" i="5" a="1"/>
  <c r="S26" i="5" a="1"/>
  <c r="U30" i="5" a="1"/>
  <c r="U31" i="5" a="1"/>
  <c r="S28" i="5" a="1"/>
  <c r="R26" i="5" a="1"/>
  <c r="V21" i="5" a="1"/>
  <c r="U19" i="5" a="1"/>
  <c r="S16" i="5" a="1"/>
  <c r="R14" i="5" a="1"/>
  <c r="V9" i="5" a="1"/>
  <c r="U7" i="5" a="1"/>
  <c r="S4" i="5" a="1"/>
  <c r="R2" i="5" a="1"/>
  <c r="U8" i="5" a="1"/>
  <c r="V19" i="5" a="1"/>
  <c r="U5" i="5" a="1"/>
  <c r="R4" i="4" a="1"/>
  <c r="U3" i="4" a="1"/>
  <c r="V21" i="10" l="1"/>
  <c r="U6" i="10"/>
  <c r="V8" i="10"/>
  <c r="R13" i="10"/>
  <c r="S15" i="10"/>
  <c r="U18" i="10"/>
  <c r="V20" i="10"/>
  <c r="S3" i="10"/>
  <c r="S2" i="10"/>
  <c r="U5" i="10"/>
  <c r="R12" i="10"/>
  <c r="T12" i="10" s="1"/>
  <c r="W12" i="10" s="1"/>
  <c r="S14" i="10"/>
  <c r="U17" i="10"/>
  <c r="V19" i="10"/>
  <c r="S13" i="10"/>
  <c r="U16" i="10"/>
  <c r="V18" i="10"/>
  <c r="U3" i="10"/>
  <c r="S4" i="10"/>
  <c r="V9" i="10"/>
  <c r="R14" i="10"/>
  <c r="S16" i="10"/>
  <c r="U19" i="10"/>
  <c r="V7" i="10"/>
  <c r="U4" i="10"/>
  <c r="V6" i="10"/>
  <c r="R11" i="10"/>
  <c r="T11" i="10" s="1"/>
  <c r="V5" i="10"/>
  <c r="R10" i="10"/>
  <c r="S12" i="10"/>
  <c r="U15" i="10"/>
  <c r="V17" i="10"/>
  <c r="U2" i="10"/>
  <c r="V4" i="10"/>
  <c r="R9" i="10"/>
  <c r="S11" i="10"/>
  <c r="U14" i="10"/>
  <c r="V16" i="10"/>
  <c r="R21" i="10"/>
  <c r="T21" i="10" s="1"/>
  <c r="W21" i="10" s="1"/>
  <c r="S8" i="10"/>
  <c r="R18" i="10"/>
  <c r="T18" i="10" s="1"/>
  <c r="W18" i="10" s="1"/>
  <c r="R5" i="10"/>
  <c r="S7" i="10"/>
  <c r="U10" i="10"/>
  <c r="V12" i="10"/>
  <c r="R17" i="10"/>
  <c r="S19" i="10"/>
  <c r="V3" i="10"/>
  <c r="R8" i="10"/>
  <c r="S10" i="10"/>
  <c r="U13" i="10"/>
  <c r="V15" i="10"/>
  <c r="R20" i="10"/>
  <c r="S9" i="10"/>
  <c r="S21" i="10"/>
  <c r="R6" i="10"/>
  <c r="U11" i="10"/>
  <c r="V13" i="10"/>
  <c r="R4" i="10"/>
  <c r="T4" i="10" s="1"/>
  <c r="W4" i="10" s="1"/>
  <c r="S6" i="10"/>
  <c r="U9" i="10"/>
  <c r="V11" i="10"/>
  <c r="R16" i="10"/>
  <c r="S18" i="10"/>
  <c r="U21" i="10"/>
  <c r="R2" i="10"/>
  <c r="T2" i="10" s="1"/>
  <c r="U7" i="10"/>
  <c r="V2" i="10"/>
  <c r="R7" i="10"/>
  <c r="T7" i="10" s="1"/>
  <c r="U12" i="10"/>
  <c r="V14" i="10"/>
  <c r="R19" i="10"/>
  <c r="T19" i="10" s="1"/>
  <c r="W19" i="10" s="1"/>
  <c r="S20" i="10"/>
  <c r="R3" i="10"/>
  <c r="S5" i="10"/>
  <c r="U8" i="10"/>
  <c r="V10" i="10"/>
  <c r="R15" i="10"/>
  <c r="T15" i="10" s="1"/>
  <c r="W15" i="10" s="1"/>
  <c r="S17" i="10"/>
  <c r="U20" i="10"/>
  <c r="S24" i="9"/>
  <c r="V4" i="9"/>
  <c r="S11" i="9"/>
  <c r="U14" i="9"/>
  <c r="V16" i="9"/>
  <c r="R21" i="9"/>
  <c r="T21" i="9" s="1"/>
  <c r="W21" i="9" s="1"/>
  <c r="S23" i="9"/>
  <c r="R22" i="9"/>
  <c r="U13" i="9"/>
  <c r="R9" i="9"/>
  <c r="T9" i="9" s="1"/>
  <c r="W9" i="9" s="1"/>
  <c r="V3" i="9"/>
  <c r="S8" i="9"/>
  <c r="U11" i="9"/>
  <c r="V13" i="9"/>
  <c r="R18" i="9"/>
  <c r="T18" i="9" s="1"/>
  <c r="S20" i="9"/>
  <c r="U23" i="9"/>
  <c r="V17" i="9"/>
  <c r="R6" i="9"/>
  <c r="R5" i="9"/>
  <c r="S7" i="9"/>
  <c r="U10" i="9"/>
  <c r="V12" i="9"/>
  <c r="R17" i="9"/>
  <c r="T17" i="9" s="1"/>
  <c r="W17" i="9" s="1"/>
  <c r="S19" i="9"/>
  <c r="U22" i="9"/>
  <c r="V24" i="9"/>
  <c r="U24" i="9"/>
  <c r="U21" i="9"/>
  <c r="V23" i="9"/>
  <c r="U3" i="9"/>
  <c r="R8" i="9"/>
  <c r="T8" i="9" s="1"/>
  <c r="W8" i="9" s="1"/>
  <c r="V15" i="9"/>
  <c r="R20" i="9"/>
  <c r="T20" i="9" s="1"/>
  <c r="S22" i="9"/>
  <c r="V2" i="9"/>
  <c r="R7" i="9"/>
  <c r="T7" i="9" s="1"/>
  <c r="W7" i="9" s="1"/>
  <c r="S9" i="9"/>
  <c r="U12" i="9"/>
  <c r="U20" i="9"/>
  <c r="R10" i="9"/>
  <c r="S10" i="9"/>
  <c r="S17" i="9"/>
  <c r="V22" i="9"/>
  <c r="U7" i="9"/>
  <c r="S16" i="9"/>
  <c r="U19" i="9"/>
  <c r="V21" i="9"/>
  <c r="S12" i="9"/>
  <c r="U2" i="9"/>
  <c r="V14" i="9"/>
  <c r="R19" i="9"/>
  <c r="T19" i="9" s="1"/>
  <c r="W19" i="9" s="1"/>
  <c r="S21" i="9"/>
  <c r="R3" i="9"/>
  <c r="T3" i="9" s="1"/>
  <c r="W3" i="9" s="1"/>
  <c r="U18" i="9"/>
  <c r="V20" i="9"/>
  <c r="V5" i="9"/>
  <c r="U15" i="9"/>
  <c r="S6" i="9"/>
  <c r="U9" i="9"/>
  <c r="V11" i="9"/>
  <c r="R16" i="9"/>
  <c r="S5" i="9"/>
  <c r="U8" i="9"/>
  <c r="V10" i="9"/>
  <c r="R15" i="9"/>
  <c r="S4" i="9"/>
  <c r="S3" i="9"/>
  <c r="S2" i="9"/>
  <c r="U5" i="9"/>
  <c r="V7" i="9"/>
  <c r="R12" i="9"/>
  <c r="S14" i="9"/>
  <c r="U17" i="9"/>
  <c r="V19" i="9"/>
  <c r="R24" i="9"/>
  <c r="T24" i="9" s="1"/>
  <c r="R4" i="9"/>
  <c r="S18" i="9"/>
  <c r="R2" i="9"/>
  <c r="V9" i="9"/>
  <c r="R14" i="9"/>
  <c r="T14" i="9" s="1"/>
  <c r="W14" i="9" s="1"/>
  <c r="U6" i="9"/>
  <c r="V8" i="9"/>
  <c r="R13" i="9"/>
  <c r="S15" i="9"/>
  <c r="U4" i="9"/>
  <c r="V6" i="9"/>
  <c r="R11" i="9"/>
  <c r="S13" i="9"/>
  <c r="U16" i="9"/>
  <c r="V18" i="9"/>
  <c r="R23" i="9"/>
  <c r="T23" i="9" s="1"/>
  <c r="W23" i="9" s="1"/>
  <c r="S44" i="8"/>
  <c r="U44" i="8"/>
  <c r="R44" i="8"/>
  <c r="T44" i="8" s="1"/>
  <c r="V44" i="8"/>
  <c r="R6" i="8"/>
  <c r="R5" i="8"/>
  <c r="U10" i="8"/>
  <c r="V12" i="8"/>
  <c r="U14" i="8"/>
  <c r="V16" i="8"/>
  <c r="R21" i="8"/>
  <c r="T21" i="8" s="1"/>
  <c r="W21" i="8" s="1"/>
  <c r="S23" i="8"/>
  <c r="U26" i="8"/>
  <c r="V28" i="8"/>
  <c r="R33" i="8"/>
  <c r="T33" i="8" s="1"/>
  <c r="S35" i="8"/>
  <c r="U38" i="8"/>
  <c r="V40" i="8"/>
  <c r="V4" i="8"/>
  <c r="S11" i="8"/>
  <c r="R8" i="8"/>
  <c r="V15" i="8"/>
  <c r="S22" i="8"/>
  <c r="U25" i="8"/>
  <c r="V27" i="8"/>
  <c r="R32" i="8"/>
  <c r="T32" i="8" s="1"/>
  <c r="W32" i="8" s="1"/>
  <c r="S34" i="8"/>
  <c r="U37" i="8"/>
  <c r="V39" i="8"/>
  <c r="S7" i="8"/>
  <c r="R4" i="8"/>
  <c r="T4" i="8" s="1"/>
  <c r="W4" i="8" s="1"/>
  <c r="U2" i="8"/>
  <c r="R9" i="8"/>
  <c r="V3" i="8"/>
  <c r="S10" i="8"/>
  <c r="U13" i="8"/>
  <c r="R20" i="8"/>
  <c r="T20" i="8" s="1"/>
  <c r="V2" i="8"/>
  <c r="R7" i="8"/>
  <c r="T7" i="8" s="1"/>
  <c r="S9" i="8"/>
  <c r="U12" i="8"/>
  <c r="V14" i="8"/>
  <c r="R19" i="8"/>
  <c r="S21" i="8"/>
  <c r="U24" i="8"/>
  <c r="V26" i="8"/>
  <c r="R31" i="8"/>
  <c r="T31" i="8" s="1"/>
  <c r="S33" i="8"/>
  <c r="U36" i="8"/>
  <c r="V38" i="8"/>
  <c r="R43" i="8"/>
  <c r="T43" i="8" s="1"/>
  <c r="S8" i="8"/>
  <c r="U11" i="8"/>
  <c r="V13" i="8"/>
  <c r="R18" i="8"/>
  <c r="S20" i="8"/>
  <c r="U23" i="8"/>
  <c r="V25" i="8"/>
  <c r="R30" i="8"/>
  <c r="S32" i="8"/>
  <c r="U35" i="8"/>
  <c r="V37" i="8"/>
  <c r="R42" i="8"/>
  <c r="T42" i="8" s="1"/>
  <c r="W42" i="8" s="1"/>
  <c r="S19" i="8"/>
  <c r="U22" i="8"/>
  <c r="V24" i="8"/>
  <c r="R29" i="8"/>
  <c r="S31" i="8"/>
  <c r="U34" i="8"/>
  <c r="V36" i="8"/>
  <c r="R41" i="8"/>
  <c r="S43" i="8"/>
  <c r="U9" i="8"/>
  <c r="R16" i="8"/>
  <c r="T16" i="8" s="1"/>
  <c r="W16" i="8" s="1"/>
  <c r="S30" i="8"/>
  <c r="U33" i="8"/>
  <c r="V35" i="8"/>
  <c r="R40" i="8"/>
  <c r="S42" i="8"/>
  <c r="U32" i="8"/>
  <c r="V34" i="8"/>
  <c r="R39" i="8"/>
  <c r="T39" i="8" s="1"/>
  <c r="S41" i="8"/>
  <c r="V11" i="8"/>
  <c r="R38" i="8"/>
  <c r="T38" i="8" s="1"/>
  <c r="S40" i="8"/>
  <c r="U43" i="8"/>
  <c r="U7" i="8"/>
  <c r="U19" i="8"/>
  <c r="V21" i="8"/>
  <c r="S28" i="8"/>
  <c r="U6" i="8"/>
  <c r="V8" i="8"/>
  <c r="R13" i="8"/>
  <c r="T13" i="8" s="1"/>
  <c r="W13" i="8" s="1"/>
  <c r="S15" i="8"/>
  <c r="U18" i="8"/>
  <c r="V20" i="8"/>
  <c r="R25" i="8"/>
  <c r="T25" i="8" s="1"/>
  <c r="W25" i="8" s="1"/>
  <c r="S27" i="8"/>
  <c r="U30" i="8"/>
  <c r="V32" i="8"/>
  <c r="R37" i="8"/>
  <c r="S39" i="8"/>
  <c r="U42" i="8"/>
  <c r="R17" i="8"/>
  <c r="S6" i="8"/>
  <c r="S5" i="8"/>
  <c r="R15" i="8"/>
  <c r="U20" i="8"/>
  <c r="R27" i="8"/>
  <c r="S29" i="8"/>
  <c r="R2" i="8"/>
  <c r="T2" i="8" s="1"/>
  <c r="W2" i="8" s="1"/>
  <c r="S4" i="8"/>
  <c r="V33" i="8"/>
  <c r="U5" i="8"/>
  <c r="V7" i="8"/>
  <c r="R12" i="8"/>
  <c r="T12" i="8" s="1"/>
  <c r="W12" i="8" s="1"/>
  <c r="S14" i="8"/>
  <c r="V19" i="8"/>
  <c r="R24" i="8"/>
  <c r="S26" i="8"/>
  <c r="U29" i="8"/>
  <c r="V31" i="8"/>
  <c r="R36" i="8"/>
  <c r="T36" i="8" s="1"/>
  <c r="W36" i="8" s="1"/>
  <c r="S38" i="8"/>
  <c r="U41" i="8"/>
  <c r="V43" i="8"/>
  <c r="R3" i="8"/>
  <c r="V10" i="8"/>
  <c r="V22" i="8"/>
  <c r="V9" i="8"/>
  <c r="R14" i="8"/>
  <c r="S16" i="8"/>
  <c r="R26" i="8"/>
  <c r="T26" i="8" s="1"/>
  <c r="W26" i="8" s="1"/>
  <c r="U17" i="8"/>
  <c r="V30" i="8"/>
  <c r="R35" i="8"/>
  <c r="S37" i="8"/>
  <c r="U40" i="8"/>
  <c r="V42" i="8"/>
  <c r="S18" i="8"/>
  <c r="U21" i="8"/>
  <c r="V23" i="8"/>
  <c r="R28" i="8"/>
  <c r="T28" i="8" s="1"/>
  <c r="U8" i="8"/>
  <c r="S17" i="8"/>
  <c r="U31" i="8"/>
  <c r="S3" i="8"/>
  <c r="S2" i="8"/>
  <c r="U4" i="8"/>
  <c r="V6" i="8"/>
  <c r="R11" i="8"/>
  <c r="T11" i="8" s="1"/>
  <c r="W11" i="8" s="1"/>
  <c r="S13" i="8"/>
  <c r="U16" i="8"/>
  <c r="V18" i="8"/>
  <c r="R23" i="8"/>
  <c r="T23" i="8" s="1"/>
  <c r="S25" i="8"/>
  <c r="U28" i="8"/>
  <c r="U3" i="8"/>
  <c r="V5" i="8"/>
  <c r="R10" i="8"/>
  <c r="S12" i="8"/>
  <c r="U15" i="8"/>
  <c r="V17" i="8"/>
  <c r="R22" i="8"/>
  <c r="S24" i="8"/>
  <c r="U27" i="8"/>
  <c r="V29" i="8"/>
  <c r="R34" i="8"/>
  <c r="S36" i="8"/>
  <c r="U39" i="8"/>
  <c r="V41" i="8"/>
  <c r="V43" i="7"/>
  <c r="U43" i="7"/>
  <c r="S43" i="7"/>
  <c r="T43" i="7" s="1"/>
  <c r="W43" i="7" s="1"/>
  <c r="R43" i="7"/>
  <c r="U8" i="7"/>
  <c r="V20" i="7"/>
  <c r="U2" i="7"/>
  <c r="V3" i="7"/>
  <c r="R8" i="7"/>
  <c r="S10" i="7"/>
  <c r="U13" i="7"/>
  <c r="V15" i="7"/>
  <c r="R20" i="7"/>
  <c r="T20" i="7" s="1"/>
  <c r="W20" i="7" s="1"/>
  <c r="S22" i="7"/>
  <c r="U25" i="7"/>
  <c r="V27" i="7"/>
  <c r="R32" i="7"/>
  <c r="S34" i="7"/>
  <c r="U37" i="7"/>
  <c r="V39" i="7"/>
  <c r="S21" i="7"/>
  <c r="S33" i="7"/>
  <c r="U36" i="7"/>
  <c r="V38" i="7"/>
  <c r="S32" i="7"/>
  <c r="V37" i="7"/>
  <c r="R42" i="7"/>
  <c r="T42" i="7" s="1"/>
  <c r="W42" i="7" s="1"/>
  <c r="R19" i="7"/>
  <c r="V13" i="7"/>
  <c r="U23" i="7"/>
  <c r="R30" i="7"/>
  <c r="U35" i="7"/>
  <c r="R5" i="7"/>
  <c r="T5" i="7" s="1"/>
  <c r="W5" i="7" s="1"/>
  <c r="S7" i="7"/>
  <c r="U10" i="7"/>
  <c r="V12" i="7"/>
  <c r="R17" i="7"/>
  <c r="T17" i="7" s="1"/>
  <c r="W17" i="7" s="1"/>
  <c r="S19" i="7"/>
  <c r="U22" i="7"/>
  <c r="V24" i="7"/>
  <c r="R29" i="7"/>
  <c r="S31" i="7"/>
  <c r="U34" i="7"/>
  <c r="V36" i="7"/>
  <c r="R41" i="7"/>
  <c r="T41" i="7" s="1"/>
  <c r="W41" i="7" s="1"/>
  <c r="V35" i="7"/>
  <c r="R40" i="7"/>
  <c r="T40" i="7" s="1"/>
  <c r="S42" i="7"/>
  <c r="V2" i="7"/>
  <c r="R7" i="7"/>
  <c r="T7" i="7" s="1"/>
  <c r="S8" i="7"/>
  <c r="V25" i="7"/>
  <c r="R4" i="7"/>
  <c r="S6" i="7"/>
  <c r="U9" i="7"/>
  <c r="V11" i="7"/>
  <c r="R16" i="7"/>
  <c r="S30" i="7"/>
  <c r="S17" i="7"/>
  <c r="U20" i="7"/>
  <c r="V22" i="7"/>
  <c r="R27" i="7"/>
  <c r="S29" i="7"/>
  <c r="U32" i="7"/>
  <c r="V34" i="7"/>
  <c r="R39" i="7"/>
  <c r="S41" i="7"/>
  <c r="V14" i="7"/>
  <c r="R31" i="7"/>
  <c r="T31" i="7" s="1"/>
  <c r="R6" i="7"/>
  <c r="T6" i="7" s="1"/>
  <c r="S16" i="7"/>
  <c r="U19" i="7"/>
  <c r="V21" i="7"/>
  <c r="R26" i="7"/>
  <c r="T26" i="7" s="1"/>
  <c r="S28" i="7"/>
  <c r="U31" i="7"/>
  <c r="V33" i="7"/>
  <c r="R38" i="7"/>
  <c r="S40" i="7"/>
  <c r="S20" i="7"/>
  <c r="U21" i="7"/>
  <c r="R3" i="7"/>
  <c r="T3" i="7" s="1"/>
  <c r="W3" i="7" s="1"/>
  <c r="V10" i="7"/>
  <c r="R15" i="7"/>
  <c r="T15" i="7" s="1"/>
  <c r="W15" i="7" s="1"/>
  <c r="R2" i="7"/>
  <c r="T2" i="7" s="1"/>
  <c r="W2" i="7" s="1"/>
  <c r="S4" i="7"/>
  <c r="U7" i="7"/>
  <c r="V9" i="7"/>
  <c r="S3" i="7"/>
  <c r="U6" i="7"/>
  <c r="S27" i="7"/>
  <c r="U30" i="7"/>
  <c r="V32" i="7"/>
  <c r="S39" i="7"/>
  <c r="U42" i="7"/>
  <c r="S18" i="7"/>
  <c r="V23" i="7"/>
  <c r="R28" i="7"/>
  <c r="U33" i="7"/>
  <c r="V8" i="7"/>
  <c r="R13" i="7"/>
  <c r="U18" i="7"/>
  <c r="S2" i="7"/>
  <c r="U5" i="7"/>
  <c r="R37" i="7"/>
  <c r="U17" i="7"/>
  <c r="R24" i="7"/>
  <c r="U4" i="7"/>
  <c r="V6" i="7"/>
  <c r="R11" i="7"/>
  <c r="S13" i="7"/>
  <c r="U16" i="7"/>
  <c r="V18" i="7"/>
  <c r="R23" i="7"/>
  <c r="S25" i="7"/>
  <c r="U28" i="7"/>
  <c r="V30" i="7"/>
  <c r="R35" i="7"/>
  <c r="S37" i="7"/>
  <c r="U40" i="7"/>
  <c r="V42" i="7"/>
  <c r="V26" i="7"/>
  <c r="U11" i="7"/>
  <c r="R18" i="7"/>
  <c r="S5" i="7"/>
  <c r="R14" i="7"/>
  <c r="R25" i="7"/>
  <c r="T25" i="7" s="1"/>
  <c r="V7" i="7"/>
  <c r="R12" i="7"/>
  <c r="S14" i="7"/>
  <c r="V19" i="7"/>
  <c r="S26" i="7"/>
  <c r="U29" i="7"/>
  <c r="V31" i="7"/>
  <c r="R36" i="7"/>
  <c r="T36" i="7" s="1"/>
  <c r="W36" i="7" s="1"/>
  <c r="S38" i="7"/>
  <c r="U41" i="7"/>
  <c r="U3" i="7"/>
  <c r="V5" i="7"/>
  <c r="R10" i="7"/>
  <c r="S12" i="7"/>
  <c r="U15" i="7"/>
  <c r="V17" i="7"/>
  <c r="R22" i="7"/>
  <c r="S24" i="7"/>
  <c r="U27" i="7"/>
  <c r="V29" i="7"/>
  <c r="R34" i="7"/>
  <c r="T34" i="7" s="1"/>
  <c r="W34" i="7" s="1"/>
  <c r="S36" i="7"/>
  <c r="U39" i="7"/>
  <c r="V41" i="7"/>
  <c r="S9" i="7"/>
  <c r="U12" i="7"/>
  <c r="U24" i="7"/>
  <c r="S15" i="7"/>
  <c r="V4" i="7"/>
  <c r="R9" i="7"/>
  <c r="T9" i="7" s="1"/>
  <c r="W9" i="7" s="1"/>
  <c r="S11" i="7"/>
  <c r="U14" i="7"/>
  <c r="V16" i="7"/>
  <c r="R21" i="7"/>
  <c r="S23" i="7"/>
  <c r="U26" i="7"/>
  <c r="V28" i="7"/>
  <c r="R33" i="7"/>
  <c r="T33" i="7" s="1"/>
  <c r="S35" i="7"/>
  <c r="U38" i="7"/>
  <c r="V40" i="7"/>
  <c r="V42" i="6"/>
  <c r="V39" i="6"/>
  <c r="V40" i="6"/>
  <c r="V38" i="6"/>
  <c r="V41" i="6"/>
  <c r="V37" i="6"/>
  <c r="U41" i="6"/>
  <c r="U38" i="6"/>
  <c r="U42" i="6"/>
  <c r="U39" i="6"/>
  <c r="U40" i="6"/>
  <c r="U37" i="6"/>
  <c r="S41" i="6"/>
  <c r="S42" i="6"/>
  <c r="S38" i="6"/>
  <c r="S40" i="6"/>
  <c r="S39" i="6"/>
  <c r="S37" i="6"/>
  <c r="R41" i="6"/>
  <c r="R42" i="6"/>
  <c r="R38" i="6"/>
  <c r="R39" i="6"/>
  <c r="R40" i="6"/>
  <c r="R37" i="6"/>
  <c r="S4" i="6"/>
  <c r="V9" i="6"/>
  <c r="V21" i="6"/>
  <c r="S28" i="6"/>
  <c r="S3" i="6"/>
  <c r="V7" i="6"/>
  <c r="R36" i="6"/>
  <c r="U5" i="6"/>
  <c r="S14" i="6"/>
  <c r="R24" i="6"/>
  <c r="T24" i="6" s="1"/>
  <c r="U29" i="6"/>
  <c r="U16" i="6"/>
  <c r="R2" i="6"/>
  <c r="U7" i="6"/>
  <c r="S16" i="6"/>
  <c r="R26" i="6"/>
  <c r="T26" i="6" s="1"/>
  <c r="U31" i="6"/>
  <c r="V8" i="6"/>
  <c r="S15" i="6"/>
  <c r="U18" i="6"/>
  <c r="R25" i="6"/>
  <c r="T25" i="6" s="1"/>
  <c r="W25" i="6" s="1"/>
  <c r="S27" i="6"/>
  <c r="S2" i="6"/>
  <c r="U17" i="6"/>
  <c r="S26" i="6"/>
  <c r="R11" i="6"/>
  <c r="V18" i="6"/>
  <c r="R35" i="6"/>
  <c r="T35" i="6" s="1"/>
  <c r="R14" i="6"/>
  <c r="U19" i="6"/>
  <c r="V33" i="6"/>
  <c r="U6" i="6"/>
  <c r="R13" i="6"/>
  <c r="T13" i="6" s="1"/>
  <c r="V20" i="6"/>
  <c r="U30" i="6"/>
  <c r="V32" i="6"/>
  <c r="R12" i="6"/>
  <c r="V19" i="6"/>
  <c r="V31" i="6"/>
  <c r="U4" i="6"/>
  <c r="V6" i="6"/>
  <c r="S13" i="6"/>
  <c r="R23" i="6"/>
  <c r="S25" i="6"/>
  <c r="U28" i="6"/>
  <c r="V30" i="6"/>
  <c r="U3" i="6"/>
  <c r="V5" i="6"/>
  <c r="U14" i="6"/>
  <c r="R32" i="6"/>
  <c r="S34" i="6"/>
  <c r="V2" i="6"/>
  <c r="R7" i="6"/>
  <c r="S9" i="6"/>
  <c r="U12" i="6"/>
  <c r="V14" i="6"/>
  <c r="R19" i="6"/>
  <c r="S21" i="6"/>
  <c r="U24" i="6"/>
  <c r="V26" i="6"/>
  <c r="R31" i="6"/>
  <c r="S33" i="6"/>
  <c r="U36" i="6"/>
  <c r="R10" i="6"/>
  <c r="T10" i="6" s="1"/>
  <c r="V17" i="6"/>
  <c r="S24" i="6"/>
  <c r="V29" i="6"/>
  <c r="R34" i="6"/>
  <c r="T34" i="6" s="1"/>
  <c r="S36" i="6"/>
  <c r="U2" i="6"/>
  <c r="S11" i="6"/>
  <c r="U26" i="6"/>
  <c r="S35" i="6"/>
  <c r="S10" i="6"/>
  <c r="R20" i="6"/>
  <c r="U25" i="6"/>
  <c r="V13" i="6"/>
  <c r="R9" i="6"/>
  <c r="T9" i="6" s="1"/>
  <c r="R21" i="6"/>
  <c r="V28" i="6"/>
  <c r="V3" i="6"/>
  <c r="U13" i="6"/>
  <c r="S8" i="6"/>
  <c r="S20" i="6"/>
  <c r="V25" i="6"/>
  <c r="R30" i="6"/>
  <c r="S32" i="6"/>
  <c r="U35" i="6"/>
  <c r="R5" i="6"/>
  <c r="S7" i="6"/>
  <c r="U10" i="6"/>
  <c r="V12" i="6"/>
  <c r="R17" i="6"/>
  <c r="T17" i="6" s="1"/>
  <c r="S19" i="6"/>
  <c r="U22" i="6"/>
  <c r="V24" i="6"/>
  <c r="R29" i="6"/>
  <c r="S31" i="6"/>
  <c r="U34" i="6"/>
  <c r="V36" i="6"/>
  <c r="R16" i="6"/>
  <c r="T16" i="6" s="1"/>
  <c r="S18" i="6"/>
  <c r="U21" i="6"/>
  <c r="V23" i="6"/>
  <c r="R28" i="6"/>
  <c r="T28" i="6" s="1"/>
  <c r="W28" i="6" s="1"/>
  <c r="S30" i="6"/>
  <c r="U33" i="6"/>
  <c r="V35" i="6"/>
  <c r="S12" i="6"/>
  <c r="U15" i="6"/>
  <c r="R22" i="6"/>
  <c r="U27" i="6"/>
  <c r="V4" i="6"/>
  <c r="V16" i="6"/>
  <c r="S23" i="6"/>
  <c r="R33" i="6"/>
  <c r="T33" i="6" s="1"/>
  <c r="R8" i="6"/>
  <c r="V15" i="6"/>
  <c r="S22" i="6"/>
  <c r="V27" i="6"/>
  <c r="R6" i="6"/>
  <c r="U11" i="6"/>
  <c r="R18" i="6"/>
  <c r="U23" i="6"/>
  <c r="R4" i="6"/>
  <c r="T4" i="6" s="1"/>
  <c r="W4" i="6" s="1"/>
  <c r="S6" i="6"/>
  <c r="U9" i="6"/>
  <c r="V11" i="6"/>
  <c r="R3" i="6"/>
  <c r="T3" i="6" s="1"/>
  <c r="S5" i="6"/>
  <c r="U8" i="6"/>
  <c r="V10" i="6"/>
  <c r="R15" i="6"/>
  <c r="S17" i="6"/>
  <c r="U20" i="6"/>
  <c r="V22" i="6"/>
  <c r="R27" i="6"/>
  <c r="S29" i="6"/>
  <c r="U32" i="6"/>
  <c r="V34" i="6"/>
  <c r="U5" i="5"/>
  <c r="V19" i="5"/>
  <c r="U8" i="5"/>
  <c r="R2" i="5"/>
  <c r="S4" i="5"/>
  <c r="U7" i="5"/>
  <c r="V9" i="5"/>
  <c r="R14" i="5"/>
  <c r="S16" i="5"/>
  <c r="U19" i="5"/>
  <c r="V21" i="5"/>
  <c r="R26" i="5"/>
  <c r="T26" i="5" s="1"/>
  <c r="W26" i="5" s="1"/>
  <c r="S28" i="5"/>
  <c r="U31" i="5"/>
  <c r="U30" i="5"/>
  <c r="S26" i="5"/>
  <c r="U29" i="5"/>
  <c r="V31" i="5"/>
  <c r="S2" i="5"/>
  <c r="S13" i="5"/>
  <c r="U16" i="5"/>
  <c r="V18" i="5"/>
  <c r="R23" i="5"/>
  <c r="S25" i="5"/>
  <c r="U28" i="5"/>
  <c r="V30" i="5"/>
  <c r="U6" i="5"/>
  <c r="U18" i="5"/>
  <c r="R10" i="5"/>
  <c r="T10" i="5" s="1"/>
  <c r="S12" i="5"/>
  <c r="U15" i="5"/>
  <c r="V17" i="5"/>
  <c r="R22" i="5"/>
  <c r="S24" i="5"/>
  <c r="U27" i="5"/>
  <c r="V29" i="5"/>
  <c r="R12" i="5"/>
  <c r="V5" i="5"/>
  <c r="S11" i="5"/>
  <c r="U14" i="5"/>
  <c r="V16" i="5"/>
  <c r="R21" i="5"/>
  <c r="T21" i="5" s="1"/>
  <c r="S23" i="5"/>
  <c r="U26" i="5"/>
  <c r="V28" i="5"/>
  <c r="S3" i="5"/>
  <c r="S15" i="5"/>
  <c r="S14" i="5"/>
  <c r="V6" i="5"/>
  <c r="U3" i="5"/>
  <c r="U2" i="5"/>
  <c r="V4" i="5"/>
  <c r="R9" i="5"/>
  <c r="V3" i="5"/>
  <c r="R8" i="5"/>
  <c r="S10" i="5"/>
  <c r="U13" i="5"/>
  <c r="V15" i="5"/>
  <c r="R20" i="5"/>
  <c r="S22" i="5"/>
  <c r="U25" i="5"/>
  <c r="V27" i="5"/>
  <c r="R13" i="5"/>
  <c r="V20" i="5"/>
  <c r="R25" i="5"/>
  <c r="T25" i="5" s="1"/>
  <c r="S27" i="5"/>
  <c r="U4" i="5"/>
  <c r="S9" i="5"/>
  <c r="V14" i="5"/>
  <c r="S21" i="5"/>
  <c r="V26" i="5"/>
  <c r="R31" i="5"/>
  <c r="T31" i="5" s="1"/>
  <c r="W31" i="5" s="1"/>
  <c r="U23" i="5"/>
  <c r="U12" i="5"/>
  <c r="S8" i="5"/>
  <c r="U11" i="5"/>
  <c r="V13" i="5"/>
  <c r="R18" i="5"/>
  <c r="S20" i="5"/>
  <c r="V25" i="5"/>
  <c r="R30" i="5"/>
  <c r="T30" i="5" s="1"/>
  <c r="W30" i="5" s="1"/>
  <c r="R5" i="5"/>
  <c r="T5" i="5" s="1"/>
  <c r="W5" i="5" s="1"/>
  <c r="S7" i="5"/>
  <c r="U10" i="5"/>
  <c r="V12" i="5"/>
  <c r="R17" i="5"/>
  <c r="T17" i="5" s="1"/>
  <c r="S19" i="5"/>
  <c r="U22" i="5"/>
  <c r="V24" i="5"/>
  <c r="R29" i="5"/>
  <c r="T29" i="5" s="1"/>
  <c r="W29" i="5" s="1"/>
  <c r="S31" i="5"/>
  <c r="V8" i="5"/>
  <c r="V7" i="5"/>
  <c r="U17" i="5"/>
  <c r="R24" i="5"/>
  <c r="T24" i="5" s="1"/>
  <c r="R11" i="5"/>
  <c r="V2" i="5"/>
  <c r="R7" i="5"/>
  <c r="T7" i="5" s="1"/>
  <c r="W7" i="5" s="1"/>
  <c r="U24" i="5"/>
  <c r="R6" i="5"/>
  <c r="V11" i="5"/>
  <c r="R16" i="5"/>
  <c r="T16" i="5" s="1"/>
  <c r="W16" i="5" s="1"/>
  <c r="S18" i="5"/>
  <c r="U21" i="5"/>
  <c r="V23" i="5"/>
  <c r="R28" i="5"/>
  <c r="T28" i="5" s="1"/>
  <c r="S30" i="5"/>
  <c r="R19" i="5"/>
  <c r="T19" i="5" s="1"/>
  <c r="R4" i="5"/>
  <c r="T4" i="5" s="1"/>
  <c r="S6" i="5"/>
  <c r="U9" i="5"/>
  <c r="R3" i="5"/>
  <c r="T3" i="5" s="1"/>
  <c r="W3" i="5" s="1"/>
  <c r="S5" i="5"/>
  <c r="V10" i="5"/>
  <c r="R15" i="5"/>
  <c r="S17" i="5"/>
  <c r="U20" i="5"/>
  <c r="V22" i="5"/>
  <c r="R27" i="5"/>
  <c r="T27" i="5" s="1"/>
  <c r="S29" i="5"/>
  <c r="R4" i="4"/>
  <c r="U3" i="4"/>
  <c r="Q13" i="4"/>
  <c r="Q9" i="4"/>
  <c r="Q10" i="4"/>
  <c r="Q11" i="4"/>
  <c r="Q12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8" i="4"/>
  <c r="Q7" i="4"/>
  <c r="Q6" i="4"/>
  <c r="Q5" i="4"/>
  <c r="Q4" i="4"/>
  <c r="Q3" i="4"/>
  <c r="Q2" i="4"/>
  <c r="S3" i="4" a="1"/>
  <c r="V3" i="4" a="1"/>
  <c r="V9" i="4" a="1"/>
  <c r="V10" i="4" a="1"/>
  <c r="V16" i="4" a="1"/>
  <c r="V34" i="4" a="1"/>
  <c r="V17" i="4" a="1"/>
  <c r="V35" i="4" a="1"/>
  <c r="V24" i="4" a="1"/>
  <c r="V13" i="4" a="1"/>
  <c r="V8" i="4" a="1"/>
  <c r="V15" i="4" a="1"/>
  <c r="V4" i="4" a="1"/>
  <c r="V22" i="4" a="1"/>
  <c r="V28" i="4" a="1"/>
  <c r="V23" i="4" a="1"/>
  <c r="V6" i="4" a="1"/>
  <c r="V30" i="4" a="1"/>
  <c r="V19" i="4" a="1"/>
  <c r="V31" i="4" a="1"/>
  <c r="V26" i="4" a="1"/>
  <c r="V27" i="4" a="1"/>
  <c r="V5" i="4" a="1"/>
  <c r="V11" i="4" a="1"/>
  <c r="V29" i="4" a="1"/>
  <c r="V12" i="4" a="1"/>
  <c r="V36" i="4" a="1"/>
  <c r="V7" i="4" a="1"/>
  <c r="V25" i="4" a="1"/>
  <c r="V14" i="4" a="1"/>
  <c r="V32" i="4" a="1"/>
  <c r="V21" i="4" a="1"/>
  <c r="V33" i="4" a="1"/>
  <c r="V20" i="4" a="1"/>
  <c r="V18" i="4" a="1"/>
  <c r="V2" i="4" a="1"/>
  <c r="U9" i="4" a="1"/>
  <c r="U15" i="4" a="1"/>
  <c r="U21" i="4" a="1"/>
  <c r="U27" i="4" a="1"/>
  <c r="U33" i="4" a="1"/>
  <c r="U12" i="4" a="1"/>
  <c r="U36" i="4" a="1"/>
  <c r="U7" i="4" a="1"/>
  <c r="U25" i="4" a="1"/>
  <c r="U8" i="4" a="1"/>
  <c r="U20" i="4" a="1"/>
  <c r="U10" i="4" a="1"/>
  <c r="U16" i="4" a="1"/>
  <c r="U28" i="4" a="1"/>
  <c r="U5" i="4" a="1"/>
  <c r="U11" i="4" a="1"/>
  <c r="U23" i="4" a="1"/>
  <c r="U35" i="4" a="1"/>
  <c r="U18" i="4" a="1"/>
  <c r="U4" i="4" a="1"/>
  <c r="U22" i="4" a="1"/>
  <c r="U34" i="4" a="1"/>
  <c r="U17" i="4" a="1"/>
  <c r="U29" i="4" a="1"/>
  <c r="U24" i="4" a="1"/>
  <c r="U26" i="4" a="1"/>
  <c r="U19" i="4" a="1"/>
  <c r="U13" i="4" a="1"/>
  <c r="U6" i="4" a="1"/>
  <c r="U30" i="4" a="1"/>
  <c r="U31" i="4" a="1"/>
  <c r="U14" i="4" a="1"/>
  <c r="U32" i="4" a="1"/>
  <c r="U2" i="4" a="1"/>
  <c r="S9" i="4" a="1"/>
  <c r="S15" i="4" a="1"/>
  <c r="S21" i="4" a="1"/>
  <c r="S27" i="4" a="1"/>
  <c r="S33" i="4" a="1"/>
  <c r="S14" i="4" a="1"/>
  <c r="S10" i="4" a="1"/>
  <c r="S16" i="4" a="1"/>
  <c r="S28" i="4" a="1"/>
  <c r="S34" i="4" a="1"/>
  <c r="S11" i="4" a="1"/>
  <c r="S23" i="4" a="1"/>
  <c r="S35" i="4" a="1"/>
  <c r="S19" i="4" a="1"/>
  <c r="S4" i="4" a="1"/>
  <c r="S22" i="4" a="1"/>
  <c r="S5" i="4" a="1"/>
  <c r="S17" i="4" a="1"/>
  <c r="S29" i="4" a="1"/>
  <c r="S13" i="4" a="1"/>
  <c r="S25" i="4" a="1"/>
  <c r="S31" i="4" a="1"/>
  <c r="S8" i="4" a="1"/>
  <c r="S32" i="4" a="1"/>
  <c r="S26" i="4" a="1"/>
  <c r="S6" i="4" a="1"/>
  <c r="S12" i="4" a="1"/>
  <c r="S18" i="4" a="1"/>
  <c r="S24" i="4" a="1"/>
  <c r="S30" i="4" a="1"/>
  <c r="S36" i="4" a="1"/>
  <c r="S7" i="4" a="1"/>
  <c r="S20" i="4" a="1"/>
  <c r="S2" i="4" a="1"/>
  <c r="R3" i="4" a="1"/>
  <c r="R9" i="4" a="1"/>
  <c r="R15" i="4" a="1"/>
  <c r="R21" i="4" a="1"/>
  <c r="R27" i="4" a="1"/>
  <c r="R33" i="4" a="1"/>
  <c r="R5" i="4" a="1"/>
  <c r="R23" i="4" a="1"/>
  <c r="R24" i="4" a="1"/>
  <c r="R13" i="4" a="1"/>
  <c r="R14" i="4" a="1"/>
  <c r="R32" i="4" a="1"/>
  <c r="R10" i="4" a="1"/>
  <c r="R16" i="4" a="1"/>
  <c r="R22" i="4" a="1"/>
  <c r="R28" i="4" a="1"/>
  <c r="R11" i="4" a="1"/>
  <c r="R29" i="4" a="1"/>
  <c r="R18" i="4" a="1"/>
  <c r="R7" i="4" a="1"/>
  <c r="R31" i="4" a="1"/>
  <c r="R8" i="4" a="1"/>
  <c r="R26" i="4" a="1"/>
  <c r="R34" i="4" a="1"/>
  <c r="R17" i="4" a="1"/>
  <c r="R35" i="4" a="1"/>
  <c r="R30" i="4" a="1"/>
  <c r="R19" i="4" a="1"/>
  <c r="R20" i="4" a="1"/>
  <c r="R6" i="4" a="1"/>
  <c r="R12" i="4" a="1"/>
  <c r="R36" i="4" a="1"/>
  <c r="R25" i="4" a="1"/>
  <c r="R2" i="4" a="1"/>
  <c r="W7" i="7" l="1"/>
  <c r="T12" i="7"/>
  <c r="T27" i="7"/>
  <c r="W27" i="7" s="1"/>
  <c r="T14" i="10"/>
  <c r="W14" i="10" s="1"/>
  <c r="T8" i="10"/>
  <c r="W8" i="10" s="1"/>
  <c r="W7" i="10"/>
  <c r="T13" i="10"/>
  <c r="W13" i="10" s="1"/>
  <c r="T10" i="10"/>
  <c r="W10" i="10" s="1"/>
  <c r="W2" i="10"/>
  <c r="T17" i="10"/>
  <c r="W17" i="10" s="1"/>
  <c r="T9" i="10"/>
  <c r="W9" i="10" s="1"/>
  <c r="T6" i="10"/>
  <c r="W6" i="10" s="1"/>
  <c r="T20" i="10"/>
  <c r="W20" i="10" s="1"/>
  <c r="W11" i="10"/>
  <c r="T3" i="10"/>
  <c r="W3" i="10" s="1"/>
  <c r="T16" i="10"/>
  <c r="W16" i="10" s="1"/>
  <c r="T5" i="10"/>
  <c r="W5" i="10" s="1"/>
  <c r="T15" i="9"/>
  <c r="W15" i="9" s="1"/>
  <c r="W24" i="9"/>
  <c r="T16" i="9"/>
  <c r="W16" i="9" s="1"/>
  <c r="T22" i="9"/>
  <c r="W22" i="9" s="1"/>
  <c r="T2" i="9"/>
  <c r="W2" i="9" s="1"/>
  <c r="T6" i="9"/>
  <c r="W6" i="9" s="1"/>
  <c r="T10" i="9"/>
  <c r="W10" i="9" s="1"/>
  <c r="T11" i="9"/>
  <c r="W11" i="9" s="1"/>
  <c r="T4" i="9"/>
  <c r="W4" i="9" s="1"/>
  <c r="T12" i="9"/>
  <c r="W12" i="9" s="1"/>
  <c r="W20" i="9"/>
  <c r="T5" i="9"/>
  <c r="W5" i="9" s="1"/>
  <c r="W18" i="9"/>
  <c r="T13" i="9"/>
  <c r="W13" i="9" s="1"/>
  <c r="W44" i="8"/>
  <c r="T34" i="8"/>
  <c r="W34" i="8" s="1"/>
  <c r="W38" i="8"/>
  <c r="W20" i="8"/>
  <c r="W23" i="8"/>
  <c r="W28" i="8"/>
  <c r="T14" i="8"/>
  <c r="W14" i="8" s="1"/>
  <c r="T24" i="8"/>
  <c r="W24" i="8" s="1"/>
  <c r="T15" i="8"/>
  <c r="W15" i="8" s="1"/>
  <c r="W43" i="8"/>
  <c r="T22" i="8"/>
  <c r="W22" i="8" s="1"/>
  <c r="T8" i="8"/>
  <c r="W8" i="8" s="1"/>
  <c r="T29" i="8"/>
  <c r="W29" i="8" s="1"/>
  <c r="T18" i="8"/>
  <c r="W18" i="8" s="1"/>
  <c r="T19" i="8"/>
  <c r="W19" i="8" s="1"/>
  <c r="W33" i="8"/>
  <c r="T27" i="8"/>
  <c r="W27" i="8" s="1"/>
  <c r="W31" i="8"/>
  <c r="T3" i="8"/>
  <c r="W3" i="8" s="1"/>
  <c r="T37" i="8"/>
  <c r="W37" i="8" s="1"/>
  <c r="T40" i="8"/>
  <c r="W40" i="8" s="1"/>
  <c r="T5" i="8"/>
  <c r="W5" i="8" s="1"/>
  <c r="W7" i="8"/>
  <c r="T41" i="8"/>
  <c r="W41" i="8" s="1"/>
  <c r="T30" i="8"/>
  <c r="W30" i="8" s="1"/>
  <c r="W39" i="8"/>
  <c r="T17" i="8"/>
  <c r="W17" i="8" s="1"/>
  <c r="T9" i="8"/>
  <c r="W9" i="8" s="1"/>
  <c r="T10" i="8"/>
  <c r="W10" i="8" s="1"/>
  <c r="T35" i="8"/>
  <c r="W35" i="8" s="1"/>
  <c r="T6" i="8"/>
  <c r="W6" i="8" s="1"/>
  <c r="T18" i="7"/>
  <c r="W18" i="7" s="1"/>
  <c r="T19" i="7"/>
  <c r="W19" i="7" s="1"/>
  <c r="T24" i="7"/>
  <c r="W24" i="7" s="1"/>
  <c r="W40" i="7"/>
  <c r="W6" i="7"/>
  <c r="W12" i="7"/>
  <c r="W31" i="7"/>
  <c r="T16" i="7"/>
  <c r="W16" i="7" s="1"/>
  <c r="W26" i="7"/>
  <c r="W25" i="7"/>
  <c r="T30" i="7"/>
  <c r="W30" i="7" s="1"/>
  <c r="T11" i="7"/>
  <c r="W11" i="7" s="1"/>
  <c r="T22" i="7"/>
  <c r="W22" i="7" s="1"/>
  <c r="T35" i="7"/>
  <c r="W35" i="7" s="1"/>
  <c r="W33" i="7"/>
  <c r="T37" i="7"/>
  <c r="W37" i="7" s="1"/>
  <c r="T14" i="7"/>
  <c r="W14" i="7" s="1"/>
  <c r="T23" i="7"/>
  <c r="W23" i="7" s="1"/>
  <c r="T38" i="7"/>
  <c r="W38" i="7" s="1"/>
  <c r="T39" i="7"/>
  <c r="W39" i="7" s="1"/>
  <c r="T28" i="7"/>
  <c r="W28" i="7" s="1"/>
  <c r="T8" i="7"/>
  <c r="W8" i="7" s="1"/>
  <c r="T10" i="7"/>
  <c r="W10" i="7" s="1"/>
  <c r="T21" i="7"/>
  <c r="W21" i="7" s="1"/>
  <c r="T13" i="7"/>
  <c r="W13" i="7" s="1"/>
  <c r="T4" i="7"/>
  <c r="W4" i="7" s="1"/>
  <c r="T29" i="7"/>
  <c r="W29" i="7" s="1"/>
  <c r="T32" i="7"/>
  <c r="W32" i="7" s="1"/>
  <c r="W3" i="6"/>
  <c r="W17" i="6"/>
  <c r="T19" i="6"/>
  <c r="W19" i="6" s="1"/>
  <c r="W33" i="6"/>
  <c r="W34" i="6"/>
  <c r="W35" i="6"/>
  <c r="T18" i="6"/>
  <c r="W18" i="6" s="1"/>
  <c r="T22" i="6"/>
  <c r="W22" i="6" s="1"/>
  <c r="T20" i="6"/>
  <c r="W20" i="6" s="1"/>
  <c r="T21" i="6"/>
  <c r="W21" i="6" s="1"/>
  <c r="T23" i="6"/>
  <c r="W23" i="6" s="1"/>
  <c r="W9" i="6"/>
  <c r="W10" i="6"/>
  <c r="T30" i="6"/>
  <c r="W30" i="6" s="1"/>
  <c r="T32" i="6"/>
  <c r="W32" i="6" s="1"/>
  <c r="T11" i="6"/>
  <c r="W11" i="6" s="1"/>
  <c r="W24" i="6"/>
  <c r="T8" i="6"/>
  <c r="W8" i="6" s="1"/>
  <c r="W13" i="6"/>
  <c r="T36" i="6"/>
  <c r="W36" i="6" s="1"/>
  <c r="T27" i="6"/>
  <c r="W27" i="6" s="1"/>
  <c r="W16" i="6"/>
  <c r="T5" i="6"/>
  <c r="W5" i="6" s="1"/>
  <c r="T7" i="6"/>
  <c r="W7" i="6" s="1"/>
  <c r="T14" i="6"/>
  <c r="W14" i="6" s="1"/>
  <c r="W26" i="6"/>
  <c r="T15" i="6"/>
  <c r="W15" i="6" s="1"/>
  <c r="T6" i="6"/>
  <c r="W6" i="6" s="1"/>
  <c r="T29" i="6"/>
  <c r="W29" i="6" s="1"/>
  <c r="T31" i="6"/>
  <c r="W31" i="6" s="1"/>
  <c r="T12" i="6"/>
  <c r="W12" i="6" s="1"/>
  <c r="T2" i="6"/>
  <c r="W2" i="6" s="1"/>
  <c r="W21" i="5"/>
  <c r="T14" i="5"/>
  <c r="W14" i="5" s="1"/>
  <c r="T12" i="5"/>
  <c r="W12" i="5" s="1"/>
  <c r="W4" i="5"/>
  <c r="W17" i="5"/>
  <c r="T2" i="5"/>
  <c r="W2" i="5" s="1"/>
  <c r="W24" i="5"/>
  <c r="W28" i="5"/>
  <c r="T23" i="5"/>
  <c r="W23" i="5" s="1"/>
  <c r="W10" i="5"/>
  <c r="T6" i="5"/>
  <c r="T18" i="5"/>
  <c r="W18" i="5" s="1"/>
  <c r="T20" i="5"/>
  <c r="W20" i="5" s="1"/>
  <c r="W19" i="5"/>
  <c r="W27" i="5"/>
  <c r="T11" i="5"/>
  <c r="W11" i="5" s="1"/>
  <c r="W25" i="5"/>
  <c r="T8" i="5"/>
  <c r="W8" i="5" s="1"/>
  <c r="T15" i="5"/>
  <c r="W15" i="5" s="1"/>
  <c r="T13" i="5"/>
  <c r="W13" i="5" s="1"/>
  <c r="T9" i="5"/>
  <c r="W9" i="5" s="1"/>
  <c r="T22" i="5"/>
  <c r="W22" i="5" s="1"/>
  <c r="S3" i="4"/>
  <c r="V18" i="4"/>
  <c r="V20" i="4"/>
  <c r="V33" i="4"/>
  <c r="V21" i="4"/>
  <c r="V32" i="4"/>
  <c r="V14" i="4"/>
  <c r="V25" i="4"/>
  <c r="V7" i="4"/>
  <c r="V36" i="4"/>
  <c r="V12" i="4"/>
  <c r="V29" i="4"/>
  <c r="V11" i="4"/>
  <c r="V5" i="4"/>
  <c r="V27" i="4"/>
  <c r="V26" i="4"/>
  <c r="V31" i="4"/>
  <c r="V19" i="4"/>
  <c r="V30" i="4"/>
  <c r="V6" i="4"/>
  <c r="V23" i="4"/>
  <c r="V28" i="4"/>
  <c r="V22" i="4"/>
  <c r="V4" i="4"/>
  <c r="V15" i="4"/>
  <c r="V8" i="4"/>
  <c r="V13" i="4"/>
  <c r="V24" i="4"/>
  <c r="V35" i="4"/>
  <c r="V17" i="4"/>
  <c r="V34" i="4"/>
  <c r="V16" i="4"/>
  <c r="V10" i="4"/>
  <c r="V9" i="4"/>
  <c r="V3" i="4"/>
  <c r="V2" i="4"/>
  <c r="U32" i="4"/>
  <c r="U14" i="4"/>
  <c r="U31" i="4"/>
  <c r="U30" i="4"/>
  <c r="U6" i="4"/>
  <c r="U13" i="4"/>
  <c r="U19" i="4"/>
  <c r="U26" i="4"/>
  <c r="U24" i="4"/>
  <c r="U29" i="4"/>
  <c r="U17" i="4"/>
  <c r="U34" i="4"/>
  <c r="U22" i="4"/>
  <c r="U4" i="4"/>
  <c r="U18" i="4"/>
  <c r="U35" i="4"/>
  <c r="U23" i="4"/>
  <c r="U11" i="4"/>
  <c r="U5" i="4"/>
  <c r="U28" i="4"/>
  <c r="U16" i="4"/>
  <c r="U10" i="4"/>
  <c r="U20" i="4"/>
  <c r="U8" i="4"/>
  <c r="U25" i="4"/>
  <c r="U7" i="4"/>
  <c r="U36" i="4"/>
  <c r="U12" i="4"/>
  <c r="U33" i="4"/>
  <c r="U27" i="4"/>
  <c r="U21" i="4"/>
  <c r="U15" i="4"/>
  <c r="U9" i="4"/>
  <c r="U2" i="4"/>
  <c r="S20" i="4"/>
  <c r="S7" i="4"/>
  <c r="S36" i="4"/>
  <c r="S30" i="4"/>
  <c r="S24" i="4"/>
  <c r="S18" i="4"/>
  <c r="S12" i="4"/>
  <c r="S6" i="4"/>
  <c r="S26" i="4"/>
  <c r="S32" i="4"/>
  <c r="S8" i="4"/>
  <c r="S31" i="4"/>
  <c r="S25" i="4"/>
  <c r="S13" i="4"/>
  <c r="S29" i="4"/>
  <c r="S17" i="4"/>
  <c r="S5" i="4"/>
  <c r="S22" i="4"/>
  <c r="S4" i="4"/>
  <c r="T4" i="4" s="1"/>
  <c r="S19" i="4"/>
  <c r="S35" i="4"/>
  <c r="S23" i="4"/>
  <c r="S11" i="4"/>
  <c r="S34" i="4"/>
  <c r="S28" i="4"/>
  <c r="S16" i="4"/>
  <c r="S10" i="4"/>
  <c r="S14" i="4"/>
  <c r="S33" i="4"/>
  <c r="S27" i="4"/>
  <c r="S21" i="4"/>
  <c r="S15" i="4"/>
  <c r="S9" i="4"/>
  <c r="S2" i="4"/>
  <c r="R25" i="4"/>
  <c r="R36" i="4"/>
  <c r="T36" i="4" s="1"/>
  <c r="W36" i="4" s="1"/>
  <c r="R12" i="4"/>
  <c r="T12" i="4" s="1"/>
  <c r="R6" i="4"/>
  <c r="T6" i="4" s="1"/>
  <c r="W6" i="4" s="1"/>
  <c r="R20" i="4"/>
  <c r="R19" i="4"/>
  <c r="R30" i="4"/>
  <c r="T30" i="4" s="1"/>
  <c r="R35" i="4"/>
  <c r="R17" i="4"/>
  <c r="T17" i="4" s="1"/>
  <c r="R34" i="4"/>
  <c r="R26" i="4"/>
  <c r="T26" i="4" s="1"/>
  <c r="R8" i="4"/>
  <c r="R31" i="4"/>
  <c r="R7" i="4"/>
  <c r="R18" i="4"/>
  <c r="T18" i="4" s="1"/>
  <c r="W18" i="4" s="1"/>
  <c r="R29" i="4"/>
  <c r="T29" i="4" s="1"/>
  <c r="R11" i="4"/>
  <c r="R28" i="4"/>
  <c r="R22" i="4"/>
  <c r="R16" i="4"/>
  <c r="R10" i="4"/>
  <c r="T10" i="4" s="1"/>
  <c r="R32" i="4"/>
  <c r="R14" i="4"/>
  <c r="T14" i="4" s="1"/>
  <c r="W14" i="4" s="1"/>
  <c r="R13" i="4"/>
  <c r="R24" i="4"/>
  <c r="T24" i="4" s="1"/>
  <c r="W24" i="4" s="1"/>
  <c r="R23" i="4"/>
  <c r="T23" i="4" s="1"/>
  <c r="W23" i="4" s="1"/>
  <c r="R5" i="4"/>
  <c r="T5" i="4" s="1"/>
  <c r="W5" i="4" s="1"/>
  <c r="R33" i="4"/>
  <c r="T33" i="4" s="1"/>
  <c r="W33" i="4" s="1"/>
  <c r="R27" i="4"/>
  <c r="R21" i="4"/>
  <c r="R15" i="4"/>
  <c r="R9" i="4"/>
  <c r="R3" i="4"/>
  <c r="T3" i="4" s="1"/>
  <c r="R2" i="4"/>
  <c r="W29" i="4" l="1"/>
  <c r="W12" i="4"/>
  <c r="T25" i="4"/>
  <c r="W25" i="4" s="1"/>
  <c r="T31" i="4"/>
  <c r="W31" i="4" s="1"/>
  <c r="T8" i="4"/>
  <c r="W8" i="4" s="1"/>
  <c r="T32" i="4"/>
  <c r="W32" i="4" s="1"/>
  <c r="W4" i="4"/>
  <c r="T7" i="4"/>
  <c r="W7" i="4" s="1"/>
  <c r="W3" i="4"/>
  <c r="W10" i="4"/>
  <c r="W30" i="4"/>
  <c r="T13" i="4"/>
  <c r="W13" i="4" s="1"/>
  <c r="W26" i="4"/>
  <c r="T2" i="4"/>
  <c r="W2" i="4" s="1"/>
  <c r="T34" i="4"/>
  <c r="W34" i="4" s="1"/>
  <c r="W17" i="4"/>
  <c r="T9" i="4"/>
  <c r="W9" i="4" s="1"/>
  <c r="T16" i="4"/>
  <c r="W16" i="4" s="1"/>
  <c r="T35" i="4"/>
  <c r="W35" i="4" s="1"/>
  <c r="T15" i="4"/>
  <c r="W15" i="4" s="1"/>
  <c r="T22" i="4"/>
  <c r="W22" i="4" s="1"/>
  <c r="T21" i="4"/>
  <c r="W21" i="4" s="1"/>
  <c r="T28" i="4"/>
  <c r="W28" i="4" s="1"/>
  <c r="T19" i="4"/>
  <c r="W19" i="4" s="1"/>
  <c r="T27" i="4"/>
  <c r="W27" i="4" s="1"/>
  <c r="T11" i="4"/>
  <c r="W11" i="4" s="1"/>
  <c r="T20" i="4"/>
  <c r="W20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<sst xmlns="http://schemas.openxmlformats.org/spreadsheetml/2006/main" count="167" uniqueCount="26">
  <si>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</si>
  <si>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</si>
  <si>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</si>
  <si>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</si>
  <si>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</si>
  <si>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</si>
  <si>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</si>
  <si>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</si>
  <si>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</si>
  <si>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</si>
  <si>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</si>
  <si>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</si>
  <si>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</si>
  <si>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</si>
  <si>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</si>
  <si>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</si>
  <si>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</si>
  <si>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</si>
  <si>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rho_avg</t>
  </si>
  <si>
    <t>h_in</t>
  </si>
  <si>
    <t>h_out</t>
  </si>
  <si>
    <t>Q</t>
  </si>
  <si>
    <t>steady</t>
  </si>
  <si>
    <t>average steady state Q</t>
  </si>
  <si>
    <t>Velocity (m/s)</t>
  </si>
  <si>
    <t>Q_steady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</si>
</sst>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.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47" fontId="2" fillId="0" borderId="0" xfId="0" applyNumberFormat="1" applyFont="1"/>
    <xf numFmtId="0" fontId="3" fillId="0" borderId="0" xfId="0" applyNumberFormat="1" applyFont="1"/>
    <xf numFmtId="22" fontId="2" fillId="0" borderId="0" xfId="0" applyNumberFormat="1" applyFont="1"/>
    <xf numFmtId="21" fontId="0" fillId="0" borderId="0" xfId="0" applyNumberFormat="1"/>
    <xf numFmtId="21" fontId="1" fillId="0" borderId="0" xfId="0" applyNumberFormat="1" applyFont="1"/>
    <xf numFmtId="21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 vs Time,</a:t>
            </a:r>
            <a:r>
              <a:rPr lang="en-US" baseline="0"/>
              <a:t> Front_15gps_</a:t>
            </a:r>
            <a:r>
              <a:rPr lang="en-US"/>
              <a:t>1mps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'1mps'!$A$2:$A$36</c:f>
              <c:numCache>
                <c:formatCode>m/d/yyyy\ hh:mm:ss.000</c:formatCode>
                <c:ptCount val="35"/>
                <c:pt idx="0">
                  <c:v>46066.707754629628</c:v>
                </c:pt>
                <c:pt idx="1">
                  <c:v>46066.707870370374</c:v>
                </c:pt>
                <c:pt idx="2">
                  <c:v>46066.707986111112</c:v>
                </c:pt>
                <c:pt idx="3">
                  <c:v>46066.708101851851</c:v>
                </c:pt>
                <c:pt idx="4">
                  <c:v>46066.70821759259</c:v>
                </c:pt>
                <c:pt idx="5">
                  <c:v>46066.708333333336</c:v>
                </c:pt>
                <c:pt idx="6">
                  <c:v>46066.708449074074</c:v>
                </c:pt>
                <c:pt idx="7">
                  <c:v>46066.708564814813</c:v>
                </c:pt>
                <c:pt idx="8">
                  <c:v>46066.708680555559</c:v>
                </c:pt>
                <c:pt idx="9">
                  <c:v>46066.708796296298</c:v>
                </c:pt>
                <c:pt idx="10">
                  <c:v>46066.708912037036</c:v>
                </c:pt>
                <c:pt idx="11">
                  <c:v>46066.709027777775</c:v>
                </c:pt>
                <c:pt idx="12">
                  <c:v>46066.709143518521</c:v>
                </c:pt>
                <c:pt idx="13">
                  <c:v>46066.70925925926</c:v>
                </c:pt>
                <c:pt idx="14">
                  <c:v>46066.709374999999</c:v>
                </c:pt>
                <c:pt idx="15">
                  <c:v>46066.709490740737</c:v>
                </c:pt>
                <c:pt idx="16">
                  <c:v>46066.709606481483</c:v>
                </c:pt>
                <c:pt idx="17">
                  <c:v>46066.709722222222</c:v>
                </c:pt>
                <c:pt idx="18">
                  <c:v>46066.709837962961</c:v>
                </c:pt>
                <c:pt idx="19">
                  <c:v>46066.709953703707</c:v>
                </c:pt>
                <c:pt idx="20">
                  <c:v>46066.710069444445</c:v>
                </c:pt>
                <c:pt idx="21">
                  <c:v>46066.710185185184</c:v>
                </c:pt>
                <c:pt idx="22">
                  <c:v>46066.710300925923</c:v>
                </c:pt>
                <c:pt idx="23">
                  <c:v>46066.710416666669</c:v>
                </c:pt>
                <c:pt idx="24">
                  <c:v>46066.710532407407</c:v>
                </c:pt>
                <c:pt idx="25">
                  <c:v>46066.710648148146</c:v>
                </c:pt>
                <c:pt idx="26">
                  <c:v>46066.710763888892</c:v>
                </c:pt>
                <c:pt idx="27">
                  <c:v>46066.710879629631</c:v>
                </c:pt>
                <c:pt idx="28">
                  <c:v>46066.710995370369</c:v>
                </c:pt>
                <c:pt idx="29">
                  <c:v>46066.711111111108</c:v>
                </c:pt>
                <c:pt idx="30">
                  <c:v>46066.711226851854</c:v>
                </c:pt>
                <c:pt idx="31">
                  <c:v>46066.711342592593</c:v>
                </c:pt>
                <c:pt idx="32">
                  <c:v>46066.711458333331</c:v>
                </c:pt>
                <c:pt idx="33">
                  <c:v>46066.711574074077</c:v>
                </c:pt>
                <c:pt idx="34">
                  <c:v>46066.711701388886</c:v>
                </c:pt>
              </c:numCache>
            </c:numRef>
          </c:xVal>
          <c:yVal>
            <c:numRef>
              <c:f>'1mps'!$W$2:$W$36</c:f>
              <c:numCache>
                <c:formatCode>General</c:formatCode>
                <c:ptCount val="35"/>
                <c:pt idx="0">
                  <c:v>198.07283091869857</c:v>
                </c:pt>
                <c:pt idx="1">
                  <c:v>198.45741466754018</c:v>
                </c:pt>
                <c:pt idx="2">
                  <c:v>196.33138383351346</c:v>
                </c:pt>
                <c:pt idx="3">
                  <c:v>196.11508641283629</c:v>
                </c:pt>
                <c:pt idx="4">
                  <c:v>194.08688249694922</c:v>
                </c:pt>
                <c:pt idx="5">
                  <c:v>193.58312968270025</c:v>
                </c:pt>
                <c:pt idx="6">
                  <c:v>192.40758734917932</c:v>
                </c:pt>
                <c:pt idx="7">
                  <c:v>192.1926812748917</c:v>
                </c:pt>
                <c:pt idx="8">
                  <c:v>191.26675850199277</c:v>
                </c:pt>
                <c:pt idx="9">
                  <c:v>190.62729616519232</c:v>
                </c:pt>
                <c:pt idx="10">
                  <c:v>189.81621634453455</c:v>
                </c:pt>
                <c:pt idx="11">
                  <c:v>189.14761020436703</c:v>
                </c:pt>
                <c:pt idx="12">
                  <c:v>188.31489411561145</c:v>
                </c:pt>
                <c:pt idx="13">
                  <c:v>187.77771266202572</c:v>
                </c:pt>
                <c:pt idx="14">
                  <c:v>186.38942037255484</c:v>
                </c:pt>
                <c:pt idx="15">
                  <c:v>186.02536604773849</c:v>
                </c:pt>
                <c:pt idx="16">
                  <c:v>186.25818594876873</c:v>
                </c:pt>
                <c:pt idx="17">
                  <c:v>185.63230623328704</c:v>
                </c:pt>
                <c:pt idx="18">
                  <c:v>184.45502414453259</c:v>
                </c:pt>
                <c:pt idx="19">
                  <c:v>184.62807208057799</c:v>
                </c:pt>
                <c:pt idx="20">
                  <c:v>184.0434568698453</c:v>
                </c:pt>
                <c:pt idx="21">
                  <c:v>183.14839315821882</c:v>
                </c:pt>
                <c:pt idx="22">
                  <c:v>182.10051678101664</c:v>
                </c:pt>
                <c:pt idx="23">
                  <c:v>181.64180125846556</c:v>
                </c:pt>
                <c:pt idx="24">
                  <c:v>181.99639181079553</c:v>
                </c:pt>
                <c:pt idx="25">
                  <c:v>181.99506452189434</c:v>
                </c:pt>
                <c:pt idx="26">
                  <c:v>181.55127295775137</c:v>
                </c:pt>
                <c:pt idx="27">
                  <c:v>182.0644398880639</c:v>
                </c:pt>
                <c:pt idx="28">
                  <c:v>180.84333000273102</c:v>
                </c:pt>
                <c:pt idx="29">
                  <c:v>180.48478036902247</c:v>
                </c:pt>
                <c:pt idx="30">
                  <c:v>181.00816653895993</c:v>
                </c:pt>
                <c:pt idx="31">
                  <c:v>180.3765142186536</c:v>
                </c:pt>
                <c:pt idx="32">
                  <c:v>180.51150204297355</c:v>
                </c:pt>
                <c:pt idx="33">
                  <c:v>180.27971652969393</c:v>
                </c:pt>
                <c:pt idx="34">
                  <c:v>180.72622965918524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E9-3343-ACAB-4FC12B139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031696"/>
        <c:axId val="1824431040"/>
      </c:scatterChart>
      <c:valAx>
        <c:axId val="182403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(hh:mm:ss)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h:mm:ss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431040"/>
        <c:crosses val="autoZero"/>
        <c:crossBetween val="midCat"/>
      </c:valAx>
      <c:valAx>
        <c:axId val="182443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3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vs Time, Front_15gps_2mps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'2mps'!$A$2:$A$42</c:f>
              <c:numCache>
                <c:formatCode>m/d/yyyy\ hh:mm:ss.000</c:formatCode>
                <c:ptCount val="41"/>
                <c:pt idx="0">
                  <c:v>46066.703055555554</c:v>
                </c:pt>
                <c:pt idx="1">
                  <c:v>46066.7031712963</c:v>
                </c:pt>
                <c:pt idx="2">
                  <c:v>46066.703287037039</c:v>
                </c:pt>
                <c:pt idx="3">
                  <c:v>46066.703402777777</c:v>
                </c:pt>
                <c:pt idx="4">
                  <c:v>46066.703518518516</c:v>
                </c:pt>
                <c:pt idx="5">
                  <c:v>46066.703634259262</c:v>
                </c:pt>
                <c:pt idx="6">
                  <c:v>46066.703750000001</c:v>
                </c:pt>
                <c:pt idx="7">
                  <c:v>46066.703865740739</c:v>
                </c:pt>
                <c:pt idx="8">
                  <c:v>46066.703981481478</c:v>
                </c:pt>
                <c:pt idx="9">
                  <c:v>46066.704097222224</c:v>
                </c:pt>
                <c:pt idx="10">
                  <c:v>46066.704212962963</c:v>
                </c:pt>
                <c:pt idx="11">
                  <c:v>46066.704328703701</c:v>
                </c:pt>
                <c:pt idx="12">
                  <c:v>46066.704444444447</c:v>
                </c:pt>
                <c:pt idx="13">
                  <c:v>46066.704560185186</c:v>
                </c:pt>
                <c:pt idx="14">
                  <c:v>46066.704675925925</c:v>
                </c:pt>
                <c:pt idx="15">
                  <c:v>46066.704791666663</c:v>
                </c:pt>
                <c:pt idx="16">
                  <c:v>46066.704907407409</c:v>
                </c:pt>
                <c:pt idx="17">
                  <c:v>46066.705023148148</c:v>
                </c:pt>
                <c:pt idx="18">
                  <c:v>46066.705138888887</c:v>
                </c:pt>
                <c:pt idx="19">
                  <c:v>46066.705254629633</c:v>
                </c:pt>
                <c:pt idx="20">
                  <c:v>46066.705370370371</c:v>
                </c:pt>
                <c:pt idx="21">
                  <c:v>46066.70548611111</c:v>
                </c:pt>
                <c:pt idx="22">
                  <c:v>46066.705601851849</c:v>
                </c:pt>
                <c:pt idx="23">
                  <c:v>46066.705729166664</c:v>
                </c:pt>
                <c:pt idx="24">
                  <c:v>46066.70584490741</c:v>
                </c:pt>
                <c:pt idx="25">
                  <c:v>46066.705960648149</c:v>
                </c:pt>
                <c:pt idx="26">
                  <c:v>46066.706076388888</c:v>
                </c:pt>
                <c:pt idx="27">
                  <c:v>46066.706192129626</c:v>
                </c:pt>
                <c:pt idx="28">
                  <c:v>46066.706307870372</c:v>
                </c:pt>
                <c:pt idx="29">
                  <c:v>46066.706423611111</c:v>
                </c:pt>
              </c:numCache>
            </c:numRef>
          </c:xVal>
          <c:yVal>
            <c:numRef>
              <c:f>'2mps'!$W$2:$W$42</c:f>
              <c:numCache>
                <c:formatCode>General</c:formatCode>
                <c:ptCount val="41"/>
                <c:pt idx="0">
                  <c:v>373.8846610178179</c:v>
                </c:pt>
                <c:pt idx="1">
                  <c:v>369.9559453380121</c:v>
                </c:pt>
                <c:pt idx="2">
                  <c:v>369.64725652903923</c:v>
                </c:pt>
                <c:pt idx="3">
                  <c:v>368.10960058149175</c:v>
                </c:pt>
                <c:pt idx="4">
                  <c:v>368.6124613385789</c:v>
                </c:pt>
                <c:pt idx="5">
                  <c:v>366.16507030371332</c:v>
                </c:pt>
                <c:pt idx="6">
                  <c:v>367.25073417346579</c:v>
                </c:pt>
                <c:pt idx="7">
                  <c:v>365.17613767989604</c:v>
                </c:pt>
                <c:pt idx="8">
                  <c:v>367.05314942059971</c:v>
                </c:pt>
                <c:pt idx="9">
                  <c:v>365.98172882108418</c:v>
                </c:pt>
                <c:pt idx="10">
                  <c:v>367.20386484404366</c:v>
                </c:pt>
                <c:pt idx="11">
                  <c:v>370.21332506598179</c:v>
                </c:pt>
                <c:pt idx="12">
                  <c:v>369.46106231254566</c:v>
                </c:pt>
                <c:pt idx="13">
                  <c:v>369.45742078677256</c:v>
                </c:pt>
                <c:pt idx="14">
                  <c:v>370.48223003695551</c:v>
                </c:pt>
                <c:pt idx="15">
                  <c:v>368.71821114446533</c:v>
                </c:pt>
                <c:pt idx="16">
                  <c:v>369.39680449785084</c:v>
                </c:pt>
                <c:pt idx="17">
                  <c:v>367.39387767597145</c:v>
                </c:pt>
                <c:pt idx="18">
                  <c:v>366.49202724699722</c:v>
                </c:pt>
                <c:pt idx="19">
                  <c:v>366.90899284068621</c:v>
                </c:pt>
                <c:pt idx="20">
                  <c:v>366.55024741165255</c:v>
                </c:pt>
                <c:pt idx="21">
                  <c:v>366.2570126249795</c:v>
                </c:pt>
                <c:pt idx="22">
                  <c:v>369.12693223023575</c:v>
                </c:pt>
                <c:pt idx="23">
                  <c:v>369.64690403516187</c:v>
                </c:pt>
                <c:pt idx="24">
                  <c:v>372.45883128723011</c:v>
                </c:pt>
                <c:pt idx="25">
                  <c:v>372.77809323606795</c:v>
                </c:pt>
                <c:pt idx="26">
                  <c:v>369.39902176216481</c:v>
                </c:pt>
                <c:pt idx="27">
                  <c:v>367.16812000128107</c:v>
                </c:pt>
                <c:pt idx="28">
                  <c:v>367.12259482633374</c:v>
                </c:pt>
                <c:pt idx="29">
                  <c:v>368.51057349808309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8A-B44E-9B70-281C0DEB1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031696"/>
        <c:axId val="1824431040"/>
      </c:scatterChart>
      <c:valAx>
        <c:axId val="182403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(hh:mm:ss)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h:mm:ss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431040"/>
        <c:crosses val="autoZero"/>
        <c:crossBetween val="midCat"/>
      </c:valAx>
      <c:valAx>
        <c:axId val="182443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 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3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vs Time, Front_15gps_3mps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'3mps'!$A$2:$A$42</c:f>
              <c:numCache>
                <c:formatCode>m/d/yy\ h:mm</c:formatCode>
                <c:ptCount val="41"/>
                <c:pt idx="0">
                  <c:v>46066.697060185186</c:v>
                </c:pt>
                <c:pt idx="1">
                  <c:v>46066.697175925925</c:v>
                </c:pt>
                <c:pt idx="2" formatCode="mm:ss.0">
                  <c:v>46066.697295555554</c:v>
                </c:pt>
                <c:pt idx="3" formatCode="mm:ss.0">
                  <c:v>46066.6974112963</c:v>
                </c:pt>
                <c:pt idx="4" formatCode="mm:ss.0">
                  <c:v>46066.697527615739</c:v>
                </c:pt>
                <c:pt idx="5" formatCode="mm:ss.0">
                  <c:v>46066.697643356485</c:v>
                </c:pt>
                <c:pt idx="6" formatCode="mm:ss.0">
                  <c:v>46066.697759675924</c:v>
                </c:pt>
                <c:pt idx="7" formatCode="mm:ss.0">
                  <c:v>46066.69787541667</c:v>
                </c:pt>
                <c:pt idx="8">
                  <c:v>46066.69798611111</c:v>
                </c:pt>
                <c:pt idx="9" formatCode="mm:ss.0">
                  <c:v>46066.698107476848</c:v>
                </c:pt>
                <c:pt idx="10" formatCode="mm:ss.0">
                  <c:v>46066.698223217594</c:v>
                </c:pt>
                <c:pt idx="11" formatCode="mm:ss.0">
                  <c:v>46066.698338958333</c:v>
                </c:pt>
                <c:pt idx="12" formatCode="mm:ss.0">
                  <c:v>46066.698455277779</c:v>
                </c:pt>
                <c:pt idx="13" formatCode="mm:ss.0">
                  <c:v>46066.698571018518</c:v>
                </c:pt>
                <c:pt idx="14" formatCode="mm:ss.0">
                  <c:v>46066.698687337965</c:v>
                </c:pt>
                <c:pt idx="15" formatCode="mm:ss.0">
                  <c:v>46066.698803078703</c:v>
                </c:pt>
                <c:pt idx="16" formatCode="mm:ss.0">
                  <c:v>46066.69891939815</c:v>
                </c:pt>
                <c:pt idx="17" formatCode="mm:ss.0">
                  <c:v>46066.699035717589</c:v>
                </c:pt>
                <c:pt idx="18" formatCode="mm:ss.0">
                  <c:v>46066.699151458335</c:v>
                </c:pt>
                <c:pt idx="19" formatCode="mm:ss.0">
                  <c:v>46066.699267777774</c:v>
                </c:pt>
                <c:pt idx="20" formatCode="mm:ss.0">
                  <c:v>46066.699384097221</c:v>
                </c:pt>
                <c:pt idx="21" formatCode="mm:ss.0">
                  <c:v>46066.69949983796</c:v>
                </c:pt>
                <c:pt idx="22" formatCode="mm:ss.0">
                  <c:v>46066.699616157406</c:v>
                </c:pt>
                <c:pt idx="23" formatCode="mm:ss.0">
                  <c:v>46066.699731898145</c:v>
                </c:pt>
                <c:pt idx="24" formatCode="mm:ss.0">
                  <c:v>46066.699847638891</c:v>
                </c:pt>
                <c:pt idx="25" formatCode="mm:ss.0">
                  <c:v>46066.69996395833</c:v>
                </c:pt>
                <c:pt idx="26" formatCode="mm:ss.0">
                  <c:v>46066.700080277777</c:v>
                </c:pt>
                <c:pt idx="27" formatCode="mm:ss.0">
                  <c:v>46066.700196018515</c:v>
                </c:pt>
                <c:pt idx="28" formatCode="mm:ss.0">
                  <c:v>46066.700312337962</c:v>
                </c:pt>
                <c:pt idx="29" formatCode="mm:ss.0">
                  <c:v>46066.7004280787</c:v>
                </c:pt>
                <c:pt idx="30" formatCode="mm:ss.0">
                  <c:v>46066.700543819446</c:v>
                </c:pt>
                <c:pt idx="31" formatCode="mm:ss.0">
                  <c:v>46066.700660138886</c:v>
                </c:pt>
                <c:pt idx="32" formatCode="mm:ss.0">
                  <c:v>46066.700776458332</c:v>
                </c:pt>
                <c:pt idx="33" formatCode="mm:ss.0">
                  <c:v>46066.700892199071</c:v>
                </c:pt>
                <c:pt idx="34" formatCode="mm:ss.0">
                  <c:v>46066.701007939817</c:v>
                </c:pt>
                <c:pt idx="35" formatCode="mm:ss.0">
                  <c:v>46066.701124259256</c:v>
                </c:pt>
                <c:pt idx="36" formatCode="mm:ss.0">
                  <c:v>46066.701240578703</c:v>
                </c:pt>
                <c:pt idx="37" formatCode="mm:ss.0">
                  <c:v>46066.701356898149</c:v>
                </c:pt>
                <c:pt idx="38" formatCode="mm:ss.0">
                  <c:v>46066.701472638888</c:v>
                </c:pt>
                <c:pt idx="39" formatCode="mm:ss.0">
                  <c:v>46066.701588379627</c:v>
                </c:pt>
                <c:pt idx="40" formatCode="mm:ss.0">
                  <c:v>46066.701704120373</c:v>
                </c:pt>
              </c:numCache>
            </c:numRef>
          </c:xVal>
          <c:yVal>
            <c:numRef>
              <c:f>'3mps'!$W$2:$W$42</c:f>
              <c:numCache>
                <c:formatCode>General</c:formatCode>
                <c:ptCount val="41"/>
                <c:pt idx="0">
                  <c:v>488.37035377098653</c:v>
                </c:pt>
                <c:pt idx="1">
                  <c:v>486.43782564870327</c:v>
                </c:pt>
                <c:pt idx="2">
                  <c:v>490.37833050412411</c:v>
                </c:pt>
                <c:pt idx="3">
                  <c:v>489.45535984936134</c:v>
                </c:pt>
                <c:pt idx="4">
                  <c:v>487.59553279531872</c:v>
                </c:pt>
                <c:pt idx="5">
                  <c:v>487.73199671238592</c:v>
                </c:pt>
                <c:pt idx="6">
                  <c:v>488.45650744321512</c:v>
                </c:pt>
                <c:pt idx="7">
                  <c:v>485.37500153332064</c:v>
                </c:pt>
                <c:pt idx="8">
                  <c:v>486.42171555270875</c:v>
                </c:pt>
                <c:pt idx="9">
                  <c:v>485.037556116357</c:v>
                </c:pt>
                <c:pt idx="10">
                  <c:v>483.9204014596491</c:v>
                </c:pt>
                <c:pt idx="11">
                  <c:v>490.06919351035913</c:v>
                </c:pt>
                <c:pt idx="12">
                  <c:v>488.63273088375388</c:v>
                </c:pt>
                <c:pt idx="13">
                  <c:v>486.713951277815</c:v>
                </c:pt>
                <c:pt idx="14">
                  <c:v>488.82806633311958</c:v>
                </c:pt>
                <c:pt idx="15">
                  <c:v>484.51182957501584</c:v>
                </c:pt>
                <c:pt idx="16">
                  <c:v>486.07296870908891</c:v>
                </c:pt>
                <c:pt idx="17">
                  <c:v>486.41090203585082</c:v>
                </c:pt>
                <c:pt idx="18">
                  <c:v>484.39451152573548</c:v>
                </c:pt>
                <c:pt idx="19">
                  <c:v>486.84891137329134</c:v>
                </c:pt>
                <c:pt idx="20">
                  <c:v>485.36479301811289</c:v>
                </c:pt>
                <c:pt idx="21">
                  <c:v>483.80323950938276</c:v>
                </c:pt>
                <c:pt idx="22">
                  <c:v>488.90616215857665</c:v>
                </c:pt>
                <c:pt idx="23">
                  <c:v>483.71899481593505</c:v>
                </c:pt>
                <c:pt idx="24">
                  <c:v>485.39703568436357</c:v>
                </c:pt>
                <c:pt idx="25">
                  <c:v>485.05179038396921</c:v>
                </c:pt>
                <c:pt idx="26">
                  <c:v>485.89336411726123</c:v>
                </c:pt>
                <c:pt idx="27">
                  <c:v>486.83466330394083</c:v>
                </c:pt>
                <c:pt idx="28">
                  <c:v>486.69856851319537</c:v>
                </c:pt>
                <c:pt idx="29">
                  <c:v>483.8272465195642</c:v>
                </c:pt>
                <c:pt idx="30">
                  <c:v>488.09315420833104</c:v>
                </c:pt>
                <c:pt idx="31">
                  <c:v>485.94181213041924</c:v>
                </c:pt>
                <c:pt idx="32">
                  <c:v>487.06765422565877</c:v>
                </c:pt>
                <c:pt idx="33">
                  <c:v>484.06637899958656</c:v>
                </c:pt>
                <c:pt idx="34">
                  <c:v>483.28756742462525</c:v>
                </c:pt>
                <c:pt idx="35">
                  <c:v>481.79906919163363</c:v>
                </c:pt>
                <c:pt idx="36">
                  <c:v>485.66178037364637</c:v>
                </c:pt>
                <c:pt idx="37">
                  <c:v>486.90769496077047</c:v>
                </c:pt>
                <c:pt idx="38">
                  <c:v>488.60073801845999</c:v>
                </c:pt>
                <c:pt idx="39">
                  <c:v>487.94029402935013</c:v>
                </c:pt>
                <c:pt idx="40">
                  <c:v>488.25726271293473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E-134B-A413-97942FFAE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031696"/>
        <c:axId val="1824431040"/>
      </c:scatterChart>
      <c:valAx>
        <c:axId val="182403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h:mm:ss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431040"/>
        <c:crosses val="autoZero"/>
        <c:crossBetween val="midCat"/>
      </c:valAx>
      <c:valAx>
        <c:axId val="182443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3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vs Time, Front_15gps_4mps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'4mps'!$W$1</c:f>
              <c:strCache>
                <c:ptCount val="1"/>
                <c:pt idx="0">
                  <c:v>Q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'4mps'!$A$2:$A$43</c:f>
              <c:numCache>
                <c:formatCode>m/d/yyyy\ hh:mm:ss.000</c:formatCode>
                <c:ptCount val="42"/>
                <c:pt idx="0">
                  <c:v>46066.690601851849</c:v>
                </c:pt>
                <c:pt idx="1">
                  <c:v>46066.690717592595</c:v>
                </c:pt>
                <c:pt idx="2">
                  <c:v>46066.690833333334</c:v>
                </c:pt>
                <c:pt idx="3">
                  <c:v>46066.690949074073</c:v>
                </c:pt>
                <c:pt idx="4">
                  <c:v>46066.691064814811</c:v>
                </c:pt>
                <c:pt idx="5">
                  <c:v>46066.691180555557</c:v>
                </c:pt>
                <c:pt idx="6">
                  <c:v>46066.691296296296</c:v>
                </c:pt>
                <c:pt idx="7">
                  <c:v>46066.691412037035</c:v>
                </c:pt>
                <c:pt idx="8">
                  <c:v>46066.691527777781</c:v>
                </c:pt>
                <c:pt idx="9">
                  <c:v>46066.691643518519</c:v>
                </c:pt>
                <c:pt idx="10">
                  <c:v>46066.691759259258</c:v>
                </c:pt>
                <c:pt idx="11">
                  <c:v>46066.691874999997</c:v>
                </c:pt>
                <c:pt idx="12">
                  <c:v>46066.691990740743</c:v>
                </c:pt>
                <c:pt idx="13">
                  <c:v>46066.692106481481</c:v>
                </c:pt>
                <c:pt idx="14">
                  <c:v>46066.69222222222</c:v>
                </c:pt>
                <c:pt idx="15">
                  <c:v>46066.692337962966</c:v>
                </c:pt>
                <c:pt idx="16">
                  <c:v>46066.692453703705</c:v>
                </c:pt>
                <c:pt idx="17">
                  <c:v>46066.692569444444</c:v>
                </c:pt>
                <c:pt idx="18">
                  <c:v>46066.692685185182</c:v>
                </c:pt>
                <c:pt idx="19">
                  <c:v>46066.692800925928</c:v>
                </c:pt>
                <c:pt idx="20">
                  <c:v>46066.692916666667</c:v>
                </c:pt>
                <c:pt idx="21">
                  <c:v>46066.693032407406</c:v>
                </c:pt>
                <c:pt idx="22">
                  <c:v>46066.693148148152</c:v>
                </c:pt>
                <c:pt idx="23">
                  <c:v>46066.69326388889</c:v>
                </c:pt>
                <c:pt idx="24">
                  <c:v>46066.693379629629</c:v>
                </c:pt>
                <c:pt idx="25">
                  <c:v>46066.693495370368</c:v>
                </c:pt>
                <c:pt idx="26">
                  <c:v>46066.693611111114</c:v>
                </c:pt>
                <c:pt idx="27">
                  <c:v>46066.693726851852</c:v>
                </c:pt>
                <c:pt idx="28">
                  <c:v>46066.693842592591</c:v>
                </c:pt>
                <c:pt idx="29">
                  <c:v>46066.693958333337</c:v>
                </c:pt>
                <c:pt idx="30">
                  <c:v>46066.694074074076</c:v>
                </c:pt>
                <c:pt idx="31">
                  <c:v>46066.694201388891</c:v>
                </c:pt>
                <c:pt idx="32">
                  <c:v>46066.69431712963</c:v>
                </c:pt>
                <c:pt idx="33">
                  <c:v>46066.694432870368</c:v>
                </c:pt>
                <c:pt idx="34">
                  <c:v>46066.694548611114</c:v>
                </c:pt>
                <c:pt idx="35">
                  <c:v>46066.694664351853</c:v>
                </c:pt>
                <c:pt idx="36">
                  <c:v>46066.694780092592</c:v>
                </c:pt>
                <c:pt idx="37">
                  <c:v>46066.694895833331</c:v>
                </c:pt>
                <c:pt idx="38">
                  <c:v>46066.695011574076</c:v>
                </c:pt>
                <c:pt idx="39">
                  <c:v>46066.695127314815</c:v>
                </c:pt>
                <c:pt idx="40">
                  <c:v>46066.695243055554</c:v>
                </c:pt>
                <c:pt idx="41">
                  <c:v>46066.6953587963</c:v>
                </c:pt>
              </c:numCache>
            </c:numRef>
          </c:xVal>
          <c:yVal>
            <c:numRef>
              <c:f>'4mps'!$W$2:$W$43</c:f>
              <c:numCache>
                <c:formatCode>General</c:formatCode>
                <c:ptCount val="42"/>
                <c:pt idx="0">
                  <c:v>573.98334412337749</c:v>
                </c:pt>
                <c:pt idx="1">
                  <c:v>572.38392625535391</c:v>
                </c:pt>
                <c:pt idx="2">
                  <c:v>574.27761963027672</c:v>
                </c:pt>
                <c:pt idx="3">
                  <c:v>569.7157336976868</c:v>
                </c:pt>
                <c:pt idx="4">
                  <c:v>568.60338504572178</c:v>
                </c:pt>
                <c:pt idx="5">
                  <c:v>569.84852358080775</c:v>
                </c:pt>
                <c:pt idx="6">
                  <c:v>569.42367205775213</c:v>
                </c:pt>
                <c:pt idx="7">
                  <c:v>567.7219295506701</c:v>
                </c:pt>
                <c:pt idx="8">
                  <c:v>566.76510636219302</c:v>
                </c:pt>
                <c:pt idx="9">
                  <c:v>569.05558484054291</c:v>
                </c:pt>
                <c:pt idx="10">
                  <c:v>567.19128563355446</c:v>
                </c:pt>
                <c:pt idx="11">
                  <c:v>567.16293165734498</c:v>
                </c:pt>
                <c:pt idx="12">
                  <c:v>569.1950188507451</c:v>
                </c:pt>
                <c:pt idx="13">
                  <c:v>571.79477573358429</c:v>
                </c:pt>
                <c:pt idx="14">
                  <c:v>568.27607949163701</c:v>
                </c:pt>
                <c:pt idx="15">
                  <c:v>563.94257279602209</c:v>
                </c:pt>
                <c:pt idx="16">
                  <c:v>565.25460681990205</c:v>
                </c:pt>
                <c:pt idx="17">
                  <c:v>566.91843789380255</c:v>
                </c:pt>
                <c:pt idx="18">
                  <c:v>571.46261945751723</c:v>
                </c:pt>
                <c:pt idx="19">
                  <c:v>570.54758550536781</c:v>
                </c:pt>
                <c:pt idx="20">
                  <c:v>568.65406629705171</c:v>
                </c:pt>
                <c:pt idx="21">
                  <c:v>570.34119963223645</c:v>
                </c:pt>
                <c:pt idx="22">
                  <c:v>570.31903540684152</c:v>
                </c:pt>
                <c:pt idx="23">
                  <c:v>566.64355229672174</c:v>
                </c:pt>
                <c:pt idx="24">
                  <c:v>564.44151327074883</c:v>
                </c:pt>
                <c:pt idx="25">
                  <c:v>564.61054114793239</c:v>
                </c:pt>
                <c:pt idx="26">
                  <c:v>569.41628534703455</c:v>
                </c:pt>
                <c:pt idx="27">
                  <c:v>567.33472395857359</c:v>
                </c:pt>
                <c:pt idx="28">
                  <c:v>569.68587147445248</c:v>
                </c:pt>
                <c:pt idx="29">
                  <c:v>571.78639812023721</c:v>
                </c:pt>
                <c:pt idx="30">
                  <c:v>569.12962604037648</c:v>
                </c:pt>
                <c:pt idx="31">
                  <c:v>568.69136436926499</c:v>
                </c:pt>
                <c:pt idx="32">
                  <c:v>566.36355270301044</c:v>
                </c:pt>
                <c:pt idx="33">
                  <c:v>565.81205178147866</c:v>
                </c:pt>
                <c:pt idx="34">
                  <c:v>564.99713008852382</c:v>
                </c:pt>
                <c:pt idx="35">
                  <c:v>564.1102619705141</c:v>
                </c:pt>
                <c:pt idx="36">
                  <c:v>565.22836622441548</c:v>
                </c:pt>
                <c:pt idx="37">
                  <c:v>568.37229412590204</c:v>
                </c:pt>
                <c:pt idx="38">
                  <c:v>565.63977209217273</c:v>
                </c:pt>
                <c:pt idx="39">
                  <c:v>568.30758034355483</c:v>
                </c:pt>
                <c:pt idx="40">
                  <c:v>566.49483068046516</c:v>
                </c:pt>
                <c:pt idx="41">
                  <c:v>565.81832908033755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60-4F43-8254-186648237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031696"/>
        <c:axId val="1824431040"/>
      </c:scatterChart>
      <c:valAx>
        <c:axId val="182403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h:mm:ss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431040"/>
        <c:crosses val="autoZero"/>
        <c:crossBetween val="midCat"/>
      </c:valAx>
      <c:valAx>
        <c:axId val="182443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3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vs Time, Front_15gps_5mps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'5mps'!$W$1</c:f>
              <c:strCache>
                <c:ptCount val="1"/>
                <c:pt idx="0">
                  <c:v>Q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'5mps'!$A$2:$A$44</c:f>
              <c:numCache>
                <c:formatCode>m/d/yyyy\ hh:mm:ss.000</c:formatCode>
                <c:ptCount val="43"/>
                <c:pt idx="0">
                  <c:v>46066.683807870373</c:v>
                </c:pt>
                <c:pt idx="1">
                  <c:v>46066.683923611112</c:v>
                </c:pt>
                <c:pt idx="2">
                  <c:v>46066.684050925927</c:v>
                </c:pt>
                <c:pt idx="3">
                  <c:v>46066.684166666666</c:v>
                </c:pt>
                <c:pt idx="4">
                  <c:v>46066.684282407405</c:v>
                </c:pt>
                <c:pt idx="5">
                  <c:v>46066.684398148151</c:v>
                </c:pt>
                <c:pt idx="6">
                  <c:v>46066.684513888889</c:v>
                </c:pt>
                <c:pt idx="7">
                  <c:v>46066.684629629628</c:v>
                </c:pt>
                <c:pt idx="8">
                  <c:v>46066.684745370374</c:v>
                </c:pt>
                <c:pt idx="9">
                  <c:v>46066.684861111113</c:v>
                </c:pt>
                <c:pt idx="10">
                  <c:v>46066.684976851851</c:v>
                </c:pt>
                <c:pt idx="11">
                  <c:v>46066.68509259259</c:v>
                </c:pt>
                <c:pt idx="12">
                  <c:v>46066.685208333336</c:v>
                </c:pt>
                <c:pt idx="13">
                  <c:v>46066.685324074075</c:v>
                </c:pt>
                <c:pt idx="14">
                  <c:v>46066.685439814813</c:v>
                </c:pt>
                <c:pt idx="15">
                  <c:v>46066.685555555552</c:v>
                </c:pt>
                <c:pt idx="16">
                  <c:v>46066.685671296298</c:v>
                </c:pt>
                <c:pt idx="17">
                  <c:v>46066.685787037037</c:v>
                </c:pt>
                <c:pt idx="18">
                  <c:v>46066.685902777775</c:v>
                </c:pt>
                <c:pt idx="19">
                  <c:v>46066.686018518521</c:v>
                </c:pt>
                <c:pt idx="20">
                  <c:v>46066.68613425926</c:v>
                </c:pt>
                <c:pt idx="21">
                  <c:v>46066.686249999999</c:v>
                </c:pt>
                <c:pt idx="22">
                  <c:v>46066.686365740738</c:v>
                </c:pt>
                <c:pt idx="23">
                  <c:v>46066.686481481483</c:v>
                </c:pt>
                <c:pt idx="24">
                  <c:v>46066.686597222222</c:v>
                </c:pt>
                <c:pt idx="25">
                  <c:v>46066.686712962961</c:v>
                </c:pt>
                <c:pt idx="26">
                  <c:v>46066.686828703707</c:v>
                </c:pt>
                <c:pt idx="27">
                  <c:v>46066.686944444446</c:v>
                </c:pt>
                <c:pt idx="28">
                  <c:v>46066.687060185184</c:v>
                </c:pt>
                <c:pt idx="29">
                  <c:v>46066.687175925923</c:v>
                </c:pt>
                <c:pt idx="30">
                  <c:v>46066.687291666669</c:v>
                </c:pt>
                <c:pt idx="31">
                  <c:v>46066.687407407408</c:v>
                </c:pt>
                <c:pt idx="32">
                  <c:v>46066.687523148146</c:v>
                </c:pt>
                <c:pt idx="33">
                  <c:v>46066.687638888892</c:v>
                </c:pt>
                <c:pt idx="34">
                  <c:v>46066.687754629631</c:v>
                </c:pt>
                <c:pt idx="35">
                  <c:v>46066.687881944446</c:v>
                </c:pt>
                <c:pt idx="36">
                  <c:v>46066.687997685185</c:v>
                </c:pt>
                <c:pt idx="37">
                  <c:v>46066.688113425924</c:v>
                </c:pt>
                <c:pt idx="38">
                  <c:v>46066.68822916667</c:v>
                </c:pt>
                <c:pt idx="39">
                  <c:v>46066.688344907408</c:v>
                </c:pt>
                <c:pt idx="40">
                  <c:v>46066.688460648147</c:v>
                </c:pt>
                <c:pt idx="41">
                  <c:v>46066.688576388886</c:v>
                </c:pt>
                <c:pt idx="42">
                  <c:v>46066.688692129632</c:v>
                </c:pt>
              </c:numCache>
            </c:numRef>
          </c:xVal>
          <c:yVal>
            <c:numRef>
              <c:f>'5mps'!$W$2:$W$44</c:f>
              <c:numCache>
                <c:formatCode>General</c:formatCode>
                <c:ptCount val="43"/>
                <c:pt idx="0">
                  <c:v>626.75455863314141</c:v>
                </c:pt>
                <c:pt idx="1">
                  <c:v>628.83598082940659</c:v>
                </c:pt>
                <c:pt idx="2">
                  <c:v>624.65467886329895</c:v>
                </c:pt>
                <c:pt idx="3">
                  <c:v>623.59250199682742</c:v>
                </c:pt>
                <c:pt idx="4">
                  <c:v>625.20344719785976</c:v>
                </c:pt>
                <c:pt idx="5">
                  <c:v>623.34308538955395</c:v>
                </c:pt>
                <c:pt idx="6">
                  <c:v>623.18550239991259</c:v>
                </c:pt>
                <c:pt idx="7">
                  <c:v>622.9949549318859</c:v>
                </c:pt>
                <c:pt idx="8">
                  <c:v>625.52041938928619</c:v>
                </c:pt>
                <c:pt idx="9">
                  <c:v>625.21333330899915</c:v>
                </c:pt>
                <c:pt idx="10">
                  <c:v>629.59725848674793</c:v>
                </c:pt>
                <c:pt idx="11">
                  <c:v>626.51267436928026</c:v>
                </c:pt>
                <c:pt idx="12">
                  <c:v>624.75044800356056</c:v>
                </c:pt>
                <c:pt idx="13">
                  <c:v>630.54771249430473</c:v>
                </c:pt>
                <c:pt idx="14">
                  <c:v>630.72167689168839</c:v>
                </c:pt>
                <c:pt idx="15">
                  <c:v>632.77851633185492</c:v>
                </c:pt>
                <c:pt idx="16">
                  <c:v>630.72338402982427</c:v>
                </c:pt>
                <c:pt idx="17">
                  <c:v>629.90690848559291</c:v>
                </c:pt>
                <c:pt idx="18">
                  <c:v>631.73480097159222</c:v>
                </c:pt>
                <c:pt idx="19">
                  <c:v>628.68114746597576</c:v>
                </c:pt>
                <c:pt idx="20">
                  <c:v>632.85696964624879</c:v>
                </c:pt>
                <c:pt idx="21">
                  <c:v>633.33946889994706</c:v>
                </c:pt>
                <c:pt idx="22">
                  <c:v>634.4118424802632</c:v>
                </c:pt>
                <c:pt idx="23">
                  <c:v>633.67628081853172</c:v>
                </c:pt>
                <c:pt idx="24">
                  <c:v>636.17785114415165</c:v>
                </c:pt>
                <c:pt idx="25">
                  <c:v>634.45367998207314</c:v>
                </c:pt>
                <c:pt idx="26">
                  <c:v>637.8567535080017</c:v>
                </c:pt>
                <c:pt idx="27">
                  <c:v>631.33860890389781</c:v>
                </c:pt>
                <c:pt idx="28">
                  <c:v>633.93642467459972</c:v>
                </c:pt>
                <c:pt idx="29">
                  <c:v>637.11376207646572</c:v>
                </c:pt>
                <c:pt idx="30">
                  <c:v>637.02074408219028</c:v>
                </c:pt>
                <c:pt idx="31">
                  <c:v>636.77339500271546</c:v>
                </c:pt>
                <c:pt idx="32">
                  <c:v>639.13405678684296</c:v>
                </c:pt>
                <c:pt idx="33">
                  <c:v>636.13420672767836</c:v>
                </c:pt>
                <c:pt idx="34">
                  <c:v>638.87055053256779</c:v>
                </c:pt>
                <c:pt idx="35">
                  <c:v>634.15780865232091</c:v>
                </c:pt>
                <c:pt idx="36">
                  <c:v>634.47321995522896</c:v>
                </c:pt>
                <c:pt idx="37">
                  <c:v>637.97950510043222</c:v>
                </c:pt>
                <c:pt idx="38">
                  <c:v>638.68166604582143</c:v>
                </c:pt>
                <c:pt idx="39">
                  <c:v>639.5598948931588</c:v>
                </c:pt>
                <c:pt idx="40">
                  <c:v>638.64860707928221</c:v>
                </c:pt>
                <c:pt idx="41">
                  <c:v>635.22196010937387</c:v>
                </c:pt>
                <c:pt idx="42">
                  <c:v>634.98068871882197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38-0F4A-B37C-D50DDD457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031696"/>
        <c:axId val="1824431040"/>
      </c:scatterChart>
      <c:valAx>
        <c:axId val="182403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h:mm:ss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431040"/>
        <c:crosses val="autoZero"/>
        <c:crossBetween val="midCat"/>
      </c:valAx>
      <c:valAx>
        <c:axId val="182443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3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vs Time, Front_15gps_6mps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'6mps'!$W$1</c:f>
              <c:strCache>
                <c:ptCount val="1"/>
                <c:pt idx="0">
                  <c:v>Q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'6mps'!$A$2:$A$44</c:f>
              <c:numCache>
                <c:formatCode>m/d/yyyy\ hh:mm:ss.000</c:formatCode>
                <c:ptCount val="43"/>
                <c:pt idx="0">
                  <c:v>46066.679236111115</c:v>
                </c:pt>
                <c:pt idx="1">
                  <c:v>46066.679351851853</c:v>
                </c:pt>
                <c:pt idx="2">
                  <c:v>46066.679467592592</c:v>
                </c:pt>
                <c:pt idx="3">
                  <c:v>46066.679583333331</c:v>
                </c:pt>
                <c:pt idx="4">
                  <c:v>46066.679699074077</c:v>
                </c:pt>
                <c:pt idx="5">
                  <c:v>46066.679814814815</c:v>
                </c:pt>
                <c:pt idx="6">
                  <c:v>46066.679930555554</c:v>
                </c:pt>
                <c:pt idx="7">
                  <c:v>46066.680046296293</c:v>
                </c:pt>
                <c:pt idx="8">
                  <c:v>46066.680162037039</c:v>
                </c:pt>
                <c:pt idx="9">
                  <c:v>46066.680277777778</c:v>
                </c:pt>
                <c:pt idx="10">
                  <c:v>46066.680393518516</c:v>
                </c:pt>
                <c:pt idx="11">
                  <c:v>46066.680509259262</c:v>
                </c:pt>
                <c:pt idx="12">
                  <c:v>46066.680625000001</c:v>
                </c:pt>
                <c:pt idx="13">
                  <c:v>46066.68074074074</c:v>
                </c:pt>
                <c:pt idx="14">
                  <c:v>46066.680856481478</c:v>
                </c:pt>
                <c:pt idx="15">
                  <c:v>46066.680972222224</c:v>
                </c:pt>
                <c:pt idx="16">
                  <c:v>46066.681087962963</c:v>
                </c:pt>
                <c:pt idx="17">
                  <c:v>46066.681203703702</c:v>
                </c:pt>
                <c:pt idx="18">
                  <c:v>46066.681319444448</c:v>
                </c:pt>
                <c:pt idx="19">
                  <c:v>46066.681435185186</c:v>
                </c:pt>
                <c:pt idx="20">
                  <c:v>46066.681550925925</c:v>
                </c:pt>
                <c:pt idx="21">
                  <c:v>46066.681666666664</c:v>
                </c:pt>
                <c:pt idx="22">
                  <c:v>46066.68178240741</c:v>
                </c:pt>
              </c:numCache>
            </c:numRef>
          </c:xVal>
          <c:yVal>
            <c:numRef>
              <c:f>'6mps'!$W$2:$W$44</c:f>
              <c:numCache>
                <c:formatCode>General</c:formatCode>
                <c:ptCount val="43"/>
                <c:pt idx="0">
                  <c:v>667.95939997085532</c:v>
                </c:pt>
                <c:pt idx="1">
                  <c:v>669.88452357974757</c:v>
                </c:pt>
                <c:pt idx="2">
                  <c:v>665.11922177949339</c:v>
                </c:pt>
                <c:pt idx="3">
                  <c:v>670.60343221695814</c:v>
                </c:pt>
                <c:pt idx="4">
                  <c:v>665.24014701944748</c:v>
                </c:pt>
                <c:pt idx="5">
                  <c:v>665.8142465002262</c:v>
                </c:pt>
                <c:pt idx="6">
                  <c:v>667.83879677920902</c:v>
                </c:pt>
                <c:pt idx="7">
                  <c:v>669.14182350975295</c:v>
                </c:pt>
                <c:pt idx="8">
                  <c:v>668.99219943997832</c:v>
                </c:pt>
                <c:pt idx="9">
                  <c:v>673.03183810976486</c:v>
                </c:pt>
                <c:pt idx="10">
                  <c:v>672.42484683324653</c:v>
                </c:pt>
                <c:pt idx="11">
                  <c:v>670.50467180854548</c:v>
                </c:pt>
                <c:pt idx="12">
                  <c:v>667.21601692385241</c:v>
                </c:pt>
                <c:pt idx="13">
                  <c:v>664.29299147308552</c:v>
                </c:pt>
                <c:pt idx="14">
                  <c:v>666.92358672094838</c:v>
                </c:pt>
                <c:pt idx="15">
                  <c:v>666.81912863736875</c:v>
                </c:pt>
                <c:pt idx="16">
                  <c:v>665.83222458219564</c:v>
                </c:pt>
                <c:pt idx="17">
                  <c:v>667.95826380095161</c:v>
                </c:pt>
                <c:pt idx="18">
                  <c:v>666.65779488942769</c:v>
                </c:pt>
                <c:pt idx="19">
                  <c:v>664.91200341062472</c:v>
                </c:pt>
                <c:pt idx="20">
                  <c:v>666.54954558347015</c:v>
                </c:pt>
                <c:pt idx="21">
                  <c:v>666.48749412154461</c:v>
                </c:pt>
                <c:pt idx="22">
                  <c:v>666.36936806742699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55-1C4C-B03E-DAAB24640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031696"/>
        <c:axId val="1824431040"/>
      </c:scatterChart>
      <c:valAx>
        <c:axId val="182403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h:mm:ss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431040"/>
        <c:crosses val="autoZero"/>
        <c:crossBetween val="midCat"/>
      </c:valAx>
      <c:valAx>
        <c:axId val="182443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3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Q vs Time, Front_15gps_7mps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'7mps'!$W$1</c:f>
              <c:strCache>
                <c:ptCount val="1"/>
                <c:pt idx="0">
                  <c:v>Q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'7mps'!$A$2:$A$44</c:f>
              <c:numCache>
                <c:formatCode>m/d/yyyy\ hh:mm:ss.000</c:formatCode>
                <c:ptCount val="43"/>
                <c:pt idx="0">
                  <c:v>46066.674699074072</c:v>
                </c:pt>
                <c:pt idx="1">
                  <c:v>46066.674814814818</c:v>
                </c:pt>
                <c:pt idx="2">
                  <c:v>46066.674930555557</c:v>
                </c:pt>
                <c:pt idx="3">
                  <c:v>46066.675046296295</c:v>
                </c:pt>
                <c:pt idx="4">
                  <c:v>46066.675162037034</c:v>
                </c:pt>
                <c:pt idx="5">
                  <c:v>46066.67527777778</c:v>
                </c:pt>
                <c:pt idx="6">
                  <c:v>46066.675393518519</c:v>
                </c:pt>
                <c:pt idx="7">
                  <c:v>46066.675509259258</c:v>
                </c:pt>
                <c:pt idx="8">
                  <c:v>46066.675625000003</c:v>
                </c:pt>
                <c:pt idx="9">
                  <c:v>46066.675740740742</c:v>
                </c:pt>
                <c:pt idx="10">
                  <c:v>46066.675856481481</c:v>
                </c:pt>
                <c:pt idx="11">
                  <c:v>46066.67597222222</c:v>
                </c:pt>
                <c:pt idx="12">
                  <c:v>46066.676087962966</c:v>
                </c:pt>
                <c:pt idx="13">
                  <c:v>46066.676203703704</c:v>
                </c:pt>
                <c:pt idx="14">
                  <c:v>46066.676319444443</c:v>
                </c:pt>
                <c:pt idx="15">
                  <c:v>46066.676435185182</c:v>
                </c:pt>
                <c:pt idx="16">
                  <c:v>46066.676550925928</c:v>
                </c:pt>
                <c:pt idx="17">
                  <c:v>46066.676666666666</c:v>
                </c:pt>
                <c:pt idx="18">
                  <c:v>46066.676782407405</c:v>
                </c:pt>
                <c:pt idx="19">
                  <c:v>46066.676898148151</c:v>
                </c:pt>
              </c:numCache>
            </c:numRef>
          </c:xVal>
          <c:yVal>
            <c:numRef>
              <c:f>'7mps'!$W$2:$W$44</c:f>
              <c:numCache>
                <c:formatCode>General</c:formatCode>
                <c:ptCount val="43"/>
                <c:pt idx="0">
                  <c:v>693.75112702841579</c:v>
                </c:pt>
                <c:pt idx="1">
                  <c:v>694.46831687080703</c:v>
                </c:pt>
                <c:pt idx="2">
                  <c:v>694.21842736715826</c:v>
                </c:pt>
                <c:pt idx="3">
                  <c:v>697.62381095478099</c:v>
                </c:pt>
                <c:pt idx="4">
                  <c:v>697.38675599832015</c:v>
                </c:pt>
                <c:pt idx="5">
                  <c:v>697.57370817453273</c:v>
                </c:pt>
                <c:pt idx="6">
                  <c:v>702.09044346770997</c:v>
                </c:pt>
                <c:pt idx="7">
                  <c:v>701.0119638098123</c:v>
                </c:pt>
                <c:pt idx="8">
                  <c:v>699.61118222110906</c:v>
                </c:pt>
                <c:pt idx="9">
                  <c:v>702.66798100200128</c:v>
                </c:pt>
                <c:pt idx="10">
                  <c:v>701.31702168453785</c:v>
                </c:pt>
                <c:pt idx="11">
                  <c:v>701.74416016612759</c:v>
                </c:pt>
                <c:pt idx="12">
                  <c:v>701.93123243541675</c:v>
                </c:pt>
                <c:pt idx="13">
                  <c:v>699.03713099486674</c:v>
                </c:pt>
                <c:pt idx="14">
                  <c:v>699.95560216725187</c:v>
                </c:pt>
                <c:pt idx="15">
                  <c:v>701.82277087723105</c:v>
                </c:pt>
                <c:pt idx="16">
                  <c:v>702.42435964314268</c:v>
                </c:pt>
                <c:pt idx="17">
                  <c:v>699.34428496359521</c:v>
                </c:pt>
                <c:pt idx="18">
                  <c:v>700.95131756444982</c:v>
                </c:pt>
                <c:pt idx="19">
                  <c:v>695.86985785648494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61-214C-BCBB-A8F0CDCEA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031696"/>
        <c:axId val="1824431040"/>
      </c:scatterChart>
      <c:valAx>
        <c:axId val="182403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h:mm:ss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431040"/>
        <c:crosses val="autoZero"/>
        <c:crossBetween val="midCat"/>
      </c:valAx>
      <c:valAx>
        <c:axId val="182443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3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368300</xdr:colOff>
      <xdr:row>22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B2FD1-3F22-2A4A-8ABE-A124FD030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19</xdr:col>
      <xdr:colOff>406400</xdr:colOff>
      <xdr:row>22</xdr:row>
      <xdr:rowOff>38100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3DD69A4-4681-6C41-A7D4-7E776C663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9</xdr:col>
      <xdr:colOff>355600</xdr:colOff>
      <xdr:row>44</xdr:row>
      <xdr:rowOff>63500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1406D391-814E-9D4C-8DFF-CAF803824F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806450</xdr:colOff>
      <xdr:row>23</xdr:row>
      <xdr:rowOff>6350</xdr:rowOff>
    </xdr:from>
    <xdr:to>
      <xdr:col>19</xdr:col>
      <xdr:colOff>431800</xdr:colOff>
      <xdr:row>44</xdr:row>
      <xdr:rowOff>38100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2D26E8D0-97D9-BD5E-6060-9DD4C9471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</xdr:rowOff>
    </xdr:from>
    <xdr:to>
      <xdr:col>9</xdr:col>
      <xdr:colOff>457200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7759A9-39C2-25F9-0801-6ACF2D988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730250</xdr:colOff>
      <xdr:row>0</xdr:row>
      <xdr:rowOff>0</xdr:rowOff>
    </xdr:from>
    <xdr:to>
      <xdr:col>19</xdr:col>
      <xdr:colOff>304800</xdr:colOff>
      <xdr:row>21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ECEDBED-3371-501C-C931-50F65D000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158750</xdr:rowOff>
    </xdr:from>
    <xdr:to>
      <xdr:col>9</xdr:col>
      <xdr:colOff>609600</xdr:colOff>
      <xdr:row>44</xdr:row>
      <xdr:rowOff>25400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5236F61-7746-2B8D-F5F4-CFE060ECF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2463-65CE-6F45-9590-627AE751323C}">
  <dimension ref="A1:B8"/>
  <sheetViews>
    <sheetView tabSelected="1" workbookViewId="0">
      <selection activeCell="I26" sqref="I26"/>
    </sheetView>
  </sheetViews>
  <sheetFormatPr baseColWidth="10" defaultRowHeight="16" x14ac:dyDescent="0.2"/>
  <cols>
    <col min="1" max="1" width="20.6640625" customWidth="1"/>
    <col min="2" max="2" width="18.6640625" customWidth="1"/>
  </cols>
  <sheetData>
    <row r="1" spans="1:2" x14ac:dyDescent="0.2">
      <c r="A1" s="10" t="s">
        <v>24</v>
      </c>
      <c r="B1" s="10" t="s">
        <v>25</v>
      </c>
    </row>
    <row r="2" spans="1:2" x14ac:dyDescent="0.2">
      <c r="A2">
        <v>1</v>
      </c>
      <c r="B2">
        <v>181.07613000000001</v>
      </c>
    </row>
    <row r="3" spans="1:2" x14ac:dyDescent="0.2">
      <c r="A3">
        <v>2</v>
      </c>
      <c r="B3">
        <v>368.55276308563862</v>
      </c>
    </row>
    <row r="4" spans="1:2" x14ac:dyDescent="0.2">
      <c r="A4">
        <v>3</v>
      </c>
      <c r="B4">
        <v>486.45811977828981</v>
      </c>
    </row>
    <row r="5" spans="1:2" x14ac:dyDescent="0.2">
      <c r="A5">
        <v>4</v>
      </c>
      <c r="B5">
        <v>567.64248231556371</v>
      </c>
    </row>
    <row r="6" spans="1:2" x14ac:dyDescent="0.2">
      <c r="A6">
        <v>5</v>
      </c>
      <c r="B6">
        <v>636.58128546172941</v>
      </c>
    </row>
    <row r="7" spans="1:2" x14ac:dyDescent="0.2">
      <c r="A7">
        <v>6</v>
      </c>
      <c r="B7">
        <v>667.56998392588946</v>
      </c>
    </row>
    <row r="8" spans="1:2" x14ac:dyDescent="0.2">
      <c r="A8">
        <v>7</v>
      </c>
      <c r="B8">
        <v>700.59145118354058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58F5-279B-9C48-9081-088424B1E90B}">
  <dimension ref="A1"/>
  <sheetViews>
    <sheetView topLeftCell="A12" workbookViewId="0">
      <selection activeCell="K47" sqref="K4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E9E5-8173-AA4C-AE23-31EDA14EF969}">
  <dimension ref="A1"/>
  <sheetViews>
    <sheetView workbookViewId="0">
      <selection activeCell="K34" sqref="K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F158-AFE3-9347-912F-D3B32C04C09D}">
  <dimension ref="A1:AA36"/>
  <sheetViews>
    <sheetView topLeftCell="K1" zoomScale="109" workbookViewId="0">
      <selection activeCell="AA14" sqref="AA14"/>
    </sheetView>
  </sheetViews>
  <sheetFormatPr baseColWidth="10" defaultRowHeight="16" x14ac:dyDescent="0.2"/>
  <cols>
    <col min="1" max="1" width="22.5" customWidth="1"/>
    <col min="16" max="16" width="7.1640625" customWidth="1"/>
    <col min="17" max="17" width="12.5" customWidth="1"/>
    <col min="26" max="26" width="23.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Y1" t="s">
        <v>22</v>
      </c>
      <c r="Z1" s="1">
        <v>46066.710416666669</v>
      </c>
    </row>
    <row r="2" spans="1:27" x14ac:dyDescent="0.2">
      <c r="A2" s="1">
        <v>46066.707754629628</v>
      </c>
      <c r="B2" s="2">
        <v>18.977177000000001</v>
      </c>
      <c r="C2" s="2">
        <v>17.960235000000001</v>
      </c>
      <c r="D2" s="2">
        <v>17.352634999999999</v>
      </c>
      <c r="E2" s="2">
        <v>17.509307</v>
      </c>
      <c r="F2" s="2">
        <v>39.216031999999998</v>
      </c>
      <c r="G2" s="2">
        <v>35.186858999999998</v>
      </c>
      <c r="H2" s="2">
        <v>25.694414999999999</v>
      </c>
      <c r="I2" s="2">
        <v>25.840046000000001</v>
      </c>
      <c r="J2" s="2">
        <v>55.950372999999999</v>
      </c>
      <c r="K2" s="2">
        <v>52.833312999999997</v>
      </c>
      <c r="L2" s="2">
        <v>14.923185999999999</v>
      </c>
      <c r="M2" s="2">
        <v>-622.49632699999995</v>
      </c>
      <c r="N2" s="2">
        <v>0.92519200000000001</v>
      </c>
      <c r="O2" s="2">
        <v>1.110339</v>
      </c>
      <c r="P2" s="2"/>
      <c r="Q2">
        <f xml:space="preserve"> N2*0.001/60</f>
        <v>1.5419866666666668E-5</v>
      </c>
      <c r="R2" cm="1">
        <f t="array" ref="R2">[1]!PropsSI("D","T",J2+273.15,"P",101325,"Water")</f>
        <v>985.23012787845312</v>
      </c>
      <c r="S2" cm="1">
        <f t="array" ref="S2">[1]!PropsSI("D","T",J2+273.15,"P",101325,"Water")</f>
        <v>985.23012787845312</v>
      </c>
      <c r="T2">
        <f>(R2+S2)/2</f>
        <v>985.23012787845312</v>
      </c>
      <c r="U2" cm="1">
        <f t="array" ref="U2">[1]!PropsSI("H","T",J2+273.15,"P",101325,"Water")</f>
        <v>234304.60939189736</v>
      </c>
      <c r="V2" cm="1">
        <f t="array" ref="V2">[1]!PropsSI("H","T",K2+273.15,"P",101325,"Water")</f>
        <v>221266.74059398501</v>
      </c>
      <c r="W2">
        <f>T2*Q2*(U2-V2)</f>
        <v>198.07283091869857</v>
      </c>
      <c r="Y2">
        <f>IF(A2&gt;=TIME(17,3,0),1,0)</f>
        <v>1</v>
      </c>
    </row>
    <row r="3" spans="1:27" x14ac:dyDescent="0.2">
      <c r="A3" s="1">
        <v>46066.707870370374</v>
      </c>
      <c r="B3" s="2">
        <v>18.799457</v>
      </c>
      <c r="C3" s="2">
        <v>18.301159999999999</v>
      </c>
      <c r="D3" s="2">
        <v>17.520273</v>
      </c>
      <c r="E3" s="2">
        <v>17.876377999999999</v>
      </c>
      <c r="F3" s="2">
        <v>38.421689000000001</v>
      </c>
      <c r="G3" s="2">
        <v>31.892484</v>
      </c>
      <c r="H3" s="2">
        <v>23.760636999999999</v>
      </c>
      <c r="I3" s="2">
        <v>27.868715000000002</v>
      </c>
      <c r="J3" s="2">
        <v>55.954510999999997</v>
      </c>
      <c r="K3" s="2">
        <v>52.851281999999998</v>
      </c>
      <c r="L3" s="2">
        <v>12.561672</v>
      </c>
      <c r="M3" s="2">
        <v>-622.48408199999994</v>
      </c>
      <c r="N3" s="2">
        <v>0.93112099999999998</v>
      </c>
      <c r="O3" s="2">
        <v>1.01902</v>
      </c>
      <c r="P3" s="2"/>
      <c r="Q3">
        <f xml:space="preserve"> N3*0.001/60</f>
        <v>1.5518683333333334E-5</v>
      </c>
      <c r="R3" cm="1">
        <f t="array" ref="R3">[1]!PropsSI("D","T",J3+273.15,"P",101325,"Water")</f>
        <v>985.22809993893372</v>
      </c>
      <c r="S3" cm="1">
        <f t="array" ref="S3">[1]!PropsSI("D","T",J3+273.15,"P",101325,"Water")</f>
        <v>985.22809993893372</v>
      </c>
      <c r="T3">
        <f>(R3+S3)/2</f>
        <v>985.22809993893372</v>
      </c>
      <c r="U3" cm="1">
        <f t="array" ref="U3">[1]!PropsSI("H","T",J3+273.15,"P",101325,"Water")</f>
        <v>234321.91992015528</v>
      </c>
      <c r="V3" cm="1">
        <f t="array" ref="V3">[1]!PropsSI("H","T",K3+273.15,"P",101325,"Water")</f>
        <v>221341.89075606328</v>
      </c>
      <c r="W3">
        <f t="shared" ref="W3:W36" si="0">T3*Q3*(U3-V3)</f>
        <v>198.45741466754018</v>
      </c>
      <c r="Y3">
        <f>IF(A2&gt;=$Z$1,1,0)</f>
        <v>0</v>
      </c>
    </row>
    <row r="4" spans="1:27" x14ac:dyDescent="0.2">
      <c r="A4" s="1">
        <v>46066.707986111112</v>
      </c>
      <c r="B4" s="2">
        <v>18.773911999999999</v>
      </c>
      <c r="C4" s="2">
        <v>18.100532999999999</v>
      </c>
      <c r="D4" s="2">
        <v>17.633949999999999</v>
      </c>
      <c r="E4" s="2">
        <v>17.981024000000001</v>
      </c>
      <c r="F4" s="2">
        <v>38.746744999999997</v>
      </c>
      <c r="G4" s="2">
        <v>31.269224999999999</v>
      </c>
      <c r="H4" s="2">
        <v>24.046181000000001</v>
      </c>
      <c r="I4" s="2">
        <v>27.909700999999998</v>
      </c>
      <c r="J4" s="2">
        <v>55.962628000000002</v>
      </c>
      <c r="K4" s="2">
        <v>52.873384999999999</v>
      </c>
      <c r="L4" s="2">
        <v>14.269341000000001</v>
      </c>
      <c r="M4" s="2">
        <v>-622.49469399999998</v>
      </c>
      <c r="N4" s="2">
        <v>0.925319</v>
      </c>
      <c r="O4" s="2">
        <v>1.747128</v>
      </c>
      <c r="P4" s="2"/>
      <c r="Q4" s="5">
        <f xml:space="preserve"> N4*0.001/60</f>
        <v>1.5421983333333332E-5</v>
      </c>
      <c r="R4" cm="1">
        <f t="array" ref="R4">[1]!PropsSI("D","T",J4+273.15,"P",101325,"Water")</f>
        <v>985.22412167648508</v>
      </c>
      <c r="S4" cm="1">
        <f t="array" ref="S4">[1]!PropsSI("D","T",J4+273.15,"P",101325,"Water")</f>
        <v>985.22412167648508</v>
      </c>
      <c r="T4">
        <f t="shared" ref="T4:T36" si="1">(R4+S4)/2</f>
        <v>985.22412167648508</v>
      </c>
      <c r="U4" cm="1">
        <f t="array" ref="U4">[1]!PropsSI("H","T",J4+273.15,"P",101325,"Water")</f>
        <v>234355.87584942734</v>
      </c>
      <c r="V4" cm="1">
        <f t="array" ref="V4">[1]!PropsSI("H","T",K4+273.15,"P",101325,"Water")</f>
        <v>221434.33032691499</v>
      </c>
      <c r="W4">
        <f t="shared" si="0"/>
        <v>196.33138383351346</v>
      </c>
      <c r="Y4">
        <f t="shared" ref="Y4:Y36" si="2">IF(A3&gt;=$Z$1,1,0)</f>
        <v>0</v>
      </c>
    </row>
    <row r="5" spans="1:27" x14ac:dyDescent="0.2">
      <c r="A5" s="1">
        <v>46066.708101851851</v>
      </c>
      <c r="B5" s="2">
        <v>18.665286999999999</v>
      </c>
      <c r="C5" s="2">
        <v>18.566402</v>
      </c>
      <c r="D5" s="2">
        <v>17.703202999999998</v>
      </c>
      <c r="E5" s="2">
        <v>18.037656999999999</v>
      </c>
      <c r="F5" s="2">
        <v>37.865906000000003</v>
      </c>
      <c r="G5" s="2">
        <v>30.502624000000001</v>
      </c>
      <c r="H5" s="2">
        <v>24.04711</v>
      </c>
      <c r="I5" s="2">
        <v>26.761609</v>
      </c>
      <c r="J5" s="2">
        <v>55.972177000000002</v>
      </c>
      <c r="K5" s="2">
        <v>52.910437000000002</v>
      </c>
      <c r="L5" s="2">
        <v>14.603202</v>
      </c>
      <c r="M5" s="2">
        <v>-622.493878</v>
      </c>
      <c r="N5" s="2">
        <v>0.93260500000000002</v>
      </c>
      <c r="O5" s="2">
        <v>1.2348239999999999</v>
      </c>
      <c r="P5" s="2"/>
      <c r="Q5" s="5">
        <f xml:space="preserve"> N5*0.001/60</f>
        <v>1.5543416666666668E-5</v>
      </c>
      <c r="R5" cm="1">
        <f t="array" ref="R5">[1]!PropsSI("D","T",J5+273.15,"P",101325,"Water")</f>
        <v>985.21944105110038</v>
      </c>
      <c r="S5" cm="1">
        <f t="array" ref="S5">[1]!PropsSI("D","T",J5+273.15,"P",101325,"Water")</f>
        <v>985.21944105110038</v>
      </c>
      <c r="T5">
        <f t="shared" si="1"/>
        <v>985.21944105110038</v>
      </c>
      <c r="U5" cm="1">
        <f t="array" ref="U5">[1]!PropsSI("H","T",J5+273.15,"P",101325,"Water")</f>
        <v>234395.82231073541</v>
      </c>
      <c r="V5" cm="1">
        <f t="array" ref="V5">[1]!PropsSI("H","T",K5+273.15,"P",101325,"Water")</f>
        <v>221589.29023950532</v>
      </c>
      <c r="W5">
        <f t="shared" si="0"/>
        <v>196.11508641283629</v>
      </c>
      <c r="Y5">
        <f t="shared" si="2"/>
        <v>0</v>
      </c>
    </row>
    <row r="6" spans="1:27" x14ac:dyDescent="0.2">
      <c r="A6" s="1">
        <v>46066.70821759259</v>
      </c>
      <c r="B6" s="2">
        <v>18.637602000000001</v>
      </c>
      <c r="C6" s="2">
        <v>18.832014000000001</v>
      </c>
      <c r="D6" s="2">
        <v>17.887257000000002</v>
      </c>
      <c r="E6" s="2">
        <v>18.175397</v>
      </c>
      <c r="F6" s="2">
        <v>38.604405</v>
      </c>
      <c r="G6" s="2">
        <v>32.054451</v>
      </c>
      <c r="H6" s="2">
        <v>24.025034000000002</v>
      </c>
      <c r="I6" s="2">
        <v>25.713968000000001</v>
      </c>
      <c r="J6" s="2">
        <v>55.980612000000001</v>
      </c>
      <c r="K6" s="2">
        <v>52.934289999999997</v>
      </c>
      <c r="L6" s="2">
        <v>17.456119999999999</v>
      </c>
      <c r="M6" s="2">
        <v>-622.50653</v>
      </c>
      <c r="N6" s="2">
        <v>0.92763399999999996</v>
      </c>
      <c r="O6" s="2">
        <v>1.714278</v>
      </c>
      <c r="P6" s="2"/>
      <c r="Q6" s="5">
        <f xml:space="preserve"> N6*0.001/60</f>
        <v>1.5460566666666666E-5</v>
      </c>
      <c r="R6" cm="1">
        <f t="array" ref="R6">[1]!PropsSI("D","T",J6+273.15,"P",101325,"Water")</f>
        <v>985.21530600805283</v>
      </c>
      <c r="S6" cm="1">
        <f t="array" ref="S6">[1]!PropsSI("D","T",J6+273.15,"P",101325,"Water")</f>
        <v>985.21530600805283</v>
      </c>
      <c r="T6">
        <f t="shared" si="1"/>
        <v>985.21530600805283</v>
      </c>
      <c r="U6" cm="1">
        <f t="array" ref="U6">[1]!PropsSI("H","T",J6+273.15,"P",101325,"Water")</f>
        <v>234431.10858924451</v>
      </c>
      <c r="V6" cm="1">
        <f t="array" ref="V6">[1]!PropsSI("H","T",K6+273.15,"P",101325,"Water")</f>
        <v>221689.04916377709</v>
      </c>
      <c r="W6">
        <f t="shared" si="0"/>
        <v>194.08688249694922</v>
      </c>
      <c r="Y6">
        <f t="shared" si="2"/>
        <v>0</v>
      </c>
    </row>
    <row r="7" spans="1:27" x14ac:dyDescent="0.2">
      <c r="A7" s="1">
        <v>46066.708333333336</v>
      </c>
      <c r="B7" s="2">
        <v>18.669955999999999</v>
      </c>
      <c r="C7" s="2">
        <v>18.849727999999999</v>
      </c>
      <c r="D7" s="2">
        <v>17.92841</v>
      </c>
      <c r="E7" s="2">
        <v>18.294384000000001</v>
      </c>
      <c r="F7" s="2">
        <v>37.559747999999999</v>
      </c>
      <c r="G7" s="2">
        <v>33.365493999999998</v>
      </c>
      <c r="H7" s="2">
        <v>24.249745000000001</v>
      </c>
      <c r="I7" s="2">
        <v>26.968561999999999</v>
      </c>
      <c r="J7" s="2">
        <v>55.986024</v>
      </c>
      <c r="K7" s="2">
        <v>52.958143999999997</v>
      </c>
      <c r="L7" s="2">
        <v>15.303167</v>
      </c>
      <c r="M7" s="2">
        <v>-622.51306099999999</v>
      </c>
      <c r="N7" s="2">
        <v>0.930863</v>
      </c>
      <c r="O7" s="2">
        <v>0.96729900000000002</v>
      </c>
      <c r="P7" s="2"/>
      <c r="Q7" s="5">
        <f xml:space="preserve"> N7*0.001/60</f>
        <v>1.5514383333333332E-5</v>
      </c>
      <c r="R7" cm="1">
        <f t="array" ref="R7">[1]!PropsSI("D","T",J7+273.15,"P",101325,"Water")</f>
        <v>985.21265268317802</v>
      </c>
      <c r="S7" cm="1">
        <f t="array" ref="S7">[1]!PropsSI("D","T",J7+273.15,"P",101325,"Water")</f>
        <v>985.21265268317802</v>
      </c>
      <c r="T7">
        <f t="shared" si="1"/>
        <v>985.21265268317802</v>
      </c>
      <c r="U7" cm="1">
        <f t="array" ref="U7">[1]!PropsSI("H","T",J7+273.15,"P",101325,"Water")</f>
        <v>234453.74871470826</v>
      </c>
      <c r="V7" cm="1">
        <f t="array" ref="V7">[1]!PropsSI("H","T",K7+273.15,"P",101325,"Water")</f>
        <v>221788.8124580381</v>
      </c>
      <c r="W7">
        <f t="shared" si="0"/>
        <v>193.58312968270025</v>
      </c>
      <c r="Y7">
        <f t="shared" si="2"/>
        <v>0</v>
      </c>
    </row>
    <row r="8" spans="1:27" x14ac:dyDescent="0.2">
      <c r="A8" s="1">
        <v>46066.708449074074</v>
      </c>
      <c r="B8" s="2">
        <v>18.754536999999999</v>
      </c>
      <c r="C8" s="2">
        <v>18.943954999999999</v>
      </c>
      <c r="D8" s="2">
        <v>18.095327999999999</v>
      </c>
      <c r="E8" s="2">
        <v>18.395226000000001</v>
      </c>
      <c r="F8" s="2">
        <v>37.635224999999998</v>
      </c>
      <c r="G8" s="2">
        <v>33.417046999999997</v>
      </c>
      <c r="H8" s="2">
        <v>23.433893000000001</v>
      </c>
      <c r="I8" s="2">
        <v>25.922402999999999</v>
      </c>
      <c r="J8" s="2">
        <v>55.991117000000003</v>
      </c>
      <c r="K8" s="2">
        <v>52.976590000000002</v>
      </c>
      <c r="L8" s="2">
        <v>13.906094</v>
      </c>
      <c r="M8" s="2">
        <v>-622.48979599999996</v>
      </c>
      <c r="N8" s="2">
        <v>0.92930999999999997</v>
      </c>
      <c r="O8" s="2">
        <v>1.470288</v>
      </c>
      <c r="P8" s="2"/>
      <c r="Q8" s="5">
        <f>N8*0.001/60</f>
        <v>1.5488499999999999E-5</v>
      </c>
      <c r="R8" cm="1">
        <f t="array" ref="R8">[1]!PropsSI("D","T",J8+273.15,"P",101325,"Water")</f>
        <v>985.21015558907368</v>
      </c>
      <c r="S8" cm="1">
        <f t="array" ref="S8">[1]!PropsSI("D","T",J8+273.15,"P",101325,"Water")</f>
        <v>985.21015558907368</v>
      </c>
      <c r="T8">
        <f t="shared" si="1"/>
        <v>985.21015558907368</v>
      </c>
      <c r="U8" cm="1">
        <f t="array" ref="U8">[1]!PropsSI("H","T",J8+273.15,"P",101325,"Water")</f>
        <v>234475.05437133202</v>
      </c>
      <c r="V8" cm="1">
        <f t="array" ref="V8">[1]!PropsSI("H","T",K8+273.15,"P",101325,"Water")</f>
        <v>221865.95829520302</v>
      </c>
      <c r="W8">
        <f t="shared" si="0"/>
        <v>192.40758734917932</v>
      </c>
      <c r="Y8">
        <f t="shared" si="2"/>
        <v>0</v>
      </c>
    </row>
    <row r="9" spans="1:27" x14ac:dyDescent="0.2">
      <c r="A9" s="1">
        <v>46066.708564814813</v>
      </c>
      <c r="B9" s="2">
        <v>18.935347</v>
      </c>
      <c r="C9" s="2">
        <v>19.032698</v>
      </c>
      <c r="D9" s="2">
        <v>18.220282000000001</v>
      </c>
      <c r="E9" s="2">
        <v>18.492885999999999</v>
      </c>
      <c r="F9" s="2">
        <v>37.343162999999997</v>
      </c>
      <c r="G9" s="2">
        <v>31.38823</v>
      </c>
      <c r="H9" s="2">
        <v>24.734772</v>
      </c>
      <c r="I9" s="2">
        <v>26.880192999999998</v>
      </c>
      <c r="J9" s="2">
        <v>56.002735000000001</v>
      </c>
      <c r="K9" s="2">
        <v>52.99297</v>
      </c>
      <c r="L9" s="2">
        <v>16.053332999999999</v>
      </c>
      <c r="M9" s="2">
        <v>-622.48000100000002</v>
      </c>
      <c r="N9" s="2">
        <v>0.92974500000000004</v>
      </c>
      <c r="O9" s="2">
        <v>0.96376600000000001</v>
      </c>
      <c r="P9" s="2"/>
      <c r="Q9" s="5">
        <f>N9*0.001/60</f>
        <v>1.5495750000000002E-5</v>
      </c>
      <c r="R9" cm="1">
        <f t="array" ref="R9">[1]!PropsSI("D","T",J9+273.15,"P",101325,"Water")</f>
        <v>985.20445869590731</v>
      </c>
      <c r="S9" cm="1">
        <f t="array" ref="S9">[1]!PropsSI("D","T",J9+273.15,"P",101325,"Water")</f>
        <v>985.20445869590731</v>
      </c>
      <c r="T9">
        <f t="shared" si="1"/>
        <v>985.20445869590731</v>
      </c>
      <c r="U9" cm="1">
        <f t="array" ref="U9">[1]!PropsSI("H","T",J9+273.15,"P",101325,"Water")</f>
        <v>234523.65623760177</v>
      </c>
      <c r="V9" cm="1">
        <f t="array" ref="V9">[1]!PropsSI("H","T",K9+273.15,"P",101325,"Water")</f>
        <v>221934.46369211256</v>
      </c>
      <c r="W9">
        <f t="shared" si="0"/>
        <v>192.1926812748917</v>
      </c>
      <c r="Y9">
        <f t="shared" si="2"/>
        <v>0</v>
      </c>
    </row>
    <row r="10" spans="1:27" x14ac:dyDescent="0.2">
      <c r="A10" s="1">
        <v>46066.708680555559</v>
      </c>
      <c r="B10" s="2">
        <v>19.168348999999999</v>
      </c>
      <c r="C10" s="2">
        <v>19.102509000000001</v>
      </c>
      <c r="D10" s="2">
        <v>18.376374999999999</v>
      </c>
      <c r="E10" s="2">
        <v>18.669651000000002</v>
      </c>
      <c r="F10" s="2">
        <v>37.214308000000003</v>
      </c>
      <c r="G10" s="2">
        <v>30.60548</v>
      </c>
      <c r="H10" s="2">
        <v>23.958196000000001</v>
      </c>
      <c r="I10" s="2">
        <v>26.922903000000002</v>
      </c>
      <c r="J10" s="2">
        <v>56.015467999999998</v>
      </c>
      <c r="K10" s="2">
        <v>53.022548999999998</v>
      </c>
      <c r="L10" s="2">
        <v>17.239805</v>
      </c>
      <c r="M10" s="2">
        <v>-622.50653</v>
      </c>
      <c r="N10" s="2">
        <v>0.93047800000000003</v>
      </c>
      <c r="O10" s="2">
        <v>1.057436</v>
      </c>
      <c r="P10" s="2"/>
      <c r="Q10" s="5">
        <f>N10*0.001/60</f>
        <v>1.5507966666666668E-5</v>
      </c>
      <c r="R10" cm="1">
        <f t="array" ref="R10">[1]!PropsSI("D","T",J10+273.15,"P",101325,"Water")</f>
        <v>985.19821410936459</v>
      </c>
      <c r="S10" cm="1">
        <f t="array" ref="S10">[1]!PropsSI("D","T",J10+273.15,"P",101325,"Water")</f>
        <v>985.19821410936459</v>
      </c>
      <c r="T10">
        <f t="shared" si="1"/>
        <v>985.19821410936459</v>
      </c>
      <c r="U10" cm="1">
        <f t="array" ref="U10">[1]!PropsSI("H","T",J10+273.15,"P",101325,"Water")</f>
        <v>234576.92256930639</v>
      </c>
      <c r="V10" cm="1">
        <f t="array" ref="V10">[1]!PropsSI("H","T",K10+273.15,"P",101325,"Water")</f>
        <v>222058.17094602415</v>
      </c>
      <c r="W10">
        <f t="shared" si="0"/>
        <v>191.26675850199277</v>
      </c>
      <c r="Y10">
        <f t="shared" si="2"/>
        <v>0</v>
      </c>
    </row>
    <row r="11" spans="1:27" x14ac:dyDescent="0.2">
      <c r="A11" s="1">
        <v>46066.708796296298</v>
      </c>
      <c r="B11" s="2">
        <v>19.07901</v>
      </c>
      <c r="C11" s="2">
        <v>19.124683000000001</v>
      </c>
      <c r="D11" s="2">
        <v>18.543189000000002</v>
      </c>
      <c r="E11" s="2">
        <v>18.796778</v>
      </c>
      <c r="F11" s="2">
        <v>38.11692</v>
      </c>
      <c r="G11" s="2">
        <v>35.529874999999997</v>
      </c>
      <c r="H11" s="2">
        <v>26.306526000000002</v>
      </c>
      <c r="I11" s="2">
        <v>25.913046000000001</v>
      </c>
      <c r="J11" s="2">
        <v>56.024540000000002</v>
      </c>
      <c r="K11" s="2">
        <v>53.041473000000003</v>
      </c>
      <c r="L11" s="2">
        <v>12.085369</v>
      </c>
      <c r="M11" s="2">
        <v>-622.474695</v>
      </c>
      <c r="N11" s="2">
        <v>0.93043299999999995</v>
      </c>
      <c r="O11" s="2">
        <v>0.68387600000000004</v>
      </c>
      <c r="P11" s="2"/>
      <c r="Q11" s="5">
        <f>N11*0.001/60</f>
        <v>1.5507216666666666E-5</v>
      </c>
      <c r="R11" cm="1">
        <f t="array" ref="R11">[1]!PropsSI("D","T",J11+273.15,"P",101325,"Water")</f>
        <v>985.19376436259051</v>
      </c>
      <c r="S11" cm="1">
        <f t="array" ref="S11">[1]!PropsSI("D","T",J11+273.15,"P",101325,"Water")</f>
        <v>985.19376436259051</v>
      </c>
      <c r="T11">
        <f t="shared" si="1"/>
        <v>985.19376436259051</v>
      </c>
      <c r="U11" cm="1">
        <f t="array" ref="U11">[1]!PropsSI("H","T",J11+273.15,"P",101325,"Water")</f>
        <v>234614.87376985402</v>
      </c>
      <c r="V11" cm="1">
        <f t="array" ref="V11">[1]!PropsSI("H","T",K11+273.15,"P",101325,"Water")</f>
        <v>222137.31630481701</v>
      </c>
      <c r="W11">
        <f t="shared" si="0"/>
        <v>190.62729616519232</v>
      </c>
      <c r="Y11">
        <f t="shared" si="2"/>
        <v>0</v>
      </c>
      <c r="AA11" t="s">
        <v>23</v>
      </c>
    </row>
    <row r="12" spans="1:27" x14ac:dyDescent="0.2">
      <c r="A12" s="1">
        <v>46066.708912037036</v>
      </c>
      <c r="B12" s="2">
        <v>19.036427</v>
      </c>
      <c r="C12" s="2">
        <v>19.208814</v>
      </c>
      <c r="D12" s="2">
        <v>18.747962000000001</v>
      </c>
      <c r="E12" s="2">
        <v>18.905671000000002</v>
      </c>
      <c r="F12" s="2">
        <v>39.385910000000003</v>
      </c>
      <c r="G12" s="2">
        <v>31.488575999999998</v>
      </c>
      <c r="H12" s="2">
        <v>24.894493000000001</v>
      </c>
      <c r="I12" s="2">
        <v>27.067157000000002</v>
      </c>
      <c r="J12" s="2">
        <v>56.032657</v>
      </c>
      <c r="K12" s="2">
        <v>53.060715000000002</v>
      </c>
      <c r="L12" s="2">
        <v>13.238780999999999</v>
      </c>
      <c r="M12" s="2">
        <v>-622.47143000000005</v>
      </c>
      <c r="N12" s="2">
        <v>0.92994500000000002</v>
      </c>
      <c r="O12" s="2">
        <v>0.89814300000000002</v>
      </c>
      <c r="P12" s="2"/>
      <c r="Q12" s="5">
        <f>N12*0.001/60</f>
        <v>1.5499083333333335E-5</v>
      </c>
      <c r="R12" cm="1">
        <f t="array" ref="R12">[1]!PropsSI("D","T",J12+273.15,"P",101325,"Water")</f>
        <v>985.1897826075392</v>
      </c>
      <c r="S12" cm="1">
        <f t="array" ref="S12">[1]!PropsSI("D","T",J12+273.15,"P",101325,"Water")</f>
        <v>985.1897826075392</v>
      </c>
      <c r="T12">
        <f t="shared" si="1"/>
        <v>985.1897826075392</v>
      </c>
      <c r="U12" cm="1">
        <f t="array" ref="U12">[1]!PropsSI("H","T",J12+273.15,"P",101325,"Water")</f>
        <v>234648.82991332284</v>
      </c>
      <c r="V12" cm="1">
        <f t="array" ref="V12">[1]!PropsSI("H","T",K12+273.15,"P",101325,"Water")</f>
        <v>222217.79174867936</v>
      </c>
      <c r="W12">
        <f t="shared" si="0"/>
        <v>189.81621634453455</v>
      </c>
      <c r="Y12">
        <f t="shared" si="2"/>
        <v>0</v>
      </c>
      <c r="AA12">
        <f>AVERAGEIF(Y2:Y36,1,W2:W36)</f>
        <v>182.49251995486861</v>
      </c>
    </row>
    <row r="13" spans="1:27" x14ac:dyDescent="0.2">
      <c r="A13" s="1">
        <v>46066.709027777775</v>
      </c>
      <c r="B13" s="2">
        <v>19.129017999999999</v>
      </c>
      <c r="C13" s="2">
        <v>19.267610999999999</v>
      </c>
      <c r="D13" s="2">
        <v>18.901244999999999</v>
      </c>
      <c r="E13" s="2">
        <v>19.045511999999999</v>
      </c>
      <c r="F13" s="2">
        <v>38.311132000000001</v>
      </c>
      <c r="G13" s="2">
        <v>33.271062999999998</v>
      </c>
      <c r="H13" s="2">
        <v>24.990839000000001</v>
      </c>
      <c r="I13" s="2">
        <v>27.020358000000002</v>
      </c>
      <c r="J13" s="2">
        <v>56.042366000000001</v>
      </c>
      <c r="K13" s="2">
        <v>53.082501999999998</v>
      </c>
      <c r="L13" s="2">
        <v>14.552184</v>
      </c>
      <c r="M13" s="2">
        <v>-622.50897899999995</v>
      </c>
      <c r="N13" s="2">
        <v>0.930454</v>
      </c>
      <c r="O13" s="2">
        <v>0.68277100000000002</v>
      </c>
      <c r="P13" s="2"/>
      <c r="Q13" s="5">
        <f>N13*0.001/60</f>
        <v>1.5507566666666667E-5</v>
      </c>
      <c r="R13" cm="1">
        <f t="array" ref="R13">[1]!PropsSI("D","T",J13+273.15,"P",101325,"Water")</f>
        <v>985.18501937308713</v>
      </c>
      <c r="S13" cm="1">
        <f t="array" ref="S13">[1]!PropsSI("D","T",J13+273.15,"P",101325,"Water")</f>
        <v>985.18501937308713</v>
      </c>
      <c r="T13">
        <f t="shared" si="1"/>
        <v>985.18501937308713</v>
      </c>
      <c r="U13" cm="1">
        <f t="array" ref="U13">[1]!PropsSI("H","T",J13+273.15,"P",101325,"Water")</f>
        <v>234689.44596140602</v>
      </c>
      <c r="V13" cm="1">
        <f t="array" ref="V13">[1]!PropsSI("H","T",K13+273.15,"P",101325,"Water")</f>
        <v>222308.91124503189</v>
      </c>
      <c r="W13">
        <f t="shared" si="0"/>
        <v>189.14761020436703</v>
      </c>
      <c r="Y13">
        <f t="shared" si="2"/>
        <v>0</v>
      </c>
    </row>
    <row r="14" spans="1:27" x14ac:dyDescent="0.2">
      <c r="A14" s="1">
        <v>46066.709143518521</v>
      </c>
      <c r="B14" s="2">
        <v>19.168742999999999</v>
      </c>
      <c r="C14" s="2">
        <v>19.252804000000001</v>
      </c>
      <c r="D14" s="2">
        <v>18.999257</v>
      </c>
      <c r="E14" s="2">
        <v>19.089873000000001</v>
      </c>
      <c r="F14" s="2">
        <v>38.141480999999999</v>
      </c>
      <c r="G14" s="2">
        <v>33.021790000000003</v>
      </c>
      <c r="H14" s="2">
        <v>25.199514000000001</v>
      </c>
      <c r="I14" s="2">
        <v>27.053616000000002</v>
      </c>
      <c r="J14" s="2">
        <v>56.046821999999999</v>
      </c>
      <c r="K14" s="2">
        <v>53.105243000000002</v>
      </c>
      <c r="L14" s="2">
        <v>14.488514</v>
      </c>
      <c r="M14" s="2">
        <v>-622.48244999999997</v>
      </c>
      <c r="N14" s="2">
        <v>0.93211699999999997</v>
      </c>
      <c r="O14" s="2">
        <v>1.6246240000000001</v>
      </c>
      <c r="P14" s="2"/>
      <c r="Q14" s="5">
        <f>N14*0.001/60</f>
        <v>1.5535283333333333E-5</v>
      </c>
      <c r="R14" cm="1">
        <f t="array" ref="R14">[1]!PropsSI("D","T",J14+273.15,"P",101325,"Water")</f>
        <v>985.18283306610135</v>
      </c>
      <c r="S14" cm="1">
        <f t="array" ref="S14">[1]!PropsSI("D","T",J14+273.15,"P",101325,"Water")</f>
        <v>985.18283306610135</v>
      </c>
      <c r="T14">
        <f t="shared" si="1"/>
        <v>985.18283306610135</v>
      </c>
      <c r="U14" cm="1">
        <f t="array" ref="U14">[1]!PropsSI("H","T",J14+273.15,"P",101325,"Water")</f>
        <v>234708.08693630251</v>
      </c>
      <c r="V14" cm="1">
        <f t="array" ref="V14">[1]!PropsSI("H","T",K14+273.15,"P",101325,"Water")</f>
        <v>222404.02081178644</v>
      </c>
      <c r="W14">
        <f t="shared" si="0"/>
        <v>188.31489411561145</v>
      </c>
      <c r="Y14">
        <f t="shared" si="2"/>
        <v>0</v>
      </c>
      <c r="AA14">
        <v>181.07613000000001</v>
      </c>
    </row>
    <row r="15" spans="1:27" x14ac:dyDescent="0.2">
      <c r="A15" s="1">
        <v>46066.70925925926</v>
      </c>
      <c r="B15" s="2">
        <v>19.189356</v>
      </c>
      <c r="C15" s="2">
        <v>19.278012</v>
      </c>
      <c r="D15" s="2">
        <v>19.032876000000002</v>
      </c>
      <c r="E15" s="2">
        <v>19.150914</v>
      </c>
      <c r="F15" s="2">
        <v>38.954588000000001</v>
      </c>
      <c r="G15" s="2">
        <v>36.450327999999999</v>
      </c>
      <c r="H15" s="2">
        <v>25.413646</v>
      </c>
      <c r="I15" s="2">
        <v>26.684191999999999</v>
      </c>
      <c r="J15" s="2">
        <v>56.057485999999997</v>
      </c>
      <c r="K15" s="2">
        <v>53.113036000000001</v>
      </c>
      <c r="L15" s="2">
        <v>12.249034</v>
      </c>
      <c r="M15" s="2">
        <v>-622.48816399999998</v>
      </c>
      <c r="N15" s="2">
        <v>0.92855600000000005</v>
      </c>
      <c r="O15" s="2">
        <v>1.5213350000000001</v>
      </c>
      <c r="P15" s="2"/>
      <c r="Q15" s="5">
        <f>N15*0.001/60</f>
        <v>1.5475933333333335E-5</v>
      </c>
      <c r="R15" cm="1">
        <f t="array" ref="R15">[1]!PropsSI("D","T",J15+273.15,"P",101325,"Water")</f>
        <v>985.17760034984065</v>
      </c>
      <c r="S15" cm="1">
        <f t="array" ref="S15">[1]!PropsSI("D","T",J15+273.15,"P",101325,"Water")</f>
        <v>985.17760034984065</v>
      </c>
      <c r="T15">
        <f t="shared" si="1"/>
        <v>985.17760034984065</v>
      </c>
      <c r="U15" cm="1">
        <f t="array" ref="U15">[1]!PropsSI("H","T",J15+273.15,"P",101325,"Water")</f>
        <v>234752.69813303708</v>
      </c>
      <c r="V15" cm="1">
        <f t="array" ref="V15">[1]!PropsSI("H","T",K15+273.15,"P",101325,"Water")</f>
        <v>222436.61347497633</v>
      </c>
      <c r="W15">
        <f t="shared" si="0"/>
        <v>187.77771266202572</v>
      </c>
      <c r="Y15">
        <f t="shared" si="2"/>
        <v>0</v>
      </c>
    </row>
    <row r="16" spans="1:27" x14ac:dyDescent="0.2">
      <c r="A16" s="1">
        <v>46066.709374999999</v>
      </c>
      <c r="B16" s="2">
        <v>19.237915000000001</v>
      </c>
      <c r="C16" s="2">
        <v>19.292310000000001</v>
      </c>
      <c r="D16" s="2">
        <v>19.126791000000001</v>
      </c>
      <c r="E16" s="2">
        <v>19.211449999999999</v>
      </c>
      <c r="F16" s="2">
        <v>39.952914</v>
      </c>
      <c r="G16" s="2">
        <v>33.724277000000001</v>
      </c>
      <c r="H16" s="2">
        <v>24.743099000000001</v>
      </c>
      <c r="I16" s="2">
        <v>27.919504</v>
      </c>
      <c r="J16" s="2">
        <v>56.063375000000001</v>
      </c>
      <c r="K16" s="2">
        <v>53.140548000000003</v>
      </c>
      <c r="L16" s="2">
        <v>12.668196999999999</v>
      </c>
      <c r="M16" s="2">
        <v>-622.51061200000004</v>
      </c>
      <c r="N16" s="2">
        <v>0.92851099999999998</v>
      </c>
      <c r="O16" s="2">
        <v>0.75497700000000001</v>
      </c>
      <c r="P16" s="2"/>
      <c r="Q16" s="5">
        <f>N16*0.001/60</f>
        <v>1.5475183333333334E-5</v>
      </c>
      <c r="R16" cm="1">
        <f t="array" ref="R16">[1]!PropsSI("D","T",J16+273.15,"P",101325,"Water")</f>
        <v>985.17471037818621</v>
      </c>
      <c r="S16" cm="1">
        <f t="array" ref="S16">[1]!PropsSI("D","T",J16+273.15,"P",101325,"Water")</f>
        <v>985.17471037818621</v>
      </c>
      <c r="T16">
        <f t="shared" si="1"/>
        <v>985.17471037818621</v>
      </c>
      <c r="U16" cm="1">
        <f t="array" ref="U16">[1]!PropsSI("H","T",J16+273.15,"P",101325,"Water")</f>
        <v>234777.33387322765</v>
      </c>
      <c r="V16" cm="1">
        <f t="array" ref="V16">[1]!PropsSI("H","T",K16+273.15,"P",101325,"Water")</f>
        <v>222551.6770717107</v>
      </c>
      <c r="W16">
        <f t="shared" si="0"/>
        <v>186.38942037255484</v>
      </c>
      <c r="Y16">
        <f t="shared" si="2"/>
        <v>0</v>
      </c>
    </row>
    <row r="17" spans="1:25" x14ac:dyDescent="0.2">
      <c r="A17" s="1">
        <v>46066.709490740737</v>
      </c>
      <c r="B17" s="2">
        <v>19.255385</v>
      </c>
      <c r="C17" s="2">
        <v>19.323084999999999</v>
      </c>
      <c r="D17" s="2">
        <v>19.194752999999999</v>
      </c>
      <c r="E17" s="2">
        <v>19.258828999999999</v>
      </c>
      <c r="F17" s="2">
        <v>38.664855000000003</v>
      </c>
      <c r="G17" s="2">
        <v>31.994510999999999</v>
      </c>
      <c r="H17" s="2">
        <v>25.350717</v>
      </c>
      <c r="I17" s="2">
        <v>27.295437</v>
      </c>
      <c r="J17" s="2">
        <v>56.069741</v>
      </c>
      <c r="K17" s="2">
        <v>53.151522</v>
      </c>
      <c r="L17" s="2">
        <v>14.84768</v>
      </c>
      <c r="M17" s="2">
        <v>-622.50449000000003</v>
      </c>
      <c r="N17" s="2">
        <v>0.92816299999999996</v>
      </c>
      <c r="O17" s="2">
        <v>1.1445609999999999</v>
      </c>
      <c r="P17" s="2"/>
      <c r="Q17" s="5">
        <f>N17*0.001/60</f>
        <v>1.5469383333333331E-5</v>
      </c>
      <c r="R17" cm="1">
        <f t="array" ref="R17">[1]!PropsSI("D","T",J17+273.15,"P",101325,"Water")</f>
        <v>985.171586083737</v>
      </c>
      <c r="S17" cm="1">
        <f t="array" ref="S17">[1]!PropsSI("D","T",J17+273.15,"P",101325,"Water")</f>
        <v>985.171586083737</v>
      </c>
      <c r="T17">
        <f t="shared" si="1"/>
        <v>985.171586083737</v>
      </c>
      <c r="U17" cm="1">
        <f t="array" ref="U17">[1]!PropsSI("H","T",J17+273.15,"P",101325,"Water")</f>
        <v>234803.96508549913</v>
      </c>
      <c r="V17" cm="1">
        <f t="array" ref="V17">[1]!PropsSI("H","T",K17+273.15,"P",101325,"Water")</f>
        <v>222597.57376569827</v>
      </c>
      <c r="W17">
        <f t="shared" si="0"/>
        <v>186.02536604773849</v>
      </c>
      <c r="Y17">
        <f t="shared" si="2"/>
        <v>0</v>
      </c>
    </row>
    <row r="18" spans="1:25" x14ac:dyDescent="0.2">
      <c r="A18" s="1">
        <v>46066.709606481483</v>
      </c>
      <c r="B18" s="2">
        <v>19.316974999999999</v>
      </c>
      <c r="C18" s="2">
        <v>19.378329000000001</v>
      </c>
      <c r="D18" s="2">
        <v>19.246762</v>
      </c>
      <c r="E18" s="2">
        <v>19.312819000000001</v>
      </c>
      <c r="F18" s="2">
        <v>39.803375000000003</v>
      </c>
      <c r="G18" s="2">
        <v>32.094259000000001</v>
      </c>
      <c r="H18" s="2">
        <v>25.137668999999999</v>
      </c>
      <c r="I18" s="2">
        <v>26.582568999999999</v>
      </c>
      <c r="J18" s="2">
        <v>56.078494999999997</v>
      </c>
      <c r="K18" s="2">
        <v>53.180148000000003</v>
      </c>
      <c r="L18" s="2">
        <v>14.572998999999999</v>
      </c>
      <c r="M18" s="2">
        <v>-622.49020499999995</v>
      </c>
      <c r="N18" s="2">
        <v>0.93569899999999995</v>
      </c>
      <c r="O18" s="2">
        <v>0.77689799999999998</v>
      </c>
      <c r="P18" s="2"/>
      <c r="Q18" s="5">
        <f>N18*0.001/60</f>
        <v>1.5594983333333332E-5</v>
      </c>
      <c r="R18" cm="1">
        <f t="array" ref="R18">[1]!PropsSI("D","T",J18+273.15,"P",101325,"Water")</f>
        <v>985.16728940448752</v>
      </c>
      <c r="S18" cm="1">
        <f t="array" ref="S18">[1]!PropsSI("D","T",J18+273.15,"P",101325,"Water")</f>
        <v>985.16728940448752</v>
      </c>
      <c r="T18">
        <f t="shared" si="1"/>
        <v>985.16728940448752</v>
      </c>
      <c r="U18" cm="1">
        <f t="array" ref="U18">[1]!PropsSI("H","T",J18+273.15,"P",101325,"Water")</f>
        <v>234840.58616488756</v>
      </c>
      <c r="V18" cm="1">
        <f t="array" ref="V18">[1]!PropsSI("H","T",K18+273.15,"P",101325,"Water")</f>
        <v>222717.29682344943</v>
      </c>
      <c r="W18">
        <f t="shared" si="0"/>
        <v>186.25818594876873</v>
      </c>
      <c r="Y18">
        <f t="shared" si="2"/>
        <v>0</v>
      </c>
    </row>
    <row r="19" spans="1:25" x14ac:dyDescent="0.2">
      <c r="A19" s="1">
        <v>46066.709722222222</v>
      </c>
      <c r="B19" s="2">
        <v>19.361393</v>
      </c>
      <c r="C19" s="2">
        <v>19.376111999999999</v>
      </c>
      <c r="D19" s="2">
        <v>19.294536000000001</v>
      </c>
      <c r="E19" s="2">
        <v>19.381627000000002</v>
      </c>
      <c r="F19" s="2">
        <v>39.686717000000002</v>
      </c>
      <c r="G19" s="2">
        <v>33.118135000000002</v>
      </c>
      <c r="H19" s="2">
        <v>25.150879</v>
      </c>
      <c r="I19" s="2">
        <v>27.658804</v>
      </c>
      <c r="J19" s="2">
        <v>56.081041999999997</v>
      </c>
      <c r="K19" s="2">
        <v>53.190961999999999</v>
      </c>
      <c r="L19" s="2">
        <v>11.9115</v>
      </c>
      <c r="M19" s="2">
        <v>-622.51714200000004</v>
      </c>
      <c r="N19" s="2">
        <v>0.93522300000000003</v>
      </c>
      <c r="O19" s="2">
        <v>1.194985</v>
      </c>
      <c r="P19" s="2"/>
      <c r="Q19" s="5">
        <f>N19*0.001/60</f>
        <v>1.5587049999999998E-5</v>
      </c>
      <c r="R19" cm="1">
        <f t="array" ref="R19">[1]!PropsSI("D","T",J19+273.15,"P",101325,"Water")</f>
        <v>985.16603918565863</v>
      </c>
      <c r="S19" cm="1">
        <f t="array" ref="S19">[1]!PropsSI("D","T",J19+273.15,"P",101325,"Water")</f>
        <v>985.16603918565863</v>
      </c>
      <c r="T19">
        <f t="shared" si="1"/>
        <v>985.16603918565863</v>
      </c>
      <c r="U19" cm="1">
        <f t="array" ref="U19">[1]!PropsSI("H","T",J19+273.15,"P",101325,"Water")</f>
        <v>234851.24117254725</v>
      </c>
      <c r="V19" cm="1">
        <f t="array" ref="V19">[1]!PropsSI("H","T",K19+273.15,"P",101325,"Water")</f>
        <v>222762.5244900111</v>
      </c>
      <c r="W19">
        <f t="shared" si="0"/>
        <v>185.63230623328704</v>
      </c>
      <c r="Y19">
        <f t="shared" si="2"/>
        <v>0</v>
      </c>
    </row>
    <row r="20" spans="1:25" x14ac:dyDescent="0.2">
      <c r="A20" s="1">
        <v>46066.709837962961</v>
      </c>
      <c r="B20" s="2">
        <v>19.399246999999999</v>
      </c>
      <c r="C20" s="2">
        <v>19.401319999999998</v>
      </c>
      <c r="D20" s="2">
        <v>19.344901</v>
      </c>
      <c r="E20" s="2">
        <v>19.414131999999999</v>
      </c>
      <c r="F20" s="2">
        <v>39.068933000000001</v>
      </c>
      <c r="G20" s="2">
        <v>35.100051999999998</v>
      </c>
      <c r="H20" s="2">
        <v>25.908172</v>
      </c>
      <c r="I20" s="2">
        <v>27.360222</v>
      </c>
      <c r="J20" s="2">
        <v>56.086772000000003</v>
      </c>
      <c r="K20" s="2">
        <v>53.200980999999999</v>
      </c>
      <c r="L20" s="2">
        <v>12.119653</v>
      </c>
      <c r="M20" s="2">
        <v>-622.49550999999997</v>
      </c>
      <c r="N20" s="2">
        <v>0.93067500000000003</v>
      </c>
      <c r="O20" s="2">
        <v>1.1632290000000001</v>
      </c>
      <c r="P20" s="2"/>
      <c r="Q20" s="5">
        <f>N20*0.001/60</f>
        <v>1.5511250000000002E-5</v>
      </c>
      <c r="R20" cm="1">
        <f t="array" ref="R20">[1]!PropsSI("D","T",J20+273.15,"P",101325,"Water")</f>
        <v>985.16322641590079</v>
      </c>
      <c r="S20" cm="1">
        <f t="array" ref="S20">[1]!PropsSI("D","T",J20+273.15,"P",101325,"Water")</f>
        <v>985.16322641590079</v>
      </c>
      <c r="T20">
        <f t="shared" si="1"/>
        <v>985.16322641590079</v>
      </c>
      <c r="U20" cm="1">
        <f t="array" ref="U20">[1]!PropsSI("H","T",J20+273.15,"P",101325,"Water")</f>
        <v>234875.21181118031</v>
      </c>
      <c r="V20" cm="1">
        <f t="array" ref="V20">[1]!PropsSI("H","T",K20+273.15,"P",101325,"Water")</f>
        <v>222804.42724275053</v>
      </c>
      <c r="W20">
        <f t="shared" si="0"/>
        <v>184.45502414453259</v>
      </c>
      <c r="Y20">
        <f t="shared" si="2"/>
        <v>0</v>
      </c>
    </row>
    <row r="21" spans="1:25" x14ac:dyDescent="0.2">
      <c r="A21" s="1">
        <v>46066.709953703707</v>
      </c>
      <c r="B21" s="2">
        <v>19.441896</v>
      </c>
      <c r="C21" s="2">
        <v>19.445843</v>
      </c>
      <c r="D21" s="2">
        <v>19.374106999999999</v>
      </c>
      <c r="E21" s="2">
        <v>19.453787999999999</v>
      </c>
      <c r="F21" s="2">
        <v>38.446181000000003</v>
      </c>
      <c r="G21" s="2">
        <v>30.992802000000001</v>
      </c>
      <c r="H21" s="2">
        <v>26.091156999999999</v>
      </c>
      <c r="I21" s="2">
        <v>27.439086</v>
      </c>
      <c r="J21" s="2">
        <v>56.092182999999999</v>
      </c>
      <c r="K21" s="2">
        <v>53.210363999999998</v>
      </c>
      <c r="L21" s="2">
        <v>16.229651</v>
      </c>
      <c r="M21" s="2">
        <v>-622.48938799999996</v>
      </c>
      <c r="N21" s="2">
        <v>0.93283400000000005</v>
      </c>
      <c r="O21" s="2">
        <v>1.2740279999999999</v>
      </c>
      <c r="P21" s="2"/>
      <c r="Q21" s="5">
        <f>N21*0.001/60</f>
        <v>1.5547233333333336E-5</v>
      </c>
      <c r="R21" cm="1">
        <f t="array" ref="R21">[1]!PropsSI("D","T",J21+273.15,"P",101325,"Water")</f>
        <v>985.16057005336336</v>
      </c>
      <c r="S21" cm="1">
        <f t="array" ref="S21">[1]!PropsSI("D","T",J21+273.15,"P",101325,"Water")</f>
        <v>985.16057005336336</v>
      </c>
      <c r="T21">
        <f t="shared" si="1"/>
        <v>985.16057005336336</v>
      </c>
      <c r="U21" cm="1">
        <f t="array" ref="U21">[1]!PropsSI("H","T",J21+273.15,"P",101325,"Water")</f>
        <v>234897.84797017334</v>
      </c>
      <c r="V21" cm="1">
        <f t="array" ref="V21">[1]!PropsSI("H","T",K21+273.15,"P",101325,"Water")</f>
        <v>222843.67006477196</v>
      </c>
      <c r="W21">
        <f t="shared" si="0"/>
        <v>184.62807208057799</v>
      </c>
      <c r="Y21">
        <f t="shared" si="2"/>
        <v>0</v>
      </c>
    </row>
    <row r="22" spans="1:25" x14ac:dyDescent="0.2">
      <c r="A22" s="1">
        <v>46066.710069444445</v>
      </c>
      <c r="B22" s="2">
        <v>19.501943000000001</v>
      </c>
      <c r="C22" s="2">
        <v>19.516805000000002</v>
      </c>
      <c r="D22" s="2">
        <v>19.417116</v>
      </c>
      <c r="E22" s="2">
        <v>19.520923</v>
      </c>
      <c r="F22" s="2">
        <v>39.718017000000003</v>
      </c>
      <c r="G22" s="2">
        <v>32.573134000000003</v>
      </c>
      <c r="H22" s="2">
        <v>24.977664000000001</v>
      </c>
      <c r="I22" s="2">
        <v>26.408926999999998</v>
      </c>
      <c r="J22" s="2">
        <v>56.092820000000003</v>
      </c>
      <c r="K22" s="2">
        <v>53.219270000000002</v>
      </c>
      <c r="L22" s="2">
        <v>12.765743000000001</v>
      </c>
      <c r="M22" s="2">
        <v>-622.480817</v>
      </c>
      <c r="N22" s="2">
        <v>0.93255600000000005</v>
      </c>
      <c r="O22" s="2">
        <v>1.030737</v>
      </c>
      <c r="P22" s="2"/>
      <c r="Q22" s="5">
        <f>N22*0.001/60</f>
        <v>1.5542600000000003E-5</v>
      </c>
      <c r="R22" cm="1">
        <f t="array" ref="R22">[1]!PropsSI("D","T",J22+273.15,"P",101325,"Water")</f>
        <v>985.16025732615071</v>
      </c>
      <c r="S22" cm="1">
        <f t="array" ref="S22">[1]!PropsSI("D","T",J22+273.15,"P",101325,"Water")</f>
        <v>985.16025732615071</v>
      </c>
      <c r="T22">
        <f t="shared" si="1"/>
        <v>985.16025732615071</v>
      </c>
      <c r="U22" cm="1">
        <f t="array" ref="U22">[1]!PropsSI("H","T",J22+273.15,"P",101325,"Water")</f>
        <v>234900.5127709787</v>
      </c>
      <c r="V22" cm="1">
        <f t="array" ref="V22">[1]!PropsSI("H","T",K22+273.15,"P",101325,"Water")</f>
        <v>222880.91794157674</v>
      </c>
      <c r="W22">
        <f t="shared" si="0"/>
        <v>184.0434568698453</v>
      </c>
      <c r="Y22">
        <f t="shared" si="2"/>
        <v>0</v>
      </c>
    </row>
    <row r="23" spans="1:25" x14ac:dyDescent="0.2">
      <c r="A23" s="1">
        <v>46066.710185185184</v>
      </c>
      <c r="B23" s="2">
        <v>19.503928999999999</v>
      </c>
      <c r="C23" s="2">
        <v>19.490178</v>
      </c>
      <c r="D23" s="2">
        <v>19.440930000000002</v>
      </c>
      <c r="E23" s="2">
        <v>19.530718</v>
      </c>
      <c r="F23" s="2">
        <v>38.636594000000002</v>
      </c>
      <c r="G23" s="2">
        <v>30.870303</v>
      </c>
      <c r="H23" s="2">
        <v>26.723483000000002</v>
      </c>
      <c r="I23" s="2">
        <v>27.045061</v>
      </c>
      <c r="J23" s="2">
        <v>56.097594999999998</v>
      </c>
      <c r="K23" s="2">
        <v>53.227381000000001</v>
      </c>
      <c r="L23" s="2">
        <v>12.204547</v>
      </c>
      <c r="M23" s="2">
        <v>-622.493878</v>
      </c>
      <c r="N23" s="2">
        <v>0.92910099999999995</v>
      </c>
      <c r="O23" s="2">
        <v>1.391626</v>
      </c>
      <c r="P23" s="2"/>
      <c r="Q23" s="5">
        <f>N23*0.001/60</f>
        <v>1.5485016666666665E-5</v>
      </c>
      <c r="R23" cm="1">
        <f t="array" ref="R23">[1]!PropsSI("D","T",J23+273.15,"P",101325,"Water")</f>
        <v>985.15791302012792</v>
      </c>
      <c r="S23" cm="1">
        <f t="array" ref="S23">[1]!PropsSI("D","T",J23+273.15,"P",101325,"Water")</f>
        <v>985.15791302012792</v>
      </c>
      <c r="T23">
        <f t="shared" si="1"/>
        <v>985.15791302012792</v>
      </c>
      <c r="U23" cm="1">
        <f t="array" ref="U23">[1]!PropsSI("H","T",J23+273.15,"P",101325,"Water")</f>
        <v>234920.48832359584</v>
      </c>
      <c r="V23" cm="1">
        <f t="array" ref="V23">[1]!PropsSI("H","T",K23+273.15,"P",101325,"Water")</f>
        <v>222914.84088506122</v>
      </c>
      <c r="W23">
        <f t="shared" si="0"/>
        <v>183.14839315821882</v>
      </c>
      <c r="Y23">
        <f t="shared" si="2"/>
        <v>0</v>
      </c>
    </row>
    <row r="24" spans="1:25" x14ac:dyDescent="0.2">
      <c r="A24" s="1">
        <v>46066.710300925923</v>
      </c>
      <c r="B24" s="2">
        <v>19.564218</v>
      </c>
      <c r="C24" s="2">
        <v>19.531084</v>
      </c>
      <c r="D24" s="2">
        <v>19.512419999999999</v>
      </c>
      <c r="E24" s="2">
        <v>19.571031999999999</v>
      </c>
      <c r="F24" s="2">
        <v>39.819268999999998</v>
      </c>
      <c r="G24" s="2">
        <v>32.055169999999997</v>
      </c>
      <c r="H24" s="2">
        <v>26.285789000000001</v>
      </c>
      <c r="I24" s="2">
        <v>26.924975</v>
      </c>
      <c r="J24" s="2">
        <v>56.095207000000002</v>
      </c>
      <c r="K24" s="2">
        <v>53.242967</v>
      </c>
      <c r="L24" s="2">
        <v>14.137919</v>
      </c>
      <c r="M24" s="2">
        <v>-622.49959200000001</v>
      </c>
      <c r="N24" s="2">
        <v>0.92960500000000001</v>
      </c>
      <c r="O24" s="2">
        <v>1.128053</v>
      </c>
      <c r="P24" s="2"/>
      <c r="Q24" s="5">
        <f>N24*0.001/60</f>
        <v>1.5493416666666666E-5</v>
      </c>
      <c r="R24" cm="1">
        <f t="array" ref="R24">[1]!PropsSI("D","T",J24+273.15,"P",101325,"Water")</f>
        <v>985.15908543609487</v>
      </c>
      <c r="S24" cm="1">
        <f t="array" ref="S24">[1]!PropsSI("D","T",J24+273.15,"P",101325,"Water")</f>
        <v>985.15908543609487</v>
      </c>
      <c r="T24">
        <f t="shared" si="1"/>
        <v>985.15908543609487</v>
      </c>
      <c r="U24" cm="1">
        <f t="array" ref="U24">[1]!PropsSI("H","T",J24+273.15,"P",101325,"Water")</f>
        <v>234910.49845455054</v>
      </c>
      <c r="V24" cm="1">
        <f t="array" ref="V24">[1]!PropsSI("H","T",K24+273.15,"P",101325,"Water")</f>
        <v>222980.02686674002</v>
      </c>
      <c r="W24">
        <f t="shared" si="0"/>
        <v>182.10051678101664</v>
      </c>
      <c r="Y24">
        <f t="shared" si="2"/>
        <v>0</v>
      </c>
    </row>
    <row r="25" spans="1:25" x14ac:dyDescent="0.2">
      <c r="A25" s="1">
        <v>46066.710416666669</v>
      </c>
      <c r="B25" s="2">
        <v>19.579702999999999</v>
      </c>
      <c r="C25" s="2">
        <v>19.563865</v>
      </c>
      <c r="D25" s="2">
        <v>19.523060999999998</v>
      </c>
      <c r="E25" s="2">
        <v>19.609817</v>
      </c>
      <c r="F25" s="2">
        <v>38.180446000000003</v>
      </c>
      <c r="G25" s="2">
        <v>31.256678000000001</v>
      </c>
      <c r="H25" s="2">
        <v>26.016171</v>
      </c>
      <c r="I25" s="2">
        <v>27.107306999999999</v>
      </c>
      <c r="J25" s="2">
        <v>56.091864999999999</v>
      </c>
      <c r="K25" s="2">
        <v>53.244557</v>
      </c>
      <c r="L25" s="2">
        <v>12.534326</v>
      </c>
      <c r="M25" s="2">
        <v>-622.48163399999999</v>
      </c>
      <c r="N25" s="2">
        <v>0.92886800000000003</v>
      </c>
      <c r="O25" s="2">
        <v>1.2298180000000001</v>
      </c>
      <c r="P25" s="2"/>
      <c r="Q25" s="5">
        <f>N25*0.001/60</f>
        <v>1.5481133333333333E-5</v>
      </c>
      <c r="R25" cm="1">
        <f t="array" ref="R25">[1]!PropsSI("D","T",J25+273.15,"P",101325,"Water")</f>
        <v>985.16072617056045</v>
      </c>
      <c r="S25" cm="1">
        <f t="array" ref="S25">[1]!PropsSI("D","T",J25+273.15,"P",101325,"Water")</f>
        <v>985.16072617056045</v>
      </c>
      <c r="T25">
        <f t="shared" si="1"/>
        <v>985.16072617056045</v>
      </c>
      <c r="U25" cm="1">
        <f t="array" ref="U25">[1]!PropsSI("H","T",J25+273.15,"P",101325,"Water")</f>
        <v>234896.51766149618</v>
      </c>
      <c r="V25" cm="1">
        <f t="array" ref="V25">[1]!PropsSI("H","T",K25+273.15,"P",101325,"Water")</f>
        <v>222986.67679508612</v>
      </c>
      <c r="W25">
        <f t="shared" si="0"/>
        <v>181.64180125846556</v>
      </c>
      <c r="Y25">
        <f t="shared" si="2"/>
        <v>0</v>
      </c>
    </row>
    <row r="26" spans="1:25" x14ac:dyDescent="0.2">
      <c r="A26" s="1">
        <v>46066.710532407407</v>
      </c>
      <c r="B26" s="2">
        <v>19.606825000000001</v>
      </c>
      <c r="C26" s="2">
        <v>19.551183000000002</v>
      </c>
      <c r="D26" s="2">
        <v>19.531538000000001</v>
      </c>
      <c r="E26" s="2">
        <v>19.604845000000001</v>
      </c>
      <c r="F26" s="2">
        <v>38.683075000000002</v>
      </c>
      <c r="G26" s="2">
        <v>31.353560000000002</v>
      </c>
      <c r="H26" s="2">
        <v>24.680067000000001</v>
      </c>
      <c r="I26" s="2">
        <v>27.30057</v>
      </c>
      <c r="J26" s="2">
        <v>56.086612000000002</v>
      </c>
      <c r="K26" s="2">
        <v>53.236604999999997</v>
      </c>
      <c r="L26" s="2">
        <v>13.124091999999999</v>
      </c>
      <c r="M26" s="2">
        <v>-622.48612300000002</v>
      </c>
      <c r="N26" s="2">
        <v>0.92979800000000001</v>
      </c>
      <c r="O26" s="2">
        <v>1.334568</v>
      </c>
      <c r="P26" s="2"/>
      <c r="Q26" s="5">
        <f>N26*0.001/60</f>
        <v>1.5496633333333333E-5</v>
      </c>
      <c r="R26" cm="1">
        <f t="array" ref="R26">[1]!PropsSI("D","T",J26+273.15,"P",101325,"Water")</f>
        <v>985.16330496019623</v>
      </c>
      <c r="S26" cm="1">
        <f t="array" ref="S26">[1]!PropsSI("D","T",J26+273.15,"P",101325,"Water")</f>
        <v>985.16330496019623</v>
      </c>
      <c r="T26">
        <f t="shared" si="1"/>
        <v>985.16330496019623</v>
      </c>
      <c r="U26" cm="1">
        <f t="array" ref="U26">[1]!PropsSI("H","T",J26+273.15,"P",101325,"Water")</f>
        <v>234874.54247381614</v>
      </c>
      <c r="V26" cm="1">
        <f t="array" ref="V26">[1]!PropsSI("H","T",K26+273.15,"P",101325,"Water")</f>
        <v>222953.41879743236</v>
      </c>
      <c r="W26">
        <f t="shared" si="0"/>
        <v>181.99639181079553</v>
      </c>
      <c r="Y26">
        <f t="shared" si="2"/>
        <v>1</v>
      </c>
    </row>
    <row r="27" spans="1:25" x14ac:dyDescent="0.2">
      <c r="A27" s="1">
        <v>46066.710648148146</v>
      </c>
      <c r="B27" s="2">
        <v>19.633858</v>
      </c>
      <c r="C27" s="2">
        <v>19.570606999999999</v>
      </c>
      <c r="D27" s="2">
        <v>19.562173999999999</v>
      </c>
      <c r="E27" s="2">
        <v>19.615492</v>
      </c>
      <c r="F27" s="2">
        <v>38.292273999999999</v>
      </c>
      <c r="G27" s="2">
        <v>30.976405</v>
      </c>
      <c r="H27" s="2">
        <v>25.90521</v>
      </c>
      <c r="I27" s="2">
        <v>28.002762000000001</v>
      </c>
      <c r="J27" s="2">
        <v>56.087885999999997</v>
      </c>
      <c r="K27" s="2">
        <v>53.244239</v>
      </c>
      <c r="L27" s="2">
        <v>14.875025000000001</v>
      </c>
      <c r="M27" s="2">
        <v>-622.50775499999997</v>
      </c>
      <c r="N27" s="2">
        <v>0.931871</v>
      </c>
      <c r="O27" s="2">
        <v>1.3514699999999999</v>
      </c>
      <c r="P27" s="2"/>
      <c r="Q27" s="5">
        <f>N27*0.001/60</f>
        <v>1.5531183333333335E-5</v>
      </c>
      <c r="R27" cm="1">
        <f t="array" ref="R27">[1]!PropsSI("D","T",J27+273.15,"P",101325,"Water")</f>
        <v>985.162679546861</v>
      </c>
      <c r="S27" cm="1">
        <f t="array" ref="S27">[1]!PropsSI("D","T",J27+273.15,"P",101325,"Water")</f>
        <v>985.162679546861</v>
      </c>
      <c r="T27">
        <f t="shared" si="1"/>
        <v>985.162679546861</v>
      </c>
      <c r="U27" cm="1">
        <f t="array" ref="U27">[1]!PropsSI("H","T",J27+273.15,"P",101325,"Water")</f>
        <v>234879.87207291194</v>
      </c>
      <c r="V27" cm="1">
        <f t="array" ref="V27">[1]!PropsSI("H","T",K27+273.15,"P",101325,"Water")</f>
        <v>222985.34680927129</v>
      </c>
      <c r="W27">
        <f t="shared" si="0"/>
        <v>181.99506452189434</v>
      </c>
      <c r="Y27">
        <f t="shared" si="2"/>
        <v>1</v>
      </c>
    </row>
    <row r="28" spans="1:25" x14ac:dyDescent="0.2">
      <c r="A28" s="1">
        <v>46066.710763888892</v>
      </c>
      <c r="B28" s="2">
        <v>19.645617999999999</v>
      </c>
      <c r="C28" s="2">
        <v>19.589423</v>
      </c>
      <c r="D28" s="2">
        <v>19.623536000000001</v>
      </c>
      <c r="E28" s="2">
        <v>19.656212</v>
      </c>
      <c r="F28" s="2">
        <v>38.801974000000001</v>
      </c>
      <c r="G28" s="2">
        <v>32.541234000000003</v>
      </c>
      <c r="H28" s="2">
        <v>25.29251</v>
      </c>
      <c r="I28" s="2">
        <v>28.458708000000001</v>
      </c>
      <c r="J28" s="2">
        <v>56.085816999999999</v>
      </c>
      <c r="K28" s="2">
        <v>53.249009999999998</v>
      </c>
      <c r="L28" s="2">
        <v>17.232050000000001</v>
      </c>
      <c r="M28" s="2">
        <v>-622.49836700000003</v>
      </c>
      <c r="N28" s="2">
        <v>0.93183899999999997</v>
      </c>
      <c r="O28" s="2">
        <v>1.4328890000000001</v>
      </c>
      <c r="P28" s="2"/>
      <c r="Q28" s="5">
        <f>N28*0.001/60</f>
        <v>1.553065E-5</v>
      </c>
      <c r="R28" cm="1">
        <f t="array" ref="R28">[1]!PropsSI("D","T",J28+273.15,"P",101325,"Water")</f>
        <v>985.16369522485354</v>
      </c>
      <c r="S28" cm="1">
        <f t="array" ref="S28">[1]!PropsSI("D","T",J28+273.15,"P",101325,"Water")</f>
        <v>985.16369522485354</v>
      </c>
      <c r="T28">
        <f t="shared" si="1"/>
        <v>985.16369522485354</v>
      </c>
      <c r="U28" cm="1">
        <f t="array" ref="U28">[1]!PropsSI("H","T",J28+273.15,"P",101325,"Water")</f>
        <v>234871.21670387319</v>
      </c>
      <c r="V28" cm="1">
        <f t="array" ref="V28">[1]!PropsSI("H","T",K28+273.15,"P",101325,"Water")</f>
        <v>223005.30078105154</v>
      </c>
      <c r="W28">
        <f t="shared" si="0"/>
        <v>181.55127295775137</v>
      </c>
      <c r="Y28">
        <f t="shared" si="2"/>
        <v>1</v>
      </c>
    </row>
    <row r="29" spans="1:25" x14ac:dyDescent="0.2">
      <c r="A29" s="1">
        <v>46066.710879629631</v>
      </c>
      <c r="B29" s="2">
        <v>19.6204</v>
      </c>
      <c r="C29" s="2">
        <v>19.555036000000001</v>
      </c>
      <c r="D29" s="2">
        <v>19.597875999999999</v>
      </c>
      <c r="E29" s="2">
        <v>19.644065000000001</v>
      </c>
      <c r="F29" s="2">
        <v>38.713406999999997</v>
      </c>
      <c r="G29" s="2">
        <v>32.34395</v>
      </c>
      <c r="H29" s="2">
        <v>25.442765000000001</v>
      </c>
      <c r="I29" s="2">
        <v>26.943994</v>
      </c>
      <c r="J29" s="2">
        <v>56.091228000000001</v>
      </c>
      <c r="K29" s="2">
        <v>53.256008000000001</v>
      </c>
      <c r="L29" s="2">
        <v>14.113839</v>
      </c>
      <c r="M29" s="2">
        <v>-622.50734699999998</v>
      </c>
      <c r="N29" s="2">
        <v>0.934998</v>
      </c>
      <c r="O29" s="2">
        <v>0.85009500000000005</v>
      </c>
      <c r="P29" s="2"/>
      <c r="Q29" s="5">
        <f>N29*0.001/60</f>
        <v>1.55833E-5</v>
      </c>
      <c r="R29" cm="1">
        <f t="array" ref="R29">[1]!PropsSI("D","T",J29+273.15,"P",101325,"Water")</f>
        <v>985.16103889404349</v>
      </c>
      <c r="S29" cm="1">
        <f t="array" ref="S29">[1]!PropsSI("D","T",J29+273.15,"P",101325,"Water")</f>
        <v>985.16103889404349</v>
      </c>
      <c r="T29">
        <f t="shared" si="1"/>
        <v>985.16103889404349</v>
      </c>
      <c r="U29" cm="1">
        <f t="array" ref="U29">[1]!PropsSI("H","T",J29+273.15,"P",101325,"Water")</f>
        <v>234893.85286089627</v>
      </c>
      <c r="V29" cm="1">
        <f t="array" ref="V29">[1]!PropsSI("H","T",K29+273.15,"P",101325,"Water")</f>
        <v>223034.56885068907</v>
      </c>
      <c r="W29">
        <f t="shared" si="0"/>
        <v>182.0644398880639</v>
      </c>
      <c r="Y29">
        <f t="shared" si="2"/>
        <v>1</v>
      </c>
    </row>
    <row r="30" spans="1:25" x14ac:dyDescent="0.2">
      <c r="A30" s="1">
        <v>46066.710995370369</v>
      </c>
      <c r="B30" s="2">
        <v>19.640201999999999</v>
      </c>
      <c r="C30" s="2">
        <v>19.579657999999998</v>
      </c>
      <c r="D30" s="2">
        <v>19.607686000000001</v>
      </c>
      <c r="E30" s="2">
        <v>19.644067</v>
      </c>
      <c r="F30" s="2">
        <v>39.818859000000003</v>
      </c>
      <c r="G30" s="2">
        <v>35.301648999999998</v>
      </c>
      <c r="H30" s="2">
        <v>25.762802000000001</v>
      </c>
      <c r="I30" s="2">
        <v>28.171379000000002</v>
      </c>
      <c r="J30" s="2">
        <v>56.095047999999998</v>
      </c>
      <c r="K30" s="2">
        <v>53.260778999999999</v>
      </c>
      <c r="L30" s="2">
        <v>11.651104999999999</v>
      </c>
      <c r="M30" s="2">
        <v>-622.49632699999995</v>
      </c>
      <c r="N30" s="2">
        <v>0.92903999999999998</v>
      </c>
      <c r="O30" s="2">
        <v>0.96996800000000005</v>
      </c>
      <c r="P30" s="2"/>
      <c r="Q30" s="5">
        <f>N30*0.001/60</f>
        <v>1.5483999999999999E-5</v>
      </c>
      <c r="R30" cm="1">
        <f t="array" ref="R30">[1]!PropsSI("D","T",J30+273.15,"P",101325,"Water")</f>
        <v>985.15916349772067</v>
      </c>
      <c r="S30" cm="1">
        <f t="array" ref="S30">[1]!PropsSI("D","T",J30+273.15,"P",101325,"Water")</f>
        <v>985.15916349772067</v>
      </c>
      <c r="T30">
        <f t="shared" si="1"/>
        <v>985.15916349772067</v>
      </c>
      <c r="U30" cm="1">
        <f t="array" ref="U30">[1]!PropsSI("H","T",J30+273.15,"P",101325,"Water")</f>
        <v>234909.83330003603</v>
      </c>
      <c r="V30" cm="1">
        <f t="array" ref="V30">[1]!PropsSI("H","T",K30+273.15,"P",101325,"Water")</f>
        <v>223054.52284122107</v>
      </c>
      <c r="W30">
        <f t="shared" si="0"/>
        <v>180.84333000273102</v>
      </c>
      <c r="Y30">
        <f t="shared" si="2"/>
        <v>1</v>
      </c>
    </row>
    <row r="31" spans="1:25" x14ac:dyDescent="0.2">
      <c r="A31" s="1">
        <v>46066.711111111108</v>
      </c>
      <c r="B31" s="2">
        <v>19.677211</v>
      </c>
      <c r="C31" s="2">
        <v>19.576723999999999</v>
      </c>
      <c r="D31" s="2">
        <v>19.624099999999999</v>
      </c>
      <c r="E31" s="2">
        <v>19.661373999999999</v>
      </c>
      <c r="F31" s="2">
        <v>38.484450000000002</v>
      </c>
      <c r="G31" s="2">
        <v>31.729199999999999</v>
      </c>
      <c r="H31" s="2">
        <v>26.536404000000001</v>
      </c>
      <c r="I31" s="2">
        <v>26.555582999999999</v>
      </c>
      <c r="J31" s="2">
        <v>56.092661</v>
      </c>
      <c r="K31" s="2">
        <v>53.263165000000001</v>
      </c>
      <c r="L31" s="2">
        <v>17.129197999999999</v>
      </c>
      <c r="M31" s="2">
        <v>-622.49591899999996</v>
      </c>
      <c r="N31" s="2">
        <v>0.92876099999999995</v>
      </c>
      <c r="O31" s="2">
        <v>1.4183129999999999</v>
      </c>
      <c r="P31" s="2"/>
      <c r="Q31" s="5">
        <f>N31*0.001/60</f>
        <v>1.5479349999999999E-5</v>
      </c>
      <c r="R31" cm="1">
        <f t="array" ref="R31">[1]!PropsSI("D","T",J31+273.15,"P",101325,"Water")</f>
        <v>985.16033538545366</v>
      </c>
      <c r="S31" cm="1">
        <f t="array" ref="S31">[1]!PropsSI("D","T",J31+273.15,"P",101325,"Water")</f>
        <v>985.16033538545366</v>
      </c>
      <c r="T31">
        <f t="shared" si="1"/>
        <v>985.16033538545366</v>
      </c>
      <c r="U31" cm="1">
        <f t="array" ref="U31">[1]!PropsSI("H","T",J31+273.15,"P",101325,"Water")</f>
        <v>234899.8476165997</v>
      </c>
      <c r="V31" cm="1">
        <f t="array" ref="V31">[1]!PropsSI("H","T",K31+273.15,"P",101325,"Water")</f>
        <v>223064.50193053327</v>
      </c>
      <c r="W31">
        <f t="shared" si="0"/>
        <v>180.48478036902247</v>
      </c>
      <c r="Y31">
        <f t="shared" si="2"/>
        <v>1</v>
      </c>
    </row>
    <row r="32" spans="1:25" x14ac:dyDescent="0.2">
      <c r="A32" s="1">
        <v>46066.711226851854</v>
      </c>
      <c r="B32" s="2">
        <v>19.658215999999999</v>
      </c>
      <c r="C32" s="2">
        <v>19.559377999999999</v>
      </c>
      <c r="D32" s="2">
        <v>19.620445</v>
      </c>
      <c r="E32" s="2">
        <v>19.637139000000001</v>
      </c>
      <c r="F32" s="2">
        <v>37.548015999999997</v>
      </c>
      <c r="G32" s="2">
        <v>31.625558000000002</v>
      </c>
      <c r="H32" s="2">
        <v>25.181842</v>
      </c>
      <c r="I32" s="2">
        <v>27.075081999999998</v>
      </c>
      <c r="J32" s="2">
        <v>56.087249</v>
      </c>
      <c r="K32" s="2">
        <v>53.254576999999998</v>
      </c>
      <c r="L32" s="2">
        <v>14.126899</v>
      </c>
      <c r="M32" s="2">
        <v>-622.49591899999996</v>
      </c>
      <c r="N32" s="2">
        <v>0.93040800000000001</v>
      </c>
      <c r="O32" s="2">
        <v>1.062189</v>
      </c>
      <c r="P32" s="2"/>
      <c r="Q32" s="5">
        <f>N32*0.001/60</f>
        <v>1.5506800000000002E-5</v>
      </c>
      <c r="R32" cm="1">
        <f t="array" ref="R32">[1]!PropsSI("D","T",J32+273.15,"P",101325,"Water")</f>
        <v>985.16299225479304</v>
      </c>
      <c r="S32" cm="1">
        <f t="array" ref="S32">[1]!PropsSI("D","T",J32+273.15,"P",101325,"Water")</f>
        <v>985.16299225479304</v>
      </c>
      <c r="T32">
        <f t="shared" si="1"/>
        <v>985.16299225479304</v>
      </c>
      <c r="U32" cm="1">
        <f t="array" ref="U32">[1]!PropsSI("H","T",J32+273.15,"P",101325,"Water")</f>
        <v>234877.20727322664</v>
      </c>
      <c r="V32" cm="1">
        <f t="array" ref="V32">[1]!PropsSI("H","T",K32+273.15,"P",101325,"Water")</f>
        <v>223028.58390969047</v>
      </c>
      <c r="W32">
        <f t="shared" si="0"/>
        <v>181.00816653895993</v>
      </c>
      <c r="Y32">
        <f t="shared" si="2"/>
        <v>1</v>
      </c>
    </row>
    <row r="33" spans="1:25" x14ac:dyDescent="0.2">
      <c r="A33" s="1">
        <v>46066.711342592593</v>
      </c>
      <c r="B33" s="2">
        <v>19.648769999999999</v>
      </c>
      <c r="C33" s="2">
        <v>19.572030999999999</v>
      </c>
      <c r="D33" s="2">
        <v>19.647825999999998</v>
      </c>
      <c r="E33" s="2">
        <v>19.639664</v>
      </c>
      <c r="F33" s="2">
        <v>38.280579000000003</v>
      </c>
      <c r="G33" s="2">
        <v>30.330628000000001</v>
      </c>
      <c r="H33" s="2">
        <v>25.347626999999999</v>
      </c>
      <c r="I33" s="2">
        <v>27.293499000000001</v>
      </c>
      <c r="J33" s="2">
        <v>56.091864999999999</v>
      </c>
      <c r="K33" s="2">
        <v>53.261733</v>
      </c>
      <c r="L33" s="2">
        <v>13.315103000000001</v>
      </c>
      <c r="M33" s="2">
        <v>-622.48367399999995</v>
      </c>
      <c r="N33" s="2">
        <v>0.92799500000000001</v>
      </c>
      <c r="O33" s="2">
        <v>1.0200880000000001</v>
      </c>
      <c r="P33" s="2"/>
      <c r="Q33" s="5">
        <f>N33*0.001/60</f>
        <v>1.5466583333333335E-5</v>
      </c>
      <c r="R33" cm="1">
        <f t="array" ref="R33">[1]!PropsSI("D","T",J33+273.15,"P",101325,"Water")</f>
        <v>985.16072617056045</v>
      </c>
      <c r="S33" cm="1">
        <f t="array" ref="S33">[1]!PropsSI("D","T",J33+273.15,"P",101325,"Water")</f>
        <v>985.16072617056045</v>
      </c>
      <c r="T33">
        <f t="shared" si="1"/>
        <v>985.16072617056045</v>
      </c>
      <c r="U33" cm="1">
        <f t="array" ref="U33">[1]!PropsSI("H","T",J33+273.15,"P",101325,"Water")</f>
        <v>234896.51766149618</v>
      </c>
      <c r="V33" cm="1">
        <f t="array" ref="V33">[1]!PropsSI("H","T",K33+273.15,"P",101325,"Water")</f>
        <v>223058.51280374173</v>
      </c>
      <c r="W33">
        <f t="shared" si="0"/>
        <v>180.3765142186536</v>
      </c>
      <c r="Y33">
        <f t="shared" si="2"/>
        <v>1</v>
      </c>
    </row>
    <row r="34" spans="1:25" x14ac:dyDescent="0.2">
      <c r="A34" s="1">
        <v>46066.711458333331</v>
      </c>
      <c r="B34" s="2">
        <v>19.660633000000001</v>
      </c>
      <c r="C34" s="2">
        <v>19.554258999999998</v>
      </c>
      <c r="D34" s="2">
        <v>19.649243999999999</v>
      </c>
      <c r="E34" s="2">
        <v>19.63288</v>
      </c>
      <c r="F34" s="2">
        <v>40.006417999999996</v>
      </c>
      <c r="G34" s="2">
        <v>32.390749999999997</v>
      </c>
      <c r="H34" s="2">
        <v>26.678785999999999</v>
      </c>
      <c r="I34" s="2">
        <v>27.172101000000001</v>
      </c>
      <c r="J34" s="2">
        <v>56.086772000000003</v>
      </c>
      <c r="K34" s="2">
        <v>53.262211000000001</v>
      </c>
      <c r="L34" s="2">
        <v>12.468207</v>
      </c>
      <c r="M34" s="2">
        <v>-622.49469399999998</v>
      </c>
      <c r="N34" s="2">
        <v>0.93051899999999999</v>
      </c>
      <c r="O34" s="2">
        <v>1.200526</v>
      </c>
      <c r="P34" s="2"/>
      <c r="Q34" s="5">
        <f>N34*0.001/60</f>
        <v>1.5508649999999999E-5</v>
      </c>
      <c r="R34" cm="1">
        <f t="array" ref="R34">[1]!PropsSI("D","T",J34+273.15,"P",101325,"Water")</f>
        <v>985.16322641590079</v>
      </c>
      <c r="S34" cm="1">
        <f t="array" ref="S34">[1]!PropsSI("D","T",J34+273.15,"P",101325,"Water")</f>
        <v>985.16322641590079</v>
      </c>
      <c r="T34">
        <f t="shared" si="1"/>
        <v>985.16322641590079</v>
      </c>
      <c r="U34" cm="1">
        <f t="array" ref="U34">[1]!PropsSI("H","T",J34+273.15,"P",101325,"Water")</f>
        <v>234875.21181118031</v>
      </c>
      <c r="V34" cm="1">
        <f t="array" ref="V34">[1]!PropsSI("H","T",K34+273.15,"P",101325,"Water")</f>
        <v>223060.51196751607</v>
      </c>
      <c r="W34">
        <f t="shared" si="0"/>
        <v>180.51150204297355</v>
      </c>
      <c r="Y34">
        <f t="shared" si="2"/>
        <v>1</v>
      </c>
    </row>
    <row r="35" spans="1:25" x14ac:dyDescent="0.2">
      <c r="A35" s="1">
        <v>46066.711574074077</v>
      </c>
      <c r="B35" s="2">
        <v>19.639638000000001</v>
      </c>
      <c r="C35" s="2">
        <v>19.544996000000001</v>
      </c>
      <c r="D35" s="2">
        <v>19.673390999999999</v>
      </c>
      <c r="E35" s="2">
        <v>19.629947000000001</v>
      </c>
      <c r="F35" s="2">
        <v>37.402073999999999</v>
      </c>
      <c r="G35" s="2">
        <v>31.238068999999999</v>
      </c>
      <c r="H35" s="2">
        <v>25.429151999999998</v>
      </c>
      <c r="I35" s="2">
        <v>27.226019000000001</v>
      </c>
      <c r="J35" s="2">
        <v>56.089317999999999</v>
      </c>
      <c r="K35" s="2">
        <v>53.257756999999998</v>
      </c>
      <c r="L35" s="2">
        <v>14.373825999999999</v>
      </c>
      <c r="M35" s="2">
        <v>-622.48816399999998</v>
      </c>
      <c r="N35" s="2">
        <v>0.92702799999999996</v>
      </c>
      <c r="O35" s="2">
        <v>1.164194</v>
      </c>
      <c r="P35" s="2"/>
      <c r="Q35" s="5">
        <f>N35*0.001/60</f>
        <v>1.5450466666666667E-5</v>
      </c>
      <c r="R35" cm="1">
        <f t="array" ref="R35">[1]!PropsSI("D","T",J35+273.15,"P",101325,"Water")</f>
        <v>985.16197655858355</v>
      </c>
      <c r="S35" cm="1">
        <f t="array" ref="S35">[1]!PropsSI("D","T",J35+273.15,"P",101325,"Water")</f>
        <v>985.16197655858355</v>
      </c>
      <c r="T35">
        <f t="shared" si="1"/>
        <v>985.16197655858355</v>
      </c>
      <c r="U35" cm="1">
        <f t="array" ref="U35">[1]!PropsSI("H","T",J35+273.15,"P",101325,"Water")</f>
        <v>234885.86264344284</v>
      </c>
      <c r="V35" cm="1">
        <f t="array" ref="V35">[1]!PropsSI("H","T",K35+273.15,"P",101325,"Water")</f>
        <v>223041.88377944942</v>
      </c>
      <c r="W35">
        <f t="shared" si="0"/>
        <v>180.27971652969393</v>
      </c>
      <c r="Y35">
        <f t="shared" si="2"/>
        <v>1</v>
      </c>
    </row>
    <row r="36" spans="1:25" x14ac:dyDescent="0.2">
      <c r="A36" s="1">
        <v>46066.711701388886</v>
      </c>
      <c r="B36" s="2">
        <v>19.630337000000001</v>
      </c>
      <c r="C36" s="2">
        <v>19.541698</v>
      </c>
      <c r="D36" s="2">
        <v>19.636071999999999</v>
      </c>
      <c r="E36" s="2">
        <v>19.621264</v>
      </c>
      <c r="F36" s="2">
        <v>38.297753</v>
      </c>
      <c r="G36" s="2">
        <v>33.109136999999997</v>
      </c>
      <c r="H36" s="2">
        <v>25.769134999999999</v>
      </c>
      <c r="I36" s="2">
        <v>27.106017999999999</v>
      </c>
      <c r="J36" s="2">
        <v>56.087090000000003</v>
      </c>
      <c r="K36" s="2">
        <v>53.261096999999999</v>
      </c>
      <c r="L36" s="2">
        <v>10.170363</v>
      </c>
      <c r="M36" s="2">
        <v>-622.49591899999996</v>
      </c>
      <c r="N36" s="2">
        <v>0.93115400000000004</v>
      </c>
      <c r="O36" s="2">
        <v>1.1278250000000001</v>
      </c>
      <c r="P36" s="2"/>
      <c r="Q36" s="5">
        <f>N36*0.001/60</f>
        <v>1.5519233333333332E-5</v>
      </c>
      <c r="R36" cm="1">
        <f t="array" ref="R36">[1]!PropsSI("D","T",J36+273.15,"P",101325,"Water")</f>
        <v>985.16307030862652</v>
      </c>
      <c r="S36" cm="1">
        <f t="array" ref="S36">[1]!PropsSI("D","T",J36+273.15,"P",101325,"Water")</f>
        <v>985.16307030862652</v>
      </c>
      <c r="T36">
        <f t="shared" si="1"/>
        <v>985.16307030862652</v>
      </c>
      <c r="U36" cm="1">
        <f t="array" ref="U36">[1]!PropsSI("H","T",J36+273.15,"P",101325,"Water")</f>
        <v>234876.542119235</v>
      </c>
      <c r="V36" cm="1">
        <f t="array" ref="V36">[1]!PropsSI("H","T",K36+273.15,"P",101325,"Water")</f>
        <v>223055.85282871826</v>
      </c>
      <c r="W36">
        <f t="shared" si="0"/>
        <v>180.72622965918524</v>
      </c>
      <c r="Y36">
        <f t="shared" si="2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56EA-01F0-054B-8912-70970C52485A}">
  <dimension ref="A1:AA36"/>
  <sheetViews>
    <sheetView topLeftCell="G1" workbookViewId="0">
      <selection activeCell="AA12" sqref="AA12"/>
    </sheetView>
  </sheetViews>
  <sheetFormatPr baseColWidth="10" defaultRowHeight="16" x14ac:dyDescent="0.2"/>
  <cols>
    <col min="1" max="1" width="20.5" customWidth="1"/>
    <col min="16" max="16" width="7.1640625" customWidth="1"/>
    <col min="17" max="17" width="12.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Y1" t="s">
        <v>22</v>
      </c>
      <c r="Z1" s="1">
        <v>46066.703055555554</v>
      </c>
    </row>
    <row r="2" spans="1:27" x14ac:dyDescent="0.2">
      <c r="A2" s="1">
        <v>46066.703055555554</v>
      </c>
      <c r="B2" s="2">
        <v>17.699453999999999</v>
      </c>
      <c r="C2" s="2">
        <v>18.644254</v>
      </c>
      <c r="D2" s="2">
        <v>18.377877999999999</v>
      </c>
      <c r="E2" s="2">
        <v>18.692936</v>
      </c>
      <c r="F2" s="2">
        <v>39.974806999999998</v>
      </c>
      <c r="G2" s="2">
        <v>37.627434000000001</v>
      </c>
      <c r="H2" s="2">
        <v>25.890155</v>
      </c>
      <c r="I2" s="2">
        <v>24.891470000000002</v>
      </c>
      <c r="J2" s="2">
        <v>55.866180999999997</v>
      </c>
      <c r="K2" s="2">
        <v>50.013475</v>
      </c>
      <c r="L2" s="2">
        <v>40.626389000000003</v>
      </c>
      <c r="M2" s="2">
        <v>-622.49591899999996</v>
      </c>
      <c r="N2" s="2">
        <v>0.93017499999999997</v>
      </c>
      <c r="O2" s="2">
        <v>1.1696839999999999</v>
      </c>
      <c r="P2" s="2"/>
      <c r="Q2">
        <f xml:space="preserve"> N2*0.001/60</f>
        <v>1.5502916666666667E-5</v>
      </c>
      <c r="R2" cm="1">
        <f t="array" ref="R2">[1]!PropsSI("D","T",J2+273.15,"P",101325,"Water")</f>
        <v>985.27136559600342</v>
      </c>
      <c r="S2" cm="1">
        <f t="array" ref="S2">[1]!PropsSI("D","T",J2+273.15,"P",101325,"Water")</f>
        <v>985.27136559600342</v>
      </c>
      <c r="T2">
        <f>(R2+S2)/2</f>
        <v>985.27136559600342</v>
      </c>
      <c r="U2" cm="1">
        <f t="array" ref="U2">[1]!PropsSI("H","T",J2+273.15,"P",101325,"Water")</f>
        <v>233952.40972691041</v>
      </c>
      <c r="V2" cm="1">
        <f t="array" ref="V2">[1]!PropsSI("H","T",K2+273.15,"P",101325,"Water")</f>
        <v>209474.83560832494</v>
      </c>
      <c r="W2">
        <f>T2*Q2*(U2-V2)</f>
        <v>373.8846610178179</v>
      </c>
      <c r="Y2">
        <f>IF(A2&gt;=TIME(17,3,0),1,0)</f>
        <v>1</v>
      </c>
    </row>
    <row r="3" spans="1:27" x14ac:dyDescent="0.2">
      <c r="A3" s="1">
        <v>46066.7031712963</v>
      </c>
      <c r="B3" s="2">
        <v>17.769038999999999</v>
      </c>
      <c r="C3" s="2">
        <v>18.717516</v>
      </c>
      <c r="D3" s="2">
        <v>18.329567000000001</v>
      </c>
      <c r="E3" s="2">
        <v>18.732181000000001</v>
      </c>
      <c r="F3" s="2">
        <v>40.224463999999998</v>
      </c>
      <c r="G3" s="2">
        <v>36.135689999999997</v>
      </c>
      <c r="H3" s="2">
        <v>26.526947</v>
      </c>
      <c r="I3" s="2">
        <v>24.318469</v>
      </c>
      <c r="J3" s="2">
        <v>55.872546999999997</v>
      </c>
      <c r="K3" s="2">
        <v>50.060025000000003</v>
      </c>
      <c r="L3" s="2">
        <v>40.891682000000003</v>
      </c>
      <c r="M3" s="2">
        <v>-622.52448900000002</v>
      </c>
      <c r="N3" s="2">
        <v>0.92676499999999995</v>
      </c>
      <c r="O3" s="2">
        <v>1.3579889999999999</v>
      </c>
      <c r="P3" s="2"/>
      <c r="Q3">
        <f xml:space="preserve"> N3*0.001/60</f>
        <v>1.5446083333333334E-5</v>
      </c>
      <c r="R3" cm="1">
        <f t="array" ref="R3">[1]!PropsSI("D","T",J3+273.15,"P",101325,"Water")</f>
        <v>985.26824901680709</v>
      </c>
      <c r="S3" cm="1">
        <f t="array" ref="S3">[1]!PropsSI("D","T",J3+273.15,"P",101325,"Water")</f>
        <v>985.26824901680709</v>
      </c>
      <c r="T3">
        <f>(R3+S3)/2</f>
        <v>985.26824901680709</v>
      </c>
      <c r="U3" cm="1">
        <f t="array" ref="U3">[1]!PropsSI("H","T",J3+273.15,"P",101325,"Water")</f>
        <v>233979.04046667606</v>
      </c>
      <c r="V3" cm="1">
        <f t="array" ref="V3">[1]!PropsSI("H","T",K3+273.15,"P",101325,"Water")</f>
        <v>209669.47757712085</v>
      </c>
      <c r="W3">
        <f t="shared" ref="W3:W36" si="0">T3*Q3*(U3-V3)</f>
        <v>369.9559453380121</v>
      </c>
      <c r="Y3">
        <f>IF(A2&gt;=$Z$1,1,0)</f>
        <v>1</v>
      </c>
    </row>
    <row r="4" spans="1:27" x14ac:dyDescent="0.2">
      <c r="A4" s="1">
        <v>46066.703287037039</v>
      </c>
      <c r="B4" s="2">
        <v>17.855094000000001</v>
      </c>
      <c r="C4" s="2">
        <v>18.678166000000001</v>
      </c>
      <c r="D4" s="2">
        <v>18.366420000000002</v>
      </c>
      <c r="E4" s="2">
        <v>18.697569000000001</v>
      </c>
      <c r="F4" s="2">
        <v>39.242100999999998</v>
      </c>
      <c r="G4" s="2">
        <v>37.130271999999998</v>
      </c>
      <c r="H4" s="2">
        <v>26.194521999999999</v>
      </c>
      <c r="I4" s="2">
        <v>23.302648999999999</v>
      </c>
      <c r="J4" s="2">
        <v>55.882095999999997</v>
      </c>
      <c r="K4" s="2">
        <v>50.086399</v>
      </c>
      <c r="L4" s="2">
        <v>40.011726000000003</v>
      </c>
      <c r="M4" s="2">
        <v>-622.480817</v>
      </c>
      <c r="N4" s="2">
        <v>0.92868300000000004</v>
      </c>
      <c r="O4" s="2">
        <v>1.246122</v>
      </c>
      <c r="P4" s="2"/>
      <c r="Q4" s="5">
        <f xml:space="preserve"> N4*0.001/60</f>
        <v>1.547805E-5</v>
      </c>
      <c r="R4" cm="1">
        <f t="array" ref="R4">[1]!PropsSI("D","T",J4+273.15,"P",101325,"Water")</f>
        <v>985.26357368056802</v>
      </c>
      <c r="S4" cm="1">
        <f t="array" ref="S4">[1]!PropsSI("D","T",J4+273.15,"P",101325,"Water")</f>
        <v>985.26357368056802</v>
      </c>
      <c r="T4">
        <f t="shared" ref="T4:T36" si="1">(R4+S4)/2</f>
        <v>985.26357368056802</v>
      </c>
      <c r="U4" cm="1">
        <f t="array" ref="U4">[1]!PropsSI("H","T",J4+273.15,"P",101325,"Water")</f>
        <v>234018.98660473275</v>
      </c>
      <c r="V4" cm="1">
        <f t="array" ref="V4">[1]!PropsSI("H","T",K4+273.15,"P",101325,"Water")</f>
        <v>209779.75684648968</v>
      </c>
      <c r="W4">
        <f t="shared" si="0"/>
        <v>369.64725652903923</v>
      </c>
      <c r="Y4">
        <f t="shared" ref="Y4:Y36" si="2">IF(A3&gt;=$Z$1,1,0)</f>
        <v>1</v>
      </c>
    </row>
    <row r="5" spans="1:27" x14ac:dyDescent="0.2">
      <c r="A5" s="1">
        <v>46066.703402777777</v>
      </c>
      <c r="B5" s="2">
        <v>17.858862999999999</v>
      </c>
      <c r="C5" s="2">
        <v>18.592445000000001</v>
      </c>
      <c r="D5" s="2">
        <v>18.376994</v>
      </c>
      <c r="E5" s="2">
        <v>18.685030000000001</v>
      </c>
      <c r="F5" s="2">
        <v>39.739711999999997</v>
      </c>
      <c r="G5" s="2">
        <v>36.241768</v>
      </c>
      <c r="H5" s="2">
        <v>26.714631000000001</v>
      </c>
      <c r="I5" s="2">
        <v>24.047816999999998</v>
      </c>
      <c r="J5" s="2">
        <v>55.887667</v>
      </c>
      <c r="K5" s="2">
        <v>50.122304999999997</v>
      </c>
      <c r="L5" s="2">
        <v>40.679856000000001</v>
      </c>
      <c r="M5" s="2">
        <v>-622.49918400000001</v>
      </c>
      <c r="N5" s="2">
        <v>0.92968700000000004</v>
      </c>
      <c r="O5" s="2">
        <v>1.203576</v>
      </c>
      <c r="P5" s="2"/>
      <c r="Q5" s="5">
        <f xml:space="preserve"> N5*0.001/60</f>
        <v>1.5494783333333336E-5</v>
      </c>
      <c r="R5" cm="1">
        <f t="array" ref="R5">[1]!PropsSI("D","T",J5+273.15,"P",101325,"Water")</f>
        <v>985.26084577481367</v>
      </c>
      <c r="S5" cm="1">
        <f t="array" ref="S5">[1]!PropsSI("D","T",J5+273.15,"P",101325,"Water")</f>
        <v>985.26084577481367</v>
      </c>
      <c r="T5">
        <f t="shared" si="1"/>
        <v>985.26084577481367</v>
      </c>
      <c r="U5" cm="1">
        <f t="array" ref="U5">[1]!PropsSI("H","T",J5+273.15,"P",101325,"Water")</f>
        <v>234042.29167185782</v>
      </c>
      <c r="V5" cm="1">
        <f t="array" ref="V5">[1]!PropsSI("H","T",K5+273.15,"P",101325,"Water")</f>
        <v>209929.89318651555</v>
      </c>
      <c r="W5">
        <f t="shared" si="0"/>
        <v>368.10960058149175</v>
      </c>
      <c r="Y5">
        <f t="shared" si="2"/>
        <v>1</v>
      </c>
    </row>
    <row r="6" spans="1:27" x14ac:dyDescent="0.2">
      <c r="A6" s="1">
        <v>46066.703518518516</v>
      </c>
      <c r="B6" s="2">
        <v>17.774836000000001</v>
      </c>
      <c r="C6" s="2">
        <v>18.518954000000001</v>
      </c>
      <c r="D6" s="2">
        <v>18.375032000000001</v>
      </c>
      <c r="E6" s="2">
        <v>18.626933999999999</v>
      </c>
      <c r="F6" s="2">
        <v>40.836087999999997</v>
      </c>
      <c r="G6" s="2">
        <v>36.302098999999998</v>
      </c>
      <c r="H6" s="2">
        <v>26.798342000000002</v>
      </c>
      <c r="I6" s="2">
        <v>24.542275</v>
      </c>
      <c r="J6" s="2">
        <v>55.895465000000002</v>
      </c>
      <c r="K6" s="2">
        <v>50.134855999999999</v>
      </c>
      <c r="L6" s="2">
        <v>45.753478999999999</v>
      </c>
      <c r="M6" s="2">
        <v>-622.49632699999995</v>
      </c>
      <c r="N6" s="2">
        <v>0.931728</v>
      </c>
      <c r="O6" s="2">
        <v>0.913659</v>
      </c>
      <c r="P6" s="2"/>
      <c r="Q6" s="5">
        <f xml:space="preserve"> N6*0.001/60</f>
        <v>1.5528799999999999E-5</v>
      </c>
      <c r="R6" cm="1">
        <f t="array" ref="R6">[1]!PropsSI("D","T",J6+273.15,"P",101325,"Water")</f>
        <v>985.25702707163487</v>
      </c>
      <c r="S6" cm="1">
        <f t="array" ref="S6">[1]!PropsSI("D","T",J6+273.15,"P",101325,"Water")</f>
        <v>985.25702707163487</v>
      </c>
      <c r="T6">
        <f t="shared" si="1"/>
        <v>985.25702707163487</v>
      </c>
      <c r="U6" cm="1">
        <f t="array" ref="U6">[1]!PropsSI("H","T",J6+273.15,"P",101325,"Water")</f>
        <v>234074.9129288377</v>
      </c>
      <c r="V6" cm="1">
        <f t="array" ref="V6">[1]!PropsSI("H","T",K6+273.15,"P",101325,"Water")</f>
        <v>209982.37367203657</v>
      </c>
      <c r="W6">
        <f>T6*Q6*(U6-V6)</f>
        <v>368.6124613385789</v>
      </c>
      <c r="Y6">
        <f t="shared" si="2"/>
        <v>1</v>
      </c>
    </row>
    <row r="7" spans="1:27" x14ac:dyDescent="0.2">
      <c r="A7" s="1">
        <v>46066.703634259262</v>
      </c>
      <c r="B7" s="2">
        <v>17.776879999999998</v>
      </c>
      <c r="C7" s="2">
        <v>18.358015999999999</v>
      </c>
      <c r="D7" s="2">
        <v>18.386469999999999</v>
      </c>
      <c r="E7" s="2">
        <v>18.665818000000002</v>
      </c>
      <c r="F7" s="2">
        <v>39.974327000000002</v>
      </c>
      <c r="G7" s="2">
        <v>36.067410000000002</v>
      </c>
      <c r="H7" s="2">
        <v>25.013057</v>
      </c>
      <c r="I7" s="2">
        <v>24.202760000000001</v>
      </c>
      <c r="J7" s="2">
        <v>55.904218</v>
      </c>
      <c r="K7" s="2">
        <v>50.146613000000002</v>
      </c>
      <c r="L7" s="2">
        <v>43.946630999999996</v>
      </c>
      <c r="M7" s="2">
        <v>-622.51755000000003</v>
      </c>
      <c r="N7" s="2">
        <v>0.92602799999999996</v>
      </c>
      <c r="O7" s="2">
        <v>1.3929990000000001</v>
      </c>
      <c r="P7" s="2"/>
      <c r="Q7" s="5">
        <f xml:space="preserve"> N7*0.001/60</f>
        <v>1.5433799999999998E-5</v>
      </c>
      <c r="R7" cm="1">
        <f t="array" ref="R7">[1]!PropsSI("D","T",J7+273.15,"P",101325,"Water")</f>
        <v>985.25274025667522</v>
      </c>
      <c r="S7" cm="1">
        <f t="array" ref="S7">[1]!PropsSI("D","T",J7+273.15,"P",101325,"Water")</f>
        <v>985.25274025667522</v>
      </c>
      <c r="T7">
        <f t="shared" si="1"/>
        <v>985.25274025667522</v>
      </c>
      <c r="U7" cm="1">
        <f t="array" ref="U7">[1]!PropsSI("H","T",J7+273.15,"P",101325,"Water")</f>
        <v>234111.5292501887</v>
      </c>
      <c r="V7" cm="1">
        <f t="array" ref="V7">[1]!PropsSI("H","T",K7+273.15,"P",101325,"Water")</f>
        <v>210031.53418353738</v>
      </c>
      <c r="W7">
        <f t="shared" si="0"/>
        <v>366.16507030371332</v>
      </c>
      <c r="Y7">
        <f t="shared" si="2"/>
        <v>1</v>
      </c>
    </row>
    <row r="8" spans="1:27" x14ac:dyDescent="0.2">
      <c r="A8" s="1">
        <v>46066.703750000001</v>
      </c>
      <c r="B8" s="2">
        <v>17.935288</v>
      </c>
      <c r="C8" s="2">
        <v>18.808873999999999</v>
      </c>
      <c r="D8" s="2">
        <v>18.449224000000001</v>
      </c>
      <c r="E8" s="2">
        <v>18.764510999999999</v>
      </c>
      <c r="F8" s="2">
        <v>40.258781999999997</v>
      </c>
      <c r="G8" s="2">
        <v>37.600822000000001</v>
      </c>
      <c r="H8" s="2">
        <v>26.153717</v>
      </c>
      <c r="I8" s="2">
        <v>25.404271000000001</v>
      </c>
      <c r="J8" s="2">
        <v>55.915517999999999</v>
      </c>
      <c r="K8" s="2">
        <v>50.151221</v>
      </c>
      <c r="L8" s="2">
        <v>44.449871000000002</v>
      </c>
      <c r="M8" s="2">
        <v>-622.50938699999995</v>
      </c>
      <c r="N8" s="2">
        <v>0.92769999999999997</v>
      </c>
      <c r="O8" s="2">
        <v>1.09833</v>
      </c>
      <c r="P8" s="2"/>
      <c r="Q8" s="5">
        <f>N8*0.001/60</f>
        <v>1.5461666666666665E-5</v>
      </c>
      <c r="R8" cm="1">
        <f t="array" ref="R8">[1]!PropsSI("D","T",J8+273.15,"P",101325,"Water")</f>
        <v>985.24720534203027</v>
      </c>
      <c r="S8" cm="1">
        <f t="array" ref="S8">[1]!PropsSI("D","T",J8+273.15,"P",101325,"Water")</f>
        <v>985.24720534203027</v>
      </c>
      <c r="T8">
        <f t="shared" si="1"/>
        <v>985.24720534203027</v>
      </c>
      <c r="U8" cm="1">
        <f t="array" ref="U8">[1]!PropsSI("H","T",J8+273.15,"P",101325,"Water")</f>
        <v>234158.80044914072</v>
      </c>
      <c r="V8" cm="1">
        <f t="array" ref="V8">[1]!PropsSI("H","T",K8+273.15,"P",101325,"Water")</f>
        <v>210050.80200381088</v>
      </c>
      <c r="W8">
        <f t="shared" si="0"/>
        <v>367.25073417346579</v>
      </c>
      <c r="Y8">
        <f t="shared" si="2"/>
        <v>1</v>
      </c>
    </row>
    <row r="9" spans="1:27" x14ac:dyDescent="0.2">
      <c r="A9" s="1">
        <v>46066.703865740739</v>
      </c>
      <c r="B9" s="2">
        <v>17.873792000000002</v>
      </c>
      <c r="C9" s="2">
        <v>18.590074999999999</v>
      </c>
      <c r="D9" s="2">
        <v>18.331254000000001</v>
      </c>
      <c r="E9" s="2">
        <v>18.697122</v>
      </c>
      <c r="F9" s="2">
        <v>40.281492</v>
      </c>
      <c r="G9" s="2">
        <v>37.117462000000003</v>
      </c>
      <c r="H9" s="2">
        <v>26.334215</v>
      </c>
      <c r="I9" s="2">
        <v>23.416969000000002</v>
      </c>
      <c r="J9" s="2">
        <v>55.922203000000003</v>
      </c>
      <c r="K9" s="2">
        <v>50.179977999999998</v>
      </c>
      <c r="L9" s="2">
        <v>40.179471999999997</v>
      </c>
      <c r="M9" s="2">
        <v>-622.46530800000005</v>
      </c>
      <c r="N9" s="2">
        <v>0.92600700000000002</v>
      </c>
      <c r="O9" s="2">
        <v>1.461964</v>
      </c>
      <c r="P9" s="2"/>
      <c r="Q9" s="5">
        <f>N9*0.001/60</f>
        <v>1.543345E-5</v>
      </c>
      <c r="R9" cm="1">
        <f t="array" ref="R9">[1]!PropsSI("D","T",J9+273.15,"P",101325,"Water")</f>
        <v>985.24393055604253</v>
      </c>
      <c r="S9" cm="1">
        <f t="array" ref="S9">[1]!PropsSI("D","T",J9+273.15,"P",101325,"Water")</f>
        <v>985.24393055604253</v>
      </c>
      <c r="T9">
        <f t="shared" si="1"/>
        <v>985.24393055604253</v>
      </c>
      <c r="U9" cm="1">
        <f t="array" ref="U9">[1]!PropsSI("H","T",J9+273.15,"P",101325,"Water")</f>
        <v>234186.76577831013</v>
      </c>
      <c r="V9" cm="1">
        <f t="array" ref="V9">[1]!PropsSI("H","T",K9+273.15,"P",101325,"Water")</f>
        <v>210171.04621817672</v>
      </c>
      <c r="W9">
        <f t="shared" si="0"/>
        <v>365.17613767989604</v>
      </c>
      <c r="Y9">
        <f t="shared" si="2"/>
        <v>1</v>
      </c>
    </row>
    <row r="10" spans="1:27" x14ac:dyDescent="0.2">
      <c r="A10" s="1">
        <v>46066.703981481478</v>
      </c>
      <c r="B10" s="2">
        <v>17.668633</v>
      </c>
      <c r="C10" s="2">
        <v>18.211099000000001</v>
      </c>
      <c r="D10" s="2">
        <v>18.345523</v>
      </c>
      <c r="E10" s="2">
        <v>18.319903</v>
      </c>
      <c r="F10" s="2">
        <v>39.943097999999999</v>
      </c>
      <c r="G10" s="2">
        <v>36.256822999999997</v>
      </c>
      <c r="H10" s="2">
        <v>25.279143999999999</v>
      </c>
      <c r="I10" s="2">
        <v>23.683408</v>
      </c>
      <c r="J10" s="2">
        <v>55.933821000000002</v>
      </c>
      <c r="K10" s="2">
        <v>50.172351999999997</v>
      </c>
      <c r="L10" s="2">
        <v>43.221769000000002</v>
      </c>
      <c r="M10" s="2">
        <v>-622.49224500000003</v>
      </c>
      <c r="N10" s="2">
        <v>0.92766300000000002</v>
      </c>
      <c r="O10" s="2">
        <v>1.3119099999999999</v>
      </c>
      <c r="P10" s="2"/>
      <c r="Q10" s="5">
        <f>N10*0.001/60</f>
        <v>1.546105E-5</v>
      </c>
      <c r="R10" cm="1">
        <f t="array" ref="R10">[1]!PropsSI("D","T",J10+273.15,"P",101325,"Water")</f>
        <v>985.23823858386447</v>
      </c>
      <c r="S10" cm="1">
        <f t="array" ref="S10">[1]!PropsSI("D","T",J10+273.15,"P",101325,"Water")</f>
        <v>985.23823858386447</v>
      </c>
      <c r="T10">
        <f t="shared" si="1"/>
        <v>985.23823858386447</v>
      </c>
      <c r="U10" cm="1">
        <f t="array" ref="U10">[1]!PropsSI("H","T",J10+273.15,"P",101325,"Water")</f>
        <v>234235.36734326123</v>
      </c>
      <c r="V10" cm="1">
        <f t="array" ref="V10">[1]!PropsSI("H","T",K10+273.15,"P",101325,"Water")</f>
        <v>210139.15891979629</v>
      </c>
      <c r="W10">
        <f t="shared" si="0"/>
        <v>367.05314942059971</v>
      </c>
      <c r="Y10">
        <f t="shared" si="2"/>
        <v>1</v>
      </c>
    </row>
    <row r="11" spans="1:27" x14ac:dyDescent="0.2">
      <c r="A11" s="1">
        <v>46066.704097222224</v>
      </c>
      <c r="B11" s="2">
        <v>17.720393999999999</v>
      </c>
      <c r="C11" s="2">
        <v>18.284528000000002</v>
      </c>
      <c r="D11" s="2">
        <v>18.329684</v>
      </c>
      <c r="E11" s="2">
        <v>18.586936000000001</v>
      </c>
      <c r="F11" s="2">
        <v>39.938313999999998</v>
      </c>
      <c r="G11" s="2">
        <v>37.553545</v>
      </c>
      <c r="H11" s="2">
        <v>25.552461000000001</v>
      </c>
      <c r="I11" s="2">
        <v>24.084489000000001</v>
      </c>
      <c r="J11" s="2">
        <v>55.935890000000001</v>
      </c>
      <c r="K11" s="2">
        <v>50.172033999999996</v>
      </c>
      <c r="L11" s="2">
        <v>41.023103999999996</v>
      </c>
      <c r="M11" s="2">
        <v>-622.48204199999998</v>
      </c>
      <c r="N11" s="2">
        <v>0.92457299999999998</v>
      </c>
      <c r="O11" s="2">
        <v>1.5894489999999999</v>
      </c>
      <c r="P11" s="2"/>
      <c r="Q11" s="5">
        <f>N11*0.001/60</f>
        <v>1.5409550000000002E-5</v>
      </c>
      <c r="R11" cm="1">
        <f t="array" ref="R11">[1]!PropsSI("D","T",J11+273.15,"P",101325,"Water")</f>
        <v>985.23722483779784</v>
      </c>
      <c r="S11" cm="1">
        <f t="array" ref="S11">[1]!PropsSI("D","T",J11+273.15,"P",101325,"Water")</f>
        <v>985.23722483779784</v>
      </c>
      <c r="T11">
        <f t="shared" si="1"/>
        <v>985.23722483779784</v>
      </c>
      <c r="U11" cm="1">
        <f t="array" ref="U11">[1]!PropsSI("H","T",J11+273.15,"P",101325,"Water")</f>
        <v>234244.02259369026</v>
      </c>
      <c r="V11" cm="1">
        <f t="array" ref="V11">[1]!PropsSI("H","T",K11+273.15,"P",101325,"Water")</f>
        <v>210137.82923737413</v>
      </c>
      <c r="W11">
        <f t="shared" si="0"/>
        <v>365.98172882108418</v>
      </c>
      <c r="Y11">
        <f t="shared" si="2"/>
        <v>1</v>
      </c>
      <c r="AA11" t="s">
        <v>23</v>
      </c>
    </row>
    <row r="12" spans="1:27" x14ac:dyDescent="0.2">
      <c r="A12" s="1">
        <v>46066.704212962963</v>
      </c>
      <c r="B12" s="2">
        <v>17.349219999999999</v>
      </c>
      <c r="C12" s="2">
        <v>17.591270999999999</v>
      </c>
      <c r="D12" s="2">
        <v>18.200419</v>
      </c>
      <c r="E12" s="2">
        <v>17.836945</v>
      </c>
      <c r="F12" s="2">
        <v>40.356085</v>
      </c>
      <c r="G12" s="2">
        <v>36.656685000000003</v>
      </c>
      <c r="H12" s="2">
        <v>25.263358</v>
      </c>
      <c r="I12" s="2">
        <v>22.941157</v>
      </c>
      <c r="J12" s="2">
        <v>55.939549999999997</v>
      </c>
      <c r="K12" s="2">
        <v>50.166314</v>
      </c>
      <c r="L12" s="2">
        <v>39.860712999999997</v>
      </c>
      <c r="M12" s="2">
        <v>-622.50408100000004</v>
      </c>
      <c r="N12" s="2">
        <v>0.92615499999999995</v>
      </c>
      <c r="O12" s="2">
        <v>0.75878900000000005</v>
      </c>
      <c r="P12" s="2"/>
      <c r="Q12" s="5">
        <f>N12*0.001/60</f>
        <v>1.5435916666666666E-5</v>
      </c>
      <c r="R12" cm="1">
        <f t="array" ref="R12">[1]!PropsSI("D","T",J12+273.15,"P",101325,"Water")</f>
        <v>985.2354314864474</v>
      </c>
      <c r="S12" cm="1">
        <f t="array" ref="S12">[1]!PropsSI("D","T",J12+273.15,"P",101325,"Water")</f>
        <v>985.2354314864474</v>
      </c>
      <c r="T12">
        <f t="shared" si="1"/>
        <v>985.2354314864474</v>
      </c>
      <c r="U12" cm="1">
        <f t="array" ref="U12">[1]!PropsSI("H","T",J12+273.15,"P",101325,"Water")</f>
        <v>234259.33348049416</v>
      </c>
      <c r="V12" cm="1">
        <f t="array" ref="V12">[1]!PropsSI("H","T",K12+273.15,"P",101325,"Water")</f>
        <v>210113.91168426131</v>
      </c>
      <c r="W12">
        <f t="shared" si="0"/>
        <v>367.20386484404366</v>
      </c>
      <c r="Y12">
        <f t="shared" si="2"/>
        <v>1</v>
      </c>
      <c r="AA12">
        <f>AVERAGEIF(Y2:Y31,1,W2:W31)</f>
        <v>368.55276308563862</v>
      </c>
    </row>
    <row r="13" spans="1:27" x14ac:dyDescent="0.2">
      <c r="A13" s="1">
        <v>46066.704328703701</v>
      </c>
      <c r="B13" s="2">
        <v>17.409182000000001</v>
      </c>
      <c r="C13" s="2">
        <v>17.804627</v>
      </c>
      <c r="D13" s="2">
        <v>18.346257000000001</v>
      </c>
      <c r="E13" s="2">
        <v>18.336611999999999</v>
      </c>
      <c r="F13" s="2">
        <v>39.982039</v>
      </c>
      <c r="G13" s="2">
        <v>35.370344000000003</v>
      </c>
      <c r="H13" s="2">
        <v>26.064878</v>
      </c>
      <c r="I13" s="2">
        <v>25.015163000000001</v>
      </c>
      <c r="J13" s="2">
        <v>55.942574</v>
      </c>
      <c r="K13" s="2">
        <v>50.138827999999997</v>
      </c>
      <c r="L13" s="2">
        <v>37.669393999999997</v>
      </c>
      <c r="M13" s="2">
        <v>-622.47918500000003</v>
      </c>
      <c r="N13" s="2">
        <v>0.92883899999999997</v>
      </c>
      <c r="O13" s="2">
        <v>1.310792</v>
      </c>
      <c r="P13" s="2"/>
      <c r="Q13" s="5">
        <f>N13*0.001/60</f>
        <v>1.5480649999999999E-5</v>
      </c>
      <c r="R13" cm="1">
        <f t="array" ref="R13">[1]!PropsSI("D","T",J13+273.15,"P",101325,"Water")</f>
        <v>985.2339497045059</v>
      </c>
      <c r="S13" cm="1">
        <f t="array" ref="S13">[1]!PropsSI("D","T",J13+273.15,"P",101325,"Water")</f>
        <v>985.2339497045059</v>
      </c>
      <c r="T13">
        <f t="shared" si="1"/>
        <v>985.2339497045059</v>
      </c>
      <c r="U13" cm="1">
        <f t="array" ref="U13">[1]!PropsSI("H","T",J13+273.15,"P",101325,"Water")</f>
        <v>234271.98379075265</v>
      </c>
      <c r="V13" cm="1">
        <f t="array" ref="V13">[1]!PropsSI("H","T",K13+273.15,"P",101325,"Water")</f>
        <v>209998.98211808866</v>
      </c>
      <c r="W13">
        <f t="shared" si="0"/>
        <v>370.21332506598179</v>
      </c>
      <c r="Y13">
        <f t="shared" si="2"/>
        <v>1</v>
      </c>
    </row>
    <row r="14" spans="1:27" x14ac:dyDescent="0.2">
      <c r="A14" s="1">
        <v>46066.704444444447</v>
      </c>
      <c r="B14" s="2">
        <v>17.412904000000001</v>
      </c>
      <c r="C14" s="2">
        <v>17.775220000000001</v>
      </c>
      <c r="D14" s="2">
        <v>18.268412000000001</v>
      </c>
      <c r="E14" s="2">
        <v>18.151752999999999</v>
      </c>
      <c r="F14" s="2">
        <v>40.094499999999996</v>
      </c>
      <c r="G14" s="2">
        <v>37.749842000000001</v>
      </c>
      <c r="H14" s="2">
        <v>26.804013999999999</v>
      </c>
      <c r="I14" s="2">
        <v>25.112500000000001</v>
      </c>
      <c r="J14" s="2">
        <v>55.947986</v>
      </c>
      <c r="K14" s="2">
        <v>50.151696999999999</v>
      </c>
      <c r="L14" s="2">
        <v>38.847293999999998</v>
      </c>
      <c r="M14" s="2">
        <v>-622.480817</v>
      </c>
      <c r="N14" s="2">
        <v>0.92814600000000003</v>
      </c>
      <c r="O14" s="2">
        <v>0.75530699999999995</v>
      </c>
      <c r="P14" s="2"/>
      <c r="Q14" s="5">
        <f>N14*0.001/60</f>
        <v>1.5469100000000001E-5</v>
      </c>
      <c r="R14" cm="1">
        <f t="array" ref="R14">[1]!PropsSI("D","T",J14+273.15,"P",101325,"Water")</f>
        <v>985.23129764489602</v>
      </c>
      <c r="S14" cm="1">
        <f t="array" ref="S14">[1]!PropsSI("D","T",J14+273.15,"P",101325,"Water")</f>
        <v>985.23129764489602</v>
      </c>
      <c r="T14">
        <f t="shared" si="1"/>
        <v>985.23129764489602</v>
      </c>
      <c r="U14" cm="1">
        <f t="array" ref="U14">[1]!PropsSI("H","T",J14+273.15,"P",101325,"Water")</f>
        <v>234294.62383875891</v>
      </c>
      <c r="V14" cm="1">
        <f t="array" ref="V14">[1]!PropsSI("H","T",K14+273.15,"P",101325,"Water")</f>
        <v>210052.79234320778</v>
      </c>
      <c r="W14">
        <f t="shared" si="0"/>
        <v>369.46106231254566</v>
      </c>
      <c r="Y14">
        <f t="shared" si="2"/>
        <v>1</v>
      </c>
    </row>
    <row r="15" spans="1:27" x14ac:dyDescent="0.2">
      <c r="A15" s="1">
        <v>46066.704560185186</v>
      </c>
      <c r="B15" s="2">
        <v>17.430838000000001</v>
      </c>
      <c r="C15" s="2">
        <v>17.762620999999999</v>
      </c>
      <c r="D15" s="2">
        <v>18.323219999999999</v>
      </c>
      <c r="E15" s="2">
        <v>18.027584000000001</v>
      </c>
      <c r="F15" s="2">
        <v>40.011640999999997</v>
      </c>
      <c r="G15" s="2">
        <v>36.26896</v>
      </c>
      <c r="H15" s="2">
        <v>25.652802999999999</v>
      </c>
      <c r="I15" s="2">
        <v>23.809497</v>
      </c>
      <c r="J15" s="2">
        <v>55.953397000000002</v>
      </c>
      <c r="K15" s="2">
        <v>50.143276999999998</v>
      </c>
      <c r="L15" s="2">
        <v>35.418078000000001</v>
      </c>
      <c r="M15" s="2">
        <v>-622.49591899999996</v>
      </c>
      <c r="N15" s="2">
        <v>0.92593000000000003</v>
      </c>
      <c r="O15" s="2">
        <v>1.31524</v>
      </c>
      <c r="P15" s="2"/>
      <c r="Q15" s="5">
        <f>N15*0.001/60</f>
        <v>1.5432166666666668E-5</v>
      </c>
      <c r="R15" cm="1">
        <f t="array" ref="R15">[1]!PropsSI("D","T",J15+273.15,"P",101325,"Water")</f>
        <v>985.22864589531048</v>
      </c>
      <c r="S15" cm="1">
        <f t="array" ref="S15">[1]!PropsSI("D","T",J15+273.15,"P",101325,"Water")</f>
        <v>985.22864589531048</v>
      </c>
      <c r="T15">
        <f t="shared" si="1"/>
        <v>985.22864589531048</v>
      </c>
      <c r="U15" cm="1">
        <f t="array" ref="U15">[1]!PropsSI("H","T",J15+273.15,"P",101325,"Water")</f>
        <v>234317.25971450584</v>
      </c>
      <c r="V15" cm="1">
        <f t="array" ref="V15">[1]!PropsSI("H","T",K15+273.15,"P",101325,"Water")</f>
        <v>210017.58508822578</v>
      </c>
      <c r="W15">
        <f t="shared" si="0"/>
        <v>369.45742078677256</v>
      </c>
      <c r="Y15">
        <f t="shared" si="2"/>
        <v>1</v>
      </c>
    </row>
    <row r="16" spans="1:27" x14ac:dyDescent="0.2">
      <c r="A16" s="1">
        <v>46066.704675925925</v>
      </c>
      <c r="B16" s="2">
        <v>17.592296000000001</v>
      </c>
      <c r="C16" s="2">
        <v>18.225749</v>
      </c>
      <c r="D16" s="2">
        <v>18.244655999999999</v>
      </c>
      <c r="E16" s="2">
        <v>18.655861000000002</v>
      </c>
      <c r="F16" s="2">
        <v>40.192661999999999</v>
      </c>
      <c r="G16" s="2">
        <v>36.695169</v>
      </c>
      <c r="H16" s="2">
        <v>26.432514000000001</v>
      </c>
      <c r="I16" s="2">
        <v>24.320948999999999</v>
      </c>
      <c r="J16" s="2">
        <v>55.960718</v>
      </c>
      <c r="K16" s="2">
        <v>50.159165000000002</v>
      </c>
      <c r="L16" s="2">
        <v>43.722968000000002</v>
      </c>
      <c r="M16" s="2">
        <v>-622.51673400000004</v>
      </c>
      <c r="N16" s="2">
        <v>0.92987200000000003</v>
      </c>
      <c r="O16" s="2">
        <v>1.0209520000000001</v>
      </c>
      <c r="P16" s="2"/>
      <c r="Q16" s="5">
        <f>N16*0.001/60</f>
        <v>1.5497866666666669E-5</v>
      </c>
      <c r="R16" cm="1">
        <f t="array" ref="R16">[1]!PropsSI("D","T",J16+273.15,"P",101325,"Water")</f>
        <v>985.22505783233396</v>
      </c>
      <c r="S16" cm="1">
        <f t="array" ref="S16">[1]!PropsSI("D","T",J16+273.15,"P",101325,"Water")</f>
        <v>985.22505783233396</v>
      </c>
      <c r="T16">
        <f t="shared" si="1"/>
        <v>985.22505783233396</v>
      </c>
      <c r="U16" cm="1">
        <f t="array" ref="U16">[1]!PropsSI("H","T",J16+273.15,"P",101325,"Water")</f>
        <v>234347.88572460911</v>
      </c>
      <c r="V16" cm="1">
        <f t="array" ref="V16">[1]!PropsSI("H","T",K16+273.15,"P",101325,"Water")</f>
        <v>210084.01893744018</v>
      </c>
      <c r="W16">
        <f t="shared" si="0"/>
        <v>370.48223003695551</v>
      </c>
      <c r="Y16">
        <f t="shared" si="2"/>
        <v>1</v>
      </c>
    </row>
    <row r="17" spans="1:25" x14ac:dyDescent="0.2">
      <c r="A17" s="1">
        <v>46066.704791666663</v>
      </c>
      <c r="B17" s="2">
        <v>17.482500000000002</v>
      </c>
      <c r="C17" s="2">
        <v>17.891907</v>
      </c>
      <c r="D17" s="2">
        <v>18.190394000000001</v>
      </c>
      <c r="E17" s="2">
        <v>18.201414</v>
      </c>
      <c r="F17" s="2">
        <v>40.263129999999997</v>
      </c>
      <c r="G17" s="2">
        <v>36.755161999999999</v>
      </c>
      <c r="H17" s="2">
        <v>25.286995000000001</v>
      </c>
      <c r="I17" s="2">
        <v>23.212354999999999</v>
      </c>
      <c r="J17" s="2">
        <v>55.962786999999999</v>
      </c>
      <c r="K17" s="2">
        <v>50.188398999999997</v>
      </c>
      <c r="L17" s="2">
        <v>36.689442999999997</v>
      </c>
      <c r="M17" s="2">
        <v>-622.48857199999998</v>
      </c>
      <c r="N17" s="2">
        <v>0.92979800000000001</v>
      </c>
      <c r="O17" s="2">
        <v>1.321733</v>
      </c>
      <c r="P17" s="2"/>
      <c r="Q17" s="5">
        <f>N17*0.001/60</f>
        <v>1.5496633333333333E-5</v>
      </c>
      <c r="R17" cm="1">
        <f t="array" ref="R17">[1]!PropsSI("D","T",J17+273.15,"P",101325,"Water")</f>
        <v>985.2240437441601</v>
      </c>
      <c r="S17" cm="1">
        <f t="array" ref="S17">[1]!PropsSI("D","T",J17+273.15,"P",101325,"Water")</f>
        <v>985.2240437441601</v>
      </c>
      <c r="T17">
        <f t="shared" si="1"/>
        <v>985.2240437441601</v>
      </c>
      <c r="U17" cm="1">
        <f t="array" ref="U17">[1]!PropsSI("H","T",J17+273.15,"P",101325,"Water")</f>
        <v>234356.54099600794</v>
      </c>
      <c r="V17" cm="1">
        <f t="array" ref="V17">[1]!PropsSI("H","T",K17+273.15,"P",101325,"Water")</f>
        <v>210206.25774290884</v>
      </c>
      <c r="W17">
        <f t="shared" si="0"/>
        <v>368.71821114446533</v>
      </c>
      <c r="Y17">
        <f t="shared" si="2"/>
        <v>1</v>
      </c>
    </row>
    <row r="18" spans="1:25" x14ac:dyDescent="0.2">
      <c r="A18" s="1">
        <v>46066.704907407409</v>
      </c>
      <c r="B18" s="2">
        <v>17.448107</v>
      </c>
      <c r="C18" s="2">
        <v>17.845117999999999</v>
      </c>
      <c r="D18" s="2">
        <v>18.350042999999999</v>
      </c>
      <c r="E18" s="2">
        <v>18.007017000000001</v>
      </c>
      <c r="F18" s="2">
        <v>40.158506000000003</v>
      </c>
      <c r="G18" s="2">
        <v>36.537979</v>
      </c>
      <c r="H18" s="2">
        <v>26.084755999999999</v>
      </c>
      <c r="I18" s="2">
        <v>24.149787</v>
      </c>
      <c r="J18" s="2">
        <v>55.961514000000001</v>
      </c>
      <c r="K18" s="2">
        <v>50.179025000000003</v>
      </c>
      <c r="L18" s="2">
        <v>36.975143000000003</v>
      </c>
      <c r="M18" s="2">
        <v>-622.51591800000006</v>
      </c>
      <c r="N18" s="2">
        <v>0.93020400000000003</v>
      </c>
      <c r="O18" s="2">
        <v>1.027827</v>
      </c>
      <c r="P18" s="2"/>
      <c r="Q18" s="5">
        <f>N18*0.001/60</f>
        <v>1.5503400000000001E-5</v>
      </c>
      <c r="R18" cm="1">
        <f t="array" ref="R18">[1]!PropsSI("D","T",J18+273.15,"P",101325,"Water")</f>
        <v>985.22466768843492</v>
      </c>
      <c r="S18" cm="1">
        <f t="array" ref="S18">[1]!PropsSI("D","T",J18+273.15,"P",101325,"Water")</f>
        <v>985.22466768843492</v>
      </c>
      <c r="T18">
        <f t="shared" si="1"/>
        <v>985.22466768843492</v>
      </c>
      <c r="U18" cm="1">
        <f t="array" ref="U18">[1]!PropsSI("H","T",J18+273.15,"P",101325,"Water")</f>
        <v>234351.2156403352</v>
      </c>
      <c r="V18" cm="1">
        <f t="array" ref="V18">[1]!PropsSI("H","T",K18+273.15,"P",101325,"Water")</f>
        <v>210167.06135037655</v>
      </c>
      <c r="W18">
        <f t="shared" si="0"/>
        <v>369.39680449785084</v>
      </c>
      <c r="Y18">
        <f t="shared" si="2"/>
        <v>1</v>
      </c>
    </row>
    <row r="19" spans="1:25" x14ac:dyDescent="0.2">
      <c r="A19" s="1">
        <v>46066.705023148148</v>
      </c>
      <c r="B19" s="2">
        <v>17.636469000000002</v>
      </c>
      <c r="C19" s="2">
        <v>18.125105999999999</v>
      </c>
      <c r="D19" s="2">
        <v>18.315142999999999</v>
      </c>
      <c r="E19" s="2">
        <v>18.594987</v>
      </c>
      <c r="F19" s="2">
        <v>39.914839999999998</v>
      </c>
      <c r="G19" s="2">
        <v>36.017848999999998</v>
      </c>
      <c r="H19" s="2">
        <v>25.891995000000001</v>
      </c>
      <c r="I19" s="2">
        <v>23.735222</v>
      </c>
      <c r="J19" s="2">
        <v>55.959921999999999</v>
      </c>
      <c r="K19" s="2">
        <v>50.187762999999997</v>
      </c>
      <c r="L19" s="2">
        <v>32.956977000000002</v>
      </c>
      <c r="M19" s="2">
        <v>-622.47591999999997</v>
      </c>
      <c r="N19" s="2">
        <v>0.92681500000000006</v>
      </c>
      <c r="O19" s="2">
        <v>0.94678899999999999</v>
      </c>
      <c r="P19" s="2"/>
      <c r="Q19" s="5">
        <f>N19*0.001/60</f>
        <v>1.544691666666667E-5</v>
      </c>
      <c r="R19" cm="1">
        <f t="array" ref="R19">[1]!PropsSI("D","T",J19+273.15,"P",101325,"Water")</f>
        <v>985.22544797234923</v>
      </c>
      <c r="S19" cm="1">
        <f t="array" ref="S19">[1]!PropsSI("D","T",J19+273.15,"P",101325,"Water")</f>
        <v>985.22544797234923</v>
      </c>
      <c r="T19">
        <f t="shared" si="1"/>
        <v>985.22544797234923</v>
      </c>
      <c r="U19" cm="1">
        <f t="array" ref="U19">[1]!PropsSI("H","T",J19+273.15,"P",101325,"Water")</f>
        <v>234344.55580916468</v>
      </c>
      <c r="V19" cm="1">
        <f t="array" ref="V19">[1]!PropsSI("H","T",K19+273.15,"P",101325,"Water")</f>
        <v>210203.59837519159</v>
      </c>
      <c r="W19">
        <f t="shared" si="0"/>
        <v>367.39387767597145</v>
      </c>
      <c r="Y19">
        <f t="shared" si="2"/>
        <v>1</v>
      </c>
    </row>
    <row r="20" spans="1:25" x14ac:dyDescent="0.2">
      <c r="A20" s="1">
        <v>46066.705138888887</v>
      </c>
      <c r="B20" s="2">
        <v>17.609767999999999</v>
      </c>
      <c r="C20" s="2">
        <v>18.113862000000001</v>
      </c>
      <c r="D20" s="2">
        <v>18.300429000000001</v>
      </c>
      <c r="E20" s="2">
        <v>18.711461</v>
      </c>
      <c r="F20" s="2">
        <v>39.985351999999999</v>
      </c>
      <c r="G20" s="2">
        <v>37.554197000000002</v>
      </c>
      <c r="H20" s="2">
        <v>25.823871</v>
      </c>
      <c r="I20" s="2">
        <v>25.252593999999998</v>
      </c>
      <c r="J20" s="2">
        <v>55.958489999999998</v>
      </c>
      <c r="K20" s="2">
        <v>50.199997000000003</v>
      </c>
      <c r="L20" s="2">
        <v>38.259568999999999</v>
      </c>
      <c r="M20" s="2">
        <v>-622.46734900000001</v>
      </c>
      <c r="N20" s="2">
        <v>0.92673300000000003</v>
      </c>
      <c r="O20" s="2">
        <v>1.0107090000000001</v>
      </c>
      <c r="P20" s="2"/>
      <c r="Q20" s="5">
        <f>N20*0.001/60</f>
        <v>1.544555E-5</v>
      </c>
      <c r="R20" cm="1">
        <f t="array" ref="R20">[1]!PropsSI("D","T",J20+273.15,"P",101325,"Water")</f>
        <v>985.22614982244477</v>
      </c>
      <c r="S20" cm="1">
        <f t="array" ref="S20">[1]!PropsSI("D","T",J20+273.15,"P",101325,"Water")</f>
        <v>985.22614982244477</v>
      </c>
      <c r="T20">
        <f t="shared" si="1"/>
        <v>985.22614982244477</v>
      </c>
      <c r="U20" cm="1">
        <f t="array" ref="U20">[1]!PropsSI("H","T",J20+273.15,"P",101325,"Water")</f>
        <v>234338.56530848073</v>
      </c>
      <c r="V20" cm="1">
        <f t="array" ref="V20">[1]!PropsSI("H","T",K20+273.15,"P",101325,"Water")</f>
        <v>210254.75359173844</v>
      </c>
      <c r="W20">
        <f t="shared" si="0"/>
        <v>366.49202724699722</v>
      </c>
      <c r="Y20">
        <f t="shared" si="2"/>
        <v>1</v>
      </c>
    </row>
    <row r="21" spans="1:25" x14ac:dyDescent="0.2">
      <c r="A21" s="1">
        <v>46066.705254629633</v>
      </c>
      <c r="B21" s="2">
        <v>17.742267999999999</v>
      </c>
      <c r="C21" s="2">
        <v>18.261011</v>
      </c>
      <c r="D21" s="2">
        <v>18.284603000000001</v>
      </c>
      <c r="E21" s="2">
        <v>18.685562999999998</v>
      </c>
      <c r="F21" s="2">
        <v>40.152566</v>
      </c>
      <c r="G21" s="2">
        <v>34.926034000000001</v>
      </c>
      <c r="H21" s="2">
        <v>26.501597</v>
      </c>
      <c r="I21" s="2">
        <v>23.541505000000001</v>
      </c>
      <c r="J21" s="2">
        <v>55.958967000000001</v>
      </c>
      <c r="K21" s="2">
        <v>50.208894999999998</v>
      </c>
      <c r="L21" s="2">
        <v>41.597769</v>
      </c>
      <c r="M21" s="2">
        <v>-622.49020499999995</v>
      </c>
      <c r="N21" s="2">
        <v>0.92914600000000003</v>
      </c>
      <c r="O21" s="2">
        <v>1.0779339999999999</v>
      </c>
      <c r="P21" s="2"/>
      <c r="Q21" s="5">
        <f>N21*0.001/60</f>
        <v>1.5485766666666667E-5</v>
      </c>
      <c r="R21" cm="1">
        <f t="array" ref="R21">[1]!PropsSI("D","T",J21+273.15,"P",101325,"Water")</f>
        <v>985.22591603717865</v>
      </c>
      <c r="S21" cm="1">
        <f t="array" ref="S21">[1]!PropsSI("D","T",J21+273.15,"P",101325,"Water")</f>
        <v>985.22591603717865</v>
      </c>
      <c r="T21">
        <f t="shared" si="1"/>
        <v>985.22591603717865</v>
      </c>
      <c r="U21" cm="1">
        <f t="array" ref="U21">[1]!PropsSI("H","T",J21+273.15,"P",101325,"Water")</f>
        <v>234340.56074753695</v>
      </c>
      <c r="V21" cm="1">
        <f t="array" ref="V21">[1]!PropsSI("H","T",K21+273.15,"P",101325,"Water")</f>
        <v>210291.95969323919</v>
      </c>
      <c r="W21">
        <f t="shared" si="0"/>
        <v>366.90899284068621</v>
      </c>
      <c r="Y21">
        <f t="shared" si="2"/>
        <v>1</v>
      </c>
    </row>
    <row r="22" spans="1:25" x14ac:dyDescent="0.2">
      <c r="A22" s="1">
        <v>46066.705370370371</v>
      </c>
      <c r="B22" s="2">
        <v>17.574528000000001</v>
      </c>
      <c r="C22" s="2">
        <v>18.092760999999999</v>
      </c>
      <c r="D22" s="2">
        <v>18.297067999999999</v>
      </c>
      <c r="E22" s="2">
        <v>18.434010000000001</v>
      </c>
      <c r="F22" s="2">
        <v>40.205750999999999</v>
      </c>
      <c r="G22" s="2">
        <v>36.465403999999999</v>
      </c>
      <c r="H22" s="2">
        <v>25.278838</v>
      </c>
      <c r="I22" s="2">
        <v>23.675965000000001</v>
      </c>
      <c r="J22" s="2">
        <v>55.959763000000002</v>
      </c>
      <c r="K22" s="2">
        <v>50.230502999999999</v>
      </c>
      <c r="L22" s="2">
        <v>41.744700000000002</v>
      </c>
      <c r="M22" s="2">
        <v>-622.45918600000005</v>
      </c>
      <c r="N22" s="2">
        <v>0.93160900000000002</v>
      </c>
      <c r="O22" s="2">
        <v>0.961924</v>
      </c>
      <c r="P22" s="2"/>
      <c r="Q22" s="5">
        <f>N22*0.001/60</f>
        <v>1.5526816666666669E-5</v>
      </c>
      <c r="R22" cm="1">
        <f t="array" ref="R22">[1]!PropsSI("D","T",J22+273.15,"P",101325,"Water")</f>
        <v>985.22552590186297</v>
      </c>
      <c r="S22" cm="1">
        <f t="array" ref="S22">[1]!PropsSI("D","T",J22+273.15,"P",101325,"Water")</f>
        <v>985.22552590186297</v>
      </c>
      <c r="T22">
        <f t="shared" si="1"/>
        <v>985.22552590186297</v>
      </c>
      <c r="U22" cm="1">
        <f t="array" ref="U22">[1]!PropsSI("H","T",J22+273.15,"P",101325,"Water")</f>
        <v>234343.89066273352</v>
      </c>
      <c r="V22" cm="1">
        <f t="array" ref="V22">[1]!PropsSI("H","T",K22+273.15,"P",101325,"Water")</f>
        <v>210382.31148935249</v>
      </c>
      <c r="W22">
        <f t="shared" si="0"/>
        <v>366.55024741165255</v>
      </c>
      <c r="Y22">
        <f t="shared" si="2"/>
        <v>1</v>
      </c>
    </row>
    <row r="23" spans="1:25" x14ac:dyDescent="0.2">
      <c r="A23" s="1">
        <v>46066.70548611111</v>
      </c>
      <c r="B23" s="2">
        <v>17.464901000000001</v>
      </c>
      <c r="C23" s="2">
        <v>17.884222000000001</v>
      </c>
      <c r="D23" s="2">
        <v>18.180952999999999</v>
      </c>
      <c r="E23" s="2">
        <v>18.066779</v>
      </c>
      <c r="F23" s="2">
        <v>39.807487999999999</v>
      </c>
      <c r="G23" s="2">
        <v>37.585642</v>
      </c>
      <c r="H23" s="2">
        <v>26.060245999999999</v>
      </c>
      <c r="I23" s="2">
        <v>23.447479999999999</v>
      </c>
      <c r="J23" s="2">
        <v>55.969631</v>
      </c>
      <c r="K23" s="2">
        <v>50.224941999999999</v>
      </c>
      <c r="L23" s="2">
        <v>39.992542999999998</v>
      </c>
      <c r="M23" s="2">
        <v>-622.50857099999996</v>
      </c>
      <c r="N23" s="2">
        <v>0.92836799999999997</v>
      </c>
      <c r="O23" s="2">
        <v>1.1139479999999999</v>
      </c>
      <c r="P23" s="2"/>
      <c r="Q23" s="5">
        <f>N23*0.001/60</f>
        <v>1.5472799999999999E-5</v>
      </c>
      <c r="R23" cm="1">
        <f t="array" ref="R23">[1]!PropsSI("D","T",J23+273.15,"P",101325,"Water")</f>
        <v>985.22068907659354</v>
      </c>
      <c r="S23" cm="1">
        <f t="array" ref="S23">[1]!PropsSI("D","T",J23+273.15,"P",101325,"Water")</f>
        <v>985.22068907659354</v>
      </c>
      <c r="T23">
        <f t="shared" si="1"/>
        <v>985.22068907659354</v>
      </c>
      <c r="U23" cm="1">
        <f t="array" ref="U23">[1]!PropsSI("H","T",J23+273.15,"P",101325,"Water")</f>
        <v>234385.17159098672</v>
      </c>
      <c r="V23" cm="1">
        <f t="array" ref="V23">[1]!PropsSI("H","T",K23+273.15,"P",101325,"Water")</f>
        <v>210359.05868421434</v>
      </c>
      <c r="W23">
        <f t="shared" si="0"/>
        <v>366.2570126249795</v>
      </c>
      <c r="Y23">
        <f t="shared" si="2"/>
        <v>1</v>
      </c>
    </row>
    <row r="24" spans="1:25" x14ac:dyDescent="0.2">
      <c r="A24" s="1">
        <v>46066.705601851849</v>
      </c>
      <c r="B24" s="2">
        <v>17.187821</v>
      </c>
      <c r="C24" s="2">
        <v>17.623142999999999</v>
      </c>
      <c r="D24" s="2">
        <v>18.175612999999998</v>
      </c>
      <c r="E24" s="2">
        <v>17.775089999999999</v>
      </c>
      <c r="F24" s="2">
        <v>40.342381000000003</v>
      </c>
      <c r="G24" s="2">
        <v>36.950484000000003</v>
      </c>
      <c r="H24" s="2">
        <v>25.850861999999999</v>
      </c>
      <c r="I24" s="2">
        <v>24.170127999999998</v>
      </c>
      <c r="J24" s="2">
        <v>55.965969999999999</v>
      </c>
      <c r="K24" s="2">
        <v>50.201585999999999</v>
      </c>
      <c r="L24" s="2">
        <v>40.342730000000003</v>
      </c>
      <c r="M24" s="2">
        <v>-622.48775599999999</v>
      </c>
      <c r="N24" s="2">
        <v>0.93244499999999997</v>
      </c>
      <c r="O24" s="2">
        <v>1.548047</v>
      </c>
      <c r="P24" s="2"/>
      <c r="Q24" s="5">
        <f>N24*0.001/60</f>
        <v>1.5540749999999999E-5</v>
      </c>
      <c r="R24" cm="1">
        <f t="array" ref="R24">[1]!PropsSI("D","T",J24+273.15,"P",101325,"Water")</f>
        <v>985.22248359486355</v>
      </c>
      <c r="S24" cm="1">
        <f t="array" ref="S24">[1]!PropsSI("D","T",J24+273.15,"P",101325,"Water")</f>
        <v>985.22248359486355</v>
      </c>
      <c r="T24">
        <f t="shared" si="1"/>
        <v>985.22248359486355</v>
      </c>
      <c r="U24" cm="1">
        <f t="array" ref="U24">[1]!PropsSI("H","T",J24+273.15,"P",101325,"Water")</f>
        <v>234369.85647947213</v>
      </c>
      <c r="V24" cm="1">
        <f t="array" ref="V24">[1]!PropsSI("H","T",K24+273.15,"P",101325,"Water")</f>
        <v>210261.3978354822</v>
      </c>
      <c r="W24">
        <f t="shared" si="0"/>
        <v>369.12693223023575</v>
      </c>
      <c r="Y24">
        <f t="shared" si="2"/>
        <v>1</v>
      </c>
    </row>
    <row r="25" spans="1:25" x14ac:dyDescent="0.2">
      <c r="A25" s="1">
        <v>46066.705729166664</v>
      </c>
      <c r="B25" s="2">
        <v>17.225276000000001</v>
      </c>
      <c r="C25" s="2">
        <v>17.574653000000001</v>
      </c>
      <c r="D25" s="2">
        <v>18.262428</v>
      </c>
      <c r="E25" s="2">
        <v>17.838618</v>
      </c>
      <c r="F25" s="2">
        <v>40.168270999999997</v>
      </c>
      <c r="G25" s="2">
        <v>36.311005999999999</v>
      </c>
      <c r="H25" s="2">
        <v>26.527325999999999</v>
      </c>
      <c r="I25" s="2">
        <v>23.586023000000001</v>
      </c>
      <c r="J25" s="2">
        <v>55.966448</v>
      </c>
      <c r="K25" s="2">
        <v>50.175846999999997</v>
      </c>
      <c r="L25" s="2">
        <v>38.066108999999997</v>
      </c>
      <c r="M25" s="2">
        <v>-622.51061200000004</v>
      </c>
      <c r="N25" s="2">
        <v>0.92953200000000002</v>
      </c>
      <c r="O25" s="2">
        <v>1.054208</v>
      </c>
      <c r="P25" s="2"/>
      <c r="Q25" s="5">
        <f>N25*0.001/60</f>
        <v>1.5492200000000001E-5</v>
      </c>
      <c r="R25" cm="1">
        <f t="array" ref="R25">[1]!PropsSI("D","T",J25+273.15,"P",101325,"Water")</f>
        <v>985.22224929751417</v>
      </c>
      <c r="S25" cm="1">
        <f t="array" ref="S25">[1]!PropsSI("D","T",J25+273.15,"P",101325,"Water")</f>
        <v>985.22224929751417</v>
      </c>
      <c r="T25">
        <f t="shared" si="1"/>
        <v>985.22224929751417</v>
      </c>
      <c r="U25" cm="1">
        <f t="array" ref="U25">[1]!PropsSI("H","T",J25+273.15,"P",101325,"Water")</f>
        <v>234371.85610313664</v>
      </c>
      <c r="V25" cm="1">
        <f t="array" ref="V25">[1]!PropsSI("H","T",K25+273.15,"P",101325,"Water")</f>
        <v>210153.77288414669</v>
      </c>
      <c r="W25">
        <f t="shared" si="0"/>
        <v>369.64690403516187</v>
      </c>
      <c r="Y25">
        <f t="shared" si="2"/>
        <v>1</v>
      </c>
    </row>
    <row r="26" spans="1:25" x14ac:dyDescent="0.2">
      <c r="A26" s="1">
        <v>46066.70584490741</v>
      </c>
      <c r="B26" s="2">
        <v>17.107842000000002</v>
      </c>
      <c r="C26" s="2">
        <v>17.325168999999999</v>
      </c>
      <c r="D26" s="2">
        <v>18.380217999999999</v>
      </c>
      <c r="E26" s="2">
        <v>17.449840999999999</v>
      </c>
      <c r="F26" s="2">
        <v>39.580258000000001</v>
      </c>
      <c r="G26" s="2">
        <v>36.991855999999999</v>
      </c>
      <c r="H26" s="2">
        <v>25.288281999999999</v>
      </c>
      <c r="I26" s="2">
        <v>24.808026000000002</v>
      </c>
      <c r="J26" s="2">
        <v>55.970585999999997</v>
      </c>
      <c r="K26" s="2">
        <v>50.161071</v>
      </c>
      <c r="L26" s="2">
        <v>40.761484000000003</v>
      </c>
      <c r="M26" s="2">
        <v>-622.49918400000001</v>
      </c>
      <c r="N26" s="2">
        <v>0.93355600000000005</v>
      </c>
      <c r="O26" s="2">
        <v>1.0071760000000001</v>
      </c>
      <c r="P26" s="2"/>
      <c r="Q26" s="5">
        <f>N26*0.001/60</f>
        <v>1.5559266666666669E-5</v>
      </c>
      <c r="R26" cm="1">
        <f t="array" ref="R26">[1]!PropsSI("D","T",J26+273.15,"P",101325,"Water")</f>
        <v>985.22022094915644</v>
      </c>
      <c r="S26" cm="1">
        <f t="array" ref="S26">[1]!PropsSI("D","T",J26+273.15,"P",101325,"Water")</f>
        <v>985.22022094915644</v>
      </c>
      <c r="T26">
        <f t="shared" si="1"/>
        <v>985.22022094915644</v>
      </c>
      <c r="U26" cm="1">
        <f t="array" ref="U26">[1]!PropsSI("H","T",J26+273.15,"P",101325,"Water")</f>
        <v>234389.16665643069</v>
      </c>
      <c r="V26" cm="1">
        <f t="array" ref="V26">[1]!PropsSI("H","T",K26+273.15,"P",101325,"Water")</f>
        <v>210091.98866261391</v>
      </c>
      <c r="W26">
        <f t="shared" si="0"/>
        <v>372.45883128723011</v>
      </c>
      <c r="Y26">
        <f t="shared" si="2"/>
        <v>1</v>
      </c>
    </row>
    <row r="27" spans="1:25" x14ac:dyDescent="0.2">
      <c r="A27" s="1">
        <v>46066.705960648149</v>
      </c>
      <c r="B27" s="2">
        <v>17.268622000000001</v>
      </c>
      <c r="C27" s="2">
        <v>17.690999000000001</v>
      </c>
      <c r="D27" s="2">
        <v>18.169195999999999</v>
      </c>
      <c r="E27" s="2">
        <v>18.176369999999999</v>
      </c>
      <c r="F27" s="2">
        <v>39.844814999999997</v>
      </c>
      <c r="G27" s="2">
        <v>37.486792999999999</v>
      </c>
      <c r="H27" s="2">
        <v>25.420926000000001</v>
      </c>
      <c r="I27" s="2">
        <v>24.010615999999999</v>
      </c>
      <c r="J27" s="2">
        <v>55.969312000000002</v>
      </c>
      <c r="K27" s="2">
        <v>50.150267999999997</v>
      </c>
      <c r="L27" s="2">
        <v>35.905400999999998</v>
      </c>
      <c r="M27" s="2">
        <v>-622.48979599999996</v>
      </c>
      <c r="N27" s="2">
        <v>0.93282600000000004</v>
      </c>
      <c r="O27" s="2">
        <v>0.98714900000000005</v>
      </c>
      <c r="P27" s="2"/>
      <c r="Q27" s="5">
        <f>N27*0.001/60</f>
        <v>1.5547100000000002E-5</v>
      </c>
      <c r="R27" cm="1">
        <f t="array" ref="R27">[1]!PropsSI("D","T",J27+273.15,"P",101325,"Water")</f>
        <v>985.22084544461984</v>
      </c>
      <c r="S27" cm="1">
        <f t="array" ref="S27">[1]!PropsSI("D","T",J27+273.15,"P",101325,"Water")</f>
        <v>985.22084544461984</v>
      </c>
      <c r="T27">
        <f t="shared" si="1"/>
        <v>985.22084544461984</v>
      </c>
      <c r="U27" cm="1">
        <f t="array" ref="U27">[1]!PropsSI("H","T",J27+273.15,"P",101325,"Water")</f>
        <v>234383.83711372223</v>
      </c>
      <c r="V27" cm="1">
        <f t="array" ref="V27">[1]!PropsSI("H","T",K27+273.15,"P",101325,"Water")</f>
        <v>210046.81714379633</v>
      </c>
      <c r="W27">
        <f t="shared" si="0"/>
        <v>372.77809323606795</v>
      </c>
      <c r="Y27">
        <f t="shared" si="2"/>
        <v>1</v>
      </c>
    </row>
    <row r="28" spans="1:25" x14ac:dyDescent="0.2">
      <c r="A28" s="1">
        <v>46066.706076388888</v>
      </c>
      <c r="B28" s="2">
        <v>17.227315999999998</v>
      </c>
      <c r="C28" s="2">
        <v>17.600435000000001</v>
      </c>
      <c r="D28" s="2">
        <v>18.146685000000002</v>
      </c>
      <c r="E28" s="2">
        <v>18.064098999999999</v>
      </c>
      <c r="F28" s="2">
        <v>40.233831000000002</v>
      </c>
      <c r="G28" s="2">
        <v>36.028325000000002</v>
      </c>
      <c r="H28" s="2">
        <v>26.455164</v>
      </c>
      <c r="I28" s="2">
        <v>23.770997000000001</v>
      </c>
      <c r="J28" s="2">
        <v>55.975518999999998</v>
      </c>
      <c r="K28" s="2">
        <v>50.173146000000003</v>
      </c>
      <c r="L28" s="2">
        <v>40.257835999999998</v>
      </c>
      <c r="M28" s="2">
        <v>-622.49795900000004</v>
      </c>
      <c r="N28" s="2">
        <v>0.92702799999999996</v>
      </c>
      <c r="O28" s="2">
        <v>0.96645999999999999</v>
      </c>
      <c r="P28" s="2"/>
      <c r="Q28" s="5">
        <f>N28*0.001/60</f>
        <v>1.5450466666666667E-5</v>
      </c>
      <c r="R28" cm="1">
        <f t="array" ref="R28">[1]!PropsSI("D","T",J28+273.15,"P",101325,"Water")</f>
        <v>985.21780277336927</v>
      </c>
      <c r="S28" cm="1">
        <f t="array" ref="S28">[1]!PropsSI("D","T",J28+273.15,"P",101325,"Water")</f>
        <v>985.21780277336927</v>
      </c>
      <c r="T28">
        <f t="shared" si="1"/>
        <v>985.21780277336927</v>
      </c>
      <c r="U28" cm="1">
        <f t="array" ref="U28">[1]!PropsSI("H","T",J28+273.15,"P",101325,"Water")</f>
        <v>234409.80295275914</v>
      </c>
      <c r="V28" cm="1">
        <f t="array" ref="V28">[1]!PropsSI("H","T",K28+273.15,"P",101325,"Water")</f>
        <v>210142.4789445528</v>
      </c>
      <c r="W28">
        <f t="shared" si="0"/>
        <v>369.39902176216481</v>
      </c>
      <c r="Y28">
        <f t="shared" si="2"/>
        <v>1</v>
      </c>
    </row>
    <row r="29" spans="1:25" x14ac:dyDescent="0.2">
      <c r="A29" s="1">
        <v>46066.706192129626</v>
      </c>
      <c r="B29" s="2">
        <v>17.443840000000002</v>
      </c>
      <c r="C29" s="2">
        <v>17.877288</v>
      </c>
      <c r="D29" s="2">
        <v>18.156941</v>
      </c>
      <c r="E29" s="2">
        <v>18.500273</v>
      </c>
      <c r="F29" s="2">
        <v>40.328364000000001</v>
      </c>
      <c r="G29" s="2">
        <v>37.905171000000003</v>
      </c>
      <c r="H29" s="2">
        <v>26.431317</v>
      </c>
      <c r="I29" s="2">
        <v>23.811806000000001</v>
      </c>
      <c r="J29" s="2">
        <v>55.964855999999997</v>
      </c>
      <c r="K29" s="2">
        <v>50.194595</v>
      </c>
      <c r="L29" s="2">
        <v>36.189059999999998</v>
      </c>
      <c r="M29" s="2">
        <v>-622.5</v>
      </c>
      <c r="N29" s="2">
        <v>0.92655200000000004</v>
      </c>
      <c r="O29" s="2">
        <v>1.619262</v>
      </c>
      <c r="P29" s="2"/>
      <c r="Q29" s="5">
        <f>N29*0.001/60</f>
        <v>1.5442533333333333E-5</v>
      </c>
      <c r="R29" cm="1">
        <f t="array" ref="R29">[1]!PropsSI("D","T",J29+273.15,"P",101325,"Water")</f>
        <v>985.22302962970491</v>
      </c>
      <c r="S29" cm="1">
        <f t="array" ref="S29">[1]!PropsSI("D","T",J29+273.15,"P",101325,"Water")</f>
        <v>985.22302962970491</v>
      </c>
      <c r="T29">
        <f t="shared" si="1"/>
        <v>985.22302962970491</v>
      </c>
      <c r="U29" cm="1">
        <f t="array" ref="U29">[1]!PropsSI("H","T",J29+273.15,"P",101325,"Water")</f>
        <v>234365.19626895661</v>
      </c>
      <c r="V29" cm="1">
        <f t="array" ref="V29">[1]!PropsSI("H","T",K29+273.15,"P",101325,"Water")</f>
        <v>210232.16567734189</v>
      </c>
      <c r="W29">
        <f t="shared" si="0"/>
        <v>367.16812000128107</v>
      </c>
      <c r="Y29">
        <f t="shared" si="2"/>
        <v>1</v>
      </c>
    </row>
    <row r="30" spans="1:25" x14ac:dyDescent="0.2">
      <c r="A30" s="1">
        <v>46066.706307870372</v>
      </c>
      <c r="B30" s="2">
        <v>17.375473</v>
      </c>
      <c r="C30" s="2">
        <v>17.717991000000001</v>
      </c>
      <c r="D30" s="2">
        <v>18.165089999999999</v>
      </c>
      <c r="E30" s="2">
        <v>18.120926000000001</v>
      </c>
      <c r="F30" s="2">
        <v>39.704895999999998</v>
      </c>
      <c r="G30" s="2">
        <v>35.965373</v>
      </c>
      <c r="H30" s="2">
        <v>26.109884000000001</v>
      </c>
      <c r="I30" s="2">
        <v>24.107699</v>
      </c>
      <c r="J30" s="2">
        <v>55.959603999999999</v>
      </c>
      <c r="K30" s="2">
        <v>50.203493000000002</v>
      </c>
      <c r="L30" s="2">
        <v>38.158757000000001</v>
      </c>
      <c r="M30" s="2">
        <v>-622.50081599999999</v>
      </c>
      <c r="N30" s="2">
        <v>0.92871199999999998</v>
      </c>
      <c r="O30" s="2">
        <v>0.85583900000000002</v>
      </c>
      <c r="P30" s="2"/>
      <c r="Q30" s="5">
        <f>N30*0.001/60</f>
        <v>1.5478533333333334E-5</v>
      </c>
      <c r="R30" cm="1">
        <f t="array" ref="R30">[1]!PropsSI("D","T",J30+273.15,"P",101325,"Water")</f>
        <v>985.2256038312064</v>
      </c>
      <c r="S30" cm="1">
        <f t="array" ref="S30">[1]!PropsSI("D","T",J30+273.15,"P",101325,"Water")</f>
        <v>985.2256038312064</v>
      </c>
      <c r="T30">
        <f t="shared" si="1"/>
        <v>985.2256038312064</v>
      </c>
      <c r="U30" cm="1">
        <f t="array" ref="U30">[1]!PropsSI("H","T",J30+273.15,"P",101325,"Water")</f>
        <v>234343.22551635627</v>
      </c>
      <c r="V30" cm="1">
        <f t="array" ref="V30">[1]!PropsSI("H","T",K30+273.15,"P",101325,"Water")</f>
        <v>210269.37176514236</v>
      </c>
      <c r="W30">
        <f t="shared" si="0"/>
        <v>367.12259482633374</v>
      </c>
      <c r="Y30">
        <f t="shared" si="2"/>
        <v>1</v>
      </c>
    </row>
    <row r="31" spans="1:25" x14ac:dyDescent="0.2">
      <c r="A31" s="1">
        <v>46066.706423611111</v>
      </c>
      <c r="B31" s="2">
        <v>17.580093000000002</v>
      </c>
      <c r="C31" s="2">
        <v>18.004321000000001</v>
      </c>
      <c r="D31" s="2">
        <v>18.283382</v>
      </c>
      <c r="E31" s="2">
        <v>18.539684999999999</v>
      </c>
      <c r="F31" s="2">
        <v>39.824390999999999</v>
      </c>
      <c r="G31" s="2">
        <v>37.744914999999999</v>
      </c>
      <c r="H31" s="2">
        <v>26.059028000000001</v>
      </c>
      <c r="I31" s="2">
        <v>24.675014999999998</v>
      </c>
      <c r="J31" s="2">
        <v>55.957535</v>
      </c>
      <c r="K31" s="2">
        <v>50.195072000000003</v>
      </c>
      <c r="L31" s="2">
        <v>39.860304999999997</v>
      </c>
      <c r="M31" s="2">
        <v>-622.51469299999997</v>
      </c>
      <c r="N31" s="2">
        <v>0.93119499999999999</v>
      </c>
      <c r="O31" s="2">
        <v>0.72840499999999997</v>
      </c>
      <c r="P31" s="2"/>
      <c r="Q31" s="5">
        <f>N31*0.001/60</f>
        <v>1.5519916666666667E-5</v>
      </c>
      <c r="R31" cm="1">
        <f t="array" ref="R31">[1]!PropsSI("D","T",J31+273.15,"P",101325,"Water")</f>
        <v>985.22661787889547</v>
      </c>
      <c r="S31" cm="1">
        <f t="array" ref="S31">[1]!PropsSI("D","T",J31+273.15,"P",101325,"Water")</f>
        <v>985.22661787889547</v>
      </c>
      <c r="T31">
        <f t="shared" si="1"/>
        <v>985.22661787889547</v>
      </c>
      <c r="U31" cm="1">
        <f t="array" ref="U31">[1]!PropsSI("H","T",J31+273.15,"P",101325,"Water")</f>
        <v>234334.57024742066</v>
      </c>
      <c r="V31" cm="1">
        <f t="array" ref="V31">[1]!PropsSI("H","T",K31+273.15,"P",101325,"Water")</f>
        <v>210234.16020407985</v>
      </c>
      <c r="W31">
        <f t="shared" si="0"/>
        <v>368.51057349808309</v>
      </c>
      <c r="Y31">
        <f t="shared" si="2"/>
        <v>1</v>
      </c>
    </row>
    <row r="32" spans="1:25" x14ac:dyDescent="0.2">
      <c r="P32" s="2"/>
      <c r="Q32" s="5"/>
    </row>
    <row r="33" spans="16:17" x14ac:dyDescent="0.2">
      <c r="P33" s="2"/>
      <c r="Q33" s="5"/>
    </row>
    <row r="34" spans="16:17" x14ac:dyDescent="0.2">
      <c r="P34" s="2"/>
      <c r="Q34" s="5"/>
    </row>
    <row r="35" spans="16:17" x14ac:dyDescent="0.2">
      <c r="P35" s="2"/>
      <c r="Q35" s="5"/>
    </row>
    <row r="36" spans="16:17" x14ac:dyDescent="0.2">
      <c r="P36" s="2"/>
      <c r="Q36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BD86-25AA-3D4A-8B7F-ADC1BA3BEAB3}">
  <dimension ref="A1:AA42"/>
  <sheetViews>
    <sheetView topLeftCell="I1" workbookViewId="0">
      <selection activeCell="AA12" sqref="AA12"/>
    </sheetView>
  </sheetViews>
  <sheetFormatPr baseColWidth="10" defaultRowHeight="16" x14ac:dyDescent="0.2"/>
  <cols>
    <col min="1" max="1" width="19.83203125" customWidth="1"/>
    <col min="16" max="16" width="7.1640625" customWidth="1"/>
    <col min="17" max="17" width="12.5" customWidth="1"/>
  </cols>
  <sheetData>
    <row r="1" spans="1:2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Y1" t="s">
        <v>22</v>
      </c>
      <c r="Z1" s="8">
        <v>0.69687500000000002</v>
      </c>
    </row>
    <row r="2" spans="1:27" x14ac:dyDescent="0.2">
      <c r="A2" s="6">
        <v>46066.697060185186</v>
      </c>
      <c r="B2" s="3">
        <v>17.924947</v>
      </c>
      <c r="C2" s="3">
        <v>18.709543</v>
      </c>
      <c r="D2" s="3">
        <v>18.778117999999999</v>
      </c>
      <c r="E2" s="3">
        <v>19.269072000000001</v>
      </c>
      <c r="F2" s="3">
        <v>36.437460000000002</v>
      </c>
      <c r="G2" s="3">
        <v>37.347352999999998</v>
      </c>
      <c r="H2" s="3">
        <v>25.206662000000001</v>
      </c>
      <c r="I2" s="3">
        <v>22.188790999999998</v>
      </c>
      <c r="J2" s="3">
        <v>55.856313999999998</v>
      </c>
      <c r="K2" s="3">
        <v>48.185386000000001</v>
      </c>
      <c r="L2" s="3">
        <v>93.014377999999994</v>
      </c>
      <c r="M2" s="3">
        <v>-622.48815999999999</v>
      </c>
      <c r="N2" s="3">
        <v>0.92706900000000003</v>
      </c>
      <c r="O2" s="3">
        <v>1.3173360000000001</v>
      </c>
      <c r="P2" s="2"/>
      <c r="Q2">
        <f xml:space="preserve"> N2*0.001/60</f>
        <v>1.5451150000000002E-5</v>
      </c>
      <c r="R2" cm="1">
        <f t="array" ref="R2">[1]!PropsSI("D","T",J2+273.15,"P",101325,"Water")</f>
        <v>985.27619565415546</v>
      </c>
      <c r="S2" cm="1">
        <f t="array" ref="S2">[1]!PropsSI("D","T",J2+273.15,"P",101325,"Water")</f>
        <v>985.27619565415546</v>
      </c>
      <c r="T2">
        <f>(R2+S2)/2</f>
        <v>985.27619565415546</v>
      </c>
      <c r="U2" cm="1">
        <f t="array" ref="U2">[1]!PropsSI("H","T",J2+273.15,"P",101325,"Water")</f>
        <v>233911.13336534801</v>
      </c>
      <c r="V2" cm="1">
        <f t="array" ref="V2">[1]!PropsSI("H","T",K2+273.15,"P",101325,"Water")</f>
        <v>201831.41894387771</v>
      </c>
      <c r="W2">
        <f>T2*Q2*(U2-V2)</f>
        <v>488.37035377098653</v>
      </c>
      <c r="Y2">
        <f>IF(A2&gt;=TIME(17,3,0),1,0)</f>
        <v>1</v>
      </c>
    </row>
    <row r="3" spans="1:27" x14ac:dyDescent="0.2">
      <c r="A3" s="6">
        <v>46066.697175925925</v>
      </c>
      <c r="B3" s="3">
        <v>17.718219999999999</v>
      </c>
      <c r="C3" s="3">
        <v>18.592711000000001</v>
      </c>
      <c r="D3" s="3">
        <v>18.748631</v>
      </c>
      <c r="E3" s="3">
        <v>19.227689999999999</v>
      </c>
      <c r="F3" s="3">
        <v>37.228476999999998</v>
      </c>
      <c r="G3" s="3">
        <v>36.781615000000002</v>
      </c>
      <c r="H3" s="3">
        <v>25.470596</v>
      </c>
      <c r="I3" s="3">
        <v>22.420618000000001</v>
      </c>
      <c r="J3" s="3">
        <v>55.861088000000002</v>
      </c>
      <c r="K3" s="3">
        <v>48.177289000000002</v>
      </c>
      <c r="L3" s="3">
        <v>88.710920000000002</v>
      </c>
      <c r="M3" s="3">
        <v>-622.48122999999998</v>
      </c>
      <c r="N3" s="3">
        <v>0.92185600000000001</v>
      </c>
      <c r="O3" s="3">
        <v>1.306446</v>
      </c>
      <c r="P3" s="2"/>
      <c r="Q3">
        <f xml:space="preserve"> N3*0.001/60</f>
        <v>1.5364266666666668E-5</v>
      </c>
      <c r="R3" cm="1">
        <f t="array" ref="R3">[1]!PropsSI("D","T",J3+273.15,"P",101325,"Water")</f>
        <v>985.27385877774395</v>
      </c>
      <c r="S3" cm="1">
        <f t="array" ref="S3">[1]!PropsSI("D","T",J3+273.15,"P",101325,"Water")</f>
        <v>985.27385877774395</v>
      </c>
      <c r="T3">
        <f>(R3+S3)/2</f>
        <v>985.27385877774395</v>
      </c>
      <c r="U3" cm="1">
        <f t="array" ref="U3">[1]!PropsSI("H","T",J3+273.15,"P",101325,"Water")</f>
        <v>233931.10430938489</v>
      </c>
      <c r="V3" cm="1">
        <f t="array" ref="V3">[1]!PropsSI("H","T",K3+273.15,"P",101325,"Water")</f>
        <v>201797.56655790866</v>
      </c>
      <c r="W3">
        <f t="shared" ref="W3:W42" si="0">T3*Q3*(U3-V3)</f>
        <v>486.43782564870327</v>
      </c>
      <c r="Y3">
        <f>IF(A2&gt;=$Z$1,1,0)</f>
        <v>1</v>
      </c>
    </row>
    <row r="4" spans="1:27" x14ac:dyDescent="0.2">
      <c r="A4" s="4">
        <v>46066.697295555554</v>
      </c>
      <c r="B4" s="3">
        <v>18.047896000000001</v>
      </c>
      <c r="C4" s="3">
        <v>18.871354</v>
      </c>
      <c r="D4" s="3">
        <v>18.833922999999999</v>
      </c>
      <c r="E4" s="3">
        <v>19.189074999999999</v>
      </c>
      <c r="F4" s="3">
        <v>36.724435</v>
      </c>
      <c r="G4" s="3">
        <v>37.174213000000002</v>
      </c>
      <c r="H4" s="3">
        <v>25.238313000000002</v>
      </c>
      <c r="I4" s="3">
        <v>22.311295999999999</v>
      </c>
      <c r="J4" s="3">
        <v>55.865862999999997</v>
      </c>
      <c r="K4" s="3">
        <v>48.184275</v>
      </c>
      <c r="L4" s="3">
        <v>82.717343</v>
      </c>
      <c r="M4" s="3">
        <v>-622.48653000000002</v>
      </c>
      <c r="N4" s="3">
        <v>0.929593</v>
      </c>
      <c r="O4" s="3">
        <v>0.94589900000000005</v>
      </c>
      <c r="P4" s="2"/>
      <c r="Q4" s="5">
        <f xml:space="preserve"> N4*0.001/60</f>
        <v>1.5493216666666666E-5</v>
      </c>
      <c r="R4" cm="1">
        <f t="array" ref="R4">[1]!PropsSI("D","T",J4+273.15,"P",101325,"Water")</f>
        <v>985.27152127155023</v>
      </c>
      <c r="S4" cm="1">
        <f t="array" ref="S4">[1]!PropsSI("D","T",J4+273.15,"P",101325,"Water")</f>
        <v>985.27152127155023</v>
      </c>
      <c r="T4">
        <f t="shared" ref="T4:T42" si="1">(R4+S4)/2</f>
        <v>985.27152127155023</v>
      </c>
      <c r="U4" cm="1">
        <f t="array" ref="U4">[1]!PropsSI("H","T",J4+273.15,"P",101325,"Water")</f>
        <v>233951.07944533724</v>
      </c>
      <c r="V4" cm="1">
        <f t="array" ref="V4">[1]!PropsSI("H","T",K4+273.15,"P",101325,"Water")</f>
        <v>201826.7740125517</v>
      </c>
      <c r="W4">
        <f t="shared" si="0"/>
        <v>490.37833050412411</v>
      </c>
      <c r="Y4">
        <f t="shared" ref="Y4:Y42" si="2">IF(A3&gt;=$Z$1,1,0)</f>
        <v>1</v>
      </c>
    </row>
    <row r="5" spans="1:27" x14ac:dyDescent="0.2">
      <c r="A5" s="4">
        <v>46066.6974112963</v>
      </c>
      <c r="B5" s="3">
        <v>18.221561000000001</v>
      </c>
      <c r="C5" s="3">
        <v>18.987558</v>
      </c>
      <c r="D5" s="3">
        <v>18.838622000000001</v>
      </c>
      <c r="E5" s="3">
        <v>19.142323000000001</v>
      </c>
      <c r="F5" s="3">
        <v>37.010077000000003</v>
      </c>
      <c r="G5" s="3">
        <v>36.119866000000002</v>
      </c>
      <c r="H5" s="3">
        <v>24.768795999999998</v>
      </c>
      <c r="I5" s="3">
        <v>22.245332999999999</v>
      </c>
      <c r="J5" s="3">
        <v>55.862361999999997</v>
      </c>
      <c r="K5" s="3">
        <v>48.197136</v>
      </c>
      <c r="L5" s="3">
        <v>90.255741</v>
      </c>
      <c r="M5" s="3">
        <v>-622.51224000000002</v>
      </c>
      <c r="N5" s="3">
        <v>0.92982200000000004</v>
      </c>
      <c r="O5" s="3">
        <v>0.97820300000000004</v>
      </c>
      <c r="P5" s="2"/>
      <c r="Q5" s="5">
        <f xml:space="preserve"> N5*0.001/60</f>
        <v>1.5497033333333334E-5</v>
      </c>
      <c r="R5" cm="1">
        <f t="array" ref="R5">[1]!PropsSI("D","T",J5+273.15,"P",101325,"Water")</f>
        <v>985.27323513012686</v>
      </c>
      <c r="S5" cm="1">
        <f t="array" ref="S5">[1]!PropsSI("D","T",J5+273.15,"P",101325,"Water")</f>
        <v>985.27323513012686</v>
      </c>
      <c r="T5">
        <f t="shared" si="1"/>
        <v>985.27323513012686</v>
      </c>
      <c r="U5" cm="1">
        <f t="array" ref="U5">[1]!PropsSI("H","T",J5+273.15,"P",101325,"Water")</f>
        <v>233936.43380035454</v>
      </c>
      <c r="V5" cm="1">
        <f t="array" ref="V5">[1]!PropsSI("H","T",K5+273.15,"P",101325,"Water")</f>
        <v>201880.54402399698</v>
      </c>
      <c r="W5">
        <f t="shared" si="0"/>
        <v>489.45535984936134</v>
      </c>
      <c r="Y5">
        <f t="shared" si="2"/>
        <v>1</v>
      </c>
    </row>
    <row r="6" spans="1:27" x14ac:dyDescent="0.2">
      <c r="A6" s="4">
        <v>46066.697527615739</v>
      </c>
      <c r="B6" s="3">
        <v>18.295057</v>
      </c>
      <c r="C6" s="3">
        <v>19.211860999999999</v>
      </c>
      <c r="D6" s="3">
        <v>18.786234</v>
      </c>
      <c r="E6" s="3">
        <v>19.035975000000001</v>
      </c>
      <c r="F6" s="3">
        <v>37.258341999999999</v>
      </c>
      <c r="G6" s="3">
        <v>35.033137000000004</v>
      </c>
      <c r="H6" s="3">
        <v>24.755994000000001</v>
      </c>
      <c r="I6" s="3">
        <v>23.031115</v>
      </c>
      <c r="J6" s="3">
        <v>55.866976999999999</v>
      </c>
      <c r="K6" s="3">
        <v>48.220793999999998</v>
      </c>
      <c r="L6" s="3">
        <v>85.462511000000006</v>
      </c>
      <c r="M6" s="3">
        <v>-622.48244999999997</v>
      </c>
      <c r="N6" s="3">
        <v>0.92859700000000001</v>
      </c>
      <c r="O6" s="3">
        <v>0.88009800000000005</v>
      </c>
      <c r="P6" s="2"/>
      <c r="Q6" s="5">
        <f xml:space="preserve"> N6*0.001/60</f>
        <v>1.5476616666666667E-5</v>
      </c>
      <c r="R6" cm="1">
        <f t="array" ref="R6">[1]!PropsSI("D","T",J6+273.15,"P",101325,"Water")</f>
        <v>985.27097591484539</v>
      </c>
      <c r="S6" cm="1">
        <f t="array" ref="S6">[1]!PropsSI("D","T",J6+273.15,"P",101325,"Water")</f>
        <v>985.27097591484539</v>
      </c>
      <c r="T6">
        <f t="shared" si="1"/>
        <v>985.27097591484539</v>
      </c>
      <c r="U6" cm="1">
        <f t="array" ref="U6">[1]!PropsSI("H","T",J6+273.15,"P",101325,"Water")</f>
        <v>233955.73961437479</v>
      </c>
      <c r="V6" cm="1">
        <f t="array" ref="V6">[1]!PropsSI("H","T",K6+273.15,"P",101325,"Water")</f>
        <v>201979.45486547938</v>
      </c>
      <c r="W6">
        <f t="shared" si="0"/>
        <v>487.59553279531872</v>
      </c>
      <c r="Y6">
        <f t="shared" si="2"/>
        <v>1</v>
      </c>
    </row>
    <row r="7" spans="1:27" x14ac:dyDescent="0.2">
      <c r="A7" s="4">
        <v>46066.697643356485</v>
      </c>
      <c r="B7" s="3">
        <v>18.252189999999999</v>
      </c>
      <c r="C7" s="3">
        <v>18.982191</v>
      </c>
      <c r="D7" s="3">
        <v>18.801597999999998</v>
      </c>
      <c r="E7" s="3">
        <v>19.138535999999998</v>
      </c>
      <c r="F7" s="3">
        <v>37.069862999999998</v>
      </c>
      <c r="G7" s="3">
        <v>36.759414</v>
      </c>
      <c r="H7" s="3">
        <v>24.712014</v>
      </c>
      <c r="I7" s="3">
        <v>22.602571000000001</v>
      </c>
      <c r="J7" s="3">
        <v>55.867932000000003</v>
      </c>
      <c r="K7" s="3">
        <v>48.228574999999999</v>
      </c>
      <c r="L7" s="3">
        <v>91.051619000000002</v>
      </c>
      <c r="M7" s="3">
        <v>-622.48203999999998</v>
      </c>
      <c r="N7" s="3">
        <v>0.92968700000000004</v>
      </c>
      <c r="O7" s="3">
        <v>1.3685240000000001</v>
      </c>
      <c r="P7" s="2"/>
      <c r="Q7" s="5">
        <f xml:space="preserve"> N7*0.001/60</f>
        <v>1.5494783333333336E-5</v>
      </c>
      <c r="R7" cm="1">
        <f t="array" ref="R7">[1]!PropsSI("D","T",J7+273.15,"P",101325,"Water")</f>
        <v>985.27050839022741</v>
      </c>
      <c r="S7" cm="1">
        <f t="array" ref="S7">[1]!PropsSI("D","T",J7+273.15,"P",101325,"Water")</f>
        <v>985.27050839022741</v>
      </c>
      <c r="T7">
        <f t="shared" si="1"/>
        <v>985.27050839022741</v>
      </c>
      <c r="U7" cm="1">
        <f t="array" ref="U7">[1]!PropsSI("H","T",J7+273.15,"P",101325,"Water")</f>
        <v>233959.73464299319</v>
      </c>
      <c r="V7" cm="1">
        <f t="array" ref="V7">[1]!PropsSI("H","T",K7+273.15,"P",101325,"Water")</f>
        <v>202011.9861863663</v>
      </c>
      <c r="W7">
        <f t="shared" si="0"/>
        <v>487.73199671238592</v>
      </c>
      <c r="Y7">
        <f t="shared" si="2"/>
        <v>1</v>
      </c>
    </row>
    <row r="8" spans="1:27" x14ac:dyDescent="0.2">
      <c r="A8" s="4">
        <v>46066.697759675924</v>
      </c>
      <c r="B8" s="3">
        <v>18.263414999999998</v>
      </c>
      <c r="C8" s="3">
        <v>19.231114999999999</v>
      </c>
      <c r="D8" s="3">
        <v>18.766200000000001</v>
      </c>
      <c r="E8" s="3">
        <v>19.031215</v>
      </c>
      <c r="F8" s="3">
        <v>37.169553999999998</v>
      </c>
      <c r="G8" s="3">
        <v>36.057293000000001</v>
      </c>
      <c r="H8" s="3">
        <v>24.773260000000001</v>
      </c>
      <c r="I8" s="3">
        <v>22.982704999999999</v>
      </c>
      <c r="J8" s="3">
        <v>55.868250000000003</v>
      </c>
      <c r="K8" s="3">
        <v>48.232861999999997</v>
      </c>
      <c r="L8" s="3">
        <v>93.495577999999995</v>
      </c>
      <c r="M8" s="3">
        <v>-622.50162999999998</v>
      </c>
      <c r="N8" s="3">
        <v>0.93155200000000005</v>
      </c>
      <c r="O8" s="3">
        <v>1.2086460000000001</v>
      </c>
      <c r="P8" s="2"/>
      <c r="Q8" s="5">
        <f>N8*0.001/60</f>
        <v>1.552586666666667E-5</v>
      </c>
      <c r="R8" cm="1">
        <f t="array" ref="R8">[1]!PropsSI("D","T",J8+273.15,"P",101325,"Water")</f>
        <v>985.27035271063221</v>
      </c>
      <c r="S8" cm="1">
        <f t="array" ref="S8">[1]!PropsSI("D","T",J8+273.15,"P",101325,"Water")</f>
        <v>985.27035271063221</v>
      </c>
      <c r="T8">
        <f t="shared" si="1"/>
        <v>985.27035271063221</v>
      </c>
      <c r="U8" cm="1">
        <f t="array" ref="U8">[1]!PropsSI("H","T",J8+273.15,"P",101325,"Water")</f>
        <v>233961.06492483351</v>
      </c>
      <c r="V8" cm="1">
        <f t="array" ref="V8">[1]!PropsSI("H","T",K8+273.15,"P",101325,"Water")</f>
        <v>202029.90956686498</v>
      </c>
      <c r="W8">
        <f t="shared" si="0"/>
        <v>488.45650744321512</v>
      </c>
      <c r="Y8">
        <f t="shared" si="2"/>
        <v>1</v>
      </c>
    </row>
    <row r="9" spans="1:27" x14ac:dyDescent="0.2">
      <c r="A9" s="4">
        <v>46066.69787541667</v>
      </c>
      <c r="B9" s="3">
        <v>18.315963</v>
      </c>
      <c r="C9" s="3">
        <v>19.069929999999999</v>
      </c>
      <c r="D9" s="3">
        <v>18.743058000000001</v>
      </c>
      <c r="E9" s="3">
        <v>18.992366000000001</v>
      </c>
      <c r="F9" s="3">
        <v>37.326222000000001</v>
      </c>
      <c r="G9" s="3">
        <v>36.931376999999998</v>
      </c>
      <c r="H9" s="3">
        <v>24.958107999999999</v>
      </c>
      <c r="I9" s="3">
        <v>22.068095</v>
      </c>
      <c r="J9" s="3">
        <v>55.870477999999999</v>
      </c>
      <c r="K9" s="3">
        <v>48.231433000000003</v>
      </c>
      <c r="L9" s="3">
        <v>88.806833999999995</v>
      </c>
      <c r="M9" s="3">
        <v>-622.49796000000003</v>
      </c>
      <c r="N9" s="3">
        <v>0.92523299999999997</v>
      </c>
      <c r="O9" s="3">
        <v>0.82539099999999999</v>
      </c>
      <c r="P9" s="2"/>
      <c r="Q9" s="5">
        <f>N9*0.001/60</f>
        <v>1.5420549999999999E-5</v>
      </c>
      <c r="R9" cm="1">
        <f t="array" ref="R9">[1]!PropsSI("D","T",J9+273.15,"P",101325,"Water")</f>
        <v>985.26926195685007</v>
      </c>
      <c r="S9" cm="1">
        <f t="array" ref="S9">[1]!PropsSI("D","T",J9+273.15,"P",101325,"Water")</f>
        <v>985.26926195685007</v>
      </c>
      <c r="T9">
        <f t="shared" si="1"/>
        <v>985.26926195685007</v>
      </c>
      <c r="U9" cm="1">
        <f t="array" ref="U9">[1]!PropsSI("H","T",J9+273.15,"P",101325,"Water")</f>
        <v>233970.38526541382</v>
      </c>
      <c r="V9" cm="1">
        <f t="array" ref="V9">[1]!PropsSI("H","T",K9+273.15,"P",101325,"Water")</f>
        <v>202023.93510622604</v>
      </c>
      <c r="W9">
        <f t="shared" si="0"/>
        <v>485.37500153332064</v>
      </c>
      <c r="Y9">
        <f t="shared" si="2"/>
        <v>1</v>
      </c>
    </row>
    <row r="10" spans="1:27" x14ac:dyDescent="0.2">
      <c r="A10" s="6">
        <v>46066.69798611111</v>
      </c>
      <c r="B10" s="3">
        <v>17.933395999999998</v>
      </c>
      <c r="C10" s="3">
        <v>18.815007000000001</v>
      </c>
      <c r="D10" s="3">
        <v>18.685043</v>
      </c>
      <c r="E10" s="3">
        <v>19.040647</v>
      </c>
      <c r="F10" s="3">
        <v>36.601557</v>
      </c>
      <c r="G10" s="3">
        <v>36.210894000000003</v>
      </c>
      <c r="H10" s="3">
        <v>24.984622999999999</v>
      </c>
      <c r="I10" s="3">
        <v>22.115825999999998</v>
      </c>
      <c r="J10" s="3">
        <v>55.876843999999998</v>
      </c>
      <c r="K10" s="3">
        <v>48.238419</v>
      </c>
      <c r="L10" s="3">
        <v>89.985141999999996</v>
      </c>
      <c r="M10" s="3">
        <v>-622.49837000000002</v>
      </c>
      <c r="N10" s="3">
        <v>0.92730599999999996</v>
      </c>
      <c r="O10" s="3">
        <v>1.619923</v>
      </c>
      <c r="P10" s="2"/>
      <c r="Q10" s="5">
        <f>N10*0.001/60</f>
        <v>1.54551E-5</v>
      </c>
      <c r="R10" cm="1">
        <f t="array" ref="R10">[1]!PropsSI("D","T",J10+273.15,"P",101325,"Water")</f>
        <v>985.26614520939313</v>
      </c>
      <c r="S10" cm="1">
        <f t="array" ref="S10">[1]!PropsSI("D","T",J10+273.15,"P",101325,"Water")</f>
        <v>985.26614520939313</v>
      </c>
      <c r="T10">
        <f t="shared" si="1"/>
        <v>985.26614520939313</v>
      </c>
      <c r="U10" cm="1">
        <f t="array" ref="U10">[1]!PropsSI("H","T",J10+273.15,"P",101325,"Water")</f>
        <v>233997.01601539436</v>
      </c>
      <c r="V10" cm="1">
        <f t="array" ref="V10">[1]!PropsSI("H","T",K10+273.15,"P",101325,"Water")</f>
        <v>202053.14265648468</v>
      </c>
      <c r="W10">
        <f t="shared" si="0"/>
        <v>486.42171555270875</v>
      </c>
      <c r="Y10">
        <f t="shared" si="2"/>
        <v>1</v>
      </c>
    </row>
    <row r="11" spans="1:27" x14ac:dyDescent="0.2">
      <c r="A11" s="4">
        <v>46066.698107476848</v>
      </c>
      <c r="B11" s="3">
        <v>18.267831000000001</v>
      </c>
      <c r="C11" s="3">
        <v>19.070070999999999</v>
      </c>
      <c r="D11" s="3">
        <v>18.785335</v>
      </c>
      <c r="E11" s="3">
        <v>19.066742999999999</v>
      </c>
      <c r="F11" s="3">
        <v>37.369750000000003</v>
      </c>
      <c r="G11" s="3">
        <v>35.432329000000003</v>
      </c>
      <c r="H11" s="3">
        <v>25.449590000000001</v>
      </c>
      <c r="I11" s="3">
        <v>22.332232000000001</v>
      </c>
      <c r="J11" s="3">
        <v>55.866022000000001</v>
      </c>
      <c r="K11" s="3">
        <v>48.222859</v>
      </c>
      <c r="L11" s="3">
        <v>89.197834</v>
      </c>
      <c r="M11" s="3">
        <v>-622.48897999999997</v>
      </c>
      <c r="N11" s="3">
        <v>0.92408999999999997</v>
      </c>
      <c r="O11" s="3">
        <v>0.938249</v>
      </c>
      <c r="P11" s="2"/>
      <c r="Q11" s="5">
        <f>N11*0.001/60</f>
        <v>1.5401500000000002E-5</v>
      </c>
      <c r="R11" cm="1">
        <f t="array" ref="R11">[1]!PropsSI("D","T",J11+273.15,"P",101325,"Water")</f>
        <v>985.27144343384168</v>
      </c>
      <c r="S11" cm="1">
        <f t="array" ref="S11">[1]!PropsSI("D","T",J11+273.15,"P",101325,"Water")</f>
        <v>985.27144343384168</v>
      </c>
      <c r="T11">
        <f t="shared" si="1"/>
        <v>985.27144343384168</v>
      </c>
      <c r="U11" cm="1">
        <f t="array" ref="U11">[1]!PropsSI("H","T",J11+273.15,"P",101325,"Water")</f>
        <v>233951.74458612912</v>
      </c>
      <c r="V11" cm="1">
        <f t="array" ref="V11">[1]!PropsSI("H","T",K11+273.15,"P",101325,"Water")</f>
        <v>201988.08835296595</v>
      </c>
      <c r="W11">
        <f t="shared" si="0"/>
        <v>485.037556116357</v>
      </c>
      <c r="Y11">
        <f t="shared" si="2"/>
        <v>1</v>
      </c>
      <c r="AA11" t="s">
        <v>23</v>
      </c>
    </row>
    <row r="12" spans="1:27" x14ac:dyDescent="0.2">
      <c r="A12" s="4">
        <v>46066.698223217594</v>
      </c>
      <c r="B12" s="3">
        <v>18.006751999999999</v>
      </c>
      <c r="C12" s="3">
        <v>18.627981999999999</v>
      </c>
      <c r="D12" s="3">
        <v>18.824013000000001</v>
      </c>
      <c r="E12" s="3">
        <v>19.175681999999998</v>
      </c>
      <c r="F12" s="3">
        <v>37.014664000000003</v>
      </c>
      <c r="G12" s="3">
        <v>36.807974999999999</v>
      </c>
      <c r="H12" s="3">
        <v>25.136009000000001</v>
      </c>
      <c r="I12" s="3">
        <v>22.623643999999999</v>
      </c>
      <c r="J12" s="3">
        <v>55.85886</v>
      </c>
      <c r="K12" s="3">
        <v>48.23048</v>
      </c>
      <c r="L12" s="3">
        <v>82.373686000000006</v>
      </c>
      <c r="M12" s="3">
        <v>-622.5</v>
      </c>
      <c r="N12" s="3">
        <v>0.92374500000000004</v>
      </c>
      <c r="O12" s="3">
        <v>0.82228999999999997</v>
      </c>
      <c r="P12" s="2"/>
      <c r="Q12" s="5">
        <f>N12*0.001/60</f>
        <v>1.5395749999999999E-5</v>
      </c>
      <c r="R12" cm="1">
        <f t="array" ref="R12">[1]!PropsSI("D","T",J12+273.15,"P",101325,"Water")</f>
        <v>985.27494940275983</v>
      </c>
      <c r="S12" cm="1">
        <f t="array" ref="S12">[1]!PropsSI("D","T",J12+273.15,"P",101325,"Water")</f>
        <v>985.27494940275983</v>
      </c>
      <c r="T12">
        <f t="shared" si="1"/>
        <v>985.27494940275983</v>
      </c>
      <c r="U12" cm="1">
        <f t="array" ref="U12">[1]!PropsSI("H","T",J12+273.15,"P",101325,"Water")</f>
        <v>233921.78397670604</v>
      </c>
      <c r="V12" cm="1">
        <f t="array" ref="V12">[1]!PropsSI("H","T",K12+273.15,"P",101325,"Water")</f>
        <v>202019.95073908227</v>
      </c>
      <c r="W12">
        <f t="shared" si="0"/>
        <v>483.9204014596491</v>
      </c>
      <c r="Y12">
        <f t="shared" si="2"/>
        <v>1</v>
      </c>
      <c r="AA12">
        <f>AVERAGEIF(Y2:Y42,1,W2:W42)</f>
        <v>486.45811977828981</v>
      </c>
    </row>
    <row r="13" spans="1:27" x14ac:dyDescent="0.2">
      <c r="A13" s="4">
        <v>46066.698338958333</v>
      </c>
      <c r="B13" s="3">
        <v>17.707495999999999</v>
      </c>
      <c r="C13" s="3">
        <v>18.354127999999999</v>
      </c>
      <c r="D13" s="3">
        <v>18.727812</v>
      </c>
      <c r="E13" s="3">
        <v>19.159036</v>
      </c>
      <c r="F13" s="3">
        <v>36.600327</v>
      </c>
      <c r="G13" s="3">
        <v>35.566654999999997</v>
      </c>
      <c r="H13" s="3">
        <v>24.696375</v>
      </c>
      <c r="I13" s="3">
        <v>22.902286</v>
      </c>
      <c r="J13" s="3">
        <v>55.865067000000003</v>
      </c>
      <c r="K13" s="3">
        <v>48.216825</v>
      </c>
      <c r="L13" s="3">
        <v>87.144468000000003</v>
      </c>
      <c r="M13" s="3">
        <v>-622.49755000000005</v>
      </c>
      <c r="N13" s="3">
        <v>0.933056</v>
      </c>
      <c r="O13" s="3">
        <v>1.372628</v>
      </c>
      <c r="P13" s="2"/>
      <c r="Q13" s="5">
        <f>N13*0.001/60</f>
        <v>1.5550933333333334E-5</v>
      </c>
      <c r="R13" cm="1">
        <f t="array" ref="R13">[1]!PropsSI("D","T",J13+273.15,"P",101325,"Water")</f>
        <v>985.27191094723617</v>
      </c>
      <c r="S13" cm="1">
        <f t="array" ref="S13">[1]!PropsSI("D","T",J13+273.15,"P",101325,"Water")</f>
        <v>985.27191094723617</v>
      </c>
      <c r="T13">
        <f t="shared" si="1"/>
        <v>985.27191094723617</v>
      </c>
      <c r="U13" cm="1">
        <f t="array" ref="U13">[1]!PropsSI("H","T",J13+273.15,"P",101325,"Water")</f>
        <v>233947.74955823194</v>
      </c>
      <c r="V13" cm="1">
        <f t="array" ref="V13">[1]!PropsSI("H","T",K13+273.15,"P",101325,"Water")</f>
        <v>201962.86101294289</v>
      </c>
      <c r="W13">
        <f t="shared" si="0"/>
        <v>490.06919351035913</v>
      </c>
      <c r="Y13">
        <f t="shared" si="2"/>
        <v>1</v>
      </c>
    </row>
    <row r="14" spans="1:27" x14ac:dyDescent="0.2">
      <c r="A14" s="4">
        <v>46066.698455277779</v>
      </c>
      <c r="B14" s="3">
        <v>18.013839999999998</v>
      </c>
      <c r="C14" s="3">
        <v>18.801712999999999</v>
      </c>
      <c r="D14" s="3">
        <v>18.785564000000001</v>
      </c>
      <c r="E14" s="3">
        <v>19.150147</v>
      </c>
      <c r="F14" s="3">
        <v>37.006945000000002</v>
      </c>
      <c r="G14" s="3">
        <v>37.355632999999997</v>
      </c>
      <c r="H14" s="3">
        <v>24.860579999999999</v>
      </c>
      <c r="I14" s="3">
        <v>22.385489</v>
      </c>
      <c r="J14" s="3">
        <v>55.872866000000002</v>
      </c>
      <c r="K14" s="3">
        <v>48.212696999999999</v>
      </c>
      <c r="L14" s="3">
        <v>87.433025000000001</v>
      </c>
      <c r="M14" s="3">
        <v>-622.50612000000001</v>
      </c>
      <c r="N14" s="3">
        <v>0.92887600000000003</v>
      </c>
      <c r="O14" s="3">
        <v>1.304095</v>
      </c>
      <c r="P14" s="2"/>
      <c r="Q14" s="5">
        <f>N14*0.001/60</f>
        <v>1.5481266666666667E-5</v>
      </c>
      <c r="R14" cm="1">
        <f t="array" ref="R14">[1]!PropsSI("D","T",J14+273.15,"P",101325,"Water")</f>
        <v>985.26809283859154</v>
      </c>
      <c r="S14" cm="1">
        <f t="array" ref="S14">[1]!PropsSI("D","T",J14+273.15,"P",101325,"Water")</f>
        <v>985.26809283859154</v>
      </c>
      <c r="T14">
        <f t="shared" si="1"/>
        <v>985.26809283859154</v>
      </c>
      <c r="U14" cm="1">
        <f t="array" ref="U14">[1]!PropsSI("H","T",J14+273.15,"P",101325,"Water")</f>
        <v>233980.37493232443</v>
      </c>
      <c r="V14" cm="1">
        <f t="array" ref="V14">[1]!PropsSI("H","T",K14+273.15,"P",101325,"Water")</f>
        <v>201945.602407094</v>
      </c>
      <c r="W14">
        <f t="shared" si="0"/>
        <v>488.63273088375388</v>
      </c>
      <c r="Y14">
        <f t="shared" si="2"/>
        <v>1</v>
      </c>
    </row>
    <row r="15" spans="1:27" x14ac:dyDescent="0.2">
      <c r="A15" s="4">
        <v>46066.698571018518</v>
      </c>
      <c r="B15" s="3">
        <v>18.130164000000001</v>
      </c>
      <c r="C15" s="3">
        <v>18.942108999999999</v>
      </c>
      <c r="D15" s="3">
        <v>18.772573999999999</v>
      </c>
      <c r="E15" s="3">
        <v>19.142589999999998</v>
      </c>
      <c r="F15" s="3">
        <v>37.344656000000001</v>
      </c>
      <c r="G15" s="3">
        <v>36.500723999999998</v>
      </c>
      <c r="H15" s="3">
        <v>24.996455000000001</v>
      </c>
      <c r="I15" s="3">
        <v>22.673362000000001</v>
      </c>
      <c r="J15" s="3">
        <v>55.877799000000003</v>
      </c>
      <c r="K15" s="3">
        <v>48.222700000000003</v>
      </c>
      <c r="L15" s="3">
        <v>82.306342999999998</v>
      </c>
      <c r="M15" s="3">
        <v>-622.46489999999994</v>
      </c>
      <c r="N15" s="3">
        <v>0.92584299999999997</v>
      </c>
      <c r="O15" s="3">
        <v>0.724414</v>
      </c>
      <c r="P15" s="2"/>
      <c r="Q15" s="5">
        <f>N15*0.001/60</f>
        <v>1.5430716666666668E-5</v>
      </c>
      <c r="R15" cm="1">
        <f t="array" ref="R15">[1]!PropsSI("D","T",J15+273.15,"P",101325,"Water")</f>
        <v>985.26567762680929</v>
      </c>
      <c r="S15" cm="1">
        <f t="array" ref="S15">[1]!PropsSI("D","T",J15+273.15,"P",101325,"Water")</f>
        <v>985.26567762680929</v>
      </c>
      <c r="T15">
        <f t="shared" si="1"/>
        <v>985.26567762680929</v>
      </c>
      <c r="U15" cm="1">
        <f t="array" ref="U15">[1]!PropsSI("H","T",J15+273.15,"P",101325,"Water")</f>
        <v>234001.01104751581</v>
      </c>
      <c r="V15" cm="1">
        <f t="array" ref="V15">[1]!PropsSI("H","T",K15+273.15,"P",101325,"Water")</f>
        <v>201987.42359529712</v>
      </c>
      <c r="W15">
        <f t="shared" si="0"/>
        <v>486.713951277815</v>
      </c>
      <c r="Y15">
        <f t="shared" si="2"/>
        <v>1</v>
      </c>
    </row>
    <row r="16" spans="1:27" x14ac:dyDescent="0.2">
      <c r="A16" s="4">
        <v>46066.698687337965</v>
      </c>
      <c r="B16" s="3">
        <v>18.382221999999999</v>
      </c>
      <c r="C16" s="3">
        <v>19.071622999999999</v>
      </c>
      <c r="D16" s="3">
        <v>18.795762</v>
      </c>
      <c r="E16" s="3">
        <v>19.161172000000001</v>
      </c>
      <c r="F16" s="3">
        <v>36.447960999999999</v>
      </c>
      <c r="G16" s="3">
        <v>36.958483000000001</v>
      </c>
      <c r="H16" s="3">
        <v>24.658781000000001</v>
      </c>
      <c r="I16" s="3">
        <v>22.790289000000001</v>
      </c>
      <c r="J16" s="3">
        <v>55.871910999999997</v>
      </c>
      <c r="K16" s="3">
        <v>48.237783999999998</v>
      </c>
      <c r="L16" s="3">
        <v>87.506082000000006</v>
      </c>
      <c r="M16" s="3">
        <v>-622.48407999999995</v>
      </c>
      <c r="N16" s="3">
        <v>0.93241600000000002</v>
      </c>
      <c r="O16" s="3">
        <v>1.7065650000000001</v>
      </c>
      <c r="P16" s="2"/>
      <c r="Q16" s="5">
        <f>N16*0.001/60</f>
        <v>1.5540266666666668E-5</v>
      </c>
      <c r="R16" cm="1">
        <f t="array" ref="R16">[1]!PropsSI("D","T",J16+273.15,"P",101325,"Water")</f>
        <v>985.2685603921966</v>
      </c>
      <c r="S16" cm="1">
        <f t="array" ref="S16">[1]!PropsSI("D","T",J16+273.15,"P",101325,"Water")</f>
        <v>985.2685603921966</v>
      </c>
      <c r="T16">
        <f t="shared" si="1"/>
        <v>985.2685603921966</v>
      </c>
      <c r="U16" cm="1">
        <f t="array" ref="U16">[1]!PropsSI("H","T",J16+273.15,"P",101325,"Water")</f>
        <v>233976.37990197961</v>
      </c>
      <c r="V16" cm="1">
        <f t="array" ref="V16">[1]!PropsSI("H","T",K16+273.15,"P",101325,"Water")</f>
        <v>202050.4878042163</v>
      </c>
      <c r="W16">
        <f t="shared" si="0"/>
        <v>488.82806633311958</v>
      </c>
      <c r="Y16">
        <f t="shared" si="2"/>
        <v>1</v>
      </c>
    </row>
    <row r="17" spans="1:25" x14ac:dyDescent="0.2">
      <c r="A17" s="4">
        <v>46066.698803078703</v>
      </c>
      <c r="B17" s="3">
        <v>18.244375999999999</v>
      </c>
      <c r="C17" s="3">
        <v>18.917176000000001</v>
      </c>
      <c r="D17" s="3">
        <v>18.806743000000001</v>
      </c>
      <c r="E17" s="3">
        <v>19.209496000000001</v>
      </c>
      <c r="F17" s="3">
        <v>37.518835000000003</v>
      </c>
      <c r="G17" s="3">
        <v>36.022933000000002</v>
      </c>
      <c r="H17" s="3">
        <v>25.262022000000002</v>
      </c>
      <c r="I17" s="3">
        <v>22.663550999999998</v>
      </c>
      <c r="J17" s="3">
        <v>55.868568000000003</v>
      </c>
      <c r="K17" s="3">
        <v>48.259061000000003</v>
      </c>
      <c r="L17" s="3">
        <v>90.398999000000003</v>
      </c>
      <c r="M17" s="3">
        <v>-622.48979999999995</v>
      </c>
      <c r="N17" s="3">
        <v>0.92717099999999997</v>
      </c>
      <c r="O17" s="3">
        <v>1.0457069999999999</v>
      </c>
      <c r="P17" s="2"/>
      <c r="Q17" s="5">
        <f>N17*0.001/60</f>
        <v>1.5452849999999999E-5</v>
      </c>
      <c r="R17" cm="1">
        <f t="array" ref="R17">[1]!PropsSI("D","T",J17+273.15,"P",101325,"Water")</f>
        <v>985.27019703038809</v>
      </c>
      <c r="S17" cm="1">
        <f t="array" ref="S17">[1]!PropsSI("D","T",J17+273.15,"P",101325,"Water")</f>
        <v>985.27019703038809</v>
      </c>
      <c r="T17">
        <f t="shared" si="1"/>
        <v>985.27019703038809</v>
      </c>
      <c r="U17" cm="1">
        <f t="array" ref="U17">[1]!PropsSI("H","T",J17+273.15,"P",101325,"Water")</f>
        <v>233962.39520675153</v>
      </c>
      <c r="V17" cm="1">
        <f t="array" ref="V17">[1]!PropsSI("H","T",K17+273.15,"P",101325,"Water")</f>
        <v>202139.44422504495</v>
      </c>
      <c r="W17">
        <f t="shared" si="0"/>
        <v>484.51182957501584</v>
      </c>
      <c r="Y17">
        <f t="shared" si="2"/>
        <v>1</v>
      </c>
    </row>
    <row r="18" spans="1:25" x14ac:dyDescent="0.2">
      <c r="A18" s="4">
        <v>46066.69891939815</v>
      </c>
      <c r="B18" s="3">
        <v>17.91572</v>
      </c>
      <c r="C18" s="3">
        <v>18.767448000000002</v>
      </c>
      <c r="D18" s="3">
        <v>18.780619000000002</v>
      </c>
      <c r="E18" s="3">
        <v>19.261202000000001</v>
      </c>
      <c r="F18" s="3">
        <v>36.683622</v>
      </c>
      <c r="G18" s="3">
        <v>36.235739000000002</v>
      </c>
      <c r="H18" s="3">
        <v>25.487463000000002</v>
      </c>
      <c r="I18" s="3">
        <v>23.051207999999999</v>
      </c>
      <c r="J18" s="3">
        <v>55.870956</v>
      </c>
      <c r="K18" s="3">
        <v>48.238101999999998</v>
      </c>
      <c r="L18" s="3">
        <v>80.742748000000006</v>
      </c>
      <c r="M18" s="3">
        <v>-622.51061000000004</v>
      </c>
      <c r="N18" s="3">
        <v>0.927315</v>
      </c>
      <c r="O18" s="3">
        <v>1.1117870000000001</v>
      </c>
      <c r="P18" s="2"/>
      <c r="Q18" s="5">
        <f>N18*0.001/60</f>
        <v>1.5455250000000001E-5</v>
      </c>
      <c r="R18" cm="1">
        <f t="array" ref="R18">[1]!PropsSI("D","T",J18+273.15,"P",101325,"Water")</f>
        <v>985.26902794018349</v>
      </c>
      <c r="S18" cm="1">
        <f t="array" ref="S18">[1]!PropsSI("D","T",J18+273.15,"P",101325,"Water")</f>
        <v>985.26902794018349</v>
      </c>
      <c r="T18">
        <f t="shared" si="1"/>
        <v>985.26902794018349</v>
      </c>
      <c r="U18" cm="1">
        <f t="array" ref="U18">[1]!PropsSI("H","T",J18+273.15,"P",101325,"Water")</f>
        <v>233972.38487195363</v>
      </c>
      <c r="V18" cm="1">
        <f t="array" ref="V18">[1]!PropsSI("H","T",K18+273.15,"P",101325,"Water")</f>
        <v>202051.81732078793</v>
      </c>
      <c r="W18">
        <f t="shared" si="0"/>
        <v>486.07296870908891</v>
      </c>
      <c r="Y18">
        <f t="shared" si="2"/>
        <v>1</v>
      </c>
    </row>
    <row r="19" spans="1:25" x14ac:dyDescent="0.2">
      <c r="A19" s="4">
        <v>46066.699035717589</v>
      </c>
      <c r="B19" s="3">
        <v>17.937864999999999</v>
      </c>
      <c r="C19" s="3">
        <v>18.764827</v>
      </c>
      <c r="D19" s="3">
        <v>18.839015</v>
      </c>
      <c r="E19" s="3">
        <v>19.276658999999999</v>
      </c>
      <c r="F19" s="3">
        <v>36.913536000000001</v>
      </c>
      <c r="G19" s="3">
        <v>36.640844999999999</v>
      </c>
      <c r="H19" s="3">
        <v>26.307814</v>
      </c>
      <c r="I19" s="3">
        <v>22.828247000000001</v>
      </c>
      <c r="J19" s="3">
        <v>55.876843999999998</v>
      </c>
      <c r="K19" s="3">
        <v>48.241594999999997</v>
      </c>
      <c r="L19" s="3">
        <v>76.448268999999996</v>
      </c>
      <c r="M19" s="3">
        <v>-622.49225000000001</v>
      </c>
      <c r="N19" s="3">
        <v>0.92767100000000002</v>
      </c>
      <c r="O19" s="3">
        <v>0.54944000000000004</v>
      </c>
      <c r="P19" s="2"/>
      <c r="Q19" s="5">
        <f>N19*0.001/60</f>
        <v>1.5461183333333334E-5</v>
      </c>
      <c r="R19" cm="1">
        <f t="array" ref="R19">[1]!PropsSI("D","T",J19+273.15,"P",101325,"Water")</f>
        <v>985.26614520939313</v>
      </c>
      <c r="S19" cm="1">
        <f t="array" ref="S19">[1]!PropsSI("D","T",J19+273.15,"P",101325,"Water")</f>
        <v>985.26614520939313</v>
      </c>
      <c r="T19">
        <f t="shared" si="1"/>
        <v>985.26614520939313</v>
      </c>
      <c r="U19" cm="1">
        <f t="array" ref="U19">[1]!PropsSI("H","T",J19+273.15,"P",101325,"Water")</f>
        <v>233997.01601539436</v>
      </c>
      <c r="V19" cm="1">
        <f t="array" ref="V19">[1]!PropsSI("H","T",K19+273.15,"P",101325,"Water")</f>
        <v>202066.42110027463</v>
      </c>
      <c r="W19">
        <f t="shared" si="0"/>
        <v>486.41090203585082</v>
      </c>
      <c r="Y19">
        <f t="shared" si="2"/>
        <v>1</v>
      </c>
    </row>
    <row r="20" spans="1:25" x14ac:dyDescent="0.2">
      <c r="A20" s="4">
        <v>46066.699151458335</v>
      </c>
      <c r="B20" s="3">
        <v>17.869630999999998</v>
      </c>
      <c r="C20" s="3">
        <v>18.426870999999998</v>
      </c>
      <c r="D20" s="3">
        <v>18.874798999999999</v>
      </c>
      <c r="E20" s="3">
        <v>19.270489999999999</v>
      </c>
      <c r="F20" s="3">
        <v>36.708758000000003</v>
      </c>
      <c r="G20" s="3">
        <v>36.070301000000001</v>
      </c>
      <c r="H20" s="3">
        <v>24.913709999999998</v>
      </c>
      <c r="I20" s="3">
        <v>23.556936</v>
      </c>
      <c r="J20" s="3">
        <v>55.878276999999997</v>
      </c>
      <c r="K20" s="3">
        <v>48.248423000000003</v>
      </c>
      <c r="L20" s="3">
        <v>88.996619999999993</v>
      </c>
      <c r="M20" s="3">
        <v>-622.5</v>
      </c>
      <c r="N20" s="3">
        <v>0.92447900000000005</v>
      </c>
      <c r="O20" s="3">
        <v>1.431376</v>
      </c>
      <c r="P20" s="2"/>
      <c r="Q20" s="5">
        <f>N20*0.001/60</f>
        <v>1.5407983333333336E-5</v>
      </c>
      <c r="R20" cm="1">
        <f t="array" ref="R20">[1]!PropsSI("D","T",J20+273.15,"P",101325,"Water")</f>
        <v>985.2654435886036</v>
      </c>
      <c r="S20" cm="1">
        <f t="array" ref="S20">[1]!PropsSI("D","T",J20+273.15,"P",101325,"Water")</f>
        <v>985.2654435886036</v>
      </c>
      <c r="T20">
        <f t="shared" si="1"/>
        <v>985.2654435886036</v>
      </c>
      <c r="U20" cm="1">
        <f t="array" ref="U20">[1]!PropsSI("H","T",J20+273.15,"P",101325,"Water")</f>
        <v>234003.01065536152</v>
      </c>
      <c r="V20" cm="1">
        <f t="array" ref="V20">[1]!PropsSI("H","T",K20+273.15,"P",101325,"Water")</f>
        <v>202094.96809072833</v>
      </c>
      <c r="W20">
        <f t="shared" si="0"/>
        <v>484.39451152573548</v>
      </c>
      <c r="Y20">
        <f t="shared" si="2"/>
        <v>1</v>
      </c>
    </row>
    <row r="21" spans="1:25" x14ac:dyDescent="0.2">
      <c r="A21" s="4">
        <v>46066.699267777774</v>
      </c>
      <c r="B21" s="3">
        <v>17.939525</v>
      </c>
      <c r="C21" s="3">
        <v>18.784040999999998</v>
      </c>
      <c r="D21" s="3">
        <v>18.779195000000001</v>
      </c>
      <c r="E21" s="3">
        <v>19.156288</v>
      </c>
      <c r="F21" s="3">
        <v>36.902538</v>
      </c>
      <c r="G21" s="3">
        <v>34.480559999999997</v>
      </c>
      <c r="H21" s="3">
        <v>25.090579000000002</v>
      </c>
      <c r="I21" s="3">
        <v>23.038862000000002</v>
      </c>
      <c r="J21" s="3">
        <v>55.874934000000003</v>
      </c>
      <c r="K21" s="3">
        <v>48.244611999999996</v>
      </c>
      <c r="L21" s="3">
        <v>84.118088999999998</v>
      </c>
      <c r="M21" s="3">
        <v>-622.47919000000002</v>
      </c>
      <c r="N21" s="3">
        <v>0.92910499999999996</v>
      </c>
      <c r="O21" s="3">
        <v>1.554287</v>
      </c>
      <c r="P21" s="2"/>
      <c r="Q21" s="5">
        <f>N21*0.001/60</f>
        <v>1.5485083333333332E-5</v>
      </c>
      <c r="R21" cm="1">
        <f t="array" ref="R21">[1]!PropsSI("D","T",J21+273.15,"P",101325,"Water")</f>
        <v>985.26708035773981</v>
      </c>
      <c r="S21" cm="1">
        <f t="array" ref="S21">[1]!PropsSI("D","T",J21+273.15,"P",101325,"Water")</f>
        <v>985.26708035773981</v>
      </c>
      <c r="T21">
        <f t="shared" si="1"/>
        <v>985.26708035773981</v>
      </c>
      <c r="U21" cm="1">
        <f t="array" ref="U21">[1]!PropsSI("H","T",J21+273.15,"P",101325,"Water")</f>
        <v>233989.02595215602</v>
      </c>
      <c r="V21" cm="1">
        <f t="array" ref="V21">[1]!PropsSI("H","T",K21+273.15,"P",101325,"Water")</f>
        <v>202079.03478802927</v>
      </c>
      <c r="W21">
        <f t="shared" si="0"/>
        <v>486.84891137329134</v>
      </c>
      <c r="Y21">
        <f t="shared" si="2"/>
        <v>1</v>
      </c>
    </row>
    <row r="22" spans="1:25" x14ac:dyDescent="0.2">
      <c r="A22" s="4">
        <v>46066.699384097221</v>
      </c>
      <c r="B22" s="3">
        <v>18.340606999999999</v>
      </c>
      <c r="C22" s="3">
        <v>19.083590000000001</v>
      </c>
      <c r="D22" s="3">
        <v>18.854779000000001</v>
      </c>
      <c r="E22" s="3">
        <v>19.142443</v>
      </c>
      <c r="F22" s="3">
        <v>37.204920000000001</v>
      </c>
      <c r="G22" s="3">
        <v>36.374572999999998</v>
      </c>
      <c r="H22" s="3">
        <v>25.245674000000001</v>
      </c>
      <c r="I22" s="3">
        <v>23.281663999999999</v>
      </c>
      <c r="J22" s="3">
        <v>55.875571000000001</v>
      </c>
      <c r="K22" s="3">
        <v>48.243023999999998</v>
      </c>
      <c r="L22" s="3">
        <v>90.521850000000001</v>
      </c>
      <c r="M22" s="3">
        <v>-622.49225000000001</v>
      </c>
      <c r="N22" s="3">
        <v>0.92600300000000002</v>
      </c>
      <c r="O22" s="3">
        <v>1.0449189999999999</v>
      </c>
      <c r="P22" s="2"/>
      <c r="Q22" s="5">
        <f>N22*0.001/60</f>
        <v>1.5433383333333334E-5</v>
      </c>
      <c r="R22" cm="1">
        <f t="array" ref="R22">[1]!PropsSI("D","T",J22+273.15,"P",101325,"Water")</f>
        <v>985.26676848090972</v>
      </c>
      <c r="S22" cm="1">
        <f t="array" ref="S22">[1]!PropsSI("D","T",J22+273.15,"P",101325,"Water")</f>
        <v>985.26676848090972</v>
      </c>
      <c r="T22">
        <f t="shared" si="1"/>
        <v>985.26676848090972</v>
      </c>
      <c r="U22" cm="1">
        <f t="array" ref="U22">[1]!PropsSI("H","T",J22+273.15,"P",101325,"Water")</f>
        <v>233991.69070082455</v>
      </c>
      <c r="V22" cm="1">
        <f t="array" ref="V22">[1]!PropsSI("H","T",K22+273.15,"P",101325,"Water")</f>
        <v>202072.39556457123</v>
      </c>
      <c r="W22">
        <f t="shared" si="0"/>
        <v>485.36479301811289</v>
      </c>
      <c r="Y22">
        <f t="shared" si="2"/>
        <v>1</v>
      </c>
    </row>
    <row r="23" spans="1:25" x14ac:dyDescent="0.2">
      <c r="A23" s="4">
        <v>46066.69949983796</v>
      </c>
      <c r="B23" s="3">
        <v>18.093214</v>
      </c>
      <c r="C23" s="3">
        <v>18.883030999999999</v>
      </c>
      <c r="D23" s="3">
        <v>18.876605000000001</v>
      </c>
      <c r="E23" s="3">
        <v>19.126528</v>
      </c>
      <c r="F23" s="3">
        <v>36.789282</v>
      </c>
      <c r="G23" s="3">
        <v>34.985678999999998</v>
      </c>
      <c r="H23" s="3">
        <v>24.861567999999998</v>
      </c>
      <c r="I23" s="3">
        <v>21.865625000000001</v>
      </c>
      <c r="J23" s="3">
        <v>55.869523000000001</v>
      </c>
      <c r="K23" s="3">
        <v>48.252392</v>
      </c>
      <c r="L23" s="3">
        <v>85.781271000000004</v>
      </c>
      <c r="M23" s="3">
        <v>-622.48815999999999</v>
      </c>
      <c r="N23" s="3">
        <v>0.92488899999999996</v>
      </c>
      <c r="O23" s="3">
        <v>1.209155</v>
      </c>
      <c r="P23" s="2"/>
      <c r="Q23" s="5">
        <f>N23*0.001/60</f>
        <v>1.5414816666666667E-5</v>
      </c>
      <c r="R23" cm="1">
        <f t="array" ref="R23">[1]!PropsSI("D","T",J23+273.15,"P",101325,"Water")</f>
        <v>985.26972949645142</v>
      </c>
      <c r="S23" cm="1">
        <f t="array" ref="S23">[1]!PropsSI("D","T",J23+273.15,"P",101325,"Water")</f>
        <v>985.26972949645142</v>
      </c>
      <c r="T23">
        <f t="shared" si="1"/>
        <v>985.26972949645142</v>
      </c>
      <c r="U23" cm="1">
        <f t="array" ref="U23">[1]!PropsSI("H","T",J23+273.15,"P",101325,"Water")</f>
        <v>233966.39023590027</v>
      </c>
      <c r="V23" cm="1">
        <f t="array" ref="V23">[1]!PropsSI("H","T",K23+273.15,"P",101325,"Water")</f>
        <v>202111.56197505107</v>
      </c>
      <c r="W23">
        <f t="shared" si="0"/>
        <v>483.80323950938276</v>
      </c>
      <c r="Y23">
        <f t="shared" si="2"/>
        <v>1</v>
      </c>
    </row>
    <row r="24" spans="1:25" x14ac:dyDescent="0.2">
      <c r="A24" s="4">
        <v>46066.699616157406</v>
      </c>
      <c r="B24" s="3">
        <v>18.466766</v>
      </c>
      <c r="C24" s="3">
        <v>19.161512999999999</v>
      </c>
      <c r="D24" s="3">
        <v>18.903624000000001</v>
      </c>
      <c r="E24" s="3">
        <v>19.174610999999999</v>
      </c>
      <c r="F24" s="3">
        <v>37.106192999999998</v>
      </c>
      <c r="G24" s="3">
        <v>36.759920000000001</v>
      </c>
      <c r="H24" s="3">
        <v>25.122617999999999</v>
      </c>
      <c r="I24" s="3">
        <v>22.904525</v>
      </c>
      <c r="J24" s="3">
        <v>55.861088000000002</v>
      </c>
      <c r="K24" s="3">
        <v>48.240482999999998</v>
      </c>
      <c r="L24" s="3">
        <v>74.392860999999996</v>
      </c>
      <c r="M24" s="3">
        <v>-622.50939000000005</v>
      </c>
      <c r="N24" s="3">
        <v>0.93421500000000002</v>
      </c>
      <c r="O24" s="3">
        <v>1.1432389999999999</v>
      </c>
      <c r="P24" s="2"/>
      <c r="Q24" s="5">
        <f>N24*0.001/60</f>
        <v>1.5570250000000002E-5</v>
      </c>
      <c r="R24" cm="1">
        <f t="array" ref="R24">[1]!PropsSI("D","T",J24+273.15,"P",101325,"Water")</f>
        <v>985.27385877774395</v>
      </c>
      <c r="S24" cm="1">
        <f t="array" ref="S24">[1]!PropsSI("D","T",J24+273.15,"P",101325,"Water")</f>
        <v>985.27385877774395</v>
      </c>
      <c r="T24">
        <f t="shared" si="1"/>
        <v>985.27385877774395</v>
      </c>
      <c r="U24" cm="1">
        <f t="array" ref="U24">[1]!PropsSI("H","T",J24+273.15,"P",101325,"Water")</f>
        <v>233931.10430938489</v>
      </c>
      <c r="V24" cm="1">
        <f t="array" ref="V24">[1]!PropsSI("H","T",K24+273.15,"P",101325,"Water")</f>
        <v>202061.77197233195</v>
      </c>
      <c r="W24">
        <f t="shared" si="0"/>
        <v>488.90616215857665</v>
      </c>
      <c r="Y24">
        <f t="shared" si="2"/>
        <v>1</v>
      </c>
    </row>
    <row r="25" spans="1:25" x14ac:dyDescent="0.2">
      <c r="A25" s="4">
        <v>46066.699731898145</v>
      </c>
      <c r="B25" s="3">
        <v>17.998949</v>
      </c>
      <c r="C25" s="3">
        <v>18.580729999999999</v>
      </c>
      <c r="D25" s="3">
        <v>18.754958999999999</v>
      </c>
      <c r="E25" s="3">
        <v>19.093125000000001</v>
      </c>
      <c r="F25" s="3">
        <v>36.884109000000002</v>
      </c>
      <c r="G25" s="3">
        <v>36.837010999999997</v>
      </c>
      <c r="H25" s="3">
        <v>25.315114000000001</v>
      </c>
      <c r="I25" s="3">
        <v>22.654917999999999</v>
      </c>
      <c r="J25" s="3">
        <v>55.864271000000002</v>
      </c>
      <c r="K25" s="3">
        <v>48.259061000000003</v>
      </c>
      <c r="L25" s="3">
        <v>84.433582999999999</v>
      </c>
      <c r="M25" s="3">
        <v>-622.49060999999995</v>
      </c>
      <c r="N25" s="3">
        <v>0.92617499999999997</v>
      </c>
      <c r="O25" s="3">
        <v>1.055593</v>
      </c>
      <c r="P25" s="2"/>
      <c r="Q25" s="5">
        <f>N25*0.001/60</f>
        <v>1.543625E-5</v>
      </c>
      <c r="R25" cm="1">
        <f t="array" ref="R25">[1]!PropsSI("D","T",J25+273.15,"P",101325,"Water")</f>
        <v>985.27230061906153</v>
      </c>
      <c r="S25" cm="1">
        <f t="array" ref="S25">[1]!PropsSI("D","T",J25+273.15,"P",101325,"Water")</f>
        <v>985.27230061906153</v>
      </c>
      <c r="T25">
        <f t="shared" si="1"/>
        <v>985.27230061906153</v>
      </c>
      <c r="U25" cm="1">
        <f t="array" ref="U25">[1]!PropsSI("H","T",J25+273.15,"P",101325,"Water")</f>
        <v>233944.41967131075</v>
      </c>
      <c r="V25" cm="1">
        <f t="array" ref="V25">[1]!PropsSI("H","T",K25+273.15,"P",101325,"Water")</f>
        <v>202139.44422504495</v>
      </c>
      <c r="W25">
        <f t="shared" si="0"/>
        <v>483.71899481593505</v>
      </c>
      <c r="Y25">
        <f t="shared" si="2"/>
        <v>1</v>
      </c>
    </row>
    <row r="26" spans="1:25" x14ac:dyDescent="0.2">
      <c r="A26" s="4">
        <v>46066.699847638891</v>
      </c>
      <c r="B26" s="3">
        <v>18.302184</v>
      </c>
      <c r="C26" s="3">
        <v>19.1509</v>
      </c>
      <c r="D26" s="3">
        <v>18.849328</v>
      </c>
      <c r="E26" s="3">
        <v>19.064160000000001</v>
      </c>
      <c r="F26" s="3">
        <v>36.776890000000002</v>
      </c>
      <c r="G26" s="3">
        <v>36.303006000000003</v>
      </c>
      <c r="H26" s="3">
        <v>25.141681999999999</v>
      </c>
      <c r="I26" s="3">
        <v>22.416488000000001</v>
      </c>
      <c r="J26" s="3">
        <v>55.860610999999999</v>
      </c>
      <c r="K26" s="3">
        <v>48.239212999999999</v>
      </c>
      <c r="L26" s="3">
        <v>83.626277000000002</v>
      </c>
      <c r="M26" s="3">
        <v>-622.51428999999996</v>
      </c>
      <c r="N26" s="3">
        <v>0.92741300000000004</v>
      </c>
      <c r="O26" s="3">
        <v>0.93662299999999998</v>
      </c>
      <c r="P26" s="2"/>
      <c r="Q26" s="5">
        <f>N26*0.001/60</f>
        <v>1.5456883333333334E-5</v>
      </c>
      <c r="R26" cm="1">
        <f t="array" ref="R26">[1]!PropsSI("D","T",J26+273.15,"P",101325,"Water")</f>
        <v>985.27409227588805</v>
      </c>
      <c r="S26" cm="1">
        <f t="array" ref="S26">[1]!PropsSI("D","T",J26+273.15,"P",101325,"Water")</f>
        <v>985.27409227588805</v>
      </c>
      <c r="T26">
        <f t="shared" si="1"/>
        <v>985.27409227588805</v>
      </c>
      <c r="U26" cm="1">
        <f t="array" ref="U26">[1]!PropsSI("H","T",J26+273.15,"P",101325,"Water")</f>
        <v>233929.10888793643</v>
      </c>
      <c r="V26" cm="1">
        <f t="array" ref="V26">[1]!PropsSI("H","T",K26+273.15,"P",101325,"Water")</f>
        <v>202056.46226716685</v>
      </c>
      <c r="W26">
        <f t="shared" si="0"/>
        <v>485.39703568436357</v>
      </c>
      <c r="Y26">
        <f t="shared" si="2"/>
        <v>1</v>
      </c>
    </row>
    <row r="27" spans="1:25" x14ac:dyDescent="0.2">
      <c r="A27" s="4">
        <v>46066.69996395833</v>
      </c>
      <c r="B27" s="3">
        <v>17.961739999999999</v>
      </c>
      <c r="C27" s="3">
        <v>18.980215000000001</v>
      </c>
      <c r="D27" s="3">
        <v>18.739750999999998</v>
      </c>
      <c r="E27" s="3">
        <v>19.002324000000002</v>
      </c>
      <c r="F27" s="3">
        <v>36.656122000000003</v>
      </c>
      <c r="G27" s="3">
        <v>36.836432000000002</v>
      </c>
      <c r="H27" s="3">
        <v>24.697490999999999</v>
      </c>
      <c r="I27" s="3">
        <v>22.448892000000001</v>
      </c>
      <c r="J27" s="3">
        <v>55.858224</v>
      </c>
      <c r="K27" s="3">
        <v>48.235720000000001</v>
      </c>
      <c r="L27" s="3">
        <v>85.098448000000005</v>
      </c>
      <c r="M27" s="3">
        <v>-622.49225000000001</v>
      </c>
      <c r="N27" s="3">
        <v>0.92661800000000005</v>
      </c>
      <c r="O27" s="3">
        <v>1.689244</v>
      </c>
      <c r="P27" s="2"/>
      <c r="Q27" s="5">
        <f>N27*0.001/60</f>
        <v>1.5443633333333332E-5</v>
      </c>
      <c r="R27" cm="1">
        <f t="array" ref="R27">[1]!PropsSI("D","T",J27+273.15,"P",101325,"Water")</f>
        <v>985.27526072459602</v>
      </c>
      <c r="S27" cm="1">
        <f t="array" ref="S27">[1]!PropsSI("D","T",J27+273.15,"P",101325,"Water")</f>
        <v>985.27526072459602</v>
      </c>
      <c r="T27">
        <f t="shared" si="1"/>
        <v>985.27526072459602</v>
      </c>
      <c r="U27" cm="1">
        <f t="array" ref="U27">[1]!PropsSI("H","T",J27+273.15,"P",101325,"Water")</f>
        <v>233919.12341530647</v>
      </c>
      <c r="V27" cm="1">
        <f t="array" ref="V27">[1]!PropsSI("H","T",K27+273.15,"P",101325,"Water")</f>
        <v>202041.858489793</v>
      </c>
      <c r="W27">
        <f t="shared" si="0"/>
        <v>485.05179038396921</v>
      </c>
      <c r="Y27">
        <f t="shared" si="2"/>
        <v>1</v>
      </c>
    </row>
    <row r="28" spans="1:25" x14ac:dyDescent="0.2">
      <c r="A28" s="4">
        <v>46066.700080277777</v>
      </c>
      <c r="B28" s="3">
        <v>18.205020000000001</v>
      </c>
      <c r="C28" s="3">
        <v>19.132037</v>
      </c>
      <c r="D28" s="3">
        <v>18.732586000000001</v>
      </c>
      <c r="E28" s="3">
        <v>19.030875000000002</v>
      </c>
      <c r="F28" s="3">
        <v>36.714717999999998</v>
      </c>
      <c r="G28" s="3">
        <v>37.310155999999999</v>
      </c>
      <c r="H28" s="3">
        <v>25.183012999999999</v>
      </c>
      <c r="I28" s="3">
        <v>22.299095999999999</v>
      </c>
      <c r="J28" s="3">
        <v>55.857905000000002</v>
      </c>
      <c r="K28" s="3">
        <v>48.227305000000001</v>
      </c>
      <c r="L28" s="3">
        <v>85.964118999999997</v>
      </c>
      <c r="M28" s="3">
        <v>-622.47796000000005</v>
      </c>
      <c r="N28" s="3">
        <v>0.92724099999999998</v>
      </c>
      <c r="O28" s="3">
        <v>1.04549</v>
      </c>
      <c r="P28" s="2"/>
      <c r="Q28" s="5">
        <f>N28*0.001/60</f>
        <v>1.5454016666666665E-5</v>
      </c>
      <c r="R28" cm="1">
        <f t="array" ref="R28">[1]!PropsSI("D","T",J28+273.15,"P",101325,"Water")</f>
        <v>985.2754168740903</v>
      </c>
      <c r="S28" cm="1">
        <f t="array" ref="S28">[1]!PropsSI("D","T",J28+273.15,"P",101325,"Water")</f>
        <v>985.2754168740903</v>
      </c>
      <c r="T28">
        <f t="shared" si="1"/>
        <v>985.2754168740903</v>
      </c>
      <c r="U28" cm="1">
        <f t="array" ref="U28">[1]!PropsSI("H","T",J28+273.15,"P",101325,"Water")</f>
        <v>233917.78895133125</v>
      </c>
      <c r="V28" cm="1">
        <f t="array" ref="V28">[1]!PropsSI("H","T",K28+273.15,"P",101325,"Water")</f>
        <v>202006.67648511543</v>
      </c>
      <c r="W28">
        <f t="shared" si="0"/>
        <v>485.89336411726123</v>
      </c>
      <c r="Y28">
        <f t="shared" si="2"/>
        <v>1</v>
      </c>
    </row>
    <row r="29" spans="1:25" x14ac:dyDescent="0.2">
      <c r="A29" s="4">
        <v>46066.700196018515</v>
      </c>
      <c r="B29" s="3">
        <v>18.18046</v>
      </c>
      <c r="C29" s="3">
        <v>19.061392000000001</v>
      </c>
      <c r="D29" s="3">
        <v>18.748073000000002</v>
      </c>
      <c r="E29" s="3">
        <v>19.058606999999999</v>
      </c>
      <c r="F29" s="3">
        <v>36.873368999999997</v>
      </c>
      <c r="G29" s="3">
        <v>36.694800000000001</v>
      </c>
      <c r="H29" s="3">
        <v>24.343944</v>
      </c>
      <c r="I29" s="3">
        <v>22.031690000000001</v>
      </c>
      <c r="J29" s="3">
        <v>55.862043</v>
      </c>
      <c r="K29" s="3">
        <v>48.231115000000003</v>
      </c>
      <c r="L29" s="3">
        <v>82.015337000000002</v>
      </c>
      <c r="M29" s="3">
        <v>-622.51387999999997</v>
      </c>
      <c r="N29" s="3">
        <v>0.92899900000000002</v>
      </c>
      <c r="O29" s="3">
        <v>1.3229409999999999</v>
      </c>
      <c r="P29" s="2"/>
      <c r="Q29" s="5">
        <f>N29*0.001/60</f>
        <v>1.5483316666666668E-5</v>
      </c>
      <c r="R29" cm="1">
        <f t="array" ref="R29">[1]!PropsSI("D","T",J29+273.15,"P",101325,"Water")</f>
        <v>985.27339128770291</v>
      </c>
      <c r="S29" cm="1">
        <f t="array" ref="S29">[1]!PropsSI("D","T",J29+273.15,"P",101325,"Water")</f>
        <v>985.27339128770291</v>
      </c>
      <c r="T29">
        <f t="shared" si="1"/>
        <v>985.27339128770291</v>
      </c>
      <c r="U29" cm="1">
        <f t="array" ref="U29">[1]!PropsSI("H","T",J29+273.15,"P",101325,"Water")</f>
        <v>233935.09933593209</v>
      </c>
      <c r="V29" cm="1">
        <f t="array" ref="V29">[1]!PropsSI("H","T",K29+273.15,"P",101325,"Water")</f>
        <v>202022.605590188</v>
      </c>
      <c r="W29">
        <f t="shared" si="0"/>
        <v>486.83466330394083</v>
      </c>
      <c r="Y29">
        <f t="shared" si="2"/>
        <v>1</v>
      </c>
    </row>
    <row r="30" spans="1:25" x14ac:dyDescent="0.2">
      <c r="A30" s="4">
        <v>46066.700312337962</v>
      </c>
      <c r="B30" s="3">
        <v>18.465425</v>
      </c>
      <c r="C30" s="3">
        <v>19.245633999999999</v>
      </c>
      <c r="D30" s="3">
        <v>18.782554999999999</v>
      </c>
      <c r="E30" s="3">
        <v>19.091982000000002</v>
      </c>
      <c r="F30" s="3">
        <v>37.067441000000002</v>
      </c>
      <c r="G30" s="3">
        <v>36.664516999999996</v>
      </c>
      <c r="H30" s="3">
        <v>24.842569000000001</v>
      </c>
      <c r="I30" s="3">
        <v>22.126365</v>
      </c>
      <c r="J30" s="3">
        <v>55.869841999999998</v>
      </c>
      <c r="K30" s="3">
        <v>48.242229999999999</v>
      </c>
      <c r="L30" s="3">
        <v>83.660151999999997</v>
      </c>
      <c r="M30" s="3">
        <v>-622.50815999999998</v>
      </c>
      <c r="N30" s="3">
        <v>0.92914600000000003</v>
      </c>
      <c r="O30" s="3">
        <v>0.89999899999999999</v>
      </c>
      <c r="P30" s="2"/>
      <c r="Q30" s="5">
        <f>N30*0.001/60</f>
        <v>1.5485766666666667E-5</v>
      </c>
      <c r="R30" cm="1">
        <f t="array" ref="R30">[1]!PropsSI("D","T",J30+273.15,"P",101325,"Water")</f>
        <v>985.26957332418556</v>
      </c>
      <c r="S30" cm="1">
        <f t="array" ref="S30">[1]!PropsSI("D","T",J30+273.15,"P",101325,"Water")</f>
        <v>985.26957332418556</v>
      </c>
      <c r="T30">
        <f t="shared" si="1"/>
        <v>985.26957332418556</v>
      </c>
      <c r="U30" cm="1">
        <f t="array" ref="U30">[1]!PropsSI("H","T",J30+273.15,"P",101325,"Water")</f>
        <v>233967.72470121179</v>
      </c>
      <c r="V30" cm="1">
        <f t="array" ref="V30">[1]!PropsSI("H","T",K30+273.15,"P",101325,"Water")</f>
        <v>202069.07595315893</v>
      </c>
      <c r="W30">
        <f t="shared" si="0"/>
        <v>486.69856851319537</v>
      </c>
      <c r="Y30">
        <f t="shared" si="2"/>
        <v>1</v>
      </c>
    </row>
    <row r="31" spans="1:25" x14ac:dyDescent="0.2">
      <c r="A31" s="4">
        <v>46066.7004280787</v>
      </c>
      <c r="B31" s="3">
        <v>18.397960999999999</v>
      </c>
      <c r="C31" s="3">
        <v>19.249106999999999</v>
      </c>
      <c r="D31" s="3">
        <v>18.752549999999999</v>
      </c>
      <c r="E31" s="3">
        <v>19.083922000000001</v>
      </c>
      <c r="F31" s="3">
        <v>36.895119999999999</v>
      </c>
      <c r="G31" s="3">
        <v>35.684798000000001</v>
      </c>
      <c r="H31" s="3">
        <v>24.730841999999999</v>
      </c>
      <c r="I31" s="3">
        <v>21.824655</v>
      </c>
      <c r="J31" s="3">
        <v>55.863475999999999</v>
      </c>
      <c r="K31" s="3">
        <v>48.249057999999998</v>
      </c>
      <c r="L31" s="3">
        <v>75.999719999999996</v>
      </c>
      <c r="M31" s="3">
        <v>-622.49428999999998</v>
      </c>
      <c r="N31" s="3">
        <v>0.92526200000000003</v>
      </c>
      <c r="O31" s="3">
        <v>1.1190310000000001</v>
      </c>
      <c r="P31" s="2"/>
      <c r="Q31" s="5">
        <f>N31*0.001/60</f>
        <v>1.5421033333333334E-5</v>
      </c>
      <c r="R31" cm="1">
        <f t="array" ref="R31">[1]!PropsSI("D","T",J31+273.15,"P",101325,"Water")</f>
        <v>985.27268979740188</v>
      </c>
      <c r="S31" cm="1">
        <f t="array" ref="S31">[1]!PropsSI("D","T",J31+273.15,"P",101325,"Water")</f>
        <v>985.27268979740188</v>
      </c>
      <c r="T31">
        <f t="shared" si="1"/>
        <v>985.27268979740188</v>
      </c>
      <c r="U31" cm="1">
        <f t="array" ref="U31">[1]!PropsSI("H","T",J31+273.15,"P",101325,"Water")</f>
        <v>233941.09396799377</v>
      </c>
      <c r="V31" cm="1">
        <f t="array" ref="V31">[1]!PropsSI("H","T",K31+273.15,"P",101325,"Water")</f>
        <v>202097.6229446748</v>
      </c>
      <c r="W31">
        <f t="shared" si="0"/>
        <v>483.8272465195642</v>
      </c>
      <c r="Y31">
        <f t="shared" si="2"/>
        <v>1</v>
      </c>
    </row>
    <row r="32" spans="1:25" x14ac:dyDescent="0.2">
      <c r="A32" s="4">
        <v>46066.700543819446</v>
      </c>
      <c r="B32" s="3">
        <v>18.013894000000001</v>
      </c>
      <c r="C32" s="3">
        <v>18.503274999999999</v>
      </c>
      <c r="D32" s="3">
        <v>18.745878999999999</v>
      </c>
      <c r="E32" s="3">
        <v>19.150929000000001</v>
      </c>
      <c r="F32" s="3">
        <v>36.446268000000003</v>
      </c>
      <c r="G32" s="3">
        <v>37.474018000000001</v>
      </c>
      <c r="H32" s="3">
        <v>25.035992</v>
      </c>
      <c r="I32" s="3">
        <v>21.944825000000002</v>
      </c>
      <c r="J32" s="3">
        <v>55.861407</v>
      </c>
      <c r="K32" s="3">
        <v>48.250804000000002</v>
      </c>
      <c r="L32" s="3">
        <v>75.650349000000006</v>
      </c>
      <c r="M32" s="3">
        <v>-622.48938999999996</v>
      </c>
      <c r="N32" s="3">
        <v>0.93388700000000002</v>
      </c>
      <c r="O32" s="3">
        <v>2.295102</v>
      </c>
      <c r="P32" s="2"/>
      <c r="Q32" s="5">
        <f>N32*0.001/60</f>
        <v>1.5564783333333334E-5</v>
      </c>
      <c r="R32" cm="1">
        <f t="array" ref="R32">[1]!PropsSI("D","T",J32+273.15,"P",101325,"Water")</f>
        <v>985.27370262200714</v>
      </c>
      <c r="S32" cm="1">
        <f t="array" ref="S32">[1]!PropsSI("D","T",J32+273.15,"P",101325,"Water")</f>
        <v>985.27370262200714</v>
      </c>
      <c r="T32">
        <f t="shared" si="1"/>
        <v>985.27370262200714</v>
      </c>
      <c r="U32" cm="1">
        <f t="array" ref="U32">[1]!PropsSI("H","T",J32+273.15,"P",101325,"Water")</f>
        <v>233932.43877373278</v>
      </c>
      <c r="V32" cm="1">
        <f t="array" ref="V32">[1]!PropsSI("H","T",K32+273.15,"P",101325,"Water")</f>
        <v>202104.92274847184</v>
      </c>
      <c r="W32">
        <f t="shared" si="0"/>
        <v>488.09315420833104</v>
      </c>
      <c r="Y32">
        <f t="shared" si="2"/>
        <v>1</v>
      </c>
    </row>
    <row r="33" spans="1:25" x14ac:dyDescent="0.2">
      <c r="A33" s="4">
        <v>46066.700660138886</v>
      </c>
      <c r="B33" s="3">
        <v>18.134482999999999</v>
      </c>
      <c r="C33" s="3">
        <v>18.882072000000001</v>
      </c>
      <c r="D33" s="3">
        <v>18.857443</v>
      </c>
      <c r="E33" s="3">
        <v>19.198322999999998</v>
      </c>
      <c r="F33" s="3">
        <v>37.027903000000002</v>
      </c>
      <c r="G33" s="3">
        <v>36.629595000000002</v>
      </c>
      <c r="H33" s="3">
        <v>24.967234000000001</v>
      </c>
      <c r="I33" s="3">
        <v>22.710809999999999</v>
      </c>
      <c r="J33" s="3">
        <v>55.857905000000002</v>
      </c>
      <c r="K33" s="3">
        <v>48.234290999999999</v>
      </c>
      <c r="L33" s="3">
        <v>84.762137999999993</v>
      </c>
      <c r="M33" s="3">
        <v>-622.52693999999997</v>
      </c>
      <c r="N33" s="3">
        <v>0.92818299999999998</v>
      </c>
      <c r="O33" s="3">
        <v>0.91378700000000002</v>
      </c>
      <c r="P33" s="2"/>
      <c r="Q33" s="5">
        <f>N33*0.001/60</f>
        <v>1.5469716666666665E-5</v>
      </c>
      <c r="R33" cm="1">
        <f t="array" ref="R33">[1]!PropsSI("D","T",J33+273.15,"P",101325,"Water")</f>
        <v>985.2754168740903</v>
      </c>
      <c r="S33" cm="1">
        <f t="array" ref="S33">[1]!PropsSI("D","T",J33+273.15,"P",101325,"Water")</f>
        <v>985.2754168740903</v>
      </c>
      <c r="T33">
        <f t="shared" si="1"/>
        <v>985.2754168740903</v>
      </c>
      <c r="U33" cm="1">
        <f t="array" ref="U33">[1]!PropsSI("H","T",J33+273.15,"P",101325,"Water")</f>
        <v>233917.78895133125</v>
      </c>
      <c r="V33" cm="1">
        <f t="array" ref="V33">[1]!PropsSI("H","T",K33+273.15,"P",101325,"Water")</f>
        <v>202035.8840281069</v>
      </c>
      <c r="W33">
        <f t="shared" si="0"/>
        <v>485.94181213041924</v>
      </c>
      <c r="Y33">
        <f t="shared" si="2"/>
        <v>1</v>
      </c>
    </row>
    <row r="34" spans="1:25" x14ac:dyDescent="0.2">
      <c r="A34" s="4">
        <v>46066.700776458332</v>
      </c>
      <c r="B34" s="3">
        <v>18.215085999999999</v>
      </c>
      <c r="C34" s="3">
        <v>19.119762000000001</v>
      </c>
      <c r="D34" s="3">
        <v>18.866925999999999</v>
      </c>
      <c r="E34" s="3">
        <v>19.208867999999999</v>
      </c>
      <c r="F34" s="3">
        <v>37.026206999999999</v>
      </c>
      <c r="G34" s="3">
        <v>36.819049</v>
      </c>
      <c r="H34" s="3">
        <v>25.493312</v>
      </c>
      <c r="I34" s="3">
        <v>22.713571000000002</v>
      </c>
      <c r="J34" s="3">
        <v>55.85886</v>
      </c>
      <c r="K34" s="3">
        <v>48.247629000000003</v>
      </c>
      <c r="L34" s="3">
        <v>80.827641</v>
      </c>
      <c r="M34" s="3">
        <v>-622.48775999999998</v>
      </c>
      <c r="N34" s="3">
        <v>0.93184699999999998</v>
      </c>
      <c r="O34" s="3">
        <v>0.42869099999999999</v>
      </c>
      <c r="P34" s="2"/>
      <c r="Q34" s="5">
        <f>N34*0.001/60</f>
        <v>1.5530783333333334E-5</v>
      </c>
      <c r="R34" cm="1">
        <f t="array" ref="R34">[1]!PropsSI("D","T",J34+273.15,"P",101325,"Water")</f>
        <v>985.27494940275983</v>
      </c>
      <c r="S34" cm="1">
        <f t="array" ref="S34">[1]!PropsSI("D","T",J34+273.15,"P",101325,"Water")</f>
        <v>985.27494940275983</v>
      </c>
      <c r="T34">
        <f t="shared" si="1"/>
        <v>985.27494940275983</v>
      </c>
      <c r="U34" cm="1">
        <f t="array" ref="U34">[1]!PropsSI("H","T",J34+273.15,"P",101325,"Water")</f>
        <v>233921.78397670604</v>
      </c>
      <c r="V34" cm="1">
        <f t="array" ref="V34">[1]!PropsSI("H","T",K34+273.15,"P",101325,"Water")</f>
        <v>202091.64847814396</v>
      </c>
      <c r="W34">
        <f t="shared" si="0"/>
        <v>487.06765422565877</v>
      </c>
      <c r="Y34">
        <f t="shared" si="2"/>
        <v>1</v>
      </c>
    </row>
    <row r="35" spans="1:25" x14ac:dyDescent="0.2">
      <c r="A35" s="4">
        <v>46066.700892199071</v>
      </c>
      <c r="B35" s="3">
        <v>18.288710999999999</v>
      </c>
      <c r="C35" s="3">
        <v>19.122060999999999</v>
      </c>
      <c r="D35" s="3">
        <v>18.927417999999999</v>
      </c>
      <c r="E35" s="3">
        <v>19.258842000000001</v>
      </c>
      <c r="F35" s="3">
        <v>37.080106999999998</v>
      </c>
      <c r="G35" s="3">
        <v>37.046115</v>
      </c>
      <c r="H35" s="3">
        <v>24.967307999999999</v>
      </c>
      <c r="I35" s="3">
        <v>22.632434</v>
      </c>
      <c r="J35" s="3">
        <v>55.863475999999999</v>
      </c>
      <c r="K35" s="3">
        <v>48.265253999999999</v>
      </c>
      <c r="L35" s="3">
        <v>75.259349</v>
      </c>
      <c r="M35" s="3">
        <v>-622.49591999999996</v>
      </c>
      <c r="N35" s="3">
        <v>0.92769199999999996</v>
      </c>
      <c r="O35" s="3">
        <v>0.95288899999999999</v>
      </c>
      <c r="P35" s="2"/>
      <c r="Q35" s="5">
        <f>N35*0.001/60</f>
        <v>1.5461533333333331E-5</v>
      </c>
      <c r="R35" cm="1">
        <f t="array" ref="R35">[1]!PropsSI("D","T",J35+273.15,"P",101325,"Water")</f>
        <v>985.27268979740188</v>
      </c>
      <c r="S35" cm="1">
        <f t="array" ref="S35">[1]!PropsSI("D","T",J35+273.15,"P",101325,"Water")</f>
        <v>985.27268979740188</v>
      </c>
      <c r="T35">
        <f t="shared" si="1"/>
        <v>985.27268979740188</v>
      </c>
      <c r="U35" cm="1">
        <f t="array" ref="U35">[1]!PropsSI("H","T",J35+273.15,"P",101325,"Water")</f>
        <v>233941.09396799377</v>
      </c>
      <c r="V35" cm="1">
        <f t="array" ref="V35">[1]!PropsSI("H","T",K35+273.15,"P",101325,"Water")</f>
        <v>202165.3363890046</v>
      </c>
      <c r="W35">
        <f t="shared" si="0"/>
        <v>484.06637899958656</v>
      </c>
      <c r="Y35">
        <f t="shared" si="2"/>
        <v>1</v>
      </c>
    </row>
    <row r="36" spans="1:25" x14ac:dyDescent="0.2">
      <c r="A36" s="4">
        <v>46066.701007939817</v>
      </c>
      <c r="B36" s="3">
        <v>18.267707999999999</v>
      </c>
      <c r="C36" s="3">
        <v>19.218423999999999</v>
      </c>
      <c r="D36" s="3">
        <v>18.799572999999999</v>
      </c>
      <c r="E36" s="3">
        <v>19.154382999999999</v>
      </c>
      <c r="F36" s="3">
        <v>37.171484</v>
      </c>
      <c r="G36" s="3">
        <v>36.058075000000002</v>
      </c>
      <c r="H36" s="3">
        <v>24.675813000000002</v>
      </c>
      <c r="I36" s="3">
        <v>22.321406</v>
      </c>
      <c r="J36" s="3">
        <v>55.853926999999999</v>
      </c>
      <c r="K36" s="3">
        <v>48.273986999999998</v>
      </c>
      <c r="L36" s="3">
        <v>79.902789999999996</v>
      </c>
      <c r="M36" s="3">
        <v>-622.50897999999995</v>
      </c>
      <c r="N36" s="3">
        <v>0.92842899999999995</v>
      </c>
      <c r="O36" s="3">
        <v>1.4341980000000001</v>
      </c>
      <c r="P36" s="2"/>
      <c r="Q36" s="5">
        <f>N36*0.001/60</f>
        <v>1.5473816666666664E-5</v>
      </c>
      <c r="R36" cm="1">
        <f t="array" ref="R36">[1]!PropsSI("D","T",J36+273.15,"P",101325,"Water")</f>
        <v>985.27736403976917</v>
      </c>
      <c r="S36" cm="1">
        <f t="array" ref="S36">[1]!PropsSI("D","T",J36+273.15,"P",101325,"Water")</f>
        <v>985.27736403976917</v>
      </c>
      <c r="T36">
        <f t="shared" si="1"/>
        <v>985.27736403976917</v>
      </c>
      <c r="U36" cm="1">
        <f t="array" ref="U36">[1]!PropsSI("H","T",J36+273.15,"P",101325,"Water")</f>
        <v>233901.14789651503</v>
      </c>
      <c r="V36" cm="1">
        <f t="array" ref="V36">[1]!PropsSI("H","T",K36+273.15,"P",101325,"Water")</f>
        <v>202201.84799413747</v>
      </c>
      <c r="W36">
        <f t="shared" si="0"/>
        <v>483.28756742462525</v>
      </c>
      <c r="Y36">
        <f t="shared" si="2"/>
        <v>1</v>
      </c>
    </row>
    <row r="37" spans="1:25" x14ac:dyDescent="0.2">
      <c r="A37" s="4">
        <v>46066.701124259256</v>
      </c>
      <c r="B37" s="3">
        <v>18.276418</v>
      </c>
      <c r="C37" s="3">
        <v>19.180620000000001</v>
      </c>
      <c r="D37" s="3">
        <v>18.692404</v>
      </c>
      <c r="E37" s="3">
        <v>19.118925999999998</v>
      </c>
      <c r="F37" s="3">
        <v>37.548538000000001</v>
      </c>
      <c r="G37" s="3">
        <v>34.853183999999999</v>
      </c>
      <c r="H37" s="3">
        <v>25.241717999999999</v>
      </c>
      <c r="I37" s="3">
        <v>22.090077999999998</v>
      </c>
      <c r="J37" s="3">
        <v>55.853608000000001</v>
      </c>
      <c r="K37" s="3">
        <v>48.265095000000002</v>
      </c>
      <c r="L37" s="3">
        <v>83.58587</v>
      </c>
      <c r="M37" s="3">
        <v>-622.50531000000001</v>
      </c>
      <c r="N37" s="3">
        <v>0.92452400000000001</v>
      </c>
      <c r="O37" s="3">
        <v>1.3241099999999999</v>
      </c>
      <c r="Q37" s="5">
        <f t="shared" ref="Q37:Q42" si="3">N37*0.001/60</f>
        <v>1.5408733333333334E-5</v>
      </c>
      <c r="R37" cm="1">
        <f t="array" ref="R37">[1]!PropsSI("D","T",J37+273.15,"P",101325,"Water")</f>
        <v>985.27752018081128</v>
      </c>
      <c r="S37" cm="1">
        <f t="array" ref="S37">[1]!PropsSI("D","T",J37+273.15,"P",101325,"Water")</f>
        <v>985.27752018081128</v>
      </c>
      <c r="T37">
        <f t="shared" si="1"/>
        <v>985.27752018081128</v>
      </c>
      <c r="U37" cm="1">
        <f t="array" ref="U37">[1]!PropsSI("H","T",J37+273.15,"P",101325,"Water")</f>
        <v>233899.81343308435</v>
      </c>
      <c r="V37" cm="1">
        <f t="array" ref="V37">[1]!PropsSI("H","T",K37+273.15,"P",101325,"Water")</f>
        <v>202164.67162963893</v>
      </c>
      <c r="W37">
        <f t="shared" si="0"/>
        <v>481.79906919163363</v>
      </c>
      <c r="Y37">
        <f t="shared" si="2"/>
        <v>1</v>
      </c>
    </row>
    <row r="38" spans="1:25" x14ac:dyDescent="0.2">
      <c r="A38" s="4">
        <v>46066.701240578703</v>
      </c>
      <c r="B38" s="3">
        <v>18.017458000000001</v>
      </c>
      <c r="C38" s="3">
        <v>18.971185999999999</v>
      </c>
      <c r="D38" s="3">
        <v>18.613309000000001</v>
      </c>
      <c r="E38" s="3">
        <v>19.098770999999999</v>
      </c>
      <c r="F38" s="3">
        <v>37.121653000000002</v>
      </c>
      <c r="G38" s="3">
        <v>34.851031999999996</v>
      </c>
      <c r="H38" s="3">
        <v>24.684106</v>
      </c>
      <c r="I38" s="3">
        <v>22.679487999999999</v>
      </c>
      <c r="J38" s="3">
        <v>55.849947999999998</v>
      </c>
      <c r="K38" s="3">
        <v>48.253504</v>
      </c>
      <c r="L38" s="3">
        <v>90.643476000000007</v>
      </c>
      <c r="M38" s="3">
        <v>-622.50775999999996</v>
      </c>
      <c r="N38" s="3">
        <v>0.93096199999999996</v>
      </c>
      <c r="O38" s="3">
        <v>0.83797200000000005</v>
      </c>
      <c r="Q38" s="5">
        <f t="shared" si="3"/>
        <v>1.5516033333333335E-5</v>
      </c>
      <c r="R38" cm="1">
        <f t="array" ref="R38">[1]!PropsSI("D","T",J38+273.15,"P",101325,"Water")</f>
        <v>985.27931159751085</v>
      </c>
      <c r="S38" cm="1">
        <f t="array" ref="S38">[1]!PropsSI("D","T",J38+273.15,"P",101325,"Water")</f>
        <v>985.27931159751085</v>
      </c>
      <c r="T38">
        <f t="shared" si="1"/>
        <v>985.27931159751085</v>
      </c>
      <c r="U38" cm="1">
        <f t="array" ref="U38">[1]!PropsSI("H","T",J38+273.15,"P",101325,"Water")</f>
        <v>233884.50266437116</v>
      </c>
      <c r="V38" cm="1">
        <f t="array" ref="V38">[1]!PropsSI("H","T",K38+273.15,"P",101325,"Water")</f>
        <v>202116.21110636473</v>
      </c>
      <c r="W38">
        <f t="shared" si="0"/>
        <v>485.66178037364637</v>
      </c>
      <c r="Y38">
        <f t="shared" si="2"/>
        <v>1</v>
      </c>
    </row>
    <row r="39" spans="1:25" x14ac:dyDescent="0.2">
      <c r="A39" s="4">
        <v>46066.701356898149</v>
      </c>
      <c r="B39" s="3">
        <v>17.892168999999999</v>
      </c>
      <c r="C39" s="3">
        <v>18.721501</v>
      </c>
      <c r="D39" s="3">
        <v>18.610644000000001</v>
      </c>
      <c r="E39" s="3">
        <v>19.068999999999999</v>
      </c>
      <c r="F39" s="3">
        <v>36.654915000000003</v>
      </c>
      <c r="G39" s="3">
        <v>36.718432</v>
      </c>
      <c r="H39" s="3">
        <v>24.922104000000001</v>
      </c>
      <c r="I39" s="3">
        <v>21.863976999999998</v>
      </c>
      <c r="J39" s="3">
        <v>55.852334999999997</v>
      </c>
      <c r="K39" s="3">
        <v>48.231591999999999</v>
      </c>
      <c r="L39" s="3">
        <v>78.473472999999998</v>
      </c>
      <c r="M39" s="3">
        <v>-622.48407999999995</v>
      </c>
      <c r="N39" s="3">
        <v>0.93037599999999998</v>
      </c>
      <c r="O39" s="3">
        <v>1.3590180000000001</v>
      </c>
      <c r="Q39" s="5">
        <f t="shared" si="3"/>
        <v>1.5506266666666668E-5</v>
      </c>
      <c r="R39" cm="1">
        <f t="array" ref="R39">[1]!PropsSI("D","T",J39+273.15,"P",101325,"Water")</f>
        <v>985.27814327034832</v>
      </c>
      <c r="S39" cm="1">
        <f t="array" ref="S39">[1]!PropsSI("D","T",J39+273.15,"P",101325,"Water")</f>
        <v>985.27814327034832</v>
      </c>
      <c r="T39">
        <f t="shared" si="1"/>
        <v>985.27814327034832</v>
      </c>
      <c r="U39" cm="1">
        <f t="array" ref="U39">[1]!PropsSI("H","T",J39+273.15,"P",101325,"Water")</f>
        <v>233894.48812962481</v>
      </c>
      <c r="V39" cm="1">
        <f t="array" ref="V39">[1]!PropsSI("H","T",K39+273.15,"P",101325,"Water")</f>
        <v>202024.59986423064</v>
      </c>
      <c r="W39">
        <f t="shared" si="0"/>
        <v>486.90769496077047</v>
      </c>
      <c r="Y39">
        <f t="shared" si="2"/>
        <v>1</v>
      </c>
    </row>
    <row r="40" spans="1:25" x14ac:dyDescent="0.2">
      <c r="A40" s="4">
        <v>46066.701472638888</v>
      </c>
      <c r="B40" s="3">
        <v>17.891859</v>
      </c>
      <c r="C40" s="3">
        <v>18.705788999999999</v>
      </c>
      <c r="D40" s="3">
        <v>18.583988999999999</v>
      </c>
      <c r="E40" s="3">
        <v>19.033860000000001</v>
      </c>
      <c r="F40" s="3">
        <v>37.020505999999997</v>
      </c>
      <c r="G40" s="3">
        <v>35.228299999999997</v>
      </c>
      <c r="H40" s="3">
        <v>25.035263</v>
      </c>
      <c r="I40" s="3">
        <v>22.730967</v>
      </c>
      <c r="J40" s="3">
        <v>55.860770000000002</v>
      </c>
      <c r="K40" s="3">
        <v>48.218572000000002</v>
      </c>
      <c r="L40" s="3">
        <v>71.376277999999999</v>
      </c>
      <c r="M40" s="3">
        <v>-622.48449000000005</v>
      </c>
      <c r="N40" s="3">
        <v>0.93099399999999999</v>
      </c>
      <c r="O40" s="3">
        <v>1.170091</v>
      </c>
      <c r="Q40" s="5">
        <f t="shared" si="3"/>
        <v>1.5516566666666666E-5</v>
      </c>
      <c r="R40" cm="1">
        <f t="array" ref="R40">[1]!PropsSI("D","T",J40+273.15,"P",101325,"Water")</f>
        <v>985.27401444332088</v>
      </c>
      <c r="S40" cm="1">
        <f t="array" ref="S40">[1]!PropsSI("D","T",J40+273.15,"P",101325,"Water")</f>
        <v>985.27401444332088</v>
      </c>
      <c r="T40">
        <f t="shared" si="1"/>
        <v>985.27401444332088</v>
      </c>
      <c r="U40" cm="1">
        <f t="array" ref="U40">[1]!PropsSI("H","T",J40+273.15,"P",101325,"Water")</f>
        <v>233929.77402843541</v>
      </c>
      <c r="V40" cm="1">
        <f t="array" ref="V40">[1]!PropsSI("H","T",K40+273.15,"P",101325,"Water")</f>
        <v>201970.16498332875</v>
      </c>
      <c r="W40">
        <f t="shared" si="0"/>
        <v>488.60073801845999</v>
      </c>
      <c r="Y40">
        <f t="shared" si="2"/>
        <v>1</v>
      </c>
    </row>
    <row r="41" spans="1:25" x14ac:dyDescent="0.2">
      <c r="A41" s="4">
        <v>46066.701588379627</v>
      </c>
      <c r="B41" s="3">
        <v>17.865300999999999</v>
      </c>
      <c r="C41" s="3">
        <v>18.72288</v>
      </c>
      <c r="D41" s="3">
        <v>18.622333999999999</v>
      </c>
      <c r="E41" s="3">
        <v>19.021564000000001</v>
      </c>
      <c r="F41" s="3">
        <v>36.861151</v>
      </c>
      <c r="G41" s="3">
        <v>36.676625999999999</v>
      </c>
      <c r="H41" s="3">
        <v>25.239961000000001</v>
      </c>
      <c r="I41" s="3">
        <v>22.081831999999999</v>
      </c>
      <c r="J41" s="3">
        <v>55.852494</v>
      </c>
      <c r="K41" s="3">
        <v>48.208410000000001</v>
      </c>
      <c r="L41" s="3">
        <v>74.079815999999994</v>
      </c>
      <c r="M41" s="3">
        <v>-622.49918000000002</v>
      </c>
      <c r="N41" s="3">
        <v>0.92950299999999997</v>
      </c>
      <c r="O41" s="3">
        <v>0.74009599999999998</v>
      </c>
      <c r="Q41" s="5">
        <f t="shared" si="3"/>
        <v>1.5491716666666666E-5</v>
      </c>
      <c r="R41" cm="1">
        <f t="array" ref="R41">[1]!PropsSI("D","T",J41+273.15,"P",101325,"Water")</f>
        <v>985.27806544587042</v>
      </c>
      <c r="S41" cm="1">
        <f t="array" ref="S41">[1]!PropsSI("D","T",J41+273.15,"P",101325,"Water")</f>
        <v>985.27806544587042</v>
      </c>
      <c r="T41">
        <f t="shared" si="1"/>
        <v>985.27806544587042</v>
      </c>
      <c r="U41" cm="1">
        <f t="array" ref="U41">[1]!PropsSI("H","T",J41+273.15,"P",101325,"Water")</f>
        <v>233895.15326962832</v>
      </c>
      <c r="V41" cm="1">
        <f t="array" ref="V41">[1]!PropsSI("H","T",K41+273.15,"P",101325,"Water")</f>
        <v>201927.67904844839</v>
      </c>
      <c r="W41">
        <f t="shared" si="0"/>
        <v>487.94029402935013</v>
      </c>
      <c r="Y41">
        <f t="shared" si="2"/>
        <v>1</v>
      </c>
    </row>
    <row r="42" spans="1:25" x14ac:dyDescent="0.2">
      <c r="A42" s="4">
        <v>46066.701704120373</v>
      </c>
      <c r="B42" s="3">
        <v>17.853232999999999</v>
      </c>
      <c r="C42" s="3">
        <v>18.546213999999999</v>
      </c>
      <c r="D42" s="3">
        <v>18.643228000000001</v>
      </c>
      <c r="E42" s="3">
        <v>19.057898999999999</v>
      </c>
      <c r="F42" s="3">
        <v>36.156312</v>
      </c>
      <c r="G42" s="3">
        <v>36.035333000000001</v>
      </c>
      <c r="H42" s="3">
        <v>24.810252999999999</v>
      </c>
      <c r="I42" s="3">
        <v>22.322108</v>
      </c>
      <c r="J42" s="3">
        <v>55.851061999999999</v>
      </c>
      <c r="K42" s="3">
        <v>48.211584999999999</v>
      </c>
      <c r="L42" s="3">
        <v>80.148899999999998</v>
      </c>
      <c r="M42" s="3">
        <v>-622.50734999999997</v>
      </c>
      <c r="N42" s="3">
        <v>0.93066700000000002</v>
      </c>
      <c r="O42" s="3">
        <v>1.2723249999999999</v>
      </c>
      <c r="Q42" s="5">
        <f t="shared" si="3"/>
        <v>1.5511116666666668E-5</v>
      </c>
      <c r="R42" cm="1">
        <f t="array" ref="R42">[1]!PropsSI("D","T",J42+273.15,"P",101325,"Water")</f>
        <v>985.27876634990002</v>
      </c>
      <c r="S42" cm="1">
        <f t="array" ref="S42">[1]!PropsSI("D","T",J42+273.15,"P",101325,"Water")</f>
        <v>985.27876634990002</v>
      </c>
      <c r="T42">
        <f t="shared" si="1"/>
        <v>985.27876634990002</v>
      </c>
      <c r="U42" cm="1">
        <f t="array" ref="U42">[1]!PropsSI("H","T",J42+273.15,"P",101325,"Water")</f>
        <v>233889.16282680989</v>
      </c>
      <c r="V42" cm="1">
        <f t="array" ref="V42">[1]!PropsSI("H","T",K42+273.15,"P",101325,"Water")</f>
        <v>201940.95328722757</v>
      </c>
      <c r="W42">
        <f t="shared" si="0"/>
        <v>488.25726271293473</v>
      </c>
      <c r="Y42">
        <f t="shared" si="2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C26D-A140-2E42-BB2F-39B433961CAB}">
  <dimension ref="A1:AA43"/>
  <sheetViews>
    <sheetView topLeftCell="L1" workbookViewId="0">
      <selection activeCell="AA12" sqref="AA12"/>
    </sheetView>
  </sheetViews>
  <sheetFormatPr baseColWidth="10" defaultRowHeight="16" x14ac:dyDescent="0.2"/>
  <cols>
    <col min="1" max="1" width="24.1640625" customWidth="1"/>
    <col min="16" max="16" width="7.1640625" customWidth="1"/>
    <col min="17" max="17" width="12.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Y1" t="s">
        <v>22</v>
      </c>
      <c r="Z1" s="9">
        <v>0.69131944444444449</v>
      </c>
    </row>
    <row r="2" spans="1:27" x14ac:dyDescent="0.2">
      <c r="A2" s="1">
        <v>46066.690601851849</v>
      </c>
      <c r="B2" s="2">
        <v>18.136461000000001</v>
      </c>
      <c r="C2" s="2">
        <v>18.806152000000001</v>
      </c>
      <c r="D2" s="2">
        <v>19.175657999999999</v>
      </c>
      <c r="E2" s="2">
        <v>19.577959</v>
      </c>
      <c r="F2" s="2">
        <v>34.235802999999997</v>
      </c>
      <c r="G2" s="2">
        <v>34.052577999999997</v>
      </c>
      <c r="H2" s="2">
        <v>24.159161999999998</v>
      </c>
      <c r="I2" s="2">
        <v>21.828614000000002</v>
      </c>
      <c r="J2" s="2">
        <v>55.827030000000001</v>
      </c>
      <c r="K2" s="2">
        <v>46.932074</v>
      </c>
      <c r="L2" s="2">
        <v>139.75816</v>
      </c>
      <c r="M2" s="2">
        <v>-622.44163600000002</v>
      </c>
      <c r="N2" s="2">
        <v>0.93967800000000001</v>
      </c>
      <c r="O2" s="2">
        <v>1.337046</v>
      </c>
      <c r="P2" s="2"/>
      <c r="Q2">
        <f xml:space="preserve"> N2*0.001/60</f>
        <v>1.5661299999999999E-5</v>
      </c>
      <c r="R2" cm="1">
        <f t="array" ref="R2">[1]!PropsSI("D","T",J2+273.15,"P",101325,"Water")</f>
        <v>985.29052712444354</v>
      </c>
      <c r="S2" cm="1">
        <f t="array" ref="S2">[1]!PropsSI("D","T",J2+273.15,"P",101325,"Water")</f>
        <v>985.29052712444354</v>
      </c>
      <c r="T2">
        <f>(R2+S2)/2</f>
        <v>985.29052712444354</v>
      </c>
      <c r="U2" cm="1">
        <f t="array" ref="U2">[1]!PropsSI("H","T",J2+273.15,"P",101325,"Water")</f>
        <v>233788.6305931432</v>
      </c>
      <c r="V2" cm="1">
        <f t="array" ref="V2">[1]!PropsSI("H","T",K2+273.15,"P",101325,"Water")</f>
        <v>196591.69403016753</v>
      </c>
      <c r="W2">
        <f>T2*Q2*(U2-V2)</f>
        <v>573.98334412337749</v>
      </c>
      <c r="Y2">
        <f>IF(A1&gt;=$Z$1,1,0)</f>
        <v>1</v>
      </c>
    </row>
    <row r="3" spans="1:27" x14ac:dyDescent="0.2">
      <c r="A3" s="1">
        <v>46066.690717592595</v>
      </c>
      <c r="B3" s="2">
        <v>18.005454</v>
      </c>
      <c r="C3" s="2">
        <v>18.661252000000001</v>
      </c>
      <c r="D3" s="2">
        <v>19.036916000000002</v>
      </c>
      <c r="E3" s="2">
        <v>19.654164999999999</v>
      </c>
      <c r="F3" s="2">
        <v>34.467216999999998</v>
      </c>
      <c r="G3" s="2">
        <v>33.954067000000002</v>
      </c>
      <c r="H3" s="2">
        <v>23.915317000000002</v>
      </c>
      <c r="I3" s="2">
        <v>22.023757</v>
      </c>
      <c r="J3" s="2">
        <v>55.832600999999997</v>
      </c>
      <c r="K3" s="2">
        <v>46.941121000000003</v>
      </c>
      <c r="L3" s="2">
        <v>134.96248199999999</v>
      </c>
      <c r="M3" s="2">
        <v>-622.50530600000002</v>
      </c>
      <c r="N3" s="2">
        <v>0.93742800000000004</v>
      </c>
      <c r="O3" s="2">
        <v>1.6416280000000001</v>
      </c>
      <c r="P3" s="2"/>
      <c r="Q3">
        <f xml:space="preserve"> N3*0.001/60</f>
        <v>1.5623800000000001E-5</v>
      </c>
      <c r="R3" cm="1">
        <f t="array" ref="R3">[1]!PropsSI("D","T",J3+273.15,"P",101325,"Water")</f>
        <v>985.28780110624734</v>
      </c>
      <c r="S3" cm="1">
        <f t="array" ref="S3">[1]!PropsSI("D","T",J3+273.15,"P",101325,"Water")</f>
        <v>985.28780110624734</v>
      </c>
      <c r="T3">
        <f>(R3+S3)/2</f>
        <v>985.28780110624734</v>
      </c>
      <c r="U3" cm="1">
        <f t="array" ref="U3">[1]!PropsSI("H","T",J3+273.15,"P",101325,"Water")</f>
        <v>233811.9355453813</v>
      </c>
      <c r="V3" cm="1">
        <f t="array" ref="V3">[1]!PropsSI("H","T",K3+273.15,"P",101325,"Water")</f>
        <v>196629.51550854708</v>
      </c>
      <c r="W3">
        <f t="shared" ref="W3:W42" si="0">T3*Q3*(U3-V3)</f>
        <v>572.38392625535391</v>
      </c>
      <c r="Y3">
        <f>IF(A2&gt;=$Z$1,1,0)</f>
        <v>1</v>
      </c>
    </row>
    <row r="4" spans="1:27" x14ac:dyDescent="0.2">
      <c r="A4" s="1">
        <v>46066.690833333334</v>
      </c>
      <c r="B4" s="2">
        <v>18.405517</v>
      </c>
      <c r="C4" s="2">
        <v>19.162061999999999</v>
      </c>
      <c r="D4" s="2">
        <v>19.080107000000002</v>
      </c>
      <c r="E4" s="2">
        <v>19.594819999999999</v>
      </c>
      <c r="F4" s="2">
        <v>34.435178999999998</v>
      </c>
      <c r="G4" s="2">
        <v>34.573213000000003</v>
      </c>
      <c r="H4" s="2">
        <v>24.326682000000002</v>
      </c>
      <c r="I4" s="2">
        <v>21.781689</v>
      </c>
      <c r="J4" s="2">
        <v>55.838011999999999</v>
      </c>
      <c r="K4" s="2">
        <v>46.941597000000002</v>
      </c>
      <c r="L4" s="2">
        <v>140.972793</v>
      </c>
      <c r="M4" s="2">
        <v>-622.49510199999997</v>
      </c>
      <c r="N4" s="2">
        <v>0.94001000000000001</v>
      </c>
      <c r="O4" s="2">
        <v>1.3493980000000001</v>
      </c>
      <c r="P4" s="2"/>
      <c r="Q4" s="5">
        <f xml:space="preserve"> N4*0.001/60</f>
        <v>1.5666833333333334E-5</v>
      </c>
      <c r="R4" cm="1">
        <f t="array" ref="R4">[1]!PropsSI("D","T",J4+273.15,"P",101325,"Water")</f>
        <v>985.28515319684186</v>
      </c>
      <c r="S4" cm="1">
        <f t="array" ref="S4">[1]!PropsSI("D","T",J4+273.15,"P",101325,"Water")</f>
        <v>985.28515319684186</v>
      </c>
      <c r="T4">
        <f t="shared" ref="T4:T42" si="1">(R4+S4)/2</f>
        <v>985.28515319684186</v>
      </c>
      <c r="U4" cm="1">
        <f t="array" ref="U4">[1]!PropsSI("H","T",J4+273.15,"P",101325,"Water")</f>
        <v>233834.57118672528</v>
      </c>
      <c r="V4" cm="1">
        <f t="array" ref="V4">[1]!PropsSI("H","T",K4+273.15,"P",101325,"Water")</f>
        <v>196631.50545306646</v>
      </c>
      <c r="W4">
        <f t="shared" si="0"/>
        <v>574.27761963027672</v>
      </c>
      <c r="Y4">
        <f t="shared" ref="Y4:Y42" si="2">IF(A3&gt;=$Z$1,1,0)</f>
        <v>1</v>
      </c>
    </row>
    <row r="5" spans="1:27" x14ac:dyDescent="0.2">
      <c r="A5" s="1">
        <v>46066.690949074073</v>
      </c>
      <c r="B5" s="2">
        <v>18.404087000000001</v>
      </c>
      <c r="C5" s="2">
        <v>19.352169</v>
      </c>
      <c r="D5" s="2">
        <v>19.118608999999999</v>
      </c>
      <c r="E5" s="2">
        <v>19.712969000000001</v>
      </c>
      <c r="F5" s="2">
        <v>34.415908999999999</v>
      </c>
      <c r="G5" s="2">
        <v>33.524503000000003</v>
      </c>
      <c r="H5" s="2">
        <v>24.237220000000001</v>
      </c>
      <c r="I5" s="2">
        <v>22.116598</v>
      </c>
      <c r="J5" s="2">
        <v>55.843899999999998</v>
      </c>
      <c r="K5" s="2">
        <v>46.966357000000002</v>
      </c>
      <c r="L5" s="2">
        <v>132.23527100000001</v>
      </c>
      <c r="M5" s="2">
        <v>-622.52122299999996</v>
      </c>
      <c r="N5" s="2">
        <v>0.934527</v>
      </c>
      <c r="O5" s="2">
        <v>1.509987</v>
      </c>
      <c r="P5" s="2"/>
      <c r="Q5" s="5">
        <f xml:space="preserve"> N5*0.001/60</f>
        <v>1.557545E-5</v>
      </c>
      <c r="R5" cm="1">
        <f t="array" ref="R5">[1]!PropsSI("D","T",J5+273.15,"P",101325,"Water")</f>
        <v>985.2822716595623</v>
      </c>
      <c r="S5" cm="1">
        <f t="array" ref="S5">[1]!PropsSI("D","T",J5+273.15,"P",101325,"Water")</f>
        <v>985.2822716595623</v>
      </c>
      <c r="T5">
        <f t="shared" si="1"/>
        <v>985.2822716595623</v>
      </c>
      <c r="U5" cm="1">
        <f t="array" ref="U5">[1]!PropsSI("H","T",J5+273.15,"P",101325,"Water")</f>
        <v>233859.2022575397</v>
      </c>
      <c r="V5" cm="1">
        <f t="array" ref="V5">[1]!PropsSI("H","T",K5+273.15,"P",101325,"Water")</f>
        <v>196735.01608672901</v>
      </c>
      <c r="W5">
        <f t="shared" si="0"/>
        <v>569.7157336976868</v>
      </c>
      <c r="Y5">
        <f t="shared" si="2"/>
        <v>1</v>
      </c>
    </row>
    <row r="6" spans="1:27" x14ac:dyDescent="0.2">
      <c r="A6" s="1">
        <v>46066.691064814811</v>
      </c>
      <c r="B6" s="2">
        <v>18.092198</v>
      </c>
      <c r="C6" s="2">
        <v>18.753854</v>
      </c>
      <c r="D6" s="2">
        <v>18.992135000000001</v>
      </c>
      <c r="E6" s="2">
        <v>19.604113999999999</v>
      </c>
      <c r="F6" s="2">
        <v>34.925435</v>
      </c>
      <c r="G6" s="2">
        <v>33.500093</v>
      </c>
      <c r="H6" s="2">
        <v>24.033341</v>
      </c>
      <c r="I6" s="2">
        <v>21.525769</v>
      </c>
      <c r="J6" s="2">
        <v>55.849469999999997</v>
      </c>
      <c r="K6" s="2">
        <v>46.995877999999998</v>
      </c>
      <c r="L6" s="2">
        <v>132.87197399999999</v>
      </c>
      <c r="M6" s="2">
        <v>-622.48938799999996</v>
      </c>
      <c r="N6" s="2">
        <v>0.93522700000000003</v>
      </c>
      <c r="O6" s="2">
        <v>0.87542200000000003</v>
      </c>
      <c r="P6" s="2"/>
      <c r="Q6" s="5">
        <f xml:space="preserve"> N6*0.001/60</f>
        <v>1.5587116666666669E-5</v>
      </c>
      <c r="R6" cm="1">
        <f t="array" ref="R6">[1]!PropsSI("D","T",J6+273.15,"P",101325,"Water")</f>
        <v>985.27954555241638</v>
      </c>
      <c r="S6" cm="1">
        <f t="array" ref="S6">[1]!PropsSI("D","T",J6+273.15,"P",101325,"Water")</f>
        <v>985.27954555241638</v>
      </c>
      <c r="T6">
        <f t="shared" si="1"/>
        <v>985.27954555241638</v>
      </c>
      <c r="U6" cm="1">
        <f t="array" ref="U6">[1]!PropsSI("H","T",J6+273.15,"P",101325,"Water")</f>
        <v>233882.50306160832</v>
      </c>
      <c r="V6" cm="1">
        <f t="array" ref="V6">[1]!PropsSI("H","T",K6+273.15,"P",101325,"Water")</f>
        <v>196858.43054555036</v>
      </c>
      <c r="W6">
        <f t="shared" si="0"/>
        <v>568.60338504572178</v>
      </c>
      <c r="Y6">
        <f t="shared" si="2"/>
        <v>1</v>
      </c>
    </row>
    <row r="7" spans="1:27" x14ac:dyDescent="0.2">
      <c r="A7" s="1">
        <v>46066.691180555557</v>
      </c>
      <c r="B7" s="2">
        <v>18.549772000000001</v>
      </c>
      <c r="C7" s="2">
        <v>19.350944999999999</v>
      </c>
      <c r="D7" s="2">
        <v>19.085298999999999</v>
      </c>
      <c r="E7" s="2">
        <v>19.52562</v>
      </c>
      <c r="F7" s="2">
        <v>34.818491999999999</v>
      </c>
      <c r="G7" s="2">
        <v>33.790536000000003</v>
      </c>
      <c r="H7" s="2">
        <v>23.942557999999998</v>
      </c>
      <c r="I7" s="2">
        <v>22.021650999999999</v>
      </c>
      <c r="J7" s="2">
        <v>55.856949999999998</v>
      </c>
      <c r="K7" s="2">
        <v>46.990006000000001</v>
      </c>
      <c r="L7" s="2">
        <v>144.66975099999999</v>
      </c>
      <c r="M7" s="2">
        <v>-622.47510299999999</v>
      </c>
      <c r="N7" s="2">
        <v>0.935867</v>
      </c>
      <c r="O7" s="2">
        <v>0.78374699999999997</v>
      </c>
      <c r="P7" s="2"/>
      <c r="Q7" s="5">
        <f xml:space="preserve"> N7*0.001/60</f>
        <v>1.5597783333333335E-5</v>
      </c>
      <c r="R7" cm="1">
        <f t="array" ref="R7">[1]!PropsSI("D","T",J7+273.15,"P",101325,"Water")</f>
        <v>985.27588433978462</v>
      </c>
      <c r="S7" cm="1">
        <f t="array" ref="S7">[1]!PropsSI("D","T",J7+273.15,"P",101325,"Water")</f>
        <v>985.27588433978462</v>
      </c>
      <c r="T7">
        <f t="shared" si="1"/>
        <v>985.27588433978462</v>
      </c>
      <c r="U7" cm="1">
        <f t="array" ref="U7">[1]!PropsSI("H","T",J7+273.15,"P",101325,"Water")</f>
        <v>233913.79392634259</v>
      </c>
      <c r="V7" cm="1">
        <f t="array" ref="V7">[1]!PropsSI("H","T",K7+273.15,"P",101325,"Water")</f>
        <v>196833.88225189934</v>
      </c>
      <c r="W7">
        <f t="shared" si="0"/>
        <v>569.84852358080775</v>
      </c>
      <c r="Y7">
        <f t="shared" si="2"/>
        <v>1</v>
      </c>
    </row>
    <row r="8" spans="1:27" x14ac:dyDescent="0.2">
      <c r="A8" s="1">
        <v>46066.691296296296</v>
      </c>
      <c r="B8" s="2">
        <v>18.504932</v>
      </c>
      <c r="C8" s="2">
        <v>19.395143999999998</v>
      </c>
      <c r="D8" s="2">
        <v>19.181433999999999</v>
      </c>
      <c r="E8" s="2">
        <v>19.613520999999999</v>
      </c>
      <c r="F8" s="2">
        <v>34.879857000000001</v>
      </c>
      <c r="G8" s="2">
        <v>32.529716000000001</v>
      </c>
      <c r="H8" s="2">
        <v>24.284818999999999</v>
      </c>
      <c r="I8" s="2">
        <v>22.364771000000001</v>
      </c>
      <c r="J8" s="2">
        <v>55.859814999999998</v>
      </c>
      <c r="K8" s="2">
        <v>47.011909000000003</v>
      </c>
      <c r="L8" s="2">
        <v>138.547608</v>
      </c>
      <c r="M8" s="2">
        <v>-622.50571400000001</v>
      </c>
      <c r="N8" s="2">
        <v>0.93718199999999996</v>
      </c>
      <c r="O8" s="2">
        <v>1.4953350000000001</v>
      </c>
      <c r="P8" s="2"/>
      <c r="Q8" s="5">
        <f>N8*0.001/60</f>
        <v>1.5619699999999999E-5</v>
      </c>
      <c r="R8" cm="1">
        <f t="array" ref="R8">[1]!PropsSI("D","T",J8+273.15,"P",101325,"Water")</f>
        <v>985.27448192587292</v>
      </c>
      <c r="S8" cm="1">
        <f t="array" ref="S8">[1]!PropsSI("D","T",J8+273.15,"P",101325,"Water")</f>
        <v>985.27448192587292</v>
      </c>
      <c r="T8">
        <f t="shared" si="1"/>
        <v>985.27448192587292</v>
      </c>
      <c r="U8" cm="1">
        <f t="array" ref="U8">[1]!PropsSI("H","T",J8+273.15,"P",101325,"Water")</f>
        <v>233925.77900238734</v>
      </c>
      <c r="V8" cm="1">
        <f t="array" ref="V8">[1]!PropsSI("H","T",K8+273.15,"P",101325,"Water")</f>
        <v>196925.44926737249</v>
      </c>
      <c r="W8">
        <f t="shared" si="0"/>
        <v>569.42367205775213</v>
      </c>
      <c r="Y8">
        <f t="shared" si="2"/>
        <v>1</v>
      </c>
    </row>
    <row r="9" spans="1:27" x14ac:dyDescent="0.2">
      <c r="A9" s="1">
        <v>46066.691412037035</v>
      </c>
      <c r="B9" s="2">
        <v>18.525257</v>
      </c>
      <c r="C9" s="2">
        <v>19.286270999999999</v>
      </c>
      <c r="D9" s="2">
        <v>19.093641000000002</v>
      </c>
      <c r="E9" s="2">
        <v>19.557731</v>
      </c>
      <c r="F9" s="2">
        <v>34.605502000000001</v>
      </c>
      <c r="G9" s="2">
        <v>32.586391999999996</v>
      </c>
      <c r="H9" s="2">
        <v>23.951055</v>
      </c>
      <c r="I9" s="2">
        <v>21.693548</v>
      </c>
      <c r="J9" s="2">
        <v>55.861566000000003</v>
      </c>
      <c r="K9" s="2">
        <v>47.023018999999998</v>
      </c>
      <c r="L9" s="2">
        <v>140.09365299999999</v>
      </c>
      <c r="M9" s="2">
        <v>-622.46938899999998</v>
      </c>
      <c r="N9" s="2">
        <v>0.93537099999999995</v>
      </c>
      <c r="O9" s="2">
        <v>1.702307</v>
      </c>
      <c r="P9" s="2"/>
      <c r="Q9" s="5">
        <f>N9*0.001/60</f>
        <v>1.5589516666666667E-5</v>
      </c>
      <c r="R9" cm="1">
        <f t="array" ref="R9">[1]!PropsSI("D","T",J9+273.15,"P",101325,"Water")</f>
        <v>985.2736247886786</v>
      </c>
      <c r="S9" cm="1">
        <f t="array" ref="S9">[1]!PropsSI("D","T",J9+273.15,"P",101325,"Water")</f>
        <v>985.2736247886786</v>
      </c>
      <c r="T9">
        <f t="shared" si="1"/>
        <v>985.2736247886786</v>
      </c>
      <c r="U9" cm="1">
        <f t="array" ref="U9">[1]!PropsSI("H","T",J9+273.15,"P",101325,"Water")</f>
        <v>233933.10391431075</v>
      </c>
      <c r="V9" cm="1">
        <f t="array" ref="V9">[1]!PropsSI("H","T",K9+273.15,"P",101325,"Water")</f>
        <v>196971.89543792623</v>
      </c>
      <c r="W9">
        <f t="shared" si="0"/>
        <v>567.7219295506701</v>
      </c>
      <c r="Y9">
        <f t="shared" si="2"/>
        <v>1</v>
      </c>
    </row>
    <row r="10" spans="1:27" x14ac:dyDescent="0.2">
      <c r="A10" s="1">
        <v>46066.691527777781</v>
      </c>
      <c r="B10" s="2">
        <v>18.505023000000001</v>
      </c>
      <c r="C10" s="2">
        <v>19.226178000000001</v>
      </c>
      <c r="D10" s="2">
        <v>19.011357</v>
      </c>
      <c r="E10" s="2">
        <v>19.527086000000001</v>
      </c>
      <c r="F10" s="2">
        <v>34.515022000000002</v>
      </c>
      <c r="G10" s="2">
        <v>33.266522000000002</v>
      </c>
      <c r="H10" s="2">
        <v>24.201467000000001</v>
      </c>
      <c r="I10" s="2">
        <v>21.771877</v>
      </c>
      <c r="J10" s="2">
        <v>55.862679999999997</v>
      </c>
      <c r="K10" s="2">
        <v>47.016353000000002</v>
      </c>
      <c r="L10" s="2">
        <v>135.59591900000001</v>
      </c>
      <c r="M10" s="2">
        <v>-622.49061300000005</v>
      </c>
      <c r="N10" s="2">
        <v>0.93297399999999997</v>
      </c>
      <c r="O10" s="2">
        <v>1.0946819999999999</v>
      </c>
      <c r="P10" s="2"/>
      <c r="Q10" s="5">
        <f>N10*0.001/60</f>
        <v>1.5549566666666668E-5</v>
      </c>
      <c r="R10" cm="1">
        <f t="array" ref="R10">[1]!PropsSI("D","T",J10+273.15,"P",101325,"Water")</f>
        <v>985.27307946142616</v>
      </c>
      <c r="S10" cm="1">
        <f t="array" ref="S10">[1]!PropsSI("D","T",J10+273.15,"P",101325,"Water")</f>
        <v>985.27307946142616</v>
      </c>
      <c r="T10">
        <f t="shared" si="1"/>
        <v>985.27307946142616</v>
      </c>
      <c r="U10" cm="1">
        <f t="array" ref="U10">[1]!PropsSI("H","T",J10+273.15,"P",101325,"Water")</f>
        <v>233937.76408152923</v>
      </c>
      <c r="V10" cm="1">
        <f t="array" ref="V10">[1]!PropsSI("H","T",K10+273.15,"P",101325,"Water")</f>
        <v>196944.02773214906</v>
      </c>
      <c r="W10">
        <f t="shared" si="0"/>
        <v>566.76510636219302</v>
      </c>
      <c r="Y10">
        <f t="shared" si="2"/>
        <v>1</v>
      </c>
    </row>
    <row r="11" spans="1:27" x14ac:dyDescent="0.2">
      <c r="A11" s="1">
        <v>46066.691643518519</v>
      </c>
      <c r="B11" s="2">
        <v>18.441994000000001</v>
      </c>
      <c r="C11" s="2">
        <v>19.215920000000001</v>
      </c>
      <c r="D11" s="2">
        <v>19.001228000000001</v>
      </c>
      <c r="E11" s="2">
        <v>19.577525000000001</v>
      </c>
      <c r="F11" s="2">
        <v>34.595745999999998</v>
      </c>
      <c r="G11" s="2">
        <v>33.145972</v>
      </c>
      <c r="H11" s="2">
        <v>24.365273999999999</v>
      </c>
      <c r="I11" s="2">
        <v>21.598582</v>
      </c>
      <c r="J11" s="2">
        <v>55.864749000000003</v>
      </c>
      <c r="K11" s="2">
        <v>47.011432999999997</v>
      </c>
      <c r="L11" s="2">
        <v>130.21374</v>
      </c>
      <c r="M11" s="2">
        <v>-622.506122</v>
      </c>
      <c r="N11" s="2">
        <v>0.936006</v>
      </c>
      <c r="O11" s="2">
        <v>1.3861870000000001</v>
      </c>
      <c r="P11" s="2"/>
      <c r="Q11" s="5">
        <f>N11*0.001/60</f>
        <v>1.56001E-5</v>
      </c>
      <c r="R11" cm="1">
        <f t="array" ref="R11">[1]!PropsSI("D","T",J11+273.15,"P",101325,"Water")</f>
        <v>985.27206662062895</v>
      </c>
      <c r="S11" cm="1">
        <f t="array" ref="S11">[1]!PropsSI("D","T",J11+273.15,"P",101325,"Water")</f>
        <v>985.27206662062895</v>
      </c>
      <c r="T11">
        <f t="shared" si="1"/>
        <v>985.27206662062895</v>
      </c>
      <c r="U11" cm="1">
        <f t="array" ref="U11">[1]!PropsSI("H","T",J11+273.15,"P",101325,"Water")</f>
        <v>233946.41927672602</v>
      </c>
      <c r="V11" cm="1">
        <f t="array" ref="V11">[1]!PropsSI("H","T",K11+273.15,"P",101325,"Water")</f>
        <v>196923.4593150758</v>
      </c>
      <c r="W11">
        <f t="shared" si="0"/>
        <v>569.05558484054291</v>
      </c>
      <c r="Y11">
        <f t="shared" si="2"/>
        <v>1</v>
      </c>
      <c r="AA11" t="s">
        <v>23</v>
      </c>
    </row>
    <row r="12" spans="1:27" x14ac:dyDescent="0.2">
      <c r="A12" s="1">
        <v>46066.691759259258</v>
      </c>
      <c r="B12" s="2">
        <v>18.472010000000001</v>
      </c>
      <c r="C12" s="2">
        <v>19.234563000000001</v>
      </c>
      <c r="D12" s="2">
        <v>19.032519000000001</v>
      </c>
      <c r="E12" s="2">
        <v>19.489962999999999</v>
      </c>
      <c r="F12" s="2">
        <v>34.162436</v>
      </c>
      <c r="G12" s="2">
        <v>34.069825000000002</v>
      </c>
      <c r="H12" s="2">
        <v>23.992007999999998</v>
      </c>
      <c r="I12" s="2">
        <v>21.989652</v>
      </c>
      <c r="J12" s="2">
        <v>55.861884000000003</v>
      </c>
      <c r="K12" s="2">
        <v>47.015242000000001</v>
      </c>
      <c r="L12" s="2">
        <v>122.55045</v>
      </c>
      <c r="M12" s="2">
        <v>-622.49673499999994</v>
      </c>
      <c r="N12" s="2">
        <v>0.93364199999999997</v>
      </c>
      <c r="O12" s="2">
        <v>1.2354849999999999</v>
      </c>
      <c r="P12" s="2"/>
      <c r="Q12" s="5">
        <f>N12*0.001/60</f>
        <v>1.5560700000000002E-5</v>
      </c>
      <c r="R12" cm="1">
        <f t="array" ref="R12">[1]!PropsSI("D","T",J12+273.15,"P",101325,"Water")</f>
        <v>985.2734691215253</v>
      </c>
      <c r="S12" cm="1">
        <f t="array" ref="S12">[1]!PropsSI("D","T",J12+273.15,"P",101325,"Water")</f>
        <v>985.2734691215253</v>
      </c>
      <c r="T12">
        <f t="shared" si="1"/>
        <v>985.2734691215253</v>
      </c>
      <c r="U12" cm="1">
        <f t="array" ref="U12">[1]!PropsSI("H","T",J12+273.15,"P",101325,"Water")</f>
        <v>233934.43419534815</v>
      </c>
      <c r="V12" cm="1">
        <f t="array" ref="V12">[1]!PropsSI("H","T",K12+273.15,"P",101325,"Water")</f>
        <v>196939.38311553714</v>
      </c>
      <c r="W12">
        <f t="shared" si="0"/>
        <v>567.19128563355446</v>
      </c>
      <c r="Y12">
        <f t="shared" si="2"/>
        <v>1</v>
      </c>
      <c r="AA12">
        <f>AVERAGEIF(Y9:Y43,1,W9:W43)</f>
        <v>567.64248231556371</v>
      </c>
    </row>
    <row r="13" spans="1:27" x14ac:dyDescent="0.2">
      <c r="A13" s="1">
        <v>46066.691874999997</v>
      </c>
      <c r="B13" s="2">
        <v>18.297183</v>
      </c>
      <c r="C13" s="2">
        <v>19.135164</v>
      </c>
      <c r="D13" s="2">
        <v>19.005051000000002</v>
      </c>
      <c r="E13" s="2">
        <v>19.401793000000001</v>
      </c>
      <c r="F13" s="2">
        <v>34.252822000000002</v>
      </c>
      <c r="G13" s="2">
        <v>34.022862000000003</v>
      </c>
      <c r="H13" s="2">
        <v>23.980305000000001</v>
      </c>
      <c r="I13" s="2">
        <v>22.050841999999999</v>
      </c>
      <c r="J13" s="2">
        <v>55.859656000000001</v>
      </c>
      <c r="K13" s="2">
        <v>47.010004000000002</v>
      </c>
      <c r="L13" s="2">
        <v>137.70846700000001</v>
      </c>
      <c r="M13" s="2">
        <v>-622.48897999999997</v>
      </c>
      <c r="N13" s="2">
        <v>0.93327700000000002</v>
      </c>
      <c r="O13" s="2">
        <v>1.313067</v>
      </c>
      <c r="P13" s="2"/>
      <c r="Q13" s="5">
        <f>N13*0.001/60</f>
        <v>1.5554616666666669E-5</v>
      </c>
      <c r="R13" cm="1">
        <f t="array" ref="R13">[1]!PropsSI("D","T",J13+273.15,"P",101325,"Water")</f>
        <v>985.27455975747739</v>
      </c>
      <c r="S13" cm="1">
        <f t="array" ref="S13">[1]!PropsSI("D","T",J13+273.15,"P",101325,"Water")</f>
        <v>985.27455975747739</v>
      </c>
      <c r="T13">
        <f t="shared" si="1"/>
        <v>985.27455975747739</v>
      </c>
      <c r="U13" cm="1">
        <f t="array" ref="U13">[1]!PropsSI("H","T",J13+273.15,"P",101325,"Water")</f>
        <v>233925.11386197247</v>
      </c>
      <c r="V13" cm="1">
        <f t="array" ref="V13">[1]!PropsSI("H","T",K13+273.15,"P",101325,"Water")</f>
        <v>196917.4852778863</v>
      </c>
      <c r="W13">
        <f t="shared" si="0"/>
        <v>567.16293165734498</v>
      </c>
      <c r="Y13">
        <f t="shared" si="2"/>
        <v>1</v>
      </c>
    </row>
    <row r="14" spans="1:27" x14ac:dyDescent="0.2">
      <c r="A14" s="1">
        <v>46066.691990740743</v>
      </c>
      <c r="B14" s="2">
        <v>18.376224000000001</v>
      </c>
      <c r="C14" s="2">
        <v>19.205484999999999</v>
      </c>
      <c r="D14" s="2">
        <v>18.969377000000001</v>
      </c>
      <c r="E14" s="2">
        <v>19.424989</v>
      </c>
      <c r="F14" s="2">
        <v>34.616551000000001</v>
      </c>
      <c r="G14" s="2">
        <v>34.077365999999998</v>
      </c>
      <c r="H14" s="2">
        <v>23.502018</v>
      </c>
      <c r="I14" s="2">
        <v>22.088415000000001</v>
      </c>
      <c r="J14" s="2">
        <v>55.866022000000001</v>
      </c>
      <c r="K14" s="2">
        <v>47.009528000000003</v>
      </c>
      <c r="L14" s="2">
        <v>139.457359</v>
      </c>
      <c r="M14" s="2">
        <v>-622.51714200000004</v>
      </c>
      <c r="N14" s="2">
        <v>0.93589999999999995</v>
      </c>
      <c r="O14" s="2">
        <v>1.016402</v>
      </c>
      <c r="P14" s="2"/>
      <c r="Q14" s="5">
        <f>N14*0.001/60</f>
        <v>1.5598333333333333E-5</v>
      </c>
      <c r="R14" cm="1">
        <f t="array" ref="R14">[1]!PropsSI("D","T",J14+273.15,"P",101325,"Water")</f>
        <v>985.27144343384168</v>
      </c>
      <c r="S14" cm="1">
        <f t="array" ref="S14">[1]!PropsSI("D","T",J14+273.15,"P",101325,"Water")</f>
        <v>985.27144343384168</v>
      </c>
      <c r="T14">
        <f t="shared" si="1"/>
        <v>985.27144343384168</v>
      </c>
      <c r="U14" cm="1">
        <f t="array" ref="U14">[1]!PropsSI("H","T",J14+273.15,"P",101325,"Water")</f>
        <v>233951.74458612912</v>
      </c>
      <c r="V14" cm="1">
        <f t="array" ref="V14">[1]!PropsSI("H","T",K14+273.15,"P",101325,"Water")</f>
        <v>196915.4953258218</v>
      </c>
      <c r="W14">
        <f t="shared" si="0"/>
        <v>569.1950188507451</v>
      </c>
      <c r="Y14">
        <f t="shared" si="2"/>
        <v>1</v>
      </c>
    </row>
    <row r="15" spans="1:27" x14ac:dyDescent="0.2">
      <c r="A15" s="1">
        <v>46066.692106481481</v>
      </c>
      <c r="B15" s="2">
        <v>18.258717999999998</v>
      </c>
      <c r="C15" s="2">
        <v>19.024345</v>
      </c>
      <c r="D15" s="2">
        <v>18.997883000000002</v>
      </c>
      <c r="E15" s="2">
        <v>19.466346000000001</v>
      </c>
      <c r="F15" s="2">
        <v>34.317804000000002</v>
      </c>
      <c r="G15" s="2">
        <v>33.206899999999997</v>
      </c>
      <c r="H15" s="2">
        <v>23.876331</v>
      </c>
      <c r="I15" s="2">
        <v>22.087009999999999</v>
      </c>
      <c r="J15" s="2">
        <v>55.866180999999997</v>
      </c>
      <c r="K15" s="2">
        <v>46.990482</v>
      </c>
      <c r="L15" s="2">
        <v>140.15814</v>
      </c>
      <c r="M15" s="2">
        <v>-622.48449100000005</v>
      </c>
      <c r="N15" s="2">
        <v>0.938141</v>
      </c>
      <c r="O15" s="2">
        <v>0.96613000000000004</v>
      </c>
      <c r="P15" s="2"/>
      <c r="Q15" s="5">
        <f>N15*0.001/60</f>
        <v>1.5635683333333333E-5</v>
      </c>
      <c r="R15" cm="1">
        <f t="array" ref="R15">[1]!PropsSI("D","T",J15+273.15,"P",101325,"Water")</f>
        <v>985.27136559600342</v>
      </c>
      <c r="S15" cm="1">
        <f t="array" ref="S15">[1]!PropsSI("D","T",J15+273.15,"P",101325,"Water")</f>
        <v>985.27136559600342</v>
      </c>
      <c r="T15">
        <f t="shared" si="1"/>
        <v>985.27136559600342</v>
      </c>
      <c r="U15" cm="1">
        <f t="array" ref="U15">[1]!PropsSI("H","T",J15+273.15,"P",101325,"Water")</f>
        <v>233952.40972691041</v>
      </c>
      <c r="V15" cm="1">
        <f t="array" ref="V15">[1]!PropsSI("H","T",K15+273.15,"P",101325,"Water")</f>
        <v>196835.87220179191</v>
      </c>
      <c r="W15">
        <f t="shared" si="0"/>
        <v>571.79477573358429</v>
      </c>
      <c r="Y15">
        <f t="shared" si="2"/>
        <v>1</v>
      </c>
    </row>
    <row r="16" spans="1:27" x14ac:dyDescent="0.2">
      <c r="A16" s="1">
        <v>46066.69222222222</v>
      </c>
      <c r="B16" s="2">
        <v>18.264531999999999</v>
      </c>
      <c r="C16" s="2">
        <v>19.243614999999998</v>
      </c>
      <c r="D16" s="2">
        <v>19.095281</v>
      </c>
      <c r="E16" s="2">
        <v>19.555278000000001</v>
      </c>
      <c r="F16" s="2">
        <v>34.359667000000002</v>
      </c>
      <c r="G16" s="2">
        <v>34.568536999999999</v>
      </c>
      <c r="H16" s="2">
        <v>23.863173</v>
      </c>
      <c r="I16" s="2">
        <v>21.496247</v>
      </c>
      <c r="J16" s="2">
        <v>55.86459</v>
      </c>
      <c r="K16" s="2">
        <v>46.997782999999998</v>
      </c>
      <c r="L16" s="2">
        <v>123.386735</v>
      </c>
      <c r="M16" s="2">
        <v>-622.49469399999998</v>
      </c>
      <c r="N16" s="2">
        <v>0.93330199999999996</v>
      </c>
      <c r="O16" s="2">
        <v>0.991622</v>
      </c>
      <c r="P16" s="2"/>
      <c r="Q16" s="5">
        <f>N16*0.001/60</f>
        <v>1.5555033333333333E-5</v>
      </c>
      <c r="R16" cm="1">
        <f t="array" ref="R16">[1]!PropsSI("D","T",J16+273.15,"P",101325,"Water")</f>
        <v>985.27214445707193</v>
      </c>
      <c r="S16" cm="1">
        <f t="array" ref="S16">[1]!PropsSI("D","T",J16+273.15,"P",101325,"Water")</f>
        <v>985.27214445707193</v>
      </c>
      <c r="T16">
        <f t="shared" si="1"/>
        <v>985.27214445707193</v>
      </c>
      <c r="U16" cm="1">
        <f t="array" ref="U16">[1]!PropsSI("H","T",J16+273.15,"P",101325,"Water")</f>
        <v>233945.75413601534</v>
      </c>
      <c r="V16" cm="1">
        <f t="array" ref="V16">[1]!PropsSI("H","T",K16+273.15,"P",101325,"Water")</f>
        <v>196866.39452875633</v>
      </c>
      <c r="W16">
        <f t="shared" si="0"/>
        <v>568.27607949163701</v>
      </c>
      <c r="Y16">
        <f t="shared" si="2"/>
        <v>1</v>
      </c>
    </row>
    <row r="17" spans="1:25" x14ac:dyDescent="0.2">
      <c r="A17" s="1">
        <v>46066.692337962966</v>
      </c>
      <c r="B17" s="2">
        <v>18.622247000000002</v>
      </c>
      <c r="C17" s="2">
        <v>19.572033999999999</v>
      </c>
      <c r="D17" s="2">
        <v>19.226230999999999</v>
      </c>
      <c r="E17" s="2">
        <v>19.690144</v>
      </c>
      <c r="F17" s="2">
        <v>34.696722999999999</v>
      </c>
      <c r="G17" s="2">
        <v>34.373995999999998</v>
      </c>
      <c r="H17" s="2">
        <v>24.497585999999998</v>
      </c>
      <c r="I17" s="2">
        <v>22.265411</v>
      </c>
      <c r="J17" s="2">
        <v>55.855677</v>
      </c>
      <c r="K17" s="2">
        <v>47.006670999999997</v>
      </c>
      <c r="L17" s="2">
        <v>138.19130000000001</v>
      </c>
      <c r="M17" s="2">
        <v>-622.49265300000002</v>
      </c>
      <c r="N17" s="2">
        <v>0.92804399999999998</v>
      </c>
      <c r="O17" s="2">
        <v>1.4911669999999999</v>
      </c>
      <c r="P17" s="2"/>
      <c r="Q17" s="5">
        <f>N17*0.001/60</f>
        <v>1.54674E-5</v>
      </c>
      <c r="R17" cm="1">
        <f t="array" ref="R17">[1]!PropsSI("D","T",J17+273.15,"P",101325,"Water")</f>
        <v>985.27650745549488</v>
      </c>
      <c r="S17" cm="1">
        <f t="array" ref="S17">[1]!PropsSI("D","T",J17+273.15,"P",101325,"Water")</f>
        <v>985.27650745549488</v>
      </c>
      <c r="T17">
        <f t="shared" si="1"/>
        <v>985.27650745549488</v>
      </c>
      <c r="U17" cm="1">
        <f t="array" ref="U17">[1]!PropsSI("H","T",J17+273.15,"P",101325,"Water")</f>
        <v>233908.46862127181</v>
      </c>
      <c r="V17" cm="1">
        <f t="array" ref="V17">[1]!PropsSI("H","T",K17+273.15,"P",101325,"Water")</f>
        <v>196903.55143382694</v>
      </c>
      <c r="W17">
        <f t="shared" si="0"/>
        <v>563.94257279602209</v>
      </c>
      <c r="Y17">
        <f t="shared" si="2"/>
        <v>1</v>
      </c>
    </row>
    <row r="18" spans="1:25" x14ac:dyDescent="0.2">
      <c r="A18" s="1">
        <v>46066.692453703705</v>
      </c>
      <c r="B18" s="2">
        <v>18.556698000000001</v>
      </c>
      <c r="C18" s="2">
        <v>19.538618</v>
      </c>
      <c r="D18" s="2">
        <v>19.234089999999998</v>
      </c>
      <c r="E18" s="2">
        <v>19.646879999999999</v>
      </c>
      <c r="F18" s="2">
        <v>34.925882999999999</v>
      </c>
      <c r="G18" s="2">
        <v>33.345311000000002</v>
      </c>
      <c r="H18" s="2">
        <v>23.746032</v>
      </c>
      <c r="I18" s="2">
        <v>21.883371</v>
      </c>
      <c r="J18" s="2">
        <v>55.855359</v>
      </c>
      <c r="K18" s="2">
        <v>47.030003000000001</v>
      </c>
      <c r="L18" s="2">
        <v>139.127579</v>
      </c>
      <c r="M18" s="2">
        <v>-622.48000100000002</v>
      </c>
      <c r="N18" s="2">
        <v>0.93269500000000005</v>
      </c>
      <c r="O18" s="2">
        <v>0.767316</v>
      </c>
      <c r="P18" s="2"/>
      <c r="Q18" s="5">
        <f>N18*0.001/60</f>
        <v>1.5544916666666668E-5</v>
      </c>
      <c r="R18" cm="1">
        <f t="array" ref="R18">[1]!PropsSI("D","T",J18+273.15,"P",101325,"Water")</f>
        <v>985.27666311047403</v>
      </c>
      <c r="S18" cm="1">
        <f t="array" ref="S18">[1]!PropsSI("D","T",J18+273.15,"P",101325,"Water")</f>
        <v>985.27666311047403</v>
      </c>
      <c r="T18">
        <f t="shared" si="1"/>
        <v>985.27666311047403</v>
      </c>
      <c r="U18" cm="1">
        <f t="array" ref="U18">[1]!PropsSI("H","T",J18+273.15,"P",101325,"Water")</f>
        <v>233907.13834094006</v>
      </c>
      <c r="V18" cm="1">
        <f t="array" ref="V18">[1]!PropsSI("H","T",K18+273.15,"P",101325,"Water")</f>
        <v>197001.09257724299</v>
      </c>
      <c r="W18">
        <f t="shared" si="0"/>
        <v>565.25460681990205</v>
      </c>
      <c r="Y18">
        <f t="shared" si="2"/>
        <v>1</v>
      </c>
    </row>
    <row r="19" spans="1:25" x14ac:dyDescent="0.2">
      <c r="A19" s="1">
        <v>46066.692569444444</v>
      </c>
      <c r="B19" s="2">
        <v>17.917180999999999</v>
      </c>
      <c r="C19" s="2">
        <v>18.481092</v>
      </c>
      <c r="D19" s="2">
        <v>19.052847</v>
      </c>
      <c r="E19" s="2">
        <v>19.606929999999998</v>
      </c>
      <c r="F19" s="2">
        <v>34.357111000000003</v>
      </c>
      <c r="G19" s="2">
        <v>33.360925999999999</v>
      </c>
      <c r="H19" s="2">
        <v>23.859416</v>
      </c>
      <c r="I19" s="2">
        <v>21.896146999999999</v>
      </c>
      <c r="J19" s="2">
        <v>55.853766999999998</v>
      </c>
      <c r="K19" s="2">
        <v>47.019050999999997</v>
      </c>
      <c r="L19" s="2">
        <v>132.83891499999999</v>
      </c>
      <c r="M19" s="2">
        <v>-622.50326500000006</v>
      </c>
      <c r="N19" s="2">
        <v>0.93444899999999997</v>
      </c>
      <c r="O19" s="2">
        <v>1.131421</v>
      </c>
      <c r="P19" s="2"/>
      <c r="Q19" s="5">
        <f>N19*0.001/60</f>
        <v>1.5574150000000001E-5</v>
      </c>
      <c r="R19" cm="1">
        <f t="array" ref="R19">[1]!PropsSI("D","T",J19+273.15,"P",101325,"Water")</f>
        <v>985.27744235509465</v>
      </c>
      <c r="S19" cm="1">
        <f t="array" ref="S19">[1]!PropsSI("D","T",J19+273.15,"P",101325,"Water")</f>
        <v>985.27744235509465</v>
      </c>
      <c r="T19">
        <f t="shared" si="1"/>
        <v>985.27744235509465</v>
      </c>
      <c r="U19" cm="1">
        <f t="array" ref="U19">[1]!PropsSI("H","T",J19+273.15,"P",101325,"Water")</f>
        <v>233900.47857316284</v>
      </c>
      <c r="V19" cm="1">
        <f t="array" ref="V19">[1]!PropsSI("H","T",K19+273.15,"P",101325,"Water")</f>
        <v>196955.30691934872</v>
      </c>
      <c r="W19">
        <f t="shared" si="0"/>
        <v>566.91843789380255</v>
      </c>
      <c r="Y19">
        <f t="shared" si="2"/>
        <v>1</v>
      </c>
    </row>
    <row r="20" spans="1:25" x14ac:dyDescent="0.2">
      <c r="A20" s="1">
        <v>46066.692685185182</v>
      </c>
      <c r="B20" s="2">
        <v>17.964970999999998</v>
      </c>
      <c r="C20" s="2">
        <v>18.659223999999998</v>
      </c>
      <c r="D20" s="2">
        <v>19.094943000000001</v>
      </c>
      <c r="E20" s="2">
        <v>19.503937000000001</v>
      </c>
      <c r="F20" s="2">
        <v>34.053033999999997</v>
      </c>
      <c r="G20" s="2">
        <v>34.183340999999999</v>
      </c>
      <c r="H20" s="2">
        <v>24.106083000000002</v>
      </c>
      <c r="I20" s="2">
        <v>21.543980999999999</v>
      </c>
      <c r="J20" s="2">
        <v>55.857269000000002</v>
      </c>
      <c r="K20" s="2">
        <v>46.972864000000001</v>
      </c>
      <c r="L20" s="2">
        <v>133.33113499999999</v>
      </c>
      <c r="M20" s="2">
        <v>-622.46857299999999</v>
      </c>
      <c r="N20" s="2">
        <v>0.93667400000000001</v>
      </c>
      <c r="O20" s="2">
        <v>0.86665300000000001</v>
      </c>
      <c r="P20" s="2"/>
      <c r="Q20" s="5">
        <f>N20*0.001/60</f>
        <v>1.5611233333333334E-5</v>
      </c>
      <c r="R20" cm="1">
        <f t="array" ref="R20">[1]!PropsSI("D","T",J20+273.15,"P",101325,"Water")</f>
        <v>985.2757281921829</v>
      </c>
      <c r="S20" cm="1">
        <f t="array" ref="S20">[1]!PropsSI("D","T",J20+273.15,"P",101325,"Water")</f>
        <v>985.2757281921829</v>
      </c>
      <c r="T20">
        <f t="shared" si="1"/>
        <v>985.2757281921829</v>
      </c>
      <c r="U20" cm="1">
        <f t="array" ref="U20">[1]!PropsSI("H","T",J20+273.15,"P",101325,"Water")</f>
        <v>233915.12839016324</v>
      </c>
      <c r="V20" cm="1">
        <f t="array" ref="V20">[1]!PropsSI("H","T",K20+273.15,"P",101325,"Water")</f>
        <v>196762.21900573774</v>
      </c>
      <c r="W20">
        <f t="shared" si="0"/>
        <v>571.46261945751723</v>
      </c>
      <c r="Y20">
        <f t="shared" si="2"/>
        <v>1</v>
      </c>
    </row>
    <row r="21" spans="1:25" x14ac:dyDescent="0.2">
      <c r="A21" s="1">
        <v>46066.692800925928</v>
      </c>
      <c r="B21" s="2">
        <v>18.288236999999999</v>
      </c>
      <c r="C21" s="2">
        <v>19.039404000000001</v>
      </c>
      <c r="D21" s="2">
        <v>19.113388</v>
      </c>
      <c r="E21" s="2">
        <v>19.586131999999999</v>
      </c>
      <c r="F21" s="2">
        <v>34.535910000000001</v>
      </c>
      <c r="G21" s="2">
        <v>33.787891000000002</v>
      </c>
      <c r="H21" s="2">
        <v>24.537797000000001</v>
      </c>
      <c r="I21" s="2">
        <v>21.73602</v>
      </c>
      <c r="J21" s="2">
        <v>55.857745999999999</v>
      </c>
      <c r="K21" s="2">
        <v>46.973498999999997</v>
      </c>
      <c r="L21" s="2">
        <v>142.28619699999999</v>
      </c>
      <c r="M21" s="2">
        <v>-622.50775499999997</v>
      </c>
      <c r="N21" s="2">
        <v>0.93519099999999999</v>
      </c>
      <c r="O21" s="2">
        <v>1.0945940000000001</v>
      </c>
      <c r="P21" s="2"/>
      <c r="Q21" s="5">
        <f>N21*0.001/60</f>
        <v>1.5586516666666667E-5</v>
      </c>
      <c r="R21" cm="1">
        <f t="array" ref="R21">[1]!PropsSI("D","T",J21+273.15,"P",101325,"Water")</f>
        <v>985.27549470384145</v>
      </c>
      <c r="S21" cm="1">
        <f t="array" ref="S21">[1]!PropsSI("D","T",J21+273.15,"P",101325,"Water")</f>
        <v>985.27549470384145</v>
      </c>
      <c r="T21">
        <f t="shared" si="1"/>
        <v>985.27549470384145</v>
      </c>
      <c r="U21" cm="1">
        <f t="array" ref="U21">[1]!PropsSI("H","T",J21+273.15,"P",101325,"Water")</f>
        <v>233917.12381105282</v>
      </c>
      <c r="V21" cm="1">
        <f t="array" ref="V21">[1]!PropsSI("H","T",K21+273.15,"P",101325,"Water")</f>
        <v>196764.87366334361</v>
      </c>
      <c r="W21">
        <f t="shared" si="0"/>
        <v>570.54758550536781</v>
      </c>
      <c r="Y21">
        <f t="shared" si="2"/>
        <v>1</v>
      </c>
    </row>
    <row r="22" spans="1:25" x14ac:dyDescent="0.2">
      <c r="A22" s="1">
        <v>46066.692916666667</v>
      </c>
      <c r="B22" s="2">
        <v>18.366626</v>
      </c>
      <c r="C22" s="2">
        <v>19.225337</v>
      </c>
      <c r="D22" s="2">
        <v>19.156504999999999</v>
      </c>
      <c r="E22" s="2">
        <v>19.625081999999999</v>
      </c>
      <c r="F22" s="2">
        <v>34.523046000000001</v>
      </c>
      <c r="G22" s="2">
        <v>33.138871999999999</v>
      </c>
      <c r="H22" s="2">
        <v>24.051037000000001</v>
      </c>
      <c r="I22" s="2">
        <v>21.341508000000001</v>
      </c>
      <c r="J22" s="2">
        <v>55.857745999999999</v>
      </c>
      <c r="K22" s="2">
        <v>46.979213000000001</v>
      </c>
      <c r="L22" s="2">
        <v>133.69968800000001</v>
      </c>
      <c r="M22" s="2">
        <v>-622.49510199999997</v>
      </c>
      <c r="N22" s="2">
        <v>0.93268700000000004</v>
      </c>
      <c r="O22" s="2">
        <v>1.168922</v>
      </c>
      <c r="P22" s="2"/>
      <c r="Q22" s="5">
        <f>N22*0.001/60</f>
        <v>1.5544783333333334E-5</v>
      </c>
      <c r="R22" cm="1">
        <f t="array" ref="R22">[1]!PropsSI("D","T",J22+273.15,"P",101325,"Water")</f>
        <v>985.27549470384145</v>
      </c>
      <c r="S22" cm="1">
        <f t="array" ref="S22">[1]!PropsSI("D","T",J22+273.15,"P",101325,"Water")</f>
        <v>985.27549470384145</v>
      </c>
      <c r="T22">
        <f t="shared" si="1"/>
        <v>985.27549470384145</v>
      </c>
      <c r="U22" cm="1">
        <f t="array" ref="U22">[1]!PropsSI("H","T",J22+273.15,"P",101325,"Water")</f>
        <v>233917.12381105282</v>
      </c>
      <c r="V22" cm="1">
        <f t="array" ref="V22">[1]!PropsSI("H","T",K22+273.15,"P",101325,"Water")</f>
        <v>196788.76140533676</v>
      </c>
      <c r="W22">
        <f t="shared" si="0"/>
        <v>568.65406629705171</v>
      </c>
      <c r="Y22">
        <f t="shared" si="2"/>
        <v>1</v>
      </c>
    </row>
    <row r="23" spans="1:25" x14ac:dyDescent="0.2">
      <c r="A23" s="1">
        <v>46066.693032407406</v>
      </c>
      <c r="B23" s="2">
        <v>18.055931000000001</v>
      </c>
      <c r="C23" s="2">
        <v>18.904857</v>
      </c>
      <c r="D23" s="2">
        <v>19.027441</v>
      </c>
      <c r="E23" s="2">
        <v>19.578616</v>
      </c>
      <c r="F23" s="2">
        <v>34.078614000000002</v>
      </c>
      <c r="G23" s="2">
        <v>34.379989999999999</v>
      </c>
      <c r="H23" s="2">
        <v>24.533397000000001</v>
      </c>
      <c r="I23" s="2">
        <v>22.162049</v>
      </c>
      <c r="J23" s="2">
        <v>55.860292999999999</v>
      </c>
      <c r="K23" s="2">
        <v>46.990322999999997</v>
      </c>
      <c r="L23" s="2">
        <v>132.19037599999999</v>
      </c>
      <c r="M23" s="2">
        <v>-622.51836600000001</v>
      </c>
      <c r="N23" s="2">
        <v>0.93635800000000002</v>
      </c>
      <c r="O23" s="2">
        <v>1.1834849999999999</v>
      </c>
      <c r="P23" s="2"/>
      <c r="Q23" s="5">
        <f>N23*0.001/60</f>
        <v>1.5605966666666669E-5</v>
      </c>
      <c r="R23" cm="1">
        <f t="array" ref="R23">[1]!PropsSI("D","T",J23+273.15,"P",101325,"Water")</f>
        <v>985.27424794053798</v>
      </c>
      <c r="S23" cm="1">
        <f t="array" ref="S23">[1]!PropsSI("D","T",J23+273.15,"P",101325,"Water")</f>
        <v>985.27424794053798</v>
      </c>
      <c r="T23">
        <f t="shared" si="1"/>
        <v>985.27424794053798</v>
      </c>
      <c r="U23" cm="1">
        <f t="array" ref="U23">[1]!PropsSI("H","T",J23+273.15,"P",101325,"Water")</f>
        <v>233927.77860701591</v>
      </c>
      <c r="V23" cm="1">
        <f t="array" ref="V23">[1]!PropsSI("H","T",K23+273.15,"P",101325,"Water")</f>
        <v>196835.20749168939</v>
      </c>
      <c r="W23">
        <f t="shared" si="0"/>
        <v>570.34119963223645</v>
      </c>
      <c r="Y23">
        <f t="shared" si="2"/>
        <v>1</v>
      </c>
    </row>
    <row r="24" spans="1:25" x14ac:dyDescent="0.2">
      <c r="A24" s="1">
        <v>46066.693148148152</v>
      </c>
      <c r="B24" s="2">
        <v>18.459786000000001</v>
      </c>
      <c r="C24" s="2">
        <v>19.295788000000002</v>
      </c>
      <c r="D24" s="2">
        <v>19.098714000000001</v>
      </c>
      <c r="E24" s="2">
        <v>19.576872999999999</v>
      </c>
      <c r="F24" s="2">
        <v>34.56232</v>
      </c>
      <c r="G24" s="2">
        <v>33.220374</v>
      </c>
      <c r="H24" s="2">
        <v>24.534039</v>
      </c>
      <c r="I24" s="2">
        <v>21.590564000000001</v>
      </c>
      <c r="J24" s="2">
        <v>55.857745999999999</v>
      </c>
      <c r="K24" s="2">
        <v>46.986196999999997</v>
      </c>
      <c r="L24" s="2">
        <v>130.76432500000001</v>
      </c>
      <c r="M24" s="2">
        <v>-622.49224500000003</v>
      </c>
      <c r="N24" s="2">
        <v>0.93615400000000004</v>
      </c>
      <c r="O24" s="2">
        <v>1.2800769999999999</v>
      </c>
      <c r="P24" s="2"/>
      <c r="Q24" s="5">
        <f>N24*0.001/60</f>
        <v>1.5602566666666669E-5</v>
      </c>
      <c r="R24" cm="1">
        <f t="array" ref="R24">[1]!PropsSI("D","T",J24+273.15,"P",101325,"Water")</f>
        <v>985.27549470384145</v>
      </c>
      <c r="S24" cm="1">
        <f t="array" ref="S24">[1]!PropsSI("D","T",J24+273.15,"P",101325,"Water")</f>
        <v>985.27549470384145</v>
      </c>
      <c r="T24">
        <f t="shared" si="1"/>
        <v>985.27549470384145</v>
      </c>
      <c r="U24" cm="1">
        <f t="array" ref="U24">[1]!PropsSI("H","T",J24+273.15,"P",101325,"Water")</f>
        <v>233917.12381105282</v>
      </c>
      <c r="V24" cm="1">
        <f t="array" ref="V24">[1]!PropsSI("H","T",K24+273.15,"P",101325,"Water")</f>
        <v>196817.95847374384</v>
      </c>
      <c r="W24">
        <f t="shared" si="0"/>
        <v>570.31903540684152</v>
      </c>
      <c r="Y24">
        <f t="shared" si="2"/>
        <v>1</v>
      </c>
    </row>
    <row r="25" spans="1:25" x14ac:dyDescent="0.2">
      <c r="A25" s="1">
        <v>46066.69326388889</v>
      </c>
      <c r="B25" s="2">
        <v>18.434604</v>
      </c>
      <c r="C25" s="2">
        <v>19.262165</v>
      </c>
      <c r="D25" s="2">
        <v>19.049887999999999</v>
      </c>
      <c r="E25" s="2">
        <v>19.649863</v>
      </c>
      <c r="F25" s="2">
        <v>34.694924</v>
      </c>
      <c r="G25" s="2">
        <v>33.863019000000001</v>
      </c>
      <c r="H25" s="2">
        <v>24.255862</v>
      </c>
      <c r="I25" s="2">
        <v>22.121563999999999</v>
      </c>
      <c r="J25" s="2">
        <v>55.854882000000003</v>
      </c>
      <c r="K25" s="2">
        <v>47.002386000000001</v>
      </c>
      <c r="L25" s="2">
        <v>132.889116</v>
      </c>
      <c r="M25" s="2">
        <v>-622.49224500000003</v>
      </c>
      <c r="N25" s="2">
        <v>0.93212099999999998</v>
      </c>
      <c r="O25" s="2">
        <v>1.327045</v>
      </c>
      <c r="P25" s="2"/>
      <c r="Q25" s="5">
        <f>N25*0.001/60</f>
        <v>1.553535E-5</v>
      </c>
      <c r="R25" cm="1">
        <f t="array" ref="R25">[1]!PropsSI("D","T",J25+273.15,"P",101325,"Water")</f>
        <v>985.2768965918176</v>
      </c>
      <c r="S25" cm="1">
        <f t="array" ref="S25">[1]!PropsSI("D","T",J25+273.15,"P",101325,"Water")</f>
        <v>985.2768965918176</v>
      </c>
      <c r="T25">
        <f t="shared" si="1"/>
        <v>985.2768965918176</v>
      </c>
      <c r="U25" cm="1">
        <f t="array" ref="U25">[1]!PropsSI("H","T",J25+273.15,"P",101325,"Water")</f>
        <v>233905.14292047522</v>
      </c>
      <c r="V25" cm="1">
        <f t="array" ref="V25">[1]!PropsSI("H","T",K25+273.15,"P",101325,"Water")</f>
        <v>196885.63768963929</v>
      </c>
      <c r="W25">
        <f t="shared" si="0"/>
        <v>566.64355229672174</v>
      </c>
      <c r="Y25">
        <f t="shared" si="2"/>
        <v>1</v>
      </c>
    </row>
    <row r="26" spans="1:25" x14ac:dyDescent="0.2">
      <c r="A26" s="1">
        <v>46066.693379629629</v>
      </c>
      <c r="B26" s="2">
        <v>18.477900999999999</v>
      </c>
      <c r="C26" s="2">
        <v>19.329810999999999</v>
      </c>
      <c r="D26" s="2">
        <v>19.08811</v>
      </c>
      <c r="E26" s="2">
        <v>19.642296000000002</v>
      </c>
      <c r="F26" s="2">
        <v>34.499558</v>
      </c>
      <c r="G26" s="2">
        <v>34.567864</v>
      </c>
      <c r="H26" s="2">
        <v>23.963940999999998</v>
      </c>
      <c r="I26" s="2">
        <v>22.018021999999998</v>
      </c>
      <c r="J26" s="2">
        <v>55.853608000000001</v>
      </c>
      <c r="K26" s="2">
        <v>47.003655999999999</v>
      </c>
      <c r="L26" s="2">
        <v>144.38323399999999</v>
      </c>
      <c r="M26" s="2">
        <v>-622.51102000000003</v>
      </c>
      <c r="N26" s="2">
        <v>0.92876499999999995</v>
      </c>
      <c r="O26" s="2">
        <v>1.4712540000000001</v>
      </c>
      <c r="P26" s="2"/>
      <c r="Q26" s="5">
        <f>N26*0.001/60</f>
        <v>1.5479416666666666E-5</v>
      </c>
      <c r="R26" cm="1">
        <f t="array" ref="R26">[1]!PropsSI("D","T",J26+273.15,"P",101325,"Water")</f>
        <v>985.27752018081128</v>
      </c>
      <c r="S26" cm="1">
        <f t="array" ref="S26">[1]!PropsSI("D","T",J26+273.15,"P",101325,"Water")</f>
        <v>985.27752018081128</v>
      </c>
      <c r="T26">
        <f t="shared" si="1"/>
        <v>985.27752018081128</v>
      </c>
      <c r="U26" cm="1">
        <f t="array" ref="U26">[1]!PropsSI("H","T",J26+273.15,"P",101325,"Water")</f>
        <v>233899.81343308435</v>
      </c>
      <c r="V26" cm="1">
        <f t="array" ref="V26">[1]!PropsSI("H","T",K26+273.15,"P",101325,"Water")</f>
        <v>196890.94701361298</v>
      </c>
      <c r="W26">
        <f t="shared" si="0"/>
        <v>564.44151327074883</v>
      </c>
      <c r="Y26">
        <f t="shared" si="2"/>
        <v>1</v>
      </c>
    </row>
    <row r="27" spans="1:25" x14ac:dyDescent="0.2">
      <c r="A27" s="1">
        <v>46066.693495370368</v>
      </c>
      <c r="B27" s="2">
        <v>18.198035999999998</v>
      </c>
      <c r="C27" s="2">
        <v>19.157388000000001</v>
      </c>
      <c r="D27" s="2">
        <v>19.103625000000001</v>
      </c>
      <c r="E27" s="2">
        <v>19.591740999999999</v>
      </c>
      <c r="F27" s="2">
        <v>34.389515000000003</v>
      </c>
      <c r="G27" s="2">
        <v>33.662067999999998</v>
      </c>
      <c r="H27" s="2">
        <v>23.980270000000001</v>
      </c>
      <c r="I27" s="2">
        <v>22.395658000000001</v>
      </c>
      <c r="J27" s="2">
        <v>55.855677</v>
      </c>
      <c r="K27" s="2">
        <v>47.005878000000003</v>
      </c>
      <c r="L27" s="2">
        <v>142.765356</v>
      </c>
      <c r="M27" s="2">
        <v>-622.48285799999996</v>
      </c>
      <c r="N27" s="2">
        <v>0.92906</v>
      </c>
      <c r="O27" s="2">
        <v>1.5637030000000001</v>
      </c>
      <c r="P27" s="2"/>
      <c r="Q27" s="5">
        <f>N27*0.001/60</f>
        <v>1.5484333333333334E-5</v>
      </c>
      <c r="R27" cm="1">
        <f t="array" ref="R27">[1]!PropsSI("D","T",J27+273.15,"P",101325,"Water")</f>
        <v>985.27650745549488</v>
      </c>
      <c r="S27" cm="1">
        <f t="array" ref="S27">[1]!PropsSI("D","T",J27+273.15,"P",101325,"Water")</f>
        <v>985.27650745549488</v>
      </c>
      <c r="T27">
        <f t="shared" si="1"/>
        <v>985.27650745549488</v>
      </c>
      <c r="U27" cm="1">
        <f t="array" ref="U27">[1]!PropsSI("H","T",J27+273.15,"P",101325,"Water")</f>
        <v>233908.46862127181</v>
      </c>
      <c r="V27" cm="1">
        <f t="array" ref="V27">[1]!PropsSI("H","T",K27+273.15,"P",101325,"Water")</f>
        <v>196900.23624117282</v>
      </c>
      <c r="W27">
        <f t="shared" si="0"/>
        <v>564.61054114793239</v>
      </c>
      <c r="Y27">
        <f t="shared" si="2"/>
        <v>1</v>
      </c>
    </row>
    <row r="28" spans="1:25" x14ac:dyDescent="0.2">
      <c r="A28" s="1">
        <v>46066.693611111114</v>
      </c>
      <c r="B28" s="2">
        <v>18.152322999999999</v>
      </c>
      <c r="C28" s="2">
        <v>18.739355</v>
      </c>
      <c r="D28" s="2">
        <v>19.068677999999998</v>
      </c>
      <c r="E28" s="2">
        <v>19.717883</v>
      </c>
      <c r="F28" s="2">
        <v>33.844985999999999</v>
      </c>
      <c r="G28" s="2">
        <v>33.829965000000001</v>
      </c>
      <c r="H28" s="2">
        <v>23.844000000000001</v>
      </c>
      <c r="I28" s="2">
        <v>21.742729000000001</v>
      </c>
      <c r="J28" s="2">
        <v>55.852652999999997</v>
      </c>
      <c r="K28" s="2">
        <v>46.991751999999998</v>
      </c>
      <c r="L28" s="2">
        <v>144.290178</v>
      </c>
      <c r="M28" s="2">
        <v>-622.51550899999995</v>
      </c>
      <c r="N28" s="2">
        <v>0.93579299999999999</v>
      </c>
      <c r="O28" s="2">
        <v>1.2153560000000001</v>
      </c>
      <c r="P28" s="2"/>
      <c r="Q28" s="5">
        <f>N28*0.001/60</f>
        <v>1.5596549999999999E-5</v>
      </c>
      <c r="R28" cm="1">
        <f t="array" ref="R28">[1]!PropsSI("D","T",J28+273.15,"P",101325,"Water")</f>
        <v>985.27798762125531</v>
      </c>
      <c r="S28" cm="1">
        <f t="array" ref="S28">[1]!PropsSI("D","T",J28+273.15,"P",101325,"Water")</f>
        <v>985.27798762125531</v>
      </c>
      <c r="T28">
        <f t="shared" si="1"/>
        <v>985.27798762125531</v>
      </c>
      <c r="U28" cm="1">
        <f t="array" ref="U28">[1]!PropsSI("H","T",J28+273.15,"P",101325,"Water")</f>
        <v>233895.81840965783</v>
      </c>
      <c r="V28" cm="1">
        <f t="array" ref="V28">[1]!PropsSI("H","T",K28+273.15,"P",101325,"Water")</f>
        <v>196841.18152233088</v>
      </c>
      <c r="W28">
        <f t="shared" si="0"/>
        <v>569.41628534703455</v>
      </c>
      <c r="Y28">
        <f t="shared" si="2"/>
        <v>1</v>
      </c>
    </row>
    <row r="29" spans="1:25" x14ac:dyDescent="0.2">
      <c r="A29" s="1">
        <v>46066.693726851852</v>
      </c>
      <c r="B29" s="2">
        <v>18.110143000000001</v>
      </c>
      <c r="C29" s="2">
        <v>18.890512999999999</v>
      </c>
      <c r="D29" s="2">
        <v>19.069671</v>
      </c>
      <c r="E29" s="2">
        <v>19.71378</v>
      </c>
      <c r="F29" s="2">
        <v>34.127166000000003</v>
      </c>
      <c r="G29" s="2">
        <v>33.156418000000002</v>
      </c>
      <c r="H29" s="2">
        <v>24.202535000000001</v>
      </c>
      <c r="I29" s="2">
        <v>22.138368</v>
      </c>
      <c r="J29" s="2">
        <v>55.846286999999997</v>
      </c>
      <c r="K29" s="2">
        <v>46.978577999999999</v>
      </c>
      <c r="L29" s="2">
        <v>139.447563</v>
      </c>
      <c r="M29" s="2">
        <v>-622.50693799999999</v>
      </c>
      <c r="N29" s="2">
        <v>0.93165399999999998</v>
      </c>
      <c r="O29" s="2">
        <v>1.609121</v>
      </c>
      <c r="P29" s="2"/>
      <c r="Q29" s="5">
        <f>N29*0.001/60</f>
        <v>1.5527566666666667E-5</v>
      </c>
      <c r="R29" cm="1">
        <f t="array" ref="R29">[1]!PropsSI("D","T",J29+273.15,"P",101325,"Water")</f>
        <v>985.28110342120897</v>
      </c>
      <c r="S29" cm="1">
        <f t="array" ref="S29">[1]!PropsSI("D","T",J29+273.15,"P",101325,"Water")</f>
        <v>985.28110342120897</v>
      </c>
      <c r="T29">
        <f t="shared" si="1"/>
        <v>985.28110342120897</v>
      </c>
      <c r="U29" cm="1">
        <f t="array" ref="U29">[1]!PropsSI("H","T",J29+273.15,"P",101325,"Water")</f>
        <v>233869.18771739927</v>
      </c>
      <c r="V29" cm="1">
        <f t="array" ref="V29">[1]!PropsSI("H","T",K29+273.15,"P",101325,"Water")</f>
        <v>196786.10674696288</v>
      </c>
      <c r="W29">
        <f t="shared" si="0"/>
        <v>567.33472395857359</v>
      </c>
      <c r="Y29">
        <f t="shared" si="2"/>
        <v>1</v>
      </c>
    </row>
    <row r="30" spans="1:25" x14ac:dyDescent="0.2">
      <c r="A30" s="1">
        <v>46066.693842592591</v>
      </c>
      <c r="B30" s="2">
        <v>17.744892</v>
      </c>
      <c r="C30" s="2">
        <v>18.342586000000001</v>
      </c>
      <c r="D30" s="2">
        <v>18.974686999999999</v>
      </c>
      <c r="E30" s="2">
        <v>19.593021</v>
      </c>
      <c r="F30" s="2">
        <v>34.271191000000002</v>
      </c>
      <c r="G30" s="2">
        <v>32.640751999999999</v>
      </c>
      <c r="H30" s="2">
        <v>24.193812999999999</v>
      </c>
      <c r="I30" s="2">
        <v>21.780393</v>
      </c>
      <c r="J30" s="2">
        <v>55.848038000000003</v>
      </c>
      <c r="K30" s="2">
        <v>46.956040000000002</v>
      </c>
      <c r="L30" s="2">
        <v>140.938917</v>
      </c>
      <c r="M30" s="2">
        <v>-622.480817</v>
      </c>
      <c r="N30" s="2">
        <v>0.93296100000000004</v>
      </c>
      <c r="O30" s="2">
        <v>0.88534599999999997</v>
      </c>
      <c r="P30" s="2"/>
      <c r="Q30" s="5">
        <f>N30*0.001/60</f>
        <v>1.554935E-5</v>
      </c>
      <c r="R30" cm="1">
        <f t="array" ref="R30">[1]!PropsSI("D","T",J30+273.15,"P",101325,"Water")</f>
        <v>985.28024642978244</v>
      </c>
      <c r="S30" cm="1">
        <f t="array" ref="S30">[1]!PropsSI("D","T",J30+273.15,"P",101325,"Water")</f>
        <v>985.28024642978244</v>
      </c>
      <c r="T30">
        <f t="shared" si="1"/>
        <v>985.28024642978244</v>
      </c>
      <c r="U30" cm="1">
        <f t="array" ref="U30">[1]!PropsSI("H","T",J30+273.15,"P",101325,"Water")</f>
        <v>233876.51262038978</v>
      </c>
      <c r="V30" cm="1">
        <f t="array" ref="V30">[1]!PropsSI("H","T",K30+273.15,"P",101325,"Water")</f>
        <v>196691.88524531136</v>
      </c>
      <c r="W30">
        <f t="shared" si="0"/>
        <v>569.68587147445248</v>
      </c>
      <c r="Y30">
        <f t="shared" si="2"/>
        <v>1</v>
      </c>
    </row>
    <row r="31" spans="1:25" x14ac:dyDescent="0.2">
      <c r="A31" s="1">
        <v>46066.693958333337</v>
      </c>
      <c r="B31" s="2">
        <v>17.771115000000002</v>
      </c>
      <c r="C31" s="2">
        <v>18.334388000000001</v>
      </c>
      <c r="D31" s="2">
        <v>19.024808</v>
      </c>
      <c r="E31" s="2">
        <v>19.564838999999999</v>
      </c>
      <c r="F31" s="2">
        <v>34.049404000000003</v>
      </c>
      <c r="G31" s="2">
        <v>33.159500999999999</v>
      </c>
      <c r="H31" s="2">
        <v>24.132587000000001</v>
      </c>
      <c r="I31" s="2">
        <v>21.732189999999999</v>
      </c>
      <c r="J31" s="2">
        <v>55.848675</v>
      </c>
      <c r="K31" s="2">
        <v>46.911124000000001</v>
      </c>
      <c r="L31" s="2">
        <v>132.495666</v>
      </c>
      <c r="M31" s="2">
        <v>-622.51306099999999</v>
      </c>
      <c r="N31" s="2">
        <v>0.93162999999999996</v>
      </c>
      <c r="O31" s="2">
        <v>0.91217300000000001</v>
      </c>
      <c r="P31" s="2"/>
      <c r="Q31" s="5">
        <f>N31*0.001/60</f>
        <v>1.5527166666666666E-5</v>
      </c>
      <c r="R31" cm="1">
        <f t="array" ref="R31">[1]!PropsSI("D","T",J31+273.15,"P",101325,"Water")</f>
        <v>985.27993465837574</v>
      </c>
      <c r="S31" cm="1">
        <f t="array" ref="S31">[1]!PropsSI("D","T",J31+273.15,"P",101325,"Water")</f>
        <v>985.27993465837574</v>
      </c>
      <c r="T31">
        <f t="shared" si="1"/>
        <v>985.27993465837574</v>
      </c>
      <c r="U31" cm="1">
        <f t="array" ref="U31">[1]!PropsSI("H","T",J31+273.15,"P",101325,"Water")</f>
        <v>233879.17736264068</v>
      </c>
      <c r="V31" cm="1">
        <f t="array" ref="V31">[1]!PropsSI("H","T",K31+273.15,"P",101325,"Water")</f>
        <v>196504.11148170457</v>
      </c>
      <c r="W31">
        <f t="shared" si="0"/>
        <v>571.78639812023721</v>
      </c>
      <c r="Y31">
        <f t="shared" si="2"/>
        <v>1</v>
      </c>
    </row>
    <row r="32" spans="1:25" x14ac:dyDescent="0.2">
      <c r="A32" s="1">
        <v>46066.694074074076</v>
      </c>
      <c r="B32" s="2">
        <v>18.347144</v>
      </c>
      <c r="C32" s="2">
        <v>19.063704999999999</v>
      </c>
      <c r="D32" s="2">
        <v>19.192511</v>
      </c>
      <c r="E32" s="2">
        <v>19.613348999999999</v>
      </c>
      <c r="F32" s="2">
        <v>34.530842999999997</v>
      </c>
      <c r="G32" s="2">
        <v>33.771445</v>
      </c>
      <c r="H32" s="2">
        <v>24.395977999999999</v>
      </c>
      <c r="I32" s="2">
        <v>22.050663</v>
      </c>
      <c r="J32" s="2">
        <v>55.844217999999998</v>
      </c>
      <c r="K32" s="2">
        <v>46.899695999999999</v>
      </c>
      <c r="L32" s="2">
        <v>140.654033</v>
      </c>
      <c r="M32" s="2">
        <v>-622.51102000000003</v>
      </c>
      <c r="N32" s="2">
        <v>0.92657699999999998</v>
      </c>
      <c r="O32" s="2">
        <v>1.2070959999999999</v>
      </c>
      <c r="P32" s="2"/>
      <c r="Q32" s="5">
        <f>N32*0.001/60</f>
        <v>1.5442950000000001E-5</v>
      </c>
      <c r="R32" cm="1">
        <f t="array" ref="R32">[1]!PropsSI("D","T",J32+273.15,"P",101325,"Water")</f>
        <v>985.28211602697525</v>
      </c>
      <c r="S32" cm="1">
        <f t="array" ref="S32">[1]!PropsSI("D","T",J32+273.15,"P",101325,"Water")</f>
        <v>985.28211602697525</v>
      </c>
      <c r="T32">
        <f t="shared" si="1"/>
        <v>985.28211602697525</v>
      </c>
      <c r="U32" cm="1">
        <f t="array" ref="U32">[1]!PropsSI("H","T",J32+273.15,"P",101325,"Water")</f>
        <v>233860.53253650886</v>
      </c>
      <c r="V32" cm="1">
        <f t="array" ref="V32">[1]!PropsSI("H","T",K32+273.15,"P",101325,"Water")</f>
        <v>196456.33618474065</v>
      </c>
      <c r="W32">
        <f t="shared" si="0"/>
        <v>569.12962604037648</v>
      </c>
      <c r="Y32">
        <f t="shared" si="2"/>
        <v>1</v>
      </c>
    </row>
    <row r="33" spans="1:25" x14ac:dyDescent="0.2">
      <c r="A33" s="1">
        <v>46066.694201388891</v>
      </c>
      <c r="B33" s="2">
        <v>18.366187</v>
      </c>
      <c r="C33" s="2">
        <v>19.073336000000001</v>
      </c>
      <c r="D33" s="2">
        <v>19.18262</v>
      </c>
      <c r="E33" s="2">
        <v>19.623902000000001</v>
      </c>
      <c r="F33" s="2">
        <v>34.710017999999998</v>
      </c>
      <c r="G33" s="2">
        <v>32.549039</v>
      </c>
      <c r="H33" s="2">
        <v>24.521498999999999</v>
      </c>
      <c r="I33" s="2">
        <v>21.818881999999999</v>
      </c>
      <c r="J33" s="2">
        <v>55.844377999999999</v>
      </c>
      <c r="K33" s="2">
        <v>46.929851999999997</v>
      </c>
      <c r="L33" s="2">
        <v>140.31894800000001</v>
      </c>
      <c r="M33" s="2">
        <v>-622.50489800000003</v>
      </c>
      <c r="N33" s="2">
        <v>0.92897799999999997</v>
      </c>
      <c r="O33" s="2">
        <v>1.5826119999999999</v>
      </c>
      <c r="P33" s="2"/>
      <c r="Q33" s="5">
        <f>N33*0.001/60</f>
        <v>1.5482966666666667E-5</v>
      </c>
      <c r="R33" cm="1">
        <f t="array" ref="R33">[1]!PropsSI("D","T",J33+273.15,"P",101325,"Water")</f>
        <v>985.28203772104132</v>
      </c>
      <c r="S33" cm="1">
        <f t="array" ref="S33">[1]!PropsSI("D","T",J33+273.15,"P",101325,"Water")</f>
        <v>985.28203772104132</v>
      </c>
      <c r="T33">
        <f t="shared" si="1"/>
        <v>985.28203772104132</v>
      </c>
      <c r="U33" cm="1">
        <f t="array" ref="U33">[1]!PropsSI("H","T",J33+273.15,"P",101325,"Water")</f>
        <v>233861.20185927968</v>
      </c>
      <c r="V33" cm="1">
        <f t="array" ref="V33">[1]!PropsSI("H","T",K33+273.15,"P",101325,"Water")</f>
        <v>196582.40484053749</v>
      </c>
      <c r="W33">
        <f t="shared" si="0"/>
        <v>568.69136436926499</v>
      </c>
      <c r="Y33">
        <f t="shared" si="2"/>
        <v>1</v>
      </c>
    </row>
    <row r="34" spans="1:25" x14ac:dyDescent="0.2">
      <c r="A34" s="1">
        <v>46066.69431712963</v>
      </c>
      <c r="B34" s="2">
        <v>18.426188</v>
      </c>
      <c r="C34" s="2">
        <v>19.338384999999999</v>
      </c>
      <c r="D34" s="2">
        <v>19.050345</v>
      </c>
      <c r="E34" s="2">
        <v>19.509898</v>
      </c>
      <c r="F34" s="2">
        <v>34.821472999999997</v>
      </c>
      <c r="G34" s="2">
        <v>32.522044000000001</v>
      </c>
      <c r="H34" s="2">
        <v>24.088716000000002</v>
      </c>
      <c r="I34" s="2">
        <v>21.957176</v>
      </c>
      <c r="J34" s="2">
        <v>55.847878999999999</v>
      </c>
      <c r="K34" s="2">
        <v>46.955564000000003</v>
      </c>
      <c r="L34" s="2">
        <v>140.70382699999999</v>
      </c>
      <c r="M34" s="2">
        <v>-622.51306099999999</v>
      </c>
      <c r="N34" s="2">
        <v>0.92748699999999995</v>
      </c>
      <c r="O34" s="2">
        <v>1.578368</v>
      </c>
      <c r="P34" s="2"/>
      <c r="Q34" s="5">
        <f>N34*0.001/60</f>
        <v>1.5458116666666667E-5</v>
      </c>
      <c r="R34" cm="1">
        <f t="array" ref="R34">[1]!PropsSI("D","T",J34+273.15,"P",101325,"Water")</f>
        <v>985.28032424988578</v>
      </c>
      <c r="S34" cm="1">
        <f t="array" ref="S34">[1]!PropsSI("D","T",J34+273.15,"P",101325,"Water")</f>
        <v>985.28032424988578</v>
      </c>
      <c r="T34">
        <f t="shared" si="1"/>
        <v>985.28032424988578</v>
      </c>
      <c r="U34" cm="1">
        <f t="array" ref="U34">[1]!PropsSI("H","T",J34+273.15,"P",101325,"Water")</f>
        <v>233875.84748069703</v>
      </c>
      <c r="V34" cm="1">
        <f t="array" ref="V34">[1]!PropsSI("H","T",K34+273.15,"P",101325,"Water")</f>
        <v>196689.89529914755</v>
      </c>
      <c r="W34">
        <f t="shared" si="0"/>
        <v>566.36355270301044</v>
      </c>
      <c r="Y34">
        <f t="shared" si="2"/>
        <v>1</v>
      </c>
    </row>
    <row r="35" spans="1:25" x14ac:dyDescent="0.2">
      <c r="A35" s="1">
        <v>46066.694432870368</v>
      </c>
      <c r="B35" s="2">
        <v>18.629124999999998</v>
      </c>
      <c r="C35" s="2">
        <v>19.461834</v>
      </c>
      <c r="D35" s="2">
        <v>19.108364000000002</v>
      </c>
      <c r="E35" s="2">
        <v>19.574774000000001</v>
      </c>
      <c r="F35" s="2">
        <v>34.930866999999999</v>
      </c>
      <c r="G35" s="2">
        <v>33.200443</v>
      </c>
      <c r="H35" s="2">
        <v>24.178024000000001</v>
      </c>
      <c r="I35" s="2">
        <v>22.292641</v>
      </c>
      <c r="J35" s="2">
        <v>55.851379999999999</v>
      </c>
      <c r="K35" s="2">
        <v>46.974769000000002</v>
      </c>
      <c r="L35" s="2">
        <v>131.37980400000001</v>
      </c>
      <c r="M35" s="2">
        <v>-622.49142900000004</v>
      </c>
      <c r="N35" s="2">
        <v>0.92822400000000005</v>
      </c>
      <c r="O35" s="2">
        <v>1.373874</v>
      </c>
      <c r="P35" s="2"/>
      <c r="Q35" s="5">
        <f>N35*0.001/60</f>
        <v>1.54704E-5</v>
      </c>
      <c r="R35" cm="1">
        <f t="array" ref="R35">[1]!PropsSI("D","T",J35+273.15,"P",101325,"Water")</f>
        <v>985.27861070331107</v>
      </c>
      <c r="S35" cm="1">
        <f t="array" ref="S35">[1]!PropsSI("D","T",J35+273.15,"P",101325,"Water")</f>
        <v>985.27861070331107</v>
      </c>
      <c r="T35">
        <f t="shared" si="1"/>
        <v>985.27861070331107</v>
      </c>
      <c r="U35" cm="1">
        <f t="array" ref="U35">[1]!PropsSI("H","T",J35+273.15,"P",101325,"Water")</f>
        <v>233890.49310664515</v>
      </c>
      <c r="V35" cm="1">
        <f t="array" ref="V35">[1]!PropsSI("H","T",K35+273.15,"P",101325,"Water")</f>
        <v>196770.18297881432</v>
      </c>
      <c r="W35">
        <f t="shared" si="0"/>
        <v>565.81205178147866</v>
      </c>
      <c r="Y35">
        <f t="shared" si="2"/>
        <v>1</v>
      </c>
    </row>
    <row r="36" spans="1:25" x14ac:dyDescent="0.2">
      <c r="A36" s="1">
        <v>46066.694548611114</v>
      </c>
      <c r="B36" s="2">
        <v>18.450997000000001</v>
      </c>
      <c r="C36" s="2">
        <v>19.338954000000001</v>
      </c>
      <c r="D36" s="2">
        <v>19.138995000000001</v>
      </c>
      <c r="E36" s="2">
        <v>19.581296999999999</v>
      </c>
      <c r="F36" s="2">
        <v>34.635488000000002</v>
      </c>
      <c r="G36" s="2">
        <v>32.48847</v>
      </c>
      <c r="H36" s="2">
        <v>24.053766</v>
      </c>
      <c r="I36" s="2">
        <v>21.373362</v>
      </c>
      <c r="J36" s="2">
        <v>55.857427999999999</v>
      </c>
      <c r="K36" s="2">
        <v>46.981434999999998</v>
      </c>
      <c r="L36" s="2">
        <v>145.45909900000001</v>
      </c>
      <c r="M36" s="2">
        <v>-622.512652</v>
      </c>
      <c r="N36" s="2">
        <v>0.92695399999999994</v>
      </c>
      <c r="O36" s="2">
        <v>0.73732600000000004</v>
      </c>
      <c r="P36" s="2"/>
      <c r="Q36" s="5">
        <f>N36*0.001/60</f>
        <v>1.5449233333333335E-5</v>
      </c>
      <c r="R36" cm="1">
        <f t="array" ref="R36">[1]!PropsSI("D","T",J36+273.15,"P",101325,"Water")</f>
        <v>985.27565036289013</v>
      </c>
      <c r="S36" cm="1">
        <f t="array" ref="S36">[1]!PropsSI("D","T",J36+273.15,"P",101325,"Water")</f>
        <v>985.27565036289013</v>
      </c>
      <c r="T36">
        <f t="shared" si="1"/>
        <v>985.27565036289013</v>
      </c>
      <c r="U36" cm="1">
        <f t="array" ref="U36">[1]!PropsSI("H","T",J36+273.15,"P",101325,"Water")</f>
        <v>233915.79353044709</v>
      </c>
      <c r="V36" cm="1">
        <f t="array" ref="V36">[1]!PropsSI("H","T",K36+273.15,"P",101325,"Water")</f>
        <v>196798.05062034589</v>
      </c>
      <c r="W36">
        <f t="shared" si="0"/>
        <v>564.99713008852382</v>
      </c>
      <c r="Y36">
        <f t="shared" si="2"/>
        <v>1</v>
      </c>
    </row>
    <row r="37" spans="1:25" x14ac:dyDescent="0.2">
      <c r="A37" s="1">
        <v>46066.694664351853</v>
      </c>
      <c r="B37" s="2">
        <v>18.418309000000001</v>
      </c>
      <c r="C37" s="2">
        <v>19.268350000000002</v>
      </c>
      <c r="D37" s="2">
        <v>18.996542000000002</v>
      </c>
      <c r="E37" s="2">
        <v>19.441544</v>
      </c>
      <c r="F37" s="2">
        <v>34.507350000000002</v>
      </c>
      <c r="G37" s="2">
        <v>33.014662999999999</v>
      </c>
      <c r="H37" s="2">
        <v>24.267413999999999</v>
      </c>
      <c r="I37" s="2">
        <v>21.773804999999999</v>
      </c>
      <c r="J37" s="2">
        <v>55.851221000000002</v>
      </c>
      <c r="K37" s="2">
        <v>46.983657000000001</v>
      </c>
      <c r="L37" s="2">
        <v>129.23623799999999</v>
      </c>
      <c r="M37" s="2">
        <v>-622.46979699999997</v>
      </c>
      <c r="N37" s="2">
        <v>0.92637599999999998</v>
      </c>
      <c r="O37" s="2">
        <v>0.93565699999999996</v>
      </c>
      <c r="Q37" s="5">
        <f t="shared" ref="Q37:Q43" si="3">N37*0.001/60</f>
        <v>1.54396E-5</v>
      </c>
      <c r="R37" cm="1">
        <f t="array" ref="R37">[1]!PropsSI("D","T",J37+273.15,"P",101325,"Water")</f>
        <v>985.27868852667996</v>
      </c>
      <c r="S37" cm="1">
        <f t="array" ref="S37">[1]!PropsSI("D","T",J37+273.15,"P",101325,"Water")</f>
        <v>985.27868852667996</v>
      </c>
      <c r="T37">
        <f t="shared" si="1"/>
        <v>985.27868852667996</v>
      </c>
      <c r="U37" cm="1">
        <f t="array" ref="U37">[1]!PropsSI("H","T",J37+273.15,"P",101325,"Water")</f>
        <v>233889.82796671989</v>
      </c>
      <c r="V37" cm="1">
        <f t="array" ref="V37">[1]!PropsSI("H","T",K37+273.15,"P",101325,"Water")</f>
        <v>196807.33983642803</v>
      </c>
      <c r="W37">
        <f t="shared" si="0"/>
        <v>564.1102619705141</v>
      </c>
      <c r="Y37">
        <f t="shared" si="2"/>
        <v>1</v>
      </c>
    </row>
    <row r="38" spans="1:25" x14ac:dyDescent="0.2">
      <c r="A38" s="1">
        <v>46066.694780092592</v>
      </c>
      <c r="B38" s="2">
        <v>18.434725</v>
      </c>
      <c r="C38" s="2">
        <v>19.362207000000001</v>
      </c>
      <c r="D38" s="2">
        <v>19.091898</v>
      </c>
      <c r="E38" s="2">
        <v>19.576998</v>
      </c>
      <c r="F38" s="2">
        <v>34.636440999999998</v>
      </c>
      <c r="G38" s="2">
        <v>33.2164</v>
      </c>
      <c r="H38" s="2">
        <v>24.342414999999999</v>
      </c>
      <c r="I38" s="2">
        <v>21.582597</v>
      </c>
      <c r="J38" s="2">
        <v>55.850743999999999</v>
      </c>
      <c r="K38" s="2">
        <v>46.973498999999997</v>
      </c>
      <c r="L38" s="2">
        <v>144.76239899999999</v>
      </c>
      <c r="M38" s="2">
        <v>-622.48816399999998</v>
      </c>
      <c r="N38" s="2">
        <v>0.92720000000000002</v>
      </c>
      <c r="O38" s="2">
        <v>0.72109800000000002</v>
      </c>
      <c r="Q38" s="5">
        <f t="shared" si="3"/>
        <v>1.5453333333333333E-5</v>
      </c>
      <c r="R38" cm="1">
        <f t="array" ref="R38">[1]!PropsSI("D","T",J38+273.15,"P",101325,"Water")</f>
        <v>985.27892199586051</v>
      </c>
      <c r="S38" cm="1">
        <f t="array" ref="S38">[1]!PropsSI("D","T",J38+273.15,"P",101325,"Water")</f>
        <v>985.27892199586051</v>
      </c>
      <c r="T38">
        <f t="shared" si="1"/>
        <v>985.27892199586051</v>
      </c>
      <c r="U38" cm="1">
        <f t="array" ref="U38">[1]!PropsSI("H","T",J38+273.15,"P",101325,"Water")</f>
        <v>233887.83254693521</v>
      </c>
      <c r="V38" cm="1">
        <f t="array" ref="V38">[1]!PropsSI("H","T",K38+273.15,"P",101325,"Water")</f>
        <v>196764.87366334361</v>
      </c>
      <c r="W38">
        <f t="shared" si="0"/>
        <v>565.22836622441548</v>
      </c>
      <c r="Y38">
        <f t="shared" si="2"/>
        <v>1</v>
      </c>
    </row>
    <row r="39" spans="1:25" x14ac:dyDescent="0.2">
      <c r="A39" s="1">
        <v>46066.694895833331</v>
      </c>
      <c r="B39" s="2">
        <v>18.244700000000002</v>
      </c>
      <c r="C39" s="2">
        <v>19.200507999999999</v>
      </c>
      <c r="D39" s="2">
        <v>18.995463000000001</v>
      </c>
      <c r="E39" s="2">
        <v>19.554784000000001</v>
      </c>
      <c r="F39" s="2">
        <v>34.210926999999998</v>
      </c>
      <c r="G39" s="2">
        <v>33.784098</v>
      </c>
      <c r="H39" s="2">
        <v>24.197223999999999</v>
      </c>
      <c r="I39" s="2">
        <v>22.016575</v>
      </c>
      <c r="J39" s="2">
        <v>55.854404000000002</v>
      </c>
      <c r="K39" s="2">
        <v>46.972864000000001</v>
      </c>
      <c r="L39" s="2">
        <v>128.91543799999999</v>
      </c>
      <c r="M39" s="2">
        <v>-622.47387900000001</v>
      </c>
      <c r="N39" s="2">
        <v>0.93190799999999996</v>
      </c>
      <c r="O39" s="2">
        <v>1.3147949999999999</v>
      </c>
      <c r="Q39" s="5">
        <f t="shared" si="3"/>
        <v>1.5531799999999999E-5</v>
      </c>
      <c r="R39" cm="1">
        <f t="array" ref="R39">[1]!PropsSI("D","T",J39+273.15,"P",101325,"Water")</f>
        <v>985.2771305612257</v>
      </c>
      <c r="S39" cm="1">
        <f t="array" ref="S39">[1]!PropsSI("D","T",J39+273.15,"P",101325,"Water")</f>
        <v>985.2771305612257</v>
      </c>
      <c r="T39">
        <f t="shared" si="1"/>
        <v>985.2771305612257</v>
      </c>
      <c r="U39" cm="1">
        <f t="array" ref="U39">[1]!PropsSI("H","T",J39+273.15,"P",101325,"Water")</f>
        <v>233903.14331681526</v>
      </c>
      <c r="V39" cm="1">
        <f t="array" ref="V39">[1]!PropsSI("H","T",K39+273.15,"P",101325,"Water")</f>
        <v>196762.21900573774</v>
      </c>
      <c r="W39">
        <f t="shared" si="0"/>
        <v>568.37229412590204</v>
      </c>
      <c r="Y39">
        <f t="shared" si="2"/>
        <v>1</v>
      </c>
    </row>
    <row r="40" spans="1:25" x14ac:dyDescent="0.2">
      <c r="A40" s="1">
        <v>46066.695011574076</v>
      </c>
      <c r="B40" s="2">
        <v>17.842511999999999</v>
      </c>
      <c r="C40" s="2">
        <v>18.741194</v>
      </c>
      <c r="D40" s="2">
        <v>18.985088000000001</v>
      </c>
      <c r="E40" s="2">
        <v>19.562918</v>
      </c>
      <c r="F40" s="2">
        <v>34.077719999999999</v>
      </c>
      <c r="G40" s="2">
        <v>33.792425000000001</v>
      </c>
      <c r="H40" s="2">
        <v>24.24532</v>
      </c>
      <c r="I40" s="2">
        <v>21.209121</v>
      </c>
      <c r="J40" s="2">
        <v>55.855041</v>
      </c>
      <c r="K40" s="2">
        <v>46.962547999999998</v>
      </c>
      <c r="L40" s="2">
        <v>144.72403399999999</v>
      </c>
      <c r="M40" s="2">
        <v>-622.53387599999996</v>
      </c>
      <c r="N40" s="2">
        <v>0.92628600000000005</v>
      </c>
      <c r="O40" s="2">
        <v>1.244292</v>
      </c>
      <c r="Q40" s="5">
        <f t="shared" si="3"/>
        <v>1.54381E-5</v>
      </c>
      <c r="R40" cm="1">
        <f t="array" ref="R40">[1]!PropsSI("D","T",J40+273.15,"P",101325,"Water")</f>
        <v>985.27681876487907</v>
      </c>
      <c r="S40" cm="1">
        <f t="array" ref="S40">[1]!PropsSI("D","T",J40+273.15,"P",101325,"Water")</f>
        <v>985.27681876487907</v>
      </c>
      <c r="T40">
        <f t="shared" si="1"/>
        <v>985.27681876487907</v>
      </c>
      <c r="U40" cm="1">
        <f t="array" ref="U40">[1]!PropsSI("H","T",J40+273.15,"P",101325,"Water")</f>
        <v>233905.80806058989</v>
      </c>
      <c r="V40" cm="1">
        <f t="array" ref="V40">[1]!PropsSI("H","T",K40+273.15,"P",101325,"Water")</f>
        <v>196719.09232935376</v>
      </c>
      <c r="W40">
        <f t="shared" si="0"/>
        <v>565.63977209217273</v>
      </c>
      <c r="Y40">
        <f t="shared" si="2"/>
        <v>1</v>
      </c>
    </row>
    <row r="41" spans="1:25" x14ac:dyDescent="0.2">
      <c r="A41" s="1">
        <v>46066.695127314815</v>
      </c>
      <c r="B41" s="2">
        <v>18.159528000000002</v>
      </c>
      <c r="C41" s="2">
        <v>19.009347999999999</v>
      </c>
      <c r="D41" s="2">
        <v>19.007618999999998</v>
      </c>
      <c r="E41" s="2">
        <v>19.422999000000001</v>
      </c>
      <c r="F41" s="2">
        <v>34.516919000000001</v>
      </c>
      <c r="G41" s="2">
        <v>33.092252999999999</v>
      </c>
      <c r="H41" s="2">
        <v>24.346305999999998</v>
      </c>
      <c r="I41" s="2">
        <v>21.902578999999999</v>
      </c>
      <c r="J41" s="2">
        <v>55.854882000000003</v>
      </c>
      <c r="K41" s="2">
        <v>46.938740000000003</v>
      </c>
      <c r="L41" s="2">
        <v>144.68281099999999</v>
      </c>
      <c r="M41" s="2">
        <v>-622.48530700000003</v>
      </c>
      <c r="N41" s="2">
        <v>0.92818699999999998</v>
      </c>
      <c r="O41" s="2">
        <v>1.0053080000000001</v>
      </c>
      <c r="Q41" s="5">
        <f t="shared" si="3"/>
        <v>1.5469783333333332E-5</v>
      </c>
      <c r="R41" cm="1">
        <f t="array" ref="R41">[1]!PropsSI("D","T",J41+273.15,"P",101325,"Water")</f>
        <v>985.2768965918176</v>
      </c>
      <c r="S41" cm="1">
        <f t="array" ref="S41">[1]!PropsSI("D","T",J41+273.15,"P",101325,"Water")</f>
        <v>985.2768965918176</v>
      </c>
      <c r="T41">
        <f t="shared" si="1"/>
        <v>985.2768965918176</v>
      </c>
      <c r="U41" cm="1">
        <f t="array" ref="U41">[1]!PropsSI("H","T",J41+273.15,"P",101325,"Water")</f>
        <v>233905.14292047522</v>
      </c>
      <c r="V41" cm="1">
        <f t="array" ref="V41">[1]!PropsSI("H","T",K41+273.15,"P",101325,"Water")</f>
        <v>196619.56160596621</v>
      </c>
      <c r="W41">
        <f t="shared" si="0"/>
        <v>568.30758034355483</v>
      </c>
      <c r="Y41">
        <f t="shared" si="2"/>
        <v>1</v>
      </c>
    </row>
    <row r="42" spans="1:25" x14ac:dyDescent="0.2">
      <c r="A42" s="1">
        <v>46066.695243055554</v>
      </c>
      <c r="B42" s="2">
        <v>18.310424000000001</v>
      </c>
      <c r="C42" s="2">
        <v>19.137954000000001</v>
      </c>
      <c r="D42" s="2">
        <v>18.988482999999999</v>
      </c>
      <c r="E42" s="2">
        <v>19.563929999999999</v>
      </c>
      <c r="F42" s="2">
        <v>34.690195000000003</v>
      </c>
      <c r="G42" s="2">
        <v>32.456657</v>
      </c>
      <c r="H42" s="2">
        <v>24.139327999999999</v>
      </c>
      <c r="I42" s="2">
        <v>21.798152000000002</v>
      </c>
      <c r="J42" s="2">
        <v>55.856631999999998</v>
      </c>
      <c r="K42" s="2">
        <v>46.943978000000001</v>
      </c>
      <c r="L42" s="2">
        <v>131.28225800000001</v>
      </c>
      <c r="M42" s="2">
        <v>-622.51306099999999</v>
      </c>
      <c r="N42" s="2">
        <v>0.925589</v>
      </c>
      <c r="O42" s="2">
        <v>1.4876849999999999</v>
      </c>
      <c r="Q42" s="5">
        <f t="shared" si="3"/>
        <v>1.5426483333333332E-5</v>
      </c>
      <c r="R42" cm="1">
        <f t="array" ref="R42">[1]!PropsSI("D","T",J42+273.15,"P",101325,"Water")</f>
        <v>985.27603999728046</v>
      </c>
      <c r="S42" cm="1">
        <f t="array" ref="S42">[1]!PropsSI("D","T",J42+273.15,"P",101325,"Water")</f>
        <v>985.27603999728046</v>
      </c>
      <c r="T42">
        <f t="shared" si="1"/>
        <v>985.27603999728046</v>
      </c>
      <c r="U42" cm="1">
        <f t="array" ref="U42">[1]!PropsSI("H","T",J42+273.15,"P",101325,"Water")</f>
        <v>233912.46364584233</v>
      </c>
      <c r="V42" cm="1">
        <f t="array" ref="V42">[1]!PropsSI("H","T",K42+273.15,"P",101325,"Water")</f>
        <v>196641.45935719379</v>
      </c>
      <c r="W42">
        <f t="shared" si="0"/>
        <v>566.49483068046516</v>
      </c>
      <c r="Y42">
        <f>IF(A41&gt;=$Z$1,1,0)</f>
        <v>1</v>
      </c>
    </row>
    <row r="43" spans="1:25" x14ac:dyDescent="0.2">
      <c r="A43" s="1">
        <v>46066.6953587963</v>
      </c>
      <c r="B43" s="2">
        <v>18.348592</v>
      </c>
      <c r="C43" s="2">
        <v>19.14593</v>
      </c>
      <c r="D43" s="2">
        <v>18.986013</v>
      </c>
      <c r="E43" s="2">
        <v>19.558052</v>
      </c>
      <c r="F43" s="2">
        <v>34.382863999999998</v>
      </c>
      <c r="G43" s="2">
        <v>33.939149</v>
      </c>
      <c r="H43" s="2">
        <v>24.636379999999999</v>
      </c>
      <c r="I43" s="2">
        <v>21.801644</v>
      </c>
      <c r="J43" s="2">
        <v>55.855200000000004</v>
      </c>
      <c r="K43" s="2">
        <v>46.955564000000003</v>
      </c>
      <c r="L43" s="2">
        <v>140.962998</v>
      </c>
      <c r="M43" s="2">
        <v>-622.49224500000003</v>
      </c>
      <c r="N43" s="2">
        <v>0.92583499999999996</v>
      </c>
      <c r="O43" s="2">
        <v>0.96118700000000001</v>
      </c>
      <c r="Q43" s="5">
        <f t="shared" si="3"/>
        <v>1.5430583333333334E-5</v>
      </c>
      <c r="R43" cm="1">
        <f t="array" ref="R43">[1]!PropsSI("D","T",J43+273.15,"P",101325,"Water")</f>
        <v>985.27674093776375</v>
      </c>
      <c r="S43" cm="1">
        <f t="array" ref="S43">[1]!PropsSI("D","T",J43+273.15,"P",101325,"Water")</f>
        <v>985.27674093776375</v>
      </c>
      <c r="T43">
        <f t="shared" ref="T43" si="4">(R43+S43)/2</f>
        <v>985.27674093776375</v>
      </c>
      <c r="U43" cm="1">
        <f t="array" ref="U43">[1]!PropsSI("H","T",J43+273.15,"P",101325,"Water")</f>
        <v>233906.47320073532</v>
      </c>
      <c r="V43" cm="1">
        <f t="array" ref="V43">[1]!PropsSI("H","T",K43+273.15,"P",101325,"Water")</f>
        <v>196689.89529914755</v>
      </c>
      <c r="W43">
        <f t="shared" ref="W43" si="5">T43*Q43*(U43-V43)</f>
        <v>565.81832908033755</v>
      </c>
      <c r="Y43">
        <f>IF(A42&gt;=$Z$1,1,0)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EF7E5-7CE6-DB42-AA95-EE61F3C2BFB9}">
  <dimension ref="A1:Y44"/>
  <sheetViews>
    <sheetView topLeftCell="J1" workbookViewId="0">
      <selection activeCell="Y10" sqref="Y10"/>
    </sheetView>
  </sheetViews>
  <sheetFormatPr baseColWidth="10" defaultRowHeight="16" x14ac:dyDescent="0.2"/>
  <cols>
    <col min="1" max="1" width="21.1640625" customWidth="1"/>
    <col min="16" max="16" width="7.1640625" customWidth="1"/>
    <col min="17" max="17" width="12.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Y1" s="7">
        <v>0.68680555555555556</v>
      </c>
    </row>
    <row r="2" spans="1:25" x14ac:dyDescent="0.2">
      <c r="A2" s="1">
        <v>46066.683807870373</v>
      </c>
      <c r="B2" s="2">
        <v>18.203973000000001</v>
      </c>
      <c r="C2" s="2">
        <v>18.762917000000002</v>
      </c>
      <c r="D2" s="2">
        <v>19.12312</v>
      </c>
      <c r="E2" s="2">
        <v>19.794754000000001</v>
      </c>
      <c r="F2" s="2">
        <v>32.092092999999998</v>
      </c>
      <c r="G2" s="2">
        <v>28.659358999999998</v>
      </c>
      <c r="H2" s="2">
        <v>23.640021000000001</v>
      </c>
      <c r="I2" s="2">
        <v>21.565809999999999</v>
      </c>
      <c r="J2" s="2">
        <v>55.297907000000002</v>
      </c>
      <c r="K2" s="2">
        <v>45.696558000000003</v>
      </c>
      <c r="L2" s="2">
        <v>200.483283</v>
      </c>
      <c r="M2" s="2">
        <v>-622.519183</v>
      </c>
      <c r="N2" s="2">
        <v>0.95038900000000004</v>
      </c>
      <c r="O2" s="2">
        <v>1.1412059999999999</v>
      </c>
      <c r="P2" s="2"/>
      <c r="Q2">
        <f xml:space="preserve"> N2*0.001/60</f>
        <v>1.5839816666666667E-5</v>
      </c>
      <c r="R2" cm="1">
        <f t="array" ref="R2">[1]!PropsSI("D","T",J2+273.15,"P",101325,"Water")</f>
        <v>985.54856691653185</v>
      </c>
      <c r="S2" cm="1">
        <f t="array" ref="S2">[1]!PropsSI("D","T",J2+273.15,"P",101325,"Water")</f>
        <v>985.54856691653185</v>
      </c>
      <c r="T2">
        <f>(R2+S2)/2</f>
        <v>985.54856691653185</v>
      </c>
      <c r="U2" cm="1">
        <f t="array" ref="U2">[1]!PropsSI("H","T",J2+273.15,"P",101325,"Water")</f>
        <v>231575.2230696503</v>
      </c>
      <c r="V2" cm="1">
        <f t="array" ref="V2">[1]!PropsSI("H","T",K2+273.15,"P",101325,"Water")</f>
        <v>191426.72345005735</v>
      </c>
      <c r="W2">
        <f>T2*Q2*(U2-V2)</f>
        <v>626.75455863314141</v>
      </c>
    </row>
    <row r="3" spans="1:25" x14ac:dyDescent="0.2">
      <c r="A3" s="1">
        <v>46066.683923611112</v>
      </c>
      <c r="B3" s="2">
        <v>18.281934</v>
      </c>
      <c r="C3" s="2">
        <v>18.895634999999999</v>
      </c>
      <c r="D3" s="2">
        <v>19.175844999999999</v>
      </c>
      <c r="E3" s="2">
        <v>19.869744000000001</v>
      </c>
      <c r="F3" s="2">
        <v>31.964438000000001</v>
      </c>
      <c r="G3" s="2">
        <v>28.486843</v>
      </c>
      <c r="H3" s="2">
        <v>23.400444</v>
      </c>
      <c r="I3" s="2">
        <v>21.114383</v>
      </c>
      <c r="J3" s="2">
        <v>55.310158999999999</v>
      </c>
      <c r="K3" s="2">
        <v>45.682437999999998</v>
      </c>
      <c r="L3" s="2">
        <v>200.97836000000001</v>
      </c>
      <c r="M3" s="2">
        <v>-622.49714300000005</v>
      </c>
      <c r="N3" s="2">
        <v>0.95093899999999998</v>
      </c>
      <c r="O3" s="2">
        <v>1.310792</v>
      </c>
      <c r="P3" s="2"/>
      <c r="Q3">
        <f xml:space="preserve"> N3*0.001/60</f>
        <v>1.5848983333333334E-5</v>
      </c>
      <c r="R3" cm="1">
        <f t="array" ref="R3">[1]!PropsSI("D","T",J3+273.15,"P",101325,"Water")</f>
        <v>985.54261148762362</v>
      </c>
      <c r="S3" cm="1">
        <f t="array" ref="S3">[1]!PropsSI("D","T",J3+273.15,"P",101325,"Water")</f>
        <v>985.54261148762362</v>
      </c>
      <c r="T3">
        <f>(R3+S3)/2</f>
        <v>985.54261148762362</v>
      </c>
      <c r="U3" cm="1">
        <f t="array" ref="U3">[1]!PropsSI("H","T",J3+273.15,"P",101325,"Water")</f>
        <v>231626.47400889141</v>
      </c>
      <c r="V3" cm="1">
        <f t="array" ref="V3">[1]!PropsSI("H","T",K3+273.15,"P",101325,"Water")</f>
        <v>191367.69788191104</v>
      </c>
      <c r="W3">
        <f t="shared" ref="W3:W43" si="0">T3*Q3*(U3-V3)</f>
        <v>628.83598082940659</v>
      </c>
    </row>
    <row r="4" spans="1:25" x14ac:dyDescent="0.2">
      <c r="A4" s="1">
        <v>46066.684050925927</v>
      </c>
      <c r="B4" s="2">
        <v>18.347982999999999</v>
      </c>
      <c r="C4" s="2">
        <v>19.069768</v>
      </c>
      <c r="D4" s="2">
        <v>19.190501999999999</v>
      </c>
      <c r="E4" s="2">
        <v>19.861985000000001</v>
      </c>
      <c r="F4" s="2">
        <v>31.916166</v>
      </c>
      <c r="G4" s="2">
        <v>29.380752000000001</v>
      </c>
      <c r="H4" s="2">
        <v>23.364281999999999</v>
      </c>
      <c r="I4" s="2">
        <v>21.420774000000002</v>
      </c>
      <c r="J4" s="2">
        <v>55.320343000000001</v>
      </c>
      <c r="K4" s="2">
        <v>45.685929000000002</v>
      </c>
      <c r="L4" s="2">
        <v>202.87418299999999</v>
      </c>
      <c r="M4" s="2">
        <v>-622.50326500000006</v>
      </c>
      <c r="N4" s="2">
        <v>0.94396400000000003</v>
      </c>
      <c r="O4" s="2">
        <v>1.4932639999999999</v>
      </c>
      <c r="P4" s="2"/>
      <c r="Q4" s="5">
        <f xml:space="preserve"> N4*0.001/60</f>
        <v>1.5732733333333333E-5</v>
      </c>
      <c r="R4" cm="1">
        <f t="array" ref="R4">[1]!PropsSI("D","T",J4+273.15,"P",101325,"Water")</f>
        <v>985.53766056129427</v>
      </c>
      <c r="S4" cm="1">
        <f t="array" ref="S4">[1]!PropsSI("D","T",J4+273.15,"P",101325,"Water")</f>
        <v>985.53766056129427</v>
      </c>
      <c r="T4">
        <f t="shared" ref="T4:T43" si="1">(R4+S4)/2</f>
        <v>985.53766056129427</v>
      </c>
      <c r="U4" cm="1">
        <f t="array" ref="U4">[1]!PropsSI("H","T",J4+273.15,"P",101325,"Water")</f>
        <v>231669.07440704404</v>
      </c>
      <c r="V4" cm="1">
        <f t="array" ref="V4">[1]!PropsSI("H","T",K4+273.15,"P",101325,"Water")</f>
        <v>191382.29123911232</v>
      </c>
      <c r="W4">
        <f t="shared" si="0"/>
        <v>624.65467886329895</v>
      </c>
    </row>
    <row r="5" spans="1:25" x14ac:dyDescent="0.2">
      <c r="A5" s="1">
        <v>46066.684166666666</v>
      </c>
      <c r="B5" s="2">
        <v>18.567111000000001</v>
      </c>
      <c r="C5" s="2">
        <v>19.394359999999999</v>
      </c>
      <c r="D5" s="2">
        <v>19.202179999999998</v>
      </c>
      <c r="E5" s="2">
        <v>19.966498000000001</v>
      </c>
      <c r="F5" s="2">
        <v>32.229633999999997</v>
      </c>
      <c r="G5" s="2">
        <v>29.072662000000001</v>
      </c>
      <c r="H5" s="2">
        <v>23.439205999999999</v>
      </c>
      <c r="I5" s="2">
        <v>21.103204000000002</v>
      </c>
      <c r="J5" s="2">
        <v>55.331162999999997</v>
      </c>
      <c r="K5" s="2">
        <v>45.710044000000003</v>
      </c>
      <c r="L5" s="2">
        <v>192.819177</v>
      </c>
      <c r="M5" s="2">
        <v>-622.49550999999997</v>
      </c>
      <c r="N5" s="2">
        <v>0.94366499999999998</v>
      </c>
      <c r="O5" s="2">
        <v>1.3792740000000001</v>
      </c>
      <c r="P5" s="2"/>
      <c r="Q5" s="5">
        <f xml:space="preserve"> N5*0.001/60</f>
        <v>1.5727749999999999E-5</v>
      </c>
      <c r="R5" cm="1">
        <f t="array" ref="R5">[1]!PropsSI("D","T",J5+273.15,"P",101325,"Water")</f>
        <v>985.5323997420719</v>
      </c>
      <c r="S5" cm="1">
        <f t="array" ref="S5">[1]!PropsSI("D","T",J5+273.15,"P",101325,"Water")</f>
        <v>985.5323997420719</v>
      </c>
      <c r="T5">
        <f t="shared" si="1"/>
        <v>985.5323997420719</v>
      </c>
      <c r="U5" cm="1">
        <f t="array" ref="U5">[1]!PropsSI("H","T",J5+273.15,"P",101325,"Water")</f>
        <v>231714.33528022285</v>
      </c>
      <c r="V5" cm="1">
        <f t="array" ref="V5">[1]!PropsSI("H","T",K5+273.15,"P",101325,"Water")</f>
        <v>191483.09875874702</v>
      </c>
      <c r="W5">
        <f t="shared" si="0"/>
        <v>623.59250199682742</v>
      </c>
    </row>
    <row r="6" spans="1:25" x14ac:dyDescent="0.2">
      <c r="A6" s="1">
        <v>46066.684282407405</v>
      </c>
      <c r="B6" s="2">
        <v>18.773130999999999</v>
      </c>
      <c r="C6" s="2">
        <v>19.323029999999999</v>
      </c>
      <c r="D6" s="2">
        <v>19.273192000000002</v>
      </c>
      <c r="E6" s="2">
        <v>19.859120999999998</v>
      </c>
      <c r="F6" s="2">
        <v>32.076459</v>
      </c>
      <c r="G6" s="2">
        <v>29.705262000000001</v>
      </c>
      <c r="H6" s="2">
        <v>23.275127000000001</v>
      </c>
      <c r="I6" s="2">
        <v>20.940777000000001</v>
      </c>
      <c r="J6" s="2">
        <v>55.339756000000001</v>
      </c>
      <c r="K6" s="2">
        <v>45.722102</v>
      </c>
      <c r="L6" s="2">
        <v>198.68867900000001</v>
      </c>
      <c r="M6" s="2">
        <v>-622.49265300000002</v>
      </c>
      <c r="N6" s="2">
        <v>0.94644700000000004</v>
      </c>
      <c r="O6" s="2">
        <v>1.537067</v>
      </c>
      <c r="P6" s="2"/>
      <c r="Q6" s="5">
        <f xml:space="preserve"> N6*0.001/60</f>
        <v>1.5774116666666669E-5</v>
      </c>
      <c r="R6" cm="1">
        <f t="array" ref="R6">[1]!PropsSI("D","T",J6+273.15,"P",101325,"Water")</f>
        <v>985.52822120207702</v>
      </c>
      <c r="S6" cm="1">
        <f t="array" ref="S6">[1]!PropsSI("D","T",J6+273.15,"P",101325,"Water")</f>
        <v>985.52822120207702</v>
      </c>
      <c r="T6">
        <f t="shared" si="1"/>
        <v>985.52822120207702</v>
      </c>
      <c r="U6" cm="1">
        <f t="array" ref="U6">[1]!PropsSI("H","T",J6+273.15,"P",101325,"Water")</f>
        <v>231750.280475596</v>
      </c>
      <c r="V6" cm="1">
        <f t="array" ref="V6">[1]!PropsSI("H","T",K6+273.15,"P",101325,"Water")</f>
        <v>191533.50465411719</v>
      </c>
      <c r="W6">
        <f t="shared" si="0"/>
        <v>625.20344719785976</v>
      </c>
    </row>
    <row r="7" spans="1:25" x14ac:dyDescent="0.2">
      <c r="A7" s="1">
        <v>46066.684398148151</v>
      </c>
      <c r="B7" s="2">
        <v>18.492360000000001</v>
      </c>
      <c r="C7" s="2">
        <v>19.547626000000001</v>
      </c>
      <c r="D7" s="2">
        <v>19.273109000000002</v>
      </c>
      <c r="E7" s="2">
        <v>19.946825</v>
      </c>
      <c r="F7" s="2">
        <v>32.137402000000002</v>
      </c>
      <c r="G7" s="2">
        <v>29.800058</v>
      </c>
      <c r="H7" s="2">
        <v>23.297425</v>
      </c>
      <c r="I7" s="2">
        <v>21.080680999999998</v>
      </c>
      <c r="J7" s="2">
        <v>55.347870999999998</v>
      </c>
      <c r="K7" s="2">
        <v>45.735587000000002</v>
      </c>
      <c r="L7" s="2">
        <v>201.82117500000001</v>
      </c>
      <c r="M7" s="2">
        <v>-622.48571500000003</v>
      </c>
      <c r="N7" s="2">
        <v>0.94416100000000003</v>
      </c>
      <c r="O7" s="2">
        <v>1.4526870000000001</v>
      </c>
      <c r="P7" s="2"/>
      <c r="Q7" s="5">
        <f xml:space="preserve"> N7*0.001/60</f>
        <v>1.5736016666666666E-5</v>
      </c>
      <c r="R7" cm="1">
        <f t="array" ref="R7">[1]!PropsSI("D","T",J7+273.15,"P",101325,"Water")</f>
        <v>985.5242746809738</v>
      </c>
      <c r="S7" cm="1">
        <f t="array" ref="S7">[1]!PropsSI("D","T",J7+273.15,"P",101325,"Water")</f>
        <v>985.5242746809738</v>
      </c>
      <c r="T7">
        <f t="shared" si="1"/>
        <v>985.5242746809738</v>
      </c>
      <c r="U7" cm="1">
        <f t="array" ref="U7">[1]!PropsSI("H","T",J7+273.15,"P",101325,"Water")</f>
        <v>231784.22618424153</v>
      </c>
      <c r="V7" cm="1">
        <f t="array" ref="V7">[1]!PropsSI("H","T",K7+273.15,"P",101325,"Water")</f>
        <v>191589.87585441346</v>
      </c>
      <c r="W7">
        <f t="shared" si="0"/>
        <v>623.34308538955395</v>
      </c>
    </row>
    <row r="8" spans="1:25" x14ac:dyDescent="0.2">
      <c r="A8" s="1">
        <v>46066.684513888889</v>
      </c>
      <c r="B8" s="2">
        <v>18.557269000000002</v>
      </c>
      <c r="C8" s="2">
        <v>19.329673</v>
      </c>
      <c r="D8" s="2">
        <v>19.191120999999999</v>
      </c>
      <c r="E8" s="2">
        <v>19.931750000000001</v>
      </c>
      <c r="F8" s="2">
        <v>32.065581999999999</v>
      </c>
      <c r="G8" s="2">
        <v>29.866510999999999</v>
      </c>
      <c r="H8" s="2">
        <v>23.74014</v>
      </c>
      <c r="I8" s="2">
        <v>21.449473000000001</v>
      </c>
      <c r="J8" s="2">
        <v>55.357737</v>
      </c>
      <c r="K8" s="2">
        <v>45.75526</v>
      </c>
      <c r="L8" s="2">
        <v>203.085601</v>
      </c>
      <c r="M8" s="2">
        <v>-622.49102100000005</v>
      </c>
      <c r="N8" s="2">
        <v>0.94489000000000001</v>
      </c>
      <c r="O8" s="2">
        <v>1.171171</v>
      </c>
      <c r="P8" s="2"/>
      <c r="Q8" s="5">
        <f>N8*0.001/60</f>
        <v>1.5748166666666666E-5</v>
      </c>
      <c r="R8" cm="1">
        <f t="array" ref="R8">[1]!PropsSI("D","T",J8+273.15,"P",101325,"Water")</f>
        <v>985.51947605750001</v>
      </c>
      <c r="S8" cm="1">
        <f t="array" ref="S8">[1]!PropsSI("D","T",J8+273.15,"P",101325,"Water")</f>
        <v>985.51947605750001</v>
      </c>
      <c r="T8">
        <f t="shared" si="1"/>
        <v>985.51947605750001</v>
      </c>
      <c r="U8" cm="1">
        <f t="array" ref="U8">[1]!PropsSI("H","T",J8+273.15,"P",101325,"Water")</f>
        <v>231825.49650164074</v>
      </c>
      <c r="V8" cm="1">
        <f t="array" ref="V8">[1]!PropsSI("H","T",K8+273.15,"P",101325,"Water")</f>
        <v>191672.11475260652</v>
      </c>
      <c r="W8">
        <f t="shared" si="0"/>
        <v>623.18550239991259</v>
      </c>
    </row>
    <row r="9" spans="1:25" x14ac:dyDescent="0.2">
      <c r="A9" s="1">
        <v>46066.684629629628</v>
      </c>
      <c r="B9" s="2">
        <v>18.513051999999998</v>
      </c>
      <c r="C9" s="2">
        <v>19.191708999999999</v>
      </c>
      <c r="D9" s="2">
        <v>19.196947999999999</v>
      </c>
      <c r="E9" s="2">
        <v>19.838069999999998</v>
      </c>
      <c r="F9" s="2">
        <v>32.000551000000002</v>
      </c>
      <c r="G9" s="2">
        <v>28.998629000000001</v>
      </c>
      <c r="H9" s="2">
        <v>23.587085999999999</v>
      </c>
      <c r="I9" s="2">
        <v>21.191313000000001</v>
      </c>
      <c r="J9" s="2">
        <v>55.354872999999998</v>
      </c>
      <c r="K9" s="2">
        <v>45.752721999999999</v>
      </c>
      <c r="L9" s="2">
        <v>208.82409000000001</v>
      </c>
      <c r="M9" s="2">
        <v>-622.49020499999995</v>
      </c>
      <c r="N9" s="2">
        <v>0.94463200000000003</v>
      </c>
      <c r="O9" s="2">
        <v>1.5064420000000001</v>
      </c>
      <c r="P9" s="2"/>
      <c r="Q9" s="5">
        <f>N9*0.001/60</f>
        <v>1.5743866666666667E-5</v>
      </c>
      <c r="R9" cm="1">
        <f t="array" ref="R9">[1]!PropsSI("D","T",J9+273.15,"P",101325,"Water")</f>
        <v>985.52086911137701</v>
      </c>
      <c r="S9" cm="1">
        <f t="array" ref="S9">[1]!PropsSI("D","T",J9+273.15,"P",101325,"Water")</f>
        <v>985.52086911137701</v>
      </c>
      <c r="T9">
        <f t="shared" si="1"/>
        <v>985.52086911137701</v>
      </c>
      <c r="U9" cm="1">
        <f t="array" ref="U9">[1]!PropsSI("H","T",J9+273.15,"P",101325,"Water")</f>
        <v>231813.51614226558</v>
      </c>
      <c r="V9" cm="1">
        <f t="array" ref="V9">[1]!PropsSI("H","T",K9+273.15,"P",101325,"Water")</f>
        <v>191661.50516519629</v>
      </c>
      <c r="W9">
        <f t="shared" si="0"/>
        <v>622.9949549318859</v>
      </c>
      <c r="Y9" t="s">
        <v>23</v>
      </c>
    </row>
    <row r="10" spans="1:25" x14ac:dyDescent="0.2">
      <c r="A10" s="1">
        <v>46066.684745370374</v>
      </c>
      <c r="B10" s="2">
        <v>18.600892000000002</v>
      </c>
      <c r="C10" s="2">
        <v>19.513656000000001</v>
      </c>
      <c r="D10" s="2">
        <v>18.989863</v>
      </c>
      <c r="E10" s="2">
        <v>19.808598</v>
      </c>
      <c r="F10" s="2">
        <v>32.181522999999999</v>
      </c>
      <c r="G10" s="2">
        <v>29.448112999999999</v>
      </c>
      <c r="H10" s="2">
        <v>23.289006000000001</v>
      </c>
      <c r="I10" s="2">
        <v>21.055329</v>
      </c>
      <c r="J10" s="2">
        <v>55.367125000000001</v>
      </c>
      <c r="K10" s="2">
        <v>45.740188000000003</v>
      </c>
      <c r="L10" s="2">
        <v>213.903019</v>
      </c>
      <c r="M10" s="2">
        <v>-622.49061300000005</v>
      </c>
      <c r="N10" s="2">
        <v>0.946025</v>
      </c>
      <c r="O10" s="2">
        <v>1.027331</v>
      </c>
      <c r="P10" s="2"/>
      <c r="Q10" s="5">
        <f>N10*0.001/60</f>
        <v>1.5767083333333333E-5</v>
      </c>
      <c r="R10" cm="1">
        <f t="array" ref="R10">[1]!PropsSI("D","T",J10+273.15,"P",101325,"Water")</f>
        <v>985.51490936462346</v>
      </c>
      <c r="S10" cm="1">
        <f t="array" ref="S10">[1]!PropsSI("D","T",J10+273.15,"P",101325,"Water")</f>
        <v>985.51490936462346</v>
      </c>
      <c r="T10">
        <f t="shared" si="1"/>
        <v>985.51490936462346</v>
      </c>
      <c r="U10" cm="1">
        <f t="array" ref="U10">[1]!PropsSI("H","T",J10+273.15,"P",101325,"Water")</f>
        <v>231864.76733753315</v>
      </c>
      <c r="V10" cm="1">
        <f t="array" ref="V10">[1]!PropsSI("H","T",K10+273.15,"P",101325,"Water")</f>
        <v>191609.10937385049</v>
      </c>
      <c r="W10">
        <f t="shared" si="0"/>
        <v>625.52041938928619</v>
      </c>
      <c r="Y10">
        <f>AVERAGE(W28:W44)</f>
        <v>636.58128546172941</v>
      </c>
    </row>
    <row r="11" spans="1:25" x14ac:dyDescent="0.2">
      <c r="A11" s="1">
        <v>46066.684861111113</v>
      </c>
      <c r="B11" s="2">
        <v>18.690218000000002</v>
      </c>
      <c r="C11" s="2">
        <v>19.349150999999999</v>
      </c>
      <c r="D11" s="2">
        <v>19.217030999999999</v>
      </c>
      <c r="E11" s="2">
        <v>19.900559000000001</v>
      </c>
      <c r="F11" s="2">
        <v>32.335113</v>
      </c>
      <c r="G11" s="2">
        <v>29.729510999999999</v>
      </c>
      <c r="H11" s="2">
        <v>23.386393999999999</v>
      </c>
      <c r="I11" s="2">
        <v>21.579469</v>
      </c>
      <c r="J11" s="2">
        <v>55.370308000000001</v>
      </c>
      <c r="K11" s="2">
        <v>45.746375999999998</v>
      </c>
      <c r="L11" s="2">
        <v>208.67430100000001</v>
      </c>
      <c r="M11" s="2">
        <v>-622.49224500000003</v>
      </c>
      <c r="N11" s="2">
        <v>0.94585699999999995</v>
      </c>
      <c r="O11" s="2">
        <v>0.91546400000000006</v>
      </c>
      <c r="P11" s="2"/>
      <c r="Q11" s="5">
        <f>N11*0.001/60</f>
        <v>1.5764283333333331E-5</v>
      </c>
      <c r="R11" cm="1">
        <f t="array" ref="R11">[1]!PropsSI("D","T",J11+273.15,"P",101325,"Water")</f>
        <v>985.51336090431926</v>
      </c>
      <c r="S11" cm="1">
        <f t="array" ref="S11">[1]!PropsSI("D","T",J11+273.15,"P",101325,"Water")</f>
        <v>985.51336090431926</v>
      </c>
      <c r="T11">
        <f t="shared" si="1"/>
        <v>985.51336090431926</v>
      </c>
      <c r="U11" cm="1">
        <f t="array" ref="U11">[1]!PropsSI("H","T",J11+273.15,"P",101325,"Water")</f>
        <v>231878.08211595373</v>
      </c>
      <c r="V11" cm="1">
        <f t="array" ref="V11">[1]!PropsSI("H","T",K11+273.15,"P",101325,"Water")</f>
        <v>191634.97702227181</v>
      </c>
      <c r="W11">
        <f t="shared" si="0"/>
        <v>625.21333330899915</v>
      </c>
    </row>
    <row r="12" spans="1:25" x14ac:dyDescent="0.2">
      <c r="A12" s="1">
        <v>46066.684976851851</v>
      </c>
      <c r="B12" s="2">
        <v>18.660896999999999</v>
      </c>
      <c r="C12" s="2">
        <v>19.359148999999999</v>
      </c>
      <c r="D12" s="2">
        <v>19.088328000000001</v>
      </c>
      <c r="E12" s="2">
        <v>19.858557000000001</v>
      </c>
      <c r="F12" s="2">
        <v>32.285722</v>
      </c>
      <c r="G12" s="2">
        <v>29.765597</v>
      </c>
      <c r="H12" s="2">
        <v>23.622869000000001</v>
      </c>
      <c r="I12" s="2">
        <v>21.498138000000001</v>
      </c>
      <c r="J12" s="2">
        <v>55.383992999999997</v>
      </c>
      <c r="K12" s="2">
        <v>45.754308999999999</v>
      </c>
      <c r="L12" s="2">
        <v>190.25399899999999</v>
      </c>
      <c r="M12" s="2">
        <v>-622.51142800000002</v>
      </c>
      <c r="N12" s="2">
        <v>0.95192600000000005</v>
      </c>
      <c r="O12" s="2">
        <v>1.3190770000000001</v>
      </c>
      <c r="P12" s="2"/>
      <c r="Q12" s="5">
        <f>N12*0.001/60</f>
        <v>1.5865433333333336E-5</v>
      </c>
      <c r="R12" cm="1">
        <f t="array" ref="R12">[1]!PropsSI("D","T",J12+273.15,"P",101325,"Water")</f>
        <v>985.50670273573826</v>
      </c>
      <c r="S12" cm="1">
        <f t="array" ref="S12">[1]!PropsSI("D","T",J12+273.15,"P",101325,"Water")</f>
        <v>985.50670273573826</v>
      </c>
      <c r="T12">
        <f t="shared" si="1"/>
        <v>985.50670273573826</v>
      </c>
      <c r="U12" cm="1">
        <f t="array" ref="U12">[1]!PropsSI("H","T",J12+273.15,"P",101325,"Water")</f>
        <v>231935.32775760916</v>
      </c>
      <c r="V12" cm="1">
        <f t="array" ref="V12">[1]!PropsSI("H","T",K12+273.15,"P",101325,"Water")</f>
        <v>191668.13929238121</v>
      </c>
      <c r="W12">
        <f t="shared" si="0"/>
        <v>629.59725848674793</v>
      </c>
    </row>
    <row r="13" spans="1:25" x14ac:dyDescent="0.2">
      <c r="A13" s="1">
        <v>46066.68509259259</v>
      </c>
      <c r="B13" s="2">
        <v>18.666511</v>
      </c>
      <c r="C13" s="2">
        <v>19.567505000000001</v>
      </c>
      <c r="D13" s="2">
        <v>19.102945999999999</v>
      </c>
      <c r="E13" s="2">
        <v>19.865010000000002</v>
      </c>
      <c r="F13" s="2">
        <v>32.078643</v>
      </c>
      <c r="G13" s="2">
        <v>28.827062999999999</v>
      </c>
      <c r="H13" s="2">
        <v>23.772096000000001</v>
      </c>
      <c r="I13" s="2">
        <v>21.492446000000001</v>
      </c>
      <c r="J13" s="2">
        <v>55.396881999999998</v>
      </c>
      <c r="K13" s="2">
        <v>45.770650000000003</v>
      </c>
      <c r="L13" s="2">
        <v>212.39697200000001</v>
      </c>
      <c r="M13" s="2">
        <v>-622.50693799999999</v>
      </c>
      <c r="N13" s="2">
        <v>0.94760699999999998</v>
      </c>
      <c r="O13" s="2">
        <v>1.4189099999999999</v>
      </c>
      <c r="P13" s="2"/>
      <c r="Q13" s="5">
        <f>N13*0.001/60</f>
        <v>1.579345E-5</v>
      </c>
      <c r="R13" cm="1">
        <f t="array" ref="R13">[1]!PropsSI("D","T",J13+273.15,"P",101325,"Water")</f>
        <v>985.50043078644251</v>
      </c>
      <c r="S13" cm="1">
        <f t="array" ref="S13">[1]!PropsSI("D","T",J13+273.15,"P",101325,"Water")</f>
        <v>985.50043078644251</v>
      </c>
      <c r="T13">
        <f t="shared" si="1"/>
        <v>985.50043078644251</v>
      </c>
      <c r="U13" cm="1">
        <f t="array" ref="U13">[1]!PropsSI("H","T",J13+273.15,"P",101325,"Water")</f>
        <v>231989.24371939525</v>
      </c>
      <c r="V13" cm="1">
        <f t="array" ref="V13">[1]!PropsSI("H","T",K13+273.15,"P",101325,"Water")</f>
        <v>191736.44951365757</v>
      </c>
      <c r="W13">
        <f t="shared" si="0"/>
        <v>626.51267436928026</v>
      </c>
    </row>
    <row r="14" spans="1:25" x14ac:dyDescent="0.2">
      <c r="A14" s="1">
        <v>46066.685208333336</v>
      </c>
      <c r="B14" s="2">
        <v>18.465437999999999</v>
      </c>
      <c r="C14" s="2">
        <v>19.245411000000001</v>
      </c>
      <c r="D14" s="2">
        <v>19.200247000000001</v>
      </c>
      <c r="E14" s="2">
        <v>19.894324000000001</v>
      </c>
      <c r="F14" s="2">
        <v>32.050638999999997</v>
      </c>
      <c r="G14" s="2">
        <v>29.74248</v>
      </c>
      <c r="H14" s="2">
        <v>23.630165999999999</v>
      </c>
      <c r="I14" s="2">
        <v>21.544218999999998</v>
      </c>
      <c r="J14" s="2">
        <v>55.407542999999997</v>
      </c>
      <c r="K14" s="2">
        <v>45.782708</v>
      </c>
      <c r="L14" s="2">
        <v>209.54038</v>
      </c>
      <c r="M14" s="2">
        <v>-622.50979500000005</v>
      </c>
      <c r="N14" s="2">
        <v>0.94508300000000001</v>
      </c>
      <c r="O14" s="2">
        <v>1.265882</v>
      </c>
      <c r="P14" s="2"/>
      <c r="Q14" s="5">
        <f>N14*0.001/60</f>
        <v>1.5751383333333333E-5</v>
      </c>
      <c r="R14" cm="1">
        <f t="array" ref="R14">[1]!PropsSI("D","T",J14+273.15,"P",101325,"Water")</f>
        <v>985.49524223381502</v>
      </c>
      <c r="S14" cm="1">
        <f t="array" ref="S14">[1]!PropsSI("D","T",J14+273.15,"P",101325,"Water")</f>
        <v>985.49524223381502</v>
      </c>
      <c r="T14">
        <f t="shared" si="1"/>
        <v>985.49524223381502</v>
      </c>
      <c r="U14" cm="1">
        <f t="array" ref="U14">[1]!PropsSI("H","T",J14+273.15,"P",101325,"Water")</f>
        <v>232033.83978301918</v>
      </c>
      <c r="V14" cm="1">
        <f t="array" ref="V14">[1]!PropsSI("H","T",K14+273.15,"P",101325,"Water")</f>
        <v>191786.85556187938</v>
      </c>
      <c r="W14">
        <f t="shared" si="0"/>
        <v>624.75044800356056</v>
      </c>
    </row>
    <row r="15" spans="1:25" x14ac:dyDescent="0.2">
      <c r="A15" s="1">
        <v>46066.685324074075</v>
      </c>
      <c r="B15" s="2">
        <v>18.363696999999998</v>
      </c>
      <c r="C15" s="2">
        <v>19.058492000000001</v>
      </c>
      <c r="D15" s="2">
        <v>19.155653000000001</v>
      </c>
      <c r="E15" s="2">
        <v>19.784396999999998</v>
      </c>
      <c r="F15" s="2">
        <v>32.266058000000001</v>
      </c>
      <c r="G15" s="2">
        <v>28.903925000000001</v>
      </c>
      <c r="H15" s="2">
        <v>23.452027999999999</v>
      </c>
      <c r="I15" s="2">
        <v>21.225221999999999</v>
      </c>
      <c r="J15" s="2">
        <v>55.423138000000002</v>
      </c>
      <c r="K15" s="2">
        <v>45.765732</v>
      </c>
      <c r="L15" s="2">
        <v>204.10759100000001</v>
      </c>
      <c r="M15" s="2">
        <v>-622.48571500000003</v>
      </c>
      <c r="N15" s="2">
        <v>0.95064300000000002</v>
      </c>
      <c r="O15" s="2">
        <v>1.0666869999999999</v>
      </c>
      <c r="P15" s="2"/>
      <c r="Q15" s="5">
        <f>N15*0.001/60</f>
        <v>1.584405E-5</v>
      </c>
      <c r="R15" cm="1">
        <f t="array" ref="R15">[1]!PropsSI("D","T",J15+273.15,"P",101325,"Water")</f>
        <v>985.48765111008129</v>
      </c>
      <c r="S15" cm="1">
        <f t="array" ref="S15">[1]!PropsSI("D","T",J15+273.15,"P",101325,"Water")</f>
        <v>985.48765111008129</v>
      </c>
      <c r="T15">
        <f t="shared" si="1"/>
        <v>985.48765111008129</v>
      </c>
      <c r="U15" cm="1">
        <f t="array" ref="U15">[1]!PropsSI("H","T",J15+273.15,"P",101325,"Water")</f>
        <v>232099.07535331519</v>
      </c>
      <c r="V15" cm="1">
        <f t="array" ref="V15">[1]!PropsSI("H","T",K15+273.15,"P",101325,"Water")</f>
        <v>191715.89081071058</v>
      </c>
      <c r="W15">
        <f t="shared" si="0"/>
        <v>630.54771249430473</v>
      </c>
    </row>
    <row r="16" spans="1:25" x14ac:dyDescent="0.2">
      <c r="A16" s="1">
        <v>46066.685439814813</v>
      </c>
      <c r="B16" s="2">
        <v>18.737226</v>
      </c>
      <c r="C16" s="2">
        <v>19.433592000000001</v>
      </c>
      <c r="D16" s="2">
        <v>19.093934000000001</v>
      </c>
      <c r="E16" s="2">
        <v>19.891286999999998</v>
      </c>
      <c r="F16" s="2">
        <v>32.418266000000003</v>
      </c>
      <c r="G16" s="2">
        <v>29.358315000000001</v>
      </c>
      <c r="H16" s="2">
        <v>23.728359999999999</v>
      </c>
      <c r="I16" s="2">
        <v>21.377103999999999</v>
      </c>
      <c r="J16" s="2">
        <v>55.432366999999999</v>
      </c>
      <c r="K16" s="2">
        <v>45.778424000000001</v>
      </c>
      <c r="L16" s="2">
        <v>206.318093</v>
      </c>
      <c r="M16" s="2">
        <v>-622.49183700000003</v>
      </c>
      <c r="N16" s="2">
        <v>0.95125000000000004</v>
      </c>
      <c r="O16" s="2">
        <v>1.2813730000000001</v>
      </c>
      <c r="P16" s="2"/>
      <c r="Q16" s="5">
        <f>N16*0.001/60</f>
        <v>1.5854166666666668E-5</v>
      </c>
      <c r="R16" cm="1">
        <f t="array" ref="R16">[1]!PropsSI("D","T",J16+273.15,"P",101325,"Water")</f>
        <v>985.48315803392063</v>
      </c>
      <c r="S16" cm="1">
        <f t="array" ref="S16">[1]!PropsSI("D","T",J16+273.15,"P",101325,"Water")</f>
        <v>985.48315803392063</v>
      </c>
      <c r="T16">
        <f t="shared" si="1"/>
        <v>985.48315803392063</v>
      </c>
      <c r="U16" cm="1">
        <f t="array" ref="U16">[1]!PropsSI("H","T",J16+273.15,"P",101325,"Water")</f>
        <v>232137.68129984787</v>
      </c>
      <c r="V16" cm="1">
        <f t="array" ref="V16">[1]!PropsSI("H","T",K16+273.15,"P",101325,"Water")</f>
        <v>191768.94715645496</v>
      </c>
      <c r="W16">
        <f t="shared" si="0"/>
        <v>630.72167689168839</v>
      </c>
    </row>
    <row r="17" spans="1:23" x14ac:dyDescent="0.2">
      <c r="A17" s="1">
        <v>46066.685555555552</v>
      </c>
      <c r="B17" s="2">
        <v>18.957882999999999</v>
      </c>
      <c r="C17" s="2">
        <v>19.648461999999999</v>
      </c>
      <c r="D17" s="2">
        <v>19.316655000000001</v>
      </c>
      <c r="E17" s="2">
        <v>20.024944999999999</v>
      </c>
      <c r="F17" s="2">
        <v>32.197733999999997</v>
      </c>
      <c r="G17" s="2">
        <v>30.738987000000002</v>
      </c>
      <c r="H17" s="2">
        <v>23.439059</v>
      </c>
      <c r="I17" s="2">
        <v>21.194223000000001</v>
      </c>
      <c r="J17" s="2">
        <v>55.445098000000002</v>
      </c>
      <c r="K17" s="2">
        <v>45.810631999999998</v>
      </c>
      <c r="L17" s="2">
        <v>190.74091300000001</v>
      </c>
      <c r="M17" s="2">
        <v>-622.47551099999998</v>
      </c>
      <c r="N17" s="2">
        <v>0.95628599999999997</v>
      </c>
      <c r="O17" s="2">
        <v>1.667818</v>
      </c>
      <c r="P17" s="2"/>
      <c r="Q17" s="5">
        <f>N17*0.001/60</f>
        <v>1.5938099999999999E-5</v>
      </c>
      <c r="R17" cm="1">
        <f t="array" ref="R17">[1]!PropsSI("D","T",J17+273.15,"P",101325,"Water")</f>
        <v>985.47695916892508</v>
      </c>
      <c r="S17" cm="1">
        <f t="array" ref="S17">[1]!PropsSI("D","T",J17+273.15,"P",101325,"Water")</f>
        <v>985.47695916892508</v>
      </c>
      <c r="T17">
        <f t="shared" si="1"/>
        <v>985.47695916892508</v>
      </c>
      <c r="U17" cm="1">
        <f t="array" ref="U17">[1]!PropsSI("H","T",J17+273.15,"P",101325,"Water")</f>
        <v>232190.93655828934</v>
      </c>
      <c r="V17" cm="1">
        <f t="array" ref="V17">[1]!PropsSI("H","T",K17+273.15,"P",101325,"Water")</f>
        <v>191903.58635510437</v>
      </c>
      <c r="W17">
        <f t="shared" si="0"/>
        <v>632.77851633185492</v>
      </c>
    </row>
    <row r="18" spans="1:23" x14ac:dyDescent="0.2">
      <c r="A18" s="1">
        <v>46066.685671296298</v>
      </c>
      <c r="B18" s="2">
        <v>18.796441000000002</v>
      </c>
      <c r="C18" s="2">
        <v>19.667923999999999</v>
      </c>
      <c r="D18" s="2">
        <v>19.193262000000001</v>
      </c>
      <c r="E18" s="2">
        <v>19.965747</v>
      </c>
      <c r="F18" s="2">
        <v>32.171506000000001</v>
      </c>
      <c r="G18" s="2">
        <v>29.536228999999999</v>
      </c>
      <c r="H18" s="2">
        <v>24.023968</v>
      </c>
      <c r="I18" s="2">
        <v>21.392341999999999</v>
      </c>
      <c r="J18" s="2">
        <v>55.455281999999997</v>
      </c>
      <c r="K18" s="2">
        <v>45.826815000000003</v>
      </c>
      <c r="L18" s="2">
        <v>190.87764100000001</v>
      </c>
      <c r="M18" s="2">
        <v>-622.49061300000005</v>
      </c>
      <c r="N18" s="2">
        <v>0.95377800000000001</v>
      </c>
      <c r="O18" s="2">
        <v>1.3878779999999999</v>
      </c>
      <c r="P18" s="2"/>
      <c r="Q18" s="5">
        <f>N18*0.001/60</f>
        <v>1.5896300000000002E-5</v>
      </c>
      <c r="R18" cm="1">
        <f t="array" ref="R18">[1]!PropsSI("D","T",J18+273.15,"P",101325,"Water")</f>
        <v>985.47199974541763</v>
      </c>
      <c r="S18" cm="1">
        <f t="array" ref="S18">[1]!PropsSI("D","T",J18+273.15,"P",101325,"Water")</f>
        <v>985.47199974541763</v>
      </c>
      <c r="T18">
        <f t="shared" si="1"/>
        <v>985.47199974541763</v>
      </c>
      <c r="U18" cm="1">
        <f t="array" ref="U18">[1]!PropsSI("H","T",J18+273.15,"P",101325,"Water")</f>
        <v>232233.53746159229</v>
      </c>
      <c r="V18" cm="1">
        <f t="array" ref="V18">[1]!PropsSI("H","T",K18+273.15,"P",101325,"Water")</f>
        <v>191971.23628063285</v>
      </c>
      <c r="W18">
        <f t="shared" si="0"/>
        <v>630.72338402982427</v>
      </c>
    </row>
    <row r="19" spans="1:23" x14ac:dyDescent="0.2">
      <c r="A19" s="1">
        <v>46066.685787037037</v>
      </c>
      <c r="B19" s="2">
        <v>18.748318999999999</v>
      </c>
      <c r="C19" s="2">
        <v>19.567724999999999</v>
      </c>
      <c r="D19" s="2">
        <v>19.314724999999999</v>
      </c>
      <c r="E19" s="2">
        <v>19.969322999999999</v>
      </c>
      <c r="F19" s="2">
        <v>32.460352</v>
      </c>
      <c r="G19" s="2">
        <v>30.066369999999999</v>
      </c>
      <c r="H19" s="2">
        <v>23.769774000000002</v>
      </c>
      <c r="I19" s="2">
        <v>21.200157999999998</v>
      </c>
      <c r="J19" s="2">
        <v>55.472149999999999</v>
      </c>
      <c r="K19" s="2">
        <v>45.837287000000003</v>
      </c>
      <c r="L19" s="2">
        <v>204.44022699999999</v>
      </c>
      <c r="M19" s="2">
        <v>-622.51510099999996</v>
      </c>
      <c r="N19" s="2">
        <v>0.95191800000000004</v>
      </c>
      <c r="O19" s="2">
        <v>1.153532</v>
      </c>
      <c r="P19" s="2"/>
      <c r="Q19" s="5">
        <f>N19*0.001/60</f>
        <v>1.5865300000000002E-5</v>
      </c>
      <c r="R19" cm="1">
        <f t="array" ref="R19">[1]!PropsSI("D","T",J19+273.15,"P",101325,"Water")</f>
        <v>985.46378392532984</v>
      </c>
      <c r="S19" cm="1">
        <f t="array" ref="S19">[1]!PropsSI("D","T",J19+273.15,"P",101325,"Water")</f>
        <v>985.46378392532984</v>
      </c>
      <c r="T19">
        <f t="shared" si="1"/>
        <v>985.46378392532984</v>
      </c>
      <c r="U19" cm="1">
        <f t="array" ref="U19">[1]!PropsSI("H","T",J19+273.15,"P",101325,"Water")</f>
        <v>232304.09842911919</v>
      </c>
      <c r="V19" cm="1">
        <f t="array" ref="V19">[1]!PropsSI("H","T",K19+273.15,"P",101325,"Water")</f>
        <v>192015.0124961648</v>
      </c>
      <c r="W19">
        <f t="shared" si="0"/>
        <v>629.90690848559291</v>
      </c>
    </row>
    <row r="20" spans="1:23" x14ac:dyDescent="0.2">
      <c r="A20" s="1">
        <v>46066.685902777775</v>
      </c>
      <c r="B20" s="2">
        <v>18.663495000000001</v>
      </c>
      <c r="C20" s="2">
        <v>19.463592999999999</v>
      </c>
      <c r="D20" s="2">
        <v>19.324089000000001</v>
      </c>
      <c r="E20" s="2">
        <v>19.809180000000001</v>
      </c>
      <c r="F20" s="2">
        <v>32.269424000000001</v>
      </c>
      <c r="G20" s="2">
        <v>30.337453</v>
      </c>
      <c r="H20" s="2">
        <v>23.172156999999999</v>
      </c>
      <c r="I20" s="2">
        <v>21.142821999999999</v>
      </c>
      <c r="J20" s="2">
        <v>55.477241999999997</v>
      </c>
      <c r="K20" s="2">
        <v>45.841729000000001</v>
      </c>
      <c r="L20" s="2">
        <v>203.16110800000001</v>
      </c>
      <c r="M20" s="2">
        <v>-622.49183700000003</v>
      </c>
      <c r="N20" s="2">
        <v>0.95461799999999997</v>
      </c>
      <c r="O20" s="2">
        <v>1.4278949999999999</v>
      </c>
      <c r="P20" s="2"/>
      <c r="Q20" s="5">
        <f>N20*0.001/60</f>
        <v>1.5910299999999999E-5</v>
      </c>
      <c r="R20" cm="1">
        <f t="array" ref="R20">[1]!PropsSI("D","T",J20+273.15,"P",101325,"Water")</f>
        <v>985.46130344265623</v>
      </c>
      <c r="S20" cm="1">
        <f t="array" ref="S20">[1]!PropsSI("D","T",J20+273.15,"P",101325,"Water")</f>
        <v>985.46130344265623</v>
      </c>
      <c r="T20">
        <f t="shared" si="1"/>
        <v>985.46130344265623</v>
      </c>
      <c r="U20" cm="1">
        <f t="array" ref="U20">[1]!PropsSI("H","T",J20+273.15,"P",101325,"Water")</f>
        <v>232325.39892672058</v>
      </c>
      <c r="V20" cm="1">
        <f t="array" ref="V20">[1]!PropsSI("H","T",K20+273.15,"P",101325,"Water")</f>
        <v>192033.58144414754</v>
      </c>
      <c r="W20">
        <f t="shared" si="0"/>
        <v>631.73480097159222</v>
      </c>
    </row>
    <row r="21" spans="1:23" x14ac:dyDescent="0.2">
      <c r="A21" s="1">
        <v>46066.686018518521</v>
      </c>
      <c r="B21" s="2">
        <v>19.039781000000001</v>
      </c>
      <c r="C21" s="2">
        <v>19.56026</v>
      </c>
      <c r="D21" s="2">
        <v>19.381837000000001</v>
      </c>
      <c r="E21" s="2">
        <v>20.000910000000001</v>
      </c>
      <c r="F21" s="2">
        <v>32.465674</v>
      </c>
      <c r="G21" s="2">
        <v>30.074912000000001</v>
      </c>
      <c r="H21" s="2">
        <v>23.718917000000001</v>
      </c>
      <c r="I21" s="2">
        <v>21.325468999999998</v>
      </c>
      <c r="J21" s="2">
        <v>55.487267000000003</v>
      </c>
      <c r="K21" s="2">
        <v>45.839191</v>
      </c>
      <c r="L21" s="2">
        <v>202.33910800000001</v>
      </c>
      <c r="M21" s="2">
        <v>-622.50367300000005</v>
      </c>
      <c r="N21" s="2">
        <v>0.94877100000000003</v>
      </c>
      <c r="O21" s="2">
        <v>1.221036</v>
      </c>
      <c r="P21" s="2"/>
      <c r="Q21" s="5">
        <f>N21*0.001/60</f>
        <v>1.5812850000000002E-5</v>
      </c>
      <c r="R21" cm="1">
        <f t="array" ref="R21">[1]!PropsSI("D","T",J21+273.15,"P",101325,"Water")</f>
        <v>985.45641946337946</v>
      </c>
      <c r="S21" cm="1">
        <f t="array" ref="S21">[1]!PropsSI("D","T",J21+273.15,"P",101325,"Water")</f>
        <v>985.45641946337946</v>
      </c>
      <c r="T21">
        <f t="shared" si="1"/>
        <v>985.45641946337946</v>
      </c>
      <c r="U21" cm="1">
        <f t="array" ref="U21">[1]!PropsSI("H","T",J21+273.15,"P",101325,"Water")</f>
        <v>232367.33483240011</v>
      </c>
      <c r="V21" cm="1">
        <f t="array" ref="V21">[1]!PropsSI("H","T",K21+273.15,"P",101325,"Water")</f>
        <v>192022.97181061769</v>
      </c>
      <c r="W21">
        <f t="shared" si="0"/>
        <v>628.68114746597576</v>
      </c>
    </row>
    <row r="22" spans="1:23" x14ac:dyDescent="0.2">
      <c r="A22" s="1">
        <v>46066.68613425926</v>
      </c>
      <c r="B22" s="2">
        <v>18.902473000000001</v>
      </c>
      <c r="C22" s="2">
        <v>19.478081</v>
      </c>
      <c r="D22" s="2">
        <v>19.387547999999999</v>
      </c>
      <c r="E22" s="2">
        <v>20.036035999999999</v>
      </c>
      <c r="F22" s="2">
        <v>32.189855000000001</v>
      </c>
      <c r="G22" s="2">
        <v>29.781867999999999</v>
      </c>
      <c r="H22" s="2">
        <v>23.930337000000002</v>
      </c>
      <c r="I22" s="2">
        <v>21.385176000000001</v>
      </c>
      <c r="J22" s="2">
        <v>55.492517999999997</v>
      </c>
      <c r="K22" s="2">
        <v>45.861086</v>
      </c>
      <c r="L22" s="2">
        <v>200.86816099999999</v>
      </c>
      <c r="M22" s="2">
        <v>-622.48897999999997</v>
      </c>
      <c r="N22" s="2">
        <v>0.95672500000000005</v>
      </c>
      <c r="O22" s="2">
        <v>1.1455649999999999</v>
      </c>
      <c r="P22" s="2"/>
      <c r="Q22" s="5">
        <f>N22*0.001/60</f>
        <v>1.5945416666666668E-5</v>
      </c>
      <c r="R22" cm="1">
        <f t="array" ref="R22">[1]!PropsSI("D","T",J22+273.15,"P",101325,"Water")</f>
        <v>985.45386103360431</v>
      </c>
      <c r="S22" cm="1">
        <f t="array" ref="S22">[1]!PropsSI("D","T",J22+273.15,"P",101325,"Water")</f>
        <v>985.45386103360431</v>
      </c>
      <c r="T22">
        <f t="shared" si="1"/>
        <v>985.45386103360431</v>
      </c>
      <c r="U22" cm="1">
        <f t="array" ref="U22">[1]!PropsSI("H","T",J22+273.15,"P",101325,"Water")</f>
        <v>232389.30047713773</v>
      </c>
      <c r="V22" cm="1">
        <f t="array" ref="V22">[1]!PropsSI("H","T",K22+273.15,"P",101325,"Water")</f>
        <v>192114.49980083943</v>
      </c>
      <c r="W22">
        <f t="shared" si="0"/>
        <v>632.85696964624879</v>
      </c>
    </row>
    <row r="23" spans="1:23" x14ac:dyDescent="0.2">
      <c r="A23" s="1">
        <v>46066.686249999999</v>
      </c>
      <c r="B23" s="2">
        <v>18.759754000000001</v>
      </c>
      <c r="C23" s="2">
        <v>19.422378999999999</v>
      </c>
      <c r="D23" s="2">
        <v>19.218537000000001</v>
      </c>
      <c r="E23" s="2">
        <v>19.840416999999999</v>
      </c>
      <c r="F23" s="2">
        <v>32.146692999999999</v>
      </c>
      <c r="G23" s="2">
        <v>29.153178</v>
      </c>
      <c r="H23" s="2">
        <v>23.504332999999999</v>
      </c>
      <c r="I23" s="2">
        <v>21.073767</v>
      </c>
      <c r="J23" s="2">
        <v>55.504930999999999</v>
      </c>
      <c r="K23" s="2">
        <v>45.856802000000002</v>
      </c>
      <c r="L23" s="2">
        <v>206.05932999999999</v>
      </c>
      <c r="M23" s="2">
        <v>-622.48449100000005</v>
      </c>
      <c r="N23" s="2">
        <v>0.95580299999999996</v>
      </c>
      <c r="O23" s="2">
        <v>1.039442</v>
      </c>
      <c r="P23" s="2"/>
      <c r="Q23" s="5">
        <f>N23*0.001/60</f>
        <v>1.5930049999999998E-5</v>
      </c>
      <c r="R23" cm="1">
        <f t="array" ref="R23">[1]!PropsSI("D","T",J23+273.15,"P",101325,"Water")</f>
        <v>985.44781240588918</v>
      </c>
      <c r="S23" cm="1">
        <f t="array" ref="S23">[1]!PropsSI("D","T",J23+273.15,"P",101325,"Water")</f>
        <v>985.44781240588918</v>
      </c>
      <c r="T23">
        <f t="shared" si="1"/>
        <v>985.44781240588918</v>
      </c>
      <c r="U23" cm="1">
        <f t="array" ref="U23">[1]!PropsSI("H","T",J23+273.15,"P",101325,"Water")</f>
        <v>232441.22577918318</v>
      </c>
      <c r="V23" cm="1">
        <f t="array" ref="V23">[1]!PropsSI("H","T",K23+273.15,"P",101325,"Water")</f>
        <v>192096.59132475278</v>
      </c>
      <c r="W23">
        <f t="shared" si="0"/>
        <v>633.33946889994706</v>
      </c>
    </row>
    <row r="24" spans="1:23" x14ac:dyDescent="0.2">
      <c r="A24" s="1">
        <v>46066.686365740738</v>
      </c>
      <c r="B24" s="2">
        <v>18.202691000000002</v>
      </c>
      <c r="C24" s="2">
        <v>18.939263</v>
      </c>
      <c r="D24" s="2">
        <v>19.122523000000001</v>
      </c>
      <c r="E24" s="2">
        <v>19.807739999999999</v>
      </c>
      <c r="F24" s="2">
        <v>31.776157000000001</v>
      </c>
      <c r="G24" s="2">
        <v>29.707868000000001</v>
      </c>
      <c r="H24" s="2">
        <v>23.474534999999999</v>
      </c>
      <c r="I24" s="2">
        <v>21.395537000000001</v>
      </c>
      <c r="J24" s="2">
        <v>55.512728000000003</v>
      </c>
      <c r="K24" s="2">
        <v>45.851249000000003</v>
      </c>
      <c r="L24" s="2">
        <v>197.17977500000001</v>
      </c>
      <c r="M24" s="2">
        <v>-622.48612300000002</v>
      </c>
      <c r="N24" s="2">
        <v>0.95610200000000001</v>
      </c>
      <c r="O24" s="2">
        <v>1.1717169999999999</v>
      </c>
      <c r="P24" s="2"/>
      <c r="Q24" s="5">
        <f>N24*0.001/60</f>
        <v>1.5935033333333332E-5</v>
      </c>
      <c r="R24" cm="1">
        <f t="array" ref="R24">[1]!PropsSI("D","T",J24+273.15,"P",101325,"Water")</f>
        <v>985.44401258391736</v>
      </c>
      <c r="S24" cm="1">
        <f t="array" ref="S24">[1]!PropsSI("D","T",J24+273.15,"P",101325,"Water")</f>
        <v>985.44401258391736</v>
      </c>
      <c r="T24">
        <f t="shared" si="1"/>
        <v>985.44401258391736</v>
      </c>
      <c r="U24" cm="1">
        <f t="array" ref="U24">[1]!PropsSI("H","T",J24+273.15,"P",101325,"Water")</f>
        <v>232473.8417415689</v>
      </c>
      <c r="V24" cm="1">
        <f t="array" ref="V24">[1]!PropsSI("H","T",K24+273.15,"P",101325,"Water")</f>
        <v>192073.37803273075</v>
      </c>
      <c r="W24">
        <f t="shared" si="0"/>
        <v>634.4118424802632</v>
      </c>
    </row>
    <row r="25" spans="1:23" x14ac:dyDescent="0.2">
      <c r="A25" s="1">
        <v>46066.686481481483</v>
      </c>
      <c r="B25" s="2">
        <v>18.811813000000001</v>
      </c>
      <c r="C25" s="2">
        <v>19.319939000000002</v>
      </c>
      <c r="D25" s="2">
        <v>19.095362999999999</v>
      </c>
      <c r="E25" s="2">
        <v>19.841411999999998</v>
      </c>
      <c r="F25" s="2">
        <v>32.464748</v>
      </c>
      <c r="G25" s="2">
        <v>28.745533000000002</v>
      </c>
      <c r="H25" s="2">
        <v>23.609352999999999</v>
      </c>
      <c r="I25" s="2">
        <v>21.441593000000001</v>
      </c>
      <c r="J25" s="2">
        <v>55.524186</v>
      </c>
      <c r="K25" s="2">
        <v>45.841569999999997</v>
      </c>
      <c r="L25" s="2">
        <v>209.92281</v>
      </c>
      <c r="M25" s="2">
        <v>-622.50571400000001</v>
      </c>
      <c r="N25" s="2">
        <v>0.95291400000000004</v>
      </c>
      <c r="O25" s="2">
        <v>1.0331379999999999</v>
      </c>
      <c r="P25" s="2"/>
      <c r="Q25" s="5">
        <f>N25*0.001/60</f>
        <v>1.5881900000000001E-5</v>
      </c>
      <c r="R25" cm="1">
        <f t="array" ref="R25">[1]!PropsSI("D","T",J25+273.15,"P",101325,"Water")</f>
        <v>985.43842791402517</v>
      </c>
      <c r="S25" cm="1">
        <f t="array" ref="S25">[1]!PropsSI("D","T",J25+273.15,"P",101325,"Water")</f>
        <v>985.43842791402517</v>
      </c>
      <c r="T25">
        <f t="shared" si="1"/>
        <v>985.43842791402517</v>
      </c>
      <c r="U25" cm="1">
        <f t="array" ref="U25">[1]!PropsSI("H","T",J25+273.15,"P",101325,"Water")</f>
        <v>232521.77222962267</v>
      </c>
      <c r="V25" cm="1">
        <f t="array" ref="V25">[1]!PropsSI("H","T",K25+273.15,"P",101325,"Water")</f>
        <v>192032.91677436055</v>
      </c>
      <c r="W25">
        <f t="shared" si="0"/>
        <v>633.67628081853172</v>
      </c>
    </row>
    <row r="26" spans="1:23" x14ac:dyDescent="0.2">
      <c r="A26" s="1">
        <v>46066.686597222222</v>
      </c>
      <c r="B26" s="2">
        <v>18.711098</v>
      </c>
      <c r="C26" s="2">
        <v>19.303352</v>
      </c>
      <c r="D26" s="2">
        <v>19.249953000000001</v>
      </c>
      <c r="E26" s="2">
        <v>19.983415999999998</v>
      </c>
      <c r="F26" s="2">
        <v>32.106605000000002</v>
      </c>
      <c r="G26" s="2">
        <v>29.745377999999999</v>
      </c>
      <c r="H26" s="2">
        <v>23.307860999999999</v>
      </c>
      <c r="I26" s="2">
        <v>21.41921</v>
      </c>
      <c r="J26" s="2">
        <v>55.544077000000001</v>
      </c>
      <c r="K26" s="2">
        <v>45.853152999999999</v>
      </c>
      <c r="L26" s="2">
        <v>201.359565</v>
      </c>
      <c r="M26" s="2">
        <v>-622.49020499999995</v>
      </c>
      <c r="N26" s="2">
        <v>0.95586400000000005</v>
      </c>
      <c r="O26" s="2">
        <v>0.80239000000000005</v>
      </c>
      <c r="P26" s="2"/>
      <c r="Q26" s="5">
        <f>N26*0.001/60</f>
        <v>1.5931066666666667E-5</v>
      </c>
      <c r="R26" cm="1">
        <f t="array" ref="R26">[1]!PropsSI("D","T",J26+273.15,"P",101325,"Water")</f>
        <v>985.42873104503622</v>
      </c>
      <c r="S26" cm="1">
        <f t="array" ref="S26">[1]!PropsSI("D","T",J26+273.15,"P",101325,"Water")</f>
        <v>985.42873104503622</v>
      </c>
      <c r="T26">
        <f t="shared" si="1"/>
        <v>985.42873104503622</v>
      </c>
      <c r="U26" cm="1">
        <f t="array" ref="U26">[1]!PropsSI("H","T",J26+273.15,"P",101325,"Water")</f>
        <v>232604.97930399486</v>
      </c>
      <c r="V26" cm="1">
        <f t="array" ref="V26">[1]!PropsSI("H","T",K26+273.15,"P",101325,"Water")</f>
        <v>192081.33735265417</v>
      </c>
      <c r="W26">
        <f t="shared" si="0"/>
        <v>636.17785114415165</v>
      </c>
    </row>
    <row r="27" spans="1:23" x14ac:dyDescent="0.2">
      <c r="A27" s="1">
        <v>46066.686712962961</v>
      </c>
      <c r="B27" s="2">
        <v>18.473566999999999</v>
      </c>
      <c r="C27" s="2">
        <v>19.219569</v>
      </c>
      <c r="D27" s="2">
        <v>19.006591</v>
      </c>
      <c r="E27" s="2">
        <v>19.762837999999999</v>
      </c>
      <c r="F27" s="2">
        <v>32.286515999999999</v>
      </c>
      <c r="G27" s="2">
        <v>28.685148999999999</v>
      </c>
      <c r="H27" s="2">
        <v>23.858664999999998</v>
      </c>
      <c r="I27" s="2">
        <v>20.843408</v>
      </c>
      <c r="J27" s="2">
        <v>55.552511000000003</v>
      </c>
      <c r="K27" s="2">
        <v>45.855849999999997</v>
      </c>
      <c r="L27" s="2">
        <v>208.316768</v>
      </c>
      <c r="M27" s="2">
        <v>-622.50326500000006</v>
      </c>
      <c r="N27" s="2">
        <v>0.95271300000000003</v>
      </c>
      <c r="O27" s="2">
        <v>1.163953</v>
      </c>
      <c r="P27" s="2"/>
      <c r="Q27" s="5">
        <f>N27*0.001/60</f>
        <v>1.5878550000000001E-5</v>
      </c>
      <c r="R27" cm="1">
        <f t="array" ref="R27">[1]!PropsSI("D","T",J27+273.15,"P",101325,"Water")</f>
        <v>985.42461872992385</v>
      </c>
      <c r="S27" cm="1">
        <f t="array" ref="S27">[1]!PropsSI("D","T",J27+273.15,"P",101325,"Water")</f>
        <v>985.42461872992385</v>
      </c>
      <c r="T27">
        <f t="shared" si="1"/>
        <v>985.42461872992385</v>
      </c>
      <c r="U27" cm="1">
        <f t="array" ref="U27">[1]!PropsSI("H","T",J27+273.15,"P",101325,"Water")</f>
        <v>232640.26005130322</v>
      </c>
      <c r="V27" cm="1">
        <f t="array" ref="V27">[1]!PropsSI("H","T",K27+273.15,"P",101325,"Water")</f>
        <v>192092.61166393635</v>
      </c>
      <c r="W27">
        <f t="shared" si="0"/>
        <v>634.45367998207314</v>
      </c>
    </row>
    <row r="28" spans="1:23" x14ac:dyDescent="0.2">
      <c r="A28" s="1">
        <v>46066.686828703707</v>
      </c>
      <c r="B28" s="2">
        <v>18.838550999999999</v>
      </c>
      <c r="C28" s="2">
        <v>19.503829</v>
      </c>
      <c r="D28" s="2">
        <v>19.327190000000002</v>
      </c>
      <c r="E28" s="2">
        <v>19.961300999999999</v>
      </c>
      <c r="F28" s="2">
        <v>32.351970999999999</v>
      </c>
      <c r="G28" s="2">
        <v>29.556650000000001</v>
      </c>
      <c r="H28" s="2">
        <v>23.545166999999999</v>
      </c>
      <c r="I28" s="2">
        <v>21.186136000000001</v>
      </c>
      <c r="J28" s="2">
        <v>55.560626999999997</v>
      </c>
      <c r="K28" s="2">
        <v>45.857911999999999</v>
      </c>
      <c r="L28" s="2">
        <v>216.36697699999999</v>
      </c>
      <c r="M28" s="2">
        <v>-622.52122299999996</v>
      </c>
      <c r="N28" s="2">
        <v>0.957229</v>
      </c>
      <c r="O28" s="2">
        <v>1.3512919999999999</v>
      </c>
      <c r="P28" s="2"/>
      <c r="Q28" s="5">
        <f>N28*0.001/60</f>
        <v>1.5953816666666666E-5</v>
      </c>
      <c r="R28" cm="1">
        <f t="array" ref="R28">[1]!PropsSI("D","T",J28+273.15,"P",101325,"Water")</f>
        <v>985.4206610531669</v>
      </c>
      <c r="S28" cm="1">
        <f t="array" ref="S28">[1]!PropsSI("D","T",J28+273.15,"P",101325,"Water")</f>
        <v>985.4206610531669</v>
      </c>
      <c r="T28">
        <f t="shared" si="1"/>
        <v>985.4206610531669</v>
      </c>
      <c r="U28" cm="1">
        <f t="array" ref="U28">[1]!PropsSI("H","T",J28+273.15,"P",101325,"Water")</f>
        <v>232674.21057942047</v>
      </c>
      <c r="V28" cm="1">
        <f t="array" ref="V28">[1]!PropsSI("H","T",K28+273.15,"P",101325,"Water")</f>
        <v>192101.23147575074</v>
      </c>
      <c r="W28">
        <f t="shared" si="0"/>
        <v>637.8567535080017</v>
      </c>
    </row>
    <row r="29" spans="1:23" x14ac:dyDescent="0.2">
      <c r="A29" s="1">
        <v>46066.686944444446</v>
      </c>
      <c r="B29" s="2">
        <v>18.796092999999999</v>
      </c>
      <c r="C29" s="2">
        <v>19.591857999999998</v>
      </c>
      <c r="D29" s="2">
        <v>19.153894000000001</v>
      </c>
      <c r="E29" s="2">
        <v>19.816032</v>
      </c>
      <c r="F29" s="2">
        <v>32.096536</v>
      </c>
      <c r="G29" s="2">
        <v>29.581899</v>
      </c>
      <c r="H29" s="2">
        <v>23.442951999999998</v>
      </c>
      <c r="I29" s="2">
        <v>21.143253999999999</v>
      </c>
      <c r="J29" s="2">
        <v>55.569856999999999</v>
      </c>
      <c r="K29" s="2">
        <v>45.876159000000001</v>
      </c>
      <c r="L29" s="2">
        <v>201.013868</v>
      </c>
      <c r="M29" s="2">
        <v>-622.50693799999999</v>
      </c>
      <c r="N29" s="2">
        <v>0.94833199999999995</v>
      </c>
      <c r="O29" s="2">
        <v>1.080335</v>
      </c>
      <c r="P29" s="2"/>
      <c r="Q29" s="5">
        <f>N29*0.001/60</f>
        <v>1.5805533333333333E-5</v>
      </c>
      <c r="R29" cm="1">
        <f t="array" ref="R29">[1]!PropsSI("D","T",J29+273.15,"P",101325,"Water")</f>
        <v>985.41615965268136</v>
      </c>
      <c r="S29" cm="1">
        <f t="array" ref="S29">[1]!PropsSI("D","T",J29+273.15,"P",101325,"Water")</f>
        <v>985.41615965268136</v>
      </c>
      <c r="T29">
        <f t="shared" si="1"/>
        <v>985.41615965268136</v>
      </c>
      <c r="U29" cm="1">
        <f t="array" ref="U29">[1]!PropsSI("H","T",J29+273.15,"P",101325,"Water")</f>
        <v>232712.82117772638</v>
      </c>
      <c r="V29" cm="1">
        <f t="array" ref="V29">[1]!PropsSI("H","T",K29+273.15,"P",101325,"Water")</f>
        <v>192177.50974315105</v>
      </c>
      <c r="W29">
        <f t="shared" si="0"/>
        <v>631.33860890389781</v>
      </c>
    </row>
    <row r="30" spans="1:23" x14ac:dyDescent="0.2">
      <c r="A30" s="1">
        <v>46066.687060185184</v>
      </c>
      <c r="B30" s="2">
        <v>18.552409999999998</v>
      </c>
      <c r="C30" s="2">
        <v>19.408079000000001</v>
      </c>
      <c r="D30" s="2">
        <v>19.077237</v>
      </c>
      <c r="E30" s="2">
        <v>19.857561</v>
      </c>
      <c r="F30" s="2">
        <v>32.266365999999998</v>
      </c>
      <c r="G30" s="2">
        <v>28.752887999999999</v>
      </c>
      <c r="H30" s="2">
        <v>23.949777999999998</v>
      </c>
      <c r="I30" s="2">
        <v>21.597052000000001</v>
      </c>
      <c r="J30" s="2">
        <v>55.579245999999998</v>
      </c>
      <c r="K30" s="2">
        <v>45.873303</v>
      </c>
      <c r="L30" s="2">
        <v>200.183706</v>
      </c>
      <c r="M30" s="2">
        <v>-622.50122399999998</v>
      </c>
      <c r="N30" s="2">
        <v>0.95103700000000002</v>
      </c>
      <c r="O30" s="2">
        <v>0.91268099999999996</v>
      </c>
      <c r="P30" s="2"/>
      <c r="Q30" s="5">
        <f>N30*0.001/60</f>
        <v>1.5850616666666667E-5</v>
      </c>
      <c r="R30" cm="1">
        <f t="array" ref="R30">[1]!PropsSI("D","T",J30+273.15,"P",101325,"Water")</f>
        <v>985.41158016971565</v>
      </c>
      <c r="S30" cm="1">
        <f t="array" ref="S30">[1]!PropsSI("D","T",J30+273.15,"P",101325,"Water")</f>
        <v>985.41158016971565</v>
      </c>
      <c r="T30">
        <f t="shared" si="1"/>
        <v>985.41158016971565</v>
      </c>
      <c r="U30" cm="1">
        <f t="array" ref="U30">[1]!PropsSI("H","T",J30+273.15,"P",101325,"Water")</f>
        <v>232752.09693141686</v>
      </c>
      <c r="V30" cm="1">
        <f t="array" ref="V30">[1]!PropsSI("H","T",K30+273.15,"P",101325,"Water")</f>
        <v>192165.57074953831</v>
      </c>
      <c r="W30">
        <f t="shared" si="0"/>
        <v>633.93642467459972</v>
      </c>
    </row>
    <row r="31" spans="1:23" x14ac:dyDescent="0.2">
      <c r="A31" s="1">
        <v>46066.687175925923</v>
      </c>
      <c r="B31" s="2">
        <v>18.277494000000001</v>
      </c>
      <c r="C31" s="2">
        <v>18.975680000000001</v>
      </c>
      <c r="D31" s="2">
        <v>19.046355999999999</v>
      </c>
      <c r="E31" s="2">
        <v>19.873411000000001</v>
      </c>
      <c r="F31" s="2">
        <v>32.021827000000002</v>
      </c>
      <c r="G31" s="2">
        <v>30.776026000000002</v>
      </c>
      <c r="H31" s="2">
        <v>23.414736000000001</v>
      </c>
      <c r="I31" s="2">
        <v>21.065334</v>
      </c>
      <c r="J31" s="2">
        <v>55.589430999999998</v>
      </c>
      <c r="K31" s="2">
        <v>45.876475999999997</v>
      </c>
      <c r="L31" s="2">
        <v>212.39288999999999</v>
      </c>
      <c r="M31" s="2">
        <v>-622.49142900000004</v>
      </c>
      <c r="N31" s="2">
        <v>0.95511800000000002</v>
      </c>
      <c r="O31" s="2">
        <v>1.9053910000000001</v>
      </c>
      <c r="P31" s="2"/>
      <c r="Q31" s="5">
        <f>N31*0.001/60</f>
        <v>1.5918633333333334E-5</v>
      </c>
      <c r="R31" cm="1">
        <f t="array" ref="R31">[1]!PropsSI("D","T",J31+273.15,"P",101325,"Water")</f>
        <v>985.40661182281463</v>
      </c>
      <c r="S31" cm="1">
        <f t="array" ref="S31">[1]!PropsSI("D","T",J31+273.15,"P",101325,"Water")</f>
        <v>985.40661182281463</v>
      </c>
      <c r="T31">
        <f t="shared" si="1"/>
        <v>985.40661182281463</v>
      </c>
      <c r="U31" cm="1">
        <f t="array" ref="U31">[1]!PropsSI("H","T",J31+273.15,"P",101325,"Water")</f>
        <v>232794.70252280837</v>
      </c>
      <c r="V31" cm="1">
        <f t="array" ref="V31">[1]!PropsSI("H","T",K31+273.15,"P",101325,"Water")</f>
        <v>192178.83490465273</v>
      </c>
      <c r="W31">
        <f t="shared" si="0"/>
        <v>637.11376207646572</v>
      </c>
    </row>
    <row r="32" spans="1:23" x14ac:dyDescent="0.2">
      <c r="A32" s="1">
        <v>46066.687291666669</v>
      </c>
      <c r="B32" s="2">
        <v>18.642302000000001</v>
      </c>
      <c r="C32" s="2">
        <v>19.616543</v>
      </c>
      <c r="D32" s="2">
        <v>19.094128000000001</v>
      </c>
      <c r="E32" s="2">
        <v>19.760708999999999</v>
      </c>
      <c r="F32" s="2">
        <v>32.063251999999999</v>
      </c>
      <c r="G32" s="2">
        <v>29.453267</v>
      </c>
      <c r="H32" s="2">
        <v>23.632148999999998</v>
      </c>
      <c r="I32" s="2">
        <v>20.988579999999999</v>
      </c>
      <c r="J32" s="2">
        <v>55.600889000000002</v>
      </c>
      <c r="K32" s="2">
        <v>45.858705999999998</v>
      </c>
      <c r="L32" s="2">
        <v>202.50930399999999</v>
      </c>
      <c r="M32" s="2">
        <v>-622.48449100000005</v>
      </c>
      <c r="N32" s="2">
        <v>0.95211900000000005</v>
      </c>
      <c r="O32" s="2">
        <v>0.99221899999999996</v>
      </c>
      <c r="P32" s="2"/>
      <c r="Q32" s="5">
        <f>N32*0.001/60</f>
        <v>1.5868650000000003E-5</v>
      </c>
      <c r="R32" cm="1">
        <f t="array" ref="R32">[1]!PropsSI("D","T",J32+273.15,"P",101325,"Water")</f>
        <v>985.40102172848435</v>
      </c>
      <c r="S32" cm="1">
        <f t="array" ref="S32">[1]!PropsSI("D","T",J32+273.15,"P",101325,"Water")</f>
        <v>985.40102172848435</v>
      </c>
      <c r="T32">
        <f t="shared" si="1"/>
        <v>985.40102172848435</v>
      </c>
      <c r="U32" cm="1">
        <f t="array" ref="U32">[1]!PropsSI("H","T",J32+273.15,"P",101325,"Water")</f>
        <v>232842.63333614921</v>
      </c>
      <c r="V32" cm="1">
        <f t="array" ref="V32">[1]!PropsSI("H","T",K32+273.15,"P",101325,"Water")</f>
        <v>192104.55064701807</v>
      </c>
      <c r="W32">
        <f t="shared" si="0"/>
        <v>637.02074408219028</v>
      </c>
    </row>
    <row r="33" spans="1:23" x14ac:dyDescent="0.2">
      <c r="A33" s="1">
        <v>46066.687407407408</v>
      </c>
      <c r="B33" s="2">
        <v>18.597102</v>
      </c>
      <c r="C33" s="2">
        <v>19.419371000000002</v>
      </c>
      <c r="D33" s="2">
        <v>18.963951000000002</v>
      </c>
      <c r="E33" s="2">
        <v>19.782109999999999</v>
      </c>
      <c r="F33" s="2">
        <v>32.401696000000001</v>
      </c>
      <c r="G33" s="2">
        <v>29.021533999999999</v>
      </c>
      <c r="H33" s="2">
        <v>23.640709999999999</v>
      </c>
      <c r="I33" s="2">
        <v>20.975038000000001</v>
      </c>
      <c r="J33" s="2">
        <v>55.611710000000002</v>
      </c>
      <c r="K33" s="2">
        <v>45.872509000000001</v>
      </c>
      <c r="L33" s="2">
        <v>199.51516799999999</v>
      </c>
      <c r="M33" s="2">
        <v>-622.48204199999998</v>
      </c>
      <c r="N33" s="2">
        <v>0.95204500000000003</v>
      </c>
      <c r="O33" s="2">
        <v>0.87845899999999999</v>
      </c>
      <c r="P33" s="2"/>
      <c r="Q33" s="5">
        <f>N33*0.001/60</f>
        <v>1.5867416666666667E-5</v>
      </c>
      <c r="R33" cm="1">
        <f t="array" ref="R33">[1]!PropsSI("D","T",J33+273.15,"P",101325,"Water")</f>
        <v>985.39574166812213</v>
      </c>
      <c r="S33" cm="1">
        <f t="array" ref="S33">[1]!PropsSI("D","T",J33+273.15,"P",101325,"Water")</f>
        <v>985.39574166812213</v>
      </c>
      <c r="T33">
        <f t="shared" si="1"/>
        <v>985.39574166812213</v>
      </c>
      <c r="U33" cm="1">
        <f t="array" ref="U33">[1]!PropsSI("H","T",J33+273.15,"P",101325,"Water")</f>
        <v>232887.8995121324</v>
      </c>
      <c r="V33" cm="1">
        <f t="array" ref="V33">[1]!PropsSI("H","T",K33+273.15,"P",101325,"Water")</f>
        <v>192162.25157582769</v>
      </c>
      <c r="W33">
        <f t="shared" si="0"/>
        <v>636.77339500271546</v>
      </c>
    </row>
    <row r="34" spans="1:23" x14ac:dyDescent="0.2">
      <c r="A34" s="1">
        <v>46066.687523148146</v>
      </c>
      <c r="B34" s="2">
        <v>18.467744</v>
      </c>
      <c r="C34" s="2">
        <v>19.426041000000001</v>
      </c>
      <c r="D34" s="2">
        <v>19.065238000000001</v>
      </c>
      <c r="E34" s="2">
        <v>19.818002</v>
      </c>
      <c r="F34" s="2">
        <v>32.079878999999998</v>
      </c>
      <c r="G34" s="2">
        <v>29.678370999999999</v>
      </c>
      <c r="H34" s="2">
        <v>23.621607000000001</v>
      </c>
      <c r="I34" s="2">
        <v>21.415921999999998</v>
      </c>
      <c r="J34" s="2">
        <v>55.620621999999997</v>
      </c>
      <c r="K34" s="2">
        <v>45.882663999999998</v>
      </c>
      <c r="L34" s="2">
        <v>209.99994899999999</v>
      </c>
      <c r="M34" s="2">
        <v>-622.50775499999997</v>
      </c>
      <c r="N34" s="2">
        <v>0.95569999999999999</v>
      </c>
      <c r="O34" s="2">
        <v>1.676714</v>
      </c>
      <c r="P34" s="2"/>
      <c r="Q34" s="5">
        <f>N34*0.001/60</f>
        <v>1.5928333333333331E-5</v>
      </c>
      <c r="R34" cm="1">
        <f t="array" ref="R34">[1]!PropsSI("D","T",J34+273.15,"P",101325,"Water")</f>
        <v>985.39139255370026</v>
      </c>
      <c r="S34" cm="1">
        <f t="array" ref="S34">[1]!PropsSI("D","T",J34+273.15,"P",101325,"Water")</f>
        <v>985.39139255370026</v>
      </c>
      <c r="T34">
        <f t="shared" si="1"/>
        <v>985.39139255370026</v>
      </c>
      <c r="U34" cm="1">
        <f t="array" ref="U34">[1]!PropsSI("H","T",J34+273.15,"P",101325,"Water")</f>
        <v>232925.18003269556</v>
      </c>
      <c r="V34" cm="1">
        <f t="array" ref="V34">[1]!PropsSI("H","T",K34+273.15,"P",101325,"Water")</f>
        <v>192204.70273049304</v>
      </c>
      <c r="W34">
        <f t="shared" si="0"/>
        <v>639.13405678684296</v>
      </c>
    </row>
    <row r="35" spans="1:23" x14ac:dyDescent="0.2">
      <c r="A35" s="1">
        <v>46066.687638888892</v>
      </c>
      <c r="B35" s="2">
        <v>18.408097000000001</v>
      </c>
      <c r="C35" s="2">
        <v>19.173207000000001</v>
      </c>
      <c r="D35" s="2">
        <v>19.126075</v>
      </c>
      <c r="E35" s="2">
        <v>19.839648</v>
      </c>
      <c r="F35" s="2">
        <v>31.869607999999999</v>
      </c>
      <c r="G35" s="2">
        <v>29.277048000000001</v>
      </c>
      <c r="H35" s="2">
        <v>23.768091999999999</v>
      </c>
      <c r="I35" s="2">
        <v>21.626570999999998</v>
      </c>
      <c r="J35" s="2">
        <v>55.630647000000003</v>
      </c>
      <c r="K35" s="2">
        <v>45.884568000000002</v>
      </c>
      <c r="L35" s="2">
        <v>197.964225</v>
      </c>
      <c r="M35" s="2">
        <v>-622.48040900000001</v>
      </c>
      <c r="N35" s="2">
        <v>0.95042599999999999</v>
      </c>
      <c r="O35" s="2">
        <v>1.02315</v>
      </c>
      <c r="P35" s="2"/>
      <c r="Q35" s="5">
        <f>N35*0.001/60</f>
        <v>1.5840433333333332E-5</v>
      </c>
      <c r="R35" cm="1">
        <f t="array" ref="R35">[1]!PropsSI("D","T",J35+273.15,"P",101325,"Water")</f>
        <v>985.38649970250174</v>
      </c>
      <c r="S35" cm="1">
        <f t="array" ref="S35">[1]!PropsSI("D","T",J35+273.15,"P",101325,"Water")</f>
        <v>985.38649970250174</v>
      </c>
      <c r="T35">
        <f t="shared" si="1"/>
        <v>985.38649970250174</v>
      </c>
      <c r="U35" cm="1">
        <f t="array" ref="U35">[1]!PropsSI("H","T",J35+273.15,"P",101325,"Water")</f>
        <v>232967.11647038368</v>
      </c>
      <c r="V35" cm="1">
        <f t="array" ref="V35">[1]!PropsSI("H","T",K35+273.15,"P",101325,"Water")</f>
        <v>192212.66206312421</v>
      </c>
      <c r="W35">
        <f t="shared" si="0"/>
        <v>636.13420672767836</v>
      </c>
    </row>
    <row r="36" spans="1:23" x14ac:dyDescent="0.2">
      <c r="A36" s="1">
        <v>46066.687754629631</v>
      </c>
      <c r="B36" s="2">
        <v>18.581151999999999</v>
      </c>
      <c r="C36" s="2">
        <v>19.430401</v>
      </c>
      <c r="D36" s="2">
        <v>19.056242000000001</v>
      </c>
      <c r="E36" s="2">
        <v>19.846594</v>
      </c>
      <c r="F36" s="2">
        <v>32.457161999999997</v>
      </c>
      <c r="G36" s="2">
        <v>29.722936000000001</v>
      </c>
      <c r="H36" s="2">
        <v>23.748311999999999</v>
      </c>
      <c r="I36" s="2">
        <v>21.24513</v>
      </c>
      <c r="J36" s="2">
        <v>55.643697000000003</v>
      </c>
      <c r="K36" s="2">
        <v>45.888534</v>
      </c>
      <c r="L36" s="2">
        <v>190.468682</v>
      </c>
      <c r="M36" s="2">
        <v>-622.52938600000004</v>
      </c>
      <c r="N36" s="2">
        <v>0.95363100000000001</v>
      </c>
      <c r="O36" s="2">
        <v>1.777004</v>
      </c>
      <c r="P36" s="2"/>
      <c r="Q36" s="5">
        <f>N36*0.001/60</f>
        <v>1.589385E-5</v>
      </c>
      <c r="R36" cm="1">
        <f t="array" ref="R36">[1]!PropsSI("D","T",J36+273.15,"P",101325,"Water")</f>
        <v>985.38012952620522</v>
      </c>
      <c r="S36" cm="1">
        <f t="array" ref="S36">[1]!PropsSI("D","T",J36+273.15,"P",101325,"Water")</f>
        <v>985.38012952620522</v>
      </c>
      <c r="T36">
        <f t="shared" si="1"/>
        <v>985.38012952620522</v>
      </c>
      <c r="U36" cm="1">
        <f t="array" ref="U36">[1]!PropsSI("H","T",J36+273.15,"P",101325,"Water")</f>
        <v>233021.70710102856</v>
      </c>
      <c r="V36" cm="1">
        <f t="array" ref="V36">[1]!PropsSI("H","T",K36+273.15,"P",101325,"Water")</f>
        <v>192229.24122179163</v>
      </c>
      <c r="W36">
        <f t="shared" si="0"/>
        <v>638.87055053256779</v>
      </c>
    </row>
    <row r="37" spans="1:23" x14ac:dyDescent="0.2">
      <c r="A37" s="1">
        <v>46066.687881944446</v>
      </c>
      <c r="B37" s="2">
        <v>18.331695</v>
      </c>
      <c r="C37" s="2">
        <v>19.231304000000002</v>
      </c>
      <c r="D37" s="2">
        <v>19.049569999999999</v>
      </c>
      <c r="E37" s="2">
        <v>19.811001000000001</v>
      </c>
      <c r="F37" s="2">
        <v>32.117657000000001</v>
      </c>
      <c r="G37" s="2">
        <v>29.487850999999999</v>
      </c>
      <c r="H37" s="2">
        <v>23.749493000000001</v>
      </c>
      <c r="I37" s="2">
        <v>21.310852000000001</v>
      </c>
      <c r="J37" s="2">
        <v>55.649425999999998</v>
      </c>
      <c r="K37" s="2">
        <v>45.895833000000003</v>
      </c>
      <c r="L37" s="2">
        <v>197.47567799999999</v>
      </c>
      <c r="M37" s="2">
        <v>-622.47796000000005</v>
      </c>
      <c r="N37" s="2">
        <v>0.94675100000000001</v>
      </c>
      <c r="O37" s="2">
        <v>1.3167899999999999</v>
      </c>
      <c r="Q37" s="5">
        <f t="shared" ref="Q37:Q43" si="2">N37*0.001/60</f>
        <v>1.5779183333333333E-5</v>
      </c>
      <c r="R37" cm="1">
        <f t="array" ref="R37">[1]!PropsSI("D","T",J37+273.15,"P",101325,"Water")</f>
        <v>985.37733266268413</v>
      </c>
      <c r="S37" cm="1">
        <f t="array" ref="S37">[1]!PropsSI("D","T",J37+273.15,"P",101325,"Water")</f>
        <v>985.37733266268413</v>
      </c>
      <c r="T37">
        <f t="shared" si="1"/>
        <v>985.37733266268413</v>
      </c>
      <c r="U37" cm="1">
        <f t="array" ref="U37">[1]!PropsSI("H","T",J37+273.15,"P",101325,"Water")</f>
        <v>233045.67261709587</v>
      </c>
      <c r="V37" cm="1">
        <f t="array" ref="V37">[1]!PropsSI("H","T",K37+273.15,"P",101325,"Water")</f>
        <v>192259.75340360668</v>
      </c>
      <c r="W37">
        <f t="shared" si="0"/>
        <v>634.15780865232091</v>
      </c>
    </row>
    <row r="38" spans="1:23" x14ac:dyDescent="0.2">
      <c r="A38" s="1">
        <v>46066.687997685185</v>
      </c>
      <c r="B38" s="2">
        <v>18.186509999999998</v>
      </c>
      <c r="C38" s="2">
        <v>18.928750000000001</v>
      </c>
      <c r="D38" s="2">
        <v>19.039380000000001</v>
      </c>
      <c r="E38" s="2">
        <v>19.657861</v>
      </c>
      <c r="F38" s="2">
        <v>32.109361</v>
      </c>
      <c r="G38" s="2">
        <v>29.209099999999999</v>
      </c>
      <c r="H38" s="2">
        <v>23.400169999999999</v>
      </c>
      <c r="I38" s="2">
        <v>21.148142</v>
      </c>
      <c r="J38" s="2">
        <v>55.662953000000002</v>
      </c>
      <c r="K38" s="2">
        <v>45.879331999999998</v>
      </c>
      <c r="L38" s="2">
        <v>197.87851499999999</v>
      </c>
      <c r="M38" s="2">
        <v>-622.46612400000004</v>
      </c>
      <c r="N38" s="2">
        <v>0.94432099999999997</v>
      </c>
      <c r="O38" s="2">
        <v>1.5830059999999999</v>
      </c>
      <c r="Q38" s="5">
        <f t="shared" si="2"/>
        <v>1.5738683333333332E-5</v>
      </c>
      <c r="R38" cm="1">
        <f t="array" ref="R38">[1]!PropsSI("D","T",J38+273.15,"P",101325,"Water")</f>
        <v>985.37072805918433</v>
      </c>
      <c r="S38" cm="1">
        <f t="array" ref="S38">[1]!PropsSI("D","T",J38+273.15,"P",101325,"Water")</f>
        <v>985.37072805918433</v>
      </c>
      <c r="T38">
        <f t="shared" si="1"/>
        <v>985.37072805918433</v>
      </c>
      <c r="U38" cm="1">
        <f t="array" ref="U38">[1]!PropsSI("H","T",J38+273.15,"P",101325,"Water")</f>
        <v>233102.25872496382</v>
      </c>
      <c r="V38" cm="1">
        <f t="array" ref="V38">[1]!PropsSI("H","T",K38+273.15,"P",101325,"Water")</f>
        <v>192190.77390017762</v>
      </c>
      <c r="W38">
        <f t="shared" si="0"/>
        <v>634.47321995522896</v>
      </c>
    </row>
    <row r="39" spans="1:23" x14ac:dyDescent="0.2">
      <c r="A39" s="1">
        <v>46066.688113425924</v>
      </c>
      <c r="B39" s="2">
        <v>18.783757999999999</v>
      </c>
      <c r="C39" s="2">
        <v>19.364367000000001</v>
      </c>
      <c r="D39" s="2">
        <v>18.995947999999999</v>
      </c>
      <c r="E39" s="2">
        <v>19.683897999999999</v>
      </c>
      <c r="F39" s="2">
        <v>32.087480999999997</v>
      </c>
      <c r="G39" s="2">
        <v>30.233712000000001</v>
      </c>
      <c r="H39" s="2">
        <v>23.529007</v>
      </c>
      <c r="I39" s="2">
        <v>20.86806</v>
      </c>
      <c r="J39" s="2">
        <v>55.670591000000002</v>
      </c>
      <c r="K39" s="2">
        <v>45.860610000000001</v>
      </c>
      <c r="L39" s="2">
        <v>210.57951199999999</v>
      </c>
      <c r="M39" s="2">
        <v>-622.49142900000004</v>
      </c>
      <c r="N39" s="2">
        <v>0.94699199999999994</v>
      </c>
      <c r="O39" s="2">
        <v>1.742693</v>
      </c>
      <c r="Q39" s="5">
        <f t="shared" si="2"/>
        <v>1.5783200000000002E-5</v>
      </c>
      <c r="R39" cm="1">
        <f t="array" ref="R39">[1]!PropsSI("D","T",J39+273.15,"P",101325,"Water")</f>
        <v>985.36699828149665</v>
      </c>
      <c r="S39" cm="1">
        <f t="array" ref="S39">[1]!PropsSI("D","T",J39+273.15,"P",101325,"Water")</f>
        <v>985.36699828149665</v>
      </c>
      <c r="T39">
        <f t="shared" si="1"/>
        <v>985.36699828149665</v>
      </c>
      <c r="U39" cm="1">
        <f t="array" ref="U39">[1]!PropsSI("H","T",J39+273.15,"P",101325,"Water")</f>
        <v>233134.21001488715</v>
      </c>
      <c r="V39" cm="1">
        <f t="array" ref="V39">[1]!PropsSI("H","T",K39+273.15,"P",101325,"Water")</f>
        <v>192112.50996997679</v>
      </c>
      <c r="W39">
        <f t="shared" si="0"/>
        <v>637.97950510043222</v>
      </c>
    </row>
    <row r="40" spans="1:23" x14ac:dyDescent="0.2">
      <c r="A40" s="1">
        <v>46066.68822916667</v>
      </c>
      <c r="B40" s="2">
        <v>18.574746000000001</v>
      </c>
      <c r="C40" s="2">
        <v>19.471717999999999</v>
      </c>
      <c r="D40" s="2">
        <v>19.141092</v>
      </c>
      <c r="E40" s="2">
        <v>19.760760999999999</v>
      </c>
      <c r="F40" s="2">
        <v>32.255661000000003</v>
      </c>
      <c r="G40" s="2">
        <v>30.238368999999999</v>
      </c>
      <c r="H40" s="2">
        <v>23.414466000000001</v>
      </c>
      <c r="I40" s="2">
        <v>21.290240000000001</v>
      </c>
      <c r="J40" s="2">
        <v>55.678547999999999</v>
      </c>
      <c r="K40" s="2">
        <v>45.881236000000001</v>
      </c>
      <c r="L40" s="2">
        <v>193.64199300000001</v>
      </c>
      <c r="M40" s="2">
        <v>-622.50816299999997</v>
      </c>
      <c r="N40" s="2">
        <v>0.94926299999999997</v>
      </c>
      <c r="O40" s="2">
        <v>0.63537100000000002</v>
      </c>
      <c r="Q40" s="5">
        <f t="shared" si="2"/>
        <v>1.582105E-5</v>
      </c>
      <c r="R40" cm="1">
        <f t="array" ref="R40">[1]!PropsSI("D","T",J40+273.15,"P",101325,"Water")</f>
        <v>985.36311234767425</v>
      </c>
      <c r="S40" cm="1">
        <f t="array" ref="S40">[1]!PropsSI("D","T",J40+273.15,"P",101325,"Water")</f>
        <v>985.36311234767425</v>
      </c>
      <c r="T40">
        <f t="shared" si="1"/>
        <v>985.36311234767425</v>
      </c>
      <c r="U40" cm="1">
        <f t="array" ref="U40">[1]!PropsSI("H","T",J40+273.15,"P",101325,"Water")</f>
        <v>233167.49576902611</v>
      </c>
      <c r="V40" cm="1">
        <f t="array" ref="V40">[1]!PropsSI("H","T",K40+273.15,"P",101325,"Water")</f>
        <v>192198.73323148207</v>
      </c>
      <c r="W40">
        <f t="shared" si="0"/>
        <v>638.68166604582143</v>
      </c>
    </row>
    <row r="41" spans="1:23" x14ac:dyDescent="0.2">
      <c r="A41" s="1">
        <v>46066.688344907408</v>
      </c>
      <c r="B41" s="2">
        <v>18.695951999999998</v>
      </c>
      <c r="C41" s="2">
        <v>19.491346</v>
      </c>
      <c r="D41" s="2">
        <v>19.209755999999999</v>
      </c>
      <c r="E41" s="2">
        <v>19.763728</v>
      </c>
      <c r="F41" s="2">
        <v>32.309621</v>
      </c>
      <c r="G41" s="2">
        <v>29.812204999999999</v>
      </c>
      <c r="H41" s="2">
        <v>23.665851</v>
      </c>
      <c r="I41" s="2">
        <v>21.118594999999999</v>
      </c>
      <c r="J41" s="2">
        <v>55.681730999999999</v>
      </c>
      <c r="K41" s="2">
        <v>45.900275000000001</v>
      </c>
      <c r="L41" s="2">
        <v>203.67414299999999</v>
      </c>
      <c r="M41" s="2">
        <v>-622.50081599999999</v>
      </c>
      <c r="N41" s="2">
        <v>0.95211000000000001</v>
      </c>
      <c r="O41" s="2">
        <v>1.382172</v>
      </c>
      <c r="Q41" s="5">
        <f t="shared" si="2"/>
        <v>1.5868500000000002E-5</v>
      </c>
      <c r="R41" cm="1">
        <f t="array" ref="R41">[1]!PropsSI("D","T",J41+273.15,"P",101325,"Water")</f>
        <v>985.3615577671751</v>
      </c>
      <c r="S41" cm="1">
        <f t="array" ref="S41">[1]!PropsSI("D","T",J41+273.15,"P",101325,"Water")</f>
        <v>985.3615577671751</v>
      </c>
      <c r="T41">
        <f t="shared" si="1"/>
        <v>985.3615577671751</v>
      </c>
      <c r="U41" cm="1">
        <f t="array" ref="U41">[1]!PropsSI("H","T",J41+273.15,"P",101325,"Water")</f>
        <v>233180.81091393449</v>
      </c>
      <c r="V41" cm="1">
        <f t="array" ref="V41">[1]!PropsSI("H","T",K41+273.15,"P",101325,"Water")</f>
        <v>192278.32240649973</v>
      </c>
      <c r="W41">
        <f t="shared" si="0"/>
        <v>639.5598948931588</v>
      </c>
    </row>
    <row r="42" spans="1:23" x14ac:dyDescent="0.2">
      <c r="A42" s="1">
        <v>46066.688460648147</v>
      </c>
      <c r="B42" s="2">
        <v>18.490697000000001</v>
      </c>
      <c r="C42" s="2">
        <v>19.319839000000002</v>
      </c>
      <c r="D42" s="2">
        <v>19.096219000000001</v>
      </c>
      <c r="E42" s="2">
        <v>19.654109999999999</v>
      </c>
      <c r="F42" s="2">
        <v>32.285941999999999</v>
      </c>
      <c r="G42" s="2">
        <v>29.384181999999999</v>
      </c>
      <c r="H42" s="2">
        <v>23.317233999999999</v>
      </c>
      <c r="I42" s="2">
        <v>21.195626000000001</v>
      </c>
      <c r="J42" s="2">
        <v>55.695098999999999</v>
      </c>
      <c r="K42" s="2">
        <v>45.905828</v>
      </c>
      <c r="L42" s="2">
        <v>216.783691</v>
      </c>
      <c r="M42" s="2">
        <v>-622.50244899999996</v>
      </c>
      <c r="N42" s="2">
        <v>0.95</v>
      </c>
      <c r="O42" s="2">
        <v>0.62750499999999998</v>
      </c>
      <c r="Q42" s="5">
        <f t="shared" si="2"/>
        <v>1.5833333333333333E-5</v>
      </c>
      <c r="R42" cm="1">
        <f t="array" ref="R42">[1]!PropsSI("D","T",J42+273.15,"P",101325,"Water")</f>
        <v>985.35502814026052</v>
      </c>
      <c r="S42" cm="1">
        <f t="array" ref="S42">[1]!PropsSI("D","T",J42+273.15,"P",101325,"Water")</f>
        <v>985.35502814026052</v>
      </c>
      <c r="T42">
        <f t="shared" si="1"/>
        <v>985.35502814026052</v>
      </c>
      <c r="U42" cm="1">
        <f t="array" ref="U42">[1]!PropsSI("H","T",J42+273.15,"P",101325,"Water")</f>
        <v>233236.7320537247</v>
      </c>
      <c r="V42" cm="1">
        <f t="array" ref="V42">[1]!PropsSI("H","T",K42+273.15,"P",101325,"Water")</f>
        <v>192301.53575612936</v>
      </c>
      <c r="W42">
        <f t="shared" si="0"/>
        <v>638.64860707928221</v>
      </c>
    </row>
    <row r="43" spans="1:23" x14ac:dyDescent="0.2">
      <c r="A43" s="1">
        <v>46066.688576388886</v>
      </c>
      <c r="B43" s="2">
        <v>18.385525999999999</v>
      </c>
      <c r="C43" s="2">
        <v>19.308461000000001</v>
      </c>
      <c r="D43" s="2">
        <v>19.111284000000001</v>
      </c>
      <c r="E43" s="2">
        <v>19.717427000000001</v>
      </c>
      <c r="F43" s="2">
        <v>32.081555000000002</v>
      </c>
      <c r="G43" s="2">
        <v>30.044460999999998</v>
      </c>
      <c r="H43" s="2">
        <v>23.472007000000001</v>
      </c>
      <c r="I43" s="2">
        <v>21.301297000000002</v>
      </c>
      <c r="J43" s="2">
        <v>55.699714</v>
      </c>
      <c r="K43" s="2">
        <v>45.914237999999997</v>
      </c>
      <c r="L43" s="2">
        <v>197.55200099999999</v>
      </c>
      <c r="M43" s="2">
        <v>-622.487348</v>
      </c>
      <c r="N43" s="2">
        <v>0.94527099999999997</v>
      </c>
      <c r="O43" s="2">
        <v>1.622045</v>
      </c>
      <c r="Q43" s="5">
        <f t="shared" si="2"/>
        <v>1.5754516666666666E-5</v>
      </c>
      <c r="R43" cm="1">
        <f t="array" ref="R43">[1]!PropsSI("D","T",J43+273.15,"P",101325,"Water")</f>
        <v>985.35277367831361</v>
      </c>
      <c r="S43" cm="1">
        <f t="array" ref="S43">[1]!PropsSI("D","T",J43+273.15,"P",101325,"Water")</f>
        <v>985.35277367831361</v>
      </c>
      <c r="T43">
        <f t="shared" si="1"/>
        <v>985.35277367831361</v>
      </c>
      <c r="U43" cm="1">
        <f t="array" ref="U43">[1]!PropsSI("H","T",J43+273.15,"P",101325,"Water")</f>
        <v>233256.03757937404</v>
      </c>
      <c r="V43" cm="1">
        <f t="array" ref="V43">[1]!PropsSI("H","T",K43+273.15,"P",101325,"Water")</f>
        <v>192336.6923093533</v>
      </c>
      <c r="W43">
        <f t="shared" si="0"/>
        <v>635.22196010937387</v>
      </c>
    </row>
    <row r="44" spans="1:23" x14ac:dyDescent="0.2">
      <c r="A44" s="1">
        <v>46066.688692129632</v>
      </c>
      <c r="B44" s="2">
        <v>18.389268999999999</v>
      </c>
      <c r="C44" s="2">
        <v>19.336413</v>
      </c>
      <c r="D44" s="2">
        <v>19.124700000000001</v>
      </c>
      <c r="E44" s="2">
        <v>19.797878999999998</v>
      </c>
      <c r="F44" s="2">
        <v>31.875111</v>
      </c>
      <c r="G44" s="2">
        <v>28.929603</v>
      </c>
      <c r="H44" s="2">
        <v>23.494163</v>
      </c>
      <c r="I44" s="2">
        <v>21.529305999999998</v>
      </c>
      <c r="J44" s="2">
        <v>55.711013000000001</v>
      </c>
      <c r="K44" s="2">
        <v>45.928359</v>
      </c>
      <c r="L44" s="2">
        <v>232.445764</v>
      </c>
      <c r="M44" s="2">
        <v>-622.49061300000005</v>
      </c>
      <c r="N44" s="2">
        <v>0.94518899999999995</v>
      </c>
      <c r="O44" s="2">
        <v>1.116438</v>
      </c>
      <c r="Q44" s="5">
        <f>N44*0.001/60</f>
        <v>1.575315E-5</v>
      </c>
      <c r="R44" cm="1">
        <f t="array" ref="R44">[1]!PropsSI("D","T",J44+273.15,"P",101325,"Water")</f>
        <v>985.34725347840708</v>
      </c>
      <c r="S44" cm="1">
        <f t="array" ref="S44">[1]!PropsSI("D","T",J44+273.15,"P",101325,"Water")</f>
        <v>985.34725347840708</v>
      </c>
      <c r="T44">
        <f t="shared" ref="T44" si="3">(R44+S44)/2</f>
        <v>985.34725347840708</v>
      </c>
      <c r="U44" cm="1">
        <f t="array" ref="U44">[1]!PropsSI("H","T",J44+273.15,"P",101325,"Water")</f>
        <v>233303.30373074886</v>
      </c>
      <c r="V44" cm="1">
        <f t="array" ref="V44">[1]!PropsSI("H","T",K44+273.15,"P",101325,"Water")</f>
        <v>192395.72274591081</v>
      </c>
      <c r="W44">
        <f t="shared" ref="W44" si="4">T44*Q44*(U44-V44)</f>
        <v>634.98068871882197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79D1-A774-614F-A052-D5A258E1658C}">
  <dimension ref="A1:Y44"/>
  <sheetViews>
    <sheetView topLeftCell="F1" workbookViewId="0">
      <selection activeCell="Y9" sqref="Y9"/>
    </sheetView>
  </sheetViews>
  <sheetFormatPr baseColWidth="10" defaultRowHeight="16" x14ac:dyDescent="0.2"/>
  <cols>
    <col min="1" max="1" width="22" customWidth="1"/>
    <col min="16" max="16" width="7.1640625" customWidth="1"/>
    <col min="17" max="17" width="12.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Y1" s="7">
        <v>0.6802083333333333</v>
      </c>
    </row>
    <row r="2" spans="1:25" x14ac:dyDescent="0.2">
      <c r="A2" s="1">
        <v>46066.679236111115</v>
      </c>
      <c r="B2" s="2">
        <v>18.243044000000001</v>
      </c>
      <c r="C2" s="2">
        <v>19.102684</v>
      </c>
      <c r="D2" s="2">
        <v>19.347244</v>
      </c>
      <c r="E2" s="2">
        <v>20.036396</v>
      </c>
      <c r="F2" s="2">
        <v>30.885808000000001</v>
      </c>
      <c r="G2" s="2">
        <v>28.578322</v>
      </c>
      <c r="H2" s="2">
        <v>23.127572000000001</v>
      </c>
      <c r="I2" s="2">
        <v>21.249644</v>
      </c>
      <c r="J2" s="2">
        <v>55.050642000000003</v>
      </c>
      <c r="K2" s="2">
        <v>44.928139000000002</v>
      </c>
      <c r="L2" s="2">
        <v>278.49121400000001</v>
      </c>
      <c r="M2" s="2">
        <v>-622.50040799999999</v>
      </c>
      <c r="N2" s="2">
        <v>0.96063799999999999</v>
      </c>
      <c r="O2" s="2">
        <v>1.2003349999999999</v>
      </c>
      <c r="P2" s="2"/>
      <c r="Q2">
        <f xml:space="preserve"> N2*0.001/60</f>
        <v>1.6010633333333332E-5</v>
      </c>
      <c r="R2" cm="1">
        <f t="array" ref="R2">[1]!PropsSI("D","T",J2+273.15,"P",101325,"Water")</f>
        <v>985.66855829202848</v>
      </c>
      <c r="S2" cm="1">
        <f t="array" ref="S2">[1]!PropsSI("D","T",J2+273.15,"P",101325,"Water")</f>
        <v>985.66855829202848</v>
      </c>
      <c r="T2">
        <f>(R2+S2)/2</f>
        <v>985.66855829202848</v>
      </c>
      <c r="U2" cm="1">
        <f t="array" ref="U2">[1]!PropsSI("H","T",J2+273.15,"P",101325,"Water")</f>
        <v>230540.90867433249</v>
      </c>
      <c r="V2" cm="1">
        <f t="array" ref="V2">[1]!PropsSI("H","T",K2+273.15,"P",101325,"Water")</f>
        <v>188214.5750342666</v>
      </c>
      <c r="W2">
        <f>T2*Q2*(U2-V2)</f>
        <v>667.95939997085532</v>
      </c>
    </row>
    <row r="3" spans="1:25" x14ac:dyDescent="0.2">
      <c r="A3" s="1">
        <v>46066.679351851853</v>
      </c>
      <c r="B3" s="2">
        <v>18.348227000000001</v>
      </c>
      <c r="C3" s="2">
        <v>19.15361</v>
      </c>
      <c r="D3" s="2">
        <v>19.205829000000001</v>
      </c>
      <c r="E3" s="2">
        <v>20.062372</v>
      </c>
      <c r="F3" s="2">
        <v>30.707294000000001</v>
      </c>
      <c r="G3" s="2">
        <v>28.270965</v>
      </c>
      <c r="H3" s="2">
        <v>23.367522000000001</v>
      </c>
      <c r="I3" s="2">
        <v>21.199432999999999</v>
      </c>
      <c r="J3" s="2">
        <v>55.054301000000002</v>
      </c>
      <c r="K3" s="2">
        <v>44.925759999999997</v>
      </c>
      <c r="L3" s="2">
        <v>281.79268100000002</v>
      </c>
      <c r="M3" s="2">
        <v>-622.49550999999997</v>
      </c>
      <c r="N3" s="2">
        <v>0.96283399999999997</v>
      </c>
      <c r="O3" s="2">
        <v>1.3697820000000001</v>
      </c>
      <c r="P3" s="2"/>
      <c r="Q3">
        <f xml:space="preserve"> N3*0.001/60</f>
        <v>1.6047233333333335E-5</v>
      </c>
      <c r="R3" cm="1">
        <f t="array" ref="R3">[1]!PropsSI("D","T",J3+273.15,"P",101325,"Water")</f>
        <v>985.66678543589114</v>
      </c>
      <c r="S3" cm="1">
        <f t="array" ref="S3">[1]!PropsSI("D","T",J3+273.15,"P",101325,"Water")</f>
        <v>985.66678543589114</v>
      </c>
      <c r="T3">
        <f>(R3+S3)/2</f>
        <v>985.66678543589114</v>
      </c>
      <c r="U3" cm="1">
        <f t="array" ref="U3">[1]!PropsSI("H","T",J3+273.15,"P",101325,"Water")</f>
        <v>230556.21418167721</v>
      </c>
      <c r="V3" cm="1">
        <f t="array" ref="V3">[1]!PropsSI("H","T",K3+273.15,"P",101325,"Water")</f>
        <v>188204.63051040331</v>
      </c>
      <c r="W3">
        <f t="shared" ref="W3:W44" si="0">T3*Q3*(U3-V3)</f>
        <v>669.88452357974757</v>
      </c>
    </row>
    <row r="4" spans="1:25" x14ac:dyDescent="0.2">
      <c r="A4" s="1">
        <v>46066.679467592592</v>
      </c>
      <c r="B4" s="2">
        <v>18.293849999999999</v>
      </c>
      <c r="C4" s="2">
        <v>19.239522999999998</v>
      </c>
      <c r="D4" s="2">
        <v>19.098085999999999</v>
      </c>
      <c r="E4" s="2">
        <v>19.895043999999999</v>
      </c>
      <c r="F4" s="2">
        <v>30.680902</v>
      </c>
      <c r="G4" s="2">
        <v>28.230556</v>
      </c>
      <c r="H4" s="2">
        <v>23.463208000000002</v>
      </c>
      <c r="I4" s="2">
        <v>21.277937000000001</v>
      </c>
      <c r="J4" s="2">
        <v>55.060347999999998</v>
      </c>
      <c r="K4" s="2">
        <v>44.920366999999999</v>
      </c>
      <c r="L4" s="2">
        <v>271.39034500000002</v>
      </c>
      <c r="M4" s="2">
        <v>-622.51469299999997</v>
      </c>
      <c r="N4" s="2">
        <v>0.95490900000000001</v>
      </c>
      <c r="O4" s="2">
        <v>1.7344839999999999</v>
      </c>
      <c r="P4" s="2"/>
      <c r="Q4" s="5">
        <f xml:space="preserve"> N4*0.001/60</f>
        <v>1.591515E-5</v>
      </c>
      <c r="R4" cm="1">
        <f t="array" ref="R4">[1]!PropsSI("D","T",J4+273.15,"P",101325,"Water")</f>
        <v>985.66385536554776</v>
      </c>
      <c r="S4" cm="1">
        <f t="array" ref="S4">[1]!PropsSI("D","T",J4+273.15,"P",101325,"Water")</f>
        <v>985.66385536554776</v>
      </c>
      <c r="T4">
        <f t="shared" ref="T4:T44" si="1">(R4+S4)/2</f>
        <v>985.66385536554776</v>
      </c>
      <c r="U4" cm="1">
        <f t="array" ref="U4">[1]!PropsSI("H","T",J4+273.15,"P",101325,"Water")</f>
        <v>230581.50864523041</v>
      </c>
      <c r="V4" cm="1">
        <f t="array" ref="V4">[1]!PropsSI("H","T",K4+273.15,"P",101325,"Water")</f>
        <v>188182.08708564323</v>
      </c>
      <c r="W4">
        <f t="shared" si="0"/>
        <v>665.11922177949339</v>
      </c>
    </row>
    <row r="5" spans="1:25" x14ac:dyDescent="0.2">
      <c r="A5" s="1">
        <v>46066.679583333331</v>
      </c>
      <c r="B5" s="2">
        <v>18.099546</v>
      </c>
      <c r="C5" s="2">
        <v>18.823613999999999</v>
      </c>
      <c r="D5" s="2">
        <v>18.864194000000001</v>
      </c>
      <c r="E5" s="2">
        <v>19.674377</v>
      </c>
      <c r="F5" s="2">
        <v>30.518208000000001</v>
      </c>
      <c r="G5" s="2">
        <v>27.894304999999999</v>
      </c>
      <c r="H5" s="2">
        <v>22.955362999999998</v>
      </c>
      <c r="I5" s="2">
        <v>20.954861999999999</v>
      </c>
      <c r="J5" s="2">
        <v>55.069417000000001</v>
      </c>
      <c r="K5" s="2">
        <v>44.923856000000001</v>
      </c>
      <c r="L5" s="2">
        <v>292.34235699999999</v>
      </c>
      <c r="M5" s="2">
        <v>-622.49183700000003</v>
      </c>
      <c r="N5" s="2">
        <v>0.96225700000000003</v>
      </c>
      <c r="O5" s="2">
        <v>1.516303</v>
      </c>
      <c r="P5" s="2"/>
      <c r="Q5" s="5">
        <f xml:space="preserve"> N5*0.001/60</f>
        <v>1.6037616666666667E-5</v>
      </c>
      <c r="R5" cm="1">
        <f t="array" ref="R5">[1]!PropsSI("D","T",J5+273.15,"P",101325,"Water")</f>
        <v>985.65946056162124</v>
      </c>
      <c r="S5" cm="1">
        <f t="array" ref="S5">[1]!PropsSI("D","T",J5+273.15,"P",101325,"Water")</f>
        <v>985.65946056162124</v>
      </c>
      <c r="T5">
        <f t="shared" si="1"/>
        <v>985.65946056162124</v>
      </c>
      <c r="U5" cm="1">
        <f t="array" ref="U5">[1]!PropsSI("H","T",J5+273.15,"P",101325,"Water")</f>
        <v>230619.44409092792</v>
      </c>
      <c r="V5" cm="1">
        <f t="array" ref="V5">[1]!PropsSI("H","T",K5+273.15,"P",101325,"Water")</f>
        <v>188196.6715479902</v>
      </c>
      <c r="W5">
        <f t="shared" si="0"/>
        <v>670.60343221695814</v>
      </c>
    </row>
    <row r="6" spans="1:25" x14ac:dyDescent="0.2">
      <c r="A6" s="1">
        <v>46066.679699074077</v>
      </c>
      <c r="B6" s="2">
        <v>18.189547999999998</v>
      </c>
      <c r="C6" s="2">
        <v>18.984414999999998</v>
      </c>
      <c r="D6" s="2">
        <v>19.015450999999999</v>
      </c>
      <c r="E6" s="2">
        <v>19.918424999999999</v>
      </c>
      <c r="F6" s="2">
        <v>30.653583999999999</v>
      </c>
      <c r="G6" s="2">
        <v>27.691908999999999</v>
      </c>
      <c r="H6" s="2">
        <v>23.149401999999998</v>
      </c>
      <c r="I6" s="2">
        <v>20.867936</v>
      </c>
      <c r="J6" s="2">
        <v>55.067030000000003</v>
      </c>
      <c r="K6" s="2">
        <v>44.902442999999998</v>
      </c>
      <c r="L6" s="2">
        <v>270.16101800000001</v>
      </c>
      <c r="M6" s="2">
        <v>-622.48571500000003</v>
      </c>
      <c r="N6" s="2">
        <v>0.95277400000000001</v>
      </c>
      <c r="O6" s="2">
        <v>1.3646480000000001</v>
      </c>
      <c r="P6" s="2"/>
      <c r="Q6" s="5">
        <f xml:space="preserve"> N6*0.001/60</f>
        <v>1.5879566666666666E-5</v>
      </c>
      <c r="R6" cm="1">
        <f t="array" ref="R6">[1]!PropsSI("D","T",J6+273.15,"P",101325,"Water")</f>
        <v>985.66061734247637</v>
      </c>
      <c r="S6" cm="1">
        <f t="array" ref="S6">[1]!PropsSI("D","T",J6+273.15,"P",101325,"Water")</f>
        <v>985.66061734247637</v>
      </c>
      <c r="T6">
        <f t="shared" si="1"/>
        <v>985.66061734247637</v>
      </c>
      <c r="U6" cm="1">
        <f t="array" ref="U6">[1]!PropsSI("H","T",J6+273.15,"P",101325,"Water")</f>
        <v>230609.45931478046</v>
      </c>
      <c r="V6" cm="1">
        <f t="array" ref="V6">[1]!PropsSI("H","T",K6+273.15,"P",101325,"Water")</f>
        <v>188107.16253024209</v>
      </c>
      <c r="W6">
        <f t="shared" si="0"/>
        <v>665.24014701944748</v>
      </c>
    </row>
    <row r="7" spans="1:25" x14ac:dyDescent="0.2">
      <c r="A7" s="1">
        <v>46066.679814814815</v>
      </c>
      <c r="B7" s="2">
        <v>18.103152999999999</v>
      </c>
      <c r="C7" s="2">
        <v>18.755268000000001</v>
      </c>
      <c r="D7" s="2">
        <v>18.891355000000001</v>
      </c>
      <c r="E7" s="2">
        <v>19.720911000000001</v>
      </c>
      <c r="F7" s="2">
        <v>30.434249000000001</v>
      </c>
      <c r="G7" s="2">
        <v>28.366997000000001</v>
      </c>
      <c r="H7" s="2">
        <v>23.118382</v>
      </c>
      <c r="I7" s="2">
        <v>20.699244</v>
      </c>
      <c r="J7" s="2">
        <v>55.077371999999997</v>
      </c>
      <c r="K7" s="2">
        <v>44.908470999999999</v>
      </c>
      <c r="L7" s="2">
        <v>301.75617099999999</v>
      </c>
      <c r="M7" s="2">
        <v>-622.48449100000005</v>
      </c>
      <c r="N7" s="2">
        <v>0.95319600000000004</v>
      </c>
      <c r="O7" s="2">
        <v>1.340668</v>
      </c>
      <c r="P7" s="2"/>
      <c r="Q7" s="5">
        <f xml:space="preserve"> N7*0.001/60</f>
        <v>1.5886600000000001E-5</v>
      </c>
      <c r="R7" cm="1">
        <f t="array" ref="R7">[1]!PropsSI("D","T",J7+273.15,"P",101325,"Water")</f>
        <v>985.65560517790664</v>
      </c>
      <c r="S7" cm="1">
        <f t="array" ref="S7">[1]!PropsSI("D","T",J7+273.15,"P",101325,"Water")</f>
        <v>985.65560517790664</v>
      </c>
      <c r="T7">
        <f t="shared" si="1"/>
        <v>985.65560517790664</v>
      </c>
      <c r="U7" cm="1">
        <f t="array" ref="U7">[1]!PropsSI("H","T",J7+273.15,"P",101325,"Water")</f>
        <v>230652.71972145597</v>
      </c>
      <c r="V7" cm="1">
        <f t="array" ref="V7">[1]!PropsSI("H","T",K7+273.15,"P",101325,"Water")</f>
        <v>188132.36031513306</v>
      </c>
      <c r="W7">
        <f t="shared" si="0"/>
        <v>665.8142465002262</v>
      </c>
    </row>
    <row r="8" spans="1:25" x14ac:dyDescent="0.2">
      <c r="A8" s="1">
        <v>46066.679930555554</v>
      </c>
      <c r="B8" s="2">
        <v>18.461386999999998</v>
      </c>
      <c r="C8" s="2">
        <v>19.281313000000001</v>
      </c>
      <c r="D8" s="2">
        <v>19.270754</v>
      </c>
      <c r="E8" s="2">
        <v>19.949618999999998</v>
      </c>
      <c r="F8" s="2">
        <v>30.867947000000001</v>
      </c>
      <c r="G8" s="2">
        <v>27.843807000000002</v>
      </c>
      <c r="H8" s="2">
        <v>23.505302</v>
      </c>
      <c r="I8" s="2">
        <v>21.284718000000002</v>
      </c>
      <c r="J8" s="2">
        <v>55.084372999999999</v>
      </c>
      <c r="K8" s="2">
        <v>44.910850000000003</v>
      </c>
      <c r="L8" s="2">
        <v>273.54656299999999</v>
      </c>
      <c r="M8" s="2">
        <v>-622.51102000000003</v>
      </c>
      <c r="N8" s="2">
        <v>0.95566300000000004</v>
      </c>
      <c r="O8" s="2">
        <v>1.4662470000000001</v>
      </c>
      <c r="P8" s="2"/>
      <c r="Q8" s="5">
        <f>N8*0.001/60</f>
        <v>1.5927716666666667E-5</v>
      </c>
      <c r="R8" cm="1">
        <f t="array" ref="R8">[1]!PropsSI("D","T",J8+273.15,"P",101325,"Water")</f>
        <v>985.65221182472715</v>
      </c>
      <c r="S8" cm="1">
        <f t="array" ref="S8">[1]!PropsSI("D","T",J8+273.15,"P",101325,"Water")</f>
        <v>985.65221182472715</v>
      </c>
      <c r="T8">
        <f t="shared" si="1"/>
        <v>985.65221182472715</v>
      </c>
      <c r="U8" cm="1">
        <f t="array" ref="U8">[1]!PropsSI("H","T",J8+273.15,"P",101325,"Water")</f>
        <v>230682.00480506604</v>
      </c>
      <c r="V8" cm="1">
        <f t="array" ref="V8">[1]!PropsSI("H","T",K8+273.15,"P",101325,"Water")</f>
        <v>188142.30483103948</v>
      </c>
      <c r="W8">
        <f t="shared" si="0"/>
        <v>667.83879677920902</v>
      </c>
      <c r="Y8" t="s">
        <v>23</v>
      </c>
    </row>
    <row r="9" spans="1:25" x14ac:dyDescent="0.2">
      <c r="A9" s="1">
        <v>46066.680046296293</v>
      </c>
      <c r="B9" s="2">
        <v>18.169684</v>
      </c>
      <c r="C9" s="2">
        <v>18.826156000000001</v>
      </c>
      <c r="D9" s="2">
        <v>19.050355</v>
      </c>
      <c r="E9" s="2">
        <v>19.902989000000002</v>
      </c>
      <c r="F9" s="2">
        <v>30.358872999999999</v>
      </c>
      <c r="G9" s="2">
        <v>28.354516</v>
      </c>
      <c r="H9" s="2">
        <v>22.912146</v>
      </c>
      <c r="I9" s="2">
        <v>20.921227999999999</v>
      </c>
      <c r="J9" s="2">
        <v>55.086441999999998</v>
      </c>
      <c r="K9" s="2">
        <v>44.916876999999999</v>
      </c>
      <c r="L9" s="2">
        <v>269.73818199999999</v>
      </c>
      <c r="M9" s="2">
        <v>-622.48326599999996</v>
      </c>
      <c r="N9" s="2">
        <v>0.957901</v>
      </c>
      <c r="O9" s="2">
        <v>1.2410639999999999</v>
      </c>
      <c r="P9" s="2"/>
      <c r="Q9" s="5">
        <f>N9*0.001/60</f>
        <v>1.5965016666666667E-5</v>
      </c>
      <c r="R9" cm="1">
        <f t="array" ref="R9">[1]!PropsSI("D","T",J9+273.15,"P",101325,"Water")</f>
        <v>985.6512089315363</v>
      </c>
      <c r="S9" cm="1">
        <f t="array" ref="S9">[1]!PropsSI("D","T",J9+273.15,"P",101325,"Water")</f>
        <v>985.6512089315363</v>
      </c>
      <c r="T9">
        <f t="shared" si="1"/>
        <v>985.6512089315363</v>
      </c>
      <c r="U9" cm="1">
        <f t="array" ref="U9">[1]!PropsSI("H","T",J9+273.15,"P",101325,"Water")</f>
        <v>230690.65940612147</v>
      </c>
      <c r="V9" cm="1">
        <f t="array" ref="V9">[1]!PropsSI("H","T",K9+273.15,"P",101325,"Water")</f>
        <v>188167.49844549145</v>
      </c>
      <c r="W9">
        <f t="shared" si="0"/>
        <v>669.14182350975295</v>
      </c>
      <c r="Y9">
        <f>AVERAGE(W11:W24)</f>
        <v>667.56998392588946</v>
      </c>
    </row>
    <row r="10" spans="1:25" x14ac:dyDescent="0.2">
      <c r="A10" s="1">
        <v>46066.680162037039</v>
      </c>
      <c r="B10" s="2">
        <v>17.761258000000002</v>
      </c>
      <c r="C10" s="2">
        <v>18.379586</v>
      </c>
      <c r="D10" s="2">
        <v>18.991477</v>
      </c>
      <c r="E10" s="2">
        <v>19.628101999999998</v>
      </c>
      <c r="F10" s="2">
        <v>30.20185</v>
      </c>
      <c r="G10" s="2">
        <v>28.218146000000001</v>
      </c>
      <c r="H10" s="2">
        <v>23.031455999999999</v>
      </c>
      <c r="I10" s="2">
        <v>20.850992000000002</v>
      </c>
      <c r="J10" s="2">
        <v>55.097261000000003</v>
      </c>
      <c r="K10" s="2">
        <v>44.902126000000003</v>
      </c>
      <c r="L10" s="2">
        <v>285.81125500000002</v>
      </c>
      <c r="M10" s="2">
        <v>-622.48285799999996</v>
      </c>
      <c r="N10" s="2">
        <v>0.95528999999999997</v>
      </c>
      <c r="O10" s="2">
        <v>1.6776409999999999</v>
      </c>
      <c r="P10" s="2"/>
      <c r="Q10" s="5">
        <f>N10*0.001/60</f>
        <v>1.59215E-5</v>
      </c>
      <c r="R10" cm="1">
        <f t="array" ref="R10">[1]!PropsSI("D","T",J10+273.15,"P",101325,"Water")</f>
        <v>985.64596427418019</v>
      </c>
      <c r="S10" cm="1">
        <f t="array" ref="S10">[1]!PropsSI("D","T",J10+273.15,"P",101325,"Water")</f>
        <v>985.64596427418019</v>
      </c>
      <c r="T10">
        <f t="shared" si="1"/>
        <v>985.64596427418019</v>
      </c>
      <c r="U10" cm="1">
        <f t="array" ref="U10">[1]!PropsSI("H","T",J10+273.15,"P",101325,"Water")</f>
        <v>230735.91517275511</v>
      </c>
      <c r="V10" cm="1">
        <f t="array" ref="V10">[1]!PropsSI("H","T",K10+273.15,"P",101325,"Water")</f>
        <v>188105.83743133169</v>
      </c>
      <c r="W10">
        <f t="shared" si="0"/>
        <v>668.99219943997832</v>
      </c>
    </row>
    <row r="11" spans="1:25" x14ac:dyDescent="0.2">
      <c r="A11" s="1">
        <v>46066.680277777778</v>
      </c>
      <c r="B11" s="2">
        <v>18.022839000000001</v>
      </c>
      <c r="C11" s="2">
        <v>18.833828</v>
      </c>
      <c r="D11" s="2">
        <v>19.058344999999999</v>
      </c>
      <c r="E11" s="2">
        <v>19.783345000000001</v>
      </c>
      <c r="F11" s="2">
        <v>30.544360999999999</v>
      </c>
      <c r="G11" s="2">
        <v>28.821512999999999</v>
      </c>
      <c r="H11" s="2">
        <v>22.875772000000001</v>
      </c>
      <c r="I11" s="2">
        <v>20.844653000000001</v>
      </c>
      <c r="J11" s="2">
        <v>55.102511999999997</v>
      </c>
      <c r="K11" s="2">
        <v>44.878810000000001</v>
      </c>
      <c r="L11" s="2">
        <v>269.654921</v>
      </c>
      <c r="M11" s="2">
        <v>-622.50693799999999</v>
      </c>
      <c r="N11" s="2">
        <v>0.95837600000000001</v>
      </c>
      <c r="O11" s="2">
        <v>1.370252</v>
      </c>
      <c r="P11" s="2"/>
      <c r="Q11" s="5">
        <f>N11*0.001/60</f>
        <v>1.5972933333333334E-5</v>
      </c>
      <c r="R11" cm="1">
        <f t="array" ref="R11">[1]!PropsSI("D","T",J11+273.15,"P",101325,"Water")</f>
        <v>985.64341851887502</v>
      </c>
      <c r="S11" cm="1">
        <f t="array" ref="S11">[1]!PropsSI("D","T",J11+273.15,"P",101325,"Water")</f>
        <v>985.64341851887502</v>
      </c>
      <c r="T11">
        <f t="shared" si="1"/>
        <v>985.64341851887502</v>
      </c>
      <c r="U11" cm="1">
        <f t="array" ref="U11">[1]!PropsSI("H","T",J11+273.15,"P",101325,"Water")</f>
        <v>230757.88006748669</v>
      </c>
      <c r="V11" cm="1">
        <f t="array" ref="V11">[1]!PropsSI("H","T",K11+273.15,"P",101325,"Water")</f>
        <v>188008.37373789088</v>
      </c>
      <c r="W11">
        <f t="shared" si="0"/>
        <v>673.03183810976486</v>
      </c>
    </row>
    <row r="12" spans="1:25" x14ac:dyDescent="0.2">
      <c r="A12" s="1">
        <v>46066.680393518516</v>
      </c>
      <c r="B12" s="2">
        <v>18.537507999999999</v>
      </c>
      <c r="C12" s="2">
        <v>19.284979</v>
      </c>
      <c r="D12" s="2">
        <v>19.109328000000001</v>
      </c>
      <c r="E12" s="2">
        <v>19.450060000000001</v>
      </c>
      <c r="F12" s="2">
        <v>30.752220000000001</v>
      </c>
      <c r="G12" s="2">
        <v>28.354835000000001</v>
      </c>
      <c r="H12" s="2">
        <v>23.138379</v>
      </c>
      <c r="I12" s="2">
        <v>20.817035000000001</v>
      </c>
      <c r="J12" s="2">
        <v>55.109672000000003</v>
      </c>
      <c r="K12" s="2">
        <v>44.888643999999999</v>
      </c>
      <c r="L12" s="2">
        <v>263.43890599999997</v>
      </c>
      <c r="M12" s="2">
        <v>-622.49795900000004</v>
      </c>
      <c r="N12" s="2">
        <v>0.95776499999999998</v>
      </c>
      <c r="O12" s="2">
        <v>1.6153219999999999</v>
      </c>
      <c r="P12" s="2"/>
      <c r="Q12" s="5">
        <f>N12*0.001/60</f>
        <v>1.5962749999999999E-5</v>
      </c>
      <c r="R12" cm="1">
        <f t="array" ref="R12">[1]!PropsSI("D","T",J12+273.15,"P",101325,"Water")</f>
        <v>985.63994697920396</v>
      </c>
      <c r="S12" cm="1">
        <f t="array" ref="S12">[1]!PropsSI("D","T",J12+273.15,"P",101325,"Water")</f>
        <v>985.63994697920396</v>
      </c>
      <c r="T12">
        <f t="shared" si="1"/>
        <v>985.63994697920396</v>
      </c>
      <c r="U12" cm="1">
        <f t="array" ref="U12">[1]!PropsSI("H","T",J12+273.15,"P",101325,"Water")</f>
        <v>230787.8303114771</v>
      </c>
      <c r="V12" cm="1">
        <f t="array" ref="V12">[1]!PropsSI("H","T",K12+273.15,"P",101325,"Water")</f>
        <v>188049.48103173022</v>
      </c>
      <c r="W12">
        <f t="shared" si="0"/>
        <v>672.42484683324653</v>
      </c>
    </row>
    <row r="13" spans="1:25" x14ac:dyDescent="0.2">
      <c r="A13" s="1">
        <v>46066.680509259262</v>
      </c>
      <c r="B13" s="2">
        <v>18.929089999999999</v>
      </c>
      <c r="C13" s="2">
        <v>19.337022000000001</v>
      </c>
      <c r="D13" s="2">
        <v>19.353377999999999</v>
      </c>
      <c r="E13" s="2">
        <v>20.045273000000002</v>
      </c>
      <c r="F13" s="2">
        <v>31.149142999999999</v>
      </c>
      <c r="G13" s="2">
        <v>27.287507000000002</v>
      </c>
      <c r="H13" s="2">
        <v>23.451853</v>
      </c>
      <c r="I13" s="2">
        <v>21.101020999999999</v>
      </c>
      <c r="J13" s="2">
        <v>55.120173000000001</v>
      </c>
      <c r="K13" s="2">
        <v>44.922587</v>
      </c>
      <c r="L13" s="2">
        <v>283.581571</v>
      </c>
      <c r="M13" s="2">
        <v>-622.52367200000003</v>
      </c>
      <c r="N13" s="2">
        <v>0.957229</v>
      </c>
      <c r="O13" s="2">
        <v>1.0656829999999999</v>
      </c>
      <c r="P13" s="2"/>
      <c r="Q13" s="5">
        <f>N13*0.001/60</f>
        <v>1.5953816666666666E-5</v>
      </c>
      <c r="R13" cm="1">
        <f t="array" ref="R13">[1]!PropsSI("D","T",J13+273.15,"P",101325,"Water")</f>
        <v>985.63485497429281</v>
      </c>
      <c r="S13" cm="1">
        <f t="array" ref="S13">[1]!PropsSI("D","T",J13+273.15,"P",101325,"Water")</f>
        <v>985.63485497429281</v>
      </c>
      <c r="T13">
        <f t="shared" si="1"/>
        <v>985.63485497429281</v>
      </c>
      <c r="U13" cm="1">
        <f t="array" ref="U13">[1]!PropsSI("H","T",J13+273.15,"P",101325,"Water")</f>
        <v>230831.7559753198</v>
      </c>
      <c r="V13" cm="1">
        <f t="array" ref="V13">[1]!PropsSI("H","T",K13+273.15,"P",101325,"Water")</f>
        <v>188191.36696686581</v>
      </c>
      <c r="W13">
        <f t="shared" si="0"/>
        <v>670.50467180854548</v>
      </c>
    </row>
    <row r="14" spans="1:25" x14ac:dyDescent="0.2">
      <c r="A14" s="1">
        <v>46066.680625000001</v>
      </c>
      <c r="B14" s="2">
        <v>18.446214999999999</v>
      </c>
      <c r="C14" s="2">
        <v>18.991917000000001</v>
      </c>
      <c r="D14" s="2">
        <v>19.31118</v>
      </c>
      <c r="E14" s="2">
        <v>20.061506999999999</v>
      </c>
      <c r="F14" s="2">
        <v>31.033031999999999</v>
      </c>
      <c r="G14" s="2">
        <v>27.264144999999999</v>
      </c>
      <c r="H14" s="2">
        <v>23.50667</v>
      </c>
      <c r="I14" s="2">
        <v>21.170448</v>
      </c>
      <c r="J14" s="2">
        <v>55.125106000000002</v>
      </c>
      <c r="K14" s="2">
        <v>44.964779</v>
      </c>
      <c r="L14" s="2">
        <v>274.45835399999999</v>
      </c>
      <c r="M14" s="2">
        <v>-622.50081599999999</v>
      </c>
      <c r="N14" s="2">
        <v>0.95602799999999999</v>
      </c>
      <c r="O14" s="2">
        <v>1.462866</v>
      </c>
      <c r="P14" s="2"/>
      <c r="Q14" s="5">
        <f>N14*0.001/60</f>
        <v>1.59338E-5</v>
      </c>
      <c r="R14" cm="1">
        <f t="array" ref="R14">[1]!PropsSI("D","T",J14+273.15,"P",101325,"Water")</f>
        <v>985.63246269367289</v>
      </c>
      <c r="S14" cm="1">
        <f t="array" ref="S14">[1]!PropsSI("D","T",J14+273.15,"P",101325,"Water")</f>
        <v>985.63246269367289</v>
      </c>
      <c r="T14">
        <f t="shared" si="1"/>
        <v>985.63246269367289</v>
      </c>
      <c r="U14" cm="1">
        <f t="array" ref="U14">[1]!PropsSI("H","T",J14+273.15,"P",101325,"Water")</f>
        <v>230852.39071916262</v>
      </c>
      <c r="V14" cm="1">
        <f t="array" ref="V14">[1]!PropsSI("H","T",K14+273.15,"P",101325,"Water")</f>
        <v>188367.73505285411</v>
      </c>
      <c r="W14">
        <f t="shared" si="0"/>
        <v>667.21601692385241</v>
      </c>
    </row>
    <row r="15" spans="1:25" x14ac:dyDescent="0.2">
      <c r="A15" s="1">
        <v>46066.68074074074</v>
      </c>
      <c r="B15" s="2">
        <v>18.729353</v>
      </c>
      <c r="C15" s="2">
        <v>19.34273</v>
      </c>
      <c r="D15" s="2">
        <v>19.20025</v>
      </c>
      <c r="E15" s="2">
        <v>19.945800999999999</v>
      </c>
      <c r="F15" s="2">
        <v>30.965008999999998</v>
      </c>
      <c r="G15" s="2">
        <v>28.416837000000001</v>
      </c>
      <c r="H15" s="2">
        <v>23.403435999999999</v>
      </c>
      <c r="I15" s="2">
        <v>21.123660999999998</v>
      </c>
      <c r="J15" s="2">
        <v>55.130992999999997</v>
      </c>
      <c r="K15" s="2">
        <v>44.966841000000002</v>
      </c>
      <c r="L15" s="2">
        <v>275.33014700000001</v>
      </c>
      <c r="M15" s="2">
        <v>-622.48571500000003</v>
      </c>
      <c r="N15" s="2">
        <v>0.951484</v>
      </c>
      <c r="O15" s="2">
        <v>1.447452</v>
      </c>
      <c r="P15" s="2"/>
      <c r="Q15" s="5">
        <f>N15*0.001/60</f>
        <v>1.5858066666666666E-5</v>
      </c>
      <c r="R15" cm="1">
        <f t="array" ref="R15">[1]!PropsSI("D","T",J15+273.15,"P",101325,"Water")</f>
        <v>985.62960756899599</v>
      </c>
      <c r="S15" cm="1">
        <f t="array" ref="S15">[1]!PropsSI("D","T",J15+273.15,"P",101325,"Water")</f>
        <v>985.62960756899599</v>
      </c>
      <c r="T15">
        <f t="shared" si="1"/>
        <v>985.62960756899599</v>
      </c>
      <c r="U15" cm="1">
        <f t="array" ref="U15">[1]!PropsSI("H","T",J15+273.15,"P",101325,"Water")</f>
        <v>230877.01605753732</v>
      </c>
      <c r="V15" cm="1">
        <f t="array" ref="V15">[1]!PropsSI("H","T",K15+273.15,"P",101325,"Water")</f>
        <v>188376.35449186061</v>
      </c>
      <c r="W15">
        <f t="shared" si="0"/>
        <v>664.29299147308552</v>
      </c>
    </row>
    <row r="16" spans="1:25" x14ac:dyDescent="0.2">
      <c r="A16" s="1">
        <v>46066.680856481478</v>
      </c>
      <c r="B16" s="2">
        <v>18.565432000000001</v>
      </c>
      <c r="C16" s="2">
        <v>19.387920000000001</v>
      </c>
      <c r="D16" s="2">
        <v>19.125548999999999</v>
      </c>
      <c r="E16" s="2">
        <v>20.061121</v>
      </c>
      <c r="F16" s="2">
        <v>31.016528000000001</v>
      </c>
      <c r="G16" s="2">
        <v>28.372342</v>
      </c>
      <c r="H16" s="2">
        <v>23.238921000000001</v>
      </c>
      <c r="I16" s="2">
        <v>21.035785000000001</v>
      </c>
      <c r="J16" s="2">
        <v>55.139426</v>
      </c>
      <c r="K16" s="2">
        <v>44.986668000000002</v>
      </c>
      <c r="L16" s="2">
        <v>278.51080400000001</v>
      </c>
      <c r="M16" s="2">
        <v>-622.47714399999995</v>
      </c>
      <c r="N16" s="2">
        <v>0.95632700000000004</v>
      </c>
      <c r="O16" s="2">
        <v>1.2189019999999999</v>
      </c>
      <c r="P16" s="2"/>
      <c r="Q16" s="5">
        <f>N16*0.001/60</f>
        <v>1.5938783333333334E-5</v>
      </c>
      <c r="R16" cm="1">
        <f t="array" ref="R16">[1]!PropsSI("D","T",J16+273.15,"P",101325,"Water")</f>
        <v>985.62551729038637</v>
      </c>
      <c r="S16" cm="1">
        <f t="array" ref="S16">[1]!PropsSI("D","T",J16+273.15,"P",101325,"Water")</f>
        <v>985.62551729038637</v>
      </c>
      <c r="T16">
        <f t="shared" si="1"/>
        <v>985.62551729038637</v>
      </c>
      <c r="U16" cm="1">
        <f t="array" ref="U16">[1]!PropsSI("H","T",J16+273.15,"P",101325,"Water")</f>
        <v>230912.29134339749</v>
      </c>
      <c r="V16" cm="1">
        <f t="array" ref="V16">[1]!PropsSI("H","T",K16+273.15,"P",101325,"Water")</f>
        <v>188459.23407618771</v>
      </c>
      <c r="W16">
        <f t="shared" si="0"/>
        <v>666.92358672094838</v>
      </c>
    </row>
    <row r="17" spans="1:23" x14ac:dyDescent="0.2">
      <c r="A17" s="1">
        <v>46066.680972222224</v>
      </c>
      <c r="B17" s="2">
        <v>18.606795000000002</v>
      </c>
      <c r="C17" s="2">
        <v>19.260397999999999</v>
      </c>
      <c r="D17" s="2">
        <v>19.264692</v>
      </c>
      <c r="E17" s="2">
        <v>20.031804999999999</v>
      </c>
      <c r="F17" s="2">
        <v>30.939637000000001</v>
      </c>
      <c r="G17" s="2">
        <v>27.753837999999998</v>
      </c>
      <c r="H17" s="2">
        <v>23.293232</v>
      </c>
      <c r="I17" s="2">
        <v>21.275832000000001</v>
      </c>
      <c r="J17" s="2">
        <v>55.149608999999998</v>
      </c>
      <c r="K17" s="2">
        <v>44.993170999999997</v>
      </c>
      <c r="L17" s="2">
        <v>272.79639700000001</v>
      </c>
      <c r="M17" s="2">
        <v>-622.493878</v>
      </c>
      <c r="N17" s="2">
        <v>0.95583499999999999</v>
      </c>
      <c r="O17" s="2">
        <v>1.1726449999999999</v>
      </c>
      <c r="P17" s="2"/>
      <c r="Q17" s="5">
        <f>N17*0.001/60</f>
        <v>1.5930583333333333E-5</v>
      </c>
      <c r="R17" cm="1">
        <f t="array" ref="R17">[1]!PropsSI("D","T",J17+273.15,"P",101325,"Water")</f>
        <v>985.62057761743995</v>
      </c>
      <c r="S17" cm="1">
        <f t="array" ref="S17">[1]!PropsSI("D","T",J17+273.15,"P",101325,"Water")</f>
        <v>985.62057761743995</v>
      </c>
      <c r="T17">
        <f t="shared" si="1"/>
        <v>985.62057761743995</v>
      </c>
      <c r="U17" cm="1">
        <f t="array" ref="U17">[1]!PropsSI("H","T",J17+273.15,"P",101325,"Water")</f>
        <v>230954.88692345697</v>
      </c>
      <c r="V17" cm="1">
        <f t="array" ref="V17">[1]!PropsSI("H","T",K17+273.15,"P",101325,"Water")</f>
        <v>188486.41752639593</v>
      </c>
      <c r="W17">
        <f t="shared" si="0"/>
        <v>666.81912863736875</v>
      </c>
    </row>
    <row r="18" spans="1:23" x14ac:dyDescent="0.2">
      <c r="A18" s="1">
        <v>46066.681087962963</v>
      </c>
      <c r="B18" s="2">
        <v>18.634872999999999</v>
      </c>
      <c r="C18" s="2">
        <v>19.176914</v>
      </c>
      <c r="D18" s="2">
        <v>19.135325999999999</v>
      </c>
      <c r="E18" s="2">
        <v>19.995601000000001</v>
      </c>
      <c r="F18" s="2">
        <v>30.984929000000001</v>
      </c>
      <c r="G18" s="2">
        <v>27.711499</v>
      </c>
      <c r="H18" s="2">
        <v>23.437280999999999</v>
      </c>
      <c r="I18" s="2">
        <v>21.072889</v>
      </c>
      <c r="J18" s="2">
        <v>55.153745999999998</v>
      </c>
      <c r="K18" s="2">
        <v>45.010936000000001</v>
      </c>
      <c r="L18" s="2">
        <v>278.15612800000002</v>
      </c>
      <c r="M18" s="2">
        <v>-622.52122299999996</v>
      </c>
      <c r="N18" s="2">
        <v>0.955704</v>
      </c>
      <c r="O18" s="2">
        <v>1.0418940000000001</v>
      </c>
      <c r="P18" s="2"/>
      <c r="Q18" s="5">
        <f>N18*0.001/60</f>
        <v>1.5928400000000002E-5</v>
      </c>
      <c r="R18" cm="1">
        <f t="array" ref="R18">[1]!PropsSI("D","T",J18+273.15,"P",101325,"Water")</f>
        <v>985.61857061591604</v>
      </c>
      <c r="S18" cm="1">
        <f t="array" ref="S18">[1]!PropsSI("D","T",J18+273.15,"P",101325,"Water")</f>
        <v>985.61857061591604</v>
      </c>
      <c r="T18">
        <f t="shared" si="1"/>
        <v>985.61857061591604</v>
      </c>
      <c r="U18" cm="1">
        <f t="array" ref="U18">[1]!PropsSI("H","T",J18+273.15,"P",101325,"Water")</f>
        <v>230972.19204223648</v>
      </c>
      <c r="V18" cm="1">
        <f t="array" ref="V18">[1]!PropsSI("H","T",K18+273.15,"P",101325,"Water")</f>
        <v>188560.67775505609</v>
      </c>
      <c r="W18">
        <f t="shared" si="0"/>
        <v>665.83222458219564</v>
      </c>
    </row>
    <row r="19" spans="1:23" x14ac:dyDescent="0.2">
      <c r="A19" s="1">
        <v>46066.681203703702</v>
      </c>
      <c r="B19" s="2">
        <v>18.763539999999999</v>
      </c>
      <c r="C19" s="2">
        <v>19.38053</v>
      </c>
      <c r="D19" s="2">
        <v>19.230321</v>
      </c>
      <c r="E19" s="2">
        <v>20.098754</v>
      </c>
      <c r="F19" s="2">
        <v>30.886351999999999</v>
      </c>
      <c r="G19" s="2">
        <v>28.339456999999999</v>
      </c>
      <c r="H19" s="2">
        <v>23.397590000000001</v>
      </c>
      <c r="I19" s="2">
        <v>21.080967000000001</v>
      </c>
      <c r="J19" s="2">
        <v>55.157564999999998</v>
      </c>
      <c r="K19" s="2">
        <v>45.007764000000002</v>
      </c>
      <c r="L19" s="2">
        <v>261.21248700000001</v>
      </c>
      <c r="M19" s="2">
        <v>-622.51795800000002</v>
      </c>
      <c r="N19" s="2">
        <v>0.95809699999999998</v>
      </c>
      <c r="O19" s="2">
        <v>1.263468</v>
      </c>
      <c r="P19" s="2"/>
      <c r="Q19" s="5">
        <f>N19*0.001/60</f>
        <v>1.5968283333333334E-5</v>
      </c>
      <c r="R19" cm="1">
        <f t="array" ref="R19">[1]!PropsSI("D","T",J19+273.15,"P",101325,"Water")</f>
        <v>985.61671779300707</v>
      </c>
      <c r="S19" cm="1">
        <f t="array" ref="S19">[1]!PropsSI("D","T",J19+273.15,"P",101325,"Water")</f>
        <v>985.61671779300707</v>
      </c>
      <c r="T19">
        <f t="shared" si="1"/>
        <v>985.61671779300707</v>
      </c>
      <c r="U19" cm="1">
        <f t="array" ref="U19">[1]!PropsSI("H","T",J19+273.15,"P",101325,"Water")</f>
        <v>230988.16696889029</v>
      </c>
      <c r="V19" cm="1">
        <f t="array" ref="V19">[1]!PropsSI("H","T",K19+273.15,"P",101325,"Water")</f>
        <v>188547.4183390789</v>
      </c>
      <c r="W19">
        <f t="shared" si="0"/>
        <v>667.95826380095161</v>
      </c>
    </row>
    <row r="20" spans="1:23" x14ac:dyDescent="0.2">
      <c r="A20" s="1">
        <v>46066.681319444448</v>
      </c>
      <c r="B20" s="2">
        <v>18.611111999999999</v>
      </c>
      <c r="C20" s="2">
        <v>19.306218999999999</v>
      </c>
      <c r="D20" s="2">
        <v>19.538312999999999</v>
      </c>
      <c r="E20" s="2">
        <v>20.121763999999999</v>
      </c>
      <c r="F20" s="2">
        <v>30.936349</v>
      </c>
      <c r="G20" s="2">
        <v>28.367082</v>
      </c>
      <c r="H20" s="2">
        <v>23.428073000000001</v>
      </c>
      <c r="I20" s="2">
        <v>21.324511000000001</v>
      </c>
      <c r="J20" s="2">
        <v>55.160587999999997</v>
      </c>
      <c r="K20" s="2">
        <v>45.016964000000002</v>
      </c>
      <c r="L20" s="2">
        <v>285.18924600000003</v>
      </c>
      <c r="M20" s="2">
        <v>-622.51510099999996</v>
      </c>
      <c r="N20" s="2">
        <v>0.95681499999999997</v>
      </c>
      <c r="O20" s="2">
        <v>0.94480600000000003</v>
      </c>
      <c r="P20" s="2"/>
      <c r="Q20" s="5">
        <f>N20*0.001/60</f>
        <v>1.5946916666666665E-5</v>
      </c>
      <c r="R20" cm="1">
        <f t="array" ref="R20">[1]!PropsSI("D","T",J20+273.15,"P",101325,"Water")</f>
        <v>985.61525109270315</v>
      </c>
      <c r="S20" cm="1">
        <f t="array" ref="S20">[1]!PropsSI("D","T",J20+273.15,"P",101325,"Water")</f>
        <v>985.61525109270315</v>
      </c>
      <c r="T20">
        <f t="shared" si="1"/>
        <v>985.61525109270315</v>
      </c>
      <c r="U20" cm="1">
        <f t="array" ref="U20">[1]!PropsSI("H","T",J20+273.15,"P",101325,"Water")</f>
        <v>231000.81222094729</v>
      </c>
      <c r="V20" cm="1">
        <f t="array" ref="V20">[1]!PropsSI("H","T",K20+273.15,"P",101325,"Water")</f>
        <v>188585.87566710377</v>
      </c>
      <c r="W20">
        <f t="shared" si="0"/>
        <v>666.65779488942769</v>
      </c>
    </row>
    <row r="21" spans="1:23" x14ac:dyDescent="0.2">
      <c r="A21" s="1">
        <v>46066.681435185186</v>
      </c>
      <c r="B21" s="2">
        <v>18.645035</v>
      </c>
      <c r="C21" s="2">
        <v>19.388261</v>
      </c>
      <c r="D21" s="2">
        <v>19.269483999999999</v>
      </c>
      <c r="E21" s="2">
        <v>19.902899999999999</v>
      </c>
      <c r="F21" s="2">
        <v>30.777253999999999</v>
      </c>
      <c r="G21" s="2">
        <v>27.965786999999999</v>
      </c>
      <c r="H21" s="2">
        <v>22.992595999999999</v>
      </c>
      <c r="I21" s="2">
        <v>21.183007</v>
      </c>
      <c r="J21" s="2">
        <v>55.168543999999997</v>
      </c>
      <c r="K21" s="2">
        <v>45.027433000000002</v>
      </c>
      <c r="L21" s="2">
        <v>270.66140100000001</v>
      </c>
      <c r="M21" s="2">
        <v>-622.51102000000003</v>
      </c>
      <c r="N21" s="2">
        <v>0.95454899999999998</v>
      </c>
      <c r="O21" s="2">
        <v>0.88656599999999997</v>
      </c>
      <c r="P21" s="2"/>
      <c r="Q21" s="5">
        <f>N21*0.001/60</f>
        <v>1.590915E-5</v>
      </c>
      <c r="R21" cm="1">
        <f t="array" ref="R21">[1]!PropsSI("D","T",J21+273.15,"P",101325,"Water")</f>
        <v>985.61139072691287</v>
      </c>
      <c r="S21" cm="1">
        <f t="array" ref="S21">[1]!PropsSI("D","T",J21+273.15,"P",101325,"Water")</f>
        <v>985.61139072691287</v>
      </c>
      <c r="T21">
        <f t="shared" si="1"/>
        <v>985.61139072691287</v>
      </c>
      <c r="U21" cm="1">
        <f t="array" ref="U21">[1]!PropsSI("H","T",J21+273.15,"P",101325,"Water")</f>
        <v>231034.09229816627</v>
      </c>
      <c r="V21" cm="1">
        <f t="array" ref="V21">[1]!PropsSI("H","T",K21+273.15,"P",101325,"Water")</f>
        <v>188629.63761855406</v>
      </c>
      <c r="W21">
        <f t="shared" si="0"/>
        <v>664.91200341062472</v>
      </c>
    </row>
    <row r="22" spans="1:23" x14ac:dyDescent="0.2">
      <c r="A22" s="1">
        <v>46066.681550925925</v>
      </c>
      <c r="B22" s="2">
        <v>18.338538</v>
      </c>
      <c r="C22" s="2">
        <v>19.042176999999999</v>
      </c>
      <c r="D22" s="2">
        <v>19.097999999999999</v>
      </c>
      <c r="E22" s="2">
        <v>19.961372000000001</v>
      </c>
      <c r="F22" s="2">
        <v>30.852762999999999</v>
      </c>
      <c r="G22" s="2">
        <v>27.545612999999999</v>
      </c>
      <c r="H22" s="2">
        <v>23.252047000000001</v>
      </c>
      <c r="I22" s="2">
        <v>21.046234999999999</v>
      </c>
      <c r="J22" s="2">
        <v>55.176817999999997</v>
      </c>
      <c r="K22" s="2">
        <v>45.016012000000003</v>
      </c>
      <c r="L22" s="2">
        <v>274.14694100000003</v>
      </c>
      <c r="M22" s="2">
        <v>-622.48693900000001</v>
      </c>
      <c r="N22" s="2">
        <v>0.95504900000000004</v>
      </c>
      <c r="O22" s="2">
        <v>1.346069</v>
      </c>
      <c r="P22" s="2"/>
      <c r="Q22" s="5">
        <f>N22*0.001/60</f>
        <v>1.5917483333333335E-5</v>
      </c>
      <c r="R22" cm="1">
        <f t="array" ref="R22">[1]!PropsSI("D","T",J22+273.15,"P",101325,"Water")</f>
        <v>985.60737564682745</v>
      </c>
      <c r="S22" cm="1">
        <f t="array" ref="S22">[1]!PropsSI("D","T",J22+273.15,"P",101325,"Water")</f>
        <v>985.60737564682745</v>
      </c>
      <c r="T22">
        <f t="shared" si="1"/>
        <v>985.60737564682745</v>
      </c>
      <c r="U22" cm="1">
        <f t="array" ref="U22">[1]!PropsSI("H","T",J22+273.15,"P",101325,"Water")</f>
        <v>231068.70259901462</v>
      </c>
      <c r="V22" cm="1">
        <f t="array" ref="V22">[1]!PropsSI("H","T",K22+273.15,"P",101325,"Water")</f>
        <v>188581.89616893962</v>
      </c>
      <c r="W22">
        <f t="shared" si="0"/>
        <v>666.54954558347015</v>
      </c>
    </row>
    <row r="23" spans="1:23" x14ac:dyDescent="0.2">
      <c r="A23" s="1">
        <v>46066.681666666664</v>
      </c>
      <c r="B23" s="2">
        <v>18.616465000000002</v>
      </c>
      <c r="C23" s="2">
        <v>19.281112</v>
      </c>
      <c r="D23" s="2">
        <v>19.154482000000002</v>
      </c>
      <c r="E23" s="2">
        <v>20.084302999999998</v>
      </c>
      <c r="F23" s="2">
        <v>30.758731000000001</v>
      </c>
      <c r="G23" s="2">
        <v>28.262402000000002</v>
      </c>
      <c r="H23" s="2">
        <v>23.011854</v>
      </c>
      <c r="I23" s="2">
        <v>21.234529999999999</v>
      </c>
      <c r="J23" s="2">
        <v>55.184455</v>
      </c>
      <c r="K23" s="2">
        <v>45.020453000000003</v>
      </c>
      <c r="L23" s="2">
        <v>278.880582</v>
      </c>
      <c r="M23" s="2">
        <v>-622.48285799999996</v>
      </c>
      <c r="N23" s="2">
        <v>0.95466300000000004</v>
      </c>
      <c r="O23" s="2">
        <v>1.2452449999999999</v>
      </c>
      <c r="P23" s="2"/>
      <c r="Q23" s="5">
        <f>N23*0.001/60</f>
        <v>1.5911050000000001E-5</v>
      </c>
      <c r="R23" cm="1">
        <f t="array" ref="R23">[1]!PropsSI("D","T",J23+273.15,"P",101325,"Water")</f>
        <v>985.6036693038742</v>
      </c>
      <c r="S23" cm="1">
        <f t="array" ref="S23">[1]!PropsSI("D","T",J23+273.15,"P",101325,"Water")</f>
        <v>985.6036693038742</v>
      </c>
      <c r="T23">
        <f t="shared" si="1"/>
        <v>985.6036693038742</v>
      </c>
      <c r="U23" cm="1">
        <f t="array" ref="U23">[1]!PropsSI("H","T",J23+273.15,"P",101325,"Water")</f>
        <v>231100.64833877259</v>
      </c>
      <c r="V23" cm="1">
        <f t="array" ref="V23">[1]!PropsSI("H","T",K23+273.15,"P",101325,"Water")</f>
        <v>188600.46019515092</v>
      </c>
      <c r="W23">
        <f t="shared" si="0"/>
        <v>666.48749412154461</v>
      </c>
    </row>
    <row r="24" spans="1:23" x14ac:dyDescent="0.2">
      <c r="A24" s="1">
        <v>46066.68178240741</v>
      </c>
      <c r="B24" s="2">
        <v>18.304269000000001</v>
      </c>
      <c r="C24" s="2">
        <v>19.091681999999999</v>
      </c>
      <c r="D24" s="2">
        <v>19.024291000000002</v>
      </c>
      <c r="E24" s="2">
        <v>19.880033000000001</v>
      </c>
      <c r="F24" s="2">
        <v>30.556111999999999</v>
      </c>
      <c r="G24" s="2">
        <v>28.068318999999999</v>
      </c>
      <c r="H24" s="2">
        <v>23.219987</v>
      </c>
      <c r="I24" s="2">
        <v>21.138849</v>
      </c>
      <c r="J24" s="2">
        <v>55.183978000000003</v>
      </c>
      <c r="K24" s="2">
        <v>45.025846000000001</v>
      </c>
      <c r="L24" s="2">
        <v>281.80410899999998</v>
      </c>
      <c r="M24" s="2">
        <v>-622.52897800000005</v>
      </c>
      <c r="N24" s="2">
        <v>0.95504500000000003</v>
      </c>
      <c r="O24" s="2">
        <v>1.6230610000000001</v>
      </c>
      <c r="P24" s="2"/>
      <c r="Q24" s="5">
        <f>N24*0.001/60</f>
        <v>1.5917416666666668E-5</v>
      </c>
      <c r="R24" cm="1">
        <f t="array" ref="R24">[1]!PropsSI("D","T",J24+273.15,"P",101325,"Water")</f>
        <v>985.60390080922514</v>
      </c>
      <c r="S24" cm="1">
        <f t="array" ref="S24">[1]!PropsSI("D","T",J24+273.15,"P",101325,"Water")</f>
        <v>985.60390080922514</v>
      </c>
      <c r="T24">
        <f t="shared" si="1"/>
        <v>985.60390080922514</v>
      </c>
      <c r="U24" cm="1">
        <f t="array" ref="U24">[1]!PropsSI("H","T",J24+273.15,"P",101325,"Water")</f>
        <v>231098.65303662649</v>
      </c>
      <c r="V24" cm="1">
        <f t="array" ref="V24">[1]!PropsSI("H","T",K24+273.15,"P",101325,"Water")</f>
        <v>188623.0037250637</v>
      </c>
      <c r="W24">
        <f t="shared" si="0"/>
        <v>666.36936806742699</v>
      </c>
    </row>
    <row r="25" spans="1:23" x14ac:dyDescent="0.2">
      <c r="P25" s="2"/>
      <c r="Q25" s="5"/>
    </row>
    <row r="26" spans="1:23" x14ac:dyDescent="0.2">
      <c r="P26" s="2"/>
      <c r="Q26" s="5"/>
    </row>
    <row r="27" spans="1:23" x14ac:dyDescent="0.2">
      <c r="P27" s="2"/>
      <c r="Q27" s="5"/>
    </row>
    <row r="28" spans="1:23" x14ac:dyDescent="0.2">
      <c r="P28" s="2"/>
      <c r="Q28" s="5"/>
    </row>
    <row r="29" spans="1:23" x14ac:dyDescent="0.2">
      <c r="P29" s="2"/>
      <c r="Q29" s="5"/>
    </row>
    <row r="30" spans="1:23" x14ac:dyDescent="0.2">
      <c r="P30" s="2"/>
      <c r="Q30" s="5"/>
    </row>
    <row r="31" spans="1:23" x14ac:dyDescent="0.2">
      <c r="P31" s="2"/>
      <c r="Q31" s="5"/>
    </row>
    <row r="32" spans="1:23" x14ac:dyDescent="0.2">
      <c r="P32" s="2"/>
      <c r="Q32" s="5"/>
    </row>
    <row r="33" spans="16:17" x14ac:dyDescent="0.2">
      <c r="P33" s="2"/>
      <c r="Q33" s="5"/>
    </row>
    <row r="34" spans="16:17" x14ac:dyDescent="0.2">
      <c r="P34" s="2"/>
      <c r="Q34" s="5"/>
    </row>
    <row r="35" spans="16:17" x14ac:dyDescent="0.2">
      <c r="P35" s="2"/>
      <c r="Q35" s="5"/>
    </row>
    <row r="36" spans="16:17" x14ac:dyDescent="0.2">
      <c r="P36" s="2"/>
      <c r="Q36" s="5"/>
    </row>
    <row r="37" spans="16:17" x14ac:dyDescent="0.2">
      <c r="Q37" s="5"/>
    </row>
    <row r="38" spans="16:17" x14ac:dyDescent="0.2">
      <c r="Q38" s="5"/>
    </row>
    <row r="39" spans="16:17" x14ac:dyDescent="0.2">
      <c r="Q39" s="5"/>
    </row>
    <row r="40" spans="16:17" x14ac:dyDescent="0.2">
      <c r="Q40" s="5"/>
    </row>
    <row r="41" spans="16:17" x14ac:dyDescent="0.2">
      <c r="Q41" s="5"/>
    </row>
    <row r="42" spans="16:17" x14ac:dyDescent="0.2">
      <c r="Q42" s="5"/>
    </row>
    <row r="43" spans="16:17" x14ac:dyDescent="0.2">
      <c r="Q43" s="5"/>
    </row>
    <row r="44" spans="16:17" x14ac:dyDescent="0.2">
      <c r="Q44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3AE9-C766-E14A-B670-3B19E1F57A4D}">
  <dimension ref="A1:Y44"/>
  <sheetViews>
    <sheetView topLeftCell="G1" workbookViewId="0">
      <selection activeCell="Y9" sqref="Y9"/>
    </sheetView>
  </sheetViews>
  <sheetFormatPr baseColWidth="10" defaultRowHeight="16" x14ac:dyDescent="0.2"/>
  <cols>
    <col min="1" max="1" width="24" customWidth="1"/>
    <col min="16" max="16" width="7.1640625" customWidth="1"/>
    <col min="17" max="17" width="12.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Y1" s="7">
        <v>0.67552083333333335</v>
      </c>
    </row>
    <row r="2" spans="1:25" x14ac:dyDescent="0.2">
      <c r="A2" s="1">
        <v>46066.674699074072</v>
      </c>
      <c r="B2" s="2">
        <v>19.208887000000001</v>
      </c>
      <c r="C2" s="2">
        <v>19.939145</v>
      </c>
      <c r="D2" s="2">
        <v>19.938825000000001</v>
      </c>
      <c r="E2" s="2">
        <v>20.290780999999999</v>
      </c>
      <c r="F2" s="2">
        <v>30.093844000000001</v>
      </c>
      <c r="G2" s="2">
        <v>27.364792999999999</v>
      </c>
      <c r="H2" s="2">
        <v>23.167541</v>
      </c>
      <c r="I2" s="2">
        <v>21.273023999999999</v>
      </c>
      <c r="J2" s="2">
        <v>54.89631</v>
      </c>
      <c r="K2" s="2">
        <v>44.369551000000001</v>
      </c>
      <c r="L2" s="2">
        <v>393.87645700000002</v>
      </c>
      <c r="M2" s="2">
        <v>-622.48285799999996</v>
      </c>
      <c r="N2" s="2">
        <v>0.95936399999999999</v>
      </c>
      <c r="O2" s="2">
        <v>0.89891799999999999</v>
      </c>
      <c r="P2" s="2"/>
      <c r="Q2">
        <f xml:space="preserve"> N2*0.001/60</f>
        <v>1.59894E-5</v>
      </c>
      <c r="R2" cm="1">
        <f t="array" ref="R2">[1]!PropsSI("D","T",J2+273.15,"P",101325,"Water")</f>
        <v>985.74325944086854</v>
      </c>
      <c r="S2" cm="1">
        <f t="array" ref="S2">[1]!PropsSI("D","T",J2+273.15,"P",101325,"Water")</f>
        <v>985.74325944086854</v>
      </c>
      <c r="T2">
        <f>(R2+S2)/2</f>
        <v>985.74325944086854</v>
      </c>
      <c r="U2" cm="1">
        <f t="array" ref="U2">[1]!PropsSI("H","T",J2+273.15,"P",101325,"Water")</f>
        <v>229895.3461087936</v>
      </c>
      <c r="V2" cm="1">
        <f t="array" ref="V2">[1]!PropsSI("H","T",K2+273.15,"P",101325,"Water")</f>
        <v>185879.63542583352</v>
      </c>
      <c r="W2">
        <f>T2*Q2*(U2-V2)</f>
        <v>693.75112702841579</v>
      </c>
    </row>
    <row r="3" spans="1:25" x14ac:dyDescent="0.2">
      <c r="A3" s="1">
        <v>46066.674814814818</v>
      </c>
      <c r="B3" s="2">
        <v>18.877130000000001</v>
      </c>
      <c r="C3" s="2">
        <v>19.834045</v>
      </c>
      <c r="D3" s="2">
        <v>19.749701999999999</v>
      </c>
      <c r="E3" s="2">
        <v>20.346943</v>
      </c>
      <c r="F3" s="2">
        <v>29.796396000000001</v>
      </c>
      <c r="G3" s="2">
        <v>27.176124999999999</v>
      </c>
      <c r="H3" s="2">
        <v>23.383821000000001</v>
      </c>
      <c r="I3" s="2">
        <v>21.151266</v>
      </c>
      <c r="J3" s="2">
        <v>54.906174999999998</v>
      </c>
      <c r="K3" s="2">
        <v>44.360194999999997</v>
      </c>
      <c r="L3" s="2">
        <v>386.758037</v>
      </c>
      <c r="M3" s="2">
        <v>-622.46285899999998</v>
      </c>
      <c r="N3" s="2">
        <v>0.95860999999999996</v>
      </c>
      <c r="O3" s="2">
        <v>1.4767939999999999</v>
      </c>
      <c r="P3" s="2"/>
      <c r="Q3">
        <f xml:space="preserve"> N3*0.001/60</f>
        <v>1.5976833333333333E-5</v>
      </c>
      <c r="R3" cm="1">
        <f t="array" ref="R3">[1]!PropsSI("D","T",J3+273.15,"P",101325,"Water")</f>
        <v>985.73848892175795</v>
      </c>
      <c r="S3" cm="1">
        <f t="array" ref="S3">[1]!PropsSI("D","T",J3+273.15,"P",101325,"Water")</f>
        <v>985.73848892175795</v>
      </c>
      <c r="T3">
        <f>(R3+S3)/2</f>
        <v>985.73848892175795</v>
      </c>
      <c r="U3" cm="1">
        <f t="array" ref="U3">[1]!PropsSI("H","T",J3+273.15,"P",101325,"Water")</f>
        <v>229936.61062302327</v>
      </c>
      <c r="V3" cm="1">
        <f t="array" ref="V3">[1]!PropsSI("H","T",K3+273.15,"P",101325,"Water")</f>
        <v>185840.5271425026</v>
      </c>
      <c r="W3">
        <f t="shared" ref="W3:W24" si="0">T3*Q3*(U3-V3)</f>
        <v>694.46831687080703</v>
      </c>
    </row>
    <row r="4" spans="1:25" x14ac:dyDescent="0.2">
      <c r="A4" s="1">
        <v>46066.674930555557</v>
      </c>
      <c r="B4" s="2">
        <v>19.038481000000001</v>
      </c>
      <c r="C4" s="2">
        <v>19.833413</v>
      </c>
      <c r="D4" s="2">
        <v>19.800851999999999</v>
      </c>
      <c r="E4" s="2">
        <v>20.388356000000002</v>
      </c>
      <c r="F4" s="2">
        <v>29.953319</v>
      </c>
      <c r="G4" s="2">
        <v>27.665071000000001</v>
      </c>
      <c r="H4" s="2">
        <v>23.186636</v>
      </c>
      <c r="I4" s="2">
        <v>21.406013999999999</v>
      </c>
      <c r="J4" s="2">
        <v>54.909993</v>
      </c>
      <c r="K4" s="2">
        <v>44.372563999999997</v>
      </c>
      <c r="L4" s="2">
        <v>383.310047</v>
      </c>
      <c r="M4" s="2">
        <v>-622.50775499999997</v>
      </c>
      <c r="N4" s="2">
        <v>0.95904400000000001</v>
      </c>
      <c r="O4" s="2">
        <v>0.77584299999999995</v>
      </c>
      <c r="P4" s="2"/>
      <c r="Q4" s="5">
        <f xml:space="preserve"> N4*0.001/60</f>
        <v>1.5984066666666668E-5</v>
      </c>
      <c r="R4" cm="1">
        <f t="array" ref="R4">[1]!PropsSI("D","T",J4+273.15,"P",101325,"Water")</f>
        <v>985.73664245003795</v>
      </c>
      <c r="S4" cm="1">
        <f t="array" ref="S4">[1]!PropsSI("D","T",J4+273.15,"P",101325,"Water")</f>
        <v>985.73664245003795</v>
      </c>
      <c r="T4">
        <f t="shared" ref="T4:T24" si="1">(R4+S4)/2</f>
        <v>985.73664245003795</v>
      </c>
      <c r="U4" cm="1">
        <f t="array" ref="U4">[1]!PropsSI("H","T",J4+273.15,"P",101325,"Water")</f>
        <v>229952.58102424245</v>
      </c>
      <c r="V4" cm="1">
        <f t="array" ref="V4">[1]!PropsSI("H","T",K4+273.15,"P",101325,"Water")</f>
        <v>185892.2298346147</v>
      </c>
      <c r="W4">
        <f t="shared" si="0"/>
        <v>694.21842736715826</v>
      </c>
    </row>
    <row r="5" spans="1:25" x14ac:dyDescent="0.2">
      <c r="A5" s="1">
        <v>46066.675046296295</v>
      </c>
      <c r="B5" s="2">
        <v>18.424887999999999</v>
      </c>
      <c r="C5" s="2">
        <v>19.060724</v>
      </c>
      <c r="D5" s="2">
        <v>19.519238999999999</v>
      </c>
      <c r="E5" s="2">
        <v>20.067373</v>
      </c>
      <c r="F5" s="2">
        <v>29.557832000000001</v>
      </c>
      <c r="G5" s="2">
        <v>27.267005000000001</v>
      </c>
      <c r="H5" s="2">
        <v>22.970158999999999</v>
      </c>
      <c r="I5" s="2">
        <v>21.368369999999999</v>
      </c>
      <c r="J5" s="2">
        <v>54.918585</v>
      </c>
      <c r="K5" s="2">
        <v>44.378115000000001</v>
      </c>
      <c r="L5" s="2">
        <v>378.21479199999999</v>
      </c>
      <c r="M5" s="2">
        <v>-622.50040799999999</v>
      </c>
      <c r="N5" s="2">
        <v>0.96347400000000005</v>
      </c>
      <c r="O5" s="2">
        <v>0.75256199999999995</v>
      </c>
      <c r="P5" s="2"/>
      <c r="Q5" s="5">
        <f xml:space="preserve"> N5*0.001/60</f>
        <v>1.6057900000000001E-5</v>
      </c>
      <c r="R5" cm="1">
        <f t="array" ref="R5">[1]!PropsSI("D","T",J5+273.15,"P",101325,"Water")</f>
        <v>985.7324868320045</v>
      </c>
      <c r="S5" cm="1">
        <f t="array" ref="S5">[1]!PropsSI("D","T",J5+273.15,"P",101325,"Water")</f>
        <v>985.7324868320045</v>
      </c>
      <c r="T5">
        <f t="shared" si="1"/>
        <v>985.7324868320045</v>
      </c>
      <c r="U5" cm="1">
        <f t="array" ref="U5">[1]!PropsSI("H","T",J5+273.15,"P",101325,"Water")</f>
        <v>229988.52072057285</v>
      </c>
      <c r="V5" cm="1">
        <f t="array" ref="V5">[1]!PropsSI("H","T",K5+273.15,"P",101325,"Water")</f>
        <v>185915.43314589717</v>
      </c>
      <c r="W5">
        <f t="shared" si="0"/>
        <v>697.62381095478099</v>
      </c>
    </row>
    <row r="6" spans="1:25" x14ac:dyDescent="0.2">
      <c r="A6" s="1">
        <v>46066.675162037034</v>
      </c>
      <c r="B6" s="2">
        <v>18.263650999999999</v>
      </c>
      <c r="C6" s="2">
        <v>18.888197999999999</v>
      </c>
      <c r="D6" s="2">
        <v>19.436105000000001</v>
      </c>
      <c r="E6" s="2">
        <v>20.038087999999998</v>
      </c>
      <c r="F6" s="2">
        <v>29.539881999999999</v>
      </c>
      <c r="G6" s="2">
        <v>26.963716999999999</v>
      </c>
      <c r="H6" s="2">
        <v>23.040205</v>
      </c>
      <c r="I6" s="2">
        <v>21.151185000000002</v>
      </c>
      <c r="J6" s="2">
        <v>54.922085000000003</v>
      </c>
      <c r="K6" s="2">
        <v>44.334187</v>
      </c>
      <c r="L6" s="2">
        <v>386.36989399999999</v>
      </c>
      <c r="M6" s="2">
        <v>-622.48897999999997</v>
      </c>
      <c r="N6" s="2">
        <v>0.95883499999999999</v>
      </c>
      <c r="O6" s="2">
        <v>1.7749710000000001</v>
      </c>
      <c r="P6" s="2"/>
      <c r="Q6" s="5">
        <f xml:space="preserve"> N6*0.001/60</f>
        <v>1.5980583333333334E-5</v>
      </c>
      <c r="R6" cm="1">
        <f t="array" ref="R6">[1]!PropsSI("D","T",J6+273.15,"P",101325,"Water")</f>
        <v>985.73079388591452</v>
      </c>
      <c r="S6" cm="1">
        <f t="array" ref="S6">[1]!PropsSI("D","T",J6+273.15,"P",101325,"Water")</f>
        <v>985.73079388591452</v>
      </c>
      <c r="T6">
        <f t="shared" si="1"/>
        <v>985.73079388591452</v>
      </c>
      <c r="U6" cm="1">
        <f t="array" ref="U6">[1]!PropsSI("H","T",J6+273.15,"P",101325,"Water")</f>
        <v>230003.16096766733</v>
      </c>
      <c r="V6" cm="1">
        <f t="array" ref="V6">[1]!PropsSI("H","T",K6+273.15,"P",101325,"Water")</f>
        <v>185731.81322158981</v>
      </c>
      <c r="W6">
        <f t="shared" si="0"/>
        <v>697.38675599832015</v>
      </c>
    </row>
    <row r="7" spans="1:25" x14ac:dyDescent="0.2">
      <c r="A7" s="1">
        <v>46066.67527777778</v>
      </c>
      <c r="B7" s="2">
        <v>19.085487000000001</v>
      </c>
      <c r="C7" s="2">
        <v>19.587512</v>
      </c>
      <c r="D7" s="2">
        <v>19.554137999999998</v>
      </c>
      <c r="E7" s="2">
        <v>20.21921</v>
      </c>
      <c r="F7" s="2">
        <v>29.992802999999999</v>
      </c>
      <c r="G7" s="2">
        <v>27.269486000000001</v>
      </c>
      <c r="H7" s="2">
        <v>23.167878000000002</v>
      </c>
      <c r="I7" s="2">
        <v>21.018663</v>
      </c>
      <c r="J7" s="2">
        <v>54.922085000000003</v>
      </c>
      <c r="K7" s="2">
        <v>44.302787000000002</v>
      </c>
      <c r="L7" s="2">
        <v>377.554417</v>
      </c>
      <c r="M7" s="2">
        <v>-622.49142900000004</v>
      </c>
      <c r="N7" s="2">
        <v>0.95625700000000002</v>
      </c>
      <c r="O7" s="2">
        <v>1.027433</v>
      </c>
      <c r="P7" s="2"/>
      <c r="Q7" s="5">
        <f xml:space="preserve"> N7*0.001/60</f>
        <v>1.5937616666666668E-5</v>
      </c>
      <c r="R7" cm="1">
        <f t="array" ref="R7">[1]!PropsSI("D","T",J7+273.15,"P",101325,"Water")</f>
        <v>985.73079388591452</v>
      </c>
      <c r="S7" cm="1">
        <f t="array" ref="S7">[1]!PropsSI("D","T",J7+273.15,"P",101325,"Water")</f>
        <v>985.73079388591452</v>
      </c>
      <c r="T7">
        <f t="shared" si="1"/>
        <v>985.73079388591452</v>
      </c>
      <c r="U7" cm="1">
        <f t="array" ref="U7">[1]!PropsSI("H","T",J7+273.15,"P",101325,"Water")</f>
        <v>230003.16096766733</v>
      </c>
      <c r="V7" cm="1">
        <f t="array" ref="V7">[1]!PropsSI("H","T",K7+273.15,"P",101325,"Water")</f>
        <v>185600.56080556096</v>
      </c>
      <c r="W7">
        <f t="shared" si="0"/>
        <v>697.57370817453273</v>
      </c>
    </row>
    <row r="8" spans="1:25" x14ac:dyDescent="0.2">
      <c r="A8" s="1">
        <v>46066.675393518519</v>
      </c>
      <c r="B8" s="2">
        <v>18.770384</v>
      </c>
      <c r="C8" s="2">
        <v>19.288274999999999</v>
      </c>
      <c r="D8" s="2">
        <v>19.465389999999999</v>
      </c>
      <c r="E8" s="2">
        <v>20.283092</v>
      </c>
      <c r="F8" s="2">
        <v>29.751844999999999</v>
      </c>
      <c r="G8" s="2">
        <v>27.309448</v>
      </c>
      <c r="H8" s="2">
        <v>23.192119999999999</v>
      </c>
      <c r="I8" s="2">
        <v>21.067720999999999</v>
      </c>
      <c r="J8" s="2">
        <v>54.929243999999997</v>
      </c>
      <c r="K8" s="2">
        <v>44.316425000000002</v>
      </c>
      <c r="L8" s="2">
        <v>373.22320500000001</v>
      </c>
      <c r="M8" s="2">
        <v>-622.47347100000002</v>
      </c>
      <c r="N8" s="2">
        <v>0.96303899999999998</v>
      </c>
      <c r="O8" s="2">
        <v>1.247609</v>
      </c>
      <c r="P8" s="2"/>
      <c r="Q8" s="5">
        <f>N8*0.001/60</f>
        <v>1.6050649999999999E-5</v>
      </c>
      <c r="R8" cm="1">
        <f t="array" ref="R8">[1]!PropsSI("D","T",J8+273.15,"P",101325,"Water")</f>
        <v>985.72733084856247</v>
      </c>
      <c r="S8" cm="1">
        <f t="array" ref="S8">[1]!PropsSI("D","T",J8+273.15,"P",101325,"Water")</f>
        <v>985.72733084856247</v>
      </c>
      <c r="T8">
        <f t="shared" si="1"/>
        <v>985.72733084856247</v>
      </c>
      <c r="U8" cm="1">
        <f t="array" ref="U8">[1]!PropsSI("H","T",J8+273.15,"P",101325,"Water")</f>
        <v>230033.10656104432</v>
      </c>
      <c r="V8" cm="1">
        <f t="array" ref="V8">[1]!PropsSI("H","T",K8+273.15,"P",101325,"Water")</f>
        <v>185657.56780412971</v>
      </c>
      <c r="W8">
        <f t="shared" si="0"/>
        <v>702.09044346770997</v>
      </c>
      <c r="Y8" t="s">
        <v>23</v>
      </c>
    </row>
    <row r="9" spans="1:25" x14ac:dyDescent="0.2">
      <c r="A9" s="1">
        <v>46066.675509259258</v>
      </c>
      <c r="B9" s="2">
        <v>18.598389999999998</v>
      </c>
      <c r="C9" s="2">
        <v>19.268436000000001</v>
      </c>
      <c r="D9" s="2">
        <v>19.603012</v>
      </c>
      <c r="E9" s="2">
        <v>20.210315999999999</v>
      </c>
      <c r="F9" s="2">
        <v>29.839424000000001</v>
      </c>
      <c r="G9" s="2">
        <v>27.134406999999999</v>
      </c>
      <c r="H9" s="2">
        <v>23.004116</v>
      </c>
      <c r="I9" s="2">
        <v>21.186321</v>
      </c>
      <c r="J9" s="2">
        <v>54.934336000000002</v>
      </c>
      <c r="K9" s="2">
        <v>44.318328000000001</v>
      </c>
      <c r="L9" s="2">
        <v>374.75455699999998</v>
      </c>
      <c r="M9" s="2">
        <v>-622.512652</v>
      </c>
      <c r="N9" s="2">
        <v>0.96127300000000004</v>
      </c>
      <c r="O9" s="2">
        <v>1.4818770000000001</v>
      </c>
      <c r="P9" s="2"/>
      <c r="Q9" s="5">
        <f>N9*0.001/60</f>
        <v>1.6021216666666668E-5</v>
      </c>
      <c r="R9" cm="1">
        <f t="array" ref="R9">[1]!PropsSI("D","T",J9+273.15,"P",101325,"Water")</f>
        <v>985.72486749144457</v>
      </c>
      <c r="S9" cm="1">
        <f t="array" ref="S9">[1]!PropsSI("D","T",J9+273.15,"P",101325,"Water")</f>
        <v>985.72486749144457</v>
      </c>
      <c r="T9">
        <f t="shared" si="1"/>
        <v>985.72486749144457</v>
      </c>
      <c r="U9" cm="1">
        <f t="array" ref="U9">[1]!PropsSI("H","T",J9+273.15,"P",101325,"Water")</f>
        <v>230054.40605009437</v>
      </c>
      <c r="V9" cm="1">
        <f t="array" ref="V9">[1]!PropsSI("H","T",K9+273.15,"P",101325,"Water")</f>
        <v>185665.52236897944</v>
      </c>
      <c r="W9">
        <f t="shared" si="0"/>
        <v>701.0119638098123</v>
      </c>
      <c r="Y9">
        <f>AVERAGE(W9:W21)</f>
        <v>700.59145118354058</v>
      </c>
    </row>
    <row r="10" spans="1:25" x14ac:dyDescent="0.2">
      <c r="A10" s="1">
        <v>46066.675625000003</v>
      </c>
      <c r="B10" s="2">
        <v>18.14302</v>
      </c>
      <c r="C10" s="2">
        <v>18.835079</v>
      </c>
      <c r="D10" s="2">
        <v>19.269977000000001</v>
      </c>
      <c r="E10" s="2">
        <v>20.038028000000001</v>
      </c>
      <c r="F10" s="2">
        <v>29.490171</v>
      </c>
      <c r="G10" s="2">
        <v>26.553488999999999</v>
      </c>
      <c r="H10" s="2">
        <v>23.102215999999999</v>
      </c>
      <c r="I10" s="2">
        <v>20.926625999999999</v>
      </c>
      <c r="J10" s="2">
        <v>54.938791000000002</v>
      </c>
      <c r="K10" s="2">
        <v>44.304532000000002</v>
      </c>
      <c r="L10" s="2">
        <v>391.42923200000001</v>
      </c>
      <c r="M10" s="2">
        <v>-622.50857099999996</v>
      </c>
      <c r="N10" s="2">
        <v>0.957708</v>
      </c>
      <c r="O10" s="2">
        <v>0.82813599999999998</v>
      </c>
      <c r="P10" s="2"/>
      <c r="Q10" s="5">
        <f>N10*0.001/60</f>
        <v>1.59618E-5</v>
      </c>
      <c r="R10" cm="1">
        <f t="array" ref="R10">[1]!PropsSI("D","T",J10+273.15,"P",101325,"Water")</f>
        <v>985.72271216375293</v>
      </c>
      <c r="S10" cm="1">
        <f t="array" ref="S10">[1]!PropsSI("D","T",J10+273.15,"P",101325,"Water")</f>
        <v>985.72271216375293</v>
      </c>
      <c r="T10">
        <f t="shared" si="1"/>
        <v>985.72271216375293</v>
      </c>
      <c r="U10" cm="1">
        <f t="array" ref="U10">[1]!PropsSI("H","T",J10+273.15,"P",101325,"Water")</f>
        <v>230073.04101926705</v>
      </c>
      <c r="V10" cm="1">
        <f t="array" ref="V10">[1]!PropsSI("H","T",K10+273.15,"P",101325,"Water")</f>
        <v>185607.85492396745</v>
      </c>
      <c r="W10">
        <f t="shared" si="0"/>
        <v>699.61118222110906</v>
      </c>
    </row>
    <row r="11" spans="1:25" x14ac:dyDescent="0.2">
      <c r="A11" s="1">
        <v>46066.675740740742</v>
      </c>
      <c r="B11" s="2">
        <v>18.624483000000001</v>
      </c>
      <c r="C11" s="2">
        <v>19.045348000000001</v>
      </c>
      <c r="D11" s="2">
        <v>19.614477000000001</v>
      </c>
      <c r="E11" s="2">
        <v>20.261068999999999</v>
      </c>
      <c r="F11" s="2">
        <v>29.685030000000001</v>
      </c>
      <c r="G11" s="2">
        <v>26.916114</v>
      </c>
      <c r="H11" s="2">
        <v>23.107703999999998</v>
      </c>
      <c r="I11" s="2">
        <v>21.237718000000001</v>
      </c>
      <c r="J11" s="2">
        <v>54.940382</v>
      </c>
      <c r="K11" s="2">
        <v>44.287087999999997</v>
      </c>
      <c r="L11" s="2">
        <v>396.22001299999999</v>
      </c>
      <c r="M11" s="2">
        <v>-622.50938699999995</v>
      </c>
      <c r="N11" s="2">
        <v>0.960175</v>
      </c>
      <c r="O11" s="2">
        <v>0.76346599999999998</v>
      </c>
      <c r="P11" s="2"/>
      <c r="Q11" s="5">
        <f>N11*0.001/60</f>
        <v>1.6002916666666669E-5</v>
      </c>
      <c r="R11" cm="1">
        <f t="array" ref="R11">[1]!PropsSI("D","T",J11+273.15,"P",101325,"Water")</f>
        <v>985.72194240852548</v>
      </c>
      <c r="S11" cm="1">
        <f t="array" ref="S11">[1]!PropsSI("D","T",J11+273.15,"P",101325,"Water")</f>
        <v>985.72194240852548</v>
      </c>
      <c r="T11">
        <f t="shared" si="1"/>
        <v>985.72194240852548</v>
      </c>
      <c r="U11" cm="1">
        <f t="array" ref="U11">[1]!PropsSI("H","T",J11+273.15,"P",101325,"Water")</f>
        <v>230079.69606832726</v>
      </c>
      <c r="V11" cm="1">
        <f t="array" ref="V11">[1]!PropsSI("H","T",K11+273.15,"P",101325,"Water")</f>
        <v>185534.93884490491</v>
      </c>
      <c r="W11">
        <f t="shared" si="0"/>
        <v>702.66798100200128</v>
      </c>
    </row>
    <row r="12" spans="1:25" x14ac:dyDescent="0.2">
      <c r="A12" s="1">
        <v>46066.675856481481</v>
      </c>
      <c r="B12" s="2">
        <v>18.720656999999999</v>
      </c>
      <c r="C12" s="2">
        <v>19.260023</v>
      </c>
      <c r="D12" s="2">
        <v>19.405974000000001</v>
      </c>
      <c r="E12" s="2">
        <v>20.245802999999999</v>
      </c>
      <c r="F12" s="2">
        <v>29.952739000000001</v>
      </c>
      <c r="G12" s="2">
        <v>27.124241000000001</v>
      </c>
      <c r="H12" s="2">
        <v>23.111522000000001</v>
      </c>
      <c r="I12" s="2">
        <v>21.148584</v>
      </c>
      <c r="J12" s="2">
        <v>54.941654</v>
      </c>
      <c r="K12" s="2">
        <v>44.304532000000002</v>
      </c>
      <c r="L12" s="2">
        <v>386.52825300000001</v>
      </c>
      <c r="M12" s="2">
        <v>-622.49469399999998</v>
      </c>
      <c r="N12" s="2">
        <v>0.95978600000000003</v>
      </c>
      <c r="O12" s="2">
        <v>1.2581180000000001</v>
      </c>
      <c r="P12" s="2"/>
      <c r="Q12" s="5">
        <f>N12*0.001/60</f>
        <v>1.5996433333333335E-5</v>
      </c>
      <c r="R12" cm="1">
        <f t="array" ref="R12">[1]!PropsSI("D","T",J12+273.15,"P",101325,"Water")</f>
        <v>985.72132698011364</v>
      </c>
      <c r="S12" cm="1">
        <f t="array" ref="S12">[1]!PropsSI("D","T",J12+273.15,"P",101325,"Water")</f>
        <v>985.72132698011364</v>
      </c>
      <c r="T12">
        <f t="shared" si="1"/>
        <v>985.72132698011364</v>
      </c>
      <c r="U12" cm="1">
        <f t="array" ref="U12">[1]!PropsSI("H","T",J12+273.15,"P",101325,"Water")</f>
        <v>230085.01676187804</v>
      </c>
      <c r="V12" cm="1">
        <f t="array" ref="V12">[1]!PropsSI("H","T",K12+273.15,"P",101325,"Water")</f>
        <v>185607.85492396745</v>
      </c>
      <c r="W12">
        <f t="shared" si="0"/>
        <v>701.31702168453785</v>
      </c>
    </row>
    <row r="13" spans="1:25" x14ac:dyDescent="0.2">
      <c r="A13" s="1">
        <v>46066.67597222222</v>
      </c>
      <c r="B13" s="2">
        <v>18.442432</v>
      </c>
      <c r="C13" s="2">
        <v>19.248331</v>
      </c>
      <c r="D13" s="2">
        <v>19.311364999999999</v>
      </c>
      <c r="E13" s="2">
        <v>20.166226000000002</v>
      </c>
      <c r="F13" s="2">
        <v>29.539355</v>
      </c>
      <c r="G13" s="2">
        <v>26.814305999999998</v>
      </c>
      <c r="H13" s="2">
        <v>23.109127999999998</v>
      </c>
      <c r="I13" s="2">
        <v>21.011610999999998</v>
      </c>
      <c r="J13" s="2">
        <v>54.947223000000001</v>
      </c>
      <c r="K13" s="2">
        <v>44.306910999999999</v>
      </c>
      <c r="L13" s="2">
        <v>379.55962199999999</v>
      </c>
      <c r="M13" s="2">
        <v>-622.480817</v>
      </c>
      <c r="N13" s="2">
        <v>0.96008499999999997</v>
      </c>
      <c r="O13" s="2">
        <v>1.0577920000000001</v>
      </c>
      <c r="P13" s="2"/>
      <c r="Q13" s="5">
        <f>N13*0.001/60</f>
        <v>1.6001416666666666E-5</v>
      </c>
      <c r="R13" cm="1">
        <f t="array" ref="R13">[1]!PropsSI("D","T",J13+273.15,"P",101325,"Water")</f>
        <v>985.71863242712323</v>
      </c>
      <c r="S13" cm="1">
        <f t="array" ref="S13">[1]!PropsSI("D","T",J13+273.15,"P",101325,"Water")</f>
        <v>985.71863242712323</v>
      </c>
      <c r="T13">
        <f t="shared" si="1"/>
        <v>985.71863242712323</v>
      </c>
      <c r="U13" cm="1">
        <f t="array" ref="U13">[1]!PropsSI("H","T",J13+273.15,"P",101325,"Water")</f>
        <v>230108.31153487985</v>
      </c>
      <c r="V13" cm="1">
        <f t="array" ref="V13">[1]!PropsSI("H","T",K13+273.15,"P",101325,"Water")</f>
        <v>185617.79916994445</v>
      </c>
      <c r="W13">
        <f t="shared" si="0"/>
        <v>701.74416016612759</v>
      </c>
    </row>
    <row r="14" spans="1:25" x14ac:dyDescent="0.2">
      <c r="A14" s="1">
        <v>46066.676087962966</v>
      </c>
      <c r="B14" s="2">
        <v>18.755414999999999</v>
      </c>
      <c r="C14" s="2">
        <v>19.546524000000002</v>
      </c>
      <c r="D14" s="2">
        <v>19.273671</v>
      </c>
      <c r="E14" s="2">
        <v>20.154159</v>
      </c>
      <c r="F14" s="2">
        <v>29.886612</v>
      </c>
      <c r="G14" s="2">
        <v>26.770112000000001</v>
      </c>
      <c r="H14" s="2">
        <v>23.003325</v>
      </c>
      <c r="I14" s="2">
        <v>21.038388999999999</v>
      </c>
      <c r="J14" s="2">
        <v>54.956927999999998</v>
      </c>
      <c r="K14" s="2">
        <v>44.311827000000001</v>
      </c>
      <c r="L14" s="2">
        <v>372.95219800000001</v>
      </c>
      <c r="M14" s="2">
        <v>-622.50204099999996</v>
      </c>
      <c r="N14" s="2">
        <v>0.95991300000000002</v>
      </c>
      <c r="O14" s="2">
        <v>1.59884</v>
      </c>
      <c r="P14" s="2"/>
      <c r="Q14" s="5">
        <f>N14*0.001/60</f>
        <v>1.5998549999999999E-5</v>
      </c>
      <c r="R14" cm="1">
        <f t="array" ref="R14">[1]!PropsSI("D","T",J14+273.15,"P",101325,"Water")</f>
        <v>985.71393621584514</v>
      </c>
      <c r="S14" cm="1">
        <f t="array" ref="S14">[1]!PropsSI("D","T",J14+273.15,"P",101325,"Water")</f>
        <v>985.71393621584514</v>
      </c>
      <c r="T14">
        <f t="shared" si="1"/>
        <v>985.71393621584514</v>
      </c>
      <c r="U14" cm="1">
        <f t="array" ref="U14">[1]!PropsSI("H","T",J14+273.15,"P",101325,"Water")</f>
        <v>230148.90695963489</v>
      </c>
      <c r="V14" cm="1">
        <f t="array" ref="V14">[1]!PropsSI("H","T",K14+273.15,"P",101325,"Water")</f>
        <v>185638.34810687325</v>
      </c>
      <c r="W14">
        <f t="shared" si="0"/>
        <v>701.93123243541675</v>
      </c>
    </row>
    <row r="15" spans="1:25" x14ac:dyDescent="0.2">
      <c r="A15" s="1">
        <v>46066.676203703704</v>
      </c>
      <c r="B15" s="2">
        <v>18.632847000000002</v>
      </c>
      <c r="C15" s="2">
        <v>19.58043</v>
      </c>
      <c r="D15" s="2">
        <v>19.254102</v>
      </c>
      <c r="E15" s="2">
        <v>20.108260000000001</v>
      </c>
      <c r="F15" s="2">
        <v>29.520755000000001</v>
      </c>
      <c r="G15" s="2">
        <v>27.492956</v>
      </c>
      <c r="H15" s="2">
        <v>23.036605999999999</v>
      </c>
      <c r="I15" s="2">
        <v>21.205078</v>
      </c>
      <c r="J15" s="2">
        <v>54.964087999999997</v>
      </c>
      <c r="K15" s="2">
        <v>44.324196000000001</v>
      </c>
      <c r="L15" s="2">
        <v>393.32219900000001</v>
      </c>
      <c r="M15" s="2">
        <v>-622.47591999999997</v>
      </c>
      <c r="N15" s="2">
        <v>0.956426</v>
      </c>
      <c r="O15" s="2">
        <v>1.1378760000000001</v>
      </c>
      <c r="P15" s="2"/>
      <c r="Q15" s="5">
        <f>N15*0.001/60</f>
        <v>1.5940433333333334E-5</v>
      </c>
      <c r="R15" cm="1">
        <f t="array" ref="R15">[1]!PropsSI("D","T",J15+273.15,"P",101325,"Water")</f>
        <v>985.71047114504927</v>
      </c>
      <c r="S15" cm="1">
        <f t="array" ref="S15">[1]!PropsSI("D","T",J15+273.15,"P",101325,"Water")</f>
        <v>985.71047114504927</v>
      </c>
      <c r="T15">
        <f t="shared" si="1"/>
        <v>985.71047114504927</v>
      </c>
      <c r="U15" cm="1">
        <f t="array" ref="U15">[1]!PropsSI("H","T",J15+273.15,"P",101325,"Water")</f>
        <v>230178.85682600047</v>
      </c>
      <c r="V15" cm="1">
        <f t="array" ref="V15">[1]!PropsSI("H","T",K15+273.15,"P",101325,"Water")</f>
        <v>185690.05068973923</v>
      </c>
      <c r="W15">
        <f t="shared" si="0"/>
        <v>699.03713099486674</v>
      </c>
    </row>
    <row r="16" spans="1:25" x14ac:dyDescent="0.2">
      <c r="A16" s="1">
        <v>46066.676319444443</v>
      </c>
      <c r="B16" s="2">
        <v>18.670887</v>
      </c>
      <c r="C16" s="2">
        <v>19.333306</v>
      </c>
      <c r="D16" s="2">
        <v>19.388866</v>
      </c>
      <c r="E16" s="2">
        <v>20.223634000000001</v>
      </c>
      <c r="F16" s="2">
        <v>29.931940000000001</v>
      </c>
      <c r="G16" s="2">
        <v>26.97458</v>
      </c>
      <c r="H16" s="2">
        <v>23.190317</v>
      </c>
      <c r="I16" s="2">
        <v>21.014914999999998</v>
      </c>
      <c r="J16" s="2">
        <v>54.962020000000003</v>
      </c>
      <c r="K16" s="2">
        <v>44.330381000000003</v>
      </c>
      <c r="L16" s="2">
        <v>384.24755099999999</v>
      </c>
      <c r="M16" s="2">
        <v>-622.49183700000003</v>
      </c>
      <c r="N16" s="2">
        <v>0.95842499999999997</v>
      </c>
      <c r="O16" s="2">
        <v>1.411222</v>
      </c>
      <c r="P16" s="2"/>
      <c r="Q16" s="5">
        <f>N16*0.001/60</f>
        <v>1.5973749999999999E-5</v>
      </c>
      <c r="R16" cm="1">
        <f t="array" ref="R16">[1]!PropsSI("D","T",J16+273.15,"P",101325,"Water")</f>
        <v>985.71147198310393</v>
      </c>
      <c r="S16" cm="1">
        <f t="array" ref="S16">[1]!PropsSI("D","T",J16+273.15,"P",101325,"Water")</f>
        <v>985.71147198310393</v>
      </c>
      <c r="T16">
        <f t="shared" si="1"/>
        <v>985.71147198310393</v>
      </c>
      <c r="U16" cm="1">
        <f t="array" ref="U16">[1]!PropsSI("H","T",J16+273.15,"P",101325,"Water")</f>
        <v>230170.20649957232</v>
      </c>
      <c r="V16" cm="1">
        <f t="array" ref="V16">[1]!PropsSI("H","T",K16+273.15,"P",101325,"Water")</f>
        <v>185715.90408156966</v>
      </c>
      <c r="W16">
        <f t="shared" si="0"/>
        <v>699.95560216725187</v>
      </c>
    </row>
    <row r="17" spans="1:23" x14ac:dyDescent="0.2">
      <c r="A17" s="1">
        <v>46066.676435185182</v>
      </c>
      <c r="B17" s="2">
        <v>18.676656000000001</v>
      </c>
      <c r="C17" s="2">
        <v>19.520990999999999</v>
      </c>
      <c r="D17" s="2">
        <v>19.166732</v>
      </c>
      <c r="E17" s="2">
        <v>20.064585999999998</v>
      </c>
      <c r="F17" s="2">
        <v>29.766152999999999</v>
      </c>
      <c r="G17" s="2">
        <v>27.190273999999999</v>
      </c>
      <c r="H17" s="2">
        <v>23.155187999999999</v>
      </c>
      <c r="I17" s="2">
        <v>20.949621</v>
      </c>
      <c r="J17" s="2">
        <v>54.962656000000003</v>
      </c>
      <c r="K17" s="2">
        <v>44.323720000000002</v>
      </c>
      <c r="L17" s="2">
        <v>376.52385600000002</v>
      </c>
      <c r="M17" s="2">
        <v>-622.49428599999999</v>
      </c>
      <c r="N17" s="2">
        <v>0.96032300000000004</v>
      </c>
      <c r="O17" s="2">
        <v>1.175619</v>
      </c>
      <c r="P17" s="2"/>
      <c r="Q17" s="5">
        <f>N17*0.001/60</f>
        <v>1.6005383333333334E-5</v>
      </c>
      <c r="R17" cm="1">
        <f t="array" ref="R17">[1]!PropsSI("D","T",J17+273.15,"P",101325,"Water")</f>
        <v>985.71116418468307</v>
      </c>
      <c r="S17" cm="1">
        <f t="array" ref="S17">[1]!PropsSI("D","T",J17+273.15,"P",101325,"Water")</f>
        <v>985.71116418468307</v>
      </c>
      <c r="T17">
        <f t="shared" si="1"/>
        <v>985.71116418468307</v>
      </c>
      <c r="U17" cm="1">
        <f t="array" ref="U17">[1]!PropsSI("H","T",J17+273.15,"P",101325,"Water")</f>
        <v>230172.86685122072</v>
      </c>
      <c r="V17" cm="1">
        <f t="array" ref="V17">[1]!PropsSI("H","T",K17+273.15,"P",101325,"Water")</f>
        <v>185688.06100292719</v>
      </c>
      <c r="W17">
        <f t="shared" si="0"/>
        <v>701.82277087723105</v>
      </c>
    </row>
    <row r="18" spans="1:23" x14ac:dyDescent="0.2">
      <c r="A18" s="1">
        <v>46066.676550925928</v>
      </c>
      <c r="B18" s="2">
        <v>18.487888999999999</v>
      </c>
      <c r="C18" s="2">
        <v>18.980723000000001</v>
      </c>
      <c r="D18" s="2">
        <v>19.431954999999999</v>
      </c>
      <c r="E18" s="2">
        <v>20.197690999999999</v>
      </c>
      <c r="F18" s="2">
        <v>29.657174000000001</v>
      </c>
      <c r="G18" s="2">
        <v>28.091238000000001</v>
      </c>
      <c r="H18" s="2">
        <v>23.118808999999999</v>
      </c>
      <c r="I18" s="2">
        <v>21.207993999999999</v>
      </c>
      <c r="J18" s="2">
        <v>54.969816000000002</v>
      </c>
      <c r="K18" s="2">
        <v>44.339419999999997</v>
      </c>
      <c r="L18" s="2">
        <v>366.55496699999998</v>
      </c>
      <c r="M18" s="2">
        <v>-622.48693900000001</v>
      </c>
      <c r="N18" s="2">
        <v>0.96192100000000003</v>
      </c>
      <c r="O18" s="2">
        <v>1.1471530000000001</v>
      </c>
      <c r="P18" s="2"/>
      <c r="Q18" s="5">
        <f>N18*0.001/60</f>
        <v>1.6032016666666668E-5</v>
      </c>
      <c r="R18" cm="1">
        <f t="array" ref="R18">[1]!PropsSI("D","T",J18+273.15,"P",101325,"Water")</f>
        <v>985.70769885918082</v>
      </c>
      <c r="S18" cm="1">
        <f t="array" ref="S18">[1]!PropsSI("D","T",J18+273.15,"P",101325,"Water")</f>
        <v>985.70769885918082</v>
      </c>
      <c r="T18">
        <f t="shared" si="1"/>
        <v>985.70769885918082</v>
      </c>
      <c r="U18" cm="1">
        <f t="array" ref="U18">[1]!PropsSI("H","T",J18+273.15,"P",101325,"Water")</f>
        <v>230202.81673242385</v>
      </c>
      <c r="V18" cm="1">
        <f t="array" ref="V18">[1]!PropsSI("H","T",K18+273.15,"P",101325,"Water")</f>
        <v>185753.68724840067</v>
      </c>
      <c r="W18">
        <f t="shared" si="0"/>
        <v>702.42435964314268</v>
      </c>
    </row>
    <row r="19" spans="1:23" x14ac:dyDescent="0.2">
      <c r="A19" s="1">
        <v>46066.676666666666</v>
      </c>
      <c r="B19" s="2">
        <v>18.715620999999999</v>
      </c>
      <c r="C19" s="2">
        <v>19.630628999999999</v>
      </c>
      <c r="D19" s="2">
        <v>19.492205999999999</v>
      </c>
      <c r="E19" s="2">
        <v>20.302636</v>
      </c>
      <c r="F19" s="2">
        <v>29.993062999999999</v>
      </c>
      <c r="G19" s="2">
        <v>26.974326999999999</v>
      </c>
      <c r="H19" s="2">
        <v>23.407378999999999</v>
      </c>
      <c r="I19" s="2">
        <v>20.992272</v>
      </c>
      <c r="J19" s="2">
        <v>54.971248000000003</v>
      </c>
      <c r="K19" s="2">
        <v>44.339579000000001</v>
      </c>
      <c r="L19" s="2">
        <v>381.13546200000002</v>
      </c>
      <c r="M19" s="2">
        <v>-622.48163399999999</v>
      </c>
      <c r="N19" s="2">
        <v>0.95758900000000002</v>
      </c>
      <c r="O19" s="2">
        <v>0.67156300000000002</v>
      </c>
      <c r="P19" s="2"/>
      <c r="Q19" s="5">
        <f>N19*0.001/60</f>
        <v>1.5959816666666666E-5</v>
      </c>
      <c r="R19" cm="1">
        <f t="array" ref="R19">[1]!PropsSI("D","T",J19+273.15,"P",101325,"Water")</f>
        <v>985.70700575587853</v>
      </c>
      <c r="S19" cm="1">
        <f t="array" ref="S19">[1]!PropsSI("D","T",J19+273.15,"P",101325,"Water")</f>
        <v>985.70700575587853</v>
      </c>
      <c r="T19">
        <f t="shared" si="1"/>
        <v>985.70700575587853</v>
      </c>
      <c r="U19" cm="1">
        <f t="array" ref="U19">[1]!PropsSI("H","T",J19+273.15,"P",101325,"Water")</f>
        <v>230208.80671087999</v>
      </c>
      <c r="V19" cm="1">
        <f t="array" ref="V19">[1]!PropsSI("H","T",K19+273.15,"P",101325,"Water")</f>
        <v>185754.35187109042</v>
      </c>
      <c r="W19">
        <f t="shared" si="0"/>
        <v>699.34428496359521</v>
      </c>
    </row>
    <row r="20" spans="1:23" x14ac:dyDescent="0.2">
      <c r="A20" s="1">
        <v>46066.676782407405</v>
      </c>
      <c r="B20" s="2">
        <v>19.212042</v>
      </c>
      <c r="C20" s="2">
        <v>19.924174000000001</v>
      </c>
      <c r="D20" s="2">
        <v>19.821929999999998</v>
      </c>
      <c r="E20" s="2">
        <v>20.400479000000001</v>
      </c>
      <c r="F20" s="2">
        <v>30.099648999999999</v>
      </c>
      <c r="G20" s="2">
        <v>27.628509999999999</v>
      </c>
      <c r="H20" s="2">
        <v>23.223499</v>
      </c>
      <c r="I20" s="2">
        <v>21.454986000000002</v>
      </c>
      <c r="J20" s="2">
        <v>54.972839</v>
      </c>
      <c r="K20" s="2">
        <v>44.366537999999998</v>
      </c>
      <c r="L20" s="2">
        <v>375.09249899999998</v>
      </c>
      <c r="M20" s="2">
        <v>-622.48979599999996</v>
      </c>
      <c r="N20" s="2">
        <v>0.96208499999999997</v>
      </c>
      <c r="O20" s="2">
        <v>1.0071509999999999</v>
      </c>
      <c r="P20" s="2"/>
      <c r="Q20" s="5">
        <f>N20*0.001/60</f>
        <v>1.6034750000000001E-5</v>
      </c>
      <c r="R20" cm="1">
        <f t="array" ref="R20">[1]!PropsSI("D","T",J20+273.15,"P",101325,"Water")</f>
        <v>985.70623567993425</v>
      </c>
      <c r="S20" cm="1">
        <f t="array" ref="S20">[1]!PropsSI("D","T",J20+273.15,"P",101325,"Water")</f>
        <v>985.70623567993425</v>
      </c>
      <c r="T20">
        <f t="shared" si="1"/>
        <v>985.70623567993425</v>
      </c>
      <c r="U20" cm="1">
        <f t="array" ref="U20">[1]!PropsSI("H","T",J20+273.15,"P",101325,"Water")</f>
        <v>230215.46177860096</v>
      </c>
      <c r="V20" cm="1">
        <f t="array" ref="V20">[1]!PropsSI("H","T",K20+273.15,"P",101325,"Water")</f>
        <v>185867.04101852878</v>
      </c>
      <c r="W20">
        <f t="shared" si="0"/>
        <v>700.95131756444982</v>
      </c>
    </row>
    <row r="21" spans="1:23" x14ac:dyDescent="0.2">
      <c r="A21" s="1">
        <v>46066.676898148151</v>
      </c>
      <c r="B21" s="2">
        <v>18.974537999999999</v>
      </c>
      <c r="C21" s="2">
        <v>19.630580999999999</v>
      </c>
      <c r="D21" s="2">
        <v>19.876926999999998</v>
      </c>
      <c r="E21" s="2">
        <v>20.327859</v>
      </c>
      <c r="F21" s="2">
        <v>30.337785</v>
      </c>
      <c r="G21" s="2">
        <v>27.191859000000001</v>
      </c>
      <c r="H21" s="2">
        <v>23.299831999999999</v>
      </c>
      <c r="I21" s="2">
        <v>21.426634</v>
      </c>
      <c r="J21" s="2">
        <v>54.975543999999999</v>
      </c>
      <c r="K21" s="2">
        <v>44.391119000000003</v>
      </c>
      <c r="L21" s="2">
        <v>375.91490700000003</v>
      </c>
      <c r="M21" s="2">
        <v>-622.487348</v>
      </c>
      <c r="N21" s="2">
        <v>0.95708499999999996</v>
      </c>
      <c r="O21" s="2">
        <v>1.658936</v>
      </c>
      <c r="P21" s="2"/>
      <c r="Q21" s="5">
        <f>N21*0.001/60</f>
        <v>1.5951416666666668E-5</v>
      </c>
      <c r="R21" cm="1">
        <f t="array" ref="R21">[1]!PropsSI("D","T",J21+273.15,"P",101325,"Water")</f>
        <v>985.70492636955248</v>
      </c>
      <c r="S21" cm="1">
        <f t="array" ref="S21">[1]!PropsSI("D","T",J21+273.15,"P",101325,"Water")</f>
        <v>985.70492636955248</v>
      </c>
      <c r="T21">
        <f t="shared" si="1"/>
        <v>985.70492636955248</v>
      </c>
      <c r="U21" cm="1">
        <f t="array" ref="U21">[1]!PropsSI("H","T",J21+273.15,"P",101325,"Water")</f>
        <v>230226.77665068462</v>
      </c>
      <c r="V21" cm="1">
        <f t="array" ref="V21">[1]!PropsSI("H","T",K21+273.15,"P",101325,"Water")</f>
        <v>185969.79019554192</v>
      </c>
      <c r="W21">
        <f t="shared" si="0"/>
        <v>695.86985785648494</v>
      </c>
    </row>
    <row r="22" spans="1:23" x14ac:dyDescent="0.2">
      <c r="P22" s="2"/>
      <c r="Q22" s="5"/>
    </row>
    <row r="23" spans="1:23" x14ac:dyDescent="0.2">
      <c r="P23" s="2"/>
      <c r="Q23" s="5"/>
    </row>
    <row r="24" spans="1:23" x14ac:dyDescent="0.2">
      <c r="P24" s="2"/>
      <c r="Q24" s="5"/>
    </row>
    <row r="25" spans="1:23" x14ac:dyDescent="0.2">
      <c r="P25" s="2"/>
      <c r="Q25" s="5"/>
    </row>
    <row r="26" spans="1:23" x14ac:dyDescent="0.2">
      <c r="P26" s="2"/>
      <c r="Q26" s="5"/>
    </row>
    <row r="27" spans="1:23" x14ac:dyDescent="0.2">
      <c r="P27" s="2"/>
      <c r="Q27" s="5"/>
    </row>
    <row r="28" spans="1:23" x14ac:dyDescent="0.2">
      <c r="P28" s="2"/>
      <c r="Q28" s="5"/>
    </row>
    <row r="29" spans="1:23" x14ac:dyDescent="0.2">
      <c r="P29" s="2"/>
      <c r="Q29" s="5"/>
    </row>
    <row r="30" spans="1:23" x14ac:dyDescent="0.2">
      <c r="P30" s="2"/>
      <c r="Q30" s="5"/>
    </row>
    <row r="31" spans="1:23" x14ac:dyDescent="0.2">
      <c r="P31" s="2"/>
      <c r="Q31" s="5"/>
    </row>
    <row r="32" spans="1:23" x14ac:dyDescent="0.2">
      <c r="P32" s="2"/>
      <c r="Q32" s="5"/>
    </row>
    <row r="33" spans="16:17" x14ac:dyDescent="0.2">
      <c r="P33" s="2"/>
      <c r="Q33" s="5"/>
    </row>
    <row r="34" spans="16:17" x14ac:dyDescent="0.2">
      <c r="P34" s="2"/>
      <c r="Q34" s="5"/>
    </row>
    <row r="35" spans="16:17" x14ac:dyDescent="0.2">
      <c r="P35" s="2"/>
      <c r="Q35" s="5"/>
    </row>
    <row r="36" spans="16:17" x14ac:dyDescent="0.2">
      <c r="P36" s="2"/>
      <c r="Q36" s="5"/>
    </row>
    <row r="37" spans="16:17" x14ac:dyDescent="0.2">
      <c r="Q37" s="5"/>
    </row>
    <row r="38" spans="16:17" x14ac:dyDescent="0.2">
      <c r="Q38" s="5"/>
    </row>
    <row r="39" spans="16:17" x14ac:dyDescent="0.2">
      <c r="Q39" s="5"/>
    </row>
    <row r="40" spans="16:17" x14ac:dyDescent="0.2">
      <c r="Q40" s="5"/>
    </row>
    <row r="41" spans="16:17" x14ac:dyDescent="0.2">
      <c r="Q41" s="5"/>
    </row>
    <row r="42" spans="16:17" x14ac:dyDescent="0.2">
      <c r="Q42" s="5"/>
    </row>
    <row r="43" spans="16:17" x14ac:dyDescent="0.2">
      <c r="Q43" s="5"/>
    </row>
    <row r="44" spans="16:17" x14ac:dyDescent="0.2">
      <c r="Q4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Results</vt:lpstr>
      <vt:lpstr>Graphs 1-4</vt:lpstr>
      <vt:lpstr>Graphs 5-7</vt:lpstr>
      <vt:lpstr>1mps</vt:lpstr>
      <vt:lpstr>2mps</vt:lpstr>
      <vt:lpstr>3mps</vt:lpstr>
      <vt:lpstr>4mps</vt:lpstr>
      <vt:lpstr>5mps</vt:lpstr>
      <vt:lpstr>6mps</vt:lpstr>
      <vt:lpstr>7mps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2026-02-25T01:57:25Z</dcterms:created>
  <dcterms:modified xsi:type="dcterms:W3CDTF">2026-02-25T03:32:25Z</dcterms:modified>
</cp:coreProperties>
</file>