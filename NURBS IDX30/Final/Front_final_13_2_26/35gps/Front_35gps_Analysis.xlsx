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Front_final_13_2_26/35gps/"/>
    </mc:Choice>
  </mc:AlternateContent>
  <xr:revisionPtr revIDLastSave="0" documentId="13_ncr:1_{E050425D-6071-D447-8693-8E99E8EF21D5}" xr6:coauthVersionLast="47" xr6:coauthVersionMax="47" xr10:uidLastSave="{00000000-0000-0000-0000-000000000000}"/>
  <bookViews>
    <workbookView xWindow="0" yWindow="660" windowWidth="30240" windowHeight="17520" xr2:uid="{1C60444A-BEFD-BC4F-B8F6-C471D470F8DA}"/>
  </bookViews>
  <sheets>
    <sheet name="Results" sheetId="13" r:id="rId1"/>
    <sheet name="1mps" sheetId="38" r:id="rId2"/>
    <sheet name="2mps" sheetId="48" r:id="rId3"/>
    <sheet name="3mps" sheetId="49" r:id="rId4"/>
    <sheet name="4mps" sheetId="50" r:id="rId5"/>
    <sheet name="5mps" sheetId="51" r:id="rId6"/>
    <sheet name="6mps" sheetId="52" r:id="rId7"/>
    <sheet name="7mps" sheetId="53" r:id="rId8"/>
  </sheets>
  <externalReferences>
    <externalReference r:id="rId9"/>
  </externalReferences>
  <definedNames>
    <definedName name="ExternalData_2" localSheetId="1" hidden="1">'1mps'!$A$1:$O$11</definedName>
    <definedName name="ExternalData_3" localSheetId="2" hidden="1">'2mps'!$A$1:$O$10</definedName>
    <definedName name="ExternalData_3" localSheetId="3" hidden="1">'3mps'!$A$1:$O$9</definedName>
    <definedName name="ExternalData_3" localSheetId="4" hidden="1">'4mps'!$A$1:$O$8</definedName>
    <definedName name="ExternalData_3" localSheetId="5" hidden="1">'5mps'!$A$1:$O$20</definedName>
    <definedName name="ExternalData_3" localSheetId="6" hidden="1">'6mps'!$A$1:$O$17</definedName>
    <definedName name="ExternalData_3" localSheetId="7" hidden="1">'7mps'!$A$1:$O$41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53" l="1"/>
  <c r="E22" i="52"/>
  <c r="E24" i="51"/>
  <c r="E13" i="50"/>
  <c r="E14" i="49"/>
  <c r="E14" i="48"/>
  <c r="E16" i="38"/>
  <c r="P12" i="53"/>
  <c r="P13" i="53"/>
  <c r="P14" i="53"/>
  <c r="P15" i="53"/>
  <c r="P16" i="53"/>
  <c r="P17" i="53"/>
  <c r="P18" i="53"/>
  <c r="P19" i="53"/>
  <c r="P20" i="53"/>
  <c r="P21" i="53"/>
  <c r="P22" i="53"/>
  <c r="P23" i="53"/>
  <c r="P24" i="53"/>
  <c r="P25" i="53"/>
  <c r="P26" i="53"/>
  <c r="P27" i="53"/>
  <c r="P28" i="53"/>
  <c r="P29" i="53"/>
  <c r="P30" i="53"/>
  <c r="P31" i="53"/>
  <c r="P32" i="53"/>
  <c r="P33" i="53"/>
  <c r="P34" i="53"/>
  <c r="P35" i="53"/>
  <c r="P36" i="53"/>
  <c r="P37" i="53"/>
  <c r="P38" i="53"/>
  <c r="P39" i="53"/>
  <c r="P40" i="53"/>
  <c r="P41" i="53"/>
  <c r="P12" i="52"/>
  <c r="P13" i="52"/>
  <c r="P14" i="52"/>
  <c r="P15" i="52"/>
  <c r="P16" i="52"/>
  <c r="P17" i="52"/>
  <c r="P12" i="51"/>
  <c r="P13" i="51"/>
  <c r="P14" i="51"/>
  <c r="P15" i="51"/>
  <c r="P16" i="51"/>
  <c r="P17" i="51"/>
  <c r="P18" i="51"/>
  <c r="P19" i="51"/>
  <c r="P20" i="51"/>
  <c r="P11" i="53"/>
  <c r="P10" i="53"/>
  <c r="P9" i="53"/>
  <c r="P8" i="53"/>
  <c r="P7" i="53"/>
  <c r="P6" i="53"/>
  <c r="P5" i="53"/>
  <c r="P4" i="53"/>
  <c r="P3" i="53"/>
  <c r="P2" i="53"/>
  <c r="P11" i="52"/>
  <c r="P10" i="52"/>
  <c r="P9" i="52"/>
  <c r="P8" i="52"/>
  <c r="P7" i="52"/>
  <c r="P6" i="52"/>
  <c r="P5" i="52"/>
  <c r="P4" i="52"/>
  <c r="P3" i="52"/>
  <c r="P2" i="52"/>
  <c r="P11" i="51"/>
  <c r="P10" i="51"/>
  <c r="P9" i="51"/>
  <c r="P8" i="51"/>
  <c r="P7" i="51"/>
  <c r="P6" i="51"/>
  <c r="P5" i="51"/>
  <c r="P4" i="51"/>
  <c r="P3" i="51"/>
  <c r="P2" i="51"/>
  <c r="P8" i="50"/>
  <c r="P7" i="50"/>
  <c r="P6" i="50"/>
  <c r="P5" i="50"/>
  <c r="P4" i="50"/>
  <c r="P3" i="50"/>
  <c r="P2" i="50"/>
  <c r="P9" i="49"/>
  <c r="P8" i="49"/>
  <c r="P7" i="49"/>
  <c r="P6" i="49"/>
  <c r="P5" i="49"/>
  <c r="P4" i="49"/>
  <c r="P3" i="49"/>
  <c r="P2" i="49"/>
  <c r="P10" i="48"/>
  <c r="P9" i="48"/>
  <c r="P8" i="48"/>
  <c r="P7" i="48"/>
  <c r="P6" i="48"/>
  <c r="P5" i="48"/>
  <c r="P4" i="48"/>
  <c r="P3" i="48"/>
  <c r="P2" i="48"/>
  <c r="P11" i="38"/>
  <c r="P10" i="38"/>
  <c r="P9" i="38"/>
  <c r="P8" i="38"/>
  <c r="P7" i="38"/>
  <c r="P6" i="38"/>
  <c r="P5" i="38"/>
  <c r="P4" i="38"/>
  <c r="P3" i="38"/>
  <c r="P2" i="38"/>
  <c r="Q13" i="53" a="1"/>
  <c r="R15" i="53" a="1"/>
  <c r="T18" i="53" a="1"/>
  <c r="U20" i="53" a="1"/>
  <c r="Q25" i="53" a="1"/>
  <c r="R27" i="53" a="1"/>
  <c r="T30" i="53" a="1"/>
  <c r="U32" i="53" a="1"/>
  <c r="Q37" i="53" a="1"/>
  <c r="R39" i="53" a="1"/>
  <c r="Q35" i="53" a="1"/>
  <c r="T40" i="53" a="1"/>
  <c r="U17" i="53" a="1"/>
  <c r="Q22" i="53" a="1"/>
  <c r="Q34" i="53" a="1"/>
  <c r="R36" i="53" a="1"/>
  <c r="T39" i="53" a="1"/>
  <c r="U41" i="53" a="1"/>
  <c r="T14" i="53" a="1"/>
  <c r="Q33" i="53" a="1"/>
  <c r="T13" i="53" a="1"/>
  <c r="U15" i="53" a="1"/>
  <c r="Q20" i="53" a="1"/>
  <c r="T25" i="53" a="1"/>
  <c r="U27" i="53" a="1"/>
  <c r="Q32" i="53" a="1"/>
  <c r="R34" i="53" a="1"/>
  <c r="T37" i="53" a="1"/>
  <c r="U39" i="53" a="1"/>
  <c r="Q12" i="53" a="1"/>
  <c r="R14" i="53" a="1"/>
  <c r="T17" i="53" a="1"/>
  <c r="U19" i="53" a="1"/>
  <c r="Q24" i="53" a="1"/>
  <c r="R26" i="53" a="1"/>
  <c r="T29" i="53" a="1"/>
  <c r="U31" i="53" a="1"/>
  <c r="Q36" i="53" a="1"/>
  <c r="R38" i="53" a="1"/>
  <c r="T41" i="53" a="1"/>
  <c r="U30" i="53" a="1"/>
  <c r="R37" i="53" a="1"/>
  <c r="R12" i="53" a="1"/>
  <c r="T15" i="53" a="1"/>
  <c r="R24" i="53" a="1"/>
  <c r="T27" i="53" a="1"/>
  <c r="U29" i="53" a="1"/>
  <c r="R13" i="53" a="1"/>
  <c r="T16" i="53" a="1"/>
  <c r="U18" i="53" a="1"/>
  <c r="Q23" i="53" a="1"/>
  <c r="R25" i="53" a="1"/>
  <c r="T28" i="53" a="1"/>
  <c r="U16" i="53" a="1"/>
  <c r="Q21" i="53" a="1"/>
  <c r="R23" i="53" a="1"/>
  <c r="T26" i="53" a="1"/>
  <c r="U28" i="53" a="1"/>
  <c r="R35" i="53" a="1"/>
  <c r="T38" i="53" a="1"/>
  <c r="U40" i="53" a="1"/>
  <c r="R22" i="53" a="1"/>
  <c r="T12" i="53" a="1"/>
  <c r="U14" i="53" a="1"/>
  <c r="Q19" i="53" a="1"/>
  <c r="R21" i="53" a="1"/>
  <c r="T24" i="53" a="1"/>
  <c r="U26" i="53" a="1"/>
  <c r="Q31" i="53" a="1"/>
  <c r="R33" i="53" a="1"/>
  <c r="T36" i="53" a="1"/>
  <c r="U38" i="53" a="1"/>
  <c r="U12" i="53" a="1"/>
  <c r="Q17" i="53" a="1"/>
  <c r="T22" i="53" a="1"/>
  <c r="Q29" i="53" a="1"/>
  <c r="T34" i="53" a="1"/>
  <c r="U36" i="53" a="1"/>
  <c r="Q41" i="53" a="1"/>
  <c r="Q16" i="53" a="1"/>
  <c r="R18" i="53" a="1"/>
  <c r="T21" i="53" a="1"/>
  <c r="T33" i="53" a="1"/>
  <c r="U35" i="53" a="1"/>
  <c r="Q40" i="53" a="1"/>
  <c r="R17" i="53" a="1"/>
  <c r="T20" i="53" a="1"/>
  <c r="Q27" i="53" a="1"/>
  <c r="R29" i="53" a="1"/>
  <c r="U34" i="53" a="1"/>
  <c r="Q39" i="53" a="1"/>
  <c r="R16" i="53" a="1"/>
  <c r="T19" i="53" a="1"/>
  <c r="R28" i="53" a="1"/>
  <c r="U33" i="53" a="1"/>
  <c r="R40" i="53" a="1"/>
  <c r="U13" i="53" a="1"/>
  <c r="Q18" i="53" a="1"/>
  <c r="R20" i="53" a="1"/>
  <c r="T23" i="53" a="1"/>
  <c r="U25" i="53" a="1"/>
  <c r="Q30" i="53" a="1"/>
  <c r="R32" i="53" a="1"/>
  <c r="T35" i="53" a="1"/>
  <c r="U37" i="53" a="1"/>
  <c r="R19" i="53" a="1"/>
  <c r="U24" i="53" a="1"/>
  <c r="R31" i="53" a="1"/>
  <c r="U23" i="53" a="1"/>
  <c r="Q28" i="53" a="1"/>
  <c r="R30" i="53" a="1"/>
  <c r="Q15" i="53" a="1"/>
  <c r="U22" i="53" a="1"/>
  <c r="T32" i="53" a="1"/>
  <c r="R41" i="53" a="1"/>
  <c r="Q14" i="53" a="1"/>
  <c r="U21" i="53" a="1"/>
  <c r="Q26" i="53" a="1"/>
  <c r="T31" i="53" a="1"/>
  <c r="Q38" i="53" a="1"/>
  <c r="Q13" i="52" a="1"/>
  <c r="R15" i="52" a="1"/>
  <c r="U16" i="52" a="1"/>
  <c r="T13" i="52" a="1"/>
  <c r="U14" i="52" a="1"/>
  <c r="Q15" i="52" a="1"/>
  <c r="R16" i="52" a="1"/>
  <c r="Q12" i="52" a="1"/>
  <c r="R14" i="52" a="1"/>
  <c r="T17" i="52" a="1"/>
  <c r="T15" i="52" a="1"/>
  <c r="T12" i="52" a="1"/>
  <c r="Q14" i="52" a="1"/>
  <c r="R13" i="52" a="1"/>
  <c r="T16" i="52" a="1"/>
  <c r="U17" i="52" a="1"/>
  <c r="T14" i="52" a="1"/>
  <c r="U15" i="52" a="1"/>
  <c r="Q16" i="52" a="1"/>
  <c r="R17" i="52" a="1"/>
  <c r="R12" i="52" a="1"/>
  <c r="U13" i="52" a="1"/>
  <c r="U12" i="52" a="1"/>
  <c r="Q17" i="52" a="1"/>
  <c r="Q13" i="51" a="1"/>
  <c r="R15" i="51" a="1"/>
  <c r="T18" i="51" a="1"/>
  <c r="U20" i="51" a="1"/>
  <c r="U19" i="51" a="1"/>
  <c r="T14" i="51" a="1"/>
  <c r="T13" i="51" a="1"/>
  <c r="U15" i="51" a="1"/>
  <c r="Q20" i="51" a="1"/>
  <c r="U14" i="51" a="1"/>
  <c r="Q19" i="51" a="1"/>
  <c r="Q14" i="51" a="1"/>
  <c r="T19" i="51" a="1"/>
  <c r="Q12" i="51" a="1"/>
  <c r="R14" i="51" a="1"/>
  <c r="T17" i="51" a="1"/>
  <c r="R13" i="51" a="1"/>
  <c r="T16" i="51" a="1"/>
  <c r="U18" i="51" a="1"/>
  <c r="T15" i="51" a="1"/>
  <c r="U17" i="51" a="1"/>
  <c r="U16" i="51" a="1"/>
  <c r="T12" i="51" a="1"/>
  <c r="R12" i="51" a="1"/>
  <c r="U13" i="51" a="1"/>
  <c r="Q18" i="51" a="1"/>
  <c r="R20" i="51" a="1"/>
  <c r="Q17" i="51" a="1"/>
  <c r="R19" i="51" a="1"/>
  <c r="Q16" i="51" a="1"/>
  <c r="Q15" i="51" a="1"/>
  <c r="T20" i="51" a="1"/>
  <c r="U12" i="51" a="1"/>
  <c r="R18" i="51" a="1"/>
  <c r="R17" i="51" a="1"/>
  <c r="R16" i="51" a="1"/>
  <c r="U9" i="53" a="1"/>
  <c r="T7" i="53" a="1"/>
  <c r="R4" i="53" a="1"/>
  <c r="Q2" i="53" a="1"/>
  <c r="T10" i="53" a="1"/>
  <c r="T11" i="53" a="1"/>
  <c r="R8" i="53" a="1"/>
  <c r="Q6" i="53" a="1"/>
  <c r="R9" i="53" a="1"/>
  <c r="Q7" i="53" a="1"/>
  <c r="U2" i="53" a="1"/>
  <c r="T6" i="53" a="1"/>
  <c r="U10" i="53" a="1"/>
  <c r="T8" i="53" a="1"/>
  <c r="R5" i="53" a="1"/>
  <c r="Q3" i="53" a="1"/>
  <c r="Q5" i="53" a="1"/>
  <c r="U11" i="53" a="1"/>
  <c r="T9" i="53" a="1"/>
  <c r="R6" i="53" a="1"/>
  <c r="Q4" i="53" a="1"/>
  <c r="R7" i="53" a="1"/>
  <c r="R10" i="53" a="1"/>
  <c r="Q8" i="53" a="1"/>
  <c r="U3" i="53" a="1"/>
  <c r="R11" i="53" a="1"/>
  <c r="Q9" i="53" a="1"/>
  <c r="U4" i="53" a="1"/>
  <c r="Q10" i="53" a="1"/>
  <c r="U5" i="53" a="1"/>
  <c r="Q11" i="53" a="1"/>
  <c r="T4" i="53" a="1"/>
  <c r="U7" i="53" a="1"/>
  <c r="U8" i="53" a="1"/>
  <c r="T2" i="53" a="1"/>
  <c r="T3" i="53" a="1"/>
  <c r="U6" i="53" a="1"/>
  <c r="R2" i="53" a="1"/>
  <c r="R3" i="53" a="1"/>
  <c r="T5" i="53" a="1"/>
  <c r="U9" i="52" a="1"/>
  <c r="T7" i="52" a="1"/>
  <c r="R4" i="52" a="1"/>
  <c r="Q2" i="52" a="1"/>
  <c r="T11" i="52" a="1"/>
  <c r="R8" i="52" a="1"/>
  <c r="Q6" i="52" a="1"/>
  <c r="R11" i="52" a="1"/>
  <c r="Q10" i="52" a="1"/>
  <c r="T4" i="52" a="1"/>
  <c r="U7" i="52" a="1"/>
  <c r="U8" i="52" a="1"/>
  <c r="U10" i="52" a="1"/>
  <c r="T8" i="52" a="1"/>
  <c r="R5" i="52" a="1"/>
  <c r="Q3" i="52" a="1"/>
  <c r="Q7" i="52" a="1"/>
  <c r="Q8" i="52" a="1"/>
  <c r="U3" i="52" a="1"/>
  <c r="T2" i="52" a="1"/>
  <c r="Q11" i="52" a="1"/>
  <c r="T5" i="52" a="1"/>
  <c r="T6" i="52" a="1"/>
  <c r="U11" i="52" a="1"/>
  <c r="T9" i="52" a="1"/>
  <c r="R6" i="52" a="1"/>
  <c r="Q4" i="52" a="1"/>
  <c r="R9" i="52" a="1"/>
  <c r="R10" i="52" a="1"/>
  <c r="U4" i="52" a="1"/>
  <c r="T3" i="52" a="1"/>
  <c r="U6" i="52" a="1"/>
  <c r="R2" i="52" a="1"/>
  <c r="R3" i="52" a="1"/>
  <c r="T10" i="52" a="1"/>
  <c r="R7" i="52" a="1"/>
  <c r="Q5" i="52" a="1"/>
  <c r="U2" i="52" a="1"/>
  <c r="Q9" i="52" a="1"/>
  <c r="U5" i="52" a="1"/>
  <c r="U9" i="51" a="1"/>
  <c r="T7" i="51" a="1"/>
  <c r="R4" i="51" a="1"/>
  <c r="Q2" i="51" a="1"/>
  <c r="T8" i="51" a="1"/>
  <c r="R5" i="51" a="1"/>
  <c r="Q3" i="51" a="1"/>
  <c r="Q4" i="51" a="1"/>
  <c r="U10" i="51" a="1"/>
  <c r="T9" i="51" a="1"/>
  <c r="U11" i="51" a="1"/>
  <c r="T10" i="51" a="1"/>
  <c r="T11" i="51" a="1"/>
  <c r="R8" i="51" a="1"/>
  <c r="Q6" i="51" a="1"/>
  <c r="R9" i="51" a="1"/>
  <c r="Q7" i="51" a="1"/>
  <c r="U2" i="51" a="1"/>
  <c r="T3" i="51" a="1"/>
  <c r="U6" i="51" a="1"/>
  <c r="T4" i="51" a="1"/>
  <c r="R2" i="51" a="1"/>
  <c r="R6" i="51" a="1"/>
  <c r="R10" i="51" a="1"/>
  <c r="Q8" i="51" a="1"/>
  <c r="U3" i="51" a="1"/>
  <c r="T2" i="51" a="1"/>
  <c r="Q10" i="51" a="1"/>
  <c r="R11" i="51" a="1"/>
  <c r="Q9" i="51" a="1"/>
  <c r="U4" i="51" a="1"/>
  <c r="U5" i="51" a="1"/>
  <c r="Q5" i="51" a="1"/>
  <c r="R7" i="51" a="1"/>
  <c r="Q11" i="51" a="1"/>
  <c r="U7" i="51" a="1"/>
  <c r="T5" i="51" a="1"/>
  <c r="U8" i="51" a="1"/>
  <c r="T6" i="51" a="1"/>
  <c r="R3" i="51" a="1"/>
  <c r="T7" i="50" a="1"/>
  <c r="R4" i="50" a="1"/>
  <c r="Q2" i="50" a="1"/>
  <c r="Q3" i="50" a="1"/>
  <c r="Q5" i="50" a="1"/>
  <c r="Q6" i="50" a="1"/>
  <c r="Q7" i="50" a="1"/>
  <c r="U2" i="50" a="1"/>
  <c r="Q8" i="50" a="1"/>
  <c r="T2" i="50" a="1"/>
  <c r="T5" i="50" a="1"/>
  <c r="T6" i="50" a="1"/>
  <c r="T8" i="50" a="1"/>
  <c r="R5" i="50" a="1"/>
  <c r="R6" i="50" a="1"/>
  <c r="Q4" i="50" a="1"/>
  <c r="R7" i="50" a="1"/>
  <c r="R8" i="50" a="1"/>
  <c r="U3" i="50" a="1"/>
  <c r="U4" i="50" a="1"/>
  <c r="U7" i="50" a="1"/>
  <c r="U8" i="50" a="1"/>
  <c r="U5" i="50" a="1"/>
  <c r="T3" i="50" a="1"/>
  <c r="U6" i="50" a="1"/>
  <c r="T4" i="50" a="1"/>
  <c r="R2" i="50" a="1"/>
  <c r="R3" i="50" a="1"/>
  <c r="U9" i="49" a="1"/>
  <c r="T7" i="49" a="1"/>
  <c r="R4" i="49" a="1"/>
  <c r="Q2" i="49" a="1"/>
  <c r="R7" i="49" a="1"/>
  <c r="R8" i="49" a="1"/>
  <c r="R9" i="49" a="1"/>
  <c r="T5" i="49" a="1"/>
  <c r="T6" i="49" a="1"/>
  <c r="T8" i="49" a="1"/>
  <c r="R5" i="49" a="1"/>
  <c r="Q3" i="49" a="1"/>
  <c r="Q5" i="49" a="1"/>
  <c r="Q6" i="49" a="1"/>
  <c r="T3" i="49" a="1"/>
  <c r="T4" i="49" a="1"/>
  <c r="T9" i="49" a="1"/>
  <c r="R6" i="49" a="1"/>
  <c r="Q4" i="49" a="1"/>
  <c r="Q7" i="49" a="1"/>
  <c r="U2" i="49" a="1"/>
  <c r="U5" i="49" a="1"/>
  <c r="U6" i="49" a="1"/>
  <c r="R2" i="49" a="1"/>
  <c r="U8" i="49" a="1"/>
  <c r="Q8" i="49" a="1"/>
  <c r="U3" i="49" a="1"/>
  <c r="Q9" i="49" a="1"/>
  <c r="U4" i="49" a="1"/>
  <c r="T2" i="49" a="1"/>
  <c r="U7" i="49" a="1"/>
  <c r="R3" i="49" a="1"/>
  <c r="R8" i="48" a="1"/>
  <c r="Q6" i="48" a="1"/>
  <c r="T10" i="48" a="1"/>
  <c r="R7" i="48" a="1"/>
  <c r="Q5" i="48" a="1"/>
  <c r="T9" i="48" a="1"/>
  <c r="R6" i="48" a="1"/>
  <c r="Q4" i="48" a="1"/>
  <c r="U2" i="48" a="1"/>
  <c r="U3" i="48" a="1"/>
  <c r="U4" i="48" a="1"/>
  <c r="T2" i="48" a="1"/>
  <c r="U5" i="48" a="1"/>
  <c r="T3" i="48" a="1"/>
  <c r="U6" i="48" a="1"/>
  <c r="T4" i="48" a="1"/>
  <c r="U7" i="48" a="1"/>
  <c r="T5" i="48" a="1"/>
  <c r="R2" i="48" a="1"/>
  <c r="R9" i="48" a="1"/>
  <c r="Q7" i="48" a="1"/>
  <c r="R10" i="48" a="1"/>
  <c r="Q8" i="48" a="1"/>
  <c r="Q9" i="48" a="1"/>
  <c r="Q10" i="48" a="1"/>
  <c r="U8" i="48" a="1"/>
  <c r="T6" i="48" a="1"/>
  <c r="R3" i="48" a="1"/>
  <c r="U9" i="48" a="1"/>
  <c r="T7" i="48" a="1"/>
  <c r="R4" i="48" a="1"/>
  <c r="Q2" i="48" a="1"/>
  <c r="U10" i="48" a="1"/>
  <c r="T8" i="48" a="1"/>
  <c r="R5" i="48" a="1"/>
  <c r="Q3" i="48" a="1"/>
  <c r="Q5" i="38" a="1"/>
  <c r="Q9" i="38" a="1"/>
  <c r="T11" i="38" a="1"/>
  <c r="R8" i="38" a="1"/>
  <c r="Q6" i="38" a="1"/>
  <c r="Q7" i="38" a="1"/>
  <c r="U2" i="38" a="1"/>
  <c r="Q8" i="38" a="1"/>
  <c r="U3" i="38" a="1"/>
  <c r="U4" i="38" a="1"/>
  <c r="T4" i="38" a="1"/>
  <c r="Q3" i="38" a="1"/>
  <c r="U5" i="38" a="1"/>
  <c r="U7" i="38" a="1"/>
  <c r="U11" i="38" a="1"/>
  <c r="Q11" i="38" a="1"/>
  <c r="R2" i="38" a="1"/>
  <c r="T9" i="38" a="1"/>
  <c r="R9" i="38" a="1"/>
  <c r="U9" i="38" a="1"/>
  <c r="T5" i="38" a="1"/>
  <c r="U8" i="38" a="1"/>
  <c r="T7" i="38" a="1"/>
  <c r="Q4" i="38" a="1"/>
  <c r="T6" i="38" a="1"/>
  <c r="R4" i="38" a="1"/>
  <c r="R3" i="38" a="1"/>
  <c r="Q2" i="38" a="1"/>
  <c r="R11" i="38" a="1"/>
  <c r="R6" i="38" a="1"/>
  <c r="T2" i="38" a="1"/>
  <c r="R10" i="38" a="1"/>
  <c r="Q10" i="38" a="1"/>
  <c r="U10" i="38" a="1"/>
  <c r="T3" i="38" a="1"/>
  <c r="T8" i="38" a="1"/>
  <c r="U6" i="38" a="1"/>
  <c r="R5" i="38" a="1"/>
  <c r="T10" i="38" a="1"/>
  <c r="R7" i="38" a="1"/>
  <c r="Q38" i="53" l="1"/>
  <c r="T31" i="53"/>
  <c r="Q26" i="53"/>
  <c r="S26" i="53" s="1"/>
  <c r="U21" i="53"/>
  <c r="Q14" i="53"/>
  <c r="R41" i="53"/>
  <c r="T32" i="53"/>
  <c r="U22" i="53"/>
  <c r="Q15" i="53"/>
  <c r="R30" i="53"/>
  <c r="Q28" i="53"/>
  <c r="S28" i="53" s="1"/>
  <c r="V28" i="53" s="1"/>
  <c r="U23" i="53"/>
  <c r="R31" i="53"/>
  <c r="U24" i="53"/>
  <c r="R19" i="53"/>
  <c r="U37" i="53"/>
  <c r="T35" i="53"/>
  <c r="R32" i="53"/>
  <c r="Q30" i="53"/>
  <c r="U25" i="53"/>
  <c r="T23" i="53"/>
  <c r="R20" i="53"/>
  <c r="Q18" i="53"/>
  <c r="S18" i="53" s="1"/>
  <c r="V18" i="53" s="1"/>
  <c r="U13" i="53"/>
  <c r="R40" i="53"/>
  <c r="U33" i="53"/>
  <c r="R28" i="53"/>
  <c r="T19" i="53"/>
  <c r="R16" i="53"/>
  <c r="Q39" i="53"/>
  <c r="S39" i="53" s="1"/>
  <c r="U34" i="53"/>
  <c r="R29" i="53"/>
  <c r="Q27" i="53"/>
  <c r="S27" i="53" s="1"/>
  <c r="T20" i="53"/>
  <c r="R17" i="53"/>
  <c r="Q40" i="53"/>
  <c r="S40" i="53" s="1"/>
  <c r="V40" i="53" s="1"/>
  <c r="U35" i="53"/>
  <c r="T33" i="53"/>
  <c r="T21" i="53"/>
  <c r="R18" i="53"/>
  <c r="Q16" i="53"/>
  <c r="S16" i="53" s="1"/>
  <c r="Q41" i="53"/>
  <c r="S41" i="53" s="1"/>
  <c r="U36" i="53"/>
  <c r="T34" i="53"/>
  <c r="Q29" i="53"/>
  <c r="S29" i="53" s="1"/>
  <c r="V29" i="53" s="1"/>
  <c r="T22" i="53"/>
  <c r="Q17" i="53"/>
  <c r="S17" i="53" s="1"/>
  <c r="U12" i="53"/>
  <c r="U38" i="53"/>
  <c r="T36" i="53"/>
  <c r="R33" i="53"/>
  <c r="Q31" i="53"/>
  <c r="S31" i="53" s="1"/>
  <c r="U26" i="53"/>
  <c r="T24" i="53"/>
  <c r="R21" i="53"/>
  <c r="Q19" i="53"/>
  <c r="S19" i="53" s="1"/>
  <c r="V19" i="53" s="1"/>
  <c r="U14" i="53"/>
  <c r="T12" i="53"/>
  <c r="R22" i="53"/>
  <c r="U40" i="53"/>
  <c r="T38" i="53"/>
  <c r="R35" i="53"/>
  <c r="U28" i="53"/>
  <c r="T26" i="53"/>
  <c r="R23" i="53"/>
  <c r="Q21" i="53"/>
  <c r="U16" i="53"/>
  <c r="T28" i="53"/>
  <c r="R25" i="53"/>
  <c r="Q23" i="53"/>
  <c r="S23" i="53" s="1"/>
  <c r="U18" i="53"/>
  <c r="T16" i="53"/>
  <c r="R13" i="53"/>
  <c r="U29" i="53"/>
  <c r="T27" i="53"/>
  <c r="R24" i="53"/>
  <c r="T15" i="53"/>
  <c r="R12" i="53"/>
  <c r="R37" i="53"/>
  <c r="U30" i="53"/>
  <c r="T41" i="53"/>
  <c r="R38" i="53"/>
  <c r="Q36" i="53"/>
  <c r="S36" i="53" s="1"/>
  <c r="V36" i="53" s="1"/>
  <c r="U31" i="53"/>
  <c r="T29" i="53"/>
  <c r="R26" i="53"/>
  <c r="Q24" i="53"/>
  <c r="U19" i="53"/>
  <c r="T17" i="53"/>
  <c r="R14" i="53"/>
  <c r="Q12" i="53"/>
  <c r="S12" i="53" s="1"/>
  <c r="U39" i="53"/>
  <c r="T37" i="53"/>
  <c r="R34" i="53"/>
  <c r="Q32" i="53"/>
  <c r="S32" i="53" s="1"/>
  <c r="V32" i="53" s="1"/>
  <c r="U27" i="53"/>
  <c r="T25" i="53"/>
  <c r="Q20" i="53"/>
  <c r="U15" i="53"/>
  <c r="T13" i="53"/>
  <c r="Q33" i="53"/>
  <c r="S33" i="53" s="1"/>
  <c r="V33" i="53" s="1"/>
  <c r="T14" i="53"/>
  <c r="U41" i="53"/>
  <c r="T39" i="53"/>
  <c r="R36" i="53"/>
  <c r="Q34" i="53"/>
  <c r="S34" i="53" s="1"/>
  <c r="V34" i="53" s="1"/>
  <c r="Q22" i="53"/>
  <c r="S22" i="53" s="1"/>
  <c r="V22" i="53" s="1"/>
  <c r="U17" i="53"/>
  <c r="T40" i="53"/>
  <c r="Q35" i="53"/>
  <c r="S35" i="53" s="1"/>
  <c r="R39" i="53"/>
  <c r="Q37" i="53"/>
  <c r="U32" i="53"/>
  <c r="T30" i="53"/>
  <c r="R27" i="53"/>
  <c r="Q25" i="53"/>
  <c r="U20" i="53"/>
  <c r="T18" i="53"/>
  <c r="R15" i="53"/>
  <c r="Q13" i="53"/>
  <c r="S13" i="53" s="1"/>
  <c r="V13" i="53" s="1"/>
  <c r="Q17" i="52"/>
  <c r="U12" i="52"/>
  <c r="U13" i="52"/>
  <c r="R12" i="52"/>
  <c r="R17" i="52"/>
  <c r="Q16" i="52"/>
  <c r="S16" i="52" s="1"/>
  <c r="U15" i="52"/>
  <c r="T14" i="52"/>
  <c r="U17" i="52"/>
  <c r="T16" i="52"/>
  <c r="R13" i="52"/>
  <c r="Q14" i="52"/>
  <c r="S14" i="52" s="1"/>
  <c r="V14" i="52" s="1"/>
  <c r="T12" i="52"/>
  <c r="T15" i="52"/>
  <c r="T17" i="52"/>
  <c r="R14" i="52"/>
  <c r="Q12" i="52"/>
  <c r="S12" i="52" s="1"/>
  <c r="V12" i="52" s="1"/>
  <c r="R16" i="52"/>
  <c r="Q15" i="52"/>
  <c r="U14" i="52"/>
  <c r="T13" i="52"/>
  <c r="U16" i="52"/>
  <c r="R15" i="52"/>
  <c r="Q13" i="52"/>
  <c r="S13" i="52" s="1"/>
  <c r="V13" i="52" s="1"/>
  <c r="R16" i="51"/>
  <c r="R17" i="51"/>
  <c r="R18" i="51"/>
  <c r="U12" i="51"/>
  <c r="T20" i="51"/>
  <c r="Q15" i="51"/>
  <c r="Q16" i="51"/>
  <c r="S16" i="51" s="1"/>
  <c r="V16" i="51" s="1"/>
  <c r="R19" i="51"/>
  <c r="Q17" i="51"/>
  <c r="S17" i="51" s="1"/>
  <c r="V17" i="51" s="1"/>
  <c r="R20" i="51"/>
  <c r="Q18" i="51"/>
  <c r="S18" i="51" s="1"/>
  <c r="V18" i="51" s="1"/>
  <c r="U13" i="51"/>
  <c r="R12" i="51"/>
  <c r="T12" i="51"/>
  <c r="U16" i="51"/>
  <c r="U17" i="51"/>
  <c r="T15" i="51"/>
  <c r="U18" i="51"/>
  <c r="T16" i="51"/>
  <c r="R13" i="51"/>
  <c r="T17" i="51"/>
  <c r="R14" i="51"/>
  <c r="Q12" i="51"/>
  <c r="S12" i="51" s="1"/>
  <c r="V12" i="51" s="1"/>
  <c r="T19" i="51"/>
  <c r="Q14" i="51"/>
  <c r="Q19" i="51"/>
  <c r="U14" i="51"/>
  <c r="Q20" i="51"/>
  <c r="U15" i="51"/>
  <c r="T13" i="51"/>
  <c r="T14" i="51"/>
  <c r="U19" i="51"/>
  <c r="U20" i="51"/>
  <c r="T18" i="51"/>
  <c r="R15" i="51"/>
  <c r="Q13" i="51"/>
  <c r="S13" i="51" s="1"/>
  <c r="V13" i="51" s="1"/>
  <c r="T5" i="53"/>
  <c r="R3" i="53"/>
  <c r="R2" i="53"/>
  <c r="U6" i="53"/>
  <c r="T3" i="53"/>
  <c r="T2" i="53"/>
  <c r="U8" i="53"/>
  <c r="U7" i="53"/>
  <c r="T4" i="53"/>
  <c r="Q11" i="53"/>
  <c r="S11" i="53" s="1"/>
  <c r="V11" i="53" s="1"/>
  <c r="U5" i="53"/>
  <c r="Q10" i="53"/>
  <c r="S10" i="53" s="1"/>
  <c r="V10" i="53" s="1"/>
  <c r="U4" i="53"/>
  <c r="Q9" i="53"/>
  <c r="R11" i="53"/>
  <c r="U3" i="53"/>
  <c r="Q8" i="53"/>
  <c r="R10" i="53"/>
  <c r="R7" i="53"/>
  <c r="Q4" i="53"/>
  <c r="S4" i="53" s="1"/>
  <c r="V4" i="53" s="1"/>
  <c r="R6" i="53"/>
  <c r="T9" i="53"/>
  <c r="U11" i="53"/>
  <c r="Q5" i="53"/>
  <c r="S5" i="53" s="1"/>
  <c r="V5" i="53" s="1"/>
  <c r="Q3" i="53"/>
  <c r="S3" i="53" s="1"/>
  <c r="R5" i="53"/>
  <c r="T8" i="53"/>
  <c r="U10" i="53"/>
  <c r="T6" i="53"/>
  <c r="U2" i="53"/>
  <c r="Q7" i="53"/>
  <c r="S7" i="53" s="1"/>
  <c r="R9" i="53"/>
  <c r="Q6" i="53"/>
  <c r="S6" i="53" s="1"/>
  <c r="V6" i="53" s="1"/>
  <c r="R8" i="53"/>
  <c r="T11" i="53"/>
  <c r="T10" i="53"/>
  <c r="Q2" i="53"/>
  <c r="S2" i="53" s="1"/>
  <c r="R4" i="53"/>
  <c r="T7" i="53"/>
  <c r="U9" i="53"/>
  <c r="U5" i="52"/>
  <c r="Q9" i="52"/>
  <c r="S9" i="52" s="1"/>
  <c r="U2" i="52"/>
  <c r="Q5" i="52"/>
  <c r="S5" i="52" s="1"/>
  <c r="R7" i="52"/>
  <c r="T10" i="52"/>
  <c r="R3" i="52"/>
  <c r="R2" i="52"/>
  <c r="U6" i="52"/>
  <c r="T3" i="52"/>
  <c r="U4" i="52"/>
  <c r="R10" i="52"/>
  <c r="R9" i="52"/>
  <c r="Q4" i="52"/>
  <c r="R6" i="52"/>
  <c r="T9" i="52"/>
  <c r="U11" i="52"/>
  <c r="T6" i="52"/>
  <c r="T5" i="52"/>
  <c r="Q11" i="52"/>
  <c r="T2" i="52"/>
  <c r="U3" i="52"/>
  <c r="Q8" i="52"/>
  <c r="S8" i="52" s="1"/>
  <c r="V8" i="52" s="1"/>
  <c r="Q7" i="52"/>
  <c r="S7" i="52" s="1"/>
  <c r="V7" i="52" s="1"/>
  <c r="Q3" i="52"/>
  <c r="R5" i="52"/>
  <c r="T8" i="52"/>
  <c r="U10" i="52"/>
  <c r="U8" i="52"/>
  <c r="U7" i="52"/>
  <c r="T4" i="52"/>
  <c r="Q10" i="52"/>
  <c r="R11" i="52"/>
  <c r="Q6" i="52"/>
  <c r="S6" i="52" s="1"/>
  <c r="V6" i="52" s="1"/>
  <c r="R8" i="52"/>
  <c r="T11" i="52"/>
  <c r="Q2" i="52"/>
  <c r="R4" i="52"/>
  <c r="T7" i="52"/>
  <c r="U9" i="52"/>
  <c r="R3" i="51"/>
  <c r="T6" i="51"/>
  <c r="U8" i="51"/>
  <c r="T5" i="51"/>
  <c r="U7" i="51"/>
  <c r="Q11" i="51"/>
  <c r="R7" i="51"/>
  <c r="Q5" i="51"/>
  <c r="U5" i="51"/>
  <c r="U4" i="51"/>
  <c r="Q9" i="51"/>
  <c r="S9" i="51" s="1"/>
  <c r="V9" i="51" s="1"/>
  <c r="R11" i="51"/>
  <c r="Q10" i="51"/>
  <c r="T2" i="51"/>
  <c r="U3" i="51"/>
  <c r="Q8" i="51"/>
  <c r="S8" i="51" s="1"/>
  <c r="R10" i="51"/>
  <c r="R6" i="51"/>
  <c r="R2" i="51"/>
  <c r="T4" i="51"/>
  <c r="U6" i="51"/>
  <c r="T3" i="51"/>
  <c r="U2" i="51"/>
  <c r="Q7" i="51"/>
  <c r="S7" i="51" s="1"/>
  <c r="V7" i="51" s="1"/>
  <c r="R9" i="51"/>
  <c r="Q6" i="51"/>
  <c r="R8" i="51"/>
  <c r="T11" i="51"/>
  <c r="T10" i="51"/>
  <c r="U11" i="51"/>
  <c r="T9" i="51"/>
  <c r="U10" i="51"/>
  <c r="Q4" i="51"/>
  <c r="S4" i="51" s="1"/>
  <c r="Q3" i="51"/>
  <c r="S3" i="51" s="1"/>
  <c r="V3" i="51" s="1"/>
  <c r="R5" i="51"/>
  <c r="T8" i="51"/>
  <c r="Q2" i="51"/>
  <c r="R4" i="51"/>
  <c r="T7" i="51"/>
  <c r="U9" i="51"/>
  <c r="R3" i="50"/>
  <c r="R2" i="50"/>
  <c r="T4" i="50"/>
  <c r="U6" i="50"/>
  <c r="T3" i="50"/>
  <c r="U5" i="50"/>
  <c r="U8" i="50"/>
  <c r="U7" i="50"/>
  <c r="U4" i="50"/>
  <c r="U3" i="50"/>
  <c r="R8" i="50"/>
  <c r="R7" i="50"/>
  <c r="Q4" i="50"/>
  <c r="S4" i="50" s="1"/>
  <c r="R6" i="50"/>
  <c r="R5" i="50"/>
  <c r="T8" i="50"/>
  <c r="T6" i="50"/>
  <c r="T5" i="50"/>
  <c r="T2" i="50"/>
  <c r="Q8" i="50"/>
  <c r="S8" i="50" s="1"/>
  <c r="U2" i="50"/>
  <c r="Q7" i="50"/>
  <c r="S7" i="50" s="1"/>
  <c r="Q6" i="50"/>
  <c r="S6" i="50" s="1"/>
  <c r="V6" i="50" s="1"/>
  <c r="Q5" i="50"/>
  <c r="S5" i="50" s="1"/>
  <c r="V5" i="50" s="1"/>
  <c r="Q3" i="50"/>
  <c r="S3" i="50" s="1"/>
  <c r="V3" i="50" s="1"/>
  <c r="Q2" i="50"/>
  <c r="S2" i="50" s="1"/>
  <c r="R4" i="50"/>
  <c r="T7" i="50"/>
  <c r="R3" i="49"/>
  <c r="U7" i="49"/>
  <c r="T2" i="49"/>
  <c r="U4" i="49"/>
  <c r="Q9" i="49"/>
  <c r="U3" i="49"/>
  <c r="Q8" i="49"/>
  <c r="U8" i="49"/>
  <c r="R2" i="49"/>
  <c r="U6" i="49"/>
  <c r="U5" i="49"/>
  <c r="U2" i="49"/>
  <c r="Q7" i="49"/>
  <c r="Q4" i="49"/>
  <c r="S4" i="49" s="1"/>
  <c r="R6" i="49"/>
  <c r="T9" i="49"/>
  <c r="T4" i="49"/>
  <c r="T3" i="49"/>
  <c r="Q6" i="49"/>
  <c r="S6" i="49" s="1"/>
  <c r="V6" i="49" s="1"/>
  <c r="Q5" i="49"/>
  <c r="Q3" i="49"/>
  <c r="S3" i="49" s="1"/>
  <c r="R5" i="49"/>
  <c r="T8" i="49"/>
  <c r="T6" i="49"/>
  <c r="T5" i="49"/>
  <c r="R9" i="49"/>
  <c r="R8" i="49"/>
  <c r="R7" i="49"/>
  <c r="Q2" i="49"/>
  <c r="R4" i="49"/>
  <c r="T7" i="49"/>
  <c r="U9" i="49"/>
  <c r="Q3" i="48"/>
  <c r="R5" i="48"/>
  <c r="T8" i="48"/>
  <c r="U10" i="48"/>
  <c r="Q2" i="48"/>
  <c r="R4" i="48"/>
  <c r="T7" i="48"/>
  <c r="U9" i="48"/>
  <c r="R3" i="48"/>
  <c r="T6" i="48"/>
  <c r="U8" i="48"/>
  <c r="Q10" i="48"/>
  <c r="Q9" i="48"/>
  <c r="Q8" i="48"/>
  <c r="S8" i="48" s="1"/>
  <c r="R10" i="48"/>
  <c r="Q7" i="48"/>
  <c r="S7" i="48" s="1"/>
  <c r="R9" i="48"/>
  <c r="R2" i="48"/>
  <c r="T5" i="48"/>
  <c r="U7" i="48"/>
  <c r="T4" i="48"/>
  <c r="U6" i="48"/>
  <c r="T3" i="48"/>
  <c r="U5" i="48"/>
  <c r="T2" i="48"/>
  <c r="U4" i="48"/>
  <c r="U3" i="48"/>
  <c r="U2" i="48"/>
  <c r="Q4" i="48"/>
  <c r="S4" i="48" s="1"/>
  <c r="R6" i="48"/>
  <c r="T9" i="48"/>
  <c r="Q5" i="48"/>
  <c r="S5" i="48" s="1"/>
  <c r="V5" i="48" s="1"/>
  <c r="R7" i="48"/>
  <c r="T10" i="48"/>
  <c r="Q6" i="48"/>
  <c r="R8" i="48"/>
  <c r="Q4" i="38"/>
  <c r="T5" i="38"/>
  <c r="T9" i="38"/>
  <c r="U11" i="38"/>
  <c r="Q3" i="38"/>
  <c r="R5" i="38"/>
  <c r="T8" i="38"/>
  <c r="U10" i="38"/>
  <c r="R10" i="38"/>
  <c r="R6" i="38"/>
  <c r="Q2" i="38"/>
  <c r="R4" i="38"/>
  <c r="T7" i="38"/>
  <c r="U9" i="38"/>
  <c r="R2" i="38"/>
  <c r="U7" i="38"/>
  <c r="T4" i="38"/>
  <c r="U6" i="38"/>
  <c r="T3" i="38"/>
  <c r="Q10" i="38"/>
  <c r="T2" i="38"/>
  <c r="R11" i="38"/>
  <c r="R3" i="38"/>
  <c r="T6" i="38"/>
  <c r="U8" i="38"/>
  <c r="R9" i="38"/>
  <c r="Q11" i="38"/>
  <c r="U5" i="38"/>
  <c r="U4" i="38"/>
  <c r="U3" i="38"/>
  <c r="Q8" i="38"/>
  <c r="U2" i="38"/>
  <c r="Q7" i="38"/>
  <c r="Q6" i="38"/>
  <c r="R8" i="38"/>
  <c r="T11" i="38"/>
  <c r="Q9" i="38"/>
  <c r="Q5" i="38"/>
  <c r="R7" i="38"/>
  <c r="T10" i="38"/>
  <c r="V31" i="53" l="1"/>
  <c r="S15" i="53"/>
  <c r="V15" i="53" s="1"/>
  <c r="V12" i="53"/>
  <c r="S30" i="53"/>
  <c r="V30" i="53" s="1"/>
  <c r="S24" i="53"/>
  <c r="V24" i="53" s="1"/>
  <c r="V26" i="53"/>
  <c r="S21" i="53"/>
  <c r="V21" i="53" s="1"/>
  <c r="V41" i="53"/>
  <c r="V16" i="53"/>
  <c r="S37" i="53"/>
  <c r="V37" i="53" s="1"/>
  <c r="V35" i="53"/>
  <c r="S20" i="53"/>
  <c r="V20" i="53" s="1"/>
  <c r="V17" i="53"/>
  <c r="V23" i="53"/>
  <c r="V27" i="53"/>
  <c r="S25" i="53"/>
  <c r="V25" i="53" s="1"/>
  <c r="V39" i="53"/>
  <c r="S14" i="53"/>
  <c r="V14" i="53" s="1"/>
  <c r="S38" i="53"/>
  <c r="V38" i="53" s="1"/>
  <c r="V16" i="52"/>
  <c r="S15" i="52"/>
  <c r="V15" i="52" s="1"/>
  <c r="S17" i="52"/>
  <c r="V17" i="52" s="1"/>
  <c r="S20" i="51"/>
  <c r="V20" i="51" s="1"/>
  <c r="S19" i="51"/>
  <c r="V19" i="51" s="1"/>
  <c r="S15" i="51"/>
  <c r="V15" i="51" s="1"/>
  <c r="S14" i="51"/>
  <c r="V14" i="51" s="1"/>
  <c r="V7" i="53"/>
  <c r="S8" i="53"/>
  <c r="V8" i="53" s="1"/>
  <c r="S9" i="53"/>
  <c r="V9" i="53" s="1"/>
  <c r="V2" i="53"/>
  <c r="V3" i="53"/>
  <c r="V5" i="52"/>
  <c r="S10" i="52"/>
  <c r="V10" i="52" s="1"/>
  <c r="S4" i="52"/>
  <c r="V4" i="52" s="1"/>
  <c r="V9" i="52"/>
  <c r="S11" i="52"/>
  <c r="V11" i="52" s="1"/>
  <c r="S2" i="52"/>
  <c r="V2" i="52" s="1"/>
  <c r="S3" i="52"/>
  <c r="V3" i="52" s="1"/>
  <c r="V4" i="51"/>
  <c r="S11" i="51"/>
  <c r="V11" i="51" s="1"/>
  <c r="V8" i="51"/>
  <c r="S6" i="51"/>
  <c r="V6" i="51" s="1"/>
  <c r="S5" i="51"/>
  <c r="V5" i="51" s="1"/>
  <c r="S2" i="51"/>
  <c r="V2" i="51" s="1"/>
  <c r="S10" i="51"/>
  <c r="V10" i="51" s="1"/>
  <c r="V8" i="50"/>
  <c r="V7" i="50"/>
  <c r="V4" i="50"/>
  <c r="V2" i="50"/>
  <c r="S8" i="49"/>
  <c r="V8" i="49" s="1"/>
  <c r="S9" i="49"/>
  <c r="V9" i="49" s="1"/>
  <c r="V3" i="49"/>
  <c r="V4" i="49"/>
  <c r="S7" i="49"/>
  <c r="V7" i="49" s="1"/>
  <c r="S2" i="49"/>
  <c r="V2" i="49" s="1"/>
  <c r="S5" i="49"/>
  <c r="V5" i="49" s="1"/>
  <c r="V8" i="48"/>
  <c r="S6" i="48"/>
  <c r="V6" i="48" s="1"/>
  <c r="V7" i="48"/>
  <c r="S9" i="48"/>
  <c r="V9" i="48" s="1"/>
  <c r="V4" i="48"/>
  <c r="S2" i="48"/>
  <c r="V2" i="48" s="1"/>
  <c r="S10" i="48"/>
  <c r="V10" i="48" s="1"/>
  <c r="S3" i="48"/>
  <c r="V3" i="48" s="1"/>
  <c r="S2" i="38"/>
  <c r="V2" i="38" s="1"/>
  <c r="S7" i="38"/>
  <c r="V7" i="38" s="1"/>
  <c r="S10" i="38"/>
  <c r="V10" i="38" s="1"/>
  <c r="S3" i="38"/>
  <c r="V3" i="38" s="1"/>
  <c r="S11" i="38"/>
  <c r="V11" i="38" s="1"/>
  <c r="S9" i="38"/>
  <c r="V9" i="38" s="1"/>
  <c r="S6" i="38"/>
  <c r="V6" i="38" s="1"/>
  <c r="S8" i="38"/>
  <c r="V8" i="38" s="1"/>
  <c r="S5" i="38"/>
  <c r="V5" i="38" s="1"/>
  <c r="S4" i="38"/>
  <c r="V4" i="3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DBACF-D104-FF45-ADB6-6616B8F1CA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C0AA7BC-F3D2-2C4A-83D2-569391CA22B2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23B743B9-C177-3F41-A44D-E43B65BB7A57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C1BFF373-BE82-294A-9655-7CE46EF3DDE0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80419DA5-31A4-5247-8707-75359CAFAAAA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3BDF2326-4B76-714F-89DB-686E3E87F3D6}" keepAlive="1" name="Query - sheet1 (14)" description="Connection to the 'sheet1 (14)' query in the workbook." type="5" refreshedVersion="8" background="1" saveData="1">
    <dbPr connection="Provider=Microsoft.Mashup.OleDb.1;Data Source=$Workbook$;Location=&quot;sheet1 (14)&quot;;Extended Properties=&quot;&quot;" command="SELECT * FROM [sheet1 (14)]"/>
  </connection>
  <connection id="7" xr16:uid="{0F6383C8-57CC-FD43-9C99-D1AEC746D05B}" keepAlive="1" name="Query - sheet1 (15)" description="Connection to the 'sheet1 (15)' query in the workbook." type="5" refreshedVersion="8" background="1" saveData="1">
    <dbPr connection="Provider=Microsoft.Mashup.OleDb.1;Data Source=$Workbook$;Location=&quot;sheet1 (15)&quot;;Extended Properties=&quot;&quot;" command="SELECT * FROM [sheet1 (15)]"/>
  </connection>
  <connection id="8" xr16:uid="{8D2445E9-2AF7-9442-B1CC-FFDCE0B0AFDB}" keepAlive="1" name="Query - sheet1 (16)" description="Connection to the 'sheet1 (16)' query in the workbook." type="5" refreshedVersion="8" background="1" saveData="1">
    <dbPr connection="Provider=Microsoft.Mashup.OleDb.1;Data Source=$Workbook$;Location=&quot;sheet1 (16)&quot;;Extended Properties=&quot;&quot;" command="SELECT * FROM [sheet1 (16)]"/>
  </connection>
  <connection id="9" xr16:uid="{C0F95801-D0AC-654E-952C-39406C4DE3E9}" keepAlive="1" name="Query - sheet1 (17)" description="Connection to the 'sheet1 (17)' query in the workbook." type="5" refreshedVersion="8" background="1" saveData="1">
    <dbPr connection="Provider=Microsoft.Mashup.OleDb.1;Data Source=$Workbook$;Location=&quot;sheet1 (17)&quot;;Extended Properties=&quot;&quot;" command="SELECT * FROM [sheet1 (17)]"/>
  </connection>
  <connection id="10" xr16:uid="{F1E47B32-1BF0-2F4E-89DB-653532964071}" keepAlive="1" name="Query - sheet1 (18)" description="Connection to the 'sheet1 (18)' query in the workbook." type="5" refreshedVersion="8" background="1" saveData="1">
    <dbPr connection="Provider=Microsoft.Mashup.OleDb.1;Data Source=$Workbook$;Location=&quot;sheet1 (18)&quot;;Extended Properties=&quot;&quot;" command="SELECT * FROM [sheet1 (18)]"/>
  </connection>
  <connection id="11" xr16:uid="{241D4006-6AE1-014B-8BD1-87C2B8BEADE9}" keepAlive="1" name="Query - sheet1 (19)" description="Connection to the 'sheet1 (19)' query in the workbook." type="5" refreshedVersion="8" background="1" saveData="1">
    <dbPr connection="Provider=Microsoft.Mashup.OleDb.1;Data Source=$Workbook$;Location=&quot;sheet1 (19)&quot;;Extended Properties=&quot;&quot;" command="SELECT * FROM [sheet1 (19)]"/>
  </connection>
  <connection id="12" xr16:uid="{1918B5ED-FFDE-7F46-A02A-F90748244A4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13" xr16:uid="{24FACAED-5DB3-DA4F-AEF4-6E7C2F5E357F}" keepAlive="1" name="Query - sheet1 (20)" description="Connection to the 'sheet1 (20)' query in the workbook." type="5" refreshedVersion="8" background="1" saveData="1">
    <dbPr connection="Provider=Microsoft.Mashup.OleDb.1;Data Source=$Workbook$;Location=&quot;sheet1 (20)&quot;;Extended Properties=&quot;&quot;" command="SELECT * FROM [sheet1 (20)]"/>
  </connection>
  <connection id="14" xr16:uid="{F28315A7-7B6B-CD40-A1D0-7430BB740627}" keepAlive="1" name="Query - sheet1 (21)" description="Connection to the 'sheet1 (21)' query in the workbook." type="5" refreshedVersion="8" background="1" saveData="1">
    <dbPr connection="Provider=Microsoft.Mashup.OleDb.1;Data Source=$Workbook$;Location=&quot;sheet1 (21)&quot;;Extended Properties=&quot;&quot;" command="SELECT * FROM [sheet1 (21)]"/>
  </connection>
  <connection id="15" xr16:uid="{B78EA54C-E701-0743-840F-E5EAD8E09A9D}" keepAlive="1" name="Query - sheet1 (22)" description="Connection to the 'sheet1 (22)' query in the workbook." type="5" refreshedVersion="8" background="1" saveData="1">
    <dbPr connection="Provider=Microsoft.Mashup.OleDb.1;Data Source=$Workbook$;Location=&quot;sheet1 (22)&quot;;Extended Properties=&quot;&quot;" command="SELECT * FROM [sheet1 (22)]"/>
  </connection>
  <connection id="16" xr16:uid="{932FF392-9AF2-D54F-9595-71E867FCDA7E}" keepAlive="1" name="Query - sheet1 (23)" description="Connection to the 'sheet1 (23)' query in the workbook." type="5" refreshedVersion="0" background="1">
    <dbPr connection="Provider=Microsoft.Mashup.OleDb.1;Data Source=$Workbook$;Location=&quot;sheet1 (23)&quot;;Extended Properties=&quot;&quot;" command="SELECT * FROM [sheet1 (23)]"/>
  </connection>
  <connection id="17" xr16:uid="{409B9E33-144B-C042-A2BE-6F9B2DEE639F}" keepAlive="1" name="Query - sheet1 (24)" description="Connection to the 'sheet1 (24)' query in the workbook." type="5" refreshedVersion="0" background="1">
    <dbPr connection="Provider=Microsoft.Mashup.OleDb.1;Data Source=$Workbook$;Location=&quot;sheet1 (24)&quot;;Extended Properties=&quot;&quot;" command="SELECT * FROM [sheet1 (24)]"/>
  </connection>
  <connection id="18" xr16:uid="{71B861DB-E4E4-AC45-9884-82000470789D}" keepAlive="1" name="Query - sheet1 (25)" description="Connection to the 'sheet1 (25)' query in the workbook." type="5" refreshedVersion="0" background="1">
    <dbPr connection="Provider=Microsoft.Mashup.OleDb.1;Data Source=$Workbook$;Location=&quot;sheet1 (25)&quot;;Extended Properties=&quot;&quot;" command="SELECT * FROM [sheet1 (25)]"/>
  </connection>
  <connection id="19" xr16:uid="{0259432B-1DD1-6F48-97E7-FF78E3177706}" keepAlive="1" name="Query - sheet1 (26)" description="Connection to the 'sheet1 (26)' query in the workbook." type="5" refreshedVersion="0" background="1">
    <dbPr connection="Provider=Microsoft.Mashup.OleDb.1;Data Source=$Workbook$;Location=&quot;sheet1 (26)&quot;;Extended Properties=&quot;&quot;" command="SELECT * FROM [sheet1 (26)]"/>
  </connection>
  <connection id="20" xr16:uid="{54BAFF37-2D34-BF4D-A403-C0D8593DF8A0}" keepAlive="1" name="Query - sheet1 (27)" description="Connection to the 'sheet1 (27)' query in the workbook." type="5" refreshedVersion="0" background="1">
    <dbPr connection="Provider=Microsoft.Mashup.OleDb.1;Data Source=$Workbook$;Location=&quot;sheet1 (27)&quot;;Extended Properties=&quot;&quot;" command="SELECT * FROM [sheet1 (27)]"/>
  </connection>
  <connection id="21" xr16:uid="{A5A5D3DE-FE19-B64B-AA47-ADBAD51C6D90}" keepAlive="1" name="Query - sheet1 (28)" description="Connection to the 'sheet1 (28)' query in the workbook." type="5" refreshedVersion="0" background="1">
    <dbPr connection="Provider=Microsoft.Mashup.OleDb.1;Data Source=$Workbook$;Location=&quot;sheet1 (28)&quot;;Extended Properties=&quot;&quot;" command="SELECT * FROM [sheet1 (28)]"/>
  </connection>
  <connection id="22" xr16:uid="{F672478A-D60F-5E4C-976B-615A98671E11}" keepAlive="1" name="Query - sheet1 (29)" description="Connection to the 'sheet1 (29)' query in the workbook." type="5" refreshedVersion="0" background="1">
    <dbPr connection="Provider=Microsoft.Mashup.OleDb.1;Data Source=$Workbook$;Location=&quot;sheet1 (29)&quot;;Extended Properties=&quot;&quot;" command="SELECT * FROM [sheet1 (29)]"/>
  </connection>
  <connection id="23" xr16:uid="{0022E35C-8554-0D47-A1EE-1B27F0CA55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24" xr16:uid="{DE2D7258-D7AA-6049-8805-DFA7E9373502}" keepAlive="1" name="Query - sheet1 (30)" description="Connection to the 'sheet1 (30)' query in the workbook." type="5" refreshedVersion="0" background="1" saveData="1">
    <dbPr connection="Provider=Microsoft.Mashup.OleDb.1;Data Source=$Workbook$;Location=&quot;sheet1 (30)&quot;;Extended Properties=&quot;&quot;" command="SELECT * FROM [sheet1 (30)]"/>
  </connection>
  <connection id="25" xr16:uid="{95705D8B-C761-684C-8E59-E29871A58BCF}" keepAlive="1" name="Query - sheet1 (31)" description="Connection to the 'sheet1 (31)' query in the workbook." type="5" refreshedVersion="8" background="1" saveData="1">
    <dbPr connection="Provider=Microsoft.Mashup.OleDb.1;Data Source=$Workbook$;Location=&quot;sheet1 (31)&quot;;Extended Properties=&quot;&quot;" command="SELECT * FROM [sheet1 (31)]"/>
  </connection>
  <connection id="26" xr16:uid="{67D38F59-9847-8241-804A-D253402DE1E8}" keepAlive="1" name="Query - sheet1 (32)" description="Connection to the 'sheet1 (32)' query in the workbook." type="5" refreshedVersion="8" background="1" saveData="1">
    <dbPr connection="Provider=Microsoft.Mashup.OleDb.1;Data Source=$Workbook$;Location=&quot;sheet1 (32)&quot;;Extended Properties=&quot;&quot;" command="SELECT * FROM [sheet1 (32)]"/>
  </connection>
  <connection id="27" xr16:uid="{3668AFA0-DE6A-DC4F-86E3-42AEDAF56C90}" keepAlive="1" name="Query - sheet1 (33)" description="Connection to the 'sheet1 (33)' query in the workbook." type="5" refreshedVersion="8" background="1" saveData="1">
    <dbPr connection="Provider=Microsoft.Mashup.OleDb.1;Data Source=$Workbook$;Location=&quot;sheet1 (33)&quot;;Extended Properties=&quot;&quot;" command="SELECT * FROM [sheet1 (33)]"/>
  </connection>
  <connection id="28" xr16:uid="{90C4A09B-285E-0A4E-9EA7-72F8E959EDEB}" keepAlive="1" name="Query - sheet1 (34)" description="Connection to the 'sheet1 (34)' query in the workbook." type="5" refreshedVersion="8" background="1" saveData="1">
    <dbPr connection="Provider=Microsoft.Mashup.OleDb.1;Data Source=$Workbook$;Location=&quot;sheet1 (34)&quot;;Extended Properties=&quot;&quot;" command="SELECT * FROM [sheet1 (34)]"/>
  </connection>
  <connection id="29" xr16:uid="{7BE00E1C-6290-F64F-9495-7C8A2C535096}" keepAlive="1" name="Query - sheet1 (35)" description="Connection to the 'sheet1 (35)' query in the workbook." type="5" refreshedVersion="8" background="1" saveData="1">
    <dbPr connection="Provider=Microsoft.Mashup.OleDb.1;Data Source=$Workbook$;Location=&quot;sheet1 (35)&quot;;Extended Properties=&quot;&quot;" command="SELECT * FROM [sheet1 (35)]"/>
  </connection>
  <connection id="30" xr16:uid="{14D6D479-9552-134D-9C08-7D39011448EC}" keepAlive="1" name="Query - sheet1 (36)" description="Connection to the 'sheet1 (36)' query in the workbook." type="5" refreshedVersion="8" background="1" saveData="1">
    <dbPr connection="Provider=Microsoft.Mashup.OleDb.1;Data Source=$Workbook$;Location=&quot;sheet1 (36)&quot;;Extended Properties=&quot;&quot;" command="SELECT * FROM [sheet1 (36)]"/>
  </connection>
  <connection id="31" xr16:uid="{7E4C528A-39BD-6948-B11D-E58679F4781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32" xr16:uid="{DB13BAAE-57E6-1A42-8FE9-F5AE070F5CFE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33" xr16:uid="{B2668136-3C3A-6241-8434-C931FF61956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34" xr16:uid="{0479212A-23B6-A34D-9CF1-0E32E8C014E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35" xr16:uid="{42E9B9EB-B1B9-9D40-951B-5BCF411EDECA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36" xr16:uid="{8DCE3752-386D-5945-AEA0-8281C6C1DE1A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<sst xmlns="http://schemas.openxmlformats.org/spreadsheetml/2006/main" count="163" uniqueCount="25">
  <si>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</si>
  <si>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</si>
  <si>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</si>
  <si>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</si>
  <si>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</si>
  <si>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</si>
  <si>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</si>
  <si>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</si>
  <si>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</si>
  <si>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</si>
  <si>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</si>
  <si>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</si>
  <si>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</si>
  <si>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</si>
  <si>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</si>
  <si>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</si>
  <si>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</si>
  <si>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</si>
  <si>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</si>
  <si>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</si>
  <si>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</si>
  <si>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</si>
  <si>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</si>
  <si>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Velocity (m/s)</t>
  </si>
  <si>
    <t>Q_steady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</si>
</sst>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E1532AF6-6B0A-CB40-A4B9-3DE27167D872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5" xr16:uid="{4718DBD0-3213-2F4E-9C97-E2437318FD0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6" xr16:uid="{DF5AB115-7181-774E-8C8B-02B945E2E45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7" xr16:uid="{8170AD6F-FFC4-F34A-93BC-AC722A51F975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8" xr16:uid="{95105ACC-2C9D-4C42-8D6E-A027A3B3142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9" xr16:uid="{7F4D9D2F-D2FD-FB4D-8534-47B98A9287A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0" xr16:uid="{1ABAF5AE-7DDD-E44F-B1A0-CAD576B6F25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C484A9-B480-574C-9546-51440673FD4B}" name="sheet1__22" displayName="sheet1__22" ref="A1:O11" tableType="queryTable" totalsRowShown="0">
  <autoFilter ref="A1:O11" xr:uid="{F7C484A9-B480-574C-9546-51440673FD4B}"/>
  <tableColumns count="15">
    <tableColumn id="1" xr3:uid="{CBA05B84-7EF0-EC43-A7CC-434F1DF8B35D}" uniqueName="1" name="Time" queryTableFieldId="1"/>
    <tableColumn id="2" xr3:uid="{CBC616AA-A22A-3646-9B2F-CD5460D39153}" uniqueName="2" name="T1" queryTableFieldId="2"/>
    <tableColumn id="3" xr3:uid="{3670B87F-0649-604D-A2CD-EDF10912D84F}" uniqueName="3" name="T2" queryTableFieldId="3"/>
    <tableColumn id="4" xr3:uid="{C6F5BAB8-25D9-7249-B8D0-B3351929FC23}" uniqueName="4" name="T3" queryTableFieldId="4"/>
    <tableColumn id="5" xr3:uid="{5688EFA3-F4BB-CE40-921A-595E2D095895}" uniqueName="5" name="T4" queryTableFieldId="5"/>
    <tableColumn id="6" xr3:uid="{4A4D1870-1FCF-EE4D-B9A3-073C137237B9}" uniqueName="6" name="T5" queryTableFieldId="6"/>
    <tableColumn id="7" xr3:uid="{10471EDB-2E94-EA4A-BF36-156F6BCDC6F7}" uniqueName="7" name="T6" queryTableFieldId="7"/>
    <tableColumn id="8" xr3:uid="{B5BF902B-8E31-6B48-9CFA-91A76A08C761}" uniqueName="8" name="T7" queryTableFieldId="8"/>
    <tableColumn id="9" xr3:uid="{A707040A-C2F6-344F-B078-2A2CB9177174}" uniqueName="9" name="T8" queryTableFieldId="9"/>
    <tableColumn id="10" xr3:uid="{78FD222F-CC86-8946-B3B4-61AAD89467F2}" uniqueName="10" name="RTD_IN" queryTableFieldId="10"/>
    <tableColumn id="11" xr3:uid="{4692AFDF-3894-C044-B9DB-25866A61030D}" uniqueName="11" name="RTD_OUT" queryTableFieldId="11"/>
    <tableColumn id="12" xr3:uid="{2E042D7C-3BC7-F14A-941C-073DEC286B40}" uniqueName="12" name="DPT_TS" queryTableFieldId="12"/>
    <tableColumn id="13" xr3:uid="{6C6110DF-3B19-784A-BFEA-CFA9FDCE3CB4}" uniqueName="13" name="DPT_nozzle" queryTableFieldId="13"/>
    <tableColumn id="14" xr3:uid="{7856D406-796C-8F4E-A9B4-A48D13CD516B}" uniqueName="14" name="Flow_gps" queryTableFieldId="14"/>
    <tableColumn id="15" xr3:uid="{AC1C15F3-041D-F440-ACFA-E27369828062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70BE8-B917-EA4B-8E23-5D53A54C91C6}" name="sheet1__31" displayName="sheet1__31" ref="A1:O10" tableType="queryTable" totalsRowShown="0">
  <autoFilter ref="A1:O10" xr:uid="{48F70BE8-B917-EA4B-8E23-5D53A54C91C6}"/>
  <tableColumns count="15">
    <tableColumn id="1" xr3:uid="{DE591E5D-E658-4F48-9EA1-98D30E2AAF4B}" uniqueName="1" name="Time" queryTableFieldId="1"/>
    <tableColumn id="2" xr3:uid="{4B8E6315-22BC-8C45-81B8-B41035F9DAD5}" uniqueName="2" name="T1" queryTableFieldId="2"/>
    <tableColumn id="3" xr3:uid="{441129BC-B63C-1C45-835A-2D92127AD3A7}" uniqueName="3" name="T2" queryTableFieldId="3"/>
    <tableColumn id="4" xr3:uid="{A6CD0245-932B-7547-AECF-A8042F46BF9E}" uniqueName="4" name="T3" queryTableFieldId="4"/>
    <tableColumn id="5" xr3:uid="{2AF36F47-0368-4C40-B12C-D4E0CB45F0FA}" uniqueName="5" name="T4" queryTableFieldId="5"/>
    <tableColumn id="6" xr3:uid="{9587B608-273F-F64A-A45A-FE2CA8AFF523}" uniqueName="6" name="T5" queryTableFieldId="6"/>
    <tableColumn id="7" xr3:uid="{AFBCF89B-3A80-2043-B8CC-EFB79642445A}" uniqueName="7" name="T6" queryTableFieldId="7"/>
    <tableColumn id="8" xr3:uid="{CEE4B9E4-B0AE-0A4B-9862-DB590D599AAA}" uniqueName="8" name="T7" queryTableFieldId="8"/>
    <tableColumn id="9" xr3:uid="{12F00822-06AC-BB41-A4FC-9F8B6EE5243A}" uniqueName="9" name="T8" queryTableFieldId="9"/>
    <tableColumn id="10" xr3:uid="{FCA22423-1119-7D45-8D03-04E05A7332A4}" uniqueName="10" name="RTD_IN" queryTableFieldId="10"/>
    <tableColumn id="11" xr3:uid="{ED237F87-7A9B-7843-9046-093F50B6E747}" uniqueName="11" name="RTD_OUT" queryTableFieldId="11"/>
    <tableColumn id="12" xr3:uid="{59A51762-519C-D640-BE4C-A126407099C1}" uniqueName="12" name="DPT_TS" queryTableFieldId="12"/>
    <tableColumn id="13" xr3:uid="{79DC5F41-5E9F-DB49-B62B-76880C973EE1}" uniqueName="13" name="DPT_nozzle" queryTableFieldId="13"/>
    <tableColumn id="14" xr3:uid="{2694673E-9B3E-D840-8595-FE5492CAA1F5}" uniqueName="14" name="Flow_gps" queryTableFieldId="14"/>
    <tableColumn id="15" xr3:uid="{E56D2A61-E16D-5449-84BB-4620B17045AF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8B029-38E6-AB4B-B2F8-7A3AAD3F959A}" name="sheet1__32" displayName="sheet1__32" ref="A1:O9" tableType="queryTable" totalsRowShown="0">
  <autoFilter ref="A1:O9" xr:uid="{5078B029-38E6-AB4B-B2F8-7A3AAD3F959A}"/>
  <tableColumns count="15">
    <tableColumn id="1" xr3:uid="{6F9D8039-5CD5-E045-9E83-F0866FD0D32E}" uniqueName="1" name="Time" queryTableFieldId="1"/>
    <tableColumn id="2" xr3:uid="{0AF38FE5-3811-2549-BDE4-82DD95733871}" uniqueName="2" name="T1" queryTableFieldId="2"/>
    <tableColumn id="3" xr3:uid="{F9175305-2D70-0B43-88DB-3622C9F61410}" uniqueName="3" name="T2" queryTableFieldId="3"/>
    <tableColumn id="4" xr3:uid="{A3779F79-8BFF-6242-8F48-FD31E3819627}" uniqueName="4" name="T3" queryTableFieldId="4"/>
    <tableColumn id="5" xr3:uid="{F2F9A7DB-AF62-7940-9539-C6251795591A}" uniqueName="5" name="T4" queryTableFieldId="5"/>
    <tableColumn id="6" xr3:uid="{624A15E1-9551-094D-B70C-B5A6C38ED651}" uniqueName="6" name="T5" queryTableFieldId="6"/>
    <tableColumn id="7" xr3:uid="{D8CF9FA3-2E8A-7745-8F07-46D57B42BD28}" uniqueName="7" name="T6" queryTableFieldId="7"/>
    <tableColumn id="8" xr3:uid="{22B48F0E-3490-984C-A0D6-141B33E36750}" uniqueName="8" name="T7" queryTableFieldId="8"/>
    <tableColumn id="9" xr3:uid="{F33D1D61-51B8-A345-843E-D7C0EF7CF2CA}" uniqueName="9" name="T8" queryTableFieldId="9"/>
    <tableColumn id="10" xr3:uid="{ABC0373F-299C-3145-B12E-97CCB3F9C5DA}" uniqueName="10" name="RTD_IN" queryTableFieldId="10"/>
    <tableColumn id="11" xr3:uid="{7F1E7324-DA76-2C4B-A851-03DD2A80BBDF}" uniqueName="11" name="RTD_OUT" queryTableFieldId="11"/>
    <tableColumn id="12" xr3:uid="{358C11EF-54F1-2D42-B2AA-CD17D5A69AC4}" uniqueName="12" name="DPT_TS" queryTableFieldId="12"/>
    <tableColumn id="13" xr3:uid="{1BE4E2C7-074A-E846-980C-625985FD51F2}" uniqueName="13" name="DPT_nozzle" queryTableFieldId="13"/>
    <tableColumn id="14" xr3:uid="{A923F07D-5BF9-074E-B8D8-E26285ACB478}" uniqueName="14" name="Flow_gps" queryTableFieldId="14"/>
    <tableColumn id="15" xr3:uid="{9548A522-5B5F-8B43-A01A-4588A50FC8A8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D9272F-CF7B-C640-9C15-409DE6DE5E65}" name="sheet1__33" displayName="sheet1__33" ref="A1:O8" tableType="queryTable" totalsRowShown="0">
  <autoFilter ref="A1:O8" xr:uid="{DCD9272F-CF7B-C640-9C15-409DE6DE5E65}"/>
  <tableColumns count="15">
    <tableColumn id="1" xr3:uid="{8C58C2FE-F664-DE46-9819-667555A7DADF}" uniqueName="1" name="Time" queryTableFieldId="1"/>
    <tableColumn id="2" xr3:uid="{793FBA81-3E4D-D24D-8586-EBF204E27F05}" uniqueName="2" name="T1" queryTableFieldId="2"/>
    <tableColumn id="3" xr3:uid="{FEC76753-2FC9-0745-841D-682A994EB075}" uniqueName="3" name="T2" queryTableFieldId="3"/>
    <tableColumn id="4" xr3:uid="{A769A9E7-87D4-384A-AD2D-278CEBD3A8A6}" uniqueName="4" name="T3" queryTableFieldId="4"/>
    <tableColumn id="5" xr3:uid="{45F15125-9FB2-8F46-A5CB-75E2B58B3DC8}" uniqueName="5" name="T4" queryTableFieldId="5"/>
    <tableColumn id="6" xr3:uid="{A06C7004-6CCA-3043-9CBE-459D422ACE0C}" uniqueName="6" name="T5" queryTableFieldId="6"/>
    <tableColumn id="7" xr3:uid="{01DE01D0-816C-0244-916B-B8D13A0AF0A9}" uniqueName="7" name="T6" queryTableFieldId="7"/>
    <tableColumn id="8" xr3:uid="{A1CB8CDA-8FE5-A948-BDDD-061F67F05563}" uniqueName="8" name="T7" queryTableFieldId="8"/>
    <tableColumn id="9" xr3:uid="{4FB8C242-87C5-EB40-84AC-361B2BF00561}" uniqueName="9" name="T8" queryTableFieldId="9"/>
    <tableColumn id="10" xr3:uid="{BAEA1830-C258-9D41-9565-5DB4A629528B}" uniqueName="10" name="RTD_IN" queryTableFieldId="10"/>
    <tableColumn id="11" xr3:uid="{C2540F3A-4F3A-9541-B185-A4F0F6981CAD}" uniqueName="11" name="RTD_OUT" queryTableFieldId="11"/>
    <tableColumn id="12" xr3:uid="{0A4B6A1C-A39F-D44A-9AC9-18D8E21DA70E}" uniqueName="12" name="DPT_TS" queryTableFieldId="12"/>
    <tableColumn id="13" xr3:uid="{63863AB5-81C2-4247-989D-ACF1C3F69BD1}" uniqueName="13" name="DPT_nozzle" queryTableFieldId="13"/>
    <tableColumn id="14" xr3:uid="{DD231CFB-B336-FD43-B12B-7E62B211B183}" uniqueName="14" name="Flow_gps" queryTableFieldId="14"/>
    <tableColumn id="15" xr3:uid="{87E253DD-9EB3-CF49-A519-76FBEF51F1B0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5D3008-0648-6540-930C-CD0ECC668380}" name="sheet1__34" displayName="sheet1__34" ref="A1:O20" tableType="queryTable" totalsRowShown="0">
  <autoFilter ref="A1:O20" xr:uid="{895D3008-0648-6540-930C-CD0ECC668380}"/>
  <tableColumns count="15">
    <tableColumn id="1" xr3:uid="{AA7B9C99-6C45-7545-82AB-EB796FD08A52}" uniqueName="1" name="Time" queryTableFieldId="1"/>
    <tableColumn id="2" xr3:uid="{069C5BDF-92ED-DE48-ADD4-7F6DC0359FAD}" uniqueName="2" name="T1" queryTableFieldId="2"/>
    <tableColumn id="3" xr3:uid="{757EA44C-C372-4C48-BBFC-EC601C984933}" uniqueName="3" name="T2" queryTableFieldId="3"/>
    <tableColumn id="4" xr3:uid="{6576BB72-DDB0-F34C-A6AA-D2A91878FC52}" uniqueName="4" name="T3" queryTableFieldId="4"/>
    <tableColumn id="5" xr3:uid="{4B911601-FAD8-924B-8E28-C23F0069BB9F}" uniqueName="5" name="T4" queryTableFieldId="5"/>
    <tableColumn id="6" xr3:uid="{C09AD90F-7B8E-8A45-828B-EB80AFE06B80}" uniqueName="6" name="T5" queryTableFieldId="6"/>
    <tableColumn id="7" xr3:uid="{08ABE1A3-EA4D-E742-B07C-F7B867D9D3D9}" uniqueName="7" name="T6" queryTableFieldId="7"/>
    <tableColumn id="8" xr3:uid="{176EE34C-546B-F04D-AF60-E254E6BFF94F}" uniqueName="8" name="T7" queryTableFieldId="8"/>
    <tableColumn id="9" xr3:uid="{E2F0B5C1-73E9-3B46-9CE9-192FE6C7F308}" uniqueName="9" name="T8" queryTableFieldId="9"/>
    <tableColumn id="10" xr3:uid="{D0B7EC11-659F-844C-9831-E14DC08AF4AA}" uniqueName="10" name="RTD_IN" queryTableFieldId="10"/>
    <tableColumn id="11" xr3:uid="{2F59806C-3306-4245-8B70-BC1586EDBB54}" uniqueName="11" name="RTD_OUT" queryTableFieldId="11"/>
    <tableColumn id="12" xr3:uid="{05F921A1-7ECE-6345-85FC-674EB69ACEA0}" uniqueName="12" name="DPT_TS" queryTableFieldId="12"/>
    <tableColumn id="13" xr3:uid="{13CF84D7-9793-A244-888E-A76EB3C13650}" uniqueName="13" name="DPT_nozzle" queryTableFieldId="13"/>
    <tableColumn id="14" xr3:uid="{9290448A-26D4-1144-8C5C-DAB8B271F2B2}" uniqueName="14" name="Flow_gps" queryTableFieldId="14"/>
    <tableColumn id="15" xr3:uid="{EE90BF5C-DA29-2D4E-950C-BB36036235BC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7BDF46-636B-3D4C-AE9C-5F7A019F86AC}" name="sheet1__35" displayName="sheet1__35" ref="A1:O17" tableType="queryTable" totalsRowShown="0">
  <autoFilter ref="A1:O17" xr:uid="{D27BDF46-636B-3D4C-AE9C-5F7A019F86AC}"/>
  <tableColumns count="15">
    <tableColumn id="1" xr3:uid="{72B20F1B-5BC1-554A-BBD3-1614C695CC0D}" uniqueName="1" name="Time" queryTableFieldId="1"/>
    <tableColumn id="2" xr3:uid="{482C8725-F32E-7942-9979-B323BCF35403}" uniqueName="2" name="T1" queryTableFieldId="2"/>
    <tableColumn id="3" xr3:uid="{443D8BD0-2E17-184E-9CCB-200992DE2BDF}" uniqueName="3" name="T2" queryTableFieldId="3"/>
    <tableColumn id="4" xr3:uid="{3B32AD16-D81E-974E-AAF9-54745889C0B5}" uniqueName="4" name="T3" queryTableFieldId="4"/>
    <tableColumn id="5" xr3:uid="{C409E006-83D4-6042-A046-F4AF51B024E7}" uniqueName="5" name="T4" queryTableFieldId="5"/>
    <tableColumn id="6" xr3:uid="{2D4C794B-1BAF-8D4B-834A-B6910852D283}" uniqueName="6" name="T5" queryTableFieldId="6"/>
    <tableColumn id="7" xr3:uid="{A94ACD7A-00B4-CF4B-B598-DFC387D45990}" uniqueName="7" name="T6" queryTableFieldId="7"/>
    <tableColumn id="8" xr3:uid="{12A11386-9EAA-2C42-B852-D2C75CFFEC76}" uniqueName="8" name="T7" queryTableFieldId="8"/>
    <tableColumn id="9" xr3:uid="{09E72C4F-A142-5044-A439-6CF276B975EA}" uniqueName="9" name="T8" queryTableFieldId="9"/>
    <tableColumn id="10" xr3:uid="{C44A4116-289B-C24B-B1D2-6088FF119F44}" uniqueName="10" name="RTD_IN" queryTableFieldId="10"/>
    <tableColumn id="11" xr3:uid="{F65A3000-6702-DF45-B2FD-FBCA1A6BDAFC}" uniqueName="11" name="RTD_OUT" queryTableFieldId="11"/>
    <tableColumn id="12" xr3:uid="{FB13B865-F341-A64E-AF92-CD6BA895777C}" uniqueName="12" name="DPT_TS" queryTableFieldId="12"/>
    <tableColumn id="13" xr3:uid="{0B5CE3E1-1213-164F-9B08-D15D3F6572BF}" uniqueName="13" name="DPT_nozzle" queryTableFieldId="13"/>
    <tableColumn id="14" xr3:uid="{F9F2B406-7064-3E46-AF16-651378327F9B}" uniqueName="14" name="Flow_gps" queryTableFieldId="14"/>
    <tableColumn id="15" xr3:uid="{4F3CF910-CA98-324F-8F92-453456ADBE18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2DC19D-F144-5449-B720-A273899D7D78}" name="sheet1__36" displayName="sheet1__36" ref="A1:O41" tableType="queryTable" totalsRowShown="0">
  <autoFilter ref="A1:O41" xr:uid="{FF2DC19D-F144-5449-B720-A273899D7D78}"/>
  <tableColumns count="15">
    <tableColumn id="1" xr3:uid="{0C5EFBFD-419F-B84B-91E7-88B2062AF963}" uniqueName="1" name="Time" queryTableFieldId="1"/>
    <tableColumn id="2" xr3:uid="{B33EDE43-5C61-294A-8764-17EAF4A2EC6E}" uniqueName="2" name="T1" queryTableFieldId="2"/>
    <tableColumn id="3" xr3:uid="{6015A031-F04D-5641-9265-39F2068E04E5}" uniqueName="3" name="T2" queryTableFieldId="3"/>
    <tableColumn id="4" xr3:uid="{28CB6059-D8C5-D848-85B0-F1022EBE90A9}" uniqueName="4" name="T3" queryTableFieldId="4"/>
    <tableColumn id="5" xr3:uid="{A5CB9051-3790-184D-952A-8A394CC064FB}" uniqueName="5" name="T4" queryTableFieldId="5"/>
    <tableColumn id="6" xr3:uid="{9D6DB8A4-E977-0A4E-93DD-D3E0A677A311}" uniqueName="6" name="T5" queryTableFieldId="6"/>
    <tableColumn id="7" xr3:uid="{475B97AF-C673-B740-BE73-ACAB5F00029D}" uniqueName="7" name="T6" queryTableFieldId="7"/>
    <tableColumn id="8" xr3:uid="{D0BEBF27-865C-0A49-9308-2C4C69310A51}" uniqueName="8" name="T7" queryTableFieldId="8"/>
    <tableColumn id="9" xr3:uid="{22688309-873A-994D-836A-0B05F3CC39F0}" uniqueName="9" name="T8" queryTableFieldId="9"/>
    <tableColumn id="10" xr3:uid="{5C3B394C-2994-4846-974E-74EDD3102102}" uniqueName="10" name="RTD_IN" queryTableFieldId="10"/>
    <tableColumn id="11" xr3:uid="{616F574F-862C-FE48-8C2B-484FAE20D72F}" uniqueName="11" name="RTD_OUT" queryTableFieldId="11"/>
    <tableColumn id="12" xr3:uid="{6CAB34A9-81CB-544E-99BB-04782C1413A6}" uniqueName="12" name="DPT_TS" queryTableFieldId="12"/>
    <tableColumn id="13" xr3:uid="{3179839E-8EE0-F64B-8671-9C762BC01841}" uniqueName="13" name="DPT_nozzle" queryTableFieldId="13"/>
    <tableColumn id="14" xr3:uid="{319B9A6C-1819-584E-A6F6-B64D47527CE5}" uniqueName="14" name="Flow_gps" queryTableFieldId="14"/>
    <tableColumn id="15" xr3:uid="{E38E0929-5102-B741-B32E-7C55BA742E32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tabSelected="1" workbookViewId="0">
      <selection activeCell="B13" sqref="B13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>
        <v>1</v>
      </c>
      <c r="B2">
        <v>219.00449580602231</v>
      </c>
    </row>
    <row r="3" spans="1:2" x14ac:dyDescent="0.2">
      <c r="A3">
        <v>2</v>
      </c>
      <c r="B3">
        <v>397.10291389944246</v>
      </c>
    </row>
    <row r="4" spans="1:2" x14ac:dyDescent="0.2">
      <c r="A4">
        <v>3</v>
      </c>
      <c r="B4">
        <v>530.4131967190267</v>
      </c>
    </row>
    <row r="5" spans="1:2" x14ac:dyDescent="0.2">
      <c r="A5">
        <v>4</v>
      </c>
      <c r="B5">
        <v>621.64143668597785</v>
      </c>
    </row>
    <row r="6" spans="1:2" x14ac:dyDescent="0.2">
      <c r="A6">
        <v>5</v>
      </c>
      <c r="B6">
        <v>696.17017946002079</v>
      </c>
    </row>
    <row r="7" spans="1:2" x14ac:dyDescent="0.2">
      <c r="A7">
        <v>6</v>
      </c>
      <c r="B7">
        <v>740.8100214663973</v>
      </c>
    </row>
    <row r="8" spans="1:2" x14ac:dyDescent="0.2">
      <c r="A8">
        <v>7</v>
      </c>
      <c r="B8">
        <v>790.13498729341109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A4A4-C922-E145-AABD-17F5FA9D858A}">
  <dimension ref="A1:V36"/>
  <sheetViews>
    <sheetView workbookViewId="0">
      <selection activeCell="E16" sqref="E16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44604.5989784302</v>
      </c>
      <c r="B2">
        <v>18.702605999999999</v>
      </c>
      <c r="C2">
        <v>17.994852999999999</v>
      </c>
      <c r="D2">
        <v>17.957647999999999</v>
      </c>
      <c r="E2">
        <v>17.610747</v>
      </c>
      <c r="F2">
        <v>37.618751000000003</v>
      </c>
      <c r="G2">
        <v>37.142730999999998</v>
      </c>
      <c r="H2">
        <v>24.305537000000001</v>
      </c>
      <c r="I2">
        <v>27.652239000000002</v>
      </c>
      <c r="J2">
        <v>55.659770000000002</v>
      </c>
      <c r="K2">
        <v>54.191929999999999</v>
      </c>
      <c r="L2">
        <v>10.065061999999999</v>
      </c>
      <c r="M2">
        <v>-622.46938899999998</v>
      </c>
      <c r="N2">
        <v>2.209117</v>
      </c>
      <c r="O2">
        <v>4.6521889999999999</v>
      </c>
      <c r="P2">
        <f xml:space="preserve"> N2*0.001/60</f>
        <v>3.681861666666667E-5</v>
      </c>
      <c r="Q2" cm="1">
        <f t="array" ref="Q2">[1]!PropsSI("D","T",J2+273.15,"P",101325,"Water")</f>
        <v>985.37228227119533</v>
      </c>
      <c r="R2" cm="1">
        <f t="array" ref="R2">[1]!PropsSI("D","T",K2+273.15,"P",101325,"Water")</f>
        <v>986.08231654386384</v>
      </c>
      <c r="S2">
        <f>(Q2+R2)/2</f>
        <v>985.72729940752959</v>
      </c>
      <c r="T2" cm="1">
        <f t="array" ref="T2">[1]!PropsSI("H","T",J2+273.15,"P",101325,"Water")</f>
        <v>233088.94360228407</v>
      </c>
      <c r="U2" cm="1">
        <f t="array" ref="U2">[1]!PropsSI("H","T",K2+273.15,"P",101325,"Water")</f>
        <v>226949.07002983952</v>
      </c>
      <c r="V2">
        <f>S2*P2*(T2-U2)</f>
        <v>222.83514117910997</v>
      </c>
    </row>
    <row r="3" spans="1:22" x14ac:dyDescent="0.2">
      <c r="A3">
        <v>44604.599094170997</v>
      </c>
      <c r="B3">
        <v>18.601573999999999</v>
      </c>
      <c r="C3">
        <v>18.170859</v>
      </c>
      <c r="D3">
        <v>18.110382000000001</v>
      </c>
      <c r="E3">
        <v>17.677222</v>
      </c>
      <c r="F3">
        <v>38.759067000000002</v>
      </c>
      <c r="G3">
        <v>38.752437999999998</v>
      </c>
      <c r="H3">
        <v>25.666164999999999</v>
      </c>
      <c r="I3">
        <v>26.25281</v>
      </c>
      <c r="J3">
        <v>55.669637000000002</v>
      </c>
      <c r="K3">
        <v>54.207362000000003</v>
      </c>
      <c r="L3">
        <v>9.3373430000000006</v>
      </c>
      <c r="M3">
        <v>-622.47591999999997</v>
      </c>
      <c r="N3">
        <v>2.2116039999999999</v>
      </c>
      <c r="O3">
        <v>4.6157430000000002</v>
      </c>
      <c r="P3">
        <f t="shared" ref="P3" si="0" xml:space="preserve"> N3*0.001/60</f>
        <v>3.6860066666666663E-5</v>
      </c>
      <c r="Q3" cm="1">
        <f t="array" ref="Q3">[1]!PropsSI("D","T",J3+273.15,"P",101325,"Water")</f>
        <v>985.36746415711445</v>
      </c>
      <c r="R3" cm="1">
        <f t="array" ref="R3">[1]!PropsSI("D","T",K3+273.15,"P",101325,"Water")</f>
        <v>986.07492146737331</v>
      </c>
      <c r="S3">
        <f>(Q3+R3)/2</f>
        <v>985.72119281224388</v>
      </c>
      <c r="T3" cm="1">
        <f t="array" ref="T3">[1]!PropsSI("H","T",J3+273.15,"P",101325,"Water")</f>
        <v>233130.21923984872</v>
      </c>
      <c r="U3" cm="1">
        <f t="array" ref="U3">[1]!PropsSI("H","T",K3+273.15,"P",101325,"Water")</f>
        <v>227013.61702212648</v>
      </c>
      <c r="V3">
        <f t="shared" ref="V3:V11" si="1">S3*P3*(T3-U3)</f>
        <v>222.23908898861472</v>
      </c>
    </row>
    <row r="4" spans="1:22" x14ac:dyDescent="0.2">
      <c r="A4">
        <v>44604.5992104904</v>
      </c>
      <c r="B4">
        <v>18.385742</v>
      </c>
      <c r="C4">
        <v>18.169983999999999</v>
      </c>
      <c r="D4">
        <v>18.154048</v>
      </c>
      <c r="E4">
        <v>17.664467999999999</v>
      </c>
      <c r="F4">
        <v>39.407397000000003</v>
      </c>
      <c r="G4">
        <v>35.807583000000001</v>
      </c>
      <c r="H4">
        <v>23.371648</v>
      </c>
      <c r="I4">
        <v>26.820156999999998</v>
      </c>
      <c r="J4">
        <v>55.676639000000002</v>
      </c>
      <c r="K4">
        <v>54.222157000000003</v>
      </c>
      <c r="L4">
        <v>10.207912</v>
      </c>
      <c r="M4">
        <v>-622.474695</v>
      </c>
      <c r="N4">
        <v>2.2130100000000001</v>
      </c>
      <c r="O4">
        <v>4.6199110000000001</v>
      </c>
      <c r="P4">
        <f xml:space="preserve"> N4*0.001/60</f>
        <v>3.68835E-5</v>
      </c>
      <c r="Q4" cm="1">
        <f t="array" ref="Q4">[1]!PropsSI("D","T",J4+273.15,"P",101325,"Water")</f>
        <v>985.36404467527302</v>
      </c>
      <c r="R4" cm="1">
        <f t="array" ref="R4">[1]!PropsSI("D","T",K4+273.15,"P",101325,"Water")</f>
        <v>986.06783024406047</v>
      </c>
      <c r="S4">
        <f t="shared" ref="S4:S11" si="2">(Q4+R4)/2</f>
        <v>985.71593745966675</v>
      </c>
      <c r="T4" cm="1">
        <f t="array" ref="T4">[1]!PropsSI("H","T",J4+273.15,"P",101325,"Water")</f>
        <v>233159.51003046997</v>
      </c>
      <c r="U4" cm="1">
        <f t="array" ref="U4">[1]!PropsSI("H","T",K4+273.15,"P",101325,"Water")</f>
        <v>227075.49973056247</v>
      </c>
      <c r="V4">
        <f t="shared" si="1"/>
        <v>221.1942560633934</v>
      </c>
    </row>
    <row r="5" spans="1:22" x14ac:dyDescent="0.2">
      <c r="A5">
        <v>44604.599326231102</v>
      </c>
      <c r="B5">
        <v>18.642932999999999</v>
      </c>
      <c r="C5">
        <v>18.048425999999999</v>
      </c>
      <c r="D5">
        <v>17.876206</v>
      </c>
      <c r="E5">
        <v>17.605671999999998</v>
      </c>
      <c r="F5">
        <v>38.078178000000001</v>
      </c>
      <c r="G5">
        <v>37.799038000000003</v>
      </c>
      <c r="H5">
        <v>25.134675000000001</v>
      </c>
      <c r="I5">
        <v>27.654530999999999</v>
      </c>
      <c r="J5">
        <v>55.686664999999998</v>
      </c>
      <c r="K5">
        <v>54.236156999999999</v>
      </c>
      <c r="L5">
        <v>9.4161149999999996</v>
      </c>
      <c r="M5">
        <v>-622.49959200000001</v>
      </c>
      <c r="N5">
        <v>2.2056740000000001</v>
      </c>
      <c r="O5">
        <v>5.2841360000000002</v>
      </c>
      <c r="P5">
        <f t="shared" ref="P5:P11" si="3" xml:space="preserve"> N5*0.001/60</f>
        <v>3.6761233333333336E-5</v>
      </c>
      <c r="Q5" cm="1">
        <f t="array" ref="Q5">[1]!PropsSI("D","T",J5+273.15,"P",101325,"Water")</f>
        <v>985.35914787304478</v>
      </c>
      <c r="R5" cm="1">
        <f t="array" ref="R5">[1]!PropsSI("D","T",K5+273.15,"P",101325,"Water")</f>
        <v>986.06111880148649</v>
      </c>
      <c r="S5">
        <f t="shared" si="2"/>
        <v>985.71013333726569</v>
      </c>
      <c r="T5" cm="1">
        <f t="array" ref="T5">[1]!PropsSI("H","T",J5+273.15,"P",101325,"Water")</f>
        <v>233201.45086011916</v>
      </c>
      <c r="U5" cm="1">
        <f t="array" ref="U5">[1]!PropsSI("H","T",K5+273.15,"P",101325,"Water")</f>
        <v>227134.0572812015</v>
      </c>
      <c r="V5">
        <f t="shared" si="1"/>
        <v>219.85758961222405</v>
      </c>
    </row>
    <row r="6" spans="1:22" x14ac:dyDescent="0.2">
      <c r="A6">
        <v>46066.599441967592</v>
      </c>
      <c r="B6">
        <v>18.737528000000001</v>
      </c>
      <c r="C6">
        <v>18.269486000000001</v>
      </c>
      <c r="D6">
        <v>18.033777000000001</v>
      </c>
      <c r="E6">
        <v>17.797560000000001</v>
      </c>
      <c r="F6">
        <v>39.321427999999997</v>
      </c>
      <c r="G6">
        <v>36.131100000000004</v>
      </c>
      <c r="H6">
        <v>23.101455999999999</v>
      </c>
      <c r="I6">
        <v>26.794516000000002</v>
      </c>
      <c r="J6">
        <v>55.692712</v>
      </c>
      <c r="K6">
        <v>54.248088000000003</v>
      </c>
      <c r="L6">
        <v>9.4124420000000004</v>
      </c>
      <c r="M6">
        <v>-622.49020499999995</v>
      </c>
      <c r="N6">
        <v>2.208215</v>
      </c>
      <c r="O6">
        <v>4.5436769999999997</v>
      </c>
      <c r="P6">
        <f t="shared" si="3"/>
        <v>3.6803583333333331E-5</v>
      </c>
      <c r="Q6" cm="1">
        <f t="array" ref="Q6">[1]!PropsSI("D","T",J6+273.15,"P",101325,"Water")</f>
        <v>985.35619415606698</v>
      </c>
      <c r="R6" cm="1">
        <f t="array" ref="R6">[1]!PropsSI("D","T",K6+273.15,"P",101325,"Water")</f>
        <v>986.05539824613982</v>
      </c>
      <c r="S6">
        <f t="shared" si="2"/>
        <v>985.70579620110334</v>
      </c>
      <c r="T6" cm="1">
        <f t="array" ref="T6">[1]!PropsSI("H","T",J6+273.15,"P",101325,"Water")</f>
        <v>233226.74672862983</v>
      </c>
      <c r="U6" cm="1">
        <f t="array" ref="U6">[1]!PropsSI("H","T",K6+273.15,"P",101325,"Water")</f>
        <v>227183.96091653485</v>
      </c>
      <c r="V6">
        <f t="shared" si="1"/>
        <v>219.21719500568173</v>
      </c>
    </row>
    <row r="7" spans="1:22" x14ac:dyDescent="0.2">
      <c r="A7">
        <v>46066.599558287038</v>
      </c>
      <c r="B7">
        <v>18.746680000000001</v>
      </c>
      <c r="C7">
        <v>18.347034000000001</v>
      </c>
      <c r="D7">
        <v>18.105936</v>
      </c>
      <c r="E7">
        <v>17.884748999999999</v>
      </c>
      <c r="F7">
        <v>39.124833000000002</v>
      </c>
      <c r="G7">
        <v>33.898361999999999</v>
      </c>
      <c r="H7">
        <v>23.400051999999999</v>
      </c>
      <c r="I7">
        <v>26.068251</v>
      </c>
      <c r="J7">
        <v>55.698759000000003</v>
      </c>
      <c r="K7">
        <v>54.260815000000001</v>
      </c>
      <c r="L7">
        <v>8.6243180000000006</v>
      </c>
      <c r="M7">
        <v>-622.49714300000005</v>
      </c>
      <c r="N7">
        <v>2.2109359999999998</v>
      </c>
      <c r="O7">
        <v>5.1445540000000003</v>
      </c>
      <c r="P7">
        <f t="shared" si="3"/>
        <v>3.6848933333333325E-5</v>
      </c>
      <c r="Q7" cm="1">
        <f t="array" ref="Q7">[1]!PropsSI("D","T",J7+273.15,"P",101325,"Water")</f>
        <v>985.3532402137231</v>
      </c>
      <c r="R7" cm="1">
        <f t="array" ref="R7">[1]!PropsSI("D","T",K7+273.15,"P",101325,"Water")</f>
        <v>986.04929505088899</v>
      </c>
      <c r="S7">
        <f t="shared" si="2"/>
        <v>985.7012676323061</v>
      </c>
      <c r="T7" cm="1">
        <f t="array" ref="T7">[1]!PropsSI("H","T",J7+273.15,"P",101325,"Water")</f>
        <v>233252.04261076372</v>
      </c>
      <c r="U7" cm="1">
        <f t="array" ref="U7">[1]!PropsSI("H","T",K7+273.15,"P",101325,"Water")</f>
        <v>227237.1940254439</v>
      </c>
      <c r="V7">
        <f t="shared" si="1"/>
        <v>218.4715726997384</v>
      </c>
    </row>
    <row r="8" spans="1:22" x14ac:dyDescent="0.2">
      <c r="A8">
        <v>46066.599674606485</v>
      </c>
      <c r="B8">
        <v>18.895911000000002</v>
      </c>
      <c r="C8">
        <v>18.506546</v>
      </c>
      <c r="D8">
        <v>18.016404000000001</v>
      </c>
      <c r="E8">
        <v>18.029516999999998</v>
      </c>
      <c r="F8">
        <v>39.846648000000002</v>
      </c>
      <c r="G8">
        <v>34.870002999999997</v>
      </c>
      <c r="H8">
        <v>25.598507000000001</v>
      </c>
      <c r="I8">
        <v>27.859075000000001</v>
      </c>
      <c r="J8">
        <v>55.704487999999998</v>
      </c>
      <c r="K8">
        <v>54.272269999999999</v>
      </c>
      <c r="L8">
        <v>9.5308030000000006</v>
      </c>
      <c r="M8">
        <v>-622.49469399999998</v>
      </c>
      <c r="N8">
        <v>2.2145709999999998</v>
      </c>
      <c r="O8">
        <v>4.9531359999999998</v>
      </c>
      <c r="P8">
        <f t="shared" si="3"/>
        <v>3.6909516666666666E-5</v>
      </c>
      <c r="Q8" cm="1">
        <f t="array" ref="Q8">[1]!PropsSI("D","T",J8+273.15,"P",101325,"Water")</f>
        <v>985.35044140557284</v>
      </c>
      <c r="R8" cm="1">
        <f t="array" ref="R8">[1]!PropsSI("D","T",K8+273.15,"P",101325,"Water")</f>
        <v>986.04380097290812</v>
      </c>
      <c r="S8">
        <f t="shared" si="2"/>
        <v>985.69712118924053</v>
      </c>
      <c r="T8" cm="1">
        <f t="array" ref="T8">[1]!PropsSI("H","T",J8+273.15,"P",101325,"Water")</f>
        <v>233276.00824412506</v>
      </c>
      <c r="U8" cm="1">
        <f t="array" ref="U8">[1]!PropsSI("H","T",K8+273.15,"P",101325,"Water")</f>
        <v>227285.10679995478</v>
      </c>
      <c r="V8">
        <f t="shared" si="1"/>
        <v>217.9586058788116</v>
      </c>
    </row>
    <row r="9" spans="1:22" x14ac:dyDescent="0.2">
      <c r="A9">
        <v>46066.599790347223</v>
      </c>
      <c r="B9">
        <v>19.410506000000002</v>
      </c>
      <c r="C9">
        <v>18.591184999999999</v>
      </c>
      <c r="D9">
        <v>18.313457</v>
      </c>
      <c r="E9">
        <v>18.122012000000002</v>
      </c>
      <c r="F9">
        <v>38.6648</v>
      </c>
      <c r="G9">
        <v>35.581935999999999</v>
      </c>
      <c r="H9">
        <v>23.541785000000001</v>
      </c>
      <c r="I9">
        <v>27.375153000000001</v>
      </c>
      <c r="J9">
        <v>55.707194000000001</v>
      </c>
      <c r="K9">
        <v>54.280861000000002</v>
      </c>
      <c r="L9">
        <v>9.1675559999999994</v>
      </c>
      <c r="M9">
        <v>-622.50040799999999</v>
      </c>
      <c r="N9">
        <v>2.2091409999999998</v>
      </c>
      <c r="O9">
        <v>5.0756519999999998</v>
      </c>
      <c r="P9">
        <f t="shared" si="3"/>
        <v>3.6819016666666664E-5</v>
      </c>
      <c r="Q9" cm="1">
        <f t="array" ref="Q9">[1]!PropsSI("D","T",J9+273.15,"P",101325,"Water")</f>
        <v>985.34911936370429</v>
      </c>
      <c r="R9" cm="1">
        <f t="array" ref="R9">[1]!PropsSI("D","T",K9+273.15,"P",101325,"Water")</f>
        <v>986.03967999563747</v>
      </c>
      <c r="S9">
        <f t="shared" si="2"/>
        <v>985.69439967967082</v>
      </c>
      <c r="T9" cm="1">
        <f t="array" ref="T9">[1]!PropsSI("H","T",J9+273.15,"P",101325,"Water")</f>
        <v>233287.32802562512</v>
      </c>
      <c r="U9" cm="1">
        <f t="array" ref="U9">[1]!PropsSI("H","T",K9+273.15,"P",101325,"Water")</f>
        <v>227321.04036534135</v>
      </c>
      <c r="V9">
        <f t="shared" si="1"/>
        <v>216.53029288314681</v>
      </c>
    </row>
    <row r="10" spans="1:22" x14ac:dyDescent="0.2">
      <c r="A10">
        <v>44604.599906670897</v>
      </c>
      <c r="B10">
        <v>18.85107</v>
      </c>
      <c r="C10">
        <v>18.380168000000001</v>
      </c>
      <c r="D10">
        <v>18.120508000000001</v>
      </c>
      <c r="E10">
        <v>18.025310999999999</v>
      </c>
      <c r="F10">
        <v>39.248567999999999</v>
      </c>
      <c r="G10">
        <v>34.172252999999998</v>
      </c>
      <c r="H10">
        <v>23.983243999999999</v>
      </c>
      <c r="I10">
        <v>26.633073</v>
      </c>
      <c r="J10">
        <v>55.706556999999997</v>
      </c>
      <c r="K10">
        <v>54.284360999999997</v>
      </c>
      <c r="L10">
        <v>10.512385999999999</v>
      </c>
      <c r="M10">
        <v>-622.49918400000001</v>
      </c>
      <c r="N10">
        <v>2.2095470000000001</v>
      </c>
      <c r="O10">
        <v>4.7228190000000003</v>
      </c>
      <c r="P10">
        <f t="shared" si="3"/>
        <v>3.6825783333333332E-5</v>
      </c>
      <c r="Q10" cm="1">
        <f t="array" ref="Q10">[1]!PropsSI("D","T",J10+273.15,"P",101325,"Water")</f>
        <v>985.34943058013062</v>
      </c>
      <c r="R10" cm="1">
        <f t="array" ref="R10">[1]!PropsSI("D","T",K10+273.15,"P",101325,"Water")</f>
        <v>986.03800096438454</v>
      </c>
      <c r="S10">
        <f t="shared" si="2"/>
        <v>985.69371577225752</v>
      </c>
      <c r="T10" cm="1">
        <f t="array" ref="T10">[1]!PropsSI("H","T",J10+273.15,"P",101325,"Water")</f>
        <v>233284.66331705422</v>
      </c>
      <c r="U10" cm="1">
        <f t="array" ref="U10">[1]!PropsSI("H","T",K10+273.15,"P",101325,"Water")</f>
        <v>227335.67981855682</v>
      </c>
      <c r="V10">
        <f t="shared" si="1"/>
        <v>215.94181416952574</v>
      </c>
    </row>
    <row r="11" spans="1:22" x14ac:dyDescent="0.2">
      <c r="A11">
        <v>44604.600022411702</v>
      </c>
      <c r="B11">
        <v>19.116403999999999</v>
      </c>
      <c r="C11">
        <v>18.423162000000001</v>
      </c>
      <c r="D11">
        <v>18.187439999999999</v>
      </c>
      <c r="E11">
        <v>18.065346999999999</v>
      </c>
      <c r="F11">
        <v>38.984606999999997</v>
      </c>
      <c r="G11">
        <v>34.684046000000002</v>
      </c>
      <c r="H11">
        <v>25.164083999999999</v>
      </c>
      <c r="I11">
        <v>26.714368</v>
      </c>
      <c r="J11">
        <v>55.710853999999998</v>
      </c>
      <c r="K11">
        <v>54.288179</v>
      </c>
      <c r="L11">
        <v>9.8381340000000002</v>
      </c>
      <c r="M11">
        <v>-622.47265400000003</v>
      </c>
      <c r="N11">
        <v>2.2073499999999999</v>
      </c>
      <c r="O11">
        <v>4.4755500000000001</v>
      </c>
      <c r="P11">
        <f t="shared" si="3"/>
        <v>3.6789166666666663E-5</v>
      </c>
      <c r="Q11" cm="1">
        <f t="array" ref="Q11">[1]!PropsSI("D","T",J11+273.15,"P",101325,"Water")</f>
        <v>985.34733116434847</v>
      </c>
      <c r="R11" cm="1">
        <f t="array" ref="R11">[1]!PropsSI("D","T",K11+273.15,"P",101325,"Water")</f>
        <v>986.03616929374709</v>
      </c>
      <c r="S11">
        <f t="shared" si="2"/>
        <v>985.69175022904778</v>
      </c>
      <c r="T11" cm="1">
        <f t="array" ref="T11">[1]!PropsSI("H","T",J11+273.15,"P",101325,"Water")</f>
        <v>233302.63859916548</v>
      </c>
      <c r="U11" cm="1">
        <f t="array" ref="U11">[1]!PropsSI("H","T",K11+273.15,"P",101325,"Water")</f>
        <v>227351.64937552839</v>
      </c>
      <c r="V11">
        <f t="shared" si="1"/>
        <v>215.79940157997669</v>
      </c>
    </row>
    <row r="15" spans="1:22" x14ac:dyDescent="0.2">
      <c r="E15" s="1" t="s">
        <v>22</v>
      </c>
    </row>
    <row r="16" spans="1:22" x14ac:dyDescent="0.2">
      <c r="E16">
        <f>AVERAGE(V2:V11)</f>
        <v>219.00449580602231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6007-5461-5E4A-93F8-4B2D86C45C42}">
  <dimension ref="A1:V36"/>
  <sheetViews>
    <sheetView workbookViewId="0">
      <selection activeCell="E14" sqref="E1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44604.597015467203</v>
      </c>
      <c r="B2">
        <v>18.289605999999999</v>
      </c>
      <c r="C2">
        <v>18.684083000000001</v>
      </c>
      <c r="D2">
        <v>19.188745000000001</v>
      </c>
      <c r="E2">
        <v>19.616312000000001</v>
      </c>
      <c r="F2">
        <v>40.410409000000001</v>
      </c>
      <c r="G2">
        <v>39.768740000000001</v>
      </c>
      <c r="H2">
        <v>26.296399999999998</v>
      </c>
      <c r="I2">
        <v>25.534597999999999</v>
      </c>
      <c r="J2">
        <v>55.602003000000003</v>
      </c>
      <c r="K2">
        <v>52.963867999999998</v>
      </c>
      <c r="L2">
        <v>31.489294999999998</v>
      </c>
      <c r="M2">
        <v>-622.52244800000005</v>
      </c>
      <c r="N2">
        <v>2.2077680000000002</v>
      </c>
      <c r="O2">
        <v>4.6857119999999997</v>
      </c>
      <c r="P2">
        <f xml:space="preserve"> N2*0.001/60</f>
        <v>3.6796133333333338E-5</v>
      </c>
      <c r="Q2" cm="1">
        <f t="array" ref="Q2">[1]!PropsSI("D","T",J2+273.15,"P",101325,"Water")</f>
        <v>985.40047819033202</v>
      </c>
      <c r="R2" cm="1">
        <f t="array" ref="R2">[1]!PropsSI("D","T",K2+273.15,"P",101325,"Water")</f>
        <v>986.66600728408685</v>
      </c>
      <c r="S2">
        <f>(Q2+R2)/2</f>
        <v>986.03324273720943</v>
      </c>
      <c r="T2" cm="1">
        <f t="array" ref="T2">[1]!PropsSI("H","T",J2+273.15,"P",101325,"Water")</f>
        <v>232847.29339517801</v>
      </c>
      <c r="U2" cm="1">
        <f t="array" ref="U2">[1]!PropsSI("H","T",K2+273.15,"P",101325,"Water")</f>
        <v>221812.7516616942</v>
      </c>
      <c r="V2">
        <f>S2*P2*(T2-U2)</f>
        <v>400.35756783062766</v>
      </c>
    </row>
    <row r="3" spans="1:22" x14ac:dyDescent="0.2">
      <c r="A3">
        <v>44604.597131786701</v>
      </c>
      <c r="B3">
        <v>18.048107000000002</v>
      </c>
      <c r="C3">
        <v>18.441597000000002</v>
      </c>
      <c r="D3">
        <v>19.156075000000001</v>
      </c>
      <c r="E3">
        <v>18.674945999999998</v>
      </c>
      <c r="F3">
        <v>39.703336999999998</v>
      </c>
      <c r="G3">
        <v>39.424857000000003</v>
      </c>
      <c r="H3">
        <v>26.509633000000001</v>
      </c>
      <c r="I3">
        <v>25.404426999999998</v>
      </c>
      <c r="J3">
        <v>55.606617999999997</v>
      </c>
      <c r="K3">
        <v>52.975476999999998</v>
      </c>
      <c r="L3">
        <v>31.041971</v>
      </c>
      <c r="M3">
        <v>-622.48979599999996</v>
      </c>
      <c r="N3">
        <v>2.2038549999999999</v>
      </c>
      <c r="O3">
        <v>4.4597410000000002</v>
      </c>
      <c r="P3">
        <f t="shared" ref="P3" si="0" xml:space="preserve"> N3*0.001/60</f>
        <v>3.6730916666666661E-5</v>
      </c>
      <c r="Q3" cm="1">
        <f t="array" ref="Q3">[1]!PropsSI("D","T",J3+273.15,"P",101325,"Water")</f>
        <v>985.39822637758436</v>
      </c>
      <c r="R3" cm="1">
        <f t="array" ref="R3">[1]!PropsSI("D","T",K3+273.15,"P",101325,"Water")</f>
        <v>986.66053419286072</v>
      </c>
      <c r="S3">
        <f>(Q3+R3)/2</f>
        <v>986.02938028522249</v>
      </c>
      <c r="T3" cm="1">
        <f t="array" ref="T3">[1]!PropsSI("H","T",J3+273.15,"P",101325,"Water")</f>
        <v>232866.59876116583</v>
      </c>
      <c r="U3" cm="1">
        <f t="array" ref="U3">[1]!PropsSI("H","T",K3+273.15,"P",101325,"Water")</f>
        <v>221861.303444502</v>
      </c>
      <c r="V3">
        <f t="shared" ref="V3:V11" si="1">S3*P3*(T3-U3)</f>
        <v>398.58717750348706</v>
      </c>
    </row>
    <row r="4" spans="1:22" x14ac:dyDescent="0.2">
      <c r="A4">
        <v>44604.597248106104</v>
      </c>
      <c r="B4">
        <v>18.456548999999999</v>
      </c>
      <c r="C4">
        <v>19.132428000000001</v>
      </c>
      <c r="D4">
        <v>19.229892</v>
      </c>
      <c r="E4">
        <v>19.669297</v>
      </c>
      <c r="F4">
        <v>41.026927000000001</v>
      </c>
      <c r="G4">
        <v>38.892831999999999</v>
      </c>
      <c r="H4">
        <v>27.022333</v>
      </c>
      <c r="I4">
        <v>25.663249</v>
      </c>
      <c r="J4">
        <v>55.611710000000002</v>
      </c>
      <c r="K4">
        <v>52.980725</v>
      </c>
      <c r="L4">
        <v>31.923559000000001</v>
      </c>
      <c r="M4">
        <v>-622.46081800000002</v>
      </c>
      <c r="N4">
        <v>2.207748</v>
      </c>
      <c r="O4">
        <v>4.8393240000000004</v>
      </c>
      <c r="P4">
        <f xml:space="preserve"> N4*0.001/60</f>
        <v>3.6795800000000004E-5</v>
      </c>
      <c r="Q4" cm="1">
        <f t="array" ref="Q4">[1]!PropsSI("D","T",J4+273.15,"P",101325,"Water")</f>
        <v>985.39574166812213</v>
      </c>
      <c r="R4" cm="1">
        <f t="array" ref="R4">[1]!PropsSI("D","T",K4+273.15,"P",101325,"Water")</f>
        <v>986.65805972985959</v>
      </c>
      <c r="S4">
        <f t="shared" ref="S4:S11" si="2">(Q4+R4)/2</f>
        <v>986.02690069899086</v>
      </c>
      <c r="T4" cm="1">
        <f t="array" ref="T4">[1]!PropsSI("H","T",J4+273.15,"P",101325,"Water")</f>
        <v>232887.8995121324</v>
      </c>
      <c r="U4" cm="1">
        <f t="array" ref="U4">[1]!PropsSI("H","T",K4+273.15,"P",101325,"Water")</f>
        <v>221883.25192639764</v>
      </c>
      <c r="V4">
        <f t="shared" si="1"/>
        <v>399.26675703275811</v>
      </c>
    </row>
    <row r="5" spans="1:22" x14ac:dyDescent="0.2">
      <c r="A5">
        <v>44604.5973638469</v>
      </c>
      <c r="B5">
        <v>18.543824000000001</v>
      </c>
      <c r="C5">
        <v>18.989464000000002</v>
      </c>
      <c r="D5">
        <v>19.274241</v>
      </c>
      <c r="E5">
        <v>19.774636000000001</v>
      </c>
      <c r="F5">
        <v>40.488287</v>
      </c>
      <c r="G5">
        <v>39.753546</v>
      </c>
      <c r="H5">
        <v>26.097950999999998</v>
      </c>
      <c r="I5">
        <v>24.887207</v>
      </c>
      <c r="J5">
        <v>55.615051999999999</v>
      </c>
      <c r="K5">
        <v>53.003306000000002</v>
      </c>
      <c r="L5">
        <v>32.007229000000002</v>
      </c>
      <c r="M5">
        <v>-622.49795900000004</v>
      </c>
      <c r="N5">
        <v>2.206941</v>
      </c>
      <c r="O5">
        <v>4.3757039999999998</v>
      </c>
      <c r="P5">
        <f t="shared" ref="P5:P11" si="3" xml:space="preserve"> N5*0.001/60</f>
        <v>3.6782349999999999E-5</v>
      </c>
      <c r="Q5" cm="1">
        <f t="array" ref="Q5">[1]!PropsSI("D","T",J5+273.15,"P",101325,"Water")</f>
        <v>985.39411080764683</v>
      </c>
      <c r="R5" cm="1">
        <f t="array" ref="R5">[1]!PropsSI("D","T",K5+273.15,"P",101325,"Water")</f>
        <v>986.64741066212514</v>
      </c>
      <c r="S5">
        <f t="shared" si="2"/>
        <v>986.02076073488593</v>
      </c>
      <c r="T5" cm="1">
        <f t="array" ref="T5">[1]!PropsSI("H","T",J5+273.15,"P",101325,"Water")</f>
        <v>232901.87970388605</v>
      </c>
      <c r="U5" cm="1">
        <f t="array" ref="U5">[1]!PropsSI("H","T",K5+273.15,"P",101325,"Water")</f>
        <v>221977.69156331441</v>
      </c>
      <c r="V5">
        <f t="shared" si="1"/>
        <v>396.20021131190208</v>
      </c>
    </row>
    <row r="6" spans="1:22" x14ac:dyDescent="0.2">
      <c r="A6">
        <v>46066.59748016204</v>
      </c>
      <c r="B6">
        <v>18.401951</v>
      </c>
      <c r="C6">
        <v>18.860506000000001</v>
      </c>
      <c r="D6">
        <v>19.245889999999999</v>
      </c>
      <c r="E6">
        <v>19.686040999999999</v>
      </c>
      <c r="F6">
        <v>40.482072000000002</v>
      </c>
      <c r="G6">
        <v>39.375019000000002</v>
      </c>
      <c r="H6">
        <v>26.283759</v>
      </c>
      <c r="I6">
        <v>25.705107000000002</v>
      </c>
      <c r="J6">
        <v>55.625236999999998</v>
      </c>
      <c r="K6">
        <v>53.021276</v>
      </c>
      <c r="L6">
        <v>32.646380000000001</v>
      </c>
      <c r="M6">
        <v>-622.52081499999997</v>
      </c>
      <c r="N6">
        <v>2.2083949999999999</v>
      </c>
      <c r="O6">
        <v>5.2422639999999996</v>
      </c>
      <c r="P6">
        <f t="shared" si="3"/>
        <v>3.6806583333333331E-5</v>
      </c>
      <c r="Q6" cm="1">
        <f t="array" ref="Q6">[1]!PropsSI("D","T",J6+273.15,"P",101325,"Water")</f>
        <v>985.38914021089761</v>
      </c>
      <c r="R6" cm="1">
        <f t="array" ref="R6">[1]!PropsSI("D","T",K6+273.15,"P",101325,"Water")</f>
        <v>986.63893380429658</v>
      </c>
      <c r="S6">
        <f t="shared" si="2"/>
        <v>986.01403700759715</v>
      </c>
      <c r="T6" cm="1">
        <f t="array" ref="T6">[1]!PropsSI("H","T",J6+273.15,"P",101325,"Water")</f>
        <v>232944.48543055903</v>
      </c>
      <c r="U6" cm="1">
        <f t="array" ref="U6">[1]!PropsSI("H","T",K6+273.15,"P",101325,"Water")</f>
        <v>222052.84691509407</v>
      </c>
      <c r="V6">
        <f t="shared" si="1"/>
        <v>395.27725185858276</v>
      </c>
    </row>
    <row r="7" spans="1:22" x14ac:dyDescent="0.2">
      <c r="A7">
        <v>46066.597595902778</v>
      </c>
      <c r="B7">
        <v>18.383317999999999</v>
      </c>
      <c r="C7">
        <v>18.973504999999999</v>
      </c>
      <c r="D7">
        <v>19.316026999999998</v>
      </c>
      <c r="E7">
        <v>19.709965</v>
      </c>
      <c r="F7">
        <v>40.800558000000002</v>
      </c>
      <c r="G7">
        <v>39.538252999999997</v>
      </c>
      <c r="H7">
        <v>27.758514999999999</v>
      </c>
      <c r="I7">
        <v>25.618364</v>
      </c>
      <c r="J7">
        <v>55.63017</v>
      </c>
      <c r="K7">
        <v>53.026682999999998</v>
      </c>
      <c r="L7">
        <v>30.535466</v>
      </c>
      <c r="M7">
        <v>-622.47591999999997</v>
      </c>
      <c r="N7">
        <v>2.2130670000000001</v>
      </c>
      <c r="O7">
        <v>5.4129300000000002</v>
      </c>
      <c r="P7">
        <f t="shared" si="3"/>
        <v>3.6884449999999999E-5</v>
      </c>
      <c r="Q7" cm="1">
        <f t="array" ref="Q7">[1]!PropsSI("D","T",J7+273.15,"P",101325,"Water")</f>
        <v>985.38673252353169</v>
      </c>
      <c r="R7" cm="1">
        <f t="array" ref="R7">[1]!PropsSI("D","T",K7+273.15,"P",101325,"Water")</f>
        <v>986.63638279865734</v>
      </c>
      <c r="S7">
        <f t="shared" si="2"/>
        <v>986.01155766109446</v>
      </c>
      <c r="T7" cm="1">
        <f t="array" ref="T7">[1]!PropsSI("H","T",J7+273.15,"P",101325,"Water")</f>
        <v>232965.12108988836</v>
      </c>
      <c r="U7" cm="1">
        <f t="array" ref="U7">[1]!PropsSI("H","T",K7+273.15,"P",101325,"Water")</f>
        <v>222075.46045783564</v>
      </c>
      <c r="V7">
        <f t="shared" si="1"/>
        <v>396.04055733676955</v>
      </c>
    </row>
    <row r="8" spans="1:22" x14ac:dyDescent="0.2">
      <c r="A8">
        <v>46066.597712222225</v>
      </c>
      <c r="B8">
        <v>18.189981</v>
      </c>
      <c r="C8">
        <v>18.755101</v>
      </c>
      <c r="D8">
        <v>19.164045999999999</v>
      </c>
      <c r="E8">
        <v>19.190819000000001</v>
      </c>
      <c r="F8">
        <v>40.278917</v>
      </c>
      <c r="G8">
        <v>38.925550000000001</v>
      </c>
      <c r="H8">
        <v>25.739428</v>
      </c>
      <c r="I8">
        <v>25.772179999999999</v>
      </c>
      <c r="J8">
        <v>55.633989</v>
      </c>
      <c r="K8">
        <v>53.025728999999998</v>
      </c>
      <c r="L8">
        <v>31.320323999999999</v>
      </c>
      <c r="M8">
        <v>-622.48816399999998</v>
      </c>
      <c r="N8">
        <v>2.208539</v>
      </c>
      <c r="O8">
        <v>5.3080400000000001</v>
      </c>
      <c r="P8">
        <f t="shared" si="3"/>
        <v>3.6808983333333336E-5</v>
      </c>
      <c r="Q8" cm="1">
        <f t="array" ref="Q8">[1]!PropsSI("D","T",J8+273.15,"P",101325,"Water")</f>
        <v>985.38486845163004</v>
      </c>
      <c r="R8" cm="1">
        <f t="array" ref="R8">[1]!PropsSI("D","T",K8+273.15,"P",101325,"Water")</f>
        <v>986.63683290633583</v>
      </c>
      <c r="S8">
        <f t="shared" si="2"/>
        <v>986.01085067898293</v>
      </c>
      <c r="T8" cm="1">
        <f t="array" ref="T8">[1]!PropsSI("H","T",J8+273.15,"P",101325,"Water")</f>
        <v>232981.09668563903</v>
      </c>
      <c r="U8" cm="1">
        <f t="array" ref="U8">[1]!PropsSI("H","T",K8+273.15,"P",101325,"Water")</f>
        <v>222071.4705700005</v>
      </c>
      <c r="V8">
        <f t="shared" si="1"/>
        <v>395.95459175287692</v>
      </c>
    </row>
    <row r="9" spans="1:22" x14ac:dyDescent="0.2">
      <c r="A9">
        <v>46066.597827962963</v>
      </c>
      <c r="B9">
        <v>18.320627000000002</v>
      </c>
      <c r="C9">
        <v>18.961698999999999</v>
      </c>
      <c r="D9">
        <v>19.215554999999998</v>
      </c>
      <c r="E9">
        <v>19.634444999999999</v>
      </c>
      <c r="F9">
        <v>40.700403000000001</v>
      </c>
      <c r="G9">
        <v>39.660145999999997</v>
      </c>
      <c r="H9">
        <v>26.300756</v>
      </c>
      <c r="I9">
        <v>25.109808999999998</v>
      </c>
      <c r="J9">
        <v>55.635103000000001</v>
      </c>
      <c r="K9">
        <v>53.018573000000004</v>
      </c>
      <c r="L9">
        <v>32.851675999999998</v>
      </c>
      <c r="M9">
        <v>-622.50653</v>
      </c>
      <c r="N9">
        <v>2.20967</v>
      </c>
      <c r="O9">
        <v>5.0076520000000002</v>
      </c>
      <c r="P9">
        <f t="shared" si="3"/>
        <v>3.6827833333333333E-5</v>
      </c>
      <c r="Q9" cm="1">
        <f t="array" ref="Q9">[1]!PropsSI("D","T",J9+273.15,"P",101325,"Water")</f>
        <v>985.38432468605004</v>
      </c>
      <c r="R9" cm="1">
        <f t="array" ref="R9">[1]!PropsSI("D","T",K9+273.15,"P",101325,"Water")</f>
        <v>986.64020900175512</v>
      </c>
      <c r="S9">
        <f t="shared" si="2"/>
        <v>986.01226684390258</v>
      </c>
      <c r="T9" cm="1">
        <f t="array" ref="T9">[1]!PropsSI("H","T",J9+273.15,"P",101325,"Water")</f>
        <v>232985.75675835388</v>
      </c>
      <c r="U9" cm="1">
        <f t="array" ref="U9">[1]!PropsSI("H","T",K9+273.15,"P",101325,"Water")</f>
        <v>222041.54223846705</v>
      </c>
      <c r="V9">
        <f t="shared" si="1"/>
        <v>397.41392855879212</v>
      </c>
    </row>
    <row r="10" spans="1:22" x14ac:dyDescent="0.2">
      <c r="A10">
        <v>44604.597943708002</v>
      </c>
      <c r="B10">
        <v>18.191497999999999</v>
      </c>
      <c r="C10">
        <v>18.725373000000001</v>
      </c>
      <c r="D10">
        <v>19.186662999999999</v>
      </c>
      <c r="E10">
        <v>19.245096</v>
      </c>
      <c r="F10">
        <v>40.501643000000001</v>
      </c>
      <c r="G10">
        <v>40.379694999999998</v>
      </c>
      <c r="H10">
        <v>26.455798000000001</v>
      </c>
      <c r="I10">
        <v>24.903939999999999</v>
      </c>
      <c r="J10">
        <v>55.635899000000002</v>
      </c>
      <c r="K10">
        <v>53.031135999999996</v>
      </c>
      <c r="L10">
        <v>31.288080999999998</v>
      </c>
      <c r="M10">
        <v>-622.50979500000005</v>
      </c>
      <c r="N10">
        <v>2.2052160000000001</v>
      </c>
      <c r="O10">
        <v>5.1228740000000004</v>
      </c>
      <c r="P10">
        <f t="shared" si="3"/>
        <v>3.6753600000000007E-5</v>
      </c>
      <c r="Q10" cm="1">
        <f t="array" ref="Q10">[1]!PropsSI("D","T",J10+273.15,"P",101325,"Water")</f>
        <v>985.38393613792493</v>
      </c>
      <c r="R10" cm="1">
        <f t="array" ref="R10">[1]!PropsSI("D","T",K10+273.15,"P",101325,"Water")</f>
        <v>986.6342817480338</v>
      </c>
      <c r="S10">
        <f t="shared" si="2"/>
        <v>986.00910894297931</v>
      </c>
      <c r="T10" cm="1">
        <f t="array" ref="T10">[1]!PropsSI("H","T",J10+273.15,"P",101325,"Water")</f>
        <v>232989.08657709692</v>
      </c>
      <c r="U10" cm="1">
        <f t="array" ref="U10">[1]!PropsSI("H","T",K10+273.15,"P",101325,"Water")</f>
        <v>222094.08412068521</v>
      </c>
      <c r="V10">
        <f t="shared" si="1"/>
        <v>394.82818190918522</v>
      </c>
    </row>
    <row r="13" spans="1:22" x14ac:dyDescent="0.2">
      <c r="E13" s="1" t="s">
        <v>22</v>
      </c>
    </row>
    <row r="14" spans="1:22" x14ac:dyDescent="0.2">
      <c r="E14">
        <f>AVERAGE(V2:V10)</f>
        <v>397.10291389944246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1897-A714-DE43-97FB-D72017DABE1E}">
  <dimension ref="A1:V36"/>
  <sheetViews>
    <sheetView workbookViewId="0">
      <selection activeCell="E14" sqref="E1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44604.5948325969</v>
      </c>
      <c r="B2">
        <v>18.122914000000002</v>
      </c>
      <c r="C2">
        <v>18.614488999999999</v>
      </c>
      <c r="D2">
        <v>19.565432999999999</v>
      </c>
      <c r="E2">
        <v>20.060956999999998</v>
      </c>
      <c r="F2">
        <v>37.759647000000001</v>
      </c>
      <c r="G2">
        <v>38.283071999999997</v>
      </c>
      <c r="H2">
        <v>24.835055000000001</v>
      </c>
      <c r="I2">
        <v>23.535767</v>
      </c>
      <c r="J2">
        <v>55.529277999999998</v>
      </c>
      <c r="K2">
        <v>52.008125999999997</v>
      </c>
      <c r="L2">
        <v>70.281638999999998</v>
      </c>
      <c r="M2">
        <v>-622.49836700000003</v>
      </c>
      <c r="N2">
        <v>2.2065229999999998</v>
      </c>
      <c r="O2">
        <v>4.8384980000000004</v>
      </c>
      <c r="P2">
        <f xml:space="preserve"> N2*0.001/60</f>
        <v>3.677538333333333E-5</v>
      </c>
      <c r="Q2" cm="1">
        <f t="array" ref="Q2">[1]!PropsSI("D","T",J2+273.15,"P",101325,"Water")</f>
        <v>985.43594579496846</v>
      </c>
      <c r="R2" cm="1">
        <f t="array" ref="R2">[1]!PropsSI("D","T",K2+273.15,"P",101325,"Water")</f>
        <v>987.11365108471284</v>
      </c>
      <c r="S2">
        <f>(Q2+R2)/2</f>
        <v>986.27479843984065</v>
      </c>
      <c r="T2" cm="1">
        <f t="array" ref="T2">[1]!PropsSI("H","T",J2+273.15,"P",101325,"Water")</f>
        <v>232543.07282515208</v>
      </c>
      <c r="U2" cm="1">
        <f t="array" ref="U2">[1]!PropsSI("H","T",K2+273.15,"P",101325,"Water")</f>
        <v>217815.74661212185</v>
      </c>
      <c r="V2">
        <f>S2*P2*(T2-U2)</f>
        <v>534.16945569961911</v>
      </c>
    </row>
    <row r="3" spans="1:22" x14ac:dyDescent="0.2">
      <c r="A3">
        <v>44604.594948337603</v>
      </c>
      <c r="B3">
        <v>18.522023999999998</v>
      </c>
      <c r="C3">
        <v>19.151094000000001</v>
      </c>
      <c r="D3">
        <v>19.685545999999999</v>
      </c>
      <c r="E3">
        <v>20.074635000000001</v>
      </c>
      <c r="F3">
        <v>37.949778000000002</v>
      </c>
      <c r="G3">
        <v>38.521940999999998</v>
      </c>
      <c r="H3">
        <v>24.764106000000002</v>
      </c>
      <c r="I3">
        <v>23.835889999999999</v>
      </c>
      <c r="J3">
        <v>55.538029999999999</v>
      </c>
      <c r="K3">
        <v>52.028474000000003</v>
      </c>
      <c r="L3">
        <v>67.825434999999999</v>
      </c>
      <c r="M3">
        <v>-622.49142900000004</v>
      </c>
      <c r="N3">
        <v>2.202699</v>
      </c>
      <c r="O3">
        <v>4.6917479999999996</v>
      </c>
      <c r="P3">
        <f t="shared" ref="P3" si="0" xml:space="preserve"> N3*0.001/60</f>
        <v>3.6711649999999999E-5</v>
      </c>
      <c r="Q3" cm="1">
        <f t="array" ref="Q3">[1]!PropsSI("D","T",J3+273.15,"P",101325,"Water")</f>
        <v>985.43167921791746</v>
      </c>
      <c r="R3" cm="1">
        <f t="array" ref="R3">[1]!PropsSI("D","T",K3+273.15,"P",101325,"Water")</f>
        <v>987.10418142981052</v>
      </c>
      <c r="S3">
        <f>(Q3+R3)/2</f>
        <v>986.26793032386399</v>
      </c>
      <c r="T3" cm="1">
        <f t="array" ref="T3">[1]!PropsSI("H","T",J3+273.15,"P",101325,"Water")</f>
        <v>232579.68376898504</v>
      </c>
      <c r="U3" cm="1">
        <f t="array" ref="U3">[1]!PropsSI("H","T",K3+273.15,"P",101325,"Water")</f>
        <v>217900.84085715769</v>
      </c>
      <c r="V3">
        <f t="shared" ref="V3:V11" si="1">S3*P3*(T3-U3)</f>
        <v>531.48454328684488</v>
      </c>
    </row>
    <row r="4" spans="1:22" x14ac:dyDescent="0.2">
      <c r="A4">
        <v>44604.595064078399</v>
      </c>
      <c r="B4">
        <v>18.501788999999999</v>
      </c>
      <c r="C4">
        <v>19.006684</v>
      </c>
      <c r="D4">
        <v>19.662262999999999</v>
      </c>
      <c r="E4">
        <v>20.068480000000001</v>
      </c>
      <c r="F4">
        <v>37.681556</v>
      </c>
      <c r="G4">
        <v>38.905894000000004</v>
      </c>
      <c r="H4">
        <v>24.919585000000001</v>
      </c>
      <c r="I4">
        <v>24.330062000000002</v>
      </c>
      <c r="J4">
        <v>55.546942000000001</v>
      </c>
      <c r="K4">
        <v>52.053116000000003</v>
      </c>
      <c r="L4">
        <v>68.257658000000006</v>
      </c>
      <c r="M4">
        <v>-622.50734699999998</v>
      </c>
      <c r="N4">
        <v>2.2056740000000001</v>
      </c>
      <c r="O4">
        <v>4.6640449999999998</v>
      </c>
      <c r="P4">
        <f xml:space="preserve"> N4*0.001/60</f>
        <v>3.6761233333333336E-5</v>
      </c>
      <c r="Q4" cm="1">
        <f t="array" ref="Q4">[1]!PropsSI("D","T",J4+273.15,"P",101325,"Water")</f>
        <v>985.42733415534065</v>
      </c>
      <c r="R4" cm="1">
        <f t="array" ref="R4">[1]!PropsSI("D","T",K4+273.15,"P",101325,"Water")</f>
        <v>987.09270985820842</v>
      </c>
      <c r="S4">
        <f t="shared" ref="S4:S11" si="2">(Q4+R4)/2</f>
        <v>986.26002200677453</v>
      </c>
      <c r="T4" cm="1">
        <f t="array" ref="T4">[1]!PropsSI("H","T",J4+273.15,"P",101325,"Water")</f>
        <v>232616.96404624905</v>
      </c>
      <c r="U4" cm="1">
        <f t="array" ref="U4">[1]!PropsSI("H","T",K4+273.15,"P",101325,"Water")</f>
        <v>218003.89255501016</v>
      </c>
      <c r="V4">
        <f t="shared" si="1"/>
        <v>529.81348977475727</v>
      </c>
    </row>
    <row r="5" spans="1:22" x14ac:dyDescent="0.2">
      <c r="A5">
        <v>44604.595180397802</v>
      </c>
      <c r="B5">
        <v>18.375681</v>
      </c>
      <c r="C5">
        <v>18.907008999999999</v>
      </c>
      <c r="D5">
        <v>19.639572000000001</v>
      </c>
      <c r="E5">
        <v>20.060703</v>
      </c>
      <c r="F5">
        <v>38.446302000000003</v>
      </c>
      <c r="G5">
        <v>38.566926000000002</v>
      </c>
      <c r="H5">
        <v>25.020935999999999</v>
      </c>
      <c r="I5">
        <v>24.172221</v>
      </c>
      <c r="J5">
        <v>55.556967</v>
      </c>
      <c r="K5">
        <v>52.066152000000002</v>
      </c>
      <c r="L5">
        <v>70.358778000000001</v>
      </c>
      <c r="M5">
        <v>-622.493878</v>
      </c>
      <c r="N5">
        <v>2.2037770000000001</v>
      </c>
      <c r="O5">
        <v>4.5926020000000003</v>
      </c>
      <c r="P5">
        <f t="shared" ref="P5:P11" si="3" xml:space="preserve"> N5*0.001/60</f>
        <v>3.6729616666666665E-5</v>
      </c>
      <c r="Q5" cm="1">
        <f t="array" ref="Q5">[1]!PropsSI("D","T",J5+273.15,"P",101325,"Water")</f>
        <v>985.42244586161746</v>
      </c>
      <c r="R5" cm="1">
        <f t="array" ref="R5">[1]!PropsSI("D","T",K5+273.15,"P",101325,"Water")</f>
        <v>987.08663964506991</v>
      </c>
      <c r="S5">
        <f t="shared" si="2"/>
        <v>986.25454275334369</v>
      </c>
      <c r="T5" cm="1">
        <f t="array" ref="T5">[1]!PropsSI("H","T",J5+273.15,"P",101325,"Water")</f>
        <v>232658.90021013661</v>
      </c>
      <c r="U5" cm="1">
        <f t="array" ref="U5">[1]!PropsSI("H","T",K5+273.15,"P",101325,"Water")</f>
        <v>218058.40857826339</v>
      </c>
      <c r="V5">
        <f t="shared" si="1"/>
        <v>528.89917809223221</v>
      </c>
    </row>
    <row r="6" spans="1:22" x14ac:dyDescent="0.2">
      <c r="A6">
        <v>46066.595296712963</v>
      </c>
      <c r="B6">
        <v>18.474985</v>
      </c>
      <c r="C6">
        <v>18.928535</v>
      </c>
      <c r="D6">
        <v>19.672599000000002</v>
      </c>
      <c r="E6">
        <v>20.085720999999999</v>
      </c>
      <c r="F6">
        <v>37.439399000000002</v>
      </c>
      <c r="G6">
        <v>38.335037</v>
      </c>
      <c r="H6">
        <v>25.403395</v>
      </c>
      <c r="I6">
        <v>23.755196999999999</v>
      </c>
      <c r="J6">
        <v>55.559671999999999</v>
      </c>
      <c r="K6">
        <v>52.074100999999999</v>
      </c>
      <c r="L6">
        <v>70.234701999999999</v>
      </c>
      <c r="M6">
        <v>-622.51102000000003</v>
      </c>
      <c r="N6">
        <v>2.2087720000000002</v>
      </c>
      <c r="O6">
        <v>4.6126420000000001</v>
      </c>
      <c r="P6">
        <f t="shared" si="3"/>
        <v>3.6812866666666675E-5</v>
      </c>
      <c r="Q6" cm="1">
        <f t="array" ref="Q6">[1]!PropsSI("D","T",J6+273.15,"P",101325,"Water")</f>
        <v>985.42112676936301</v>
      </c>
      <c r="R6" cm="1">
        <f t="array" ref="R6">[1]!PropsSI("D","T",K6+273.15,"P",101325,"Water")</f>
        <v>987.08293765894223</v>
      </c>
      <c r="S6">
        <f t="shared" si="2"/>
        <v>986.25203221415268</v>
      </c>
      <c r="T6" cm="1">
        <f t="array" ref="T6">[1]!PropsSI("H","T",J6+273.15,"P",101325,"Water")</f>
        <v>232670.2156602132</v>
      </c>
      <c r="U6" cm="1">
        <f t="array" ref="U6">[1]!PropsSI("H","T",K6+273.15,"P",101325,"Water")</f>
        <v>218091.65100022059</v>
      </c>
      <c r="V6">
        <f t="shared" si="1"/>
        <v>529.3005147568316</v>
      </c>
    </row>
    <row r="7" spans="1:22" x14ac:dyDescent="0.2">
      <c r="A7">
        <v>46066.59541303241</v>
      </c>
      <c r="B7">
        <v>18.384726000000001</v>
      </c>
      <c r="C7">
        <v>18.871668</v>
      </c>
      <c r="D7">
        <v>19.687206</v>
      </c>
      <c r="E7">
        <v>20.135787000000001</v>
      </c>
      <c r="F7">
        <v>38.175808000000004</v>
      </c>
      <c r="G7">
        <v>38.595284999999997</v>
      </c>
      <c r="H7">
        <v>25.310343</v>
      </c>
      <c r="I7">
        <v>24.029232</v>
      </c>
      <c r="J7">
        <v>55.570653</v>
      </c>
      <c r="K7">
        <v>52.080936999999999</v>
      </c>
      <c r="L7">
        <v>68.709472000000005</v>
      </c>
      <c r="M7">
        <v>-622.48204199999998</v>
      </c>
      <c r="N7">
        <v>2.207109</v>
      </c>
      <c r="O7">
        <v>4.6817339999999996</v>
      </c>
      <c r="P7">
        <f t="shared" si="3"/>
        <v>3.6785149999999998E-5</v>
      </c>
      <c r="Q7" cm="1">
        <f t="array" ref="Q7">[1]!PropsSI("D","T",J7+273.15,"P",101325,"Water")</f>
        <v>985.41577142493213</v>
      </c>
      <c r="R7" cm="1">
        <f t="array" ref="R7">[1]!PropsSI("D","T",K7+273.15,"P",101325,"Water")</f>
        <v>987.07975369228609</v>
      </c>
      <c r="S7">
        <f t="shared" si="2"/>
        <v>986.24776255860911</v>
      </c>
      <c r="T7" cm="1">
        <f t="array" ref="T7">[1]!PropsSI("H","T",J7+273.15,"P",101325,"Water")</f>
        <v>232716.15097727464</v>
      </c>
      <c r="U7" cm="1">
        <f t="array" ref="U7">[1]!PropsSI("H","T",K7+273.15,"P",101325,"Water")</f>
        <v>218120.23891360944</v>
      </c>
      <c r="V7">
        <f t="shared" si="1"/>
        <v>529.52906213635879</v>
      </c>
    </row>
    <row r="8" spans="1:22" x14ac:dyDescent="0.2">
      <c r="A8">
        <v>46066.595529351849</v>
      </c>
      <c r="B8">
        <v>18.610201</v>
      </c>
      <c r="C8">
        <v>19.059733000000001</v>
      </c>
      <c r="D8">
        <v>19.752238999999999</v>
      </c>
      <c r="E8">
        <v>20.056991</v>
      </c>
      <c r="F8">
        <v>37.679029999999997</v>
      </c>
      <c r="G8">
        <v>38.809471000000002</v>
      </c>
      <c r="H8">
        <v>24.819634000000001</v>
      </c>
      <c r="I8">
        <v>23.947082000000002</v>
      </c>
      <c r="J8">
        <v>55.571767000000001</v>
      </c>
      <c r="K8">
        <v>52.083004000000003</v>
      </c>
      <c r="L8">
        <v>68.726206000000005</v>
      </c>
      <c r="M8">
        <v>-622.52897800000005</v>
      </c>
      <c r="N8">
        <v>2.2087560000000002</v>
      </c>
      <c r="O8">
        <v>4.7903739999999999</v>
      </c>
      <c r="P8">
        <f t="shared" si="3"/>
        <v>3.6812600000000001E-5</v>
      </c>
      <c r="Q8" cm="1">
        <f t="array" ref="Q8">[1]!PropsSI("D","T",J8+273.15,"P",101325,"Water")</f>
        <v>985.41522809461105</v>
      </c>
      <c r="R8" cm="1">
        <f t="array" ref="R8">[1]!PropsSI("D","T",K8+273.15,"P",101325,"Water")</f>
        <v>987.07879089795256</v>
      </c>
      <c r="S8">
        <f t="shared" si="2"/>
        <v>986.24700949628186</v>
      </c>
      <c r="T8" cm="1">
        <f t="array" ref="T8">[1]!PropsSI("H","T",J8+273.15,"P",101325,"Water")</f>
        <v>232720.81102383093</v>
      </c>
      <c r="U8" cm="1">
        <f t="array" ref="U8">[1]!PropsSI("H","T",K8+273.15,"P",101325,"Water")</f>
        <v>218128.88303836857</v>
      </c>
      <c r="V8">
        <f t="shared" si="1"/>
        <v>529.7791581461272</v>
      </c>
    </row>
    <row r="9" spans="1:22" x14ac:dyDescent="0.2">
      <c r="A9">
        <v>46066.595645092595</v>
      </c>
      <c r="B9">
        <v>18.338477999999999</v>
      </c>
      <c r="C9">
        <v>18.815215999999999</v>
      </c>
      <c r="D9">
        <v>19.707100000000001</v>
      </c>
      <c r="E9">
        <v>20.103543999999999</v>
      </c>
      <c r="F9">
        <v>37.776710999999999</v>
      </c>
      <c r="G9">
        <v>38.911071999999997</v>
      </c>
      <c r="H9">
        <v>25.168184</v>
      </c>
      <c r="I9">
        <v>24.210792000000001</v>
      </c>
      <c r="J9">
        <v>55.576222999999999</v>
      </c>
      <c r="K9">
        <v>52.081572999999999</v>
      </c>
      <c r="L9">
        <v>70.963237000000007</v>
      </c>
      <c r="M9">
        <v>-622.50693799999999</v>
      </c>
      <c r="N9">
        <v>2.2073299999999998</v>
      </c>
      <c r="O9">
        <v>5.0086310000000003</v>
      </c>
      <c r="P9">
        <f t="shared" si="3"/>
        <v>3.6788833333333336E-5</v>
      </c>
      <c r="Q9" cm="1">
        <f t="array" ref="Q9">[1]!PropsSI("D","T",J9+273.15,"P",101325,"Water")</f>
        <v>985.413054696774</v>
      </c>
      <c r="R9" cm="1">
        <f t="array" ref="R9">[1]!PropsSI("D","T",K9+273.15,"P",101325,"Water")</f>
        <v>987.07945745078723</v>
      </c>
      <c r="S9">
        <f t="shared" si="2"/>
        <v>986.24625607378061</v>
      </c>
      <c r="T9" cm="1">
        <f t="array" ref="T9">[1]!PropsSI("H","T",J9+273.15,"P",101325,"Water")</f>
        <v>232739.45121440972</v>
      </c>
      <c r="U9" cm="1">
        <f t="array" ref="U9">[1]!PropsSI("H","T",K9+273.15,"P",101325,"Water")</f>
        <v>218122.89864411915</v>
      </c>
      <c r="V9">
        <f t="shared" si="1"/>
        <v>530.33017185944311</v>
      </c>
    </row>
    <row r="13" spans="1:22" x14ac:dyDescent="0.2">
      <c r="E13" s="1" t="s">
        <v>22</v>
      </c>
    </row>
    <row r="14" spans="1:22" x14ac:dyDescent="0.2">
      <c r="E14">
        <f>AVERAGE(V2:V9)</f>
        <v>530.4131967190267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E3AE-B85A-C74E-9B5C-E352521CC617}">
  <dimension ref="A1:V36"/>
  <sheetViews>
    <sheetView workbookViewId="0">
      <selection activeCell="E13" sqref="E13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44604.593108059802</v>
      </c>
      <c r="B2">
        <v>18.698231</v>
      </c>
      <c r="C2">
        <v>19.371732000000002</v>
      </c>
      <c r="D2">
        <v>19.721958999999998</v>
      </c>
      <c r="E2">
        <v>20.113880999999999</v>
      </c>
      <c r="F2">
        <v>35.258107000000003</v>
      </c>
      <c r="G2">
        <v>36.309578000000002</v>
      </c>
      <c r="H2">
        <v>24.644817</v>
      </c>
      <c r="I2">
        <v>22.729051999999999</v>
      </c>
      <c r="J2">
        <v>55.382719999999999</v>
      </c>
      <c r="K2">
        <v>51.267232999999997</v>
      </c>
      <c r="L2">
        <v>119.65182</v>
      </c>
      <c r="M2">
        <v>-622.50979500000005</v>
      </c>
      <c r="N2">
        <v>2.2046420000000002</v>
      </c>
      <c r="O2">
        <v>4.6501809999999999</v>
      </c>
      <c r="P2">
        <f xml:space="preserve"> N2*0.001/60</f>
        <v>3.6744033333333333E-5</v>
      </c>
      <c r="Q2" cm="1">
        <f t="array" ref="Q2">[1]!PropsSI("D","T",J2+273.15,"P",101325,"Water")</f>
        <v>985.50732213780282</v>
      </c>
      <c r="R2" cm="1">
        <f t="array" ref="R2">[1]!PropsSI("D","T",K2+273.15,"P",101325,"Water")</f>
        <v>987.45663863441303</v>
      </c>
      <c r="S2">
        <f>(Q2+R2)/2</f>
        <v>986.48198038610792</v>
      </c>
      <c r="T2" cm="1">
        <f t="array" ref="T2">[1]!PropsSI("H","T",J2+273.15,"P",101325,"Water")</f>
        <v>231930.00267598635</v>
      </c>
      <c r="U2" cm="1">
        <f t="array" ref="U2">[1]!PropsSI("H","T",K2+273.15,"P",101325,"Water")</f>
        <v>214717.45965364354</v>
      </c>
      <c r="V2">
        <f>S2*P2*(T2-U2)</f>
        <v>623.90867147422887</v>
      </c>
    </row>
    <row r="3" spans="1:22" x14ac:dyDescent="0.2">
      <c r="A3">
        <v>44604.593223800599</v>
      </c>
      <c r="B3">
        <v>18.59938</v>
      </c>
      <c r="C3">
        <v>19.377647</v>
      </c>
      <c r="D3">
        <v>19.695250000000001</v>
      </c>
      <c r="E3">
        <v>20.070681</v>
      </c>
      <c r="F3">
        <v>35.585144999999997</v>
      </c>
      <c r="G3">
        <v>36.98977</v>
      </c>
      <c r="H3">
        <v>25.221575000000001</v>
      </c>
      <c r="I3">
        <v>22.873812999999998</v>
      </c>
      <c r="J3">
        <v>55.395449999999997</v>
      </c>
      <c r="K3">
        <v>51.296796000000001</v>
      </c>
      <c r="L3">
        <v>120.741969</v>
      </c>
      <c r="M3">
        <v>-622.49020499999995</v>
      </c>
      <c r="N3">
        <v>2.2093500000000001</v>
      </c>
      <c r="O3">
        <v>5.039841</v>
      </c>
      <c r="P3">
        <f t="shared" ref="P3" si="0" xml:space="preserve"> N3*0.001/60</f>
        <v>3.6822500000000002E-5</v>
      </c>
      <c r="Q3" cm="1">
        <f t="array" ref="Q3">[1]!PropsSI("D","T",J3+273.15,"P",101325,"Water")</f>
        <v>985.501127666363</v>
      </c>
      <c r="R3" cm="1">
        <f t="array" ref="R3">[1]!PropsSI("D","T",K3+273.15,"P",101325,"Water")</f>
        <v>987.44302057990933</v>
      </c>
      <c r="S3">
        <f>(Q3+R3)/2</f>
        <v>986.47207412313617</v>
      </c>
      <c r="T3" cm="1">
        <f t="array" ref="T3">[1]!PropsSI("H","T",J3+273.15,"P",101325,"Water")</f>
        <v>231983.2535187497</v>
      </c>
      <c r="U3" cm="1">
        <f t="array" ref="U3">[1]!PropsSI("H","T",K3+273.15,"P",101325,"Water")</f>
        <v>214841.08379500784</v>
      </c>
      <c r="V3">
        <f t="shared" ref="V3:V11" si="1">S3*P3*(T3-U3)</f>
        <v>622.67848049624968</v>
      </c>
    </row>
    <row r="4" spans="1:22" x14ac:dyDescent="0.2">
      <c r="A4">
        <v>44604.593340120002</v>
      </c>
      <c r="B4">
        <v>18.563717</v>
      </c>
      <c r="C4">
        <v>19.176390000000001</v>
      </c>
      <c r="D4">
        <v>19.654275999999999</v>
      </c>
      <c r="E4">
        <v>20.128359</v>
      </c>
      <c r="F4">
        <v>35.390135000000001</v>
      </c>
      <c r="G4">
        <v>36.417926999999999</v>
      </c>
      <c r="H4">
        <v>24.844076000000001</v>
      </c>
      <c r="I4">
        <v>23.280922</v>
      </c>
      <c r="J4">
        <v>55.408180000000002</v>
      </c>
      <c r="K4">
        <v>51.313802000000003</v>
      </c>
      <c r="L4">
        <v>121.543154</v>
      </c>
      <c r="M4">
        <v>-622.47673599999996</v>
      </c>
      <c r="N4">
        <v>2.2050390000000002</v>
      </c>
      <c r="O4">
        <v>4.8415739999999996</v>
      </c>
      <c r="P4">
        <f xml:space="preserve"> N4*0.001/60</f>
        <v>3.6750650000000004E-5</v>
      </c>
      <c r="Q4" cm="1">
        <f t="array" ref="Q4">[1]!PropsSI("D","T",J4+273.15,"P",101325,"Water")</f>
        <v>985.49493219300837</v>
      </c>
      <c r="R4" cm="1">
        <f t="array" ref="R4">[1]!PropsSI("D","T",K4+273.15,"P",101325,"Water")</f>
        <v>987.43518428804873</v>
      </c>
      <c r="S4">
        <f t="shared" ref="S4:S11" si="2">(Q4+R4)/2</f>
        <v>986.46505824052861</v>
      </c>
      <c r="T4" cm="1">
        <f t="array" ref="T4">[1]!PropsSI("H","T",J4+273.15,"P",101325,"Water")</f>
        <v>232036.50442110954</v>
      </c>
      <c r="U4" cm="1">
        <f t="array" ref="U4">[1]!PropsSI("H","T",K4+273.15,"P",101325,"Water")</f>
        <v>214912.19821863438</v>
      </c>
      <c r="V4">
        <f t="shared" si="1"/>
        <v>620.81144718354881</v>
      </c>
    </row>
    <row r="5" spans="1:22" x14ac:dyDescent="0.2">
      <c r="A5">
        <v>44604.593455860799</v>
      </c>
      <c r="B5">
        <v>18.749502</v>
      </c>
      <c r="C5">
        <v>19.414572</v>
      </c>
      <c r="D5">
        <v>19.659521000000002</v>
      </c>
      <c r="E5">
        <v>20.171996</v>
      </c>
      <c r="F5">
        <v>35.986559999999997</v>
      </c>
      <c r="G5">
        <v>36.129807</v>
      </c>
      <c r="H5">
        <v>25.192691</v>
      </c>
      <c r="I5">
        <v>22.744489999999999</v>
      </c>
      <c r="J5">
        <v>55.424252000000003</v>
      </c>
      <c r="K5">
        <v>51.330649999999999</v>
      </c>
      <c r="L5">
        <v>120.10485799999999</v>
      </c>
      <c r="M5">
        <v>-622.50979500000005</v>
      </c>
      <c r="N5">
        <v>2.200958</v>
      </c>
      <c r="O5">
        <v>4.9931530000000004</v>
      </c>
      <c r="P5">
        <f t="shared" ref="P5:P11" si="3" xml:space="preserve"> N5*0.001/60</f>
        <v>3.6682633333333334E-5</v>
      </c>
      <c r="Q5" cm="1">
        <f t="array" ref="Q5">[1]!PropsSI("D","T",J5+273.15,"P",101325,"Water")</f>
        <v>985.48710879465125</v>
      </c>
      <c r="R5" cm="1">
        <f t="array" ref="R5">[1]!PropsSI("D","T",K5+273.15,"P",101325,"Water")</f>
        <v>987.4274189591265</v>
      </c>
      <c r="S5">
        <f t="shared" si="2"/>
        <v>986.45726387688887</v>
      </c>
      <c r="T5" cm="1">
        <f t="array" ref="T5">[1]!PropsSI("H","T",J5+273.15,"P",101325,"Water")</f>
        <v>232103.73533910932</v>
      </c>
      <c r="U5" cm="1">
        <f t="array" ref="U5">[1]!PropsSI("H","T",K5+273.15,"P",101325,"Water")</f>
        <v>214982.65201640027</v>
      </c>
      <c r="V5">
        <f t="shared" si="1"/>
        <v>619.54095483293179</v>
      </c>
    </row>
    <row r="6" spans="1:22" x14ac:dyDescent="0.2">
      <c r="A6">
        <v>46066.593572175923</v>
      </c>
      <c r="B6">
        <v>18.958126</v>
      </c>
      <c r="C6">
        <v>19.457196</v>
      </c>
      <c r="D6">
        <v>19.643979999999999</v>
      </c>
      <c r="E6">
        <v>20.106753000000001</v>
      </c>
      <c r="F6">
        <v>35.452913000000002</v>
      </c>
      <c r="G6">
        <v>36.183998000000003</v>
      </c>
      <c r="H6">
        <v>24.452396</v>
      </c>
      <c r="I6">
        <v>22.904949999999999</v>
      </c>
      <c r="J6">
        <v>55.433799</v>
      </c>
      <c r="K6">
        <v>51.338279</v>
      </c>
      <c r="L6">
        <v>116.951139</v>
      </c>
      <c r="M6">
        <v>-622.49836700000003</v>
      </c>
      <c r="N6">
        <v>2.2041300000000001</v>
      </c>
      <c r="O6">
        <v>4.6754819999999997</v>
      </c>
      <c r="P6">
        <f t="shared" si="3"/>
        <v>3.6735500000000008E-5</v>
      </c>
      <c r="Q6" cm="1">
        <f t="array" ref="Q6">[1]!PropsSI("D","T",J6+273.15,"P",101325,"Water")</f>
        <v>985.48246082723699</v>
      </c>
      <c r="R6" cm="1">
        <f t="array" ref="R6">[1]!PropsSI("D","T",K6+273.15,"P",101325,"Water")</f>
        <v>987.42390211097336</v>
      </c>
      <c r="S6">
        <f t="shared" si="2"/>
        <v>986.45318146910517</v>
      </c>
      <c r="T6" cm="1">
        <f t="array" ref="T6">[1]!PropsSI("H","T",J6+273.15,"P",101325,"Water")</f>
        <v>232143.67151994168</v>
      </c>
      <c r="U6" cm="1">
        <f t="array" ref="U6">[1]!PropsSI("H","T",K6+273.15,"P",101325,"Water")</f>
        <v>215014.55446787365</v>
      </c>
      <c r="V6">
        <f t="shared" si="1"/>
        <v>620.72238888834795</v>
      </c>
    </row>
    <row r="7" spans="1:22" x14ac:dyDescent="0.2">
      <c r="A7">
        <v>46066.59368849537</v>
      </c>
      <c r="B7">
        <v>18.632017000000001</v>
      </c>
      <c r="C7">
        <v>19.319400000000002</v>
      </c>
      <c r="D7">
        <v>19.700125</v>
      </c>
      <c r="E7">
        <v>20.118241000000001</v>
      </c>
      <c r="F7">
        <v>35.944501000000002</v>
      </c>
      <c r="G7">
        <v>36.890656999999997</v>
      </c>
      <c r="H7">
        <v>25.235782</v>
      </c>
      <c r="I7">
        <v>23.048504999999999</v>
      </c>
      <c r="J7">
        <v>55.442233000000002</v>
      </c>
      <c r="K7">
        <v>51.336848000000003</v>
      </c>
      <c r="L7">
        <v>121.63294500000001</v>
      </c>
      <c r="M7">
        <v>-622.49959200000001</v>
      </c>
      <c r="N7">
        <v>2.2054369999999999</v>
      </c>
      <c r="O7">
        <v>5.0726019999999998</v>
      </c>
      <c r="P7">
        <f t="shared" si="3"/>
        <v>3.6757283333333331E-5</v>
      </c>
      <c r="Q7" cm="1">
        <f t="array" ref="Q7">[1]!PropsSI("D","T",J7+273.15,"P",101325,"Water")</f>
        <v>985.47835425650862</v>
      </c>
      <c r="R7" cm="1">
        <f t="array" ref="R7">[1]!PropsSI("D","T",K7+273.15,"P",101325,"Water")</f>
        <v>987.42456180792885</v>
      </c>
      <c r="S7">
        <f t="shared" si="2"/>
        <v>986.45145803221874</v>
      </c>
      <c r="T7" cm="1">
        <f t="array" ref="T7">[1]!PropsSI("H","T",J7+273.15,"P",101325,"Water")</f>
        <v>232178.95192380925</v>
      </c>
      <c r="U7" cm="1">
        <f t="array" ref="U7">[1]!PropsSI("H","T",K7+273.15,"P",101325,"Water")</f>
        <v>215008.57040465437</v>
      </c>
      <c r="V7">
        <f t="shared" si="1"/>
        <v>622.58559802059642</v>
      </c>
    </row>
    <row r="8" spans="1:22" x14ac:dyDescent="0.2">
      <c r="A8">
        <v>46066.593804814816</v>
      </c>
      <c r="B8">
        <v>18.783766</v>
      </c>
      <c r="C8">
        <v>19.317969000000002</v>
      </c>
      <c r="D8">
        <v>19.650905999999999</v>
      </c>
      <c r="E8">
        <v>20.176358</v>
      </c>
      <c r="F8">
        <v>35.401384999999998</v>
      </c>
      <c r="G8">
        <v>36.796115</v>
      </c>
      <c r="H8">
        <v>25.287333</v>
      </c>
      <c r="I8">
        <v>23.214368</v>
      </c>
      <c r="J8">
        <v>55.451780999999997</v>
      </c>
      <c r="K8">
        <v>51.349722999999997</v>
      </c>
      <c r="L8">
        <v>120.73911200000001</v>
      </c>
      <c r="M8">
        <v>-622.51102000000003</v>
      </c>
      <c r="N8">
        <v>2.202474</v>
      </c>
      <c r="O8">
        <v>4.5221619999999998</v>
      </c>
      <c r="P8">
        <f t="shared" si="3"/>
        <v>3.6707900000000001E-5</v>
      </c>
      <c r="Q8" cm="1">
        <f t="array" ref="Q8">[1]!PropsSI("D","T",J8+273.15,"P",101325,"Water")</f>
        <v>985.47370474127035</v>
      </c>
      <c r="R8" cm="1">
        <f t="array" ref="R8">[1]!PropsSI("D","T",K8+273.15,"P",101325,"Water")</f>
        <v>987.41862590320829</v>
      </c>
      <c r="S8">
        <f t="shared" si="2"/>
        <v>986.44616532223927</v>
      </c>
      <c r="T8" cm="1">
        <f t="array" ref="T8">[1]!PropsSI("H","T",J8+273.15,"P",101325,"Water")</f>
        <v>232218.89235101416</v>
      </c>
      <c r="U8" cm="1">
        <f t="array" ref="U8">[1]!PropsSI("H","T",K8+273.15,"P",101325,"Water")</f>
        <v>215062.41026920197</v>
      </c>
      <c r="V8">
        <f t="shared" si="1"/>
        <v>621.2425159059411</v>
      </c>
    </row>
    <row r="12" spans="1:22" x14ac:dyDescent="0.2">
      <c r="E12" s="1" t="s">
        <v>22</v>
      </c>
    </row>
    <row r="13" spans="1:22" x14ac:dyDescent="0.2">
      <c r="E13">
        <f>AVERAGE(V2:V8)</f>
        <v>621.64143668597785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7B2E-5549-014B-B88E-CBEAF38C11F9}">
  <dimension ref="A1:V36"/>
  <sheetViews>
    <sheetView workbookViewId="0">
      <selection activeCell="E24" sqref="E2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44604.589116740397</v>
      </c>
      <c r="B2">
        <v>19.952546999999999</v>
      </c>
      <c r="C2">
        <v>20.382276999999998</v>
      </c>
      <c r="D2">
        <v>20.159455000000001</v>
      </c>
      <c r="E2">
        <v>20.384132000000001</v>
      </c>
      <c r="F2">
        <v>33.530053000000002</v>
      </c>
      <c r="G2">
        <v>33.183348000000002</v>
      </c>
      <c r="H2">
        <v>24.282395000000001</v>
      </c>
      <c r="I2">
        <v>22.238132</v>
      </c>
      <c r="J2">
        <v>55.103307000000001</v>
      </c>
      <c r="K2">
        <v>50.383828999999999</v>
      </c>
      <c r="L2">
        <v>191.68168299999999</v>
      </c>
      <c r="M2">
        <v>-622.49877600000002</v>
      </c>
      <c r="N2">
        <v>2.202372</v>
      </c>
      <c r="O2">
        <v>4.6270910000000001</v>
      </c>
      <c r="P2">
        <f xml:space="preserve"> N2*0.001/60</f>
        <v>3.6706200000000004E-5</v>
      </c>
      <c r="Q2" cm="1">
        <f t="array" ref="Q2">[1]!PropsSI("D","T",J2+273.15,"P",101325,"Water")</f>
        <v>985.64303307730881</v>
      </c>
      <c r="R2" cm="1">
        <f t="array" ref="R2">[1]!PropsSI("D","T",K2+273.15,"P",101325,"Water")</f>
        <v>987.86095888810087</v>
      </c>
      <c r="S2">
        <f>(Q2+R2)/2</f>
        <v>986.75199598270478</v>
      </c>
      <c r="T2" cm="1">
        <f t="array" ref="T2">[1]!PropsSI("H","T",J2+273.15,"P",101325,"Water")</f>
        <v>230761.20554753731</v>
      </c>
      <c r="U2" cm="1">
        <f t="array" ref="U2">[1]!PropsSI("H","T",K2+273.15,"P",101325,"Water")</f>
        <v>211023.43342475363</v>
      </c>
      <c r="V2">
        <f>S2*P2*(T2-U2)</f>
        <v>714.90045058303303</v>
      </c>
    </row>
    <row r="3" spans="1:22" x14ac:dyDescent="0.2">
      <c r="A3">
        <v>44604.5892330598</v>
      </c>
      <c r="B3">
        <v>19.467929000000002</v>
      </c>
      <c r="C3">
        <v>20.278357</v>
      </c>
      <c r="D3">
        <v>20.106389</v>
      </c>
      <c r="E3">
        <v>20.384913000000001</v>
      </c>
      <c r="F3">
        <v>33.425251000000003</v>
      </c>
      <c r="G3">
        <v>34.486545999999997</v>
      </c>
      <c r="H3">
        <v>24.486454999999999</v>
      </c>
      <c r="I3">
        <v>22.104323000000001</v>
      </c>
      <c r="J3">
        <v>55.106330999999997</v>
      </c>
      <c r="K3">
        <v>50.498233999999997</v>
      </c>
      <c r="L3">
        <v>200.500833</v>
      </c>
      <c r="M3">
        <v>-622.49142900000004</v>
      </c>
      <c r="N3">
        <v>2.2005599999999998</v>
      </c>
      <c r="O3">
        <v>4.5940120000000002</v>
      </c>
      <c r="P3">
        <f t="shared" ref="P3" si="0" xml:space="preserve"> N3*0.001/60</f>
        <v>3.6675999999999999E-5</v>
      </c>
      <c r="Q3" cm="1">
        <f t="array" ref="Q3">[1]!PropsSI("D","T",J3+273.15,"P",101325,"Water")</f>
        <v>985.64156690899324</v>
      </c>
      <c r="R3" cm="1">
        <f t="array" ref="R3">[1]!PropsSI("D","T",K3+273.15,"P",101325,"Water")</f>
        <v>987.8088836794775</v>
      </c>
      <c r="S3">
        <f>(Q3+R3)/2</f>
        <v>986.72522529423532</v>
      </c>
      <c r="T3" cm="1">
        <f t="array" ref="T3">[1]!PropsSI("H","T",J3+273.15,"P",101325,"Water")</f>
        <v>230773.85492299008</v>
      </c>
      <c r="U3" cm="1">
        <f t="array" ref="U3">[1]!PropsSI("H","T",K3+273.15,"P",101325,"Water")</f>
        <v>211501.8143492346</v>
      </c>
      <c r="V3">
        <f t="shared" ref="V3:V11" si="1">S3*P3*(T3-U3)</f>
        <v>697.43846577073134</v>
      </c>
    </row>
    <row r="4" spans="1:22" x14ac:dyDescent="0.2">
      <c r="A4">
        <v>44604.589348800597</v>
      </c>
      <c r="B4">
        <v>19.669201999999999</v>
      </c>
      <c r="C4">
        <v>20.255818000000001</v>
      </c>
      <c r="D4">
        <v>20.097318000000001</v>
      </c>
      <c r="E4">
        <v>20.383977000000002</v>
      </c>
      <c r="F4">
        <v>33.278410000000001</v>
      </c>
      <c r="G4">
        <v>33.193651000000003</v>
      </c>
      <c r="H4">
        <v>24.335252000000001</v>
      </c>
      <c r="I4">
        <v>22.215852999999999</v>
      </c>
      <c r="J4">
        <v>55.107126000000001</v>
      </c>
      <c r="K4">
        <v>50.534145000000002</v>
      </c>
      <c r="L4">
        <v>196.735715</v>
      </c>
      <c r="M4">
        <v>-622.48979599999996</v>
      </c>
      <c r="N4">
        <v>2.2079</v>
      </c>
      <c r="O4">
        <v>4.7311810000000003</v>
      </c>
      <c r="P4">
        <f xml:space="preserve"> N4*0.001/60</f>
        <v>3.6798333333333336E-5</v>
      </c>
      <c r="Q4" cm="1">
        <f t="array" ref="Q4">[1]!PropsSI("D","T",J4+273.15,"P",101325,"Water")</f>
        <v>985.64118144859481</v>
      </c>
      <c r="R4" cm="1">
        <f t="array" ref="R4">[1]!PropsSI("D","T",K4+273.15,"P",101325,"Water")</f>
        <v>987.792519995612</v>
      </c>
      <c r="S4">
        <f t="shared" ref="S4:S11" si="2">(Q4+R4)/2</f>
        <v>986.71685072210335</v>
      </c>
      <c r="T4" cm="1">
        <f t="array" ref="T4">[1]!PropsSI("H","T",J4+273.15,"P",101325,"Water")</f>
        <v>230777.18040412301</v>
      </c>
      <c r="U4" cm="1">
        <f t="array" ref="U4">[1]!PropsSI("H","T",K4+273.15,"P",101325,"Water")</f>
        <v>211651.97585545047</v>
      </c>
      <c r="V4">
        <f t="shared" si="1"/>
        <v>694.42729500590281</v>
      </c>
    </row>
    <row r="5" spans="1:22" x14ac:dyDescent="0.2">
      <c r="A5">
        <v>44604.589464541299</v>
      </c>
      <c r="B5">
        <v>19.575251999999999</v>
      </c>
      <c r="C5">
        <v>20.317754000000001</v>
      </c>
      <c r="D5">
        <v>20.151118</v>
      </c>
      <c r="E5">
        <v>20.436063999999998</v>
      </c>
      <c r="F5">
        <v>33.657381000000001</v>
      </c>
      <c r="G5">
        <v>33.33907</v>
      </c>
      <c r="H5">
        <v>24.512654000000001</v>
      </c>
      <c r="I5">
        <v>22.369900000000001</v>
      </c>
      <c r="J5">
        <v>55.112059000000002</v>
      </c>
      <c r="K5">
        <v>50.545268</v>
      </c>
      <c r="L5">
        <v>201.60077799999999</v>
      </c>
      <c r="M5">
        <v>-622.51387699999998</v>
      </c>
      <c r="N5">
        <v>2.2015850000000001</v>
      </c>
      <c r="O5">
        <v>4.7729889999999999</v>
      </c>
      <c r="P5">
        <f t="shared" ref="P5:P11" si="3" xml:space="preserve"> N5*0.001/60</f>
        <v>3.6693083333333339E-5</v>
      </c>
      <c r="Q5" cm="1">
        <f t="array" ref="Q5">[1]!PropsSI("D","T",J5+273.15,"P",101325,"Water")</f>
        <v>985.63878956702899</v>
      </c>
      <c r="R5" cm="1">
        <f t="array" ref="R5">[1]!PropsSI("D","T",K5+273.15,"P",101325,"Water")</f>
        <v>987.78744983604042</v>
      </c>
      <c r="S5">
        <f t="shared" si="2"/>
        <v>986.71311970153465</v>
      </c>
      <c r="T5" cm="1">
        <f t="array" ref="T5">[1]!PropsSI("H","T",J5+273.15,"P",101325,"Water")</f>
        <v>230797.81512459466</v>
      </c>
      <c r="U5" cm="1">
        <f t="array" ref="U5">[1]!PropsSI("H","T",K5+273.15,"P",101325,"Water")</f>
        <v>211698.48665085199</v>
      </c>
      <c r="V5">
        <f t="shared" si="1"/>
        <v>691.50162951617472</v>
      </c>
    </row>
    <row r="6" spans="1:22" x14ac:dyDescent="0.2">
      <c r="A6">
        <v>46066.589580277781</v>
      </c>
      <c r="B6">
        <v>19.751078</v>
      </c>
      <c r="C6">
        <v>20.291463</v>
      </c>
      <c r="D6">
        <v>20.219771000000001</v>
      </c>
      <c r="E6">
        <v>20.369395999999998</v>
      </c>
      <c r="F6">
        <v>33.839880000000001</v>
      </c>
      <c r="G6">
        <v>34.851193000000002</v>
      </c>
      <c r="H6">
        <v>24.607306999999999</v>
      </c>
      <c r="I6">
        <v>22.488975</v>
      </c>
      <c r="J6">
        <v>55.117468000000002</v>
      </c>
      <c r="K6">
        <v>50.558297000000003</v>
      </c>
      <c r="L6">
        <v>194.31175500000001</v>
      </c>
      <c r="M6">
        <v>-622.52326400000004</v>
      </c>
      <c r="N6">
        <v>2.1970730000000001</v>
      </c>
      <c r="O6">
        <v>5.1519750000000002</v>
      </c>
      <c r="P6">
        <f t="shared" si="3"/>
        <v>3.661788333333333E-5</v>
      </c>
      <c r="Q6" cm="1">
        <f t="array" ref="Q6">[1]!PropsSI("D","T",J6+273.15,"P",101325,"Water")</f>
        <v>985.6361667122037</v>
      </c>
      <c r="R6" cm="1">
        <f t="array" ref="R6">[1]!PropsSI("D","T",K6+273.15,"P",101325,"Water")</f>
        <v>987.78150984532977</v>
      </c>
      <c r="S6">
        <f t="shared" si="2"/>
        <v>986.70883827876673</v>
      </c>
      <c r="T6" cm="1">
        <f t="array" ref="T6">[1]!PropsSI("H","T",J6+273.15,"P",101325,"Water")</f>
        <v>230820.4409614387</v>
      </c>
      <c r="U6" cm="1">
        <f t="array" ref="U6">[1]!PropsSI("H","T",K6+273.15,"P",101325,"Water")</f>
        <v>211752.96742610796</v>
      </c>
      <c r="V6">
        <f t="shared" si="1"/>
        <v>688.93049242305779</v>
      </c>
    </row>
    <row r="7" spans="1:22" x14ac:dyDescent="0.2">
      <c r="A7">
        <v>46066.589696597221</v>
      </c>
      <c r="B7">
        <v>19.726862000000001</v>
      </c>
      <c r="C7">
        <v>20.255154999999998</v>
      </c>
      <c r="D7">
        <v>20.276318</v>
      </c>
      <c r="E7">
        <v>20.40767</v>
      </c>
      <c r="F7">
        <v>33.912489999999998</v>
      </c>
      <c r="G7">
        <v>33.543922999999999</v>
      </c>
      <c r="H7">
        <v>24.552147000000001</v>
      </c>
      <c r="I7">
        <v>22.140968000000001</v>
      </c>
      <c r="J7">
        <v>55.127969999999998</v>
      </c>
      <c r="K7">
        <v>50.573711000000003</v>
      </c>
      <c r="L7">
        <v>193.124876</v>
      </c>
      <c r="M7">
        <v>-622.50857099999996</v>
      </c>
      <c r="N7">
        <v>2.208682</v>
      </c>
      <c r="O7">
        <v>4.4741770000000001</v>
      </c>
      <c r="P7">
        <f t="shared" si="3"/>
        <v>3.6811366666666665E-5</v>
      </c>
      <c r="Q7" cm="1">
        <f t="array" ref="Q7">[1]!PropsSI("D","T",J7+273.15,"P",101325,"Water")</f>
        <v>985.6310737147179</v>
      </c>
      <c r="R7" cm="1">
        <f t="array" ref="R7">[1]!PropsSI("D","T",K7+273.15,"P",101325,"Water")</f>
        <v>987.77448109170427</v>
      </c>
      <c r="S7">
        <f t="shared" si="2"/>
        <v>986.70277740321103</v>
      </c>
      <c r="T7" cm="1">
        <f t="array" ref="T7">[1]!PropsSI("H","T",J7+273.15,"P",101325,"Water")</f>
        <v>230864.37083810885</v>
      </c>
      <c r="U7" cm="1">
        <f t="array" ref="U7">[1]!PropsSI("H","T",K7+273.15,"P",101325,"Water")</f>
        <v>211817.42114512142</v>
      </c>
      <c r="V7">
        <f t="shared" si="1"/>
        <v>691.82097787830241</v>
      </c>
    </row>
    <row r="8" spans="1:22" x14ac:dyDescent="0.2">
      <c r="A8">
        <v>46066.589812916667</v>
      </c>
      <c r="B8">
        <v>19.259460000000001</v>
      </c>
      <c r="C8">
        <v>20.035530999999999</v>
      </c>
      <c r="D8">
        <v>20.179337</v>
      </c>
      <c r="E8">
        <v>20.423103000000001</v>
      </c>
      <c r="F8">
        <v>33.357337000000001</v>
      </c>
      <c r="G8">
        <v>33.784587999999999</v>
      </c>
      <c r="H8">
        <v>24.733803999999999</v>
      </c>
      <c r="I8">
        <v>22.105573</v>
      </c>
      <c r="J8">
        <v>55.134334000000003</v>
      </c>
      <c r="K8">
        <v>50.582768000000002</v>
      </c>
      <c r="L8">
        <v>208.41431399999999</v>
      </c>
      <c r="M8">
        <v>-622.48653100000001</v>
      </c>
      <c r="N8">
        <v>2.2106370000000002</v>
      </c>
      <c r="O8">
        <v>4.4315170000000004</v>
      </c>
      <c r="P8">
        <f t="shared" si="3"/>
        <v>3.6843950000000005E-5</v>
      </c>
      <c r="Q8" cm="1">
        <f t="array" ref="Q8">[1]!PropsSI("D","T",J8+273.15,"P",101325,"Water")</f>
        <v>985.62798712831727</v>
      </c>
      <c r="R8" cm="1">
        <f t="array" ref="R8">[1]!PropsSI("D","T",K8+273.15,"P",101325,"Water")</f>
        <v>987.7703503954267</v>
      </c>
      <c r="S8">
        <f t="shared" si="2"/>
        <v>986.69916876187199</v>
      </c>
      <c r="T8" cm="1">
        <f t="array" ref="T8">[1]!PropsSI("H","T",J8+273.15,"P",101325,"Water")</f>
        <v>230890.99147602794</v>
      </c>
      <c r="U8" cm="1">
        <f t="array" ref="U8">[1]!PropsSI("H","T",K8+273.15,"P",101325,"Water")</f>
        <v>211855.29306882189</v>
      </c>
      <c r="V8">
        <f t="shared" si="1"/>
        <v>692.02177808066051</v>
      </c>
    </row>
    <row r="9" spans="1:22" x14ac:dyDescent="0.2">
      <c r="A9">
        <v>46066.589928657406</v>
      </c>
      <c r="B9">
        <v>18.817485999999999</v>
      </c>
      <c r="C9">
        <v>19.535226999999999</v>
      </c>
      <c r="D9">
        <v>19.817530999999999</v>
      </c>
      <c r="E9">
        <v>20.145033000000002</v>
      </c>
      <c r="F9">
        <v>33.428381999999999</v>
      </c>
      <c r="G9">
        <v>32.432518000000002</v>
      </c>
      <c r="H9">
        <v>23.152450000000002</v>
      </c>
      <c r="I9">
        <v>21.967983</v>
      </c>
      <c r="J9">
        <v>55.139744</v>
      </c>
      <c r="K9">
        <v>50.576411999999998</v>
      </c>
      <c r="L9">
        <v>203.893316</v>
      </c>
      <c r="M9">
        <v>-622.48530700000003</v>
      </c>
      <c r="N9">
        <v>2.1928770000000002</v>
      </c>
      <c r="O9">
        <v>4.768211</v>
      </c>
      <c r="P9">
        <f t="shared" si="3"/>
        <v>3.6547950000000006E-5</v>
      </c>
      <c r="Q9" cm="1">
        <f t="array" ref="Q9">[1]!PropsSI("D","T",J9+273.15,"P",101325,"Water")</f>
        <v>985.62536304144646</v>
      </c>
      <c r="R9" cm="1">
        <f t="array" ref="R9">[1]!PropsSI("D","T",K9+273.15,"P",101325,"Water")</f>
        <v>987.77324928161033</v>
      </c>
      <c r="S9">
        <f t="shared" si="2"/>
        <v>986.6993061615284</v>
      </c>
      <c r="T9" cm="1">
        <f t="array" ref="T9">[1]!PropsSI("H","T",J9+273.15,"P",101325,"Water")</f>
        <v>230913.62153969539</v>
      </c>
      <c r="U9" cm="1">
        <f t="array" ref="U9">[1]!PropsSI("H","T",K9+273.15,"P",101325,"Water")</f>
        <v>211828.7153974282</v>
      </c>
      <c r="V9">
        <f t="shared" si="1"/>
        <v>688.2367726807089</v>
      </c>
    </row>
    <row r="10" spans="1:22" x14ac:dyDescent="0.2">
      <c r="A10">
        <v>44604.590044402401</v>
      </c>
      <c r="B10">
        <v>18.419338</v>
      </c>
      <c r="C10">
        <v>19.092268000000001</v>
      </c>
      <c r="D10">
        <v>19.911148000000001</v>
      </c>
      <c r="E10">
        <v>20.193784999999998</v>
      </c>
      <c r="F10">
        <v>32.821291000000002</v>
      </c>
      <c r="G10">
        <v>33.718192000000002</v>
      </c>
      <c r="H10">
        <v>24.437833000000001</v>
      </c>
      <c r="I10">
        <v>21.795314999999999</v>
      </c>
      <c r="J10">
        <v>55.144039999999997</v>
      </c>
      <c r="K10">
        <v>50.544155000000003</v>
      </c>
      <c r="L10">
        <v>202.240746</v>
      </c>
      <c r="M10">
        <v>-622.51428499999997</v>
      </c>
      <c r="N10">
        <v>2.2060059999999999</v>
      </c>
      <c r="O10">
        <v>5.5108569999999997</v>
      </c>
      <c r="P10">
        <f t="shared" si="3"/>
        <v>3.6766766666666668E-5</v>
      </c>
      <c r="Q10" cm="1">
        <f t="array" ref="Q10">[1]!PropsSI("D","T",J10+273.15,"P",101325,"Water")</f>
        <v>985.62327916411016</v>
      </c>
      <c r="R10" cm="1">
        <f t="array" ref="R10">[1]!PropsSI("D","T",K10+273.15,"P",101325,"Water")</f>
        <v>987.78795720739322</v>
      </c>
      <c r="S10">
        <f t="shared" si="2"/>
        <v>986.70561818575175</v>
      </c>
      <c r="T10" cm="1">
        <f t="array" ref="T10">[1]!PropsSI("H","T",J10+273.15,"P",101325,"Water")</f>
        <v>230931.59174198925</v>
      </c>
      <c r="U10" cm="1">
        <f t="array" ref="U10">[1]!PropsSI("H","T",K10+273.15,"P",101325,"Water")</f>
        <v>211693.8326426243</v>
      </c>
      <c r="V10">
        <f t="shared" si="1"/>
        <v>697.90694813603693</v>
      </c>
    </row>
    <row r="11" spans="1:22" x14ac:dyDescent="0.2">
      <c r="A11">
        <v>44604.590160721898</v>
      </c>
      <c r="B11">
        <v>18.664563000000001</v>
      </c>
      <c r="C11">
        <v>19.366423999999999</v>
      </c>
      <c r="D11">
        <v>19.987252000000002</v>
      </c>
      <c r="E11">
        <v>20.293443</v>
      </c>
      <c r="F11">
        <v>32.924157999999998</v>
      </c>
      <c r="G11">
        <v>33.191352000000002</v>
      </c>
      <c r="H11">
        <v>24.390540000000001</v>
      </c>
      <c r="I11">
        <v>21.943003000000001</v>
      </c>
      <c r="J11">
        <v>55.153427999999998</v>
      </c>
      <c r="K11">
        <v>50.536209999999997</v>
      </c>
      <c r="L11">
        <v>200.26737499999999</v>
      </c>
      <c r="M11">
        <v>-622.474695</v>
      </c>
      <c r="N11">
        <v>2.205187</v>
      </c>
      <c r="O11">
        <v>5.1983969999999999</v>
      </c>
      <c r="P11">
        <f t="shared" si="3"/>
        <v>3.6753116666666669E-5</v>
      </c>
      <c r="Q11" cm="1">
        <f t="array" ref="Q11">[1]!PropsSI("D","T",J11+273.15,"P",101325,"Water")</f>
        <v>985.61872489246139</v>
      </c>
      <c r="R11" cm="1">
        <f t="array" ref="R11">[1]!PropsSI("D","T",K11+273.15,"P",101325,"Water")</f>
        <v>987.79157877458613</v>
      </c>
      <c r="S11">
        <f t="shared" si="2"/>
        <v>986.70515183352381</v>
      </c>
      <c r="T11" cm="1">
        <f t="array" ref="T11">[1]!PropsSI("H","T",J11+273.15,"P",101325,"Water")</f>
        <v>230970.86184437602</v>
      </c>
      <c r="U11" cm="1">
        <f t="array" ref="U11">[1]!PropsSI("H","T",K11+273.15,"P",101325,"Water")</f>
        <v>211660.61064486933</v>
      </c>
      <c r="V11">
        <f t="shared" si="1"/>
        <v>700.27640304361137</v>
      </c>
    </row>
    <row r="12" spans="1:22" x14ac:dyDescent="0.2">
      <c r="A12">
        <v>44604.590276462601</v>
      </c>
      <c r="B12">
        <v>19.166257000000002</v>
      </c>
      <c r="C12">
        <v>19.681104999999999</v>
      </c>
      <c r="D12">
        <v>19.984575</v>
      </c>
      <c r="E12">
        <v>20.413461000000002</v>
      </c>
      <c r="F12">
        <v>33.293672999999998</v>
      </c>
      <c r="G12">
        <v>33.807540000000003</v>
      </c>
      <c r="H12">
        <v>24.474996999999998</v>
      </c>
      <c r="I12">
        <v>22.092973000000001</v>
      </c>
      <c r="J12">
        <v>55.162815999999999</v>
      </c>
      <c r="K12">
        <v>50.555914000000001</v>
      </c>
      <c r="L12">
        <v>203.00234</v>
      </c>
      <c r="M12">
        <v>-622.49836700000003</v>
      </c>
      <c r="N12">
        <v>2.2007279999999998</v>
      </c>
      <c r="O12">
        <v>4.6981529999999996</v>
      </c>
      <c r="P12">
        <f t="shared" ref="P12:P20" si="4" xml:space="preserve"> N12*0.001/60</f>
        <v>3.6678799999999999E-5</v>
      </c>
      <c r="Q12" cm="1">
        <f t="array" ref="Q12">[1]!PropsSI("D","T",J12+273.15,"P",101325,"Water")</f>
        <v>985.61417007458158</v>
      </c>
      <c r="R12" cm="1">
        <f t="array" ref="R12">[1]!PropsSI("D","T",K12+273.15,"P",101325,"Water")</f>
        <v>987.78259635045004</v>
      </c>
      <c r="S12">
        <f t="shared" ref="S12:S20" si="5">(Q12+R12)/2</f>
        <v>986.69838321251586</v>
      </c>
      <c r="T12" cm="1">
        <f t="array" ref="T12">[1]!PropsSI("H","T",J12+273.15,"P",101325,"Water")</f>
        <v>231010.13197883393</v>
      </c>
      <c r="U12" cm="1">
        <f t="array" ref="U12">[1]!PropsSI("H","T",K12+273.15,"P",101325,"Water")</f>
        <v>211743.00290580344</v>
      </c>
      <c r="V12">
        <f t="shared" ref="V12:V20" si="6">S12*P12*(T12-U12)</f>
        <v>697.2949854558351</v>
      </c>
    </row>
    <row r="13" spans="1:22" x14ac:dyDescent="0.2">
      <c r="A13">
        <v>44604.590392782098</v>
      </c>
      <c r="B13">
        <v>19.13476</v>
      </c>
      <c r="C13">
        <v>19.516359999999999</v>
      </c>
      <c r="D13">
        <v>20.101078000000001</v>
      </c>
      <c r="E13">
        <v>20.532634000000002</v>
      </c>
      <c r="F13">
        <v>33.333516000000003</v>
      </c>
      <c r="G13">
        <v>33.941535999999999</v>
      </c>
      <c r="H13">
        <v>24.530729000000001</v>
      </c>
      <c r="I13">
        <v>22.607779000000001</v>
      </c>
      <c r="J13">
        <v>55.172044</v>
      </c>
      <c r="K13">
        <v>50.580702000000002</v>
      </c>
      <c r="L13">
        <v>204.998975</v>
      </c>
      <c r="M13">
        <v>-622.51224400000001</v>
      </c>
      <c r="N13">
        <v>2.2100919999999999</v>
      </c>
      <c r="O13">
        <v>4.9853120000000004</v>
      </c>
      <c r="P13">
        <f t="shared" si="4"/>
        <v>3.6834866666666662E-5</v>
      </c>
      <c r="Q13" cm="1">
        <f t="array" ref="Q13">[1]!PropsSI("D","T",J13+273.15,"P",101325,"Water")</f>
        <v>985.60969235224172</v>
      </c>
      <c r="R13" cm="1">
        <f t="array" ref="R13">[1]!PropsSI("D","T",K13+273.15,"P",101325,"Water")</f>
        <v>987.77129269914997</v>
      </c>
      <c r="S13">
        <f t="shared" si="5"/>
        <v>986.69049252569584</v>
      </c>
      <c r="T13" cm="1">
        <f t="array" ref="T13">[1]!PropsSI("H","T",J13+273.15,"P",101325,"Water")</f>
        <v>231048.73286233316</v>
      </c>
      <c r="U13" cm="1">
        <f t="array" ref="U13">[1]!PropsSI("H","T",K13+273.15,"P",101325,"Water")</f>
        <v>211846.6540698327</v>
      </c>
      <c r="V13">
        <f t="shared" si="6"/>
        <v>697.89211739065422</v>
      </c>
    </row>
    <row r="14" spans="1:22" x14ac:dyDescent="0.2">
      <c r="A14">
        <v>44604.590509101501</v>
      </c>
      <c r="B14">
        <v>19.102893000000002</v>
      </c>
      <c r="C14">
        <v>19.661531</v>
      </c>
      <c r="D14">
        <v>19.995972999999999</v>
      </c>
      <c r="E14">
        <v>20.402916999999999</v>
      </c>
      <c r="F14">
        <v>33.020389999999999</v>
      </c>
      <c r="G14">
        <v>33.656925999999999</v>
      </c>
      <c r="H14">
        <v>24.149571000000002</v>
      </c>
      <c r="I14">
        <v>22.429749999999999</v>
      </c>
      <c r="J14">
        <v>55.178091000000002</v>
      </c>
      <c r="K14">
        <v>50.599294</v>
      </c>
      <c r="L14">
        <v>199.57475700000001</v>
      </c>
      <c r="M14">
        <v>-622.48000100000002</v>
      </c>
      <c r="N14">
        <v>2.2099980000000001</v>
      </c>
      <c r="O14">
        <v>4.5785210000000003</v>
      </c>
      <c r="P14">
        <f t="shared" si="4"/>
        <v>3.6833300000000005E-5</v>
      </c>
      <c r="Q14" cm="1">
        <f t="array" ref="Q14">[1]!PropsSI("D","T",J14+273.15,"P",101325,"Water")</f>
        <v>985.60675786721515</v>
      </c>
      <c r="R14" cm="1">
        <f t="array" ref="R14">[1]!PropsSI("D","T",K14+273.15,"P",101325,"Water")</f>
        <v>987.76281187703034</v>
      </c>
      <c r="S14">
        <f t="shared" si="5"/>
        <v>986.68478487212269</v>
      </c>
      <c r="T14" cm="1">
        <f t="array" ref="T14">[1]!PropsSI("H","T",J14+273.15,"P",101325,"Water")</f>
        <v>231074.02758468088</v>
      </c>
      <c r="U14" cm="1">
        <f t="array" ref="U14">[1]!PropsSI("H","T",K14+273.15,"P",101325,"Water")</f>
        <v>211924.39674233805</v>
      </c>
      <c r="V14">
        <f t="shared" si="6"/>
        <v>695.95228930514202</v>
      </c>
    </row>
    <row r="15" spans="1:22" x14ac:dyDescent="0.2">
      <c r="A15">
        <v>46066.590624837962</v>
      </c>
      <c r="B15">
        <v>18.850785999999999</v>
      </c>
      <c r="C15">
        <v>19.543953999999999</v>
      </c>
      <c r="D15">
        <v>19.920822000000001</v>
      </c>
      <c r="E15">
        <v>20.345330000000001</v>
      </c>
      <c r="F15">
        <v>33.056269999999998</v>
      </c>
      <c r="G15">
        <v>32.936013000000003</v>
      </c>
      <c r="H15">
        <v>24.483616999999999</v>
      </c>
      <c r="I15">
        <v>22.145634000000001</v>
      </c>
      <c r="J15">
        <v>55.185091999999997</v>
      </c>
      <c r="K15">
        <v>50.599294</v>
      </c>
      <c r="L15">
        <v>207.73108300000001</v>
      </c>
      <c r="M15">
        <v>-622.49347</v>
      </c>
      <c r="N15">
        <v>2.1980569999999999</v>
      </c>
      <c r="O15">
        <v>4.7896109999999998</v>
      </c>
      <c r="P15">
        <f t="shared" si="4"/>
        <v>3.6634283333333333E-5</v>
      </c>
      <c r="Q15" cm="1">
        <f t="array" ref="Q15">[1]!PropsSI("D","T",J15+273.15,"P",101325,"Water")</f>
        <v>985.60336014254892</v>
      </c>
      <c r="R15" cm="1">
        <f t="array" ref="R15">[1]!PropsSI("D","T",K15+273.15,"P",101325,"Water")</f>
        <v>987.76281187703034</v>
      </c>
      <c r="S15">
        <f t="shared" si="5"/>
        <v>986.68308600978958</v>
      </c>
      <c r="T15" cm="1">
        <f t="array" ref="T15">[1]!PropsSI("H","T",J15+273.15,"P",101325,"Water")</f>
        <v>231103.31292475975</v>
      </c>
      <c r="U15" cm="1">
        <f t="array" ref="U15">[1]!PropsSI("H","T",K15+273.15,"P",101325,"Water")</f>
        <v>211924.39674233805</v>
      </c>
      <c r="V15">
        <f t="shared" si="6"/>
        <v>693.2493077869027</v>
      </c>
    </row>
    <row r="16" spans="1:22" x14ac:dyDescent="0.2">
      <c r="A16">
        <v>46066.590741157408</v>
      </c>
      <c r="B16">
        <v>18.87105</v>
      </c>
      <c r="C16">
        <v>19.682113000000001</v>
      </c>
      <c r="D16">
        <v>19.852314</v>
      </c>
      <c r="E16">
        <v>20.279616000000001</v>
      </c>
      <c r="F16">
        <v>33.180902000000003</v>
      </c>
      <c r="G16">
        <v>33.638576999999998</v>
      </c>
      <c r="H16">
        <v>24.348089000000002</v>
      </c>
      <c r="I16">
        <v>22.193187000000002</v>
      </c>
      <c r="J16">
        <v>55.190660999999999</v>
      </c>
      <c r="K16">
        <v>50.600406</v>
      </c>
      <c r="L16">
        <v>200.14493200000001</v>
      </c>
      <c r="M16">
        <v>-622.50449000000003</v>
      </c>
      <c r="N16">
        <v>2.2100300000000002</v>
      </c>
      <c r="O16">
        <v>4.6071390000000001</v>
      </c>
      <c r="P16">
        <f t="shared" si="4"/>
        <v>3.683383333333334E-5</v>
      </c>
      <c r="Q16" cm="1">
        <f t="array" ref="Q16">[1]!PropsSI("D","T",J16+273.15,"P",101325,"Water")</f>
        <v>985.60065717908435</v>
      </c>
      <c r="R16" cm="1">
        <f t="array" ref="R16">[1]!PropsSI("D","T",K16+273.15,"P",101325,"Water")</f>
        <v>987.76230456198164</v>
      </c>
      <c r="S16">
        <f t="shared" si="5"/>
        <v>986.68148087053305</v>
      </c>
      <c r="T16" cm="1">
        <f t="array" ref="T16">[1]!PropsSI("H","T",J16+273.15,"P",101325,"Water")</f>
        <v>231126.60818960774</v>
      </c>
      <c r="U16" cm="1">
        <f t="array" ref="U16">[1]!PropsSI("H","T",K16+273.15,"P",101325,"Water")</f>
        <v>211929.04658696381</v>
      </c>
      <c r="V16">
        <f t="shared" si="6"/>
        <v>697.70199610178872</v>
      </c>
    </row>
    <row r="17" spans="1:22" x14ac:dyDescent="0.2">
      <c r="A17">
        <v>46066.590857476855</v>
      </c>
      <c r="B17">
        <v>19.131097</v>
      </c>
      <c r="C17">
        <v>19.747800000000002</v>
      </c>
      <c r="D17">
        <v>19.748470000000001</v>
      </c>
      <c r="E17">
        <v>20.263483999999998</v>
      </c>
      <c r="F17">
        <v>33.401325999999997</v>
      </c>
      <c r="G17">
        <v>32.950499999999998</v>
      </c>
      <c r="H17">
        <v>24.358179</v>
      </c>
      <c r="I17">
        <v>22.124635999999999</v>
      </c>
      <c r="J17">
        <v>55.199252999999999</v>
      </c>
      <c r="K17">
        <v>50.604219999999998</v>
      </c>
      <c r="L17">
        <v>206.944592</v>
      </c>
      <c r="M17">
        <v>-622.46408299999996</v>
      </c>
      <c r="N17">
        <v>2.2074280000000002</v>
      </c>
      <c r="O17">
        <v>4.5838460000000003</v>
      </c>
      <c r="P17">
        <f t="shared" si="4"/>
        <v>3.6790466666666673E-5</v>
      </c>
      <c r="Q17" cm="1">
        <f t="array" ref="Q17">[1]!PropsSI("D","T",J17+273.15,"P",101325,"Water")</f>
        <v>985.59648659894094</v>
      </c>
      <c r="R17" cm="1">
        <f t="array" ref="R17">[1]!PropsSI("D","T",K17+273.15,"P",101325,"Water")</f>
        <v>987.76056448321697</v>
      </c>
      <c r="S17">
        <f t="shared" si="5"/>
        <v>986.6785255410789</v>
      </c>
      <c r="T17" cm="1">
        <f t="array" ref="T17">[1]!PropsSI("H","T",J17+273.15,"P",101325,"Water")</f>
        <v>231162.54876030449</v>
      </c>
      <c r="U17" cm="1">
        <f t="array" ref="U17">[1]!PropsSI("H","T",K17+273.15,"P",101325,"Water")</f>
        <v>211944.99488775549</v>
      </c>
      <c r="V17">
        <f t="shared" si="6"/>
        <v>697.60418932167727</v>
      </c>
    </row>
    <row r="18" spans="1:22" x14ac:dyDescent="0.2">
      <c r="A18">
        <v>46066.590973217593</v>
      </c>
      <c r="B18">
        <v>19.204585000000002</v>
      </c>
      <c r="C18">
        <v>19.841954000000001</v>
      </c>
      <c r="D18">
        <v>19.733692000000001</v>
      </c>
      <c r="E18">
        <v>20.277809000000001</v>
      </c>
      <c r="F18">
        <v>33.466430000000003</v>
      </c>
      <c r="G18">
        <v>33.540897999999999</v>
      </c>
      <c r="H18">
        <v>24.182624000000001</v>
      </c>
      <c r="I18">
        <v>21.902073000000001</v>
      </c>
      <c r="J18">
        <v>55.203867000000002</v>
      </c>
      <c r="K18">
        <v>50.612482999999997</v>
      </c>
      <c r="L18">
        <v>202.73378199999999</v>
      </c>
      <c r="M18">
        <v>-622.50122399999998</v>
      </c>
      <c r="N18">
        <v>2.1937660000000001</v>
      </c>
      <c r="O18">
        <v>5.439845</v>
      </c>
      <c r="P18">
        <f t="shared" si="4"/>
        <v>3.6562766666666668E-5</v>
      </c>
      <c r="Q18" cm="1">
        <f t="array" ref="Q18">[1]!PropsSI("D","T",J18+273.15,"P",101325,"Water")</f>
        <v>985.59424676205003</v>
      </c>
      <c r="R18" cm="1">
        <f t="array" ref="R18">[1]!PropsSI("D","T",K18+273.15,"P",101325,"Water")</f>
        <v>987.75679429169213</v>
      </c>
      <c r="S18">
        <f t="shared" si="5"/>
        <v>986.67552052687108</v>
      </c>
      <c r="T18" cm="1">
        <f t="array" ref="T18">[1]!PropsSI("H","T",J18+273.15,"P",101325,"Water")</f>
        <v>231181.84925949038</v>
      </c>
      <c r="U18" cm="1">
        <f t="array" ref="U18">[1]!PropsSI("H","T",K18+273.15,"P",101325,"Water")</f>
        <v>211979.54676636605</v>
      </c>
      <c r="V18">
        <f t="shared" si="6"/>
        <v>692.73433097916711</v>
      </c>
    </row>
    <row r="19" spans="1:22" x14ac:dyDescent="0.2">
      <c r="A19">
        <v>46066.59108953704</v>
      </c>
      <c r="B19">
        <v>19.163544000000002</v>
      </c>
      <c r="C19">
        <v>19.869565999999999</v>
      </c>
      <c r="D19">
        <v>19.701153999999999</v>
      </c>
      <c r="E19">
        <v>20.195996000000001</v>
      </c>
      <c r="F19">
        <v>33.141927000000003</v>
      </c>
      <c r="G19">
        <v>33.575184999999998</v>
      </c>
      <c r="H19">
        <v>24.296233999999998</v>
      </c>
      <c r="I19">
        <v>21.850659</v>
      </c>
      <c r="J19">
        <v>55.206572000000001</v>
      </c>
      <c r="K19">
        <v>50.616137999999999</v>
      </c>
      <c r="L19">
        <v>200.81265400000001</v>
      </c>
      <c r="M19">
        <v>-622.48000100000002</v>
      </c>
      <c r="N19">
        <v>2.2123249999999999</v>
      </c>
      <c r="O19">
        <v>4.5314009999999998</v>
      </c>
      <c r="P19">
        <f t="shared" si="4"/>
        <v>3.6872083333333332E-5</v>
      </c>
      <c r="Q19" cm="1">
        <f t="array" ref="Q19">[1]!PropsSI("D","T",J19+273.15,"P",101325,"Water")</f>
        <v>985.59293357572869</v>
      </c>
      <c r="R19" cm="1">
        <f t="array" ref="R19">[1]!PropsSI("D","T",K19+273.15,"P",101325,"Water")</f>
        <v>987.75512646858226</v>
      </c>
      <c r="S19">
        <f t="shared" si="5"/>
        <v>986.67403002215542</v>
      </c>
      <c r="T19" cm="1">
        <f t="array" ref="T19">[1]!PropsSI("H","T",J19+273.15,"P",101325,"Water")</f>
        <v>231193.16435850598</v>
      </c>
      <c r="U19" cm="1">
        <f t="array" ref="U19">[1]!PropsSI("H","T",K19+273.15,"P",101325,"Water")</f>
        <v>211994.83021908847</v>
      </c>
      <c r="V19">
        <f t="shared" si="6"/>
        <v>698.44935429083671</v>
      </c>
    </row>
    <row r="20" spans="1:22" x14ac:dyDescent="0.2">
      <c r="A20">
        <v>46066.591205856479</v>
      </c>
      <c r="B20">
        <v>18.745265</v>
      </c>
      <c r="C20">
        <v>19.623804</v>
      </c>
      <c r="D20">
        <v>19.493203000000001</v>
      </c>
      <c r="E20">
        <v>20.110610999999999</v>
      </c>
      <c r="F20">
        <v>32.821514000000001</v>
      </c>
      <c r="G20">
        <v>32.412084999999998</v>
      </c>
      <c r="H20">
        <v>24.083323</v>
      </c>
      <c r="I20">
        <v>21.746300000000002</v>
      </c>
      <c r="J20">
        <v>55.217869999999998</v>
      </c>
      <c r="K20">
        <v>50.618361999999998</v>
      </c>
      <c r="L20">
        <v>202.34563800000001</v>
      </c>
      <c r="M20">
        <v>-622.50204099999996</v>
      </c>
      <c r="N20">
        <v>2.209371</v>
      </c>
      <c r="O20">
        <v>5.2924980000000001</v>
      </c>
      <c r="P20">
        <f t="shared" si="4"/>
        <v>3.6822849999999999E-5</v>
      </c>
      <c r="Q20" cm="1">
        <f t="array" ref="Q20">[1]!PropsSI("D","T",J20+273.15,"P",101325,"Water")</f>
        <v>985.58744828751867</v>
      </c>
      <c r="R20" cm="1">
        <f t="array" ref="R20">[1]!PropsSI("D","T",K20+273.15,"P",101325,"Water")</f>
        <v>987.75411158643533</v>
      </c>
      <c r="S20">
        <f t="shared" si="5"/>
        <v>986.67077993697694</v>
      </c>
      <c r="T20" cm="1">
        <f t="array" ref="T20">[1]!PropsSI("H","T",J20+273.15,"P",101325,"Water")</f>
        <v>231240.42427230504</v>
      </c>
      <c r="U20" cm="1">
        <f t="array" ref="U20">[1]!PropsSI("H","T",K20+273.15,"P",101325,"Water")</f>
        <v>212004.12991967329</v>
      </c>
      <c r="V20">
        <f t="shared" si="6"/>
        <v>698.89362599017386</v>
      </c>
    </row>
    <row r="21" spans="1:22" x14ac:dyDescent="0.2">
      <c r="P21" s="1"/>
    </row>
    <row r="22" spans="1:22" x14ac:dyDescent="0.2">
      <c r="P22" s="1"/>
    </row>
    <row r="23" spans="1:22" x14ac:dyDescent="0.2">
      <c r="E23" s="1" t="s">
        <v>22</v>
      </c>
      <c r="P23" s="1"/>
    </row>
    <row r="24" spans="1:22" x14ac:dyDescent="0.2">
      <c r="E24">
        <f>AVERAGE(V2:V20)</f>
        <v>696.17017946002079</v>
      </c>
      <c r="P24" s="1"/>
    </row>
    <row r="25" spans="1:22" x14ac:dyDescent="0.2">
      <c r="P25" s="1"/>
    </row>
    <row r="26" spans="1:22" x14ac:dyDescent="0.2">
      <c r="P26" s="1"/>
    </row>
    <row r="27" spans="1:22" x14ac:dyDescent="0.2"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3BC2-9BBC-F844-B6F1-7ADA977CA644}">
  <dimension ref="A1:V36"/>
  <sheetViews>
    <sheetView workbookViewId="0">
      <selection activeCell="E22" sqref="E2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44604.586839541298</v>
      </c>
      <c r="B2">
        <v>19.499254000000001</v>
      </c>
      <c r="C2">
        <v>20.053227</v>
      </c>
      <c r="D2">
        <v>19.987401999999999</v>
      </c>
      <c r="E2">
        <v>20.277509999999999</v>
      </c>
      <c r="F2">
        <v>32.327083999999999</v>
      </c>
      <c r="G2">
        <v>32.580742999999998</v>
      </c>
      <c r="H2">
        <v>23.402678999999999</v>
      </c>
      <c r="I2">
        <v>21.795895999999999</v>
      </c>
      <c r="J2">
        <v>55.073554000000001</v>
      </c>
      <c r="K2">
        <v>50.18824</v>
      </c>
      <c r="L2">
        <v>285.1268</v>
      </c>
      <c r="M2">
        <v>-622.48040900000001</v>
      </c>
      <c r="N2">
        <v>2.2017449999999998</v>
      </c>
      <c r="O2">
        <v>4.9412539999999998</v>
      </c>
      <c r="P2">
        <f xml:space="preserve"> N2*0.001/60</f>
        <v>3.6695749999999998E-5</v>
      </c>
      <c r="Q2" cm="1">
        <f t="array" ref="Q2">[1]!PropsSI("D","T",J2+273.15,"P",101325,"Water")</f>
        <v>985.65745561722179</v>
      </c>
      <c r="R2" cm="1">
        <f t="array" ref="R2">[1]!PropsSI("D","T",K2+273.15,"P",101325,"Water")</f>
        <v>987.94978963411711</v>
      </c>
      <c r="S2">
        <f>(Q2+R2)/2</f>
        <v>986.8036226256695</v>
      </c>
      <c r="T2" cm="1">
        <f t="array" ref="T2">[1]!PropsSI("H","T",J2+273.15,"P",101325,"Water")</f>
        <v>230636.74908910799</v>
      </c>
      <c r="U2" cm="1">
        <f t="array" ref="U2">[1]!PropsSI("H","T",K2+273.15,"P",101325,"Water")</f>
        <v>210205.59290097238</v>
      </c>
      <c r="V2">
        <f>S2*P2*(T2-U2)</f>
        <v>739.8427925899108</v>
      </c>
    </row>
    <row r="3" spans="1:22" x14ac:dyDescent="0.2">
      <c r="A3">
        <v>44604.586955860803</v>
      </c>
      <c r="B3">
        <v>19.718458999999999</v>
      </c>
      <c r="C3">
        <v>20.292566000000001</v>
      </c>
      <c r="D3">
        <v>20.024021999999999</v>
      </c>
      <c r="E3">
        <v>20.324314000000001</v>
      </c>
      <c r="F3">
        <v>32.403906999999997</v>
      </c>
      <c r="G3">
        <v>32.364356000000001</v>
      </c>
      <c r="H3">
        <v>23.758496000000001</v>
      </c>
      <c r="I3">
        <v>21.973067</v>
      </c>
      <c r="J3">
        <v>55.073076</v>
      </c>
      <c r="K3">
        <v>50.189511000000003</v>
      </c>
      <c r="L3">
        <v>260.61863899999997</v>
      </c>
      <c r="M3">
        <v>-622.49224500000003</v>
      </c>
      <c r="N3">
        <v>2.20363</v>
      </c>
      <c r="O3">
        <v>4.8715890000000002</v>
      </c>
      <c r="P3">
        <f t="shared" ref="P3" si="0" xml:space="preserve"> N3*0.001/60</f>
        <v>3.6727166666666663E-5</v>
      </c>
      <c r="Q3" cm="1">
        <f t="array" ref="Q3">[1]!PropsSI("D","T",J3+273.15,"P",101325,"Water")</f>
        <v>985.65768727925104</v>
      </c>
      <c r="R3" cm="1">
        <f t="array" ref="R3">[1]!PropsSI("D","T",K3+273.15,"P",101325,"Water")</f>
        <v>987.94921319112154</v>
      </c>
      <c r="S3">
        <f>(Q3+R3)/2</f>
        <v>986.80345023518635</v>
      </c>
      <c r="T3" cm="1">
        <f t="array" ref="T3">[1]!PropsSI("H","T",J3+273.15,"P",101325,"Water")</f>
        <v>230634.74962320703</v>
      </c>
      <c r="U3" cm="1">
        <f t="array" ref="U3">[1]!PropsSI("H","T",K3+273.15,"P",101325,"Water")</f>
        <v>210210.90745531218</v>
      </c>
      <c r="V3">
        <f t="shared" ref="V3:V11" si="1">S3*P3*(T3-U3)</f>
        <v>740.21099323976864</v>
      </c>
    </row>
    <row r="4" spans="1:22" x14ac:dyDescent="0.2">
      <c r="A4">
        <v>44604.587071601498</v>
      </c>
      <c r="B4">
        <v>19.775255999999999</v>
      </c>
      <c r="C4">
        <v>20.308695</v>
      </c>
      <c r="D4">
        <v>20.129757000000001</v>
      </c>
      <c r="E4">
        <v>20.41309</v>
      </c>
      <c r="F4">
        <v>32.237087000000002</v>
      </c>
      <c r="G4">
        <v>32.318052000000002</v>
      </c>
      <c r="H4">
        <v>24.076329999999999</v>
      </c>
      <c r="I4">
        <v>22.101389000000001</v>
      </c>
      <c r="J4">
        <v>55.076735999999997</v>
      </c>
      <c r="K4">
        <v>50.197454999999998</v>
      </c>
      <c r="L4">
        <v>290.00451500000003</v>
      </c>
      <c r="M4">
        <v>-622.53224299999999</v>
      </c>
      <c r="N4">
        <v>2.2027860000000001</v>
      </c>
      <c r="O4">
        <v>4.7807789999999999</v>
      </c>
      <c r="P4">
        <f xml:space="preserve"> N4*0.001/60</f>
        <v>3.6713099999999999E-5</v>
      </c>
      <c r="Q4" cm="1">
        <f t="array" ref="Q4">[1]!PropsSI("D","T",J4+273.15,"P",101325,"Water")</f>
        <v>985.65591342920038</v>
      </c>
      <c r="R4" cm="1">
        <f t="array" ref="R4">[1]!PropsSI("D","T",K4+273.15,"P",101325,"Water")</f>
        <v>987.94561006937624</v>
      </c>
      <c r="S4">
        <f t="shared" ref="S4:S11" si="2">(Q4+R4)/2</f>
        <v>986.80076174928831</v>
      </c>
      <c r="T4" cm="1">
        <f t="array" ref="T4">[1]!PropsSI("H","T",J4+273.15,"P",101325,"Water")</f>
        <v>230650.05934335693</v>
      </c>
      <c r="U4" cm="1">
        <f t="array" ref="U4">[1]!PropsSI("H","T",K4+273.15,"P",101325,"Water")</f>
        <v>210244.12447589822</v>
      </c>
      <c r="V4">
        <f t="shared" si="1"/>
        <v>739.27671837705191</v>
      </c>
    </row>
    <row r="5" spans="1:22" x14ac:dyDescent="0.2">
      <c r="A5">
        <v>44604.5871873422</v>
      </c>
      <c r="B5">
        <v>19.63363</v>
      </c>
      <c r="C5">
        <v>20.209697999999999</v>
      </c>
      <c r="D5">
        <v>20.180275000000002</v>
      </c>
      <c r="E5">
        <v>20.400831</v>
      </c>
      <c r="F5">
        <v>32.263314000000001</v>
      </c>
      <c r="G5">
        <v>32.295445000000001</v>
      </c>
      <c r="H5">
        <v>23.734075000000001</v>
      </c>
      <c r="I5">
        <v>22.028753999999999</v>
      </c>
      <c r="J5">
        <v>55.080714</v>
      </c>
      <c r="K5">
        <v>50.203015999999998</v>
      </c>
      <c r="L5">
        <v>289.98533200000003</v>
      </c>
      <c r="M5">
        <v>-622.48530700000003</v>
      </c>
      <c r="N5">
        <v>2.2077399999999998</v>
      </c>
      <c r="O5">
        <v>4.7435710000000002</v>
      </c>
      <c r="P5">
        <f t="shared" ref="P5:P11" si="3" xml:space="preserve"> N5*0.001/60</f>
        <v>3.6795666666666664E-5</v>
      </c>
      <c r="Q5" cm="1">
        <f t="array" ref="Q5">[1]!PropsSI("D","T",J5+273.15,"P",101325,"Water")</f>
        <v>985.65398536348255</v>
      </c>
      <c r="R5" cm="1">
        <f t="array" ref="R5">[1]!PropsSI("D","T",K5+273.15,"P",101325,"Water")</f>
        <v>987.94308754768065</v>
      </c>
      <c r="S5">
        <f t="shared" si="2"/>
        <v>986.7985364555816</v>
      </c>
      <c r="T5" cm="1">
        <f t="array" ref="T5">[1]!PropsSI("H","T",J5+273.15,"P",101325,"Water")</f>
        <v>230666.69925780251</v>
      </c>
      <c r="U5" cm="1">
        <f t="array" ref="U5">[1]!PropsSI("H","T",K5+273.15,"P",101325,"Water")</f>
        <v>210267.37723724564</v>
      </c>
      <c r="V5">
        <f t="shared" si="1"/>
        <v>740.69754692473953</v>
      </c>
    </row>
    <row r="6" spans="1:22" x14ac:dyDescent="0.2">
      <c r="A6">
        <v>46066.587303078704</v>
      </c>
      <c r="B6">
        <v>19.562545</v>
      </c>
      <c r="C6">
        <v>20.089148000000002</v>
      </c>
      <c r="D6">
        <v>19.991506999999999</v>
      </c>
      <c r="E6">
        <v>20.230802000000001</v>
      </c>
      <c r="F6">
        <v>32.229709999999997</v>
      </c>
      <c r="G6">
        <v>32.282668999999999</v>
      </c>
      <c r="H6">
        <v>23.818899999999999</v>
      </c>
      <c r="I6">
        <v>21.892648000000001</v>
      </c>
      <c r="J6">
        <v>55.079917999999999</v>
      </c>
      <c r="K6">
        <v>50.193959999999997</v>
      </c>
      <c r="L6">
        <v>268.772108</v>
      </c>
      <c r="M6">
        <v>-622.5</v>
      </c>
      <c r="N6">
        <v>2.2046130000000002</v>
      </c>
      <c r="O6">
        <v>4.784681</v>
      </c>
      <c r="P6">
        <f t="shared" si="3"/>
        <v>3.6743550000000002E-5</v>
      </c>
      <c r="Q6" cm="1">
        <f t="array" ref="Q6">[1]!PropsSI("D","T",J6+273.15,"P",101325,"Water")</f>
        <v>985.65437117835086</v>
      </c>
      <c r="R6" cm="1">
        <f t="array" ref="R6">[1]!PropsSI("D","T",K6+273.15,"P",101325,"Water")</f>
        <v>987.94719533054001</v>
      </c>
      <c r="S6">
        <f t="shared" si="2"/>
        <v>986.80078325444538</v>
      </c>
      <c r="T6" cm="1">
        <f t="array" ref="T6">[1]!PropsSI("H","T",J6+273.15,"P",101325,"Water")</f>
        <v>230663.36960125301</v>
      </c>
      <c r="U6" cm="1">
        <f t="array" ref="U6">[1]!PropsSI("H","T",K6+273.15,"P",101325,"Water")</f>
        <v>210229.51048990976</v>
      </c>
      <c r="V6">
        <f t="shared" si="1"/>
        <v>740.90238671169539</v>
      </c>
    </row>
    <row r="7" spans="1:22" x14ac:dyDescent="0.2">
      <c r="A7">
        <v>46066.587419398151</v>
      </c>
      <c r="B7">
        <v>19.282208000000001</v>
      </c>
      <c r="C7">
        <v>19.982728000000002</v>
      </c>
      <c r="D7">
        <v>19.893007000000001</v>
      </c>
      <c r="E7">
        <v>20.194673999999999</v>
      </c>
      <c r="F7">
        <v>31.922038000000001</v>
      </c>
      <c r="G7">
        <v>32.045741</v>
      </c>
      <c r="H7">
        <v>23.754273999999999</v>
      </c>
      <c r="I7">
        <v>21.713200000000001</v>
      </c>
      <c r="J7">
        <v>55.077691000000002</v>
      </c>
      <c r="K7">
        <v>50.191417999999999</v>
      </c>
      <c r="L7">
        <v>276.28642600000001</v>
      </c>
      <c r="M7">
        <v>-622.50775499999997</v>
      </c>
      <c r="N7">
        <v>2.198639</v>
      </c>
      <c r="O7">
        <v>4.9549019999999997</v>
      </c>
      <c r="P7">
        <f t="shared" si="3"/>
        <v>3.6643983333333333E-5</v>
      </c>
      <c r="Q7" cm="1">
        <f t="array" ref="Q7">[1]!PropsSI("D","T",J7+273.15,"P",101325,"Water")</f>
        <v>985.65545056666485</v>
      </c>
      <c r="R7" cm="1">
        <f t="array" ref="R7">[1]!PropsSI("D","T",K7+273.15,"P",101325,"Water")</f>
        <v>987.94834828000353</v>
      </c>
      <c r="S7">
        <f t="shared" si="2"/>
        <v>986.80189942333413</v>
      </c>
      <c r="T7" cm="1">
        <f t="array" ref="T7">[1]!PropsSI("H","T",J7+273.15,"P",101325,"Water")</f>
        <v>230654.05409353212</v>
      </c>
      <c r="U7" cm="1">
        <f t="array" ref="U7">[1]!PropsSI("H","T",K7+273.15,"P",101325,"Water")</f>
        <v>210218.88137842304</v>
      </c>
      <c r="V7">
        <f t="shared" si="1"/>
        <v>738.94304582936797</v>
      </c>
    </row>
    <row r="8" spans="1:22" x14ac:dyDescent="0.2">
      <c r="A8">
        <v>46066.58753513889</v>
      </c>
      <c r="B8">
        <v>19.472746999999998</v>
      </c>
      <c r="C8">
        <v>20.098329</v>
      </c>
      <c r="D8">
        <v>19.853953000000001</v>
      </c>
      <c r="E8">
        <v>20.159935000000001</v>
      </c>
      <c r="F8">
        <v>32.290391999999997</v>
      </c>
      <c r="G8">
        <v>31.714305</v>
      </c>
      <c r="H8">
        <v>23.958292</v>
      </c>
      <c r="I8">
        <v>21.706965</v>
      </c>
      <c r="J8">
        <v>55.081508999999997</v>
      </c>
      <c r="K8">
        <v>50.184744999999999</v>
      </c>
      <c r="L8">
        <v>267.50523299999998</v>
      </c>
      <c r="M8">
        <v>-622.48571500000003</v>
      </c>
      <c r="N8">
        <v>2.2023100000000002</v>
      </c>
      <c r="O8">
        <v>4.8801930000000002</v>
      </c>
      <c r="P8">
        <f t="shared" si="3"/>
        <v>3.6705166666666669E-5</v>
      </c>
      <c r="Q8" cm="1">
        <f t="array" ref="Q8">[1]!PropsSI("D","T",J8+273.15,"P",101325,"Water")</f>
        <v>985.6536000293604</v>
      </c>
      <c r="R8" cm="1">
        <f t="array" ref="R8">[1]!PropsSI("D","T",K8+273.15,"P",101325,"Water")</f>
        <v>987.95137468446933</v>
      </c>
      <c r="S8">
        <f t="shared" si="2"/>
        <v>986.80248735691487</v>
      </c>
      <c r="T8" cm="1">
        <f t="array" ref="T8">[1]!PropsSI("H","T",J8+273.15,"P",101325,"Water")</f>
        <v>230670.02473158223</v>
      </c>
      <c r="U8" cm="1">
        <f t="array" ref="U8">[1]!PropsSI("H","T",K8+273.15,"P",101325,"Water")</f>
        <v>210190.97892423472</v>
      </c>
      <c r="V8">
        <f t="shared" si="1"/>
        <v>741.76639362449009</v>
      </c>
    </row>
    <row r="9" spans="1:22" x14ac:dyDescent="0.2">
      <c r="A9">
        <v>46066.587650879628</v>
      </c>
      <c r="B9">
        <v>19.640366</v>
      </c>
      <c r="C9">
        <v>20.116565000000001</v>
      </c>
      <c r="D9">
        <v>19.823658999999999</v>
      </c>
      <c r="E9">
        <v>20.159827</v>
      </c>
      <c r="F9">
        <v>32.526819000000003</v>
      </c>
      <c r="G9">
        <v>32.563173999999997</v>
      </c>
      <c r="H9">
        <v>23.840129999999998</v>
      </c>
      <c r="I9">
        <v>21.456520999999999</v>
      </c>
      <c r="J9">
        <v>55.085009999999997</v>
      </c>
      <c r="K9">
        <v>50.187128000000001</v>
      </c>
      <c r="L9">
        <v>289.65514400000001</v>
      </c>
      <c r="M9">
        <v>-622.48612300000002</v>
      </c>
      <c r="N9">
        <v>2.2057479999999998</v>
      </c>
      <c r="O9">
        <v>4.7992949999999999</v>
      </c>
      <c r="P9">
        <f t="shared" si="3"/>
        <v>3.6762466666666666E-5</v>
      </c>
      <c r="Q9" cm="1">
        <f t="array" ref="Q9">[1]!PropsSI("D","T",J9+273.15,"P",101325,"Water")</f>
        <v>985.65190305860961</v>
      </c>
      <c r="R9" cm="1">
        <f t="array" ref="R9">[1]!PropsSI("D","T",K9+273.15,"P",101325,"Water")</f>
        <v>987.95029395638289</v>
      </c>
      <c r="S9">
        <f t="shared" si="2"/>
        <v>986.80109850749625</v>
      </c>
      <c r="T9" cm="1">
        <f t="array" ref="T9">[1]!PropsSI("H","T",J9+273.15,"P",101325,"Water")</f>
        <v>230684.66936793333</v>
      </c>
      <c r="U9" cm="1">
        <f t="array" ref="U9">[1]!PropsSI("H","T",K9+273.15,"P",101325,"Water")</f>
        <v>210200.94318897175</v>
      </c>
      <c r="V9">
        <f t="shared" si="1"/>
        <v>743.09310170343542</v>
      </c>
    </row>
    <row r="10" spans="1:22" x14ac:dyDescent="0.2">
      <c r="A10">
        <v>44604.587767203397</v>
      </c>
      <c r="B10">
        <v>19.564378000000001</v>
      </c>
      <c r="C10">
        <v>20.238655000000001</v>
      </c>
      <c r="D10">
        <v>19.710528</v>
      </c>
      <c r="E10">
        <v>19.944483999999999</v>
      </c>
      <c r="F10">
        <v>32.315415000000002</v>
      </c>
      <c r="G10">
        <v>32.278770999999999</v>
      </c>
      <c r="H10">
        <v>23.796040999999999</v>
      </c>
      <c r="I10">
        <v>21.638515999999999</v>
      </c>
      <c r="J10">
        <v>55.086601000000002</v>
      </c>
      <c r="K10">
        <v>50.191893999999998</v>
      </c>
      <c r="L10">
        <v>273.26127100000002</v>
      </c>
      <c r="M10">
        <v>-622.48285799999996</v>
      </c>
      <c r="N10">
        <v>2.2030889999999999</v>
      </c>
      <c r="O10">
        <v>4.8524010000000004</v>
      </c>
      <c r="P10">
        <f t="shared" si="3"/>
        <v>3.671815E-5</v>
      </c>
      <c r="Q10" cm="1">
        <f t="array" ref="Q10">[1]!PropsSI("D","T",J10+273.15,"P",101325,"Water")</f>
        <v>985.6511318593831</v>
      </c>
      <c r="R10" cm="1">
        <f t="array" ref="R10">[1]!PropsSI("D","T",K10+273.15,"P",101325,"Water")</f>
        <v>987.94813238868085</v>
      </c>
      <c r="S10">
        <f t="shared" si="2"/>
        <v>986.79963212403197</v>
      </c>
      <c r="T10" cm="1">
        <f t="array" ref="T10">[1]!PropsSI("H","T",J10+273.15,"P",101325,"Water")</f>
        <v>230691.32450117022</v>
      </c>
      <c r="U10" cm="1">
        <f t="array" ref="U10">[1]!PropsSI("H","T",K10+273.15,"P",101325,"Water")</f>
        <v>210220.87172333064</v>
      </c>
      <c r="V10">
        <f t="shared" si="1"/>
        <v>741.7152687006112</v>
      </c>
    </row>
    <row r="11" spans="1:22" x14ac:dyDescent="0.2">
      <c r="A11">
        <v>44604.5878835228</v>
      </c>
      <c r="B11">
        <v>19.800879999999999</v>
      </c>
      <c r="C11">
        <v>20.108402999999999</v>
      </c>
      <c r="D11">
        <v>19.816658</v>
      </c>
      <c r="E11">
        <v>20.012512999999998</v>
      </c>
      <c r="F11">
        <v>32.414081000000003</v>
      </c>
      <c r="G11">
        <v>31.548884999999999</v>
      </c>
      <c r="H11">
        <v>23.704502000000002</v>
      </c>
      <c r="I11">
        <v>21.743459000000001</v>
      </c>
      <c r="J11">
        <v>55.086601000000002</v>
      </c>
      <c r="K11">
        <v>50.189352</v>
      </c>
      <c r="L11">
        <v>303.49445100000003</v>
      </c>
      <c r="M11">
        <v>-622.480817</v>
      </c>
      <c r="N11">
        <v>2.2069489999999998</v>
      </c>
      <c r="O11">
        <v>4.772367</v>
      </c>
      <c r="P11">
        <f t="shared" si="3"/>
        <v>3.6782483333333325E-5</v>
      </c>
      <c r="Q11" cm="1">
        <f t="array" ref="Q11">[1]!PropsSI("D","T",J11+273.15,"P",101325,"Water")</f>
        <v>985.6511318593831</v>
      </c>
      <c r="R11" cm="1">
        <f t="array" ref="R11">[1]!PropsSI("D","T",K11+273.15,"P",101325,"Water")</f>
        <v>987.94928530375466</v>
      </c>
      <c r="S11">
        <f t="shared" si="2"/>
        <v>986.80020858156888</v>
      </c>
      <c r="T11" cm="1">
        <f t="array" ref="T11">[1]!PropsSI("H","T",J11+273.15,"P",101325,"Water")</f>
        <v>230691.32450117022</v>
      </c>
      <c r="U11" cm="1">
        <f t="array" ref="U11">[1]!PropsSI("H","T",K11+273.15,"P",101325,"Water")</f>
        <v>210210.24261331858</v>
      </c>
      <c r="V11">
        <f t="shared" si="1"/>
        <v>743.4010556203425</v>
      </c>
    </row>
    <row r="12" spans="1:22" x14ac:dyDescent="0.2">
      <c r="A12">
        <v>44604.587999842202</v>
      </c>
      <c r="B12">
        <v>19.624897000000001</v>
      </c>
      <c r="C12">
        <v>20.108343000000001</v>
      </c>
      <c r="D12">
        <v>19.853981999999998</v>
      </c>
      <c r="E12">
        <v>20.136987999999999</v>
      </c>
      <c r="F12">
        <v>32.307429999999997</v>
      </c>
      <c r="G12">
        <v>32.194540000000003</v>
      </c>
      <c r="H12">
        <v>23.523166</v>
      </c>
      <c r="I12">
        <v>21.859976</v>
      </c>
      <c r="J12">
        <v>55.087395999999998</v>
      </c>
      <c r="K12">
        <v>50.200951000000003</v>
      </c>
      <c r="L12">
        <v>275.02526499999999</v>
      </c>
      <c r="M12">
        <v>-622.48938799999996</v>
      </c>
      <c r="N12">
        <v>2.2109320000000001</v>
      </c>
      <c r="O12">
        <v>4.6016880000000002</v>
      </c>
      <c r="P12">
        <f t="shared" ref="P12:P17" si="4" xml:space="preserve"> N12*0.001/60</f>
        <v>3.6848866666666665E-5</v>
      </c>
      <c r="Q12" cm="1">
        <f t="array" ref="Q12">[1]!PropsSI("D","T",J12+273.15,"P",101325,"Water")</f>
        <v>985.65074649624887</v>
      </c>
      <c r="R12" cm="1">
        <f t="array" ref="R12">[1]!PropsSI("D","T",K12+273.15,"P",101325,"Water")</f>
        <v>987.94402427465036</v>
      </c>
      <c r="S12">
        <f t="shared" ref="S12:S17" si="5">(Q12+R12)/2</f>
        <v>986.79738538544962</v>
      </c>
      <c r="T12" cm="1">
        <f t="array" ref="T12">[1]!PropsSI("H","T",J12+273.15,"P",101325,"Water")</f>
        <v>230694.64997673017</v>
      </c>
      <c r="U12" cm="1">
        <f t="array" ref="U12">[1]!PropsSI("H","T",K12+273.15,"P",101325,"Water")</f>
        <v>210258.74264674788</v>
      </c>
      <c r="V12">
        <f t="shared" ref="V12:V17" si="6">S12*P12*(T12-U12)</f>
        <v>743.09792718319227</v>
      </c>
    </row>
    <row r="13" spans="1:22" x14ac:dyDescent="0.2">
      <c r="A13">
        <v>44604.588115582999</v>
      </c>
      <c r="B13">
        <v>19.790994999999999</v>
      </c>
      <c r="C13">
        <v>20.200773000000002</v>
      </c>
      <c r="D13">
        <v>19.961259999999999</v>
      </c>
      <c r="E13">
        <v>20.136769999999999</v>
      </c>
      <c r="F13">
        <v>32.409953000000002</v>
      </c>
      <c r="G13">
        <v>32.281466999999999</v>
      </c>
      <c r="H13">
        <v>23.651183</v>
      </c>
      <c r="I13">
        <v>22.002959000000001</v>
      </c>
      <c r="J13">
        <v>55.088669000000003</v>
      </c>
      <c r="K13">
        <v>50.203651999999998</v>
      </c>
      <c r="L13">
        <v>283.36607099999998</v>
      </c>
      <c r="M13">
        <v>-622.51020400000004</v>
      </c>
      <c r="N13">
        <v>2.203716</v>
      </c>
      <c r="O13">
        <v>4.6228720000000001</v>
      </c>
      <c r="P13">
        <f t="shared" si="4"/>
        <v>3.6728599999999999E-5</v>
      </c>
      <c r="Q13" cm="1">
        <f t="array" ref="Q13">[1]!PropsSI("D","T",J13+273.15,"P",101325,"Water")</f>
        <v>985.65012942233443</v>
      </c>
      <c r="R13" cm="1">
        <f t="array" ref="R13">[1]!PropsSI("D","T",K13+273.15,"P",101325,"Water")</f>
        <v>987.94279903926383</v>
      </c>
      <c r="S13">
        <f t="shared" si="5"/>
        <v>986.79646423079907</v>
      </c>
      <c r="T13" cm="1">
        <f t="array" ref="T13">[1]!PropsSI("H","T",J13+273.15,"P",101325,"Water")</f>
        <v>230699.97492094507</v>
      </c>
      <c r="U13" cm="1">
        <f t="array" ref="U13">[1]!PropsSI("H","T",K13+273.15,"P",101325,"Water")</f>
        <v>210270.03660774254</v>
      </c>
      <c r="V13">
        <f t="shared" si="6"/>
        <v>740.45558719303119</v>
      </c>
    </row>
    <row r="14" spans="1:22" x14ac:dyDescent="0.2">
      <c r="A14">
        <v>44604.588231902402</v>
      </c>
      <c r="B14">
        <v>19.82236</v>
      </c>
      <c r="C14">
        <v>20.290375000000001</v>
      </c>
      <c r="D14">
        <v>20.0411</v>
      </c>
      <c r="E14">
        <v>20.290904000000001</v>
      </c>
      <c r="F14">
        <v>32.423310999999998</v>
      </c>
      <c r="G14">
        <v>31.302444999999999</v>
      </c>
      <c r="H14">
        <v>23.879225999999999</v>
      </c>
      <c r="I14">
        <v>21.747433000000001</v>
      </c>
      <c r="J14">
        <v>55.087555000000002</v>
      </c>
      <c r="K14">
        <v>50.202063000000003</v>
      </c>
      <c r="L14">
        <v>285.27618000000001</v>
      </c>
      <c r="M14">
        <v>-622.51469299999997</v>
      </c>
      <c r="N14">
        <v>2.2052809999999998</v>
      </c>
      <c r="O14">
        <v>4.901084</v>
      </c>
      <c r="P14">
        <f t="shared" si="4"/>
        <v>3.6754683333333332E-5</v>
      </c>
      <c r="Q14" cm="1">
        <f t="array" ref="Q14">[1]!PropsSI("D","T",J14+273.15,"P",101325,"Water")</f>
        <v>985.65066942314604</v>
      </c>
      <c r="R14" cm="1">
        <f t="array" ref="R14">[1]!PropsSI("D","T",K14+273.15,"P",101325,"Water")</f>
        <v>987.94351985179321</v>
      </c>
      <c r="S14">
        <f t="shared" si="5"/>
        <v>986.79709463746963</v>
      </c>
      <c r="T14" cm="1">
        <f t="array" ref="T14">[1]!PropsSI("H","T",J14+273.15,"P",101325,"Water")</f>
        <v>230695.31507182194</v>
      </c>
      <c r="U14" cm="1">
        <f t="array" ref="U14">[1]!PropsSI("H","T",K14+273.15,"P",101325,"Water")</f>
        <v>210263.39236312537</v>
      </c>
      <c r="V14">
        <f t="shared" si="6"/>
        <v>741.05387840507865</v>
      </c>
    </row>
    <row r="15" spans="1:22" x14ac:dyDescent="0.2">
      <c r="A15">
        <v>46066.588347638892</v>
      </c>
      <c r="B15">
        <v>19.617042999999999</v>
      </c>
      <c r="C15">
        <v>20.237513</v>
      </c>
      <c r="D15">
        <v>20.020282000000002</v>
      </c>
      <c r="E15">
        <v>20.311883999999999</v>
      </c>
      <c r="F15">
        <v>32.516133000000004</v>
      </c>
      <c r="G15">
        <v>31.625841999999999</v>
      </c>
      <c r="H15">
        <v>23.885294999999999</v>
      </c>
      <c r="I15">
        <v>21.621639999999999</v>
      </c>
      <c r="J15">
        <v>55.088987000000003</v>
      </c>
      <c r="K15">
        <v>50.202539000000002</v>
      </c>
      <c r="L15">
        <v>268.49742800000001</v>
      </c>
      <c r="M15">
        <v>-622.49428599999999</v>
      </c>
      <c r="N15">
        <v>2.2008019999999999</v>
      </c>
      <c r="O15">
        <v>4.6654429999999998</v>
      </c>
      <c r="P15">
        <f t="shared" si="4"/>
        <v>3.6680033333333335E-5</v>
      </c>
      <c r="Q15" cm="1">
        <f t="array" ref="Q15">[1]!PropsSI("D","T",J15+273.15,"P",101325,"Water")</f>
        <v>985.64997527348237</v>
      </c>
      <c r="R15" cm="1">
        <f t="array" ref="R15">[1]!PropsSI("D","T",K15+273.15,"P",101325,"Water")</f>
        <v>987.94330392729921</v>
      </c>
      <c r="S15">
        <f t="shared" si="5"/>
        <v>986.79663960039079</v>
      </c>
      <c r="T15" cm="1">
        <f t="array" ref="T15">[1]!PropsSI("H","T",J15+273.15,"P",101325,"Water")</f>
        <v>230701.3051113624</v>
      </c>
      <c r="U15" cm="1">
        <f t="array" ref="U15">[1]!PropsSI("H","T",K15+273.15,"P",101325,"Water")</f>
        <v>210265.38270947681</v>
      </c>
      <c r="V15">
        <f t="shared" si="6"/>
        <v>739.6932038189143</v>
      </c>
    </row>
    <row r="16" spans="1:22" x14ac:dyDescent="0.2">
      <c r="A16">
        <v>46066.58846337963</v>
      </c>
      <c r="B16">
        <v>19.843653</v>
      </c>
      <c r="C16">
        <v>20.216054</v>
      </c>
      <c r="D16">
        <v>20.161791999999998</v>
      </c>
      <c r="E16">
        <v>20.416077000000001</v>
      </c>
      <c r="F16">
        <v>32.363646000000003</v>
      </c>
      <c r="G16">
        <v>32.275736000000002</v>
      </c>
      <c r="H16">
        <v>23.7224</v>
      </c>
      <c r="I16">
        <v>21.919656</v>
      </c>
      <c r="J16">
        <v>55.092646999999999</v>
      </c>
      <c r="K16">
        <v>50.208894999999998</v>
      </c>
      <c r="L16">
        <v>278.03164500000003</v>
      </c>
      <c r="M16">
        <v>-622.49959200000001</v>
      </c>
      <c r="N16">
        <v>2.2008100000000002</v>
      </c>
      <c r="O16">
        <v>4.8554630000000003</v>
      </c>
      <c r="P16">
        <f t="shared" si="4"/>
        <v>3.6680166666666668E-5</v>
      </c>
      <c r="Q16" cm="1">
        <f t="array" ref="Q16">[1]!PropsSI("D","T",J16+273.15,"P",101325,"Water")</f>
        <v>985.64820106219418</v>
      </c>
      <c r="R16" cm="1">
        <f t="array" ref="R16">[1]!PropsSI("D","T",K16+273.15,"P",101325,"Water")</f>
        <v>987.94042055820103</v>
      </c>
      <c r="S16">
        <f t="shared" si="5"/>
        <v>986.79431081019766</v>
      </c>
      <c r="T16" cm="1">
        <f t="array" ref="T16">[1]!PropsSI("H","T",J16+273.15,"P",101325,"Water")</f>
        <v>230716.61485261715</v>
      </c>
      <c r="U16" cm="1">
        <f t="array" ref="U16">[1]!PropsSI("H","T",K16+273.15,"P",101325,"Water")</f>
        <v>210291.95969323919</v>
      </c>
      <c r="V16">
        <f t="shared" si="6"/>
        <v>739.28632035866417</v>
      </c>
    </row>
    <row r="17" spans="1:22" x14ac:dyDescent="0.2">
      <c r="A17">
        <v>46066.588579699077</v>
      </c>
      <c r="B17">
        <v>19.677074000000001</v>
      </c>
      <c r="C17">
        <v>20.233204000000001</v>
      </c>
      <c r="D17">
        <v>20.210737000000002</v>
      </c>
      <c r="E17">
        <v>20.436947</v>
      </c>
      <c r="F17">
        <v>32.456367999999998</v>
      </c>
      <c r="G17">
        <v>32.376944000000002</v>
      </c>
      <c r="H17">
        <v>23.834208</v>
      </c>
      <c r="I17">
        <v>22.186743</v>
      </c>
      <c r="J17">
        <v>55.094079000000001</v>
      </c>
      <c r="K17">
        <v>50.218904000000002</v>
      </c>
      <c r="L17">
        <v>289.62657400000001</v>
      </c>
      <c r="M17">
        <v>-622.51142800000002</v>
      </c>
      <c r="N17">
        <v>2.2053959999999999</v>
      </c>
      <c r="O17">
        <v>4.5834010000000003</v>
      </c>
      <c r="P17">
        <f t="shared" si="4"/>
        <v>3.67566E-5</v>
      </c>
      <c r="Q17" cm="1">
        <f t="array" ref="Q17">[1]!PropsSI("D","T",J17+273.15,"P",101325,"Water")</f>
        <v>985.64750686730054</v>
      </c>
      <c r="R17" cm="1">
        <f t="array" ref="R17">[1]!PropsSI("D","T",K17+273.15,"P",101325,"Water")</f>
        <v>987.93587948712184</v>
      </c>
      <c r="S17">
        <f t="shared" si="5"/>
        <v>986.79169317721119</v>
      </c>
      <c r="T17" cm="1">
        <f t="array" ref="T17">[1]!PropsSI("H","T",J17+273.15,"P",101325,"Water")</f>
        <v>230722.60489479604</v>
      </c>
      <c r="U17" cm="1">
        <f t="array" ref="U17">[1]!PropsSI("H","T",K17+273.15,"P",101325,"Water")</f>
        <v>210333.81135784395</v>
      </c>
      <c r="V17">
        <f t="shared" si="6"/>
        <v>739.52412318206484</v>
      </c>
    </row>
    <row r="19" spans="1:22" x14ac:dyDescent="0.2">
      <c r="P19" s="1"/>
    </row>
    <row r="20" spans="1:22" x14ac:dyDescent="0.2">
      <c r="P20" s="1"/>
    </row>
    <row r="21" spans="1:22" x14ac:dyDescent="0.2">
      <c r="E21" s="1" t="s">
        <v>22</v>
      </c>
      <c r="P21" s="1"/>
    </row>
    <row r="22" spans="1:22" x14ac:dyDescent="0.2">
      <c r="E22">
        <f>AVERAGE(V2:V17)</f>
        <v>740.8100214663973</v>
      </c>
      <c r="P22" s="1"/>
    </row>
    <row r="23" spans="1:22" x14ac:dyDescent="0.2">
      <c r="P23" s="1"/>
    </row>
    <row r="24" spans="1:22" x14ac:dyDescent="0.2">
      <c r="P24" s="1"/>
    </row>
    <row r="25" spans="1:22" x14ac:dyDescent="0.2">
      <c r="P25" s="1"/>
    </row>
    <row r="26" spans="1:22" x14ac:dyDescent="0.2">
      <c r="P26" s="1"/>
    </row>
    <row r="27" spans="1:22" x14ac:dyDescent="0.2"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1B7A-F587-8F40-B6BA-49DCA9258BC1}">
  <dimension ref="A1:V45"/>
  <sheetViews>
    <sheetView topLeftCell="A15" workbookViewId="0">
      <selection activeCell="E45" sqref="E45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44604.581188499702</v>
      </c>
      <c r="B2">
        <v>20.367419000000002</v>
      </c>
      <c r="C2">
        <v>20.284466999999999</v>
      </c>
      <c r="D2">
        <v>20.139657</v>
      </c>
      <c r="E2">
        <v>20.211773000000001</v>
      </c>
      <c r="F2">
        <v>31.888555</v>
      </c>
      <c r="G2">
        <v>31.166836</v>
      </c>
      <c r="H2">
        <v>23.521668999999999</v>
      </c>
      <c r="I2">
        <v>21.985465000000001</v>
      </c>
      <c r="J2">
        <v>55.587521000000002</v>
      </c>
      <c r="K2">
        <v>50.478847999999999</v>
      </c>
      <c r="L2">
        <v>392.06267000000003</v>
      </c>
      <c r="M2">
        <v>-622.48857199999998</v>
      </c>
      <c r="N2">
        <v>2.192475</v>
      </c>
      <c r="O2">
        <v>5.0978019999999997</v>
      </c>
      <c r="P2">
        <f xml:space="preserve"> N2*0.001/60</f>
        <v>3.6541250000000005E-5</v>
      </c>
      <c r="Q2" cm="1">
        <f t="array" ref="Q2">[1]!PropsSI("D","T",J2+273.15,"P",101325,"Water")</f>
        <v>985.40754358906293</v>
      </c>
      <c r="R2" cm="1">
        <f t="array" ref="R2">[1]!PropsSI("D","T",K2+273.15,"P",101325,"Water")</f>
        <v>987.8177138665751</v>
      </c>
      <c r="S2">
        <f>(Q2+R2)/2</f>
        <v>986.61262872781901</v>
      </c>
      <c r="T2" cm="1">
        <f t="array" ref="T2">[1]!PropsSI("H","T",J2+273.15,"P",101325,"Water")</f>
        <v>232786.71266423128</v>
      </c>
      <c r="U2" cm="1">
        <f t="array" ref="U2">[1]!PropsSI("H","T",K2+273.15,"P",101325,"Water")</f>
        <v>211420.75212996273</v>
      </c>
      <c r="V2">
        <f>S2*P2*(T2-U2)</f>
        <v>770.28686377997849</v>
      </c>
    </row>
    <row r="3" spans="1:22" x14ac:dyDescent="0.2">
      <c r="A3">
        <v>44604.581304240397</v>
      </c>
      <c r="B3">
        <v>20.328764</v>
      </c>
      <c r="C3">
        <v>20.167418000000001</v>
      </c>
      <c r="D3">
        <v>20.160291999999998</v>
      </c>
      <c r="E3">
        <v>20.229438999999999</v>
      </c>
      <c r="F3">
        <v>32.015357999999999</v>
      </c>
      <c r="G3">
        <v>31.493593000000001</v>
      </c>
      <c r="H3">
        <v>23.580228999999999</v>
      </c>
      <c r="I3">
        <v>22.148375000000001</v>
      </c>
      <c r="J3">
        <v>55.547260000000001</v>
      </c>
      <c r="K3">
        <v>50.445321</v>
      </c>
      <c r="L3">
        <v>392.79242900000003</v>
      </c>
      <c r="M3">
        <v>-622.474695</v>
      </c>
      <c r="N3">
        <v>2.1962950000000001</v>
      </c>
      <c r="O3">
        <v>4.5862350000000003</v>
      </c>
      <c r="P3">
        <f t="shared" ref="P3" si="0" xml:space="preserve"> N3*0.001/60</f>
        <v>3.6604916666666669E-5</v>
      </c>
      <c r="Q3" cm="1">
        <f t="array" ref="Q3">[1]!PropsSI("D","T",J3+273.15,"P",101325,"Water")</f>
        <v>985.42717910478927</v>
      </c>
      <c r="R3" cm="1">
        <f t="array" ref="R3">[1]!PropsSI("D","T",K3+273.15,"P",101325,"Water")</f>
        <v>987.83297939344288</v>
      </c>
      <c r="S3">
        <f>(Q3+R3)/2</f>
        <v>986.63007924911608</v>
      </c>
      <c r="T3" cm="1">
        <f t="array" ref="T3">[1]!PropsSI("H","T",J3+273.15,"P",101325,"Water")</f>
        <v>232618.29429007325</v>
      </c>
      <c r="U3" cm="1">
        <f t="array" ref="U3">[1]!PropsSI("H","T",K3+273.15,"P",101325,"Water")</f>
        <v>211280.55982489081</v>
      </c>
      <c r="V3">
        <f t="shared" ref="V3:V11" si="1">S3*P3*(T3-U3)</f>
        <v>770.62320153983603</v>
      </c>
    </row>
    <row r="4" spans="1:22" x14ac:dyDescent="0.2">
      <c r="A4">
        <v>44604.5814205598</v>
      </c>
      <c r="B4">
        <v>20.420379000000001</v>
      </c>
      <c r="C4">
        <v>20.333504000000001</v>
      </c>
      <c r="D4">
        <v>20.155025999999999</v>
      </c>
      <c r="E4">
        <v>20.164263999999999</v>
      </c>
      <c r="F4">
        <v>32.063070000000003</v>
      </c>
      <c r="G4">
        <v>31.199680000000001</v>
      </c>
      <c r="H4">
        <v>23.630579999999998</v>
      </c>
      <c r="I4">
        <v>21.837783999999999</v>
      </c>
      <c r="J4">
        <v>55.511614000000002</v>
      </c>
      <c r="K4">
        <v>50.414971999999999</v>
      </c>
      <c r="L4">
        <v>367.14473400000003</v>
      </c>
      <c r="M4">
        <v>-622.48938799999996</v>
      </c>
      <c r="N4">
        <v>2.209981</v>
      </c>
      <c r="O4">
        <v>4.6425939999999999</v>
      </c>
      <c r="P4">
        <f xml:space="preserve"> N4*0.001/60</f>
        <v>3.6833016666666668E-5</v>
      </c>
      <c r="Q4" cm="1">
        <f t="array" ref="Q4">[1]!PropsSI("D","T",J4+273.15,"P",101325,"Water")</f>
        <v>985.44455550823056</v>
      </c>
      <c r="R4" cm="1">
        <f t="array" ref="R4">[1]!PropsSI("D","T",K4+273.15,"P",101325,"Water")</f>
        <v>987.84679158675272</v>
      </c>
      <c r="S4">
        <f t="shared" ref="S4:S11" si="2">(Q4+R4)/2</f>
        <v>986.6456735474917</v>
      </c>
      <c r="T4" cm="1">
        <f t="array" ref="T4">[1]!PropsSI("H","T",J4+273.15,"P",101325,"Water")</f>
        <v>232469.18171937601</v>
      </c>
      <c r="U4" cm="1">
        <f t="array" ref="U4">[1]!PropsSI("H","T",K4+273.15,"P",101325,"Water")</f>
        <v>211153.65652793841</v>
      </c>
      <c r="V4">
        <f t="shared" si="1"/>
        <v>774.63041135842684</v>
      </c>
    </row>
    <row r="5" spans="1:22" x14ac:dyDescent="0.2">
      <c r="A5">
        <v>44604.581536300597</v>
      </c>
      <c r="B5">
        <v>20.365915999999999</v>
      </c>
      <c r="C5">
        <v>20.168272999999999</v>
      </c>
      <c r="D5">
        <v>20.216623999999999</v>
      </c>
      <c r="E5">
        <v>20.233271999999999</v>
      </c>
      <c r="F5">
        <v>31.942685999999998</v>
      </c>
      <c r="G5">
        <v>31.205914</v>
      </c>
      <c r="H5">
        <v>23.718992</v>
      </c>
      <c r="I5">
        <v>21.860472999999999</v>
      </c>
      <c r="J5">
        <v>55.477559999999997</v>
      </c>
      <c r="K5">
        <v>50.380333999999998</v>
      </c>
      <c r="L5">
        <v>387.90042899999997</v>
      </c>
      <c r="M5">
        <v>-622.506122</v>
      </c>
      <c r="N5">
        <v>2.2089490000000001</v>
      </c>
      <c r="O5">
        <v>4.8393879999999996</v>
      </c>
      <c r="P5">
        <f t="shared" ref="P5:P11" si="3" xml:space="preserve"> N5*0.001/60</f>
        <v>3.6815816666666664E-5</v>
      </c>
      <c r="Q5" cm="1">
        <f t="array" ref="Q5">[1]!PropsSI("D","T",J5+273.15,"P",101325,"Water")</f>
        <v>985.46114852895016</v>
      </c>
      <c r="R5" cm="1">
        <f t="array" ref="R5">[1]!PropsSI("D","T",K5+273.15,"P",101325,"Water")</f>
        <v>987.86254840771039</v>
      </c>
      <c r="S5">
        <f t="shared" si="2"/>
        <v>986.66184846833028</v>
      </c>
      <c r="T5" cm="1">
        <f t="array" ref="T5">[1]!PropsSI("H","T",J5+273.15,"P",101325,"Water")</f>
        <v>232326.72916237667</v>
      </c>
      <c r="U5" cm="1">
        <f t="array" ref="U5">[1]!PropsSI("H","T",K5+273.15,"P",101325,"Water")</f>
        <v>211008.81925150455</v>
      </c>
      <c r="V5">
        <f t="shared" si="1"/>
        <v>774.36799799180483</v>
      </c>
    </row>
    <row r="6" spans="1:22" x14ac:dyDescent="0.2">
      <c r="A6">
        <v>46066.581652037035</v>
      </c>
      <c r="B6">
        <v>20.401501</v>
      </c>
      <c r="C6">
        <v>20.164556999999999</v>
      </c>
      <c r="D6">
        <v>20.202928</v>
      </c>
      <c r="E6">
        <v>20.184795000000001</v>
      </c>
      <c r="F6">
        <v>31.945406999999999</v>
      </c>
      <c r="G6">
        <v>30.664414000000001</v>
      </c>
      <c r="H6">
        <v>23.246137999999998</v>
      </c>
      <c r="I6">
        <v>22.087171000000001</v>
      </c>
      <c r="J6">
        <v>55.441915000000002</v>
      </c>
      <c r="K6">
        <v>50.342199999999998</v>
      </c>
      <c r="L6">
        <v>398.04481900000002</v>
      </c>
      <c r="M6">
        <v>-622.48897999999997</v>
      </c>
      <c r="N6">
        <v>2.2072889999999998</v>
      </c>
      <c r="O6">
        <v>5.0945099999999996</v>
      </c>
      <c r="P6">
        <f t="shared" si="3"/>
        <v>3.6788149999999998E-5</v>
      </c>
      <c r="Q6" cm="1">
        <f t="array" ref="Q6">[1]!PropsSI("D","T",J6+273.15,"P",101325,"Water")</f>
        <v>985.47850910080626</v>
      </c>
      <c r="R6" cm="1">
        <f t="array" ref="R6">[1]!PropsSI("D","T",K6+273.15,"P",101325,"Water")</f>
        <v>987.87988649671661</v>
      </c>
      <c r="S6">
        <f t="shared" si="2"/>
        <v>986.67919779876138</v>
      </c>
      <c r="T6" cm="1">
        <f t="array" ref="T6">[1]!PropsSI("H","T",J6+273.15,"P",101325,"Water")</f>
        <v>232177.62169230179</v>
      </c>
      <c r="U6" cm="1">
        <f t="array" ref="U6">[1]!PropsSI("H","T",K6+273.15,"P",101325,"Water")</f>
        <v>210849.36400564358</v>
      </c>
      <c r="V6">
        <f t="shared" si="1"/>
        <v>774.17528004160351</v>
      </c>
    </row>
    <row r="7" spans="1:22" x14ac:dyDescent="0.2">
      <c r="A7">
        <v>46066.581768356482</v>
      </c>
      <c r="B7">
        <v>20.28397</v>
      </c>
      <c r="C7">
        <v>20.209605</v>
      </c>
      <c r="D7">
        <v>20.227302000000002</v>
      </c>
      <c r="E7">
        <v>20.179971999999999</v>
      </c>
      <c r="F7">
        <v>31.900030999999998</v>
      </c>
      <c r="G7">
        <v>30.914355</v>
      </c>
      <c r="H7">
        <v>23.525953999999999</v>
      </c>
      <c r="I7">
        <v>21.919471000000001</v>
      </c>
      <c r="J7">
        <v>55.399586999999997</v>
      </c>
      <c r="K7">
        <v>50.295805000000001</v>
      </c>
      <c r="L7">
        <v>410.04136099999999</v>
      </c>
      <c r="M7">
        <v>-622.50367300000005</v>
      </c>
      <c r="N7">
        <v>2.2072479999999999</v>
      </c>
      <c r="O7">
        <v>4.902698</v>
      </c>
      <c r="P7">
        <f t="shared" si="3"/>
        <v>3.678746666666666E-5</v>
      </c>
      <c r="Q7" cm="1">
        <f t="array" ref="Q7">[1]!PropsSI("D","T",J7+273.15,"P",101325,"Water")</f>
        <v>985.49911436906837</v>
      </c>
      <c r="R7" cm="1">
        <f t="array" ref="R7">[1]!PropsSI("D","T",K7+273.15,"P",101325,"Water")</f>
        <v>987.90096773846005</v>
      </c>
      <c r="S7">
        <f t="shared" si="2"/>
        <v>986.70004105376415</v>
      </c>
      <c r="T7" cm="1">
        <f t="array" ref="T7">[1]!PropsSI("H","T",J7+273.15,"P",101325,"Water")</f>
        <v>232000.55900971088</v>
      </c>
      <c r="U7" cm="1">
        <f t="array" ref="U7">[1]!PropsSI("H","T",K7+273.15,"P",101325,"Water")</f>
        <v>210655.36640347453</v>
      </c>
      <c r="V7">
        <f t="shared" si="1"/>
        <v>774.79196076448466</v>
      </c>
    </row>
    <row r="8" spans="1:22" x14ac:dyDescent="0.2">
      <c r="A8">
        <v>46066.581884097221</v>
      </c>
      <c r="B8">
        <v>20.541187999999998</v>
      </c>
      <c r="C8">
        <v>20.271525</v>
      </c>
      <c r="D8">
        <v>20.227692000000001</v>
      </c>
      <c r="E8">
        <v>20.207927999999999</v>
      </c>
      <c r="F8">
        <v>31.887934000000001</v>
      </c>
      <c r="G8">
        <v>30.765739</v>
      </c>
      <c r="H8">
        <v>23.609835</v>
      </c>
      <c r="I8">
        <v>21.927959999999999</v>
      </c>
      <c r="J8">
        <v>55.372376000000003</v>
      </c>
      <c r="K8">
        <v>50.260691000000001</v>
      </c>
      <c r="L8">
        <v>412.63143600000001</v>
      </c>
      <c r="M8">
        <v>-622.50326500000006</v>
      </c>
      <c r="N8">
        <v>2.2019000000000002</v>
      </c>
      <c r="O8">
        <v>4.636609</v>
      </c>
      <c r="P8">
        <f t="shared" si="3"/>
        <v>3.6698333333333334E-5</v>
      </c>
      <c r="Q8" cm="1">
        <f t="array" ref="Q8">[1]!PropsSI("D","T",J8+273.15,"P",101325,"Water")</f>
        <v>985.51235483374433</v>
      </c>
      <c r="R8" cm="1">
        <f t="array" ref="R8">[1]!PropsSI("D","T",K8+273.15,"P",101325,"Water")</f>
        <v>987.9169136964374</v>
      </c>
      <c r="S8">
        <f t="shared" si="2"/>
        <v>986.71463426509081</v>
      </c>
      <c r="T8" cm="1">
        <f t="array" ref="T8">[1]!PropsSI("H","T",J8+273.15,"P",101325,"Water")</f>
        <v>231886.73274997814</v>
      </c>
      <c r="U8" cm="1">
        <f t="array" ref="U8">[1]!PropsSI("H","T",K8+273.15,"P",101325,"Water")</f>
        <v>210508.53996336632</v>
      </c>
      <c r="V8">
        <f t="shared" si="1"/>
        <v>774.1210903750723</v>
      </c>
    </row>
    <row r="9" spans="1:22" x14ac:dyDescent="0.2">
      <c r="A9">
        <v>46066.581999837967</v>
      </c>
      <c r="B9">
        <v>20.441707999999998</v>
      </c>
      <c r="C9">
        <v>20.197934</v>
      </c>
      <c r="D9">
        <v>20.235132</v>
      </c>
      <c r="E9">
        <v>20.291792999999998</v>
      </c>
      <c r="F9">
        <v>31.896341</v>
      </c>
      <c r="G9">
        <v>31.013387999999999</v>
      </c>
      <c r="H9">
        <v>23.747295999999999</v>
      </c>
      <c r="I9">
        <v>22.19961</v>
      </c>
      <c r="J9">
        <v>55.348030000000001</v>
      </c>
      <c r="K9">
        <v>50.234316</v>
      </c>
      <c r="L9">
        <v>419.21518800000001</v>
      </c>
      <c r="M9">
        <v>-622.46694000000002</v>
      </c>
      <c r="N9">
        <v>2.2075019999999999</v>
      </c>
      <c r="O9">
        <v>4.644755</v>
      </c>
      <c r="P9">
        <f t="shared" si="3"/>
        <v>3.6791700000000002E-5</v>
      </c>
      <c r="Q9" cm="1">
        <f t="array" ref="Q9">[1]!PropsSI("D","T",J9+273.15,"P",101325,"Water")</f>
        <v>985.52419735135197</v>
      </c>
      <c r="R9" cm="1">
        <f t="array" ref="R9">[1]!PropsSI("D","T",K9+273.15,"P",101325,"Water")</f>
        <v>987.92888579984083</v>
      </c>
      <c r="S9">
        <f t="shared" si="2"/>
        <v>986.72654157559646</v>
      </c>
      <c r="T9" cm="1">
        <f t="array" ref="T9">[1]!PropsSI("H","T",J9+273.15,"P",101325,"Water")</f>
        <v>231784.89129448534</v>
      </c>
      <c r="U9" cm="1">
        <f t="array" ref="U9">[1]!PropsSI("H","T",K9+273.15,"P",101325,"Water")</f>
        <v>210398.25520002097</v>
      </c>
      <c r="V9">
        <f t="shared" si="1"/>
        <v>776.40646915470438</v>
      </c>
    </row>
    <row r="10" spans="1:22" x14ac:dyDescent="0.2">
      <c r="A10">
        <v>44604.582115582998</v>
      </c>
      <c r="B10">
        <v>20.434217</v>
      </c>
      <c r="C10">
        <v>20.278039</v>
      </c>
      <c r="D10">
        <v>20.259271999999999</v>
      </c>
      <c r="E10">
        <v>20.268820000000002</v>
      </c>
      <c r="F10">
        <v>31.859811000000001</v>
      </c>
      <c r="G10">
        <v>31.196061</v>
      </c>
      <c r="H10">
        <v>23.387955999999999</v>
      </c>
      <c r="I10">
        <v>21.938915999999999</v>
      </c>
      <c r="J10">
        <v>55.320661000000001</v>
      </c>
      <c r="K10">
        <v>50.209530000000001</v>
      </c>
      <c r="L10">
        <v>378.94536699999998</v>
      </c>
      <c r="M10">
        <v>-622.47673599999996</v>
      </c>
      <c r="N10">
        <v>2.2086990000000002</v>
      </c>
      <c r="O10">
        <v>5.3584649999999998</v>
      </c>
      <c r="P10">
        <f t="shared" si="3"/>
        <v>3.6811650000000002E-5</v>
      </c>
      <c r="Q10" cm="1">
        <f t="array" ref="Q10">[1]!PropsSI("D","T",J10+273.15,"P",101325,"Water")</f>
        <v>985.5375059560489</v>
      </c>
      <c r="R10" cm="1">
        <f t="array" ref="R10">[1]!PropsSI("D","T",K10+273.15,"P",101325,"Water")</f>
        <v>987.94013247893804</v>
      </c>
      <c r="S10">
        <f t="shared" si="2"/>
        <v>986.73881921749353</v>
      </c>
      <c r="T10" cm="1">
        <f t="array" ref="T10">[1]!PropsSI("H","T",J10+273.15,"P",101325,"Water")</f>
        <v>231670.4046243518</v>
      </c>
      <c r="U10" cm="1">
        <f t="array" ref="U10">[1]!PropsSI("H","T",K10+273.15,"P",101325,"Water")</f>
        <v>210294.61488344581</v>
      </c>
      <c r="V10">
        <f t="shared" si="1"/>
        <v>776.44315780502404</v>
      </c>
    </row>
    <row r="11" spans="1:22" x14ac:dyDescent="0.2">
      <c r="A11">
        <v>44604.582231902401</v>
      </c>
      <c r="B11">
        <v>20.433454000000001</v>
      </c>
      <c r="C11">
        <v>20.331147999999999</v>
      </c>
      <c r="D11">
        <v>20.228110000000001</v>
      </c>
      <c r="E11">
        <v>20.293801999999999</v>
      </c>
      <c r="F11">
        <v>31.869509000000001</v>
      </c>
      <c r="G11">
        <v>31.250433000000001</v>
      </c>
      <c r="H11">
        <v>23.601486000000001</v>
      </c>
      <c r="I11">
        <v>21.991664</v>
      </c>
      <c r="J11">
        <v>55.295838000000003</v>
      </c>
      <c r="K11">
        <v>50.181249000000001</v>
      </c>
      <c r="L11">
        <v>403.966972</v>
      </c>
      <c r="M11">
        <v>-622.49469399999998</v>
      </c>
      <c r="N11">
        <v>2.1991749999999999</v>
      </c>
      <c r="O11">
        <v>4.8891260000000001</v>
      </c>
      <c r="P11">
        <f t="shared" si="3"/>
        <v>3.6652916666666666E-5</v>
      </c>
      <c r="Q11" cm="1">
        <f t="array" ref="Q11">[1]!PropsSI("D","T",J11+273.15,"P",101325,"Water")</f>
        <v>985.54957252043744</v>
      </c>
      <c r="R11" cm="1">
        <f t="array" ref="R11">[1]!PropsSI("D","T",K11+273.15,"P",101325,"Water")</f>
        <v>987.95296010838331</v>
      </c>
      <c r="S11">
        <f t="shared" si="2"/>
        <v>986.75126631441037</v>
      </c>
      <c r="T11" cm="1">
        <f t="array" ref="T11">[1]!PropsSI("H","T",J11+273.15,"P",101325,"Water")</f>
        <v>231566.56830907534</v>
      </c>
      <c r="U11" cm="1">
        <f t="array" ref="U11">[1]!PropsSI("H","T",K11+273.15,"P",101325,"Water")</f>
        <v>210176.3607696229</v>
      </c>
      <c r="V11">
        <f t="shared" si="1"/>
        <v>773.62630843269346</v>
      </c>
    </row>
    <row r="12" spans="1:22" x14ac:dyDescent="0.2">
      <c r="A12">
        <v>44604.582348221898</v>
      </c>
      <c r="B12">
        <v>20.489640000000001</v>
      </c>
      <c r="C12">
        <v>20.471834000000001</v>
      </c>
      <c r="D12">
        <v>20.268265</v>
      </c>
      <c r="E12">
        <v>20.277491000000001</v>
      </c>
      <c r="F12">
        <v>31.884257999999999</v>
      </c>
      <c r="G12">
        <v>31.194179999999999</v>
      </c>
      <c r="H12">
        <v>23.761305</v>
      </c>
      <c r="I12">
        <v>21.925771000000001</v>
      </c>
      <c r="J12">
        <v>55.280403</v>
      </c>
      <c r="K12">
        <v>50.163454999999999</v>
      </c>
      <c r="L12">
        <v>377.65726899999999</v>
      </c>
      <c r="M12">
        <v>-622.50204099999996</v>
      </c>
      <c r="N12">
        <v>2.2087970000000001</v>
      </c>
      <c r="O12">
        <v>5.2000739999999999</v>
      </c>
      <c r="P12">
        <f t="shared" ref="P12:P41" si="4" xml:space="preserve"> N12*0.001/60</f>
        <v>3.6813283333333339E-5</v>
      </c>
      <c r="Q12" cm="1">
        <f t="array" ref="Q12">[1]!PropsSI("D","T",J12+273.15,"P",101325,"Water")</f>
        <v>985.55707361588918</v>
      </c>
      <c r="R12" cm="1">
        <f t="array" ref="R12">[1]!PropsSI("D","T",K12+273.15,"P",101325,"Water")</f>
        <v>987.96102838589559</v>
      </c>
      <c r="S12">
        <f t="shared" ref="S12:S41" si="5">(Q12+R12)/2</f>
        <v>986.75905100089244</v>
      </c>
      <c r="T12" cm="1">
        <f t="array" ref="T12">[1]!PropsSI("H","T",J12+273.15,"P",101325,"Water")</f>
        <v>231502.00275693909</v>
      </c>
      <c r="U12" cm="1">
        <f t="array" ref="U12">[1]!PropsSI("H","T",K12+273.15,"P",101325,"Water")</f>
        <v>210101.95709262416</v>
      </c>
      <c r="V12">
        <f t="shared" ref="V12:V41" si="6">S12*P12*(T12-U12)</f>
        <v>777.37464605587945</v>
      </c>
    </row>
    <row r="13" spans="1:22" x14ac:dyDescent="0.2">
      <c r="A13">
        <v>44604.582463962601</v>
      </c>
      <c r="B13">
        <v>20.500914000000002</v>
      </c>
      <c r="C13">
        <v>20.361366</v>
      </c>
      <c r="D13">
        <v>20.213059000000001</v>
      </c>
      <c r="E13">
        <v>20.317039999999999</v>
      </c>
      <c r="F13">
        <v>32.025640000000003</v>
      </c>
      <c r="G13">
        <v>31.111539</v>
      </c>
      <c r="H13">
        <v>23.560237000000001</v>
      </c>
      <c r="I13">
        <v>21.895358000000002</v>
      </c>
      <c r="J13">
        <v>55.265923999999998</v>
      </c>
      <c r="K13">
        <v>50.142482000000001</v>
      </c>
      <c r="L13">
        <v>356.139162</v>
      </c>
      <c r="M13">
        <v>-622.51306099999999</v>
      </c>
      <c r="N13">
        <v>2.207182</v>
      </c>
      <c r="O13">
        <v>4.3803299999999998</v>
      </c>
      <c r="P13">
        <f t="shared" si="4"/>
        <v>3.6786366666666664E-5</v>
      </c>
      <c r="Q13" cm="1">
        <f t="array" ref="Q13">[1]!PropsSI("D","T",J13+273.15,"P",101325,"Water")</f>
        <v>985.56410877435621</v>
      </c>
      <c r="R13" cm="1">
        <f t="array" ref="R13">[1]!PropsSI("D","T",K13+273.15,"P",101325,"Water")</f>
        <v>987.97053544579649</v>
      </c>
      <c r="S13">
        <f t="shared" si="5"/>
        <v>986.76732211007629</v>
      </c>
      <c r="T13" cm="1">
        <f t="array" ref="T13">[1]!PropsSI("H","T",J13+273.15,"P",101325,"Water")</f>
        <v>231441.43629069274</v>
      </c>
      <c r="U13" cm="1">
        <f t="array" ref="U13">[1]!PropsSI("H","T",K13+273.15,"P",101325,"Water")</f>
        <v>210014.26088883265</v>
      </c>
      <c r="V13">
        <f t="shared" si="6"/>
        <v>777.79756464952095</v>
      </c>
    </row>
    <row r="14" spans="1:22" x14ac:dyDescent="0.2">
      <c r="A14">
        <v>44604.582579703398</v>
      </c>
      <c r="B14">
        <v>20.35229</v>
      </c>
      <c r="C14">
        <v>20.286877</v>
      </c>
      <c r="D14">
        <v>20.291550000000001</v>
      </c>
      <c r="E14">
        <v>20.340278999999999</v>
      </c>
      <c r="F14">
        <v>31.814444000000002</v>
      </c>
      <c r="G14">
        <v>30.719968000000001</v>
      </c>
      <c r="H14">
        <v>23.475394999999999</v>
      </c>
      <c r="I14">
        <v>21.80761</v>
      </c>
      <c r="J14">
        <v>55.251443999999999</v>
      </c>
      <c r="K14">
        <v>50.121034000000002</v>
      </c>
      <c r="L14">
        <v>406.49909000000002</v>
      </c>
      <c r="M14">
        <v>-622.49142900000004</v>
      </c>
      <c r="N14">
        <v>2.1991879999999999</v>
      </c>
      <c r="O14">
        <v>4.5570199999999996</v>
      </c>
      <c r="P14">
        <f t="shared" si="4"/>
        <v>3.665313333333333E-5</v>
      </c>
      <c r="Q14" cm="1">
        <f t="array" ref="Q14">[1]!PropsSI("D","T",J14+273.15,"P",101325,"Water")</f>
        <v>985.57114312070723</v>
      </c>
      <c r="R14" cm="1">
        <f t="array" ref="R14">[1]!PropsSI("D","T",K14+273.15,"P",101325,"Water")</f>
        <v>987.98025484402831</v>
      </c>
      <c r="S14">
        <f t="shared" si="5"/>
        <v>986.77569898236777</v>
      </c>
      <c r="T14" cm="1">
        <f t="array" ref="T14">[1]!PropsSI("H","T",J14+273.15,"P",101325,"Water")</f>
        <v>231380.86571811419</v>
      </c>
      <c r="U14" cm="1">
        <f t="array" ref="U14">[1]!PropsSI("H","T",K14+273.15,"P",101325,"Water")</f>
        <v>209924.57865655582</v>
      </c>
      <c r="V14">
        <f t="shared" si="6"/>
        <v>776.04002922293591</v>
      </c>
    </row>
    <row r="15" spans="1:22" x14ac:dyDescent="0.2">
      <c r="A15">
        <v>46066.582696018515</v>
      </c>
      <c r="B15">
        <v>20.231573999999998</v>
      </c>
      <c r="C15">
        <v>20.206638999999999</v>
      </c>
      <c r="D15">
        <v>20.189751000000001</v>
      </c>
      <c r="E15">
        <v>20.092946000000001</v>
      </c>
      <c r="F15">
        <v>31.777325999999999</v>
      </c>
      <c r="G15">
        <v>31.341922</v>
      </c>
      <c r="H15">
        <v>23.546994999999999</v>
      </c>
      <c r="I15">
        <v>21.756796000000001</v>
      </c>
      <c r="J15">
        <v>55.233463</v>
      </c>
      <c r="K15">
        <v>50.089894000000001</v>
      </c>
      <c r="L15">
        <v>393.06670100000002</v>
      </c>
      <c r="M15">
        <v>-622.49795900000004</v>
      </c>
      <c r="N15">
        <v>2.2083710000000001</v>
      </c>
      <c r="O15">
        <v>6.2347460000000003</v>
      </c>
      <c r="P15">
        <f t="shared" si="4"/>
        <v>3.6806183333333337E-5</v>
      </c>
      <c r="Q15" cm="1">
        <f t="array" ref="Q15">[1]!PropsSI("D","T",J15+273.15,"P",101325,"Water")</f>
        <v>985.57987643673698</v>
      </c>
      <c r="R15" cm="1">
        <f t="array" ref="R15">[1]!PropsSI("D","T",K15+273.15,"P",101325,"Water")</f>
        <v>987.99436091567452</v>
      </c>
      <c r="S15">
        <f t="shared" si="5"/>
        <v>986.78711867620575</v>
      </c>
      <c r="T15" cm="1">
        <f t="array" ref="T15">[1]!PropsSI("H","T",J15+273.15,"P",101325,"Water")</f>
        <v>231305.65039208531</v>
      </c>
      <c r="U15" cm="1">
        <f t="array" ref="U15">[1]!PropsSI("H","T",K15+273.15,"P",101325,"Water")</f>
        <v>209794.37072521535</v>
      </c>
      <c r="V15">
        <f t="shared" si="6"/>
        <v>781.28682942811599</v>
      </c>
    </row>
    <row r="16" spans="1:22" x14ac:dyDescent="0.2">
      <c r="A16">
        <v>46066.582811759261</v>
      </c>
      <c r="B16">
        <v>20.365873000000001</v>
      </c>
      <c r="C16">
        <v>20.403891999999999</v>
      </c>
      <c r="D16">
        <v>20.233294000000001</v>
      </c>
      <c r="E16">
        <v>20.212323000000001</v>
      </c>
      <c r="F16">
        <v>31.793116999999999</v>
      </c>
      <c r="G16">
        <v>31.460235999999998</v>
      </c>
      <c r="H16">
        <v>23.548976</v>
      </c>
      <c r="I16">
        <v>21.881602000000001</v>
      </c>
      <c r="J16">
        <v>55.220574999999997</v>
      </c>
      <c r="K16">
        <v>50.072575999999998</v>
      </c>
      <c r="L16">
        <v>386.63641100000001</v>
      </c>
      <c r="M16">
        <v>-622.49714300000005</v>
      </c>
      <c r="N16">
        <v>2.204494</v>
      </c>
      <c r="O16">
        <v>4.6228590000000001</v>
      </c>
      <c r="P16">
        <f t="shared" si="4"/>
        <v>3.6741566666666667E-5</v>
      </c>
      <c r="Q16" cm="1">
        <f t="array" ref="Q16">[1]!PropsSI("D","T",J16+273.15,"P",101325,"Water")</f>
        <v>985.58613486657043</v>
      </c>
      <c r="R16" cm="1">
        <f t="array" ref="R16">[1]!PropsSI("D","T",K16+273.15,"P",101325,"Water")</f>
        <v>988.00220302663399</v>
      </c>
      <c r="S16">
        <f t="shared" si="5"/>
        <v>986.79416894660221</v>
      </c>
      <c r="T16" cm="1">
        <f t="array" ref="T16">[1]!PropsSI("H","T",J16+273.15,"P",101325,"Water")</f>
        <v>231251.73938514901</v>
      </c>
      <c r="U16" cm="1">
        <f t="array" ref="U16">[1]!PropsSI("H","T",K16+273.15,"P",101325,"Water")</f>
        <v>209721.95784025692</v>
      </c>
      <c r="V16">
        <f t="shared" si="6"/>
        <v>780.59159103401919</v>
      </c>
    </row>
    <row r="17" spans="1:22" x14ac:dyDescent="0.2">
      <c r="A17">
        <v>46066.5829275</v>
      </c>
      <c r="B17">
        <v>20.463217</v>
      </c>
      <c r="C17">
        <v>20.388290999999999</v>
      </c>
      <c r="D17">
        <v>20.338854000000001</v>
      </c>
      <c r="E17">
        <v>20.340005999999999</v>
      </c>
      <c r="F17">
        <v>31.795341000000001</v>
      </c>
      <c r="G17">
        <v>31.040694999999999</v>
      </c>
      <c r="H17">
        <v>23.780705000000001</v>
      </c>
      <c r="I17">
        <v>21.854908999999999</v>
      </c>
      <c r="J17">
        <v>55.218823999999998</v>
      </c>
      <c r="K17">
        <v>50.073371000000002</v>
      </c>
      <c r="L17">
        <v>382.73579000000001</v>
      </c>
      <c r="M17">
        <v>-622.48244999999997</v>
      </c>
      <c r="N17">
        <v>2.202175</v>
      </c>
      <c r="O17">
        <v>4.2966620000000004</v>
      </c>
      <c r="P17">
        <f t="shared" si="4"/>
        <v>3.6702916666666667E-5</v>
      </c>
      <c r="Q17" cm="1">
        <f t="array" ref="Q17">[1]!PropsSI("D","T",J17+273.15,"P",101325,"Water")</f>
        <v>985.58698507509587</v>
      </c>
      <c r="R17" cm="1">
        <f t="array" ref="R17">[1]!PropsSI("D","T",K17+273.15,"P",101325,"Water")</f>
        <v>988.00184306978997</v>
      </c>
      <c r="S17">
        <f t="shared" si="5"/>
        <v>986.79441407244292</v>
      </c>
      <c r="T17" cm="1">
        <f t="array" ref="T17">[1]!PropsSI("H","T",J17+273.15,"P",101325,"Water")</f>
        <v>231244.414888531</v>
      </c>
      <c r="U17" cm="1">
        <f t="array" ref="U17">[1]!PropsSI("H","T",K17+273.15,"P",101325,"Water")</f>
        <v>209725.28202383404</v>
      </c>
      <c r="V17">
        <f t="shared" si="6"/>
        <v>779.3849712112717</v>
      </c>
    </row>
    <row r="18" spans="1:22" x14ac:dyDescent="0.2">
      <c r="A18">
        <v>46066.583043240738</v>
      </c>
      <c r="B18">
        <v>20.503609000000001</v>
      </c>
      <c r="C18">
        <v>20.385629999999999</v>
      </c>
      <c r="D18">
        <v>20.307877999999999</v>
      </c>
      <c r="E18">
        <v>20.351156</v>
      </c>
      <c r="F18">
        <v>31.892578</v>
      </c>
      <c r="G18">
        <v>31.032162</v>
      </c>
      <c r="H18">
        <v>23.825334000000002</v>
      </c>
      <c r="I18">
        <v>21.775812999999999</v>
      </c>
      <c r="J18">
        <v>55.215642000000003</v>
      </c>
      <c r="K18">
        <v>50.068922000000001</v>
      </c>
      <c r="L18">
        <v>382.46927299999999</v>
      </c>
      <c r="M18">
        <v>-622.52326400000004</v>
      </c>
      <c r="N18">
        <v>2.2027160000000001</v>
      </c>
      <c r="O18">
        <v>5.1515180000000003</v>
      </c>
      <c r="P18">
        <f t="shared" si="4"/>
        <v>3.671193333333333E-5</v>
      </c>
      <c r="Q18" cm="1">
        <f t="array" ref="Q18">[1]!PropsSI("D","T",J18+273.15,"P",101325,"Water")</f>
        <v>985.58853006563766</v>
      </c>
      <c r="R18" cm="1">
        <f t="array" ref="R18">[1]!PropsSI("D","T",K18+273.15,"P",101325,"Water")</f>
        <v>988.00385741657044</v>
      </c>
      <c r="S18">
        <f t="shared" si="5"/>
        <v>986.79619374110405</v>
      </c>
      <c r="T18" cm="1">
        <f t="array" ref="T18">[1]!PropsSI("H","T",J18+273.15,"P",101325,"Water")</f>
        <v>231231.10446972726</v>
      </c>
      <c r="U18" cm="1">
        <f t="array" ref="U18">[1]!PropsSI("H","T",K18+273.15,"P",101325,"Water")</f>
        <v>209706.67914221957</v>
      </c>
      <c r="V18">
        <f t="shared" si="6"/>
        <v>779.7695768104212</v>
      </c>
    </row>
    <row r="19" spans="1:22" x14ac:dyDescent="0.2">
      <c r="A19">
        <v>46066.583159560185</v>
      </c>
      <c r="B19">
        <v>20.231991000000001</v>
      </c>
      <c r="C19">
        <v>20.360987000000002</v>
      </c>
      <c r="D19">
        <v>20.241230000000002</v>
      </c>
      <c r="E19">
        <v>20.345379999999999</v>
      </c>
      <c r="F19">
        <v>31.802464000000001</v>
      </c>
      <c r="G19">
        <v>31.214341999999998</v>
      </c>
      <c r="H19">
        <v>23.591228000000001</v>
      </c>
      <c r="I19">
        <v>21.681795999999999</v>
      </c>
      <c r="J19">
        <v>55.209913999999998</v>
      </c>
      <c r="K19">
        <v>50.057642000000001</v>
      </c>
      <c r="L19">
        <v>389.05996299999998</v>
      </c>
      <c r="M19">
        <v>-622.46081800000002</v>
      </c>
      <c r="N19">
        <v>2.2067399999999999</v>
      </c>
      <c r="O19">
        <v>5.0831109999999997</v>
      </c>
      <c r="P19">
        <f t="shared" si="4"/>
        <v>3.6779000000000001E-5</v>
      </c>
      <c r="Q19" cm="1">
        <f t="array" ref="Q19">[1]!PropsSI("D","T",J19+273.15,"P",101325,"Water")</f>
        <v>985.59131108475913</v>
      </c>
      <c r="R19" cm="1">
        <f t="array" ref="R19">[1]!PropsSI("D","T",K19+273.15,"P",101325,"Water")</f>
        <v>988.00896401239777</v>
      </c>
      <c r="S19">
        <f t="shared" si="5"/>
        <v>986.8001375485785</v>
      </c>
      <c r="T19" cm="1">
        <f t="array" ref="T19">[1]!PropsSI("H","T",J19+273.15,"P",101325,"Water")</f>
        <v>231207.14405200153</v>
      </c>
      <c r="U19" cm="1">
        <f t="array" ref="U19">[1]!PropsSI("H","T",K19+273.15,"P",101325,"Water")</f>
        <v>209659.51339875176</v>
      </c>
      <c r="V19">
        <f t="shared" si="6"/>
        <v>782.03941274025851</v>
      </c>
    </row>
    <row r="20" spans="1:22" x14ac:dyDescent="0.2">
      <c r="A20">
        <v>46066.583275879631</v>
      </c>
      <c r="B20">
        <v>20.347290000000001</v>
      </c>
      <c r="C20">
        <v>20.383839999999999</v>
      </c>
      <c r="D20">
        <v>20.371772</v>
      </c>
      <c r="E20">
        <v>20.420594000000001</v>
      </c>
      <c r="F20">
        <v>31.846584</v>
      </c>
      <c r="G20">
        <v>31.451498999999998</v>
      </c>
      <c r="H20">
        <v>23.885352999999999</v>
      </c>
      <c r="I20">
        <v>21.898641999999999</v>
      </c>
      <c r="J20">
        <v>55.195433999999999</v>
      </c>
      <c r="K20">
        <v>50.041277999999998</v>
      </c>
      <c r="L20">
        <v>392.163073</v>
      </c>
      <c r="M20">
        <v>-622.47510299999999</v>
      </c>
      <c r="N20">
        <v>2.201384</v>
      </c>
      <c r="O20">
        <v>4.9059900000000001</v>
      </c>
      <c r="P20">
        <f t="shared" si="4"/>
        <v>3.6689733333333336E-5</v>
      </c>
      <c r="Q20" cm="1">
        <f t="array" ref="Q20">[1]!PropsSI("D","T",J20+273.15,"P",101325,"Water")</f>
        <v>985.59834040838723</v>
      </c>
      <c r="R20" cm="1">
        <f t="array" ref="R20">[1]!PropsSI("D","T",K20+273.15,"P",101325,"Water")</f>
        <v>988.0163707154029</v>
      </c>
      <c r="S20">
        <f t="shared" si="5"/>
        <v>986.80735556189506</v>
      </c>
      <c r="T20" cm="1">
        <f t="array" ref="T20">[1]!PropsSI("H","T",J20+273.15,"P",101325,"Water")</f>
        <v>231146.57377564066</v>
      </c>
      <c r="U20" cm="1">
        <f t="array" ref="U20">[1]!PropsSI("H","T",K20+273.15,"P",101325,"Water")</f>
        <v>209591.08968391086</v>
      </c>
      <c r="V20">
        <f t="shared" si="6"/>
        <v>780.43136293846919</v>
      </c>
    </row>
    <row r="21" spans="1:22" x14ac:dyDescent="0.2">
      <c r="A21">
        <v>46066.583392199071</v>
      </c>
      <c r="B21">
        <v>20.015118999999999</v>
      </c>
      <c r="C21">
        <v>20.246262999999999</v>
      </c>
      <c r="D21">
        <v>20.196635000000001</v>
      </c>
      <c r="E21">
        <v>20.272299</v>
      </c>
      <c r="F21">
        <v>31.586618999999999</v>
      </c>
      <c r="G21">
        <v>31.184249999999999</v>
      </c>
      <c r="H21">
        <v>23.772234999999998</v>
      </c>
      <c r="I21">
        <v>21.782171999999999</v>
      </c>
      <c r="J21">
        <v>55.194319999999998</v>
      </c>
      <c r="K21">
        <v>50.024754999999999</v>
      </c>
      <c r="L21">
        <v>405.85708099999999</v>
      </c>
      <c r="M21">
        <v>-622.48000100000002</v>
      </c>
      <c r="N21">
        <v>2.2061500000000001</v>
      </c>
      <c r="O21">
        <v>4.2917690000000004</v>
      </c>
      <c r="P21">
        <f t="shared" si="4"/>
        <v>3.6769166666666667E-5</v>
      </c>
      <c r="Q21" cm="1">
        <f t="array" ref="Q21">[1]!PropsSI("D","T",J21+273.15,"P",101325,"Water")</f>
        <v>985.59888114644593</v>
      </c>
      <c r="R21" cm="1">
        <f t="array" ref="R21">[1]!PropsSI("D","T",K21+273.15,"P",101325,"Water")</f>
        <v>988.02384760396365</v>
      </c>
      <c r="S21">
        <f t="shared" si="5"/>
        <v>986.81136437520479</v>
      </c>
      <c r="T21" cm="1">
        <f t="array" ref="T21">[1]!PropsSI("H","T",J21+273.15,"P",101325,"Water")</f>
        <v>231141.91388327623</v>
      </c>
      <c r="U21" cm="1">
        <f t="array" ref="U21">[1]!PropsSI("H","T",K21+273.15,"P",101325,"Water")</f>
        <v>209522.00121053949</v>
      </c>
      <c r="V21">
        <f t="shared" si="6"/>
        <v>784.46191697375571</v>
      </c>
    </row>
    <row r="22" spans="1:22" x14ac:dyDescent="0.2">
      <c r="A22">
        <v>46066.583508518517</v>
      </c>
      <c r="B22">
        <v>19.836642999999999</v>
      </c>
      <c r="C22">
        <v>20.219785999999999</v>
      </c>
      <c r="D22">
        <v>20.197091</v>
      </c>
      <c r="E22">
        <v>20.303533999999999</v>
      </c>
      <c r="F22">
        <v>31.483792999999999</v>
      </c>
      <c r="G22">
        <v>30.842556999999999</v>
      </c>
      <c r="H22">
        <v>23.574586</v>
      </c>
      <c r="I22">
        <v>21.702697000000001</v>
      </c>
      <c r="J22">
        <v>55.188433000000003</v>
      </c>
      <c r="K22">
        <v>50.011091999999998</v>
      </c>
      <c r="L22">
        <v>387.98083300000002</v>
      </c>
      <c r="M22">
        <v>-622.519183</v>
      </c>
      <c r="N22">
        <v>2.2065350000000001</v>
      </c>
      <c r="O22">
        <v>4.9877520000000004</v>
      </c>
      <c r="P22">
        <f t="shared" si="4"/>
        <v>3.6775583333333337E-5</v>
      </c>
      <c r="Q22" cm="1">
        <f t="array" ref="Q22">[1]!PropsSI("D","T",J22+273.15,"P",101325,"Water")</f>
        <v>985.60173858167741</v>
      </c>
      <c r="R22" cm="1">
        <f t="array" ref="R22">[1]!PropsSI("D","T",K22+273.15,"P",101325,"Water")</f>
        <v>988.03002895025122</v>
      </c>
      <c r="S22">
        <f t="shared" si="5"/>
        <v>986.81588376596437</v>
      </c>
      <c r="T22" cm="1">
        <f t="array" ref="T22">[1]!PropsSI("H","T",J22+273.15,"P",101325,"Water")</f>
        <v>231117.28840910693</v>
      </c>
      <c r="U22" cm="1">
        <f t="array" ref="U22">[1]!PropsSI("H","T",K22+273.15,"P",101325,"Water")</f>
        <v>209464.87146134046</v>
      </c>
      <c r="V22">
        <f t="shared" si="6"/>
        <v>785.78201227745285</v>
      </c>
    </row>
    <row r="23" spans="1:22" x14ac:dyDescent="0.2">
      <c r="A23">
        <v>46066.583624259256</v>
      </c>
      <c r="B23">
        <v>19.851244000000001</v>
      </c>
      <c r="C23">
        <v>20.198502999999999</v>
      </c>
      <c r="D23">
        <v>20.268892999999998</v>
      </c>
      <c r="E23">
        <v>20.265018000000001</v>
      </c>
      <c r="F23">
        <v>31.479557</v>
      </c>
      <c r="G23">
        <v>31.100731</v>
      </c>
      <c r="H23">
        <v>23.537068999999999</v>
      </c>
      <c r="I23">
        <v>21.798423</v>
      </c>
      <c r="J23">
        <v>55.182068999999998</v>
      </c>
      <c r="K23">
        <v>49.998381999999999</v>
      </c>
      <c r="L23">
        <v>399.31006200000002</v>
      </c>
      <c r="M23">
        <v>-622.47755199999995</v>
      </c>
      <c r="N23">
        <v>2.206232</v>
      </c>
      <c r="O23">
        <v>5.041709</v>
      </c>
      <c r="P23">
        <f t="shared" si="4"/>
        <v>3.677053333333333E-5</v>
      </c>
      <c r="Q23" cm="1">
        <f t="array" ref="Q23">[1]!PropsSI("D","T",J23+273.15,"P",101325,"Water")</f>
        <v>985.60482730188198</v>
      </c>
      <c r="R23" cm="1">
        <f t="array" ref="R23">[1]!PropsSI("D","T",K23+273.15,"P",101325,"Water")</f>
        <v>988.03577804584245</v>
      </c>
      <c r="S23">
        <f t="shared" si="5"/>
        <v>986.82030267386222</v>
      </c>
      <c r="T23" cm="1">
        <f t="array" ref="T23">[1]!PropsSI("H","T",J23+273.15,"P",101325,"Water")</f>
        <v>231090.6676457687</v>
      </c>
      <c r="U23" cm="1">
        <f t="array" ref="U23">[1]!PropsSI("H","T",K23+273.15,"P",101325,"Water")</f>
        <v>209411.72658363142</v>
      </c>
      <c r="V23">
        <f t="shared" si="6"/>
        <v>786.64007898708496</v>
      </c>
    </row>
    <row r="24" spans="1:22" x14ac:dyDescent="0.2">
      <c r="A24">
        <v>46066.583740578702</v>
      </c>
      <c r="B24">
        <v>19.944946999999999</v>
      </c>
      <c r="C24">
        <v>20.143024</v>
      </c>
      <c r="D24">
        <v>20.186741000000001</v>
      </c>
      <c r="E24">
        <v>20.283873</v>
      </c>
      <c r="F24">
        <v>31.44144</v>
      </c>
      <c r="G24">
        <v>31.036514</v>
      </c>
      <c r="H24">
        <v>23.545850000000002</v>
      </c>
      <c r="I24">
        <v>21.817948999999999</v>
      </c>
      <c r="J24">
        <v>55.175704000000003</v>
      </c>
      <c r="K24">
        <v>49.987578999999997</v>
      </c>
      <c r="L24">
        <v>381.52278899999999</v>
      </c>
      <c r="M24">
        <v>-622.50285699999995</v>
      </c>
      <c r="N24">
        <v>2.2058059999999999</v>
      </c>
      <c r="O24">
        <v>5.1245510000000003</v>
      </c>
      <c r="P24">
        <f t="shared" si="4"/>
        <v>3.6763433333333328E-5</v>
      </c>
      <c r="Q24" cm="1">
        <f t="array" ref="Q24">[1]!PropsSI("D","T",J24+273.15,"P",101325,"Water")</f>
        <v>985.60791625641332</v>
      </c>
      <c r="R24" cm="1">
        <f t="array" ref="R24">[1]!PropsSI("D","T",K24+273.15,"P",101325,"Water")</f>
        <v>988.04066371783438</v>
      </c>
      <c r="S24">
        <f t="shared" si="5"/>
        <v>986.82428998712385</v>
      </c>
      <c r="T24" cm="1">
        <f t="array" ref="T24">[1]!PropsSI("H","T",J24+273.15,"P",101325,"Water")</f>
        <v>231064.04271415548</v>
      </c>
      <c r="U24" cm="1">
        <f t="array" ref="U24">[1]!PropsSI("H","T",K24+273.15,"P",101325,"Water")</f>
        <v>209366.55556417105</v>
      </c>
      <c r="V24">
        <f t="shared" si="6"/>
        <v>787.1641994185909</v>
      </c>
    </row>
    <row r="25" spans="1:22" x14ac:dyDescent="0.2">
      <c r="A25">
        <v>46066.583856319441</v>
      </c>
      <c r="B25">
        <v>19.662019999999998</v>
      </c>
      <c r="C25">
        <v>20.102855999999999</v>
      </c>
      <c r="D25">
        <v>20.026337999999999</v>
      </c>
      <c r="E25">
        <v>20.156372000000001</v>
      </c>
      <c r="F25">
        <v>31.363356</v>
      </c>
      <c r="G25">
        <v>31.029229999999998</v>
      </c>
      <c r="H25">
        <v>23.226362000000002</v>
      </c>
      <c r="I25">
        <v>21.681861000000001</v>
      </c>
      <c r="J25">
        <v>55.169497999999997</v>
      </c>
      <c r="K25">
        <v>49.971055999999997</v>
      </c>
      <c r="L25">
        <v>389.71829700000001</v>
      </c>
      <c r="M25">
        <v>-622.48163399999999</v>
      </c>
      <c r="N25">
        <v>2.2020270000000002</v>
      </c>
      <c r="O25">
        <v>4.9745609999999996</v>
      </c>
      <c r="P25">
        <f t="shared" si="4"/>
        <v>3.6700450000000002E-5</v>
      </c>
      <c r="Q25" cm="1">
        <f t="array" ref="Q25">[1]!PropsSI("D","T",J25+273.15,"P",101325,"Water")</f>
        <v>985.61092780603474</v>
      </c>
      <c r="R25" cm="1">
        <f t="array" ref="R25">[1]!PropsSI("D","T",K25+273.15,"P",101325,"Water")</f>
        <v>988.04813478684969</v>
      </c>
      <c r="S25">
        <f t="shared" si="5"/>
        <v>986.82953129644216</v>
      </c>
      <c r="T25" cm="1">
        <f t="array" ref="T25">[1]!PropsSI("H","T",J25+273.15,"P",101325,"Water")</f>
        <v>231038.08289723014</v>
      </c>
      <c r="U25" cm="1">
        <f t="array" ref="U25">[1]!PropsSI("H","T",K25+273.15,"P",101325,"Water")</f>
        <v>209297.4673419132</v>
      </c>
      <c r="V25">
        <f t="shared" si="6"/>
        <v>787.38178395542491</v>
      </c>
    </row>
    <row r="26" spans="1:22" x14ac:dyDescent="0.2">
      <c r="A26">
        <v>46066.583972638888</v>
      </c>
      <c r="B26">
        <v>19.657183</v>
      </c>
      <c r="C26">
        <v>19.864401000000001</v>
      </c>
      <c r="D26">
        <v>20.100214999999999</v>
      </c>
      <c r="E26">
        <v>20.220524000000001</v>
      </c>
      <c r="F26">
        <v>31.167027999999998</v>
      </c>
      <c r="G26">
        <v>31.110827</v>
      </c>
      <c r="H26">
        <v>23.535529</v>
      </c>
      <c r="I26">
        <v>21.671209000000001</v>
      </c>
      <c r="J26">
        <v>55.165998000000002</v>
      </c>
      <c r="K26">
        <v>49.959299999999999</v>
      </c>
      <c r="L26">
        <v>391.84676200000001</v>
      </c>
      <c r="M26">
        <v>-622.48244999999997</v>
      </c>
      <c r="N26">
        <v>2.2037200000000001</v>
      </c>
      <c r="O26">
        <v>4.4155049999999996</v>
      </c>
      <c r="P26">
        <f t="shared" si="4"/>
        <v>3.6728666666666666E-5</v>
      </c>
      <c r="Q26" cm="1">
        <f t="array" ref="Q26">[1]!PropsSI("D","T",J26+273.15,"P",101325,"Water")</f>
        <v>985.61262612544181</v>
      </c>
      <c r="R26" cm="1">
        <f t="array" ref="R26">[1]!PropsSI("D","T",K26+273.15,"P",101325,"Water")</f>
        <v>988.05344930999865</v>
      </c>
      <c r="S26">
        <f t="shared" si="5"/>
        <v>986.83303771772023</v>
      </c>
      <c r="T26" cm="1">
        <f t="array" ref="T26">[1]!PropsSI("H","T",J26+273.15,"P",101325,"Water")</f>
        <v>231023.44233630507</v>
      </c>
      <c r="U26" cm="1">
        <f t="array" ref="U26">[1]!PropsSI("H","T",K26+273.15,"P",101325,"Water")</f>
        <v>209248.31159750678</v>
      </c>
      <c r="V26">
        <f t="shared" si="6"/>
        <v>789.24095710950451</v>
      </c>
    </row>
    <row r="27" spans="1:22" x14ac:dyDescent="0.2">
      <c r="A27">
        <v>46066.584088379626</v>
      </c>
      <c r="B27">
        <v>19.928667000000001</v>
      </c>
      <c r="C27">
        <v>20.130133000000001</v>
      </c>
      <c r="D27">
        <v>20.111412000000001</v>
      </c>
      <c r="E27">
        <v>20.309714</v>
      </c>
      <c r="F27">
        <v>31.493303999999998</v>
      </c>
      <c r="G27">
        <v>31.116803000000001</v>
      </c>
      <c r="H27">
        <v>23.60247</v>
      </c>
      <c r="I27">
        <v>21.908944000000002</v>
      </c>
      <c r="J27">
        <v>55.165838999999998</v>
      </c>
      <c r="K27">
        <v>49.958347000000003</v>
      </c>
      <c r="L27">
        <v>369.600121</v>
      </c>
      <c r="M27">
        <v>-622.51959099999999</v>
      </c>
      <c r="N27">
        <v>2.20424</v>
      </c>
      <c r="O27">
        <v>4.8111889999999997</v>
      </c>
      <c r="P27">
        <f t="shared" si="4"/>
        <v>3.6737333333333338E-5</v>
      </c>
      <c r="Q27" cm="1">
        <f t="array" ref="Q27">[1]!PropsSI("D","T",J27+273.15,"P",101325,"Water")</f>
        <v>985.6127032758759</v>
      </c>
      <c r="R27" cm="1">
        <f t="array" ref="R27">[1]!PropsSI("D","T",K27+273.15,"P",101325,"Water")</f>
        <v>988.05388009203557</v>
      </c>
      <c r="S27">
        <f t="shared" si="5"/>
        <v>986.83329168395574</v>
      </c>
      <c r="T27" cm="1">
        <f t="array" ref="T27">[1]!PropsSI("H","T",J27+273.15,"P",101325,"Water")</f>
        <v>231022.7772366532</v>
      </c>
      <c r="U27" cm="1">
        <f t="array" ref="U27">[1]!PropsSI("H","T",K27+273.15,"P",101325,"Water")</f>
        <v>209244.32678936058</v>
      </c>
      <c r="V27">
        <f t="shared" si="6"/>
        <v>789.54774469413144</v>
      </c>
    </row>
    <row r="28" spans="1:22" x14ac:dyDescent="0.2">
      <c r="A28">
        <v>46066.584204699073</v>
      </c>
      <c r="B28">
        <v>19.724264999999999</v>
      </c>
      <c r="C28">
        <v>20.128819</v>
      </c>
      <c r="D28">
        <v>20.067152</v>
      </c>
      <c r="E28">
        <v>20.260860000000001</v>
      </c>
      <c r="F28">
        <v>31.20553</v>
      </c>
      <c r="G28">
        <v>30.673549999999999</v>
      </c>
      <c r="H28">
        <v>23.513058000000001</v>
      </c>
      <c r="I28">
        <v>21.714888999999999</v>
      </c>
      <c r="J28">
        <v>55.160587999999997</v>
      </c>
      <c r="K28">
        <v>49.952469000000001</v>
      </c>
      <c r="L28">
        <v>375.231268</v>
      </c>
      <c r="M28">
        <v>-622.47959300000002</v>
      </c>
      <c r="N28">
        <v>2.207195</v>
      </c>
      <c r="O28">
        <v>4.9917800000000003</v>
      </c>
      <c r="P28">
        <f t="shared" si="4"/>
        <v>3.6786583333333334E-5</v>
      </c>
      <c r="Q28" cm="1">
        <f t="array" ref="Q28">[1]!PropsSI("D","T",J28+273.15,"P",101325,"Water")</f>
        <v>985.61525109270315</v>
      </c>
      <c r="R28" cm="1">
        <f t="array" ref="R28">[1]!PropsSI("D","T",K28+273.15,"P",101325,"Water")</f>
        <v>988.05653697674552</v>
      </c>
      <c r="S28">
        <f t="shared" si="5"/>
        <v>986.83589403472433</v>
      </c>
      <c r="T28" cm="1">
        <f t="array" ref="T28">[1]!PropsSI("H","T",J28+273.15,"P",101325,"Water")</f>
        <v>231000.81222094729</v>
      </c>
      <c r="U28" cm="1">
        <f t="array" ref="U28">[1]!PropsSI("H","T",K28+273.15,"P",101325,"Water")</f>
        <v>209219.74893335474</v>
      </c>
      <c r="V28">
        <f t="shared" si="6"/>
        <v>790.70314796897526</v>
      </c>
    </row>
    <row r="29" spans="1:22" x14ac:dyDescent="0.2">
      <c r="A29">
        <v>46066.584320439812</v>
      </c>
      <c r="B29">
        <v>19.676089000000001</v>
      </c>
      <c r="C29">
        <v>20.187646999999998</v>
      </c>
      <c r="D29">
        <v>20.110875</v>
      </c>
      <c r="E29">
        <v>20.231532999999999</v>
      </c>
      <c r="F29">
        <v>31.430810999999999</v>
      </c>
      <c r="G29">
        <v>30.734466000000001</v>
      </c>
      <c r="H29">
        <v>23.636761</v>
      </c>
      <c r="I29">
        <v>21.615749000000001</v>
      </c>
      <c r="J29">
        <v>55.155019000000003</v>
      </c>
      <c r="K29">
        <v>49.944049</v>
      </c>
      <c r="L29">
        <v>376.29039799999998</v>
      </c>
      <c r="M29">
        <v>-622.47102199999995</v>
      </c>
      <c r="N29">
        <v>2.2021670000000002</v>
      </c>
      <c r="O29">
        <v>4.5214759999999998</v>
      </c>
      <c r="P29">
        <f t="shared" si="4"/>
        <v>3.6702783333333334E-5</v>
      </c>
      <c r="Q29" cm="1">
        <f t="array" ref="Q29">[1]!PropsSI("D","T",J29+273.15,"P",101325,"Water")</f>
        <v>985.6179530183482</v>
      </c>
      <c r="R29" cm="1">
        <f t="array" ref="R29">[1]!PropsSI("D","T",K29+273.15,"P",101325,"Water")</f>
        <v>988.06034246281092</v>
      </c>
      <c r="S29">
        <f t="shared" si="5"/>
        <v>986.83914774057962</v>
      </c>
      <c r="T29" cm="1">
        <f t="array" ref="T29">[1]!PropsSI("H","T",J29+273.15,"P",101325,"Water")</f>
        <v>230977.51701717</v>
      </c>
      <c r="U29" cm="1">
        <f t="array" ref="U29">[1]!PropsSI("H","T",K29+273.15,"P",101325,"Water")</f>
        <v>209184.54215424313</v>
      </c>
      <c r="V29">
        <f t="shared" si="6"/>
        <v>789.33595798903957</v>
      </c>
    </row>
    <row r="30" spans="1:22" x14ac:dyDescent="0.2">
      <c r="A30">
        <v>46066.584436759258</v>
      </c>
      <c r="B30">
        <v>19.920193999999999</v>
      </c>
      <c r="C30">
        <v>20.195340999999999</v>
      </c>
      <c r="D30">
        <v>20.053335000000001</v>
      </c>
      <c r="E30">
        <v>20.271998</v>
      </c>
      <c r="F30">
        <v>31.519138000000002</v>
      </c>
      <c r="G30">
        <v>31.032257000000001</v>
      </c>
      <c r="H30">
        <v>23.591819000000001</v>
      </c>
      <c r="I30">
        <v>21.825398</v>
      </c>
      <c r="J30">
        <v>55.146427000000003</v>
      </c>
      <c r="K30">
        <v>49.940235999999999</v>
      </c>
      <c r="L30">
        <v>408.36756800000001</v>
      </c>
      <c r="M30">
        <v>-622.49795900000004</v>
      </c>
      <c r="N30">
        <v>2.203408</v>
      </c>
      <c r="O30">
        <v>5.3719599999999996</v>
      </c>
      <c r="P30">
        <f t="shared" si="4"/>
        <v>3.6723466666666668E-5</v>
      </c>
      <c r="Q30" cm="1">
        <f t="array" ref="Q30">[1]!PropsSI("D","T",J30+273.15,"P",101325,"Water")</f>
        <v>985.62212124333632</v>
      </c>
      <c r="R30" cm="1">
        <f t="array" ref="R30">[1]!PropsSI("D","T",K30+273.15,"P",101325,"Water")</f>
        <v>988.06206562546072</v>
      </c>
      <c r="S30">
        <f t="shared" si="5"/>
        <v>986.84209343439852</v>
      </c>
      <c r="T30" cm="1">
        <f t="array" ref="T30">[1]!PropsSI("H","T",J30+273.15,"P",101325,"Water")</f>
        <v>230941.576584981</v>
      </c>
      <c r="U30" cm="1">
        <f t="array" ref="U30">[1]!PropsSI("H","T",K30+273.15,"P",101325,"Water")</f>
        <v>209168.59875834367</v>
      </c>
      <c r="V30">
        <f t="shared" si="6"/>
        <v>789.05843671031369</v>
      </c>
    </row>
    <row r="31" spans="1:22" x14ac:dyDescent="0.2">
      <c r="A31">
        <v>46066.584553078705</v>
      </c>
      <c r="B31">
        <v>19.914556000000001</v>
      </c>
      <c r="C31">
        <v>20.137274000000001</v>
      </c>
      <c r="D31">
        <v>20.073283</v>
      </c>
      <c r="E31">
        <v>20.282779000000001</v>
      </c>
      <c r="F31">
        <v>31.270327999999999</v>
      </c>
      <c r="G31">
        <v>31.076203</v>
      </c>
      <c r="H31">
        <v>23.45964</v>
      </c>
      <c r="I31">
        <v>21.601724999999998</v>
      </c>
      <c r="J31">
        <v>55.141176000000002</v>
      </c>
      <c r="K31">
        <v>49.934834000000002</v>
      </c>
      <c r="L31">
        <v>382.41050000000001</v>
      </c>
      <c r="M31">
        <v>-622.47183800000005</v>
      </c>
      <c r="N31">
        <v>2.207363</v>
      </c>
      <c r="O31">
        <v>5.1840619999999999</v>
      </c>
      <c r="P31">
        <f t="shared" si="4"/>
        <v>3.6789383333333334E-5</v>
      </c>
      <c r="Q31" cm="1">
        <f t="array" ref="Q31">[1]!PropsSI("D","T",J31+273.15,"P",101325,"Water")</f>
        <v>985.62466842837898</v>
      </c>
      <c r="R31" cm="1">
        <f t="array" ref="R31">[1]!PropsSI("D","T",K31+273.15,"P",101325,"Water")</f>
        <v>988.06450672213668</v>
      </c>
      <c r="S31">
        <f t="shared" si="5"/>
        <v>986.84458757525783</v>
      </c>
      <c r="T31" cm="1">
        <f t="array" ref="T31">[1]!PropsSI("H","T",J31+273.15,"P",101325,"Water")</f>
        <v>230919.6116063582</v>
      </c>
      <c r="U31" cm="1">
        <f t="array" ref="U31">[1]!PropsSI("H","T",K31+273.15,"P",101325,"Water")</f>
        <v>209146.01124252184</v>
      </c>
      <c r="V31">
        <f t="shared" si="6"/>
        <v>790.4993538838504</v>
      </c>
    </row>
    <row r="32" spans="1:22" x14ac:dyDescent="0.2">
      <c r="A32">
        <v>46066.584669398151</v>
      </c>
      <c r="B32">
        <v>19.719536999999999</v>
      </c>
      <c r="C32">
        <v>20.129009</v>
      </c>
      <c r="D32">
        <v>19.943833999999999</v>
      </c>
      <c r="E32">
        <v>20.105740000000001</v>
      </c>
      <c r="F32">
        <v>31.361682999999999</v>
      </c>
      <c r="G32">
        <v>30.986547000000002</v>
      </c>
      <c r="H32">
        <v>23.552688</v>
      </c>
      <c r="I32">
        <v>21.55423</v>
      </c>
      <c r="J32">
        <v>55.140380999999998</v>
      </c>
      <c r="K32">
        <v>49.924984000000002</v>
      </c>
      <c r="L32">
        <v>394.93068899999997</v>
      </c>
      <c r="M32">
        <v>-622.51428499999997</v>
      </c>
      <c r="N32">
        <v>2.204421</v>
      </c>
      <c r="O32">
        <v>4.8043519999999997</v>
      </c>
      <c r="P32">
        <f t="shared" si="4"/>
        <v>3.6740349999999995E-5</v>
      </c>
      <c r="Q32" cm="1">
        <f t="array" ref="Q32">[1]!PropsSI("D","T",J32+273.15,"P",101325,"Water")</f>
        <v>985.62505405662068</v>
      </c>
      <c r="R32" cm="1">
        <f t="array" ref="R32">[1]!PropsSI("D","T",K32+273.15,"P",101325,"Water")</f>
        <v>988.06895732167573</v>
      </c>
      <c r="S32">
        <f t="shared" si="5"/>
        <v>986.8470056891482</v>
      </c>
      <c r="T32" cm="1">
        <f t="array" ref="T32">[1]!PropsSI("H","T",J32+273.15,"P",101325,"Water")</f>
        <v>230916.28611529706</v>
      </c>
      <c r="U32" cm="1">
        <f t="array" ref="U32">[1]!PropsSI("H","T",K32+273.15,"P",101325,"Water")</f>
        <v>209104.82521573364</v>
      </c>
      <c r="V32">
        <f t="shared" si="6"/>
        <v>790.82041463509643</v>
      </c>
    </row>
    <row r="33" spans="1:22" x14ac:dyDescent="0.2">
      <c r="A33">
        <v>46066.58478571759</v>
      </c>
      <c r="B33">
        <v>19.896677</v>
      </c>
      <c r="C33">
        <v>20.240988000000002</v>
      </c>
      <c r="D33">
        <v>19.966878000000001</v>
      </c>
      <c r="E33">
        <v>20.164615999999999</v>
      </c>
      <c r="F33">
        <v>31.294316999999999</v>
      </c>
      <c r="G33">
        <v>31.360353</v>
      </c>
      <c r="H33">
        <v>23.571660000000001</v>
      </c>
      <c r="I33">
        <v>21.568807</v>
      </c>
      <c r="J33">
        <v>55.133060999999998</v>
      </c>
      <c r="K33">
        <v>49.913545999999997</v>
      </c>
      <c r="L33">
        <v>372.22856100000001</v>
      </c>
      <c r="M33">
        <v>-622.49265300000002</v>
      </c>
      <c r="N33">
        <v>2.2030029999999998</v>
      </c>
      <c r="O33">
        <v>4.7403940000000002</v>
      </c>
      <c r="P33">
        <f t="shared" si="4"/>
        <v>3.6716716666666664E-5</v>
      </c>
      <c r="Q33" cm="1">
        <f t="array" ref="Q33">[1]!PropsSI("D","T",J33+273.15,"P",101325,"Water")</f>
        <v>985.62860456270221</v>
      </c>
      <c r="R33" cm="1">
        <f t="array" ref="R33">[1]!PropsSI("D","T",K33+273.15,"P",101325,"Water")</f>
        <v>988.07412463989226</v>
      </c>
      <c r="S33">
        <f t="shared" si="5"/>
        <v>986.85136460129729</v>
      </c>
      <c r="T33" cm="1">
        <f t="array" ref="T33">[1]!PropsSI("H","T",J33+273.15,"P",101325,"Water")</f>
        <v>230885.66651063209</v>
      </c>
      <c r="U33" cm="1">
        <f t="array" ref="U33">[1]!PropsSI("H","T",K33+273.15,"P",101325,"Water")</f>
        <v>209056.99928313307</v>
      </c>
      <c r="V33">
        <f t="shared" si="6"/>
        <v>790.93866108366342</v>
      </c>
    </row>
    <row r="34" spans="1:22" x14ac:dyDescent="0.2">
      <c r="A34">
        <v>46066.584901458336</v>
      </c>
      <c r="B34">
        <v>19.772583000000001</v>
      </c>
      <c r="C34">
        <v>20.141190000000002</v>
      </c>
      <c r="D34">
        <v>19.980854000000001</v>
      </c>
      <c r="E34">
        <v>20.183501</v>
      </c>
      <c r="F34">
        <v>31.416948000000001</v>
      </c>
      <c r="G34">
        <v>30.777740999999999</v>
      </c>
      <c r="H34">
        <v>23.564786999999999</v>
      </c>
      <c r="I34">
        <v>20.684262</v>
      </c>
      <c r="J34">
        <v>55.128287999999998</v>
      </c>
      <c r="K34">
        <v>49.911003999999998</v>
      </c>
      <c r="L34">
        <v>378.17969099999999</v>
      </c>
      <c r="M34">
        <v>-622.48693900000001</v>
      </c>
      <c r="N34">
        <v>2.1989580000000002</v>
      </c>
      <c r="O34">
        <v>5.0177040000000002</v>
      </c>
      <c r="P34">
        <f t="shared" si="4"/>
        <v>3.6649300000000008E-5</v>
      </c>
      <c r="Q34" cm="1">
        <f t="array" ref="Q34">[1]!PropsSI("D","T",J34+273.15,"P",101325,"Water")</f>
        <v>985.63091948836268</v>
      </c>
      <c r="R34" cm="1">
        <f t="array" ref="R34">[1]!PropsSI("D","T",K34+273.15,"P",101325,"Water")</f>
        <v>988.07527291656595</v>
      </c>
      <c r="S34">
        <f t="shared" si="5"/>
        <v>986.85309620246426</v>
      </c>
      <c r="T34" cm="1">
        <f t="array" ref="T34">[1]!PropsSI("H","T",J34+273.15,"P",101325,"Water")</f>
        <v>230865.70103301501</v>
      </c>
      <c r="U34" cm="1">
        <f t="array" ref="U34">[1]!PropsSI("H","T",K34+273.15,"P",101325,"Water")</f>
        <v>209046.37037392586</v>
      </c>
      <c r="V34">
        <f t="shared" si="6"/>
        <v>789.15010002742861</v>
      </c>
    </row>
    <row r="35" spans="1:22" x14ac:dyDescent="0.2">
      <c r="A35">
        <v>46066.585017199075</v>
      </c>
      <c r="B35">
        <v>19.821846000000001</v>
      </c>
      <c r="C35">
        <v>20.095980999999998</v>
      </c>
      <c r="D35">
        <v>19.918472999999999</v>
      </c>
      <c r="E35">
        <v>20.146813000000002</v>
      </c>
      <c r="F35">
        <v>31.365489</v>
      </c>
      <c r="G35">
        <v>30.657050000000002</v>
      </c>
      <c r="H35">
        <v>23.600377000000002</v>
      </c>
      <c r="I35">
        <v>21.649833000000001</v>
      </c>
      <c r="J35">
        <v>55.123036999999997</v>
      </c>
      <c r="K35">
        <v>49.905444000000003</v>
      </c>
      <c r="L35">
        <v>402.724177</v>
      </c>
      <c r="M35">
        <v>-622.49102100000005</v>
      </c>
      <c r="N35">
        <v>2.205527</v>
      </c>
      <c r="O35">
        <v>4.5228609999999998</v>
      </c>
      <c r="P35">
        <f t="shared" si="4"/>
        <v>3.6758783333333334E-5</v>
      </c>
      <c r="Q35" cm="1">
        <f t="array" ref="Q35">[1]!PropsSI("D","T",J35+273.15,"P",101325,"Water")</f>
        <v>985.63346608292932</v>
      </c>
      <c r="R35" cm="1">
        <f t="array" ref="R35">[1]!PropsSI("D","T",K35+273.15,"P",101325,"Water")</f>
        <v>988.07778434156376</v>
      </c>
      <c r="S35">
        <f t="shared" si="5"/>
        <v>986.85562521224654</v>
      </c>
      <c r="T35" cm="1">
        <f t="array" ref="T35">[1]!PropsSI("H","T",J35+273.15,"P",101325,"Water")</f>
        <v>230843.73608905467</v>
      </c>
      <c r="U35" cm="1">
        <f t="array" ref="U35">[1]!PropsSI("H","T",K35+273.15,"P",101325,"Water")</f>
        <v>209023.12225466175</v>
      </c>
      <c r="V35">
        <f t="shared" si="6"/>
        <v>791.55612342489383</v>
      </c>
    </row>
    <row r="36" spans="1:22" x14ac:dyDescent="0.2">
      <c r="A36">
        <v>46066.585133518522</v>
      </c>
      <c r="B36">
        <v>19.934024000000001</v>
      </c>
      <c r="C36">
        <v>20.172829</v>
      </c>
      <c r="D36">
        <v>20.045916999999999</v>
      </c>
      <c r="E36">
        <v>20.260981999999998</v>
      </c>
      <c r="F36">
        <v>31.618333</v>
      </c>
      <c r="G36">
        <v>30.999237999999998</v>
      </c>
      <c r="H36">
        <v>23.591369</v>
      </c>
      <c r="I36">
        <v>21.857765000000001</v>
      </c>
      <c r="J36">
        <v>55.119219000000001</v>
      </c>
      <c r="K36">
        <v>49.906396999999998</v>
      </c>
      <c r="L36">
        <v>380.04449599999998</v>
      </c>
      <c r="M36">
        <v>-622.47959300000002</v>
      </c>
      <c r="N36">
        <v>2.2015889999999998</v>
      </c>
      <c r="O36">
        <v>4.9555249999999997</v>
      </c>
      <c r="P36">
        <f t="shared" si="4"/>
        <v>3.669315E-5</v>
      </c>
      <c r="Q36" cm="1">
        <f t="array" ref="Q36">[1]!PropsSI("D","T",J36+273.15,"P",101325,"Water")</f>
        <v>985.63531760349997</v>
      </c>
      <c r="R36" cm="1">
        <f t="array" ref="R36">[1]!PropsSI("D","T",K36+273.15,"P",101325,"Water")</f>
        <v>988.07735389049242</v>
      </c>
      <c r="S36">
        <f t="shared" si="5"/>
        <v>986.85633574699614</v>
      </c>
      <c r="T36" cm="1">
        <f t="array" ref="T36">[1]!PropsSI("H","T",J36+273.15,"P",101325,"Water")</f>
        <v>230827.76539343974</v>
      </c>
      <c r="U36" cm="1">
        <f t="array" ref="U36">[1]!PropsSI("H","T",K36+273.15,"P",101325,"Water")</f>
        <v>209027.10704861634</v>
      </c>
      <c r="V36">
        <f t="shared" si="6"/>
        <v>789.42075195833092</v>
      </c>
    </row>
    <row r="37" spans="1:22" x14ac:dyDescent="0.2">
      <c r="A37">
        <v>46066.585249837961</v>
      </c>
      <c r="B37">
        <v>19.738060999999998</v>
      </c>
      <c r="C37">
        <v>20.084906</v>
      </c>
      <c r="D37">
        <v>20.049717000000001</v>
      </c>
      <c r="E37">
        <v>20.186171000000002</v>
      </c>
      <c r="F37">
        <v>31.427077000000001</v>
      </c>
      <c r="G37">
        <v>31.127789</v>
      </c>
      <c r="H37">
        <v>23.571849</v>
      </c>
      <c r="I37">
        <v>21.809557000000002</v>
      </c>
      <c r="J37">
        <v>55.112059000000002</v>
      </c>
      <c r="K37">
        <v>49.899406999999997</v>
      </c>
      <c r="L37">
        <v>384.53325100000001</v>
      </c>
      <c r="M37">
        <v>-622.50122399999998</v>
      </c>
      <c r="N37">
        <v>2.2043629999999999</v>
      </c>
      <c r="O37">
        <v>4.6760409999999997</v>
      </c>
      <c r="P37">
        <f t="shared" si="4"/>
        <v>3.6739383333333333E-5</v>
      </c>
      <c r="Q37" cm="1">
        <f t="array" ref="Q37">[1]!PropsSI("D","T",J37+273.15,"P",101325,"Water")</f>
        <v>985.63878956702899</v>
      </c>
      <c r="R37" cm="1">
        <f t="array" ref="R37">[1]!PropsSI("D","T",K37+273.15,"P",101325,"Water")</f>
        <v>988.08051099525278</v>
      </c>
      <c r="S37">
        <f t="shared" si="5"/>
        <v>986.85965028114083</v>
      </c>
      <c r="T37" cm="1">
        <f t="array" ref="T37">[1]!PropsSI("H","T",J37+273.15,"P",101325,"Water")</f>
        <v>230797.81512459466</v>
      </c>
      <c r="U37" cm="1">
        <f t="array" ref="U37">[1]!PropsSI("H","T",K37+273.15,"P",101325,"Water")</f>
        <v>208997.87965738602</v>
      </c>
      <c r="V37">
        <f t="shared" si="6"/>
        <v>790.39186699517256</v>
      </c>
    </row>
    <row r="38" spans="1:22" x14ac:dyDescent="0.2">
      <c r="A38">
        <v>44604.585365583</v>
      </c>
      <c r="B38">
        <v>19.729725999999999</v>
      </c>
      <c r="C38">
        <v>20.155131999999998</v>
      </c>
      <c r="D38">
        <v>20.119457000000001</v>
      </c>
      <c r="E38">
        <v>20.277242999999999</v>
      </c>
      <c r="F38">
        <v>31.405380000000001</v>
      </c>
      <c r="G38">
        <v>30.954996000000001</v>
      </c>
      <c r="H38">
        <v>23.536196</v>
      </c>
      <c r="I38">
        <v>21.736615</v>
      </c>
      <c r="J38">
        <v>55.112695000000002</v>
      </c>
      <c r="K38">
        <v>49.896070000000002</v>
      </c>
      <c r="L38">
        <v>368.331613</v>
      </c>
      <c r="M38">
        <v>-622.49224500000003</v>
      </c>
      <c r="N38">
        <v>2.201114</v>
      </c>
      <c r="O38">
        <v>4.8833570000000002</v>
      </c>
      <c r="P38">
        <f t="shared" si="4"/>
        <v>3.6685233333333332E-5</v>
      </c>
      <c r="Q38" cm="1">
        <f t="array" ref="Q38">[1]!PropsSI("D","T",J38+273.15,"P",101325,"Water")</f>
        <v>985.63848117644443</v>
      </c>
      <c r="R38" cm="1">
        <f t="array" ref="R38">[1]!PropsSI("D","T",K38+273.15,"P",101325,"Water")</f>
        <v>988.08201807220473</v>
      </c>
      <c r="S38">
        <f t="shared" si="5"/>
        <v>986.86024962432452</v>
      </c>
      <c r="T38" cm="1">
        <f t="array" ref="T38">[1]!PropsSI("H","T",J38+273.15,"P",101325,"Water")</f>
        <v>230800.47551082401</v>
      </c>
      <c r="U38" cm="1">
        <f t="array" ref="U38">[1]!PropsSI("H","T",K38+273.15,"P",101325,"Water")</f>
        <v>208983.92661437611</v>
      </c>
      <c r="V38">
        <f t="shared" si="6"/>
        <v>789.82885082541702</v>
      </c>
    </row>
    <row r="39" spans="1:22" x14ac:dyDescent="0.2">
      <c r="A39">
        <v>44604.585481323702</v>
      </c>
      <c r="B39">
        <v>19.75685</v>
      </c>
      <c r="C39">
        <v>20.104925999999999</v>
      </c>
      <c r="D39">
        <v>20.160727999999999</v>
      </c>
      <c r="E39">
        <v>20.349098000000001</v>
      </c>
      <c r="F39">
        <v>31.423718999999998</v>
      </c>
      <c r="G39">
        <v>31.165873000000001</v>
      </c>
      <c r="H39">
        <v>23.421970000000002</v>
      </c>
      <c r="I39">
        <v>21.753219999999999</v>
      </c>
      <c r="J39">
        <v>55.111581000000001</v>
      </c>
      <c r="K39">
        <v>49.892257999999998</v>
      </c>
      <c r="L39">
        <v>386.10215199999999</v>
      </c>
      <c r="M39">
        <v>-622.50857099999996</v>
      </c>
      <c r="N39">
        <v>2.202572</v>
      </c>
      <c r="O39">
        <v>4.6809079999999996</v>
      </c>
      <c r="P39">
        <f t="shared" si="4"/>
        <v>3.6709533333333332E-5</v>
      </c>
      <c r="Q39" cm="1">
        <f t="array" ref="Q39">[1]!PropsSI("D","T",J39+273.15,"P",101325,"Water")</f>
        <v>985.63902134322382</v>
      </c>
      <c r="R39" cm="1">
        <f t="array" ref="R39">[1]!PropsSI("D","T",K39+273.15,"P",101325,"Water")</f>
        <v>988.08373958211644</v>
      </c>
      <c r="S39">
        <f t="shared" si="5"/>
        <v>986.86138046267013</v>
      </c>
      <c r="T39" cm="1">
        <f t="array" ref="T39">[1]!PropsSI("H","T",J39+273.15,"P",101325,"Water")</f>
        <v>230795.81565202429</v>
      </c>
      <c r="U39" cm="1">
        <f t="array" ref="U39">[1]!PropsSI("H","T",K39+273.15,"P",101325,"Water")</f>
        <v>208967.98745124636</v>
      </c>
      <c r="V39">
        <f t="shared" si="6"/>
        <v>790.7615505365477</v>
      </c>
    </row>
    <row r="40" spans="1:22" x14ac:dyDescent="0.2">
      <c r="A40">
        <v>44604.585597643199</v>
      </c>
      <c r="B40">
        <v>19.943231000000001</v>
      </c>
      <c r="C40">
        <v>20.220966000000001</v>
      </c>
      <c r="D40">
        <v>20.305506000000001</v>
      </c>
      <c r="E40">
        <v>20.437014999999999</v>
      </c>
      <c r="F40">
        <v>31.496977000000001</v>
      </c>
      <c r="G40">
        <v>30.936665000000001</v>
      </c>
      <c r="H40">
        <v>23.613121</v>
      </c>
      <c r="I40">
        <v>21.848324000000002</v>
      </c>
      <c r="J40">
        <v>55.107284999999997</v>
      </c>
      <c r="K40">
        <v>49.891303999999998</v>
      </c>
      <c r="L40">
        <v>394.34214800000001</v>
      </c>
      <c r="M40">
        <v>-622.50571400000001</v>
      </c>
      <c r="N40">
        <v>2.2067030000000001</v>
      </c>
      <c r="O40">
        <v>4.349882</v>
      </c>
      <c r="P40">
        <f t="shared" si="4"/>
        <v>3.677838333333333E-5</v>
      </c>
      <c r="Q40" cm="1">
        <f t="array" ref="Q40">[1]!PropsSI("D","T",J40+273.15,"P",101325,"Water")</f>
        <v>985.64110435604118</v>
      </c>
      <c r="R40" cm="1">
        <f t="array" ref="R40">[1]!PropsSI("D","T",K40+273.15,"P",101325,"Water")</f>
        <v>988.08417039625022</v>
      </c>
      <c r="S40">
        <f t="shared" si="5"/>
        <v>986.8626373761457</v>
      </c>
      <c r="T40" cm="1">
        <f t="array" ref="T40">[1]!PropsSI("H","T",J40+273.15,"P",101325,"Water")</f>
        <v>230777.84550040081</v>
      </c>
      <c r="U40" cm="1">
        <f t="array" ref="U40">[1]!PropsSI("H","T",K40+273.15,"P",101325,"Water")</f>
        <v>208963.99847983208</v>
      </c>
      <c r="V40">
        <f t="shared" si="6"/>
        <v>791.73821032215972</v>
      </c>
    </row>
    <row r="41" spans="1:22" x14ac:dyDescent="0.2">
      <c r="A41">
        <v>44604.585713383902</v>
      </c>
      <c r="B41">
        <v>19.868355999999999</v>
      </c>
      <c r="C41">
        <v>20.116779999999999</v>
      </c>
      <c r="D41">
        <v>20.193237</v>
      </c>
      <c r="E41">
        <v>20.329353999999999</v>
      </c>
      <c r="F41">
        <v>31.511800999999998</v>
      </c>
      <c r="G41">
        <v>31.118282000000001</v>
      </c>
      <c r="H41">
        <v>23.507558</v>
      </c>
      <c r="I41">
        <v>21.906445000000001</v>
      </c>
      <c r="J41">
        <v>55.102193999999997</v>
      </c>
      <c r="K41">
        <v>49.897976999999997</v>
      </c>
      <c r="L41">
        <v>383.50595499999997</v>
      </c>
      <c r="M41">
        <v>-622.51346899999999</v>
      </c>
      <c r="N41">
        <v>2.2045110000000001</v>
      </c>
      <c r="O41">
        <v>5.1172190000000004</v>
      </c>
      <c r="P41">
        <f t="shared" si="4"/>
        <v>3.6741850000000005E-5</v>
      </c>
      <c r="Q41" cm="1">
        <f t="array" ref="Q41">[1]!PropsSI("D","T",J41+273.15,"P",101325,"Water")</f>
        <v>985.64357269442098</v>
      </c>
      <c r="R41" cm="1">
        <f t="array" ref="R41">[1]!PropsSI("D","T",K41+273.15,"P",101325,"Water")</f>
        <v>988.08115682980906</v>
      </c>
      <c r="S41">
        <f t="shared" si="5"/>
        <v>986.86236476211502</v>
      </c>
      <c r="T41" cm="1">
        <f t="array" ref="T41">[1]!PropsSI("H","T",J41+273.15,"P",101325,"Water")</f>
        <v>230756.54987548554</v>
      </c>
      <c r="U41" cm="1">
        <f t="array" ref="U41">[1]!PropsSI("H","T",K41+273.15,"P",101325,"Water")</f>
        <v>208991.90037870864</v>
      </c>
      <c r="V41">
        <f t="shared" si="6"/>
        <v>789.1676685300522</v>
      </c>
    </row>
    <row r="44" spans="1:22" x14ac:dyDescent="0.2">
      <c r="E44" s="1" t="s">
        <v>22</v>
      </c>
    </row>
    <row r="45" spans="1:22" x14ac:dyDescent="0.2">
      <c r="E45">
        <f>AVERAGE(V26:V41)</f>
        <v>790.13498729341109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8965AE-832C-D74C-8C30-C9D4CE793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2026-02-25T05:09:21Z</dcterms:modified>
</cp:coreProperties>
</file>