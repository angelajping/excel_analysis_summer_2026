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30gps/"/>
    </mc:Choice>
  </mc:AlternateContent>
  <xr:revisionPtr revIDLastSave="0" documentId="13_ncr:1_{3CE35BDC-9942-8847-8413-3AEBEE531E2B}" xr6:coauthVersionLast="47" xr6:coauthVersionMax="47" xr10:uidLastSave="{00000000-0000-0000-0000-000000000000}"/>
  <bookViews>
    <workbookView xWindow="20" yWindow="660" windowWidth="30240" windowHeight="17540" xr2:uid="{1C60444A-BEFD-BC4F-B8F6-C471D470F8DA}"/>
  </bookViews>
  <sheets>
    <sheet name="Results" sheetId="13" r:id="rId1"/>
    <sheet name="1mps" sheetId="30" r:id="rId2"/>
    <sheet name="2mps" sheetId="31" r:id="rId3"/>
    <sheet name="3mps" sheetId="33" r:id="rId4"/>
    <sheet name="4mps" sheetId="34" r:id="rId5"/>
    <sheet name="5mps" sheetId="35" r:id="rId6"/>
    <sheet name="6mps" sheetId="36" r:id="rId7"/>
    <sheet name="7mps" sheetId="37" r:id="rId8"/>
  </sheets>
  <externalReferences>
    <externalReference r:id="rId9"/>
  </externalReferences>
  <definedNames>
    <definedName name="ExternalData_1" localSheetId="1" hidden="1">'1mps'!$A$1:$O$14</definedName>
    <definedName name="ExternalData_1" localSheetId="3" hidden="1">'3mps'!$A$1:$O$19</definedName>
    <definedName name="ExternalData_1" localSheetId="4" hidden="1">'4mps'!$A$1:$O$36</definedName>
    <definedName name="ExternalData_1" localSheetId="5" hidden="1">'5mps'!$A$1:$O$19</definedName>
    <definedName name="ExternalData_1" localSheetId="6" hidden="1">'6mps'!$A$1:$O$15</definedName>
    <definedName name="ExternalData_1" localSheetId="7" hidden="1">'7mps'!$A$1:$O$21</definedName>
    <definedName name="ExternalData_2" localSheetId="2" hidden="1">'2mps'!$A$1:$O$27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7" l="1"/>
  <c r="G19" i="36"/>
  <c r="G22" i="35"/>
  <c r="G39" i="34"/>
  <c r="G23" i="33"/>
  <c r="F31" i="31"/>
  <c r="G19" i="30"/>
  <c r="P28" i="34"/>
  <c r="P29" i="34"/>
  <c r="P30" i="34"/>
  <c r="P31" i="34"/>
  <c r="P32" i="34"/>
  <c r="P33" i="34"/>
  <c r="P34" i="34"/>
  <c r="P35" i="34"/>
  <c r="P36" i="34"/>
  <c r="P21" i="37"/>
  <c r="P20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3" i="37"/>
  <c r="P2" i="37"/>
  <c r="P15" i="36"/>
  <c r="P14" i="36"/>
  <c r="P13" i="36"/>
  <c r="P12" i="36"/>
  <c r="P11" i="36"/>
  <c r="P10" i="36"/>
  <c r="P9" i="36"/>
  <c r="P8" i="36"/>
  <c r="P7" i="36"/>
  <c r="P6" i="36"/>
  <c r="P5" i="36"/>
  <c r="P4" i="36"/>
  <c r="P3" i="36"/>
  <c r="P2" i="36"/>
  <c r="P19" i="35"/>
  <c r="P18" i="35"/>
  <c r="P17" i="35"/>
  <c r="P16" i="35"/>
  <c r="P15" i="35"/>
  <c r="P14" i="35"/>
  <c r="P13" i="35"/>
  <c r="P12" i="35"/>
  <c r="P11" i="35"/>
  <c r="P10" i="35"/>
  <c r="P9" i="35"/>
  <c r="P8" i="35"/>
  <c r="P7" i="35"/>
  <c r="P6" i="35"/>
  <c r="P5" i="35"/>
  <c r="P4" i="35"/>
  <c r="P3" i="35"/>
  <c r="P2" i="35"/>
  <c r="P27" i="34"/>
  <c r="P26" i="34"/>
  <c r="P25" i="34"/>
  <c r="P24" i="34"/>
  <c r="P23" i="34"/>
  <c r="P22" i="34"/>
  <c r="P21" i="34"/>
  <c r="P20" i="34"/>
  <c r="P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P2" i="34"/>
  <c r="P19" i="33"/>
  <c r="P18" i="33"/>
  <c r="P17" i="33"/>
  <c r="P16" i="33"/>
  <c r="P15" i="33"/>
  <c r="P14" i="33"/>
  <c r="P13" i="33"/>
  <c r="P12" i="33"/>
  <c r="P11" i="33"/>
  <c r="P10" i="33"/>
  <c r="P9" i="33"/>
  <c r="P8" i="33"/>
  <c r="P7" i="33"/>
  <c r="P6" i="33"/>
  <c r="P5" i="33"/>
  <c r="P4" i="33"/>
  <c r="P3" i="33"/>
  <c r="P2" i="33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  <c r="P12" i="30"/>
  <c r="P13" i="30"/>
  <c r="P14" i="30"/>
  <c r="P11" i="30"/>
  <c r="P10" i="30"/>
  <c r="P9" i="30"/>
  <c r="P8" i="30"/>
  <c r="P7" i="30"/>
  <c r="P6" i="30"/>
  <c r="P5" i="30"/>
  <c r="P4" i="30"/>
  <c r="P3" i="30"/>
  <c r="P2" i="30"/>
  <c r="Q29" i="34" a="1"/>
  <c r="R31" i="34" a="1"/>
  <c r="T34" i="34" a="1"/>
  <c r="U36" i="34" a="1"/>
  <c r="T31" i="34" a="1"/>
  <c r="U32" i="34" a="1"/>
  <c r="Q36" i="34" a="1"/>
  <c r="Q32" i="34" a="1"/>
  <c r="R33" i="34" a="1"/>
  <c r="T35" i="34" a="1"/>
  <c r="Q28" i="34" a="1"/>
  <c r="R30" i="34" a="1"/>
  <c r="T33" i="34" a="1"/>
  <c r="U35" i="34" a="1"/>
  <c r="T30" i="34" a="1"/>
  <c r="U31" i="34" a="1"/>
  <c r="R34" i="34" a="1"/>
  <c r="R29" i="34" a="1"/>
  <c r="T32" i="34" a="1"/>
  <c r="U34" i="34" a="1"/>
  <c r="U33" i="34" a="1"/>
  <c r="U28" i="34" a="1"/>
  <c r="R35" i="34" a="1"/>
  <c r="T36" i="34" a="1"/>
  <c r="R32" i="34" a="1"/>
  <c r="R28" i="34" a="1"/>
  <c r="T29" i="34" a="1"/>
  <c r="T28" i="34" a="1"/>
  <c r="U30" i="34" a="1"/>
  <c r="Q35" i="34" a="1"/>
  <c r="U29" i="34" a="1"/>
  <c r="Q34" i="34" a="1"/>
  <c r="Q33" i="34" a="1"/>
  <c r="Q31" i="34" a="1"/>
  <c r="Q30" i="34" a="1"/>
  <c r="R36" i="34" a="1"/>
  <c r="R20" i="37" a="1"/>
  <c r="Q18" i="37" a="1"/>
  <c r="U13" i="37" a="1"/>
  <c r="T11" i="37" a="1"/>
  <c r="R21" i="37" a="1"/>
  <c r="Q19" i="37" a="1"/>
  <c r="U14" i="37" a="1"/>
  <c r="T12" i="37" a="1"/>
  <c r="R9" i="37" a="1"/>
  <c r="Q7" i="37" a="1"/>
  <c r="U2" i="37" a="1"/>
  <c r="Q21" i="37" a="1"/>
  <c r="U16" i="37" a="1"/>
  <c r="T14" i="37" a="1"/>
  <c r="Q9" i="37" a="1"/>
  <c r="U4" i="37" a="1"/>
  <c r="T2" i="37" a="1"/>
  <c r="Q10" i="37" a="1"/>
  <c r="T3" i="37" a="1"/>
  <c r="U18" i="37" a="1"/>
  <c r="R13" i="37" a="1"/>
  <c r="Q11" i="37" a="1"/>
  <c r="U6" i="37" a="1"/>
  <c r="Q20" i="37" a="1"/>
  <c r="U15" i="37" a="1"/>
  <c r="T13" i="37" a="1"/>
  <c r="R10" i="37" a="1"/>
  <c r="Q8" i="37" a="1"/>
  <c r="U3" i="37" a="1"/>
  <c r="R11" i="37" a="1"/>
  <c r="U17" i="37" a="1"/>
  <c r="T15" i="37" a="1"/>
  <c r="R12" i="37" a="1"/>
  <c r="U5" i="37" a="1"/>
  <c r="T16" i="37" a="1"/>
  <c r="T6" i="37" a="1"/>
  <c r="T4" i="37" a="1"/>
  <c r="R3" i="37" a="1"/>
  <c r="R4" i="37" a="1"/>
  <c r="U19" i="37" a="1"/>
  <c r="T17" i="37" a="1"/>
  <c r="R14" i="37" a="1"/>
  <c r="Q12" i="37" a="1"/>
  <c r="U7" i="37" a="1"/>
  <c r="T5" i="37" a="1"/>
  <c r="R2" i="37" a="1"/>
  <c r="R15" i="37" a="1"/>
  <c r="Q13" i="37" a="1"/>
  <c r="Q2" i="37" a="1"/>
  <c r="Q3" i="37" a="1"/>
  <c r="R18" i="37" a="1"/>
  <c r="U20" i="37" a="1"/>
  <c r="T18" i="37" a="1"/>
  <c r="U8" i="37" a="1"/>
  <c r="Q14" i="37" a="1"/>
  <c r="U9" i="37" a="1"/>
  <c r="U21" i="37" a="1"/>
  <c r="T19" i="37" a="1"/>
  <c r="R16" i="37" a="1"/>
  <c r="T7" i="37" a="1"/>
  <c r="T20" i="37" a="1"/>
  <c r="R17" i="37" a="1"/>
  <c r="Q15" i="37" a="1"/>
  <c r="U10" i="37" a="1"/>
  <c r="T8" i="37" a="1"/>
  <c r="R5" i="37" a="1"/>
  <c r="U11" i="37" a="1"/>
  <c r="Q4" i="37" a="1"/>
  <c r="T21" i="37" a="1"/>
  <c r="Q16" i="37" a="1"/>
  <c r="T9" i="37" a="1"/>
  <c r="R6" i="37" a="1"/>
  <c r="R19" i="37" a="1"/>
  <c r="Q17" i="37" a="1"/>
  <c r="U12" i="37" a="1"/>
  <c r="T10" i="37" a="1"/>
  <c r="R7" i="37" a="1"/>
  <c r="Q5" i="37" a="1"/>
  <c r="R8" i="37" a="1"/>
  <c r="Q6" i="37" a="1"/>
  <c r="U13" i="36" a="1"/>
  <c r="T11" i="36" a="1"/>
  <c r="R8" i="36" a="1"/>
  <c r="Q6" i="36" a="1"/>
  <c r="T14" i="36" a="1"/>
  <c r="T2" i="36" a="1"/>
  <c r="T15" i="36" a="1"/>
  <c r="R12" i="36" a="1"/>
  <c r="Q10" i="36" a="1"/>
  <c r="U5" i="36" a="1"/>
  <c r="T3" i="36" a="1"/>
  <c r="U7" i="36" a="1"/>
  <c r="T5" i="36" a="1"/>
  <c r="R2" i="36" a="1"/>
  <c r="U8" i="36" a="1"/>
  <c r="R3" i="36" a="1"/>
  <c r="U9" i="36" a="1"/>
  <c r="U11" i="36" a="1"/>
  <c r="R6" i="36" a="1"/>
  <c r="U14" i="36" a="1"/>
  <c r="T12" i="36" a="1"/>
  <c r="R9" i="36" a="1"/>
  <c r="Q7" i="36" a="1"/>
  <c r="U2" i="36" a="1"/>
  <c r="R11" i="36" a="1"/>
  <c r="Q9" i="36" a="1"/>
  <c r="R13" i="36" a="1"/>
  <c r="Q11" i="36" a="1"/>
  <c r="U6" i="36" a="1"/>
  <c r="T4" i="36" a="1"/>
  <c r="R14" i="36" a="1"/>
  <c r="U15" i="36" a="1"/>
  <c r="T13" i="36" a="1"/>
  <c r="R10" i="36" a="1"/>
  <c r="Q8" i="36" a="1"/>
  <c r="U3" i="36" a="1"/>
  <c r="U4" i="36" a="1"/>
  <c r="T7" i="36" a="1"/>
  <c r="T9" i="36" a="1"/>
  <c r="Q13" i="36" a="1"/>
  <c r="T6" i="36" a="1"/>
  <c r="Q14" i="36" a="1"/>
  <c r="Q12" i="36" a="1"/>
  <c r="Q2" i="36" a="1"/>
  <c r="Q15" i="36" a="1"/>
  <c r="U10" i="36" a="1"/>
  <c r="T8" i="36" a="1"/>
  <c r="R5" i="36" a="1"/>
  <c r="Q3" i="36" a="1"/>
  <c r="Q4" i="36" a="1"/>
  <c r="U12" i="36" a="1"/>
  <c r="T10" i="36" a="1"/>
  <c r="R7" i="36" a="1"/>
  <c r="Q5" i="36" a="1"/>
  <c r="R15" i="36" a="1"/>
  <c r="R4" i="36" a="1"/>
  <c r="Q18" i="35" a="1"/>
  <c r="U13" i="35" a="1"/>
  <c r="T11" i="35" a="1"/>
  <c r="R8" i="35" a="1"/>
  <c r="Q6" i="35" a="1"/>
  <c r="U16" i="35" a="1"/>
  <c r="Q9" i="35" a="1"/>
  <c r="U4" i="35" a="1"/>
  <c r="Q10" i="35" a="1"/>
  <c r="U18" i="35" a="1"/>
  <c r="R13" i="35" a="1"/>
  <c r="U6" i="35" a="1"/>
  <c r="U8" i="35" a="1"/>
  <c r="T8" i="35" a="1"/>
  <c r="Q4" i="35" a="1"/>
  <c r="R19" i="35" a="1"/>
  <c r="Q17" i="35" a="1"/>
  <c r="T10" i="35" a="1"/>
  <c r="R7" i="35" a="1"/>
  <c r="Q19" i="35" a="1"/>
  <c r="U14" i="35" a="1"/>
  <c r="T12" i="35" a="1"/>
  <c r="R9" i="35" a="1"/>
  <c r="Q7" i="35" a="1"/>
  <c r="U2" i="35" a="1"/>
  <c r="T14" i="35" a="1"/>
  <c r="U17" i="35" a="1"/>
  <c r="R12" i="35" a="1"/>
  <c r="U5" i="35" a="1"/>
  <c r="T16" i="35" a="1"/>
  <c r="Q11" i="35" a="1"/>
  <c r="T4" i="35" a="1"/>
  <c r="T6" i="35" a="1"/>
  <c r="R3" i="35" a="1"/>
  <c r="R16" i="35" a="1"/>
  <c r="T7" i="35" a="1"/>
  <c r="R5" i="35" a="1"/>
  <c r="Q3" i="35" a="1"/>
  <c r="U15" i="35" a="1"/>
  <c r="T13" i="35" a="1"/>
  <c r="R10" i="35" a="1"/>
  <c r="Q8" i="35" a="1"/>
  <c r="U3" i="35" a="1"/>
  <c r="R11" i="35" a="1"/>
  <c r="T2" i="35" a="1"/>
  <c r="T15" i="35" a="1"/>
  <c r="T3" i="35" a="1"/>
  <c r="Q16" i="35" a="1"/>
  <c r="T9" i="35" a="1"/>
  <c r="U19" i="35" a="1"/>
  <c r="T17" i="35" a="1"/>
  <c r="R14" i="35" a="1"/>
  <c r="Q12" i="35" a="1"/>
  <c r="U7" i="35" a="1"/>
  <c r="T5" i="35" a="1"/>
  <c r="R2" i="35" a="1"/>
  <c r="T18" i="35" a="1"/>
  <c r="Q13" i="35" a="1"/>
  <c r="T19" i="35" a="1"/>
  <c r="Q14" i="35" a="1"/>
  <c r="R4" i="35" a="1"/>
  <c r="Q15" i="35" a="1"/>
  <c r="R18" i="35" a="1"/>
  <c r="U11" i="35" a="1"/>
  <c r="R6" i="35" a="1"/>
  <c r="U12" i="35" a="1"/>
  <c r="Q5" i="35" a="1"/>
  <c r="R15" i="35" a="1"/>
  <c r="U9" i="35" a="1"/>
  <c r="Q2" i="35" a="1"/>
  <c r="R17" i="35" a="1"/>
  <c r="U10" i="35" a="1"/>
  <c r="U25" i="34" a="1"/>
  <c r="T23" i="34" a="1"/>
  <c r="R20" i="34" a="1"/>
  <c r="Q18" i="34" a="1"/>
  <c r="U13" i="34" a="1"/>
  <c r="T11" i="34" a="1"/>
  <c r="R8" i="34" a="1"/>
  <c r="Q6" i="34" a="1"/>
  <c r="T4" i="34" a="1"/>
  <c r="U19" i="34" a="1"/>
  <c r="Q12" i="34" a="1"/>
  <c r="U12" i="34" a="1"/>
  <c r="R7" i="34" a="1"/>
  <c r="U26" i="34" a="1"/>
  <c r="T24" i="34" a="1"/>
  <c r="R21" i="34" a="1"/>
  <c r="Q19" i="34" a="1"/>
  <c r="U14" i="34" a="1"/>
  <c r="T12" i="34" a="1"/>
  <c r="R9" i="34" a="1"/>
  <c r="Q7" i="34" a="1"/>
  <c r="U2" i="34" a="1"/>
  <c r="R10" i="34" a="1"/>
  <c r="Q8" i="34" a="1"/>
  <c r="U3" i="34" a="1"/>
  <c r="T26" i="34" a="1"/>
  <c r="R23" i="34" a="1"/>
  <c r="Q21" i="34" a="1"/>
  <c r="U16" i="34" a="1"/>
  <c r="T14" i="34" a="1"/>
  <c r="R11" i="34" a="1"/>
  <c r="T2" i="34" a="1"/>
  <c r="R24" i="34" a="1"/>
  <c r="U27" i="34" a="1"/>
  <c r="T25" i="34" a="1"/>
  <c r="R22" i="34" a="1"/>
  <c r="Q20" i="34" a="1"/>
  <c r="U15" i="34" a="1"/>
  <c r="T13" i="34" a="1"/>
  <c r="U4" i="34" a="1"/>
  <c r="T27" i="34" a="1"/>
  <c r="Q10" i="34" a="1"/>
  <c r="U5" i="34" a="1"/>
  <c r="R25" i="34" a="1"/>
  <c r="U18" i="34" a="1"/>
  <c r="R13" i="34" a="1"/>
  <c r="R26" i="34" a="1"/>
  <c r="R14" i="34" a="1"/>
  <c r="T5" i="34" a="1"/>
  <c r="T22" i="34" a="1"/>
  <c r="T10" i="34" a="1"/>
  <c r="Q5" i="34" a="1"/>
  <c r="Q9" i="34" a="1"/>
  <c r="Q22" i="34" a="1"/>
  <c r="U17" i="34" a="1"/>
  <c r="T15" i="34" a="1"/>
  <c r="R12" i="34" a="1"/>
  <c r="T3" i="34" a="1"/>
  <c r="Q23" i="34" a="1"/>
  <c r="T16" i="34" a="1"/>
  <c r="Q11" i="34" a="1"/>
  <c r="U6" i="34" a="1"/>
  <c r="Q24" i="34" a="1"/>
  <c r="T17" i="34" a="1"/>
  <c r="U7" i="34" a="1"/>
  <c r="R2" i="34" a="1"/>
  <c r="R19" i="34" a="1"/>
  <c r="R27" i="34" a="1"/>
  <c r="Q25" i="34" a="1"/>
  <c r="U20" i="34" a="1"/>
  <c r="T18" i="34" a="1"/>
  <c r="R15" i="34" a="1"/>
  <c r="Q13" i="34" a="1"/>
  <c r="U8" i="34" a="1"/>
  <c r="T6" i="34" a="1"/>
  <c r="R3" i="34" a="1"/>
  <c r="U9" i="34" a="1"/>
  <c r="T7" i="34" a="1"/>
  <c r="R4" i="34" a="1"/>
  <c r="Q2" i="34" a="1"/>
  <c r="U22" i="34" a="1"/>
  <c r="T20" i="34" a="1"/>
  <c r="R17" i="34" a="1"/>
  <c r="Q15" i="34" a="1"/>
  <c r="U10" i="34" a="1"/>
  <c r="T8" i="34" a="1"/>
  <c r="R5" i="34" a="1"/>
  <c r="Q3" i="34" a="1"/>
  <c r="U11" i="34" a="1"/>
  <c r="T9" i="34" a="1"/>
  <c r="R6" i="34" a="1"/>
  <c r="Q4" i="34" a="1"/>
  <c r="U24" i="34" a="1"/>
  <c r="Q17" i="34" a="1"/>
  <c r="Q26" i="34" a="1"/>
  <c r="U21" i="34" a="1"/>
  <c r="T19" i="34" a="1"/>
  <c r="R16" i="34" a="1"/>
  <c r="Q14" i="34" a="1"/>
  <c r="Q27" i="34" a="1"/>
  <c r="U23" i="34" a="1"/>
  <c r="T21" i="34" a="1"/>
  <c r="R18" i="34" a="1"/>
  <c r="Q16" i="34" a="1"/>
  <c r="Q18" i="33" a="1"/>
  <c r="U13" i="33" a="1"/>
  <c r="Q19" i="33" a="1"/>
  <c r="U14" i="33" a="1"/>
  <c r="T12" i="33" a="1"/>
  <c r="R9" i="33" a="1"/>
  <c r="Q7" i="33" a="1"/>
  <c r="U2" i="33" a="1"/>
  <c r="U16" i="33" a="1"/>
  <c r="R12" i="33" a="1"/>
  <c r="Q10" i="33" a="1"/>
  <c r="T3" i="33" a="1"/>
  <c r="T16" i="33" a="1"/>
  <c r="U6" i="33" a="1"/>
  <c r="T4" i="33" a="1"/>
  <c r="T5" i="33" a="1"/>
  <c r="Q2" i="33" a="1"/>
  <c r="Q3" i="33" a="1"/>
  <c r="T9" i="33" a="1"/>
  <c r="Q5" i="33" a="1"/>
  <c r="U15" i="33" a="1"/>
  <c r="T13" i="33" a="1"/>
  <c r="R10" i="33" a="1"/>
  <c r="Q8" i="33" a="1"/>
  <c r="U3" i="33" a="1"/>
  <c r="T14" i="33" a="1"/>
  <c r="R11" i="33" a="1"/>
  <c r="U4" i="33" a="1"/>
  <c r="U17" i="33" a="1"/>
  <c r="T15" i="33" a="1"/>
  <c r="U5" i="33" a="1"/>
  <c r="Q11" i="33" a="1"/>
  <c r="T18" i="33" a="1"/>
  <c r="Q13" i="33" a="1"/>
  <c r="T6" i="33" a="1"/>
  <c r="R6" i="33" a="1"/>
  <c r="R8" i="33" a="1"/>
  <c r="Q9" i="33" a="1"/>
  <c r="T2" i="33" a="1"/>
  <c r="U7" i="33" a="1"/>
  <c r="R3" i="33" a="1"/>
  <c r="R13" i="33" a="1"/>
  <c r="R2" i="33" a="1"/>
  <c r="Q15" i="33" a="1"/>
  <c r="U18" i="33" a="1"/>
  <c r="R15" i="33" a="1"/>
  <c r="U8" i="33" a="1"/>
  <c r="U19" i="33" a="1"/>
  <c r="T17" i="33" a="1"/>
  <c r="R14" i="33" a="1"/>
  <c r="Q12" i="33" a="1"/>
  <c r="U10" i="33" a="1"/>
  <c r="T8" i="33" a="1"/>
  <c r="R5" i="33" a="1"/>
  <c r="U11" i="33" a="1"/>
  <c r="Q6" i="33" a="1"/>
  <c r="T19" i="33" a="1"/>
  <c r="R16" i="33" a="1"/>
  <c r="Q14" i="33" a="1"/>
  <c r="U9" i="33" a="1"/>
  <c r="T7" i="33" a="1"/>
  <c r="R4" i="33" a="1"/>
  <c r="Q4" i="33" a="1"/>
  <c r="T11" i="33" a="1"/>
  <c r="R17" i="33" a="1"/>
  <c r="R18" i="33" a="1"/>
  <c r="Q16" i="33" a="1"/>
  <c r="R19" i="33" a="1"/>
  <c r="Q17" i="33" a="1"/>
  <c r="U12" i="33" a="1"/>
  <c r="T10" i="33" a="1"/>
  <c r="R7" i="33" a="1"/>
  <c r="Q16" i="31" a="1"/>
  <c r="R18" i="31" a="1"/>
  <c r="T21" i="31" a="1"/>
  <c r="U23" i="31" a="1"/>
  <c r="Q27" i="31" a="1"/>
  <c r="Q25" i="31" a="1"/>
  <c r="Q23" i="31" a="1"/>
  <c r="R24" i="31" a="1"/>
  <c r="T27" i="31" a="1"/>
  <c r="R22" i="31" a="1"/>
  <c r="Q15" i="31" a="1"/>
  <c r="R17" i="31" a="1"/>
  <c r="T20" i="31" a="1"/>
  <c r="U22" i="31" a="1"/>
  <c r="R27" i="31" a="1"/>
  <c r="U18" i="31" a="1"/>
  <c r="U17" i="31" a="1"/>
  <c r="R16" i="31" a="1"/>
  <c r="T19" i="31" a="1"/>
  <c r="U21" i="31" a="1"/>
  <c r="Q26" i="31" a="1"/>
  <c r="R15" i="31" a="1"/>
  <c r="T18" i="31" a="1"/>
  <c r="U20" i="31" a="1"/>
  <c r="T16" i="31" a="1"/>
  <c r="T15" i="31" a="1"/>
  <c r="R23" i="31" a="1"/>
  <c r="U15" i="31" a="1"/>
  <c r="T25" i="31" a="1"/>
  <c r="U27" i="31" a="1"/>
  <c r="Q19" i="31" a="1"/>
  <c r="U26" i="31" a="1"/>
  <c r="R20" i="31" a="1"/>
  <c r="U24" i="31" a="1"/>
  <c r="T17" i="31" a="1"/>
  <c r="U19" i="31" a="1"/>
  <c r="Q24" i="31" a="1"/>
  <c r="R26" i="31" a="1"/>
  <c r="R25" i="31" a="1"/>
  <c r="Q22" i="31" a="1"/>
  <c r="U16" i="31" a="1"/>
  <c r="Q21" i="31" a="1"/>
  <c r="T26" i="31" a="1"/>
  <c r="Q20" i="31" a="1"/>
  <c r="T24" i="31" a="1"/>
  <c r="Q18" i="31" a="1"/>
  <c r="Q17" i="31" a="1"/>
  <c r="T22" i="31" a="1"/>
  <c r="R21" i="31" a="1"/>
  <c r="T23" i="31" a="1"/>
  <c r="U25" i="31" a="1"/>
  <c r="R19" i="31" a="1"/>
  <c r="U12" i="31" a="1"/>
  <c r="T10" i="31" a="1"/>
  <c r="R7" i="31" a="1"/>
  <c r="Q5" i="31" a="1"/>
  <c r="T11" i="31" a="1"/>
  <c r="R8" i="31" a="1"/>
  <c r="Q6" i="31" a="1"/>
  <c r="R4" i="31" a="1"/>
  <c r="U13" i="31" a="1"/>
  <c r="Q2" i="31" a="1"/>
  <c r="U14" i="31" a="1"/>
  <c r="T12" i="31" a="1"/>
  <c r="R9" i="31" a="1"/>
  <c r="Q7" i="31" a="1"/>
  <c r="U2" i="31" a="1"/>
  <c r="R10" i="31" a="1"/>
  <c r="Q8" i="31" a="1"/>
  <c r="T13" i="31" a="1"/>
  <c r="U9" i="31" a="1"/>
  <c r="T14" i="31" a="1"/>
  <c r="R11" i="31" a="1"/>
  <c r="Q9" i="31" a="1"/>
  <c r="T2" i="31" a="1"/>
  <c r="U5" i="31" a="1"/>
  <c r="R12" i="31" a="1"/>
  <c r="Q10" i="31" a="1"/>
  <c r="R13" i="31" a="1"/>
  <c r="Q11" i="31" a="1"/>
  <c r="U6" i="31" a="1"/>
  <c r="T4" i="31" a="1"/>
  <c r="T5" i="31" a="1"/>
  <c r="R2" i="31" a="1"/>
  <c r="Q13" i="31" a="1"/>
  <c r="T6" i="31" a="1"/>
  <c r="R14" i="31" a="1"/>
  <c r="Q12" i="31" a="1"/>
  <c r="U7" i="31" a="1"/>
  <c r="R3" i="31" a="1"/>
  <c r="U8" i="31" a="1"/>
  <c r="T7" i="31" a="1"/>
  <c r="Q14" i="31" a="1"/>
  <c r="U10" i="31" a="1"/>
  <c r="T8" i="31" a="1"/>
  <c r="R5" i="31" a="1"/>
  <c r="Q3" i="31" a="1"/>
  <c r="Q4" i="31" a="1"/>
  <c r="U11" i="31" a="1"/>
  <c r="T9" i="31" a="1"/>
  <c r="R6" i="31" a="1"/>
  <c r="U3" i="31" a="1"/>
  <c r="U4" i="31" a="1"/>
  <c r="T3" i="31" a="1"/>
  <c r="Q13" i="30" a="1"/>
  <c r="T14" i="30" a="1"/>
  <c r="U13" i="30" a="1"/>
  <c r="Q12" i="30" a="1"/>
  <c r="R14" i="30" a="1"/>
  <c r="U14" i="30" a="1"/>
  <c r="Q14" i="30" a="1"/>
  <c r="R13" i="30" a="1"/>
  <c r="T13" i="30" a="1"/>
  <c r="R12" i="30" a="1"/>
  <c r="T12" i="30" a="1"/>
  <c r="U12" i="30" a="1"/>
  <c r="U9" i="30" a="1"/>
  <c r="T7" i="30" a="1"/>
  <c r="R4" i="30" a="1"/>
  <c r="Q2" i="30" a="1"/>
  <c r="R7" i="30" a="1"/>
  <c r="U10" i="30" a="1"/>
  <c r="T8" i="30" a="1"/>
  <c r="R5" i="30" a="1"/>
  <c r="Q3" i="30" a="1"/>
  <c r="T10" i="30" a="1"/>
  <c r="T11" i="30" a="1"/>
  <c r="R9" i="30" a="1"/>
  <c r="U2" i="30" a="1"/>
  <c r="T2" i="30" a="1"/>
  <c r="T3" i="30" a="1"/>
  <c r="T4" i="30" a="1"/>
  <c r="T5" i="30" a="1"/>
  <c r="R3" i="30" a="1"/>
  <c r="U11" i="30" a="1"/>
  <c r="T9" i="30" a="1"/>
  <c r="R6" i="30" a="1"/>
  <c r="Q4" i="30" a="1"/>
  <c r="Q5" i="30" a="1"/>
  <c r="R8" i="30" a="1"/>
  <c r="Q6" i="30" a="1"/>
  <c r="Q7" i="30" a="1"/>
  <c r="R10" i="30" a="1"/>
  <c r="Q8" i="30" a="1"/>
  <c r="U3" i="30" a="1"/>
  <c r="R11" i="30" a="1"/>
  <c r="Q9" i="30" a="1"/>
  <c r="U4" i="30" a="1"/>
  <c r="Q11" i="30" a="1"/>
  <c r="R2" i="30" a="1"/>
  <c r="T6" i="30" a="1"/>
  <c r="Q10" i="30" a="1"/>
  <c r="U5" i="30" a="1"/>
  <c r="U6" i="30" a="1"/>
  <c r="U7" i="30" a="1"/>
  <c r="U8" i="30" a="1"/>
  <c r="R36" i="34" l="1"/>
  <c r="Q30" i="34"/>
  <c r="S30" i="34" s="1"/>
  <c r="Q31" i="34"/>
  <c r="Q33" i="34"/>
  <c r="Q34" i="34"/>
  <c r="U29" i="34"/>
  <c r="Q35" i="34"/>
  <c r="S35" i="34" s="1"/>
  <c r="U30" i="34"/>
  <c r="T28" i="34"/>
  <c r="T29" i="34"/>
  <c r="R28" i="34"/>
  <c r="R32" i="34"/>
  <c r="T36" i="34"/>
  <c r="R35" i="34"/>
  <c r="U28" i="34"/>
  <c r="U33" i="34"/>
  <c r="U34" i="34"/>
  <c r="T32" i="34"/>
  <c r="R29" i="34"/>
  <c r="R34" i="34"/>
  <c r="U31" i="34"/>
  <c r="T30" i="34"/>
  <c r="U35" i="34"/>
  <c r="T33" i="34"/>
  <c r="R30" i="34"/>
  <c r="Q28" i="34"/>
  <c r="T35" i="34"/>
  <c r="R33" i="34"/>
  <c r="Q32" i="34"/>
  <c r="Q36" i="34"/>
  <c r="S36" i="34" s="1"/>
  <c r="U32" i="34"/>
  <c r="T31" i="34"/>
  <c r="U36" i="34"/>
  <c r="T34" i="34"/>
  <c r="R31" i="34"/>
  <c r="Q29" i="34"/>
  <c r="S29" i="34" s="1"/>
  <c r="Q6" i="37"/>
  <c r="R8" i="37"/>
  <c r="Q5" i="37"/>
  <c r="R7" i="37"/>
  <c r="T10" i="37"/>
  <c r="U12" i="37"/>
  <c r="Q17" i="37"/>
  <c r="R19" i="37"/>
  <c r="R6" i="37"/>
  <c r="T9" i="37"/>
  <c r="Q16" i="37"/>
  <c r="T21" i="37"/>
  <c r="Q4" i="37"/>
  <c r="U11" i="37"/>
  <c r="R5" i="37"/>
  <c r="T8" i="37"/>
  <c r="U10" i="37"/>
  <c r="Q15" i="37"/>
  <c r="R17" i="37"/>
  <c r="T20" i="37"/>
  <c r="T7" i="37"/>
  <c r="R16" i="37"/>
  <c r="T19" i="37"/>
  <c r="U21" i="37"/>
  <c r="U9" i="37"/>
  <c r="Q14" i="37"/>
  <c r="U8" i="37"/>
  <c r="T18" i="37"/>
  <c r="U20" i="37"/>
  <c r="R18" i="37"/>
  <c r="Q3" i="37"/>
  <c r="Q2" i="37"/>
  <c r="Q13" i="37"/>
  <c r="R15" i="37"/>
  <c r="R2" i="37"/>
  <c r="T5" i="37"/>
  <c r="U7" i="37"/>
  <c r="Q12" i="37"/>
  <c r="S12" i="37" s="1"/>
  <c r="V12" i="37" s="1"/>
  <c r="R14" i="37"/>
  <c r="T17" i="37"/>
  <c r="U19" i="37"/>
  <c r="R4" i="37"/>
  <c r="R3" i="37"/>
  <c r="T4" i="37"/>
  <c r="T6" i="37"/>
  <c r="T16" i="37"/>
  <c r="U5" i="37"/>
  <c r="R12" i="37"/>
  <c r="T15" i="37"/>
  <c r="U17" i="37"/>
  <c r="R11" i="37"/>
  <c r="U3" i="37"/>
  <c r="Q8" i="37"/>
  <c r="S8" i="37" s="1"/>
  <c r="R10" i="37"/>
  <c r="T13" i="37"/>
  <c r="U15" i="37"/>
  <c r="Q20" i="37"/>
  <c r="S20" i="37" s="1"/>
  <c r="V20" i="37" s="1"/>
  <c r="U6" i="37"/>
  <c r="Q11" i="37"/>
  <c r="S11" i="37" s="1"/>
  <c r="V11" i="37" s="1"/>
  <c r="R13" i="37"/>
  <c r="U18" i="37"/>
  <c r="T3" i="37"/>
  <c r="Q10" i="37"/>
  <c r="S10" i="37" s="1"/>
  <c r="V10" i="37" s="1"/>
  <c r="T2" i="37"/>
  <c r="U4" i="37"/>
  <c r="Q9" i="37"/>
  <c r="T14" i="37"/>
  <c r="U16" i="37"/>
  <c r="Q21" i="37"/>
  <c r="U2" i="37"/>
  <c r="Q7" i="37"/>
  <c r="S7" i="37" s="1"/>
  <c r="V7" i="37" s="1"/>
  <c r="R9" i="37"/>
  <c r="T12" i="37"/>
  <c r="U14" i="37"/>
  <c r="Q19" i="37"/>
  <c r="S19" i="37" s="1"/>
  <c r="V19" i="37" s="1"/>
  <c r="R21" i="37"/>
  <c r="T11" i="37"/>
  <c r="U13" i="37"/>
  <c r="Q18" i="37"/>
  <c r="S18" i="37" s="1"/>
  <c r="R20" i="37"/>
  <c r="R4" i="36"/>
  <c r="R15" i="36"/>
  <c r="Q5" i="36"/>
  <c r="R7" i="36"/>
  <c r="T10" i="36"/>
  <c r="U12" i="36"/>
  <c r="Q4" i="36"/>
  <c r="S4" i="36" s="1"/>
  <c r="Q3" i="36"/>
  <c r="S3" i="36" s="1"/>
  <c r="R5" i="36"/>
  <c r="T8" i="36"/>
  <c r="U10" i="36"/>
  <c r="Q15" i="36"/>
  <c r="S15" i="36" s="1"/>
  <c r="Q2" i="36"/>
  <c r="Q12" i="36"/>
  <c r="S12" i="36" s="1"/>
  <c r="Q14" i="36"/>
  <c r="S14" i="36" s="1"/>
  <c r="T6" i="36"/>
  <c r="Q13" i="36"/>
  <c r="T9" i="36"/>
  <c r="T7" i="36"/>
  <c r="U4" i="36"/>
  <c r="U3" i="36"/>
  <c r="Q8" i="36"/>
  <c r="S8" i="36" s="1"/>
  <c r="V8" i="36" s="1"/>
  <c r="R10" i="36"/>
  <c r="T13" i="36"/>
  <c r="U15" i="36"/>
  <c r="R14" i="36"/>
  <c r="T4" i="36"/>
  <c r="U6" i="36"/>
  <c r="Q11" i="36"/>
  <c r="S11" i="36" s="1"/>
  <c r="V11" i="36" s="1"/>
  <c r="R13" i="36"/>
  <c r="Q9" i="36"/>
  <c r="R11" i="36"/>
  <c r="U2" i="36"/>
  <c r="Q7" i="36"/>
  <c r="S7" i="36" s="1"/>
  <c r="R9" i="36"/>
  <c r="T12" i="36"/>
  <c r="U14" i="36"/>
  <c r="R6" i="36"/>
  <c r="U11" i="36"/>
  <c r="U9" i="36"/>
  <c r="R3" i="36"/>
  <c r="U8" i="36"/>
  <c r="R2" i="36"/>
  <c r="T5" i="36"/>
  <c r="U7" i="36"/>
  <c r="T3" i="36"/>
  <c r="U5" i="36"/>
  <c r="Q10" i="36"/>
  <c r="S10" i="36" s="1"/>
  <c r="V10" i="36" s="1"/>
  <c r="R12" i="36"/>
  <c r="T15" i="36"/>
  <c r="T2" i="36"/>
  <c r="T14" i="36"/>
  <c r="Q6" i="36"/>
  <c r="R8" i="36"/>
  <c r="T11" i="36"/>
  <c r="U13" i="36"/>
  <c r="U10" i="35"/>
  <c r="R17" i="35"/>
  <c r="Q2" i="35"/>
  <c r="U9" i="35"/>
  <c r="R15" i="35"/>
  <c r="Q5" i="35"/>
  <c r="S5" i="35" s="1"/>
  <c r="V5" i="35" s="1"/>
  <c r="U12" i="35"/>
  <c r="R6" i="35"/>
  <c r="U11" i="35"/>
  <c r="R18" i="35"/>
  <c r="Q15" i="35"/>
  <c r="R4" i="35"/>
  <c r="Q14" i="35"/>
  <c r="S14" i="35" s="1"/>
  <c r="T19" i="35"/>
  <c r="Q13" i="35"/>
  <c r="S13" i="35" s="1"/>
  <c r="T18" i="35"/>
  <c r="R2" i="35"/>
  <c r="T5" i="35"/>
  <c r="U7" i="35"/>
  <c r="Q12" i="35"/>
  <c r="R14" i="35"/>
  <c r="T17" i="35"/>
  <c r="U19" i="35"/>
  <c r="T9" i="35"/>
  <c r="Q16" i="35"/>
  <c r="S16" i="35" s="1"/>
  <c r="T3" i="35"/>
  <c r="T15" i="35"/>
  <c r="T2" i="35"/>
  <c r="R11" i="35"/>
  <c r="U3" i="35"/>
  <c r="Q8" i="35"/>
  <c r="S8" i="35" s="1"/>
  <c r="R10" i="35"/>
  <c r="T13" i="35"/>
  <c r="U15" i="35"/>
  <c r="Q3" i="35"/>
  <c r="R5" i="35"/>
  <c r="T7" i="35"/>
  <c r="R16" i="35"/>
  <c r="R3" i="35"/>
  <c r="T6" i="35"/>
  <c r="T4" i="35"/>
  <c r="Q11" i="35"/>
  <c r="S11" i="35" s="1"/>
  <c r="V11" i="35" s="1"/>
  <c r="T16" i="35"/>
  <c r="U5" i="35"/>
  <c r="R12" i="35"/>
  <c r="U17" i="35"/>
  <c r="T14" i="35"/>
  <c r="U2" i="35"/>
  <c r="Q7" i="35"/>
  <c r="S7" i="35" s="1"/>
  <c r="V7" i="35" s="1"/>
  <c r="R9" i="35"/>
  <c r="T12" i="35"/>
  <c r="U14" i="35"/>
  <c r="Q19" i="35"/>
  <c r="R7" i="35"/>
  <c r="T10" i="35"/>
  <c r="Q17" i="35"/>
  <c r="S17" i="35" s="1"/>
  <c r="V17" i="35" s="1"/>
  <c r="R19" i="35"/>
  <c r="Q4" i="35"/>
  <c r="S4" i="35" s="1"/>
  <c r="V4" i="35" s="1"/>
  <c r="T8" i="35"/>
  <c r="U8" i="35"/>
  <c r="U6" i="35"/>
  <c r="R13" i="35"/>
  <c r="U18" i="35"/>
  <c r="Q10" i="35"/>
  <c r="S10" i="35" s="1"/>
  <c r="V10" i="35" s="1"/>
  <c r="U4" i="35"/>
  <c r="Q9" i="35"/>
  <c r="U16" i="35"/>
  <c r="Q6" i="35"/>
  <c r="R8" i="35"/>
  <c r="T11" i="35"/>
  <c r="U13" i="35"/>
  <c r="Q18" i="35"/>
  <c r="Q16" i="34"/>
  <c r="R18" i="34"/>
  <c r="T21" i="34"/>
  <c r="U23" i="34"/>
  <c r="Q27" i="34"/>
  <c r="S27" i="34" s="1"/>
  <c r="Q14" i="34"/>
  <c r="R16" i="34"/>
  <c r="T19" i="34"/>
  <c r="U21" i="34"/>
  <c r="Q26" i="34"/>
  <c r="S26" i="34" s="1"/>
  <c r="V26" i="34" s="1"/>
  <c r="Q17" i="34"/>
  <c r="S17" i="34" s="1"/>
  <c r="V17" i="34" s="1"/>
  <c r="U24" i="34"/>
  <c r="Q4" i="34"/>
  <c r="S4" i="34" s="1"/>
  <c r="R6" i="34"/>
  <c r="T9" i="34"/>
  <c r="U11" i="34"/>
  <c r="Q3" i="34"/>
  <c r="R5" i="34"/>
  <c r="T8" i="34"/>
  <c r="U10" i="34"/>
  <c r="Q15" i="34"/>
  <c r="R17" i="34"/>
  <c r="T20" i="34"/>
  <c r="U22" i="34"/>
  <c r="Q2" i="34"/>
  <c r="R4" i="34"/>
  <c r="T7" i="34"/>
  <c r="U9" i="34"/>
  <c r="R3" i="34"/>
  <c r="T6" i="34"/>
  <c r="U8" i="34"/>
  <c r="Q13" i="34"/>
  <c r="R15" i="34"/>
  <c r="T18" i="34"/>
  <c r="U20" i="34"/>
  <c r="Q25" i="34"/>
  <c r="S25" i="34" s="1"/>
  <c r="V25" i="34" s="1"/>
  <c r="R27" i="34"/>
  <c r="R19" i="34"/>
  <c r="R2" i="34"/>
  <c r="U7" i="34"/>
  <c r="T17" i="34"/>
  <c r="Q24" i="34"/>
  <c r="U6" i="34"/>
  <c r="Q11" i="34"/>
  <c r="S11" i="34" s="1"/>
  <c r="V11" i="34" s="1"/>
  <c r="T16" i="34"/>
  <c r="Q23" i="34"/>
  <c r="S23" i="34" s="1"/>
  <c r="V23" i="34" s="1"/>
  <c r="T3" i="34"/>
  <c r="R12" i="34"/>
  <c r="T15" i="34"/>
  <c r="U17" i="34"/>
  <c r="Q22" i="34"/>
  <c r="Q9" i="34"/>
  <c r="S9" i="34" s="1"/>
  <c r="V9" i="34" s="1"/>
  <c r="Q5" i="34"/>
  <c r="T10" i="34"/>
  <c r="T22" i="34"/>
  <c r="T5" i="34"/>
  <c r="R14" i="34"/>
  <c r="R26" i="34"/>
  <c r="R13" i="34"/>
  <c r="U18" i="34"/>
  <c r="R25" i="34"/>
  <c r="U5" i="34"/>
  <c r="Q10" i="34"/>
  <c r="T27" i="34"/>
  <c r="U4" i="34"/>
  <c r="T13" i="34"/>
  <c r="U15" i="34"/>
  <c r="Q20" i="34"/>
  <c r="S20" i="34" s="1"/>
  <c r="R22" i="34"/>
  <c r="T25" i="34"/>
  <c r="U27" i="34"/>
  <c r="R24" i="34"/>
  <c r="T2" i="34"/>
  <c r="R11" i="34"/>
  <c r="T14" i="34"/>
  <c r="U16" i="34"/>
  <c r="Q21" i="34"/>
  <c r="R23" i="34"/>
  <c r="T26" i="34"/>
  <c r="U3" i="34"/>
  <c r="Q8" i="34"/>
  <c r="S8" i="34" s="1"/>
  <c r="V8" i="34" s="1"/>
  <c r="R10" i="34"/>
  <c r="U2" i="34"/>
  <c r="Q7" i="34"/>
  <c r="S7" i="34" s="1"/>
  <c r="V7" i="34" s="1"/>
  <c r="R9" i="34"/>
  <c r="T12" i="34"/>
  <c r="U14" i="34"/>
  <c r="Q19" i="34"/>
  <c r="S19" i="34" s="1"/>
  <c r="R21" i="34"/>
  <c r="T24" i="34"/>
  <c r="U26" i="34"/>
  <c r="R7" i="34"/>
  <c r="U12" i="34"/>
  <c r="Q12" i="34"/>
  <c r="U19" i="34"/>
  <c r="T4" i="34"/>
  <c r="Q6" i="34"/>
  <c r="S6" i="34" s="1"/>
  <c r="R8" i="34"/>
  <c r="T11" i="34"/>
  <c r="U13" i="34"/>
  <c r="Q18" i="34"/>
  <c r="S18" i="34" s="1"/>
  <c r="R20" i="34"/>
  <c r="T23" i="34"/>
  <c r="U25" i="34"/>
  <c r="R7" i="33"/>
  <c r="T10" i="33"/>
  <c r="U12" i="33"/>
  <c r="Q17" i="33"/>
  <c r="R19" i="33"/>
  <c r="Q16" i="33"/>
  <c r="R18" i="33"/>
  <c r="R17" i="33"/>
  <c r="T11" i="33"/>
  <c r="Q4" i="33"/>
  <c r="R4" i="33"/>
  <c r="T7" i="33"/>
  <c r="U9" i="33"/>
  <c r="Q14" i="33"/>
  <c r="R16" i="33"/>
  <c r="T19" i="33"/>
  <c r="Q6" i="33"/>
  <c r="U11" i="33"/>
  <c r="R5" i="33"/>
  <c r="T8" i="33"/>
  <c r="U10" i="33"/>
  <c r="Q12" i="33"/>
  <c r="S12" i="33" s="1"/>
  <c r="R14" i="33"/>
  <c r="T17" i="33"/>
  <c r="U19" i="33"/>
  <c r="U8" i="33"/>
  <c r="R15" i="33"/>
  <c r="U18" i="33"/>
  <c r="Q15" i="33"/>
  <c r="S15" i="33" s="1"/>
  <c r="V15" i="33" s="1"/>
  <c r="R2" i="33"/>
  <c r="R13" i="33"/>
  <c r="R3" i="33"/>
  <c r="U7" i="33"/>
  <c r="T2" i="33"/>
  <c r="Q9" i="33"/>
  <c r="R8" i="33"/>
  <c r="R6" i="33"/>
  <c r="T6" i="33"/>
  <c r="Q13" i="33"/>
  <c r="S13" i="33" s="1"/>
  <c r="V13" i="33" s="1"/>
  <c r="T18" i="33"/>
  <c r="Q11" i="33"/>
  <c r="U5" i="33"/>
  <c r="T15" i="33"/>
  <c r="U17" i="33"/>
  <c r="U4" i="33"/>
  <c r="R11" i="33"/>
  <c r="T14" i="33"/>
  <c r="U3" i="33"/>
  <c r="Q8" i="33"/>
  <c r="S8" i="33" s="1"/>
  <c r="V8" i="33" s="1"/>
  <c r="R10" i="33"/>
  <c r="T13" i="33"/>
  <c r="U15" i="33"/>
  <c r="Q5" i="33"/>
  <c r="S5" i="33" s="1"/>
  <c r="T9" i="33"/>
  <c r="Q3" i="33"/>
  <c r="S3" i="33" s="1"/>
  <c r="Q2" i="33"/>
  <c r="S2" i="33" s="1"/>
  <c r="V2" i="33" s="1"/>
  <c r="T5" i="33"/>
  <c r="T4" i="33"/>
  <c r="U6" i="33"/>
  <c r="T16" i="33"/>
  <c r="T3" i="33"/>
  <c r="Q10" i="33"/>
  <c r="R12" i="33"/>
  <c r="U16" i="33"/>
  <c r="U2" i="33"/>
  <c r="Q7" i="33"/>
  <c r="S7" i="33" s="1"/>
  <c r="V7" i="33" s="1"/>
  <c r="R9" i="33"/>
  <c r="T12" i="33"/>
  <c r="U14" i="33"/>
  <c r="Q19" i="33"/>
  <c r="S19" i="33" s="1"/>
  <c r="V19" i="33" s="1"/>
  <c r="U13" i="33"/>
  <c r="Q18" i="33"/>
  <c r="R19" i="31"/>
  <c r="U25" i="31"/>
  <c r="T23" i="31"/>
  <c r="R21" i="31"/>
  <c r="T22" i="31"/>
  <c r="Q17" i="31"/>
  <c r="S17" i="31" s="1"/>
  <c r="Q18" i="31"/>
  <c r="S18" i="31" s="1"/>
  <c r="V18" i="31" s="1"/>
  <c r="T24" i="31"/>
  <c r="Q20" i="31"/>
  <c r="S20" i="31" s="1"/>
  <c r="V20" i="31" s="1"/>
  <c r="T26" i="31"/>
  <c r="Q21" i="31"/>
  <c r="S21" i="31" s="1"/>
  <c r="V21" i="31" s="1"/>
  <c r="U16" i="31"/>
  <c r="Q22" i="31"/>
  <c r="R25" i="31"/>
  <c r="R26" i="31"/>
  <c r="Q24" i="31"/>
  <c r="U19" i="31"/>
  <c r="T17" i="31"/>
  <c r="U24" i="31"/>
  <c r="R20" i="31"/>
  <c r="U26" i="31"/>
  <c r="Q19" i="31"/>
  <c r="S19" i="31" s="1"/>
  <c r="V19" i="31" s="1"/>
  <c r="U27" i="31"/>
  <c r="T25" i="31"/>
  <c r="U15" i="31"/>
  <c r="R23" i="31"/>
  <c r="T15" i="31"/>
  <c r="T16" i="31"/>
  <c r="U20" i="31"/>
  <c r="T18" i="31"/>
  <c r="R15" i="31"/>
  <c r="Q26" i="31"/>
  <c r="S26" i="31" s="1"/>
  <c r="U21" i="31"/>
  <c r="T19" i="31"/>
  <c r="R16" i="31"/>
  <c r="U17" i="31"/>
  <c r="U18" i="31"/>
  <c r="R27" i="31"/>
  <c r="U22" i="31"/>
  <c r="T20" i="31"/>
  <c r="R17" i="31"/>
  <c r="Q15" i="31"/>
  <c r="R22" i="31"/>
  <c r="T27" i="31"/>
  <c r="R24" i="31"/>
  <c r="Q23" i="31"/>
  <c r="S23" i="31" s="1"/>
  <c r="V23" i="31" s="1"/>
  <c r="Q25" i="31"/>
  <c r="S25" i="31" s="1"/>
  <c r="Q27" i="31"/>
  <c r="S27" i="31" s="1"/>
  <c r="V27" i="31" s="1"/>
  <c r="U23" i="31"/>
  <c r="T21" i="31"/>
  <c r="R18" i="31"/>
  <c r="Q16" i="31"/>
  <c r="T3" i="31"/>
  <c r="U4" i="31"/>
  <c r="U3" i="31"/>
  <c r="R6" i="31"/>
  <c r="T9" i="31"/>
  <c r="U11" i="31"/>
  <c r="Q4" i="31"/>
  <c r="Q3" i="31"/>
  <c r="S3" i="31" s="1"/>
  <c r="V3" i="31" s="1"/>
  <c r="R5" i="31"/>
  <c r="T8" i="31"/>
  <c r="U10" i="31"/>
  <c r="Q14" i="31"/>
  <c r="S14" i="31" s="1"/>
  <c r="V14" i="31" s="1"/>
  <c r="T7" i="31"/>
  <c r="U8" i="31"/>
  <c r="R3" i="31"/>
  <c r="U7" i="31"/>
  <c r="Q12" i="31"/>
  <c r="S12" i="31" s="1"/>
  <c r="V12" i="31" s="1"/>
  <c r="R14" i="31"/>
  <c r="T6" i="31"/>
  <c r="Q13" i="31"/>
  <c r="S13" i="31" s="1"/>
  <c r="R2" i="31"/>
  <c r="T5" i="31"/>
  <c r="T4" i="31"/>
  <c r="U6" i="31"/>
  <c r="Q11" i="31"/>
  <c r="R13" i="31"/>
  <c r="Q10" i="31"/>
  <c r="S10" i="31" s="1"/>
  <c r="R12" i="31"/>
  <c r="U5" i="31"/>
  <c r="T2" i="31"/>
  <c r="Q9" i="31"/>
  <c r="S9" i="31" s="1"/>
  <c r="R11" i="31"/>
  <c r="T14" i="31"/>
  <c r="U9" i="31"/>
  <c r="T13" i="31"/>
  <c r="Q8" i="31"/>
  <c r="S8" i="31" s="1"/>
  <c r="V8" i="31" s="1"/>
  <c r="R10" i="31"/>
  <c r="U2" i="31"/>
  <c r="Q7" i="31"/>
  <c r="S7" i="31" s="1"/>
  <c r="V7" i="31" s="1"/>
  <c r="R9" i="31"/>
  <c r="T12" i="31"/>
  <c r="U14" i="31"/>
  <c r="Q2" i="31"/>
  <c r="U13" i="31"/>
  <c r="R4" i="31"/>
  <c r="Q6" i="31"/>
  <c r="S6" i="31" s="1"/>
  <c r="V6" i="31" s="1"/>
  <c r="R8" i="31"/>
  <c r="T11" i="31"/>
  <c r="Q5" i="31"/>
  <c r="R7" i="31"/>
  <c r="T10" i="31"/>
  <c r="U12" i="31"/>
  <c r="U12" i="30"/>
  <c r="T12" i="30"/>
  <c r="R12" i="30"/>
  <c r="T13" i="30"/>
  <c r="R13" i="30"/>
  <c r="Q14" i="30"/>
  <c r="U14" i="30"/>
  <c r="R14" i="30"/>
  <c r="Q12" i="30"/>
  <c r="S12" i="30" s="1"/>
  <c r="V12" i="30" s="1"/>
  <c r="U13" i="30"/>
  <c r="T14" i="30"/>
  <c r="Q13" i="30"/>
  <c r="S13" i="30" s="1"/>
  <c r="V13" i="30" s="1"/>
  <c r="U8" i="30"/>
  <c r="U7" i="30"/>
  <c r="U6" i="30"/>
  <c r="U5" i="30"/>
  <c r="Q10" i="30"/>
  <c r="S10" i="30" s="1"/>
  <c r="T6" i="30"/>
  <c r="R2" i="30"/>
  <c r="Q11" i="30"/>
  <c r="S11" i="30" s="1"/>
  <c r="U4" i="30"/>
  <c r="Q9" i="30"/>
  <c r="S9" i="30" s="1"/>
  <c r="V9" i="30" s="1"/>
  <c r="R11" i="30"/>
  <c r="U3" i="30"/>
  <c r="Q8" i="30"/>
  <c r="R10" i="30"/>
  <c r="Q7" i="30"/>
  <c r="Q6" i="30"/>
  <c r="R8" i="30"/>
  <c r="Q5" i="30"/>
  <c r="Q4" i="30"/>
  <c r="S4" i="30" s="1"/>
  <c r="R6" i="30"/>
  <c r="T9" i="30"/>
  <c r="U11" i="30"/>
  <c r="R3" i="30"/>
  <c r="T5" i="30"/>
  <c r="T4" i="30"/>
  <c r="T3" i="30"/>
  <c r="T2" i="30"/>
  <c r="U2" i="30"/>
  <c r="R9" i="30"/>
  <c r="T11" i="30"/>
  <c r="T10" i="30"/>
  <c r="Q3" i="30"/>
  <c r="S3" i="30" s="1"/>
  <c r="R5" i="30"/>
  <c r="T8" i="30"/>
  <c r="U10" i="30"/>
  <c r="R7" i="30"/>
  <c r="Q2" i="30"/>
  <c r="R4" i="30"/>
  <c r="T7" i="30"/>
  <c r="U9" i="30"/>
  <c r="V36" i="34" l="1"/>
  <c r="S34" i="34"/>
  <c r="V34" i="34" s="1"/>
  <c r="S31" i="34"/>
  <c r="V31" i="34" s="1"/>
  <c r="S32" i="34"/>
  <c r="V32" i="34" s="1"/>
  <c r="S28" i="34"/>
  <c r="V28" i="34" s="1"/>
  <c r="V30" i="34"/>
  <c r="V29" i="34"/>
  <c r="V35" i="34"/>
  <c r="S33" i="34"/>
  <c r="V33" i="34" s="1"/>
  <c r="S15" i="37"/>
  <c r="V15" i="37" s="1"/>
  <c r="V8" i="37"/>
  <c r="S14" i="37"/>
  <c r="V14" i="37" s="1"/>
  <c r="S17" i="37"/>
  <c r="V17" i="37" s="1"/>
  <c r="S3" i="37"/>
  <c r="V3" i="37" s="1"/>
  <c r="S5" i="37"/>
  <c r="V5" i="37" s="1"/>
  <c r="S2" i="37"/>
  <c r="V2" i="37" s="1"/>
  <c r="S4" i="37"/>
  <c r="V4" i="37" s="1"/>
  <c r="V18" i="37"/>
  <c r="S13" i="37"/>
  <c r="V13" i="37" s="1"/>
  <c r="S21" i="37"/>
  <c r="V21" i="37" s="1"/>
  <c r="S9" i="37"/>
  <c r="V9" i="37" s="1"/>
  <c r="S16" i="37"/>
  <c r="V16" i="37" s="1"/>
  <c r="S6" i="37"/>
  <c r="V6" i="37" s="1"/>
  <c r="V14" i="36"/>
  <c r="V15" i="36"/>
  <c r="V7" i="36"/>
  <c r="V12" i="36"/>
  <c r="V3" i="36"/>
  <c r="S9" i="36"/>
  <c r="V9" i="36" s="1"/>
  <c r="V4" i="36"/>
  <c r="S13" i="36"/>
  <c r="V13" i="36" s="1"/>
  <c r="S2" i="36"/>
  <c r="V2" i="36" s="1"/>
  <c r="S5" i="36"/>
  <c r="V5" i="36" s="1"/>
  <c r="S6" i="36"/>
  <c r="V6" i="36" s="1"/>
  <c r="V13" i="35"/>
  <c r="V16" i="35"/>
  <c r="S9" i="35"/>
  <c r="V9" i="35" s="1"/>
  <c r="S18" i="35"/>
  <c r="V18" i="35" s="1"/>
  <c r="S12" i="35"/>
  <c r="V12" i="35" s="1"/>
  <c r="V8" i="35"/>
  <c r="S19" i="35"/>
  <c r="V19" i="35" s="1"/>
  <c r="S3" i="35"/>
  <c r="V3" i="35" s="1"/>
  <c r="S15" i="35"/>
  <c r="V15" i="35" s="1"/>
  <c r="V14" i="35"/>
  <c r="S2" i="35"/>
  <c r="V2" i="35" s="1"/>
  <c r="S6" i="35"/>
  <c r="V6" i="35" s="1"/>
  <c r="S12" i="34"/>
  <c r="V12" i="34" s="1"/>
  <c r="V20" i="34"/>
  <c r="S13" i="34"/>
  <c r="V13" i="34" s="1"/>
  <c r="S14" i="34"/>
  <c r="V14" i="34" s="1"/>
  <c r="V19" i="34"/>
  <c r="S10" i="34"/>
  <c r="V10" i="34" s="1"/>
  <c r="S24" i="34"/>
  <c r="V24" i="34" s="1"/>
  <c r="S5" i="34"/>
  <c r="V5" i="34" s="1"/>
  <c r="S22" i="34"/>
  <c r="V22" i="34" s="1"/>
  <c r="S15" i="34"/>
  <c r="V15" i="34" s="1"/>
  <c r="V18" i="34"/>
  <c r="S21" i="34"/>
  <c r="V21" i="34" s="1"/>
  <c r="S3" i="34"/>
  <c r="V3" i="34" s="1"/>
  <c r="V27" i="34"/>
  <c r="V6" i="34"/>
  <c r="S2" i="34"/>
  <c r="V2" i="34" s="1"/>
  <c r="V4" i="34"/>
  <c r="S16" i="34"/>
  <c r="V16" i="34" s="1"/>
  <c r="V12" i="33"/>
  <c r="S16" i="33"/>
  <c r="V16" i="33" s="1"/>
  <c r="S18" i="33"/>
  <c r="V18" i="33" s="1"/>
  <c r="S9" i="33"/>
  <c r="V9" i="33" s="1"/>
  <c r="S10" i="33"/>
  <c r="V10" i="33" s="1"/>
  <c r="S17" i="33"/>
  <c r="V17" i="33" s="1"/>
  <c r="S11" i="33"/>
  <c r="V11" i="33" s="1"/>
  <c r="S6" i="33"/>
  <c r="V6" i="33" s="1"/>
  <c r="V3" i="33"/>
  <c r="S14" i="33"/>
  <c r="V14" i="33" s="1"/>
  <c r="V5" i="33"/>
  <c r="S4" i="33"/>
  <c r="V4" i="33" s="1"/>
  <c r="V17" i="31"/>
  <c r="V26" i="31"/>
  <c r="S15" i="31"/>
  <c r="V15" i="31" s="1"/>
  <c r="S16" i="31"/>
  <c r="V16" i="31" s="1"/>
  <c r="S24" i="31"/>
  <c r="V24" i="31" s="1"/>
  <c r="V25" i="31"/>
  <c r="S22" i="31"/>
  <c r="V22" i="31" s="1"/>
  <c r="V13" i="31"/>
  <c r="S2" i="31"/>
  <c r="V2" i="31" s="1"/>
  <c r="S4" i="31"/>
  <c r="V4" i="31" s="1"/>
  <c r="V10" i="31"/>
  <c r="V9" i="31"/>
  <c r="S5" i="31"/>
  <c r="V5" i="31" s="1"/>
  <c r="S11" i="31"/>
  <c r="V11" i="31" s="1"/>
  <c r="S14" i="30"/>
  <c r="V14" i="30" s="1"/>
  <c r="V4" i="30"/>
  <c r="S7" i="30"/>
  <c r="V7" i="30" s="1"/>
  <c r="V11" i="30"/>
  <c r="V10" i="30"/>
  <c r="S6" i="30"/>
  <c r="V6" i="30" s="1"/>
  <c r="V3" i="30"/>
  <c r="S5" i="30"/>
  <c r="V5" i="30" s="1"/>
  <c r="S2" i="30"/>
  <c r="V2" i="30" s="1"/>
  <c r="S8" i="30"/>
  <c r="V8" i="3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16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17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18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9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20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21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<sst xmlns="http://schemas.openxmlformats.org/spreadsheetml/2006/main" count="163" uniqueCount="25">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</sst>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A902628-AF9E-4342-88A5-07D49914631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D56B257-704D-B54B-9AB9-AD44DA735B3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F1CDCF2-0944-FC4D-AA99-B78E2FA64AE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4B3757F-8489-F74B-96FF-BEC86586FFE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97BE2FE-AF67-644C-95DD-137597519EA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0F3D37F-C176-DF44-9069-28AD33948E5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AF00EEA2-B540-D347-A1FE-A186F10BCF9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D0046-E886-934D-9DC0-1FDCC69690FB}" name="sheet1__15" displayName="sheet1__15" ref="A1:O14" tableType="queryTable" totalsRowShown="0">
  <autoFilter ref="A1:O14" xr:uid="{103D0046-E886-934D-9DC0-1FDCC69690FB}"/>
  <tableColumns count="15">
    <tableColumn id="1" xr3:uid="{A172268B-4702-4445-B4F0-03140294C2F7}" uniqueName="1" name="Time" queryTableFieldId="1"/>
    <tableColumn id="2" xr3:uid="{276EF67C-1D14-834A-9B6D-C1B1897EC305}" uniqueName="2" name="T1" queryTableFieldId="2"/>
    <tableColumn id="3" xr3:uid="{EEBD684E-ECFA-644B-922E-0B296E154BB7}" uniqueName="3" name="T2" queryTableFieldId="3"/>
    <tableColumn id="4" xr3:uid="{7A995DA7-6958-0B4E-891B-914E4C68991D}" uniqueName="4" name="T3" queryTableFieldId="4"/>
    <tableColumn id="5" xr3:uid="{2CAFC574-A10F-6A43-BF70-2DE68FC7322E}" uniqueName="5" name="T4" queryTableFieldId="5"/>
    <tableColumn id="6" xr3:uid="{28BC4967-D2FE-AD45-BB45-FACDA4E6121F}" uniqueName="6" name="T5" queryTableFieldId="6"/>
    <tableColumn id="7" xr3:uid="{D667092A-C4A9-7C42-87CB-641EA6E86031}" uniqueName="7" name="T6" queryTableFieldId="7"/>
    <tableColumn id="8" xr3:uid="{3048B883-B6BB-2A41-AB9A-FB76BF66EAF8}" uniqueName="8" name="T7" queryTableFieldId="8"/>
    <tableColumn id="9" xr3:uid="{49DFFDF6-B23D-8A4D-B274-CC851BBFCA0E}" uniqueName="9" name="T8" queryTableFieldId="9"/>
    <tableColumn id="10" xr3:uid="{ECFF4745-524E-5947-9314-369B530E0723}" uniqueName="10" name="RTD_IN" queryTableFieldId="10"/>
    <tableColumn id="11" xr3:uid="{CF7DE03F-B5F5-E646-93A0-4E8F52FE2C9E}" uniqueName="11" name="RTD_OUT" queryTableFieldId="11"/>
    <tableColumn id="12" xr3:uid="{6A8AC8B9-C0A9-D443-930F-37DC58263585}" uniqueName="12" name="DPT_TS" queryTableFieldId="12"/>
    <tableColumn id="13" xr3:uid="{FD852F3D-3D0B-D445-B328-E4C0D2D3D3B6}" uniqueName="13" name="DPT_nozzle" queryTableFieldId="13"/>
    <tableColumn id="14" xr3:uid="{6E124D9D-3C79-2448-B2D0-81E4A9CCE322}" uniqueName="14" name="Flow_gps" queryTableFieldId="14"/>
    <tableColumn id="15" xr3:uid="{BC8AE1C2-CF14-6B47-96CC-6A06220F01AB}" uniqueName="15" name="DP_liquid" queryTableField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89942-2782-7142-BBC9-D8CD57112941}" name="sheet1__16" displayName="sheet1__16" ref="A1:O27" tableType="queryTable" totalsRowShown="0">
  <autoFilter ref="A1:O27" xr:uid="{E8789942-2782-7142-BBC9-D8CD57112941}"/>
  <tableColumns count="15">
    <tableColumn id="1" xr3:uid="{ED1D70C5-7264-6B4B-A003-102C80B0E743}" uniqueName="1" name="Time" queryTableFieldId="1"/>
    <tableColumn id="2" xr3:uid="{749DE256-4424-AC45-81E8-A32DE1F5FA4A}" uniqueName="2" name="T1" queryTableFieldId="2"/>
    <tableColumn id="3" xr3:uid="{47F83B7A-DCD4-C944-8C12-9500CC95EF4E}" uniqueName="3" name="T2" queryTableFieldId="3"/>
    <tableColumn id="4" xr3:uid="{5BA17028-2F4F-F945-9970-88BDF5CDCF01}" uniqueName="4" name="T3" queryTableFieldId="4"/>
    <tableColumn id="5" xr3:uid="{86808D19-B66E-9749-AECB-357CA5344C43}" uniqueName="5" name="T4" queryTableFieldId="5"/>
    <tableColumn id="6" xr3:uid="{C386778A-556E-5540-814D-A517DF8A08A4}" uniqueName="6" name="T5" queryTableFieldId="6"/>
    <tableColumn id="7" xr3:uid="{4D0863F4-CED3-594F-BF7D-223EF5ACEF10}" uniqueName="7" name="T6" queryTableFieldId="7"/>
    <tableColumn id="8" xr3:uid="{095BDCF1-E23D-9A4E-80A0-2F0C59AEFB98}" uniqueName="8" name="T7" queryTableFieldId="8"/>
    <tableColumn id="9" xr3:uid="{FA2CF9D7-B3AD-6D40-B86B-BC05E5492603}" uniqueName="9" name="T8" queryTableFieldId="9"/>
    <tableColumn id="10" xr3:uid="{54C7163F-E8B1-994F-88C7-EA0949E3A978}" uniqueName="10" name="RTD_IN" queryTableFieldId="10"/>
    <tableColumn id="11" xr3:uid="{58E29537-8D42-9647-9F34-056D221EEB60}" uniqueName="11" name="RTD_OUT" queryTableFieldId="11"/>
    <tableColumn id="12" xr3:uid="{B4F7A651-18B6-0A46-ABAA-7DF1A7A850C7}" uniqueName="12" name="DPT_TS" queryTableFieldId="12"/>
    <tableColumn id="13" xr3:uid="{154FB740-7A95-7B41-BC82-A16460612871}" uniqueName="13" name="DPT_nozzle" queryTableFieldId="13"/>
    <tableColumn id="14" xr3:uid="{19FF5992-1134-554E-B5A5-5EF6266CEBA4}" uniqueName="14" name="Flow_gps" queryTableFieldId="14"/>
    <tableColumn id="15" xr3:uid="{391E99C5-3012-7C4A-A539-F6BA8C6723A0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8B98EF-461D-734B-A72F-6FBF9D3BA555}" name="sheet1__17" displayName="sheet1__17" ref="A1:O19" tableType="queryTable" totalsRowShown="0">
  <autoFilter ref="A1:O19" xr:uid="{D98B98EF-461D-734B-A72F-6FBF9D3BA555}"/>
  <tableColumns count="15">
    <tableColumn id="1" xr3:uid="{C401363B-CBED-BD4F-8D6C-36D82184BDC1}" uniqueName="1" name="Time" queryTableFieldId="1"/>
    <tableColumn id="2" xr3:uid="{3BD46C4B-4029-C640-8D50-A112D9E4A15E}" uniqueName="2" name="T1" queryTableFieldId="2"/>
    <tableColumn id="3" xr3:uid="{597B5121-09D6-934D-950D-6075BB8C717F}" uniqueName="3" name="T2" queryTableFieldId="3"/>
    <tableColumn id="4" xr3:uid="{9FA56E7B-FFB2-794B-94ED-EFA3013022D6}" uniqueName="4" name="T3" queryTableFieldId="4"/>
    <tableColumn id="5" xr3:uid="{545EED79-2A1D-6A4D-8E08-3EB9AA04AC54}" uniqueName="5" name="T4" queryTableFieldId="5"/>
    <tableColumn id="6" xr3:uid="{BA7AD241-3583-E14C-A97F-D550CDB124FA}" uniqueName="6" name="T5" queryTableFieldId="6"/>
    <tableColumn id="7" xr3:uid="{F4E06F29-8151-C74D-AF60-3F1B922BDF5A}" uniqueName="7" name="T6" queryTableFieldId="7"/>
    <tableColumn id="8" xr3:uid="{3D819FF8-25FB-FE48-ABB2-64985B4EFB53}" uniqueName="8" name="T7" queryTableFieldId="8"/>
    <tableColumn id="9" xr3:uid="{8C587CD5-EB7E-5245-81BA-EE423F7DB52D}" uniqueName="9" name="T8" queryTableFieldId="9"/>
    <tableColumn id="10" xr3:uid="{D8416682-61E8-5144-A3CA-DE6DEEDD91D1}" uniqueName="10" name="RTD_IN" queryTableFieldId="10"/>
    <tableColumn id="11" xr3:uid="{EEBE2671-5787-824C-BFF0-F93D5D3452A2}" uniqueName="11" name="RTD_OUT" queryTableFieldId="11"/>
    <tableColumn id="12" xr3:uid="{82FD40EC-E5CC-8646-B131-890E84429D65}" uniqueName="12" name="DPT_TS" queryTableFieldId="12"/>
    <tableColumn id="13" xr3:uid="{46011A65-FCC4-C848-A844-20CB863106DE}" uniqueName="13" name="DPT_nozzle" queryTableFieldId="13"/>
    <tableColumn id="14" xr3:uid="{1E5C9898-57BB-234E-96B3-68209DACC2F1}" uniqueName="14" name="Flow_gps" queryTableFieldId="14"/>
    <tableColumn id="15" xr3:uid="{DB938C09-0667-4844-9E5D-BA83FB7C6C66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87489-C10E-E740-826A-8A79C536D081}" name="sheet1__18" displayName="sheet1__18" ref="A1:O36" tableType="queryTable" totalsRowShown="0">
  <autoFilter ref="A1:O36" xr:uid="{59587489-C10E-E740-826A-8A79C536D081}"/>
  <tableColumns count="15">
    <tableColumn id="1" xr3:uid="{E88F3011-2504-6E46-B22D-148958CB375B}" uniqueName="1" name="Time" queryTableFieldId="1"/>
    <tableColumn id="2" xr3:uid="{DCDCCF62-109F-574A-9419-58F49212278E}" uniqueName="2" name="T1" queryTableFieldId="2"/>
    <tableColumn id="3" xr3:uid="{81443891-01A6-414A-85A5-060649A22A36}" uniqueName="3" name="T2" queryTableFieldId="3"/>
    <tableColumn id="4" xr3:uid="{736DDAFE-43F1-044E-88DA-FEA4D8CC141A}" uniqueName="4" name="T3" queryTableFieldId="4"/>
    <tableColumn id="5" xr3:uid="{0984339D-635E-F642-8DD2-37FE57A71F1C}" uniqueName="5" name="T4" queryTableFieldId="5"/>
    <tableColumn id="6" xr3:uid="{4E73BDF1-8DCC-B640-B5E9-3B23C121F90D}" uniqueName="6" name="T5" queryTableFieldId="6"/>
    <tableColumn id="7" xr3:uid="{B869BCE2-99A1-EE41-89BB-345998759FDF}" uniqueName="7" name="T6" queryTableFieldId="7"/>
    <tableColumn id="8" xr3:uid="{301F03B0-0466-9740-B2C8-52974F5D1A16}" uniqueName="8" name="T7" queryTableFieldId="8"/>
    <tableColumn id="9" xr3:uid="{E9955543-D802-7C41-95AF-C3A3DCD8BAA6}" uniqueName="9" name="T8" queryTableFieldId="9"/>
    <tableColumn id="10" xr3:uid="{45F68153-5EBB-3A4F-9F4C-D315D7EA0506}" uniqueName="10" name="RTD_IN" queryTableFieldId="10"/>
    <tableColumn id="11" xr3:uid="{4734B8DE-E6DB-894D-BA7A-ADA41FA3B4C2}" uniqueName="11" name="RTD_OUT" queryTableFieldId="11"/>
    <tableColumn id="12" xr3:uid="{ED4593D9-E56B-CE46-BB1F-B77977BA6FEB}" uniqueName="12" name="DPT_TS" queryTableFieldId="12"/>
    <tableColumn id="13" xr3:uid="{BE1AFE04-1392-2443-BEB6-3784DABF4ED9}" uniqueName="13" name="DPT_nozzle" queryTableFieldId="13"/>
    <tableColumn id="14" xr3:uid="{5DF4433A-41AE-A94A-AD52-0ECD10F26AB0}" uniqueName="14" name="Flow_gps" queryTableFieldId="14"/>
    <tableColumn id="15" xr3:uid="{40E52B88-0197-1140-9913-26C83B40D11B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60FB23-92D2-5C4F-BE7A-43BC59B83958}" name="sheet1__19" displayName="sheet1__19" ref="A1:O19" tableType="queryTable" totalsRowShown="0">
  <autoFilter ref="A1:O19" xr:uid="{0860FB23-92D2-5C4F-BE7A-43BC59B83958}"/>
  <tableColumns count="15">
    <tableColumn id="1" xr3:uid="{F53BE043-5F91-394E-9C28-824C0F2E46E4}" uniqueName="1" name="Time" queryTableFieldId="1"/>
    <tableColumn id="2" xr3:uid="{C574CEA8-AE23-3A46-AC9D-0718B84A5DC2}" uniqueName="2" name="T1" queryTableFieldId="2"/>
    <tableColumn id="3" xr3:uid="{8C5D2687-FA48-C04A-9192-BA0FCC8017C8}" uniqueName="3" name="T2" queryTableFieldId="3"/>
    <tableColumn id="4" xr3:uid="{EB141C34-9180-7C44-8D1B-E0E5F3CB314D}" uniqueName="4" name="T3" queryTableFieldId="4"/>
    <tableColumn id="5" xr3:uid="{1FC5AD3D-9707-5544-9818-47018BD86795}" uniqueName="5" name="T4" queryTableFieldId="5"/>
    <tableColumn id="6" xr3:uid="{1E84EB8E-9431-6D4F-8A95-391B5CFABFED}" uniqueName="6" name="T5" queryTableFieldId="6"/>
    <tableColumn id="7" xr3:uid="{001EE85A-5C0F-2B4B-8987-36C8443B464D}" uniqueName="7" name="T6" queryTableFieldId="7"/>
    <tableColumn id="8" xr3:uid="{FA783A9F-446E-7C43-BA72-2F72261D1DD2}" uniqueName="8" name="T7" queryTableFieldId="8"/>
    <tableColumn id="9" xr3:uid="{FA5684A4-EDDA-2E4D-A6E3-88B6E3B650EF}" uniqueName="9" name="T8" queryTableFieldId="9"/>
    <tableColumn id="10" xr3:uid="{B9F9A9AF-E955-4A44-B5C6-76359E6F3EEC}" uniqueName="10" name="RTD_IN" queryTableFieldId="10"/>
    <tableColumn id="11" xr3:uid="{3940D6F8-DCF7-9B4B-9B0A-12F0C774C830}" uniqueName="11" name="RTD_OUT" queryTableFieldId="11"/>
    <tableColumn id="12" xr3:uid="{4A71DA30-AFE7-EE42-A6AA-EB6007861E44}" uniqueName="12" name="DPT_TS" queryTableFieldId="12"/>
    <tableColumn id="13" xr3:uid="{9ED047E2-01D3-974A-B388-C7F4B8260C0D}" uniqueName="13" name="DPT_nozzle" queryTableFieldId="13"/>
    <tableColumn id="14" xr3:uid="{0A230F36-CAA2-E342-9084-09BCEC2F375D}" uniqueName="14" name="Flow_gps" queryTableFieldId="14"/>
    <tableColumn id="15" xr3:uid="{6625ADBD-B782-4946-B594-B80C6F0848B8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4482D9-3C4F-1E43-91EC-EE1558A1FE00}" name="sheet1__20" displayName="sheet1__20" ref="A1:O15" tableType="queryTable" totalsRowShown="0">
  <autoFilter ref="A1:O15" xr:uid="{2E4482D9-3C4F-1E43-91EC-EE1558A1FE00}"/>
  <tableColumns count="15">
    <tableColumn id="1" xr3:uid="{AA4BDA8F-EB38-9A4A-B435-5CFADE03D773}" uniqueName="1" name="Time" queryTableFieldId="1"/>
    <tableColumn id="2" xr3:uid="{BA4D49AB-03FA-724D-AAED-AB3FBC734DC4}" uniqueName="2" name="T1" queryTableFieldId="2"/>
    <tableColumn id="3" xr3:uid="{371BF6D2-5DC3-EA4D-9638-E31D402B3B0E}" uniqueName="3" name="T2" queryTableFieldId="3"/>
    <tableColumn id="4" xr3:uid="{5C3651C7-44A3-D14B-B951-EAC38E0790D1}" uniqueName="4" name="T3" queryTableFieldId="4"/>
    <tableColumn id="5" xr3:uid="{E2F02664-847C-E24B-BF96-0C63AAC51FA0}" uniqueName="5" name="T4" queryTableFieldId="5"/>
    <tableColumn id="6" xr3:uid="{E101C096-8F7B-D143-BFA5-F9F526E3E7FD}" uniqueName="6" name="T5" queryTableFieldId="6"/>
    <tableColumn id="7" xr3:uid="{77345330-3019-484D-8DE3-288A2E77342A}" uniqueName="7" name="T6" queryTableFieldId="7"/>
    <tableColumn id="8" xr3:uid="{E0FF5715-5D52-C948-AD6A-F277A384A221}" uniqueName="8" name="T7" queryTableFieldId="8"/>
    <tableColumn id="9" xr3:uid="{42F7C66E-FA4A-194C-8887-8DC3FDE2C49E}" uniqueName="9" name="T8" queryTableFieldId="9"/>
    <tableColumn id="10" xr3:uid="{8C5DAF32-D138-D44D-812E-33AEA4BDFB22}" uniqueName="10" name="RTD_IN" queryTableFieldId="10"/>
    <tableColumn id="11" xr3:uid="{423BD309-9FBA-9046-A784-050A4E89F257}" uniqueName="11" name="RTD_OUT" queryTableFieldId="11"/>
    <tableColumn id="12" xr3:uid="{E9B2946B-9277-BC44-8C3B-BD919885B067}" uniqueName="12" name="DPT_TS" queryTableFieldId="12"/>
    <tableColumn id="13" xr3:uid="{2A9D4E4E-74FE-E64C-B64A-9C2701D99CFC}" uniqueName="13" name="DPT_nozzle" queryTableFieldId="13"/>
    <tableColumn id="14" xr3:uid="{DD510628-5374-D24B-934B-BEDA10A91FA9}" uniqueName="14" name="Flow_gps" queryTableFieldId="14"/>
    <tableColumn id="15" xr3:uid="{1EF4F9EF-DFD5-9248-AA85-5002E67C818F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371AD3-78BC-874B-AF1D-381F5CB07B04}" name="sheet1__21" displayName="sheet1__21" ref="A1:O21" tableType="queryTable" totalsRowShown="0">
  <autoFilter ref="A1:O21" xr:uid="{42371AD3-78BC-874B-AF1D-381F5CB07B04}"/>
  <tableColumns count="15">
    <tableColumn id="1" xr3:uid="{4EC14C37-3BEB-C74B-824E-200963A08970}" uniqueName="1" name="Time" queryTableFieldId="1"/>
    <tableColumn id="2" xr3:uid="{4D2408B1-5EB0-2942-B8C1-FFBA42019BB8}" uniqueName="2" name="T1" queryTableFieldId="2"/>
    <tableColumn id="3" xr3:uid="{92FDC594-D437-7C4E-9327-1364EF34CFB2}" uniqueName="3" name="T2" queryTableFieldId="3"/>
    <tableColumn id="4" xr3:uid="{0786AC5F-358A-0E49-AFB0-8D669180AC56}" uniqueName="4" name="T3" queryTableFieldId="4"/>
    <tableColumn id="5" xr3:uid="{6AA6466E-6575-5949-B714-229C77D64BA0}" uniqueName="5" name="T4" queryTableFieldId="5"/>
    <tableColumn id="6" xr3:uid="{75BEA731-7FA2-6D4A-B514-B3BE69977B96}" uniqueName="6" name="T5" queryTableFieldId="6"/>
    <tableColumn id="7" xr3:uid="{8684C4E1-D414-8D47-9351-F5C6F2FF7148}" uniqueName="7" name="T6" queryTableFieldId="7"/>
    <tableColumn id="8" xr3:uid="{BD8B0621-9B22-C94D-BC93-9517A4049618}" uniqueName="8" name="T7" queryTableFieldId="8"/>
    <tableColumn id="9" xr3:uid="{D167BDFD-E1B8-3349-B935-01D9A8F05C0C}" uniqueName="9" name="T8" queryTableFieldId="9"/>
    <tableColumn id="10" xr3:uid="{229A7E09-FC4B-0443-B602-BF7E4C651041}" uniqueName="10" name="RTD_IN" queryTableFieldId="10"/>
    <tableColumn id="11" xr3:uid="{D702EE1B-14B6-3146-B82C-3C778831E85F}" uniqueName="11" name="RTD_OUT" queryTableFieldId="11"/>
    <tableColumn id="12" xr3:uid="{C14E16D4-EBB1-714E-9756-DECC62ED1899}" uniqueName="12" name="DPT_TS" queryTableFieldId="12"/>
    <tableColumn id="13" xr3:uid="{FF8C1576-91C5-9D4A-9042-5C057BF76E06}" uniqueName="13" name="DPT_nozzle" queryTableFieldId="13"/>
    <tableColumn id="14" xr3:uid="{81668206-BE26-8F45-9B7B-BAD6EF0CC5EB}" uniqueName="14" name="Flow_gps" queryTableFieldId="14"/>
    <tableColumn id="15" xr3:uid="{F1AA6DFF-CE7A-BF41-A4B6-9B5325CF28EF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H23" sqref="H23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204.11473473004511</v>
      </c>
    </row>
    <row r="3" spans="1:2" x14ac:dyDescent="0.2">
      <c r="A3">
        <v>2</v>
      </c>
      <c r="B3">
        <v>387.35730242116432</v>
      </c>
    </row>
    <row r="4" spans="1:2" x14ac:dyDescent="0.2">
      <c r="A4">
        <v>3</v>
      </c>
      <c r="B4">
        <v>518.17453970956137</v>
      </c>
    </row>
    <row r="5" spans="1:2" x14ac:dyDescent="0.2">
      <c r="A5">
        <v>4</v>
      </c>
      <c r="B5">
        <v>610.51243620654725</v>
      </c>
    </row>
    <row r="6" spans="1:2" x14ac:dyDescent="0.2">
      <c r="A6">
        <v>5</v>
      </c>
      <c r="B6">
        <v>688.73164340816822</v>
      </c>
    </row>
    <row r="7" spans="1:2" x14ac:dyDescent="0.2">
      <c r="A7">
        <v>6</v>
      </c>
      <c r="B7">
        <v>737.89054378100661</v>
      </c>
    </row>
    <row r="8" spans="1:2" x14ac:dyDescent="0.2">
      <c r="A8">
        <v>7</v>
      </c>
      <c r="B8">
        <v>783.85373044432652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A4A8-9D7F-674D-BF01-42D450848B4F}">
  <dimension ref="A1:V36"/>
  <sheetViews>
    <sheetView workbookViewId="0">
      <selection activeCell="G19" sqref="G1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44604.601498684802</v>
      </c>
      <c r="B2">
        <v>19.224678000000001</v>
      </c>
      <c r="C2">
        <v>18.304599</v>
      </c>
      <c r="D2">
        <v>17.878831000000002</v>
      </c>
      <c r="E2">
        <v>17.873356000000001</v>
      </c>
      <c r="F2">
        <v>38.308266000000003</v>
      </c>
      <c r="G2">
        <v>34.388457000000002</v>
      </c>
      <c r="H2">
        <v>23.302914000000001</v>
      </c>
      <c r="I2">
        <v>28.286362</v>
      </c>
      <c r="J2">
        <v>55.585611999999998</v>
      </c>
      <c r="K2">
        <v>54.034280000000003</v>
      </c>
      <c r="L2">
        <v>9.2491839999999996</v>
      </c>
      <c r="M2">
        <v>-622.49224500000003</v>
      </c>
      <c r="N2">
        <v>1.914401</v>
      </c>
      <c r="O2">
        <v>3.9074970000000002</v>
      </c>
      <c r="P2">
        <f xml:space="preserve"> N2*0.001/60</f>
        <v>3.1906683333333334E-5</v>
      </c>
      <c r="Q2" cm="1">
        <f t="array" ref="Q2">[1]!PropsSI("D","T",J2+273.15,"P",101325,"Water")</f>
        <v>985.40847484498465</v>
      </c>
      <c r="R2" cm="1">
        <f t="array" ref="R2">[1]!PropsSI("D","T",K2+273.15,"P",101325,"Water")</f>
        <v>986.15777759146727</v>
      </c>
      <c r="S2">
        <f>(Q2+R2)/2</f>
        <v>985.78312621822602</v>
      </c>
      <c r="T2" cm="1">
        <f t="array" ref="T2">[1]!PropsSI("H","T",J2+273.15,"P",101325,"Water")</f>
        <v>232778.72699021193</v>
      </c>
      <c r="U2" cm="1">
        <f t="array" ref="U2">[1]!PropsSI("H","T",K2+273.15,"P",101325,"Water")</f>
        <v>226289.67656671829</v>
      </c>
      <c r="V2">
        <f>S2*P2*(T2-U2)</f>
        <v>204.10055748652172</v>
      </c>
    </row>
    <row r="3" spans="1:22" x14ac:dyDescent="0.2">
      <c r="A3">
        <v>44604.601614425599</v>
      </c>
      <c r="B3">
        <v>19.237521000000001</v>
      </c>
      <c r="C3">
        <v>18.543465000000001</v>
      </c>
      <c r="D3">
        <v>18.025704000000001</v>
      </c>
      <c r="E3">
        <v>18.017617000000001</v>
      </c>
      <c r="F3">
        <v>38.155740999999999</v>
      </c>
      <c r="G3">
        <v>34.544463999999998</v>
      </c>
      <c r="H3">
        <v>24.108245</v>
      </c>
      <c r="I3">
        <v>26.827971000000002</v>
      </c>
      <c r="J3">
        <v>55.574312999999997</v>
      </c>
      <c r="K3">
        <v>54.021076000000001</v>
      </c>
      <c r="L3">
        <v>9.9058860000000006</v>
      </c>
      <c r="M3">
        <v>-622.49102100000005</v>
      </c>
      <c r="N3">
        <v>1.9110659999999999</v>
      </c>
      <c r="O3">
        <v>3.7841800000000001</v>
      </c>
      <c r="P3">
        <f t="shared" ref="P3" si="0" xml:space="preserve"> N3*0.001/60</f>
        <v>3.1851099999999997E-5</v>
      </c>
      <c r="Q3" cm="1">
        <f t="array" ref="Q3">[1]!PropsSI("D","T",J3+273.15,"P",101325,"Water")</f>
        <v>985.41398630734989</v>
      </c>
      <c r="R3" cm="1">
        <f t="array" ref="R3">[1]!PropsSI("D","T",K3+273.15,"P",101325,"Water")</f>
        <v>986.16409077232731</v>
      </c>
      <c r="S3">
        <f>(Q3+R3)/2</f>
        <v>985.78903853983866</v>
      </c>
      <c r="T3" cm="1">
        <f t="array" ref="T3">[1]!PropsSI("H","T",J3+273.15,"P",101325,"Water")</f>
        <v>232731.46136524854</v>
      </c>
      <c r="U3" cm="1">
        <f t="array" ref="U3">[1]!PropsSI("H","T",K3+273.15,"P",101325,"Water")</f>
        <v>226234.44935794247</v>
      </c>
      <c r="V3">
        <f t="shared" ref="V3:V11" si="1">S3*P3*(T3-U3)</f>
        <v>203.99620571058162</v>
      </c>
    </row>
    <row r="4" spans="1:22" x14ac:dyDescent="0.2">
      <c r="A4">
        <v>44604.601730166301</v>
      </c>
      <c r="B4">
        <v>19.268654000000002</v>
      </c>
      <c r="C4">
        <v>18.401686000000002</v>
      </c>
      <c r="D4">
        <v>18.046209999999999</v>
      </c>
      <c r="E4">
        <v>17.993081</v>
      </c>
      <c r="F4">
        <v>39.194432999999997</v>
      </c>
      <c r="G4">
        <v>31.674931000000001</v>
      </c>
      <c r="H4">
        <v>23.351065999999999</v>
      </c>
      <c r="I4">
        <v>28.008572999999998</v>
      </c>
      <c r="J4">
        <v>55.566992999999997</v>
      </c>
      <c r="K4">
        <v>54.015509000000002</v>
      </c>
      <c r="L4">
        <v>9.0602140000000002</v>
      </c>
      <c r="M4">
        <v>-622.49550999999997</v>
      </c>
      <c r="N4">
        <v>1.9104220000000001</v>
      </c>
      <c r="O4">
        <v>5.5883240000000001</v>
      </c>
      <c r="P4">
        <f xml:space="preserve"> N4*0.001/60</f>
        <v>3.1840366666666668E-5</v>
      </c>
      <c r="Q4" cm="1">
        <f t="array" ref="Q4">[1]!PropsSI("D","T",J4+273.15,"P",101325,"Water")</f>
        <v>985.41755645985029</v>
      </c>
      <c r="R4" cm="1">
        <f t="array" ref="R4">[1]!PropsSI("D","T",K4+273.15,"P",101325,"Water")</f>
        <v>986.16675217420209</v>
      </c>
      <c r="S4">
        <f t="shared" ref="S4:S11" si="2">(Q4+R4)/2</f>
        <v>985.79215431702619</v>
      </c>
      <c r="T4" cm="1">
        <f t="array" ref="T4">[1]!PropsSI("H","T",J4+273.15,"P",101325,"Water")</f>
        <v>232700.84059432463</v>
      </c>
      <c r="U4" cm="1">
        <f t="array" ref="U4">[1]!PropsSI("H","T",K4+273.15,"P",101325,"Water")</f>
        <v>226211.16477516803</v>
      </c>
      <c r="V4">
        <f t="shared" si="1"/>
        <v>203.69783850923474</v>
      </c>
    </row>
    <row r="5" spans="1:22" x14ac:dyDescent="0.2">
      <c r="A5">
        <v>44604.601846485799</v>
      </c>
      <c r="B5">
        <v>19.105267000000001</v>
      </c>
      <c r="C5">
        <v>18.517037999999999</v>
      </c>
      <c r="D5">
        <v>18.047371999999999</v>
      </c>
      <c r="E5">
        <v>18.026440000000001</v>
      </c>
      <c r="F5">
        <v>38.892265000000002</v>
      </c>
      <c r="G5">
        <v>34.885469000000001</v>
      </c>
      <c r="H5">
        <v>24.492346999999999</v>
      </c>
      <c r="I5">
        <v>27.867364999999999</v>
      </c>
      <c r="J5">
        <v>55.559195000000003</v>
      </c>
      <c r="K5">
        <v>54.007396</v>
      </c>
      <c r="L5">
        <v>8.9957279999999997</v>
      </c>
      <c r="M5">
        <v>-622.51836600000001</v>
      </c>
      <c r="N5">
        <v>1.912107</v>
      </c>
      <c r="O5">
        <v>4.2487789999999999</v>
      </c>
      <c r="P5">
        <f t="shared" ref="P5:P11" si="3" xml:space="preserve"> N5*0.001/60</f>
        <v>3.1868450000000005E-5</v>
      </c>
      <c r="Q5" cm="1">
        <f t="array" ref="Q5">[1]!PropsSI("D","T",J5+273.15,"P",101325,"Water")</f>
        <v>985.42135938151137</v>
      </c>
      <c r="R5" cm="1">
        <f t="array" ref="R5">[1]!PropsSI("D","T",K5+273.15,"P",101325,"Water")</f>
        <v>986.17063038786875</v>
      </c>
      <c r="S5">
        <f t="shared" si="2"/>
        <v>985.79599488469012</v>
      </c>
      <c r="T5" cm="1">
        <f t="array" ref="T5">[1]!PropsSI("H","T",J5+273.15,"P",101325,"Water")</f>
        <v>232668.22029231358</v>
      </c>
      <c r="U5" cm="1">
        <f t="array" ref="U5">[1]!PropsSI("H","T",K5+273.15,"P",101325,"Water")</f>
        <v>226177.23128971146</v>
      </c>
      <c r="V5">
        <f t="shared" si="1"/>
        <v>203.91954982038433</v>
      </c>
    </row>
    <row r="6" spans="1:22" x14ac:dyDescent="0.2">
      <c r="A6">
        <v>46066.601962800924</v>
      </c>
      <c r="B6">
        <v>19.157927000000001</v>
      </c>
      <c r="C6">
        <v>18.436710999999999</v>
      </c>
      <c r="D6">
        <v>18.074670999999999</v>
      </c>
      <c r="E6">
        <v>18.042161</v>
      </c>
      <c r="F6">
        <v>38.418261999999999</v>
      </c>
      <c r="G6">
        <v>35.380004</v>
      </c>
      <c r="H6">
        <v>24.385406</v>
      </c>
      <c r="I6">
        <v>28.469161</v>
      </c>
      <c r="J6">
        <v>55.556012000000003</v>
      </c>
      <c r="K6">
        <v>54.001351</v>
      </c>
      <c r="L6">
        <v>10.093223999999999</v>
      </c>
      <c r="M6">
        <v>-622.50653</v>
      </c>
      <c r="N6">
        <v>1.9177169999999999</v>
      </c>
      <c r="O6">
        <v>4.4313900000000004</v>
      </c>
      <c r="P6">
        <f t="shared" si="3"/>
        <v>3.196195E-5</v>
      </c>
      <c r="Q6" cm="1">
        <f t="array" ref="Q6">[1]!PropsSI("D","T",J6+273.15,"P",101325,"Water")</f>
        <v>985.4229115562249</v>
      </c>
      <c r="R6" cm="1">
        <f t="array" ref="R6">[1]!PropsSI("D","T",K6+273.15,"P",101325,"Water")</f>
        <v>986.1735197781644</v>
      </c>
      <c r="S6">
        <f t="shared" si="2"/>
        <v>985.79821566719465</v>
      </c>
      <c r="T6" cm="1">
        <f t="array" ref="T6">[1]!PropsSI("H","T",J6+273.15,"P",101325,"Water")</f>
        <v>232654.90529215822</v>
      </c>
      <c r="U6" cm="1">
        <f t="array" ref="U6">[1]!PropsSI("H","T",K6+273.15,"P",101325,"Water")</f>
        <v>226151.94744904782</v>
      </c>
      <c r="V6">
        <f t="shared" si="1"/>
        <v>204.89541213424391</v>
      </c>
    </row>
    <row r="7" spans="1:22" x14ac:dyDescent="0.2">
      <c r="A7">
        <v>46066.60207912037</v>
      </c>
      <c r="B7">
        <v>19.316337000000001</v>
      </c>
      <c r="C7">
        <v>18.543997999999998</v>
      </c>
      <c r="D7">
        <v>18.145287</v>
      </c>
      <c r="E7">
        <v>18.126567999999999</v>
      </c>
      <c r="F7">
        <v>38.083069999999999</v>
      </c>
      <c r="G7">
        <v>36.232702000000003</v>
      </c>
      <c r="H7">
        <v>23.987037000000001</v>
      </c>
      <c r="I7">
        <v>27.002265999999999</v>
      </c>
      <c r="J7">
        <v>55.553306999999997</v>
      </c>
      <c r="K7">
        <v>53.999124000000002</v>
      </c>
      <c r="L7">
        <v>9.2969369999999998</v>
      </c>
      <c r="M7">
        <v>-622.46775700000001</v>
      </c>
      <c r="N7">
        <v>1.9119349999999999</v>
      </c>
      <c r="O7">
        <v>3.3877600000000001</v>
      </c>
      <c r="P7">
        <f t="shared" si="3"/>
        <v>3.1865583333333332E-5</v>
      </c>
      <c r="Q7" cm="1">
        <f t="array" ref="Q7">[1]!PropsSI("D","T",J7+273.15,"P",101325,"Water")</f>
        <v>985.42423058738314</v>
      </c>
      <c r="R7" cm="1">
        <f t="array" ref="R7">[1]!PropsSI("D","T",K7+273.15,"P",101325,"Water")</f>
        <v>986.17458418228887</v>
      </c>
      <c r="S7">
        <f t="shared" si="2"/>
        <v>985.79940738483606</v>
      </c>
      <c r="T7" cm="1">
        <f t="array" ref="T7">[1]!PropsSI("H","T",J7+273.15,"P",101325,"Water")</f>
        <v>232643.5898457586</v>
      </c>
      <c r="U7" cm="1">
        <f t="array" ref="U7">[1]!PropsSI("H","T",K7+273.15,"P",101325,"Water")</f>
        <v>226142.63279332587</v>
      </c>
      <c r="V7">
        <f t="shared" si="1"/>
        <v>204.21503953691169</v>
      </c>
    </row>
    <row r="8" spans="1:22" x14ac:dyDescent="0.2">
      <c r="A8">
        <v>46066.602195439817</v>
      </c>
      <c r="B8">
        <v>19.357734000000001</v>
      </c>
      <c r="C8">
        <v>18.597463000000001</v>
      </c>
      <c r="D8">
        <v>18.213228999999998</v>
      </c>
      <c r="E8">
        <v>18.168589999999998</v>
      </c>
      <c r="F8">
        <v>38.478237999999997</v>
      </c>
      <c r="G8">
        <v>36.615487999999999</v>
      </c>
      <c r="H8">
        <v>24.730083</v>
      </c>
      <c r="I8">
        <v>27.254580000000001</v>
      </c>
      <c r="J8">
        <v>55.551397000000001</v>
      </c>
      <c r="K8">
        <v>54.000078000000002</v>
      </c>
      <c r="L8">
        <v>8.3463720000000006</v>
      </c>
      <c r="M8">
        <v>-622.45755299999996</v>
      </c>
      <c r="N8">
        <v>1.9119919999999999</v>
      </c>
      <c r="O8">
        <v>2.4164490000000001</v>
      </c>
      <c r="P8">
        <f t="shared" si="3"/>
        <v>3.1866533333333331E-5</v>
      </c>
      <c r="Q8" cm="1">
        <f t="array" ref="Q8">[1]!PropsSI("D","T",J8+273.15,"P",101325,"Water")</f>
        <v>985.42516192783933</v>
      </c>
      <c r="R8" cm="1">
        <f t="array" ref="R8">[1]!PropsSI("D","T",K8+273.15,"P",101325,"Water")</f>
        <v>986.174128217717</v>
      </c>
      <c r="S8">
        <f t="shared" si="2"/>
        <v>985.79964507277816</v>
      </c>
      <c r="T8" cm="1">
        <f t="array" ref="T8">[1]!PropsSI("H","T",J8+273.15,"P",101325,"Water")</f>
        <v>232635.60001268666</v>
      </c>
      <c r="U8" cm="1">
        <f t="array" ref="U8">[1]!PropsSI("H","T",K8+273.15,"P",101325,"Water")</f>
        <v>226146.62299590569</v>
      </c>
      <c r="V8">
        <f t="shared" si="1"/>
        <v>203.84483593806303</v>
      </c>
    </row>
    <row r="9" spans="1:22" x14ac:dyDescent="0.2">
      <c r="A9">
        <v>46066.602311180555</v>
      </c>
      <c r="B9">
        <v>19.476296000000001</v>
      </c>
      <c r="C9">
        <v>18.739336999999999</v>
      </c>
      <c r="D9">
        <v>18.074522000000002</v>
      </c>
      <c r="E9">
        <v>18.169530000000002</v>
      </c>
      <c r="F9">
        <v>36.922812999999998</v>
      </c>
      <c r="G9">
        <v>34.428401999999998</v>
      </c>
      <c r="H9">
        <v>23.987396</v>
      </c>
      <c r="I9">
        <v>27.500484</v>
      </c>
      <c r="J9">
        <v>55.546782999999998</v>
      </c>
      <c r="K9">
        <v>53.996101000000003</v>
      </c>
      <c r="L9">
        <v>9.3218340000000008</v>
      </c>
      <c r="M9">
        <v>-622.47347100000002</v>
      </c>
      <c r="N9">
        <v>1.9118489999999999</v>
      </c>
      <c r="O9">
        <v>3.5794450000000002</v>
      </c>
      <c r="P9">
        <f t="shared" si="3"/>
        <v>3.1864150000000002E-5</v>
      </c>
      <c r="Q9" cm="1">
        <f t="array" ref="Q9">[1]!PropsSI("D","T",J9+273.15,"P",101325,"Water")</f>
        <v>985.42741168041096</v>
      </c>
      <c r="R9" cm="1">
        <f t="array" ref="R9">[1]!PropsSI("D","T",K9+273.15,"P",101325,"Water")</f>
        <v>986.1760289881887</v>
      </c>
      <c r="S9">
        <f t="shared" si="2"/>
        <v>985.80172033429983</v>
      </c>
      <c r="T9" cm="1">
        <f t="array" ref="T9">[1]!PropsSI("H","T",J9+273.15,"P",101325,"Water")</f>
        <v>232616.29892432378</v>
      </c>
      <c r="U9" cm="1">
        <f t="array" ref="U9">[1]!PropsSI("H","T",K9+273.15,"P",101325,"Water")</f>
        <v>226129.98878878882</v>
      </c>
      <c r="V9">
        <f t="shared" si="1"/>
        <v>203.74624788591152</v>
      </c>
    </row>
    <row r="10" spans="1:22" x14ac:dyDescent="0.2">
      <c r="A10">
        <v>44604.602427504302</v>
      </c>
      <c r="B10">
        <v>19.463850000000001</v>
      </c>
      <c r="C10">
        <v>18.738526</v>
      </c>
      <c r="D10">
        <v>18.200167</v>
      </c>
      <c r="E10">
        <v>18.308064000000002</v>
      </c>
      <c r="F10">
        <v>39.627958</v>
      </c>
      <c r="G10">
        <v>36.051583999999998</v>
      </c>
      <c r="H10">
        <v>23.965857</v>
      </c>
      <c r="I10">
        <v>26.489332999999998</v>
      </c>
      <c r="J10">
        <v>55.542963</v>
      </c>
      <c r="K10">
        <v>53.991329</v>
      </c>
      <c r="L10">
        <v>9.7650769999999998</v>
      </c>
      <c r="M10">
        <v>-622.50204099999996</v>
      </c>
      <c r="N10">
        <v>1.914758</v>
      </c>
      <c r="O10">
        <v>3.8435130000000002</v>
      </c>
      <c r="P10">
        <f t="shared" si="3"/>
        <v>3.191263333333333E-5</v>
      </c>
      <c r="Q10" cm="1">
        <f t="array" ref="Q10">[1]!PropsSI("D","T",J10+273.15,"P",101325,"Water")</f>
        <v>985.42927418496174</v>
      </c>
      <c r="R10" cm="1">
        <f t="array" ref="R10">[1]!PropsSI("D","T",K10+273.15,"P",101325,"Water")</f>
        <v>986.17830959059256</v>
      </c>
      <c r="S10">
        <f t="shared" si="2"/>
        <v>985.80379188777715</v>
      </c>
      <c r="T10" cm="1">
        <f t="array" ref="T10">[1]!PropsSI("H","T",J10+273.15,"P",101325,"Water")</f>
        <v>232600.31926891269</v>
      </c>
      <c r="U10" cm="1">
        <f t="array" ref="U10">[1]!PropsSI("H","T",K10+273.15,"P",101325,"Water")</f>
        <v>226110.02942054407</v>
      </c>
      <c r="V10">
        <f t="shared" si="1"/>
        <v>204.18188973208981</v>
      </c>
    </row>
    <row r="11" spans="1:22" x14ac:dyDescent="0.2">
      <c r="A11">
        <v>44604.602543823697</v>
      </c>
      <c r="B11">
        <v>19.219190999999999</v>
      </c>
      <c r="C11">
        <v>18.836342999999999</v>
      </c>
      <c r="D11">
        <v>18.256436999999998</v>
      </c>
      <c r="E11">
        <v>18.296681</v>
      </c>
      <c r="F11">
        <v>38.880313999999998</v>
      </c>
      <c r="G11">
        <v>34.895324000000002</v>
      </c>
      <c r="H11">
        <v>23.686140999999999</v>
      </c>
      <c r="I11">
        <v>26.679625000000001</v>
      </c>
      <c r="J11">
        <v>55.538508</v>
      </c>
      <c r="K11">
        <v>53.989578999999999</v>
      </c>
      <c r="L11">
        <v>8.9271600000000007</v>
      </c>
      <c r="M11">
        <v>-622.46489999999994</v>
      </c>
      <c r="N11">
        <v>1.910898</v>
      </c>
      <c r="O11">
        <v>4.213209</v>
      </c>
      <c r="P11">
        <f t="shared" si="3"/>
        <v>3.1848299999999998E-5</v>
      </c>
      <c r="Q11" cm="1">
        <f t="array" ref="Q11">[1]!PropsSI("D","T",J11+273.15,"P",101325,"Water")</f>
        <v>985.43144618054305</v>
      </c>
      <c r="R11" cm="1">
        <f t="array" ref="R11">[1]!PropsSI("D","T",K11+273.15,"P",101325,"Water")</f>
        <v>986.17914590310693</v>
      </c>
      <c r="S11">
        <f t="shared" si="2"/>
        <v>985.80529604182493</v>
      </c>
      <c r="T11" cm="1">
        <f t="array" ref="T11">[1]!PropsSI("H","T",J11+273.15,"P",101325,"Water")</f>
        <v>232581.68331633165</v>
      </c>
      <c r="U11" cm="1">
        <f t="array" ref="U11">[1]!PropsSI("H","T",K11+273.15,"P",101325,"Water")</f>
        <v>226102.70987212766</v>
      </c>
      <c r="V11">
        <f t="shared" si="1"/>
        <v>203.41529383384062</v>
      </c>
    </row>
    <row r="12" spans="1:22" x14ac:dyDescent="0.2">
      <c r="A12">
        <v>44604.602660143202</v>
      </c>
      <c r="B12">
        <v>18.698059000000001</v>
      </c>
      <c r="C12">
        <v>18.464898000000002</v>
      </c>
      <c r="D12">
        <v>18.148195000000001</v>
      </c>
      <c r="E12">
        <v>17.940273000000001</v>
      </c>
      <c r="F12">
        <v>38.022302000000003</v>
      </c>
      <c r="G12">
        <v>36.429690999999998</v>
      </c>
      <c r="H12">
        <v>23.949950000000001</v>
      </c>
      <c r="I12">
        <v>27.220171000000001</v>
      </c>
      <c r="J12">
        <v>55.538666999999997</v>
      </c>
      <c r="K12">
        <v>53.983693000000002</v>
      </c>
      <c r="L12">
        <v>8.4369800000000001</v>
      </c>
      <c r="M12">
        <v>-622.50897899999995</v>
      </c>
      <c r="N12">
        <v>1.9139710000000001</v>
      </c>
      <c r="O12">
        <v>3.0735459999999999</v>
      </c>
      <c r="P12">
        <f t="shared" ref="P12:P14" si="4" xml:space="preserve"> N12*0.001/60</f>
        <v>3.1899516666666672E-5</v>
      </c>
      <c r="Q12" cm="1">
        <f t="array" ref="Q12">[1]!PropsSI("D","T",J12+273.15,"P",101325,"Water")</f>
        <v>985.43136866360362</v>
      </c>
      <c r="R12" cm="1">
        <f t="array" ref="R12">[1]!PropsSI("D","T",K12+273.15,"P",101325,"Water")</f>
        <v>986.18195863948938</v>
      </c>
      <c r="S12">
        <f t="shared" ref="S12:S14" si="5">(Q12+R12)/2</f>
        <v>985.8066636515465</v>
      </c>
      <c r="T12" cm="1">
        <f t="array" ref="T12">[1]!PropsSI("H","T",J12+273.15,"P",101325,"Water")</f>
        <v>232582.34843772853</v>
      </c>
      <c r="U12" cm="1">
        <f t="array" ref="U12">[1]!PropsSI("H","T",K12+273.15,"P",101325,"Water")</f>
        <v>226078.09110170495</v>
      </c>
      <c r="V12">
        <f t="shared" ref="V12:V14" si="6">S12*P12*(T12-U12)</f>
        <v>204.53779403977094</v>
      </c>
    </row>
    <row r="13" spans="1:22" x14ac:dyDescent="0.2">
      <c r="A13">
        <v>44604.602775883897</v>
      </c>
      <c r="B13">
        <v>18.549997999999999</v>
      </c>
      <c r="C13">
        <v>18.147818000000001</v>
      </c>
      <c r="D13">
        <v>18.124939999999999</v>
      </c>
      <c r="E13">
        <v>17.778825999999999</v>
      </c>
      <c r="F13">
        <v>38.088588000000001</v>
      </c>
      <c r="G13">
        <v>34.498671000000002</v>
      </c>
      <c r="H13">
        <v>23.475328000000001</v>
      </c>
      <c r="I13">
        <v>27.034058000000002</v>
      </c>
      <c r="J13">
        <v>55.532142</v>
      </c>
      <c r="K13">
        <v>53.975740000000002</v>
      </c>
      <c r="L13">
        <v>9.9691480000000006</v>
      </c>
      <c r="M13">
        <v>-622.48897999999997</v>
      </c>
      <c r="N13">
        <v>1.9131800000000001</v>
      </c>
      <c r="O13">
        <v>3.5475859999999999</v>
      </c>
      <c r="P13">
        <f t="shared" si="4"/>
        <v>3.188633333333334E-5</v>
      </c>
      <c r="Q13" cm="1">
        <f t="array" ref="Q13">[1]!PropsSI("D","T",J13+273.15,"P",101325,"Water")</f>
        <v>985.43454965450621</v>
      </c>
      <c r="R13" cm="1">
        <f t="array" ref="R13">[1]!PropsSI("D","T",K13+273.15,"P",101325,"Water")</f>
        <v>986.18575878560239</v>
      </c>
      <c r="S13">
        <f t="shared" si="5"/>
        <v>985.8101542200543</v>
      </c>
      <c r="T13" cm="1">
        <f t="array" ref="T13">[1]!PropsSI("H","T",J13+273.15,"P",101325,"Water")</f>
        <v>232555.0533685727</v>
      </c>
      <c r="U13" cm="1">
        <f t="array" ref="U13">[1]!PropsSI("H","T",K13+273.15,"P",101325,"Water")</f>
        <v>226044.82692066536</v>
      </c>
      <c r="V13">
        <f t="shared" si="6"/>
        <v>204.64161952165185</v>
      </c>
    </row>
    <row r="14" spans="1:22" x14ac:dyDescent="0.2">
      <c r="A14">
        <v>44604.602892203402</v>
      </c>
      <c r="B14">
        <v>18.472249999999999</v>
      </c>
      <c r="C14">
        <v>18.198898</v>
      </c>
      <c r="D14">
        <v>18.199317000000001</v>
      </c>
      <c r="E14">
        <v>17.839462000000001</v>
      </c>
      <c r="F14">
        <v>38.781610000000001</v>
      </c>
      <c r="G14">
        <v>32.785994000000002</v>
      </c>
      <c r="H14">
        <v>24.143017</v>
      </c>
      <c r="I14">
        <v>26.085156999999999</v>
      </c>
      <c r="J14">
        <v>55.527526999999999</v>
      </c>
      <c r="K14">
        <v>53.972399000000003</v>
      </c>
      <c r="L14">
        <v>9.1830649999999991</v>
      </c>
      <c r="M14">
        <v>-622.519183</v>
      </c>
      <c r="N14">
        <v>1.9115409999999999</v>
      </c>
      <c r="O14">
        <v>3.4711609999999999</v>
      </c>
      <c r="P14">
        <f t="shared" si="4"/>
        <v>3.1859016666666664E-5</v>
      </c>
      <c r="Q14" cm="1">
        <f t="array" ref="Q14">[1]!PropsSI("D","T",J14+273.15,"P",101325,"Water")</f>
        <v>985.43679934612157</v>
      </c>
      <c r="R14" cm="1">
        <f t="array" ref="R14">[1]!PropsSI("D","T",K14+273.15,"P",101325,"Water")</f>
        <v>986.18735508213547</v>
      </c>
      <c r="S14">
        <f t="shared" si="5"/>
        <v>985.81207721412852</v>
      </c>
      <c r="T14" cm="1">
        <f t="array" ref="T14">[1]!PropsSI("H","T",J14+273.15,"P",101325,"Water")</f>
        <v>232535.74812987811</v>
      </c>
      <c r="U14" cm="1">
        <f t="array" ref="U14">[1]!PropsSI("H","T",K14+273.15,"P",101325,"Water")</f>
        <v>226030.85287606</v>
      </c>
      <c r="V14">
        <f t="shared" si="6"/>
        <v>204.29926734138039</v>
      </c>
    </row>
    <row r="18" spans="7:16" x14ac:dyDescent="0.2">
      <c r="G18" s="1" t="s">
        <v>22</v>
      </c>
    </row>
    <row r="19" spans="7:16" x14ac:dyDescent="0.2">
      <c r="G19">
        <f>AVERAGE(V2:V14)</f>
        <v>204.11473473004511</v>
      </c>
      <c r="P19" s="1"/>
    </row>
    <row r="20" spans="7:16" x14ac:dyDescent="0.2">
      <c r="P20" s="1"/>
    </row>
    <row r="21" spans="7:16" x14ac:dyDescent="0.2">
      <c r="P21" s="1"/>
    </row>
    <row r="22" spans="7:16" x14ac:dyDescent="0.2">
      <c r="P22" s="1"/>
    </row>
    <row r="23" spans="7:16" x14ac:dyDescent="0.2">
      <c r="P23" s="1"/>
    </row>
    <row r="24" spans="7:16" x14ac:dyDescent="0.2">
      <c r="P24" s="1"/>
    </row>
    <row r="25" spans="7:16" x14ac:dyDescent="0.2">
      <c r="P25" s="1"/>
    </row>
    <row r="26" spans="7:16" x14ac:dyDescent="0.2">
      <c r="P26" s="1"/>
    </row>
    <row r="27" spans="7:16" x14ac:dyDescent="0.2">
      <c r="P27" s="1"/>
    </row>
    <row r="28" spans="7:16" x14ac:dyDescent="0.2">
      <c r="P28" s="1"/>
    </row>
    <row r="29" spans="7:16" x14ac:dyDescent="0.2">
      <c r="P29" s="1"/>
    </row>
    <row r="30" spans="7:16" x14ac:dyDescent="0.2">
      <c r="P30" s="1"/>
    </row>
    <row r="31" spans="7:16" x14ac:dyDescent="0.2">
      <c r="P31" s="1"/>
    </row>
    <row r="32" spans="7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E073-C05C-424D-A04E-116911AB93C2}">
  <dimension ref="A1:V36"/>
  <sheetViews>
    <sheetView workbookViewId="0">
      <selection activeCell="F31" sqref="F31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44604.604034564501</v>
      </c>
      <c r="B2">
        <v>18.231476000000001</v>
      </c>
      <c r="C2">
        <v>18.612711999999998</v>
      </c>
      <c r="D2">
        <v>19.055132</v>
      </c>
      <c r="E2">
        <v>19.182824</v>
      </c>
      <c r="F2">
        <v>40.619137000000002</v>
      </c>
      <c r="G2">
        <v>39.919837000000001</v>
      </c>
      <c r="H2">
        <v>26.818190999999999</v>
      </c>
      <c r="I2">
        <v>25.452795999999999</v>
      </c>
      <c r="J2">
        <v>55.451780999999997</v>
      </c>
      <c r="K2">
        <v>52.579532999999998</v>
      </c>
      <c r="L2">
        <v>31.979883000000001</v>
      </c>
      <c r="M2">
        <v>-622.50408100000004</v>
      </c>
      <c r="N2">
        <v>1.9116310000000001</v>
      </c>
      <c r="O2">
        <v>3.6304919999999998</v>
      </c>
      <c r="P2">
        <f xml:space="preserve"> N2*0.001/60</f>
        <v>3.1860516666666668E-5</v>
      </c>
      <c r="Q2" cm="1">
        <f t="array" ref="Q2">[1]!PropsSI("D","T",J2+273.15,"P",101325,"Water")</f>
        <v>985.47370474127035</v>
      </c>
      <c r="R2" cm="1">
        <f t="array" ref="R2">[1]!PropsSI("D","T",K2+273.15,"P",101325,"Water")</f>
        <v>986.84671954672933</v>
      </c>
      <c r="S2">
        <f>(Q2+R2)/2</f>
        <v>986.16021214399984</v>
      </c>
      <c r="T2" cm="1">
        <f t="array" ref="T2">[1]!PropsSI("H","T",J2+273.15,"P",101325,"Water")</f>
        <v>232218.89235101416</v>
      </c>
      <c r="U2" cm="1">
        <f t="array" ref="U2">[1]!PropsSI("H","T",K2+273.15,"P",101325,"Water")</f>
        <v>220205.39018652536</v>
      </c>
      <c r="V2">
        <f>S2*P2*(T2-U2)</f>
        <v>377.45911875483796</v>
      </c>
    </row>
    <row r="3" spans="1:22" x14ac:dyDescent="0.2">
      <c r="A3">
        <v>44604.604150305197</v>
      </c>
      <c r="B3">
        <v>18.033208999999999</v>
      </c>
      <c r="C3">
        <v>18.430963999999999</v>
      </c>
      <c r="D3">
        <v>19.030452</v>
      </c>
      <c r="E3">
        <v>18.611847999999998</v>
      </c>
      <c r="F3">
        <v>40.443803000000003</v>
      </c>
      <c r="G3">
        <v>38.731743000000002</v>
      </c>
      <c r="H3">
        <v>25.833068000000001</v>
      </c>
      <c r="I3">
        <v>24.465758999999998</v>
      </c>
      <c r="J3">
        <v>55.442711000000003</v>
      </c>
      <c r="K3">
        <v>52.557749000000001</v>
      </c>
      <c r="L3">
        <v>31.652144</v>
      </c>
      <c r="M3">
        <v>-622.49795900000004</v>
      </c>
      <c r="N3">
        <v>1.9099550000000001</v>
      </c>
      <c r="O3">
        <v>3.52217</v>
      </c>
      <c r="P3">
        <f t="shared" ref="P3" si="0" xml:space="preserve"> N3*0.001/60</f>
        <v>3.1832583333333334E-5</v>
      </c>
      <c r="Q3" cm="1">
        <f t="array" ref="Q3">[1]!PropsSI("D","T",J3+273.15,"P",101325,"Water")</f>
        <v>985.47812150194841</v>
      </c>
      <c r="R3" cm="1">
        <f t="array" ref="R3">[1]!PropsSI("D","T",K3+273.15,"P",101325,"Water")</f>
        <v>986.8569341207193</v>
      </c>
      <c r="S3">
        <f>(Q3+R3)/2</f>
        <v>986.16752781133391</v>
      </c>
      <c r="T3" cm="1">
        <f t="array" ref="T3">[1]!PropsSI("H","T",J3+273.15,"P",101325,"Water")</f>
        <v>232180.95145425832</v>
      </c>
      <c r="U3" cm="1">
        <f t="array" ref="U3">[1]!PropsSI("H","T",K3+273.15,"P",101325,"Water")</f>
        <v>220114.28683205284</v>
      </c>
      <c r="V3">
        <f t="shared" ref="V3:V14" si="1">S3*P3*(T3-U3)</f>
        <v>378.79987326990107</v>
      </c>
    </row>
    <row r="4" spans="1:22" x14ac:dyDescent="0.2">
      <c r="A4">
        <v>44604.604266045899</v>
      </c>
      <c r="B4">
        <v>18.105778999999998</v>
      </c>
      <c r="C4">
        <v>18.517714999999999</v>
      </c>
      <c r="D4">
        <v>18.989077999999999</v>
      </c>
      <c r="E4">
        <v>19.038243999999999</v>
      </c>
      <c r="F4">
        <v>40.449264999999997</v>
      </c>
      <c r="G4">
        <v>38.120257000000002</v>
      </c>
      <c r="H4">
        <v>26.352204</v>
      </c>
      <c r="I4">
        <v>24.833024999999999</v>
      </c>
      <c r="J4">
        <v>55.428547999999999</v>
      </c>
      <c r="K4">
        <v>52.532786000000002</v>
      </c>
      <c r="L4">
        <v>30.573015000000002</v>
      </c>
      <c r="M4">
        <v>-622.49755100000004</v>
      </c>
      <c r="N4">
        <v>1.90503</v>
      </c>
      <c r="O4">
        <v>3.0175169999999998</v>
      </c>
      <c r="P4">
        <f xml:space="preserve"> N4*0.001/60</f>
        <v>3.17505E-5</v>
      </c>
      <c r="Q4" cm="1">
        <f t="array" ref="Q4">[1]!PropsSI("D","T",J4+273.15,"P",101325,"Water")</f>
        <v>985.48501735206048</v>
      </c>
      <c r="R4" cm="1">
        <f t="array" ref="R4">[1]!PropsSI("D","T",K4+273.15,"P",101325,"Water")</f>
        <v>986.86863561758298</v>
      </c>
      <c r="S4">
        <f t="shared" ref="S4:S14" si="2">(Q4+R4)/2</f>
        <v>986.17682648482173</v>
      </c>
      <c r="T4" cm="1">
        <f t="array" ref="T4">[1]!PropsSI("H","T",J4+273.15,"P",101325,"Water")</f>
        <v>232121.70598884177</v>
      </c>
      <c r="U4" cm="1">
        <f t="array" ref="U4">[1]!PropsSI("H","T",K4+273.15,"P",101325,"Water")</f>
        <v>220009.88869948016</v>
      </c>
      <c r="V4">
        <f t="shared" si="1"/>
        <v>379.24046700879421</v>
      </c>
    </row>
    <row r="5" spans="1:22" x14ac:dyDescent="0.2">
      <c r="A5">
        <v>44604.604381786703</v>
      </c>
      <c r="B5">
        <v>18.160639</v>
      </c>
      <c r="C5">
        <v>18.544304</v>
      </c>
      <c r="D5">
        <v>18.937908</v>
      </c>
      <c r="E5">
        <v>19.119298000000001</v>
      </c>
      <c r="F5">
        <v>40.141613999999997</v>
      </c>
      <c r="G5">
        <v>38.426912000000002</v>
      </c>
      <c r="H5">
        <v>26.197948</v>
      </c>
      <c r="I5">
        <v>25.159271</v>
      </c>
      <c r="J5">
        <v>55.416932000000003</v>
      </c>
      <c r="K5">
        <v>52.527220999999997</v>
      </c>
      <c r="L5">
        <v>30.644031999999999</v>
      </c>
      <c r="M5">
        <v>-622.49224500000003</v>
      </c>
      <c r="N5">
        <v>1.907267</v>
      </c>
      <c r="O5">
        <v>3.5260340000000001</v>
      </c>
      <c r="P5">
        <f t="shared" ref="P5:P14" si="3" xml:space="preserve"> N5*0.001/60</f>
        <v>3.1787783333333331E-5</v>
      </c>
      <c r="Q5" cm="1">
        <f t="array" ref="Q5">[1]!PropsSI("D","T",J5+273.15,"P",101325,"Water")</f>
        <v>985.49067216311437</v>
      </c>
      <c r="R5" cm="1">
        <f t="array" ref="R5">[1]!PropsSI("D","T",K5+273.15,"P",101325,"Water")</f>
        <v>986.87124369006835</v>
      </c>
      <c r="S5">
        <f t="shared" si="2"/>
        <v>986.18095792659142</v>
      </c>
      <c r="T5" cm="1">
        <f t="array" ref="T5">[1]!PropsSI("H","T",J5+273.15,"P",101325,"Water")</f>
        <v>232073.11497394281</v>
      </c>
      <c r="U5" cm="1">
        <f t="array" ref="U5">[1]!PropsSI("H","T",K5+273.15,"P",101325,"Water")</f>
        <v>219986.6152579585</v>
      </c>
      <c r="V5">
        <f t="shared" si="1"/>
        <v>378.89371633534682</v>
      </c>
    </row>
    <row r="6" spans="1:22" x14ac:dyDescent="0.2">
      <c r="A6">
        <v>46066.604498101849</v>
      </c>
      <c r="B6">
        <v>17.970075000000001</v>
      </c>
      <c r="C6">
        <v>18.290765</v>
      </c>
      <c r="D6">
        <v>18.862017000000002</v>
      </c>
      <c r="E6">
        <v>18.885704</v>
      </c>
      <c r="F6">
        <v>40.652886000000002</v>
      </c>
      <c r="G6">
        <v>37.051341999999998</v>
      </c>
      <c r="H6">
        <v>26.227473</v>
      </c>
      <c r="I6">
        <v>25.673551</v>
      </c>
      <c r="J6">
        <v>55.406748</v>
      </c>
      <c r="K6">
        <v>52.515931999999999</v>
      </c>
      <c r="L6">
        <v>31.061969999999999</v>
      </c>
      <c r="M6">
        <v>-622.47224600000004</v>
      </c>
      <c r="N6">
        <v>1.9112750000000001</v>
      </c>
      <c r="O6">
        <v>3.3676430000000002</v>
      </c>
      <c r="P6">
        <f t="shared" si="3"/>
        <v>3.1854583333333335E-5</v>
      </c>
      <c r="Q6" cm="1">
        <f t="array" ref="Q6">[1]!PropsSI("D","T",J6+273.15,"P",101325,"Water")</f>
        <v>985.49562917293622</v>
      </c>
      <c r="R6" cm="1">
        <f t="array" ref="R6">[1]!PropsSI("D","T",K6+273.15,"P",101325,"Water")</f>
        <v>986.87653374492663</v>
      </c>
      <c r="S6">
        <f t="shared" si="2"/>
        <v>986.18608145893143</v>
      </c>
      <c r="T6" cm="1">
        <f t="array" ref="T6">[1]!PropsSI("H","T",J6+273.15,"P",101325,"Water")</f>
        <v>232030.51421448833</v>
      </c>
      <c r="U6" cm="1">
        <f t="array" ref="U6">[1]!PropsSI("H","T",K6+273.15,"P",101325,"Water")</f>
        <v>219939.40345016663</v>
      </c>
      <c r="V6">
        <f t="shared" si="1"/>
        <v>379.83676393001667</v>
      </c>
    </row>
    <row r="7" spans="1:22" x14ac:dyDescent="0.2">
      <c r="A7">
        <v>46066.604613842595</v>
      </c>
      <c r="B7">
        <v>17.768613999999999</v>
      </c>
      <c r="C7">
        <v>18.030163000000002</v>
      </c>
      <c r="D7">
        <v>18.834816</v>
      </c>
      <c r="E7">
        <v>18.261972</v>
      </c>
      <c r="F7">
        <v>40.415004000000003</v>
      </c>
      <c r="G7">
        <v>39.254032000000002</v>
      </c>
      <c r="H7">
        <v>25.462579999999999</v>
      </c>
      <c r="I7">
        <v>24.727072</v>
      </c>
      <c r="J7">
        <v>55.398949999999999</v>
      </c>
      <c r="K7">
        <v>52.486040000000003</v>
      </c>
      <c r="L7">
        <v>30.204461999999999</v>
      </c>
      <c r="M7">
        <v>-622.51346899999999</v>
      </c>
      <c r="N7">
        <v>1.9106399999999999</v>
      </c>
      <c r="O7">
        <v>3.7776869999999998</v>
      </c>
      <c r="P7">
        <f t="shared" si="3"/>
        <v>3.1843999999999995E-5</v>
      </c>
      <c r="Q7" cm="1">
        <f t="array" ref="Q7">[1]!PropsSI("D","T",J7+273.15,"P",101325,"Water")</f>
        <v>985.49942437604534</v>
      </c>
      <c r="R7" cm="1">
        <f t="array" ref="R7">[1]!PropsSI("D","T",K7+273.15,"P",101325,"Water")</f>
        <v>986.89053728952899</v>
      </c>
      <c r="S7">
        <f t="shared" si="2"/>
        <v>986.19498083278722</v>
      </c>
      <c r="T7" cm="1">
        <f t="array" ref="T7">[1]!PropsSI("H","T",J7+273.15,"P",101325,"Water")</f>
        <v>231997.89437364077</v>
      </c>
      <c r="U7" cm="1">
        <f t="array" ref="U7">[1]!PropsSI("H","T",K7+273.15,"P",101325,"Water")</f>
        <v>219814.39210174285</v>
      </c>
      <c r="V7">
        <f t="shared" si="1"/>
        <v>382.61549309317508</v>
      </c>
    </row>
    <row r="8" spans="1:22" x14ac:dyDescent="0.2">
      <c r="A8">
        <v>46066.604730162035</v>
      </c>
      <c r="B8">
        <v>17.831918999999999</v>
      </c>
      <c r="C8">
        <v>18.207761000000001</v>
      </c>
      <c r="D8">
        <v>19.006530999999999</v>
      </c>
      <c r="E8">
        <v>18.58719</v>
      </c>
      <c r="F8">
        <v>40.607588999999997</v>
      </c>
      <c r="G8">
        <v>37.316667000000002</v>
      </c>
      <c r="H8">
        <v>25.734590000000001</v>
      </c>
      <c r="I8">
        <v>25.073080000000001</v>
      </c>
      <c r="J8">
        <v>55.394176999999999</v>
      </c>
      <c r="K8">
        <v>52.469344999999997</v>
      </c>
      <c r="L8">
        <v>32.399453999999999</v>
      </c>
      <c r="M8">
        <v>-622.48612300000002</v>
      </c>
      <c r="N8">
        <v>1.9026780000000001</v>
      </c>
      <c r="O8">
        <v>3.3358989999999999</v>
      </c>
      <c r="P8">
        <f t="shared" si="3"/>
        <v>3.1711300000000002E-5</v>
      </c>
      <c r="Q8" cm="1">
        <f t="array" ref="Q8">[1]!PropsSI("D","T",J8+273.15,"P",101325,"Water")</f>
        <v>985.50174715857793</v>
      </c>
      <c r="R8" cm="1">
        <f t="array" ref="R8">[1]!PropsSI("D","T",K8+273.15,"P",101325,"Water")</f>
        <v>986.89835593798557</v>
      </c>
      <c r="S8">
        <f t="shared" si="2"/>
        <v>986.20005154828175</v>
      </c>
      <c r="T8" cm="1">
        <f t="array" ref="T8">[1]!PropsSI("H","T",J8+273.15,"P",101325,"Water")</f>
        <v>231977.92843185322</v>
      </c>
      <c r="U8" cm="1">
        <f t="array" ref="U8">[1]!PropsSI("H","T",K8+273.15,"P",101325,"Water")</f>
        <v>219744.5720593514</v>
      </c>
      <c r="V8">
        <f t="shared" si="1"/>
        <v>382.58214218442492</v>
      </c>
    </row>
    <row r="9" spans="1:22" x14ac:dyDescent="0.2">
      <c r="A9">
        <v>46066.604845902781</v>
      </c>
      <c r="B9">
        <v>17.988678</v>
      </c>
      <c r="C9">
        <v>18.309190999999998</v>
      </c>
      <c r="D9">
        <v>18.888769</v>
      </c>
      <c r="E9">
        <v>19.070388000000001</v>
      </c>
      <c r="F9">
        <v>40.139740000000003</v>
      </c>
      <c r="G9">
        <v>38.217182999999999</v>
      </c>
      <c r="H9">
        <v>26.31579</v>
      </c>
      <c r="I9">
        <v>25.129660000000001</v>
      </c>
      <c r="J9">
        <v>55.387811999999997</v>
      </c>
      <c r="K9">
        <v>52.464416</v>
      </c>
      <c r="L9">
        <v>31.124416</v>
      </c>
      <c r="M9">
        <v>-622.50857099999996</v>
      </c>
      <c r="N9">
        <v>1.911988</v>
      </c>
      <c r="O9">
        <v>3.594948</v>
      </c>
      <c r="P9">
        <f t="shared" si="3"/>
        <v>3.1866466666666671E-5</v>
      </c>
      <c r="Q9" cm="1">
        <f t="array" ref="Q9">[1]!PropsSI("D","T",J9+273.15,"P",101325,"Water")</f>
        <v>985.50484446944176</v>
      </c>
      <c r="R9" cm="1">
        <f t="array" ref="R9">[1]!PropsSI("D","T",K9+273.15,"P",101325,"Water")</f>
        <v>986.90066396090958</v>
      </c>
      <c r="S9">
        <f t="shared" si="2"/>
        <v>986.20275421517567</v>
      </c>
      <c r="T9" cm="1">
        <f t="array" ref="T9">[1]!PropsSI("H","T",J9+273.15,"P",101325,"Water")</f>
        <v>231951.30300600734</v>
      </c>
      <c r="U9" cm="1">
        <f t="array" ref="U9">[1]!PropsSI("H","T",K9+273.15,"P",101325,"Water")</f>
        <v>219723.9585401963</v>
      </c>
      <c r="V9">
        <f t="shared" si="1"/>
        <v>384.26627474544324</v>
      </c>
    </row>
    <row r="10" spans="1:22" x14ac:dyDescent="0.2">
      <c r="A10">
        <v>44604.604962226498</v>
      </c>
      <c r="B10">
        <v>17.943432000000001</v>
      </c>
      <c r="C10">
        <v>18.240000999999999</v>
      </c>
      <c r="D10">
        <v>18.922046999999999</v>
      </c>
      <c r="E10">
        <v>19.023727000000001</v>
      </c>
      <c r="F10">
        <v>40.545622000000002</v>
      </c>
      <c r="G10">
        <v>38.035218999999998</v>
      </c>
      <c r="H10">
        <v>26.357002999999999</v>
      </c>
      <c r="I10">
        <v>26.160772000000001</v>
      </c>
      <c r="J10">
        <v>55.382879000000003</v>
      </c>
      <c r="K10">
        <v>52.468232</v>
      </c>
      <c r="L10">
        <v>31.476642999999999</v>
      </c>
      <c r="M10">
        <v>-622.47877700000004</v>
      </c>
      <c r="N10">
        <v>1.9114629999999999</v>
      </c>
      <c r="O10">
        <v>3.7295880000000001</v>
      </c>
      <c r="P10">
        <f t="shared" si="3"/>
        <v>3.1857716666666668E-5</v>
      </c>
      <c r="Q10" cm="1">
        <f t="array" ref="Q10">[1]!PropsSI("D","T",J10+273.15,"P",101325,"Water")</f>
        <v>985.50724477391998</v>
      </c>
      <c r="R10" cm="1">
        <f t="array" ref="R10">[1]!PropsSI("D","T",K10+273.15,"P",101325,"Water")</f>
        <v>986.8988771179985</v>
      </c>
      <c r="S10">
        <f t="shared" si="2"/>
        <v>986.20306094595924</v>
      </c>
      <c r="T10" cm="1">
        <f t="array" ref="T10">[1]!PropsSI("H","T",J10+273.15,"P",101325,"Water")</f>
        <v>231930.66778831306</v>
      </c>
      <c r="U10" cm="1">
        <f t="array" ref="U10">[1]!PropsSI("H","T",K10+273.15,"P",101325,"Water")</f>
        <v>219739.91739300228</v>
      </c>
      <c r="V10">
        <f t="shared" si="1"/>
        <v>383.01116211157114</v>
      </c>
    </row>
    <row r="11" spans="1:22" x14ac:dyDescent="0.2">
      <c r="A11">
        <v>44604.605078545901</v>
      </c>
      <c r="B11">
        <v>17.801219</v>
      </c>
      <c r="C11">
        <v>18.071821</v>
      </c>
      <c r="D11">
        <v>18.774910999999999</v>
      </c>
      <c r="E11">
        <v>18.474322999999998</v>
      </c>
      <c r="F11">
        <v>40.745646999999998</v>
      </c>
      <c r="G11">
        <v>38.917141000000001</v>
      </c>
      <c r="H11">
        <v>26.479095000000001</v>
      </c>
      <c r="I11">
        <v>25.530265</v>
      </c>
      <c r="J11">
        <v>55.382083000000002</v>
      </c>
      <c r="K11">
        <v>52.463621000000003</v>
      </c>
      <c r="L11">
        <v>32.262318</v>
      </c>
      <c r="M11">
        <v>-622.49836700000003</v>
      </c>
      <c r="N11">
        <v>1.9105289999999999</v>
      </c>
      <c r="O11">
        <v>3.3667539999999998</v>
      </c>
      <c r="P11">
        <f t="shared" si="3"/>
        <v>3.1842150000000001E-5</v>
      </c>
      <c r="Q11" cm="1">
        <f t="array" ref="Q11">[1]!PropsSI("D","T",J11+273.15,"P",101325,"Water")</f>
        <v>985.50763207835712</v>
      </c>
      <c r="R11" cm="1">
        <f t="array" ref="R11">[1]!PropsSI("D","T",K11+273.15,"P",101325,"Water")</f>
        <v>986.90103620817388</v>
      </c>
      <c r="S11">
        <f t="shared" si="2"/>
        <v>986.20433414326544</v>
      </c>
      <c r="T11" cm="1">
        <f t="array" ref="T11">[1]!PropsSI("H","T",J11+273.15,"P",101325,"Water")</f>
        <v>231927.33804388015</v>
      </c>
      <c r="U11" cm="1">
        <f t="array" ref="U11">[1]!PropsSI("H","T",K11+273.15,"P",101325,"Water")</f>
        <v>219720.6337797991</v>
      </c>
      <c r="V11">
        <f t="shared" si="1"/>
        <v>383.3255024378027</v>
      </c>
    </row>
    <row r="12" spans="1:22" x14ac:dyDescent="0.2">
      <c r="A12">
        <v>44604.605194286698</v>
      </c>
      <c r="B12">
        <v>17.914197000000001</v>
      </c>
      <c r="C12">
        <v>18.212907000000001</v>
      </c>
      <c r="D12">
        <v>18.984921</v>
      </c>
      <c r="E12">
        <v>19.085063000000002</v>
      </c>
      <c r="F12">
        <v>40.566809999999997</v>
      </c>
      <c r="G12">
        <v>38.546599000000001</v>
      </c>
      <c r="H12">
        <v>26.861819000000001</v>
      </c>
      <c r="I12">
        <v>25.021477000000001</v>
      </c>
      <c r="J12">
        <v>55.381605999999998</v>
      </c>
      <c r="K12">
        <v>52.451855000000002</v>
      </c>
      <c r="L12">
        <v>31.766016</v>
      </c>
      <c r="M12">
        <v>-622.50653</v>
      </c>
      <c r="N12">
        <v>1.9124429999999999</v>
      </c>
      <c r="O12">
        <v>3.327321</v>
      </c>
      <c r="P12">
        <f t="shared" si="3"/>
        <v>3.1874049999999997E-5</v>
      </c>
      <c r="Q12" cm="1">
        <f t="array" ref="Q12">[1]!PropsSI("D","T",J12+273.15,"P",101325,"Water")</f>
        <v>985.50786416720041</v>
      </c>
      <c r="R12" cm="1">
        <f t="array" ref="R12">[1]!PropsSI("D","T",K12+273.15,"P",101325,"Water")</f>
        <v>986.90654499599418</v>
      </c>
      <c r="S12">
        <f t="shared" si="2"/>
        <v>986.20720458159735</v>
      </c>
      <c r="T12" cm="1">
        <f t="array" ref="T12">[1]!PropsSI("H","T",J12+273.15,"P",101325,"Water")</f>
        <v>231925.34270723542</v>
      </c>
      <c r="U12" cm="1">
        <f t="array" ref="U12">[1]!PropsSI("H","T",K12+273.15,"P",101325,"Water")</f>
        <v>219671.42734939294</v>
      </c>
      <c r="V12">
        <f t="shared" si="1"/>
        <v>385.1946944216856</v>
      </c>
    </row>
    <row r="13" spans="1:22" x14ac:dyDescent="0.2">
      <c r="A13">
        <v>44604.605310606101</v>
      </c>
      <c r="B13">
        <v>18.111584000000001</v>
      </c>
      <c r="C13">
        <v>18.443293000000001</v>
      </c>
      <c r="D13">
        <v>18.980195999999999</v>
      </c>
      <c r="E13">
        <v>19.354209999999998</v>
      </c>
      <c r="F13">
        <v>40.144253999999997</v>
      </c>
      <c r="G13">
        <v>39.225490000000001</v>
      </c>
      <c r="H13">
        <v>26.803298999999999</v>
      </c>
      <c r="I13">
        <v>25.420262999999998</v>
      </c>
      <c r="J13">
        <v>55.382241999999998</v>
      </c>
      <c r="K13">
        <v>52.464257000000003</v>
      </c>
      <c r="L13">
        <v>32.581893999999998</v>
      </c>
      <c r="M13">
        <v>-622.47918500000003</v>
      </c>
      <c r="N13">
        <v>1.9123570000000001</v>
      </c>
      <c r="O13">
        <v>3.3353269999999999</v>
      </c>
      <c r="P13">
        <f t="shared" si="3"/>
        <v>3.1872616666666667E-5</v>
      </c>
      <c r="Q13" cm="1">
        <f t="array" ref="Q13">[1]!PropsSI("D","T",J13+273.15,"P",101325,"Water")</f>
        <v>985.50755471510149</v>
      </c>
      <c r="R13" cm="1">
        <f t="array" ref="R13">[1]!PropsSI("D","T",K13+273.15,"P",101325,"Water")</f>
        <v>986.90073841069488</v>
      </c>
      <c r="S13">
        <f t="shared" si="2"/>
        <v>986.20414656289813</v>
      </c>
      <c r="T13" cm="1">
        <f t="array" ref="T13">[1]!PropsSI("H","T",J13+273.15,"P",101325,"Water")</f>
        <v>231928.00315616428</v>
      </c>
      <c r="U13" cm="1">
        <f t="array" ref="U13">[1]!PropsSI("H","T",K13+273.15,"P",101325,"Water")</f>
        <v>219723.293588092</v>
      </c>
      <c r="V13">
        <f t="shared" si="1"/>
        <v>383.62949737931262</v>
      </c>
    </row>
    <row r="14" spans="1:22" x14ac:dyDescent="0.2">
      <c r="A14">
        <v>44604.605426346898</v>
      </c>
      <c r="B14">
        <v>18.217359999999999</v>
      </c>
      <c r="C14">
        <v>18.539142999999999</v>
      </c>
      <c r="D14">
        <v>19.054288</v>
      </c>
      <c r="E14">
        <v>19.46022</v>
      </c>
      <c r="F14">
        <v>40.404572000000002</v>
      </c>
      <c r="G14">
        <v>38.422150000000002</v>
      </c>
      <c r="H14">
        <v>26.192502000000001</v>
      </c>
      <c r="I14">
        <v>25.178560000000001</v>
      </c>
      <c r="J14">
        <v>55.381127999999997</v>
      </c>
      <c r="K14">
        <v>52.474910000000001</v>
      </c>
      <c r="L14">
        <v>31.910499000000002</v>
      </c>
      <c r="M14">
        <v>-622.47510299999999</v>
      </c>
      <c r="N14">
        <v>1.9097500000000001</v>
      </c>
      <c r="O14">
        <v>3.7284820000000001</v>
      </c>
      <c r="P14">
        <f t="shared" si="3"/>
        <v>3.182916666666667E-5</v>
      </c>
      <c r="Q14" cm="1">
        <f t="array" ref="Q14">[1]!PropsSI("D","T",J14+273.15,"P",101325,"Water")</f>
        <v>985.50809674120103</v>
      </c>
      <c r="R14" cm="1">
        <f t="array" ref="R14">[1]!PropsSI("D","T",K14+273.15,"P",101325,"Water")</f>
        <v>986.89574991937593</v>
      </c>
      <c r="S14">
        <f t="shared" si="2"/>
        <v>986.20192333028854</v>
      </c>
      <c r="T14" cm="1">
        <f t="array" ref="T14">[1]!PropsSI("H","T",J14+273.15,"P",101325,"Water")</f>
        <v>231923.34318754388</v>
      </c>
      <c r="U14" cm="1">
        <f t="array" ref="U14">[1]!PropsSI("H","T",K14+273.15,"P",101325,"Water")</f>
        <v>219767.84539681149</v>
      </c>
      <c r="V14">
        <f t="shared" si="1"/>
        <v>381.56089799444158</v>
      </c>
    </row>
    <row r="15" spans="1:22" x14ac:dyDescent="0.2">
      <c r="A15">
        <v>46066.605542662037</v>
      </c>
      <c r="B15">
        <v>17.993807</v>
      </c>
      <c r="C15">
        <v>18.280752</v>
      </c>
      <c r="D15">
        <v>18.878712</v>
      </c>
      <c r="E15">
        <v>19.056360999999999</v>
      </c>
      <c r="F15">
        <v>40.297896999999999</v>
      </c>
      <c r="G15">
        <v>37.777562000000003</v>
      </c>
      <c r="H15">
        <v>26.529820000000001</v>
      </c>
      <c r="I15">
        <v>25.078351000000001</v>
      </c>
      <c r="J15">
        <v>55.382241999999998</v>
      </c>
      <c r="K15">
        <v>52.471888999999997</v>
      </c>
      <c r="L15">
        <v>32.536589999999997</v>
      </c>
      <c r="M15">
        <v>-622.48326599999996</v>
      </c>
      <c r="N15">
        <v>1.91073</v>
      </c>
      <c r="O15">
        <v>3.477668</v>
      </c>
      <c r="P15">
        <f t="shared" ref="P15:P27" si="4" xml:space="preserve"> N15*0.001/60</f>
        <v>3.1845499999999999E-5</v>
      </c>
      <c r="Q15" cm="1">
        <f t="array" ref="Q15">[1]!PropsSI("D","T",J15+273.15,"P",101325,"Water")</f>
        <v>985.50755471510149</v>
      </c>
      <c r="R15" cm="1">
        <f t="array" ref="R15">[1]!PropsSI("D","T",K15+273.15,"P",101325,"Water")</f>
        <v>986.89716463970365</v>
      </c>
      <c r="S15">
        <f t="shared" ref="S15:S27" si="5">(Q15+R15)/2</f>
        <v>986.20235967740257</v>
      </c>
      <c r="T15" cm="1">
        <f t="array" ref="T15">[1]!PropsSI("H","T",J15+273.15,"P",101325,"Water")</f>
        <v>231928.00315616428</v>
      </c>
      <c r="U15" cm="1">
        <f t="array" ref="U15">[1]!PropsSI("H","T",K15+273.15,"P",101325,"Water")</f>
        <v>219755.21129805958</v>
      </c>
      <c r="V15">
        <f t="shared" ref="V15:V27" si="6">S15*P15*(T15-U15)</f>
        <v>382.30000656799808</v>
      </c>
    </row>
    <row r="16" spans="1:22" x14ac:dyDescent="0.2">
      <c r="A16">
        <v>46066.605658402776</v>
      </c>
      <c r="B16">
        <v>17.896650999999999</v>
      </c>
      <c r="C16">
        <v>18.288212999999999</v>
      </c>
      <c r="D16">
        <v>19.137331</v>
      </c>
      <c r="E16">
        <v>18.601582000000001</v>
      </c>
      <c r="F16">
        <v>40.412709999999997</v>
      </c>
      <c r="G16">
        <v>38.875250999999999</v>
      </c>
      <c r="H16">
        <v>26.500633000000001</v>
      </c>
      <c r="I16">
        <v>24.941479999999999</v>
      </c>
      <c r="J16">
        <v>55.379218999999999</v>
      </c>
      <c r="K16">
        <v>52.454081000000002</v>
      </c>
      <c r="L16">
        <v>31.546026999999999</v>
      </c>
      <c r="M16">
        <v>-622.50244899999996</v>
      </c>
      <c r="N16">
        <v>1.911008</v>
      </c>
      <c r="O16">
        <v>3.802861</v>
      </c>
      <c r="P16">
        <f t="shared" si="4"/>
        <v>3.1850133333333335E-5</v>
      </c>
      <c r="Q16" cm="1">
        <f t="array" ref="Q16">[1]!PropsSI("D","T",J16+273.15,"P",101325,"Water")</f>
        <v>985.50902556342271</v>
      </c>
      <c r="R16" cm="1">
        <f t="array" ref="R16">[1]!PropsSI("D","T",K16+273.15,"P",101325,"Water")</f>
        <v>986.90550286063683</v>
      </c>
      <c r="S16">
        <f t="shared" si="5"/>
        <v>986.20726421202971</v>
      </c>
      <c r="T16" cm="1">
        <f t="array" ref="T16">[1]!PropsSI("H","T",J16+273.15,"P",101325,"Water")</f>
        <v>231915.3576589491</v>
      </c>
      <c r="U16" cm="1">
        <f t="array" ref="U16">[1]!PropsSI("H","T",K16+273.15,"P",101325,"Water")</f>
        <v>219680.73667067004</v>
      </c>
      <c r="V16">
        <f t="shared" si="6"/>
        <v>384.29963496161412</v>
      </c>
    </row>
    <row r="17" spans="1:22" x14ac:dyDescent="0.2">
      <c r="A17">
        <v>46066.605774722222</v>
      </c>
      <c r="B17">
        <v>18.207635</v>
      </c>
      <c r="C17">
        <v>18.665486000000001</v>
      </c>
      <c r="D17">
        <v>19.004095</v>
      </c>
      <c r="E17">
        <v>19.433702</v>
      </c>
      <c r="F17">
        <v>40.284731000000001</v>
      </c>
      <c r="G17">
        <v>38.963039999999999</v>
      </c>
      <c r="H17">
        <v>25.725158</v>
      </c>
      <c r="I17">
        <v>24.829986999999999</v>
      </c>
      <c r="J17">
        <v>55.379218999999999</v>
      </c>
      <c r="K17">
        <v>52.455829999999999</v>
      </c>
      <c r="L17">
        <v>31.125640000000001</v>
      </c>
      <c r="M17">
        <v>-622.49836700000003</v>
      </c>
      <c r="N17">
        <v>1.912471</v>
      </c>
      <c r="O17">
        <v>3.5849600000000001</v>
      </c>
      <c r="P17">
        <f t="shared" si="4"/>
        <v>3.1874516666666665E-5</v>
      </c>
      <c r="Q17" cm="1">
        <f t="array" ref="Q17">[1]!PropsSI("D","T",J17+273.15,"P",101325,"Water")</f>
        <v>985.50902556342271</v>
      </c>
      <c r="R17" cm="1">
        <f t="array" ref="R17">[1]!PropsSI("D","T",K17+273.15,"P",101325,"Water")</f>
        <v>986.90468401781209</v>
      </c>
      <c r="S17">
        <f t="shared" si="5"/>
        <v>986.2068547906174</v>
      </c>
      <c r="T17" cm="1">
        <f t="array" ref="T17">[1]!PropsSI("H","T",J17+273.15,"P",101325,"Water")</f>
        <v>231915.3576589491</v>
      </c>
      <c r="U17" cm="1">
        <f t="array" ref="U17">[1]!PropsSI("H","T",K17+273.15,"P",101325,"Water")</f>
        <v>219688.0511384806</v>
      </c>
      <c r="V17">
        <f t="shared" si="6"/>
        <v>384.36375215812677</v>
      </c>
    </row>
    <row r="18" spans="1:22" x14ac:dyDescent="0.2">
      <c r="A18">
        <v>46066.605891041669</v>
      </c>
      <c r="B18">
        <v>18.083264</v>
      </c>
      <c r="C18">
        <v>18.390591000000001</v>
      </c>
      <c r="D18">
        <v>18.947780000000002</v>
      </c>
      <c r="E18">
        <v>19.193581999999999</v>
      </c>
      <c r="F18">
        <v>40.379918000000004</v>
      </c>
      <c r="G18">
        <v>38.437964999999998</v>
      </c>
      <c r="H18">
        <v>25.928025000000002</v>
      </c>
      <c r="I18">
        <v>24.673341000000001</v>
      </c>
      <c r="J18">
        <v>55.377786999999998</v>
      </c>
      <c r="K18">
        <v>52.462508</v>
      </c>
      <c r="L18">
        <v>32.170893999999997</v>
      </c>
      <c r="M18">
        <v>-622.48408199999994</v>
      </c>
      <c r="N18">
        <v>1.9090050000000001</v>
      </c>
      <c r="O18">
        <v>3.6781459999999999</v>
      </c>
      <c r="P18">
        <f t="shared" si="4"/>
        <v>3.181675E-5</v>
      </c>
      <c r="Q18" cm="1">
        <f t="array" ref="Q18">[1]!PropsSI("D","T",J18+273.15,"P",101325,"Water")</f>
        <v>985.50972228694695</v>
      </c>
      <c r="R18" cm="1">
        <f t="array" ref="R18">[1]!PropsSI("D","T",K18+273.15,"P",101325,"Water")</f>
        <v>986.90155734754001</v>
      </c>
      <c r="S18">
        <f t="shared" si="5"/>
        <v>986.20563981724354</v>
      </c>
      <c r="T18" cm="1">
        <f t="array" ref="T18">[1]!PropsSI("H","T",J18+273.15,"P",101325,"Water")</f>
        <v>231909.36746759061</v>
      </c>
      <c r="U18" cm="1">
        <f t="array" ref="U18">[1]!PropsSI("H","T",K18+273.15,"P",101325,"Water")</f>
        <v>219715.97911551455</v>
      </c>
      <c r="V18">
        <f t="shared" si="6"/>
        <v>382.60241179436929</v>
      </c>
    </row>
    <row r="19" spans="1:22" x14ac:dyDescent="0.2">
      <c r="A19">
        <v>46066.606007361108</v>
      </c>
      <c r="B19">
        <v>17.855246000000001</v>
      </c>
      <c r="C19">
        <v>18.231221999999999</v>
      </c>
      <c r="D19">
        <v>19.038603999999999</v>
      </c>
      <c r="E19">
        <v>18.715623999999998</v>
      </c>
      <c r="F19">
        <v>40.541088000000002</v>
      </c>
      <c r="G19">
        <v>38.955522999999999</v>
      </c>
      <c r="H19">
        <v>26.333183999999999</v>
      </c>
      <c r="I19">
        <v>24.790392000000001</v>
      </c>
      <c r="J19">
        <v>55.380333</v>
      </c>
      <c r="K19">
        <v>52.450901000000002</v>
      </c>
      <c r="L19">
        <v>29.942433999999999</v>
      </c>
      <c r="M19">
        <v>-622.49265300000002</v>
      </c>
      <c r="N19">
        <v>1.909996</v>
      </c>
      <c r="O19">
        <v>3.6893549999999999</v>
      </c>
      <c r="P19">
        <f t="shared" si="4"/>
        <v>3.1833266666666666E-5</v>
      </c>
      <c r="Q19" cm="1">
        <f t="array" ref="Q19">[1]!PropsSI("D","T",J19+273.15,"P",101325,"Water")</f>
        <v>985.50848355047322</v>
      </c>
      <c r="R19" cm="1">
        <f t="array" ref="R19">[1]!PropsSI("D","T",K19+273.15,"P",101325,"Water")</f>
        <v>986.90699161577254</v>
      </c>
      <c r="S19">
        <f t="shared" si="5"/>
        <v>986.20773758312293</v>
      </c>
      <c r="T19" cm="1">
        <f t="array" ref="T19">[1]!PropsSI("H","T",J19+273.15,"P",101325,"Water")</f>
        <v>231920.01762671571</v>
      </c>
      <c r="U19" cm="1">
        <f t="array" ref="U19">[1]!PropsSI("H","T",K19+273.15,"P",101325,"Water")</f>
        <v>219667.4376408133</v>
      </c>
      <c r="V19">
        <f t="shared" si="6"/>
        <v>384.66011689464358</v>
      </c>
    </row>
    <row r="20" spans="1:22" x14ac:dyDescent="0.2">
      <c r="A20">
        <v>46066.606123101854</v>
      </c>
      <c r="B20">
        <v>17.891725999999998</v>
      </c>
      <c r="C20">
        <v>18.234631</v>
      </c>
      <c r="D20">
        <v>18.994416000000001</v>
      </c>
      <c r="E20">
        <v>18.959246</v>
      </c>
      <c r="F20">
        <v>40.065598999999999</v>
      </c>
      <c r="G20">
        <v>38.448695000000001</v>
      </c>
      <c r="H20">
        <v>25.995774000000001</v>
      </c>
      <c r="I20">
        <v>24.459454999999998</v>
      </c>
      <c r="J20">
        <v>55.382879000000003</v>
      </c>
      <c r="K20">
        <v>52.436591</v>
      </c>
      <c r="L20">
        <v>33.145130999999999</v>
      </c>
      <c r="M20">
        <v>-622.51632600000005</v>
      </c>
      <c r="N20">
        <v>1.9112009999999999</v>
      </c>
      <c r="O20">
        <v>3.7683719999999998</v>
      </c>
      <c r="P20">
        <f t="shared" si="4"/>
        <v>3.1853349999999999E-5</v>
      </c>
      <c r="Q20" cm="1">
        <f t="array" ref="Q20">[1]!PropsSI("D","T",J20+273.15,"P",101325,"Water")</f>
        <v>985.50724477391998</v>
      </c>
      <c r="R20" cm="1">
        <f t="array" ref="R20">[1]!PropsSI("D","T",K20+273.15,"P",101325,"Water")</f>
        <v>986.91369021530545</v>
      </c>
      <c r="S20">
        <f t="shared" si="5"/>
        <v>986.21046749461266</v>
      </c>
      <c r="T20" cm="1">
        <f t="array" ref="T20">[1]!PropsSI("H","T",J20+273.15,"P",101325,"Water")</f>
        <v>231930.66778831306</v>
      </c>
      <c r="U20" cm="1">
        <f t="array" ref="U20">[1]!PropsSI("H","T",K20+273.15,"P",101325,"Water")</f>
        <v>219607.59204683395</v>
      </c>
      <c r="V20">
        <f t="shared" si="6"/>
        <v>387.11842231208874</v>
      </c>
    </row>
    <row r="21" spans="1:22" x14ac:dyDescent="0.2">
      <c r="A21">
        <v>46066.606239421293</v>
      </c>
      <c r="B21">
        <v>17.881965999999998</v>
      </c>
      <c r="C21">
        <v>18.276375999999999</v>
      </c>
      <c r="D21">
        <v>18.898947</v>
      </c>
      <c r="E21">
        <v>18.727848999999999</v>
      </c>
      <c r="F21">
        <v>40.491219000000001</v>
      </c>
      <c r="G21">
        <v>37.790522000000003</v>
      </c>
      <c r="H21">
        <v>25.912908000000002</v>
      </c>
      <c r="I21">
        <v>24.834275999999999</v>
      </c>
      <c r="J21">
        <v>55.385266000000001</v>
      </c>
      <c r="K21">
        <v>52.444381999999997</v>
      </c>
      <c r="L21">
        <v>32.273746000000003</v>
      </c>
      <c r="M21">
        <v>-622.49183700000003</v>
      </c>
      <c r="N21">
        <v>1.9090499999999999</v>
      </c>
      <c r="O21">
        <v>3.7170960000000002</v>
      </c>
      <c r="P21">
        <f t="shared" si="4"/>
        <v>3.1817499999999998E-5</v>
      </c>
      <c r="Q21" cm="1">
        <f t="array" ref="Q21">[1]!PropsSI("D","T",J21+273.15,"P",101325,"Water")</f>
        <v>985.50608332366903</v>
      </c>
      <c r="R21" cm="1">
        <f t="array" ref="R21">[1]!PropsSI("D","T",K21+273.15,"P",101325,"Water")</f>
        <v>986.91004336203093</v>
      </c>
      <c r="S21">
        <f t="shared" si="5"/>
        <v>986.20806334284998</v>
      </c>
      <c r="T21" cm="1">
        <f t="array" ref="T21">[1]!PropsSI("H","T",J21+273.15,"P",101325,"Water")</f>
        <v>231940.65283979714</v>
      </c>
      <c r="U21" cm="1">
        <f t="array" ref="U21">[1]!PropsSI("H","T",K21+273.15,"P",101325,"Water")</f>
        <v>219640.17463982152</v>
      </c>
      <c r="V21">
        <f t="shared" si="6"/>
        <v>385.97270846320345</v>
      </c>
    </row>
    <row r="22" spans="1:22" x14ac:dyDescent="0.2">
      <c r="A22">
        <v>46066.606355162039</v>
      </c>
      <c r="B22">
        <v>17.700213999999999</v>
      </c>
      <c r="C22">
        <v>17.958774999999999</v>
      </c>
      <c r="D22">
        <v>19.063604000000002</v>
      </c>
      <c r="E22">
        <v>18.249103000000002</v>
      </c>
      <c r="F22">
        <v>40.649309000000002</v>
      </c>
      <c r="G22">
        <v>36.896526999999999</v>
      </c>
      <c r="H22">
        <v>25.487739000000001</v>
      </c>
      <c r="I22">
        <v>25.496618999999999</v>
      </c>
      <c r="J22">
        <v>55.386380000000003</v>
      </c>
      <c r="K22">
        <v>52.433889000000001</v>
      </c>
      <c r="L22">
        <v>30.604033999999999</v>
      </c>
      <c r="M22">
        <v>-622.49428599999999</v>
      </c>
      <c r="N22">
        <v>1.9106190000000001</v>
      </c>
      <c r="O22">
        <v>3.6449660000000002</v>
      </c>
      <c r="P22">
        <f t="shared" si="4"/>
        <v>3.1843650000000005E-5</v>
      </c>
      <c r="Q22" cm="1">
        <f t="array" ref="Q22">[1]!PropsSI("D","T",J22+273.15,"P",101325,"Water")</f>
        <v>985.50554126906013</v>
      </c>
      <c r="R22" cm="1">
        <f t="array" ref="R22">[1]!PropsSI("D","T",K22+273.15,"P",101325,"Water")</f>
        <v>986.91495489158331</v>
      </c>
      <c r="S22">
        <f t="shared" si="5"/>
        <v>986.21024808032166</v>
      </c>
      <c r="T22" cm="1">
        <f t="array" ref="T22">[1]!PropsSI("H","T",J22+273.15,"P",101325,"Water")</f>
        <v>231945.31281010265</v>
      </c>
      <c r="U22" cm="1">
        <f t="array" ref="U22">[1]!PropsSI("H","T",K22+273.15,"P",101325,"Water")</f>
        <v>219596.29206856817</v>
      </c>
      <c r="V22">
        <f t="shared" si="6"/>
        <v>387.81524132785205</v>
      </c>
    </row>
    <row r="23" spans="1:22" x14ac:dyDescent="0.2">
      <c r="A23">
        <v>46066.606471481478</v>
      </c>
      <c r="B23">
        <v>17.766272000000001</v>
      </c>
      <c r="C23">
        <v>18.085614</v>
      </c>
      <c r="D23">
        <v>19.177323000000001</v>
      </c>
      <c r="E23">
        <v>18.540893000000001</v>
      </c>
      <c r="F23">
        <v>40.611795999999998</v>
      </c>
      <c r="G23">
        <v>38.168272999999999</v>
      </c>
      <c r="H23">
        <v>26.035668999999999</v>
      </c>
      <c r="I23">
        <v>26.122685000000001</v>
      </c>
      <c r="J23">
        <v>55.384788</v>
      </c>
      <c r="K23">
        <v>52.419738000000002</v>
      </c>
      <c r="L23">
        <v>30.856266000000002</v>
      </c>
      <c r="M23">
        <v>-622.51387699999998</v>
      </c>
      <c r="N23">
        <v>1.911168</v>
      </c>
      <c r="O23">
        <v>3.727338</v>
      </c>
      <c r="P23">
        <f t="shared" si="4"/>
        <v>3.1852800000000001E-5</v>
      </c>
      <c r="Q23" cm="1">
        <f t="array" ref="Q23">[1]!PropsSI("D","T",J23+273.15,"P",101325,"Water")</f>
        <v>985.50631590848047</v>
      </c>
      <c r="R23" cm="1">
        <f t="array" ref="R23">[1]!PropsSI("D","T",K23+273.15,"P",101325,"Water")</f>
        <v>986.92157753313768</v>
      </c>
      <c r="S23">
        <f t="shared" si="5"/>
        <v>986.21394672080908</v>
      </c>
      <c r="T23" cm="1">
        <f t="array" ref="T23">[1]!PropsSI("H","T",J23+273.15,"P",101325,"Water")</f>
        <v>231938.65331950836</v>
      </c>
      <c r="U23" cm="1">
        <f t="array" ref="U23">[1]!PropsSI("H","T",K23+273.15,"P",101325,"Water")</f>
        <v>219537.11150278573</v>
      </c>
      <c r="V23">
        <f t="shared" si="6"/>
        <v>389.5780115965091</v>
      </c>
    </row>
    <row r="24" spans="1:22" x14ac:dyDescent="0.2">
      <c r="A24">
        <v>46066.606587800925</v>
      </c>
      <c r="B24">
        <v>17.938763999999999</v>
      </c>
      <c r="C24">
        <v>18.325306999999999</v>
      </c>
      <c r="D24">
        <v>18.932576999999998</v>
      </c>
      <c r="E24">
        <v>19.303215999999999</v>
      </c>
      <c r="F24">
        <v>39.839427000000001</v>
      </c>
      <c r="G24">
        <v>37.238236000000001</v>
      </c>
      <c r="H24">
        <v>26.936025999999998</v>
      </c>
      <c r="I24">
        <v>24.584219999999998</v>
      </c>
      <c r="J24">
        <v>55.387971</v>
      </c>
      <c r="K24">
        <v>52.427847</v>
      </c>
      <c r="L24">
        <v>32.392515000000003</v>
      </c>
      <c r="M24">
        <v>-622.47836800000005</v>
      </c>
      <c r="N24">
        <v>1.9096070000000001</v>
      </c>
      <c r="O24">
        <v>3.8158099999999999</v>
      </c>
      <c r="P24">
        <f t="shared" si="4"/>
        <v>3.1826783333333335E-5</v>
      </c>
      <c r="Q24" cm="1">
        <f t="array" ref="Q24">[1]!PropsSI("D","T",J24+273.15,"P",101325,"Water")</f>
        <v>985.50476710055727</v>
      </c>
      <c r="R24" cm="1">
        <f t="array" ref="R24">[1]!PropsSI("D","T",K24+273.15,"P",101325,"Water")</f>
        <v>986.91778269261579</v>
      </c>
      <c r="S24">
        <f t="shared" si="5"/>
        <v>986.21127489658647</v>
      </c>
      <c r="T24" cm="1">
        <f t="array" ref="T24">[1]!PropsSI("H","T",J24+273.15,"P",101325,"Water")</f>
        <v>231951.9681185607</v>
      </c>
      <c r="U24" cm="1">
        <f t="array" ref="U24">[1]!PropsSI("H","T",K24+273.15,"P",101325,"Water")</f>
        <v>219571.02395397157</v>
      </c>
      <c r="V24">
        <f t="shared" si="6"/>
        <v>388.61224055421434</v>
      </c>
    </row>
    <row r="25" spans="1:22" x14ac:dyDescent="0.2">
      <c r="A25">
        <v>46066.606703541664</v>
      </c>
      <c r="B25">
        <v>18.031013000000002</v>
      </c>
      <c r="C25">
        <v>18.351489000000001</v>
      </c>
      <c r="D25">
        <v>18.901337000000002</v>
      </c>
      <c r="E25">
        <v>19.201070999999999</v>
      </c>
      <c r="F25">
        <v>40.375162000000003</v>
      </c>
      <c r="G25">
        <v>37.912931</v>
      </c>
      <c r="H25">
        <v>26.660626000000001</v>
      </c>
      <c r="I25">
        <v>25.055105000000001</v>
      </c>
      <c r="J25">
        <v>55.391948999999997</v>
      </c>
      <c r="K25">
        <v>52.451537000000002</v>
      </c>
      <c r="L25">
        <v>30.585259000000001</v>
      </c>
      <c r="M25">
        <v>-622.50285699999995</v>
      </c>
      <c r="N25">
        <v>1.911316</v>
      </c>
      <c r="O25">
        <v>3.7318370000000001</v>
      </c>
      <c r="P25">
        <f t="shared" si="4"/>
        <v>3.1855266666666666E-5</v>
      </c>
      <c r="Q25" cm="1">
        <f t="array" ref="Q25">[1]!PropsSI("D","T",J25+273.15,"P",101325,"Water")</f>
        <v>985.50283136753967</v>
      </c>
      <c r="R25" cm="1">
        <f t="array" ref="R25">[1]!PropsSI("D","T",K25+273.15,"P",101325,"Water")</f>
        <v>986.90669386989089</v>
      </c>
      <c r="S25">
        <f t="shared" si="5"/>
        <v>986.20476261871522</v>
      </c>
      <c r="T25" cm="1">
        <f t="array" ref="T25">[1]!PropsSI("H","T",J25+273.15,"P",101325,"Water")</f>
        <v>231968.60848529194</v>
      </c>
      <c r="U25" cm="1">
        <f t="array" ref="U25">[1]!PropsSI("H","T",K25+273.15,"P",101325,"Water")</f>
        <v>219670.09744649721</v>
      </c>
      <c r="V25">
        <f t="shared" si="6"/>
        <v>386.36775619340642</v>
      </c>
    </row>
    <row r="26" spans="1:22" x14ac:dyDescent="0.2">
      <c r="A26">
        <v>46066.60681986111</v>
      </c>
      <c r="B26">
        <v>17.890798</v>
      </c>
      <c r="C26">
        <v>18.200272999999999</v>
      </c>
      <c r="D26">
        <v>18.908488999999999</v>
      </c>
      <c r="E26">
        <v>18.706530999999998</v>
      </c>
      <c r="F26">
        <v>39.797182999999997</v>
      </c>
      <c r="G26">
        <v>38.434953</v>
      </c>
      <c r="H26">
        <v>26.234601999999999</v>
      </c>
      <c r="I26">
        <v>24.976279000000002</v>
      </c>
      <c r="J26">
        <v>55.391472</v>
      </c>
      <c r="K26">
        <v>52.450901000000002</v>
      </c>
      <c r="L26">
        <v>30.537506</v>
      </c>
      <c r="M26">
        <v>-622.51591800000006</v>
      </c>
      <c r="N26">
        <v>1.913119</v>
      </c>
      <c r="O26">
        <v>3.4849239999999999</v>
      </c>
      <c r="P26">
        <f t="shared" si="4"/>
        <v>3.1885316666666668E-5</v>
      </c>
      <c r="Q26" cm="1">
        <f t="array" ref="Q26">[1]!PropsSI("D","T",J26+273.15,"P",101325,"Water")</f>
        <v>985.50306348548247</v>
      </c>
      <c r="R26" cm="1">
        <f t="array" ref="R26">[1]!PropsSI("D","T",K26+273.15,"P",101325,"Water")</f>
        <v>986.90699161577254</v>
      </c>
      <c r="S26">
        <f t="shared" si="5"/>
        <v>986.20502755062751</v>
      </c>
      <c r="T26" cm="1">
        <f t="array" ref="T26">[1]!PropsSI("H","T",J26+273.15,"P",101325,"Water")</f>
        <v>231966.61314690133</v>
      </c>
      <c r="U26" cm="1">
        <f t="array" ref="U26">[1]!PropsSI("H","T",K26+273.15,"P",101325,"Water")</f>
        <v>219667.4376408133</v>
      </c>
      <c r="V26">
        <f t="shared" si="6"/>
        <v>386.75322651103852</v>
      </c>
    </row>
    <row r="27" spans="1:22" x14ac:dyDescent="0.2">
      <c r="A27">
        <v>46066.606935601849</v>
      </c>
      <c r="B27">
        <v>18.094902999999999</v>
      </c>
      <c r="C27">
        <v>18.464729999999999</v>
      </c>
      <c r="D27">
        <v>18.981027999999998</v>
      </c>
      <c r="E27">
        <v>19.439896999999998</v>
      </c>
      <c r="F27">
        <v>40.803781000000001</v>
      </c>
      <c r="G27">
        <v>37.866838000000001</v>
      </c>
      <c r="H27">
        <v>26.717593000000001</v>
      </c>
      <c r="I27">
        <v>25.026456</v>
      </c>
      <c r="J27">
        <v>55.395767999999997</v>
      </c>
      <c r="K27">
        <v>52.456625000000003</v>
      </c>
      <c r="L27">
        <v>32.590465000000002</v>
      </c>
      <c r="M27">
        <v>-622.48367399999995</v>
      </c>
      <c r="N27">
        <v>1.9134960000000001</v>
      </c>
      <c r="O27">
        <v>3.7777500000000002</v>
      </c>
      <c r="P27">
        <f t="shared" si="4"/>
        <v>3.1891600000000005E-5</v>
      </c>
      <c r="Q27" cm="1">
        <f t="array" ref="Q27">[1]!PropsSI("D","T",J27+273.15,"P",101325,"Water")</f>
        <v>985.50097291337283</v>
      </c>
      <c r="R27" cm="1">
        <f t="array" ref="R27">[1]!PropsSI("D","T",K27+273.15,"P",101325,"Water")</f>
        <v>986.90431181009797</v>
      </c>
      <c r="S27">
        <f t="shared" si="5"/>
        <v>986.20264236173534</v>
      </c>
      <c r="T27" cm="1">
        <f t="array" ref="T27">[1]!PropsSI("H","T",J27+273.15,"P",101325,"Water")</f>
        <v>231984.58374483255</v>
      </c>
      <c r="U27" cm="1">
        <f t="array" ref="U27">[1]!PropsSI("H","T",K27+273.15,"P",101325,"Water")</f>
        <v>219691.37589690182</v>
      </c>
      <c r="V27">
        <f t="shared" si="6"/>
        <v>386.64081241100166</v>
      </c>
    </row>
    <row r="28" spans="1:22" x14ac:dyDescent="0.2">
      <c r="P28" s="1"/>
    </row>
    <row r="29" spans="1:22" x14ac:dyDescent="0.2">
      <c r="P29" s="1"/>
    </row>
    <row r="30" spans="1:22" x14ac:dyDescent="0.2">
      <c r="F30" s="1" t="s">
        <v>22</v>
      </c>
      <c r="P30" s="1"/>
    </row>
    <row r="31" spans="1:22" x14ac:dyDescent="0.2">
      <c r="F31">
        <f>AVERAGE(V20:V27)</f>
        <v>387.35730242116432</v>
      </c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5BD-0C39-1342-9D0D-94917165FFCD}">
  <dimension ref="A1:V36"/>
  <sheetViews>
    <sheetView workbookViewId="0">
      <selection activeCell="G23" sqref="G23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44604.608079124599</v>
      </c>
      <c r="B2">
        <v>17.730255</v>
      </c>
      <c r="C2">
        <v>18.026980999999999</v>
      </c>
      <c r="D2">
        <v>18.976662999999999</v>
      </c>
      <c r="E2">
        <v>19.119516999999998</v>
      </c>
      <c r="F2">
        <v>37.980555000000003</v>
      </c>
      <c r="G2">
        <v>35.298212999999997</v>
      </c>
      <c r="H2">
        <v>25.097895000000001</v>
      </c>
      <c r="I2">
        <v>23.218263</v>
      </c>
      <c r="J2">
        <v>55.370784999999998</v>
      </c>
      <c r="K2">
        <v>51.417431999999998</v>
      </c>
      <c r="L2">
        <v>69.286178000000007</v>
      </c>
      <c r="M2">
        <v>-622.48326599999996</v>
      </c>
      <c r="N2">
        <v>1.908226</v>
      </c>
      <c r="O2">
        <v>3.7063320000000002</v>
      </c>
      <c r="P2">
        <f xml:space="preserve"> N2*0.001/60</f>
        <v>3.1803766666666669E-5</v>
      </c>
      <c r="Q2" cm="1">
        <f t="array" ref="Q2">[1]!PropsSI("D","T",J2+273.15,"P",101325,"Water")</f>
        <v>985.51312884882213</v>
      </c>
      <c r="R2" cm="1">
        <f t="array" ref="R2">[1]!PropsSI("D","T",K2+273.15,"P",101325,"Water")</f>
        <v>987.38739165061509</v>
      </c>
      <c r="S2">
        <f>(Q2+R2)/2</f>
        <v>986.45026024971867</v>
      </c>
      <c r="T2" cm="1">
        <f t="array" ref="T2">[1]!PropsSI("H","T",J2+273.15,"P",101325,"Water")</f>
        <v>231880.07745060741</v>
      </c>
      <c r="U2" cm="1">
        <f t="array" ref="U2">[1]!PropsSI("H","T",K2+273.15,"P",101325,"Water")</f>
        <v>215345.55233555945</v>
      </c>
      <c r="V2">
        <f>S2*P2*(T2-U2)</f>
        <v>518.73491013666148</v>
      </c>
    </row>
    <row r="3" spans="1:22" x14ac:dyDescent="0.2">
      <c r="A3">
        <v>44604.608195444103</v>
      </c>
      <c r="B3">
        <v>17.552530000000001</v>
      </c>
      <c r="C3">
        <v>17.832201999999999</v>
      </c>
      <c r="D3">
        <v>18.89151</v>
      </c>
      <c r="E3">
        <v>18.807400999999999</v>
      </c>
      <c r="F3">
        <v>37.786940000000001</v>
      </c>
      <c r="G3">
        <v>35.628633000000001</v>
      </c>
      <c r="H3">
        <v>24.980371999999999</v>
      </c>
      <c r="I3">
        <v>22.644556999999999</v>
      </c>
      <c r="J3">
        <v>55.367603000000003</v>
      </c>
      <c r="K3">
        <v>51.388503999999998</v>
      </c>
      <c r="L3">
        <v>68.393162000000004</v>
      </c>
      <c r="M3">
        <v>-622.50204099999996</v>
      </c>
      <c r="N3">
        <v>1.911799</v>
      </c>
      <c r="O3">
        <v>3.5071500000000002</v>
      </c>
      <c r="P3">
        <f t="shared" ref="P3" si="0" xml:space="preserve"> N3*0.001/60</f>
        <v>3.1863316666666667E-5</v>
      </c>
      <c r="Q3" cm="1">
        <f t="array" ref="Q3">[1]!PropsSI("D","T",J3+273.15,"P",101325,"Water")</f>
        <v>985.51467683200678</v>
      </c>
      <c r="R3" cm="1">
        <f t="array" ref="R3">[1]!PropsSI("D","T",K3+273.15,"P",101325,"Water")</f>
        <v>987.40073979757358</v>
      </c>
      <c r="S3">
        <f>(Q3+R3)/2</f>
        <v>986.45770831479012</v>
      </c>
      <c r="T3" cm="1">
        <f t="array" ref="T3">[1]!PropsSI("H","T",J3+273.15,"P",101325,"Water")</f>
        <v>231866.76685476114</v>
      </c>
      <c r="U3" cm="1">
        <f t="array" ref="U3">[1]!PropsSI("H","T",K3+273.15,"P",101325,"Water")</f>
        <v>215224.58251923631</v>
      </c>
      <c r="V3">
        <f t="shared" ref="V3:V27" si="1">S3*P3*(T3-U3)</f>
        <v>523.09404821812177</v>
      </c>
    </row>
    <row r="4" spans="1:22" x14ac:dyDescent="0.2">
      <c r="A4">
        <v>44604.608311184798</v>
      </c>
      <c r="B4">
        <v>17.776906</v>
      </c>
      <c r="C4">
        <v>18.098787000000002</v>
      </c>
      <c r="D4">
        <v>18.983357000000002</v>
      </c>
      <c r="E4">
        <v>19.482374</v>
      </c>
      <c r="F4">
        <v>37.275902000000002</v>
      </c>
      <c r="G4">
        <v>35.848826000000003</v>
      </c>
      <c r="H4">
        <v>25.405422999999999</v>
      </c>
      <c r="I4">
        <v>22.91667</v>
      </c>
      <c r="J4">
        <v>55.360919000000003</v>
      </c>
      <c r="K4">
        <v>51.379922000000001</v>
      </c>
      <c r="L4">
        <v>66.657737999999995</v>
      </c>
      <c r="M4">
        <v>-622.52775399999996</v>
      </c>
      <c r="N4">
        <v>1.9069799999999999</v>
      </c>
      <c r="O4">
        <v>3.675935</v>
      </c>
      <c r="P4">
        <f xml:space="preserve"> N4*0.001/60</f>
        <v>3.1782999999999997E-5</v>
      </c>
      <c r="Q4" cm="1">
        <f t="array" ref="Q4">[1]!PropsSI("D","T",J4+273.15,"P",101325,"Water")</f>
        <v>985.51792826846531</v>
      </c>
      <c r="R4" cm="1">
        <f t="array" ref="R4">[1]!PropsSI("D","T",K4+273.15,"P",101325,"Water")</f>
        <v>987.40469872099879</v>
      </c>
      <c r="S4">
        <f t="shared" ref="S4:S27" si="2">(Q4+R4)/2</f>
        <v>986.46131349473205</v>
      </c>
      <c r="T4" cm="1">
        <f t="array" ref="T4">[1]!PropsSI("H","T",J4+273.15,"P",101325,"Water")</f>
        <v>231838.80708597571</v>
      </c>
      <c r="U4" cm="1">
        <f t="array" ref="U4">[1]!PropsSI("H","T",K4+273.15,"P",101325,"Water")</f>
        <v>215188.69474469102</v>
      </c>
      <c r="V4">
        <f t="shared" si="1"/>
        <v>522.02597598385944</v>
      </c>
    </row>
    <row r="5" spans="1:22" x14ac:dyDescent="0.2">
      <c r="A5">
        <v>44604.608427504303</v>
      </c>
      <c r="B5">
        <v>18.093934000000001</v>
      </c>
      <c r="C5">
        <v>18.415884999999999</v>
      </c>
      <c r="D5">
        <v>19.116700999999999</v>
      </c>
      <c r="E5">
        <v>19.644341000000001</v>
      </c>
      <c r="F5">
        <v>37.944091</v>
      </c>
      <c r="G5">
        <v>35.655697000000004</v>
      </c>
      <c r="H5">
        <v>25.755960999999999</v>
      </c>
      <c r="I5">
        <v>23.398389000000002</v>
      </c>
      <c r="J5">
        <v>55.356622999999999</v>
      </c>
      <c r="K5">
        <v>51.395816000000003</v>
      </c>
      <c r="L5">
        <v>68.111135000000004</v>
      </c>
      <c r="M5">
        <v>-622.49755100000004</v>
      </c>
      <c r="N5">
        <v>1.915119</v>
      </c>
      <c r="O5">
        <v>3.7705959999999998</v>
      </c>
      <c r="P5">
        <f t="shared" ref="P5:P27" si="3" xml:space="preserve"> N5*0.001/60</f>
        <v>3.191865E-5</v>
      </c>
      <c r="Q5" cm="1">
        <f t="array" ref="Q5">[1]!PropsSI("D","T",J5+273.15,"P",101325,"Water")</f>
        <v>985.52001791479836</v>
      </c>
      <c r="R5" cm="1">
        <f t="array" ref="R5">[1]!PropsSI("D","T",K5+273.15,"P",101325,"Water")</f>
        <v>987.39736635685631</v>
      </c>
      <c r="S5">
        <f t="shared" si="2"/>
        <v>986.45869213582728</v>
      </c>
      <c r="T5" cm="1">
        <f t="array" ref="T5">[1]!PropsSI("H","T",J5+273.15,"P",101325,"Water")</f>
        <v>231820.83654303564</v>
      </c>
      <c r="U5" cm="1">
        <f t="array" ref="U5">[1]!PropsSI("H","T",K5+273.15,"P",101325,"Water")</f>
        <v>215255.15948956003</v>
      </c>
      <c r="V5">
        <f t="shared" si="1"/>
        <v>521.59402653610903</v>
      </c>
    </row>
    <row r="6" spans="1:22" x14ac:dyDescent="0.2">
      <c r="A6">
        <v>46066.608543240742</v>
      </c>
      <c r="B6">
        <v>18.111478999999999</v>
      </c>
      <c r="C6">
        <v>18.388216</v>
      </c>
      <c r="D6">
        <v>19.174433000000001</v>
      </c>
      <c r="E6">
        <v>19.719003000000001</v>
      </c>
      <c r="F6">
        <v>37.871631000000001</v>
      </c>
      <c r="G6">
        <v>35.304948000000003</v>
      </c>
      <c r="H6">
        <v>25.411688000000002</v>
      </c>
      <c r="I6">
        <v>23.385138000000001</v>
      </c>
      <c r="J6">
        <v>55.348508000000002</v>
      </c>
      <c r="K6">
        <v>51.407100999999997</v>
      </c>
      <c r="L6">
        <v>71.655039000000002</v>
      </c>
      <c r="M6">
        <v>-622.49959200000001</v>
      </c>
      <c r="N6">
        <v>1.9109389999999999</v>
      </c>
      <c r="O6">
        <v>4.1994850000000001</v>
      </c>
      <c r="P6">
        <f t="shared" si="3"/>
        <v>3.1848983333333329E-5</v>
      </c>
      <c r="Q6" cm="1">
        <f t="array" ref="Q6">[1]!PropsSI("D","T",J6+273.15,"P",101325,"Water")</f>
        <v>985.52396487519263</v>
      </c>
      <c r="R6" cm="1">
        <f t="array" ref="R6">[1]!PropsSI("D","T",K6+273.15,"P",101325,"Water")</f>
        <v>987.39215926829968</v>
      </c>
      <c r="S6">
        <f t="shared" si="2"/>
        <v>986.4580620717461</v>
      </c>
      <c r="T6" cm="1">
        <f t="array" ref="T6">[1]!PropsSI("H","T",J6+273.15,"P",101325,"Water")</f>
        <v>231786.89080833926</v>
      </c>
      <c r="U6" cm="1">
        <f t="array" ref="U6">[1]!PropsSI("H","T",K6+273.15,"P",101325,"Water")</f>
        <v>215302.35059254229</v>
      </c>
      <c r="V6">
        <f t="shared" si="1"/>
        <v>517.90611458470119</v>
      </c>
    </row>
    <row r="7" spans="1:22" x14ac:dyDescent="0.2">
      <c r="A7">
        <v>46066.608659560188</v>
      </c>
      <c r="B7">
        <v>17.885363999999999</v>
      </c>
      <c r="C7">
        <v>18.099955999999999</v>
      </c>
      <c r="D7">
        <v>19.069027999999999</v>
      </c>
      <c r="E7">
        <v>19.558254000000002</v>
      </c>
      <c r="F7">
        <v>37.627806</v>
      </c>
      <c r="G7">
        <v>35.782896999999998</v>
      </c>
      <c r="H7">
        <v>24.868193999999999</v>
      </c>
      <c r="I7">
        <v>23.443722999999999</v>
      </c>
      <c r="J7">
        <v>55.341825</v>
      </c>
      <c r="K7">
        <v>51.390093999999998</v>
      </c>
      <c r="L7">
        <v>68.567438999999993</v>
      </c>
      <c r="M7">
        <v>-622.49428599999999</v>
      </c>
      <c r="N7">
        <v>1.911713</v>
      </c>
      <c r="O7">
        <v>3.6257649999999999</v>
      </c>
      <c r="P7">
        <f t="shared" si="3"/>
        <v>3.1861883333333331E-5</v>
      </c>
      <c r="Q7" cm="1">
        <f t="array" ref="Q7">[1]!PropsSI("D","T",J7+273.15,"P",101325,"Water")</f>
        <v>985.5272150359317</v>
      </c>
      <c r="R7" cm="1">
        <f t="array" ref="R7">[1]!PropsSI("D","T",K7+273.15,"P",101325,"Water")</f>
        <v>987.40000626965934</v>
      </c>
      <c r="S7">
        <f t="shared" si="2"/>
        <v>986.46361065279552</v>
      </c>
      <c r="T7" cm="1">
        <f t="array" ref="T7">[1]!PropsSI("H","T",J7+273.15,"P",101325,"Water")</f>
        <v>231758.93526951259</v>
      </c>
      <c r="U7" cm="1">
        <f t="array" ref="U7">[1]!PropsSI("H","T",K7+273.15,"P",101325,"Water")</f>
        <v>215231.23150348989</v>
      </c>
      <c r="V7">
        <f t="shared" si="1"/>
        <v>519.47545550984148</v>
      </c>
    </row>
    <row r="8" spans="1:22" x14ac:dyDescent="0.2">
      <c r="A8">
        <v>46066.608775879628</v>
      </c>
      <c r="B8">
        <v>17.834074999999999</v>
      </c>
      <c r="C8">
        <v>18.136958</v>
      </c>
      <c r="D8">
        <v>19.126261</v>
      </c>
      <c r="E8">
        <v>19.661003999999998</v>
      </c>
      <c r="F8">
        <v>37.747871000000004</v>
      </c>
      <c r="G8">
        <v>35.226298999999997</v>
      </c>
      <c r="H8">
        <v>25.245951000000002</v>
      </c>
      <c r="I8">
        <v>23.522627</v>
      </c>
      <c r="J8">
        <v>55.341188000000002</v>
      </c>
      <c r="K8">
        <v>51.370702999999999</v>
      </c>
      <c r="L8">
        <v>66.457340000000002</v>
      </c>
      <c r="M8">
        <v>-622.50408100000004</v>
      </c>
      <c r="N8">
        <v>1.9086240000000001</v>
      </c>
      <c r="O8">
        <v>2.6712030000000002</v>
      </c>
      <c r="P8">
        <f t="shared" si="3"/>
        <v>3.1810400000000003E-5</v>
      </c>
      <c r="Q8" cm="1">
        <f t="array" ref="Q8">[1]!PropsSI("D","T",J8+273.15,"P",101325,"Water")</f>
        <v>985.52752481538278</v>
      </c>
      <c r="R8" cm="1">
        <f t="array" ref="R8">[1]!PropsSI("D","T",K8+273.15,"P",101325,"Water")</f>
        <v>987.40895096621705</v>
      </c>
      <c r="S8">
        <f t="shared" si="2"/>
        <v>986.46823789079986</v>
      </c>
      <c r="T8" cm="1">
        <f t="array" ref="T8">[1]!PropsSI("H","T",J8+273.15,"P",101325,"Water")</f>
        <v>231756.27064697357</v>
      </c>
      <c r="U8" cm="1">
        <f t="array" ref="U8">[1]!PropsSI("H","T",K8+273.15,"P",101325,"Water")</f>
        <v>215150.14322080708</v>
      </c>
      <c r="V8">
        <f t="shared" si="1"/>
        <v>521.09943561642831</v>
      </c>
    </row>
    <row r="9" spans="1:22" x14ac:dyDescent="0.2">
      <c r="A9">
        <v>46066.608892199074</v>
      </c>
      <c r="B9">
        <v>18.094428000000001</v>
      </c>
      <c r="C9">
        <v>18.41141</v>
      </c>
      <c r="D9">
        <v>19.280662</v>
      </c>
      <c r="E9">
        <v>19.786087999999999</v>
      </c>
      <c r="F9">
        <v>37.601709</v>
      </c>
      <c r="G9">
        <v>36.221085000000002</v>
      </c>
      <c r="H9">
        <v>25.954101999999999</v>
      </c>
      <c r="I9">
        <v>23.568991</v>
      </c>
      <c r="J9">
        <v>55.338006</v>
      </c>
      <c r="K9">
        <v>51.378968</v>
      </c>
      <c r="L9">
        <v>68.945379000000003</v>
      </c>
      <c r="M9">
        <v>-622.512652</v>
      </c>
      <c r="N9">
        <v>1.9086689999999999</v>
      </c>
      <c r="O9">
        <v>3.5947830000000001</v>
      </c>
      <c r="P9">
        <f t="shared" si="3"/>
        <v>3.1811150000000001E-5</v>
      </c>
      <c r="Q9" cm="1">
        <f t="array" ref="Q9">[1]!PropsSI("D","T",J9+273.15,"P",101325,"Water")</f>
        <v>985.52907221607188</v>
      </c>
      <c r="R9" cm="1">
        <f t="array" ref="R9">[1]!PropsSI("D","T",K9+273.15,"P",101325,"Water")</f>
        <v>987.40513877704404</v>
      </c>
      <c r="S9">
        <f t="shared" si="2"/>
        <v>986.46710549655791</v>
      </c>
      <c r="T9" cm="1">
        <f t="array" ref="T9">[1]!PropsSI("H","T",J9+273.15,"P",101325,"Water")</f>
        <v>231742.96008568272</v>
      </c>
      <c r="U9" cm="1">
        <f t="array" ref="U9">[1]!PropsSI("H","T",K9+273.15,"P",101325,"Water")</f>
        <v>215184.70535703667</v>
      </c>
      <c r="V9">
        <f t="shared" si="1"/>
        <v>519.60884696869948</v>
      </c>
    </row>
    <row r="10" spans="1:22" x14ac:dyDescent="0.2">
      <c r="A10">
        <v>44604.609008522799</v>
      </c>
      <c r="B10">
        <v>17.918983999999998</v>
      </c>
      <c r="C10">
        <v>18.283411999999998</v>
      </c>
      <c r="D10">
        <v>19.250945999999999</v>
      </c>
      <c r="E10">
        <v>19.754102</v>
      </c>
      <c r="F10">
        <v>37.491487999999997</v>
      </c>
      <c r="G10">
        <v>34.851222999999997</v>
      </c>
      <c r="H10">
        <v>25.181782999999999</v>
      </c>
      <c r="I10">
        <v>23.552083</v>
      </c>
      <c r="J10">
        <v>55.339596999999998</v>
      </c>
      <c r="K10">
        <v>51.391205999999997</v>
      </c>
      <c r="L10">
        <v>67.574019000000007</v>
      </c>
      <c r="M10">
        <v>-622.50775499999997</v>
      </c>
      <c r="N10">
        <v>1.9078569999999999</v>
      </c>
      <c r="O10">
        <v>4.5207259999999998</v>
      </c>
      <c r="P10">
        <f t="shared" si="3"/>
        <v>3.1797616666666665E-5</v>
      </c>
      <c r="Q10" cm="1">
        <f t="array" ref="Q10">[1]!PropsSI("D","T",J10+273.15,"P",101325,"Water")</f>
        <v>985.52829852354284</v>
      </c>
      <c r="R10" cm="1">
        <f t="array" ref="R10">[1]!PropsSI("D","T",K10+273.15,"P",101325,"Water")</f>
        <v>987.39949325176758</v>
      </c>
      <c r="S10">
        <f t="shared" si="2"/>
        <v>986.46389588765521</v>
      </c>
      <c r="T10" cm="1">
        <f t="array" ref="T10">[1]!PropsSI("H","T",J10+273.15,"P",101325,"Water")</f>
        <v>231749.61536586515</v>
      </c>
      <c r="U10" cm="1">
        <f t="array" ref="U10">[1]!PropsSI("H","T",K10+273.15,"P",101325,"Water")</f>
        <v>215235.88161112333</v>
      </c>
      <c r="V10">
        <f t="shared" si="1"/>
        <v>517.98960292250399</v>
      </c>
    </row>
    <row r="11" spans="1:22" x14ac:dyDescent="0.2">
      <c r="A11">
        <v>44604.609124842202</v>
      </c>
      <c r="B11">
        <v>18.203420999999999</v>
      </c>
      <c r="C11">
        <v>18.600085</v>
      </c>
      <c r="D11">
        <v>19.358514</v>
      </c>
      <c r="E11">
        <v>19.814664</v>
      </c>
      <c r="F11">
        <v>37.848277000000003</v>
      </c>
      <c r="G11">
        <v>35.683363999999997</v>
      </c>
      <c r="H11">
        <v>24.548697000000001</v>
      </c>
      <c r="I11">
        <v>23.466683</v>
      </c>
      <c r="J11">
        <v>55.338800999999997</v>
      </c>
      <c r="K11">
        <v>51.395498000000003</v>
      </c>
      <c r="L11">
        <v>66.865482999999998</v>
      </c>
      <c r="M11">
        <v>-622.49714300000005</v>
      </c>
      <c r="N11">
        <v>1.9075580000000001</v>
      </c>
      <c r="O11">
        <v>3.3468529999999999</v>
      </c>
      <c r="P11">
        <f t="shared" si="3"/>
        <v>3.1792633333333338E-5</v>
      </c>
      <c r="Q11" cm="1">
        <f t="array" ref="Q11">[1]!PropsSI("D","T",J11+273.15,"P",101325,"Water")</f>
        <v>985.52868561492232</v>
      </c>
      <c r="R11" cm="1">
        <f t="array" ref="R11">[1]!PropsSI("D","T",K11+273.15,"P",101325,"Water")</f>
        <v>987.39751307550409</v>
      </c>
      <c r="S11">
        <f t="shared" si="2"/>
        <v>986.46309934521321</v>
      </c>
      <c r="T11" cm="1">
        <f t="array" ref="T11">[1]!PropsSI("H","T",J11+273.15,"P",101325,"Water")</f>
        <v>231746.28563408207</v>
      </c>
      <c r="U11" cm="1">
        <f t="array" ref="U11">[1]!PropsSI("H","T",K11+273.15,"P",101325,"Water")</f>
        <v>215253.82969209005</v>
      </c>
      <c r="V11">
        <f t="shared" si="1"/>
        <v>517.24068493091625</v>
      </c>
    </row>
    <row r="12" spans="1:22" x14ac:dyDescent="0.2">
      <c r="A12">
        <v>44604.609240582999</v>
      </c>
      <c r="B12">
        <v>18.121569999999998</v>
      </c>
      <c r="C12">
        <v>18.461020000000001</v>
      </c>
      <c r="D12">
        <v>19.316168000000001</v>
      </c>
      <c r="E12">
        <v>19.794218999999998</v>
      </c>
      <c r="F12">
        <v>37.729177999999997</v>
      </c>
      <c r="G12">
        <v>34.852269999999997</v>
      </c>
      <c r="H12">
        <v>25.087026000000002</v>
      </c>
      <c r="I12">
        <v>23.560054000000001</v>
      </c>
      <c r="J12">
        <v>55.338164999999996</v>
      </c>
      <c r="K12">
        <v>51.406624000000001</v>
      </c>
      <c r="L12">
        <v>70.306534999999997</v>
      </c>
      <c r="M12">
        <v>-622.48897999999997</v>
      </c>
      <c r="N12">
        <v>1.902633</v>
      </c>
      <c r="O12">
        <v>3.0999910000000002</v>
      </c>
      <c r="P12">
        <f t="shared" si="3"/>
        <v>3.1710550000000004E-5</v>
      </c>
      <c r="Q12" cm="1">
        <f t="array" ref="Q12">[1]!PropsSI("D","T",J12+273.15,"P",101325,"Water")</f>
        <v>985.52899489614026</v>
      </c>
      <c r="R12" cm="1">
        <f t="array" ref="R12">[1]!PropsSI("D","T",K12+273.15,"P",101325,"Water")</f>
        <v>987.39237938074496</v>
      </c>
      <c r="S12">
        <f t="shared" si="2"/>
        <v>986.46068713844261</v>
      </c>
      <c r="T12" cm="1">
        <f t="array" ref="T12">[1]!PropsSI("H","T",J12+273.15,"P",101325,"Water")</f>
        <v>231743.62519531624</v>
      </c>
      <c r="U12" cm="1">
        <f t="array" ref="U12">[1]!PropsSI("H","T",K12+273.15,"P",101325,"Water")</f>
        <v>215300.35589472749</v>
      </c>
      <c r="V12">
        <f t="shared" si="1"/>
        <v>514.36537557667532</v>
      </c>
    </row>
    <row r="13" spans="1:22" x14ac:dyDescent="0.2">
      <c r="A13">
        <v>44604.609356323701</v>
      </c>
      <c r="B13">
        <v>17.857125</v>
      </c>
      <c r="C13">
        <v>18.31915</v>
      </c>
      <c r="D13">
        <v>19.242764999999999</v>
      </c>
      <c r="E13">
        <v>19.720734</v>
      </c>
      <c r="F13">
        <v>38.063578</v>
      </c>
      <c r="G13">
        <v>35.718344999999999</v>
      </c>
      <c r="H13">
        <v>25.552714000000002</v>
      </c>
      <c r="I13">
        <v>23.910216999999999</v>
      </c>
      <c r="J13">
        <v>55.340232999999998</v>
      </c>
      <c r="K13">
        <v>51.395180000000003</v>
      </c>
      <c r="L13">
        <v>68.759674000000004</v>
      </c>
      <c r="M13">
        <v>-622.51877500000001</v>
      </c>
      <c r="N13">
        <v>1.914979</v>
      </c>
      <c r="O13">
        <v>3.3751920000000002</v>
      </c>
      <c r="P13">
        <f t="shared" si="3"/>
        <v>3.1916316666666668E-5</v>
      </c>
      <c r="Q13" cm="1">
        <f t="array" ref="Q13">[1]!PropsSI("D","T",J13+273.15,"P",101325,"Water")</f>
        <v>985.52798923667956</v>
      </c>
      <c r="R13" cm="1">
        <f t="array" ref="R13">[1]!PropsSI("D","T",K13+273.15,"P",101325,"Water")</f>
        <v>987.39765979347078</v>
      </c>
      <c r="S13">
        <f t="shared" si="2"/>
        <v>986.46282451507523</v>
      </c>
      <c r="T13" cm="1">
        <f t="array" ref="T13">[1]!PropsSI("H","T",J13+273.15,"P",101325,"Water")</f>
        <v>231752.27580492376</v>
      </c>
      <c r="U13" cm="1">
        <f t="array" ref="U13">[1]!PropsSI("H","T",K13+273.15,"P",101325,"Water")</f>
        <v>215252.49989466977</v>
      </c>
      <c r="V13">
        <f t="shared" si="1"/>
        <v>519.48323283763841</v>
      </c>
    </row>
    <row r="14" spans="1:22" x14ac:dyDescent="0.2">
      <c r="A14">
        <v>44604.609472643198</v>
      </c>
      <c r="B14">
        <v>18.085902999999998</v>
      </c>
      <c r="C14">
        <v>18.596083</v>
      </c>
      <c r="D14">
        <v>19.343942999999999</v>
      </c>
      <c r="E14">
        <v>19.839739000000002</v>
      </c>
      <c r="F14">
        <v>37.594237</v>
      </c>
      <c r="G14">
        <v>34.938482</v>
      </c>
      <c r="H14">
        <v>25.260531</v>
      </c>
      <c r="I14">
        <v>23.366211</v>
      </c>
      <c r="J14">
        <v>55.341028999999999</v>
      </c>
      <c r="K14">
        <v>51.396293</v>
      </c>
      <c r="L14">
        <v>64.258674999999997</v>
      </c>
      <c r="M14">
        <v>-622.51306099999999</v>
      </c>
      <c r="N14">
        <v>1.9088940000000001</v>
      </c>
      <c r="O14">
        <v>3.7694519999999998</v>
      </c>
      <c r="P14">
        <f t="shared" si="3"/>
        <v>3.1814900000000006E-5</v>
      </c>
      <c r="Q14" cm="1">
        <f t="array" ref="Q14">[1]!PropsSI("D","T",J14+273.15,"P",101325,"Water")</f>
        <v>985.52760213825775</v>
      </c>
      <c r="R14" cm="1">
        <f t="array" ref="R14">[1]!PropsSI("D","T",K14+273.15,"P",101325,"Water")</f>
        <v>987.39714627769797</v>
      </c>
      <c r="S14">
        <f t="shared" si="2"/>
        <v>986.46237420797786</v>
      </c>
      <c r="T14" cm="1">
        <f t="array" ref="T14">[1]!PropsSI("H","T",J14+273.15,"P",101325,"Water")</f>
        <v>231755.60553714258</v>
      </c>
      <c r="U14" cm="1">
        <f t="array" ref="U14">[1]!PropsSI("H","T",K14+273.15,"P",101325,"Water")</f>
        <v>215257.1541858252</v>
      </c>
      <c r="V14">
        <f t="shared" si="1"/>
        <v>517.79072641886899</v>
      </c>
    </row>
    <row r="15" spans="1:22" x14ac:dyDescent="0.2">
      <c r="A15">
        <v>46066.60958837963</v>
      </c>
      <c r="B15">
        <v>18.261299000000001</v>
      </c>
      <c r="C15">
        <v>18.806933000000001</v>
      </c>
      <c r="D15">
        <v>19.347311000000001</v>
      </c>
      <c r="E15">
        <v>19.890543999999998</v>
      </c>
      <c r="F15">
        <v>37.937582999999997</v>
      </c>
      <c r="G15">
        <v>35.614956999999997</v>
      </c>
      <c r="H15">
        <v>25.293776000000001</v>
      </c>
      <c r="I15">
        <v>23.566265000000001</v>
      </c>
      <c r="J15">
        <v>55.347394000000001</v>
      </c>
      <c r="K15">
        <v>51.406624000000001</v>
      </c>
      <c r="L15">
        <v>68.976805999999996</v>
      </c>
      <c r="M15">
        <v>-622.50653</v>
      </c>
      <c r="N15">
        <v>1.91391</v>
      </c>
      <c r="O15">
        <v>3.0743589999999998</v>
      </c>
      <c r="P15">
        <f t="shared" si="3"/>
        <v>3.18985E-5</v>
      </c>
      <c r="Q15" cm="1">
        <f t="array" ref="Q15">[1]!PropsSI("D","T",J15+273.15,"P",101325,"Water")</f>
        <v>985.52450666888728</v>
      </c>
      <c r="R15" cm="1">
        <f t="array" ref="R15">[1]!PropsSI("D","T",K15+273.15,"P",101325,"Water")</f>
        <v>987.39237938074496</v>
      </c>
      <c r="S15">
        <f t="shared" si="2"/>
        <v>986.45844302481612</v>
      </c>
      <c r="T15" cm="1">
        <f t="array" ref="T15">[1]!PropsSI("H","T",J15+273.15,"P",101325,"Water")</f>
        <v>231782.2308535543</v>
      </c>
      <c r="U15" cm="1">
        <f t="array" ref="U15">[1]!PropsSI("H","T",K15+273.15,"P",101325,"Water")</f>
        <v>215300.35589472749</v>
      </c>
      <c r="V15">
        <f t="shared" si="1"/>
        <v>518.62765422238158</v>
      </c>
    </row>
    <row r="16" spans="1:22" x14ac:dyDescent="0.2">
      <c r="A16">
        <v>46066.609704120368</v>
      </c>
      <c r="B16">
        <v>18.244413999999999</v>
      </c>
      <c r="C16">
        <v>18.858948000000002</v>
      </c>
      <c r="D16">
        <v>19.488627000000001</v>
      </c>
      <c r="E16">
        <v>19.955943000000001</v>
      </c>
      <c r="F16">
        <v>37.829638000000003</v>
      </c>
      <c r="G16">
        <v>35.551923000000002</v>
      </c>
      <c r="H16">
        <v>26.083055000000002</v>
      </c>
      <c r="I16">
        <v>23.758333</v>
      </c>
      <c r="J16">
        <v>55.345962</v>
      </c>
      <c r="K16">
        <v>51.428080999999999</v>
      </c>
      <c r="L16">
        <v>67.909513000000004</v>
      </c>
      <c r="M16">
        <v>-622.49795900000004</v>
      </c>
      <c r="N16">
        <v>1.9150039999999999</v>
      </c>
      <c r="O16">
        <v>3.598303</v>
      </c>
      <c r="P16">
        <f t="shared" si="3"/>
        <v>3.1916733333333332E-5</v>
      </c>
      <c r="Q16" cm="1">
        <f t="array" ref="Q16">[1]!PropsSI("D","T",J16+273.15,"P",101325,"Water")</f>
        <v>985.52520311056287</v>
      </c>
      <c r="R16" cm="1">
        <f t="array" ref="R16">[1]!PropsSI("D","T",K16+273.15,"P",101325,"Water")</f>
        <v>987.38247655921487</v>
      </c>
      <c r="S16">
        <f t="shared" si="2"/>
        <v>986.45383983488887</v>
      </c>
      <c r="T16" cm="1">
        <f t="array" ref="T16">[1]!PropsSI("H","T",J16+273.15,"P",101325,"Water")</f>
        <v>231776.24067896995</v>
      </c>
      <c r="U16" cm="1">
        <f t="array" ref="U16">[1]!PropsSI("H","T",K16+273.15,"P",101325,"Water")</f>
        <v>215390.08391181377</v>
      </c>
      <c r="V16">
        <f t="shared" si="1"/>
        <v>515.90805442635133</v>
      </c>
    </row>
    <row r="17" spans="1:22" x14ac:dyDescent="0.2">
      <c r="A17">
        <v>46066.609819861114</v>
      </c>
      <c r="B17">
        <v>18.463466</v>
      </c>
      <c r="C17">
        <v>19.096117</v>
      </c>
      <c r="D17">
        <v>19.547578999999999</v>
      </c>
      <c r="E17">
        <v>19.946382</v>
      </c>
      <c r="F17">
        <v>37.818942</v>
      </c>
      <c r="G17">
        <v>35.970018000000003</v>
      </c>
      <c r="H17">
        <v>24.688834</v>
      </c>
      <c r="I17">
        <v>23.596430999999999</v>
      </c>
      <c r="J17">
        <v>55.347076000000001</v>
      </c>
      <c r="K17">
        <v>51.429988999999999</v>
      </c>
      <c r="L17">
        <v>66.700185000000005</v>
      </c>
      <c r="M17">
        <v>-622.52040699999998</v>
      </c>
      <c r="N17">
        <v>1.91327</v>
      </c>
      <c r="O17">
        <v>4.3814359999999999</v>
      </c>
      <c r="P17">
        <f t="shared" si="3"/>
        <v>3.1887833333333337E-5</v>
      </c>
      <c r="Q17" cm="1">
        <f t="array" ref="Q17">[1]!PropsSI("D","T",J17+273.15,"P",101325,"Water")</f>
        <v>985.52466132672919</v>
      </c>
      <c r="R17" cm="1">
        <f t="array" ref="R17">[1]!PropsSI("D","T",K17+273.15,"P",101325,"Water")</f>
        <v>987.38159583635888</v>
      </c>
      <c r="S17">
        <f t="shared" si="2"/>
        <v>986.45312858154398</v>
      </c>
      <c r="T17" cm="1">
        <f t="array" ref="T17">[1]!PropsSI("H","T",J17+273.15,"P",101325,"Water")</f>
        <v>231780.90063316093</v>
      </c>
      <c r="U17" cm="1">
        <f t="array" ref="U17">[1]!PropsSI("H","T",K17+273.15,"P",101325,"Water")</f>
        <v>215398.06271612947</v>
      </c>
      <c r="V17">
        <f t="shared" si="1"/>
        <v>515.33614050953156</v>
      </c>
    </row>
    <row r="18" spans="1:22" x14ac:dyDescent="0.2">
      <c r="A18">
        <v>46066.609936180554</v>
      </c>
      <c r="B18">
        <v>18.565701000000001</v>
      </c>
      <c r="C18">
        <v>19.202321999999999</v>
      </c>
      <c r="D18">
        <v>19.546500000000002</v>
      </c>
      <c r="E18">
        <v>19.846070999999998</v>
      </c>
      <c r="F18">
        <v>37.724272999999997</v>
      </c>
      <c r="G18">
        <v>35.917315000000002</v>
      </c>
      <c r="H18">
        <v>24.563136</v>
      </c>
      <c r="I18">
        <v>23.661396</v>
      </c>
      <c r="J18">
        <v>55.341983999999997</v>
      </c>
      <c r="K18">
        <v>51.435870000000001</v>
      </c>
      <c r="L18">
        <v>67.077717000000007</v>
      </c>
      <c r="M18">
        <v>-622.49673499999994</v>
      </c>
      <c r="N18">
        <v>1.910636</v>
      </c>
      <c r="O18">
        <v>5.0628299999999999</v>
      </c>
      <c r="P18">
        <f t="shared" si="3"/>
        <v>3.1843933333333335E-5</v>
      </c>
      <c r="Q18" cm="1">
        <f t="array" ref="Q18">[1]!PropsSI("D","T",J18+273.15,"P",101325,"Water")</f>
        <v>985.52713771225513</v>
      </c>
      <c r="R18" cm="1">
        <f t="array" ref="R18">[1]!PropsSI("D","T",K18+273.15,"P",101325,"Water")</f>
        <v>987.37888104961314</v>
      </c>
      <c r="S18">
        <f t="shared" si="2"/>
        <v>986.45300938093419</v>
      </c>
      <c r="T18" cm="1">
        <f t="array" ref="T18">[1]!PropsSI("H","T",J18+273.15,"P",101325,"Water")</f>
        <v>231759.60037939294</v>
      </c>
      <c r="U18" cm="1">
        <f t="array" ref="U18">[1]!PropsSI("H","T",K18+273.15,"P",101325,"Water")</f>
        <v>215422.65567270952</v>
      </c>
      <c r="V18">
        <f t="shared" si="1"/>
        <v>513.18499225459163</v>
      </c>
    </row>
    <row r="19" spans="1:22" x14ac:dyDescent="0.2">
      <c r="A19">
        <v>46066.6100525</v>
      </c>
      <c r="B19">
        <v>18.274895000000001</v>
      </c>
      <c r="C19">
        <v>18.675298000000002</v>
      </c>
      <c r="D19">
        <v>19.430654000000001</v>
      </c>
      <c r="E19">
        <v>19.836607999999998</v>
      </c>
      <c r="F19">
        <v>37.606718000000001</v>
      </c>
      <c r="G19">
        <v>35.722980999999997</v>
      </c>
      <c r="H19">
        <v>25.513121999999999</v>
      </c>
      <c r="I19">
        <v>23.159811999999999</v>
      </c>
      <c r="J19">
        <v>55.346916999999998</v>
      </c>
      <c r="K19">
        <v>51.434120999999998</v>
      </c>
      <c r="L19">
        <v>67.483002999999997</v>
      </c>
      <c r="M19">
        <v>-622.49877600000002</v>
      </c>
      <c r="N19">
        <v>1.9092009999999999</v>
      </c>
      <c r="O19">
        <v>3.1789190000000001</v>
      </c>
      <c r="P19">
        <f t="shared" si="3"/>
        <v>3.1820016666666667E-5</v>
      </c>
      <c r="Q19" cm="1">
        <f t="array" ref="Q19">[1]!PropsSI("D","T",J19+273.15,"P",101325,"Water")</f>
        <v>985.52473865541106</v>
      </c>
      <c r="R19" cm="1">
        <f t="array" ref="R19">[1]!PropsSI("D","T",K19+273.15,"P",101325,"Water")</f>
        <v>987.37968844617615</v>
      </c>
      <c r="S19">
        <f t="shared" si="2"/>
        <v>986.45221355079366</v>
      </c>
      <c r="T19" cm="1">
        <f t="array" ref="T19">[1]!PropsSI("H","T",J19+273.15,"P",101325,"Water")</f>
        <v>231780.23552294975</v>
      </c>
      <c r="U19" cm="1">
        <f t="array" ref="U19">[1]!PropsSI("H","T",K19+273.15,"P",101325,"Water")</f>
        <v>215415.34176562447</v>
      </c>
      <c r="V19">
        <f t="shared" si="1"/>
        <v>513.67643711822257</v>
      </c>
    </row>
    <row r="22" spans="1:22" x14ac:dyDescent="0.2">
      <c r="G22" s="1" t="s">
        <v>22</v>
      </c>
    </row>
    <row r="23" spans="1:22" x14ac:dyDescent="0.2">
      <c r="G23">
        <f>AVERAGE(V2:V19)</f>
        <v>518.17453970956137</v>
      </c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B097-CD6B-114F-BCFA-64A2C5E4A31B}">
  <dimension ref="A1:V39"/>
  <sheetViews>
    <sheetView topLeftCell="A2" workbookViewId="0">
      <selection activeCell="G39" sqref="G3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44604.611024147802</v>
      </c>
      <c r="B2">
        <v>18.133835000000001</v>
      </c>
      <c r="C2">
        <v>18.631267999999999</v>
      </c>
      <c r="D2">
        <v>19.553906999999999</v>
      </c>
      <c r="E2">
        <v>19.993362999999999</v>
      </c>
      <c r="F2">
        <v>35.058540999999998</v>
      </c>
      <c r="G2">
        <v>34.530073000000002</v>
      </c>
      <c r="H2">
        <v>25.019545999999998</v>
      </c>
      <c r="I2">
        <v>22.543489000000001</v>
      </c>
      <c r="J2">
        <v>55.353918</v>
      </c>
      <c r="K2">
        <v>50.687168</v>
      </c>
      <c r="L2">
        <v>120.906451</v>
      </c>
      <c r="M2">
        <v>-622.50204099999996</v>
      </c>
      <c r="N2">
        <v>1.9078900000000001</v>
      </c>
      <c r="O2">
        <v>3.7321930000000001</v>
      </c>
      <c r="P2">
        <f xml:space="preserve"> N2*0.001/60</f>
        <v>3.179816666666667E-5</v>
      </c>
      <c r="Q2" cm="1">
        <f t="array" ref="Q2">[1]!PropsSI("D","T",J2+273.15,"P",101325,"Water")</f>
        <v>985.52133361351889</v>
      </c>
      <c r="R2" cm="1">
        <f t="array" ref="R2">[1]!PropsSI("D","T",K2+273.15,"P",101325,"Water")</f>
        <v>987.72269730271682</v>
      </c>
      <c r="S2">
        <f>(Q2+R2)/2</f>
        <v>986.62201545811786</v>
      </c>
      <c r="T2" cm="1">
        <f t="array" ref="T2">[1]!PropsSI("H","T",J2+273.15,"P",101325,"Water")</f>
        <v>231809.52129551015</v>
      </c>
      <c r="U2" cm="1">
        <f t="array" ref="U2">[1]!PropsSI("H","T",K2+273.15,"P",101325,"Water")</f>
        <v>212291.84430531433</v>
      </c>
      <c r="V2">
        <f>S2*P2*(T2-U2)</f>
        <v>612.3236162189387</v>
      </c>
    </row>
    <row r="3" spans="1:22" x14ac:dyDescent="0.2">
      <c r="A3">
        <v>44604.611139888497</v>
      </c>
      <c r="B3">
        <v>18.577687000000001</v>
      </c>
      <c r="C3">
        <v>19.048729999999999</v>
      </c>
      <c r="D3">
        <v>19.622199999999999</v>
      </c>
      <c r="E3">
        <v>20.095486000000001</v>
      </c>
      <c r="F3">
        <v>35.271433000000002</v>
      </c>
      <c r="G3">
        <v>34.257474999999999</v>
      </c>
      <c r="H3">
        <v>25.132415000000002</v>
      </c>
      <c r="I3">
        <v>22.481776</v>
      </c>
      <c r="J3">
        <v>55.348030000000001</v>
      </c>
      <c r="K3">
        <v>50.701152</v>
      </c>
      <c r="L3">
        <v>126.44821399999999</v>
      </c>
      <c r="M3">
        <v>-622.48857199999998</v>
      </c>
      <c r="N3">
        <v>1.914447</v>
      </c>
      <c r="O3">
        <v>3.3384909999999999</v>
      </c>
      <c r="P3">
        <f t="shared" ref="P3" si="0" xml:space="preserve"> N3*0.001/60</f>
        <v>3.1907450000000002E-5</v>
      </c>
      <c r="Q3" cm="1">
        <f t="array" ref="Q3">[1]!PropsSI("D","T",J3+273.15,"P",101325,"Water")</f>
        <v>985.52419735135197</v>
      </c>
      <c r="R3" cm="1">
        <f t="array" ref="R3">[1]!PropsSI("D","T",K3+273.15,"P",101325,"Water")</f>
        <v>987.71630895570388</v>
      </c>
      <c r="S3">
        <f>(Q3+R3)/2</f>
        <v>986.62025315352798</v>
      </c>
      <c r="T3" cm="1">
        <f t="array" ref="T3">[1]!PropsSI("H","T",J3+273.15,"P",101325,"Water")</f>
        <v>231784.89129448534</v>
      </c>
      <c r="U3" cm="1">
        <f t="array" ref="U3">[1]!PropsSI("H","T",K3+273.15,"P",101325,"Water")</f>
        <v>212350.31899755655</v>
      </c>
      <c r="V3">
        <f t="shared" ref="V3:V27" si="1">S3*P3*(T3-U3)</f>
        <v>611.81076054355742</v>
      </c>
    </row>
    <row r="4" spans="1:22" x14ac:dyDescent="0.2">
      <c r="A4">
        <v>44604.611255629301</v>
      </c>
      <c r="B4">
        <v>18.253409999999999</v>
      </c>
      <c r="C4">
        <v>18.910719</v>
      </c>
      <c r="D4">
        <v>19.584705</v>
      </c>
      <c r="E4">
        <v>19.904371000000001</v>
      </c>
      <c r="F4">
        <v>35.109782000000003</v>
      </c>
      <c r="G4">
        <v>34.817861999999998</v>
      </c>
      <c r="H4">
        <v>24.829909000000001</v>
      </c>
      <c r="I4">
        <v>23.488385999999998</v>
      </c>
      <c r="J4">
        <v>55.339596999999998</v>
      </c>
      <c r="K4">
        <v>50.702264999999997</v>
      </c>
      <c r="L4">
        <v>115.899355</v>
      </c>
      <c r="M4">
        <v>-622.49836700000003</v>
      </c>
      <c r="N4">
        <v>1.9093690000000001</v>
      </c>
      <c r="O4">
        <v>3.8306909999999998</v>
      </c>
      <c r="P4">
        <f xml:space="preserve"> N4*0.001/60</f>
        <v>3.1822816666666666E-5</v>
      </c>
      <c r="Q4" cm="1">
        <f t="array" ref="Q4">[1]!PropsSI("D","T",J4+273.15,"P",101325,"Water")</f>
        <v>985.52829852354284</v>
      </c>
      <c r="R4" cm="1">
        <f t="array" ref="R4">[1]!PropsSI("D","T",K4+273.15,"P",101325,"Water")</f>
        <v>987.71580044636084</v>
      </c>
      <c r="S4">
        <f t="shared" ref="S4:S27" si="2">(Q4+R4)/2</f>
        <v>986.62204948495184</v>
      </c>
      <c r="T4" cm="1">
        <f t="array" ref="T4">[1]!PropsSI("H","T",J4+273.15,"P",101325,"Water")</f>
        <v>231749.61536586515</v>
      </c>
      <c r="U4" cm="1">
        <f t="array" ref="U4">[1]!PropsSI("H","T",K4+273.15,"P",101325,"Water")</f>
        <v>212354.97305698227</v>
      </c>
      <c r="V4">
        <f t="shared" si="1"/>
        <v>608.9353805168538</v>
      </c>
    </row>
    <row r="5" spans="1:22" x14ac:dyDescent="0.2">
      <c r="A5">
        <v>44604.611371948697</v>
      </c>
      <c r="B5">
        <v>18.784441000000001</v>
      </c>
      <c r="C5">
        <v>19.252593000000001</v>
      </c>
      <c r="D5">
        <v>19.57911</v>
      </c>
      <c r="E5">
        <v>19.941967999999999</v>
      </c>
      <c r="F5">
        <v>35.213670999999998</v>
      </c>
      <c r="G5">
        <v>34.093933</v>
      </c>
      <c r="H5">
        <v>24.991201</v>
      </c>
      <c r="I5">
        <v>22.850480999999998</v>
      </c>
      <c r="J5">
        <v>55.335459999999998</v>
      </c>
      <c r="K5">
        <v>50.703218</v>
      </c>
      <c r="L5">
        <v>116.20587</v>
      </c>
      <c r="M5">
        <v>-622.48163399999999</v>
      </c>
      <c r="N5">
        <v>1.9147050000000001</v>
      </c>
      <c r="O5">
        <v>4.0686070000000001</v>
      </c>
      <c r="P5">
        <f t="shared" ref="P5:P27" si="3" xml:space="preserve"> N5*0.001/60</f>
        <v>3.1911749999999998E-5</v>
      </c>
      <c r="Q5" cm="1">
        <f t="array" ref="Q5">[1]!PropsSI("D","T",J5+273.15,"P",101325,"Water")</f>
        <v>985.53031028603129</v>
      </c>
      <c r="R5" cm="1">
        <f t="array" ref="R5">[1]!PropsSI("D","T",K5+273.15,"P",101325,"Water")</f>
        <v>987.71536503169193</v>
      </c>
      <c r="S5">
        <f t="shared" si="2"/>
        <v>986.62283765886161</v>
      </c>
      <c r="T5" cm="1">
        <f t="array" ref="T5">[1]!PropsSI("H","T",J5+273.15,"P",101325,"Water")</f>
        <v>231732.30996604025</v>
      </c>
      <c r="U5" cm="1">
        <f t="array" ref="U5">[1]!PropsSI("H","T",K5+273.15,"P",101325,"Water")</f>
        <v>212358.9580695153</v>
      </c>
      <c r="V5">
        <f t="shared" si="1"/>
        <v>609.96729814653065</v>
      </c>
    </row>
    <row r="6" spans="1:22" x14ac:dyDescent="0.2">
      <c r="A6">
        <v>46066.611487685186</v>
      </c>
      <c r="B6">
        <v>18.702451</v>
      </c>
      <c r="C6">
        <v>19.294333000000002</v>
      </c>
      <c r="D6">
        <v>19.588507</v>
      </c>
      <c r="E6">
        <v>20.116432</v>
      </c>
      <c r="F6">
        <v>35.748887000000003</v>
      </c>
      <c r="G6">
        <v>34.293847</v>
      </c>
      <c r="H6">
        <v>24.923642999999998</v>
      </c>
      <c r="I6">
        <v>22.512250000000002</v>
      </c>
      <c r="J6">
        <v>55.336573999999999</v>
      </c>
      <c r="K6">
        <v>50.720697999999999</v>
      </c>
      <c r="L6">
        <v>122.698198</v>
      </c>
      <c r="M6">
        <v>-622.46857299999999</v>
      </c>
      <c r="N6">
        <v>1.9068160000000001</v>
      </c>
      <c r="O6">
        <v>3.1786780000000001</v>
      </c>
      <c r="P6">
        <f t="shared" si="3"/>
        <v>3.1780266666666671E-5</v>
      </c>
      <c r="Q6" cm="1">
        <f t="array" ref="Q6">[1]!PropsSI("D","T",J6+273.15,"P",101325,"Water")</f>
        <v>985.52976857457929</v>
      </c>
      <c r="R6" cm="1">
        <f t="array" ref="R6">[1]!PropsSI("D","T",K6+273.15,"P",101325,"Water")</f>
        <v>987.70737757366783</v>
      </c>
      <c r="S6">
        <f t="shared" si="2"/>
        <v>986.61857307412356</v>
      </c>
      <c r="T6" cm="1">
        <f t="array" ref="T6">[1]!PropsSI("H","T",J6+273.15,"P",101325,"Water")</f>
        <v>231736.96991599078</v>
      </c>
      <c r="U6" cm="1">
        <f t="array" ref="U6">[1]!PropsSI("H","T",K6+273.15,"P",101325,"Water")</f>
        <v>212432.05152637977</v>
      </c>
      <c r="V6">
        <f t="shared" si="1"/>
        <v>605.30574217912465</v>
      </c>
    </row>
    <row r="7" spans="1:22" x14ac:dyDescent="0.2">
      <c r="A7">
        <v>46066.611604004633</v>
      </c>
      <c r="B7">
        <v>18.395482999999999</v>
      </c>
      <c r="C7">
        <v>19.032278999999999</v>
      </c>
      <c r="D7">
        <v>19.5106</v>
      </c>
      <c r="E7">
        <v>20.014500000000002</v>
      </c>
      <c r="F7">
        <v>35.674706</v>
      </c>
      <c r="G7">
        <v>33.870111999999999</v>
      </c>
      <c r="H7">
        <v>25.086012</v>
      </c>
      <c r="I7">
        <v>22.744617000000002</v>
      </c>
      <c r="J7">
        <v>55.330686</v>
      </c>
      <c r="K7">
        <v>50.721333999999999</v>
      </c>
      <c r="L7">
        <v>125.667029</v>
      </c>
      <c r="M7">
        <v>-622.49102100000005</v>
      </c>
      <c r="N7">
        <v>1.9099759999999999</v>
      </c>
      <c r="O7">
        <v>3.6905749999999999</v>
      </c>
      <c r="P7">
        <f t="shared" si="3"/>
        <v>3.1832933333333331E-5</v>
      </c>
      <c r="Q7" cm="1">
        <f t="array" ref="Q7">[1]!PropsSI("D","T",J7+273.15,"P",101325,"Water")</f>
        <v>985.53263168070032</v>
      </c>
      <c r="R7" cm="1">
        <f t="array" ref="R7">[1]!PropsSI("D","T",K7+273.15,"P",101325,"Water")</f>
        <v>987.70708691699951</v>
      </c>
      <c r="S7">
        <f t="shared" si="2"/>
        <v>986.61985929884986</v>
      </c>
      <c r="T7" cm="1">
        <f t="array" ref="T7">[1]!PropsSI("H","T",J7+273.15,"P",101325,"Water")</f>
        <v>231712.33995247001</v>
      </c>
      <c r="U7" cm="1">
        <f t="array" ref="U7">[1]!PropsSI("H","T",K7+273.15,"P",101325,"Water")</f>
        <v>212434.71099252533</v>
      </c>
      <c r="V7">
        <f t="shared" si="1"/>
        <v>605.45257383445869</v>
      </c>
    </row>
    <row r="8" spans="1:22" x14ac:dyDescent="0.2">
      <c r="A8">
        <v>46066.611720324072</v>
      </c>
      <c r="B8">
        <v>18.793904000000001</v>
      </c>
      <c r="C8">
        <v>19.268362</v>
      </c>
      <c r="D8">
        <v>19.484268</v>
      </c>
      <c r="E8">
        <v>20.008284</v>
      </c>
      <c r="F8">
        <v>35.128463000000004</v>
      </c>
      <c r="G8">
        <v>34.340924000000001</v>
      </c>
      <c r="H8">
        <v>25.002569000000001</v>
      </c>
      <c r="I8">
        <v>22.662824000000001</v>
      </c>
      <c r="J8">
        <v>55.328617000000001</v>
      </c>
      <c r="K8">
        <v>50.715612999999998</v>
      </c>
      <c r="L8">
        <v>117.587433</v>
      </c>
      <c r="M8">
        <v>-622.49428599999999</v>
      </c>
      <c r="N8">
        <v>1.914229</v>
      </c>
      <c r="O8">
        <v>3.940296</v>
      </c>
      <c r="P8">
        <f t="shared" si="3"/>
        <v>3.1903816666666668E-5</v>
      </c>
      <c r="Q8" cm="1">
        <f t="array" ref="Q8">[1]!PropsSI("D","T",J8+273.15,"P",101325,"Water")</f>
        <v>985.53363770425642</v>
      </c>
      <c r="R8" cm="1">
        <f t="array" ref="R8">[1]!PropsSI("D","T",K8+273.15,"P",101325,"Water")</f>
        <v>987.70970136129972</v>
      </c>
      <c r="S8">
        <f t="shared" si="2"/>
        <v>986.62166953277801</v>
      </c>
      <c r="T8" cm="1">
        <f t="array" ref="T8">[1]!PropsSI("H","T",J8+273.15,"P",101325,"Water")</f>
        <v>231703.6851669928</v>
      </c>
      <c r="U8" cm="1">
        <f t="array" ref="U8">[1]!PropsSI("H","T",K8+273.15,"P",101325,"Water")</f>
        <v>212410.78834612473</v>
      </c>
      <c r="V8">
        <f t="shared" si="1"/>
        <v>607.28245273053165</v>
      </c>
    </row>
    <row r="9" spans="1:22" x14ac:dyDescent="0.2">
      <c r="A9">
        <v>46066.611836064818</v>
      </c>
      <c r="B9">
        <v>18.600760000000001</v>
      </c>
      <c r="C9">
        <v>19.199331999999998</v>
      </c>
      <c r="D9">
        <v>19.513572</v>
      </c>
      <c r="E9">
        <v>19.966342999999998</v>
      </c>
      <c r="F9">
        <v>35.447834999999998</v>
      </c>
      <c r="G9">
        <v>34.475451</v>
      </c>
      <c r="H9">
        <v>24.63719</v>
      </c>
      <c r="I9">
        <v>22.523377</v>
      </c>
      <c r="J9">
        <v>55.321615999999999</v>
      </c>
      <c r="K9">
        <v>50.690823000000002</v>
      </c>
      <c r="L9">
        <v>125.00747</v>
      </c>
      <c r="M9">
        <v>-622.46734900000001</v>
      </c>
      <c r="N9">
        <v>1.9095660000000001</v>
      </c>
      <c r="O9">
        <v>3.1410239999999998</v>
      </c>
      <c r="P9">
        <f t="shared" si="3"/>
        <v>3.1826100000000003E-5</v>
      </c>
      <c r="Q9" cm="1">
        <f t="array" ref="Q9">[1]!PropsSI("D","T",J9+273.15,"P",101325,"Water")</f>
        <v>985.53704165037414</v>
      </c>
      <c r="R9" cm="1">
        <f t="array" ref="R9">[1]!PropsSI("D","T",K9+273.15,"P",101325,"Water")</f>
        <v>987.72102770239042</v>
      </c>
      <c r="S9">
        <f t="shared" si="2"/>
        <v>986.62903467638228</v>
      </c>
      <c r="T9" cm="1">
        <f t="array" ref="T9">[1]!PropsSI("H","T",J9+273.15,"P",101325,"Water")</f>
        <v>231674.39945950216</v>
      </c>
      <c r="U9" cm="1">
        <f t="array" ref="U9">[1]!PropsSI("H","T",K9+273.15,"P",101325,"Water")</f>
        <v>212307.12783812595</v>
      </c>
      <c r="V9">
        <f t="shared" si="1"/>
        <v>608.14306458717351</v>
      </c>
    </row>
    <row r="10" spans="1:22" x14ac:dyDescent="0.2">
      <c r="A10">
        <v>44604.611951809798</v>
      </c>
      <c r="B10">
        <v>18.454073000000001</v>
      </c>
      <c r="C10">
        <v>19.028082000000001</v>
      </c>
      <c r="D10">
        <v>19.510186999999998</v>
      </c>
      <c r="E10">
        <v>20.021457000000002</v>
      </c>
      <c r="F10">
        <v>34.902146999999999</v>
      </c>
      <c r="G10">
        <v>34.304893999999997</v>
      </c>
      <c r="H10">
        <v>24.209645999999999</v>
      </c>
      <c r="I10">
        <v>22.298392</v>
      </c>
      <c r="J10">
        <v>55.321775000000002</v>
      </c>
      <c r="K10">
        <v>50.694795999999997</v>
      </c>
      <c r="L10">
        <v>116.893591</v>
      </c>
      <c r="M10">
        <v>-622.487348</v>
      </c>
      <c r="N10">
        <v>1.9108320000000001</v>
      </c>
      <c r="O10">
        <v>3.809647</v>
      </c>
      <c r="P10">
        <f t="shared" si="3"/>
        <v>3.1847200000000002E-5</v>
      </c>
      <c r="Q10" cm="1">
        <f t="array" ref="Q10">[1]!PropsSI("D","T",J10+273.15,"P",101325,"Water")</f>
        <v>985.53696434658991</v>
      </c>
      <c r="R10" cm="1">
        <f t="array" ref="R10">[1]!PropsSI("D","T",K10+273.15,"P",101325,"Water")</f>
        <v>987.71921274141255</v>
      </c>
      <c r="S10">
        <f t="shared" si="2"/>
        <v>986.62808854400123</v>
      </c>
      <c r="T10" cm="1">
        <f t="array" ref="T10">[1]!PropsSI("H","T",J10+273.15,"P",101325,"Water")</f>
        <v>231675.06456822599</v>
      </c>
      <c r="U10" cm="1">
        <f t="array" ref="U10">[1]!PropsSI("H","T",K10+273.15,"P",101325,"Water")</f>
        <v>212323.74110543318</v>
      </c>
      <c r="V10">
        <f t="shared" si="1"/>
        <v>608.04455386672817</v>
      </c>
    </row>
    <row r="11" spans="1:22" x14ac:dyDescent="0.2">
      <c r="A11">
        <v>44604.612067550603</v>
      </c>
      <c r="B11">
        <v>18.218582999999999</v>
      </c>
      <c r="C11">
        <v>18.638703</v>
      </c>
      <c r="D11">
        <v>19.453510999999999</v>
      </c>
      <c r="E11">
        <v>19.992761999999999</v>
      </c>
      <c r="F11">
        <v>35.178027</v>
      </c>
      <c r="G11">
        <v>34.886743000000003</v>
      </c>
      <c r="H11">
        <v>24.939177999999998</v>
      </c>
      <c r="I11">
        <v>22.227312000000001</v>
      </c>
      <c r="J11">
        <v>55.318432999999999</v>
      </c>
      <c r="K11">
        <v>50.684308000000001</v>
      </c>
      <c r="L11">
        <v>123.352859</v>
      </c>
      <c r="M11">
        <v>-622.50449000000003</v>
      </c>
      <c r="N11">
        <v>1.9112709999999999</v>
      </c>
      <c r="O11">
        <v>4.0325680000000004</v>
      </c>
      <c r="P11">
        <f t="shared" si="3"/>
        <v>3.1854516666666668E-5</v>
      </c>
      <c r="Q11" cm="1">
        <f t="array" ref="Q11">[1]!PropsSI("D","T",J11+273.15,"P",101325,"Water")</f>
        <v>985.53858915194962</v>
      </c>
      <c r="R11" cm="1">
        <f t="array" ref="R11">[1]!PropsSI("D","T",K11+273.15,"P",101325,"Water")</f>
        <v>987.72400368716342</v>
      </c>
      <c r="S11">
        <f t="shared" si="2"/>
        <v>986.63129641955652</v>
      </c>
      <c r="T11" cm="1">
        <f t="array" ref="T11">[1]!PropsSI("H","T",J11+273.15,"P",101325,"Water")</f>
        <v>231661.08473798918</v>
      </c>
      <c r="U11" cm="1">
        <f t="array" ref="U11">[1]!PropsSI("H","T",K11+273.15,"P",101325,"Water")</f>
        <v>212279.88510047618</v>
      </c>
      <c r="V11">
        <f t="shared" si="1"/>
        <v>609.12519340933886</v>
      </c>
    </row>
    <row r="12" spans="1:22" x14ac:dyDescent="0.2">
      <c r="A12">
        <v>44604.612183869998</v>
      </c>
      <c r="B12">
        <v>18.255271</v>
      </c>
      <c r="C12">
        <v>18.969688000000001</v>
      </c>
      <c r="D12">
        <v>19.443777000000001</v>
      </c>
      <c r="E12">
        <v>19.877708999999999</v>
      </c>
      <c r="F12">
        <v>34.799390000000002</v>
      </c>
      <c r="G12">
        <v>34.887735999999997</v>
      </c>
      <c r="H12">
        <v>25.092824</v>
      </c>
      <c r="I12">
        <v>22.316569999999999</v>
      </c>
      <c r="J12">
        <v>55.321615999999999</v>
      </c>
      <c r="K12">
        <v>50.668416999999998</v>
      </c>
      <c r="L12">
        <v>116.047102</v>
      </c>
      <c r="M12">
        <v>-622.51510099999996</v>
      </c>
      <c r="N12">
        <v>1.9076150000000001</v>
      </c>
      <c r="O12">
        <v>3.4097439999999999</v>
      </c>
      <c r="P12">
        <f t="shared" si="3"/>
        <v>3.1793583333333337E-5</v>
      </c>
      <c r="Q12" cm="1">
        <f t="array" ref="Q12">[1]!PropsSI("D","T",J12+273.15,"P",101325,"Water")</f>
        <v>985.53704165037414</v>
      </c>
      <c r="R12" cm="1">
        <f t="array" ref="R12">[1]!PropsSI("D","T",K12+273.15,"P",101325,"Water")</f>
        <v>987.73126137332497</v>
      </c>
      <c r="S12">
        <f t="shared" si="2"/>
        <v>986.6341515118495</v>
      </c>
      <c r="T12" cm="1">
        <f t="array" ref="T12">[1]!PropsSI("H","T",J12+273.15,"P",101325,"Water")</f>
        <v>231674.39945950216</v>
      </c>
      <c r="U12" cm="1">
        <f t="array" ref="U12">[1]!PropsSI("H","T",K12+273.15,"P",101325,"Water")</f>
        <v>212213.43628965228</v>
      </c>
      <c r="V12">
        <f t="shared" si="1"/>
        <v>610.46385267324126</v>
      </c>
    </row>
    <row r="13" spans="1:22" x14ac:dyDescent="0.2">
      <c r="A13">
        <v>44604.612300189503</v>
      </c>
      <c r="B13">
        <v>18.784782</v>
      </c>
      <c r="C13">
        <v>19.177164999999999</v>
      </c>
      <c r="D13">
        <v>19.553142000000001</v>
      </c>
      <c r="E13">
        <v>20.019282</v>
      </c>
      <c r="F13">
        <v>35.620167000000002</v>
      </c>
      <c r="G13">
        <v>34.333854000000002</v>
      </c>
      <c r="H13">
        <v>24.334928000000001</v>
      </c>
      <c r="I13">
        <v>22.373666</v>
      </c>
      <c r="J13">
        <v>55.318593</v>
      </c>
      <c r="K13">
        <v>50.667464000000002</v>
      </c>
      <c r="L13">
        <v>118.063328</v>
      </c>
      <c r="M13">
        <v>-622.49061300000005</v>
      </c>
      <c r="N13">
        <v>1.9106639999999999</v>
      </c>
      <c r="O13">
        <v>3.2211090000000002</v>
      </c>
      <c r="P13">
        <f t="shared" si="3"/>
        <v>3.1844399999999996E-5</v>
      </c>
      <c r="Q13" cm="1">
        <f t="array" ref="Q13">[1]!PropsSI("D","T",J13+273.15,"P",101325,"Water")</f>
        <v>985.53851136512594</v>
      </c>
      <c r="R13" cm="1">
        <f t="array" ref="R13">[1]!PropsSI("D","T",K13+273.15,"P",101325,"Water")</f>
        <v>987.73169657215226</v>
      </c>
      <c r="S13">
        <f t="shared" si="2"/>
        <v>986.6351039686391</v>
      </c>
      <c r="T13" cm="1">
        <f t="array" ref="T13">[1]!PropsSI("H","T",J13+273.15,"P",101325,"Water")</f>
        <v>231661.75402956849</v>
      </c>
      <c r="U13" cm="1">
        <f t="array" ref="U13">[1]!PropsSI("H","T",K13+273.15,"P",101325,"Water")</f>
        <v>212209.45128684715</v>
      </c>
      <c r="V13">
        <f t="shared" si="1"/>
        <v>611.16806591843033</v>
      </c>
    </row>
    <row r="14" spans="1:22" x14ac:dyDescent="0.2">
      <c r="A14">
        <v>44604.612416508899</v>
      </c>
      <c r="B14">
        <v>18.466757999999999</v>
      </c>
      <c r="C14">
        <v>19.149901</v>
      </c>
      <c r="D14">
        <v>19.473437000000001</v>
      </c>
      <c r="E14">
        <v>19.911021000000002</v>
      </c>
      <c r="F14">
        <v>35.357277000000003</v>
      </c>
      <c r="G14">
        <v>33.802565999999999</v>
      </c>
      <c r="H14">
        <v>25.008925999999999</v>
      </c>
      <c r="I14">
        <v>22.188611999999999</v>
      </c>
      <c r="J14">
        <v>55.32273</v>
      </c>
      <c r="K14">
        <v>50.688599000000004</v>
      </c>
      <c r="L14">
        <v>125.827837</v>
      </c>
      <c r="M14">
        <v>-622.47061399999996</v>
      </c>
      <c r="N14">
        <v>1.908914</v>
      </c>
      <c r="O14">
        <v>3.1444169999999998</v>
      </c>
      <c r="P14">
        <f t="shared" si="3"/>
        <v>3.1815233333333333E-5</v>
      </c>
      <c r="Q14" cm="1">
        <f t="array" ref="Q14">[1]!PropsSI("D","T",J14+273.15,"P",101325,"Water")</f>
        <v>985.53650003432551</v>
      </c>
      <c r="R14" cm="1">
        <f t="array" ref="R14">[1]!PropsSI("D","T",K14+273.15,"P",101325,"Water")</f>
        <v>987.72204363370338</v>
      </c>
      <c r="S14">
        <f t="shared" si="2"/>
        <v>986.62927183401439</v>
      </c>
      <c r="T14" cm="1">
        <f t="array" ref="T14">[1]!PropsSI("H","T",J14+273.15,"P",101325,"Water")</f>
        <v>231679.05940379194</v>
      </c>
      <c r="U14" cm="1">
        <f t="array" ref="U14">[1]!PropsSI("H","T",K14+273.15,"P",101325,"Water")</f>
        <v>212297.8280901543</v>
      </c>
      <c r="V14">
        <f t="shared" si="1"/>
        <v>608.37375956853009</v>
      </c>
    </row>
    <row r="15" spans="1:22" x14ac:dyDescent="0.2">
      <c r="A15">
        <v>46066.612532824074</v>
      </c>
      <c r="B15">
        <v>18.32037</v>
      </c>
      <c r="C15">
        <v>18.883987000000001</v>
      </c>
      <c r="D15">
        <v>19.461282000000001</v>
      </c>
      <c r="E15">
        <v>19.872001000000001</v>
      </c>
      <c r="F15">
        <v>35.135348999999998</v>
      </c>
      <c r="G15">
        <v>34.145381999999998</v>
      </c>
      <c r="H15">
        <v>25.160242</v>
      </c>
      <c r="I15">
        <v>22.148703000000001</v>
      </c>
      <c r="J15">
        <v>55.318593</v>
      </c>
      <c r="K15">
        <v>50.684308000000001</v>
      </c>
      <c r="L15">
        <v>125.656009</v>
      </c>
      <c r="M15">
        <v>-622.48612300000002</v>
      </c>
      <c r="N15">
        <v>1.910148</v>
      </c>
      <c r="O15">
        <v>4.068378</v>
      </c>
      <c r="P15">
        <f t="shared" si="3"/>
        <v>3.1835799999999998E-5</v>
      </c>
      <c r="Q15" cm="1">
        <f t="array" ref="Q15">[1]!PropsSI("D","T",J15+273.15,"P",101325,"Water")</f>
        <v>985.53851136512594</v>
      </c>
      <c r="R15" cm="1">
        <f t="array" ref="R15">[1]!PropsSI("D","T",K15+273.15,"P",101325,"Water")</f>
        <v>987.72400368716342</v>
      </c>
      <c r="S15">
        <f t="shared" si="2"/>
        <v>986.63125752614474</v>
      </c>
      <c r="T15" cm="1">
        <f t="array" ref="T15">[1]!PropsSI("H","T",J15+273.15,"P",101325,"Water")</f>
        <v>231661.75402956849</v>
      </c>
      <c r="U15" cm="1">
        <f t="array" ref="U15">[1]!PropsSI("H","T",K15+273.15,"P",101325,"Water")</f>
        <v>212279.88510047618</v>
      </c>
      <c r="V15">
        <f t="shared" si="1"/>
        <v>608.78829005419561</v>
      </c>
    </row>
    <row r="16" spans="1:22" x14ac:dyDescent="0.2">
      <c r="A16">
        <v>46066.612649143521</v>
      </c>
      <c r="B16">
        <v>18.156834</v>
      </c>
      <c r="C16">
        <v>18.587585000000001</v>
      </c>
      <c r="D16">
        <v>19.493762</v>
      </c>
      <c r="E16">
        <v>19.931000999999998</v>
      </c>
      <c r="F16">
        <v>35.371524999999998</v>
      </c>
      <c r="G16">
        <v>33.977246999999998</v>
      </c>
      <c r="H16">
        <v>24.991951</v>
      </c>
      <c r="I16">
        <v>22.498221000000001</v>
      </c>
      <c r="J16">
        <v>55.315728</v>
      </c>
      <c r="K16">
        <v>50.675249999999998</v>
      </c>
      <c r="L16">
        <v>126.69758899999999</v>
      </c>
      <c r="M16">
        <v>-622.48530700000003</v>
      </c>
      <c r="N16">
        <v>1.9092910000000001</v>
      </c>
      <c r="O16">
        <v>3.665489</v>
      </c>
      <c r="P16">
        <f t="shared" si="3"/>
        <v>3.182151666666667E-5</v>
      </c>
      <c r="Q16" cm="1">
        <f t="array" ref="Q16">[1]!PropsSI("D","T",J16+273.15,"P",101325,"Water")</f>
        <v>985.53990421159654</v>
      </c>
      <c r="R16" cm="1">
        <f t="array" ref="R16">[1]!PropsSI("D","T",K16+273.15,"P",101325,"Water")</f>
        <v>987.72814082906348</v>
      </c>
      <c r="S16">
        <f t="shared" si="2"/>
        <v>986.63402252033006</v>
      </c>
      <c r="T16" cm="1">
        <f t="array" ref="T16">[1]!PropsSI("H","T",J16+273.15,"P",101325,"Water")</f>
        <v>231649.76952828304</v>
      </c>
      <c r="U16" cm="1">
        <f t="array" ref="U16">[1]!PropsSI("H","T",K16+273.15,"P",101325,"Water")</f>
        <v>212242.00872559639</v>
      </c>
      <c r="V16">
        <f t="shared" si="1"/>
        <v>609.32976487910025</v>
      </c>
    </row>
    <row r="17" spans="1:22" x14ac:dyDescent="0.2">
      <c r="A17">
        <v>46066.612764884259</v>
      </c>
      <c r="B17">
        <v>18.228995999999999</v>
      </c>
      <c r="C17">
        <v>18.692397</v>
      </c>
      <c r="D17">
        <v>19.509177000000001</v>
      </c>
      <c r="E17">
        <v>19.943968000000002</v>
      </c>
      <c r="F17">
        <v>34.987228000000002</v>
      </c>
      <c r="G17">
        <v>35.082484999999998</v>
      </c>
      <c r="H17">
        <v>24.383384</v>
      </c>
      <c r="I17">
        <v>22.768875999999999</v>
      </c>
      <c r="J17">
        <v>55.316046999999998</v>
      </c>
      <c r="K17">
        <v>50.661743000000001</v>
      </c>
      <c r="L17">
        <v>122.04965900000001</v>
      </c>
      <c r="M17">
        <v>-622.48285799999996</v>
      </c>
      <c r="N17">
        <v>1.910406</v>
      </c>
      <c r="O17">
        <v>3.8539720000000002</v>
      </c>
      <c r="P17">
        <f t="shared" si="3"/>
        <v>3.18401E-5</v>
      </c>
      <c r="Q17" cm="1">
        <f t="array" ref="Q17">[1]!PropsSI("D","T",J17+273.15,"P",101325,"Water")</f>
        <v>985.53974912928118</v>
      </c>
      <c r="R17" cm="1">
        <f t="array" ref="R17">[1]!PropsSI("D","T",K17+273.15,"P",101325,"Water")</f>
        <v>987.73430901092058</v>
      </c>
      <c r="S17">
        <f t="shared" si="2"/>
        <v>986.63702907010088</v>
      </c>
      <c r="T17" cm="1">
        <f t="array" ref="T17">[1]!PropsSI("H","T",J17+273.15,"P",101325,"Water")</f>
        <v>231651.10392811309</v>
      </c>
      <c r="U17" cm="1">
        <f t="array" ref="U17">[1]!PropsSI("H","T",K17+273.15,"P",101325,"Water")</f>
        <v>212185.52873111438</v>
      </c>
      <c r="V17">
        <f t="shared" si="1"/>
        <v>611.50368038892566</v>
      </c>
    </row>
    <row r="18" spans="1:22" x14ac:dyDescent="0.2">
      <c r="A18">
        <v>46066.612880624998</v>
      </c>
      <c r="B18">
        <v>18.480483</v>
      </c>
      <c r="C18">
        <v>18.975805000000001</v>
      </c>
      <c r="D18">
        <v>19.652363000000001</v>
      </c>
      <c r="E18">
        <v>20.066095000000001</v>
      </c>
      <c r="F18">
        <v>35.348736000000002</v>
      </c>
      <c r="G18">
        <v>34.309043000000003</v>
      </c>
      <c r="H18">
        <v>25.032045</v>
      </c>
      <c r="I18">
        <v>22.611376</v>
      </c>
      <c r="J18">
        <v>55.317796999999999</v>
      </c>
      <c r="K18">
        <v>50.660153999999999</v>
      </c>
      <c r="L18">
        <v>123.752431</v>
      </c>
      <c r="M18">
        <v>-622.48653100000001</v>
      </c>
      <c r="N18">
        <v>1.907259</v>
      </c>
      <c r="O18">
        <v>3.6300089999999998</v>
      </c>
      <c r="P18">
        <f t="shared" si="3"/>
        <v>3.1787650000000004E-5</v>
      </c>
      <c r="Q18" cm="1">
        <f t="array" ref="Q18">[1]!PropsSI("D","T",J18+273.15,"P",101325,"Water")</f>
        <v>985.53889835303596</v>
      </c>
      <c r="R18" cm="1">
        <f t="array" ref="R18">[1]!PropsSI("D","T",K18+273.15,"P",101325,"Water")</f>
        <v>987.73503457441996</v>
      </c>
      <c r="S18">
        <f t="shared" si="2"/>
        <v>986.63696646372796</v>
      </c>
      <c r="T18" cm="1">
        <f t="array" ref="T18">[1]!PropsSI("H","T",J18+273.15,"P",101325,"Water")</f>
        <v>231658.4243039416</v>
      </c>
      <c r="U18" cm="1">
        <f t="array" ref="U18">[1]!PropsSI("H","T",K18+273.15,"P",101325,"Water")</f>
        <v>212178.88427541553</v>
      </c>
      <c r="V18">
        <f t="shared" si="1"/>
        <v>610.93429261956749</v>
      </c>
    </row>
    <row r="19" spans="1:22" x14ac:dyDescent="0.2">
      <c r="A19">
        <v>46066.612996365744</v>
      </c>
      <c r="B19">
        <v>18.482569000000002</v>
      </c>
      <c r="C19">
        <v>18.973897999999998</v>
      </c>
      <c r="D19">
        <v>19.644456000000002</v>
      </c>
      <c r="E19">
        <v>20.103764000000002</v>
      </c>
      <c r="F19">
        <v>35.409903</v>
      </c>
      <c r="G19">
        <v>34.820104000000001</v>
      </c>
      <c r="H19">
        <v>24.519455000000001</v>
      </c>
      <c r="I19">
        <v>22.364315000000001</v>
      </c>
      <c r="J19">
        <v>55.321457000000002</v>
      </c>
      <c r="K19">
        <v>50.679859</v>
      </c>
      <c r="L19">
        <v>127.294702</v>
      </c>
      <c r="M19">
        <v>-622.48938799999996</v>
      </c>
      <c r="N19">
        <v>1.9108609999999999</v>
      </c>
      <c r="O19">
        <v>3.0806879999999999</v>
      </c>
      <c r="P19">
        <f t="shared" si="3"/>
        <v>3.1847683333333333E-5</v>
      </c>
      <c r="Q19" cm="1">
        <f t="array" ref="Q19">[1]!PropsSI("D","T",J19+273.15,"P",101325,"Water")</f>
        <v>985.53711895402182</v>
      </c>
      <c r="R19" cm="1">
        <f t="array" ref="R19">[1]!PropsSI("D","T",K19+273.15,"P",101325,"Water")</f>
        <v>987.72603578571443</v>
      </c>
      <c r="S19">
        <f t="shared" si="2"/>
        <v>986.63157736986818</v>
      </c>
      <c r="T19" cm="1">
        <f t="array" ref="T19">[1]!PropsSI("H","T",J19+273.15,"P",101325,"Water")</f>
        <v>231673.734350821</v>
      </c>
      <c r="U19" cm="1">
        <f t="array" ref="U19">[1]!PropsSI("H","T",K19+273.15,"P",101325,"Water")</f>
        <v>212261.28143310506</v>
      </c>
      <c r="V19">
        <f t="shared" si="1"/>
        <v>609.97673753850722</v>
      </c>
    </row>
    <row r="20" spans="1:22" x14ac:dyDescent="0.2">
      <c r="A20">
        <v>46066.613112685183</v>
      </c>
      <c r="B20">
        <v>18.716512000000002</v>
      </c>
      <c r="C20">
        <v>19.121074</v>
      </c>
      <c r="D20">
        <v>19.677239</v>
      </c>
      <c r="E20">
        <v>20.132128999999999</v>
      </c>
      <c r="F20">
        <v>35.346758000000001</v>
      </c>
      <c r="G20">
        <v>34.495775999999999</v>
      </c>
      <c r="H20">
        <v>24.810699</v>
      </c>
      <c r="I20">
        <v>22.672571999999999</v>
      </c>
      <c r="J20">
        <v>55.318432999999999</v>
      </c>
      <c r="K20">
        <v>50.689869999999999</v>
      </c>
      <c r="L20">
        <v>120.73503100000001</v>
      </c>
      <c r="M20">
        <v>-622.50326500000006</v>
      </c>
      <c r="N20">
        <v>1.908369</v>
      </c>
      <c r="O20">
        <v>3.6886939999999999</v>
      </c>
      <c r="P20">
        <f t="shared" si="3"/>
        <v>3.1806150000000004E-5</v>
      </c>
      <c r="Q20" cm="1">
        <f t="array" ref="Q20">[1]!PropsSI("D","T",J20+273.15,"P",101325,"Water")</f>
        <v>985.53858915194962</v>
      </c>
      <c r="R20" cm="1">
        <f t="array" ref="R20">[1]!PropsSI("D","T",K20+273.15,"P",101325,"Water")</f>
        <v>987.72146304021135</v>
      </c>
      <c r="S20">
        <f t="shared" si="2"/>
        <v>986.63002609608043</v>
      </c>
      <c r="T20" cm="1">
        <f t="array" ref="T20">[1]!PropsSI("H","T",J20+273.15,"P",101325,"Water")</f>
        <v>231661.08473798918</v>
      </c>
      <c r="U20" cm="1">
        <f t="array" ref="U20">[1]!PropsSI("H","T",K20+273.15,"P",101325,"Water")</f>
        <v>212303.1428290442</v>
      </c>
      <c r="V20">
        <f t="shared" si="1"/>
        <v>607.46968966847805</v>
      </c>
    </row>
    <row r="21" spans="1:22" x14ac:dyDescent="0.2">
      <c r="A21">
        <v>46066.613228425929</v>
      </c>
      <c r="B21">
        <v>18.409255999999999</v>
      </c>
      <c r="C21">
        <v>19.000323000000002</v>
      </c>
      <c r="D21">
        <v>19.629042999999999</v>
      </c>
      <c r="E21">
        <v>20.048293000000001</v>
      </c>
      <c r="F21">
        <v>35.186231999999997</v>
      </c>
      <c r="G21">
        <v>35.394762999999998</v>
      </c>
      <c r="H21">
        <v>24.703887999999999</v>
      </c>
      <c r="I21">
        <v>22.629807</v>
      </c>
      <c r="J21">
        <v>55.320501999999998</v>
      </c>
      <c r="K21">
        <v>50.683196000000002</v>
      </c>
      <c r="L21">
        <v>119.697532</v>
      </c>
      <c r="M21">
        <v>-622.48938799999996</v>
      </c>
      <c r="N21">
        <v>1.911996</v>
      </c>
      <c r="O21">
        <v>3.6248499999999999</v>
      </c>
      <c r="P21">
        <f t="shared" si="3"/>
        <v>3.1866599999999997E-5</v>
      </c>
      <c r="Q21" cm="1">
        <f t="array" ref="Q21">[1]!PropsSI("D","T",J21+273.15,"P",101325,"Water")</f>
        <v>985.53758325875572</v>
      </c>
      <c r="R21" cm="1">
        <f t="array" ref="R21">[1]!PropsSI("D","T",K21+273.15,"P",101325,"Water")</f>
        <v>987.72451160968365</v>
      </c>
      <c r="S21">
        <f t="shared" si="2"/>
        <v>986.63104743421968</v>
      </c>
      <c r="T21" cm="1">
        <f t="array" ref="T21">[1]!PropsSI("H","T",J21+273.15,"P",101325,"Water")</f>
        <v>231669.7395157064</v>
      </c>
      <c r="U21" cm="1">
        <f t="array" ref="U21">[1]!PropsSI("H","T",K21+273.15,"P",101325,"Water")</f>
        <v>212275.23522848313</v>
      </c>
      <c r="V21">
        <f t="shared" si="1"/>
        <v>609.77440418126992</v>
      </c>
    </row>
    <row r="22" spans="1:22" x14ac:dyDescent="0.2">
      <c r="A22">
        <v>46066.613344745369</v>
      </c>
      <c r="B22">
        <v>18.201820000000001</v>
      </c>
      <c r="C22">
        <v>18.571449999999999</v>
      </c>
      <c r="D22">
        <v>19.637286</v>
      </c>
      <c r="E22">
        <v>20.145126999999999</v>
      </c>
      <c r="F22">
        <v>35.537776999999998</v>
      </c>
      <c r="G22">
        <v>34.279288999999999</v>
      </c>
      <c r="H22">
        <v>25.210808</v>
      </c>
      <c r="I22">
        <v>22.443269000000001</v>
      </c>
      <c r="J22">
        <v>55.321139000000002</v>
      </c>
      <c r="K22">
        <v>50.673026</v>
      </c>
      <c r="L22">
        <v>127.09920200000001</v>
      </c>
      <c r="M22">
        <v>-622.45469600000001</v>
      </c>
      <c r="N22">
        <v>1.908828</v>
      </c>
      <c r="O22">
        <v>3.8457880000000002</v>
      </c>
      <c r="P22">
        <f t="shared" si="3"/>
        <v>3.1813799999999997E-5</v>
      </c>
      <c r="Q22" cm="1">
        <f t="array" ref="Q22">[1]!PropsSI("D","T",J22+273.15,"P",101325,"Water")</f>
        <v>985.53727356083095</v>
      </c>
      <c r="R22" cm="1">
        <f t="array" ref="R22">[1]!PropsSI("D","T",K22+273.15,"P",101325,"Water")</f>
        <v>987.72915653496227</v>
      </c>
      <c r="S22">
        <f t="shared" si="2"/>
        <v>986.63321504789656</v>
      </c>
      <c r="T22" cm="1">
        <f t="array" ref="T22">[1]!PropsSI("H","T",J22+273.15,"P",101325,"Water")</f>
        <v>231672.40413339547</v>
      </c>
      <c r="U22" cm="1">
        <f t="array" ref="U22">[1]!PropsSI("H","T",K22+273.15,"P",101325,"Water")</f>
        <v>212232.70898788754</v>
      </c>
      <c r="V22">
        <f t="shared" si="1"/>
        <v>610.18387760174767</v>
      </c>
    </row>
    <row r="23" spans="1:22" x14ac:dyDescent="0.2">
      <c r="A23">
        <v>46066.613461064815</v>
      </c>
      <c r="B23">
        <v>18.206164000000001</v>
      </c>
      <c r="C23">
        <v>18.594579</v>
      </c>
      <c r="D23">
        <v>19.656813</v>
      </c>
      <c r="E23">
        <v>20.100928</v>
      </c>
      <c r="F23">
        <v>35.699112999999997</v>
      </c>
      <c r="G23">
        <v>32.803257000000002</v>
      </c>
      <c r="H23">
        <v>25.383274</v>
      </c>
      <c r="I23">
        <v>22.378738999999999</v>
      </c>
      <c r="J23">
        <v>55.321615999999999</v>
      </c>
      <c r="K23">
        <v>50.656340999999998</v>
      </c>
      <c r="L23">
        <v>116.986239</v>
      </c>
      <c r="M23">
        <v>-622.50449000000003</v>
      </c>
      <c r="N23">
        <v>1.9122669999999999</v>
      </c>
      <c r="O23">
        <v>3.9702099999999998</v>
      </c>
      <c r="P23">
        <f t="shared" si="3"/>
        <v>3.1871116666666671E-5</v>
      </c>
      <c r="Q23" cm="1">
        <f t="array" ref="Q23">[1]!PropsSI("D","T",J23+273.15,"P",101325,"Water")</f>
        <v>985.53704165037414</v>
      </c>
      <c r="R23" cm="1">
        <f t="array" ref="R23">[1]!PropsSI("D","T",K23+273.15,"P",101325,"Water")</f>
        <v>987.73677558583563</v>
      </c>
      <c r="S23">
        <f t="shared" si="2"/>
        <v>986.63690861810483</v>
      </c>
      <c r="T23" cm="1">
        <f t="array" ref="T23">[1]!PropsSI("H","T",J23+273.15,"P",101325,"Water")</f>
        <v>231674.39945950216</v>
      </c>
      <c r="U23" cm="1">
        <f t="array" ref="U23">[1]!PropsSI("H","T",K23+273.15,"P",101325,"Water")</f>
        <v>212162.94009357126</v>
      </c>
      <c r="V23">
        <f t="shared" si="1"/>
        <v>613.54213271604794</v>
      </c>
    </row>
    <row r="24" spans="1:22" x14ac:dyDescent="0.2">
      <c r="A24">
        <v>46066.613576805554</v>
      </c>
      <c r="B24">
        <v>18.228411999999999</v>
      </c>
      <c r="C24">
        <v>18.755289000000001</v>
      </c>
      <c r="D24">
        <v>19.555710999999999</v>
      </c>
      <c r="E24">
        <v>19.993027000000001</v>
      </c>
      <c r="F24">
        <v>35.367367000000002</v>
      </c>
      <c r="G24">
        <v>35.085585999999999</v>
      </c>
      <c r="H24">
        <v>24.680766999999999</v>
      </c>
      <c r="I24">
        <v>22.607572999999999</v>
      </c>
      <c r="J24">
        <v>55.318593</v>
      </c>
      <c r="K24">
        <v>50.649507999999997</v>
      </c>
      <c r="L24">
        <v>115.97322800000001</v>
      </c>
      <c r="M24">
        <v>-622.493878</v>
      </c>
      <c r="N24">
        <v>1.9073610000000001</v>
      </c>
      <c r="O24">
        <v>3.3977349999999999</v>
      </c>
      <c r="P24">
        <f t="shared" si="3"/>
        <v>3.1789350000000001E-5</v>
      </c>
      <c r="Q24" cm="1">
        <f t="array" ref="Q24">[1]!PropsSI("D","T",J24+273.15,"P",101325,"Water")</f>
        <v>985.53851136512594</v>
      </c>
      <c r="R24" cm="1">
        <f t="array" ref="R24">[1]!PropsSI("D","T",K24+273.15,"P",101325,"Water")</f>
        <v>987.73989528900427</v>
      </c>
      <c r="S24">
        <f t="shared" si="2"/>
        <v>986.63920332706516</v>
      </c>
      <c r="T24" cm="1">
        <f t="array" ref="T24">[1]!PropsSI("H","T",J24+273.15,"P",101325,"Water")</f>
        <v>231661.75402956849</v>
      </c>
      <c r="U24" cm="1">
        <f t="array" ref="U24">[1]!PropsSI("H","T",K24+273.15,"P",101325,"Water")</f>
        <v>212134.36769553166</v>
      </c>
      <c r="V24">
        <f t="shared" si="1"/>
        <v>612.46903161829152</v>
      </c>
    </row>
    <row r="25" spans="1:22" x14ac:dyDescent="0.2">
      <c r="A25">
        <v>46066.6136925463</v>
      </c>
      <c r="B25">
        <v>18.568811</v>
      </c>
      <c r="C25">
        <v>19.136807999999998</v>
      </c>
      <c r="D25">
        <v>19.520502</v>
      </c>
      <c r="E25">
        <v>20.052502</v>
      </c>
      <c r="F25">
        <v>34.748916000000001</v>
      </c>
      <c r="G25">
        <v>34.729965999999997</v>
      </c>
      <c r="H25">
        <v>25.066161000000001</v>
      </c>
      <c r="I25">
        <v>22.307455000000001</v>
      </c>
      <c r="J25">
        <v>55.325752999999999</v>
      </c>
      <c r="K25">
        <v>50.662219999999998</v>
      </c>
      <c r="L25">
        <v>116.45034699999999</v>
      </c>
      <c r="M25">
        <v>-622.519183</v>
      </c>
      <c r="N25">
        <v>1.911316</v>
      </c>
      <c r="O25">
        <v>3.7904580000000001</v>
      </c>
      <c r="P25">
        <f t="shared" si="3"/>
        <v>3.1855266666666666E-5</v>
      </c>
      <c r="Q25" cm="1">
        <f t="array" ref="Q25">[1]!PropsSI("D","T",J25+273.15,"P",101325,"Water")</f>
        <v>985.53503024222425</v>
      </c>
      <c r="R25" cm="1">
        <f t="array" ref="R25">[1]!PropsSI("D","T",K25+273.15,"P",101325,"Water")</f>
        <v>987.73409120165149</v>
      </c>
      <c r="S25">
        <f t="shared" si="2"/>
        <v>986.63456072193787</v>
      </c>
      <c r="T25" cm="1">
        <f t="array" ref="T25">[1]!PropsSI("H","T",J25+273.15,"P",101325,"Water")</f>
        <v>231691.70483827984</v>
      </c>
      <c r="U25" cm="1">
        <f t="array" ref="U25">[1]!PropsSI("H","T",K25+273.15,"P",101325,"Water")</f>
        <v>212187.5233224596</v>
      </c>
      <c r="V25">
        <f t="shared" si="1"/>
        <v>613.00681015065004</v>
      </c>
    </row>
    <row r="26" spans="1:22" x14ac:dyDescent="0.2">
      <c r="A26">
        <v>46066.613808287038</v>
      </c>
      <c r="B26">
        <v>18.583732000000001</v>
      </c>
      <c r="C26">
        <v>19.105549</v>
      </c>
      <c r="D26">
        <v>19.546581</v>
      </c>
      <c r="E26">
        <v>20.0548</v>
      </c>
      <c r="F26">
        <v>35.322479000000001</v>
      </c>
      <c r="G26">
        <v>34.543098999999998</v>
      </c>
      <c r="H26">
        <v>25.058826</v>
      </c>
      <c r="I26">
        <v>22.205666999999998</v>
      </c>
      <c r="J26">
        <v>55.324798000000001</v>
      </c>
      <c r="K26">
        <v>50.672072</v>
      </c>
      <c r="L26">
        <v>115.576105</v>
      </c>
      <c r="M26">
        <v>-622.46612400000004</v>
      </c>
      <c r="N26">
        <v>1.908312</v>
      </c>
      <c r="O26">
        <v>4.2864829999999996</v>
      </c>
      <c r="P26">
        <f t="shared" si="3"/>
        <v>3.1805200000000005E-5</v>
      </c>
      <c r="Q26" cm="1">
        <f t="array" ref="Q26">[1]!PropsSI("D","T",J26+273.15,"P",101325,"Water")</f>
        <v>985.53549457234317</v>
      </c>
      <c r="R26" cm="1">
        <f t="array" ref="R26">[1]!PropsSI("D","T",K26+273.15,"P",101325,"Water")</f>
        <v>987.72959221907183</v>
      </c>
      <c r="S26">
        <f t="shared" si="2"/>
        <v>986.63254339570744</v>
      </c>
      <c r="T26" cm="1">
        <f t="array" ref="T26">[1]!PropsSI("H","T",J26+273.15,"P",101325,"Water")</f>
        <v>231687.7100016702</v>
      </c>
      <c r="U26" cm="1">
        <f t="array" ref="U26">[1]!PropsSI("H","T",K26+273.15,"P",101325,"Water")</f>
        <v>212228.71980224451</v>
      </c>
      <c r="V26">
        <f t="shared" si="1"/>
        <v>610.62399529697461</v>
      </c>
    </row>
    <row r="27" spans="1:22" x14ac:dyDescent="0.2">
      <c r="A27">
        <v>46066.613924606485</v>
      </c>
      <c r="B27">
        <v>18.398399000000001</v>
      </c>
      <c r="C27">
        <v>19.070053999999999</v>
      </c>
      <c r="D27">
        <v>19.487991000000001</v>
      </c>
      <c r="E27">
        <v>19.992788000000001</v>
      </c>
      <c r="F27">
        <v>35.542833000000002</v>
      </c>
      <c r="G27">
        <v>35.001460999999999</v>
      </c>
      <c r="H27">
        <v>24.587668000000001</v>
      </c>
      <c r="I27">
        <v>22.430900999999999</v>
      </c>
      <c r="J27">
        <v>55.326867</v>
      </c>
      <c r="K27">
        <v>50.679063999999997</v>
      </c>
      <c r="L27">
        <v>127.239195</v>
      </c>
      <c r="M27">
        <v>-622.49061300000005</v>
      </c>
      <c r="N27">
        <v>1.9125209999999999</v>
      </c>
      <c r="O27">
        <v>4.1391099999999996</v>
      </c>
      <c r="P27">
        <f t="shared" si="3"/>
        <v>3.187535E-5</v>
      </c>
      <c r="Q27" cm="1">
        <f t="array" ref="Q27">[1]!PropsSI("D","T",J27+273.15,"P",101325,"Water")</f>
        <v>985.53448859767559</v>
      </c>
      <c r="R27" cm="1">
        <f t="array" ref="R27">[1]!PropsSI("D","T",K27+273.15,"P",101325,"Water")</f>
        <v>987.72639889159007</v>
      </c>
      <c r="S27">
        <f t="shared" si="2"/>
        <v>986.63044374463288</v>
      </c>
      <c r="T27" cm="1">
        <f t="array" ref="T27">[1]!PropsSI("H","T",J27+273.15,"P",101325,"Water")</f>
        <v>231696.36478422183</v>
      </c>
      <c r="U27" cm="1">
        <f t="array" ref="U27">[1]!PropsSI("H","T",K27+273.15,"P",101325,"Water")</f>
        <v>212257.95711016169</v>
      </c>
      <c r="V27">
        <f t="shared" si="1"/>
        <v>611.32219013773806</v>
      </c>
    </row>
    <row r="28" spans="1:22" x14ac:dyDescent="0.2">
      <c r="A28">
        <v>46066.614040925924</v>
      </c>
      <c r="B28">
        <v>18.464469999999999</v>
      </c>
      <c r="C28">
        <v>19.176468</v>
      </c>
      <c r="D28">
        <v>19.523488</v>
      </c>
      <c r="E28">
        <v>19.984138999999999</v>
      </c>
      <c r="F28">
        <v>35.382620000000003</v>
      </c>
      <c r="G28">
        <v>34.530495000000002</v>
      </c>
      <c r="H28">
        <v>24.958082000000001</v>
      </c>
      <c r="I28">
        <v>22.507076000000001</v>
      </c>
      <c r="J28">
        <v>55.329413000000002</v>
      </c>
      <c r="K28">
        <v>50.674137999999999</v>
      </c>
      <c r="L28">
        <v>126.108639</v>
      </c>
      <c r="M28">
        <v>-622.49591899999996</v>
      </c>
      <c r="N28">
        <v>1.902792</v>
      </c>
      <c r="O28">
        <v>3.054675</v>
      </c>
      <c r="P28">
        <f t="shared" ref="P28:P36" si="4" xml:space="preserve"> N28*0.001/60</f>
        <v>3.17132E-5</v>
      </c>
      <c r="Q28" cm="1">
        <f t="array" ref="Q28">[1]!PropsSI("D","T",J28+273.15,"P",101325,"Water")</f>
        <v>985.53325066303967</v>
      </c>
      <c r="R28" cm="1">
        <f t="array" ref="R28">[1]!PropsSI("D","T",K28+273.15,"P",101325,"Water")</f>
        <v>987.72864868604495</v>
      </c>
      <c r="S28">
        <f t="shared" ref="S28:S36" si="5">(Q28+R28)/2</f>
        <v>986.63094967454231</v>
      </c>
      <c r="T28" cm="1">
        <f t="array" ref="T28">[1]!PropsSI("H","T",J28+273.15,"P",101325,"Water")</f>
        <v>231707.01489579456</v>
      </c>
      <c r="U28" cm="1">
        <f t="array" ref="U28">[1]!PropsSI("H","T",K28+273.15,"P",101325,"Water")</f>
        <v>212237.35885655583</v>
      </c>
      <c r="V28">
        <f t="shared" ref="V28:V36" si="6">S28*P28*(T28-U28)</f>
        <v>609.19044134324372</v>
      </c>
    </row>
    <row r="29" spans="1:22" x14ac:dyDescent="0.2">
      <c r="A29">
        <v>46066.614157245371</v>
      </c>
      <c r="B29">
        <v>18.345071999999998</v>
      </c>
      <c r="C29">
        <v>18.753457000000001</v>
      </c>
      <c r="D29">
        <v>19.470358999999998</v>
      </c>
      <c r="E29">
        <v>19.973555999999999</v>
      </c>
      <c r="F29">
        <v>35.372948000000001</v>
      </c>
      <c r="G29">
        <v>34.738799999999998</v>
      </c>
      <c r="H29">
        <v>25.065570999999998</v>
      </c>
      <c r="I29">
        <v>22.470683999999999</v>
      </c>
      <c r="J29">
        <v>55.330049000000002</v>
      </c>
      <c r="K29">
        <v>50.675091000000002</v>
      </c>
      <c r="L29">
        <v>119.562845</v>
      </c>
      <c r="M29">
        <v>-622.49959200000001</v>
      </c>
      <c r="N29">
        <v>1.9107130000000001</v>
      </c>
      <c r="O29">
        <v>3.39452</v>
      </c>
      <c r="P29">
        <f t="shared" si="4"/>
        <v>3.1845216666666668E-5</v>
      </c>
      <c r="Q29" cm="1">
        <f t="array" ref="Q29">[1]!PropsSI("D","T",J29+273.15,"P",101325,"Water")</f>
        <v>985.53294141624121</v>
      </c>
      <c r="R29" cm="1">
        <f t="array" ref="R29">[1]!PropsSI("D","T",K29+273.15,"P",101325,"Water")</f>
        <v>987.72821344578608</v>
      </c>
      <c r="S29">
        <f t="shared" si="5"/>
        <v>986.63057743101365</v>
      </c>
      <c r="T29" cm="1">
        <f t="array" ref="T29">[1]!PropsSI("H","T",J29+273.15,"P",101325,"Water")</f>
        <v>231709.67533250293</v>
      </c>
      <c r="U29" cm="1">
        <f t="array" ref="U29">[1]!PropsSI("H","T",K29+273.15,"P",101325,"Water")</f>
        <v>212241.34386121476</v>
      </c>
      <c r="V29">
        <f t="shared" si="6"/>
        <v>611.68454969696711</v>
      </c>
    </row>
    <row r="30" spans="1:22" x14ac:dyDescent="0.2">
      <c r="A30">
        <v>46066.614272986109</v>
      </c>
      <c r="B30">
        <v>18.295013999999998</v>
      </c>
      <c r="C30">
        <v>18.881919</v>
      </c>
      <c r="D30">
        <v>19.503218</v>
      </c>
      <c r="E30">
        <v>19.964210999999999</v>
      </c>
      <c r="F30">
        <v>35.293443000000003</v>
      </c>
      <c r="G30">
        <v>34.47289</v>
      </c>
      <c r="H30">
        <v>24.979234999999999</v>
      </c>
      <c r="I30">
        <v>22.567534999999999</v>
      </c>
      <c r="J30">
        <v>55.327981000000001</v>
      </c>
      <c r="K30">
        <v>50.667782000000003</v>
      </c>
      <c r="L30">
        <v>121.199905</v>
      </c>
      <c r="M30">
        <v>-622.50244899999996</v>
      </c>
      <c r="N30">
        <v>1.907038</v>
      </c>
      <c r="O30">
        <v>3.8434499999999998</v>
      </c>
      <c r="P30">
        <f t="shared" si="4"/>
        <v>3.1783966666666666E-5</v>
      </c>
      <c r="Q30" cm="1">
        <f t="array" ref="Q30">[1]!PropsSI("D","T",J30+273.15,"P",101325,"Water")</f>
        <v>985.53394694542408</v>
      </c>
      <c r="R30" cm="1">
        <f t="array" ref="R30">[1]!PropsSI("D","T",K30+273.15,"P",101325,"Water")</f>
        <v>987.7315513543208</v>
      </c>
      <c r="S30">
        <f t="shared" si="5"/>
        <v>986.63274914987244</v>
      </c>
      <c r="T30" cm="1">
        <f t="array" ref="T30">[1]!PropsSI("H","T",J30+273.15,"P",101325,"Water")</f>
        <v>231701.02473063144</v>
      </c>
      <c r="U30" cm="1">
        <f t="array" ref="U30">[1]!PropsSI("H","T",K30+273.15,"P",101325,"Water")</f>
        <v>212210.781014915</v>
      </c>
      <c r="V30">
        <f t="shared" si="6"/>
        <v>611.19654870081297</v>
      </c>
    </row>
    <row r="31" spans="1:22" x14ac:dyDescent="0.2">
      <c r="A31">
        <v>46066.614388726855</v>
      </c>
      <c r="B31">
        <v>18.586376999999999</v>
      </c>
      <c r="C31">
        <v>19.207930000000001</v>
      </c>
      <c r="D31">
        <v>19.521542</v>
      </c>
      <c r="E31">
        <v>19.865072999999999</v>
      </c>
      <c r="F31">
        <v>35.229861999999997</v>
      </c>
      <c r="G31">
        <v>35.755105</v>
      </c>
      <c r="H31">
        <v>24.568363999999999</v>
      </c>
      <c r="I31">
        <v>22.543185000000001</v>
      </c>
      <c r="J31">
        <v>55.326231</v>
      </c>
      <c r="K31">
        <v>50.663491</v>
      </c>
      <c r="L31">
        <v>116.98093299999999</v>
      </c>
      <c r="M31">
        <v>-622.48857199999998</v>
      </c>
      <c r="N31">
        <v>1.9072709999999999</v>
      </c>
      <c r="O31">
        <v>4.1371909999999996</v>
      </c>
      <c r="P31">
        <f t="shared" si="4"/>
        <v>3.1787849999999998E-5</v>
      </c>
      <c r="Q31" cm="1">
        <f t="array" ref="Q31">[1]!PropsSI("D","T",J31+273.15,"P",101325,"Water")</f>
        <v>985.53479783194757</v>
      </c>
      <c r="R31" cm="1">
        <f t="array" ref="R31">[1]!PropsSI("D","T",K31+273.15,"P",101325,"Water")</f>
        <v>987.73351082637339</v>
      </c>
      <c r="S31">
        <f t="shared" si="5"/>
        <v>986.63415432916054</v>
      </c>
      <c r="T31" cm="1">
        <f t="array" ref="T31">[1]!PropsSI("H","T",J31+273.15,"P",101325,"Water")</f>
        <v>231693.7043482411</v>
      </c>
      <c r="U31" cm="1">
        <f t="array" ref="U31">[1]!PropsSI("H","T",K31+273.15,"P",101325,"Water")</f>
        <v>212192.83805145192</v>
      </c>
      <c r="V31">
        <f t="shared" si="6"/>
        <v>611.60525045007364</v>
      </c>
    </row>
    <row r="32" spans="1:22" x14ac:dyDescent="0.2">
      <c r="A32">
        <v>46066.614504467594</v>
      </c>
      <c r="B32">
        <v>18.613389999999999</v>
      </c>
      <c r="C32">
        <v>19.029105999999999</v>
      </c>
      <c r="D32">
        <v>19.580365</v>
      </c>
      <c r="E32">
        <v>19.989591999999998</v>
      </c>
      <c r="F32">
        <v>35.336559000000001</v>
      </c>
      <c r="G32">
        <v>34.278626000000003</v>
      </c>
      <c r="H32">
        <v>25.606301999999999</v>
      </c>
      <c r="I32">
        <v>22.752129</v>
      </c>
      <c r="J32">
        <v>55.324002999999998</v>
      </c>
      <c r="K32">
        <v>50.674773999999999</v>
      </c>
      <c r="L32">
        <v>125.789063</v>
      </c>
      <c r="M32">
        <v>-622.49591899999996</v>
      </c>
      <c r="N32">
        <v>1.914455</v>
      </c>
      <c r="O32">
        <v>5.2858270000000003</v>
      </c>
      <c r="P32">
        <f t="shared" si="4"/>
        <v>3.1907583333333336E-5</v>
      </c>
      <c r="Q32" cm="1">
        <f t="array" ref="Q32">[1]!PropsSI("D","T",J32+273.15,"P",101325,"Water")</f>
        <v>985.5358811046242</v>
      </c>
      <c r="R32" cm="1">
        <f t="array" ref="R32">[1]!PropsSI("D","T",K32+273.15,"P",101325,"Water")</f>
        <v>987.7283582220681</v>
      </c>
      <c r="S32">
        <f t="shared" si="5"/>
        <v>986.6321196633462</v>
      </c>
      <c r="T32" cm="1">
        <f t="array" ref="T32">[1]!PropsSI("H","T",J32+273.15,"P",101325,"Water")</f>
        <v>231684.38445732419</v>
      </c>
      <c r="U32" cm="1">
        <f t="array" ref="U32">[1]!PropsSI("H","T",K32+273.15,"P",101325,"Water")</f>
        <v>212240.01831395685</v>
      </c>
      <c r="V32">
        <f t="shared" si="6"/>
        <v>612.12899622934094</v>
      </c>
    </row>
    <row r="33" spans="1:22" x14ac:dyDescent="0.2">
      <c r="A33">
        <v>46066.614620787041</v>
      </c>
      <c r="B33">
        <v>18.162372000000001</v>
      </c>
      <c r="C33">
        <v>18.552699</v>
      </c>
      <c r="D33">
        <v>19.463075</v>
      </c>
      <c r="E33">
        <v>19.947258999999999</v>
      </c>
      <c r="F33">
        <v>34.971426000000001</v>
      </c>
      <c r="G33">
        <v>34.437522000000001</v>
      </c>
      <c r="H33">
        <v>24.717943999999999</v>
      </c>
      <c r="I33">
        <v>22.418980000000001</v>
      </c>
      <c r="J33">
        <v>55.328617000000001</v>
      </c>
      <c r="K33">
        <v>50.677633999999998</v>
      </c>
      <c r="L33">
        <v>114.694925</v>
      </c>
      <c r="M33">
        <v>-622.48326599999996</v>
      </c>
      <c r="N33">
        <v>1.9098280000000001</v>
      </c>
      <c r="O33">
        <v>2.432817</v>
      </c>
      <c r="P33">
        <f t="shared" si="4"/>
        <v>3.1830466666666666E-5</v>
      </c>
      <c r="Q33" cm="1">
        <f t="array" ref="Q33">[1]!PropsSI("D","T",J33+273.15,"P",101325,"Water")</f>
        <v>985.53363770425642</v>
      </c>
      <c r="R33" cm="1">
        <f t="array" ref="R33">[1]!PropsSI("D","T",K33+273.15,"P",101325,"Water")</f>
        <v>987.72705201504925</v>
      </c>
      <c r="S33">
        <f t="shared" si="5"/>
        <v>986.63034485965284</v>
      </c>
      <c r="T33" cm="1">
        <f t="array" ref="T33">[1]!PropsSI("H","T",J33+273.15,"P",101325,"Water")</f>
        <v>231703.6851669928</v>
      </c>
      <c r="U33" cm="1">
        <f t="array" ref="U33">[1]!PropsSI("H","T",K33+273.15,"P",101325,"Water")</f>
        <v>212251.97751083976</v>
      </c>
      <c r="V33">
        <f t="shared" si="6"/>
        <v>610.87901749820401</v>
      </c>
    </row>
    <row r="34" spans="1:22" x14ac:dyDescent="0.2">
      <c r="A34">
        <v>46066.61473710648</v>
      </c>
      <c r="B34">
        <v>18.219242000000001</v>
      </c>
      <c r="C34">
        <v>18.762319000000002</v>
      </c>
      <c r="D34">
        <v>19.536732000000001</v>
      </c>
      <c r="E34">
        <v>19.963768999999999</v>
      </c>
      <c r="F34">
        <v>35.544147000000002</v>
      </c>
      <c r="G34">
        <v>34.587332000000004</v>
      </c>
      <c r="H34">
        <v>24.431820999999999</v>
      </c>
      <c r="I34">
        <v>22.378520000000002</v>
      </c>
      <c r="J34">
        <v>55.329095000000002</v>
      </c>
      <c r="K34">
        <v>50.657452999999997</v>
      </c>
      <c r="L34">
        <v>120.784824</v>
      </c>
      <c r="M34">
        <v>-622.48897999999997</v>
      </c>
      <c r="N34">
        <v>1.9159090000000001</v>
      </c>
      <c r="O34">
        <v>2.9404059999999999</v>
      </c>
      <c r="P34">
        <f t="shared" si="4"/>
        <v>3.1931816666666668E-5</v>
      </c>
      <c r="Q34" cm="1">
        <f t="array" ref="Q34">[1]!PropsSI("D","T",J34+273.15,"P",101325,"Water")</f>
        <v>985.53340528551496</v>
      </c>
      <c r="R34" cm="1">
        <f t="array" ref="R34">[1]!PropsSI("D","T",K34+273.15,"P",101325,"Water")</f>
        <v>987.73626785768988</v>
      </c>
      <c r="S34">
        <f t="shared" si="5"/>
        <v>986.63483657160236</v>
      </c>
      <c r="T34" cm="1">
        <f t="array" ref="T34">[1]!PropsSI("H","T",J34+273.15,"P",101325,"Water")</f>
        <v>231705.68467747868</v>
      </c>
      <c r="U34" cm="1">
        <f t="array" ref="U34">[1]!PropsSI("H","T",K34+273.15,"P",101325,"Water")</f>
        <v>212167.5899567999</v>
      </c>
      <c r="V34">
        <f t="shared" si="6"/>
        <v>615.54850881017387</v>
      </c>
    </row>
    <row r="35" spans="1:22" x14ac:dyDescent="0.2">
      <c r="A35">
        <v>46066.614853425926</v>
      </c>
      <c r="B35">
        <v>18.094438</v>
      </c>
      <c r="C35">
        <v>18.710646000000001</v>
      </c>
      <c r="D35">
        <v>19.5044</v>
      </c>
      <c r="E35">
        <v>19.953856999999999</v>
      </c>
      <c r="F35">
        <v>34.712255999999996</v>
      </c>
      <c r="G35">
        <v>33.808338999999997</v>
      </c>
      <c r="H35">
        <v>24.730948000000001</v>
      </c>
      <c r="I35">
        <v>22.417722999999999</v>
      </c>
      <c r="J35">
        <v>55.336095999999998</v>
      </c>
      <c r="K35">
        <v>50.643469000000003</v>
      </c>
      <c r="L35">
        <v>128.20241200000001</v>
      </c>
      <c r="M35">
        <v>-622.48040900000001</v>
      </c>
      <c r="N35">
        <v>1.902247</v>
      </c>
      <c r="O35">
        <v>4.488702</v>
      </c>
      <c r="P35">
        <f t="shared" si="4"/>
        <v>3.170411666666667E-5</v>
      </c>
      <c r="Q35" cm="1">
        <f t="array" ref="Q35">[1]!PropsSI("D","T",J35+273.15,"P",101325,"Water")</f>
        <v>985.53000101543466</v>
      </c>
      <c r="R35" cm="1">
        <f t="array" ref="R35">[1]!PropsSI("D","T",K35+273.15,"P",101325,"Water")</f>
        <v>987.74265222712086</v>
      </c>
      <c r="S35">
        <f t="shared" si="5"/>
        <v>986.6363266212777</v>
      </c>
      <c r="T35" cm="1">
        <f t="array" ref="T35">[1]!PropsSI("H","T",J35+273.15,"P",101325,"Water")</f>
        <v>231734.97040421885</v>
      </c>
      <c r="U35" cm="1">
        <f t="array" ref="U35">[1]!PropsSI("H","T",K35+273.15,"P",101325,"Water")</f>
        <v>212109.11544419144</v>
      </c>
      <c r="V35">
        <f t="shared" si="6"/>
        <v>613.90524520294082</v>
      </c>
    </row>
    <row r="36" spans="1:22" x14ac:dyDescent="0.2">
      <c r="A36">
        <v>46066.614969166665</v>
      </c>
      <c r="B36">
        <v>18.112815999999999</v>
      </c>
      <c r="C36">
        <v>18.648769000000001</v>
      </c>
      <c r="D36">
        <v>19.511769000000001</v>
      </c>
      <c r="E36">
        <v>19.96622</v>
      </c>
      <c r="F36">
        <v>35.034815999999999</v>
      </c>
      <c r="G36">
        <v>34.375878999999998</v>
      </c>
      <c r="H36">
        <v>25.231746000000001</v>
      </c>
      <c r="I36">
        <v>22.52206</v>
      </c>
      <c r="J36">
        <v>55.335619000000001</v>
      </c>
      <c r="K36">
        <v>50.654274999999998</v>
      </c>
      <c r="L36">
        <v>121.904768</v>
      </c>
      <c r="M36">
        <v>-622.474695</v>
      </c>
      <c r="N36">
        <v>1.914819</v>
      </c>
      <c r="O36">
        <v>2.6943950000000001</v>
      </c>
      <c r="P36">
        <f t="shared" si="4"/>
        <v>3.1913650000000002E-5</v>
      </c>
      <c r="Q36" cm="1">
        <f t="array" ref="Q36">[1]!PropsSI("D","T",J36+273.15,"P",101325,"Water")</f>
        <v>985.53023296860238</v>
      </c>
      <c r="R36" cm="1">
        <f t="array" ref="R36">[1]!PropsSI("D","T",K36+273.15,"P",101325,"Water")</f>
        <v>987.73771887953319</v>
      </c>
      <c r="S36">
        <f t="shared" si="5"/>
        <v>986.63397592406773</v>
      </c>
      <c r="T36" cm="1">
        <f t="array" ref="T36">[1]!PropsSI("H","T",J36+273.15,"P",101325,"Water")</f>
        <v>231732.97507560303</v>
      </c>
      <c r="U36" cm="1">
        <f t="array" ref="U36">[1]!PropsSI("H","T",K36+273.15,"P",101325,"Water")</f>
        <v>212154.30105011066</v>
      </c>
      <c r="V36">
        <f t="shared" si="6"/>
        <v>616.47549825247086</v>
      </c>
    </row>
    <row r="38" spans="1:22" x14ac:dyDescent="0.2">
      <c r="G38" s="1" t="s">
        <v>22</v>
      </c>
    </row>
    <row r="39" spans="1:22" x14ac:dyDescent="0.2">
      <c r="G39" s="1">
        <f>AVERAGE(V2:V36)</f>
        <v>610.51243620654725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7D5D-202D-8944-ABEE-FDE6559949ED}">
  <dimension ref="A1:V36"/>
  <sheetViews>
    <sheetView workbookViewId="0">
      <selection activeCell="G22" sqref="G2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44604.615811184798</v>
      </c>
      <c r="B2">
        <v>17.911570999999999</v>
      </c>
      <c r="C2">
        <v>18.440801</v>
      </c>
      <c r="D2">
        <v>19.632158</v>
      </c>
      <c r="E2">
        <v>20.024401000000001</v>
      </c>
      <c r="F2">
        <v>32.688389999999998</v>
      </c>
      <c r="G2">
        <v>28.651685000000001</v>
      </c>
      <c r="H2">
        <v>23.795991999999998</v>
      </c>
      <c r="I2">
        <v>21.767426</v>
      </c>
      <c r="J2">
        <v>55.346120999999997</v>
      </c>
      <c r="K2">
        <v>50.055418000000003</v>
      </c>
      <c r="L2">
        <v>197.568735</v>
      </c>
      <c r="M2">
        <v>-622.49183700000003</v>
      </c>
      <c r="N2">
        <v>1.9083159999999999</v>
      </c>
      <c r="O2">
        <v>3.8586480000000001</v>
      </c>
      <c r="P2">
        <f xml:space="preserve"> N2*0.001/60</f>
        <v>3.1805266666666665E-5</v>
      </c>
      <c r="Q2" cm="1">
        <f t="array" ref="Q2">[1]!PropsSI("D","T",J2+273.15,"P",101325,"Water")</f>
        <v>985.52512578282256</v>
      </c>
      <c r="R2" cm="1">
        <f t="array" ref="R2">[1]!PropsSI("D","T",K2+273.15,"P",101325,"Water")</f>
        <v>988.00997074634608</v>
      </c>
      <c r="S2">
        <f>(Q2+R2)/2</f>
        <v>986.76754826458432</v>
      </c>
      <c r="T2" cm="1">
        <f t="array" ref="T2">[1]!PropsSI("H","T",J2+273.15,"P",101325,"Water")</f>
        <v>231776.90578905947</v>
      </c>
      <c r="U2" cm="1">
        <f t="array" ref="U2">[1]!PropsSI("H","T",K2+273.15,"P",101325,"Water")</f>
        <v>209650.21405782455</v>
      </c>
      <c r="V2">
        <f>S2*P2*(T2-U2)</f>
        <v>694.4330548370624</v>
      </c>
    </row>
    <row r="3" spans="1:22" x14ac:dyDescent="0.2">
      <c r="A3">
        <v>44604.615927504303</v>
      </c>
      <c r="B3">
        <v>18.367592999999999</v>
      </c>
      <c r="C3">
        <v>18.990690000000001</v>
      </c>
      <c r="D3">
        <v>19.667590000000001</v>
      </c>
      <c r="E3">
        <v>20.131542</v>
      </c>
      <c r="F3">
        <v>32.779598</v>
      </c>
      <c r="G3">
        <v>29.770161000000002</v>
      </c>
      <c r="H3">
        <v>23.931643999999999</v>
      </c>
      <c r="I3">
        <v>21.858619000000001</v>
      </c>
      <c r="J3">
        <v>55.345962</v>
      </c>
      <c r="K3">
        <v>50.060661000000003</v>
      </c>
      <c r="L3">
        <v>199.00866300000001</v>
      </c>
      <c r="M3">
        <v>-622.49673499999994</v>
      </c>
      <c r="N3">
        <v>1.9178310000000001</v>
      </c>
      <c r="O3">
        <v>4.1125629999999997</v>
      </c>
      <c r="P3">
        <f t="shared" ref="P3" si="0" xml:space="preserve"> N3*0.001/60</f>
        <v>3.1963850000000004E-5</v>
      </c>
      <c r="Q3" cm="1">
        <f t="array" ref="Q3">[1]!PropsSI("D","T",J3+273.15,"P",101325,"Water")</f>
        <v>985.52520311056287</v>
      </c>
      <c r="R3" cm="1">
        <f t="array" ref="R3">[1]!PropsSI("D","T",K3+273.15,"P",101325,"Water")</f>
        <v>988.00759735542147</v>
      </c>
      <c r="S3">
        <f>(Q3+R3)/2</f>
        <v>986.76640023299217</v>
      </c>
      <c r="T3" cm="1">
        <f t="array" ref="T3">[1]!PropsSI("H","T",J3+273.15,"P",101325,"Water")</f>
        <v>231776.24067896995</v>
      </c>
      <c r="U3" cm="1">
        <f t="array" ref="U3">[1]!PropsSI("H","T",K3+273.15,"P",101325,"Water")</f>
        <v>209672.13692171103</v>
      </c>
      <c r="V3">
        <f t="shared" ref="V3:V27" si="1">S3*P3*(T3-U3)</f>
        <v>697.18229177141041</v>
      </c>
    </row>
    <row r="4" spans="1:22" x14ac:dyDescent="0.2">
      <c r="A4">
        <v>44604.616043244998</v>
      </c>
      <c r="B4">
        <v>18.350881999999999</v>
      </c>
      <c r="C4">
        <v>19.050687</v>
      </c>
      <c r="D4">
        <v>19.686709</v>
      </c>
      <c r="E4">
        <v>20.227194000000001</v>
      </c>
      <c r="F4">
        <v>32.793501999999997</v>
      </c>
      <c r="G4">
        <v>29.157800000000002</v>
      </c>
      <c r="H4">
        <v>23.919039999999999</v>
      </c>
      <c r="I4">
        <v>21.888674000000002</v>
      </c>
      <c r="J4">
        <v>55.338164999999996</v>
      </c>
      <c r="K4">
        <v>50.083697999999998</v>
      </c>
      <c r="L4">
        <v>207.79760999999999</v>
      </c>
      <c r="M4">
        <v>-622.49224500000003</v>
      </c>
      <c r="N4">
        <v>1.9152819999999999</v>
      </c>
      <c r="O4">
        <v>3.803852</v>
      </c>
      <c r="P4">
        <f xml:space="preserve"> N4*0.001/60</f>
        <v>3.1921366666666662E-5</v>
      </c>
      <c r="Q4" cm="1">
        <f t="array" ref="Q4">[1]!PropsSI("D","T",J4+273.15,"P",101325,"Water")</f>
        <v>985.52899489614026</v>
      </c>
      <c r="R4" cm="1">
        <f t="array" ref="R4">[1]!PropsSI("D","T",K4+273.15,"P",101325,"Water")</f>
        <v>987.99716687651096</v>
      </c>
      <c r="S4">
        <f t="shared" ref="S4:S27" si="2">(Q4+R4)/2</f>
        <v>986.76308088632561</v>
      </c>
      <c r="T4" cm="1">
        <f t="array" ref="T4">[1]!PropsSI("H","T",J4+273.15,"P",101325,"Water")</f>
        <v>231743.62519531624</v>
      </c>
      <c r="U4" cm="1">
        <f t="array" ref="U4">[1]!PropsSI("H","T",K4+273.15,"P",101325,"Water")</f>
        <v>209768.46297578671</v>
      </c>
      <c r="V4">
        <f t="shared" si="1"/>
        <v>692.19181367004649</v>
      </c>
    </row>
    <row r="5" spans="1:22" x14ac:dyDescent="0.2">
      <c r="A5">
        <v>44604.616158985802</v>
      </c>
      <c r="B5">
        <v>18.887774</v>
      </c>
      <c r="C5">
        <v>19.602114</v>
      </c>
      <c r="D5">
        <v>19.620332999999999</v>
      </c>
      <c r="E5">
        <v>20.236138</v>
      </c>
      <c r="F5">
        <v>33.098579999999998</v>
      </c>
      <c r="G5">
        <v>28.724534999999999</v>
      </c>
      <c r="H5">
        <v>24.143346000000001</v>
      </c>
      <c r="I5">
        <v>21.717359999999999</v>
      </c>
      <c r="J5">
        <v>55.332914000000002</v>
      </c>
      <c r="K5">
        <v>50.097360999999999</v>
      </c>
      <c r="L5">
        <v>198.983766</v>
      </c>
      <c r="M5">
        <v>-622.47877700000004</v>
      </c>
      <c r="N5">
        <v>1.9156310000000001</v>
      </c>
      <c r="O5">
        <v>3.5586799999999998</v>
      </c>
      <c r="P5">
        <f t="shared" ref="P5:P27" si="3" xml:space="preserve"> N5*0.001/60</f>
        <v>3.1927183333333338E-5</v>
      </c>
      <c r="Q5" cm="1">
        <f t="array" ref="Q5">[1]!PropsSI("D","T",J5+273.15,"P",101325,"Water")</f>
        <v>985.53154831590189</v>
      </c>
      <c r="R5" cm="1">
        <f t="array" ref="R5">[1]!PropsSI("D","T",K5+273.15,"P",101325,"Water")</f>
        <v>987.99097902725418</v>
      </c>
      <c r="S5">
        <f t="shared" si="2"/>
        <v>986.76126367157804</v>
      </c>
      <c r="T5" cm="1">
        <f t="array" ref="T5">[1]!PropsSI("H","T",J5+273.15,"P",101325,"Water")</f>
        <v>231721.65984883907</v>
      </c>
      <c r="U5" cm="1">
        <f t="array" ref="U5">[1]!PropsSI("H","T",K5+273.15,"P",101325,"Water")</f>
        <v>209825.59300653427</v>
      </c>
      <c r="V5">
        <f t="shared" si="1"/>
        <v>689.82480799810912</v>
      </c>
    </row>
    <row r="6" spans="1:22" x14ac:dyDescent="0.2">
      <c r="A6">
        <v>46066.616275300927</v>
      </c>
      <c r="B6">
        <v>18.786515000000001</v>
      </c>
      <c r="C6">
        <v>19.410021</v>
      </c>
      <c r="D6">
        <v>19.634827999999999</v>
      </c>
      <c r="E6">
        <v>20.180216000000001</v>
      </c>
      <c r="F6">
        <v>33.336651000000003</v>
      </c>
      <c r="G6">
        <v>28.667679</v>
      </c>
      <c r="H6">
        <v>24.45879</v>
      </c>
      <c r="I6">
        <v>21.994657</v>
      </c>
      <c r="J6">
        <v>55.329413000000002</v>
      </c>
      <c r="K6">
        <v>50.107688000000003</v>
      </c>
      <c r="L6">
        <v>190.546637</v>
      </c>
      <c r="M6">
        <v>-622.51469299999997</v>
      </c>
      <c r="N6">
        <v>1.910927</v>
      </c>
      <c r="O6">
        <v>3.6906129999999999</v>
      </c>
      <c r="P6">
        <f t="shared" si="3"/>
        <v>3.1848783333333336E-5</v>
      </c>
      <c r="Q6" cm="1">
        <f t="array" ref="Q6">[1]!PropsSI("D","T",J6+273.15,"P",101325,"Water")</f>
        <v>985.53325066303967</v>
      </c>
      <c r="R6" cm="1">
        <f t="array" ref="R6">[1]!PropsSI("D","T",K6+273.15,"P",101325,"Water")</f>
        <v>987.98630121062388</v>
      </c>
      <c r="S6">
        <f t="shared" si="2"/>
        <v>986.75977593683183</v>
      </c>
      <c r="T6" cm="1">
        <f t="array" ref="T6">[1]!PropsSI("H","T",J6+273.15,"P",101325,"Water")</f>
        <v>231707.01489579456</v>
      </c>
      <c r="U6" cm="1">
        <f t="array" ref="U6">[1]!PropsSI("H","T",K6+273.15,"P",101325,"Water")</f>
        <v>209868.77402895858</v>
      </c>
      <c r="V6">
        <f t="shared" si="1"/>
        <v>686.31254254911926</v>
      </c>
    </row>
    <row r="7" spans="1:22" x14ac:dyDescent="0.2">
      <c r="A7">
        <v>46066.616391620373</v>
      </c>
      <c r="B7">
        <v>18.782533000000001</v>
      </c>
      <c r="C7">
        <v>19.531925999999999</v>
      </c>
      <c r="D7">
        <v>19.444841</v>
      </c>
      <c r="E7">
        <v>20.062331</v>
      </c>
      <c r="F7">
        <v>33.160336999999998</v>
      </c>
      <c r="G7">
        <v>28.731489</v>
      </c>
      <c r="H7">
        <v>23.941506</v>
      </c>
      <c r="I7">
        <v>21.694638999999999</v>
      </c>
      <c r="J7">
        <v>55.32273</v>
      </c>
      <c r="K7">
        <v>50.103557000000002</v>
      </c>
      <c r="L7">
        <v>202.37379999999999</v>
      </c>
      <c r="M7">
        <v>-622.51224400000001</v>
      </c>
      <c r="N7">
        <v>1.9095169999999999</v>
      </c>
      <c r="O7">
        <v>3.8350879999999998</v>
      </c>
      <c r="P7">
        <f t="shared" si="3"/>
        <v>3.1825283333333332E-5</v>
      </c>
      <c r="Q7" cm="1">
        <f t="array" ref="Q7">[1]!PropsSI("D","T",J7+273.15,"P",101325,"Water")</f>
        <v>985.53650003432551</v>
      </c>
      <c r="R7" cm="1">
        <f t="array" ref="R7">[1]!PropsSI("D","T",K7+273.15,"P",101325,"Water")</f>
        <v>987.9881725117034</v>
      </c>
      <c r="S7">
        <f t="shared" si="2"/>
        <v>986.7623362730144</v>
      </c>
      <c r="T7" cm="1">
        <f t="array" ref="T7">[1]!PropsSI("H","T",J7+273.15,"P",101325,"Water")</f>
        <v>231679.05940379194</v>
      </c>
      <c r="U7" cm="1">
        <f t="array" ref="U7">[1]!PropsSI("H","T",K7+273.15,"P",101325,"Water")</f>
        <v>209851.5007800583</v>
      </c>
      <c r="V7">
        <f t="shared" si="1"/>
        <v>685.47245314310351</v>
      </c>
    </row>
    <row r="8" spans="1:22" x14ac:dyDescent="0.2">
      <c r="A8">
        <v>46066.616507939812</v>
      </c>
      <c r="B8">
        <v>18.448283</v>
      </c>
      <c r="C8">
        <v>19.238645000000002</v>
      </c>
      <c r="D8">
        <v>19.389875</v>
      </c>
      <c r="E8">
        <v>19.936705</v>
      </c>
      <c r="F8">
        <v>32.806587</v>
      </c>
      <c r="G8">
        <v>29.379192</v>
      </c>
      <c r="H8">
        <v>23.831125</v>
      </c>
      <c r="I8">
        <v>22.052030999999999</v>
      </c>
      <c r="J8">
        <v>55.319705999999996</v>
      </c>
      <c r="K8">
        <v>50.086399</v>
      </c>
      <c r="L8">
        <v>201.51955699999999</v>
      </c>
      <c r="M8">
        <v>-622.51673400000004</v>
      </c>
      <c r="N8">
        <v>1.9034599999999999</v>
      </c>
      <c r="O8">
        <v>4.7267330000000003</v>
      </c>
      <c r="P8">
        <f t="shared" si="3"/>
        <v>3.1724333333333337E-5</v>
      </c>
      <c r="Q8" cm="1">
        <f t="array" ref="Q8">[1]!PropsSI("D","T",J8+273.15,"P",101325,"Water")</f>
        <v>985.53797025607082</v>
      </c>
      <c r="R8" cm="1">
        <f t="array" ref="R8">[1]!PropsSI("D","T",K8+273.15,"P",101325,"Water")</f>
        <v>987.99594371502894</v>
      </c>
      <c r="S8">
        <f t="shared" si="2"/>
        <v>986.76695698554988</v>
      </c>
      <c r="T8" cm="1">
        <f t="array" ref="T8">[1]!PropsSI("H","T",J8+273.15,"P",101325,"Water")</f>
        <v>231666.4097895131</v>
      </c>
      <c r="U8" cm="1">
        <f t="array" ref="U8">[1]!PropsSI("H","T",K8+273.15,"P",101325,"Water")</f>
        <v>209779.75684648968</v>
      </c>
      <c r="V8">
        <f t="shared" si="1"/>
        <v>685.1512493957955</v>
      </c>
    </row>
    <row r="9" spans="1:22" x14ac:dyDescent="0.2">
      <c r="A9">
        <v>46066.616623680558</v>
      </c>
      <c r="B9">
        <v>18.713517</v>
      </c>
      <c r="C9">
        <v>19.112110999999999</v>
      </c>
      <c r="D9">
        <v>19.469231000000001</v>
      </c>
      <c r="E9">
        <v>20.104133000000001</v>
      </c>
      <c r="F9">
        <v>32.952944000000002</v>
      </c>
      <c r="G9">
        <v>29.361343000000002</v>
      </c>
      <c r="H9">
        <v>24.340295000000001</v>
      </c>
      <c r="I9">
        <v>21.875678000000001</v>
      </c>
      <c r="J9">
        <v>55.316524000000001</v>
      </c>
      <c r="K9">
        <v>50.075118000000003</v>
      </c>
      <c r="L9">
        <v>198.58011300000001</v>
      </c>
      <c r="M9">
        <v>-622.49550999999997</v>
      </c>
      <c r="N9">
        <v>1.9022429999999999</v>
      </c>
      <c r="O9">
        <v>4.4045129999999997</v>
      </c>
      <c r="P9">
        <f t="shared" si="3"/>
        <v>3.1704049999999997E-5</v>
      </c>
      <c r="Q9" cm="1">
        <f t="array" ref="Q9">[1]!PropsSI("D","T",J9+273.15,"P",101325,"Water")</f>
        <v>985.53951723386831</v>
      </c>
      <c r="R9" cm="1">
        <f t="array" ref="R9">[1]!PropsSI("D","T",K9+273.15,"P",101325,"Water")</f>
        <v>988.00105205570185</v>
      </c>
      <c r="S9">
        <f t="shared" si="2"/>
        <v>986.77028464478508</v>
      </c>
      <c r="T9" cm="1">
        <f t="array" ref="T9">[1]!PropsSI("H","T",J9+273.15,"P",101325,"Water")</f>
        <v>231653.09925330643</v>
      </c>
      <c r="U9" cm="1">
        <f t="array" ref="U9">[1]!PropsSI("H","T",K9+273.15,"P",101325,"Water")</f>
        <v>209732.58686559033</v>
      </c>
      <c r="V9">
        <f t="shared" si="1"/>
        <v>685.77477844034684</v>
      </c>
    </row>
    <row r="10" spans="1:22" x14ac:dyDescent="0.2">
      <c r="A10">
        <v>44604.616739425597</v>
      </c>
      <c r="B10">
        <v>19.063444</v>
      </c>
      <c r="C10">
        <v>19.485579000000001</v>
      </c>
      <c r="D10">
        <v>19.623857999999998</v>
      </c>
      <c r="E10">
        <v>20.199777999999998</v>
      </c>
      <c r="F10">
        <v>33.293179000000002</v>
      </c>
      <c r="G10">
        <v>28.926193000000001</v>
      </c>
      <c r="H10">
        <v>24.193767000000001</v>
      </c>
      <c r="I10">
        <v>22.070809000000001</v>
      </c>
      <c r="J10">
        <v>55.308408999999997</v>
      </c>
      <c r="K10">
        <v>50.072259000000003</v>
      </c>
      <c r="L10">
        <v>195.88432900000001</v>
      </c>
      <c r="M10">
        <v>-622.49877600000002</v>
      </c>
      <c r="N10">
        <v>1.914504</v>
      </c>
      <c r="O10">
        <v>2.4710420000000002</v>
      </c>
      <c r="P10">
        <f t="shared" si="3"/>
        <v>3.1908400000000001E-5</v>
      </c>
      <c r="Q10" cm="1">
        <f t="array" ref="Q10">[1]!PropsSI("D","T",J10+273.15,"P",101325,"Water")</f>
        <v>985.54346218116632</v>
      </c>
      <c r="R10" cm="1">
        <f t="array" ref="R10">[1]!PropsSI("D","T",K10+273.15,"P",101325,"Water")</f>
        <v>988.00234655545808</v>
      </c>
      <c r="S10">
        <f t="shared" si="2"/>
        <v>986.7729043683122</v>
      </c>
      <c r="T10" cm="1">
        <f t="array" ref="T10">[1]!PropsSI("H","T",J10+273.15,"P",101325,"Water")</f>
        <v>231619.15363795953</v>
      </c>
      <c r="U10" cm="1">
        <f t="array" ref="U10">[1]!PropsSI("H","T",K10+273.15,"P",101325,"Water")</f>
        <v>209720.63234820979</v>
      </c>
      <c r="V10">
        <f t="shared" si="1"/>
        <v>689.50438628381721</v>
      </c>
    </row>
    <row r="11" spans="1:22" x14ac:dyDescent="0.2">
      <c r="A11">
        <v>44604.616855745</v>
      </c>
      <c r="B11">
        <v>18.600805000000001</v>
      </c>
      <c r="C11">
        <v>19.129521</v>
      </c>
      <c r="D11">
        <v>19.597594999999998</v>
      </c>
      <c r="E11">
        <v>20.150203999999999</v>
      </c>
      <c r="F11">
        <v>33.163839000000003</v>
      </c>
      <c r="G11">
        <v>29.074831</v>
      </c>
      <c r="H11">
        <v>24.4008</v>
      </c>
      <c r="I11">
        <v>21.883890000000001</v>
      </c>
      <c r="J11">
        <v>55.309044999999998</v>
      </c>
      <c r="K11">
        <v>50.073687999999997</v>
      </c>
      <c r="L11">
        <v>207.707819</v>
      </c>
      <c r="M11">
        <v>-622.50693799999999</v>
      </c>
      <c r="N11">
        <v>1.9098120000000001</v>
      </c>
      <c r="O11">
        <v>4.5969350000000002</v>
      </c>
      <c r="P11">
        <f t="shared" si="3"/>
        <v>3.1830199999999999E-5</v>
      </c>
      <c r="Q11" cm="1">
        <f t="array" ref="Q11">[1]!PropsSI("D","T",J11+273.15,"P",101325,"Water")</f>
        <v>985.54315301703195</v>
      </c>
      <c r="R11" cm="1">
        <f t="array" ref="R11">[1]!PropsSI("D","T",K11+273.15,"P",101325,"Water")</f>
        <v>988.00169953864508</v>
      </c>
      <c r="S11">
        <f t="shared" si="2"/>
        <v>986.77242627783858</v>
      </c>
      <c r="T11" cm="1">
        <f t="array" ref="T11">[1]!PropsSI("H","T",J11+273.15,"P",101325,"Water")</f>
        <v>231621.81406973262</v>
      </c>
      <c r="U11" cm="1">
        <f t="array" ref="U11">[1]!PropsSI("H","T",K11+273.15,"P",101325,"Water")</f>
        <v>209726.60751593721</v>
      </c>
      <c r="V11">
        <f t="shared" si="1"/>
        <v>687.71012651925867</v>
      </c>
    </row>
    <row r="12" spans="1:22" x14ac:dyDescent="0.2">
      <c r="A12">
        <v>44604.616972064498</v>
      </c>
      <c r="B12">
        <v>18.816089999999999</v>
      </c>
      <c r="C12">
        <v>19.366429</v>
      </c>
      <c r="D12">
        <v>19.615421000000001</v>
      </c>
      <c r="E12">
        <v>20.156064000000001</v>
      </c>
      <c r="F12">
        <v>32.906708999999999</v>
      </c>
      <c r="G12">
        <v>29.007037</v>
      </c>
      <c r="H12">
        <v>23.936654999999998</v>
      </c>
      <c r="I12">
        <v>21.979880000000001</v>
      </c>
      <c r="J12">
        <v>55.314615000000003</v>
      </c>
      <c r="K12">
        <v>50.077342999999999</v>
      </c>
      <c r="L12">
        <v>204.04677799999999</v>
      </c>
      <c r="M12">
        <v>-622.49510199999997</v>
      </c>
      <c r="N12">
        <v>1.9186799999999999</v>
      </c>
      <c r="O12">
        <v>2.2033640000000001</v>
      </c>
      <c r="P12">
        <f t="shared" si="3"/>
        <v>3.1978000000000005E-5</v>
      </c>
      <c r="Q12" cm="1">
        <f t="array" ref="Q12">[1]!PropsSI("D","T",J12+273.15,"P",101325,"Water")</f>
        <v>985.54044529324449</v>
      </c>
      <c r="R12" cm="1">
        <f t="array" ref="R12">[1]!PropsSI("D","T",K12+273.15,"P",101325,"Water")</f>
        <v>988.00004458178205</v>
      </c>
      <c r="S12">
        <f t="shared" si="2"/>
        <v>986.77024493751333</v>
      </c>
      <c r="T12" cm="1">
        <f t="array" ref="T12">[1]!PropsSI("H","T",J12+273.15,"P",101325,"Water")</f>
        <v>231645.11376996696</v>
      </c>
      <c r="U12" cm="1">
        <f t="array" ref="U12">[1]!PropsSI("H","T",K12+273.15,"P",101325,"Water")</f>
        <v>209741.89040035184</v>
      </c>
      <c r="V12">
        <f t="shared" si="1"/>
        <v>691.15487497943218</v>
      </c>
    </row>
    <row r="13" spans="1:22" x14ac:dyDescent="0.2">
      <c r="A13">
        <v>44604.6170883839</v>
      </c>
      <c r="B13">
        <v>18.728915000000001</v>
      </c>
      <c r="C13">
        <v>19.315766</v>
      </c>
      <c r="D13">
        <v>19.731857999999999</v>
      </c>
      <c r="E13">
        <v>20.227291999999998</v>
      </c>
      <c r="F13">
        <v>32.817174999999999</v>
      </c>
      <c r="G13">
        <v>29.803630999999999</v>
      </c>
      <c r="H13">
        <v>24.442867</v>
      </c>
      <c r="I13">
        <v>22.184443999999999</v>
      </c>
      <c r="J13">
        <v>55.313023000000001</v>
      </c>
      <c r="K13">
        <v>50.082427000000003</v>
      </c>
      <c r="L13">
        <v>205.57037500000001</v>
      </c>
      <c r="M13">
        <v>-622.48489900000004</v>
      </c>
      <c r="N13">
        <v>1.9143889999999999</v>
      </c>
      <c r="O13">
        <v>4.6620369999999998</v>
      </c>
      <c r="P13">
        <f t="shared" si="3"/>
        <v>3.1906483333333334E-5</v>
      </c>
      <c r="Q13" cm="1">
        <f t="array" ref="Q13">[1]!PropsSI("D","T",J13+273.15,"P",101325,"Water")</f>
        <v>985.54121922601371</v>
      </c>
      <c r="R13" cm="1">
        <f t="array" ref="R13">[1]!PropsSI("D","T",K13+273.15,"P",101325,"Water")</f>
        <v>987.99774243874094</v>
      </c>
      <c r="S13">
        <f t="shared" si="2"/>
        <v>986.76948083237733</v>
      </c>
      <c r="T13" cm="1">
        <f t="array" ref="T13">[1]!PropsSI("H","T",J13+273.15,"P",101325,"Water")</f>
        <v>231638.45432130244</v>
      </c>
      <c r="U13" cm="1">
        <f t="array" ref="U13">[1]!PropsSI("H","T",K13+273.15,"P",101325,"Water")</f>
        <v>209763.14845976717</v>
      </c>
      <c r="V13">
        <f t="shared" si="1"/>
        <v>688.72965471898385</v>
      </c>
    </row>
    <row r="14" spans="1:22" x14ac:dyDescent="0.2">
      <c r="A14">
        <v>44604.617204703398</v>
      </c>
      <c r="B14">
        <v>18.874300999999999</v>
      </c>
      <c r="C14">
        <v>19.501314000000001</v>
      </c>
      <c r="D14">
        <v>19.730163999999998</v>
      </c>
      <c r="E14">
        <v>20.246752000000001</v>
      </c>
      <c r="F14">
        <v>32.977822000000003</v>
      </c>
      <c r="G14">
        <v>29.702531</v>
      </c>
      <c r="H14">
        <v>24.252423</v>
      </c>
      <c r="I14">
        <v>22.280694</v>
      </c>
      <c r="J14">
        <v>55.311432000000003</v>
      </c>
      <c r="K14">
        <v>50.084491999999997</v>
      </c>
      <c r="L14">
        <v>190.60336899999999</v>
      </c>
      <c r="M14">
        <v>-622.47183800000005</v>
      </c>
      <c r="N14">
        <v>1.9143479999999999</v>
      </c>
      <c r="O14">
        <v>2.4469479999999999</v>
      </c>
      <c r="P14">
        <f t="shared" si="3"/>
        <v>3.1905800000000002E-5</v>
      </c>
      <c r="Q14" cm="1">
        <f t="array" ref="Q14">[1]!PropsSI("D","T",J14+273.15,"P",101325,"Water")</f>
        <v>985.541992656925</v>
      </c>
      <c r="R14" cm="1">
        <f t="array" ref="R14">[1]!PropsSI("D","T",K14+273.15,"P",101325,"Water")</f>
        <v>987.99680731456249</v>
      </c>
      <c r="S14">
        <f t="shared" si="2"/>
        <v>986.7693999857438</v>
      </c>
      <c r="T14" cm="1">
        <f t="array" ref="T14">[1]!PropsSI("H","T",J14+273.15,"P",101325,"Water")</f>
        <v>231631.79905661085</v>
      </c>
      <c r="U14" cm="1">
        <f t="array" ref="U14">[1]!PropsSI("H","T",K14+273.15,"P",101325,"Water")</f>
        <v>209771.78298051248</v>
      </c>
      <c r="V14">
        <f t="shared" si="1"/>
        <v>688.2334694228739</v>
      </c>
    </row>
    <row r="15" spans="1:22" x14ac:dyDescent="0.2">
      <c r="A15">
        <v>46066.617321018515</v>
      </c>
      <c r="B15">
        <v>18.830781999999999</v>
      </c>
      <c r="C15">
        <v>19.376379</v>
      </c>
      <c r="D15">
        <v>19.627389000000001</v>
      </c>
      <c r="E15">
        <v>20.123446000000001</v>
      </c>
      <c r="F15">
        <v>32.900368999999998</v>
      </c>
      <c r="G15">
        <v>29.441314999999999</v>
      </c>
      <c r="H15">
        <v>23.801079999999999</v>
      </c>
      <c r="I15">
        <v>22.209416999999998</v>
      </c>
      <c r="J15">
        <v>55.307454</v>
      </c>
      <c r="K15">
        <v>50.085286000000004</v>
      </c>
      <c r="L15">
        <v>212.476968</v>
      </c>
      <c r="M15">
        <v>-622.50775499999997</v>
      </c>
      <c r="N15">
        <v>1.9026780000000001</v>
      </c>
      <c r="O15">
        <v>4.2627829999999998</v>
      </c>
      <c r="P15">
        <f t="shared" si="3"/>
        <v>3.1711300000000002E-5</v>
      </c>
      <c r="Q15" cm="1">
        <f t="array" ref="Q15">[1]!PropsSI("D","T",J15+273.15,"P",101325,"Water")</f>
        <v>985.54392640878791</v>
      </c>
      <c r="R15" cm="1">
        <f t="array" ref="R15">[1]!PropsSI("D","T",K15+273.15,"P",101325,"Water")</f>
        <v>987.99644774846206</v>
      </c>
      <c r="S15">
        <f t="shared" si="2"/>
        <v>986.77018707862499</v>
      </c>
      <c r="T15" cm="1">
        <f t="array" ref="T15">[1]!PropsSI("H","T",J15+273.15,"P",101325,"Water")</f>
        <v>231615.15880744017</v>
      </c>
      <c r="U15" cm="1">
        <f t="array" ref="U15">[1]!PropsSI("H","T",K15+273.15,"P",101325,"Water")</f>
        <v>209775.10298544465</v>
      </c>
      <c r="V15">
        <f t="shared" si="1"/>
        <v>683.41390383656949</v>
      </c>
    </row>
    <row r="16" spans="1:22" x14ac:dyDescent="0.2">
      <c r="A16">
        <v>46066.617437337962</v>
      </c>
      <c r="B16">
        <v>19.009844000000001</v>
      </c>
      <c r="C16">
        <v>19.626671999999999</v>
      </c>
      <c r="D16">
        <v>19.694994999999999</v>
      </c>
      <c r="E16">
        <v>20.035043999999999</v>
      </c>
      <c r="F16">
        <v>33.231774000000001</v>
      </c>
      <c r="G16">
        <v>28.797191999999999</v>
      </c>
      <c r="H16">
        <v>24.057528999999999</v>
      </c>
      <c r="I16">
        <v>22.088652</v>
      </c>
      <c r="J16">
        <v>55.310158999999999</v>
      </c>
      <c r="K16">
        <v>50.067810000000001</v>
      </c>
      <c r="L16">
        <v>199.237223</v>
      </c>
      <c r="M16">
        <v>-622.51183600000002</v>
      </c>
      <c r="N16">
        <v>1.9075169999999999</v>
      </c>
      <c r="O16">
        <v>4.5379709999999998</v>
      </c>
      <c r="P16">
        <f t="shared" si="3"/>
        <v>3.179195E-5</v>
      </c>
      <c r="Q16" cm="1">
        <f t="array" ref="Q16">[1]!PropsSI("D","T",J16+273.15,"P",101325,"Water")</f>
        <v>985.54261148762362</v>
      </c>
      <c r="R16" cm="1">
        <f t="array" ref="R16">[1]!PropsSI("D","T",K16+273.15,"P",101325,"Water")</f>
        <v>988.00436086979664</v>
      </c>
      <c r="S16">
        <f t="shared" si="2"/>
        <v>986.77348617871007</v>
      </c>
      <c r="T16" cm="1">
        <f t="array" ref="T16">[1]!PropsSI("H","T",J16+273.15,"P",101325,"Water")</f>
        <v>231626.47400889141</v>
      </c>
      <c r="U16" cm="1">
        <f t="array" ref="U16">[1]!PropsSI("H","T",K16+273.15,"P",101325,"Water")</f>
        <v>209702.02946802936</v>
      </c>
      <c r="V16">
        <f t="shared" si="1"/>
        <v>687.80168878575432</v>
      </c>
    </row>
    <row r="17" spans="1:22" x14ac:dyDescent="0.2">
      <c r="A17">
        <v>46066.6175530787</v>
      </c>
      <c r="B17">
        <v>18.856024000000001</v>
      </c>
      <c r="C17">
        <v>19.656033999999998</v>
      </c>
      <c r="D17">
        <v>19.561907000000001</v>
      </c>
      <c r="E17">
        <v>20.111795000000001</v>
      </c>
      <c r="F17">
        <v>33.081760000000003</v>
      </c>
      <c r="G17">
        <v>29.881689000000001</v>
      </c>
      <c r="H17">
        <v>23.99898</v>
      </c>
      <c r="I17">
        <v>21.969728</v>
      </c>
      <c r="J17">
        <v>55.311273</v>
      </c>
      <c r="K17">
        <v>50.077024999999999</v>
      </c>
      <c r="L17">
        <v>203.66026600000001</v>
      </c>
      <c r="M17">
        <v>-622.50408100000004</v>
      </c>
      <c r="N17">
        <v>1.902817</v>
      </c>
      <c r="O17">
        <v>2.4952380000000001</v>
      </c>
      <c r="P17">
        <f t="shared" si="3"/>
        <v>3.1713616666666664E-5</v>
      </c>
      <c r="Q17" cm="1">
        <f t="array" ref="Q17">[1]!PropsSI("D","T",J17+273.15,"P",101325,"Water")</f>
        <v>985.54206995054506</v>
      </c>
      <c r="R17" cm="1">
        <f t="array" ref="R17">[1]!PropsSI("D","T",K17+273.15,"P",101325,"Water")</f>
        <v>988.00018857329201</v>
      </c>
      <c r="S17">
        <f t="shared" si="2"/>
        <v>986.77112926191853</v>
      </c>
      <c r="T17" cm="1">
        <f t="array" ref="T17">[1]!PropsSI("H","T",J17+273.15,"P",101325,"Water")</f>
        <v>231631.13394845347</v>
      </c>
      <c r="U17" cm="1">
        <f t="array" ref="U17">[1]!PropsSI("H","T",K17+273.15,"P",101325,"Water")</f>
        <v>209740.56072655343</v>
      </c>
      <c r="V17">
        <f t="shared" si="1"/>
        <v>685.04537879155225</v>
      </c>
    </row>
    <row r="18" spans="1:22" x14ac:dyDescent="0.2">
      <c r="A18">
        <v>46066.617669398147</v>
      </c>
      <c r="B18">
        <v>18.437999000000001</v>
      </c>
      <c r="C18">
        <v>19.188893</v>
      </c>
      <c r="D18">
        <v>19.436986999999998</v>
      </c>
      <c r="E18">
        <v>20.015267999999999</v>
      </c>
      <c r="F18">
        <v>32.673710999999997</v>
      </c>
      <c r="G18">
        <v>29.100062000000001</v>
      </c>
      <c r="H18">
        <v>23.883441999999999</v>
      </c>
      <c r="I18">
        <v>21.855038</v>
      </c>
      <c r="J18">
        <v>55.309682000000002</v>
      </c>
      <c r="K18">
        <v>50.069080999999997</v>
      </c>
      <c r="L18">
        <v>199.503332</v>
      </c>
      <c r="M18">
        <v>-622.47796000000005</v>
      </c>
      <c r="N18">
        <v>1.906747</v>
      </c>
      <c r="O18">
        <v>3.0900789999999998</v>
      </c>
      <c r="P18">
        <f t="shared" si="3"/>
        <v>3.1779116666666665E-5</v>
      </c>
      <c r="Q18" cm="1">
        <f t="array" ref="Q18">[1]!PropsSI("D","T",J18+273.15,"P",101325,"Water")</f>
        <v>985.54284336425735</v>
      </c>
      <c r="R18" cm="1">
        <f t="array" ref="R18">[1]!PropsSI("D","T",K18+273.15,"P",101325,"Water")</f>
        <v>988.00378542933629</v>
      </c>
      <c r="S18">
        <f t="shared" si="2"/>
        <v>986.77331439679688</v>
      </c>
      <c r="T18" cm="1">
        <f t="array" ref="T18">[1]!PropsSI("H","T",J18+273.15,"P",101325,"Water")</f>
        <v>231624.47868480789</v>
      </c>
      <c r="U18" cm="1">
        <f t="array" ref="U18">[1]!PropsSI("H","T",K18+273.15,"P",101325,"Water")</f>
        <v>209707.34397874406</v>
      </c>
      <c r="V18">
        <f t="shared" si="1"/>
        <v>687.29469932193172</v>
      </c>
    </row>
    <row r="19" spans="1:22" x14ac:dyDescent="0.2">
      <c r="A19">
        <v>46066.617785138886</v>
      </c>
      <c r="B19">
        <v>18.728930999999999</v>
      </c>
      <c r="C19">
        <v>19.607928000000001</v>
      </c>
      <c r="D19">
        <v>19.487204999999999</v>
      </c>
      <c r="E19">
        <v>20.029485999999999</v>
      </c>
      <c r="F19">
        <v>33.109585000000003</v>
      </c>
      <c r="G19">
        <v>28.746089999999999</v>
      </c>
      <c r="H19">
        <v>24.029820999999998</v>
      </c>
      <c r="I19">
        <v>21.840260000000001</v>
      </c>
      <c r="J19">
        <v>55.307454</v>
      </c>
      <c r="K19">
        <v>50.061455000000002</v>
      </c>
      <c r="L19">
        <v>193.30119300000001</v>
      </c>
      <c r="M19">
        <v>-622.47265400000003</v>
      </c>
      <c r="N19">
        <v>1.917651</v>
      </c>
      <c r="O19">
        <v>4.2998640000000004</v>
      </c>
      <c r="P19">
        <f t="shared" si="3"/>
        <v>3.1960849999999997E-5</v>
      </c>
      <c r="Q19" cm="1">
        <f t="array" ref="Q19">[1]!PropsSI("D","T",J19+273.15,"P",101325,"Water")</f>
        <v>985.54392640878791</v>
      </c>
      <c r="R19" cm="1">
        <f t="array" ref="R19">[1]!PropsSI("D","T",K19+273.15,"P",101325,"Water")</f>
        <v>988.00723791334224</v>
      </c>
      <c r="S19">
        <f t="shared" si="2"/>
        <v>986.77558216106513</v>
      </c>
      <c r="T19" cm="1">
        <f t="array" ref="T19">[1]!PropsSI("H","T",J19+273.15,"P",101325,"Water")</f>
        <v>231615.15880744017</v>
      </c>
      <c r="U19" cm="1">
        <f t="array" ref="U19">[1]!PropsSI("H","T",K19+273.15,"P",101325,"Water")</f>
        <v>209675.4569212441</v>
      </c>
      <c r="V19">
        <f t="shared" si="1"/>
        <v>691.93840688186128</v>
      </c>
    </row>
    <row r="21" spans="1:22" x14ac:dyDescent="0.2">
      <c r="G21" s="1" t="s">
        <v>22</v>
      </c>
    </row>
    <row r="22" spans="1:22" x14ac:dyDescent="0.2">
      <c r="G22">
        <f>AVERAGE(V2:V19)</f>
        <v>688.73164340816822</v>
      </c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AD23-6CD2-6F4C-B417-ECB933710DAF}">
  <dimension ref="A1:V36"/>
  <sheetViews>
    <sheetView workbookViewId="0">
      <selection activeCell="G19" sqref="G19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44604.6184888469</v>
      </c>
      <c r="B2">
        <v>18.881219000000002</v>
      </c>
      <c r="C2">
        <v>19.456966999999999</v>
      </c>
      <c r="D2">
        <v>19.673660999999999</v>
      </c>
      <c r="E2">
        <v>20.216812000000001</v>
      </c>
      <c r="F2">
        <v>31.830680000000001</v>
      </c>
      <c r="G2">
        <v>27.968798</v>
      </c>
      <c r="H2">
        <v>23.810853999999999</v>
      </c>
      <c r="I2">
        <v>21.592887000000001</v>
      </c>
      <c r="J2">
        <v>55.290587000000002</v>
      </c>
      <c r="K2">
        <v>49.668104999999997</v>
      </c>
      <c r="L2">
        <v>265.71511900000002</v>
      </c>
      <c r="M2">
        <v>-622.50653</v>
      </c>
      <c r="N2">
        <v>1.912336</v>
      </c>
      <c r="O2">
        <v>3.2329910000000002</v>
      </c>
      <c r="P2">
        <f xml:space="preserve"> N2*0.001/60</f>
        <v>3.187226666666667E-5</v>
      </c>
      <c r="Q2" cm="1">
        <f t="array" ref="Q2">[1]!PropsSI("D","T",J2+273.15,"P",101325,"Water")</f>
        <v>985.55212456491813</v>
      </c>
      <c r="R2" cm="1">
        <f t="array" ref="R2">[1]!PropsSI("D","T",K2+273.15,"P",101325,"Water")</f>
        <v>988.18479976561889</v>
      </c>
      <c r="S2">
        <f>(Q2+R2)/2</f>
        <v>986.86846216526851</v>
      </c>
      <c r="T2" cm="1">
        <f t="array" ref="T2">[1]!PropsSI("H","T",J2+273.15,"P",101325,"Water")</f>
        <v>231544.6030440765</v>
      </c>
      <c r="U2" cm="1">
        <f t="array" ref="U2">[1]!PropsSI("H","T",K2+273.15,"P",101325,"Water")</f>
        <v>208030.74087272547</v>
      </c>
      <c r="V2">
        <f>S2*P2*(T2-U2)</f>
        <v>739.59878465108875</v>
      </c>
    </row>
    <row r="3" spans="1:22" x14ac:dyDescent="0.2">
      <c r="A3">
        <v>44604.618604587602</v>
      </c>
      <c r="B3">
        <v>18.909848</v>
      </c>
      <c r="C3">
        <v>19.342098</v>
      </c>
      <c r="D3">
        <v>19.530066999999999</v>
      </c>
      <c r="E3">
        <v>20.156579000000001</v>
      </c>
      <c r="F3">
        <v>31.604617000000001</v>
      </c>
      <c r="G3">
        <v>27.652767999999998</v>
      </c>
      <c r="H3">
        <v>23.384136000000002</v>
      </c>
      <c r="I3">
        <v>21.347725000000001</v>
      </c>
      <c r="J3">
        <v>55.291383000000003</v>
      </c>
      <c r="K3">
        <v>49.677160000000001</v>
      </c>
      <c r="L3">
        <v>275.52891299999999</v>
      </c>
      <c r="M3">
        <v>-622.48938799999996</v>
      </c>
      <c r="N3">
        <v>1.907546</v>
      </c>
      <c r="O3">
        <v>3.1602130000000002</v>
      </c>
      <c r="P3">
        <f t="shared" ref="P3" si="0" xml:space="preserve"> N3*0.001/60</f>
        <v>3.1792433333333331E-5</v>
      </c>
      <c r="Q3" cm="1">
        <f t="array" ref="Q3">[1]!PropsSI("D","T",J3+273.15,"P",101325,"Water")</f>
        <v>985.55173771101852</v>
      </c>
      <c r="R3" cm="1">
        <f t="array" ref="R3">[1]!PropsSI("D","T",K3+273.15,"P",101325,"Water")</f>
        <v>988.18072369315371</v>
      </c>
      <c r="S3">
        <f>(Q3+R3)/2</f>
        <v>986.86623070208611</v>
      </c>
      <c r="T3" cm="1">
        <f t="array" ref="T3">[1]!PropsSI("H","T",J3+273.15,"P",101325,"Water")</f>
        <v>231547.93276175496</v>
      </c>
      <c r="U3" cm="1">
        <f t="array" ref="U3">[1]!PropsSI("H","T",K3+273.15,"P",101325,"Water")</f>
        <v>208068.60209668239</v>
      </c>
      <c r="V3">
        <f t="shared" ref="V3:V27" si="1">S3*P3*(T3-U3)</f>
        <v>736.66115506085214</v>
      </c>
    </row>
    <row r="4" spans="1:22" x14ac:dyDescent="0.2">
      <c r="A4">
        <v>44604.618720328399</v>
      </c>
      <c r="B4">
        <v>19.202059999999999</v>
      </c>
      <c r="C4">
        <v>19.687526999999999</v>
      </c>
      <c r="D4">
        <v>19.583624</v>
      </c>
      <c r="E4">
        <v>20.242239999999999</v>
      </c>
      <c r="F4">
        <v>31.972642</v>
      </c>
      <c r="G4">
        <v>29.409438000000002</v>
      </c>
      <c r="H4">
        <v>23.484444</v>
      </c>
      <c r="I4">
        <v>21.47335</v>
      </c>
      <c r="J4">
        <v>55.289473000000001</v>
      </c>
      <c r="K4">
        <v>49.685896999999997</v>
      </c>
      <c r="L4">
        <v>258.73546800000003</v>
      </c>
      <c r="M4">
        <v>-622.49959200000001</v>
      </c>
      <c r="N4">
        <v>1.9112910000000001</v>
      </c>
      <c r="O4">
        <v>3.3807070000000001</v>
      </c>
      <c r="P4">
        <f xml:space="preserve"> N4*0.001/60</f>
        <v>3.1854850000000002E-5</v>
      </c>
      <c r="Q4" cm="1">
        <f t="array" ref="Q4">[1]!PropsSI("D","T",J4+273.15,"P",101325,"Water")</f>
        <v>985.55266595937621</v>
      </c>
      <c r="R4" cm="1">
        <f t="array" ref="R4">[1]!PropsSI("D","T",K4+273.15,"P",101325,"Water")</f>
        <v>988.17679025540053</v>
      </c>
      <c r="S4">
        <f t="shared" ref="S4:S27" si="2">(Q4+R4)/2</f>
        <v>986.86472810738837</v>
      </c>
      <c r="T4" cm="1">
        <f t="array" ref="T4">[1]!PropsSI("H","T",J4+273.15,"P",101325,"Water")</f>
        <v>231539.94311292766</v>
      </c>
      <c r="U4" cm="1">
        <f t="array" ref="U4">[1]!PropsSI("H","T",K4+273.15,"P",101325,"Water")</f>
        <v>208105.13370451622</v>
      </c>
      <c r="V4">
        <f t="shared" si="1"/>
        <v>736.70669594636479</v>
      </c>
    </row>
    <row r="5" spans="1:22" x14ac:dyDescent="0.2">
      <c r="A5">
        <v>44604.618836647802</v>
      </c>
      <c r="B5">
        <v>18.913088999999999</v>
      </c>
      <c r="C5">
        <v>19.340181999999999</v>
      </c>
      <c r="D5">
        <v>19.514253</v>
      </c>
      <c r="E5">
        <v>20.210778000000001</v>
      </c>
      <c r="F5">
        <v>32.011676000000001</v>
      </c>
      <c r="G5">
        <v>27.961665</v>
      </c>
      <c r="H5">
        <v>23.810791999999999</v>
      </c>
      <c r="I5">
        <v>21.716553999999999</v>
      </c>
      <c r="J5">
        <v>55.288200000000003</v>
      </c>
      <c r="K5">
        <v>49.688279999999999</v>
      </c>
      <c r="L5">
        <v>273.56248099999999</v>
      </c>
      <c r="M5">
        <v>-622.49428599999999</v>
      </c>
      <c r="N5">
        <v>1.9135329999999999</v>
      </c>
      <c r="O5">
        <v>3.5654910000000002</v>
      </c>
      <c r="P5">
        <f t="shared" ref="P5:P27" si="3" xml:space="preserve"> N5*0.001/60</f>
        <v>3.1892216666666669E-5</v>
      </c>
      <c r="Q5" cm="1">
        <f t="array" ref="Q5">[1]!PropsSI("D","T",J5+273.15,"P",101325,"Water")</f>
        <v>985.55328461708427</v>
      </c>
      <c r="R5" cm="1">
        <f t="array" ref="R5">[1]!PropsSI("D","T",K5+273.15,"P",101325,"Water")</f>
        <v>988.17571733057559</v>
      </c>
      <c r="S5">
        <f t="shared" si="2"/>
        <v>986.86450097382999</v>
      </c>
      <c r="T5" cm="1">
        <f t="array" ref="T5">[1]!PropsSI("H","T",J5+273.15,"P",101325,"Water")</f>
        <v>231534.61807546567</v>
      </c>
      <c r="U5" cm="1">
        <f t="array" ref="U5">[1]!PropsSI("H","T",K5+273.15,"P",101325,"Water")</f>
        <v>208115.09763418249</v>
      </c>
      <c r="V5">
        <f t="shared" si="1"/>
        <v>737.08951040140005</v>
      </c>
    </row>
    <row r="6" spans="1:22" x14ac:dyDescent="0.2">
      <c r="A6">
        <v>46066.618952962963</v>
      </c>
      <c r="B6">
        <v>18.977550000000001</v>
      </c>
      <c r="C6">
        <v>19.552682000000001</v>
      </c>
      <c r="D6">
        <v>19.528027999999999</v>
      </c>
      <c r="E6">
        <v>20.087302000000001</v>
      </c>
      <c r="F6">
        <v>31.510988000000001</v>
      </c>
      <c r="G6">
        <v>27.899746</v>
      </c>
      <c r="H6">
        <v>23.402239999999999</v>
      </c>
      <c r="I6">
        <v>21.843738999999999</v>
      </c>
      <c r="J6">
        <v>55.282471999999999</v>
      </c>
      <c r="K6">
        <v>49.679543000000002</v>
      </c>
      <c r="L6">
        <v>278.37489299999999</v>
      </c>
      <c r="M6">
        <v>-622.52326400000004</v>
      </c>
      <c r="N6">
        <v>1.9084760000000001</v>
      </c>
      <c r="O6">
        <v>3.2749649999999999</v>
      </c>
      <c r="P6">
        <f t="shared" si="3"/>
        <v>3.1807933333333338E-5</v>
      </c>
      <c r="Q6" cm="1">
        <f t="array" ref="Q6">[1]!PropsSI("D","T",J6+273.15,"P",101325,"Water")</f>
        <v>985.55606820964294</v>
      </c>
      <c r="R6" cm="1">
        <f t="array" ref="R6">[1]!PropsSI("D","T",K6+273.15,"P",101325,"Water")</f>
        <v>988.17965090539462</v>
      </c>
      <c r="S6">
        <f t="shared" si="2"/>
        <v>986.86785955751884</v>
      </c>
      <c r="T6" cm="1">
        <f t="array" ref="T6">[1]!PropsSI("H","T",J6+273.15,"P",101325,"Water")</f>
        <v>231510.6575058233</v>
      </c>
      <c r="U6" cm="1">
        <f t="array" ref="U6">[1]!PropsSI("H","T",K6+273.15,"P",101325,"Water")</f>
        <v>208078.56602060172</v>
      </c>
      <c r="V6">
        <f t="shared" si="1"/>
        <v>735.53867281200928</v>
      </c>
    </row>
    <row r="7" spans="1:22" x14ac:dyDescent="0.2">
      <c r="A7">
        <v>46066.619068703701</v>
      </c>
      <c r="B7">
        <v>18.943816999999999</v>
      </c>
      <c r="C7">
        <v>19.480304</v>
      </c>
      <c r="D7">
        <v>19.608239999999999</v>
      </c>
      <c r="E7">
        <v>20.093336999999998</v>
      </c>
      <c r="F7">
        <v>31.908863</v>
      </c>
      <c r="G7">
        <v>27.993793</v>
      </c>
      <c r="H7">
        <v>23.653479999999998</v>
      </c>
      <c r="I7">
        <v>21.385743999999999</v>
      </c>
      <c r="J7">
        <v>55.281517000000001</v>
      </c>
      <c r="K7">
        <v>49.664292000000003</v>
      </c>
      <c r="L7">
        <v>274.53304400000002</v>
      </c>
      <c r="M7">
        <v>-622.51428499999997</v>
      </c>
      <c r="N7">
        <v>1.909144</v>
      </c>
      <c r="O7">
        <v>3.8499560000000002</v>
      </c>
      <c r="P7">
        <f t="shared" si="3"/>
        <v>3.1819066666666668E-5</v>
      </c>
      <c r="Q7" cm="1">
        <f t="array" ref="Q7">[1]!PropsSI("D","T",J7+273.15,"P",101325,"Water")</f>
        <v>985.55653228397307</v>
      </c>
      <c r="R7" cm="1">
        <f t="array" ref="R7">[1]!PropsSI("D","T",K7+273.15,"P",101325,"Water")</f>
        <v>988.18651601095053</v>
      </c>
      <c r="S7">
        <f t="shared" si="2"/>
        <v>986.87152414746174</v>
      </c>
      <c r="T7" cm="1">
        <f t="array" ref="T7">[1]!PropsSI("H","T",J7+273.15,"P",101325,"Water")</f>
        <v>231506.66268435083</v>
      </c>
      <c r="U7" cm="1">
        <f t="array" ref="U7">[1]!PropsSI("H","T",K7+273.15,"P",101325,"Water")</f>
        <v>208014.79777111392</v>
      </c>
      <c r="V7">
        <f t="shared" si="1"/>
        <v>737.67582167896774</v>
      </c>
    </row>
    <row r="8" spans="1:22" x14ac:dyDescent="0.2">
      <c r="A8">
        <v>46066.619185023148</v>
      </c>
      <c r="B8">
        <v>18.917296</v>
      </c>
      <c r="C8">
        <v>19.599667</v>
      </c>
      <c r="D8">
        <v>19.585802000000001</v>
      </c>
      <c r="E8">
        <v>20.107631000000001</v>
      </c>
      <c r="F8">
        <v>31.750757</v>
      </c>
      <c r="G8">
        <v>28.214403000000001</v>
      </c>
      <c r="H8">
        <v>23.378360000000001</v>
      </c>
      <c r="I8">
        <v>21.314632</v>
      </c>
      <c r="J8">
        <v>55.281517000000001</v>
      </c>
      <c r="K8">
        <v>49.658732999999998</v>
      </c>
      <c r="L8">
        <v>285.761054</v>
      </c>
      <c r="M8">
        <v>-622.50408100000004</v>
      </c>
      <c r="N8">
        <v>1.9113199999999999</v>
      </c>
      <c r="O8">
        <v>3.796672</v>
      </c>
      <c r="P8">
        <f t="shared" si="3"/>
        <v>3.1855333333333333E-5</v>
      </c>
      <c r="Q8" cm="1">
        <f t="array" ref="Q8">[1]!PropsSI("D","T",J8+273.15,"P",101325,"Water")</f>
        <v>985.55653228397307</v>
      </c>
      <c r="R8" cm="1">
        <f t="array" ref="R8">[1]!PropsSI("D","T",K8+273.15,"P",101325,"Water")</f>
        <v>988.18901796579496</v>
      </c>
      <c r="S8">
        <f t="shared" si="2"/>
        <v>986.87277512488401</v>
      </c>
      <c r="T8" cm="1">
        <f t="array" ref="T8">[1]!PropsSI("H","T",J8+273.15,"P",101325,"Water")</f>
        <v>231506.66268435083</v>
      </c>
      <c r="U8" cm="1">
        <f t="array" ref="U8">[1]!PropsSI("H","T",K8+273.15,"P",101325,"Water")</f>
        <v>207991.55421631422</v>
      </c>
      <c r="V8">
        <f t="shared" si="1"/>
        <v>739.24825576137061</v>
      </c>
    </row>
    <row r="9" spans="1:22" x14ac:dyDescent="0.2">
      <c r="A9">
        <v>46066.619300763887</v>
      </c>
      <c r="B9">
        <v>18.719065000000001</v>
      </c>
      <c r="C9">
        <v>19.514579999999999</v>
      </c>
      <c r="D9">
        <v>19.554119</v>
      </c>
      <c r="E9">
        <v>20.029412000000001</v>
      </c>
      <c r="F9">
        <v>31.772445000000001</v>
      </c>
      <c r="G9">
        <v>27.863484</v>
      </c>
      <c r="H9">
        <v>23.629906999999999</v>
      </c>
      <c r="I9">
        <v>21.358799000000001</v>
      </c>
      <c r="J9">
        <v>55.277538999999997</v>
      </c>
      <c r="K9">
        <v>49.657620999999999</v>
      </c>
      <c r="L9">
        <v>269.540233</v>
      </c>
      <c r="M9">
        <v>-622.49714300000005</v>
      </c>
      <c r="N9">
        <v>1.9095500000000001</v>
      </c>
      <c r="O9">
        <v>3.5607129999999998</v>
      </c>
      <c r="P9">
        <f t="shared" si="3"/>
        <v>3.1825833333333336E-5</v>
      </c>
      <c r="Q9" cm="1">
        <f t="array" ref="Q9">[1]!PropsSI("D","T",J9+273.15,"P",101325,"Water")</f>
        <v>985.55846529932603</v>
      </c>
      <c r="R9" cm="1">
        <f t="array" ref="R9">[1]!PropsSI("D","T",K9+273.15,"P",101325,"Water")</f>
        <v>988.18951842232514</v>
      </c>
      <c r="S9">
        <f t="shared" si="2"/>
        <v>986.87399186082553</v>
      </c>
      <c r="T9" cm="1">
        <f t="array" ref="T9">[1]!PropsSI("H","T",J9+273.15,"P",101325,"Water")</f>
        <v>231490.02247877521</v>
      </c>
      <c r="U9" cm="1">
        <f t="array" ref="U9">[1]!PropsSI("H","T",K9+273.15,"P",101325,"Water")</f>
        <v>207986.9046701953</v>
      </c>
      <c r="V9">
        <f t="shared" si="1"/>
        <v>738.18797327386062</v>
      </c>
    </row>
    <row r="10" spans="1:22" x14ac:dyDescent="0.2">
      <c r="A10">
        <v>44604.619417087597</v>
      </c>
      <c r="B10">
        <v>18.649196</v>
      </c>
      <c r="C10">
        <v>19.619520000000001</v>
      </c>
      <c r="D10">
        <v>19.299361999999999</v>
      </c>
      <c r="E10">
        <v>20.012246000000001</v>
      </c>
      <c r="F10">
        <v>31.666533999999999</v>
      </c>
      <c r="G10">
        <v>28.537717000000001</v>
      </c>
      <c r="H10">
        <v>23.650039</v>
      </c>
      <c r="I10">
        <v>21.457398999999999</v>
      </c>
      <c r="J10">
        <v>55.274675000000002</v>
      </c>
      <c r="K10">
        <v>49.655397000000001</v>
      </c>
      <c r="L10">
        <v>272.48743300000001</v>
      </c>
      <c r="M10">
        <v>-622.50734699999998</v>
      </c>
      <c r="N10">
        <v>1.9108689999999999</v>
      </c>
      <c r="O10">
        <v>3.0539879999999999</v>
      </c>
      <c r="P10">
        <f t="shared" si="3"/>
        <v>3.1847816666666667E-5</v>
      </c>
      <c r="Q10" cm="1">
        <f t="array" ref="Q10">[1]!PropsSI("D","T",J10+273.15,"P",101325,"Water")</f>
        <v>985.55985693198159</v>
      </c>
      <c r="R10" cm="1">
        <f t="array" ref="R10">[1]!PropsSI("D","T",K10+273.15,"P",101325,"Water")</f>
        <v>988.19051931100444</v>
      </c>
      <c r="S10">
        <f t="shared" si="2"/>
        <v>986.87518812149301</v>
      </c>
      <c r="T10" cm="1">
        <f t="array" ref="T10">[1]!PropsSI("H","T",J10+273.15,"P",101325,"Water")</f>
        <v>231478.04220363559</v>
      </c>
      <c r="U10" cm="1">
        <f t="array" ref="U10">[1]!PropsSI("H","T",K10+273.15,"P",101325,"Water")</f>
        <v>207977.60557886891</v>
      </c>
      <c r="V10">
        <f t="shared" si="1"/>
        <v>738.61449454597619</v>
      </c>
    </row>
    <row r="11" spans="1:22" x14ac:dyDescent="0.2">
      <c r="A11">
        <v>44604.619532828401</v>
      </c>
      <c r="B11">
        <v>18.776658000000001</v>
      </c>
      <c r="C11">
        <v>19.594137</v>
      </c>
      <c r="D11">
        <v>19.438092999999999</v>
      </c>
      <c r="E11">
        <v>20.040227000000002</v>
      </c>
      <c r="F11">
        <v>32.002077999999997</v>
      </c>
      <c r="G11">
        <v>28.279772999999999</v>
      </c>
      <c r="H11">
        <v>23.718250000000001</v>
      </c>
      <c r="I11">
        <v>21.800943</v>
      </c>
      <c r="J11">
        <v>55.272288000000003</v>
      </c>
      <c r="K11">
        <v>49.647454000000003</v>
      </c>
      <c r="L11">
        <v>270.17326300000002</v>
      </c>
      <c r="M11">
        <v>-622.53387599999996</v>
      </c>
      <c r="N11">
        <v>1.905362</v>
      </c>
      <c r="O11">
        <v>3.655043</v>
      </c>
      <c r="P11">
        <f t="shared" si="3"/>
        <v>3.1756033333333332E-5</v>
      </c>
      <c r="Q11" cm="1">
        <f t="array" ref="Q11">[1]!PropsSI("D","T",J11+273.15,"P",101325,"Water")</f>
        <v>985.56101674907063</v>
      </c>
      <c r="R11" cm="1">
        <f t="array" ref="R11">[1]!PropsSI("D","T",K11+273.15,"P",101325,"Water")</f>
        <v>988.19409371180518</v>
      </c>
      <c r="S11">
        <f t="shared" si="2"/>
        <v>986.87755523043791</v>
      </c>
      <c r="T11" cm="1">
        <f t="array" ref="T11">[1]!PropsSI("H","T",J11+273.15,"P",101325,"Water")</f>
        <v>231468.05724894631</v>
      </c>
      <c r="U11" cm="1">
        <f t="array" ref="U11">[1]!PropsSI("H","T",K11+273.15,"P",101325,"Water")</f>
        <v>207944.39395230278</v>
      </c>
      <c r="V11">
        <f t="shared" si="1"/>
        <v>737.21553022957005</v>
      </c>
    </row>
    <row r="12" spans="1:22" x14ac:dyDescent="0.2">
      <c r="A12">
        <v>44604.619649147797</v>
      </c>
      <c r="B12">
        <v>19.126567000000001</v>
      </c>
      <c r="C12">
        <v>19.446484000000002</v>
      </c>
      <c r="D12">
        <v>19.558271999999999</v>
      </c>
      <c r="E12">
        <v>20.074529999999999</v>
      </c>
      <c r="F12">
        <v>31.745522000000001</v>
      </c>
      <c r="G12">
        <v>28.357146</v>
      </c>
      <c r="H12">
        <v>23.631834999999999</v>
      </c>
      <c r="I12">
        <v>21.430284</v>
      </c>
      <c r="J12">
        <v>55.269902000000002</v>
      </c>
      <c r="K12">
        <v>49.653807999999998</v>
      </c>
      <c r="L12">
        <v>262.30590100000001</v>
      </c>
      <c r="M12">
        <v>-622.48979599999996</v>
      </c>
      <c r="N12">
        <v>1.914938</v>
      </c>
      <c r="O12">
        <v>3.9634239999999998</v>
      </c>
      <c r="P12">
        <f t="shared" si="3"/>
        <v>3.1915633333333337E-5</v>
      </c>
      <c r="Q12" cm="1">
        <f t="array" ref="Q12">[1]!PropsSI("D","T",J12+273.15,"P",101325,"Water")</f>
        <v>985.56217604499534</v>
      </c>
      <c r="R12" cm="1">
        <f t="array" ref="R12">[1]!PropsSI("D","T",K12+273.15,"P",101325,"Water")</f>
        <v>988.19123440442456</v>
      </c>
      <c r="S12">
        <f t="shared" si="2"/>
        <v>986.87670522470989</v>
      </c>
      <c r="T12" cm="1">
        <f t="array" ref="T12">[1]!PropsSI("H","T",J12+273.15,"P",101325,"Water")</f>
        <v>231458.0764793804</v>
      </c>
      <c r="U12" cm="1">
        <f t="array" ref="U12">[1]!PropsSI("H","T",K12+273.15,"P",101325,"Water")</f>
        <v>207970.96157969211</v>
      </c>
      <c r="V12">
        <f t="shared" si="1"/>
        <v>739.76884476129464</v>
      </c>
    </row>
    <row r="13" spans="1:22" x14ac:dyDescent="0.2">
      <c r="A13">
        <v>44604.6197654672</v>
      </c>
      <c r="B13">
        <v>18.986415999999998</v>
      </c>
      <c r="C13">
        <v>19.523810000000001</v>
      </c>
      <c r="D13">
        <v>19.445012999999999</v>
      </c>
      <c r="E13">
        <v>20.128898</v>
      </c>
      <c r="F13">
        <v>32.026107000000003</v>
      </c>
      <c r="G13">
        <v>28.737807</v>
      </c>
      <c r="H13">
        <v>23.38241</v>
      </c>
      <c r="I13">
        <v>21.353083999999999</v>
      </c>
      <c r="J13">
        <v>55.268788000000001</v>
      </c>
      <c r="K13">
        <v>49.652219000000002</v>
      </c>
      <c r="L13">
        <v>262.84873099999999</v>
      </c>
      <c r="M13">
        <v>-622.48408199999994</v>
      </c>
      <c r="N13">
        <v>1.9061809999999999</v>
      </c>
      <c r="O13">
        <v>3.2461820000000001</v>
      </c>
      <c r="P13">
        <f t="shared" si="3"/>
        <v>3.1769683333333332E-5</v>
      </c>
      <c r="Q13" cm="1">
        <f t="array" ref="Q13">[1]!PropsSI("D","T",J13+273.15,"P",101325,"Water")</f>
        <v>985.56271729681305</v>
      </c>
      <c r="R13" cm="1">
        <f t="array" ref="R13">[1]!PropsSI("D","T",K13+273.15,"P",101325,"Water")</f>
        <v>988.19194948120014</v>
      </c>
      <c r="S13">
        <f t="shared" si="2"/>
        <v>986.87733338900659</v>
      </c>
      <c r="T13" cm="1">
        <f t="array" ref="T13">[1]!PropsSI("H","T",J13+273.15,"P",101325,"Water")</f>
        <v>231453.41655670217</v>
      </c>
      <c r="U13" cm="1">
        <f t="array" ref="U13">[1]!PropsSI("H","T",K13+273.15,"P",101325,"Water")</f>
        <v>207964.31758112271</v>
      </c>
      <c r="V13">
        <f t="shared" si="1"/>
        <v>736.44856128493734</v>
      </c>
    </row>
    <row r="14" spans="1:22" x14ac:dyDescent="0.2">
      <c r="A14">
        <v>44604.619881786697</v>
      </c>
      <c r="B14">
        <v>18.939378999999999</v>
      </c>
      <c r="C14">
        <v>19.445256000000001</v>
      </c>
      <c r="D14">
        <v>19.495303</v>
      </c>
      <c r="E14">
        <v>20.140657999999998</v>
      </c>
      <c r="F14">
        <v>31.842827</v>
      </c>
      <c r="G14">
        <v>28.102587</v>
      </c>
      <c r="H14">
        <v>23.613572000000001</v>
      </c>
      <c r="I14">
        <v>21.314571000000001</v>
      </c>
      <c r="J14">
        <v>55.271334000000003</v>
      </c>
      <c r="K14">
        <v>49.645865000000001</v>
      </c>
      <c r="L14">
        <v>285.87655799999999</v>
      </c>
      <c r="M14">
        <v>-622.50040799999999</v>
      </c>
      <c r="N14">
        <v>1.912496</v>
      </c>
      <c r="O14">
        <v>2.985163</v>
      </c>
      <c r="P14">
        <f t="shared" si="3"/>
        <v>3.1874933333333335E-5</v>
      </c>
      <c r="Q14" cm="1">
        <f t="array" ref="Q14">[1]!PropsSI("D","T",J14+273.15,"P",101325,"Water")</f>
        <v>985.56148027733366</v>
      </c>
      <c r="R14" cm="1">
        <f t="array" ref="R14">[1]!PropsSI("D","T",K14+273.15,"P",101325,"Water")</f>
        <v>988.19480872209567</v>
      </c>
      <c r="S14">
        <f t="shared" si="2"/>
        <v>986.87814449971461</v>
      </c>
      <c r="T14" cm="1">
        <f t="array" ref="T14">[1]!PropsSI("H","T",J14+273.15,"P",101325,"Water")</f>
        <v>231464.06661407455</v>
      </c>
      <c r="U14" cm="1">
        <f t="array" ref="U14">[1]!PropsSI("H","T",K14+273.15,"P",101325,"Water")</f>
        <v>207937.74995655435</v>
      </c>
      <c r="V14">
        <f t="shared" si="1"/>
        <v>740.05969854960904</v>
      </c>
    </row>
    <row r="15" spans="1:22" x14ac:dyDescent="0.2">
      <c r="A15">
        <v>46066.61999752315</v>
      </c>
      <c r="B15">
        <v>18.805488</v>
      </c>
      <c r="C15">
        <v>19.400407999999999</v>
      </c>
      <c r="D15">
        <v>19.411695999999999</v>
      </c>
      <c r="E15">
        <v>20.158711</v>
      </c>
      <c r="F15">
        <v>31.574947999999999</v>
      </c>
      <c r="G15">
        <v>27.676563000000002</v>
      </c>
      <c r="H15">
        <v>23.397348999999998</v>
      </c>
      <c r="I15">
        <v>21.452508999999999</v>
      </c>
      <c r="J15">
        <v>55.273879999999998</v>
      </c>
      <c r="K15">
        <v>49.651743000000003</v>
      </c>
      <c r="L15">
        <v>249.871422</v>
      </c>
      <c r="M15">
        <v>-622.487348</v>
      </c>
      <c r="N15">
        <v>1.907411</v>
      </c>
      <c r="O15">
        <v>3.6382819999999998</v>
      </c>
      <c r="P15">
        <f t="shared" si="3"/>
        <v>3.1790183333333329E-5</v>
      </c>
      <c r="Q15" cm="1">
        <f t="array" ref="Q15">[1]!PropsSI("D","T",J15+273.15,"P",101325,"Water")</f>
        <v>985.56024321768973</v>
      </c>
      <c r="R15" cm="1">
        <f t="array" ref="R15">[1]!PropsSI("D","T",K15+273.15,"P",101325,"Water")</f>
        <v>988.1921636859953</v>
      </c>
      <c r="S15">
        <f t="shared" si="2"/>
        <v>986.87620345184246</v>
      </c>
      <c r="T15" cm="1">
        <f t="array" ref="T15">[1]!PropsSI("H","T",J15+273.15,"P",101325,"Water")</f>
        <v>231474.71667386958</v>
      </c>
      <c r="U15" cm="1">
        <f t="array" ref="U15">[1]!PropsSI("H","T",K15+273.15,"P",101325,"Water")</f>
        <v>207962.3273085636</v>
      </c>
      <c r="V15">
        <f t="shared" si="1"/>
        <v>737.65361397679385</v>
      </c>
    </row>
    <row r="18" spans="7:16" x14ac:dyDescent="0.2">
      <c r="G18" s="1" t="s">
        <v>22</v>
      </c>
    </row>
    <row r="19" spans="7:16" x14ac:dyDescent="0.2">
      <c r="G19">
        <f>AVERAGE(V2:V15)</f>
        <v>737.89054378100661</v>
      </c>
    </row>
    <row r="28" spans="7:16" x14ac:dyDescent="0.2">
      <c r="P28" s="1"/>
    </row>
    <row r="29" spans="7:16" x14ac:dyDescent="0.2">
      <c r="P29" s="1"/>
    </row>
    <row r="30" spans="7:16" x14ac:dyDescent="0.2">
      <c r="P30" s="1"/>
    </row>
    <row r="31" spans="7:16" x14ac:dyDescent="0.2">
      <c r="P31" s="1"/>
    </row>
    <row r="32" spans="7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CF8-1A1E-7044-93CE-6DF62364C9F4}">
  <dimension ref="A1:V36"/>
  <sheetViews>
    <sheetView workbookViewId="0">
      <selection activeCell="G25" sqref="G2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44604.620646254298</v>
      </c>
      <c r="B2">
        <v>19.117712000000001</v>
      </c>
      <c r="C2">
        <v>19.639893000000001</v>
      </c>
      <c r="D2">
        <v>19.797827999999999</v>
      </c>
      <c r="E2">
        <v>20.189637999999999</v>
      </c>
      <c r="F2">
        <v>30.782005000000002</v>
      </c>
      <c r="G2">
        <v>27.266126</v>
      </c>
      <c r="H2">
        <v>23.310752999999998</v>
      </c>
      <c r="I2">
        <v>21.222978000000001</v>
      </c>
      <c r="J2">
        <v>55.269902000000002</v>
      </c>
      <c r="K2">
        <v>49.316260999999997</v>
      </c>
      <c r="L2">
        <v>386.73232400000001</v>
      </c>
      <c r="M2">
        <v>-622.47959300000002</v>
      </c>
      <c r="N2">
        <v>1.901227</v>
      </c>
      <c r="O2">
        <v>3.9235220000000002</v>
      </c>
      <c r="P2">
        <f xml:space="preserve"> N2*0.001/60</f>
        <v>3.1687116666666667E-5</v>
      </c>
      <c r="Q2" cm="1">
        <f t="array" ref="Q2">[1]!PropsSI("D","T",J2+273.15,"P",101325,"Water")</f>
        <v>985.56217604499534</v>
      </c>
      <c r="R2" cm="1">
        <f t="array" ref="R2">[1]!PropsSI("D","T",K2+273.15,"P",101325,"Water")</f>
        <v>988.34276233158641</v>
      </c>
      <c r="S2">
        <f>(Q2+R2)/2</f>
        <v>986.95246918829093</v>
      </c>
      <c r="T2" cm="1">
        <f t="array" ref="T2">[1]!PropsSI("H","T",J2+273.15,"P",101325,"Water")</f>
        <v>231458.0764793804</v>
      </c>
      <c r="U2" cm="1">
        <f t="array" ref="U2">[1]!PropsSI("H","T",K2+273.15,"P",101325,"Water")</f>
        <v>206559.61044001626</v>
      </c>
      <c r="V2">
        <f>S2*P2*(T2-U2)</f>
        <v>778.6666104959952</v>
      </c>
    </row>
    <row r="3" spans="1:22" x14ac:dyDescent="0.2">
      <c r="A3">
        <v>44604.620762573701</v>
      </c>
      <c r="B3">
        <v>19.104531000000001</v>
      </c>
      <c r="C3">
        <v>19.816323000000001</v>
      </c>
      <c r="D3">
        <v>19.693436999999999</v>
      </c>
      <c r="E3">
        <v>20.209496999999999</v>
      </c>
      <c r="F3">
        <v>30.753485999999999</v>
      </c>
      <c r="G3">
        <v>27.304804000000001</v>
      </c>
      <c r="H3">
        <v>23.520768</v>
      </c>
      <c r="I3">
        <v>21.616482000000001</v>
      </c>
      <c r="J3">
        <v>55.272129</v>
      </c>
      <c r="K3">
        <v>49.319755000000001</v>
      </c>
      <c r="L3">
        <v>370.52497299999999</v>
      </c>
      <c r="M3">
        <v>-622.48571500000003</v>
      </c>
      <c r="N3">
        <v>1.914037</v>
      </c>
      <c r="O3">
        <v>2.8892440000000001</v>
      </c>
      <c r="P3">
        <f t="shared" ref="P3" si="0" xml:space="preserve"> N3*0.001/60</f>
        <v>3.1900616666666668E-5</v>
      </c>
      <c r="Q3" cm="1">
        <f t="array" ref="Q3">[1]!PropsSI("D","T",J3+273.15,"P",101325,"Water")</f>
        <v>985.56109400416767</v>
      </c>
      <c r="R3" cm="1">
        <f t="array" ref="R3">[1]!PropsSI("D","T",K3+273.15,"P",101325,"Water")</f>
        <v>988.34119769657775</v>
      </c>
      <c r="S3">
        <f>(Q3+R3)/2</f>
        <v>986.95114585037277</v>
      </c>
      <c r="T3" cm="1">
        <f t="array" ref="T3">[1]!PropsSI("H","T",J3+273.15,"P",101325,"Water")</f>
        <v>231467.39214310929</v>
      </c>
      <c r="U3" cm="1">
        <f t="array" ref="U3">[1]!PropsSI("H","T",K3+273.15,"P",101325,"Water")</f>
        <v>206574.2193893244</v>
      </c>
      <c r="V3">
        <f t="shared" ref="V3:V27" si="1">S3*P3*(T3-U3)</f>
        <v>783.74536788470391</v>
      </c>
    </row>
    <row r="4" spans="1:22" x14ac:dyDescent="0.2">
      <c r="A4">
        <v>44604.620878314498</v>
      </c>
      <c r="B4">
        <v>18.813199999999998</v>
      </c>
      <c r="C4">
        <v>19.587926</v>
      </c>
      <c r="D4">
        <v>19.578720000000001</v>
      </c>
      <c r="E4">
        <v>20.043848000000001</v>
      </c>
      <c r="F4">
        <v>30.828672999999998</v>
      </c>
      <c r="G4">
        <v>27.382186999999998</v>
      </c>
      <c r="H4">
        <v>23.138748</v>
      </c>
      <c r="I4">
        <v>21.012889000000001</v>
      </c>
      <c r="J4">
        <v>55.268628999999997</v>
      </c>
      <c r="K4">
        <v>49.310065999999999</v>
      </c>
      <c r="L4">
        <v>392.20674400000001</v>
      </c>
      <c r="M4">
        <v>-622.47183800000005</v>
      </c>
      <c r="N4">
        <v>1.9072880000000001</v>
      </c>
      <c r="O4">
        <v>3.4754559999999999</v>
      </c>
      <c r="P4">
        <f xml:space="preserve"> N4*0.001/60</f>
        <v>3.1788133333333335E-5</v>
      </c>
      <c r="Q4" cm="1">
        <f t="array" ref="Q4">[1]!PropsSI("D","T",J4+273.15,"P",101325,"Water")</f>
        <v>985.56279454846094</v>
      </c>
      <c r="R4" cm="1">
        <f t="array" ref="R4">[1]!PropsSI("D","T",K4+273.15,"P",101325,"Water")</f>
        <v>988.34553629284949</v>
      </c>
      <c r="S4">
        <f t="shared" ref="S4:S27" si="2">(Q4+R4)/2</f>
        <v>986.95416542065527</v>
      </c>
      <c r="T4" cm="1">
        <f t="array" ref="T4">[1]!PropsSI("H","T",J4+273.15,"P",101325,"Water")</f>
        <v>231452.75145107272</v>
      </c>
      <c r="U4" cm="1">
        <f t="array" ref="U4">[1]!PropsSI("H","T",K4+273.15,"P",101325,"Water")</f>
        <v>206533.70820405049</v>
      </c>
      <c r="V4">
        <f t="shared" si="1"/>
        <v>781.79587403551693</v>
      </c>
    </row>
    <row r="5" spans="1:22" x14ac:dyDescent="0.2">
      <c r="A5">
        <v>44604.6209940552</v>
      </c>
      <c r="B5">
        <v>18.857583999999999</v>
      </c>
      <c r="C5">
        <v>19.802720999999998</v>
      </c>
      <c r="D5">
        <v>19.751359999999998</v>
      </c>
      <c r="E5">
        <v>20.078178999999999</v>
      </c>
      <c r="F5">
        <v>30.753131</v>
      </c>
      <c r="G5">
        <v>27.127302</v>
      </c>
      <c r="H5">
        <v>23.25328</v>
      </c>
      <c r="I5">
        <v>21.406219</v>
      </c>
      <c r="J5">
        <v>55.266241999999998</v>
      </c>
      <c r="K5">
        <v>49.293546999999997</v>
      </c>
      <c r="L5">
        <v>378.813129</v>
      </c>
      <c r="M5">
        <v>-622.49755100000004</v>
      </c>
      <c r="N5">
        <v>1.9125620000000001</v>
      </c>
      <c r="O5">
        <v>3.7809140000000001</v>
      </c>
      <c r="P5">
        <f t="shared" ref="P5:P27" si="3" xml:space="preserve"> N5*0.001/60</f>
        <v>3.1876033333333331E-5</v>
      </c>
      <c r="Q5" cm="1">
        <f t="array" ref="Q5">[1]!PropsSI("D","T",J5+273.15,"P",101325,"Water")</f>
        <v>985.56395427620691</v>
      </c>
      <c r="R5" cm="1">
        <f t="array" ref="R5">[1]!PropsSI("D","T",K5+273.15,"P",101325,"Water")</f>
        <v>988.35293183452461</v>
      </c>
      <c r="S5">
        <f t="shared" si="2"/>
        <v>986.95844305536571</v>
      </c>
      <c r="T5" cm="1">
        <f t="array" ref="T5">[1]!PropsSI("H","T",J5+273.15,"P",101325,"Water")</f>
        <v>231442.76650162908</v>
      </c>
      <c r="U5" cm="1">
        <f t="array" ref="U5">[1]!PropsSI("H","T",K5+273.15,"P",101325,"Water")</f>
        <v>206464.63980687293</v>
      </c>
      <c r="V5">
        <f t="shared" si="1"/>
        <v>785.81986454874232</v>
      </c>
    </row>
    <row r="6" spans="1:22" x14ac:dyDescent="0.2">
      <c r="A6">
        <v>46066.621110370368</v>
      </c>
      <c r="B6">
        <v>19.237466999999999</v>
      </c>
      <c r="C6">
        <v>19.733508</v>
      </c>
      <c r="D6">
        <v>19.843548999999999</v>
      </c>
      <c r="E6">
        <v>20.267728000000002</v>
      </c>
      <c r="F6">
        <v>30.795839000000001</v>
      </c>
      <c r="G6">
        <v>27.148312000000001</v>
      </c>
      <c r="H6">
        <v>23.527795000000001</v>
      </c>
      <c r="I6">
        <v>21.575189000000002</v>
      </c>
      <c r="J6">
        <v>55.259399999999999</v>
      </c>
      <c r="K6">
        <v>49.290211999999997</v>
      </c>
      <c r="L6">
        <v>394.54785199999998</v>
      </c>
      <c r="M6">
        <v>-622.49591899999996</v>
      </c>
      <c r="N6">
        <v>1.910963</v>
      </c>
      <c r="O6">
        <v>3.8199019999999999</v>
      </c>
      <c r="P6">
        <f t="shared" si="3"/>
        <v>3.1849383333333337E-5</v>
      </c>
      <c r="Q6" cm="1">
        <f t="array" ref="Q6">[1]!PropsSI("D","T",J6+273.15,"P",101325,"Water")</f>
        <v>985.56727827725126</v>
      </c>
      <c r="R6" cm="1">
        <f t="array" ref="R6">[1]!PropsSI("D","T",K6+273.15,"P",101325,"Water")</f>
        <v>988.35442469211637</v>
      </c>
      <c r="S6">
        <f t="shared" si="2"/>
        <v>986.96085148468387</v>
      </c>
      <c r="T6" cm="1">
        <f t="array" ref="T6">[1]!PropsSI("H","T",J6+273.15,"P",101325,"Water")</f>
        <v>231414.14605913855</v>
      </c>
      <c r="U6" cm="1">
        <f t="array" ref="U6">[1]!PropsSI("H","T",K6+273.15,"P",101325,"Water")</f>
        <v>206450.69568456334</v>
      </c>
      <c r="V6">
        <f t="shared" si="1"/>
        <v>784.70345796889887</v>
      </c>
    </row>
    <row r="7" spans="1:22" x14ac:dyDescent="0.2">
      <c r="A7">
        <v>46066.621226111114</v>
      </c>
      <c r="B7">
        <v>18.838221999999998</v>
      </c>
      <c r="C7">
        <v>19.343923</v>
      </c>
      <c r="D7">
        <v>19.744842999999999</v>
      </c>
      <c r="E7">
        <v>20.308596999999999</v>
      </c>
      <c r="F7">
        <v>30.630680000000002</v>
      </c>
      <c r="G7">
        <v>27.284116999999998</v>
      </c>
      <c r="H7">
        <v>23.163976999999999</v>
      </c>
      <c r="I7">
        <v>21.345988999999999</v>
      </c>
      <c r="J7">
        <v>55.257967999999998</v>
      </c>
      <c r="K7">
        <v>49.288623000000001</v>
      </c>
      <c r="L7">
        <v>375.27412299999997</v>
      </c>
      <c r="M7">
        <v>-622.47591999999997</v>
      </c>
      <c r="N7">
        <v>1.910398</v>
      </c>
      <c r="O7">
        <v>3.9676049999999998</v>
      </c>
      <c r="P7">
        <f t="shared" si="3"/>
        <v>3.1839966666666667E-5</v>
      </c>
      <c r="Q7" cm="1">
        <f t="array" ref="Q7">[1]!PropsSI("D","T",J7+273.15,"P",101325,"Water")</f>
        <v>985.567973939137</v>
      </c>
      <c r="R7" cm="1">
        <f t="array" ref="R7">[1]!PropsSI("D","T",K7+273.15,"P",101325,"Water")</f>
        <v>988.35513595583609</v>
      </c>
      <c r="S7">
        <f t="shared" si="2"/>
        <v>986.96155494748655</v>
      </c>
      <c r="T7" cm="1">
        <f t="array" ref="T7">[1]!PropsSI("H","T",J7+273.15,"P",101325,"Water")</f>
        <v>231408.15593067906</v>
      </c>
      <c r="U7" cm="1">
        <f t="array" ref="U7">[1]!PropsSI("H","T",K7+273.15,"P",101325,"Water")</f>
        <v>206444.05184446395</v>
      </c>
      <c r="V7">
        <f t="shared" si="1"/>
        <v>784.49255253273554</v>
      </c>
    </row>
    <row r="8" spans="1:22" x14ac:dyDescent="0.2">
      <c r="A8">
        <v>46066.621342430553</v>
      </c>
      <c r="B8">
        <v>18.600189</v>
      </c>
      <c r="C8">
        <v>19.313120999999999</v>
      </c>
      <c r="D8">
        <v>19.754805999999999</v>
      </c>
      <c r="E8">
        <v>20.330399</v>
      </c>
      <c r="F8">
        <v>30.532972000000001</v>
      </c>
      <c r="G8">
        <v>27.599740000000001</v>
      </c>
      <c r="H8">
        <v>23.312303</v>
      </c>
      <c r="I8">
        <v>21.396422999999999</v>
      </c>
      <c r="J8">
        <v>55.250329999999998</v>
      </c>
      <c r="K8">
        <v>49.280363999999999</v>
      </c>
      <c r="L8">
        <v>351.42960199999999</v>
      </c>
      <c r="M8">
        <v>-622.50489800000003</v>
      </c>
      <c r="N8">
        <v>1.907402</v>
      </c>
      <c r="O8">
        <v>3.6990889999999998</v>
      </c>
      <c r="P8">
        <f t="shared" si="3"/>
        <v>3.1790033333333332E-5</v>
      </c>
      <c r="Q8" cm="1">
        <f t="array" ref="Q8">[1]!PropsSI("D","T",J8+273.15,"P",101325,"Water")</f>
        <v>985.57168424522445</v>
      </c>
      <c r="R8" cm="1">
        <f t="array" ref="R8">[1]!PropsSI("D","T",K8+273.15,"P",101325,"Water")</f>
        <v>988.35883255714816</v>
      </c>
      <c r="S8">
        <f t="shared" si="2"/>
        <v>986.96525840118625</v>
      </c>
      <c r="T8" cm="1">
        <f t="array" ref="T8">[1]!PropsSI("H","T",J8+273.15,"P",101325,"Water")</f>
        <v>231376.20580290811</v>
      </c>
      <c r="U8" cm="1">
        <f t="array" ref="U8">[1]!PropsSI("H","T",K8+273.15,"P",101325,"Water")</f>
        <v>206409.51977521932</v>
      </c>
      <c r="V8">
        <f t="shared" si="1"/>
        <v>783.34621376809514</v>
      </c>
    </row>
    <row r="9" spans="1:22" x14ac:dyDescent="0.2">
      <c r="A9">
        <v>46066.621458171299</v>
      </c>
      <c r="B9">
        <v>18.867964000000001</v>
      </c>
      <c r="C9">
        <v>19.360876000000001</v>
      </c>
      <c r="D9">
        <v>19.814643</v>
      </c>
      <c r="E9">
        <v>20.381785000000001</v>
      </c>
      <c r="F9">
        <v>30.682608999999999</v>
      </c>
      <c r="G9">
        <v>27.075599</v>
      </c>
      <c r="H9">
        <v>23.595490999999999</v>
      </c>
      <c r="I9">
        <v>21.296386999999999</v>
      </c>
      <c r="J9">
        <v>55.250329999999998</v>
      </c>
      <c r="K9">
        <v>49.268928000000002</v>
      </c>
      <c r="L9">
        <v>365.66195099999999</v>
      </c>
      <c r="M9">
        <v>-622.49510199999997</v>
      </c>
      <c r="N9">
        <v>1.9163520000000001</v>
      </c>
      <c r="O9">
        <v>3.5096790000000002</v>
      </c>
      <c r="P9">
        <f t="shared" si="3"/>
        <v>3.1939200000000001E-5</v>
      </c>
      <c r="Q9" cm="1">
        <f t="array" ref="Q9">[1]!PropsSI("D","T",J9+273.15,"P",101325,"Water")</f>
        <v>985.57168424522445</v>
      </c>
      <c r="R9" cm="1">
        <f t="array" ref="R9">[1]!PropsSI("D","T",K9+273.15,"P",101325,"Water")</f>
        <v>988.36395038987303</v>
      </c>
      <c r="S9">
        <f t="shared" si="2"/>
        <v>986.96781731754868</v>
      </c>
      <c r="T9" cm="1">
        <f t="array" ref="T9">[1]!PropsSI("H","T",J9+273.15,"P",101325,"Water")</f>
        <v>231376.20580290811</v>
      </c>
      <c r="U9" cm="1">
        <f t="array" ref="U9">[1]!PropsSI("H","T",K9+273.15,"P",101325,"Water")</f>
        <v>206361.70424164043</v>
      </c>
      <c r="V9">
        <f t="shared" si="1"/>
        <v>788.53119494390648</v>
      </c>
    </row>
    <row r="10" spans="1:22" x14ac:dyDescent="0.2">
      <c r="A10">
        <v>44604.621574495002</v>
      </c>
      <c r="B10">
        <v>18.937671000000002</v>
      </c>
      <c r="C10">
        <v>19.680447000000001</v>
      </c>
      <c r="D10">
        <v>19.746623</v>
      </c>
      <c r="E10">
        <v>20.128634999999999</v>
      </c>
      <c r="F10">
        <v>30.719877</v>
      </c>
      <c r="G10">
        <v>27.087257999999999</v>
      </c>
      <c r="H10">
        <v>23.175667000000001</v>
      </c>
      <c r="I10">
        <v>21.213571000000002</v>
      </c>
      <c r="J10">
        <v>55.246034000000002</v>
      </c>
      <c r="K10">
        <v>49.279252</v>
      </c>
      <c r="L10">
        <v>393.428316</v>
      </c>
      <c r="M10">
        <v>-622.49061300000005</v>
      </c>
      <c r="N10">
        <v>1.9043410000000001</v>
      </c>
      <c r="O10">
        <v>3.2640359999999999</v>
      </c>
      <c r="P10">
        <f t="shared" si="3"/>
        <v>3.1739016666666672E-5</v>
      </c>
      <c r="Q10" cm="1">
        <f t="array" ref="Q10">[1]!PropsSI("D","T",J10+273.15,"P",101325,"Water")</f>
        <v>985.57377095150389</v>
      </c>
      <c r="R10" cm="1">
        <f t="array" ref="R10">[1]!PropsSI("D","T",K10+273.15,"P",101325,"Water")</f>
        <v>988.35933023677069</v>
      </c>
      <c r="S10">
        <f t="shared" si="2"/>
        <v>986.96655059413729</v>
      </c>
      <c r="T10" cm="1">
        <f t="array" ref="T10">[1]!PropsSI("H","T",J10+273.15,"P",101325,"Water")</f>
        <v>231358.23543407049</v>
      </c>
      <c r="U10" cm="1">
        <f t="array" ref="U10">[1]!PropsSI("H","T",K10+273.15,"P",101325,"Water")</f>
        <v>206404.87034433335</v>
      </c>
      <c r="V10">
        <f t="shared" si="1"/>
        <v>781.67284018519842</v>
      </c>
    </row>
    <row r="11" spans="1:22" x14ac:dyDescent="0.2">
      <c r="A11">
        <v>44604.621690235799</v>
      </c>
      <c r="B11">
        <v>18.988396000000002</v>
      </c>
      <c r="C11">
        <v>19.738202999999999</v>
      </c>
      <c r="D11">
        <v>19.572417000000002</v>
      </c>
      <c r="E11">
        <v>20.038484</v>
      </c>
      <c r="F11">
        <v>30.842222</v>
      </c>
      <c r="G11">
        <v>26.963882000000002</v>
      </c>
      <c r="H11">
        <v>23.146974</v>
      </c>
      <c r="I11">
        <v>21.182065000000001</v>
      </c>
      <c r="J11">
        <v>55.242851000000002</v>
      </c>
      <c r="K11">
        <v>49.269086000000001</v>
      </c>
      <c r="L11">
        <v>369.52502299999998</v>
      </c>
      <c r="M11">
        <v>-622.50122399999998</v>
      </c>
      <c r="N11">
        <v>1.915578</v>
      </c>
      <c r="O11">
        <v>3.822139</v>
      </c>
      <c r="P11">
        <f t="shared" si="3"/>
        <v>3.19263E-5</v>
      </c>
      <c r="Q11" cm="1">
        <f t="array" ref="Q11">[1]!PropsSI("D","T",J11+273.15,"P",101325,"Water")</f>
        <v>985.5753169639645</v>
      </c>
      <c r="R11" cm="1">
        <f t="array" ref="R11">[1]!PropsSI("D","T",K11+273.15,"P",101325,"Water")</f>
        <v>988.36387968769759</v>
      </c>
      <c r="S11">
        <f t="shared" si="2"/>
        <v>986.96959832583104</v>
      </c>
      <c r="T11" cm="1">
        <f t="array" ref="T11">[1]!PropsSI("H","T",J11+273.15,"P",101325,"Water")</f>
        <v>231344.92080058873</v>
      </c>
      <c r="U11" cm="1">
        <f t="array" ref="U11">[1]!PropsSI("H","T",K11+273.15,"P",101325,"Water")</f>
        <v>206362.36486174763</v>
      </c>
      <c r="V11">
        <f t="shared" si="1"/>
        <v>787.20751979369129</v>
      </c>
    </row>
    <row r="12" spans="1:22" x14ac:dyDescent="0.2">
      <c r="A12">
        <v>44604.621806555202</v>
      </c>
      <c r="B12">
        <v>19.139123999999999</v>
      </c>
      <c r="C12">
        <v>19.742560999999998</v>
      </c>
      <c r="D12">
        <v>19.550349000000001</v>
      </c>
      <c r="E12">
        <v>20.110806</v>
      </c>
      <c r="F12">
        <v>30.846254999999999</v>
      </c>
      <c r="G12">
        <v>27.589507000000001</v>
      </c>
      <c r="H12">
        <v>23.222595999999999</v>
      </c>
      <c r="I12">
        <v>21.217713</v>
      </c>
      <c r="J12">
        <v>55.236646</v>
      </c>
      <c r="K12">
        <v>49.263686</v>
      </c>
      <c r="L12">
        <v>385.80053400000003</v>
      </c>
      <c r="M12">
        <v>-622.52489700000001</v>
      </c>
      <c r="N12">
        <v>1.9040999999999999</v>
      </c>
      <c r="O12">
        <v>3.6852499999999999</v>
      </c>
      <c r="P12">
        <f t="shared" si="3"/>
        <v>3.1735E-5</v>
      </c>
      <c r="Q12" cm="1">
        <f t="array" ref="Q12">[1]!PropsSI("D","T",J12+273.15,"P",101325,"Water")</f>
        <v>985.57833060931978</v>
      </c>
      <c r="R12" cm="1">
        <f t="array" ref="R12">[1]!PropsSI("D","T",K12+273.15,"P",101325,"Water")</f>
        <v>988.36629599778746</v>
      </c>
      <c r="S12">
        <f t="shared" si="2"/>
        <v>986.97231330355362</v>
      </c>
      <c r="T12" cm="1">
        <f t="array" ref="T12">[1]!PropsSI("H","T",J12+273.15,"P",101325,"Water")</f>
        <v>231318.965014624</v>
      </c>
      <c r="U12" cm="1">
        <f t="array" ref="U12">[1]!PropsSI("H","T",K12+273.15,"P",101325,"Water")</f>
        <v>206339.78671006524</v>
      </c>
      <c r="V12">
        <f t="shared" si="1"/>
        <v>782.38699095166066</v>
      </c>
    </row>
    <row r="13" spans="1:22" x14ac:dyDescent="0.2">
      <c r="A13">
        <v>44604.621922874598</v>
      </c>
      <c r="B13">
        <v>19.178191999999999</v>
      </c>
      <c r="C13">
        <v>19.651619</v>
      </c>
      <c r="D13">
        <v>19.657446</v>
      </c>
      <c r="E13">
        <v>20.161961000000002</v>
      </c>
      <c r="F13">
        <v>30.881834000000001</v>
      </c>
      <c r="G13">
        <v>27.605174000000002</v>
      </c>
      <c r="H13">
        <v>23.284576000000001</v>
      </c>
      <c r="I13">
        <v>21.306889000000002</v>
      </c>
      <c r="J13">
        <v>55.224234000000003</v>
      </c>
      <c r="K13">
        <v>49.251931999999996</v>
      </c>
      <c r="L13">
        <v>366.01091300000002</v>
      </c>
      <c r="M13">
        <v>-622.49428599999999</v>
      </c>
      <c r="N13">
        <v>1.908218</v>
      </c>
      <c r="O13">
        <v>3.7654239999999999</v>
      </c>
      <c r="P13">
        <f t="shared" si="3"/>
        <v>3.1803633333333335E-5</v>
      </c>
      <c r="Q13" cm="1">
        <f t="array" ref="Q13">[1]!PropsSI("D","T",J13+273.15,"P",101325,"Water")</f>
        <v>985.58435815589951</v>
      </c>
      <c r="R13" cm="1">
        <f t="array" ref="R13">[1]!PropsSI("D","T",K13+273.15,"P",101325,"Water")</f>
        <v>988.37155483246192</v>
      </c>
      <c r="S13">
        <f t="shared" si="2"/>
        <v>986.97795649418072</v>
      </c>
      <c r="T13" cm="1">
        <f t="array" ref="T13">[1]!PropsSI("H","T",J13+273.15,"P",101325,"Water")</f>
        <v>231267.04511878823</v>
      </c>
      <c r="U13" cm="1">
        <f t="array" ref="U13">[1]!PropsSI("H","T",K13+273.15,"P",101325,"Water")</f>
        <v>206290.64162704276</v>
      </c>
      <c r="V13">
        <f t="shared" si="1"/>
        <v>783.99644366782127</v>
      </c>
    </row>
    <row r="14" spans="1:22" x14ac:dyDescent="0.2">
      <c r="A14">
        <v>44604.622038615402</v>
      </c>
      <c r="B14">
        <v>18.792867000000001</v>
      </c>
      <c r="C14">
        <v>19.428075</v>
      </c>
      <c r="D14">
        <v>19.51024</v>
      </c>
      <c r="E14">
        <v>20.228059999999999</v>
      </c>
      <c r="F14">
        <v>30.453571</v>
      </c>
      <c r="G14">
        <v>27.629524</v>
      </c>
      <c r="H14">
        <v>23.283355</v>
      </c>
      <c r="I14">
        <v>21.069734</v>
      </c>
      <c r="J14">
        <v>55.218823999999998</v>
      </c>
      <c r="K14">
        <v>49.248756</v>
      </c>
      <c r="L14">
        <v>376.349987</v>
      </c>
      <c r="M14">
        <v>-622.49510199999997</v>
      </c>
      <c r="N14">
        <v>1.9022559999999999</v>
      </c>
      <c r="O14">
        <v>3.7105260000000002</v>
      </c>
      <c r="P14">
        <f t="shared" si="3"/>
        <v>3.1704266666666667E-5</v>
      </c>
      <c r="Q14" cm="1">
        <f t="array" ref="Q14">[1]!PropsSI("D","T",J14+273.15,"P",101325,"Water")</f>
        <v>985.58698507509587</v>
      </c>
      <c r="R14" cm="1">
        <f t="array" ref="R14">[1]!PropsSI("D","T",K14+273.15,"P",101325,"Water")</f>
        <v>988.37297564368998</v>
      </c>
      <c r="S14">
        <f t="shared" si="2"/>
        <v>986.97998035939293</v>
      </c>
      <c r="T14" cm="1">
        <f t="array" ref="T14">[1]!PropsSI("H","T",J14+273.15,"P",101325,"Water")</f>
        <v>231244.414888531</v>
      </c>
      <c r="U14" cm="1">
        <f t="array" ref="U14">[1]!PropsSI("H","T",K14+273.15,"P",101325,"Water")</f>
        <v>206277.36234271681</v>
      </c>
      <c r="V14">
        <f t="shared" si="1"/>
        <v>781.25593781126497</v>
      </c>
    </row>
    <row r="15" spans="1:22" x14ac:dyDescent="0.2">
      <c r="A15">
        <v>46066.622154351855</v>
      </c>
      <c r="B15">
        <v>18.800833000000001</v>
      </c>
      <c r="C15">
        <v>19.399467999999999</v>
      </c>
      <c r="D15">
        <v>19.489227</v>
      </c>
      <c r="E15">
        <v>20.234303000000001</v>
      </c>
      <c r="F15">
        <v>30.801632999999999</v>
      </c>
      <c r="G15">
        <v>27.396554999999999</v>
      </c>
      <c r="H15">
        <v>23.331150000000001</v>
      </c>
      <c r="I15">
        <v>21.343513999999999</v>
      </c>
      <c r="J15">
        <v>55.216118999999999</v>
      </c>
      <c r="K15">
        <v>49.229855000000001</v>
      </c>
      <c r="L15">
        <v>370.80210199999999</v>
      </c>
      <c r="M15">
        <v>-622.47673599999996</v>
      </c>
      <c r="N15">
        <v>1.9094139999999999</v>
      </c>
      <c r="O15">
        <v>3.6334659999999999</v>
      </c>
      <c r="P15">
        <f t="shared" si="3"/>
        <v>3.1823566666666665E-5</v>
      </c>
      <c r="Q15" cm="1">
        <f t="array" ref="Q15">[1]!PropsSI("D","T",J15+273.15,"P",101325,"Water")</f>
        <v>985.5882984667237</v>
      </c>
      <c r="R15" cm="1">
        <f t="array" ref="R15">[1]!PropsSI("D","T",K15+273.15,"P",101325,"Water")</f>
        <v>988.38142978974497</v>
      </c>
      <c r="S15">
        <f t="shared" si="2"/>
        <v>986.98486412823434</v>
      </c>
      <c r="T15" cm="1">
        <f t="array" ref="T15">[1]!PropsSI("H","T",J15+273.15,"P",101325,"Water")</f>
        <v>231233.09977740078</v>
      </c>
      <c r="U15" cm="1">
        <f t="array" ref="U15">[1]!PropsSI("H","T",K15+273.15,"P",101325,"Water")</f>
        <v>206198.33476895705</v>
      </c>
      <c r="V15">
        <f t="shared" si="1"/>
        <v>786.32641287742138</v>
      </c>
    </row>
    <row r="16" spans="1:22" x14ac:dyDescent="0.2">
      <c r="A16">
        <v>46066.622270092594</v>
      </c>
      <c r="B16">
        <v>18.872665999999999</v>
      </c>
      <c r="C16">
        <v>19.765025000000001</v>
      </c>
      <c r="D16">
        <v>19.652913999999999</v>
      </c>
      <c r="E16">
        <v>20.170933999999999</v>
      </c>
      <c r="F16">
        <v>30.729669000000001</v>
      </c>
      <c r="G16">
        <v>27.539007000000002</v>
      </c>
      <c r="H16">
        <v>23.208915999999999</v>
      </c>
      <c r="I16">
        <v>21.377590000000001</v>
      </c>
      <c r="J16">
        <v>55.210391000000001</v>
      </c>
      <c r="K16">
        <v>49.230966000000002</v>
      </c>
      <c r="L16">
        <v>351.75611700000002</v>
      </c>
      <c r="M16">
        <v>-622.49224500000003</v>
      </c>
      <c r="N16">
        <v>1.908345</v>
      </c>
      <c r="O16">
        <v>3.7146430000000001</v>
      </c>
      <c r="P16">
        <f t="shared" si="3"/>
        <v>3.1805750000000003E-5</v>
      </c>
      <c r="Q16" cm="1">
        <f t="array" ref="Q16">[1]!PropsSI("D","T",J16+273.15,"P",101325,"Water")</f>
        <v>985.59107950277189</v>
      </c>
      <c r="R16" cm="1">
        <f t="array" ref="R16">[1]!PropsSI("D","T",K16+273.15,"P",101325,"Water")</f>
        <v>988.38093292078838</v>
      </c>
      <c r="S16">
        <f t="shared" si="2"/>
        <v>986.98600621178014</v>
      </c>
      <c r="T16" cm="1">
        <f t="array" ref="T16">[1]!PropsSI("H","T",J16+273.15,"P",101325,"Water")</f>
        <v>231209.13935866382</v>
      </c>
      <c r="U16" cm="1">
        <f t="array" ref="U16">[1]!PropsSI("H","T",K16+273.15,"P",101325,"Water")</f>
        <v>206202.98000383435</v>
      </c>
      <c r="V16">
        <f t="shared" si="1"/>
        <v>784.98910759750356</v>
      </c>
    </row>
    <row r="17" spans="1:22" x14ac:dyDescent="0.2">
      <c r="A17">
        <v>46066.62238641204</v>
      </c>
      <c r="B17">
        <v>18.773402000000001</v>
      </c>
      <c r="C17">
        <v>19.640540999999999</v>
      </c>
      <c r="D17">
        <v>19.443363999999999</v>
      </c>
      <c r="E17">
        <v>20.124327999999998</v>
      </c>
      <c r="F17">
        <v>30.539337</v>
      </c>
      <c r="G17">
        <v>27.479704999999999</v>
      </c>
      <c r="H17">
        <v>23.258323000000001</v>
      </c>
      <c r="I17">
        <v>21.274090000000001</v>
      </c>
      <c r="J17">
        <v>55.208641</v>
      </c>
      <c r="K17">
        <v>49.231442999999999</v>
      </c>
      <c r="L17">
        <v>396.93956800000001</v>
      </c>
      <c r="M17">
        <v>-622.51306099999999</v>
      </c>
      <c r="N17">
        <v>1.9101889999999999</v>
      </c>
      <c r="O17">
        <v>3.3790290000000001</v>
      </c>
      <c r="P17">
        <f t="shared" si="3"/>
        <v>3.1836483333333329E-5</v>
      </c>
      <c r="Q17" cm="1">
        <f t="array" ref="Q17">[1]!PropsSI("D","T",J17+273.15,"P",101325,"Water")</f>
        <v>985.59192911537866</v>
      </c>
      <c r="R17" cm="1">
        <f t="array" ref="R17">[1]!PropsSI("D","T",K17+273.15,"P",101325,"Water")</f>
        <v>988.38071959110209</v>
      </c>
      <c r="S17">
        <f t="shared" si="2"/>
        <v>986.98632435324043</v>
      </c>
      <c r="T17" cm="1">
        <f t="array" ref="T17">[1]!PropsSI("H","T",J17+273.15,"P",101325,"Water")</f>
        <v>231201.81905157331</v>
      </c>
      <c r="U17" cm="1">
        <f t="array" ref="U17">[1]!PropsSI("H","T",K17+273.15,"P",101325,"Water")</f>
        <v>206204.97440265742</v>
      </c>
      <c r="V17">
        <f t="shared" si="1"/>
        <v>785.45519364775623</v>
      </c>
    </row>
    <row r="18" spans="1:22" x14ac:dyDescent="0.2">
      <c r="A18">
        <v>46066.622502731479</v>
      </c>
      <c r="B18">
        <v>18.708237</v>
      </c>
      <c r="C18">
        <v>19.597566</v>
      </c>
      <c r="D18">
        <v>19.531521999999999</v>
      </c>
      <c r="E18">
        <v>20.123972999999999</v>
      </c>
      <c r="F18">
        <v>30.816799</v>
      </c>
      <c r="G18">
        <v>27.689753</v>
      </c>
      <c r="H18">
        <v>23.085152999999998</v>
      </c>
      <c r="I18">
        <v>21.402007999999999</v>
      </c>
      <c r="J18">
        <v>55.200367</v>
      </c>
      <c r="K18">
        <v>49.226201000000003</v>
      </c>
      <c r="L18">
        <v>362.97433000000001</v>
      </c>
      <c r="M18">
        <v>-622.48816399999998</v>
      </c>
      <c r="N18">
        <v>1.912004</v>
      </c>
      <c r="O18">
        <v>3.6342660000000002</v>
      </c>
      <c r="P18">
        <f t="shared" si="3"/>
        <v>3.1866733333333338E-5</v>
      </c>
      <c r="Q18" cm="1">
        <f t="array" ref="Q18">[1]!PropsSI("D","T",J18+273.15,"P",101325,"Water")</f>
        <v>985.59594582681632</v>
      </c>
      <c r="R18" cm="1">
        <f t="array" ref="R18">[1]!PropsSI("D","T",K18+273.15,"P",101325,"Water")</f>
        <v>988.38306389878051</v>
      </c>
      <c r="S18">
        <f t="shared" si="2"/>
        <v>986.98950486279841</v>
      </c>
      <c r="T18" cm="1">
        <f t="array" ref="T18">[1]!PropsSI("H","T",J18+273.15,"P",101325,"Water")</f>
        <v>231167.20865473244</v>
      </c>
      <c r="U18" cm="1">
        <f t="array" ref="U18">[1]!PropsSI("H","T",K18+273.15,"P",101325,"Water")</f>
        <v>206183.05692423752</v>
      </c>
      <c r="V18">
        <f t="shared" si="1"/>
        <v>785.8048220023262</v>
      </c>
    </row>
    <row r="19" spans="1:22" x14ac:dyDescent="0.2">
      <c r="A19">
        <v>46066.622618472225</v>
      </c>
      <c r="B19">
        <v>18.834897000000002</v>
      </c>
      <c r="C19">
        <v>19.626531</v>
      </c>
      <c r="D19">
        <v>19.390917999999999</v>
      </c>
      <c r="E19">
        <v>20.201941000000001</v>
      </c>
      <c r="F19">
        <v>30.604268000000001</v>
      </c>
      <c r="G19">
        <v>27.518688000000001</v>
      </c>
      <c r="H19">
        <v>23.291501</v>
      </c>
      <c r="I19">
        <v>21.225964999999999</v>
      </c>
      <c r="J19">
        <v>55.197820999999998</v>
      </c>
      <c r="K19">
        <v>49.220325000000003</v>
      </c>
      <c r="L19">
        <v>364.61506500000002</v>
      </c>
      <c r="M19">
        <v>-622.49306200000001</v>
      </c>
      <c r="N19">
        <v>1.900903</v>
      </c>
      <c r="O19">
        <v>3.6368330000000002</v>
      </c>
      <c r="P19">
        <f t="shared" si="3"/>
        <v>3.1681716666666669E-5</v>
      </c>
      <c r="Q19" cm="1">
        <f t="array" ref="Q19">[1]!PropsSI("D","T",J19+273.15,"P",101325,"Water")</f>
        <v>985.59718172738076</v>
      </c>
      <c r="R19" cm="1">
        <f t="array" ref="R19">[1]!PropsSI("D","T",K19+273.15,"P",101325,"Water")</f>
        <v>988.38569152537559</v>
      </c>
      <c r="S19">
        <f t="shared" si="2"/>
        <v>986.99143662637812</v>
      </c>
      <c r="T19" cm="1">
        <f t="array" ref="T19">[1]!PropsSI("H","T",J19+273.15,"P",101325,"Water")</f>
        <v>231156.55866334192</v>
      </c>
      <c r="U19" cm="1">
        <f t="array" ref="U19">[1]!PropsSI("H","T",K19+273.15,"P",101325,"Water")</f>
        <v>206158.4886187379</v>
      </c>
      <c r="V19">
        <f t="shared" si="1"/>
        <v>781.67922729004704</v>
      </c>
    </row>
    <row r="20" spans="1:22" x14ac:dyDescent="0.2">
      <c r="A20">
        <v>46066.622734212964</v>
      </c>
      <c r="B20">
        <v>19.479894000000002</v>
      </c>
      <c r="C20">
        <v>19.808647000000001</v>
      </c>
      <c r="D20">
        <v>19.903333</v>
      </c>
      <c r="E20">
        <v>20.292878999999999</v>
      </c>
      <c r="F20">
        <v>31.084140000000001</v>
      </c>
      <c r="G20">
        <v>27.457260000000002</v>
      </c>
      <c r="H20">
        <v>23.446023</v>
      </c>
      <c r="I20">
        <v>21.529852999999999</v>
      </c>
      <c r="J20">
        <v>55.193047999999997</v>
      </c>
      <c r="K20">
        <v>49.228265999999998</v>
      </c>
      <c r="L20">
        <v>379.99306999999999</v>
      </c>
      <c r="M20">
        <v>-622.48693900000001</v>
      </c>
      <c r="N20">
        <v>1.9130529999999999</v>
      </c>
      <c r="O20">
        <v>3.7973330000000001</v>
      </c>
      <c r="P20">
        <f t="shared" si="3"/>
        <v>3.1884216666666665E-5</v>
      </c>
      <c r="Q20" cm="1">
        <f t="array" ref="Q20">[1]!PropsSI("D","T",J20+273.15,"P",101325,"Water")</f>
        <v>985.59949856868639</v>
      </c>
      <c r="R20" cm="1">
        <f t="array" ref="R20">[1]!PropsSI("D","T",K20+273.15,"P",101325,"Water")</f>
        <v>988.3821404189008</v>
      </c>
      <c r="S20">
        <f t="shared" si="2"/>
        <v>986.99081949379365</v>
      </c>
      <c r="T20" cm="1">
        <f t="array" ref="T20">[1]!PropsSI("H","T",J20+273.15,"P",101325,"Water")</f>
        <v>231136.59307308396</v>
      </c>
      <c r="U20" cm="1">
        <f t="array" ref="U20">[1]!PropsSI("H","T",K20+273.15,"P",101325,"Water")</f>
        <v>206191.69095476405</v>
      </c>
      <c r="V20">
        <f t="shared" si="1"/>
        <v>785.00182953565843</v>
      </c>
    </row>
    <row r="21" spans="1:22" x14ac:dyDescent="0.2">
      <c r="A21">
        <v>46066.622850532411</v>
      </c>
      <c r="B21">
        <v>19.054924</v>
      </c>
      <c r="C21">
        <v>19.580614000000001</v>
      </c>
      <c r="D21">
        <v>19.761043000000001</v>
      </c>
      <c r="E21">
        <v>20.167715000000001</v>
      </c>
      <c r="F21">
        <v>30.847549999999998</v>
      </c>
      <c r="G21">
        <v>27.02084</v>
      </c>
      <c r="H21">
        <v>23.651340999999999</v>
      </c>
      <c r="I21">
        <v>21.679331999999999</v>
      </c>
      <c r="J21">
        <v>55.192093</v>
      </c>
      <c r="K21">
        <v>49.234937000000002</v>
      </c>
      <c r="L21">
        <v>358.21089499999999</v>
      </c>
      <c r="M21">
        <v>-622.51510099999996</v>
      </c>
      <c r="N21">
        <v>1.90378</v>
      </c>
      <c r="O21">
        <v>3.7864810000000002</v>
      </c>
      <c r="P21">
        <f t="shared" si="3"/>
        <v>3.1729666666666669E-5</v>
      </c>
      <c r="Q21" cm="1">
        <f t="array" ref="Q21">[1]!PropsSI("D","T",J21+273.15,"P",101325,"Water")</f>
        <v>985.5999621141724</v>
      </c>
      <c r="R21" cm="1">
        <f t="array" ref="R21">[1]!PropsSI("D","T",K21+273.15,"P",101325,"Water")</f>
        <v>988.37915691644139</v>
      </c>
      <c r="S21">
        <f t="shared" si="2"/>
        <v>986.98955951530684</v>
      </c>
      <c r="T21" cm="1">
        <f t="array" ref="T21">[1]!PropsSI("H","T",J21+273.15,"P",101325,"Water")</f>
        <v>231132.59828281621</v>
      </c>
      <c r="U21" cm="1">
        <f t="array" ref="U21">[1]!PropsSI("H","T",K21+273.15,"P",101325,"Water")</f>
        <v>206219.58327168616</v>
      </c>
      <c r="V21">
        <f t="shared" si="1"/>
        <v>780.19714734758486</v>
      </c>
    </row>
    <row r="24" spans="1:22" x14ac:dyDescent="0.2">
      <c r="G24" s="1" t="s">
        <v>22</v>
      </c>
    </row>
    <row r="25" spans="1:22" x14ac:dyDescent="0.2">
      <c r="G25">
        <f>AVERAGE(V2:V21)</f>
        <v>783.85373044432652</v>
      </c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2026-02-25T04:23:56Z</dcterms:modified>
</cp:coreProperties>
</file>