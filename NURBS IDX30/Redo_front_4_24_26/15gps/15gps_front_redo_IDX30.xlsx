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ajping/Desktop/Research/Redo_front_4_24_26/15gps/"/>
    </mc:Choice>
  </mc:AlternateContent>
  <xr:revisionPtr revIDLastSave="0" documentId="13_ncr:1_{43C0AB3D-C3FE-D744-8E9F-E4F986B3B79B}" xr6:coauthVersionLast="47" xr6:coauthVersionMax="47" xr10:uidLastSave="{00000000-0000-0000-0000-000000000000}"/>
  <bookViews>
    <workbookView xWindow="1480" yWindow="1400" windowWidth="27640" windowHeight="16680" xr2:uid="{B22A660E-2B7D-8245-884B-FF8D8242D2FC}"/>
  </bookViews>
  <sheets>
    <sheet name="Results" sheetId="1" r:id="rId1"/>
    <sheet name="1mps" sheetId="3" r:id="rId2"/>
    <sheet name="2mps" sheetId="4" r:id="rId3"/>
    <sheet name="3mps" sheetId="5" r:id="rId4"/>
    <sheet name="4mps" sheetId="6" r:id="rId5"/>
    <sheet name="5mps" sheetId="7" r:id="rId6"/>
    <sheet name="6mps" sheetId="8" r:id="rId7"/>
    <sheet name="7mps" sheetId="9" r:id="rId8"/>
  </sheets>
  <externalReferences>
    <externalReference r:id="rId9"/>
  </externalReferences>
  <definedNames>
    <definedName name="ExternalData_1" localSheetId="1" hidden="1">'1mps'!$A$1:$O$20</definedName>
    <definedName name="ExternalData_1" localSheetId="2" hidden="1">'2mps'!$A$1:$O$62</definedName>
    <definedName name="ExternalData_1" localSheetId="3" hidden="1">'3mps'!$A$1:$O$59</definedName>
    <definedName name="ExternalData_1" localSheetId="4" hidden="1">'4mps'!$A$1:$O$41</definedName>
    <definedName name="ExternalData_1" localSheetId="5" hidden="1">'5mps'!$A$1:$O$45</definedName>
    <definedName name="ExternalData_1" localSheetId="6" hidden="1">'6mps'!$A$1:$O$58</definedName>
    <definedName name="ExternalData_1" localSheetId="7" hidden="1">'7mps'!$A:$P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4" i="9" l="1"/>
  <c r="W2" i="9"/>
  <c r="W4" i="8"/>
  <c r="W2" i="8"/>
  <c r="W4" i="7"/>
  <c r="W2" i="7"/>
  <c r="W4" i="6"/>
  <c r="W2" i="6"/>
  <c r="W4" i="5"/>
  <c r="W2" i="5"/>
  <c r="W4" i="4"/>
  <c r="W2" i="4"/>
  <c r="AA6" i="3"/>
  <c r="W4" i="3"/>
  <c r="W2" i="3"/>
  <c r="AA64" i="9"/>
  <c r="Y64" i="9"/>
  <c r="X64" i="9"/>
  <c r="Z64" i="9" s="1"/>
  <c r="AB64" i="9" s="1"/>
  <c r="P64" i="9"/>
  <c r="AA63" i="9"/>
  <c r="Y63" i="9"/>
  <c r="X63" i="9"/>
  <c r="Z63" i="9" s="1"/>
  <c r="AB63" i="9" s="1"/>
  <c r="P63" i="9"/>
  <c r="AB62" i="9"/>
  <c r="AA62" i="9"/>
  <c r="Z62" i="9"/>
  <c r="Y62" i="9"/>
  <c r="X62" i="9"/>
  <c r="P62" i="9"/>
  <c r="AA61" i="9"/>
  <c r="Y61" i="9"/>
  <c r="X61" i="9"/>
  <c r="Z61" i="9" s="1"/>
  <c r="AB61" i="9" s="1"/>
  <c r="P61" i="9"/>
  <c r="AA60" i="9"/>
  <c r="Y60" i="9"/>
  <c r="X60" i="9"/>
  <c r="Z60" i="9" s="1"/>
  <c r="AB60" i="9" s="1"/>
  <c r="P60" i="9"/>
  <c r="AA59" i="9"/>
  <c r="Y59" i="9"/>
  <c r="Z59" i="9" s="1"/>
  <c r="AB59" i="9" s="1"/>
  <c r="X59" i="9"/>
  <c r="P59" i="9"/>
  <c r="AB58" i="9"/>
  <c r="AA58" i="9"/>
  <c r="Z58" i="9"/>
  <c r="Y58" i="9"/>
  <c r="X58" i="9"/>
  <c r="P58" i="9"/>
  <c r="AA57" i="9"/>
  <c r="Y57" i="9"/>
  <c r="X57" i="9"/>
  <c r="Z57" i="9" s="1"/>
  <c r="AB57" i="9" s="1"/>
  <c r="P57" i="9"/>
  <c r="AA56" i="9"/>
  <c r="Y56" i="9"/>
  <c r="X56" i="9"/>
  <c r="Z56" i="9" s="1"/>
  <c r="AB56" i="9" s="1"/>
  <c r="P56" i="9"/>
  <c r="AA55" i="9"/>
  <c r="Y55" i="9"/>
  <c r="Z55" i="9" s="1"/>
  <c r="AB55" i="9" s="1"/>
  <c r="X55" i="9"/>
  <c r="P55" i="9"/>
  <c r="AA54" i="9"/>
  <c r="Y54" i="9"/>
  <c r="Z54" i="9" s="1"/>
  <c r="AB54" i="9" s="1"/>
  <c r="X54" i="9"/>
  <c r="P54" i="9"/>
  <c r="AA53" i="9"/>
  <c r="Y53" i="9"/>
  <c r="X53" i="9"/>
  <c r="Z53" i="9" s="1"/>
  <c r="AB53" i="9" s="1"/>
  <c r="P53" i="9"/>
  <c r="AA52" i="9"/>
  <c r="Y52" i="9"/>
  <c r="X52" i="9"/>
  <c r="Z52" i="9" s="1"/>
  <c r="AB52" i="9" s="1"/>
  <c r="P52" i="9"/>
  <c r="AA51" i="9"/>
  <c r="Y51" i="9"/>
  <c r="X51" i="9"/>
  <c r="Z51" i="9" s="1"/>
  <c r="AB51" i="9" s="1"/>
  <c r="P51" i="9"/>
  <c r="AB50" i="9"/>
  <c r="AA50" i="9"/>
  <c r="Z50" i="9"/>
  <c r="Y50" i="9"/>
  <c r="X50" i="9"/>
  <c r="P50" i="9"/>
  <c r="AA49" i="9"/>
  <c r="Y49" i="9"/>
  <c r="X49" i="9"/>
  <c r="Z49" i="9" s="1"/>
  <c r="AB49" i="9" s="1"/>
  <c r="P49" i="9"/>
  <c r="AA48" i="9"/>
  <c r="Y48" i="9"/>
  <c r="Z48" i="9" s="1"/>
  <c r="AB48" i="9" s="1"/>
  <c r="X48" i="9"/>
  <c r="P48" i="9"/>
  <c r="AA47" i="9"/>
  <c r="Z47" i="9"/>
  <c r="AB47" i="9" s="1"/>
  <c r="Y47" i="9"/>
  <c r="X47" i="9"/>
  <c r="P47" i="9"/>
  <c r="AB46" i="9"/>
  <c r="AA46" i="9"/>
  <c r="Z46" i="9"/>
  <c r="Y46" i="9"/>
  <c r="X46" i="9"/>
  <c r="P46" i="9"/>
  <c r="AA45" i="9"/>
  <c r="Y45" i="9"/>
  <c r="X45" i="9"/>
  <c r="P45" i="9"/>
  <c r="AA44" i="9"/>
  <c r="Y44" i="9"/>
  <c r="X44" i="9"/>
  <c r="Z44" i="9" s="1"/>
  <c r="AB44" i="9" s="1"/>
  <c r="P44" i="9"/>
  <c r="AA43" i="9"/>
  <c r="Y43" i="9"/>
  <c r="Z43" i="9" s="1"/>
  <c r="AB43" i="9" s="1"/>
  <c r="X43" i="9"/>
  <c r="P43" i="9"/>
  <c r="AA42" i="9"/>
  <c r="Y42" i="9"/>
  <c r="X42" i="9"/>
  <c r="Z42" i="9" s="1"/>
  <c r="AB42" i="9" s="1"/>
  <c r="P42" i="9"/>
  <c r="AA41" i="9"/>
  <c r="Y41" i="9"/>
  <c r="X41" i="9"/>
  <c r="Z41" i="9" s="1"/>
  <c r="AB41" i="9" s="1"/>
  <c r="P41" i="9"/>
  <c r="AA40" i="9"/>
  <c r="Y40" i="9"/>
  <c r="Z40" i="9" s="1"/>
  <c r="AB40" i="9" s="1"/>
  <c r="X40" i="9"/>
  <c r="P40" i="9"/>
  <c r="AA39" i="9"/>
  <c r="Y39" i="9"/>
  <c r="X39" i="9"/>
  <c r="Z39" i="9" s="1"/>
  <c r="AB39" i="9" s="1"/>
  <c r="P39" i="9"/>
  <c r="AA38" i="9"/>
  <c r="Y38" i="9"/>
  <c r="X38" i="9"/>
  <c r="Z38" i="9" s="1"/>
  <c r="AB38" i="9" s="1"/>
  <c r="P38" i="9"/>
  <c r="AB37" i="9"/>
  <c r="AA37" i="9"/>
  <c r="Z37" i="9"/>
  <c r="Y37" i="9"/>
  <c r="X37" i="9"/>
  <c r="P37" i="9"/>
  <c r="AA36" i="9"/>
  <c r="Y36" i="9"/>
  <c r="X36" i="9"/>
  <c r="Z36" i="9" s="1"/>
  <c r="AB36" i="9" s="1"/>
  <c r="P36" i="9"/>
  <c r="AA35" i="9"/>
  <c r="Y35" i="9"/>
  <c r="X35" i="9"/>
  <c r="Z35" i="9" s="1"/>
  <c r="AB35" i="9" s="1"/>
  <c r="P35" i="9"/>
  <c r="AA34" i="9"/>
  <c r="Y34" i="9"/>
  <c r="Z34" i="9" s="1"/>
  <c r="AB34" i="9" s="1"/>
  <c r="X34" i="9"/>
  <c r="P34" i="9"/>
  <c r="AA33" i="9"/>
  <c r="Y33" i="9"/>
  <c r="X33" i="9"/>
  <c r="Z33" i="9" s="1"/>
  <c r="AB33" i="9" s="1"/>
  <c r="P33" i="9"/>
  <c r="AA32" i="9"/>
  <c r="Z32" i="9"/>
  <c r="AB32" i="9" s="1"/>
  <c r="Y32" i="9"/>
  <c r="X32" i="9"/>
  <c r="P32" i="9"/>
  <c r="AA31" i="9"/>
  <c r="Z31" i="9"/>
  <c r="AB31" i="9" s="1"/>
  <c r="Y31" i="9"/>
  <c r="X31" i="9"/>
  <c r="P31" i="9"/>
  <c r="AA30" i="9"/>
  <c r="Z30" i="9"/>
  <c r="AB30" i="9" s="1"/>
  <c r="Y30" i="9"/>
  <c r="X30" i="9"/>
  <c r="P30" i="9"/>
  <c r="AA29" i="9"/>
  <c r="Z29" i="9"/>
  <c r="AB29" i="9" s="1"/>
  <c r="Y29" i="9"/>
  <c r="X29" i="9"/>
  <c r="P29" i="9"/>
  <c r="AA28" i="9"/>
  <c r="Z28" i="9"/>
  <c r="AB28" i="9" s="1"/>
  <c r="Y28" i="9"/>
  <c r="X28" i="9"/>
  <c r="P28" i="9"/>
  <c r="AA27" i="9"/>
  <c r="Z27" i="9"/>
  <c r="AB27" i="9" s="1"/>
  <c r="Y27" i="9"/>
  <c r="X27" i="9"/>
  <c r="P27" i="9"/>
  <c r="AA26" i="9"/>
  <c r="Z26" i="9"/>
  <c r="AB26" i="9" s="1"/>
  <c r="Y26" i="9"/>
  <c r="X26" i="9"/>
  <c r="P26" i="9"/>
  <c r="AA25" i="9"/>
  <c r="Y25" i="9"/>
  <c r="Z25" i="9" s="1"/>
  <c r="AB25" i="9" s="1"/>
  <c r="X25" i="9"/>
  <c r="P25" i="9"/>
  <c r="AA24" i="9"/>
  <c r="Y24" i="9"/>
  <c r="X24" i="9"/>
  <c r="Z24" i="9" s="1"/>
  <c r="AB24" i="9" s="1"/>
  <c r="P24" i="9"/>
  <c r="AA23" i="9"/>
  <c r="Z23" i="9"/>
  <c r="AB23" i="9" s="1"/>
  <c r="Y23" i="9"/>
  <c r="X23" i="9"/>
  <c r="P23" i="9"/>
  <c r="AA22" i="9"/>
  <c r="Y22" i="9"/>
  <c r="X22" i="9"/>
  <c r="Z22" i="9" s="1"/>
  <c r="AB22" i="9" s="1"/>
  <c r="P22" i="9"/>
  <c r="AA21" i="9"/>
  <c r="Z21" i="9"/>
  <c r="AB21" i="9" s="1"/>
  <c r="Y21" i="9"/>
  <c r="X21" i="9"/>
  <c r="P21" i="9"/>
  <c r="AA20" i="9"/>
  <c r="Y20" i="9"/>
  <c r="X20" i="9"/>
  <c r="Z20" i="9" s="1"/>
  <c r="AB20" i="9" s="1"/>
  <c r="P20" i="9"/>
  <c r="AA19" i="9"/>
  <c r="Y19" i="9"/>
  <c r="X19" i="9"/>
  <c r="Z19" i="9" s="1"/>
  <c r="AB19" i="9" s="1"/>
  <c r="P19" i="9"/>
  <c r="AA18" i="9"/>
  <c r="Y18" i="9"/>
  <c r="Z18" i="9" s="1"/>
  <c r="AB18" i="9" s="1"/>
  <c r="X18" i="9"/>
  <c r="P18" i="9"/>
  <c r="AA17" i="9"/>
  <c r="Y17" i="9"/>
  <c r="X17" i="9"/>
  <c r="Z17" i="9" s="1"/>
  <c r="AB17" i="9" s="1"/>
  <c r="P17" i="9"/>
  <c r="AA16" i="9"/>
  <c r="Y16" i="9"/>
  <c r="X16" i="9"/>
  <c r="Z16" i="9" s="1"/>
  <c r="AB16" i="9" s="1"/>
  <c r="P16" i="9"/>
  <c r="AA15" i="9"/>
  <c r="Y15" i="9"/>
  <c r="X15" i="9"/>
  <c r="Z15" i="9" s="1"/>
  <c r="AB15" i="9" s="1"/>
  <c r="P15" i="9"/>
  <c r="AA14" i="9"/>
  <c r="Y14" i="9"/>
  <c r="X14" i="9"/>
  <c r="Z14" i="9" s="1"/>
  <c r="AB14" i="9" s="1"/>
  <c r="P14" i="9"/>
  <c r="AA13" i="9"/>
  <c r="Z13" i="9"/>
  <c r="AB13" i="9" s="1"/>
  <c r="Y13" i="9"/>
  <c r="X13" i="9"/>
  <c r="P13" i="9"/>
  <c r="AA12" i="9"/>
  <c r="Y12" i="9"/>
  <c r="Z12" i="9" s="1"/>
  <c r="AB12" i="9" s="1"/>
  <c r="X12" i="9"/>
  <c r="P12" i="9"/>
  <c r="AA11" i="9"/>
  <c r="Y11" i="9"/>
  <c r="X11" i="9"/>
  <c r="Z11" i="9" s="1"/>
  <c r="AB11" i="9" s="1"/>
  <c r="P11" i="9"/>
  <c r="AA10" i="9"/>
  <c r="Y10" i="9"/>
  <c r="Z10" i="9" s="1"/>
  <c r="AB10" i="9" s="1"/>
  <c r="X10" i="9"/>
  <c r="P10" i="9"/>
  <c r="AA9" i="9"/>
  <c r="Z9" i="9"/>
  <c r="AB9" i="9" s="1"/>
  <c r="Y9" i="9"/>
  <c r="X9" i="9"/>
  <c r="P9" i="9"/>
  <c r="AA8" i="9"/>
  <c r="Y8" i="9"/>
  <c r="X8" i="9"/>
  <c r="Z8" i="9" s="1"/>
  <c r="AB8" i="9" s="1"/>
  <c r="P8" i="9"/>
  <c r="AA7" i="9"/>
  <c r="Y7" i="9"/>
  <c r="X7" i="9"/>
  <c r="Z7" i="9" s="1"/>
  <c r="AB7" i="9" s="1"/>
  <c r="P7" i="9"/>
  <c r="AA6" i="9"/>
  <c r="Z6" i="9"/>
  <c r="AB6" i="9" s="1"/>
  <c r="Y6" i="9"/>
  <c r="X6" i="9"/>
  <c r="P6" i="9"/>
  <c r="AA5" i="9"/>
  <c r="Y5" i="9"/>
  <c r="X5" i="9"/>
  <c r="Z5" i="9" s="1"/>
  <c r="AB5" i="9" s="1"/>
  <c r="P5" i="9"/>
  <c r="AA4" i="9"/>
  <c r="Y4" i="9"/>
  <c r="X4" i="9"/>
  <c r="Z4" i="9" s="1"/>
  <c r="AB4" i="9" s="1"/>
  <c r="P4" i="9"/>
  <c r="AA3" i="9"/>
  <c r="Y3" i="9"/>
  <c r="Z3" i="9" s="1"/>
  <c r="AB3" i="9" s="1"/>
  <c r="X3" i="9"/>
  <c r="P3" i="9"/>
  <c r="AA2" i="9"/>
  <c r="Z2" i="9"/>
  <c r="AB2" i="9" s="1"/>
  <c r="Y2" i="9"/>
  <c r="X2" i="9"/>
  <c r="P2" i="9"/>
  <c r="AA58" i="8"/>
  <c r="Y58" i="8"/>
  <c r="X58" i="8"/>
  <c r="Z58" i="8" s="1"/>
  <c r="AB58" i="8" s="1"/>
  <c r="P58" i="8"/>
  <c r="AA57" i="8"/>
  <c r="Z57" i="8"/>
  <c r="AB57" i="8" s="1"/>
  <c r="Y57" i="8"/>
  <c r="X57" i="8"/>
  <c r="P57" i="8"/>
  <c r="AA56" i="8"/>
  <c r="Y56" i="8"/>
  <c r="X56" i="8"/>
  <c r="P56" i="8"/>
  <c r="AA55" i="8"/>
  <c r="Y55" i="8"/>
  <c r="X55" i="8"/>
  <c r="Z55" i="8" s="1"/>
  <c r="AB55" i="8" s="1"/>
  <c r="P55" i="8"/>
  <c r="AA54" i="8"/>
  <c r="Y54" i="8"/>
  <c r="Z54" i="8" s="1"/>
  <c r="AB54" i="8" s="1"/>
  <c r="X54" i="8"/>
  <c r="P54" i="8"/>
  <c r="AA53" i="8"/>
  <c r="Z53" i="8"/>
  <c r="AB53" i="8" s="1"/>
  <c r="Y53" i="8"/>
  <c r="X53" i="8"/>
  <c r="P53" i="8"/>
  <c r="AB52" i="8"/>
  <c r="AA52" i="8"/>
  <c r="Y52" i="8"/>
  <c r="X52" i="8"/>
  <c r="Z52" i="8" s="1"/>
  <c r="P52" i="8"/>
  <c r="AA51" i="8"/>
  <c r="Y51" i="8"/>
  <c r="X51" i="8"/>
  <c r="Z51" i="8" s="1"/>
  <c r="AB51" i="8" s="1"/>
  <c r="P51" i="8"/>
  <c r="AA50" i="8"/>
  <c r="Z50" i="8"/>
  <c r="AB50" i="8" s="1"/>
  <c r="Y50" i="8"/>
  <c r="X50" i="8"/>
  <c r="P50" i="8"/>
  <c r="AA49" i="8"/>
  <c r="Z49" i="8"/>
  <c r="Y49" i="8"/>
  <c r="X49" i="8"/>
  <c r="P49" i="8"/>
  <c r="AB48" i="8"/>
  <c r="AA48" i="8"/>
  <c r="Z48" i="8"/>
  <c r="Y48" i="8"/>
  <c r="X48" i="8"/>
  <c r="P48" i="8"/>
  <c r="AA47" i="8"/>
  <c r="Y47" i="8"/>
  <c r="X47" i="8"/>
  <c r="P47" i="8"/>
  <c r="AA46" i="8"/>
  <c r="Y46" i="8"/>
  <c r="X46" i="8"/>
  <c r="Z46" i="8" s="1"/>
  <c r="AB46" i="8" s="1"/>
  <c r="P46" i="8"/>
  <c r="AA45" i="8"/>
  <c r="Z45" i="8"/>
  <c r="AB45" i="8" s="1"/>
  <c r="Y45" i="8"/>
  <c r="X45" i="8"/>
  <c r="P45" i="8"/>
  <c r="AA44" i="8"/>
  <c r="Y44" i="8"/>
  <c r="X44" i="8"/>
  <c r="Z44" i="8" s="1"/>
  <c r="AB44" i="8" s="1"/>
  <c r="P44" i="8"/>
  <c r="AA43" i="8"/>
  <c r="Y43" i="8"/>
  <c r="X43" i="8"/>
  <c r="Z43" i="8" s="1"/>
  <c r="AB43" i="8" s="1"/>
  <c r="P43" i="8"/>
  <c r="AA42" i="8"/>
  <c r="Y42" i="8"/>
  <c r="Z42" i="8" s="1"/>
  <c r="AB42" i="8" s="1"/>
  <c r="X42" i="8"/>
  <c r="P42" i="8"/>
  <c r="AA41" i="8"/>
  <c r="Y41" i="8"/>
  <c r="X41" i="8"/>
  <c r="Z41" i="8" s="1"/>
  <c r="AB41" i="8" s="1"/>
  <c r="P41" i="8"/>
  <c r="AB40" i="8"/>
  <c r="AA40" i="8"/>
  <c r="Y40" i="8"/>
  <c r="X40" i="8"/>
  <c r="Z40" i="8" s="1"/>
  <c r="P40" i="8"/>
  <c r="AA39" i="8"/>
  <c r="Z39" i="8"/>
  <c r="AB39" i="8" s="1"/>
  <c r="Y39" i="8"/>
  <c r="X39" i="8"/>
  <c r="P39" i="8"/>
  <c r="AA38" i="8"/>
  <c r="Y38" i="8"/>
  <c r="Z38" i="8" s="1"/>
  <c r="AB38" i="8" s="1"/>
  <c r="X38" i="8"/>
  <c r="P38" i="8"/>
  <c r="AA37" i="8"/>
  <c r="Y37" i="8"/>
  <c r="X37" i="8"/>
  <c r="Z37" i="8" s="1"/>
  <c r="AB37" i="8" s="1"/>
  <c r="P37" i="8"/>
  <c r="AA36" i="8"/>
  <c r="Y36" i="8"/>
  <c r="X36" i="8"/>
  <c r="Z36" i="8" s="1"/>
  <c r="AB36" i="8" s="1"/>
  <c r="P36" i="8"/>
  <c r="AA35" i="8"/>
  <c r="Y35" i="8"/>
  <c r="X35" i="8"/>
  <c r="Z35" i="8" s="1"/>
  <c r="AB35" i="8" s="1"/>
  <c r="P35" i="8"/>
  <c r="AA34" i="8"/>
  <c r="Z34" i="8"/>
  <c r="AB34" i="8" s="1"/>
  <c r="Y34" i="8"/>
  <c r="X34" i="8"/>
  <c r="P34" i="8"/>
  <c r="AA33" i="8"/>
  <c r="Z33" i="8"/>
  <c r="AB33" i="8" s="1"/>
  <c r="Y33" i="8"/>
  <c r="X33" i="8"/>
  <c r="P33" i="8"/>
  <c r="AA32" i="8"/>
  <c r="Y32" i="8"/>
  <c r="X32" i="8"/>
  <c r="Z32" i="8" s="1"/>
  <c r="AB32" i="8" s="1"/>
  <c r="P32" i="8"/>
  <c r="AA31" i="8"/>
  <c r="Y31" i="8"/>
  <c r="X31" i="8"/>
  <c r="Z31" i="8" s="1"/>
  <c r="AB31" i="8" s="1"/>
  <c r="P31" i="8"/>
  <c r="AA30" i="8"/>
  <c r="Y30" i="8"/>
  <c r="Z30" i="8" s="1"/>
  <c r="AB30" i="8" s="1"/>
  <c r="X30" i="8"/>
  <c r="P30" i="8"/>
  <c r="AA29" i="8"/>
  <c r="Y29" i="8"/>
  <c r="X29" i="8"/>
  <c r="Z29" i="8" s="1"/>
  <c r="AB29" i="8" s="1"/>
  <c r="P29" i="8"/>
  <c r="AA28" i="8"/>
  <c r="Y28" i="8"/>
  <c r="X28" i="8"/>
  <c r="Z28" i="8" s="1"/>
  <c r="AB28" i="8" s="1"/>
  <c r="P28" i="8"/>
  <c r="AA27" i="8"/>
  <c r="Y27" i="8"/>
  <c r="X27" i="8"/>
  <c r="Z27" i="8" s="1"/>
  <c r="AB27" i="8" s="1"/>
  <c r="P27" i="8"/>
  <c r="AA26" i="8"/>
  <c r="Z26" i="8"/>
  <c r="AB26" i="8" s="1"/>
  <c r="Y26" i="8"/>
  <c r="X26" i="8"/>
  <c r="P26" i="8"/>
  <c r="AA25" i="8"/>
  <c r="Y25" i="8"/>
  <c r="Z25" i="8" s="1"/>
  <c r="AB25" i="8" s="1"/>
  <c r="X25" i="8"/>
  <c r="P25" i="8"/>
  <c r="AA24" i="8"/>
  <c r="Y24" i="8"/>
  <c r="Z24" i="8" s="1"/>
  <c r="AB24" i="8" s="1"/>
  <c r="X24" i="8"/>
  <c r="P24" i="8"/>
  <c r="AA23" i="8"/>
  <c r="Y23" i="8"/>
  <c r="X23" i="8"/>
  <c r="Z23" i="8" s="1"/>
  <c r="AB23" i="8" s="1"/>
  <c r="P23" i="8"/>
  <c r="AB22" i="8"/>
  <c r="AA22" i="8"/>
  <c r="Z22" i="8"/>
  <c r="Y22" i="8"/>
  <c r="X22" i="8"/>
  <c r="P22" i="8"/>
  <c r="AA21" i="8"/>
  <c r="Y21" i="8"/>
  <c r="X21" i="8"/>
  <c r="Z21" i="8" s="1"/>
  <c r="AB21" i="8" s="1"/>
  <c r="P21" i="8"/>
  <c r="AA20" i="8"/>
  <c r="Z20" i="8"/>
  <c r="AB20" i="8" s="1"/>
  <c r="Y20" i="8"/>
  <c r="X20" i="8"/>
  <c r="P20" i="8"/>
  <c r="AA19" i="8"/>
  <c r="Z19" i="8"/>
  <c r="AB19" i="8" s="1"/>
  <c r="Y19" i="8"/>
  <c r="X19" i="8"/>
  <c r="P19" i="8"/>
  <c r="AA18" i="8"/>
  <c r="Y18" i="8"/>
  <c r="X18" i="8"/>
  <c r="Z18" i="8" s="1"/>
  <c r="AB18" i="8" s="1"/>
  <c r="P18" i="8"/>
  <c r="AA17" i="8"/>
  <c r="Y17" i="8"/>
  <c r="X17" i="8"/>
  <c r="Z17" i="8" s="1"/>
  <c r="AB17" i="8" s="1"/>
  <c r="P17" i="8"/>
  <c r="AA16" i="8"/>
  <c r="Y16" i="8"/>
  <c r="Z16" i="8" s="1"/>
  <c r="AB16" i="8" s="1"/>
  <c r="X16" i="8"/>
  <c r="P16" i="8"/>
  <c r="AA15" i="8"/>
  <c r="Y15" i="8"/>
  <c r="Z15" i="8" s="1"/>
  <c r="AB15" i="8" s="1"/>
  <c r="X15" i="8"/>
  <c r="P15" i="8"/>
  <c r="AA14" i="8"/>
  <c r="Y14" i="8"/>
  <c r="X14" i="8"/>
  <c r="Z14" i="8" s="1"/>
  <c r="AB14" i="8" s="1"/>
  <c r="P14" i="8"/>
  <c r="AA13" i="8"/>
  <c r="Z13" i="8"/>
  <c r="AB13" i="8" s="1"/>
  <c r="Y13" i="8"/>
  <c r="X13" i="8"/>
  <c r="P13" i="8"/>
  <c r="AA12" i="8"/>
  <c r="Y12" i="8"/>
  <c r="X12" i="8"/>
  <c r="Z12" i="8" s="1"/>
  <c r="AB12" i="8" s="1"/>
  <c r="P12" i="8"/>
  <c r="AA11" i="8"/>
  <c r="Y11" i="8"/>
  <c r="X11" i="8"/>
  <c r="Z11" i="8" s="1"/>
  <c r="AB11" i="8" s="1"/>
  <c r="P11" i="8"/>
  <c r="AA10" i="8"/>
  <c r="Y10" i="8"/>
  <c r="X10" i="8"/>
  <c r="Z10" i="8" s="1"/>
  <c r="AB10" i="8" s="1"/>
  <c r="P10" i="8"/>
  <c r="AA9" i="8"/>
  <c r="Y9" i="8"/>
  <c r="X9" i="8"/>
  <c r="Z9" i="8" s="1"/>
  <c r="AB9" i="8" s="1"/>
  <c r="P9" i="8"/>
  <c r="AA8" i="8"/>
  <c r="Z8" i="8"/>
  <c r="AB8" i="8" s="1"/>
  <c r="Y8" i="8"/>
  <c r="X8" i="8"/>
  <c r="P8" i="8"/>
  <c r="AA7" i="8"/>
  <c r="Z7" i="8"/>
  <c r="AB7" i="8" s="1"/>
  <c r="Y7" i="8"/>
  <c r="X7" i="8"/>
  <c r="P7" i="8"/>
  <c r="AA6" i="8"/>
  <c r="Y6" i="8"/>
  <c r="X6" i="8"/>
  <c r="Z6" i="8" s="1"/>
  <c r="AB6" i="8" s="1"/>
  <c r="P6" i="8"/>
  <c r="AA5" i="8"/>
  <c r="Y5" i="8"/>
  <c r="X5" i="8"/>
  <c r="Z5" i="8" s="1"/>
  <c r="AB5" i="8" s="1"/>
  <c r="P5" i="8"/>
  <c r="AA4" i="8"/>
  <c r="Y4" i="8"/>
  <c r="Z4" i="8" s="1"/>
  <c r="AB4" i="8" s="1"/>
  <c r="X4" i="8"/>
  <c r="P4" i="8"/>
  <c r="AA3" i="8"/>
  <c r="Y3" i="8"/>
  <c r="X3" i="8"/>
  <c r="Z3" i="8" s="1"/>
  <c r="AB3" i="8" s="1"/>
  <c r="P3" i="8"/>
  <c r="AA2" i="8"/>
  <c r="Y2" i="8"/>
  <c r="X2" i="8"/>
  <c r="Z2" i="8" s="1"/>
  <c r="AB2" i="8" s="1"/>
  <c r="P2" i="8"/>
  <c r="AA45" i="7"/>
  <c r="Y45" i="7"/>
  <c r="Z45" i="7" s="1"/>
  <c r="AB45" i="7" s="1"/>
  <c r="X45" i="7"/>
  <c r="P45" i="7"/>
  <c r="AA44" i="7"/>
  <c r="Z44" i="7"/>
  <c r="Y44" i="7"/>
  <c r="X44" i="7"/>
  <c r="P44" i="7"/>
  <c r="AA43" i="7"/>
  <c r="Y43" i="7"/>
  <c r="X43" i="7"/>
  <c r="Z43" i="7" s="1"/>
  <c r="AB43" i="7" s="1"/>
  <c r="P43" i="7"/>
  <c r="AA42" i="7"/>
  <c r="Y42" i="7"/>
  <c r="X42" i="7"/>
  <c r="P42" i="7"/>
  <c r="AA41" i="7"/>
  <c r="Y41" i="7"/>
  <c r="X41" i="7"/>
  <c r="Z41" i="7" s="1"/>
  <c r="AB41" i="7" s="1"/>
  <c r="P41" i="7"/>
  <c r="AA40" i="7"/>
  <c r="Z40" i="7"/>
  <c r="Y40" i="7"/>
  <c r="X40" i="7"/>
  <c r="P40" i="7"/>
  <c r="AA39" i="7"/>
  <c r="AB39" i="7" s="1"/>
  <c r="Y39" i="7"/>
  <c r="X39" i="7"/>
  <c r="Z39" i="7" s="1"/>
  <c r="P39" i="7"/>
  <c r="AA38" i="7"/>
  <c r="Y38" i="7"/>
  <c r="X38" i="7"/>
  <c r="P38" i="7"/>
  <c r="AA37" i="7"/>
  <c r="Z37" i="7"/>
  <c r="AB37" i="7" s="1"/>
  <c r="Y37" i="7"/>
  <c r="X37" i="7"/>
  <c r="P37" i="7"/>
  <c r="AA36" i="7"/>
  <c r="Y36" i="7"/>
  <c r="Z36" i="7" s="1"/>
  <c r="AB36" i="7" s="1"/>
  <c r="X36" i="7"/>
  <c r="P36" i="7"/>
  <c r="AA35" i="7"/>
  <c r="Y35" i="7"/>
  <c r="X35" i="7"/>
  <c r="Z35" i="7" s="1"/>
  <c r="AB35" i="7" s="1"/>
  <c r="P35" i="7"/>
  <c r="AA34" i="7"/>
  <c r="Y34" i="7"/>
  <c r="X34" i="7"/>
  <c r="Z34" i="7" s="1"/>
  <c r="AB34" i="7" s="1"/>
  <c r="P34" i="7"/>
  <c r="AA33" i="7"/>
  <c r="Y33" i="7"/>
  <c r="Z33" i="7" s="1"/>
  <c r="AB33" i="7" s="1"/>
  <c r="X33" i="7"/>
  <c r="P33" i="7"/>
  <c r="AA32" i="7"/>
  <c r="Z32" i="7"/>
  <c r="AB32" i="7" s="1"/>
  <c r="Y32" i="7"/>
  <c r="X32" i="7"/>
  <c r="P32" i="7"/>
  <c r="AA31" i="7"/>
  <c r="Y31" i="7"/>
  <c r="X31" i="7"/>
  <c r="Z31" i="7" s="1"/>
  <c r="AB31" i="7" s="1"/>
  <c r="P31" i="7"/>
  <c r="AA30" i="7"/>
  <c r="Y30" i="7"/>
  <c r="X30" i="7"/>
  <c r="Z30" i="7" s="1"/>
  <c r="AB30" i="7" s="1"/>
  <c r="P30" i="7"/>
  <c r="AA29" i="7"/>
  <c r="Y29" i="7"/>
  <c r="X29" i="7"/>
  <c r="P29" i="7"/>
  <c r="AA28" i="7"/>
  <c r="Z28" i="7"/>
  <c r="AB28" i="7" s="1"/>
  <c r="Y28" i="7"/>
  <c r="X28" i="7"/>
  <c r="P28" i="7"/>
  <c r="AA27" i="7"/>
  <c r="Y27" i="7"/>
  <c r="X27" i="7"/>
  <c r="Z27" i="7" s="1"/>
  <c r="AB27" i="7" s="1"/>
  <c r="P27" i="7"/>
  <c r="AB26" i="7"/>
  <c r="AA26" i="7"/>
  <c r="Y26" i="7"/>
  <c r="X26" i="7"/>
  <c r="Z26" i="7" s="1"/>
  <c r="P26" i="7"/>
  <c r="AA25" i="7"/>
  <c r="Y25" i="7"/>
  <c r="X25" i="7"/>
  <c r="Z25" i="7" s="1"/>
  <c r="AB25" i="7" s="1"/>
  <c r="P25" i="7"/>
  <c r="AA24" i="7"/>
  <c r="Z24" i="7"/>
  <c r="AB24" i="7" s="1"/>
  <c r="Y24" i="7"/>
  <c r="X24" i="7"/>
  <c r="P24" i="7"/>
  <c r="AA23" i="7"/>
  <c r="Y23" i="7"/>
  <c r="X23" i="7"/>
  <c r="Z23" i="7" s="1"/>
  <c r="AB23" i="7" s="1"/>
  <c r="P23" i="7"/>
  <c r="AA22" i="7"/>
  <c r="Y22" i="7"/>
  <c r="X22" i="7"/>
  <c r="Z22" i="7" s="1"/>
  <c r="AB22" i="7" s="1"/>
  <c r="P22" i="7"/>
  <c r="AA21" i="7"/>
  <c r="Y21" i="7"/>
  <c r="X21" i="7"/>
  <c r="Z21" i="7" s="1"/>
  <c r="AB21" i="7" s="1"/>
  <c r="P21" i="7"/>
  <c r="AA20" i="7"/>
  <c r="Y20" i="7"/>
  <c r="X20" i="7"/>
  <c r="Z20" i="7" s="1"/>
  <c r="AB20" i="7" s="1"/>
  <c r="P20" i="7"/>
  <c r="AA19" i="7"/>
  <c r="Y19" i="7"/>
  <c r="X19" i="7"/>
  <c r="Z19" i="7" s="1"/>
  <c r="AB19" i="7" s="1"/>
  <c r="P19" i="7"/>
  <c r="AA18" i="7"/>
  <c r="Y18" i="7"/>
  <c r="Z18" i="7" s="1"/>
  <c r="AB18" i="7" s="1"/>
  <c r="X18" i="7"/>
  <c r="P18" i="7"/>
  <c r="AA17" i="7"/>
  <c r="Y17" i="7"/>
  <c r="X17" i="7"/>
  <c r="Z17" i="7" s="1"/>
  <c r="AB17" i="7" s="1"/>
  <c r="P17" i="7"/>
  <c r="AA16" i="7"/>
  <c r="Y16" i="7"/>
  <c r="X16" i="7"/>
  <c r="Z16" i="7" s="1"/>
  <c r="AB16" i="7" s="1"/>
  <c r="P16" i="7"/>
  <c r="AA15" i="7"/>
  <c r="Y15" i="7"/>
  <c r="X15" i="7"/>
  <c r="Z15" i="7" s="1"/>
  <c r="AB15" i="7" s="1"/>
  <c r="P15" i="7"/>
  <c r="AA14" i="7"/>
  <c r="Y14" i="7"/>
  <c r="X14" i="7"/>
  <c r="Z14" i="7" s="1"/>
  <c r="AB14" i="7" s="1"/>
  <c r="P14" i="7"/>
  <c r="AA13" i="7"/>
  <c r="Z13" i="7"/>
  <c r="AB13" i="7" s="1"/>
  <c r="Y13" i="7"/>
  <c r="X13" i="7"/>
  <c r="P13" i="7"/>
  <c r="AA12" i="7"/>
  <c r="Y12" i="7"/>
  <c r="X12" i="7"/>
  <c r="Z12" i="7" s="1"/>
  <c r="AB12" i="7" s="1"/>
  <c r="P12" i="7"/>
  <c r="AA11" i="7"/>
  <c r="Y11" i="7"/>
  <c r="X11" i="7"/>
  <c r="Z11" i="7" s="1"/>
  <c r="AB11" i="7" s="1"/>
  <c r="P11" i="7"/>
  <c r="AA10" i="7"/>
  <c r="Z10" i="7"/>
  <c r="AB10" i="7" s="1"/>
  <c r="Y10" i="7"/>
  <c r="X10" i="7"/>
  <c r="P10" i="7"/>
  <c r="AA9" i="7"/>
  <c r="Y9" i="7"/>
  <c r="Z9" i="7" s="1"/>
  <c r="AB9" i="7" s="1"/>
  <c r="X9" i="7"/>
  <c r="P9" i="7"/>
  <c r="AA8" i="7"/>
  <c r="Y8" i="7"/>
  <c r="X8" i="7"/>
  <c r="Z8" i="7" s="1"/>
  <c r="AB8" i="7" s="1"/>
  <c r="P8" i="7"/>
  <c r="AA7" i="7"/>
  <c r="Y7" i="7"/>
  <c r="X7" i="7"/>
  <c r="Z7" i="7" s="1"/>
  <c r="AB7" i="7" s="1"/>
  <c r="P7" i="7"/>
  <c r="AA6" i="7"/>
  <c r="Y6" i="7"/>
  <c r="Z6" i="7" s="1"/>
  <c r="AB6" i="7" s="1"/>
  <c r="X6" i="7"/>
  <c r="P6" i="7"/>
  <c r="AA5" i="7"/>
  <c r="Y5" i="7"/>
  <c r="X5" i="7"/>
  <c r="Z5" i="7" s="1"/>
  <c r="AB5" i="7" s="1"/>
  <c r="P5" i="7"/>
  <c r="AA4" i="7"/>
  <c r="Y4" i="7"/>
  <c r="X4" i="7"/>
  <c r="Z4" i="7" s="1"/>
  <c r="AB4" i="7" s="1"/>
  <c r="P4" i="7"/>
  <c r="AA3" i="7"/>
  <c r="Z3" i="7"/>
  <c r="AB3" i="7" s="1"/>
  <c r="Y3" i="7"/>
  <c r="X3" i="7"/>
  <c r="P3" i="7"/>
  <c r="AA2" i="7"/>
  <c r="Z2" i="7"/>
  <c r="AB2" i="7" s="1"/>
  <c r="Y2" i="7"/>
  <c r="X2" i="7"/>
  <c r="P2" i="7"/>
  <c r="AA41" i="6"/>
  <c r="Y41" i="6"/>
  <c r="Z41" i="6" s="1"/>
  <c r="X41" i="6"/>
  <c r="P41" i="6"/>
  <c r="AA40" i="6"/>
  <c r="Y40" i="6"/>
  <c r="X40" i="6"/>
  <c r="Z40" i="6" s="1"/>
  <c r="AB40" i="6" s="1"/>
  <c r="P40" i="6"/>
  <c r="AA39" i="6"/>
  <c r="Y39" i="6"/>
  <c r="X39" i="6"/>
  <c r="P39" i="6"/>
  <c r="AA38" i="6"/>
  <c r="Y38" i="6"/>
  <c r="X38" i="6"/>
  <c r="Z38" i="6" s="1"/>
  <c r="AB38" i="6" s="1"/>
  <c r="P38" i="6"/>
  <c r="AA37" i="6"/>
  <c r="Y37" i="6"/>
  <c r="Z37" i="6" s="1"/>
  <c r="AB37" i="6" s="1"/>
  <c r="X37" i="6"/>
  <c r="P37" i="6"/>
  <c r="AA36" i="6"/>
  <c r="Y36" i="6"/>
  <c r="X36" i="6"/>
  <c r="Z36" i="6" s="1"/>
  <c r="AB36" i="6" s="1"/>
  <c r="P36" i="6"/>
  <c r="AB35" i="6"/>
  <c r="AA35" i="6"/>
  <c r="Z35" i="6"/>
  <c r="Y35" i="6"/>
  <c r="X35" i="6"/>
  <c r="P35" i="6"/>
  <c r="AA34" i="6"/>
  <c r="Y34" i="6"/>
  <c r="X34" i="6"/>
  <c r="Z34" i="6" s="1"/>
  <c r="AB34" i="6" s="1"/>
  <c r="P34" i="6"/>
  <c r="AA33" i="6"/>
  <c r="Z33" i="6"/>
  <c r="AB33" i="6" s="1"/>
  <c r="Y33" i="6"/>
  <c r="X33" i="6"/>
  <c r="P33" i="6"/>
  <c r="AB32" i="6"/>
  <c r="AA32" i="6"/>
  <c r="Z32" i="6"/>
  <c r="Y32" i="6"/>
  <c r="X32" i="6"/>
  <c r="P32" i="6"/>
  <c r="AA31" i="6"/>
  <c r="Y31" i="6"/>
  <c r="X31" i="6"/>
  <c r="Z31" i="6" s="1"/>
  <c r="AB31" i="6" s="1"/>
  <c r="P31" i="6"/>
  <c r="AB30" i="6"/>
  <c r="AA30" i="6"/>
  <c r="Z30" i="6"/>
  <c r="Y30" i="6"/>
  <c r="X30" i="6"/>
  <c r="P30" i="6"/>
  <c r="AA29" i="6"/>
  <c r="Z29" i="6"/>
  <c r="AB29" i="6" s="1"/>
  <c r="Y29" i="6"/>
  <c r="X29" i="6"/>
  <c r="P29" i="6"/>
  <c r="AA28" i="6"/>
  <c r="Z28" i="6"/>
  <c r="AB28" i="6" s="1"/>
  <c r="Y28" i="6"/>
  <c r="X28" i="6"/>
  <c r="P28" i="6"/>
  <c r="AA27" i="6"/>
  <c r="Y27" i="6"/>
  <c r="X27" i="6"/>
  <c r="P27" i="6"/>
  <c r="AA26" i="6"/>
  <c r="Z26" i="6"/>
  <c r="AB26" i="6" s="1"/>
  <c r="Y26" i="6"/>
  <c r="X26" i="6"/>
  <c r="P26" i="6"/>
  <c r="AB25" i="6"/>
  <c r="AA25" i="6"/>
  <c r="Y25" i="6"/>
  <c r="X25" i="6"/>
  <c r="Z25" i="6" s="1"/>
  <c r="P25" i="6"/>
  <c r="AA24" i="6"/>
  <c r="Z24" i="6"/>
  <c r="AB24" i="6" s="1"/>
  <c r="Y24" i="6"/>
  <c r="X24" i="6"/>
  <c r="P24" i="6"/>
  <c r="AA23" i="6"/>
  <c r="Y23" i="6"/>
  <c r="X23" i="6"/>
  <c r="Z23" i="6" s="1"/>
  <c r="AB23" i="6" s="1"/>
  <c r="P23" i="6"/>
  <c r="AA22" i="6"/>
  <c r="Z22" i="6"/>
  <c r="AB22" i="6" s="1"/>
  <c r="Y22" i="6"/>
  <c r="X22" i="6"/>
  <c r="P22" i="6"/>
  <c r="AA21" i="6"/>
  <c r="Y21" i="6"/>
  <c r="Z21" i="6" s="1"/>
  <c r="AB21" i="6" s="1"/>
  <c r="X21" i="6"/>
  <c r="P21" i="6"/>
  <c r="AA20" i="6"/>
  <c r="Y20" i="6"/>
  <c r="Z20" i="6" s="1"/>
  <c r="AB20" i="6" s="1"/>
  <c r="X20" i="6"/>
  <c r="P20" i="6"/>
  <c r="AB19" i="6"/>
  <c r="AA19" i="6"/>
  <c r="Z19" i="6"/>
  <c r="Y19" i="6"/>
  <c r="X19" i="6"/>
  <c r="P19" i="6"/>
  <c r="AA18" i="6"/>
  <c r="Z18" i="6"/>
  <c r="AB18" i="6" s="1"/>
  <c r="Y18" i="6"/>
  <c r="X18" i="6"/>
  <c r="P18" i="6"/>
  <c r="AA17" i="6"/>
  <c r="Z17" i="6"/>
  <c r="AB17" i="6" s="1"/>
  <c r="Y17" i="6"/>
  <c r="X17" i="6"/>
  <c r="P17" i="6"/>
  <c r="AA16" i="6"/>
  <c r="Y16" i="6"/>
  <c r="X16" i="6"/>
  <c r="Z16" i="6" s="1"/>
  <c r="AB16" i="6" s="1"/>
  <c r="P16" i="6"/>
  <c r="AA15" i="6"/>
  <c r="Y15" i="6"/>
  <c r="X15" i="6"/>
  <c r="Z15" i="6" s="1"/>
  <c r="AB15" i="6" s="1"/>
  <c r="P15" i="6"/>
  <c r="AA14" i="6"/>
  <c r="Y14" i="6"/>
  <c r="X14" i="6"/>
  <c r="Z14" i="6" s="1"/>
  <c r="AB14" i="6" s="1"/>
  <c r="P14" i="6"/>
  <c r="AA13" i="6"/>
  <c r="Y13" i="6"/>
  <c r="X13" i="6"/>
  <c r="Z13" i="6" s="1"/>
  <c r="AB13" i="6" s="1"/>
  <c r="P13" i="6"/>
  <c r="AA12" i="6"/>
  <c r="Z12" i="6"/>
  <c r="AB12" i="6" s="1"/>
  <c r="Y12" i="6"/>
  <c r="X12" i="6"/>
  <c r="P12" i="6"/>
  <c r="AA11" i="6"/>
  <c r="Y11" i="6"/>
  <c r="X11" i="6"/>
  <c r="Z11" i="6" s="1"/>
  <c r="AB11" i="6" s="1"/>
  <c r="P11" i="6"/>
  <c r="AA10" i="6"/>
  <c r="Y10" i="6"/>
  <c r="X10" i="6"/>
  <c r="Z10" i="6" s="1"/>
  <c r="AB10" i="6" s="1"/>
  <c r="P10" i="6"/>
  <c r="AA9" i="6"/>
  <c r="Y9" i="6"/>
  <c r="Z9" i="6" s="1"/>
  <c r="AB9" i="6" s="1"/>
  <c r="X9" i="6"/>
  <c r="P9" i="6"/>
  <c r="AA8" i="6"/>
  <c r="Y8" i="6"/>
  <c r="Z8" i="6" s="1"/>
  <c r="AB8" i="6" s="1"/>
  <c r="X8" i="6"/>
  <c r="P8" i="6"/>
  <c r="AA7" i="6"/>
  <c r="Y7" i="6"/>
  <c r="Z7" i="6" s="1"/>
  <c r="AB7" i="6" s="1"/>
  <c r="X7" i="6"/>
  <c r="P7" i="6"/>
  <c r="AA6" i="6"/>
  <c r="Z6" i="6"/>
  <c r="AB6" i="6" s="1"/>
  <c r="Y6" i="6"/>
  <c r="X6" i="6"/>
  <c r="P6" i="6"/>
  <c r="AA5" i="6"/>
  <c r="Z5" i="6"/>
  <c r="AB5" i="6" s="1"/>
  <c r="Y5" i="6"/>
  <c r="X5" i="6"/>
  <c r="P5" i="6"/>
  <c r="AA4" i="6"/>
  <c r="Y4" i="6"/>
  <c r="X4" i="6"/>
  <c r="Z4" i="6" s="1"/>
  <c r="AB4" i="6" s="1"/>
  <c r="P4" i="6"/>
  <c r="AA3" i="6"/>
  <c r="Y3" i="6"/>
  <c r="X3" i="6"/>
  <c r="Z3" i="6" s="1"/>
  <c r="AB3" i="6" s="1"/>
  <c r="P3" i="6"/>
  <c r="AA2" i="6"/>
  <c r="Y2" i="6"/>
  <c r="Z2" i="6" s="1"/>
  <c r="AB2" i="6" s="1"/>
  <c r="X2" i="6"/>
  <c r="P2" i="6"/>
  <c r="AA59" i="5"/>
  <c r="Y59" i="5"/>
  <c r="X59" i="5"/>
  <c r="Z59" i="5" s="1"/>
  <c r="P59" i="5"/>
  <c r="AB58" i="5"/>
  <c r="AA58" i="5"/>
  <c r="Z58" i="5"/>
  <c r="Y58" i="5"/>
  <c r="X58" i="5"/>
  <c r="P58" i="5"/>
  <c r="AB57" i="5"/>
  <c r="AA57" i="5"/>
  <c r="Y57" i="5"/>
  <c r="X57" i="5"/>
  <c r="Z57" i="5" s="1"/>
  <c r="P57" i="5"/>
  <c r="AA56" i="5"/>
  <c r="Z56" i="5"/>
  <c r="AB56" i="5" s="1"/>
  <c r="Y56" i="5"/>
  <c r="X56" i="5"/>
  <c r="P56" i="5"/>
  <c r="AA55" i="5"/>
  <c r="Z55" i="5"/>
  <c r="AB55" i="5" s="1"/>
  <c r="Y55" i="5"/>
  <c r="X55" i="5"/>
  <c r="P55" i="5"/>
  <c r="AA54" i="5"/>
  <c r="Y54" i="5"/>
  <c r="X54" i="5"/>
  <c r="Z54" i="5" s="1"/>
  <c r="AB54" i="5" s="1"/>
  <c r="P54" i="5"/>
  <c r="AA53" i="5"/>
  <c r="Z53" i="5"/>
  <c r="AB53" i="5" s="1"/>
  <c r="Y53" i="5"/>
  <c r="X53" i="5"/>
  <c r="P53" i="5"/>
  <c r="AB52" i="5"/>
  <c r="AA52" i="5"/>
  <c r="Z52" i="5"/>
  <c r="Y52" i="5"/>
  <c r="X52" i="5"/>
  <c r="P52" i="5"/>
  <c r="AA51" i="5"/>
  <c r="Y51" i="5"/>
  <c r="X51" i="5"/>
  <c r="Z51" i="5" s="1"/>
  <c r="P51" i="5"/>
  <c r="AA50" i="5"/>
  <c r="Z50" i="5"/>
  <c r="AB50" i="5" s="1"/>
  <c r="Y50" i="5"/>
  <c r="X50" i="5"/>
  <c r="P50" i="5"/>
  <c r="AA49" i="5"/>
  <c r="Y49" i="5"/>
  <c r="X49" i="5"/>
  <c r="P49" i="5"/>
  <c r="AA48" i="5"/>
  <c r="Y48" i="5"/>
  <c r="X48" i="5"/>
  <c r="Z48" i="5" s="1"/>
  <c r="AB48" i="5" s="1"/>
  <c r="P48" i="5"/>
  <c r="AA47" i="5"/>
  <c r="Y47" i="5"/>
  <c r="X47" i="5"/>
  <c r="Z47" i="5" s="1"/>
  <c r="AB47" i="5" s="1"/>
  <c r="P47" i="5"/>
  <c r="AA46" i="5"/>
  <c r="Y46" i="5"/>
  <c r="X46" i="5"/>
  <c r="Z46" i="5" s="1"/>
  <c r="AB46" i="5" s="1"/>
  <c r="P46" i="5"/>
  <c r="AA45" i="5"/>
  <c r="Y45" i="5"/>
  <c r="X45" i="5"/>
  <c r="P45" i="5"/>
  <c r="AA44" i="5"/>
  <c r="Y44" i="5"/>
  <c r="X44" i="5"/>
  <c r="Z44" i="5" s="1"/>
  <c r="AB44" i="5" s="1"/>
  <c r="P44" i="5"/>
  <c r="AA43" i="5"/>
  <c r="Y43" i="5"/>
  <c r="Z43" i="5" s="1"/>
  <c r="AB43" i="5" s="1"/>
  <c r="X43" i="5"/>
  <c r="P43" i="5"/>
  <c r="AB42" i="5"/>
  <c r="AA42" i="5"/>
  <c r="Y42" i="5"/>
  <c r="X42" i="5"/>
  <c r="Z42" i="5" s="1"/>
  <c r="P42" i="5"/>
  <c r="AA41" i="5"/>
  <c r="Y41" i="5"/>
  <c r="X41" i="5"/>
  <c r="Z41" i="5" s="1"/>
  <c r="AB41" i="5" s="1"/>
  <c r="P41" i="5"/>
  <c r="AA40" i="5"/>
  <c r="Z40" i="5"/>
  <c r="AB40" i="5" s="1"/>
  <c r="Y40" i="5"/>
  <c r="X40" i="5"/>
  <c r="P40" i="5"/>
  <c r="AA39" i="5"/>
  <c r="Y39" i="5"/>
  <c r="X39" i="5"/>
  <c r="Z39" i="5" s="1"/>
  <c r="AB39" i="5" s="1"/>
  <c r="P39" i="5"/>
  <c r="AA38" i="5"/>
  <c r="Y38" i="5"/>
  <c r="X38" i="5"/>
  <c r="Z38" i="5" s="1"/>
  <c r="AB38" i="5" s="1"/>
  <c r="P38" i="5"/>
  <c r="AA37" i="5"/>
  <c r="Y37" i="5"/>
  <c r="X37" i="5"/>
  <c r="Z37" i="5" s="1"/>
  <c r="AB37" i="5" s="1"/>
  <c r="P37" i="5"/>
  <c r="AA36" i="5"/>
  <c r="AB36" i="5" s="1"/>
  <c r="Z36" i="5"/>
  <c r="Y36" i="5"/>
  <c r="X36" i="5"/>
  <c r="P36" i="5"/>
  <c r="AA35" i="5"/>
  <c r="Y35" i="5"/>
  <c r="X35" i="5"/>
  <c r="Z35" i="5" s="1"/>
  <c r="AB35" i="5" s="1"/>
  <c r="P35" i="5"/>
  <c r="AA34" i="5"/>
  <c r="Y34" i="5"/>
  <c r="Z34" i="5" s="1"/>
  <c r="AB34" i="5" s="1"/>
  <c r="X34" i="5"/>
  <c r="P34" i="5"/>
  <c r="AA33" i="5"/>
  <c r="Y33" i="5"/>
  <c r="Z33" i="5" s="1"/>
  <c r="AB33" i="5" s="1"/>
  <c r="X33" i="5"/>
  <c r="P33" i="5"/>
  <c r="AA32" i="5"/>
  <c r="Z32" i="5"/>
  <c r="Y32" i="5"/>
  <c r="X32" i="5"/>
  <c r="P32" i="5"/>
  <c r="AA31" i="5"/>
  <c r="Y31" i="5"/>
  <c r="X31" i="5"/>
  <c r="Z31" i="5" s="1"/>
  <c r="AB31" i="5" s="1"/>
  <c r="P31" i="5"/>
  <c r="AA30" i="5"/>
  <c r="Y30" i="5"/>
  <c r="X30" i="5"/>
  <c r="P30" i="5"/>
  <c r="AA29" i="5"/>
  <c r="Y29" i="5"/>
  <c r="Z29" i="5" s="1"/>
  <c r="AB29" i="5" s="1"/>
  <c r="X29" i="5"/>
  <c r="P29" i="5"/>
  <c r="AA28" i="5"/>
  <c r="Z28" i="5"/>
  <c r="AB28" i="5" s="1"/>
  <c r="Y28" i="5"/>
  <c r="X28" i="5"/>
  <c r="P28" i="5"/>
  <c r="AA27" i="5"/>
  <c r="Y27" i="5"/>
  <c r="X27" i="5"/>
  <c r="Z27" i="5" s="1"/>
  <c r="AB27" i="5" s="1"/>
  <c r="P27" i="5"/>
  <c r="AA26" i="5"/>
  <c r="Y26" i="5"/>
  <c r="Z26" i="5" s="1"/>
  <c r="AB26" i="5" s="1"/>
  <c r="X26" i="5"/>
  <c r="P26" i="5"/>
  <c r="AA25" i="5"/>
  <c r="Z25" i="5"/>
  <c r="AB25" i="5" s="1"/>
  <c r="Y25" i="5"/>
  <c r="X25" i="5"/>
  <c r="P25" i="5"/>
  <c r="AA24" i="5"/>
  <c r="Y24" i="5"/>
  <c r="X24" i="5"/>
  <c r="Z24" i="5" s="1"/>
  <c r="AB24" i="5" s="1"/>
  <c r="P24" i="5"/>
  <c r="AA23" i="5"/>
  <c r="AB23" i="5" s="1"/>
  <c r="Z23" i="5"/>
  <c r="Y23" i="5"/>
  <c r="X23" i="5"/>
  <c r="P23" i="5"/>
  <c r="AA22" i="5"/>
  <c r="Y22" i="5"/>
  <c r="X22" i="5"/>
  <c r="Z22" i="5" s="1"/>
  <c r="AB22" i="5" s="1"/>
  <c r="P22" i="5"/>
  <c r="AB21" i="5"/>
  <c r="AA21" i="5"/>
  <c r="Z21" i="5"/>
  <c r="Y21" i="5"/>
  <c r="X21" i="5"/>
  <c r="P21" i="5"/>
  <c r="AA20" i="5"/>
  <c r="Y20" i="5"/>
  <c r="X20" i="5"/>
  <c r="Z20" i="5" s="1"/>
  <c r="AB20" i="5" s="1"/>
  <c r="P20" i="5"/>
  <c r="AA19" i="5"/>
  <c r="Z19" i="5"/>
  <c r="AB19" i="5" s="1"/>
  <c r="Y19" i="5"/>
  <c r="X19" i="5"/>
  <c r="P19" i="5"/>
  <c r="AA18" i="5"/>
  <c r="Z18" i="5"/>
  <c r="AB18" i="5" s="1"/>
  <c r="Y18" i="5"/>
  <c r="X18" i="5"/>
  <c r="P18" i="5"/>
  <c r="AA17" i="5"/>
  <c r="Y17" i="5"/>
  <c r="X17" i="5"/>
  <c r="Z17" i="5" s="1"/>
  <c r="AB17" i="5" s="1"/>
  <c r="P17" i="5"/>
  <c r="AA16" i="5"/>
  <c r="Y16" i="5"/>
  <c r="X16" i="5"/>
  <c r="Z16" i="5" s="1"/>
  <c r="AB16" i="5" s="1"/>
  <c r="P16" i="5"/>
  <c r="AA15" i="5"/>
  <c r="Y15" i="5"/>
  <c r="Z15" i="5" s="1"/>
  <c r="AB15" i="5" s="1"/>
  <c r="X15" i="5"/>
  <c r="P15" i="5"/>
  <c r="AA14" i="5"/>
  <c r="Y14" i="5"/>
  <c r="X14" i="5"/>
  <c r="Z14" i="5" s="1"/>
  <c r="AB14" i="5" s="1"/>
  <c r="P14" i="5"/>
  <c r="AA13" i="5"/>
  <c r="Z13" i="5"/>
  <c r="AB13" i="5" s="1"/>
  <c r="Y13" i="5"/>
  <c r="X13" i="5"/>
  <c r="P13" i="5"/>
  <c r="AA12" i="5"/>
  <c r="Y12" i="5"/>
  <c r="Z12" i="5" s="1"/>
  <c r="AB12" i="5" s="1"/>
  <c r="X12" i="5"/>
  <c r="P12" i="5"/>
  <c r="AA11" i="5"/>
  <c r="Y11" i="5"/>
  <c r="X11" i="5"/>
  <c r="Z11" i="5" s="1"/>
  <c r="AB11" i="5" s="1"/>
  <c r="P11" i="5"/>
  <c r="AA10" i="5"/>
  <c r="Z10" i="5"/>
  <c r="AB10" i="5" s="1"/>
  <c r="Y10" i="5"/>
  <c r="X10" i="5"/>
  <c r="P10" i="5"/>
  <c r="AB9" i="5"/>
  <c r="AA9" i="5"/>
  <c r="Z9" i="5"/>
  <c r="Y9" i="5"/>
  <c r="X9" i="5"/>
  <c r="P9" i="5"/>
  <c r="AA8" i="5"/>
  <c r="Y8" i="5"/>
  <c r="X8" i="5"/>
  <c r="Z8" i="5" s="1"/>
  <c r="AB8" i="5" s="1"/>
  <c r="P8" i="5"/>
  <c r="AA7" i="5"/>
  <c r="Z7" i="5"/>
  <c r="AB7" i="5" s="1"/>
  <c r="Y7" i="5"/>
  <c r="X7" i="5"/>
  <c r="P7" i="5"/>
  <c r="AB6" i="5"/>
  <c r="AA6" i="5"/>
  <c r="Z6" i="5"/>
  <c r="Y6" i="5"/>
  <c r="X6" i="5"/>
  <c r="P6" i="5"/>
  <c r="AA5" i="5"/>
  <c r="Y5" i="5"/>
  <c r="X5" i="5"/>
  <c r="Z5" i="5" s="1"/>
  <c r="AB5" i="5" s="1"/>
  <c r="P5" i="5"/>
  <c r="AA4" i="5"/>
  <c r="Y4" i="5"/>
  <c r="X4" i="5"/>
  <c r="Z4" i="5" s="1"/>
  <c r="AB4" i="5" s="1"/>
  <c r="P4" i="5"/>
  <c r="AA3" i="5"/>
  <c r="Z3" i="5"/>
  <c r="AB3" i="5" s="1"/>
  <c r="Y3" i="5"/>
  <c r="X3" i="5"/>
  <c r="P3" i="5"/>
  <c r="AB2" i="5"/>
  <c r="AA2" i="5"/>
  <c r="Z2" i="5"/>
  <c r="Y2" i="5"/>
  <c r="X2" i="5"/>
  <c r="P2" i="5"/>
  <c r="AA62" i="4"/>
  <c r="Y62" i="4"/>
  <c r="X62" i="4"/>
  <c r="Z62" i="4" s="1"/>
  <c r="AB62" i="4" s="1"/>
  <c r="P62" i="4"/>
  <c r="AA61" i="4"/>
  <c r="Y61" i="4"/>
  <c r="Z61" i="4" s="1"/>
  <c r="AB61" i="4" s="1"/>
  <c r="X61" i="4"/>
  <c r="P61" i="4"/>
  <c r="AA60" i="4"/>
  <c r="Y60" i="4"/>
  <c r="Z60" i="4" s="1"/>
  <c r="AB60" i="4" s="1"/>
  <c r="X60" i="4"/>
  <c r="P60" i="4"/>
  <c r="AA59" i="4"/>
  <c r="Y59" i="4"/>
  <c r="X59" i="4"/>
  <c r="Z59" i="4" s="1"/>
  <c r="AB59" i="4" s="1"/>
  <c r="P59" i="4"/>
  <c r="AA58" i="4"/>
  <c r="Y58" i="4"/>
  <c r="X58" i="4"/>
  <c r="Z58" i="4" s="1"/>
  <c r="AB58" i="4" s="1"/>
  <c r="P58" i="4"/>
  <c r="AB57" i="4"/>
  <c r="AA57" i="4"/>
  <c r="Z57" i="4"/>
  <c r="Y57" i="4"/>
  <c r="X57" i="4"/>
  <c r="P57" i="4"/>
  <c r="AA56" i="4"/>
  <c r="Y56" i="4"/>
  <c r="Z56" i="4" s="1"/>
  <c r="AB56" i="4" s="1"/>
  <c r="X56" i="4"/>
  <c r="P56" i="4"/>
  <c r="AA55" i="4"/>
  <c r="Y55" i="4"/>
  <c r="X55" i="4"/>
  <c r="Z55" i="4" s="1"/>
  <c r="AB55" i="4" s="1"/>
  <c r="P55" i="4"/>
  <c r="AA54" i="4"/>
  <c r="Y54" i="4"/>
  <c r="X54" i="4"/>
  <c r="Z54" i="4" s="1"/>
  <c r="AB54" i="4" s="1"/>
  <c r="P54" i="4"/>
  <c r="AA53" i="4"/>
  <c r="Y53" i="4"/>
  <c r="X53" i="4"/>
  <c r="Z53" i="4" s="1"/>
  <c r="AB53" i="4" s="1"/>
  <c r="P53" i="4"/>
  <c r="AA52" i="4"/>
  <c r="AB52" i="4" s="1"/>
  <c r="Z52" i="4"/>
  <c r="Y52" i="4"/>
  <c r="X52" i="4"/>
  <c r="P52" i="4"/>
  <c r="AA51" i="4"/>
  <c r="Y51" i="4"/>
  <c r="X51" i="4"/>
  <c r="Z51" i="4" s="1"/>
  <c r="AB51" i="4" s="1"/>
  <c r="P51" i="4"/>
  <c r="AA50" i="4"/>
  <c r="Z50" i="4"/>
  <c r="AB50" i="4" s="1"/>
  <c r="Y50" i="4"/>
  <c r="X50" i="4"/>
  <c r="P50" i="4"/>
  <c r="AA49" i="4"/>
  <c r="Y49" i="4"/>
  <c r="X49" i="4"/>
  <c r="Z49" i="4" s="1"/>
  <c r="AB49" i="4" s="1"/>
  <c r="P49" i="4"/>
  <c r="AA48" i="4"/>
  <c r="Z48" i="4"/>
  <c r="AB48" i="4" s="1"/>
  <c r="Y48" i="4"/>
  <c r="X48" i="4"/>
  <c r="P48" i="4"/>
  <c r="AB47" i="4"/>
  <c r="AA47" i="4"/>
  <c r="Z47" i="4"/>
  <c r="Y47" i="4"/>
  <c r="X47" i="4"/>
  <c r="P47" i="4"/>
  <c r="AA46" i="4"/>
  <c r="Z46" i="4"/>
  <c r="AB46" i="4" s="1"/>
  <c r="Y46" i="4"/>
  <c r="X46" i="4"/>
  <c r="P46" i="4"/>
  <c r="AA45" i="4"/>
  <c r="Z45" i="4"/>
  <c r="AB45" i="4" s="1"/>
  <c r="Y45" i="4"/>
  <c r="X45" i="4"/>
  <c r="P45" i="4"/>
  <c r="AA44" i="4"/>
  <c r="Z44" i="4"/>
  <c r="AB44" i="4" s="1"/>
  <c r="Y44" i="4"/>
  <c r="X44" i="4"/>
  <c r="P44" i="4"/>
  <c r="AA43" i="4"/>
  <c r="Y43" i="4"/>
  <c r="X43" i="4"/>
  <c r="Z43" i="4" s="1"/>
  <c r="AB43" i="4" s="1"/>
  <c r="P43" i="4"/>
  <c r="AA42" i="4"/>
  <c r="Y42" i="4"/>
  <c r="X42" i="4"/>
  <c r="Z42" i="4" s="1"/>
  <c r="AB42" i="4" s="1"/>
  <c r="P42" i="4"/>
  <c r="AA41" i="4"/>
  <c r="Y41" i="4"/>
  <c r="X41" i="4"/>
  <c r="Z41" i="4" s="1"/>
  <c r="AB41" i="4" s="1"/>
  <c r="P41" i="4"/>
  <c r="AA40" i="4"/>
  <c r="Y40" i="4"/>
  <c r="Z40" i="4" s="1"/>
  <c r="AB40" i="4" s="1"/>
  <c r="X40" i="4"/>
  <c r="P40" i="4"/>
  <c r="AB39" i="4"/>
  <c r="AA39" i="4"/>
  <c r="Z39" i="4"/>
  <c r="Y39" i="4"/>
  <c r="X39" i="4"/>
  <c r="P39" i="4"/>
  <c r="AA38" i="4"/>
  <c r="Y38" i="4"/>
  <c r="X38" i="4"/>
  <c r="Z38" i="4" s="1"/>
  <c r="AB38" i="4" s="1"/>
  <c r="P38" i="4"/>
  <c r="AA37" i="4"/>
  <c r="Y37" i="4"/>
  <c r="X37" i="4"/>
  <c r="Z37" i="4" s="1"/>
  <c r="AB37" i="4" s="1"/>
  <c r="P37" i="4"/>
  <c r="AA36" i="4"/>
  <c r="Y36" i="4"/>
  <c r="Z36" i="4" s="1"/>
  <c r="AB36" i="4" s="1"/>
  <c r="X36" i="4"/>
  <c r="P36" i="4"/>
  <c r="AA35" i="4"/>
  <c r="Y35" i="4"/>
  <c r="X35" i="4"/>
  <c r="Z35" i="4" s="1"/>
  <c r="AB35" i="4" s="1"/>
  <c r="P35" i="4"/>
  <c r="AA34" i="4"/>
  <c r="Y34" i="4"/>
  <c r="X34" i="4"/>
  <c r="Z34" i="4" s="1"/>
  <c r="AB34" i="4" s="1"/>
  <c r="P34" i="4"/>
  <c r="AA33" i="4"/>
  <c r="Z33" i="4"/>
  <c r="AB33" i="4" s="1"/>
  <c r="Y33" i="4"/>
  <c r="X33" i="4"/>
  <c r="P33" i="4"/>
  <c r="AA32" i="4"/>
  <c r="Y32" i="4"/>
  <c r="X32" i="4"/>
  <c r="Z32" i="4" s="1"/>
  <c r="AB32" i="4" s="1"/>
  <c r="P32" i="4"/>
  <c r="AA31" i="4"/>
  <c r="Y31" i="4"/>
  <c r="X31" i="4"/>
  <c r="Z31" i="4" s="1"/>
  <c r="AB31" i="4" s="1"/>
  <c r="P31" i="4"/>
  <c r="AB30" i="4"/>
  <c r="AA30" i="4"/>
  <c r="Y30" i="4"/>
  <c r="X30" i="4"/>
  <c r="Z30" i="4" s="1"/>
  <c r="P30" i="4"/>
  <c r="AB29" i="4"/>
  <c r="AA29" i="4"/>
  <c r="Z29" i="4"/>
  <c r="Y29" i="4"/>
  <c r="X29" i="4"/>
  <c r="P29" i="4"/>
  <c r="AA28" i="4"/>
  <c r="Z28" i="4"/>
  <c r="AB28" i="4" s="1"/>
  <c r="Y28" i="4"/>
  <c r="X28" i="4"/>
  <c r="P28" i="4"/>
  <c r="AA27" i="4"/>
  <c r="Y27" i="4"/>
  <c r="X27" i="4"/>
  <c r="Z27" i="4" s="1"/>
  <c r="AB27" i="4" s="1"/>
  <c r="P27" i="4"/>
  <c r="AA26" i="4"/>
  <c r="Y26" i="4"/>
  <c r="X26" i="4"/>
  <c r="Z26" i="4" s="1"/>
  <c r="AB26" i="4" s="1"/>
  <c r="P26" i="4"/>
  <c r="AA25" i="4"/>
  <c r="Y25" i="4"/>
  <c r="Z25" i="4" s="1"/>
  <c r="AB25" i="4" s="1"/>
  <c r="X25" i="4"/>
  <c r="P25" i="4"/>
  <c r="AA24" i="4"/>
  <c r="Y24" i="4"/>
  <c r="X24" i="4"/>
  <c r="Z24" i="4" s="1"/>
  <c r="AB24" i="4" s="1"/>
  <c r="P24" i="4"/>
  <c r="AA23" i="4"/>
  <c r="Y23" i="4"/>
  <c r="X23" i="4"/>
  <c r="Z23" i="4" s="1"/>
  <c r="AB23" i="4" s="1"/>
  <c r="P23" i="4"/>
  <c r="AA22" i="4"/>
  <c r="Y22" i="4"/>
  <c r="X22" i="4"/>
  <c r="Z22" i="4" s="1"/>
  <c r="AB22" i="4" s="1"/>
  <c r="P22" i="4"/>
  <c r="AA21" i="4"/>
  <c r="Y21" i="4"/>
  <c r="X21" i="4"/>
  <c r="Z21" i="4" s="1"/>
  <c r="AB21" i="4" s="1"/>
  <c r="P21" i="4"/>
  <c r="AA20" i="4"/>
  <c r="Z20" i="4"/>
  <c r="AB20" i="4" s="1"/>
  <c r="Y20" i="4"/>
  <c r="X20" i="4"/>
  <c r="P20" i="4"/>
  <c r="AA19" i="4"/>
  <c r="Z19" i="4"/>
  <c r="AB19" i="4" s="1"/>
  <c r="Y19" i="4"/>
  <c r="X19" i="4"/>
  <c r="P19" i="4"/>
  <c r="AA18" i="4"/>
  <c r="Y18" i="4"/>
  <c r="X18" i="4"/>
  <c r="Z18" i="4" s="1"/>
  <c r="AB18" i="4" s="1"/>
  <c r="P18" i="4"/>
  <c r="AA17" i="4"/>
  <c r="Y17" i="4"/>
  <c r="X17" i="4"/>
  <c r="Z17" i="4" s="1"/>
  <c r="AB17" i="4" s="1"/>
  <c r="P17" i="4"/>
  <c r="AA16" i="4"/>
  <c r="Z16" i="4"/>
  <c r="AB16" i="4" s="1"/>
  <c r="Y16" i="4"/>
  <c r="X16" i="4"/>
  <c r="P16" i="4"/>
  <c r="AA15" i="4"/>
  <c r="Y15" i="4"/>
  <c r="X15" i="4"/>
  <c r="Z15" i="4" s="1"/>
  <c r="AB15" i="4" s="1"/>
  <c r="P15" i="4"/>
  <c r="AA14" i="4"/>
  <c r="Y14" i="4"/>
  <c r="X14" i="4"/>
  <c r="Z14" i="4" s="1"/>
  <c r="AB14" i="4" s="1"/>
  <c r="P14" i="4"/>
  <c r="AA13" i="4"/>
  <c r="Y13" i="4"/>
  <c r="X13" i="4"/>
  <c r="Z13" i="4" s="1"/>
  <c r="AB13" i="4" s="1"/>
  <c r="P13" i="4"/>
  <c r="AA12" i="4"/>
  <c r="Y12" i="4"/>
  <c r="X12" i="4"/>
  <c r="Z12" i="4" s="1"/>
  <c r="AB12" i="4" s="1"/>
  <c r="P12" i="4"/>
  <c r="AA11" i="4"/>
  <c r="Y11" i="4"/>
  <c r="Z11" i="4" s="1"/>
  <c r="AB11" i="4" s="1"/>
  <c r="X11" i="4"/>
  <c r="P11" i="4"/>
  <c r="AA10" i="4"/>
  <c r="Y10" i="4"/>
  <c r="Z10" i="4" s="1"/>
  <c r="AB10" i="4" s="1"/>
  <c r="X10" i="4"/>
  <c r="P10" i="4"/>
  <c r="AA9" i="4"/>
  <c r="Y9" i="4"/>
  <c r="X9" i="4"/>
  <c r="Z9" i="4" s="1"/>
  <c r="AB9" i="4" s="1"/>
  <c r="P9" i="4"/>
  <c r="AA8" i="4"/>
  <c r="Z8" i="4"/>
  <c r="AB8" i="4" s="1"/>
  <c r="Y8" i="4"/>
  <c r="X8" i="4"/>
  <c r="P8" i="4"/>
  <c r="AA7" i="4"/>
  <c r="Z7" i="4"/>
  <c r="AB7" i="4" s="1"/>
  <c r="Y7" i="4"/>
  <c r="X7" i="4"/>
  <c r="P7" i="4"/>
  <c r="AB6" i="4"/>
  <c r="AA6" i="4"/>
  <c r="Z6" i="4"/>
  <c r="Y6" i="4"/>
  <c r="X6" i="4"/>
  <c r="P6" i="4"/>
  <c r="AA5" i="4"/>
  <c r="Y5" i="4"/>
  <c r="X5" i="4"/>
  <c r="Z5" i="4" s="1"/>
  <c r="AB5" i="4" s="1"/>
  <c r="P5" i="4"/>
  <c r="AA4" i="4"/>
  <c r="Z4" i="4"/>
  <c r="AB4" i="4" s="1"/>
  <c r="Y4" i="4"/>
  <c r="X4" i="4"/>
  <c r="P4" i="4"/>
  <c r="AA3" i="4"/>
  <c r="Y3" i="4"/>
  <c r="Z3" i="4" s="1"/>
  <c r="AB3" i="4" s="1"/>
  <c r="X3" i="4"/>
  <c r="P3" i="4"/>
  <c r="AA2" i="4"/>
  <c r="Y2" i="4"/>
  <c r="X2" i="4"/>
  <c r="Z2" i="4" s="1"/>
  <c r="AB2" i="4" s="1"/>
  <c r="P2" i="4"/>
  <c r="AA20" i="3"/>
  <c r="Y20" i="3"/>
  <c r="X20" i="3"/>
  <c r="Z20" i="3" s="1"/>
  <c r="AB20" i="3" s="1"/>
  <c r="P20" i="3"/>
  <c r="AA19" i="3"/>
  <c r="Y19" i="3"/>
  <c r="X19" i="3"/>
  <c r="Z19" i="3" s="1"/>
  <c r="AB19" i="3" s="1"/>
  <c r="P19" i="3"/>
  <c r="AA18" i="3"/>
  <c r="Y18" i="3"/>
  <c r="X18" i="3"/>
  <c r="Z18" i="3" s="1"/>
  <c r="AB18" i="3" s="1"/>
  <c r="P18" i="3"/>
  <c r="AA17" i="3"/>
  <c r="Y17" i="3"/>
  <c r="X17" i="3"/>
  <c r="Z17" i="3" s="1"/>
  <c r="AB17" i="3" s="1"/>
  <c r="P17" i="3"/>
  <c r="AA16" i="3"/>
  <c r="Y16" i="3"/>
  <c r="X16" i="3"/>
  <c r="Z16" i="3" s="1"/>
  <c r="AB16" i="3" s="1"/>
  <c r="P16" i="3"/>
  <c r="AA15" i="3"/>
  <c r="Y15" i="3"/>
  <c r="X15" i="3"/>
  <c r="Z15" i="3" s="1"/>
  <c r="AB15" i="3" s="1"/>
  <c r="P15" i="3"/>
  <c r="AA14" i="3"/>
  <c r="Y14" i="3"/>
  <c r="X14" i="3"/>
  <c r="Z14" i="3" s="1"/>
  <c r="AB14" i="3" s="1"/>
  <c r="P14" i="3"/>
  <c r="AA13" i="3"/>
  <c r="Y13" i="3"/>
  <c r="Z13" i="3" s="1"/>
  <c r="AB13" i="3" s="1"/>
  <c r="X13" i="3"/>
  <c r="P13" i="3"/>
  <c r="AA12" i="3"/>
  <c r="Y12" i="3"/>
  <c r="X12" i="3"/>
  <c r="Z12" i="3" s="1"/>
  <c r="AB12" i="3" s="1"/>
  <c r="P12" i="3"/>
  <c r="AA11" i="3"/>
  <c r="Y11" i="3"/>
  <c r="Z11" i="3" s="1"/>
  <c r="AB11" i="3" s="1"/>
  <c r="X11" i="3"/>
  <c r="P11" i="3"/>
  <c r="AA10" i="3"/>
  <c r="Y10" i="3"/>
  <c r="Z10" i="3" s="1"/>
  <c r="AB10" i="3" s="1"/>
  <c r="X10" i="3"/>
  <c r="P10" i="3"/>
  <c r="AA9" i="3"/>
  <c r="Y9" i="3"/>
  <c r="X9" i="3"/>
  <c r="Z9" i="3" s="1"/>
  <c r="AB9" i="3" s="1"/>
  <c r="P9" i="3"/>
  <c r="AB8" i="3"/>
  <c r="AA8" i="3"/>
  <c r="Z8" i="3"/>
  <c r="Y8" i="3"/>
  <c r="X8" i="3"/>
  <c r="P8" i="3"/>
  <c r="AA7" i="3"/>
  <c r="Y7" i="3"/>
  <c r="X7" i="3"/>
  <c r="Z7" i="3" s="1"/>
  <c r="AB7" i="3" s="1"/>
  <c r="P7" i="3"/>
  <c r="Z6" i="3"/>
  <c r="AB6" i="3" s="1"/>
  <c r="Y6" i="3"/>
  <c r="X6" i="3"/>
  <c r="P6" i="3"/>
  <c r="AA5" i="3"/>
  <c r="Z5" i="3"/>
  <c r="AB5" i="3" s="1"/>
  <c r="Y5" i="3"/>
  <c r="X5" i="3"/>
  <c r="P5" i="3"/>
  <c r="AA4" i="3"/>
  <c r="Y4" i="3"/>
  <c r="X4" i="3"/>
  <c r="Z4" i="3" s="1"/>
  <c r="AB4" i="3" s="1"/>
  <c r="P4" i="3"/>
  <c r="AA3" i="3"/>
  <c r="Y3" i="3"/>
  <c r="Z3" i="3" s="1"/>
  <c r="AB3" i="3" s="1"/>
  <c r="X3" i="3"/>
  <c r="P3" i="3"/>
  <c r="AA2" i="3"/>
  <c r="Y2" i="3"/>
  <c r="X2" i="3"/>
  <c r="Z2" i="3" s="1"/>
  <c r="AB2" i="3" s="1"/>
  <c r="P2" i="3"/>
  <c r="Q64" i="9" a="1"/>
  <c r="T63" i="9" a="1"/>
  <c r="R54" i="9" a="1"/>
  <c r="U53" i="9" a="1"/>
  <c r="Q52" i="9" a="1"/>
  <c r="T51" i="9" a="1"/>
  <c r="R61" i="9" a="1"/>
  <c r="R64" i="9" a="1"/>
  <c r="U63" i="9" a="1"/>
  <c r="Q62" i="9" a="1"/>
  <c r="T61" i="9" a="1"/>
  <c r="R59" i="9" a="1"/>
  <c r="U58" i="9" a="1"/>
  <c r="Q57" i="9" a="1"/>
  <c r="T56" i="9" a="1"/>
  <c r="R47" i="9" a="1"/>
  <c r="U46" i="9" a="1"/>
  <c r="Q45" i="9" a="1"/>
  <c r="T44" i="9" a="1"/>
  <c r="R35" i="9" a="1"/>
  <c r="U34" i="9" a="1"/>
  <c r="Q33" i="9" a="1"/>
  <c r="T32" i="9" a="1"/>
  <c r="R23" i="9" a="1"/>
  <c r="U22" i="9" a="1"/>
  <c r="U55" i="9" a="1"/>
  <c r="U47" i="9" a="1"/>
  <c r="R45" i="9" a="1"/>
  <c r="T41" i="9" a="1"/>
  <c r="R36" i="9" a="1"/>
  <c r="Q30" i="9" a="1"/>
  <c r="Q27" i="9" a="1"/>
  <c r="T26" i="9" a="1"/>
  <c r="T23" i="9" a="1"/>
  <c r="R16" i="9" a="1"/>
  <c r="U15" i="9" a="1"/>
  <c r="Q14" i="9" a="1"/>
  <c r="T13" i="9" a="1"/>
  <c r="R2" i="9" a="1"/>
  <c r="R62" i="9" a="1"/>
  <c r="Q61" i="9" a="1"/>
  <c r="U59" i="9" a="1"/>
  <c r="R56" i="9" a="1"/>
  <c r="R52" i="9" a="1"/>
  <c r="R48" i="9" a="1"/>
  <c r="Q42" i="9" a="1"/>
  <c r="Q39" i="9" a="1"/>
  <c r="T38" i="9" a="1"/>
  <c r="T35" i="9" a="1"/>
  <c r="Q24" i="9" a="1"/>
  <c r="Q21" i="9" a="1"/>
  <c r="T20" i="9" a="1"/>
  <c r="R11" i="9" a="1"/>
  <c r="U10" i="9" a="1"/>
  <c r="Q9" i="9" a="1"/>
  <c r="T8" i="9" a="1"/>
  <c r="R4" i="9" a="1"/>
  <c r="U3" i="9" a="1"/>
  <c r="R60" i="9" a="1"/>
  <c r="T55" i="9" a="1"/>
  <c r="R51" i="9" a="1"/>
  <c r="U50" i="9" a="1"/>
  <c r="T47" i="9" a="1"/>
  <c r="Q36" i="9" a="1"/>
  <c r="R32" i="9" a="1"/>
  <c r="U31" i="9" a="1"/>
  <c r="R29" i="9" a="1"/>
  <c r="U28" i="9" a="1"/>
  <c r="R18" i="9" a="1"/>
  <c r="U17" i="9" a="1"/>
  <c r="Q16" i="9" a="1"/>
  <c r="T15" i="9" a="1"/>
  <c r="R6" i="9" a="1"/>
  <c r="U5" i="9" a="1"/>
  <c r="Q2" i="9" a="1"/>
  <c r="T59" i="9" a="1"/>
  <c r="Q56" i="9" a="1"/>
  <c r="U54" i="9" a="1"/>
  <c r="Q48" i="9" a="1"/>
  <c r="R44" i="9" a="1"/>
  <c r="U43" i="9" a="1"/>
  <c r="R41" i="9" a="1"/>
  <c r="U40" i="9" a="1"/>
  <c r="R26" i="9" a="1"/>
  <c r="U25" i="9" a="1"/>
  <c r="T22" i="9" a="1"/>
  <c r="R13" i="9" a="1"/>
  <c r="U12" i="9" a="1"/>
  <c r="Q11" i="9" a="1"/>
  <c r="T10" i="9" a="1"/>
  <c r="Q4" i="9" a="1"/>
  <c r="T3" i="9" a="1"/>
  <c r="Q60" i="9" a="1"/>
  <c r="T58" i="9" a="1"/>
  <c r="Q51" i="9" a="1"/>
  <c r="T50" i="9" a="1"/>
  <c r="R38" i="9" a="1"/>
  <c r="U37" i="9" a="1"/>
  <c r="T34" i="9" a="1"/>
  <c r="Q32" i="9" a="1"/>
  <c r="T31" i="9" a="1"/>
  <c r="Q29" i="9" a="1"/>
  <c r="T28" i="9" a="1"/>
  <c r="Q23" i="9" a="1"/>
  <c r="R20" i="9" a="1"/>
  <c r="U19" i="9" a="1"/>
  <c r="Q18" i="9" a="1"/>
  <c r="T17" i="9" a="1"/>
  <c r="R8" i="9" a="1"/>
  <c r="U7" i="9" a="1"/>
  <c r="Q6" i="9" a="1"/>
  <c r="T5" i="9" a="1"/>
  <c r="R55" i="9" a="1"/>
  <c r="T54" i="9" a="1"/>
  <c r="T46" i="9" a="1"/>
  <c r="Q44" i="9" a="1"/>
  <c r="T43" i="9" a="1"/>
  <c r="Q41" i="9" a="1"/>
  <c r="T40" i="9" a="1"/>
  <c r="Q35" i="9" a="1"/>
  <c r="Q26" i="9" a="1"/>
  <c r="T25" i="9" a="1"/>
  <c r="R15" i="9" a="1"/>
  <c r="U14" i="9" a="1"/>
  <c r="Q13" i="9" a="1"/>
  <c r="T12" i="9" a="1"/>
  <c r="U64" i="9" a="1"/>
  <c r="Q59" i="9" a="1"/>
  <c r="U57" i="9" a="1"/>
  <c r="T53" i="9" a="1"/>
  <c r="U49" i="9" a="1"/>
  <c r="Q47" i="9" a="1"/>
  <c r="Q38" i="9" a="1"/>
  <c r="T37" i="9" a="1"/>
  <c r="U33" i="9" a="1"/>
  <c r="U30" i="9" a="1"/>
  <c r="U27" i="9" a="1"/>
  <c r="U24" i="9" a="1"/>
  <c r="R22" i="9" a="1"/>
  <c r="U21" i="9" a="1"/>
  <c r="Q20" i="9" a="1"/>
  <c r="T19" i="9" a="1"/>
  <c r="R10" i="9" a="1"/>
  <c r="U9" i="9" a="1"/>
  <c r="Q8" i="9" a="1"/>
  <c r="T7" i="9" a="1"/>
  <c r="R3" i="9" a="1"/>
  <c r="R58" i="9" a="1"/>
  <c r="Q55" i="9" a="1"/>
  <c r="R50" i="9" a="1"/>
  <c r="U45" i="9" a="1"/>
  <c r="U42" i="9" a="1"/>
  <c r="U39" i="9" a="1"/>
  <c r="U36" i="9" a="1"/>
  <c r="R34" i="9" a="1"/>
  <c r="R31" i="9" a="1"/>
  <c r="R28" i="9" a="1"/>
  <c r="T27" i="9" a="1"/>
  <c r="R25" i="9" a="1"/>
  <c r="R17" i="9" a="1"/>
  <c r="U16" i="9" a="1"/>
  <c r="Q15" i="9" a="1"/>
  <c r="T14" i="9" a="1"/>
  <c r="R5" i="9" a="1"/>
  <c r="U2" i="9" a="1"/>
  <c r="T64" i="9" a="1"/>
  <c r="U62" i="9" a="1"/>
  <c r="T57" i="9" a="1"/>
  <c r="Q54" i="9" a="1"/>
  <c r="U52" i="9" a="1"/>
  <c r="T49" i="9" a="1"/>
  <c r="U48" i="9" a="1"/>
  <c r="R46" i="9" a="1"/>
  <c r="R43" i="9" a="1"/>
  <c r="R40" i="9" a="1"/>
  <c r="T39" i="9" a="1"/>
  <c r="R37" i="9" a="1"/>
  <c r="T33" i="9" a="1"/>
  <c r="T30" i="9" a="1"/>
  <c r="Q28" i="9" a="1"/>
  <c r="T24" i="9" a="1"/>
  <c r="Q22" i="9" a="1"/>
  <c r="T21" i="9" a="1"/>
  <c r="R12" i="9" a="1"/>
  <c r="U11" i="9" a="1"/>
  <c r="Q10" i="9" a="1"/>
  <c r="T9" i="9" a="1"/>
  <c r="U4" i="9" a="1"/>
  <c r="Q3" i="9" a="1"/>
  <c r="R63" i="9" a="1"/>
  <c r="U60" i="9" a="1"/>
  <c r="Q58" i="9" a="1"/>
  <c r="R53" i="9" a="1"/>
  <c r="Q50" i="9" a="1"/>
  <c r="R49" i="9" a="1"/>
  <c r="T45" i="9" a="1"/>
  <c r="T42" i="9" a="1"/>
  <c r="Q40" i="9" a="1"/>
  <c r="T36" i="9" a="1"/>
  <c r="Q34" i="9" a="1"/>
  <c r="Q31" i="9" a="1"/>
  <c r="U29" i="9" a="1"/>
  <c r="Q25" i="9" a="1"/>
  <c r="R19" i="9" a="1"/>
  <c r="U18" i="9" a="1"/>
  <c r="Q17" i="9" a="1"/>
  <c r="T16" i="9" a="1"/>
  <c r="R7" i="9" a="1"/>
  <c r="U6" i="9" a="1"/>
  <c r="Q5" i="9" a="1"/>
  <c r="T2" i="9" a="1"/>
  <c r="T62" i="9" a="1"/>
  <c r="U61" i="9" a="1"/>
  <c r="U56" i="9" a="1"/>
  <c r="T52" i="9" a="1"/>
  <c r="T48" i="9" a="1"/>
  <c r="Q46" i="9" a="1"/>
  <c r="Q43" i="9" a="1"/>
  <c r="U41" i="9" a="1"/>
  <c r="Q37" i="9" a="1"/>
  <c r="U32" i="9" a="1"/>
  <c r="R30" i="9" a="1"/>
  <c r="R27" i="9" a="1"/>
  <c r="U26" i="9" a="1"/>
  <c r="U23" i="9" a="1"/>
  <c r="R14" i="9" a="1"/>
  <c r="U13" i="9" a="1"/>
  <c r="Q12" i="9" a="1"/>
  <c r="T11" i="9" a="1"/>
  <c r="T4" i="9" a="1"/>
  <c r="Q63" i="9" a="1"/>
  <c r="T60" i="9" a="1"/>
  <c r="R57" i="9" a="1"/>
  <c r="Q53" i="9" a="1"/>
  <c r="U51" i="9" a="1"/>
  <c r="Q49" i="9" a="1"/>
  <c r="U44" i="9" a="1"/>
  <c r="R42" i="9" a="1"/>
  <c r="R39" i="9" a="1"/>
  <c r="U38" i="9" a="1"/>
  <c r="U35" i="9" a="1"/>
  <c r="R33" i="9" a="1"/>
  <c r="T29" i="9" a="1"/>
  <c r="R24" i="9" a="1"/>
  <c r="R21" i="9" a="1"/>
  <c r="U20" i="9" a="1"/>
  <c r="Q19" i="9" a="1"/>
  <c r="T18" i="9" a="1"/>
  <c r="R9" i="9" a="1"/>
  <c r="U8" i="9" a="1"/>
  <c r="Q7" i="9" a="1"/>
  <c r="T6" i="9" a="1"/>
  <c r="R54" i="8" a="1"/>
  <c r="U53" i="8" a="1"/>
  <c r="Q52" i="8" a="1"/>
  <c r="T51" i="8" a="1"/>
  <c r="R42" i="8" a="1"/>
  <c r="U41" i="8" a="1"/>
  <c r="Q40" i="8" a="1"/>
  <c r="T39" i="8" a="1"/>
  <c r="R30" i="8" a="1"/>
  <c r="U29" i="8" a="1"/>
  <c r="Q28" i="8" a="1"/>
  <c r="T27" i="8" a="1"/>
  <c r="T58" i="8" a="1"/>
  <c r="R49" i="8" a="1"/>
  <c r="U48" i="8" a="1"/>
  <c r="Q47" i="8" a="1"/>
  <c r="T46" i="8" a="1"/>
  <c r="R37" i="8" a="1"/>
  <c r="U36" i="8" a="1"/>
  <c r="Q35" i="8" a="1"/>
  <c r="T34" i="8" a="1"/>
  <c r="R25" i="8" a="1"/>
  <c r="R58" i="8" a="1"/>
  <c r="U57" i="8" a="1"/>
  <c r="Q56" i="8" a="1"/>
  <c r="T55" i="8" a="1"/>
  <c r="R46" i="8" a="1"/>
  <c r="Q51" i="8" a="1"/>
  <c r="T44" i="8" a="1"/>
  <c r="U39" i="8" a="1"/>
  <c r="T35" i="8" a="1"/>
  <c r="U26" i="8" a="1"/>
  <c r="Q24" i="8" a="1"/>
  <c r="T23" i="8" a="1"/>
  <c r="R14" i="8" a="1"/>
  <c r="U13" i="8" a="1"/>
  <c r="Q12" i="8" a="1"/>
  <c r="T11" i="8" a="1"/>
  <c r="T4" i="8" a="1"/>
  <c r="R57" i="8" a="1"/>
  <c r="T56" i="8" a="1"/>
  <c r="R50" i="8" a="1"/>
  <c r="T49" i="8" a="1"/>
  <c r="Q45" i="8" a="1"/>
  <c r="R44" i="8" a="1"/>
  <c r="T43" i="8" a="1"/>
  <c r="R40" i="8" a="1"/>
  <c r="Q36" i="8" a="1"/>
  <c r="U34" i="8" a="1"/>
  <c r="Q32" i="8" a="1"/>
  <c r="U30" i="8" a="1"/>
  <c r="R27" i="8" a="1"/>
  <c r="R21" i="8" a="1"/>
  <c r="U20" i="8" a="1"/>
  <c r="Q19" i="8" a="1"/>
  <c r="T18" i="8" a="1"/>
  <c r="R9" i="8" a="1"/>
  <c r="U8" i="8" a="1"/>
  <c r="Q7" i="8" a="1"/>
  <c r="T6" i="8" a="1"/>
  <c r="R56" i="8" a="1"/>
  <c r="U54" i="8" a="1"/>
  <c r="T48" i="8" a="1"/>
  <c r="U47" i="8" a="1"/>
  <c r="U38" i="8" a="1"/>
  <c r="R31" i="8" a="1"/>
  <c r="T26" i="8" a="1"/>
  <c r="R16" i="8" a="1"/>
  <c r="U15" i="8" a="1"/>
  <c r="Q14" i="8" a="1"/>
  <c r="T13" i="8" a="1"/>
  <c r="R2" i="8" a="1"/>
  <c r="Q57" i="8" a="1"/>
  <c r="R55" i="8" a="1"/>
  <c r="Q50" i="8" a="1"/>
  <c r="Q44" i="8" a="1"/>
  <c r="U42" i="8" a="1"/>
  <c r="R39" i="8" a="1"/>
  <c r="R35" i="8" a="1"/>
  <c r="T30" i="8" a="1"/>
  <c r="Q27" i="8" a="1"/>
  <c r="U25" i="8" a="1"/>
  <c r="R23" i="8" a="1"/>
  <c r="U22" i="8" a="1"/>
  <c r="Q21" i="8" a="1"/>
  <c r="T20" i="8" a="1"/>
  <c r="R11" i="8" a="1"/>
  <c r="U10" i="8" a="1"/>
  <c r="Q9" i="8" a="1"/>
  <c r="T8" i="8" a="1"/>
  <c r="R4" i="8" a="1"/>
  <c r="U3" i="8" a="1"/>
  <c r="T54" i="8" a="1"/>
  <c r="T53" i="8" a="1"/>
  <c r="U52" i="8" a="1"/>
  <c r="Q49" i="8" a="1"/>
  <c r="R48" i="8" a="1"/>
  <c r="T47" i="8" a="1"/>
  <c r="U46" i="8" a="1"/>
  <c r="R43" i="8" a="1"/>
  <c r="T38" i="8" a="1"/>
  <c r="R34" i="8" a="1"/>
  <c r="U33" i="8" a="1"/>
  <c r="Q31" i="8" a="1"/>
  <c r="T29" i="8" a="1"/>
  <c r="R18" i="8" a="1"/>
  <c r="U17" i="8" a="1"/>
  <c r="Q16" i="8" a="1"/>
  <c r="T15" i="8" a="1"/>
  <c r="R6" i="8" a="1"/>
  <c r="U5" i="8" a="1"/>
  <c r="Q2" i="8" a="1"/>
  <c r="Q55" i="8" a="1"/>
  <c r="T42" i="8" a="1"/>
  <c r="Q39" i="8" a="1"/>
  <c r="U37" i="8" a="1"/>
  <c r="R26" i="8" a="1"/>
  <c r="T25" i="8" a="1"/>
  <c r="U24" i="8" a="1"/>
  <c r="Q23" i="8" a="1"/>
  <c r="T22" i="8" a="1"/>
  <c r="R13" i="8" a="1"/>
  <c r="U12" i="8" a="1"/>
  <c r="Q11" i="8" a="1"/>
  <c r="T10" i="8" a="1"/>
  <c r="Q4" i="8" a="1"/>
  <c r="T3" i="8" a="1"/>
  <c r="R53" i="8" a="1"/>
  <c r="T52" i="8" a="1"/>
  <c r="Q48" i="8" a="1"/>
  <c r="U45" i="8" a="1"/>
  <c r="Q43" i="8" a="1"/>
  <c r="T41" i="8" a="1"/>
  <c r="Q34" i="8" a="1"/>
  <c r="T33" i="8" a="1"/>
  <c r="Q30" i="8" a="1"/>
  <c r="U28" i="8" a="1"/>
  <c r="R20" i="8" a="1"/>
  <c r="U19" i="8" a="1"/>
  <c r="Q18" i="8" a="1"/>
  <c r="T17" i="8" a="1"/>
  <c r="R8" i="8" a="1"/>
  <c r="U7" i="8" a="1"/>
  <c r="Q6" i="8" a="1"/>
  <c r="T5" i="8" a="1"/>
  <c r="U58" i="8" a="1"/>
  <c r="Q54" i="8" a="1"/>
  <c r="R47" i="8" a="1"/>
  <c r="R38" i="8" a="1"/>
  <c r="T37" i="8" a="1"/>
  <c r="R29" i="8" a="1"/>
  <c r="Q26" i="8" a="1"/>
  <c r="T24" i="8" a="1"/>
  <c r="R15" i="8" a="1"/>
  <c r="U14" i="8" a="1"/>
  <c r="Q13" i="8" a="1"/>
  <c r="T12" i="8" a="1"/>
  <c r="Q53" i="8" a="1"/>
  <c r="U51" i="8" a="1"/>
  <c r="Q46" i="8" a="1"/>
  <c r="T45" i="8" a="1"/>
  <c r="Q42" i="8" a="1"/>
  <c r="U40" i="8" a="1"/>
  <c r="T36" i="8" a="1"/>
  <c r="U32" i="8" a="1"/>
  <c r="T28" i="8" a="1"/>
  <c r="Q25" i="8" a="1"/>
  <c r="R22" i="8" a="1"/>
  <c r="U21" i="8" a="1"/>
  <c r="Q20" i="8" a="1"/>
  <c r="T19" i="8" a="1"/>
  <c r="R10" i="8" a="1"/>
  <c r="U9" i="8" a="1"/>
  <c r="Q8" i="8" a="1"/>
  <c r="T7" i="8" a="1"/>
  <c r="R3" i="8" a="1"/>
  <c r="R52" i="8" a="1"/>
  <c r="U50" i="8" a="1"/>
  <c r="R41" i="8" a="1"/>
  <c r="Q38" i="8" a="1"/>
  <c r="R33" i="8" a="1"/>
  <c r="U31" i="8" a="1"/>
  <c r="Q29" i="8" a="1"/>
  <c r="R17" i="8" a="1"/>
  <c r="U16" i="8" a="1"/>
  <c r="Q15" i="8" a="1"/>
  <c r="T14" i="8" a="1"/>
  <c r="R5" i="8" a="1"/>
  <c r="U2" i="8" a="1"/>
  <c r="T57" i="8" a="1"/>
  <c r="T50" i="8" a="1"/>
  <c r="U44" i="8" a="1"/>
  <c r="T40" i="8" a="1"/>
  <c r="Q37" i="8" a="1"/>
  <c r="U35" i="8" a="1"/>
  <c r="T32" i="8" a="1"/>
  <c r="U27" i="8" a="1"/>
  <c r="R24" i="8" a="1"/>
  <c r="U23" i="8" a="1"/>
  <c r="Q22" i="8" a="1"/>
  <c r="T21" i="8" a="1"/>
  <c r="R12" i="8" a="1"/>
  <c r="U11" i="8" a="1"/>
  <c r="Q10" i="8" a="1"/>
  <c r="T9" i="8" a="1"/>
  <c r="U4" i="8" a="1"/>
  <c r="Q3" i="8" a="1"/>
  <c r="Q58" i="8" a="1"/>
  <c r="U56" i="8" a="1"/>
  <c r="U55" i="8" a="1"/>
  <c r="R51" i="8" a="1"/>
  <c r="U49" i="8" a="1"/>
  <c r="R45" i="8" a="1"/>
  <c r="U43" i="8" a="1"/>
  <c r="Q41" i="8" a="1"/>
  <c r="R36" i="8" a="1"/>
  <c r="Q33" i="8" a="1"/>
  <c r="R32" i="8" a="1"/>
  <c r="T31" i="8" a="1"/>
  <c r="R28" i="8" a="1"/>
  <c r="R19" i="8" a="1"/>
  <c r="U18" i="8" a="1"/>
  <c r="Q17" i="8" a="1"/>
  <c r="T16" i="8" a="1"/>
  <c r="R7" i="8" a="1"/>
  <c r="U6" i="8" a="1"/>
  <c r="Q5" i="8" a="1"/>
  <c r="T2" i="8" a="1"/>
  <c r="R37" i="7" a="1"/>
  <c r="U36" i="7" a="1"/>
  <c r="R44" i="7" a="1"/>
  <c r="U43" i="7" a="1"/>
  <c r="Q42" i="7" a="1"/>
  <c r="T41" i="7" a="1"/>
  <c r="R32" i="7" a="1"/>
  <c r="U31" i="7" a="1"/>
  <c r="Q30" i="7" a="1"/>
  <c r="T29" i="7" a="1"/>
  <c r="R41" i="7" a="1"/>
  <c r="U40" i="7" a="1"/>
  <c r="Q39" i="7" a="1"/>
  <c r="T38" i="7" a="1"/>
  <c r="T45" i="7" a="1"/>
  <c r="R36" i="7" a="1"/>
  <c r="U35" i="7" a="1"/>
  <c r="Q34" i="7" a="1"/>
  <c r="R43" i="7" a="1"/>
  <c r="U42" i="7" a="1"/>
  <c r="Q41" i="7" a="1"/>
  <c r="T40" i="7" a="1"/>
  <c r="R31" i="7" a="1"/>
  <c r="U30" i="7" a="1"/>
  <c r="Q29" i="7" a="1"/>
  <c r="R45" i="7" a="1"/>
  <c r="U44" i="7" a="1"/>
  <c r="Q43" i="7" a="1"/>
  <c r="R40" i="7" a="1"/>
  <c r="U39" i="7" a="1"/>
  <c r="Q38" i="7" a="1"/>
  <c r="T37" i="7" a="1"/>
  <c r="R28" i="7" a="1"/>
  <c r="U27" i="7" a="1"/>
  <c r="Q26" i="7" a="1"/>
  <c r="T25" i="7" a="1"/>
  <c r="T43" i="7" a="1"/>
  <c r="T36" i="7" a="1"/>
  <c r="T35" i="7" a="1"/>
  <c r="U34" i="7" a="1"/>
  <c r="R24" i="7" a="1"/>
  <c r="U23" i="7" a="1"/>
  <c r="R19" i="7" a="1"/>
  <c r="U18" i="7" a="1"/>
  <c r="Q17" i="7" a="1"/>
  <c r="T16" i="7" a="1"/>
  <c r="R7" i="7" a="1"/>
  <c r="U6" i="7" a="1"/>
  <c r="Q5" i="7" a="1"/>
  <c r="T2" i="7" a="1"/>
  <c r="U38" i="7" a="1"/>
  <c r="T27" i="7" a="1"/>
  <c r="U26" i="7" a="1"/>
  <c r="R14" i="7" a="1"/>
  <c r="U13" i="7" a="1"/>
  <c r="Q12" i="7" a="1"/>
  <c r="T11" i="7" a="1"/>
  <c r="T4" i="7" a="1"/>
  <c r="T44" i="7" a="1"/>
  <c r="R35" i="7" a="1"/>
  <c r="T34" i="7" a="1"/>
  <c r="U33" i="7" a="1"/>
  <c r="Q24" i="7" a="1"/>
  <c r="T23" i="7" a="1"/>
  <c r="R21" i="7" a="1"/>
  <c r="U20" i="7" a="1"/>
  <c r="Q19" i="7" a="1"/>
  <c r="T18" i="7" a="1"/>
  <c r="R9" i="7" a="1"/>
  <c r="U8" i="7" a="1"/>
  <c r="Q7" i="7" a="1"/>
  <c r="T6" i="7" a="1"/>
  <c r="R38" i="7" a="1"/>
  <c r="Q37" i="7" a="1"/>
  <c r="Q36" i="7" a="1"/>
  <c r="U32" i="7" a="1"/>
  <c r="Q28" i="7" a="1"/>
  <c r="R27" i="7" a="1"/>
  <c r="T26" i="7" a="1"/>
  <c r="R16" i="7" a="1"/>
  <c r="U15" i="7" a="1"/>
  <c r="Q14" i="7" a="1"/>
  <c r="T13" i="7" a="1"/>
  <c r="R2" i="7" a="1"/>
  <c r="Q35" i="7" a="1"/>
  <c r="R34" i="7" a="1"/>
  <c r="T33" i="7" a="1"/>
  <c r="T32" i="7" a="1"/>
  <c r="Q21" i="7" a="1"/>
  <c r="T20" i="7" a="1"/>
  <c r="R11" i="7" a="1"/>
  <c r="U10" i="7" a="1"/>
  <c r="Q9" i="7" a="1"/>
  <c r="T8" i="7" a="1"/>
  <c r="R4" i="7" a="1"/>
  <c r="U3" i="7" a="1"/>
  <c r="U45" i="7" a="1"/>
  <c r="Q44" i="7" a="1"/>
  <c r="T39" i="7" a="1"/>
  <c r="Q27" i="7" a="1"/>
  <c r="U25" i="7" a="1"/>
  <c r="R23" i="7" a="1"/>
  <c r="U22" i="7" a="1"/>
  <c r="R18" i="7" a="1"/>
  <c r="U17" i="7" a="1"/>
  <c r="Q16" i="7" a="1"/>
  <c r="T15" i="7" a="1"/>
  <c r="R6" i="7" a="1"/>
  <c r="U5" i="7" a="1"/>
  <c r="Q2" i="7" a="1"/>
  <c r="U41" i="7" a="1"/>
  <c r="R39" i="7" a="1"/>
  <c r="R33" i="7" a="1"/>
  <c r="T31" i="7" a="1"/>
  <c r="R26" i="7" a="1"/>
  <c r="R13" i="7" a="1"/>
  <c r="U12" i="7" a="1"/>
  <c r="Q11" i="7" a="1"/>
  <c r="T10" i="7" a="1"/>
  <c r="Q4" i="7" a="1"/>
  <c r="T3" i="7" a="1"/>
  <c r="Q45" i="7" a="1"/>
  <c r="Q33" i="7" a="1"/>
  <c r="U29" i="7" a="1"/>
  <c r="Q23" i="7" a="1"/>
  <c r="T22" i="7" a="1"/>
  <c r="R20" i="7" a="1"/>
  <c r="U19" i="7" a="1"/>
  <c r="Q18" i="7" a="1"/>
  <c r="T17" i="7" a="1"/>
  <c r="R8" i="7" a="1"/>
  <c r="U7" i="7" a="1"/>
  <c r="Q6" i="7" a="1"/>
  <c r="T5" i="7" a="1"/>
  <c r="Q40" i="7" a="1"/>
  <c r="Q32" i="7" a="1"/>
  <c r="T30" i="7" a="1"/>
  <c r="U24" i="7" a="1"/>
  <c r="R15" i="7" a="1"/>
  <c r="U14" i="7" a="1"/>
  <c r="Q13" i="7" a="1"/>
  <c r="T12" i="7" a="1"/>
  <c r="T42" i="7" a="1"/>
  <c r="U28" i="7" a="1"/>
  <c r="R25" i="7" a="1"/>
  <c r="T24" i="7" a="1"/>
  <c r="R22" i="7" a="1"/>
  <c r="U21" i="7" a="1"/>
  <c r="Q20" i="7" a="1"/>
  <c r="T19" i="7" a="1"/>
  <c r="R10" i="7" a="1"/>
  <c r="U9" i="7" a="1"/>
  <c r="Q8" i="7" a="1"/>
  <c r="T7" i="7" a="1"/>
  <c r="R3" i="7" a="1"/>
  <c r="Q31" i="7" a="1"/>
  <c r="R30" i="7" a="1"/>
  <c r="Q25" i="7" a="1"/>
  <c r="R17" i="7" a="1"/>
  <c r="U16" i="7" a="1"/>
  <c r="Q15" i="7" a="1"/>
  <c r="T14" i="7" a="1"/>
  <c r="R5" i="7" a="1"/>
  <c r="U2" i="7" a="1"/>
  <c r="R42" i="7" a="1"/>
  <c r="U37" i="7" a="1"/>
  <c r="R29" i="7" a="1"/>
  <c r="T28" i="7" a="1"/>
  <c r="Q22" i="7" a="1"/>
  <c r="T21" i="7" a="1"/>
  <c r="R12" i="7" a="1"/>
  <c r="U11" i="7" a="1"/>
  <c r="Q10" i="7" a="1"/>
  <c r="T9" i="7" a="1"/>
  <c r="U4" i="7" a="1"/>
  <c r="Q3" i="7" a="1"/>
  <c r="R39" i="6" a="1"/>
  <c r="U38" i="6" a="1"/>
  <c r="Q37" i="6" a="1"/>
  <c r="T36" i="6" a="1"/>
  <c r="R27" i="6" a="1"/>
  <c r="U26" i="6" a="1"/>
  <c r="Q25" i="6" a="1"/>
  <c r="T24" i="6" a="1"/>
  <c r="R41" i="6" a="1"/>
  <c r="U40" i="6" a="1"/>
  <c r="Q39" i="6" a="1"/>
  <c r="T38" i="6" a="1"/>
  <c r="R29" i="6" a="1"/>
  <c r="U28" i="6" a="1"/>
  <c r="Q27" i="6" a="1"/>
  <c r="T26" i="6" a="1"/>
  <c r="Q41" i="6" a="1"/>
  <c r="R33" i="6" a="1"/>
  <c r="Q40" i="6" a="1"/>
  <c r="T37" i="6" a="1"/>
  <c r="Q29" i="6" a="1"/>
  <c r="Q24" i="6" a="1"/>
  <c r="R16" i="6" a="1"/>
  <c r="U15" i="6" a="1"/>
  <c r="Q14" i="6" a="1"/>
  <c r="T13" i="6" a="1"/>
  <c r="R2" i="6" a="1"/>
  <c r="R38" i="6" a="1"/>
  <c r="U36" i="6" a="1"/>
  <c r="U31" i="6" a="1"/>
  <c r="R28" i="6" a="1"/>
  <c r="T27" i="6" a="1"/>
  <c r="Q21" i="6" a="1"/>
  <c r="T20" i="6" a="1"/>
  <c r="R11" i="6" a="1"/>
  <c r="U10" i="6" a="1"/>
  <c r="Q9" i="6" a="1"/>
  <c r="T8" i="6" a="1"/>
  <c r="R4" i="6" a="1"/>
  <c r="U3" i="6" a="1"/>
  <c r="Q2" i="6" a="1"/>
  <c r="T2" i="6" a="1"/>
  <c r="Q38" i="6" a="1"/>
  <c r="R32" i="6" a="1"/>
  <c r="T31" i="6" a="1"/>
  <c r="R23" i="6" a="1"/>
  <c r="U22" i="6" a="1"/>
  <c r="R18" i="6" a="1"/>
  <c r="U17" i="6" a="1"/>
  <c r="Q16" i="6" a="1"/>
  <c r="T15" i="6" a="1"/>
  <c r="R6" i="6" a="1"/>
  <c r="U5" i="6" a="1"/>
  <c r="R19" i="6" a="1"/>
  <c r="R37" i="6" a="1"/>
  <c r="U35" i="6" a="1"/>
  <c r="Q32" i="6" a="1"/>
  <c r="U30" i="6" a="1"/>
  <c r="Q28" i="6" a="1"/>
  <c r="R13" i="6" a="1"/>
  <c r="U12" i="6" a="1"/>
  <c r="Q11" i="6" a="1"/>
  <c r="T10" i="6" a="1"/>
  <c r="Q4" i="6" a="1"/>
  <c r="T3" i="6" a="1"/>
  <c r="U18" i="6" a="1"/>
  <c r="R36" i="6" a="1"/>
  <c r="R31" i="6" a="1"/>
  <c r="U25" i="6" a="1"/>
  <c r="Q23" i="6" a="1"/>
  <c r="T22" i="6" a="1"/>
  <c r="R20" i="6" a="1"/>
  <c r="U19" i="6" a="1"/>
  <c r="Q18" i="6" a="1"/>
  <c r="T17" i="6" a="1"/>
  <c r="R8" i="6" a="1"/>
  <c r="U7" i="6" a="1"/>
  <c r="Q6" i="6" a="1"/>
  <c r="T5" i="6" a="1"/>
  <c r="T35" i="6" a="1"/>
  <c r="U34" i="6" a="1"/>
  <c r="T30" i="6" a="1"/>
  <c r="R26" i="6" a="1"/>
  <c r="R15" i="6" a="1"/>
  <c r="U14" i="6" a="1"/>
  <c r="Q13" i="6" a="1"/>
  <c r="T12" i="6" a="1"/>
  <c r="U6" i="6" a="1"/>
  <c r="Q36" i="6" a="1"/>
  <c r="U33" i="6" a="1"/>
  <c r="Q31" i="6" a="1"/>
  <c r="T25" i="6" a="1"/>
  <c r="U21" i="6" a="1"/>
  <c r="Q20" i="6" a="1"/>
  <c r="T19" i="6" a="1"/>
  <c r="R10" i="6" a="1"/>
  <c r="U9" i="6" a="1"/>
  <c r="Q8" i="6" a="1"/>
  <c r="T7" i="6" a="1"/>
  <c r="R3" i="6" a="1"/>
  <c r="T16" i="6" a="1"/>
  <c r="U41" i="6" a="1"/>
  <c r="U39" i="6" a="1"/>
  <c r="R35" i="6" a="1"/>
  <c r="T34" i="6" a="1"/>
  <c r="T33" i="6" a="1"/>
  <c r="U29" i="6" a="1"/>
  <c r="Q26" i="6" a="1"/>
  <c r="U24" i="6" a="1"/>
  <c r="R22" i="6" a="1"/>
  <c r="R17" i="6" a="1"/>
  <c r="U16" i="6" a="1"/>
  <c r="Q15" i="6" a="1"/>
  <c r="T14" i="6" a="1"/>
  <c r="R5" i="6" a="1"/>
  <c r="U2" i="6" a="1"/>
  <c r="T40" i="6" a="1"/>
  <c r="R30" i="6" a="1"/>
  <c r="Q22" i="6" a="1"/>
  <c r="T21" i="6" a="1"/>
  <c r="R12" i="6" a="1"/>
  <c r="U11" i="6" a="1"/>
  <c r="Q10" i="6" a="1"/>
  <c r="T9" i="6" a="1"/>
  <c r="U4" i="6" a="1"/>
  <c r="Q3" i="6" a="1"/>
  <c r="Q17" i="6" a="1"/>
  <c r="T41" i="6" a="1"/>
  <c r="T39" i="6" a="1"/>
  <c r="Q35" i="6" a="1"/>
  <c r="R34" i="6" a="1"/>
  <c r="U32" i="6" a="1"/>
  <c r="T29" i="6" a="1"/>
  <c r="R25" i="6" a="1"/>
  <c r="U23" i="6" a="1"/>
  <c r="R40" i="6" a="1"/>
  <c r="Q34" i="6" a="1"/>
  <c r="Q30" i="6" a="1"/>
  <c r="T28" i="6" a="1"/>
  <c r="R24" i="6" a="1"/>
  <c r="R14" i="6" a="1"/>
  <c r="U13" i="6" a="1"/>
  <c r="Q12" i="6" a="1"/>
  <c r="T11" i="6" a="1"/>
  <c r="T4" i="6" a="1"/>
  <c r="Q5" i="6" a="1"/>
  <c r="U37" i="6" a="1"/>
  <c r="Q33" i="6" a="1"/>
  <c r="T32" i="6" a="1"/>
  <c r="U27" i="6" a="1"/>
  <c r="T23" i="6" a="1"/>
  <c r="R21" i="6" a="1"/>
  <c r="U20" i="6" a="1"/>
  <c r="Q19" i="6" a="1"/>
  <c r="T18" i="6" a="1"/>
  <c r="R9" i="6" a="1"/>
  <c r="U8" i="6" a="1"/>
  <c r="Q7" i="6" a="1"/>
  <c r="T6" i="6" a="1"/>
  <c r="R7" i="6" a="1"/>
  <c r="Q59" i="5" a="1"/>
  <c r="T58" i="5" a="1"/>
  <c r="R49" i="5" a="1"/>
  <c r="U48" i="5" a="1"/>
  <c r="Q47" i="5" a="1"/>
  <c r="T46" i="5" a="1"/>
  <c r="R56" i="5" a="1"/>
  <c r="U55" i="5" a="1"/>
  <c r="Q54" i="5" a="1"/>
  <c r="T53" i="5" a="1"/>
  <c r="R44" i="5" a="1"/>
  <c r="U43" i="5" a="1"/>
  <c r="Q42" i="5" a="1"/>
  <c r="T41" i="5" a="1"/>
  <c r="R32" i="5" a="1"/>
  <c r="U31" i="5" a="1"/>
  <c r="Q30" i="5" a="1"/>
  <c r="T29" i="5" a="1"/>
  <c r="R51" i="5" a="1"/>
  <c r="U50" i="5" a="1"/>
  <c r="Q49" i="5" a="1"/>
  <c r="R53" i="5" a="1"/>
  <c r="U52" i="5" a="1"/>
  <c r="Q51" i="5" a="1"/>
  <c r="R55" i="5" a="1"/>
  <c r="T59" i="5" a="1"/>
  <c r="R50" i="5" a="1"/>
  <c r="U49" i="5" a="1"/>
  <c r="Q48" i="5" a="1"/>
  <c r="R59" i="5" a="1"/>
  <c r="U58" i="5" a="1"/>
  <c r="Q57" i="5" a="1"/>
  <c r="T56" i="5" a="1"/>
  <c r="R47" i="5" a="1"/>
  <c r="U46" i="5" a="1"/>
  <c r="Q45" i="5" a="1"/>
  <c r="T44" i="5" a="1"/>
  <c r="R35" i="5" a="1"/>
  <c r="T51" i="5" a="1"/>
  <c r="R46" i="5" a="1"/>
  <c r="T45" i="5" a="1"/>
  <c r="R41" i="5" a="1"/>
  <c r="U40" i="5" a="1"/>
  <c r="Q38" i="5" a="1"/>
  <c r="T37" i="5" a="1"/>
  <c r="U36" i="5" a="1"/>
  <c r="T33" i="5" a="1"/>
  <c r="Q31" i="5" a="1"/>
  <c r="Q28" i="5" a="1"/>
  <c r="U26" i="5" a="1"/>
  <c r="Q22" i="5" a="1"/>
  <c r="T21" i="5" a="1"/>
  <c r="R12" i="5" a="1"/>
  <c r="U11" i="5" a="1"/>
  <c r="Q10" i="5" a="1"/>
  <c r="T9" i="5" a="1"/>
  <c r="U4" i="5" a="1"/>
  <c r="Q3" i="5" a="1"/>
  <c r="U59" i="5" a="1"/>
  <c r="U53" i="5" a="1"/>
  <c r="Q50" i="5" a="1"/>
  <c r="U44" i="5" a="1"/>
  <c r="T36" i="5" a="1"/>
  <c r="Q34" i="5" a="1"/>
  <c r="U29" i="5" a="1"/>
  <c r="R27" i="5" a="1"/>
  <c r="R24" i="5" a="1"/>
  <c r="U23" i="5" a="1"/>
  <c r="R19" i="5" a="1"/>
  <c r="U18" i="5" a="1"/>
  <c r="Q17" i="5" a="1"/>
  <c r="T16" i="5" a="1"/>
  <c r="R7" i="5" a="1"/>
  <c r="U6" i="5" a="1"/>
  <c r="Q5" i="5" a="1"/>
  <c r="T2" i="5" a="1"/>
  <c r="Q7" i="5" a="1"/>
  <c r="T6" i="5" a="1"/>
  <c r="R58" i="5" a="1"/>
  <c r="U54" i="5" a="1"/>
  <c r="T52" i="5" a="1"/>
  <c r="Q46" i="5" a="1"/>
  <c r="Q41" i="5" a="1"/>
  <c r="T40" i="5" a="1"/>
  <c r="R37" i="5" a="1"/>
  <c r="U32" i="5" a="1"/>
  <c r="R30" i="5" a="1"/>
  <c r="T26" i="5" a="1"/>
  <c r="R14" i="5" a="1"/>
  <c r="U13" i="5" a="1"/>
  <c r="Q12" i="5" a="1"/>
  <c r="T11" i="5" a="1"/>
  <c r="T4" i="5" a="1"/>
  <c r="Q58" i="5" a="1"/>
  <c r="T54" i="5" a="1"/>
  <c r="R45" i="5" a="1"/>
  <c r="U39" i="5" a="1"/>
  <c r="Q37" i="5" a="1"/>
  <c r="U35" i="5" a="1"/>
  <c r="R33" i="5" a="1"/>
  <c r="Q27" i="5" a="1"/>
  <c r="Q24" i="5" a="1"/>
  <c r="T23" i="5" a="1"/>
  <c r="R21" i="5" a="1"/>
  <c r="U20" i="5" a="1"/>
  <c r="Q19" i="5" a="1"/>
  <c r="T18" i="5" a="1"/>
  <c r="R9" i="5" a="1"/>
  <c r="U8" i="5" a="1"/>
  <c r="Q53" i="5" a="1"/>
  <c r="R52" i="5" a="1"/>
  <c r="T39" i="5" a="1"/>
  <c r="R36" i="5" a="1"/>
  <c r="T32" i="5" a="1"/>
  <c r="R16" i="5" a="1"/>
  <c r="U15" i="5" a="1"/>
  <c r="Q14" i="5" a="1"/>
  <c r="T13" i="5" a="1"/>
  <c r="R2" i="5" a="1"/>
  <c r="T55" i="5" a="1"/>
  <c r="R54" i="5" a="1"/>
  <c r="Q52" i="5" a="1"/>
  <c r="T43" i="5" a="1"/>
  <c r="R40" i="5" a="1"/>
  <c r="U38" i="5" a="1"/>
  <c r="T35" i="5" a="1"/>
  <c r="Q33" i="5" a="1"/>
  <c r="R29" i="5" a="1"/>
  <c r="U28" i="5" a="1"/>
  <c r="R26" i="5" a="1"/>
  <c r="U25" i="5" a="1"/>
  <c r="Q21" i="5" a="1"/>
  <c r="T20" i="5" a="1"/>
  <c r="R11" i="5" a="1"/>
  <c r="U10" i="5" a="1"/>
  <c r="Q9" i="5" a="1"/>
  <c r="T8" i="5" a="1"/>
  <c r="R4" i="5" a="1"/>
  <c r="U3" i="5" a="1"/>
  <c r="U56" i="5" a="1"/>
  <c r="Q44" i="5" a="1"/>
  <c r="U42" i="5" a="1"/>
  <c r="Q40" i="5" a="1"/>
  <c r="R39" i="5" a="1"/>
  <c r="Q36" i="5" a="1"/>
  <c r="R23" i="5" a="1"/>
  <c r="U22" i="5" a="1"/>
  <c r="R18" i="5" a="1"/>
  <c r="U17" i="5" a="1"/>
  <c r="Q16" i="5" a="1"/>
  <c r="T15" i="5" a="1"/>
  <c r="R6" i="5" a="1"/>
  <c r="U5" i="5" a="1"/>
  <c r="Q2" i="5" a="1"/>
  <c r="Q55" i="5" a="1"/>
  <c r="T48" i="5" a="1"/>
  <c r="U47" i="5" a="1"/>
  <c r="T38" i="5" a="1"/>
  <c r="U34" i="5" a="1"/>
  <c r="T31" i="5" a="1"/>
  <c r="Q29" i="5" a="1"/>
  <c r="T28" i="5" a="1"/>
  <c r="Q26" i="5" a="1"/>
  <c r="T25" i="5" a="1"/>
  <c r="R13" i="5" a="1"/>
  <c r="U12" i="5" a="1"/>
  <c r="Q11" i="5" a="1"/>
  <c r="T10" i="5" a="1"/>
  <c r="Q4" i="5" a="1"/>
  <c r="T3" i="5" a="1"/>
  <c r="R43" i="5" a="1"/>
  <c r="T42" i="5" a="1"/>
  <c r="U41" i="5" a="1"/>
  <c r="Q39" i="5" a="1"/>
  <c r="Q32" i="5" a="1"/>
  <c r="Q23" i="5" a="1"/>
  <c r="T22" i="5" a="1"/>
  <c r="R20" i="5" a="1"/>
  <c r="U19" i="5" a="1"/>
  <c r="Q18" i="5" a="1"/>
  <c r="T17" i="5" a="1"/>
  <c r="R8" i="5" a="1"/>
  <c r="U7" i="5" a="1"/>
  <c r="Q6" i="5" a="1"/>
  <c r="T5" i="5" a="1"/>
  <c r="U57" i="5" a="1"/>
  <c r="Q56" i="5" a="1"/>
  <c r="T50" i="5" a="1"/>
  <c r="T47" i="5" a="1"/>
  <c r="Q35" i="5" a="1"/>
  <c r="T34" i="5" a="1"/>
  <c r="U30" i="5" a="1"/>
  <c r="U27" i="5" a="1"/>
  <c r="U24" i="5" a="1"/>
  <c r="R15" i="5" a="1"/>
  <c r="U14" i="5" a="1"/>
  <c r="Q13" i="5" a="1"/>
  <c r="T12" i="5" a="1"/>
  <c r="T57" i="5" a="1"/>
  <c r="T49" i="5" a="1"/>
  <c r="R48" i="5" a="1"/>
  <c r="U45" i="5" a="1"/>
  <c r="Q43" i="5" a="1"/>
  <c r="R42" i="5" a="1"/>
  <c r="R38" i="5" a="1"/>
  <c r="U37" i="5" a="1"/>
  <c r="U33" i="5" a="1"/>
  <c r="R31" i="5" a="1"/>
  <c r="R28" i="5" a="1"/>
  <c r="R25" i="5" a="1"/>
  <c r="T24" i="5" a="1"/>
  <c r="R22" i="5" a="1"/>
  <c r="U21" i="5" a="1"/>
  <c r="Q20" i="5" a="1"/>
  <c r="T19" i="5" a="1"/>
  <c r="R10" i="5" a="1"/>
  <c r="U9" i="5" a="1"/>
  <c r="Q8" i="5" a="1"/>
  <c r="T7" i="5" a="1"/>
  <c r="R3" i="5" a="1"/>
  <c r="R57" i="5" a="1"/>
  <c r="U51" i="5" a="1"/>
  <c r="R34" i="5" a="1"/>
  <c r="T30" i="5" a="1"/>
  <c r="T27" i="5" a="1"/>
  <c r="Q25" i="5" a="1"/>
  <c r="R17" i="5" a="1"/>
  <c r="U16" i="5" a="1"/>
  <c r="Q15" i="5" a="1"/>
  <c r="T14" i="5" a="1"/>
  <c r="R5" i="5" a="1"/>
  <c r="U2" i="5" a="1"/>
  <c r="R54" i="4" a="1"/>
  <c r="U53" i="4" a="1"/>
  <c r="Q52" i="4" a="1"/>
  <c r="T51" i="4" a="1"/>
  <c r="R42" i="4" a="1"/>
  <c r="U41" i="4" a="1"/>
  <c r="Q40" i="4" a="1"/>
  <c r="T39" i="4" a="1"/>
  <c r="R61" i="4" a="1"/>
  <c r="U60" i="4" a="1"/>
  <c r="Q59" i="4" a="1"/>
  <c r="T58" i="4" a="1"/>
  <c r="R49" i="4" a="1"/>
  <c r="U48" i="4" a="1"/>
  <c r="R56" i="4" a="1"/>
  <c r="U55" i="4" a="1"/>
  <c r="Q54" i="4" a="1"/>
  <c r="T53" i="4" a="1"/>
  <c r="R44" i="4" a="1"/>
  <c r="U43" i="4" a="1"/>
  <c r="Q42" i="4" a="1"/>
  <c r="T41" i="4" a="1"/>
  <c r="R32" i="4" a="1"/>
  <c r="U31" i="4" a="1"/>
  <c r="Q30" i="4" a="1"/>
  <c r="T29" i="4" a="1"/>
  <c r="Q62" i="4" a="1"/>
  <c r="T61" i="4" a="1"/>
  <c r="R52" i="4" a="1"/>
  <c r="R59" i="4" a="1"/>
  <c r="U58" i="4" a="1"/>
  <c r="R51" i="4" a="1"/>
  <c r="T50" i="4" a="1"/>
  <c r="R46" i="4" a="1"/>
  <c r="U40" i="4" a="1"/>
  <c r="Q38" i="4" a="1"/>
  <c r="T37" i="4" a="1"/>
  <c r="Q32" i="4" a="1"/>
  <c r="Q23" i="4" a="1"/>
  <c r="T22" i="4" a="1"/>
  <c r="R20" i="4" a="1"/>
  <c r="U19" i="4" a="1"/>
  <c r="Q18" i="4" a="1"/>
  <c r="T17" i="4" a="1"/>
  <c r="R8" i="4" a="1"/>
  <c r="U7" i="4" a="1"/>
  <c r="Q6" i="4" a="1"/>
  <c r="T5" i="4" a="1"/>
  <c r="U49" i="4" a="1"/>
  <c r="T45" i="4" a="1"/>
  <c r="R41" i="4" a="1"/>
  <c r="Q35" i="4" a="1"/>
  <c r="T34" i="4" a="1"/>
  <c r="U30" i="4" a="1"/>
  <c r="U27" i="4" a="1"/>
  <c r="U24" i="4" a="1"/>
  <c r="R15" i="4" a="1"/>
  <c r="U14" i="4" a="1"/>
  <c r="Q13" i="4" a="1"/>
  <c r="T12" i="4" a="1"/>
  <c r="T7" i="4" a="1"/>
  <c r="Q51" i="4" a="1"/>
  <c r="T48" i="4" a="1"/>
  <c r="Q46" i="4" a="1"/>
  <c r="T40" i="4" a="1"/>
  <c r="U36" i="4" a="1"/>
  <c r="U33" i="4" a="1"/>
  <c r="R31" i="4" a="1"/>
  <c r="R28" i="4" a="1"/>
  <c r="R25" i="4" a="1"/>
  <c r="T24" i="4" a="1"/>
  <c r="R22" i="4" a="1"/>
  <c r="U21" i="4" a="1"/>
  <c r="Q20" i="4" a="1"/>
  <c r="T19" i="4" a="1"/>
  <c r="R10" i="4" a="1"/>
  <c r="U9" i="4" a="1"/>
  <c r="Q8" i="4" a="1"/>
  <c r="R3" i="4" a="1"/>
  <c r="R50" i="4" a="1"/>
  <c r="T49" i="4" a="1"/>
  <c r="U44" i="4" a="1"/>
  <c r="Q41" i="4" a="1"/>
  <c r="U39" i="4" a="1"/>
  <c r="R37" i="4" a="1"/>
  <c r="T36" i="4" a="1"/>
  <c r="R34" i="4" a="1"/>
  <c r="T30" i="4" a="1"/>
  <c r="T27" i="4" a="1"/>
  <c r="Q25" i="4" a="1"/>
  <c r="R17" i="4" a="1"/>
  <c r="U16" i="4" a="1"/>
  <c r="Q15" i="4" a="1"/>
  <c r="T14" i="4" a="1"/>
  <c r="R5" i="4" a="1"/>
  <c r="U2" i="4" a="1"/>
  <c r="U62" i="4" a="1"/>
  <c r="T60" i="4" a="1"/>
  <c r="U59" i="4" a="1"/>
  <c r="U57" i="4" a="1"/>
  <c r="R45" i="4" a="1"/>
  <c r="Q37" i="4" a="1"/>
  <c r="T33" i="4" a="1"/>
  <c r="Q31" i="4" a="1"/>
  <c r="Q28" i="4" a="1"/>
  <c r="U26" i="4" a="1"/>
  <c r="Q22" i="4" a="1"/>
  <c r="T21" i="4" a="1"/>
  <c r="R12" i="4" a="1"/>
  <c r="U11" i="4" a="1"/>
  <c r="Q10" i="4" a="1"/>
  <c r="T9" i="4" a="1"/>
  <c r="U4" i="4" a="1"/>
  <c r="Q3" i="4" a="1"/>
  <c r="Q5" i="4" a="1"/>
  <c r="R58" i="4" a="1"/>
  <c r="Q50" i="4" a="1"/>
  <c r="Q49" i="4" a="1"/>
  <c r="R48" i="4" a="1"/>
  <c r="U47" i="4" a="1"/>
  <c r="T44" i="4" a="1"/>
  <c r="R40" i="4" a="1"/>
  <c r="U38" i="4" a="1"/>
  <c r="Q34" i="4" a="1"/>
  <c r="U29" i="4" a="1"/>
  <c r="R27" i="4" a="1"/>
  <c r="R24" i="4" a="1"/>
  <c r="U23" i="4" a="1"/>
  <c r="R19" i="4" a="1"/>
  <c r="U18" i="4" a="1"/>
  <c r="Q17" i="4" a="1"/>
  <c r="T16" i="4" a="1"/>
  <c r="R7" i="4" a="1"/>
  <c r="U6" i="4" a="1"/>
  <c r="T2" i="4" a="1"/>
  <c r="T62" i="4" a="1"/>
  <c r="U61" i="4" a="1"/>
  <c r="T59" i="4" a="1"/>
  <c r="T57" i="4" a="1"/>
  <c r="U56" i="4" a="1"/>
  <c r="T55" i="4" a="1"/>
  <c r="Q45" i="4" a="1"/>
  <c r="T43" i="4" a="1"/>
  <c r="R39" i="4" a="1"/>
  <c r="R36" i="4" a="1"/>
  <c r="U35" i="4" a="1"/>
  <c r="U32" i="4" a="1"/>
  <c r="R30" i="4" a="1"/>
  <c r="T26" i="4" a="1"/>
  <c r="R14" i="4" a="1"/>
  <c r="U13" i="4" a="1"/>
  <c r="Q12" i="4" a="1"/>
  <c r="T11" i="4" a="1"/>
  <c r="T4" i="4" a="1"/>
  <c r="T23" i="4" a="1"/>
  <c r="Q19" i="4" a="1"/>
  <c r="R60" i="4" a="1"/>
  <c r="Q58" i="4" a="1"/>
  <c r="T56" i="4" a="1"/>
  <c r="U54" i="4" a="1"/>
  <c r="Q48" i="4" a="1"/>
  <c r="T47" i="4" a="1"/>
  <c r="U42" i="4" a="1"/>
  <c r="T38" i="4" a="1"/>
  <c r="R33" i="4" a="1"/>
  <c r="Q27" i="4" a="1"/>
  <c r="Q24" i="4" a="1"/>
  <c r="R21" i="4" a="1"/>
  <c r="U20" i="4" a="1"/>
  <c r="T18" i="4" a="1"/>
  <c r="R9" i="4" a="1"/>
  <c r="U8" i="4" a="1"/>
  <c r="Q7" i="4" a="1"/>
  <c r="T6" i="4" a="1"/>
  <c r="Q61" i="4" a="1"/>
  <c r="U52" i="4" a="1"/>
  <c r="Q44" i="4" a="1"/>
  <c r="Q39" i="4" a="1"/>
  <c r="Q36" i="4" a="1"/>
  <c r="T35" i="4" a="1"/>
  <c r="T32" i="4" a="1"/>
  <c r="R16" i="4" a="1"/>
  <c r="U15" i="4" a="1"/>
  <c r="Q14" i="4" a="1"/>
  <c r="T13" i="4" a="1"/>
  <c r="R2" i="4" a="1"/>
  <c r="R62" i="4" a="1"/>
  <c r="Q60" i="4" a="1"/>
  <c r="R57" i="4" a="1"/>
  <c r="Q56" i="4" a="1"/>
  <c r="R55" i="4" a="1"/>
  <c r="T54" i="4" a="1"/>
  <c r="R53" i="4" a="1"/>
  <c r="U46" i="4" a="1"/>
  <c r="R43" i="4" a="1"/>
  <c r="T42" i="4" a="1"/>
  <c r="Q33" i="4" a="1"/>
  <c r="R29" i="4" a="1"/>
  <c r="U28" i="4" a="1"/>
  <c r="R26" i="4" a="1"/>
  <c r="U25" i="4" a="1"/>
  <c r="Q21" i="4" a="1"/>
  <c r="T20" i="4" a="1"/>
  <c r="R11" i="4" a="1"/>
  <c r="U10" i="4" a="1"/>
  <c r="Q9" i="4" a="1"/>
  <c r="T8" i="4" a="1"/>
  <c r="R4" i="4" a="1"/>
  <c r="U3" i="4" a="1"/>
  <c r="Q57" i="4" a="1"/>
  <c r="T52" i="4" a="1"/>
  <c r="U51" i="4" a="1"/>
  <c r="U50" i="4" a="1"/>
  <c r="R47" i="4" a="1"/>
  <c r="T46" i="4" a="1"/>
  <c r="R38" i="4" a="1"/>
  <c r="U37" i="4" a="1"/>
  <c r="R23" i="4" a="1"/>
  <c r="U22" i="4" a="1"/>
  <c r="R18" i="4" a="1"/>
  <c r="U17" i="4" a="1"/>
  <c r="Q16" i="4" a="1"/>
  <c r="T15" i="4" a="1"/>
  <c r="R6" i="4" a="1"/>
  <c r="U5" i="4" a="1"/>
  <c r="Q2" i="4" a="1"/>
  <c r="Q55" i="4" a="1"/>
  <c r="Q53" i="4" a="1"/>
  <c r="Q47" i="4" a="1"/>
  <c r="U45" i="4" a="1"/>
  <c r="Q43" i="4" a="1"/>
  <c r="R35" i="4" a="1"/>
  <c r="U34" i="4" a="1"/>
  <c r="T31" i="4" a="1"/>
  <c r="Q29" i="4" a="1"/>
  <c r="T28" i="4" a="1"/>
  <c r="Q26" i="4" a="1"/>
  <c r="T25" i="4" a="1"/>
  <c r="R13" i="4" a="1"/>
  <c r="U12" i="4" a="1"/>
  <c r="Q11" i="4" a="1"/>
  <c r="T10" i="4" a="1"/>
  <c r="Q4" i="4" a="1"/>
  <c r="T3" i="4" a="1"/>
  <c r="R19" i="3" a="1"/>
  <c r="U18" i="3" a="1"/>
  <c r="Q17" i="3" a="1"/>
  <c r="T16" i="3" a="1"/>
  <c r="R14" i="3" a="1"/>
  <c r="U13" i="3" a="1"/>
  <c r="Q12" i="3" a="1"/>
  <c r="T11" i="3" a="1"/>
  <c r="T4" i="3" a="1"/>
  <c r="R6" i="3" a="1"/>
  <c r="U5" i="3" a="1"/>
  <c r="Q2" i="3" a="1"/>
  <c r="R13" i="3" a="1"/>
  <c r="U12" i="3" a="1"/>
  <c r="Q11" i="3" a="1"/>
  <c r="T10" i="3" a="1"/>
  <c r="Q4" i="3" a="1"/>
  <c r="U7" i="3" a="1"/>
  <c r="U20" i="3" a="1"/>
  <c r="Q19" i="3" a="1"/>
  <c r="T18" i="3" a="1"/>
  <c r="R9" i="3" a="1"/>
  <c r="U8" i="3" a="1"/>
  <c r="Q7" i="3" a="1"/>
  <c r="T6" i="3" a="1"/>
  <c r="T3" i="3" a="1"/>
  <c r="R8" i="3" a="1"/>
  <c r="R16" i="3" a="1"/>
  <c r="U15" i="3" a="1"/>
  <c r="Q14" i="3" a="1"/>
  <c r="T13" i="3" a="1"/>
  <c r="R2" i="3" a="1"/>
  <c r="T5" i="3" a="1"/>
  <c r="T20" i="3" a="1"/>
  <c r="R11" i="3" a="1"/>
  <c r="U10" i="3" a="1"/>
  <c r="Q9" i="3" a="1"/>
  <c r="T8" i="3" a="1"/>
  <c r="R4" i="3" a="1"/>
  <c r="U3" i="3" a="1"/>
  <c r="Q6" i="3" a="1"/>
  <c r="R18" i="3" a="1"/>
  <c r="U17" i="3" a="1"/>
  <c r="Q16" i="3" a="1"/>
  <c r="T15" i="3" a="1"/>
  <c r="R20" i="3" a="1"/>
  <c r="U19" i="3" a="1"/>
  <c r="Q18" i="3" a="1"/>
  <c r="T17" i="3" a="1"/>
  <c r="R15" i="3" a="1"/>
  <c r="U14" i="3" a="1"/>
  <c r="Q13" i="3" a="1"/>
  <c r="T12" i="3" a="1"/>
  <c r="R10" i="3" a="1"/>
  <c r="U9" i="3" a="1"/>
  <c r="Q8" i="3" a="1"/>
  <c r="T7" i="3" a="1"/>
  <c r="R3" i="3" a="1"/>
  <c r="Q20" i="3" a="1"/>
  <c r="T19" i="3" a="1"/>
  <c r="R17" i="3" a="1"/>
  <c r="U16" i="3" a="1"/>
  <c r="Q15" i="3" a="1"/>
  <c r="T14" i="3" a="1"/>
  <c r="R5" i="3" a="1"/>
  <c r="U2" i="3" a="1"/>
  <c r="R7" i="3" a="1"/>
  <c r="R12" i="3" a="1"/>
  <c r="U11" i="3" a="1"/>
  <c r="Q10" i="3" a="1"/>
  <c r="T9" i="3" a="1"/>
  <c r="U4" i="3" a="1"/>
  <c r="Q3" i="3" a="1"/>
  <c r="U6" i="3" a="1"/>
  <c r="Q5" i="3" a="1"/>
  <c r="T2" i="3" a="1"/>
  <c r="T6" i="9" l="1"/>
  <c r="Q7" i="9"/>
  <c r="U8" i="9"/>
  <c r="R9" i="9"/>
  <c r="T18" i="9"/>
  <c r="Q19" i="9"/>
  <c r="U20" i="9"/>
  <c r="R21" i="9"/>
  <c r="R24" i="9"/>
  <c r="T29" i="9"/>
  <c r="R33" i="9"/>
  <c r="U35" i="9"/>
  <c r="U38" i="9"/>
  <c r="R39" i="9"/>
  <c r="R42" i="9"/>
  <c r="U44" i="9"/>
  <c r="Q49" i="9"/>
  <c r="U51" i="9"/>
  <c r="Q53" i="9"/>
  <c r="R57" i="9"/>
  <c r="T60" i="9"/>
  <c r="Q63" i="9"/>
  <c r="S63" i="9" s="1"/>
  <c r="T4" i="9"/>
  <c r="T11" i="9"/>
  <c r="Q12" i="9"/>
  <c r="U13" i="9"/>
  <c r="R14" i="9"/>
  <c r="U23" i="9"/>
  <c r="U26" i="9"/>
  <c r="R27" i="9"/>
  <c r="R30" i="9"/>
  <c r="U32" i="9"/>
  <c r="Q37" i="9"/>
  <c r="U41" i="9"/>
  <c r="Q43" i="9"/>
  <c r="Q46" i="9"/>
  <c r="T48" i="9"/>
  <c r="T52" i="9"/>
  <c r="U56" i="9"/>
  <c r="U61" i="9"/>
  <c r="T62" i="9"/>
  <c r="T2" i="9"/>
  <c r="Q5" i="9"/>
  <c r="U6" i="9"/>
  <c r="R7" i="9"/>
  <c r="T16" i="9"/>
  <c r="Q17" i="9"/>
  <c r="U18" i="9"/>
  <c r="R19" i="9"/>
  <c r="Q25" i="9"/>
  <c r="S25" i="9" s="1"/>
  <c r="V25" i="9" s="1"/>
  <c r="AC25" i="9" s="1"/>
  <c r="U29" i="9"/>
  <c r="Q31" i="9"/>
  <c r="S31" i="9" s="1"/>
  <c r="Q34" i="9"/>
  <c r="T36" i="9"/>
  <c r="Q40" i="9"/>
  <c r="T42" i="9"/>
  <c r="T45" i="9"/>
  <c r="R49" i="9"/>
  <c r="Q50" i="9"/>
  <c r="S50" i="9" s="1"/>
  <c r="V50" i="9" s="1"/>
  <c r="AC50" i="9" s="1"/>
  <c r="R53" i="9"/>
  <c r="Q58" i="9"/>
  <c r="S58" i="9" s="1"/>
  <c r="V58" i="9" s="1"/>
  <c r="AC58" i="9" s="1"/>
  <c r="U60" i="9"/>
  <c r="R63" i="9"/>
  <c r="Q3" i="9"/>
  <c r="U4" i="9"/>
  <c r="T9" i="9"/>
  <c r="Q10" i="9"/>
  <c r="S10" i="9" s="1"/>
  <c r="V10" i="9" s="1"/>
  <c r="AC10" i="9" s="1"/>
  <c r="U11" i="9"/>
  <c r="R12" i="9"/>
  <c r="T21" i="9"/>
  <c r="Q22" i="9"/>
  <c r="S22" i="9" s="1"/>
  <c r="V22" i="9" s="1"/>
  <c r="AC22" i="9" s="1"/>
  <c r="T24" i="9"/>
  <c r="Q28" i="9"/>
  <c r="S28" i="9" s="1"/>
  <c r="V28" i="9" s="1"/>
  <c r="AC28" i="9" s="1"/>
  <c r="T30" i="9"/>
  <c r="T33" i="9"/>
  <c r="R37" i="9"/>
  <c r="T39" i="9"/>
  <c r="R40" i="9"/>
  <c r="R43" i="9"/>
  <c r="R46" i="9"/>
  <c r="U48" i="9"/>
  <c r="T49" i="9"/>
  <c r="U52" i="9"/>
  <c r="Q54" i="9"/>
  <c r="T57" i="9"/>
  <c r="U62" i="9"/>
  <c r="T64" i="9"/>
  <c r="U2" i="9"/>
  <c r="R5" i="9"/>
  <c r="T14" i="9"/>
  <c r="Q15" i="9"/>
  <c r="U16" i="9"/>
  <c r="R17" i="9"/>
  <c r="R25" i="9"/>
  <c r="T27" i="9"/>
  <c r="R28" i="9"/>
  <c r="R31" i="9"/>
  <c r="R34" i="9"/>
  <c r="U36" i="9"/>
  <c r="U39" i="9"/>
  <c r="U42" i="9"/>
  <c r="U45" i="9"/>
  <c r="R50" i="9"/>
  <c r="Q55" i="9"/>
  <c r="R58" i="9"/>
  <c r="R3" i="9"/>
  <c r="T7" i="9"/>
  <c r="Q8" i="9"/>
  <c r="U9" i="9"/>
  <c r="R10" i="9"/>
  <c r="T19" i="9"/>
  <c r="Q20" i="9"/>
  <c r="S20" i="9" s="1"/>
  <c r="U21" i="9"/>
  <c r="R22" i="9"/>
  <c r="U24" i="9"/>
  <c r="U27" i="9"/>
  <c r="U30" i="9"/>
  <c r="U33" i="9"/>
  <c r="T37" i="9"/>
  <c r="Q38" i="9"/>
  <c r="Q47" i="9"/>
  <c r="U49" i="9"/>
  <c r="T53" i="9"/>
  <c r="U57" i="9"/>
  <c r="Q59" i="9"/>
  <c r="S59" i="9" s="1"/>
  <c r="V59" i="9" s="1"/>
  <c r="AC59" i="9" s="1"/>
  <c r="U64" i="9"/>
  <c r="T12" i="9"/>
  <c r="Q13" i="9"/>
  <c r="S13" i="9" s="1"/>
  <c r="U14" i="9"/>
  <c r="R15" i="9"/>
  <c r="T25" i="9"/>
  <c r="Q26" i="9"/>
  <c r="Q35" i="9"/>
  <c r="S35" i="9" s="1"/>
  <c r="T40" i="9"/>
  <c r="Q41" i="9"/>
  <c r="T43" i="9"/>
  <c r="Q44" i="9"/>
  <c r="T46" i="9"/>
  <c r="T54" i="9"/>
  <c r="R55" i="9"/>
  <c r="T5" i="9"/>
  <c r="Q6" i="9"/>
  <c r="S6" i="9" s="1"/>
  <c r="V6" i="9" s="1"/>
  <c r="AC6" i="9" s="1"/>
  <c r="U7" i="9"/>
  <c r="R8" i="9"/>
  <c r="T17" i="9"/>
  <c r="Q18" i="9"/>
  <c r="U19" i="9"/>
  <c r="R20" i="9"/>
  <c r="Q23" i="9"/>
  <c r="S23" i="9" s="1"/>
  <c r="V23" i="9" s="1"/>
  <c r="AC23" i="9" s="1"/>
  <c r="T28" i="9"/>
  <c r="Q29" i="9"/>
  <c r="T31" i="9"/>
  <c r="Q32" i="9"/>
  <c r="T34" i="9"/>
  <c r="U37" i="9"/>
  <c r="R38" i="9"/>
  <c r="T50" i="9"/>
  <c r="Q51" i="9"/>
  <c r="T58" i="9"/>
  <c r="Q60" i="9"/>
  <c r="T3" i="9"/>
  <c r="Q4" i="9"/>
  <c r="T10" i="9"/>
  <c r="Q11" i="9"/>
  <c r="U12" i="9"/>
  <c r="R13" i="9"/>
  <c r="T22" i="9"/>
  <c r="U25" i="9"/>
  <c r="R26" i="9"/>
  <c r="U40" i="9"/>
  <c r="R41" i="9"/>
  <c r="U43" i="9"/>
  <c r="R44" i="9"/>
  <c r="Q48" i="9"/>
  <c r="U54" i="9"/>
  <c r="Q56" i="9"/>
  <c r="T59" i="9"/>
  <c r="Q2" i="9"/>
  <c r="U5" i="9"/>
  <c r="R6" i="9"/>
  <c r="T15" i="9"/>
  <c r="Q16" i="9"/>
  <c r="U17" i="9"/>
  <c r="R18" i="9"/>
  <c r="U28" i="9"/>
  <c r="R29" i="9"/>
  <c r="U31" i="9"/>
  <c r="R32" i="9"/>
  <c r="Q36" i="9"/>
  <c r="T47" i="9"/>
  <c r="U50" i="9"/>
  <c r="R51" i="9"/>
  <c r="T55" i="9"/>
  <c r="R60" i="9"/>
  <c r="U3" i="9"/>
  <c r="R4" i="9"/>
  <c r="T8" i="9"/>
  <c r="Q9" i="9"/>
  <c r="U10" i="9"/>
  <c r="R11" i="9"/>
  <c r="T20" i="9"/>
  <c r="Q21" i="9"/>
  <c r="Q24" i="9"/>
  <c r="T35" i="9"/>
  <c r="T38" i="9"/>
  <c r="Q39" i="9"/>
  <c r="S39" i="9" s="1"/>
  <c r="V39" i="9" s="1"/>
  <c r="AC39" i="9" s="1"/>
  <c r="Q42" i="9"/>
  <c r="S42" i="9" s="1"/>
  <c r="R48" i="9"/>
  <c r="R52" i="9"/>
  <c r="R56" i="9"/>
  <c r="U59" i="9"/>
  <c r="Q61" i="9"/>
  <c r="R62" i="9"/>
  <c r="R2" i="9"/>
  <c r="T13" i="9"/>
  <c r="Q14" i="9"/>
  <c r="S14" i="9" s="1"/>
  <c r="V14" i="9" s="1"/>
  <c r="AC14" i="9" s="1"/>
  <c r="U15" i="9"/>
  <c r="R16" i="9"/>
  <c r="T23" i="9"/>
  <c r="T26" i="9"/>
  <c r="Q27" i="9"/>
  <c r="Q30" i="9"/>
  <c r="S30" i="9" s="1"/>
  <c r="R36" i="9"/>
  <c r="T41" i="9"/>
  <c r="R45" i="9"/>
  <c r="U47" i="9"/>
  <c r="U55" i="9"/>
  <c r="U22" i="9"/>
  <c r="R23" i="9"/>
  <c r="T32" i="9"/>
  <c r="Q33" i="9"/>
  <c r="S33" i="9" s="1"/>
  <c r="U34" i="9"/>
  <c r="R35" i="9"/>
  <c r="T44" i="9"/>
  <c r="Q45" i="9"/>
  <c r="S45" i="9" s="1"/>
  <c r="V45" i="9" s="1"/>
  <c r="AC45" i="9" s="1"/>
  <c r="U46" i="9"/>
  <c r="R47" i="9"/>
  <c r="T56" i="9"/>
  <c r="Q57" i="9"/>
  <c r="S57" i="9" s="1"/>
  <c r="V57" i="9" s="1"/>
  <c r="AC57" i="9" s="1"/>
  <c r="U58" i="9"/>
  <c r="R59" i="9"/>
  <c r="T61" i="9"/>
  <c r="Q62" i="9"/>
  <c r="S62" i="9" s="1"/>
  <c r="V62" i="9" s="1"/>
  <c r="AC62" i="9" s="1"/>
  <c r="U63" i="9"/>
  <c r="R64" i="9"/>
  <c r="R61" i="9"/>
  <c r="T51" i="9"/>
  <c r="Q52" i="9"/>
  <c r="S52" i="9" s="1"/>
  <c r="U53" i="9"/>
  <c r="R54" i="9"/>
  <c r="T63" i="9"/>
  <c r="Q64" i="9"/>
  <c r="S64" i="9" s="1"/>
  <c r="V64" i="9" s="1"/>
  <c r="AC64" i="9" s="1"/>
  <c r="Z45" i="9"/>
  <c r="AB45" i="9" s="1"/>
  <c r="T2" i="8"/>
  <c r="Q5" i="8"/>
  <c r="U6" i="8"/>
  <c r="R7" i="8"/>
  <c r="T16" i="8"/>
  <c r="Q17" i="8"/>
  <c r="U18" i="8"/>
  <c r="R19" i="8"/>
  <c r="R28" i="8"/>
  <c r="T31" i="8"/>
  <c r="R32" i="8"/>
  <c r="Q33" i="8"/>
  <c r="S33" i="8" s="1"/>
  <c r="V33" i="8" s="1"/>
  <c r="AC33" i="8" s="1"/>
  <c r="R36" i="8"/>
  <c r="Q41" i="8"/>
  <c r="S41" i="8" s="1"/>
  <c r="V41" i="8" s="1"/>
  <c r="AC41" i="8" s="1"/>
  <c r="U43" i="8"/>
  <c r="R45" i="8"/>
  <c r="U49" i="8"/>
  <c r="R51" i="8"/>
  <c r="U55" i="8"/>
  <c r="U56" i="8"/>
  <c r="Q58" i="8"/>
  <c r="Q3" i="8"/>
  <c r="S3" i="8" s="1"/>
  <c r="V3" i="8" s="1"/>
  <c r="AC3" i="8" s="1"/>
  <c r="U4" i="8"/>
  <c r="T9" i="8"/>
  <c r="Q10" i="8"/>
  <c r="U11" i="8"/>
  <c r="R12" i="8"/>
  <c r="T21" i="8"/>
  <c r="Q22" i="8"/>
  <c r="U23" i="8"/>
  <c r="R24" i="8"/>
  <c r="U27" i="8"/>
  <c r="T32" i="8"/>
  <c r="U35" i="8"/>
  <c r="Q37" i="8"/>
  <c r="S37" i="8" s="1"/>
  <c r="V37" i="8" s="1"/>
  <c r="AC37" i="8" s="1"/>
  <c r="T40" i="8"/>
  <c r="U44" i="8"/>
  <c r="T50" i="8"/>
  <c r="T57" i="8"/>
  <c r="U2" i="8"/>
  <c r="R5" i="8"/>
  <c r="T14" i="8"/>
  <c r="Q15" i="8"/>
  <c r="U16" i="8"/>
  <c r="R17" i="8"/>
  <c r="Q29" i="8"/>
  <c r="U31" i="8"/>
  <c r="R33" i="8"/>
  <c r="Q38" i="8"/>
  <c r="R41" i="8"/>
  <c r="U50" i="8"/>
  <c r="R52" i="8"/>
  <c r="R3" i="8"/>
  <c r="T7" i="8"/>
  <c r="Q8" i="8"/>
  <c r="S8" i="8" s="1"/>
  <c r="U9" i="8"/>
  <c r="R10" i="8"/>
  <c r="T19" i="8"/>
  <c r="Q20" i="8"/>
  <c r="S20" i="8" s="1"/>
  <c r="U21" i="8"/>
  <c r="R22" i="8"/>
  <c r="Q25" i="8"/>
  <c r="T28" i="8"/>
  <c r="U32" i="8"/>
  <c r="T36" i="8"/>
  <c r="U40" i="8"/>
  <c r="Q42" i="8"/>
  <c r="T45" i="8"/>
  <c r="Q46" i="8"/>
  <c r="U51" i="8"/>
  <c r="Q53" i="8"/>
  <c r="S53" i="8" s="1"/>
  <c r="T12" i="8"/>
  <c r="Q13" i="8"/>
  <c r="U14" i="8"/>
  <c r="R15" i="8"/>
  <c r="T24" i="8"/>
  <c r="Q26" i="8"/>
  <c r="S26" i="8" s="1"/>
  <c r="R29" i="8"/>
  <c r="T37" i="8"/>
  <c r="R38" i="8"/>
  <c r="R47" i="8"/>
  <c r="Q54" i="8"/>
  <c r="S54" i="8" s="1"/>
  <c r="U58" i="8"/>
  <c r="T5" i="8"/>
  <c r="Q6" i="8"/>
  <c r="S6" i="8" s="1"/>
  <c r="V6" i="8" s="1"/>
  <c r="AC6" i="8" s="1"/>
  <c r="U7" i="8"/>
  <c r="R8" i="8"/>
  <c r="T17" i="8"/>
  <c r="Q18" i="8"/>
  <c r="U19" i="8"/>
  <c r="R20" i="8"/>
  <c r="U28" i="8"/>
  <c r="Q30" i="8"/>
  <c r="T33" i="8"/>
  <c r="Q34" i="8"/>
  <c r="T41" i="8"/>
  <c r="Q43" i="8"/>
  <c r="S43" i="8" s="1"/>
  <c r="U45" i="8"/>
  <c r="Q48" i="8"/>
  <c r="T52" i="8"/>
  <c r="R53" i="8"/>
  <c r="T3" i="8"/>
  <c r="Q4" i="8"/>
  <c r="T10" i="8"/>
  <c r="Q11" i="8"/>
  <c r="U12" i="8"/>
  <c r="R13" i="8"/>
  <c r="T22" i="8"/>
  <c r="Q23" i="8"/>
  <c r="S23" i="8" s="1"/>
  <c r="V23" i="8" s="1"/>
  <c r="AC23" i="8" s="1"/>
  <c r="U24" i="8"/>
  <c r="T25" i="8"/>
  <c r="R26" i="8"/>
  <c r="U37" i="8"/>
  <c r="Q39" i="8"/>
  <c r="S39" i="8" s="1"/>
  <c r="T42" i="8"/>
  <c r="Q55" i="8"/>
  <c r="S55" i="8" s="1"/>
  <c r="Q2" i="8"/>
  <c r="U5" i="8"/>
  <c r="R6" i="8"/>
  <c r="T15" i="8"/>
  <c r="Q16" i="8"/>
  <c r="U17" i="8"/>
  <c r="R18" i="8"/>
  <c r="T29" i="8"/>
  <c r="Q31" i="8"/>
  <c r="U33" i="8"/>
  <c r="R34" i="8"/>
  <c r="T38" i="8"/>
  <c r="R43" i="8"/>
  <c r="U46" i="8"/>
  <c r="T47" i="8"/>
  <c r="R48" i="8"/>
  <c r="Q49" i="8"/>
  <c r="U52" i="8"/>
  <c r="T53" i="8"/>
  <c r="T54" i="8"/>
  <c r="U3" i="8"/>
  <c r="R4" i="8"/>
  <c r="T8" i="8"/>
  <c r="Q9" i="8"/>
  <c r="U10" i="8"/>
  <c r="R11" i="8"/>
  <c r="T20" i="8"/>
  <c r="Q21" i="8"/>
  <c r="S21" i="8" s="1"/>
  <c r="U22" i="8"/>
  <c r="R23" i="8"/>
  <c r="U25" i="8"/>
  <c r="Q27" i="8"/>
  <c r="S27" i="8" s="1"/>
  <c r="T30" i="8"/>
  <c r="R35" i="8"/>
  <c r="R39" i="8"/>
  <c r="U42" i="8"/>
  <c r="Q44" i="8"/>
  <c r="Q50" i="8"/>
  <c r="S50" i="8" s="1"/>
  <c r="V50" i="8" s="1"/>
  <c r="AC50" i="8" s="1"/>
  <c r="R55" i="8"/>
  <c r="Q57" i="8"/>
  <c r="S57" i="8" s="1"/>
  <c r="V57" i="8" s="1"/>
  <c r="AC57" i="8" s="1"/>
  <c r="R2" i="8"/>
  <c r="T13" i="8"/>
  <c r="Q14" i="8"/>
  <c r="S14" i="8" s="1"/>
  <c r="V14" i="8" s="1"/>
  <c r="AC14" i="8" s="1"/>
  <c r="U15" i="8"/>
  <c r="R16" i="8"/>
  <c r="T26" i="8"/>
  <c r="R31" i="8"/>
  <c r="U38" i="8"/>
  <c r="U47" i="8"/>
  <c r="T48" i="8"/>
  <c r="U54" i="8"/>
  <c r="R56" i="8"/>
  <c r="T6" i="8"/>
  <c r="Q7" i="8"/>
  <c r="S7" i="8" s="1"/>
  <c r="U8" i="8"/>
  <c r="R9" i="8"/>
  <c r="T18" i="8"/>
  <c r="Q19" i="8"/>
  <c r="S19" i="8" s="1"/>
  <c r="V19" i="8" s="1"/>
  <c r="AC19" i="8" s="1"/>
  <c r="U20" i="8"/>
  <c r="R21" i="8"/>
  <c r="R27" i="8"/>
  <c r="U30" i="8"/>
  <c r="Q32" i="8"/>
  <c r="U34" i="8"/>
  <c r="Q36" i="8"/>
  <c r="S36" i="8" s="1"/>
  <c r="R40" i="8"/>
  <c r="T43" i="8"/>
  <c r="R44" i="8"/>
  <c r="Q45" i="8"/>
  <c r="T49" i="8"/>
  <c r="R50" i="8"/>
  <c r="T56" i="8"/>
  <c r="R57" i="8"/>
  <c r="T4" i="8"/>
  <c r="T11" i="8"/>
  <c r="Q12" i="8"/>
  <c r="S12" i="8" s="1"/>
  <c r="U13" i="8"/>
  <c r="R14" i="8"/>
  <c r="T23" i="8"/>
  <c r="Q24" i="8"/>
  <c r="S24" i="8" s="1"/>
  <c r="U26" i="8"/>
  <c r="T35" i="8"/>
  <c r="U39" i="8"/>
  <c r="T44" i="8"/>
  <c r="Q51" i="8"/>
  <c r="S51" i="8" s="1"/>
  <c r="V51" i="8" s="1"/>
  <c r="AC51" i="8" s="1"/>
  <c r="R46" i="8"/>
  <c r="T55" i="8"/>
  <c r="Q56" i="8"/>
  <c r="S56" i="8" s="1"/>
  <c r="U57" i="8"/>
  <c r="R58" i="8"/>
  <c r="R25" i="8"/>
  <c r="T34" i="8"/>
  <c r="Q35" i="8"/>
  <c r="U36" i="8"/>
  <c r="R37" i="8"/>
  <c r="T46" i="8"/>
  <c r="Q47" i="8"/>
  <c r="S47" i="8" s="1"/>
  <c r="U48" i="8"/>
  <c r="R49" i="8"/>
  <c r="T58" i="8"/>
  <c r="T27" i="8"/>
  <c r="Q28" i="8"/>
  <c r="S28" i="8" s="1"/>
  <c r="U29" i="8"/>
  <c r="R30" i="8"/>
  <c r="T39" i="8"/>
  <c r="Q40" i="8"/>
  <c r="S40" i="8" s="1"/>
  <c r="V40" i="8" s="1"/>
  <c r="AC40" i="8" s="1"/>
  <c r="U41" i="8"/>
  <c r="R42" i="8"/>
  <c r="T51" i="8"/>
  <c r="Q52" i="8"/>
  <c r="U53" i="8"/>
  <c r="R54" i="8"/>
  <c r="Z56" i="8"/>
  <c r="AB56" i="8" s="1"/>
  <c r="AB49" i="8"/>
  <c r="Z47" i="8"/>
  <c r="AB47" i="8" s="1"/>
  <c r="Q3" i="7"/>
  <c r="S3" i="7" s="1"/>
  <c r="U4" i="7"/>
  <c r="T9" i="7"/>
  <c r="Q10" i="7"/>
  <c r="U11" i="7"/>
  <c r="R12" i="7"/>
  <c r="T21" i="7"/>
  <c r="Q22" i="7"/>
  <c r="T28" i="7"/>
  <c r="R29" i="7"/>
  <c r="U37" i="7"/>
  <c r="R42" i="7"/>
  <c r="U2" i="7"/>
  <c r="R5" i="7"/>
  <c r="T14" i="7"/>
  <c r="Q15" i="7"/>
  <c r="U16" i="7"/>
  <c r="R17" i="7"/>
  <c r="Q25" i="7"/>
  <c r="R30" i="7"/>
  <c r="Q31" i="7"/>
  <c r="S31" i="7" s="1"/>
  <c r="V31" i="7" s="1"/>
  <c r="AC31" i="7" s="1"/>
  <c r="R3" i="7"/>
  <c r="T7" i="7"/>
  <c r="Q8" i="7"/>
  <c r="S8" i="7" s="1"/>
  <c r="U9" i="7"/>
  <c r="R10" i="7"/>
  <c r="T19" i="7"/>
  <c r="Q20" i="7"/>
  <c r="U21" i="7"/>
  <c r="R22" i="7"/>
  <c r="T24" i="7"/>
  <c r="R25" i="7"/>
  <c r="U28" i="7"/>
  <c r="T42" i="7"/>
  <c r="T12" i="7"/>
  <c r="Q13" i="7"/>
  <c r="U14" i="7"/>
  <c r="R15" i="7"/>
  <c r="U24" i="7"/>
  <c r="T30" i="7"/>
  <c r="Q32" i="7"/>
  <c r="Q40" i="7"/>
  <c r="T5" i="7"/>
  <c r="Q6" i="7"/>
  <c r="U7" i="7"/>
  <c r="R8" i="7"/>
  <c r="T17" i="7"/>
  <c r="Q18" i="7"/>
  <c r="S18" i="7" s="1"/>
  <c r="U19" i="7"/>
  <c r="R20" i="7"/>
  <c r="T22" i="7"/>
  <c r="Q23" i="7"/>
  <c r="S23" i="7" s="1"/>
  <c r="U29" i="7"/>
  <c r="Q33" i="7"/>
  <c r="Q45" i="7"/>
  <c r="S45" i="7" s="1"/>
  <c r="T3" i="7"/>
  <c r="Q4" i="7"/>
  <c r="S4" i="7" s="1"/>
  <c r="V4" i="7" s="1"/>
  <c r="AC4" i="7" s="1"/>
  <c r="T10" i="7"/>
  <c r="Q11" i="7"/>
  <c r="S11" i="7" s="1"/>
  <c r="U12" i="7"/>
  <c r="R13" i="7"/>
  <c r="R26" i="7"/>
  <c r="T31" i="7"/>
  <c r="R33" i="7"/>
  <c r="R39" i="7"/>
  <c r="U41" i="7"/>
  <c r="Q2" i="7"/>
  <c r="S2" i="7" s="1"/>
  <c r="U5" i="7"/>
  <c r="R6" i="7"/>
  <c r="T15" i="7"/>
  <c r="Q16" i="7"/>
  <c r="S16" i="7" s="1"/>
  <c r="V16" i="7" s="1"/>
  <c r="AC16" i="7" s="1"/>
  <c r="U17" i="7"/>
  <c r="R18" i="7"/>
  <c r="U22" i="7"/>
  <c r="R23" i="7"/>
  <c r="U25" i="7"/>
  <c r="Q27" i="7"/>
  <c r="T39" i="7"/>
  <c r="Q44" i="7"/>
  <c r="U45" i="7"/>
  <c r="U3" i="7"/>
  <c r="R4" i="7"/>
  <c r="T8" i="7"/>
  <c r="Q9" i="7"/>
  <c r="U10" i="7"/>
  <c r="R11" i="7"/>
  <c r="T20" i="7"/>
  <c r="Q21" i="7"/>
  <c r="T32" i="7"/>
  <c r="T33" i="7"/>
  <c r="R34" i="7"/>
  <c r="Q35" i="7"/>
  <c r="S35" i="7" s="1"/>
  <c r="V35" i="7" s="1"/>
  <c r="AC35" i="7" s="1"/>
  <c r="R2" i="7"/>
  <c r="T13" i="7"/>
  <c r="Q14" i="7"/>
  <c r="S14" i="7" s="1"/>
  <c r="U15" i="7"/>
  <c r="R16" i="7"/>
  <c r="T26" i="7"/>
  <c r="R27" i="7"/>
  <c r="Q28" i="7"/>
  <c r="U32" i="7"/>
  <c r="Q36" i="7"/>
  <c r="S36" i="7" s="1"/>
  <c r="V36" i="7" s="1"/>
  <c r="AC36" i="7" s="1"/>
  <c r="Q37" i="7"/>
  <c r="S37" i="7" s="1"/>
  <c r="R38" i="7"/>
  <c r="T6" i="7"/>
  <c r="Q7" i="7"/>
  <c r="U8" i="7"/>
  <c r="R9" i="7"/>
  <c r="T18" i="7"/>
  <c r="Q19" i="7"/>
  <c r="U20" i="7"/>
  <c r="R21" i="7"/>
  <c r="T23" i="7"/>
  <c r="Q24" i="7"/>
  <c r="U33" i="7"/>
  <c r="T34" i="7"/>
  <c r="R35" i="7"/>
  <c r="T44" i="7"/>
  <c r="T4" i="7"/>
  <c r="T11" i="7"/>
  <c r="Q12" i="7"/>
  <c r="S12" i="7" s="1"/>
  <c r="V12" i="7" s="1"/>
  <c r="AC12" i="7" s="1"/>
  <c r="U13" i="7"/>
  <c r="R14" i="7"/>
  <c r="U26" i="7"/>
  <c r="T27" i="7"/>
  <c r="U38" i="7"/>
  <c r="T2" i="7"/>
  <c r="Q5" i="7"/>
  <c r="S5" i="7" s="1"/>
  <c r="U6" i="7"/>
  <c r="R7" i="7"/>
  <c r="T16" i="7"/>
  <c r="Q17" i="7"/>
  <c r="S17" i="7" s="1"/>
  <c r="V17" i="7" s="1"/>
  <c r="AC17" i="7" s="1"/>
  <c r="U18" i="7"/>
  <c r="R19" i="7"/>
  <c r="U23" i="7"/>
  <c r="R24" i="7"/>
  <c r="U34" i="7"/>
  <c r="T35" i="7"/>
  <c r="T36" i="7"/>
  <c r="T43" i="7"/>
  <c r="T25" i="7"/>
  <c r="Q26" i="7"/>
  <c r="S26" i="7" s="1"/>
  <c r="V26" i="7" s="1"/>
  <c r="AC26" i="7" s="1"/>
  <c r="U27" i="7"/>
  <c r="R28" i="7"/>
  <c r="T37" i="7"/>
  <c r="Q38" i="7"/>
  <c r="S38" i="7" s="1"/>
  <c r="U39" i="7"/>
  <c r="R40" i="7"/>
  <c r="Q43" i="7"/>
  <c r="S43" i="7" s="1"/>
  <c r="V43" i="7" s="1"/>
  <c r="AC43" i="7" s="1"/>
  <c r="U44" i="7"/>
  <c r="R45" i="7"/>
  <c r="Q29" i="7"/>
  <c r="U30" i="7"/>
  <c r="R31" i="7"/>
  <c r="T40" i="7"/>
  <c r="Q41" i="7"/>
  <c r="S41" i="7" s="1"/>
  <c r="U42" i="7"/>
  <c r="R43" i="7"/>
  <c r="Q34" i="7"/>
  <c r="U35" i="7"/>
  <c r="R36" i="7"/>
  <c r="T45" i="7"/>
  <c r="T38" i="7"/>
  <c r="Q39" i="7"/>
  <c r="S39" i="7" s="1"/>
  <c r="V39" i="7" s="1"/>
  <c r="AC39" i="7" s="1"/>
  <c r="U40" i="7"/>
  <c r="R41" i="7"/>
  <c r="T29" i="7"/>
  <c r="Q30" i="7"/>
  <c r="S30" i="7" s="1"/>
  <c r="V30" i="7" s="1"/>
  <c r="AC30" i="7" s="1"/>
  <c r="U31" i="7"/>
  <c r="R32" i="7"/>
  <c r="T41" i="7"/>
  <c r="Q42" i="7"/>
  <c r="U43" i="7"/>
  <c r="R44" i="7"/>
  <c r="U36" i="7"/>
  <c r="R37" i="7"/>
  <c r="AB44" i="7"/>
  <c r="Z42" i="7"/>
  <c r="AB42" i="7" s="1"/>
  <c r="Z29" i="7"/>
  <c r="AB29" i="7" s="1"/>
  <c r="Z38" i="7"/>
  <c r="AB38" i="7" s="1"/>
  <c r="AB40" i="7"/>
  <c r="R7" i="6"/>
  <c r="T6" i="6"/>
  <c r="Q7" i="6"/>
  <c r="S7" i="6" s="1"/>
  <c r="U8" i="6"/>
  <c r="R9" i="6"/>
  <c r="T18" i="6"/>
  <c r="Q19" i="6"/>
  <c r="U20" i="6"/>
  <c r="R21" i="6"/>
  <c r="T23" i="6"/>
  <c r="U27" i="6"/>
  <c r="T32" i="6"/>
  <c r="Q33" i="6"/>
  <c r="U37" i="6"/>
  <c r="Q5" i="6"/>
  <c r="T4" i="6"/>
  <c r="T11" i="6"/>
  <c r="Q12" i="6"/>
  <c r="S12" i="6" s="1"/>
  <c r="V12" i="6" s="1"/>
  <c r="AC12" i="6" s="1"/>
  <c r="U13" i="6"/>
  <c r="R14" i="6"/>
  <c r="R24" i="6"/>
  <c r="T28" i="6"/>
  <c r="Q30" i="6"/>
  <c r="Q34" i="6"/>
  <c r="R40" i="6"/>
  <c r="U23" i="6"/>
  <c r="R25" i="6"/>
  <c r="T29" i="6"/>
  <c r="U32" i="6"/>
  <c r="R34" i="6"/>
  <c r="Q35" i="6"/>
  <c r="T39" i="6"/>
  <c r="T41" i="6"/>
  <c r="Q17" i="6"/>
  <c r="S17" i="6" s="1"/>
  <c r="Q3" i="6"/>
  <c r="U4" i="6"/>
  <c r="T9" i="6"/>
  <c r="Q10" i="6"/>
  <c r="U11" i="6"/>
  <c r="R12" i="6"/>
  <c r="T21" i="6"/>
  <c r="Q22" i="6"/>
  <c r="R30" i="6"/>
  <c r="T40" i="6"/>
  <c r="U2" i="6"/>
  <c r="R5" i="6"/>
  <c r="T14" i="6"/>
  <c r="Q15" i="6"/>
  <c r="U16" i="6"/>
  <c r="R17" i="6"/>
  <c r="R22" i="6"/>
  <c r="U24" i="6"/>
  <c r="Q26" i="6"/>
  <c r="U29" i="6"/>
  <c r="T33" i="6"/>
  <c r="T34" i="6"/>
  <c r="R35" i="6"/>
  <c r="U39" i="6"/>
  <c r="U41" i="6"/>
  <c r="T16" i="6"/>
  <c r="R3" i="6"/>
  <c r="T7" i="6"/>
  <c r="Q8" i="6"/>
  <c r="S8" i="6" s="1"/>
  <c r="V8" i="6" s="1"/>
  <c r="AC8" i="6" s="1"/>
  <c r="U9" i="6"/>
  <c r="R10" i="6"/>
  <c r="T19" i="6"/>
  <c r="Q20" i="6"/>
  <c r="U21" i="6"/>
  <c r="T25" i="6"/>
  <c r="Q31" i="6"/>
  <c r="S31" i="6" s="1"/>
  <c r="V31" i="6" s="1"/>
  <c r="AC31" i="6" s="1"/>
  <c r="U33" i="6"/>
  <c r="Q36" i="6"/>
  <c r="S36" i="6" s="1"/>
  <c r="U6" i="6"/>
  <c r="T12" i="6"/>
  <c r="Q13" i="6"/>
  <c r="U14" i="6"/>
  <c r="R15" i="6"/>
  <c r="R26" i="6"/>
  <c r="T30" i="6"/>
  <c r="U34" i="6"/>
  <c r="T35" i="6"/>
  <c r="T5" i="6"/>
  <c r="Q6" i="6"/>
  <c r="U7" i="6"/>
  <c r="R8" i="6"/>
  <c r="T17" i="6"/>
  <c r="Q18" i="6"/>
  <c r="S18" i="6" s="1"/>
  <c r="U19" i="6"/>
  <c r="R20" i="6"/>
  <c r="T22" i="6"/>
  <c r="Q23" i="6"/>
  <c r="S23" i="6" s="1"/>
  <c r="V23" i="6" s="1"/>
  <c r="AC23" i="6" s="1"/>
  <c r="U25" i="6"/>
  <c r="R31" i="6"/>
  <c r="R36" i="6"/>
  <c r="U18" i="6"/>
  <c r="T3" i="6"/>
  <c r="Q4" i="6"/>
  <c r="S4" i="6" s="1"/>
  <c r="V4" i="6" s="1"/>
  <c r="AC4" i="6" s="1"/>
  <c r="T10" i="6"/>
  <c r="Q11" i="6"/>
  <c r="U12" i="6"/>
  <c r="R13" i="6"/>
  <c r="Q28" i="6"/>
  <c r="U30" i="6"/>
  <c r="Q32" i="6"/>
  <c r="S32" i="6" s="1"/>
  <c r="U35" i="6"/>
  <c r="R37" i="6"/>
  <c r="R19" i="6"/>
  <c r="U5" i="6"/>
  <c r="R6" i="6"/>
  <c r="T15" i="6"/>
  <c r="Q16" i="6"/>
  <c r="U17" i="6"/>
  <c r="R18" i="6"/>
  <c r="U22" i="6"/>
  <c r="R23" i="6"/>
  <c r="T31" i="6"/>
  <c r="R32" i="6"/>
  <c r="Q38" i="6"/>
  <c r="S38" i="6" s="1"/>
  <c r="T2" i="6"/>
  <c r="Q2" i="6"/>
  <c r="U3" i="6"/>
  <c r="R4" i="6"/>
  <c r="T8" i="6"/>
  <c r="Q9" i="6"/>
  <c r="S9" i="6" s="1"/>
  <c r="U10" i="6"/>
  <c r="R11" i="6"/>
  <c r="T20" i="6"/>
  <c r="Q21" i="6"/>
  <c r="S21" i="6" s="1"/>
  <c r="V21" i="6" s="1"/>
  <c r="AC21" i="6" s="1"/>
  <c r="T27" i="6"/>
  <c r="R28" i="6"/>
  <c r="U31" i="6"/>
  <c r="U36" i="6"/>
  <c r="R38" i="6"/>
  <c r="R2" i="6"/>
  <c r="T13" i="6"/>
  <c r="Q14" i="6"/>
  <c r="S14" i="6" s="1"/>
  <c r="V14" i="6" s="1"/>
  <c r="AC14" i="6" s="1"/>
  <c r="U15" i="6"/>
  <c r="R16" i="6"/>
  <c r="Q24" i="6"/>
  <c r="Q29" i="6"/>
  <c r="S29" i="6" s="1"/>
  <c r="T37" i="6"/>
  <c r="Q40" i="6"/>
  <c r="S40" i="6" s="1"/>
  <c r="R33" i="6"/>
  <c r="Q41" i="6"/>
  <c r="T26" i="6"/>
  <c r="Q27" i="6"/>
  <c r="U28" i="6"/>
  <c r="R29" i="6"/>
  <c r="T38" i="6"/>
  <c r="Q39" i="6"/>
  <c r="U40" i="6"/>
  <c r="R41" i="6"/>
  <c r="T24" i="6"/>
  <c r="Q25" i="6"/>
  <c r="U26" i="6"/>
  <c r="R27" i="6"/>
  <c r="T36" i="6"/>
  <c r="Q37" i="6"/>
  <c r="S37" i="6" s="1"/>
  <c r="V37" i="6" s="1"/>
  <c r="AC37" i="6" s="1"/>
  <c r="U38" i="6"/>
  <c r="R39" i="6"/>
  <c r="Z27" i="6"/>
  <c r="AB27" i="6" s="1"/>
  <c r="Z39" i="6"/>
  <c r="AB39" i="6" s="1"/>
  <c r="AB41" i="6"/>
  <c r="U2" i="5"/>
  <c r="R5" i="5"/>
  <c r="T14" i="5"/>
  <c r="Q15" i="5"/>
  <c r="U16" i="5"/>
  <c r="R17" i="5"/>
  <c r="Q25" i="5"/>
  <c r="S25" i="5" s="1"/>
  <c r="T27" i="5"/>
  <c r="T30" i="5"/>
  <c r="R34" i="5"/>
  <c r="U51" i="5"/>
  <c r="R57" i="5"/>
  <c r="R3" i="5"/>
  <c r="T7" i="5"/>
  <c r="Q8" i="5"/>
  <c r="S8" i="5" s="1"/>
  <c r="U9" i="5"/>
  <c r="R10" i="5"/>
  <c r="T19" i="5"/>
  <c r="Q20" i="5"/>
  <c r="S20" i="5" s="1"/>
  <c r="U21" i="5"/>
  <c r="R22" i="5"/>
  <c r="T24" i="5"/>
  <c r="R25" i="5"/>
  <c r="R28" i="5"/>
  <c r="R31" i="5"/>
  <c r="U33" i="5"/>
  <c r="U37" i="5"/>
  <c r="R38" i="5"/>
  <c r="R42" i="5"/>
  <c r="Q43" i="5"/>
  <c r="U45" i="5"/>
  <c r="R48" i="5"/>
  <c r="T49" i="5"/>
  <c r="T57" i="5"/>
  <c r="T12" i="5"/>
  <c r="Q13" i="5"/>
  <c r="U14" i="5"/>
  <c r="R15" i="5"/>
  <c r="U24" i="5"/>
  <c r="U27" i="5"/>
  <c r="U30" i="5"/>
  <c r="T34" i="5"/>
  <c r="Q35" i="5"/>
  <c r="T47" i="5"/>
  <c r="T50" i="5"/>
  <c r="Q56" i="5"/>
  <c r="U57" i="5"/>
  <c r="T5" i="5"/>
  <c r="Q6" i="5"/>
  <c r="U7" i="5"/>
  <c r="R8" i="5"/>
  <c r="T17" i="5"/>
  <c r="Q18" i="5"/>
  <c r="U19" i="5"/>
  <c r="R20" i="5"/>
  <c r="T22" i="5"/>
  <c r="Q23" i="5"/>
  <c r="S23" i="5" s="1"/>
  <c r="Q32" i="5"/>
  <c r="Q39" i="5"/>
  <c r="S39" i="5" s="1"/>
  <c r="U41" i="5"/>
  <c r="T42" i="5"/>
  <c r="R43" i="5"/>
  <c r="T3" i="5"/>
  <c r="Q4" i="5"/>
  <c r="S4" i="5" s="1"/>
  <c r="T10" i="5"/>
  <c r="Q11" i="5"/>
  <c r="U12" i="5"/>
  <c r="R13" i="5"/>
  <c r="T25" i="5"/>
  <c r="Q26" i="5"/>
  <c r="S26" i="5" s="1"/>
  <c r="V26" i="5" s="1"/>
  <c r="AC26" i="5" s="1"/>
  <c r="T28" i="5"/>
  <c r="Q29" i="5"/>
  <c r="S29" i="5" s="1"/>
  <c r="V29" i="5" s="1"/>
  <c r="AC29" i="5" s="1"/>
  <c r="T31" i="5"/>
  <c r="U34" i="5"/>
  <c r="T38" i="5"/>
  <c r="U47" i="5"/>
  <c r="T48" i="5"/>
  <c r="Q55" i="5"/>
  <c r="S55" i="5" s="1"/>
  <c r="Q2" i="5"/>
  <c r="S2" i="5" s="1"/>
  <c r="V2" i="5" s="1"/>
  <c r="U5" i="5"/>
  <c r="R6" i="5"/>
  <c r="T15" i="5"/>
  <c r="Q16" i="5"/>
  <c r="U17" i="5"/>
  <c r="R18" i="5"/>
  <c r="U22" i="5"/>
  <c r="R23" i="5"/>
  <c r="Q36" i="5"/>
  <c r="R39" i="5"/>
  <c r="Q40" i="5"/>
  <c r="S40" i="5" s="1"/>
  <c r="V40" i="5" s="1"/>
  <c r="AC40" i="5" s="1"/>
  <c r="U42" i="5"/>
  <c r="Q44" i="5"/>
  <c r="S44" i="5" s="1"/>
  <c r="V44" i="5" s="1"/>
  <c r="AC44" i="5" s="1"/>
  <c r="U56" i="5"/>
  <c r="U3" i="5"/>
  <c r="R4" i="5"/>
  <c r="T8" i="5"/>
  <c r="Q9" i="5"/>
  <c r="S9" i="5" s="1"/>
  <c r="U10" i="5"/>
  <c r="R11" i="5"/>
  <c r="T20" i="5"/>
  <c r="Q21" i="5"/>
  <c r="S21" i="5" s="1"/>
  <c r="U25" i="5"/>
  <c r="R26" i="5"/>
  <c r="U28" i="5"/>
  <c r="R29" i="5"/>
  <c r="Q33" i="5"/>
  <c r="T35" i="5"/>
  <c r="U38" i="5"/>
  <c r="R40" i="5"/>
  <c r="T43" i="5"/>
  <c r="Q52" i="5"/>
  <c r="R54" i="5"/>
  <c r="T55" i="5"/>
  <c r="R2" i="5"/>
  <c r="T13" i="5"/>
  <c r="Q14" i="5"/>
  <c r="S14" i="5" s="1"/>
  <c r="U15" i="5"/>
  <c r="R16" i="5"/>
  <c r="T32" i="5"/>
  <c r="R36" i="5"/>
  <c r="T39" i="5"/>
  <c r="R52" i="5"/>
  <c r="Q53" i="5"/>
  <c r="S53" i="5" s="1"/>
  <c r="U8" i="5"/>
  <c r="R9" i="5"/>
  <c r="T18" i="5"/>
  <c r="Q19" i="5"/>
  <c r="U20" i="5"/>
  <c r="R21" i="5"/>
  <c r="T23" i="5"/>
  <c r="Q24" i="5"/>
  <c r="S24" i="5" s="1"/>
  <c r="Q27" i="5"/>
  <c r="S27" i="5" s="1"/>
  <c r="V27" i="5" s="1"/>
  <c r="AC27" i="5" s="1"/>
  <c r="R33" i="5"/>
  <c r="U35" i="5"/>
  <c r="Q37" i="5"/>
  <c r="U39" i="5"/>
  <c r="R45" i="5"/>
  <c r="T54" i="5"/>
  <c r="Q58" i="5"/>
  <c r="S58" i="5" s="1"/>
  <c r="T4" i="5"/>
  <c r="T11" i="5"/>
  <c r="Q12" i="5"/>
  <c r="U13" i="5"/>
  <c r="R14" i="5"/>
  <c r="T26" i="5"/>
  <c r="R30" i="5"/>
  <c r="U32" i="5"/>
  <c r="R37" i="5"/>
  <c r="T40" i="5"/>
  <c r="Q41" i="5"/>
  <c r="S41" i="5" s="1"/>
  <c r="Q46" i="5"/>
  <c r="S46" i="5" s="1"/>
  <c r="V46" i="5" s="1"/>
  <c r="AC46" i="5" s="1"/>
  <c r="T52" i="5"/>
  <c r="U54" i="5"/>
  <c r="R58" i="5"/>
  <c r="T6" i="5"/>
  <c r="Q7" i="5"/>
  <c r="T2" i="5"/>
  <c r="Q5" i="5"/>
  <c r="S5" i="5" s="1"/>
  <c r="U6" i="5"/>
  <c r="R7" i="5"/>
  <c r="T16" i="5"/>
  <c r="Q17" i="5"/>
  <c r="S17" i="5" s="1"/>
  <c r="V17" i="5" s="1"/>
  <c r="AC17" i="5" s="1"/>
  <c r="U18" i="5"/>
  <c r="R19" i="5"/>
  <c r="U23" i="5"/>
  <c r="R24" i="5"/>
  <c r="R27" i="5"/>
  <c r="U29" i="5"/>
  <c r="Q34" i="5"/>
  <c r="T36" i="5"/>
  <c r="U44" i="5"/>
  <c r="Q50" i="5"/>
  <c r="S50" i="5" s="1"/>
  <c r="V50" i="5" s="1"/>
  <c r="AC50" i="5" s="1"/>
  <c r="U53" i="5"/>
  <c r="U59" i="5"/>
  <c r="Q3" i="5"/>
  <c r="U4" i="5"/>
  <c r="T9" i="5"/>
  <c r="Q10" i="5"/>
  <c r="U11" i="5"/>
  <c r="R12" i="5"/>
  <c r="T21" i="5"/>
  <c r="Q22" i="5"/>
  <c r="S22" i="5" s="1"/>
  <c r="V22" i="5" s="1"/>
  <c r="AC22" i="5" s="1"/>
  <c r="U26" i="5"/>
  <c r="Q28" i="5"/>
  <c r="S28" i="5" s="1"/>
  <c r="Q31" i="5"/>
  <c r="S31" i="5" s="1"/>
  <c r="T33" i="5"/>
  <c r="U36" i="5"/>
  <c r="T37" i="5"/>
  <c r="Q38" i="5"/>
  <c r="U40" i="5"/>
  <c r="R41" i="5"/>
  <c r="T45" i="5"/>
  <c r="R46" i="5"/>
  <c r="T51" i="5"/>
  <c r="R35" i="5"/>
  <c r="T44" i="5"/>
  <c r="Q45" i="5"/>
  <c r="S45" i="5" s="1"/>
  <c r="U46" i="5"/>
  <c r="R47" i="5"/>
  <c r="T56" i="5"/>
  <c r="Q57" i="5"/>
  <c r="U58" i="5"/>
  <c r="R59" i="5"/>
  <c r="Q48" i="5"/>
  <c r="U49" i="5"/>
  <c r="R50" i="5"/>
  <c r="T59" i="5"/>
  <c r="R55" i="5"/>
  <c r="Q51" i="5"/>
  <c r="S51" i="5" s="1"/>
  <c r="V51" i="5" s="1"/>
  <c r="AC51" i="5" s="1"/>
  <c r="U52" i="5"/>
  <c r="R53" i="5"/>
  <c r="Q49" i="5"/>
  <c r="S49" i="5" s="1"/>
  <c r="V49" i="5" s="1"/>
  <c r="AC49" i="5" s="1"/>
  <c r="U50" i="5"/>
  <c r="R51" i="5"/>
  <c r="T29" i="5"/>
  <c r="Q30" i="5"/>
  <c r="S30" i="5" s="1"/>
  <c r="U31" i="5"/>
  <c r="R32" i="5"/>
  <c r="T41" i="5"/>
  <c r="Q42" i="5"/>
  <c r="U43" i="5"/>
  <c r="R44" i="5"/>
  <c r="T53" i="5"/>
  <c r="Q54" i="5"/>
  <c r="U55" i="5"/>
  <c r="R56" i="5"/>
  <c r="T46" i="5"/>
  <c r="Q47" i="5"/>
  <c r="U48" i="5"/>
  <c r="R49" i="5"/>
  <c r="T58" i="5"/>
  <c r="Q59" i="5"/>
  <c r="AB59" i="5"/>
  <c r="AB32" i="5"/>
  <c r="AB51" i="5"/>
  <c r="Z45" i="5"/>
  <c r="AB45" i="5" s="1"/>
  <c r="Z30" i="5"/>
  <c r="AB30" i="5" s="1"/>
  <c r="Z49" i="5"/>
  <c r="AB49" i="5" s="1"/>
  <c r="T3" i="4"/>
  <c r="Q4" i="4"/>
  <c r="T10" i="4"/>
  <c r="Q11" i="4"/>
  <c r="U12" i="4"/>
  <c r="R13" i="4"/>
  <c r="T25" i="4"/>
  <c r="Q26" i="4"/>
  <c r="S26" i="4" s="1"/>
  <c r="V26" i="4" s="1"/>
  <c r="AC26" i="4" s="1"/>
  <c r="T28" i="4"/>
  <c r="Q29" i="4"/>
  <c r="S29" i="4" s="1"/>
  <c r="T31" i="4"/>
  <c r="U34" i="4"/>
  <c r="R35" i="4"/>
  <c r="Q43" i="4"/>
  <c r="U45" i="4"/>
  <c r="Q47" i="4"/>
  <c r="Q53" i="4"/>
  <c r="Q55" i="4"/>
  <c r="S55" i="4" s="1"/>
  <c r="Q2" i="4"/>
  <c r="U5" i="4"/>
  <c r="R6" i="4"/>
  <c r="T15" i="4"/>
  <c r="Q16" i="4"/>
  <c r="U17" i="4"/>
  <c r="R18" i="4"/>
  <c r="U22" i="4"/>
  <c r="R23" i="4"/>
  <c r="U37" i="4"/>
  <c r="R38" i="4"/>
  <c r="T46" i="4"/>
  <c r="R47" i="4"/>
  <c r="U50" i="4"/>
  <c r="U51" i="4"/>
  <c r="T52" i="4"/>
  <c r="Q57" i="4"/>
  <c r="U3" i="4"/>
  <c r="R4" i="4"/>
  <c r="T8" i="4"/>
  <c r="Q9" i="4"/>
  <c r="S9" i="4" s="1"/>
  <c r="U10" i="4"/>
  <c r="R11" i="4"/>
  <c r="T20" i="4"/>
  <c r="Q21" i="4"/>
  <c r="U25" i="4"/>
  <c r="R26" i="4"/>
  <c r="U28" i="4"/>
  <c r="R29" i="4"/>
  <c r="Q33" i="4"/>
  <c r="S33" i="4" s="1"/>
  <c r="T42" i="4"/>
  <c r="R43" i="4"/>
  <c r="U46" i="4"/>
  <c r="R53" i="4"/>
  <c r="T54" i="4"/>
  <c r="R55" i="4"/>
  <c r="Q56" i="4"/>
  <c r="R57" i="4"/>
  <c r="Q60" i="4"/>
  <c r="R62" i="4"/>
  <c r="R2" i="4"/>
  <c r="T13" i="4"/>
  <c r="Q14" i="4"/>
  <c r="U15" i="4"/>
  <c r="R16" i="4"/>
  <c r="T32" i="4"/>
  <c r="T35" i="4"/>
  <c r="Q36" i="4"/>
  <c r="S36" i="4" s="1"/>
  <c r="V36" i="4" s="1"/>
  <c r="AC36" i="4" s="1"/>
  <c r="Q39" i="4"/>
  <c r="S39" i="4" s="1"/>
  <c r="V39" i="4" s="1"/>
  <c r="AC39" i="4" s="1"/>
  <c r="Q44" i="4"/>
  <c r="U52" i="4"/>
  <c r="Q61" i="4"/>
  <c r="T6" i="4"/>
  <c r="Q7" i="4"/>
  <c r="U8" i="4"/>
  <c r="R9" i="4"/>
  <c r="T18" i="4"/>
  <c r="U20" i="4"/>
  <c r="R21" i="4"/>
  <c r="Q24" i="4"/>
  <c r="Q27" i="4"/>
  <c r="R33" i="4"/>
  <c r="T38" i="4"/>
  <c r="U42" i="4"/>
  <c r="T47" i="4"/>
  <c r="Q48" i="4"/>
  <c r="S48" i="4" s="1"/>
  <c r="V48" i="4" s="1"/>
  <c r="AC48" i="4" s="1"/>
  <c r="U54" i="4"/>
  <c r="T56" i="4"/>
  <c r="Q58" i="4"/>
  <c r="S58" i="4" s="1"/>
  <c r="R60" i="4"/>
  <c r="Q19" i="4"/>
  <c r="T23" i="4"/>
  <c r="T4" i="4"/>
  <c r="T11" i="4"/>
  <c r="Q12" i="4"/>
  <c r="S12" i="4" s="1"/>
  <c r="U13" i="4"/>
  <c r="R14" i="4"/>
  <c r="T26" i="4"/>
  <c r="R30" i="4"/>
  <c r="U32" i="4"/>
  <c r="U35" i="4"/>
  <c r="R36" i="4"/>
  <c r="R39" i="4"/>
  <c r="T43" i="4"/>
  <c r="Q45" i="4"/>
  <c r="T55" i="4"/>
  <c r="U56" i="4"/>
  <c r="T57" i="4"/>
  <c r="T59" i="4"/>
  <c r="U61" i="4"/>
  <c r="T62" i="4"/>
  <c r="T2" i="4"/>
  <c r="U6" i="4"/>
  <c r="R7" i="4"/>
  <c r="T16" i="4"/>
  <c r="Q17" i="4"/>
  <c r="U18" i="4"/>
  <c r="R19" i="4"/>
  <c r="U23" i="4"/>
  <c r="R24" i="4"/>
  <c r="R27" i="4"/>
  <c r="U29" i="4"/>
  <c r="Q34" i="4"/>
  <c r="S34" i="4" s="1"/>
  <c r="U38" i="4"/>
  <c r="R40" i="4"/>
  <c r="T44" i="4"/>
  <c r="U47" i="4"/>
  <c r="R48" i="4"/>
  <c r="Q49" i="4"/>
  <c r="S49" i="4" s="1"/>
  <c r="Q50" i="4"/>
  <c r="S50" i="4" s="1"/>
  <c r="V50" i="4" s="1"/>
  <c r="AC50" i="4" s="1"/>
  <c r="R58" i="4"/>
  <c r="Q5" i="4"/>
  <c r="Q3" i="4"/>
  <c r="U4" i="4"/>
  <c r="T9" i="4"/>
  <c r="Q10" i="4"/>
  <c r="S10" i="4" s="1"/>
  <c r="V10" i="4" s="1"/>
  <c r="AC10" i="4" s="1"/>
  <c r="U11" i="4"/>
  <c r="R12" i="4"/>
  <c r="T21" i="4"/>
  <c r="Q22" i="4"/>
  <c r="U26" i="4"/>
  <c r="Q28" i="4"/>
  <c r="Q31" i="4"/>
  <c r="T33" i="4"/>
  <c r="Q37" i="4"/>
  <c r="S37" i="4" s="1"/>
  <c r="V37" i="4" s="1"/>
  <c r="AC37" i="4" s="1"/>
  <c r="R45" i="4"/>
  <c r="U57" i="4"/>
  <c r="U59" i="4"/>
  <c r="T60" i="4"/>
  <c r="U62" i="4"/>
  <c r="U2" i="4"/>
  <c r="R5" i="4"/>
  <c r="T14" i="4"/>
  <c r="Q15" i="4"/>
  <c r="S15" i="4" s="1"/>
  <c r="V15" i="4" s="1"/>
  <c r="AC15" i="4" s="1"/>
  <c r="U16" i="4"/>
  <c r="R17" i="4"/>
  <c r="Q25" i="4"/>
  <c r="S25" i="4" s="1"/>
  <c r="V25" i="4" s="1"/>
  <c r="AC25" i="4" s="1"/>
  <c r="T27" i="4"/>
  <c r="T30" i="4"/>
  <c r="R34" i="4"/>
  <c r="T36" i="4"/>
  <c r="R37" i="4"/>
  <c r="U39" i="4"/>
  <c r="Q41" i="4"/>
  <c r="S41" i="4" s="1"/>
  <c r="V41" i="4" s="1"/>
  <c r="AC41" i="4" s="1"/>
  <c r="U44" i="4"/>
  <c r="T49" i="4"/>
  <c r="R50" i="4"/>
  <c r="R3" i="4"/>
  <c r="Q8" i="4"/>
  <c r="U9" i="4"/>
  <c r="R10" i="4"/>
  <c r="T19" i="4"/>
  <c r="Q20" i="4"/>
  <c r="S20" i="4" s="1"/>
  <c r="U21" i="4"/>
  <c r="R22" i="4"/>
  <c r="T24" i="4"/>
  <c r="R25" i="4"/>
  <c r="R28" i="4"/>
  <c r="R31" i="4"/>
  <c r="U33" i="4"/>
  <c r="U36" i="4"/>
  <c r="T40" i="4"/>
  <c r="Q46" i="4"/>
  <c r="T48" i="4"/>
  <c r="Q51" i="4"/>
  <c r="T7" i="4"/>
  <c r="T12" i="4"/>
  <c r="Q13" i="4"/>
  <c r="U14" i="4"/>
  <c r="R15" i="4"/>
  <c r="U24" i="4"/>
  <c r="U27" i="4"/>
  <c r="U30" i="4"/>
  <c r="T34" i="4"/>
  <c r="Q35" i="4"/>
  <c r="S35" i="4" s="1"/>
  <c r="V35" i="4" s="1"/>
  <c r="AC35" i="4" s="1"/>
  <c r="R41" i="4"/>
  <c r="T45" i="4"/>
  <c r="U49" i="4"/>
  <c r="T5" i="4"/>
  <c r="Q6" i="4"/>
  <c r="S6" i="4" s="1"/>
  <c r="V6" i="4" s="1"/>
  <c r="AC6" i="4" s="1"/>
  <c r="U7" i="4"/>
  <c r="R8" i="4"/>
  <c r="T17" i="4"/>
  <c r="Q18" i="4"/>
  <c r="S18" i="4" s="1"/>
  <c r="V18" i="4" s="1"/>
  <c r="AC18" i="4" s="1"/>
  <c r="U19" i="4"/>
  <c r="R20" i="4"/>
  <c r="T22" i="4"/>
  <c r="Q23" i="4"/>
  <c r="Q32" i="4"/>
  <c r="T37" i="4"/>
  <c r="Q38" i="4"/>
  <c r="S38" i="4" s="1"/>
  <c r="U40" i="4"/>
  <c r="R46" i="4"/>
  <c r="T50" i="4"/>
  <c r="R51" i="4"/>
  <c r="U58" i="4"/>
  <c r="R59" i="4"/>
  <c r="R52" i="4"/>
  <c r="T61" i="4"/>
  <c r="Q62" i="4"/>
  <c r="S62" i="4" s="1"/>
  <c r="T29" i="4"/>
  <c r="Q30" i="4"/>
  <c r="S30" i="4" s="1"/>
  <c r="V30" i="4" s="1"/>
  <c r="AC30" i="4" s="1"/>
  <c r="U31" i="4"/>
  <c r="R32" i="4"/>
  <c r="T41" i="4"/>
  <c r="Q42" i="4"/>
  <c r="U43" i="4"/>
  <c r="R44" i="4"/>
  <c r="T53" i="4"/>
  <c r="Q54" i="4"/>
  <c r="U55" i="4"/>
  <c r="R56" i="4"/>
  <c r="U48" i="4"/>
  <c r="R49" i="4"/>
  <c r="T58" i="4"/>
  <c r="Q59" i="4"/>
  <c r="S59" i="4" s="1"/>
  <c r="V59" i="4" s="1"/>
  <c r="AC59" i="4" s="1"/>
  <c r="U60" i="4"/>
  <c r="R61" i="4"/>
  <c r="T39" i="4"/>
  <c r="Q40" i="4"/>
  <c r="U41" i="4"/>
  <c r="R42" i="4"/>
  <c r="T51" i="4"/>
  <c r="Q52" i="4"/>
  <c r="U53" i="4"/>
  <c r="R54" i="4"/>
  <c r="T2" i="3"/>
  <c r="Q5" i="3"/>
  <c r="U6" i="3"/>
  <c r="Q3" i="3"/>
  <c r="S3" i="3" s="1"/>
  <c r="U4" i="3"/>
  <c r="T9" i="3"/>
  <c r="Q10" i="3"/>
  <c r="S10" i="3" s="1"/>
  <c r="U11" i="3"/>
  <c r="R12" i="3"/>
  <c r="R7" i="3"/>
  <c r="U2" i="3"/>
  <c r="R5" i="3"/>
  <c r="T14" i="3"/>
  <c r="Q15" i="3"/>
  <c r="S15" i="3" s="1"/>
  <c r="V15" i="3" s="1"/>
  <c r="AC15" i="3" s="1"/>
  <c r="U16" i="3"/>
  <c r="R17" i="3"/>
  <c r="T19" i="3"/>
  <c r="Q20" i="3"/>
  <c r="S20" i="3" s="1"/>
  <c r="R3" i="3"/>
  <c r="T7" i="3"/>
  <c r="Q8" i="3"/>
  <c r="U9" i="3"/>
  <c r="R10" i="3"/>
  <c r="T12" i="3"/>
  <c r="Q13" i="3"/>
  <c r="S13" i="3" s="1"/>
  <c r="U14" i="3"/>
  <c r="R15" i="3"/>
  <c r="T17" i="3"/>
  <c r="Q18" i="3"/>
  <c r="S18" i="3" s="1"/>
  <c r="U19" i="3"/>
  <c r="R20" i="3"/>
  <c r="T15" i="3"/>
  <c r="Q16" i="3"/>
  <c r="U17" i="3"/>
  <c r="R18" i="3"/>
  <c r="Q6" i="3"/>
  <c r="U3" i="3"/>
  <c r="R4" i="3"/>
  <c r="T8" i="3"/>
  <c r="Q9" i="3"/>
  <c r="S9" i="3" s="1"/>
  <c r="V9" i="3" s="1"/>
  <c r="AC9" i="3" s="1"/>
  <c r="U10" i="3"/>
  <c r="R11" i="3"/>
  <c r="T20" i="3"/>
  <c r="T5" i="3"/>
  <c r="R2" i="3"/>
  <c r="T13" i="3"/>
  <c r="Q14" i="3"/>
  <c r="U15" i="3"/>
  <c r="R16" i="3"/>
  <c r="R8" i="3"/>
  <c r="T3" i="3"/>
  <c r="T6" i="3"/>
  <c r="Q7" i="3"/>
  <c r="S7" i="3" s="1"/>
  <c r="V7" i="3" s="1"/>
  <c r="AC7" i="3" s="1"/>
  <c r="U8" i="3"/>
  <c r="R9" i="3"/>
  <c r="T18" i="3"/>
  <c r="Q19" i="3"/>
  <c r="S19" i="3" s="1"/>
  <c r="V19" i="3" s="1"/>
  <c r="AC19" i="3" s="1"/>
  <c r="U20" i="3"/>
  <c r="U7" i="3"/>
  <c r="Q4" i="3"/>
  <c r="S4" i="3" s="1"/>
  <c r="V4" i="3" s="1"/>
  <c r="AC4" i="3" s="1"/>
  <c r="T10" i="3"/>
  <c r="Q11" i="3"/>
  <c r="U12" i="3"/>
  <c r="R13" i="3"/>
  <c r="Q2" i="3"/>
  <c r="S2" i="3" s="1"/>
  <c r="V2" i="3" s="1"/>
  <c r="U5" i="3"/>
  <c r="R6" i="3"/>
  <c r="T4" i="3"/>
  <c r="T11" i="3"/>
  <c r="Q12" i="3"/>
  <c r="S12" i="3" s="1"/>
  <c r="V12" i="3" s="1"/>
  <c r="AC12" i="3" s="1"/>
  <c r="U13" i="3"/>
  <c r="R14" i="3"/>
  <c r="T16" i="3"/>
  <c r="Q17" i="3"/>
  <c r="S17" i="3" s="1"/>
  <c r="V17" i="3" s="1"/>
  <c r="AC17" i="3" s="1"/>
  <c r="U18" i="3"/>
  <c r="R19" i="3"/>
  <c r="V13" i="9" l="1"/>
  <c r="AC13" i="9" s="1"/>
  <c r="V31" i="9"/>
  <c r="AC31" i="9" s="1"/>
  <c r="S2" i="9"/>
  <c r="V2" i="9" s="1"/>
  <c r="V42" i="9"/>
  <c r="AC42" i="9" s="1"/>
  <c r="S36" i="9"/>
  <c r="V36" i="9" s="1"/>
  <c r="AC36" i="9" s="1"/>
  <c r="S54" i="9"/>
  <c r="V54" i="9" s="1"/>
  <c r="AC54" i="9" s="1"/>
  <c r="V63" i="9"/>
  <c r="AC63" i="9" s="1"/>
  <c r="S32" i="9"/>
  <c r="V32" i="9" s="1"/>
  <c r="AC32" i="9" s="1"/>
  <c r="S44" i="9"/>
  <c r="V44" i="9" s="1"/>
  <c r="AC44" i="9" s="1"/>
  <c r="S24" i="9"/>
  <c r="V24" i="9" s="1"/>
  <c r="AC24" i="9" s="1"/>
  <c r="S29" i="9"/>
  <c r="V29" i="9" s="1"/>
  <c r="AC29" i="9" s="1"/>
  <c r="S41" i="9"/>
  <c r="V41" i="9" s="1"/>
  <c r="AC41" i="9" s="1"/>
  <c r="S17" i="9"/>
  <c r="V17" i="9" s="1"/>
  <c r="AC17" i="9" s="1"/>
  <c r="S53" i="9"/>
  <c r="V53" i="9" s="1"/>
  <c r="AC53" i="9" s="1"/>
  <c r="V52" i="9"/>
  <c r="AC52" i="9" s="1"/>
  <c r="S21" i="9"/>
  <c r="V21" i="9" s="1"/>
  <c r="AC21" i="9" s="1"/>
  <c r="S19" i="9"/>
  <c r="V19" i="9" s="1"/>
  <c r="AC19" i="9" s="1"/>
  <c r="V35" i="9"/>
  <c r="AC35" i="9" s="1"/>
  <c r="V20" i="9"/>
  <c r="AC20" i="9" s="1"/>
  <c r="S12" i="9"/>
  <c r="V12" i="9" s="1"/>
  <c r="AC12" i="9" s="1"/>
  <c r="S49" i="9"/>
  <c r="V49" i="9" s="1"/>
  <c r="AC49" i="9" s="1"/>
  <c r="V33" i="9"/>
  <c r="AC33" i="9" s="1"/>
  <c r="V30" i="9"/>
  <c r="AC30" i="9" s="1"/>
  <c r="S61" i="9"/>
  <c r="V61" i="9" s="1"/>
  <c r="AC61" i="9" s="1"/>
  <c r="S16" i="9"/>
  <c r="V16" i="9" s="1"/>
  <c r="AC16" i="9" s="1"/>
  <c r="S60" i="9"/>
  <c r="V60" i="9" s="1"/>
  <c r="AC60" i="9" s="1"/>
  <c r="S26" i="9"/>
  <c r="V26" i="9" s="1"/>
  <c r="AC26" i="9" s="1"/>
  <c r="S46" i="9"/>
  <c r="V46" i="9" s="1"/>
  <c r="AC46" i="9" s="1"/>
  <c r="S27" i="9"/>
  <c r="V27" i="9" s="1"/>
  <c r="AC27" i="9" s="1"/>
  <c r="S56" i="9"/>
  <c r="V56" i="9" s="1"/>
  <c r="AC56" i="9" s="1"/>
  <c r="S11" i="9"/>
  <c r="V11" i="9" s="1"/>
  <c r="AC11" i="9" s="1"/>
  <c r="S55" i="9"/>
  <c r="V55" i="9" s="1"/>
  <c r="AC55" i="9" s="1"/>
  <c r="S3" i="9"/>
  <c r="V3" i="9" s="1"/>
  <c r="AC3" i="9" s="1"/>
  <c r="S40" i="9"/>
  <c r="V40" i="9" s="1"/>
  <c r="AC40" i="9" s="1"/>
  <c r="S5" i="9"/>
  <c r="V5" i="9" s="1"/>
  <c r="AC5" i="9" s="1"/>
  <c r="S43" i="9"/>
  <c r="V43" i="9" s="1"/>
  <c r="AC43" i="9" s="1"/>
  <c r="S9" i="9"/>
  <c r="V9" i="9" s="1"/>
  <c r="AC9" i="9" s="1"/>
  <c r="S51" i="9"/>
  <c r="V51" i="9" s="1"/>
  <c r="AC51" i="9" s="1"/>
  <c r="S18" i="9"/>
  <c r="V18" i="9" s="1"/>
  <c r="AC18" i="9" s="1"/>
  <c r="S47" i="9"/>
  <c r="V47" i="9" s="1"/>
  <c r="AC47" i="9" s="1"/>
  <c r="S15" i="9"/>
  <c r="V15" i="9" s="1"/>
  <c r="AC15" i="9" s="1"/>
  <c r="S7" i="9"/>
  <c r="V7" i="9" s="1"/>
  <c r="AC7" i="9" s="1"/>
  <c r="S48" i="9"/>
  <c r="V48" i="9" s="1"/>
  <c r="AC48" i="9" s="1"/>
  <c r="S4" i="9"/>
  <c r="V4" i="9" s="1"/>
  <c r="AC4" i="9" s="1"/>
  <c r="S38" i="9"/>
  <c r="V38" i="9" s="1"/>
  <c r="AC38" i="9" s="1"/>
  <c r="S8" i="9"/>
  <c r="V8" i="9" s="1"/>
  <c r="AC8" i="9" s="1"/>
  <c r="S34" i="9"/>
  <c r="V34" i="9" s="1"/>
  <c r="AC34" i="9" s="1"/>
  <c r="S37" i="9"/>
  <c r="V37" i="9" s="1"/>
  <c r="AC37" i="9" s="1"/>
  <c r="V28" i="8"/>
  <c r="AC28" i="8" s="1"/>
  <c r="V47" i="8"/>
  <c r="AC47" i="8" s="1"/>
  <c r="V7" i="8"/>
  <c r="AC7" i="8" s="1"/>
  <c r="S9" i="8"/>
  <c r="V9" i="8" s="1"/>
  <c r="AC9" i="8" s="1"/>
  <c r="S11" i="8"/>
  <c r="V11" i="8" s="1"/>
  <c r="AC11" i="8" s="1"/>
  <c r="V53" i="8"/>
  <c r="AC53" i="8" s="1"/>
  <c r="V20" i="8"/>
  <c r="AC20" i="8" s="1"/>
  <c r="V36" i="8"/>
  <c r="AC36" i="8" s="1"/>
  <c r="S49" i="8"/>
  <c r="V49" i="8" s="1"/>
  <c r="AC49" i="8" s="1"/>
  <c r="S16" i="8"/>
  <c r="V16" i="8" s="1"/>
  <c r="AC16" i="8" s="1"/>
  <c r="V55" i="8"/>
  <c r="AC55" i="8" s="1"/>
  <c r="S34" i="8"/>
  <c r="V34" i="8" s="1"/>
  <c r="AC34" i="8" s="1"/>
  <c r="V26" i="8"/>
  <c r="AC26" i="8" s="1"/>
  <c r="S58" i="8"/>
  <c r="V58" i="8" s="1"/>
  <c r="AC58" i="8" s="1"/>
  <c r="S4" i="8"/>
  <c r="V4" i="8" s="1"/>
  <c r="AC4" i="8" s="1"/>
  <c r="S46" i="8"/>
  <c r="V46" i="8" s="1"/>
  <c r="AC46" i="8" s="1"/>
  <c r="S38" i="8"/>
  <c r="V38" i="8" s="1"/>
  <c r="AC38" i="8" s="1"/>
  <c r="V39" i="8"/>
  <c r="AC39" i="8" s="1"/>
  <c r="S30" i="8"/>
  <c r="V30" i="8" s="1"/>
  <c r="AC30" i="8" s="1"/>
  <c r="V43" i="8"/>
  <c r="AC43" i="8" s="1"/>
  <c r="V24" i="8"/>
  <c r="AC24" i="8" s="1"/>
  <c r="S32" i="8"/>
  <c r="V32" i="8" s="1"/>
  <c r="AC32" i="8" s="1"/>
  <c r="S52" i="8"/>
  <c r="V52" i="8" s="1"/>
  <c r="AC52" i="8" s="1"/>
  <c r="S35" i="8"/>
  <c r="V35" i="8" s="1"/>
  <c r="AC35" i="8" s="1"/>
  <c r="V27" i="8"/>
  <c r="AC27" i="8" s="1"/>
  <c r="S42" i="8"/>
  <c r="V42" i="8" s="1"/>
  <c r="AC42" i="8" s="1"/>
  <c r="V8" i="8"/>
  <c r="AC8" i="8" s="1"/>
  <c r="S22" i="8"/>
  <c r="V22" i="8" s="1"/>
  <c r="AC22" i="8" s="1"/>
  <c r="S17" i="8"/>
  <c r="V17" i="8" s="1"/>
  <c r="AC17" i="8" s="1"/>
  <c r="S2" i="8"/>
  <c r="V2" i="8" s="1"/>
  <c r="S13" i="8"/>
  <c r="V13" i="8" s="1"/>
  <c r="AC13" i="8" s="1"/>
  <c r="S29" i="8"/>
  <c r="V29" i="8" s="1"/>
  <c r="AC29" i="8" s="1"/>
  <c r="S44" i="8"/>
  <c r="V44" i="8" s="1"/>
  <c r="AC44" i="8" s="1"/>
  <c r="V56" i="8"/>
  <c r="AC56" i="8" s="1"/>
  <c r="V12" i="8"/>
  <c r="AC12" i="8" s="1"/>
  <c r="S18" i="8"/>
  <c r="V18" i="8" s="1"/>
  <c r="AC18" i="8" s="1"/>
  <c r="V21" i="8"/>
  <c r="AC21" i="8" s="1"/>
  <c r="V54" i="8"/>
  <c r="AC54" i="8" s="1"/>
  <c r="S15" i="8"/>
  <c r="V15" i="8" s="1"/>
  <c r="AC15" i="8" s="1"/>
  <c r="S10" i="8"/>
  <c r="V10" i="8" s="1"/>
  <c r="AC10" i="8" s="1"/>
  <c r="S5" i="8"/>
  <c r="V5" i="8" s="1"/>
  <c r="AC5" i="8" s="1"/>
  <c r="S45" i="8"/>
  <c r="V45" i="8" s="1"/>
  <c r="AC45" i="8" s="1"/>
  <c r="S31" i="8"/>
  <c r="V31" i="8" s="1"/>
  <c r="AC31" i="8" s="1"/>
  <c r="S48" i="8"/>
  <c r="V48" i="8" s="1"/>
  <c r="AC48" i="8" s="1"/>
  <c r="S25" i="8"/>
  <c r="V25" i="8" s="1"/>
  <c r="AC25" i="8" s="1"/>
  <c r="V37" i="7"/>
  <c r="AC37" i="7" s="1"/>
  <c r="S19" i="7"/>
  <c r="V19" i="7" s="1"/>
  <c r="AC19" i="7" s="1"/>
  <c r="V11" i="7"/>
  <c r="AC11" i="7" s="1"/>
  <c r="V41" i="7"/>
  <c r="AC41" i="7" s="1"/>
  <c r="S28" i="7"/>
  <c r="V28" i="7" s="1"/>
  <c r="AC28" i="7" s="1"/>
  <c r="V18" i="7"/>
  <c r="AC18" i="7" s="1"/>
  <c r="S25" i="7"/>
  <c r="V25" i="7" s="1"/>
  <c r="AC25" i="7" s="1"/>
  <c r="S34" i="7"/>
  <c r="V34" i="7" s="1"/>
  <c r="AC34" i="7" s="1"/>
  <c r="S13" i="7"/>
  <c r="V13" i="7" s="1"/>
  <c r="AC13" i="7" s="1"/>
  <c r="S20" i="7"/>
  <c r="V20" i="7" s="1"/>
  <c r="AC20" i="7" s="1"/>
  <c r="S22" i="7"/>
  <c r="V22" i="7" s="1"/>
  <c r="AC22" i="7" s="1"/>
  <c r="S21" i="7"/>
  <c r="V21" i="7" s="1"/>
  <c r="AC21" i="7" s="1"/>
  <c r="S44" i="7"/>
  <c r="V44" i="7" s="1"/>
  <c r="AC44" i="7" s="1"/>
  <c r="V2" i="7"/>
  <c r="V5" i="7"/>
  <c r="AC5" i="7" s="1"/>
  <c r="S7" i="7"/>
  <c r="V7" i="7" s="1"/>
  <c r="AC7" i="7" s="1"/>
  <c r="S15" i="7"/>
  <c r="V15" i="7" s="1"/>
  <c r="AC15" i="7" s="1"/>
  <c r="S29" i="7"/>
  <c r="V29" i="7" s="1"/>
  <c r="AC29" i="7" s="1"/>
  <c r="S27" i="7"/>
  <c r="V27" i="7" s="1"/>
  <c r="AC27" i="7" s="1"/>
  <c r="S6" i="7"/>
  <c r="V6" i="7" s="1"/>
  <c r="AC6" i="7" s="1"/>
  <c r="S42" i="7"/>
  <c r="V42" i="7" s="1"/>
  <c r="AC42" i="7" s="1"/>
  <c r="V14" i="7"/>
  <c r="AC14" i="7" s="1"/>
  <c r="V45" i="7"/>
  <c r="AC45" i="7" s="1"/>
  <c r="V8" i="7"/>
  <c r="AC8" i="7" s="1"/>
  <c r="S10" i="7"/>
  <c r="V10" i="7" s="1"/>
  <c r="AC10" i="7" s="1"/>
  <c r="V38" i="7"/>
  <c r="AC38" i="7" s="1"/>
  <c r="S9" i="7"/>
  <c r="V9" i="7" s="1"/>
  <c r="AC9" i="7" s="1"/>
  <c r="S33" i="7"/>
  <c r="V33" i="7" s="1"/>
  <c r="AC33" i="7" s="1"/>
  <c r="S24" i="7"/>
  <c r="V24" i="7" s="1"/>
  <c r="AC24" i="7" s="1"/>
  <c r="S40" i="7"/>
  <c r="V40" i="7" s="1"/>
  <c r="AC40" i="7" s="1"/>
  <c r="V23" i="7"/>
  <c r="AC23" i="7" s="1"/>
  <c r="S32" i="7"/>
  <c r="V32" i="7" s="1"/>
  <c r="AC32" i="7" s="1"/>
  <c r="V3" i="7"/>
  <c r="AC3" i="7" s="1"/>
  <c r="S10" i="6"/>
  <c r="V10" i="6" s="1"/>
  <c r="AC10" i="6" s="1"/>
  <c r="V38" i="6"/>
  <c r="AC38" i="6" s="1"/>
  <c r="S3" i="6"/>
  <c r="V3" i="6" s="1"/>
  <c r="AC3" i="6" s="1"/>
  <c r="V18" i="6"/>
  <c r="AC18" i="6" s="1"/>
  <c r="V36" i="6"/>
  <c r="AC36" i="6" s="1"/>
  <c r="S26" i="6"/>
  <c r="V26" i="6" s="1"/>
  <c r="AC26" i="6" s="1"/>
  <c r="V17" i="6"/>
  <c r="AC17" i="6" s="1"/>
  <c r="S19" i="6"/>
  <c r="V19" i="6" s="1"/>
  <c r="AC19" i="6" s="1"/>
  <c r="S25" i="6"/>
  <c r="V25" i="6" s="1"/>
  <c r="AC25" i="6" s="1"/>
  <c r="V40" i="6"/>
  <c r="AC40" i="6" s="1"/>
  <c r="V9" i="6"/>
  <c r="AC9" i="6" s="1"/>
  <c r="V32" i="6"/>
  <c r="AC32" i="6" s="1"/>
  <c r="S39" i="6"/>
  <c r="V39" i="6" s="1"/>
  <c r="AC39" i="6" s="1"/>
  <c r="S5" i="6"/>
  <c r="V5" i="6" s="1"/>
  <c r="AC5" i="6" s="1"/>
  <c r="V29" i="6"/>
  <c r="AC29" i="6" s="1"/>
  <c r="S28" i="6"/>
  <c r="V28" i="6" s="1"/>
  <c r="AC28" i="6" s="1"/>
  <c r="S24" i="6"/>
  <c r="V24" i="6" s="1"/>
  <c r="AC24" i="6" s="1"/>
  <c r="S6" i="6"/>
  <c r="V6" i="6" s="1"/>
  <c r="AC6" i="6" s="1"/>
  <c r="S22" i="6"/>
  <c r="V22" i="6" s="1"/>
  <c r="AC22" i="6" s="1"/>
  <c r="V7" i="6"/>
  <c r="AC7" i="6" s="1"/>
  <c r="S2" i="6"/>
  <c r="V2" i="6" s="1"/>
  <c r="S16" i="6"/>
  <c r="V16" i="6" s="1"/>
  <c r="AC16" i="6" s="1"/>
  <c r="S13" i="6"/>
  <c r="V13" i="6" s="1"/>
  <c r="AC13" i="6" s="1"/>
  <c r="S20" i="6"/>
  <c r="V20" i="6" s="1"/>
  <c r="AC20" i="6" s="1"/>
  <c r="S15" i="6"/>
  <c r="V15" i="6" s="1"/>
  <c r="AC15" i="6" s="1"/>
  <c r="S35" i="6"/>
  <c r="V35" i="6" s="1"/>
  <c r="AC35" i="6" s="1"/>
  <c r="S34" i="6"/>
  <c r="V34" i="6" s="1"/>
  <c r="AC34" i="6" s="1"/>
  <c r="S27" i="6"/>
  <c r="V27" i="6" s="1"/>
  <c r="AC27" i="6" s="1"/>
  <c r="S41" i="6"/>
  <c r="V41" i="6" s="1"/>
  <c r="AC41" i="6" s="1"/>
  <c r="S11" i="6"/>
  <c r="V11" i="6" s="1"/>
  <c r="AC11" i="6" s="1"/>
  <c r="S30" i="6"/>
  <c r="V30" i="6" s="1"/>
  <c r="AC30" i="6" s="1"/>
  <c r="S33" i="6"/>
  <c r="V33" i="6" s="1"/>
  <c r="AC33" i="6" s="1"/>
  <c r="V31" i="5"/>
  <c r="AC31" i="5" s="1"/>
  <c r="V53" i="5"/>
  <c r="AC53" i="5" s="1"/>
  <c r="S6" i="5"/>
  <c r="V6" i="5" s="1"/>
  <c r="AC6" i="5" s="1"/>
  <c r="V20" i="5"/>
  <c r="AC20" i="5" s="1"/>
  <c r="S43" i="5"/>
  <c r="V43" i="5" s="1"/>
  <c r="AC43" i="5" s="1"/>
  <c r="S32" i="5"/>
  <c r="V32" i="5" s="1"/>
  <c r="AC32" i="5" s="1"/>
  <c r="S57" i="5"/>
  <c r="V57" i="5" s="1"/>
  <c r="AC57" i="5" s="1"/>
  <c r="S52" i="5"/>
  <c r="V52" i="5" s="1"/>
  <c r="AC52" i="5" s="1"/>
  <c r="V23" i="5"/>
  <c r="AC23" i="5" s="1"/>
  <c r="S13" i="5"/>
  <c r="V13" i="5" s="1"/>
  <c r="AC13" i="5" s="1"/>
  <c r="V8" i="5"/>
  <c r="AC8" i="5" s="1"/>
  <c r="V25" i="5"/>
  <c r="AC25" i="5" s="1"/>
  <c r="S59" i="5"/>
  <c r="V59" i="5" s="1"/>
  <c r="AC59" i="5" s="1"/>
  <c r="S54" i="5"/>
  <c r="V54" i="5" s="1"/>
  <c r="AC54" i="5" s="1"/>
  <c r="V5" i="5"/>
  <c r="AC5" i="5" s="1"/>
  <c r="S36" i="5"/>
  <c r="V36" i="5" s="1"/>
  <c r="AC36" i="5" s="1"/>
  <c r="V55" i="5"/>
  <c r="AC55" i="5" s="1"/>
  <c r="S11" i="5"/>
  <c r="V11" i="5" s="1"/>
  <c r="AC11" i="5" s="1"/>
  <c r="S34" i="5"/>
  <c r="V34" i="5" s="1"/>
  <c r="AC34" i="5" s="1"/>
  <c r="V58" i="5"/>
  <c r="AC58" i="5" s="1"/>
  <c r="S19" i="5"/>
  <c r="V19" i="5" s="1"/>
  <c r="AC19" i="5" s="1"/>
  <c r="V9" i="5"/>
  <c r="AC9" i="5" s="1"/>
  <c r="S56" i="5"/>
  <c r="V56" i="5" s="1"/>
  <c r="AC56" i="5" s="1"/>
  <c r="V30" i="5"/>
  <c r="AC30" i="5" s="1"/>
  <c r="V41" i="5"/>
  <c r="AC41" i="5" s="1"/>
  <c r="AC2" i="5"/>
  <c r="S10" i="5"/>
  <c r="V10" i="5" s="1"/>
  <c r="AC10" i="5" s="1"/>
  <c r="S7" i="5"/>
  <c r="V7" i="5" s="1"/>
  <c r="AC7" i="5" s="1"/>
  <c r="V14" i="5"/>
  <c r="AC14" i="5" s="1"/>
  <c r="V4" i="5"/>
  <c r="AC4" i="5" s="1"/>
  <c r="S15" i="5"/>
  <c r="V15" i="5" s="1"/>
  <c r="AC15" i="5" s="1"/>
  <c r="V24" i="5"/>
  <c r="AC24" i="5" s="1"/>
  <c r="V39" i="5"/>
  <c r="AC39" i="5" s="1"/>
  <c r="V45" i="5"/>
  <c r="AC45" i="5" s="1"/>
  <c r="S38" i="5"/>
  <c r="V38" i="5" s="1"/>
  <c r="AC38" i="5" s="1"/>
  <c r="S18" i="5"/>
  <c r="V18" i="5" s="1"/>
  <c r="AC18" i="5" s="1"/>
  <c r="S48" i="5"/>
  <c r="V48" i="5" s="1"/>
  <c r="AC48" i="5" s="1"/>
  <c r="S47" i="5"/>
  <c r="V47" i="5" s="1"/>
  <c r="AC47" i="5" s="1"/>
  <c r="S42" i="5"/>
  <c r="V42" i="5" s="1"/>
  <c r="AC42" i="5" s="1"/>
  <c r="S33" i="5"/>
  <c r="V33" i="5" s="1"/>
  <c r="AC33" i="5" s="1"/>
  <c r="S35" i="5"/>
  <c r="V35" i="5" s="1"/>
  <c r="AC35" i="5" s="1"/>
  <c r="V28" i="5"/>
  <c r="AC28" i="5" s="1"/>
  <c r="V21" i="5"/>
  <c r="AC21" i="5" s="1"/>
  <c r="S3" i="5"/>
  <c r="V3" i="5" s="1"/>
  <c r="AC3" i="5" s="1"/>
  <c r="S12" i="5"/>
  <c r="V12" i="5" s="1"/>
  <c r="AC12" i="5" s="1"/>
  <c r="S37" i="5"/>
  <c r="V37" i="5" s="1"/>
  <c r="AC37" i="5" s="1"/>
  <c r="S16" i="5"/>
  <c r="V16" i="5" s="1"/>
  <c r="AC16" i="5" s="1"/>
  <c r="V49" i="4"/>
  <c r="AC49" i="4" s="1"/>
  <c r="S61" i="4"/>
  <c r="V61" i="4" s="1"/>
  <c r="AC61" i="4" s="1"/>
  <c r="S2" i="4"/>
  <c r="V2" i="4" s="1"/>
  <c r="V62" i="4"/>
  <c r="AC62" i="4" s="1"/>
  <c r="S17" i="4"/>
  <c r="V17" i="4" s="1"/>
  <c r="AC17" i="4" s="1"/>
  <c r="V58" i="4"/>
  <c r="AC58" i="4" s="1"/>
  <c r="V9" i="4"/>
  <c r="AC9" i="4" s="1"/>
  <c r="V29" i="4"/>
  <c r="AC29" i="4" s="1"/>
  <c r="S44" i="4"/>
  <c r="V44" i="4" s="1"/>
  <c r="AC44" i="4" s="1"/>
  <c r="V33" i="4"/>
  <c r="AC33" i="4" s="1"/>
  <c r="V38" i="4"/>
  <c r="AC38" i="4" s="1"/>
  <c r="S31" i="4"/>
  <c r="V31" i="4" s="1"/>
  <c r="AC31" i="4" s="1"/>
  <c r="V55" i="4"/>
  <c r="AC55" i="4" s="1"/>
  <c r="S51" i="4"/>
  <c r="V51" i="4" s="1"/>
  <c r="AC51" i="4" s="1"/>
  <c r="V20" i="4"/>
  <c r="AC20" i="4" s="1"/>
  <c r="S28" i="4"/>
  <c r="V28" i="4" s="1"/>
  <c r="AC28" i="4" s="1"/>
  <c r="V34" i="4"/>
  <c r="AC34" i="4" s="1"/>
  <c r="S45" i="4"/>
  <c r="V45" i="4" s="1"/>
  <c r="AC45" i="4" s="1"/>
  <c r="S53" i="4"/>
  <c r="V53" i="4" s="1"/>
  <c r="AC53" i="4" s="1"/>
  <c r="S47" i="4"/>
  <c r="V47" i="4" s="1"/>
  <c r="AC47" i="4" s="1"/>
  <c r="S11" i="4"/>
  <c r="V11" i="4" s="1"/>
  <c r="AC11" i="4" s="1"/>
  <c r="S42" i="4"/>
  <c r="V42" i="4" s="1"/>
  <c r="AC42" i="4" s="1"/>
  <c r="S32" i="4"/>
  <c r="V32" i="4" s="1"/>
  <c r="AC32" i="4" s="1"/>
  <c r="S60" i="4"/>
  <c r="V60" i="4" s="1"/>
  <c r="AC60" i="4" s="1"/>
  <c r="S23" i="4"/>
  <c r="V23" i="4" s="1"/>
  <c r="AC23" i="4" s="1"/>
  <c r="S46" i="4"/>
  <c r="V46" i="4" s="1"/>
  <c r="AC46" i="4" s="1"/>
  <c r="S22" i="4"/>
  <c r="V22" i="4" s="1"/>
  <c r="AC22" i="4" s="1"/>
  <c r="S19" i="4"/>
  <c r="V19" i="4" s="1"/>
  <c r="AC19" i="4" s="1"/>
  <c r="S57" i="4"/>
  <c r="V57" i="4" s="1"/>
  <c r="AC57" i="4" s="1"/>
  <c r="S16" i="4"/>
  <c r="V16" i="4" s="1"/>
  <c r="AC16" i="4" s="1"/>
  <c r="S54" i="4"/>
  <c r="V54" i="4" s="1"/>
  <c r="AC54" i="4" s="1"/>
  <c r="S5" i="4"/>
  <c r="V5" i="4" s="1"/>
  <c r="AC5" i="4" s="1"/>
  <c r="S7" i="4"/>
  <c r="V7" i="4" s="1"/>
  <c r="AC7" i="4" s="1"/>
  <c r="S52" i="4"/>
  <c r="V52" i="4" s="1"/>
  <c r="AC52" i="4" s="1"/>
  <c r="S27" i="4"/>
  <c r="V27" i="4" s="1"/>
  <c r="AC27" i="4" s="1"/>
  <c r="S14" i="4"/>
  <c r="V14" i="4" s="1"/>
  <c r="AC14" i="4" s="1"/>
  <c r="S56" i="4"/>
  <c r="V56" i="4" s="1"/>
  <c r="AC56" i="4" s="1"/>
  <c r="S21" i="4"/>
  <c r="V21" i="4" s="1"/>
  <c r="AC21" i="4" s="1"/>
  <c r="S43" i="4"/>
  <c r="V43" i="4" s="1"/>
  <c r="AC43" i="4" s="1"/>
  <c r="S4" i="4"/>
  <c r="V4" i="4" s="1"/>
  <c r="AC4" i="4" s="1"/>
  <c r="S3" i="4"/>
  <c r="V3" i="4" s="1"/>
  <c r="AC3" i="4" s="1"/>
  <c r="V12" i="4"/>
  <c r="AC12" i="4" s="1"/>
  <c r="S40" i="4"/>
  <c r="V40" i="4" s="1"/>
  <c r="AC40" i="4" s="1"/>
  <c r="S13" i="4"/>
  <c r="V13" i="4" s="1"/>
  <c r="AC13" i="4" s="1"/>
  <c r="S8" i="4"/>
  <c r="V8" i="4" s="1"/>
  <c r="AC8" i="4" s="1"/>
  <c r="S24" i="4"/>
  <c r="V24" i="4" s="1"/>
  <c r="AC24" i="4" s="1"/>
  <c r="V20" i="3"/>
  <c r="AC20" i="3" s="1"/>
  <c r="V13" i="3"/>
  <c r="AC13" i="3" s="1"/>
  <c r="S14" i="3"/>
  <c r="V14" i="3" s="1"/>
  <c r="AC14" i="3" s="1"/>
  <c r="S8" i="3"/>
  <c r="V8" i="3" s="1"/>
  <c r="AC8" i="3" s="1"/>
  <c r="V10" i="3"/>
  <c r="AC10" i="3" s="1"/>
  <c r="AC2" i="3"/>
  <c r="S6" i="3"/>
  <c r="V6" i="3" s="1"/>
  <c r="AC6" i="3" s="1"/>
  <c r="V18" i="3"/>
  <c r="AC18" i="3" s="1"/>
  <c r="V3" i="3"/>
  <c r="AC3" i="3" s="1"/>
  <c r="S11" i="3"/>
  <c r="V11" i="3" s="1"/>
  <c r="AC11" i="3" s="1"/>
  <c r="S16" i="3"/>
  <c r="V16" i="3" s="1"/>
  <c r="AC16" i="3" s="1"/>
  <c r="S5" i="3"/>
  <c r="V5" i="3" s="1"/>
  <c r="AC5" i="3" s="1"/>
  <c r="AC2" i="9" l="1"/>
  <c r="AC2" i="8"/>
  <c r="AC2" i="7"/>
  <c r="AC2" i="6"/>
  <c r="AC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C45CA3-3D9A-2D46-B1F3-03E9E5F2E2EB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D76CDFE5-94CB-9349-BFC6-7AC7A540CA0F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3" xr16:uid="{EB687B45-EC70-B141-A153-C8B478203CB3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4" xr16:uid="{871F8B83-D635-844B-848E-2DF3B90176F1}" keepAlive="1" name="Query - sheet1 (4)" description="Connection to the 'sheet1 (4)' query in the workbook." type="5" refreshedVersion="8" background="1" saveData="1">
    <dbPr connection="Provider=Microsoft.Mashup.OleDb.1;Data Source=$Workbook$;Location=&quot;sheet1 (4)&quot;;Extended Properties=&quot;&quot;" command="SELECT * FROM [sheet1 (4)]"/>
  </connection>
  <connection id="5" xr16:uid="{BF13C44A-7446-424F-89F1-C42F39EDA7CD}" keepAlive="1" name="Query - sheet1 (5)" description="Connection to the 'sheet1 (5)' query in the workbook." type="5" refreshedVersion="8" background="1" saveData="1">
    <dbPr connection="Provider=Microsoft.Mashup.OleDb.1;Data Source=$Workbook$;Location=&quot;sheet1 (5)&quot;;Extended Properties=&quot;&quot;" command="SELECT * FROM [sheet1 (5)]"/>
  </connection>
  <connection id="6" xr16:uid="{69876978-58F0-224C-8C37-A7177D00BF04}" keepAlive="1" name="Query - sheet1 (6)" description="Connection to the 'sheet1 (6)' query in the workbook." type="5" refreshedVersion="8" background="1" saveData="1">
    <dbPr connection="Provider=Microsoft.Mashup.OleDb.1;Data Source=$Workbook$;Location=&quot;sheet1 (6)&quot;;Extended Properties=&quot;&quot;" command="SELECT * FROM [sheet1 (6)]"/>
  </connection>
  <connection id="7" xr16:uid="{2125411A-196A-3641-88C6-AD622C23CECD}" keepAlive="1" name="Query - sheet1 (7)" description="Connection to the 'sheet1 (7)' query in the workbook." type="5" refreshedVersion="8" background="1" saveData="1">
    <dbPr connection="Provider=Microsoft.Mashup.OleDb.1;Data Source=$Workbook$;Location=&quot;sheet1 (7)&quot;;Extended Properties=&quot;&quot;" command="SELECT * FROM [sheet1 (7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<sst xmlns="http://schemas.openxmlformats.org/spreadsheetml/2006/main" count="216" uniqueCount="36">
  <si>
    <t>Velocity (m/s)</t>
  </si>
  <si>
    <t>Q_steady (W)</t>
  </si>
  <si>
    <t>Uncertainty ±</t>
  </si>
  <si>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</si>
  <si>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</si>
  <si>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</si>
  <si>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</si>
  <si>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</si>
  <si>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</si>
  <si>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</si>
  <si>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</si>
  <si>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</si>
  <si>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</si>
  <si>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</si>
  <si>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</si>
  <si>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</si>
  <si>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</si>
  <si>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</si>
  <si>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44674.8647330579</t>
  </si>
  <si>
    <t>44674.8697104885</t>
  </si>
  <si>
    <t>44674.8825993773</t>
  </si>
  <si>
    <t>v_dot (m3/s)</t>
  </si>
  <si>
    <t>rho_in</t>
  </si>
  <si>
    <t>rho_out</t>
  </si>
  <si>
    <t>rho_avg</t>
  </si>
  <si>
    <t>h_in</t>
  </si>
  <si>
    <t>h_out</t>
  </si>
  <si>
    <t>Q</t>
  </si>
  <si>
    <t>average steady state Q</t>
  </si>
  <si>
    <t>RTD_IN_unc</t>
  </si>
  <si>
    <t>RTD_OUT_unc</t>
  </si>
  <si>
    <t>RTD_unc</t>
  </si>
  <si>
    <t>Delta_RTD</t>
  </si>
  <si>
    <t>Rel_unc</t>
  </si>
  <si>
    <t>ABS_unc</t>
  </si>
  <si>
    <t>uncertainty of average steady state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</si>
</sst>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0" fillId="0" borderId="0" xfId="0" applyNumberFormat="1"/>
  </cellXfs>
  <cellStyles count="1">
    <cellStyle name="Normal" xfId="0" builtinId="0"/>
  </cellStyles>
  <dxfs count="1">
    <dxf>
      <numFmt numFmtId="27" formatCode="m/d/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Library/Group%20Containers/UBF8T346G9.Office/CoolProp.xlam" TargetMode="External"/><Relationship Id="rId2" Type="http://schemas.openxmlformats.org/officeDocument/2006/relationships/externalLinkPath" Target="/Users/angelajping/Library/Group%20Containers/UBF8T346G9.Office/CoolProp.xlam" TargetMode="External"/><Relationship Id="rId1" Type="http://schemas.openxmlformats.org/officeDocument/2006/relationships/externalLinkPath" Target="/Users/angelajping/Library/Group%20Containers/UBF8T346G9.Office/CoolProp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3"/>
    </sheetNames>
    <definedNames>
      <definedName name="PropsSI"/>
    </definedNames>
    <sheetDataSet>
      <sheetData sheetId="0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8AB362C-9F59-3246-9F9E-4974D8453463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6FBFD70-8C30-9A4C-8FF7-0A7D1E260A77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0C4A3B2-52F4-4940-BB1F-D8BBE70049B1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6157EE9-9695-1741-82A5-9F40468B57FA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369F213-6C1E-1240-A840-189394213651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B153E855-2D82-4F47-A46A-1A589DE65AA7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805119E6-9DF0-6746-9959-7D9019747A03}" autoFormatId="16" applyNumberFormats="0" applyBorderFormats="0" applyFontFormats="0" applyPatternFormats="0" applyAlignmentFormats="0" applyWidthHeightFormats="0">
  <queryTableRefresh nextId="17">
    <queryTableFields count="16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  <queryTableField id="16" name="Column16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54CD56-5EEE-AC49-91AE-813FC00B5A6C}" name="sheet1" displayName="sheet1" ref="A1:O20" tableType="queryTable" totalsRowShown="0">
  <autoFilter ref="A1:O20" xr:uid="{6454CD56-5EEE-AC49-91AE-813FC00B5A6C}"/>
  <tableColumns count="15">
    <tableColumn id="1" xr3:uid="{78CA676E-E046-7D48-9A65-6304E9EE893B}" uniqueName="1" name="Time" queryTableFieldId="1"/>
    <tableColumn id="2" xr3:uid="{94C3AFD2-F084-A24E-ABCC-77ECBC5076F4}" uniqueName="2" name="T1" queryTableFieldId="2"/>
    <tableColumn id="3" xr3:uid="{0BAE1784-41B4-9E45-9E77-5F9736F262D0}" uniqueName="3" name="T2" queryTableFieldId="3"/>
    <tableColumn id="4" xr3:uid="{F4E9A9FF-EC61-E44B-A71C-0F22698A287C}" uniqueName="4" name="T3" queryTableFieldId="4"/>
    <tableColumn id="5" xr3:uid="{E556A23B-A0C2-664B-A13A-8CF70CA65991}" uniqueName="5" name="T4" queryTableFieldId="5"/>
    <tableColumn id="6" xr3:uid="{D6DAAD61-2AE2-374B-839F-020084AB1FFB}" uniqueName="6" name="T5" queryTableFieldId="6"/>
    <tableColumn id="7" xr3:uid="{1384C543-EA67-DF49-AC64-85D04668280D}" uniqueName="7" name="T6" queryTableFieldId="7"/>
    <tableColumn id="8" xr3:uid="{8637F995-52D2-C048-ACA0-080BCD353DE6}" uniqueName="8" name="T7" queryTableFieldId="8"/>
    <tableColumn id="9" xr3:uid="{8C5C77C4-9FAB-3C49-920A-8C0C4B4CE58D}" uniqueName="9" name="T8" queryTableFieldId="9"/>
    <tableColumn id="10" xr3:uid="{90A2770C-8E04-3347-A7FA-88B55A5DC5FE}" uniqueName="10" name="RTD_IN" queryTableFieldId="10"/>
    <tableColumn id="11" xr3:uid="{78CD821F-9FFB-7446-8BFF-B67D84239E12}" uniqueName="11" name="RTD_OUT" queryTableFieldId="11"/>
    <tableColumn id="12" xr3:uid="{AE6E7C0C-74B0-2D4E-B948-68FC208C611D}" uniqueName="12" name="DPT_TS" queryTableFieldId="12"/>
    <tableColumn id="13" xr3:uid="{54E2B7F1-31C3-3345-A9F2-1A00E68A512C}" uniqueName="13" name="DPT_nozzle" queryTableFieldId="13"/>
    <tableColumn id="14" xr3:uid="{25A72256-6BC3-5447-9497-CE40D7EF1996}" uniqueName="14" name="Flow_gps" queryTableFieldId="14"/>
    <tableColumn id="15" xr3:uid="{D34A0ED1-4DE6-1D42-9915-999D04D085B8}" uniqueName="15" name="DP_liquid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667A49-C8A8-D843-A331-1CF676BB146D}" name="sheet1__2" displayName="sheet1__2" ref="A1:O62" tableType="queryTable" totalsRowShown="0">
  <autoFilter ref="A1:O62" xr:uid="{49667A49-C8A8-D843-A331-1CF676BB146D}"/>
  <tableColumns count="15">
    <tableColumn id="1" xr3:uid="{F72E74AF-86FB-8342-80D4-325DFB3B514C}" uniqueName="1" name="Time" queryTableFieldId="1"/>
    <tableColumn id="2" xr3:uid="{3189DF79-8365-4042-BE3B-9BC12A2C996A}" uniqueName="2" name="T1" queryTableFieldId="2"/>
    <tableColumn id="3" xr3:uid="{43D540A3-4B29-E742-A25D-393103BB2093}" uniqueName="3" name="T2" queryTableFieldId="3"/>
    <tableColumn id="4" xr3:uid="{6616519B-33A0-054B-AE04-CEF06CAC4B2D}" uniqueName="4" name="T3" queryTableFieldId="4"/>
    <tableColumn id="5" xr3:uid="{DF97FA19-23B7-254A-867A-36AFF5BC6F21}" uniqueName="5" name="T4" queryTableFieldId="5"/>
    <tableColumn id="6" xr3:uid="{260E3043-CFBD-054E-AEB7-9AE3F7968118}" uniqueName="6" name="T5" queryTableFieldId="6"/>
    <tableColumn id="7" xr3:uid="{FCE0B432-CC95-CA4A-B617-C734E635FB31}" uniqueName="7" name="T6" queryTableFieldId="7"/>
    <tableColumn id="8" xr3:uid="{C3501900-ED95-174E-9175-38A53E50A2AF}" uniqueName="8" name="T7" queryTableFieldId="8"/>
    <tableColumn id="9" xr3:uid="{47570009-F5B7-A74D-8708-5BD72303CF0D}" uniqueName="9" name="T8" queryTableFieldId="9"/>
    <tableColumn id="10" xr3:uid="{BAB45411-8DA0-B943-8431-1246A5C8B2C1}" uniqueName="10" name="RTD_IN" queryTableFieldId="10"/>
    <tableColumn id="11" xr3:uid="{B5CDBA39-AEC0-8944-9E07-D5D17854C005}" uniqueName="11" name="RTD_OUT" queryTableFieldId="11"/>
    <tableColumn id="12" xr3:uid="{8B59D9AE-888C-7249-AD33-0992F5B28C6B}" uniqueName="12" name="DPT_TS" queryTableFieldId="12"/>
    <tableColumn id="13" xr3:uid="{C7672368-0619-3540-AE70-221D0EF72FDF}" uniqueName="13" name="DPT_nozzle" queryTableFieldId="13"/>
    <tableColumn id="14" xr3:uid="{402B1814-8ED4-D24D-9110-252D8503F98B}" uniqueName="14" name="Flow_gps" queryTableFieldId="14"/>
    <tableColumn id="15" xr3:uid="{4231CCC7-07EF-A64C-8576-9F88F2747E47}" uniqueName="15" name="DP_liquid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92D897-A7C6-B046-AECE-8DFCC3D38218}" name="sheet1__3" displayName="sheet1__3" ref="A1:O59" tableType="queryTable" totalsRowShown="0">
  <autoFilter ref="A1:O59" xr:uid="{3792D897-A7C6-B046-AECE-8DFCC3D38218}"/>
  <tableColumns count="15">
    <tableColumn id="1" xr3:uid="{D0C9E29F-C18A-8A42-8323-E35D4E169987}" uniqueName="1" name="Time" queryTableFieldId="1"/>
    <tableColumn id="2" xr3:uid="{1C90440B-FAAC-3148-928F-E543AEA94102}" uniqueName="2" name="T1" queryTableFieldId="2"/>
    <tableColumn id="3" xr3:uid="{742E16FA-691F-D14E-ABB9-983BAE0C7C3F}" uniqueName="3" name="T2" queryTableFieldId="3"/>
    <tableColumn id="4" xr3:uid="{EE5DED9F-3957-C149-9274-E9B0EC210C00}" uniqueName="4" name="T3" queryTableFieldId="4"/>
    <tableColumn id="5" xr3:uid="{145C786D-0B6B-6C49-A51E-FE1CBFAC698F}" uniqueName="5" name="T4" queryTableFieldId="5"/>
    <tableColumn id="6" xr3:uid="{1D220E2A-CC1A-F647-A86F-7336F3583C27}" uniqueName="6" name="T5" queryTableFieldId="6"/>
    <tableColumn id="7" xr3:uid="{271032AF-D02F-DA44-85ED-DAEB4F10B0F7}" uniqueName="7" name="T6" queryTableFieldId="7"/>
    <tableColumn id="8" xr3:uid="{5585F29F-38B3-C94E-BDAB-7BC96C6B9512}" uniqueName="8" name="T7" queryTableFieldId="8"/>
    <tableColumn id="9" xr3:uid="{7AE2EC3D-7A0B-1544-8D0F-90A903874748}" uniqueName="9" name="T8" queryTableFieldId="9"/>
    <tableColumn id="10" xr3:uid="{1CE2A062-860E-CF4E-8DEA-E92AE26295CF}" uniqueName="10" name="RTD_IN" queryTableFieldId="10"/>
    <tableColumn id="11" xr3:uid="{FF7BA0DA-250D-5C4B-BD56-D3411F6EAE20}" uniqueName="11" name="RTD_OUT" queryTableFieldId="11"/>
    <tableColumn id="12" xr3:uid="{865CCEC4-9C21-DE40-8017-7926981C9105}" uniqueName="12" name="DPT_TS" queryTableFieldId="12"/>
    <tableColumn id="13" xr3:uid="{28B49B4C-8589-C244-8652-8776288AC9D5}" uniqueName="13" name="DPT_nozzle" queryTableFieldId="13"/>
    <tableColumn id="14" xr3:uid="{7C6B7843-F3C3-ED4B-A14C-FAC2B3C19771}" uniqueName="14" name="Flow_gps" queryTableFieldId="14"/>
    <tableColumn id="15" xr3:uid="{8A332B43-2808-684C-9B9C-60A995EAD55F}" uniqueName="15" name="DP_liquid" queryTableField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46C850-BAD0-6644-AF79-3F89E5C69758}" name="sheet1__4" displayName="sheet1__4" ref="A1:O41" tableType="queryTable" totalsRowShown="0">
  <autoFilter ref="A1:O41" xr:uid="{0446C850-BAD0-6644-AF79-3F89E5C69758}"/>
  <tableColumns count="15">
    <tableColumn id="1" xr3:uid="{01DEA246-A9FE-E642-ABCB-732B6067FF6D}" uniqueName="1" name="Time" queryTableFieldId="1"/>
    <tableColumn id="2" xr3:uid="{CD4B111C-D397-2D49-B9A3-77AA0EF8C8F4}" uniqueName="2" name="T1" queryTableFieldId="2"/>
    <tableColumn id="3" xr3:uid="{1E17E4DC-8E34-7644-8F9A-BCBE7296FBE6}" uniqueName="3" name="T2" queryTableFieldId="3"/>
    <tableColumn id="4" xr3:uid="{BF2F3F1B-E3DF-5B48-BA13-34D3D11415C2}" uniqueName="4" name="T3" queryTableFieldId="4"/>
    <tableColumn id="5" xr3:uid="{69A02DC8-FB4E-084C-8BDF-071F8E9D0850}" uniqueName="5" name="T4" queryTableFieldId="5"/>
    <tableColumn id="6" xr3:uid="{DB1A71C6-7734-BE42-9EF2-E56C44076962}" uniqueName="6" name="T5" queryTableFieldId="6"/>
    <tableColumn id="7" xr3:uid="{ABCFA258-A01B-E84B-9F41-0C039CF517E7}" uniqueName="7" name="T6" queryTableFieldId="7"/>
    <tableColumn id="8" xr3:uid="{42B7D3B5-FEB4-D44C-A074-02906AE881FD}" uniqueName="8" name="T7" queryTableFieldId="8"/>
    <tableColumn id="9" xr3:uid="{4686AD45-AA12-A444-B38E-35C6A55EEBA8}" uniqueName="9" name="T8" queryTableFieldId="9"/>
    <tableColumn id="10" xr3:uid="{363674B9-B81A-094D-9A17-7F8C9D3F41AB}" uniqueName="10" name="RTD_IN" queryTableFieldId="10"/>
    <tableColumn id="11" xr3:uid="{1C115EAA-4FA4-0641-81CF-0D629A44D1D5}" uniqueName="11" name="RTD_OUT" queryTableFieldId="11"/>
    <tableColumn id="12" xr3:uid="{8CFF9E96-774F-1A42-84E7-C566BBEEB5AB}" uniqueName="12" name="DPT_TS" queryTableFieldId="12"/>
    <tableColumn id="13" xr3:uid="{274FF0CF-E6B8-B641-A737-A0EE78A4D2B1}" uniqueName="13" name="DPT_nozzle" queryTableFieldId="13"/>
    <tableColumn id="14" xr3:uid="{8083D1DA-3FC5-F149-B7E8-0648FCE3CB91}" uniqueName="14" name="Flow_gps" queryTableFieldId="14"/>
    <tableColumn id="15" xr3:uid="{F3551FC4-5373-7F4D-A9AD-CFC0483A2EC9}" uniqueName="15" name="DP_liquid" queryTableField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454155D-5CAF-F942-A33A-720B740D7CC0}" name="sheet1__5" displayName="sheet1__5" ref="A1:O45" tableType="queryTable" totalsRowShown="0">
  <autoFilter ref="A1:O45" xr:uid="{E454155D-5CAF-F942-A33A-720B740D7CC0}"/>
  <tableColumns count="15">
    <tableColumn id="1" xr3:uid="{47679306-88D6-9644-A508-085222F3637A}" uniqueName="1" name="Time" queryTableFieldId="1"/>
    <tableColumn id="2" xr3:uid="{97C49441-F3FC-0A40-A03D-1A776BEB3159}" uniqueName="2" name="T1" queryTableFieldId="2"/>
    <tableColumn id="3" xr3:uid="{7460BE18-875D-0243-A001-AA4A6FCD1399}" uniqueName="3" name="T2" queryTableFieldId="3"/>
    <tableColumn id="4" xr3:uid="{16254835-6F25-C64D-8788-F035ABC4EF3F}" uniqueName="4" name="T3" queryTableFieldId="4"/>
    <tableColumn id="5" xr3:uid="{610384ED-498A-6E4A-8793-AD2272AD3301}" uniqueName="5" name="T4" queryTableFieldId="5"/>
    <tableColumn id="6" xr3:uid="{3A5849A6-CFE2-5749-9E0B-0ABF98958678}" uniqueName="6" name="T5" queryTableFieldId="6"/>
    <tableColumn id="7" xr3:uid="{F5B87090-49AC-274E-9F79-234219C4E3DC}" uniqueName="7" name="T6" queryTableFieldId="7"/>
    <tableColumn id="8" xr3:uid="{F814D1FD-EED9-2D49-BFE1-B56491751D15}" uniqueName="8" name="T7" queryTableFieldId="8"/>
    <tableColumn id="9" xr3:uid="{19B7D003-A1B9-0545-B577-80A66C69D90B}" uniqueName="9" name="T8" queryTableFieldId="9"/>
    <tableColumn id="10" xr3:uid="{C1E701BB-885F-DF45-A601-3FD49F0838A0}" uniqueName="10" name="RTD_IN" queryTableFieldId="10"/>
    <tableColumn id="11" xr3:uid="{AE528E22-18D5-C540-9DA2-B07DE4F22525}" uniqueName="11" name="RTD_OUT" queryTableFieldId="11"/>
    <tableColumn id="12" xr3:uid="{CC87128A-F845-5343-97B0-3A46D971883B}" uniqueName="12" name="DPT_TS" queryTableFieldId="12"/>
    <tableColumn id="13" xr3:uid="{BE1592CA-B92E-664E-95B6-4B3B6D5F650B}" uniqueName="13" name="DPT_nozzle" queryTableFieldId="13"/>
    <tableColumn id="14" xr3:uid="{C2EA51A6-1C0F-9B40-8DB4-40A37A2EC0A6}" uniqueName="14" name="Flow_gps" queryTableFieldId="14"/>
    <tableColumn id="15" xr3:uid="{D3F26153-0FEF-B44F-BE59-A959FF454221}" uniqueName="15" name="DP_liquid" queryTableFieldId="1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3FF8EC-D9D6-054B-BD28-B69A49F1D17E}" name="sheet1__6" displayName="sheet1__6" ref="A1:O58" tableType="queryTable" totalsRowShown="0">
  <autoFilter ref="A1:O58" xr:uid="{DA3FF8EC-D9D6-054B-BD28-B69A49F1D17E}"/>
  <tableColumns count="15">
    <tableColumn id="1" xr3:uid="{E2E4E790-57E8-8D46-9184-A9D155805D5D}" uniqueName="1" name="Time" queryTableFieldId="1"/>
    <tableColumn id="2" xr3:uid="{8ACBC2E3-AAD3-FB44-A546-77C08EAAB6CF}" uniqueName="2" name="T1" queryTableFieldId="2"/>
    <tableColumn id="3" xr3:uid="{8E13DE20-C437-ED40-8F45-3ADC79D5C4A0}" uniqueName="3" name="T2" queryTableFieldId="3"/>
    <tableColumn id="4" xr3:uid="{F9B986B6-57CC-8649-A4D5-3474ACD0489C}" uniqueName="4" name="T3" queryTableFieldId="4"/>
    <tableColumn id="5" xr3:uid="{92C4AA5A-F3FB-FF4B-AF39-FA82922DDF12}" uniqueName="5" name="T4" queryTableFieldId="5"/>
    <tableColumn id="6" xr3:uid="{1C18A388-03AB-4A46-8C42-C77DDAF3AFFE}" uniqueName="6" name="T5" queryTableFieldId="6"/>
    <tableColumn id="7" xr3:uid="{692AE107-9C25-AF49-A800-30106387F099}" uniqueName="7" name="T6" queryTableFieldId="7"/>
    <tableColumn id="8" xr3:uid="{9C0F9309-17E1-E541-A1FF-F7985958739A}" uniqueName="8" name="T7" queryTableFieldId="8"/>
    <tableColumn id="9" xr3:uid="{D6498C19-0C3F-AC43-B36F-9CE834BE2578}" uniqueName="9" name="T8" queryTableFieldId="9"/>
    <tableColumn id="10" xr3:uid="{0CCAD0FE-B4C9-4045-AB84-DC7CA28E7E37}" uniqueName="10" name="RTD_IN" queryTableFieldId="10"/>
    <tableColumn id="11" xr3:uid="{16A28C60-6EB5-5E43-A8A5-3CB4C36CC62F}" uniqueName="11" name="RTD_OUT" queryTableFieldId="11"/>
    <tableColumn id="12" xr3:uid="{C5CFB586-4A78-2041-8343-65E6634562DF}" uniqueName="12" name="DPT_TS" queryTableFieldId="12"/>
    <tableColumn id="13" xr3:uid="{CDCCA3D3-A2AB-2548-9A03-D6925824CBAA}" uniqueName="13" name="DPT_nozzle" queryTableFieldId="13"/>
    <tableColumn id="14" xr3:uid="{5F2F2F96-15F8-2542-BBB3-CD293A81EB05}" uniqueName="14" name="Flow_gps" queryTableFieldId="14"/>
    <tableColumn id="15" xr3:uid="{B095BA0B-9B63-6D40-BEBD-E2705FA0C4CF}" uniqueName="15" name="DP_liquid" queryTableFieldId="1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767C541-655C-9C4E-B445-DB392770FFE1}" name="sheet1__7" displayName="sheet1__7" ref="A1:P1048576" tableType="queryTable" totalsRowShown="0">
  <autoFilter ref="A1:P1048576" xr:uid="{4767C541-655C-9C4E-B445-DB392770FFE1}"/>
  <tableColumns count="16">
    <tableColumn id="1" xr3:uid="{BE240697-7D23-D841-AF1B-1AB022CEA5E9}" uniqueName="1" name="Time" queryTableFieldId="1" dataDxfId="0"/>
    <tableColumn id="2" xr3:uid="{AEE1C3B1-7556-7E4C-8D38-52C23FE6D85A}" uniqueName="2" name="T1" queryTableFieldId="2"/>
    <tableColumn id="3" xr3:uid="{57D0100B-858C-754B-B222-F165D92A6B2C}" uniqueName="3" name="T2" queryTableFieldId="3"/>
    <tableColumn id="4" xr3:uid="{7C51CC30-2660-9F43-BED4-E66BB0656690}" uniqueName="4" name="T3" queryTableFieldId="4"/>
    <tableColumn id="5" xr3:uid="{673B2917-297F-424F-A569-C8BBB8F20697}" uniqueName="5" name="T4" queryTableFieldId="5"/>
    <tableColumn id="6" xr3:uid="{4D1F99C7-87BA-0F49-B4B3-1688811FA080}" uniqueName="6" name="T5" queryTableFieldId="6"/>
    <tableColumn id="7" xr3:uid="{621A136F-AB63-7F4F-B065-BE543F3781F5}" uniqueName="7" name="T6" queryTableFieldId="7"/>
    <tableColumn id="8" xr3:uid="{D8DC6AC7-71FE-AC42-BCFB-97F0AFC734A9}" uniqueName="8" name="T7" queryTableFieldId="8"/>
    <tableColumn id="9" xr3:uid="{9EFBF87B-A589-F14B-87D1-133989BFCA8D}" uniqueName="9" name="T8" queryTableFieldId="9"/>
    <tableColumn id="10" xr3:uid="{86CF51C0-72AE-6840-B263-B1C143D15641}" uniqueName="10" name="RTD_IN" queryTableFieldId="10"/>
    <tableColumn id="11" xr3:uid="{D5A23DDA-3E02-4B4C-B1F2-52C3623A2519}" uniqueName="11" name="RTD_OUT" queryTableFieldId="11"/>
    <tableColumn id="12" xr3:uid="{3FD8AADC-DBB4-8749-A406-9859AF222D8C}" uniqueName="12" name="DPT_TS" queryTableFieldId="12"/>
    <tableColumn id="13" xr3:uid="{FC88FE13-9E70-144A-AD33-F47C560E4D94}" uniqueName="13" name="DPT_nozzle" queryTableFieldId="13"/>
    <tableColumn id="14" xr3:uid="{97F84342-87F3-D543-B4B6-C15E9CE0E29C}" uniqueName="14" name="Flow_gps" queryTableFieldId="14"/>
    <tableColumn id="15" xr3:uid="{00064838-4718-8F4C-816A-C1B212684FBF}" uniqueName="15" name="DP_liquid" queryTableFieldId="15"/>
    <tableColumn id="16" xr3:uid="{C9C7BFC6-54AE-934E-8FA7-263F4E40A769}" uniqueName="16" name="v_dot (m3/s)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7AE4C-4408-3F41-80D3-BBAEDB4B07CA}">
  <dimension ref="A1:C9"/>
  <sheetViews>
    <sheetView tabSelected="1" workbookViewId="0">
      <selection activeCell="F18" sqref="F18"/>
    </sheetView>
  </sheetViews>
  <sheetFormatPr baseColWidth="10" defaultRowHeight="16" x14ac:dyDescent="0.2"/>
  <cols>
    <col min="1" max="1" width="16.33203125" customWidth="1"/>
    <col min="2" max="2" width="18" customWidth="1"/>
    <col min="3" max="3" width="17.6640625" customWidth="1"/>
  </cols>
  <sheetData>
    <row r="1" spans="1:3" x14ac:dyDescent="0.2">
      <c r="A1" s="1" t="s">
        <v>0</v>
      </c>
      <c r="B1" s="1" t="s">
        <v>1</v>
      </c>
      <c r="C1" s="2" t="s">
        <v>2</v>
      </c>
    </row>
    <row r="2" spans="1:3" x14ac:dyDescent="0.2">
      <c r="A2" s="3">
        <v>1</v>
      </c>
      <c r="B2" s="3">
        <v>246.33881664775862</v>
      </c>
      <c r="C2" s="3">
        <v>24.464124276773582</v>
      </c>
    </row>
    <row r="3" spans="1:3" x14ac:dyDescent="0.2">
      <c r="A3" s="3">
        <v>2</v>
      </c>
      <c r="B3" s="3">
        <v>396.8336409871265</v>
      </c>
      <c r="C3" s="3">
        <v>24.360091800136775</v>
      </c>
    </row>
    <row r="4" spans="1:3" x14ac:dyDescent="0.2">
      <c r="A4" s="3">
        <v>3</v>
      </c>
      <c r="B4" s="3">
        <v>523.04063762733949</v>
      </c>
      <c r="C4" s="3">
        <v>24.2555374968466</v>
      </c>
    </row>
    <row r="5" spans="1:3" x14ac:dyDescent="0.2">
      <c r="A5" s="3">
        <v>4</v>
      </c>
      <c r="B5" s="3">
        <v>592.95148082002788</v>
      </c>
      <c r="C5" s="3">
        <v>24.314658017099326</v>
      </c>
    </row>
    <row r="6" spans="1:3" x14ac:dyDescent="0.2">
      <c r="A6" s="3">
        <v>5</v>
      </c>
      <c r="B6" s="3">
        <v>651.02128754724015</v>
      </c>
      <c r="C6">
        <v>24.302390590386068</v>
      </c>
    </row>
    <row r="7" spans="1:3" x14ac:dyDescent="0.2">
      <c r="A7" s="3">
        <v>6</v>
      </c>
      <c r="B7" s="3">
        <v>693.48862783670415</v>
      </c>
      <c r="C7">
        <v>24.307147765504631</v>
      </c>
    </row>
    <row r="8" spans="1:3" x14ac:dyDescent="0.2">
      <c r="A8" s="3">
        <v>7</v>
      </c>
      <c r="B8" s="3">
        <v>749.33819923762246</v>
      </c>
      <c r="C8">
        <v>24.379575338200105</v>
      </c>
    </row>
    <row r="9" spans="1:3" x14ac:dyDescent="0.2">
      <c r="A9" s="3">
        <v>8</v>
      </c>
      <c r="B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C7C77-5355-B245-8A91-EB37C3FB9923}">
  <dimension ref="A1:AC20"/>
  <sheetViews>
    <sheetView topLeftCell="O1" workbookViewId="0">
      <selection activeCell="W4" sqref="W4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  <col min="23" max="23" width="33.83203125" customWidth="1"/>
    <col min="24" max="24" width="12.33203125" customWidth="1"/>
    <col min="25" max="25" width="12.83203125" customWidth="1"/>
    <col min="26" max="26" width="12" customWidth="1"/>
  </cols>
  <sheetData>
    <row r="1" spans="1:2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25</v>
      </c>
      <c r="U1" s="3" t="s">
        <v>26</v>
      </c>
      <c r="V1" s="3" t="s">
        <v>27</v>
      </c>
      <c r="W1" s="3" t="s">
        <v>28</v>
      </c>
      <c r="X1" s="3" t="s">
        <v>29</v>
      </c>
      <c r="Y1" s="3" t="s">
        <v>30</v>
      </c>
      <c r="Z1" s="3" t="s">
        <v>31</v>
      </c>
      <c r="AA1" s="3" t="s">
        <v>32</v>
      </c>
      <c r="AB1" s="3" t="s">
        <v>33</v>
      </c>
      <c r="AC1" s="3" t="s">
        <v>34</v>
      </c>
    </row>
    <row r="2" spans="1:29" x14ac:dyDescent="0.2">
      <c r="A2">
        <v>44674.858515465297</v>
      </c>
      <c r="B2">
        <v>18.787662999999998</v>
      </c>
      <c r="C2">
        <v>19.062397000000001</v>
      </c>
      <c r="D2">
        <v>18.887934999999999</v>
      </c>
      <c r="E2">
        <v>18.666898</v>
      </c>
      <c r="F2">
        <v>41.299869000000001</v>
      </c>
      <c r="G2">
        <v>42.844313</v>
      </c>
      <c r="H2">
        <v>39.385731</v>
      </c>
      <c r="I2">
        <v>31.530615000000001</v>
      </c>
      <c r="J2">
        <v>56.812792999999999</v>
      </c>
      <c r="K2">
        <v>53.048470000000002</v>
      </c>
      <c r="L2">
        <v>13.366121</v>
      </c>
      <c r="M2">
        <v>-622.48326599999996</v>
      </c>
      <c r="N2">
        <v>0.96126500000000004</v>
      </c>
      <c r="O2">
        <v>2.0584190000000002</v>
      </c>
      <c r="P2">
        <f t="shared" ref="P2:P65" si="0" xml:space="preserve"> N2*0.001/60</f>
        <v>1.6021083333333335E-5</v>
      </c>
      <c r="Q2" cm="1">
        <f t="array" ref="Q2">[1]!PropsSI("D","T",J2+273.15,"P",101325,"Water")</f>
        <v>984.80520717327283</v>
      </c>
      <c r="R2" cm="1">
        <f t="array" ref="R2">[1]!PropsSI("D","T",K2+273.15,"P",101325,"Water")</f>
        <v>986.62610188220083</v>
      </c>
      <c r="S2">
        <f t="shared" ref="S2:S65" si="1">(Q2+R2)/2</f>
        <v>985.71565452773689</v>
      </c>
      <c r="T2" cm="1">
        <f t="array" ref="T2">[1]!PropsSI("H","T",J2+273.15,"P",101325,"Water")</f>
        <v>237912.51865703647</v>
      </c>
      <c r="U2" cm="1">
        <f t="array" ref="U2">[1]!PropsSI("H","T",K2+273.15,"P",101325,"Water")</f>
        <v>222166.57970817288</v>
      </c>
      <c r="V2">
        <f t="shared" ref="V2:V65" si="2">S2*P2*(T2-U2)</f>
        <v>248.6635310811954</v>
      </c>
      <c r="W2" s="3">
        <f>AVERAGE(V2:V20)</f>
        <v>246.33881664775862</v>
      </c>
      <c r="X2">
        <f>(0.15+0.002*ABS(J2))</f>
        <v>0.26362558599999997</v>
      </c>
      <c r="Y2">
        <f>(0.15+0.002*ABS(K2))</f>
        <v>0.25609694</v>
      </c>
      <c r="Z2">
        <f>SQRT((X2)^2 + (Y2)^2)</f>
        <v>0.36753787868899579</v>
      </c>
      <c r="AA2">
        <f>J2-K2</f>
        <v>3.7643229999999974</v>
      </c>
      <c r="AB2">
        <f>SQRT((0.01)^2 + (Z2/ABS(AA2))^2)</f>
        <v>9.8147943073300478E-2</v>
      </c>
      <c r="AC2">
        <f>ABS(V2*AB2)</f>
        <v>24.405814092963052</v>
      </c>
    </row>
    <row r="3" spans="1:29" x14ac:dyDescent="0.2">
      <c r="A3">
        <v>44674.858631784802</v>
      </c>
      <c r="B3">
        <v>18.890768999999999</v>
      </c>
      <c r="C3">
        <v>19.146547000000002</v>
      </c>
      <c r="D3">
        <v>18.851151999999999</v>
      </c>
      <c r="E3">
        <v>18.757193999999998</v>
      </c>
      <c r="F3">
        <v>41.066183000000002</v>
      </c>
      <c r="G3">
        <v>43.471384999999998</v>
      </c>
      <c r="H3">
        <v>39.463256999999999</v>
      </c>
      <c r="I3">
        <v>29.270197</v>
      </c>
      <c r="J3">
        <v>56.871538000000001</v>
      </c>
      <c r="K3">
        <v>53.103017000000001</v>
      </c>
      <c r="L3">
        <v>13.102053</v>
      </c>
      <c r="M3">
        <v>-622.48571500000003</v>
      </c>
      <c r="N3">
        <v>0.95858100000000002</v>
      </c>
      <c r="O3">
        <v>1.2444569999999999</v>
      </c>
      <c r="P3">
        <f t="shared" si="0"/>
        <v>1.5976350000000002E-5</v>
      </c>
      <c r="Q3" cm="1">
        <f t="array" ref="Q3">[1]!PropsSI("D","T",J3+273.15,"P",101325,"Water")</f>
        <v>984.77609776385316</v>
      </c>
      <c r="R3" cm="1">
        <f t="array" ref="R3">[1]!PropsSI("D","T",K3+273.15,"P",101325,"Water")</f>
        <v>986.60034888116149</v>
      </c>
      <c r="S3">
        <f t="shared" si="1"/>
        <v>985.68822332250738</v>
      </c>
      <c r="T3" cm="1">
        <f t="array" ref="T3">[1]!PropsSI("H","T",J3+273.15,"P",101325,"Water")</f>
        <v>238158.28709514363</v>
      </c>
      <c r="U3" cm="1">
        <f t="array" ref="U3">[1]!PropsSI("H","T",K3+273.15,"P",101325,"Water")</f>
        <v>222394.71101590089</v>
      </c>
      <c r="V3">
        <f t="shared" si="2"/>
        <v>248.24006775891175</v>
      </c>
      <c r="W3" s="3" t="s">
        <v>35</v>
      </c>
      <c r="X3">
        <f t="shared" ref="X3:Y55" si="3">(0.15+0.002*ABS(J3))</f>
        <v>0.26374307600000002</v>
      </c>
      <c r="Y3">
        <f t="shared" si="3"/>
        <v>0.25620603399999997</v>
      </c>
      <c r="Z3">
        <f t="shared" ref="Z3:Z55" si="4">SQRT((X3)^2 + (Y3)^2)</f>
        <v>0.36769816697387941</v>
      </c>
      <c r="AA3">
        <f>J3-K3</f>
        <v>3.7685209999999998</v>
      </c>
      <c r="AB3">
        <f t="shared" ref="AB3:AB66" si="5">SQRT((0.01)^2 + (Z3/ABS(AA3))^2)</f>
        <v>9.8082057057914701E-2</v>
      </c>
      <c r="AC3">
        <f t="shared" ref="AC3:AC66" si="6">ABS(V3*AB3)</f>
        <v>24.347896489990195</v>
      </c>
    </row>
    <row r="4" spans="1:29" x14ac:dyDescent="0.2">
      <c r="A4">
        <v>44674.858747525497</v>
      </c>
      <c r="B4">
        <v>18.959578</v>
      </c>
      <c r="C4">
        <v>19.203668</v>
      </c>
      <c r="D4">
        <v>18.805002999999999</v>
      </c>
      <c r="E4">
        <v>18.856161</v>
      </c>
      <c r="F4">
        <v>41.684449999999998</v>
      </c>
      <c r="G4">
        <v>42.500613000000001</v>
      </c>
      <c r="H4">
        <v>39.063704000000001</v>
      </c>
      <c r="I4">
        <v>30.585640999999999</v>
      </c>
      <c r="J4">
        <v>56.925348999999997</v>
      </c>
      <c r="K4">
        <v>53.165039</v>
      </c>
      <c r="L4">
        <v>12.638401999999999</v>
      </c>
      <c r="M4">
        <v>-622.51306099999999</v>
      </c>
      <c r="N4">
        <v>0.96019100000000002</v>
      </c>
      <c r="O4">
        <v>1.9619409999999999</v>
      </c>
      <c r="P4">
        <f t="shared" si="0"/>
        <v>1.6003183333333333E-5</v>
      </c>
      <c r="Q4" cm="1">
        <f t="array" ref="Q4">[1]!PropsSI("D","T",J4+273.15,"P",101325,"Water")</f>
        <v>984.74941481544511</v>
      </c>
      <c r="R4" cm="1">
        <f t="array" ref="R4">[1]!PropsSI("D","T",K4+273.15,"P",101325,"Water")</f>
        <v>986.57104384577428</v>
      </c>
      <c r="S4">
        <f t="shared" si="1"/>
        <v>985.6602293306097</v>
      </c>
      <c r="T4" cm="1">
        <f t="array" ref="T4">[1]!PropsSI("H","T",J4+273.15,"P",101325,"Water")</f>
        <v>238383.41459202344</v>
      </c>
      <c r="U4" cm="1">
        <f t="array" ref="U4">[1]!PropsSI("H","T",K4+273.15,"P",101325,"Water")</f>
        <v>222654.10613476168</v>
      </c>
      <c r="V4">
        <f t="shared" si="2"/>
        <v>248.10941411534799</v>
      </c>
      <c r="W4" s="3">
        <f>SQRT((AVERAGE(AC2:AC20))^2 + (_xlfn.STDEV.S(V2:V20)/SQRT(COUNT(V2:V20)))^2)</f>
        <v>24.464124276773582</v>
      </c>
      <c r="X4">
        <f t="shared" si="3"/>
        <v>0.26385069799999999</v>
      </c>
      <c r="Y4">
        <f t="shared" si="3"/>
        <v>0.25633007800000002</v>
      </c>
      <c r="Z4">
        <f t="shared" si="4"/>
        <v>0.36786179432304916</v>
      </c>
      <c r="AA4">
        <f t="shared" ref="AA4:AA67" si="7">J4-K4</f>
        <v>3.7603099999999969</v>
      </c>
      <c r="AB4">
        <f t="shared" si="5"/>
        <v>9.8337293454173788E-2</v>
      </c>
      <c r="AC4">
        <f t="shared" si="6"/>
        <v>24.398408264604104</v>
      </c>
    </row>
    <row r="5" spans="1:29" x14ac:dyDescent="0.2">
      <c r="A5">
        <v>44674.8588638449</v>
      </c>
      <c r="B5">
        <v>19.038447999999999</v>
      </c>
      <c r="C5">
        <v>19.227207</v>
      </c>
      <c r="D5">
        <v>18.860399000000001</v>
      </c>
      <c r="E5">
        <v>18.958067</v>
      </c>
      <c r="F5">
        <v>41.639797000000002</v>
      </c>
      <c r="G5">
        <v>42.505248000000002</v>
      </c>
      <c r="H5">
        <v>40.215932000000002</v>
      </c>
      <c r="I5">
        <v>31.066859000000001</v>
      </c>
      <c r="J5">
        <v>56.965150000000001</v>
      </c>
      <c r="K5">
        <v>53.220702000000003</v>
      </c>
      <c r="L5">
        <v>12.443718000000001</v>
      </c>
      <c r="M5">
        <v>-622.49959200000001</v>
      </c>
      <c r="N5">
        <v>0.96144099999999999</v>
      </c>
      <c r="O5">
        <v>1.586476</v>
      </c>
      <c r="P5">
        <f t="shared" si="0"/>
        <v>1.6024016666666668E-5</v>
      </c>
      <c r="Q5" cm="1">
        <f t="array" ref="Q5">[1]!PropsSI("D","T",J5+273.15,"P",101325,"Water")</f>
        <v>984.72966758559824</v>
      </c>
      <c r="R5" cm="1">
        <f t="array" ref="R5">[1]!PropsSI("D","T",K5+273.15,"P",101325,"Water")</f>
        <v>986.5447226649942</v>
      </c>
      <c r="S5">
        <f t="shared" si="1"/>
        <v>985.63719512529622</v>
      </c>
      <c r="T5" cm="1">
        <f t="array" ref="T5">[1]!PropsSI("H","T",J5+273.15,"P",101325,"Water")</f>
        <v>238549.92959221266</v>
      </c>
      <c r="U5" cm="1">
        <f t="array" ref="U5">[1]!PropsSI("H","T",K5+273.15,"P",101325,"Water")</f>
        <v>222886.90704800122</v>
      </c>
      <c r="V5">
        <f t="shared" si="2"/>
        <v>247.37969240611764</v>
      </c>
      <c r="W5" s="3"/>
      <c r="X5">
        <f t="shared" si="3"/>
        <v>0.26393030000000001</v>
      </c>
      <c r="Y5">
        <f t="shared" si="3"/>
        <v>0.25644140399999998</v>
      </c>
      <c r="Z5">
        <f t="shared" si="4"/>
        <v>0.36799646322156576</v>
      </c>
      <c r="AA5">
        <f t="shared" si="7"/>
        <v>3.7444479999999984</v>
      </c>
      <c r="AB5">
        <f t="shared" si="5"/>
        <v>9.8785345206177266E-2</v>
      </c>
      <c r="AC5">
        <f t="shared" si="6"/>
        <v>24.437488311336281</v>
      </c>
    </row>
    <row r="6" spans="1:29" x14ac:dyDescent="0.2">
      <c r="A6">
        <v>46136.85898016204</v>
      </c>
      <c r="B6">
        <v>19.133597999999999</v>
      </c>
      <c r="C6">
        <v>19.297363000000001</v>
      </c>
      <c r="D6">
        <v>18.949753999999999</v>
      </c>
      <c r="E6">
        <v>19.115546999999999</v>
      </c>
      <c r="F6">
        <v>41.195937000000001</v>
      </c>
      <c r="G6">
        <v>43.673560000000002</v>
      </c>
      <c r="H6">
        <v>39.091661999999999</v>
      </c>
      <c r="I6">
        <v>31.112539999999999</v>
      </c>
      <c r="J6">
        <v>57.006703999999999</v>
      </c>
      <c r="K6">
        <v>53.27064</v>
      </c>
      <c r="L6">
        <v>13.199598999999999</v>
      </c>
      <c r="M6">
        <v>-622.474287</v>
      </c>
      <c r="N6">
        <v>0.96161300000000005</v>
      </c>
      <c r="O6">
        <v>1.131078</v>
      </c>
      <c r="P6">
        <f t="shared" si="0"/>
        <v>1.6026883333333334E-5</v>
      </c>
      <c r="Q6" cm="1">
        <f t="array" ref="Q6">[1]!PropsSI("D","T",J6+273.15,"P",101325,"Water")</f>
        <v>984.70904032276974</v>
      </c>
      <c r="R6" cm="1">
        <f t="array" ref="R6">[1]!PropsSI("D","T",K6+273.15,"P",101325,"Water")</f>
        <v>986.52109196323863</v>
      </c>
      <c r="S6">
        <f t="shared" si="1"/>
        <v>985.61506614300424</v>
      </c>
      <c r="T6" cm="1">
        <f t="array" ref="T6">[1]!PropsSI("H","T",J6+273.15,"P",101325,"Water")</f>
        <v>238723.77926065424</v>
      </c>
      <c r="U6" cm="1">
        <f t="array" ref="U6">[1]!PropsSI("H","T",K6+273.15,"P",101325,"Water")</f>
        <v>223095.76501606771</v>
      </c>
      <c r="V6">
        <f t="shared" si="2"/>
        <v>246.86539022297785</v>
      </c>
      <c r="W6" s="3"/>
      <c r="X6">
        <f t="shared" si="3"/>
        <v>0.264013408</v>
      </c>
      <c r="Y6">
        <f t="shared" si="3"/>
        <v>0.25654127999999998</v>
      </c>
      <c r="Z6">
        <f t="shared" si="4"/>
        <v>0.3681256686891215</v>
      </c>
      <c r="AA6">
        <f>J6-K6</f>
        <v>3.7360639999999989</v>
      </c>
      <c r="AB6">
        <f t="shared" si="5"/>
        <v>9.9039164085307593E-2</v>
      </c>
      <c r="AC6">
        <f t="shared" si="6"/>
        <v>24.449341889276994</v>
      </c>
    </row>
    <row r="7" spans="1:29" x14ac:dyDescent="0.2">
      <c r="A7">
        <v>46136.859096481479</v>
      </c>
      <c r="B7">
        <v>19.183409000000001</v>
      </c>
      <c r="C7">
        <v>19.325953999999999</v>
      </c>
      <c r="D7">
        <v>19.052139</v>
      </c>
      <c r="E7">
        <v>19.240483999999999</v>
      </c>
      <c r="F7">
        <v>41.215775000000001</v>
      </c>
      <c r="G7">
        <v>42.577027999999999</v>
      </c>
      <c r="H7">
        <v>39.452475</v>
      </c>
      <c r="I7">
        <v>31.801680000000001</v>
      </c>
      <c r="J7">
        <v>57.058765000000001</v>
      </c>
      <c r="K7">
        <v>53.309762999999997</v>
      </c>
      <c r="L7">
        <v>12.654728</v>
      </c>
      <c r="M7">
        <v>-622.49591899999996</v>
      </c>
      <c r="N7">
        <v>0.95969599999999999</v>
      </c>
      <c r="O7">
        <v>1.5664480000000001</v>
      </c>
      <c r="P7">
        <f t="shared" si="0"/>
        <v>1.5994933333333335E-5</v>
      </c>
      <c r="Q7" cm="1">
        <f t="array" ref="Q7">[1]!PropsSI("D","T",J7+273.15,"P",101325,"Water")</f>
        <v>984.68318260250157</v>
      </c>
      <c r="R7" cm="1">
        <f t="array" ref="R7">[1]!PropsSI("D","T",K7+273.15,"P",101325,"Water")</f>
        <v>986.50256791107017</v>
      </c>
      <c r="S7">
        <f t="shared" si="1"/>
        <v>985.59287525678587</v>
      </c>
      <c r="T7" cm="1">
        <f t="array" ref="T7">[1]!PropsSI("H","T",J7+273.15,"P",101325,"Water")</f>
        <v>238941.58807069264</v>
      </c>
      <c r="U7" cm="1">
        <f t="array" ref="U7">[1]!PropsSI("H","T",K7+273.15,"P",101325,"Water")</f>
        <v>223259.39150166881</v>
      </c>
      <c r="V7">
        <f t="shared" si="2"/>
        <v>247.22186758545294</v>
      </c>
      <c r="W7" s="3"/>
      <c r="X7">
        <f t="shared" si="3"/>
        <v>0.26411752999999999</v>
      </c>
      <c r="Y7">
        <f t="shared" si="3"/>
        <v>0.25661952599999999</v>
      </c>
      <c r="Z7">
        <f t="shared" si="4"/>
        <v>0.36825487203534124</v>
      </c>
      <c r="AA7">
        <f t="shared" si="7"/>
        <v>3.7490020000000044</v>
      </c>
      <c r="AB7">
        <f t="shared" si="5"/>
        <v>9.873515142658934E-2</v>
      </c>
      <c r="AC7">
        <f t="shared" si="6"/>
        <v>24.409488532013913</v>
      </c>
    </row>
    <row r="8" spans="1:29" x14ac:dyDescent="0.2">
      <c r="A8">
        <v>46136.859212800926</v>
      </c>
      <c r="B8">
        <v>19.248291999999999</v>
      </c>
      <c r="C8">
        <v>19.347367999999999</v>
      </c>
      <c r="D8">
        <v>19.136731000000001</v>
      </c>
      <c r="E8">
        <v>19.335840999999999</v>
      </c>
      <c r="F8">
        <v>41.820681999999998</v>
      </c>
      <c r="G8">
        <v>43.317754999999998</v>
      </c>
      <c r="H8">
        <v>39.019244999999998</v>
      </c>
      <c r="I8">
        <v>30.099294</v>
      </c>
      <c r="J8">
        <v>57.096817000000001</v>
      </c>
      <c r="K8">
        <v>53.360816</v>
      </c>
      <c r="L8">
        <v>12.284134</v>
      </c>
      <c r="M8">
        <v>-622.49020499999995</v>
      </c>
      <c r="N8">
        <v>0.96219500000000002</v>
      </c>
      <c r="O8">
        <v>1.2512810000000001</v>
      </c>
      <c r="P8">
        <f t="shared" si="0"/>
        <v>1.6036583333333335E-5</v>
      </c>
      <c r="Q8" cm="1">
        <f t="array" ref="Q8">[1]!PropsSI("D","T",J8+273.15,"P",101325,"Water")</f>
        <v>984.66427246784463</v>
      </c>
      <c r="R8" cm="1">
        <f t="array" ref="R8">[1]!PropsSI("D","T",K8+273.15,"P",101325,"Water")</f>
        <v>986.47838066462032</v>
      </c>
      <c r="S8">
        <f t="shared" si="1"/>
        <v>985.57132656623253</v>
      </c>
      <c r="T8" cm="1">
        <f t="array" ref="T8">[1]!PropsSI("H","T",J8+273.15,"P",101325,"Water")</f>
        <v>239100.78777678884</v>
      </c>
      <c r="U8" cm="1">
        <f t="array" ref="U8">[1]!PropsSI("H","T",K8+273.15,"P",101325,"Water")</f>
        <v>223472.9143197494</v>
      </c>
      <c r="V8">
        <f t="shared" si="2"/>
        <v>247.00161413848309</v>
      </c>
      <c r="W8" s="3"/>
      <c r="X8">
        <f t="shared" si="3"/>
        <v>0.26419363400000001</v>
      </c>
      <c r="Y8">
        <f t="shared" si="3"/>
        <v>0.25672163199999998</v>
      </c>
      <c r="Z8">
        <f>SQRT((X8)^2 + (Y8)^2)</f>
        <v>0.36838060831546138</v>
      </c>
      <c r="AA8">
        <f t="shared" si="7"/>
        <v>3.7360010000000017</v>
      </c>
      <c r="AB8">
        <f t="shared" si="5"/>
        <v>9.9108707305684551E-2</v>
      </c>
      <c r="AC8">
        <f t="shared" si="6"/>
        <v>24.480010679682557</v>
      </c>
    </row>
    <row r="9" spans="1:29" x14ac:dyDescent="0.2">
      <c r="A9">
        <v>46136.859329120372</v>
      </c>
      <c r="B9">
        <v>19.280338</v>
      </c>
      <c r="C9">
        <v>19.369039000000001</v>
      </c>
      <c r="D9">
        <v>19.207457000000002</v>
      </c>
      <c r="E9">
        <v>19.384073999999998</v>
      </c>
      <c r="F9">
        <v>41.249451999999998</v>
      </c>
      <c r="G9">
        <v>42.558169999999997</v>
      </c>
      <c r="H9">
        <v>38.691864000000002</v>
      </c>
      <c r="I9">
        <v>30.370623999999999</v>
      </c>
      <c r="J9">
        <v>57.124679999999998</v>
      </c>
      <c r="K9">
        <v>53.400576999999998</v>
      </c>
      <c r="L9">
        <v>12.343723000000001</v>
      </c>
      <c r="M9">
        <v>-622.468165</v>
      </c>
      <c r="N9">
        <v>0.96074899999999996</v>
      </c>
      <c r="O9">
        <v>1.7478899999999999</v>
      </c>
      <c r="P9">
        <f t="shared" si="0"/>
        <v>1.6012483333333333E-5</v>
      </c>
      <c r="Q9" cm="1">
        <f t="array" ref="Q9">[1]!PropsSI("D","T",J9+273.15,"P",101325,"Water")</f>
        <v>984.65042022891987</v>
      </c>
      <c r="R9" cm="1">
        <f t="array" ref="R9">[1]!PropsSI("D","T",K9+273.15,"P",101325,"Water")</f>
        <v>986.45953179348066</v>
      </c>
      <c r="S9">
        <f t="shared" si="1"/>
        <v>985.55497601120032</v>
      </c>
      <c r="T9" cm="1">
        <f t="array" ref="T9">[1]!PropsSI("H","T",J9+273.15,"P",101325,"Water")</f>
        <v>239217.35970872687</v>
      </c>
      <c r="U9" cm="1">
        <f t="array" ref="U9">[1]!PropsSI("H","T",K9+273.15,"P",101325,"Water")</f>
        <v>223639.21036074584</v>
      </c>
      <c r="V9">
        <f t="shared" si="2"/>
        <v>245.84161985838352</v>
      </c>
      <c r="W9" s="3"/>
      <c r="X9">
        <f t="shared" si="3"/>
        <v>0.26424935999999999</v>
      </c>
      <c r="Y9">
        <f t="shared" si="3"/>
        <v>0.25680115399999998</v>
      </c>
      <c r="Z9">
        <f t="shared" ref="Z9:Z72" si="8">SQRT((X9)^2 + (Y9)^2)</f>
        <v>0.36847599237418616</v>
      </c>
      <c r="AA9">
        <f t="shared" si="7"/>
        <v>3.7241029999999995</v>
      </c>
      <c r="AB9">
        <f t="shared" si="5"/>
        <v>9.9447610337640685E-2</v>
      </c>
      <c r="AC9">
        <f t="shared" si="6"/>
        <v>24.448361616450914</v>
      </c>
    </row>
    <row r="10" spans="1:29" x14ac:dyDescent="0.2">
      <c r="A10">
        <v>44674.859444863498</v>
      </c>
      <c r="B10">
        <v>19.360983000000001</v>
      </c>
      <c r="C10">
        <v>19.422809999999998</v>
      </c>
      <c r="D10">
        <v>19.270662999999999</v>
      </c>
      <c r="E10">
        <v>19.407791</v>
      </c>
      <c r="F10">
        <v>41.113832000000002</v>
      </c>
      <c r="G10">
        <v>44.867413999999997</v>
      </c>
      <c r="H10">
        <v>39.046508000000003</v>
      </c>
      <c r="I10">
        <v>30.332232999999999</v>
      </c>
      <c r="J10">
        <v>57.156682000000004</v>
      </c>
      <c r="K10">
        <v>53.426819999999999</v>
      </c>
      <c r="L10">
        <v>12.645749</v>
      </c>
      <c r="M10">
        <v>-622.50285699999995</v>
      </c>
      <c r="N10">
        <v>0.96035099999999995</v>
      </c>
      <c r="O10">
        <v>1.329053</v>
      </c>
      <c r="P10">
        <f t="shared" si="0"/>
        <v>1.6005850000000002E-5</v>
      </c>
      <c r="Q10" cm="1">
        <f t="array" ref="Q10">[1]!PropsSI("D","T",J10+273.15,"P",101325,"Water")</f>
        <v>984.63450444574551</v>
      </c>
      <c r="R10" cm="1">
        <f t="array" ref="R10">[1]!PropsSI("D","T",K10+273.15,"P",101325,"Water")</f>
        <v>986.44708571852573</v>
      </c>
      <c r="S10">
        <f t="shared" si="1"/>
        <v>985.54079508213567</v>
      </c>
      <c r="T10" cm="1">
        <f t="array" ref="T10">[1]!PropsSI("H","T",J10+273.15,"P",101325,"Water")</f>
        <v>239351.24857493432</v>
      </c>
      <c r="U10" cm="1">
        <f t="array" ref="U10">[1]!PropsSI("H","T",K10+273.15,"P",101325,"Water")</f>
        <v>223748.96913480188</v>
      </c>
      <c r="V10">
        <f t="shared" si="2"/>
        <v>246.11687974722292</v>
      </c>
      <c r="X10">
        <f t="shared" si="3"/>
        <v>0.264313364</v>
      </c>
      <c r="Y10">
        <f t="shared" si="3"/>
        <v>0.25685363999999999</v>
      </c>
      <c r="Z10">
        <f t="shared" si="8"/>
        <v>0.36855847130441338</v>
      </c>
      <c r="AA10">
        <f t="shared" si="7"/>
        <v>3.7298620000000042</v>
      </c>
      <c r="AB10">
        <f t="shared" si="5"/>
        <v>9.9317615266576023E-2</v>
      </c>
      <c r="AC10">
        <f t="shared" si="6"/>
        <v>24.443741573344841</v>
      </c>
    </row>
    <row r="11" spans="1:29" x14ac:dyDescent="0.2">
      <c r="A11">
        <v>44674.859561182901</v>
      </c>
      <c r="B11">
        <v>19.388912999999999</v>
      </c>
      <c r="C11">
        <v>19.435091</v>
      </c>
      <c r="D11">
        <v>19.335722000000001</v>
      </c>
      <c r="E11">
        <v>19.452722000000001</v>
      </c>
      <c r="F11">
        <v>40.949424999999998</v>
      </c>
      <c r="G11">
        <v>43.196207000000001</v>
      </c>
      <c r="H11">
        <v>38.748617000000003</v>
      </c>
      <c r="I11">
        <v>30.619395999999998</v>
      </c>
      <c r="J11">
        <v>57.181837999999999</v>
      </c>
      <c r="K11">
        <v>53.457833999999998</v>
      </c>
      <c r="L11">
        <v>13.332245</v>
      </c>
      <c r="M11">
        <v>-622.50489800000003</v>
      </c>
      <c r="N11">
        <v>0.967055</v>
      </c>
      <c r="O11">
        <v>1.3910929999999999</v>
      </c>
      <c r="P11">
        <f t="shared" si="0"/>
        <v>1.6117583333333333E-5</v>
      </c>
      <c r="Q11" cm="1">
        <f t="array" ref="Q11">[1]!PropsSI("D","T",J11+273.15,"P",101325,"Water")</f>
        <v>984.62198906707204</v>
      </c>
      <c r="R11" cm="1">
        <f t="array" ref="R11">[1]!PropsSI("D","T",K11+273.15,"P",101325,"Water")</f>
        <v>986.43237133142782</v>
      </c>
      <c r="S11">
        <f t="shared" si="1"/>
        <v>985.52718019924987</v>
      </c>
      <c r="T11" cm="1">
        <f t="array" ref="T11">[1]!PropsSI("H","T",J11+273.15,"P",101325,"Water")</f>
        <v>239456.49566538469</v>
      </c>
      <c r="U11" cm="1">
        <f t="array" ref="U11">[1]!PropsSI("H","T",K11+273.15,"P",101325,"Water")</f>
        <v>223878.68244820708</v>
      </c>
      <c r="V11">
        <f t="shared" si="2"/>
        <v>247.44291480492242</v>
      </c>
      <c r="X11">
        <f t="shared" si="3"/>
        <v>0.26436367599999999</v>
      </c>
      <c r="Y11">
        <f t="shared" si="3"/>
        <v>0.25691566799999999</v>
      </c>
      <c r="Z11">
        <f t="shared" si="8"/>
        <v>0.3686377810969993</v>
      </c>
      <c r="AA11">
        <f t="shared" si="7"/>
        <v>3.7240040000000008</v>
      </c>
      <c r="AB11">
        <f t="shared" si="5"/>
        <v>9.9493452086096307E-2</v>
      </c>
      <c r="AC11">
        <f t="shared" si="6"/>
        <v>24.61894978818756</v>
      </c>
    </row>
    <row r="12" spans="1:29" x14ac:dyDescent="0.2">
      <c r="A12">
        <v>44674.859676923603</v>
      </c>
      <c r="B12">
        <v>19.453219000000001</v>
      </c>
      <c r="C12">
        <v>19.492623999999999</v>
      </c>
      <c r="D12">
        <v>19.366115000000001</v>
      </c>
      <c r="E12">
        <v>19.454657999999998</v>
      </c>
      <c r="F12">
        <v>41.607481999999997</v>
      </c>
      <c r="G12">
        <v>42.242885999999999</v>
      </c>
      <c r="H12">
        <v>39.310549000000002</v>
      </c>
      <c r="I12">
        <v>30.171517000000001</v>
      </c>
      <c r="J12">
        <v>57.210974999999998</v>
      </c>
      <c r="K12">
        <v>53.476284</v>
      </c>
      <c r="L12">
        <v>13.200006999999999</v>
      </c>
      <c r="M12">
        <v>-622.44490099999996</v>
      </c>
      <c r="N12">
        <v>0.96063399999999999</v>
      </c>
      <c r="O12">
        <v>1.2104379999999999</v>
      </c>
      <c r="P12">
        <f t="shared" si="0"/>
        <v>1.6010566666666669E-5</v>
      </c>
      <c r="Q12" cm="1">
        <f t="array" ref="Q12">[1]!PropsSI("D","T",J12+273.15,"P",101325,"Water")</f>
        <v>984.60748829678266</v>
      </c>
      <c r="R12" cm="1">
        <f t="array" ref="R12">[1]!PropsSI("D","T",K12+273.15,"P",101325,"Water")</f>
        <v>986.42361497124875</v>
      </c>
      <c r="S12">
        <f t="shared" si="1"/>
        <v>985.51555163401576</v>
      </c>
      <c r="T12" cm="1">
        <f t="array" ref="T12">[1]!PropsSI("H","T",J12+273.15,"P",101325,"Water")</f>
        <v>239578.39868365464</v>
      </c>
      <c r="U12" cm="1">
        <f t="array" ref="U12">[1]!PropsSI("H","T",K12+273.15,"P",101325,"Water")</f>
        <v>223955.84809648144</v>
      </c>
      <c r="V12">
        <f t="shared" si="2"/>
        <v>246.50295217422214</v>
      </c>
      <c r="X12">
        <f t="shared" si="3"/>
        <v>0.26442195000000002</v>
      </c>
      <c r="Y12">
        <f t="shared" si="3"/>
        <v>0.25695256799999999</v>
      </c>
      <c r="Z12">
        <f t="shared" si="8"/>
        <v>0.36870528860269569</v>
      </c>
      <c r="AA12">
        <f t="shared" si="7"/>
        <v>3.734690999999998</v>
      </c>
      <c r="AB12">
        <f t="shared" si="5"/>
        <v>9.9229610690361653E-2</v>
      </c>
      <c r="AC12">
        <f t="shared" si="6"/>
        <v>24.460391978272902</v>
      </c>
    </row>
    <row r="13" spans="1:29" x14ac:dyDescent="0.2">
      <c r="A13">
        <v>44674.8597932431</v>
      </c>
      <c r="B13">
        <v>19.509551999999999</v>
      </c>
      <c r="C13">
        <v>19.529509000000001</v>
      </c>
      <c r="D13">
        <v>19.440961999999999</v>
      </c>
      <c r="E13">
        <v>19.500295000000001</v>
      </c>
      <c r="F13">
        <v>41.521331000000004</v>
      </c>
      <c r="G13">
        <v>42.995707000000003</v>
      </c>
      <c r="H13">
        <v>39.489325000000001</v>
      </c>
      <c r="I13">
        <v>31.358547000000002</v>
      </c>
      <c r="J13">
        <v>57.236769000000002</v>
      </c>
      <c r="K13">
        <v>53.506185000000002</v>
      </c>
      <c r="L13">
        <v>13.655086000000001</v>
      </c>
      <c r="M13">
        <v>-622.474287</v>
      </c>
      <c r="N13">
        <v>0.96240800000000004</v>
      </c>
      <c r="O13">
        <v>1.564351</v>
      </c>
      <c r="P13">
        <f t="shared" si="0"/>
        <v>1.6040133333333336E-5</v>
      </c>
      <c r="Q13" cm="1">
        <f t="array" ref="Q13">[1]!PropsSI("D","T",J13+273.15,"P",101325,"Water")</f>
        <v>984.59464695609586</v>
      </c>
      <c r="R13" cm="1">
        <f t="array" ref="R13">[1]!PropsSI("D","T",K13+273.15,"P",101325,"Water")</f>
        <v>986.4094194118004</v>
      </c>
      <c r="S13">
        <f t="shared" si="1"/>
        <v>985.50203318394813</v>
      </c>
      <c r="T13" cm="1">
        <f t="array" ref="T13">[1]!PropsSI("H","T",J13+273.15,"P",101325,"Water")</f>
        <v>239686.31558003442</v>
      </c>
      <c r="U13" cm="1">
        <f t="array" ref="U13">[1]!PropsSI("H","T",K13+273.15,"P",101325,"Water")</f>
        <v>224080.90688033379</v>
      </c>
      <c r="V13">
        <f t="shared" si="2"/>
        <v>246.68380907056573</v>
      </c>
      <c r="X13">
        <f t="shared" si="3"/>
        <v>0.26447353800000001</v>
      </c>
      <c r="Y13">
        <f t="shared" si="3"/>
        <v>0.25701236999999999</v>
      </c>
      <c r="Z13">
        <f t="shared" si="8"/>
        <v>0.36878396200926949</v>
      </c>
      <c r="AA13">
        <f t="shared" si="7"/>
        <v>3.7305840000000003</v>
      </c>
      <c r="AB13">
        <f t="shared" si="5"/>
        <v>9.9358725387929364E-2</v>
      </c>
      <c r="AC13">
        <f t="shared" si="6"/>
        <v>24.510188843090738</v>
      </c>
    </row>
    <row r="14" spans="1:29" x14ac:dyDescent="0.2">
      <c r="A14">
        <v>44674.859909562503</v>
      </c>
      <c r="B14">
        <v>19.565100000000001</v>
      </c>
      <c r="C14">
        <v>19.574355000000001</v>
      </c>
      <c r="D14">
        <v>19.507106</v>
      </c>
      <c r="E14">
        <v>19.556719999999999</v>
      </c>
      <c r="F14">
        <v>42.108009000000003</v>
      </c>
      <c r="G14">
        <v>43.074361000000003</v>
      </c>
      <c r="H14">
        <v>38.898643</v>
      </c>
      <c r="I14">
        <v>30.785723000000001</v>
      </c>
      <c r="J14">
        <v>57.249507000000001</v>
      </c>
      <c r="K14">
        <v>53.524317000000003</v>
      </c>
      <c r="L14">
        <v>14.359133</v>
      </c>
      <c r="M14">
        <v>-622.50938699999995</v>
      </c>
      <c r="N14">
        <v>0.96004</v>
      </c>
      <c r="O14">
        <v>1.4676450000000001</v>
      </c>
      <c r="P14">
        <f t="shared" si="0"/>
        <v>1.6000666666666667E-5</v>
      </c>
      <c r="Q14" cm="1">
        <f t="array" ref="Q14">[1]!PropsSI("D","T",J14+273.15,"P",101325,"Water")</f>
        <v>984.58830395361076</v>
      </c>
      <c r="R14" cm="1">
        <f t="array" ref="R14">[1]!PropsSI("D","T",K14+273.15,"P",101325,"Water")</f>
        <v>986.40080846180069</v>
      </c>
      <c r="S14">
        <f t="shared" si="1"/>
        <v>985.49455620770573</v>
      </c>
      <c r="T14" cm="1">
        <f t="array" ref="T14">[1]!PropsSI("H","T",J14+273.15,"P",101325,"Water")</f>
        <v>239739.60890131918</v>
      </c>
      <c r="U14" cm="1">
        <f t="array" ref="U14">[1]!PropsSI("H","T",K14+273.15,"P",101325,"Water")</f>
        <v>224156.74281489762</v>
      </c>
      <c r="V14">
        <f t="shared" si="2"/>
        <v>245.71951305897957</v>
      </c>
      <c r="X14">
        <f t="shared" si="3"/>
        <v>0.26449901399999998</v>
      </c>
      <c r="Y14">
        <f t="shared" si="3"/>
        <v>0.257048634</v>
      </c>
      <c r="Z14">
        <f t="shared" si="8"/>
        <v>0.36882750527616315</v>
      </c>
      <c r="AA14">
        <f t="shared" si="7"/>
        <v>3.7251899999999978</v>
      </c>
      <c r="AB14">
        <f t="shared" si="5"/>
        <v>9.951276823295839E-2</v>
      </c>
      <c r="AC14">
        <f t="shared" si="6"/>
        <v>24.452228953353625</v>
      </c>
    </row>
    <row r="15" spans="1:29" x14ac:dyDescent="0.2">
      <c r="A15">
        <v>46136.860025300928</v>
      </c>
      <c r="B15">
        <v>19.591121000000001</v>
      </c>
      <c r="C15">
        <v>19.580912999999999</v>
      </c>
      <c r="D15">
        <v>19.501293</v>
      </c>
      <c r="E15">
        <v>19.565591000000001</v>
      </c>
      <c r="F15">
        <v>41.535603000000002</v>
      </c>
      <c r="G15">
        <v>42.759371000000002</v>
      </c>
      <c r="H15">
        <v>38.829292000000002</v>
      </c>
      <c r="I15">
        <v>30.948284000000001</v>
      </c>
      <c r="J15">
        <v>57.267817000000001</v>
      </c>
      <c r="K15">
        <v>53.546266000000003</v>
      </c>
      <c r="L15">
        <v>12.975937</v>
      </c>
      <c r="M15">
        <v>-622.51183600000002</v>
      </c>
      <c r="N15">
        <v>0.96146200000000004</v>
      </c>
      <c r="O15">
        <v>1.3743559999999999</v>
      </c>
      <c r="P15">
        <f t="shared" si="0"/>
        <v>1.6024366666666669E-5</v>
      </c>
      <c r="Q15" cm="1">
        <f t="array" ref="Q15">[1]!PropsSI("D","T",J15+273.15,"P",101325,"Water")</f>
        <v>984.57918459891016</v>
      </c>
      <c r="R15" cm="1">
        <f t="array" ref="R15">[1]!PropsSI("D","T",K15+273.15,"P",101325,"Water")</f>
        <v>986.39038203129439</v>
      </c>
      <c r="S15">
        <f t="shared" si="1"/>
        <v>985.48478331510228</v>
      </c>
      <c r="T15" cm="1">
        <f t="array" ref="T15">[1]!PropsSI("H","T",J15+273.15,"P",101325,"Water")</f>
        <v>239816.21450233727</v>
      </c>
      <c r="U15" cm="1">
        <f t="array" ref="U15">[1]!PropsSI("H","T",K15+273.15,"P",101325,"Water")</f>
        <v>224248.54325794696</v>
      </c>
      <c r="V15">
        <f t="shared" si="2"/>
        <v>245.84107613407684</v>
      </c>
      <c r="X15">
        <f t="shared" si="3"/>
        <v>0.26453563400000002</v>
      </c>
      <c r="Y15">
        <f t="shared" si="3"/>
        <v>0.25709253199999998</v>
      </c>
      <c r="Z15">
        <f t="shared" si="8"/>
        <v>0.36888436083134912</v>
      </c>
      <c r="AA15">
        <f t="shared" si="7"/>
        <v>3.7215509999999981</v>
      </c>
      <c r="AB15">
        <f t="shared" si="5"/>
        <v>9.9624291701170251E-2</v>
      </c>
      <c r="AC15">
        <f t="shared" si="6"/>
        <v>24.491743080910876</v>
      </c>
    </row>
    <row r="16" spans="1:29" x14ac:dyDescent="0.2">
      <c r="A16">
        <v>46136.860141041667</v>
      </c>
      <c r="B16">
        <v>19.600698999999999</v>
      </c>
      <c r="C16">
        <v>19.588042999999999</v>
      </c>
      <c r="D16">
        <v>19.519026</v>
      </c>
      <c r="E16">
        <v>19.562235000000001</v>
      </c>
      <c r="F16">
        <v>41.449517</v>
      </c>
      <c r="G16">
        <v>43.331963000000002</v>
      </c>
      <c r="H16">
        <v>38.948053999999999</v>
      </c>
      <c r="I16">
        <v>32.329846000000003</v>
      </c>
      <c r="J16">
        <v>57.275778000000003</v>
      </c>
      <c r="K16">
        <v>53.555332999999997</v>
      </c>
      <c r="L16">
        <v>13.051443000000001</v>
      </c>
      <c r="M16">
        <v>-622.49183700000003</v>
      </c>
      <c r="N16">
        <v>0.96056399999999997</v>
      </c>
      <c r="O16">
        <v>1.520014</v>
      </c>
      <c r="P16">
        <f t="shared" si="0"/>
        <v>1.60094E-5</v>
      </c>
      <c r="Q16" cm="1">
        <f t="array" ref="Q16">[1]!PropsSI("D","T",J16+273.15,"P",101325,"Water")</f>
        <v>984.57521896283401</v>
      </c>
      <c r="R16" cm="1">
        <f t="array" ref="R16">[1]!PropsSI("D","T",K16+273.15,"P",101325,"Water")</f>
        <v>986.38607404899108</v>
      </c>
      <c r="S16">
        <f t="shared" si="1"/>
        <v>985.48064650591255</v>
      </c>
      <c r="T16" cm="1">
        <f t="array" ref="T16">[1]!PropsSI("H","T",J16+273.15,"P",101325,"Water")</f>
        <v>239849.52187246052</v>
      </c>
      <c r="U16" cm="1">
        <f t="array" ref="U16">[1]!PropsSI("H","T",K16+273.15,"P",101325,"Water")</f>
        <v>224286.46551696231</v>
      </c>
      <c r="V16">
        <f t="shared" si="2"/>
        <v>245.53762207507415</v>
      </c>
      <c r="X16">
        <f t="shared" si="3"/>
        <v>0.26455155600000002</v>
      </c>
      <c r="Y16">
        <f t="shared" si="3"/>
        <v>0.25711066599999999</v>
      </c>
      <c r="Z16">
        <f t="shared" si="8"/>
        <v>0.36890841729755192</v>
      </c>
      <c r="AA16">
        <f t="shared" si="7"/>
        <v>3.7204450000000051</v>
      </c>
      <c r="AB16">
        <f t="shared" si="5"/>
        <v>9.9660042668205773E-2</v>
      </c>
      <c r="AC16">
        <f t="shared" si="6"/>
        <v>24.470289892651675</v>
      </c>
    </row>
    <row r="17" spans="1:29" x14ac:dyDescent="0.2">
      <c r="A17">
        <v>46136.860257361113</v>
      </c>
      <c r="B17">
        <v>19.640753</v>
      </c>
      <c r="C17">
        <v>19.610754</v>
      </c>
      <c r="D17">
        <v>19.531932000000001</v>
      </c>
      <c r="E17">
        <v>19.579381999999999</v>
      </c>
      <c r="F17">
        <v>41.640479999999997</v>
      </c>
      <c r="G17">
        <v>44.460178999999997</v>
      </c>
      <c r="H17">
        <v>38.527054</v>
      </c>
      <c r="I17">
        <v>30.379666</v>
      </c>
      <c r="J17">
        <v>57.283420999999997</v>
      </c>
      <c r="K17">
        <v>53.565829999999998</v>
      </c>
      <c r="L17">
        <v>12.951040000000001</v>
      </c>
      <c r="M17">
        <v>-622.53346799999997</v>
      </c>
      <c r="N17">
        <v>0.96335899999999997</v>
      </c>
      <c r="O17">
        <v>1.326905</v>
      </c>
      <c r="P17">
        <f t="shared" si="0"/>
        <v>1.6055983333333333E-5</v>
      </c>
      <c r="Q17" cm="1">
        <f t="array" ref="Q17">[1]!PropsSI("D","T",J17+273.15,"P",101325,"Water")</f>
        <v>984.57141137136205</v>
      </c>
      <c r="R17" cm="1">
        <f t="array" ref="R17">[1]!PropsSI("D","T",K17+273.15,"P",101325,"Water")</f>
        <v>986.38108598681811</v>
      </c>
      <c r="S17">
        <f t="shared" si="1"/>
        <v>985.47624867909008</v>
      </c>
      <c r="T17" cm="1">
        <f t="array" ref="T17">[1]!PropsSI("H","T",J17+273.15,"P",101325,"Water")</f>
        <v>239881.49881236668</v>
      </c>
      <c r="U17" cm="1">
        <f t="array" ref="U17">[1]!PropsSI("H","T",K17+273.15,"P",101325,"Water")</f>
        <v>224330.36871200395</v>
      </c>
      <c r="V17">
        <f t="shared" si="2"/>
        <v>246.06226932708466</v>
      </c>
      <c r="X17">
        <f t="shared" si="3"/>
        <v>0.26456684200000002</v>
      </c>
      <c r="Y17">
        <f t="shared" si="3"/>
        <v>0.25713165999999998</v>
      </c>
      <c r="Z17">
        <f t="shared" si="8"/>
        <v>0.36893401098327672</v>
      </c>
      <c r="AA17">
        <f t="shared" si="7"/>
        <v>3.7175909999999988</v>
      </c>
      <c r="AB17">
        <f t="shared" si="5"/>
        <v>9.974263159096361E-2</v>
      </c>
      <c r="AC17">
        <f t="shared" si="6"/>
        <v>24.542898277927872</v>
      </c>
    </row>
    <row r="18" spans="1:29" x14ac:dyDescent="0.2">
      <c r="A18">
        <v>46136.860373680553</v>
      </c>
      <c r="B18">
        <v>19.634522</v>
      </c>
      <c r="C18">
        <v>19.593771</v>
      </c>
      <c r="D18">
        <v>19.560942000000001</v>
      </c>
      <c r="E18">
        <v>19.576059999999998</v>
      </c>
      <c r="F18">
        <v>41.390115999999999</v>
      </c>
      <c r="G18">
        <v>44.082158</v>
      </c>
      <c r="H18">
        <v>39.498769000000003</v>
      </c>
      <c r="I18">
        <v>31.135119</v>
      </c>
      <c r="J18">
        <v>57.294567000000001</v>
      </c>
      <c r="K18">
        <v>53.600980999999997</v>
      </c>
      <c r="L18">
        <v>13.291430999999999</v>
      </c>
      <c r="M18">
        <v>-622.47836800000005</v>
      </c>
      <c r="N18">
        <v>0.96238400000000002</v>
      </c>
      <c r="O18">
        <v>1.501498</v>
      </c>
      <c r="P18">
        <f t="shared" si="0"/>
        <v>1.6039733333333335E-5</v>
      </c>
      <c r="Q18" cm="1">
        <f t="array" ref="Q18">[1]!PropsSI("D","T",J18+273.15,"P",101325,"Water")</f>
        <v>984.5658580195568</v>
      </c>
      <c r="R18" cm="1">
        <f t="array" ref="R18">[1]!PropsSI("D","T",K18+273.15,"P",101325,"Water")</f>
        <v>986.36437755075929</v>
      </c>
      <c r="S18">
        <f t="shared" si="1"/>
        <v>985.4651177851581</v>
      </c>
      <c r="T18" cm="1">
        <f t="array" ref="T18">[1]!PropsSI("H","T",J18+273.15,"P",101325,"Water")</f>
        <v>239928.13171677891</v>
      </c>
      <c r="U18" cm="1">
        <f t="array" ref="U18">[1]!PropsSI("H","T",K18+273.15,"P",101325,"Water")</f>
        <v>224477.38634286949</v>
      </c>
      <c r="V18">
        <f t="shared" si="2"/>
        <v>244.2237162685183</v>
      </c>
      <c r="X18">
        <f t="shared" si="3"/>
        <v>0.264589134</v>
      </c>
      <c r="Y18">
        <f t="shared" si="3"/>
        <v>0.25720196200000001</v>
      </c>
      <c r="Z18">
        <f t="shared" si="8"/>
        <v>0.36899899605218361</v>
      </c>
      <c r="AA18">
        <f t="shared" si="7"/>
        <v>3.6935860000000034</v>
      </c>
      <c r="AB18">
        <f t="shared" si="5"/>
        <v>0.10040188082356151</v>
      </c>
      <c r="AC18">
        <f t="shared" si="6"/>
        <v>24.520520455079076</v>
      </c>
    </row>
    <row r="19" spans="1:29" x14ac:dyDescent="0.2">
      <c r="A19">
        <v>46136.860489999999</v>
      </c>
      <c r="B19">
        <v>19.641943999999999</v>
      </c>
      <c r="C19">
        <v>19.604627000000001</v>
      </c>
      <c r="D19">
        <v>19.558038</v>
      </c>
      <c r="E19">
        <v>19.575543</v>
      </c>
      <c r="F19">
        <v>41.306448000000003</v>
      </c>
      <c r="G19">
        <v>42.395342999999997</v>
      </c>
      <c r="H19">
        <v>39.036940000000001</v>
      </c>
      <c r="I19">
        <v>30.482959000000001</v>
      </c>
      <c r="J19">
        <v>57.292656000000001</v>
      </c>
      <c r="K19">
        <v>53.595731999999998</v>
      </c>
      <c r="L19">
        <v>12.367395999999999</v>
      </c>
      <c r="M19">
        <v>-622.49632699999995</v>
      </c>
      <c r="N19">
        <v>0.96109299999999998</v>
      </c>
      <c r="O19">
        <v>1.7665200000000001</v>
      </c>
      <c r="P19">
        <f t="shared" si="0"/>
        <v>1.6018216666666665E-5</v>
      </c>
      <c r="Q19" cm="1">
        <f t="array" ref="Q19">[1]!PropsSI("D","T",J19+273.15,"P",101325,"Water")</f>
        <v>984.56681020434883</v>
      </c>
      <c r="R19" cm="1">
        <f t="array" ref="R19">[1]!PropsSI("D","T",K19+273.15,"P",101325,"Water")</f>
        <v>986.36687306910312</v>
      </c>
      <c r="S19">
        <f t="shared" si="1"/>
        <v>985.46684163672603</v>
      </c>
      <c r="T19" cm="1">
        <f t="array" ref="T19">[1]!PropsSI("H","T",J19+273.15,"P",101325,"Water")</f>
        <v>239920.13642525423</v>
      </c>
      <c r="U19" cm="1">
        <f t="array" ref="U19">[1]!PropsSI("H","T",K19+273.15,"P",101325,"Water")</f>
        <v>224455.43258671567</v>
      </c>
      <c r="V19">
        <f t="shared" si="2"/>
        <v>244.11686671884993</v>
      </c>
      <c r="X19">
        <f t="shared" si="3"/>
        <v>0.26458531200000002</v>
      </c>
      <c r="Y19">
        <f t="shared" si="3"/>
        <v>0.25719146399999998</v>
      </c>
      <c r="Z19">
        <f t="shared" si="8"/>
        <v>0.36898893815479161</v>
      </c>
      <c r="AA19">
        <f t="shared" si="7"/>
        <v>3.6969240000000028</v>
      </c>
      <c r="AB19">
        <f t="shared" si="5"/>
        <v>0.10030941932147552</v>
      </c>
      <c r="AC19">
        <f t="shared" si="6"/>
        <v>24.487221147145871</v>
      </c>
    </row>
    <row r="20" spans="1:29" x14ac:dyDescent="0.2">
      <c r="A20">
        <v>46136.860606319446</v>
      </c>
      <c r="B20">
        <v>19.678415999999999</v>
      </c>
      <c r="C20">
        <v>19.638777999999999</v>
      </c>
      <c r="D20">
        <v>19.586334000000001</v>
      </c>
      <c r="E20">
        <v>19.598327999999999</v>
      </c>
      <c r="F20">
        <v>42.288747000000001</v>
      </c>
      <c r="G20">
        <v>43.979880000000001</v>
      </c>
      <c r="H20">
        <v>38.952230999999998</v>
      </c>
      <c r="I20">
        <v>30.411163999999999</v>
      </c>
      <c r="J20">
        <v>57.287560999999997</v>
      </c>
      <c r="K20">
        <v>53.596369000000003</v>
      </c>
      <c r="L20">
        <v>12.37311</v>
      </c>
      <c r="M20">
        <v>-622.49877600000002</v>
      </c>
      <c r="N20">
        <v>0.95765500000000003</v>
      </c>
      <c r="O20">
        <v>1.586908</v>
      </c>
      <c r="P20">
        <f t="shared" si="0"/>
        <v>1.5960916666666668E-5</v>
      </c>
      <c r="Q20" cm="1">
        <f t="array" ref="Q20">[1]!PropsSI("D","T",J20+273.15,"P",101325,"Water")</f>
        <v>984.56934875730508</v>
      </c>
      <c r="R20" cm="1">
        <f t="array" ref="R20">[1]!PropsSI("D","T",K20+273.15,"P",101325,"Water")</f>
        <v>986.36657023110888</v>
      </c>
      <c r="S20">
        <f t="shared" si="1"/>
        <v>985.46795949420698</v>
      </c>
      <c r="T20" cm="1">
        <f t="array" ref="T20">[1]!PropsSI("H","T",J20+273.15,"P",101325,"Water")</f>
        <v>239898.81983874325</v>
      </c>
      <c r="U20" cm="1">
        <f t="array" ref="U20">[1]!PropsSI("H","T",K20+273.15,"P",101325,"Water")</f>
        <v>224458.0968161035</v>
      </c>
      <c r="V20">
        <f t="shared" si="2"/>
        <v>242.8666997610263</v>
      </c>
      <c r="X20">
        <f t="shared" si="3"/>
        <v>0.264575122</v>
      </c>
      <c r="Y20">
        <f t="shared" si="3"/>
        <v>0.25719273799999998</v>
      </c>
      <c r="Z20">
        <f t="shared" si="8"/>
        <v>0.36898251945214361</v>
      </c>
      <c r="AA20">
        <f t="shared" si="7"/>
        <v>3.6911919999999938</v>
      </c>
      <c r="AB20">
        <f t="shared" si="5"/>
        <v>0.10046191120859289</v>
      </c>
      <c r="AC20">
        <f t="shared" si="6"/>
        <v>24.398852826916212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952BA-65F0-6241-A14A-FD346CEE11B3}">
  <dimension ref="A1:AC62"/>
  <sheetViews>
    <sheetView topLeftCell="O1" workbookViewId="0">
      <selection activeCell="W4" sqref="W4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  <col min="23" max="23" width="33.83203125" customWidth="1"/>
    <col min="24" max="24" width="12.33203125" customWidth="1"/>
    <col min="25" max="25" width="12.83203125" customWidth="1"/>
    <col min="26" max="26" width="12" customWidth="1"/>
  </cols>
  <sheetData>
    <row r="1" spans="1:2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25</v>
      </c>
      <c r="U1" s="3" t="s">
        <v>26</v>
      </c>
      <c r="V1" s="3" t="s">
        <v>27</v>
      </c>
      <c r="W1" s="3" t="s">
        <v>28</v>
      </c>
      <c r="X1" s="3" t="s">
        <v>29</v>
      </c>
      <c r="Y1" s="3" t="s">
        <v>30</v>
      </c>
      <c r="Z1" s="3" t="s">
        <v>31</v>
      </c>
      <c r="AA1" s="3" t="s">
        <v>32</v>
      </c>
      <c r="AB1" s="3" t="s">
        <v>33</v>
      </c>
      <c r="AC1" s="3" t="s">
        <v>34</v>
      </c>
    </row>
    <row r="2" spans="1:29" x14ac:dyDescent="0.2">
      <c r="A2">
        <v>44674.861877155097</v>
      </c>
      <c r="B2">
        <v>19.907342</v>
      </c>
      <c r="C2">
        <v>19.771768000000002</v>
      </c>
      <c r="D2">
        <v>19.738295999999998</v>
      </c>
      <c r="E2">
        <v>19.707906999999999</v>
      </c>
      <c r="F2">
        <v>38.202880999999998</v>
      </c>
      <c r="G2">
        <v>36.310806999999997</v>
      </c>
      <c r="H2">
        <v>36.166321000000003</v>
      </c>
      <c r="I2">
        <v>29.551551</v>
      </c>
      <c r="J2">
        <v>57.221643</v>
      </c>
      <c r="K2">
        <v>51.348768999999997</v>
      </c>
      <c r="L2">
        <v>39.732556000000002</v>
      </c>
      <c r="M2">
        <v>-622.48163399999999</v>
      </c>
      <c r="N2">
        <v>0.95649899999999999</v>
      </c>
      <c r="O2">
        <v>1.915888</v>
      </c>
      <c r="P2">
        <f t="shared" ref="P2:P65" si="0" xml:space="preserve"> N2*0.001/60</f>
        <v>1.594165E-5</v>
      </c>
      <c r="Q2" cm="1">
        <f t="array" ref="Q2">[1]!PropsSI("D","T",J2+273.15,"P",101325,"Water")</f>
        <v>984.60217780619917</v>
      </c>
      <c r="R2" cm="1">
        <f t="array" ref="R2">[1]!PropsSI("D","T",K2+273.15,"P",101325,"Water")</f>
        <v>987.41906577321106</v>
      </c>
      <c r="S2">
        <f t="shared" ref="S2:S65" si="1">(Q2+R2)/2</f>
        <v>986.01062178970506</v>
      </c>
      <c r="T2" cm="1">
        <f t="array" ref="T2">[1]!PropsSI("H","T",J2+273.15,"P",101325,"Water")</f>
        <v>239623.0314133339</v>
      </c>
      <c r="U2" cm="1">
        <f t="array" ref="U2">[1]!PropsSI("H","T",K2+273.15,"P",101325,"Water")</f>
        <v>215058.42089028118</v>
      </c>
      <c r="V2">
        <f t="shared" ref="V2:V65" si="2">S2*P2*(T2-U2)</f>
        <v>386.12217691534096</v>
      </c>
      <c r="W2" s="3">
        <f>AVERAGE(V18:V62)</f>
        <v>396.8336409871265</v>
      </c>
      <c r="X2">
        <f>(0.15+0.002*ABS(J2))</f>
        <v>0.264443286</v>
      </c>
      <c r="Y2">
        <f>(0.15+0.002*ABS(K2))</f>
        <v>0.252697538</v>
      </c>
      <c r="Z2">
        <f>SQRT((X2)^2 + (Y2)^2)</f>
        <v>0.36576809213180317</v>
      </c>
      <c r="AA2">
        <f>J2-K2</f>
        <v>5.872874000000003</v>
      </c>
      <c r="AB2">
        <f>SQRT((0.01)^2 + (Z2/ABS(AA2))^2)</f>
        <v>6.3078641709981745E-2</v>
      </c>
      <c r="AC2">
        <f>ABS(V2*AB2)</f>
        <v>24.356062453920977</v>
      </c>
    </row>
    <row r="3" spans="1:29" x14ac:dyDescent="0.2">
      <c r="A3">
        <v>44674.861993474602</v>
      </c>
      <c r="B3">
        <v>19.871255999999999</v>
      </c>
      <c r="C3">
        <v>19.735748999999998</v>
      </c>
      <c r="D3">
        <v>19.724812</v>
      </c>
      <c r="E3">
        <v>19.687666</v>
      </c>
      <c r="F3">
        <v>38.801690000000001</v>
      </c>
      <c r="G3">
        <v>38.492637000000002</v>
      </c>
      <c r="H3">
        <v>36.092052000000002</v>
      </c>
      <c r="I3">
        <v>29.908315999999999</v>
      </c>
      <c r="J3">
        <v>57.215274000000001</v>
      </c>
      <c r="K3">
        <v>51.324133000000003</v>
      </c>
      <c r="L3">
        <v>39.092587999999999</v>
      </c>
      <c r="M3">
        <v>-622.49224500000003</v>
      </c>
      <c r="N3">
        <v>0.95910099999999998</v>
      </c>
      <c r="O3">
        <v>1.232969</v>
      </c>
      <c r="P3">
        <f t="shared" si="0"/>
        <v>1.5985016666666667E-5</v>
      </c>
      <c r="Q3" cm="1">
        <f t="array" ref="Q3">[1]!PropsSI("D","T",J3+273.15,"P",101325,"Water")</f>
        <v>984.60534835369094</v>
      </c>
      <c r="R3" cm="1">
        <f t="array" ref="R3">[1]!PropsSI("D","T",K3+273.15,"P",101325,"Water")</f>
        <v>987.43042289509106</v>
      </c>
      <c r="S3">
        <f t="shared" si="1"/>
        <v>986.01788562439106</v>
      </c>
      <c r="T3" cm="1">
        <f t="array" ref="T3">[1]!PropsSI("H","T",J3+273.15,"P",101325,"Water")</f>
        <v>239596.38481479502</v>
      </c>
      <c r="U3" cm="1">
        <f t="array" ref="U3">[1]!PropsSI("H","T",K3+273.15,"P",101325,"Water")</f>
        <v>214955.39966755843</v>
      </c>
      <c r="V3">
        <f t="shared" si="2"/>
        <v>388.37919135303309</v>
      </c>
      <c r="W3" s="3" t="s">
        <v>35</v>
      </c>
      <c r="X3">
        <f t="shared" ref="X3:Y55" si="3">(0.15+0.002*ABS(J3))</f>
        <v>0.26443054799999999</v>
      </c>
      <c r="Y3">
        <f t="shared" si="3"/>
        <v>0.25264826600000001</v>
      </c>
      <c r="Z3">
        <f t="shared" ref="Z3:Z55" si="4">SQRT((X3)^2 + (Y3)^2)</f>
        <v>0.36572484332949967</v>
      </c>
      <c r="AA3">
        <f>J3-K3</f>
        <v>5.8911409999999975</v>
      </c>
      <c r="AB3">
        <f t="shared" ref="AB3:AB66" si="5">SQRT((0.01)^2 + (Z3/ABS(AA3))^2)</f>
        <v>6.2880725377700203E-2</v>
      </c>
      <c r="AC3">
        <f t="shared" ref="AC3:AC66" si="6">ABS(V3*AB3)</f>
        <v>24.421565273883353</v>
      </c>
    </row>
    <row r="4" spans="1:29" x14ac:dyDescent="0.2">
      <c r="A4">
        <v>44674.862051923599</v>
      </c>
      <c r="B4">
        <v>19.858661000000001</v>
      </c>
      <c r="C4">
        <v>19.726277</v>
      </c>
      <c r="D4">
        <v>19.738797000000002</v>
      </c>
      <c r="E4">
        <v>19.687258</v>
      </c>
      <c r="F4">
        <v>38.349499000000002</v>
      </c>
      <c r="G4">
        <v>37.978917000000003</v>
      </c>
      <c r="H4">
        <v>34.941105999999998</v>
      </c>
      <c r="I4">
        <v>30.059151</v>
      </c>
      <c r="J4">
        <v>57.203014000000003</v>
      </c>
      <c r="K4">
        <v>51.311259</v>
      </c>
      <c r="L4">
        <v>40.195798000000003</v>
      </c>
      <c r="M4">
        <v>-622.51020400000004</v>
      </c>
      <c r="N4">
        <v>0.95986800000000005</v>
      </c>
      <c r="O4">
        <v>1.608689</v>
      </c>
      <c r="P4">
        <f t="shared" si="0"/>
        <v>1.5997800000000001E-5</v>
      </c>
      <c r="Q4" cm="1">
        <f t="array" ref="Q4">[1]!PropsSI("D","T",J4+273.15,"P",101325,"Water")</f>
        <v>984.6114508028412</v>
      </c>
      <c r="R4" cm="1">
        <f t="array" ref="R4">[1]!PropsSI("D","T",K4+273.15,"P",101325,"Water")</f>
        <v>987.43635621037106</v>
      </c>
      <c r="S4">
        <f t="shared" si="1"/>
        <v>986.02390350660608</v>
      </c>
      <c r="T4" cm="1">
        <f t="array" ref="T4">[1]!PropsSI("H","T",J4+273.15,"P",101325,"Water")</f>
        <v>239545.09151758903</v>
      </c>
      <c r="U4" cm="1">
        <f t="array" ref="U4">[1]!PropsSI("H","T",K4+273.15,"P",101325,"Water")</f>
        <v>214901.56408513591</v>
      </c>
      <c r="V4">
        <f t="shared" si="2"/>
        <v>388.73225580625962</v>
      </c>
      <c r="W4" s="3">
        <f>SQRT((AVERAGE(AC18:AC62))^2 + (_xlfn.STDEV.S(V18:V62)/SQRT(COUNT(V18:V62)))^2)</f>
        <v>24.360091800136775</v>
      </c>
      <c r="X4">
        <f t="shared" si="3"/>
        <v>0.26440602800000002</v>
      </c>
      <c r="Y4">
        <f t="shared" si="3"/>
        <v>0.25262251800000002</v>
      </c>
      <c r="Z4">
        <f t="shared" si="4"/>
        <v>0.36568932749452387</v>
      </c>
      <c r="AA4">
        <f t="shared" ref="AA4:AA67" si="7">J4-K4</f>
        <v>5.8917550000000034</v>
      </c>
      <c r="AB4">
        <f t="shared" si="5"/>
        <v>6.2868386783693039E-2</v>
      </c>
      <c r="AC4">
        <f t="shared" si="6"/>
        <v>24.438969813325432</v>
      </c>
    </row>
    <row r="5" spans="1:29" x14ac:dyDescent="0.2">
      <c r="A5">
        <v>44674.862109793998</v>
      </c>
      <c r="B5">
        <v>19.830206</v>
      </c>
      <c r="C5">
        <v>19.710602000000002</v>
      </c>
      <c r="D5">
        <v>19.709890999999999</v>
      </c>
      <c r="E5">
        <v>19.682320000000001</v>
      </c>
      <c r="F5">
        <v>38.639285000000001</v>
      </c>
      <c r="G5">
        <v>36.722479999999997</v>
      </c>
      <c r="H5">
        <v>35.480643000000001</v>
      </c>
      <c r="I5">
        <v>29.951438</v>
      </c>
      <c r="J5">
        <v>57.195213000000003</v>
      </c>
      <c r="K5">
        <v>51.294412000000001</v>
      </c>
      <c r="L5">
        <v>38.691383999999999</v>
      </c>
      <c r="M5">
        <v>-622.480817</v>
      </c>
      <c r="N5">
        <v>0.95762999999999998</v>
      </c>
      <c r="O5">
        <v>2.2763960000000001</v>
      </c>
      <c r="P5">
        <f t="shared" si="0"/>
        <v>1.5960500000000001E-5</v>
      </c>
      <c r="Q5" cm="1">
        <f t="array" ref="Q5">[1]!PropsSI("D","T",J5+273.15,"P",101325,"Water")</f>
        <v>984.61533329740757</v>
      </c>
      <c r="R5" cm="1">
        <f t="array" ref="R5">[1]!PropsSI("D","T",K5+273.15,"P",101325,"Water")</f>
        <v>987.44411896750739</v>
      </c>
      <c r="S5">
        <f t="shared" si="1"/>
        <v>986.02972613245743</v>
      </c>
      <c r="T5" cm="1">
        <f t="array" ref="T5">[1]!PropsSI("H","T",J5+273.15,"P",101325,"Water")</f>
        <v>239512.4537824374</v>
      </c>
      <c r="U5" cm="1">
        <f t="array" ref="U5">[1]!PropsSI("H","T",K5+273.15,"P",101325,"Water")</f>
        <v>214831.11456846149</v>
      </c>
      <c r="V5">
        <f t="shared" si="2"/>
        <v>388.42325323306648</v>
      </c>
      <c r="W5" s="3"/>
      <c r="X5">
        <f t="shared" si="3"/>
        <v>0.26439042600000001</v>
      </c>
      <c r="Y5">
        <f t="shared" si="3"/>
        <v>0.25258882399999999</v>
      </c>
      <c r="Z5">
        <f t="shared" si="4"/>
        <v>0.36565477074716862</v>
      </c>
      <c r="AA5">
        <f t="shared" si="7"/>
        <v>5.9008010000000013</v>
      </c>
      <c r="AB5">
        <f t="shared" si="5"/>
        <v>6.2768667560371874E-2</v>
      </c>
      <c r="AC5">
        <f t="shared" si="6"/>
        <v>24.38081005490449</v>
      </c>
    </row>
    <row r="6" spans="1:29" x14ac:dyDescent="0.2">
      <c r="A6">
        <v>46136.862167662039</v>
      </c>
      <c r="B6">
        <v>19.850742</v>
      </c>
      <c r="C6">
        <v>19.715403999999999</v>
      </c>
      <c r="D6">
        <v>19.715852000000002</v>
      </c>
      <c r="E6">
        <v>19.656496000000001</v>
      </c>
      <c r="F6">
        <v>38.322933999999997</v>
      </c>
      <c r="G6">
        <v>36.826808999999997</v>
      </c>
      <c r="H6">
        <v>35.069684000000002</v>
      </c>
      <c r="I6">
        <v>28.390706000000002</v>
      </c>
      <c r="J6">
        <v>57.188524999999998</v>
      </c>
      <c r="K6">
        <v>51.275339000000002</v>
      </c>
      <c r="L6">
        <v>40.472926999999999</v>
      </c>
      <c r="M6">
        <v>-622.50367300000005</v>
      </c>
      <c r="N6">
        <v>0.95699500000000004</v>
      </c>
      <c r="O6">
        <v>2.3931049999999998</v>
      </c>
      <c r="P6">
        <f t="shared" si="0"/>
        <v>1.5949916666666668E-5</v>
      </c>
      <c r="Q6" cm="1">
        <f t="array" ref="Q6">[1]!PropsSI("D","T",J6+273.15,"P",101325,"Water")</f>
        <v>984.61866156679389</v>
      </c>
      <c r="R6" cm="1">
        <f t="array" ref="R6">[1]!PropsSI("D","T",K6+273.15,"P",101325,"Water")</f>
        <v>987.45290520642948</v>
      </c>
      <c r="S6">
        <f t="shared" si="1"/>
        <v>986.03578338661168</v>
      </c>
      <c r="T6" cm="1">
        <f t="array" ref="T6">[1]!PropsSI("H","T",J6+273.15,"P",101325,"Water")</f>
        <v>239484.47262317748</v>
      </c>
      <c r="U6" cm="1">
        <f t="array" ref="U6">[1]!PropsSI("H","T",K6+273.15,"P",101325,"Water")</f>
        <v>214751.35663667385</v>
      </c>
      <c r="V6">
        <f t="shared" si="2"/>
        <v>388.98237917618769</v>
      </c>
      <c r="W6" s="3"/>
      <c r="X6">
        <f t="shared" si="3"/>
        <v>0.26437705</v>
      </c>
      <c r="Y6">
        <f t="shared" si="3"/>
        <v>0.25255067799999997</v>
      </c>
      <c r="Z6">
        <f t="shared" si="4"/>
        <v>0.36561874886958706</v>
      </c>
      <c r="AA6">
        <f t="shared" si="7"/>
        <v>5.9131859999999961</v>
      </c>
      <c r="AB6">
        <f t="shared" si="5"/>
        <v>6.2634526939221905E-2</v>
      </c>
      <c r="AC6">
        <f t="shared" si="6"/>
        <v>24.363727307393557</v>
      </c>
    </row>
    <row r="7" spans="1:29" x14ac:dyDescent="0.2">
      <c r="A7">
        <v>46136.862226111109</v>
      </c>
      <c r="B7">
        <v>19.800951999999999</v>
      </c>
      <c r="C7">
        <v>19.671600000000002</v>
      </c>
      <c r="D7">
        <v>19.691801999999999</v>
      </c>
      <c r="E7">
        <v>19.624457</v>
      </c>
      <c r="F7">
        <v>38.374873000000001</v>
      </c>
      <c r="G7">
        <v>36.773904000000002</v>
      </c>
      <c r="H7">
        <v>35.477009000000002</v>
      </c>
      <c r="I7">
        <v>30.009333999999999</v>
      </c>
      <c r="J7">
        <v>57.185977999999999</v>
      </c>
      <c r="K7">
        <v>51.261988000000002</v>
      </c>
      <c r="L7">
        <v>41.465530000000001</v>
      </c>
      <c r="M7">
        <v>-622.50693799999999</v>
      </c>
      <c r="N7">
        <v>0.95241799999999999</v>
      </c>
      <c r="O7">
        <v>0.99141900000000005</v>
      </c>
      <c r="P7">
        <f t="shared" si="0"/>
        <v>1.5873633333333333E-5</v>
      </c>
      <c r="Q7" cm="1">
        <f t="array" ref="Q7">[1]!PropsSI("D","T",J7+273.15,"P",101325,"Water")</f>
        <v>984.61992900469397</v>
      </c>
      <c r="R7" cm="1">
        <f t="array" ref="R7">[1]!PropsSI("D","T",K7+273.15,"P",101325,"Water")</f>
        <v>987.45905412843638</v>
      </c>
      <c r="S7">
        <f t="shared" si="1"/>
        <v>986.03949156656518</v>
      </c>
      <c r="T7" cm="1">
        <f t="array" ref="T7">[1]!PropsSI("H","T",J7+273.15,"P",101325,"Water")</f>
        <v>239473.81652546194</v>
      </c>
      <c r="U7" cm="1">
        <f t="array" ref="U7">[1]!PropsSI("H","T",K7+273.15,"P",101325,"Water")</f>
        <v>214695.52656826525</v>
      </c>
      <c r="V7">
        <f t="shared" si="2"/>
        <v>387.83052143763058</v>
      </c>
      <c r="W7" s="3"/>
      <c r="X7">
        <f t="shared" si="3"/>
        <v>0.26437195599999996</v>
      </c>
      <c r="Y7">
        <f t="shared" si="3"/>
        <v>0.25252397599999998</v>
      </c>
      <c r="Z7">
        <f t="shared" si="4"/>
        <v>0.3655966213931886</v>
      </c>
      <c r="AA7">
        <f t="shared" si="7"/>
        <v>5.9239899999999963</v>
      </c>
      <c r="AB7">
        <f t="shared" si="5"/>
        <v>6.2519523131698354E-2</v>
      </c>
      <c r="AC7">
        <f t="shared" si="6"/>
        <v>24.246979256198578</v>
      </c>
    </row>
    <row r="8" spans="1:29" x14ac:dyDescent="0.2">
      <c r="A8">
        <v>46136.862284560186</v>
      </c>
      <c r="B8">
        <v>19.750416999999999</v>
      </c>
      <c r="C8">
        <v>19.618981000000002</v>
      </c>
      <c r="D8">
        <v>19.614173999999998</v>
      </c>
      <c r="E8">
        <v>19.571588999999999</v>
      </c>
      <c r="F8">
        <v>38.364609999999999</v>
      </c>
      <c r="G8">
        <v>35.896845999999996</v>
      </c>
      <c r="H8">
        <v>34.654457999999998</v>
      </c>
      <c r="I8">
        <v>29.291506999999999</v>
      </c>
      <c r="J8">
        <v>57.179290999999999</v>
      </c>
      <c r="K8">
        <v>51.257855999999997</v>
      </c>
      <c r="L8">
        <v>42.471193999999997</v>
      </c>
      <c r="M8">
        <v>-622.51102000000003</v>
      </c>
      <c r="N8">
        <v>0.957098</v>
      </c>
      <c r="O8">
        <v>1.7666850000000001</v>
      </c>
      <c r="P8">
        <f t="shared" si="0"/>
        <v>1.5951633333333332E-5</v>
      </c>
      <c r="Q8" cm="1">
        <f t="array" ref="Q8">[1]!PropsSI("D","T",J8+273.15,"P",101325,"Water")</f>
        <v>984.62325640159224</v>
      </c>
      <c r="R8" cm="1">
        <f t="array" ref="R8">[1]!PropsSI("D","T",K8+273.15,"P",101325,"Water")</f>
        <v>987.46095692430526</v>
      </c>
      <c r="S8">
        <f t="shared" si="1"/>
        <v>986.04210666294875</v>
      </c>
      <c r="T8" cm="1">
        <f t="array" ref="T8">[1]!PropsSI("H","T",J8+273.15,"P",101325,"Water")</f>
        <v>239445.83957438901</v>
      </c>
      <c r="U8" cm="1">
        <f t="array" ref="U8">[1]!PropsSI("H","T",K8+273.15,"P",101325,"Water")</f>
        <v>214678.24773555377</v>
      </c>
      <c r="V8">
        <f t="shared" si="2"/>
        <v>389.56900960248561</v>
      </c>
      <c r="W8" s="3"/>
      <c r="X8">
        <f t="shared" si="3"/>
        <v>0.26435858200000001</v>
      </c>
      <c r="Y8">
        <f t="shared" si="3"/>
        <v>0.252515712</v>
      </c>
      <c r="Z8">
        <f>SQRT((X8)^2 + (Y8)^2)</f>
        <v>0.36558124224844701</v>
      </c>
      <c r="AA8">
        <f t="shared" si="7"/>
        <v>5.9214350000000024</v>
      </c>
      <c r="AB8">
        <f t="shared" si="5"/>
        <v>6.2543245458743013E-2</v>
      </c>
      <c r="AC8">
        <f t="shared" si="6"/>
        <v>24.36491019068767</v>
      </c>
    </row>
    <row r="9" spans="1:29" x14ac:dyDescent="0.2">
      <c r="A9">
        <v>46136.862343009256</v>
      </c>
      <c r="B9">
        <v>19.707626000000001</v>
      </c>
      <c r="C9">
        <v>19.558221</v>
      </c>
      <c r="D9">
        <v>19.584826</v>
      </c>
      <c r="E9">
        <v>19.564658999999999</v>
      </c>
      <c r="F9">
        <v>38.077012000000003</v>
      </c>
      <c r="G9">
        <v>36.991086000000003</v>
      </c>
      <c r="H9">
        <v>34.823585000000001</v>
      </c>
      <c r="I9">
        <v>28.334993000000001</v>
      </c>
      <c r="J9">
        <v>57.176903000000003</v>
      </c>
      <c r="K9">
        <v>51.238148000000002</v>
      </c>
      <c r="L9">
        <v>40.076211999999998</v>
      </c>
      <c r="M9">
        <v>-622.48000100000002</v>
      </c>
      <c r="N9">
        <v>0.958175</v>
      </c>
      <c r="O9">
        <v>1.440793</v>
      </c>
      <c r="P9">
        <f t="shared" si="0"/>
        <v>1.5969583333333334E-5</v>
      </c>
      <c r="Q9" cm="1">
        <f t="array" ref="Q9">[1]!PropsSI("D","T",J9+273.15,"P",101325,"Water")</f>
        <v>984.62444458520656</v>
      </c>
      <c r="R9" cm="1">
        <f t="array" ref="R9">[1]!PropsSI("D","T",K9+273.15,"P",101325,"Water")</f>
        <v>987.4700309863864</v>
      </c>
      <c r="S9">
        <f t="shared" si="1"/>
        <v>986.04723778579648</v>
      </c>
      <c r="T9" cm="1">
        <f t="array" ref="T9">[1]!PropsSI("H","T",J9+273.15,"P",101325,"Water")</f>
        <v>239435.84870697986</v>
      </c>
      <c r="U9" cm="1">
        <f t="array" ref="U9">[1]!PropsSI("H","T",K9+273.15,"P",101325,"Water")</f>
        <v>214595.83463251591</v>
      </c>
      <c r="V9">
        <f t="shared" si="2"/>
        <v>391.14982782233358</v>
      </c>
      <c r="W9" s="3"/>
      <c r="X9">
        <f t="shared" si="3"/>
        <v>0.26435380600000002</v>
      </c>
      <c r="Y9">
        <f t="shared" si="3"/>
        <v>0.25247629599999999</v>
      </c>
      <c r="Z9">
        <f t="shared" ref="Z9:Z72" si="8">SQRT((X9)^2 + (Y9)^2)</f>
        <v>0.36555056392866536</v>
      </c>
      <c r="AA9">
        <f t="shared" si="7"/>
        <v>5.9387550000000005</v>
      </c>
      <c r="AB9">
        <f t="shared" si="5"/>
        <v>6.2360412852928308E-2</v>
      </c>
      <c r="AC9">
        <f t="shared" si="6"/>
        <v>24.392264750352545</v>
      </c>
    </row>
    <row r="10" spans="1:29" x14ac:dyDescent="0.2">
      <c r="A10">
        <v>44674.862400881997</v>
      </c>
      <c r="B10">
        <v>19.665538999999999</v>
      </c>
      <c r="C10">
        <v>19.539359999999999</v>
      </c>
      <c r="D10">
        <v>19.563133000000001</v>
      </c>
      <c r="E10">
        <v>19.525582</v>
      </c>
      <c r="F10">
        <v>38.400542999999999</v>
      </c>
      <c r="G10">
        <v>37.287754999999997</v>
      </c>
      <c r="H10">
        <v>35.093547000000001</v>
      </c>
      <c r="I10">
        <v>29.859200999999999</v>
      </c>
      <c r="J10">
        <v>57.166871999999998</v>
      </c>
      <c r="K10">
        <v>51.227975999999998</v>
      </c>
      <c r="L10">
        <v>39.496648999999998</v>
      </c>
      <c r="M10">
        <v>-622.48408199999994</v>
      </c>
      <c r="N10">
        <v>0.95852400000000004</v>
      </c>
      <c r="O10">
        <v>1.3881829999999999</v>
      </c>
      <c r="P10">
        <f t="shared" si="0"/>
        <v>1.5975400000000003E-5</v>
      </c>
      <c r="Q10" cm="1">
        <f t="array" ref="Q10">[1]!PropsSI("D","T",J10+273.15,"P",101325,"Water")</f>
        <v>984.62943527488108</v>
      </c>
      <c r="R10" cm="1">
        <f t="array" ref="R10">[1]!PropsSI("D","T",K10+273.15,"P",101325,"Water")</f>
        <v>987.474713449874</v>
      </c>
      <c r="S10">
        <f t="shared" si="1"/>
        <v>986.05207436237754</v>
      </c>
      <c r="T10" cm="1">
        <f t="array" ref="T10">[1]!PropsSI("H","T",J10+273.15,"P",101325,"Water")</f>
        <v>239393.88123095882</v>
      </c>
      <c r="U10" cm="1">
        <f t="array" ref="U10">[1]!PropsSI("H","T",K10+273.15,"P",101325,"Water")</f>
        <v>214553.29834395304</v>
      </c>
      <c r="V10">
        <f t="shared" si="2"/>
        <v>391.30317748185331</v>
      </c>
      <c r="X10">
        <f t="shared" si="3"/>
        <v>0.26433374399999998</v>
      </c>
      <c r="Y10">
        <f t="shared" si="3"/>
        <v>0.25245595199999998</v>
      </c>
      <c r="Z10">
        <f t="shared" si="8"/>
        <v>0.365522004696412</v>
      </c>
      <c r="AA10">
        <f t="shared" si="7"/>
        <v>5.9388959999999997</v>
      </c>
      <c r="AB10">
        <f t="shared" si="5"/>
        <v>6.2354223771764146E-2</v>
      </c>
      <c r="AC10">
        <f t="shared" si="6"/>
        <v>24.399405891305822</v>
      </c>
    </row>
    <row r="11" spans="1:29" x14ac:dyDescent="0.2">
      <c r="A11">
        <v>44674.862459331103</v>
      </c>
      <c r="B11">
        <v>19.668424999999999</v>
      </c>
      <c r="C11">
        <v>19.542279000000001</v>
      </c>
      <c r="D11">
        <v>19.536176000000001</v>
      </c>
      <c r="E11">
        <v>19.511883999999998</v>
      </c>
      <c r="F11">
        <v>38.854903</v>
      </c>
      <c r="G11">
        <v>38.277048999999998</v>
      </c>
      <c r="H11">
        <v>35.177318</v>
      </c>
      <c r="I11">
        <v>29.145479999999999</v>
      </c>
      <c r="J11">
        <v>57.164802000000002</v>
      </c>
      <c r="K11">
        <v>51.208267999999997</v>
      </c>
      <c r="L11">
        <v>39.283599000000002</v>
      </c>
      <c r="M11">
        <v>-622.49183700000003</v>
      </c>
      <c r="N11">
        <v>0.95803199999999999</v>
      </c>
      <c r="O11">
        <v>1.3226610000000001</v>
      </c>
      <c r="P11">
        <f t="shared" si="0"/>
        <v>1.5967200000000002E-5</v>
      </c>
      <c r="Q11" cm="1">
        <f t="array" ref="Q11">[1]!PropsSI("D","T",J11+273.15,"P",101325,"Water")</f>
        <v>984.6304650789582</v>
      </c>
      <c r="R11" cm="1">
        <f t="array" ref="R11">[1]!PropsSI("D","T",K11+273.15,"P",101325,"Water")</f>
        <v>987.48378370329704</v>
      </c>
      <c r="S11">
        <f t="shared" si="1"/>
        <v>986.05712439112767</v>
      </c>
      <c r="T11" cm="1">
        <f t="array" ref="T11">[1]!PropsSI("H","T",J11+273.15,"P",101325,"Water")</f>
        <v>239385.22081567135</v>
      </c>
      <c r="U11" cm="1">
        <f t="array" ref="U11">[1]!PropsSI("H","T",K11+273.15,"P",101325,"Water")</f>
        <v>214470.88541933976</v>
      </c>
      <c r="V11">
        <f t="shared" si="2"/>
        <v>392.26553045268673</v>
      </c>
      <c r="X11">
        <f t="shared" si="3"/>
        <v>0.264329604</v>
      </c>
      <c r="Y11">
        <f t="shared" si="3"/>
        <v>0.25241653600000002</v>
      </c>
      <c r="Z11">
        <f t="shared" si="8"/>
        <v>0.36549178813898964</v>
      </c>
      <c r="AA11">
        <f t="shared" si="7"/>
        <v>5.9565340000000049</v>
      </c>
      <c r="AB11">
        <f t="shared" si="5"/>
        <v>6.216933450032517E-2</v>
      </c>
      <c r="AC11">
        <f t="shared" si="6"/>
        <v>24.38688697566057</v>
      </c>
    </row>
    <row r="12" spans="1:29" x14ac:dyDescent="0.2">
      <c r="A12">
        <v>44674.8625172014</v>
      </c>
      <c r="B12">
        <v>19.657933</v>
      </c>
      <c r="C12">
        <v>19.555540000000001</v>
      </c>
      <c r="D12">
        <v>19.527806000000002</v>
      </c>
      <c r="E12">
        <v>19.500527999999999</v>
      </c>
      <c r="F12">
        <v>38.255651999999998</v>
      </c>
      <c r="G12">
        <v>35.499949000000001</v>
      </c>
      <c r="H12">
        <v>35.992227</v>
      </c>
      <c r="I12">
        <v>28.971599999999999</v>
      </c>
      <c r="J12">
        <v>57.155248999999998</v>
      </c>
      <c r="K12">
        <v>51.192692999999998</v>
      </c>
      <c r="L12">
        <v>39.623989999999999</v>
      </c>
      <c r="M12">
        <v>-622.480817</v>
      </c>
      <c r="N12">
        <v>0.95987999999999996</v>
      </c>
      <c r="O12">
        <v>1.380558</v>
      </c>
      <c r="P12">
        <f t="shared" si="0"/>
        <v>1.5997999999999998E-5</v>
      </c>
      <c r="Q12" cm="1">
        <f t="array" ref="Q12">[1]!PropsSI("D","T",J12+273.15,"P",101325,"Water")</f>
        <v>984.63521726288809</v>
      </c>
      <c r="R12" cm="1">
        <f t="array" ref="R12">[1]!PropsSI("D","T",K12+273.15,"P",101325,"Water")</f>
        <v>987.49095004006062</v>
      </c>
      <c r="S12">
        <f t="shared" si="1"/>
        <v>986.06308365147436</v>
      </c>
      <c r="T12" cm="1">
        <f t="array" ref="T12">[1]!PropsSI("H","T",J12+273.15,"P",101325,"Water")</f>
        <v>239345.25323021531</v>
      </c>
      <c r="U12" cm="1">
        <f t="array" ref="U12">[1]!PropsSI("H","T",K12+273.15,"P",101325,"Water")</f>
        <v>214405.75553997629</v>
      </c>
      <c r="V12">
        <f t="shared" si="2"/>
        <v>393.4215041185002</v>
      </c>
      <c r="X12">
        <f t="shared" si="3"/>
        <v>0.264310498</v>
      </c>
      <c r="Y12">
        <f t="shared" si="3"/>
        <v>0.25238538599999999</v>
      </c>
      <c r="Z12">
        <f t="shared" si="8"/>
        <v>0.36545645762440288</v>
      </c>
      <c r="AA12">
        <f t="shared" si="7"/>
        <v>5.9625559999999993</v>
      </c>
      <c r="AB12">
        <f t="shared" si="5"/>
        <v>6.210232263087824E-2</v>
      </c>
      <c r="AC12">
        <f t="shared" si="6"/>
        <v>24.432389178692492</v>
      </c>
    </row>
    <row r="13" spans="1:29" x14ac:dyDescent="0.2">
      <c r="A13">
        <v>44674.862575650499</v>
      </c>
      <c r="B13">
        <v>19.649415000000001</v>
      </c>
      <c r="C13">
        <v>19.541675000000001</v>
      </c>
      <c r="D13">
        <v>19.510204000000002</v>
      </c>
      <c r="E13">
        <v>19.45664</v>
      </c>
      <c r="F13">
        <v>38.526178000000002</v>
      </c>
      <c r="G13">
        <v>36.555824999999999</v>
      </c>
      <c r="H13">
        <v>35.591464999999999</v>
      </c>
      <c r="I13">
        <v>29.089221999999999</v>
      </c>
      <c r="J13">
        <v>57.153497999999999</v>
      </c>
      <c r="K13">
        <v>51.180137000000002</v>
      </c>
      <c r="L13">
        <v>40.244774999999997</v>
      </c>
      <c r="M13">
        <v>-622.48326599999996</v>
      </c>
      <c r="N13">
        <v>0.960704</v>
      </c>
      <c r="O13">
        <v>1.476413</v>
      </c>
      <c r="P13">
        <f t="shared" si="0"/>
        <v>1.6011733333333335E-5</v>
      </c>
      <c r="Q13" cm="1">
        <f t="array" ref="Q13">[1]!PropsSI("D","T",J13+273.15,"P",101325,"Water")</f>
        <v>984.63608824583343</v>
      </c>
      <c r="R13" cm="1">
        <f t="array" ref="R13">[1]!PropsSI("D","T",K13+273.15,"P",101325,"Water")</f>
        <v>987.49672613803625</v>
      </c>
      <c r="S13">
        <f t="shared" si="1"/>
        <v>986.06640719193479</v>
      </c>
      <c r="T13" cm="1">
        <f t="array" ref="T13">[1]!PropsSI("H","T",J13+273.15,"P",101325,"Water")</f>
        <v>239337.92744723379</v>
      </c>
      <c r="U13" cm="1">
        <f t="array" ref="U13">[1]!PropsSI("H","T",K13+273.15,"P",101325,"Water")</f>
        <v>214353.25024730249</v>
      </c>
      <c r="V13">
        <f t="shared" si="2"/>
        <v>394.47388296585893</v>
      </c>
      <c r="X13">
        <f t="shared" si="3"/>
        <v>0.26430699599999996</v>
      </c>
      <c r="Y13">
        <f t="shared" si="3"/>
        <v>0.252360274</v>
      </c>
      <c r="Z13">
        <f t="shared" si="8"/>
        <v>0.36543658277175683</v>
      </c>
      <c r="AA13">
        <f t="shared" si="7"/>
        <v>5.973360999999997</v>
      </c>
      <c r="AB13">
        <f t="shared" si="5"/>
        <v>6.1989619565837553E-2</v>
      </c>
      <c r="AC13">
        <f t="shared" si="6"/>
        <v>24.453285933712323</v>
      </c>
    </row>
    <row r="14" spans="1:29" x14ac:dyDescent="0.2">
      <c r="A14">
        <v>44674.862634099598</v>
      </c>
      <c r="B14">
        <v>19.61196</v>
      </c>
      <c r="C14">
        <v>19.538409999999999</v>
      </c>
      <c r="D14">
        <v>19.516953000000001</v>
      </c>
      <c r="E14">
        <v>19.469017999999998</v>
      </c>
      <c r="F14">
        <v>38.376913999999999</v>
      </c>
      <c r="G14">
        <v>36.557707999999998</v>
      </c>
      <c r="H14">
        <v>34.718885</v>
      </c>
      <c r="I14">
        <v>29.683284</v>
      </c>
      <c r="J14">
        <v>57.147607000000001</v>
      </c>
      <c r="K14">
        <v>51.172350000000002</v>
      </c>
      <c r="L14">
        <v>39.557870999999999</v>
      </c>
      <c r="M14">
        <v>-622.50938699999995</v>
      </c>
      <c r="N14">
        <v>0.95858500000000002</v>
      </c>
      <c r="O14">
        <v>1.4243619999999999</v>
      </c>
      <c r="P14">
        <f t="shared" si="0"/>
        <v>1.5976416666666668E-5</v>
      </c>
      <c r="Q14" cm="1">
        <f t="array" ref="Q14">[1]!PropsSI("D","T",J14+273.15,"P",101325,"Water")</f>
        <v>984.6390184120803</v>
      </c>
      <c r="R14" cm="1">
        <f t="array" ref="R14">[1]!PropsSI("D","T",K14+273.15,"P",101325,"Water")</f>
        <v>987.50030785508216</v>
      </c>
      <c r="S14">
        <f t="shared" si="1"/>
        <v>986.06966313358123</v>
      </c>
      <c r="T14" cm="1">
        <f t="array" ref="T14">[1]!PropsSI("H","T",J14+273.15,"P",101325,"Water")</f>
        <v>239313.28086127219</v>
      </c>
      <c r="U14" cm="1">
        <f t="array" ref="U14">[1]!PropsSI("H","T",K14+273.15,"P",101325,"Water")</f>
        <v>214320.68745551546</v>
      </c>
      <c r="V14">
        <f t="shared" si="2"/>
        <v>393.72981256723494</v>
      </c>
      <c r="X14">
        <f t="shared" si="3"/>
        <v>0.264295214</v>
      </c>
      <c r="Y14">
        <f t="shared" si="3"/>
        <v>0.25234469999999998</v>
      </c>
      <c r="Z14">
        <f t="shared" si="8"/>
        <v>0.36541730632442104</v>
      </c>
      <c r="AA14">
        <f t="shared" si="7"/>
        <v>5.9752569999999992</v>
      </c>
      <c r="AB14">
        <f t="shared" si="5"/>
        <v>6.1967277920137655E-2</v>
      </c>
      <c r="AC14">
        <f t="shared" si="6"/>
        <v>24.398364720797556</v>
      </c>
    </row>
    <row r="15" spans="1:29" x14ac:dyDescent="0.2">
      <c r="A15">
        <v>46136.862691967595</v>
      </c>
      <c r="B15">
        <v>19.620571000000002</v>
      </c>
      <c r="C15">
        <v>19.535798</v>
      </c>
      <c r="D15">
        <v>19.515988</v>
      </c>
      <c r="E15">
        <v>19.492698000000001</v>
      </c>
      <c r="F15">
        <v>38.263131999999999</v>
      </c>
      <c r="G15">
        <v>36.626091000000002</v>
      </c>
      <c r="H15">
        <v>36.128084999999999</v>
      </c>
      <c r="I15">
        <v>29.579979999999999</v>
      </c>
      <c r="J15">
        <v>57.146332999999998</v>
      </c>
      <c r="K15">
        <v>51.162337000000001</v>
      </c>
      <c r="L15">
        <v>40.440683999999997</v>
      </c>
      <c r="M15">
        <v>-622.49428599999999</v>
      </c>
      <c r="N15">
        <v>0.95321699999999998</v>
      </c>
      <c r="O15">
        <v>1.7485379999999999</v>
      </c>
      <c r="P15">
        <f t="shared" si="0"/>
        <v>1.5886949999999999E-5</v>
      </c>
      <c r="Q15" cm="1">
        <f t="array" ref="Q15">[1]!PropsSI("D","T",J15+273.15,"P",101325,"Water")</f>
        <v>984.63965206827095</v>
      </c>
      <c r="R15" cm="1">
        <f t="array" ref="R15">[1]!PropsSI("D","T",K15+273.15,"P",101325,"Water")</f>
        <v>987.50491286874114</v>
      </c>
      <c r="S15">
        <f t="shared" si="1"/>
        <v>986.07228246850605</v>
      </c>
      <c r="T15" cm="1">
        <f t="array" ref="T15">[1]!PropsSI("H","T",J15+273.15,"P",101325,"Water")</f>
        <v>239307.95074069957</v>
      </c>
      <c r="U15" cm="1">
        <f t="array" ref="U15">[1]!PropsSI("H","T",K15+273.15,"P",101325,"Water")</f>
        <v>214278.81625681827</v>
      </c>
      <c r="V15">
        <f t="shared" si="2"/>
        <v>392.09843773105712</v>
      </c>
      <c r="X15">
        <f t="shared" si="3"/>
        <v>0.26429266600000001</v>
      </c>
      <c r="Y15">
        <f t="shared" si="3"/>
        <v>0.25232467400000003</v>
      </c>
      <c r="Z15">
        <f t="shared" si="8"/>
        <v>0.36540163438413059</v>
      </c>
      <c r="AA15">
        <f t="shared" si="7"/>
        <v>5.9839959999999977</v>
      </c>
      <c r="AB15">
        <f t="shared" si="5"/>
        <v>6.1876555044500577E-2</v>
      </c>
      <c r="AC15">
        <f t="shared" si="6"/>
        <v>24.261700565128436</v>
      </c>
    </row>
    <row r="16" spans="1:29" x14ac:dyDescent="0.2">
      <c r="A16">
        <v>46136.862750416665</v>
      </c>
      <c r="B16">
        <v>19.627109000000001</v>
      </c>
      <c r="C16">
        <v>19.544336000000001</v>
      </c>
      <c r="D16">
        <v>19.521747000000001</v>
      </c>
      <c r="E16">
        <v>19.486913000000001</v>
      </c>
      <c r="F16">
        <v>38.47119</v>
      </c>
      <c r="G16">
        <v>37.099674</v>
      </c>
      <c r="H16">
        <v>34.908068</v>
      </c>
      <c r="I16">
        <v>28.984762</v>
      </c>
      <c r="J16">
        <v>57.142512000000004</v>
      </c>
      <c r="K16">
        <v>51.156773999999999</v>
      </c>
      <c r="L16">
        <v>39.686028</v>
      </c>
      <c r="M16">
        <v>-622.52326400000004</v>
      </c>
      <c r="N16">
        <v>0.956569</v>
      </c>
      <c r="O16">
        <v>1.617445</v>
      </c>
      <c r="P16">
        <f t="shared" si="0"/>
        <v>1.5942816666666666E-5</v>
      </c>
      <c r="Q16" cm="1">
        <f t="array" ref="Q16">[1]!PropsSI("D","T",J16+273.15,"P",101325,"Water")</f>
        <v>984.64155248030249</v>
      </c>
      <c r="R16" cm="1">
        <f t="array" ref="R16">[1]!PropsSI("D","T",K16+273.15,"P",101325,"Water")</f>
        <v>987.50747103142203</v>
      </c>
      <c r="S16">
        <f t="shared" si="1"/>
        <v>986.0745117558622</v>
      </c>
      <c r="T16" cm="1">
        <f t="array" ref="T16">[1]!PropsSI("H","T",J16+273.15,"P",101325,"Water")</f>
        <v>239291.96456684143</v>
      </c>
      <c r="U16" cm="1">
        <f t="array" ref="U16">[1]!PropsSI("H","T",K16+273.15,"P",101325,"Water")</f>
        <v>214255.5535635571</v>
      </c>
      <c r="V16">
        <f t="shared" si="2"/>
        <v>393.59253930324866</v>
      </c>
      <c r="X16">
        <f t="shared" si="3"/>
        <v>0.26428502399999998</v>
      </c>
      <c r="Y16">
        <f t="shared" si="3"/>
        <v>0.252313548</v>
      </c>
      <c r="Z16">
        <f t="shared" si="8"/>
        <v>0.3653884240298656</v>
      </c>
      <c r="AA16">
        <f t="shared" si="7"/>
        <v>5.9857380000000049</v>
      </c>
      <c r="AB16">
        <f t="shared" si="5"/>
        <v>6.1856839870289525E-2</v>
      </c>
      <c r="AC16">
        <f t="shared" si="6"/>
        <v>24.346390677821688</v>
      </c>
    </row>
    <row r="17" spans="1:29" x14ac:dyDescent="0.2">
      <c r="A17">
        <v>46136.862808865742</v>
      </c>
      <c r="B17">
        <v>19.656303000000001</v>
      </c>
      <c r="C17">
        <v>19.583237</v>
      </c>
      <c r="D17">
        <v>19.517040000000001</v>
      </c>
      <c r="E17">
        <v>19.525424000000001</v>
      </c>
      <c r="F17">
        <v>38.257488000000002</v>
      </c>
      <c r="G17">
        <v>35.264913</v>
      </c>
      <c r="H17">
        <v>35.737192999999998</v>
      </c>
      <c r="I17">
        <v>30.156773000000001</v>
      </c>
      <c r="J17">
        <v>57.137894000000003</v>
      </c>
      <c r="K17">
        <v>51.140881</v>
      </c>
      <c r="L17">
        <v>40.973717999999998</v>
      </c>
      <c r="M17">
        <v>-622.48244999999997</v>
      </c>
      <c r="N17">
        <v>0.95716299999999999</v>
      </c>
      <c r="O17">
        <v>1.7015960000000001</v>
      </c>
      <c r="P17">
        <f t="shared" si="0"/>
        <v>1.5952716666666667E-5</v>
      </c>
      <c r="Q17" cm="1">
        <f t="array" ref="Q17">[1]!PropsSI("D","T",J17+273.15,"P",101325,"Water")</f>
        <v>984.64384916981294</v>
      </c>
      <c r="R17" cm="1">
        <f t="array" ref="R17">[1]!PropsSI("D","T",K17+273.15,"P",101325,"Water")</f>
        <v>987.51477837271932</v>
      </c>
      <c r="S17">
        <f t="shared" si="1"/>
        <v>986.07931377126613</v>
      </c>
      <c r="T17" cm="1">
        <f t="array" ref="T17">[1]!PropsSI("H","T",J17+273.15,"P",101325,"Water")</f>
        <v>239272.64393825206</v>
      </c>
      <c r="U17" cm="1">
        <f t="array" ref="U17">[1]!PropsSI("H","T",K17+273.15,"P",101325,"Water")</f>
        <v>214189.09415354754</v>
      </c>
      <c r="V17">
        <f t="shared" si="2"/>
        <v>394.58038949774971</v>
      </c>
      <c r="X17">
        <f t="shared" si="3"/>
        <v>0.26427578800000001</v>
      </c>
      <c r="Y17">
        <f t="shared" si="3"/>
        <v>0.25228176199999996</v>
      </c>
      <c r="Z17">
        <f t="shared" si="8"/>
        <v>0.36535979466937185</v>
      </c>
      <c r="AA17">
        <f t="shared" si="7"/>
        <v>5.9970130000000026</v>
      </c>
      <c r="AB17">
        <f t="shared" si="5"/>
        <v>6.1738873988518635E-2</v>
      </c>
      <c r="AC17">
        <f t="shared" si="6"/>
        <v>24.360948945542169</v>
      </c>
    </row>
    <row r="18" spans="1:29" x14ac:dyDescent="0.2">
      <c r="A18">
        <v>46136.862867314812</v>
      </c>
      <c r="B18">
        <v>19.666245</v>
      </c>
      <c r="C18">
        <v>19.606594999999999</v>
      </c>
      <c r="D18">
        <v>19.529641999999999</v>
      </c>
      <c r="E18">
        <v>19.514710000000001</v>
      </c>
      <c r="F18">
        <v>38.211533000000003</v>
      </c>
      <c r="G18">
        <v>37.856639000000001</v>
      </c>
      <c r="H18">
        <v>34.844937999999999</v>
      </c>
      <c r="I18">
        <v>29.131720000000001</v>
      </c>
      <c r="J18">
        <v>57.133436000000003</v>
      </c>
      <c r="K18">
        <v>51.132776</v>
      </c>
      <c r="L18">
        <v>40.206817999999998</v>
      </c>
      <c r="M18">
        <v>-622.48816399999998</v>
      </c>
      <c r="N18">
        <v>0.95882699999999998</v>
      </c>
      <c r="O18">
        <v>1.6291869999999999</v>
      </c>
      <c r="P18">
        <f t="shared" si="0"/>
        <v>1.598045E-5</v>
      </c>
      <c r="Q18" cm="1">
        <f t="array" ref="Q18">[1]!PropsSI("D","T",J18+273.15,"P",101325,"Water")</f>
        <v>984.64606616299852</v>
      </c>
      <c r="R18" cm="1">
        <f t="array" ref="R18">[1]!PropsSI("D","T",K18+273.15,"P",101325,"Water")</f>
        <v>987.51850428946489</v>
      </c>
      <c r="S18">
        <f t="shared" si="1"/>
        <v>986.08228522623176</v>
      </c>
      <c r="T18" cm="1">
        <f t="array" ref="T18">[1]!PropsSI("H","T",J18+273.15,"P",101325,"Water")</f>
        <v>239253.99272008985</v>
      </c>
      <c r="U18" cm="1">
        <f t="array" ref="U18">[1]!PropsSI("H","T",K18+273.15,"P",101325,"Water")</f>
        <v>214155.20168186832</v>
      </c>
      <c r="V18">
        <f t="shared" si="2"/>
        <v>395.50771937264534</v>
      </c>
      <c r="X18">
        <f t="shared" si="3"/>
        <v>0.26426687199999999</v>
      </c>
      <c r="Y18">
        <f t="shared" si="3"/>
        <v>0.252265552</v>
      </c>
      <c r="Z18">
        <f t="shared" si="8"/>
        <v>0.36534215245784202</v>
      </c>
      <c r="AA18">
        <f t="shared" si="7"/>
        <v>6.0006600000000034</v>
      </c>
      <c r="AB18">
        <f t="shared" si="5"/>
        <v>6.1699434701965802E-2</v>
      </c>
      <c r="AC18">
        <f t="shared" si="6"/>
        <v>24.402602705555946</v>
      </c>
    </row>
    <row r="19" spans="1:29" x14ac:dyDescent="0.2">
      <c r="A19">
        <v>46136.862925185182</v>
      </c>
      <c r="B19">
        <v>19.709723</v>
      </c>
      <c r="C19">
        <v>19.644613</v>
      </c>
      <c r="D19">
        <v>19.566870999999999</v>
      </c>
      <c r="E19">
        <v>19.524041</v>
      </c>
      <c r="F19">
        <v>38.519263000000002</v>
      </c>
      <c r="G19">
        <v>36.866495999999998</v>
      </c>
      <c r="H19">
        <v>35.4529</v>
      </c>
      <c r="I19">
        <v>28.669008999999999</v>
      </c>
      <c r="J19">
        <v>57.124519999999997</v>
      </c>
      <c r="K19">
        <v>51.128802999999998</v>
      </c>
      <c r="L19">
        <v>40.438642999999999</v>
      </c>
      <c r="M19">
        <v>-622.48775599999999</v>
      </c>
      <c r="N19">
        <v>0.95873699999999995</v>
      </c>
      <c r="O19">
        <v>1.8719570000000001</v>
      </c>
      <c r="P19">
        <f t="shared" si="0"/>
        <v>1.5978950000000001E-5</v>
      </c>
      <c r="Q19" cm="1">
        <f t="array" ref="Q19">[1]!PropsSI("D","T",J19+273.15,"P",101325,"Water")</f>
        <v>984.65049978724051</v>
      </c>
      <c r="R19" cm="1">
        <f t="array" ref="R19">[1]!PropsSI("D","T",K19+273.15,"P",101325,"Water")</f>
        <v>987.52033054584012</v>
      </c>
      <c r="S19">
        <f t="shared" si="1"/>
        <v>986.08541516654032</v>
      </c>
      <c r="T19" cm="1">
        <f t="array" ref="T19">[1]!PropsSI("H","T",J19+273.15,"P",101325,"Water")</f>
        <v>239216.69030725688</v>
      </c>
      <c r="U19" cm="1">
        <f t="array" ref="U19">[1]!PropsSI("H","T",K19+273.15,"P",101325,"Water")</f>
        <v>214138.58789640228</v>
      </c>
      <c r="V19">
        <f t="shared" si="2"/>
        <v>395.14586780921843</v>
      </c>
      <c r="X19">
        <f t="shared" si="3"/>
        <v>0.26424903999999999</v>
      </c>
      <c r="Y19">
        <f t="shared" si="3"/>
        <v>0.25225760600000002</v>
      </c>
      <c r="Z19">
        <f t="shared" si="8"/>
        <v>0.36532376726100485</v>
      </c>
      <c r="AA19">
        <f t="shared" si="7"/>
        <v>5.9957169999999991</v>
      </c>
      <c r="AB19">
        <f t="shared" si="5"/>
        <v>6.1745939499802276E-2</v>
      </c>
      <c r="AC19">
        <f t="shared" si="6"/>
        <v>24.39865284734487</v>
      </c>
    </row>
    <row r="20" spans="1:29" x14ac:dyDescent="0.2">
      <c r="A20">
        <v>46136.862983634259</v>
      </c>
      <c r="B20">
        <v>19.706887999999999</v>
      </c>
      <c r="C20">
        <v>19.655951000000002</v>
      </c>
      <c r="D20">
        <v>19.586224999999999</v>
      </c>
      <c r="E20">
        <v>19.546495</v>
      </c>
      <c r="F20">
        <v>38.531393999999999</v>
      </c>
      <c r="G20">
        <v>38.027751000000002</v>
      </c>
      <c r="H20">
        <v>35.319586999999999</v>
      </c>
      <c r="I20">
        <v>29.493435000000002</v>
      </c>
      <c r="J20">
        <v>57.123883999999997</v>
      </c>
      <c r="K20">
        <v>51.119585000000001</v>
      </c>
      <c r="L20">
        <v>39.997849000000002</v>
      </c>
      <c r="M20">
        <v>-622.46938899999998</v>
      </c>
      <c r="N20">
        <v>0.95650299999999999</v>
      </c>
      <c r="O20">
        <v>1.4146909999999999</v>
      </c>
      <c r="P20">
        <f t="shared" si="0"/>
        <v>1.5941716666666667E-5</v>
      </c>
      <c r="Q20" cm="1">
        <f t="array" ref="Q20">[1]!PropsSI("D","T",J20+273.15,"P",101325,"Water")</f>
        <v>984.65081602999624</v>
      </c>
      <c r="R20" cm="1">
        <f t="array" ref="R20">[1]!PropsSI("D","T",K20+273.15,"P",101325,"Water")</f>
        <v>987.524567361138</v>
      </c>
      <c r="S20">
        <f t="shared" si="1"/>
        <v>986.08769169556717</v>
      </c>
      <c r="T20" cm="1">
        <f t="array" ref="T20">[1]!PropsSI("H","T",J20+273.15,"P",101325,"Water")</f>
        <v>239214.02943647417</v>
      </c>
      <c r="U20" cm="1">
        <f t="array" ref="U20">[1]!PropsSI("H","T",K20+273.15,"P",101325,"Water")</f>
        <v>214100.04125614776</v>
      </c>
      <c r="V20">
        <f t="shared" si="2"/>
        <v>394.79015102020657</v>
      </c>
      <c r="X20">
        <f t="shared" si="3"/>
        <v>0.26424776799999999</v>
      </c>
      <c r="Y20">
        <f t="shared" si="3"/>
        <v>0.25223917000000001</v>
      </c>
      <c r="Z20">
        <f t="shared" si="8"/>
        <v>0.36531011726377183</v>
      </c>
      <c r="AA20">
        <f t="shared" si="7"/>
        <v>6.0042989999999961</v>
      </c>
      <c r="AB20">
        <f t="shared" si="5"/>
        <v>6.1657758621589398E-2</v>
      </c>
      <c r="AC20">
        <f t="shared" si="6"/>
        <v>24.341875837784723</v>
      </c>
    </row>
    <row r="21" spans="1:29" x14ac:dyDescent="0.2">
      <c r="A21">
        <v>46136.863042083336</v>
      </c>
      <c r="B21">
        <v>19.761448000000001</v>
      </c>
      <c r="C21">
        <v>19.710242999999998</v>
      </c>
      <c r="D21">
        <v>19.587401</v>
      </c>
      <c r="E21">
        <v>19.569436</v>
      </c>
      <c r="F21">
        <v>38.805861999999998</v>
      </c>
      <c r="G21">
        <v>37.991058000000002</v>
      </c>
      <c r="H21">
        <v>35.044249000000001</v>
      </c>
      <c r="I21">
        <v>29.527401999999999</v>
      </c>
      <c r="J21">
        <v>57.110509999999998</v>
      </c>
      <c r="K21">
        <v>51.112273999999999</v>
      </c>
      <c r="L21">
        <v>39.294210999999997</v>
      </c>
      <c r="M21">
        <v>-622.47387900000001</v>
      </c>
      <c r="N21">
        <v>0.95679400000000003</v>
      </c>
      <c r="O21">
        <v>1.23363</v>
      </c>
      <c r="P21">
        <f t="shared" si="0"/>
        <v>1.5946566666666667E-5</v>
      </c>
      <c r="Q21" cm="1">
        <f t="array" ref="Q21">[1]!PropsSI("D","T",J21+273.15,"P",101325,"Water")</f>
        <v>984.65746550928839</v>
      </c>
      <c r="R21" cm="1">
        <f t="array" ref="R21">[1]!PropsSI("D","T",K21+273.15,"P",101325,"Water")</f>
        <v>987.52792728193026</v>
      </c>
      <c r="S21">
        <f t="shared" si="1"/>
        <v>986.09269639560932</v>
      </c>
      <c r="T21" cm="1">
        <f t="array" ref="T21">[1]!PropsSI("H","T",J21+273.15,"P",101325,"Water")</f>
        <v>239158.07587926721</v>
      </c>
      <c r="U21" cm="1">
        <f t="array" ref="U21">[1]!PropsSI("H","T",K21+273.15,"P",101325,"Water")</f>
        <v>214069.46908006014</v>
      </c>
      <c r="V21">
        <f t="shared" si="2"/>
        <v>394.51314663370636</v>
      </c>
      <c r="X21">
        <f t="shared" si="3"/>
        <v>0.26422101999999997</v>
      </c>
      <c r="Y21">
        <f t="shared" si="3"/>
        <v>0.25222454799999999</v>
      </c>
      <c r="Z21">
        <f t="shared" si="8"/>
        <v>0.36528067294019911</v>
      </c>
      <c r="AA21">
        <f t="shared" si="7"/>
        <v>5.9982359999999986</v>
      </c>
      <c r="AB21">
        <f t="shared" si="5"/>
        <v>6.1713599586009964E-2</v>
      </c>
      <c r="AC21">
        <f t="shared" si="6"/>
        <v>24.346826362769388</v>
      </c>
    </row>
    <row r="22" spans="1:29" x14ac:dyDescent="0.2">
      <c r="A22">
        <v>46136.863100532406</v>
      </c>
      <c r="B22">
        <v>19.765927000000001</v>
      </c>
      <c r="C22">
        <v>19.726067</v>
      </c>
      <c r="D22">
        <v>19.610637000000001</v>
      </c>
      <c r="E22">
        <v>19.588801</v>
      </c>
      <c r="F22">
        <v>38.252718999999999</v>
      </c>
      <c r="G22">
        <v>38.186124999999997</v>
      </c>
      <c r="H22">
        <v>35.587071999999999</v>
      </c>
      <c r="I22">
        <v>29.783131999999998</v>
      </c>
      <c r="J22">
        <v>57.108916999999998</v>
      </c>
      <c r="K22">
        <v>51.107824000000001</v>
      </c>
      <c r="L22">
        <v>39.428897999999997</v>
      </c>
      <c r="M22">
        <v>-622.51673400000004</v>
      </c>
      <c r="N22">
        <v>0.95907299999999995</v>
      </c>
      <c r="O22">
        <v>1.2835080000000001</v>
      </c>
      <c r="P22">
        <f t="shared" si="0"/>
        <v>1.5984549999999999E-5</v>
      </c>
      <c r="Q22" cm="1">
        <f t="array" ref="Q22">[1]!PropsSI("D","T",J22+273.15,"P",101325,"Water")</f>
        <v>984.65825746772225</v>
      </c>
      <c r="R22" cm="1">
        <f t="array" ref="R22">[1]!PropsSI("D","T",K22+273.15,"P",101325,"Water")</f>
        <v>987.52997220171017</v>
      </c>
      <c r="S22">
        <f t="shared" si="1"/>
        <v>986.09411483471627</v>
      </c>
      <c r="T22" cm="1">
        <f t="array" ref="T22">[1]!PropsSI("H","T",J22+273.15,"P",101325,"Water")</f>
        <v>239151.41116016477</v>
      </c>
      <c r="U22" cm="1">
        <f t="array" ref="U22">[1]!PropsSI("H","T",K22+273.15,"P",101325,"Water")</f>
        <v>214050.86066451084</v>
      </c>
      <c r="V22">
        <f t="shared" si="2"/>
        <v>395.64167121186705</v>
      </c>
      <c r="X22">
        <f t="shared" si="3"/>
        <v>0.26421783399999998</v>
      </c>
      <c r="Y22">
        <f t="shared" si="3"/>
        <v>0.25221564800000001</v>
      </c>
      <c r="Z22">
        <f t="shared" si="8"/>
        <v>0.36527222300595408</v>
      </c>
      <c r="AA22">
        <f t="shared" si="7"/>
        <v>6.0010929999999973</v>
      </c>
      <c r="AB22">
        <f t="shared" si="5"/>
        <v>6.1683601152867959E-2</v>
      </c>
      <c r="AC22">
        <f t="shared" si="6"/>
        <v>24.40460304648693</v>
      </c>
    </row>
    <row r="23" spans="1:29" x14ac:dyDescent="0.2">
      <c r="A23">
        <v>46136.863158981483</v>
      </c>
      <c r="B23">
        <v>19.773821999999999</v>
      </c>
      <c r="C23">
        <v>19.725534</v>
      </c>
      <c r="D23">
        <v>19.602671999999998</v>
      </c>
      <c r="E23">
        <v>19.564077000000001</v>
      </c>
      <c r="F23">
        <v>37.737305999999997</v>
      </c>
      <c r="G23">
        <v>37.821162999999999</v>
      </c>
      <c r="H23">
        <v>35.705404999999999</v>
      </c>
      <c r="I23">
        <v>28.674405</v>
      </c>
      <c r="J23">
        <v>57.099364999999999</v>
      </c>
      <c r="K23">
        <v>51.10989</v>
      </c>
      <c r="L23">
        <v>39.404001000000001</v>
      </c>
      <c r="M23">
        <v>-622.47877700000004</v>
      </c>
      <c r="N23">
        <v>0.956229</v>
      </c>
      <c r="O23">
        <v>1.4665010000000001</v>
      </c>
      <c r="P23">
        <f t="shared" si="0"/>
        <v>1.593715E-5</v>
      </c>
      <c r="Q23" cm="1">
        <f t="array" ref="Q23">[1]!PropsSI("D","T",J23+273.15,"P",101325,"Water")</f>
        <v>984.663005912014</v>
      </c>
      <c r="R23" cm="1">
        <f t="array" ref="R23">[1]!PropsSI("D","T",K23+273.15,"P",101325,"Water")</f>
        <v>987.52902282345042</v>
      </c>
      <c r="S23">
        <f t="shared" si="1"/>
        <v>986.09601436773221</v>
      </c>
      <c r="T23" cm="1">
        <f t="array" ref="T23">[1]!PropsSI("H","T",J23+273.15,"P",101325,"Water")</f>
        <v>239111.44796873291</v>
      </c>
      <c r="U23" cm="1">
        <f t="array" ref="U23">[1]!PropsSI("H","T",K23+273.15,"P",101325,"Water")</f>
        <v>214059.49998656739</v>
      </c>
      <c r="V23">
        <f t="shared" si="2"/>
        <v>393.7053940200737</v>
      </c>
      <c r="X23">
        <f t="shared" si="3"/>
        <v>0.26419872999999999</v>
      </c>
      <c r="Y23">
        <f t="shared" si="3"/>
        <v>0.25221978</v>
      </c>
      <c r="Z23">
        <f t="shared" si="8"/>
        <v>0.36526125767299944</v>
      </c>
      <c r="AA23">
        <f t="shared" si="7"/>
        <v>5.9894749999999988</v>
      </c>
      <c r="AB23">
        <f t="shared" si="5"/>
        <v>6.1798302722032974E-2</v>
      </c>
      <c r="AC23">
        <f t="shared" si="6"/>
        <v>24.330325122949784</v>
      </c>
    </row>
    <row r="24" spans="1:29" x14ac:dyDescent="0.2">
      <c r="A24">
        <v>46136.863216851852</v>
      </c>
      <c r="B24">
        <v>19.795238999999999</v>
      </c>
      <c r="C24">
        <v>19.734228999999999</v>
      </c>
      <c r="D24">
        <v>19.610669999999999</v>
      </c>
      <c r="E24">
        <v>19.593910000000001</v>
      </c>
      <c r="F24">
        <v>38.381894000000003</v>
      </c>
      <c r="G24">
        <v>38.023893999999999</v>
      </c>
      <c r="H24">
        <v>35.841259000000001</v>
      </c>
      <c r="I24">
        <v>28.348928000000001</v>
      </c>
      <c r="J24">
        <v>57.107483999999999</v>
      </c>
      <c r="K24">
        <v>51.108300999999997</v>
      </c>
      <c r="L24">
        <v>41.161056000000002</v>
      </c>
      <c r="M24">
        <v>-622.50653</v>
      </c>
      <c r="N24">
        <v>0.95658100000000001</v>
      </c>
      <c r="O24">
        <v>1.4638450000000001</v>
      </c>
      <c r="P24">
        <f t="shared" si="0"/>
        <v>1.5943016666666666E-5</v>
      </c>
      <c r="Q24" cm="1">
        <f t="array" ref="Q24">[1]!PropsSI("D","T",J24+273.15,"P",101325,"Water")</f>
        <v>984.65896986912344</v>
      </c>
      <c r="R24" cm="1">
        <f t="array" ref="R24">[1]!PropsSI("D","T",K24+273.15,"P",101325,"Water")</f>
        <v>987.52975301084223</v>
      </c>
      <c r="S24">
        <f t="shared" si="1"/>
        <v>986.09436143998278</v>
      </c>
      <c r="T24" cm="1">
        <f t="array" ref="T24">[1]!PropsSI("H","T",J24+273.15,"P",101325,"Water")</f>
        <v>239145.41584236833</v>
      </c>
      <c r="U24" cm="1">
        <f t="array" ref="U24">[1]!PropsSI("H","T",K24+273.15,"P",101325,"Water")</f>
        <v>214052.85531908757</v>
      </c>
      <c r="V24">
        <f t="shared" si="2"/>
        <v>394.48814448202501</v>
      </c>
      <c r="X24">
        <f t="shared" si="3"/>
        <v>0.26421496799999999</v>
      </c>
      <c r="Y24">
        <f t="shared" si="3"/>
        <v>0.25221660200000001</v>
      </c>
      <c r="Z24">
        <f t="shared" si="8"/>
        <v>0.36527080863335826</v>
      </c>
      <c r="AA24">
        <f t="shared" si="7"/>
        <v>5.9991830000000022</v>
      </c>
      <c r="AB24">
        <f t="shared" si="5"/>
        <v>6.1702491064538074E-2</v>
      </c>
      <c r="AC24">
        <f t="shared" si="6"/>
        <v>24.340901209968354</v>
      </c>
    </row>
    <row r="25" spans="1:29" x14ac:dyDescent="0.2">
      <c r="A25">
        <v>46136.863275300922</v>
      </c>
      <c r="B25">
        <v>19.830855</v>
      </c>
      <c r="C25">
        <v>19.748643000000001</v>
      </c>
      <c r="D25">
        <v>19.627189999999999</v>
      </c>
      <c r="E25">
        <v>19.58933</v>
      </c>
      <c r="F25">
        <v>38.346581999999998</v>
      </c>
      <c r="G25">
        <v>36.260634000000003</v>
      </c>
      <c r="H25">
        <v>35.438983</v>
      </c>
      <c r="I25">
        <v>29.166568999999999</v>
      </c>
      <c r="J25">
        <v>57.107483999999999</v>
      </c>
      <c r="K25">
        <v>51.112273999999999</v>
      </c>
      <c r="L25">
        <v>40.642715000000003</v>
      </c>
      <c r="M25">
        <v>-622.47796000000005</v>
      </c>
      <c r="N25">
        <v>0.95628599999999997</v>
      </c>
      <c r="O25">
        <v>1.549852</v>
      </c>
      <c r="P25">
        <f t="shared" si="0"/>
        <v>1.5938099999999999E-5</v>
      </c>
      <c r="Q25" cm="1">
        <f t="array" ref="Q25">[1]!PropsSI("D","T",J25+273.15,"P",101325,"Water")</f>
        <v>984.65896986912344</v>
      </c>
      <c r="R25" cm="1">
        <f t="array" ref="R25">[1]!PropsSI("D","T",K25+273.15,"P",101325,"Water")</f>
        <v>987.52792728193026</v>
      </c>
      <c r="S25">
        <f t="shared" si="1"/>
        <v>986.09344857552685</v>
      </c>
      <c r="T25" cm="1">
        <f t="array" ref="T25">[1]!PropsSI("H","T",J25+273.15,"P",101325,"Water")</f>
        <v>239145.41584236833</v>
      </c>
      <c r="U25" cm="1">
        <f t="array" ref="U25">[1]!PropsSI("H","T",K25+273.15,"P",101325,"Water")</f>
        <v>214069.46908006014</v>
      </c>
      <c r="V25">
        <f t="shared" si="2"/>
        <v>394.10501376614798</v>
      </c>
      <c r="X25">
        <f t="shared" si="3"/>
        <v>0.26421496799999999</v>
      </c>
      <c r="Y25">
        <f t="shared" si="3"/>
        <v>0.25222454799999999</v>
      </c>
      <c r="Z25">
        <f t="shared" si="8"/>
        <v>0.36527629532868039</v>
      </c>
      <c r="AA25">
        <f t="shared" si="7"/>
        <v>5.9952100000000002</v>
      </c>
      <c r="AB25">
        <f t="shared" si="5"/>
        <v>6.1743210466403631E-2</v>
      </c>
      <c r="AC25">
        <f t="shared" si="6"/>
        <v>24.333308810828175</v>
      </c>
    </row>
    <row r="26" spans="1:29" x14ac:dyDescent="0.2">
      <c r="A26">
        <v>46136.86333375</v>
      </c>
      <c r="B26">
        <v>19.814793999999999</v>
      </c>
      <c r="C26">
        <v>19.762912</v>
      </c>
      <c r="D26">
        <v>19.628729</v>
      </c>
      <c r="E26">
        <v>19.585325999999998</v>
      </c>
      <c r="F26">
        <v>39.039878999999999</v>
      </c>
      <c r="G26">
        <v>37.714540999999997</v>
      </c>
      <c r="H26">
        <v>35.425821999999997</v>
      </c>
      <c r="I26">
        <v>29.295576000000001</v>
      </c>
      <c r="J26">
        <v>57.107007000000003</v>
      </c>
      <c r="K26">
        <v>51.103056000000002</v>
      </c>
      <c r="L26">
        <v>40.681488000000002</v>
      </c>
      <c r="M26">
        <v>-622.487348</v>
      </c>
      <c r="N26">
        <v>0.95901899999999995</v>
      </c>
      <c r="O26">
        <v>1.5845309999999999</v>
      </c>
      <c r="P26">
        <f t="shared" si="0"/>
        <v>1.5983650000000001E-5</v>
      </c>
      <c r="Q26" cm="1">
        <f t="array" ref="Q26">[1]!PropsSI("D","T",J26+273.15,"P",101325,"Water")</f>
        <v>984.65920700205641</v>
      </c>
      <c r="R26" cm="1">
        <f t="array" ref="R26">[1]!PropsSI("D","T",K26+273.15,"P",101325,"Water")</f>
        <v>987.53216311050335</v>
      </c>
      <c r="S26">
        <f t="shared" si="1"/>
        <v>986.09568505627988</v>
      </c>
      <c r="T26" cm="1">
        <f t="array" ref="T26">[1]!PropsSI("H","T",J26+273.15,"P",101325,"Water")</f>
        <v>239143.42019249048</v>
      </c>
      <c r="U26" cm="1">
        <f t="array" ref="U26">[1]!PropsSI("H","T",K26+273.15,"P",101325,"Water")</f>
        <v>214030.92248564865</v>
      </c>
      <c r="V26">
        <f t="shared" si="2"/>
        <v>395.80832970119354</v>
      </c>
      <c r="X26">
        <f t="shared" si="3"/>
        <v>0.264214014</v>
      </c>
      <c r="Y26">
        <f t="shared" si="3"/>
        <v>0.25220611199999998</v>
      </c>
      <c r="Z26">
        <f t="shared" si="8"/>
        <v>0.36526287537080565</v>
      </c>
      <c r="AA26">
        <f t="shared" si="7"/>
        <v>6.0039510000000007</v>
      </c>
      <c r="AB26">
        <f t="shared" si="5"/>
        <v>6.1653474125453918E-2</v>
      </c>
      <c r="AC26">
        <f t="shared" si="6"/>
        <v>24.402958613871668</v>
      </c>
    </row>
    <row r="27" spans="1:29" x14ac:dyDescent="0.2">
      <c r="A27">
        <v>46136.863392199077</v>
      </c>
      <c r="B27">
        <v>19.857386999999999</v>
      </c>
      <c r="C27">
        <v>19.792376000000001</v>
      </c>
      <c r="D27">
        <v>19.693182</v>
      </c>
      <c r="E27">
        <v>19.618158999999999</v>
      </c>
      <c r="F27">
        <v>38.834429</v>
      </c>
      <c r="G27">
        <v>37.570746999999997</v>
      </c>
      <c r="H27">
        <v>35.591065</v>
      </c>
      <c r="I27">
        <v>28.746483999999999</v>
      </c>
      <c r="J27">
        <v>57.107165999999999</v>
      </c>
      <c r="K27">
        <v>51.102896999999999</v>
      </c>
      <c r="L27">
        <v>39.644804999999998</v>
      </c>
      <c r="M27">
        <v>-622.49714300000005</v>
      </c>
      <c r="N27">
        <v>0.95726999999999995</v>
      </c>
      <c r="O27">
        <v>1.2666580000000001</v>
      </c>
      <c r="P27">
        <f t="shared" si="0"/>
        <v>1.5954500000000001E-5</v>
      </c>
      <c r="Q27" cm="1">
        <f t="array" ref="Q27">[1]!PropsSI("D","T",J27+273.15,"P",101325,"Water")</f>
        <v>984.65912795789143</v>
      </c>
      <c r="R27" cm="1">
        <f t="array" ref="R27">[1]!PropsSI("D","T",K27+273.15,"P",101325,"Water")</f>
        <v>987.53223616887738</v>
      </c>
      <c r="S27">
        <f t="shared" si="1"/>
        <v>986.0956820633844</v>
      </c>
      <c r="T27" cm="1">
        <f t="array" ref="T27">[1]!PropsSI("H","T",J27+273.15,"P",101325,"Water")</f>
        <v>239144.08540915727</v>
      </c>
      <c r="U27" cm="1">
        <f t="array" ref="U27">[1]!PropsSI("H","T",K27+273.15,"P",101325,"Water")</f>
        <v>214030.25760100805</v>
      </c>
      <c r="V27">
        <f t="shared" si="2"/>
        <v>395.10740359633144</v>
      </c>
      <c r="X27">
        <f t="shared" si="3"/>
        <v>0.264214332</v>
      </c>
      <c r="Y27">
        <f t="shared" si="3"/>
        <v>0.25220579399999998</v>
      </c>
      <c r="Z27">
        <f t="shared" si="8"/>
        <v>0.36526288582523225</v>
      </c>
      <c r="AA27">
        <f t="shared" si="7"/>
        <v>6.0042690000000007</v>
      </c>
      <c r="AB27">
        <f t="shared" si="5"/>
        <v>6.1650296438132871E-2</v>
      </c>
      <c r="AC27">
        <f t="shared" si="6"/>
        <v>24.358488556614837</v>
      </c>
    </row>
    <row r="28" spans="1:29" x14ac:dyDescent="0.2">
      <c r="A28">
        <v>46136.863450648147</v>
      </c>
      <c r="B28">
        <v>19.913568000000001</v>
      </c>
      <c r="C28">
        <v>19.858540000000001</v>
      </c>
      <c r="D28">
        <v>19.68479</v>
      </c>
      <c r="E28">
        <v>19.644953000000001</v>
      </c>
      <c r="F28">
        <v>38.760567000000002</v>
      </c>
      <c r="G28">
        <v>35.841855000000002</v>
      </c>
      <c r="H28">
        <v>35.389633000000003</v>
      </c>
      <c r="I28">
        <v>30.067837000000001</v>
      </c>
      <c r="J28">
        <v>57.105891999999997</v>
      </c>
      <c r="K28">
        <v>51.094951000000002</v>
      </c>
      <c r="L28">
        <v>38.813827000000003</v>
      </c>
      <c r="M28">
        <v>-622.49550999999997</v>
      </c>
      <c r="N28">
        <v>0.95835599999999999</v>
      </c>
      <c r="O28">
        <v>1.4095059999999999</v>
      </c>
      <c r="P28">
        <f t="shared" si="0"/>
        <v>1.59726E-5</v>
      </c>
      <c r="Q28" cm="1">
        <f t="array" ref="Q28">[1]!PropsSI("D","T",J28+273.15,"P",101325,"Water")</f>
        <v>984.65976130114893</v>
      </c>
      <c r="R28" cm="1">
        <f t="array" ref="R28">[1]!PropsSI("D","T",K28+273.15,"P",101325,"Water")</f>
        <v>987.5358870418429</v>
      </c>
      <c r="S28">
        <f t="shared" si="1"/>
        <v>986.09782417149586</v>
      </c>
      <c r="T28" cm="1">
        <f t="array" ref="T28">[1]!PropsSI("H","T",J28+273.15,"P",101325,"Water")</f>
        <v>239138.75530888239</v>
      </c>
      <c r="U28" cm="1">
        <f t="array" ref="U28">[1]!PropsSI("H","T",K28+273.15,"P",101325,"Water")</f>
        <v>213997.0301063284</v>
      </c>
      <c r="V28">
        <f t="shared" si="2"/>
        <v>395.99590199630097</v>
      </c>
      <c r="X28">
        <f t="shared" si="3"/>
        <v>0.26421178400000001</v>
      </c>
      <c r="Y28">
        <f t="shared" si="3"/>
        <v>0.25218990200000002</v>
      </c>
      <c r="Z28">
        <f t="shared" si="8"/>
        <v>0.36525006978128322</v>
      </c>
      <c r="AA28">
        <f t="shared" si="7"/>
        <v>6.0109409999999954</v>
      </c>
      <c r="AB28">
        <f t="shared" si="5"/>
        <v>6.1581563682851351E-2</v>
      </c>
      <c r="AC28">
        <f t="shared" si="6"/>
        <v>24.386046856933369</v>
      </c>
    </row>
    <row r="29" spans="1:29" x14ac:dyDescent="0.2">
      <c r="A29">
        <v>46136.863509097224</v>
      </c>
      <c r="B29">
        <v>19.941455000000001</v>
      </c>
      <c r="C29">
        <v>19.876441</v>
      </c>
      <c r="D29">
        <v>19.696417</v>
      </c>
      <c r="E29">
        <v>19.668524000000001</v>
      </c>
      <c r="F29">
        <v>38.661293999999998</v>
      </c>
      <c r="G29">
        <v>38.046875</v>
      </c>
      <c r="H29">
        <v>35.576419999999999</v>
      </c>
      <c r="I29">
        <v>29.412327999999999</v>
      </c>
      <c r="J29">
        <v>57.107802999999997</v>
      </c>
      <c r="K29">
        <v>51.100672000000003</v>
      </c>
      <c r="L29">
        <v>38.372624000000002</v>
      </c>
      <c r="M29">
        <v>-622.48040900000001</v>
      </c>
      <c r="N29">
        <v>0.95652400000000004</v>
      </c>
      <c r="O29">
        <v>1.2212019999999999</v>
      </c>
      <c r="P29">
        <f t="shared" si="0"/>
        <v>1.5942066666666668E-5</v>
      </c>
      <c r="Q29" cm="1">
        <f t="array" ref="Q29">[1]!PropsSI("D","T",J29+273.15,"P",101325,"Water")</f>
        <v>984.65881128259286</v>
      </c>
      <c r="R29" cm="1">
        <f t="array" ref="R29">[1]!PropsSI("D","T",K29+273.15,"P",101325,"Water")</f>
        <v>987.53325850968054</v>
      </c>
      <c r="S29">
        <f t="shared" si="1"/>
        <v>986.09603489613664</v>
      </c>
      <c r="T29" cm="1">
        <f t="array" ref="T29">[1]!PropsSI("H","T",J29+273.15,"P",101325,"Water")</f>
        <v>239146.7504594686</v>
      </c>
      <c r="U29" cm="1">
        <f t="array" ref="U29">[1]!PropsSI("H","T",K29+273.15,"P",101325,"Water")</f>
        <v>214020.95339884752</v>
      </c>
      <c r="V29">
        <f t="shared" si="2"/>
        <v>394.98779941099758</v>
      </c>
      <c r="X29">
        <f t="shared" si="3"/>
        <v>0.26421560599999999</v>
      </c>
      <c r="Y29">
        <f t="shared" si="3"/>
        <v>0.25220134399999999</v>
      </c>
      <c r="Z29">
        <f t="shared" si="8"/>
        <v>0.36526073477634241</v>
      </c>
      <c r="AA29">
        <f t="shared" si="7"/>
        <v>6.007130999999994</v>
      </c>
      <c r="AB29">
        <f t="shared" si="5"/>
        <v>6.1621343799421184E-2</v>
      </c>
      <c r="AC29">
        <f t="shared" si="6"/>
        <v>24.339678984081893</v>
      </c>
    </row>
    <row r="30" spans="1:29" x14ac:dyDescent="0.2">
      <c r="A30">
        <v>46136.863567546294</v>
      </c>
      <c r="B30">
        <v>19.938155999999999</v>
      </c>
      <c r="C30">
        <v>19.865736999999999</v>
      </c>
      <c r="D30">
        <v>19.689198000000001</v>
      </c>
      <c r="E30">
        <v>19.635522999999999</v>
      </c>
      <c r="F30">
        <v>38.201864</v>
      </c>
      <c r="G30">
        <v>35.734138000000002</v>
      </c>
      <c r="H30">
        <v>35.658003000000001</v>
      </c>
      <c r="I30">
        <v>29.978767999999999</v>
      </c>
      <c r="J30">
        <v>57.106211000000002</v>
      </c>
      <c r="K30">
        <v>51.090342</v>
      </c>
      <c r="L30">
        <v>39.014225000000003</v>
      </c>
      <c r="M30">
        <v>-622.50285699999995</v>
      </c>
      <c r="N30">
        <v>0.95901099999999995</v>
      </c>
      <c r="O30">
        <v>1.1159680000000001</v>
      </c>
      <c r="P30">
        <f t="shared" si="0"/>
        <v>1.5983516666666667E-5</v>
      </c>
      <c r="Q30" cm="1">
        <f t="array" ref="Q30">[1]!PropsSI("D","T",J30+273.15,"P",101325,"Water")</f>
        <v>984.65960271769586</v>
      </c>
      <c r="R30" cm="1">
        <f t="array" ref="R30">[1]!PropsSI("D","T",K30+273.15,"P",101325,"Water")</f>
        <v>987.53800450775941</v>
      </c>
      <c r="S30">
        <f t="shared" si="1"/>
        <v>986.09880361272758</v>
      </c>
      <c r="T30" cm="1">
        <f t="array" ref="T30">[1]!PropsSI("H","T",J30+273.15,"P",101325,"Water")</f>
        <v>239140.08992575924</v>
      </c>
      <c r="U30" cm="1">
        <f t="array" ref="U30">[1]!PropsSI("H","T",K30+273.15,"P",101325,"Water")</f>
        <v>213977.75682994994</v>
      </c>
      <c r="V30">
        <f t="shared" si="2"/>
        <v>396.59175151429145</v>
      </c>
      <c r="X30">
        <f t="shared" si="3"/>
        <v>0.264212422</v>
      </c>
      <c r="Y30">
        <f t="shared" si="3"/>
        <v>0.25218068399999999</v>
      </c>
      <c r="Z30">
        <f t="shared" si="8"/>
        <v>0.36524416671839394</v>
      </c>
      <c r="AA30">
        <f t="shared" si="7"/>
        <v>6.0158690000000021</v>
      </c>
      <c r="AB30">
        <f t="shared" si="5"/>
        <v>6.1531480653628935E-2</v>
      </c>
      <c r="AC30">
        <f t="shared" si="6"/>
        <v>24.402877685690438</v>
      </c>
    </row>
    <row r="31" spans="1:29" x14ac:dyDescent="0.2">
      <c r="A31">
        <v>46136.863625995371</v>
      </c>
      <c r="B31">
        <v>19.948658999999999</v>
      </c>
      <c r="C31">
        <v>19.849443000000001</v>
      </c>
      <c r="D31">
        <v>19.699611999999998</v>
      </c>
      <c r="E31">
        <v>19.64612</v>
      </c>
      <c r="F31">
        <v>38.540384000000003</v>
      </c>
      <c r="G31">
        <v>37.145941999999998</v>
      </c>
      <c r="H31">
        <v>34.660487000000003</v>
      </c>
      <c r="I31">
        <v>29.612314000000001</v>
      </c>
      <c r="J31">
        <v>57.102708</v>
      </c>
      <c r="K31">
        <v>51.096221999999997</v>
      </c>
      <c r="L31">
        <v>39.275027999999999</v>
      </c>
      <c r="M31">
        <v>-622.50204099999996</v>
      </c>
      <c r="N31">
        <v>0.960507</v>
      </c>
      <c r="O31">
        <v>1.225954</v>
      </c>
      <c r="P31">
        <f t="shared" si="0"/>
        <v>1.6008450000000001E-5</v>
      </c>
      <c r="Q31" cm="1">
        <f t="array" ref="Q31">[1]!PropsSI("D","T",J31+273.15,"P",101325,"Water")</f>
        <v>984.66134411897974</v>
      </c>
      <c r="R31" cm="1">
        <f t="array" ref="R31">[1]!PropsSI("D","T",K31+273.15,"P",101325,"Water")</f>
        <v>987.53530309506243</v>
      </c>
      <c r="S31">
        <f t="shared" si="1"/>
        <v>986.09832360702103</v>
      </c>
      <c r="T31" cm="1">
        <f t="array" ref="T31">[1]!PropsSI("H","T",J31+273.15,"P",101325,"Water")</f>
        <v>239125.43424487158</v>
      </c>
      <c r="U31" cm="1">
        <f t="array" ref="U31">[1]!PropsSI("H","T",K31+273.15,"P",101325,"Water")</f>
        <v>214002.3449987779</v>
      </c>
      <c r="V31">
        <f t="shared" si="2"/>
        <v>396.59071794624128</v>
      </c>
      <c r="X31">
        <f t="shared" si="3"/>
        <v>0.26420541600000003</v>
      </c>
      <c r="Y31">
        <f t="shared" si="3"/>
        <v>0.25219244399999996</v>
      </c>
      <c r="Z31">
        <f t="shared" si="8"/>
        <v>0.3652472185444075</v>
      </c>
      <c r="AA31">
        <f t="shared" si="7"/>
        <v>6.0064860000000024</v>
      </c>
      <c r="AB31">
        <f t="shared" si="5"/>
        <v>6.1625566236182143E-2</v>
      </c>
      <c r="AC31">
        <f t="shared" si="6"/>
        <v>24.440127557451124</v>
      </c>
    </row>
    <row r="32" spans="1:29" x14ac:dyDescent="0.2">
      <c r="A32">
        <v>46136.86368386574</v>
      </c>
      <c r="B32">
        <v>19.932943000000002</v>
      </c>
      <c r="C32">
        <v>19.855225000000001</v>
      </c>
      <c r="D32">
        <v>19.704696999999999</v>
      </c>
      <c r="E32">
        <v>19.66253</v>
      </c>
      <c r="F32">
        <v>38.553662000000003</v>
      </c>
      <c r="G32">
        <v>37.783876999999997</v>
      </c>
      <c r="H32">
        <v>34.814422999999998</v>
      </c>
      <c r="I32">
        <v>30.219442000000001</v>
      </c>
      <c r="J32">
        <v>57.094588000000002</v>
      </c>
      <c r="K32">
        <v>51.096857999999997</v>
      </c>
      <c r="L32">
        <v>40.730873000000003</v>
      </c>
      <c r="M32">
        <v>-622.51224400000001</v>
      </c>
      <c r="N32">
        <v>0.957237</v>
      </c>
      <c r="O32">
        <v>1.4465239999999999</v>
      </c>
      <c r="P32">
        <f t="shared" si="0"/>
        <v>1.595395E-5</v>
      </c>
      <c r="Q32" cm="1">
        <f t="array" ref="Q32">[1]!PropsSI("D","T",J32+273.15,"P",101325,"Water")</f>
        <v>984.66538042333809</v>
      </c>
      <c r="R32" cm="1">
        <f t="array" ref="R32">[1]!PropsSI("D","T",K32+273.15,"P",101325,"Water")</f>
        <v>987.53501088801113</v>
      </c>
      <c r="S32">
        <f t="shared" si="1"/>
        <v>986.10019565567461</v>
      </c>
      <c r="T32" cm="1">
        <f t="array" ref="T32">[1]!PropsSI("H","T",J32+273.15,"P",101325,"Water")</f>
        <v>239091.46220277576</v>
      </c>
      <c r="U32" cm="1">
        <f t="array" ref="U32">[1]!PropsSI("H","T",K32+273.15,"P",101325,"Water")</f>
        <v>214005.00453605957</v>
      </c>
      <c r="V32">
        <f t="shared" si="2"/>
        <v>394.66499912984642</v>
      </c>
      <c r="X32">
        <f t="shared" si="3"/>
        <v>0.26418917600000003</v>
      </c>
      <c r="Y32">
        <f t="shared" si="3"/>
        <v>0.25219371600000001</v>
      </c>
      <c r="Z32">
        <f t="shared" si="8"/>
        <v>0.3652363496497133</v>
      </c>
      <c r="AA32">
        <f t="shared" si="7"/>
        <v>5.9977300000000042</v>
      </c>
      <c r="AB32">
        <f t="shared" si="5"/>
        <v>6.171137701856682E-2</v>
      </c>
      <c r="AC32">
        <f t="shared" si="6"/>
        <v>24.355320557334299</v>
      </c>
    </row>
    <row r="33" spans="1:29" x14ac:dyDescent="0.2">
      <c r="A33">
        <v>46136.863742314818</v>
      </c>
      <c r="B33">
        <v>19.900780000000001</v>
      </c>
      <c r="C33">
        <v>19.833085000000001</v>
      </c>
      <c r="D33">
        <v>19.690224000000001</v>
      </c>
      <c r="E33">
        <v>19.654475000000001</v>
      </c>
      <c r="F33">
        <v>38.343953999999997</v>
      </c>
      <c r="G33">
        <v>36.566729000000002</v>
      </c>
      <c r="H33">
        <v>35.035525</v>
      </c>
      <c r="I33">
        <v>30.006442</v>
      </c>
      <c r="J33">
        <v>57.097613000000003</v>
      </c>
      <c r="K33">
        <v>51.087004</v>
      </c>
      <c r="L33">
        <v>40.435786</v>
      </c>
      <c r="M33">
        <v>-622.50857099999996</v>
      </c>
      <c r="N33">
        <v>0.95439300000000005</v>
      </c>
      <c r="O33">
        <v>1.1690609999999999</v>
      </c>
      <c r="P33">
        <f t="shared" si="0"/>
        <v>1.5906550000000001E-5</v>
      </c>
      <c r="Q33" cm="1">
        <f t="array" ref="Q33">[1]!PropsSI("D","T",J33+273.15,"P",101325,"Water")</f>
        <v>984.66387679766353</v>
      </c>
      <c r="R33" cm="1">
        <f t="array" ref="R33">[1]!PropsSI("D","T",K33+273.15,"P",101325,"Water")</f>
        <v>987.53953796517555</v>
      </c>
      <c r="S33">
        <f t="shared" si="1"/>
        <v>986.1017073814196</v>
      </c>
      <c r="T33" cm="1">
        <f t="array" ref="T33">[1]!PropsSI("H","T",J33+273.15,"P",101325,"Water")</f>
        <v>239104.11804058249</v>
      </c>
      <c r="U33" cm="1">
        <f t="array" ref="U33">[1]!PropsSI("H","T",K33+273.15,"P",101325,"Water")</f>
        <v>213963.79844894804</v>
      </c>
      <c r="V33">
        <f t="shared" si="2"/>
        <v>394.33788244154283</v>
      </c>
      <c r="X33">
        <f t="shared" si="3"/>
        <v>0.26419522600000001</v>
      </c>
      <c r="Y33">
        <f t="shared" si="3"/>
        <v>0.25217400800000001</v>
      </c>
      <c r="Z33">
        <f t="shared" si="8"/>
        <v>0.36522711804023417</v>
      </c>
      <c r="AA33">
        <f t="shared" si="7"/>
        <v>6.0106090000000023</v>
      </c>
      <c r="AB33">
        <f t="shared" si="5"/>
        <v>6.1581107630607874E-2</v>
      </c>
      <c r="AC33">
        <f t="shared" si="6"/>
        <v>24.283763581458643</v>
      </c>
    </row>
    <row r="34" spans="1:29" x14ac:dyDescent="0.2">
      <c r="A34">
        <v>46136.863800185187</v>
      </c>
      <c r="B34">
        <v>19.890671999999999</v>
      </c>
      <c r="C34">
        <v>19.800530999999999</v>
      </c>
      <c r="D34">
        <v>19.687633999999999</v>
      </c>
      <c r="E34">
        <v>19.629545</v>
      </c>
      <c r="F34">
        <v>38.878245</v>
      </c>
      <c r="G34">
        <v>36.866154999999999</v>
      </c>
      <c r="H34">
        <v>34.481696999999997</v>
      </c>
      <c r="I34">
        <v>29.508174</v>
      </c>
      <c r="J34">
        <v>57.097613000000003</v>
      </c>
      <c r="K34">
        <v>51.082554000000002</v>
      </c>
      <c r="L34">
        <v>40.434153999999999</v>
      </c>
      <c r="M34">
        <v>-622.47591999999997</v>
      </c>
      <c r="N34">
        <v>0.95931900000000003</v>
      </c>
      <c r="O34">
        <v>1.855488</v>
      </c>
      <c r="P34">
        <f t="shared" si="0"/>
        <v>1.5988650000000001E-5</v>
      </c>
      <c r="Q34" cm="1">
        <f t="array" ref="Q34">[1]!PropsSI("D","T",J34+273.15,"P",101325,"Water")</f>
        <v>984.66387679766353</v>
      </c>
      <c r="R34" cm="1">
        <f t="array" ref="R34">[1]!PropsSI("D","T",K34+273.15,"P",101325,"Water")</f>
        <v>987.54158215652649</v>
      </c>
      <c r="S34">
        <f t="shared" si="1"/>
        <v>986.10272947709495</v>
      </c>
      <c r="T34" cm="1">
        <f t="array" ref="T34">[1]!PropsSI("H","T",J34+273.15,"P",101325,"Water")</f>
        <v>239104.11804058249</v>
      </c>
      <c r="U34" cm="1">
        <f t="array" ref="U34">[1]!PropsSI("H","T",K34+273.15,"P",101325,"Water")</f>
        <v>213945.19006722563</v>
      </c>
      <c r="V34">
        <f t="shared" si="2"/>
        <v>396.66701531027883</v>
      </c>
      <c r="X34">
        <f t="shared" si="3"/>
        <v>0.26419522600000001</v>
      </c>
      <c r="Y34">
        <f t="shared" si="3"/>
        <v>0.25216510800000003</v>
      </c>
      <c r="Z34">
        <f t="shared" si="8"/>
        <v>0.36522097302022888</v>
      </c>
      <c r="AA34">
        <f t="shared" si="7"/>
        <v>6.0150590000000008</v>
      </c>
      <c r="AB34">
        <f t="shared" si="5"/>
        <v>6.1535743084699911E-2</v>
      </c>
      <c r="AC34">
        <f t="shared" si="6"/>
        <v>24.409199544308045</v>
      </c>
    </row>
    <row r="35" spans="1:29" x14ac:dyDescent="0.2">
      <c r="A35">
        <v>46136.863858055556</v>
      </c>
      <c r="B35">
        <v>19.871479000000001</v>
      </c>
      <c r="C35">
        <v>19.767327999999999</v>
      </c>
      <c r="D35">
        <v>19.687182</v>
      </c>
      <c r="E35">
        <v>19.640433000000002</v>
      </c>
      <c r="F35">
        <v>38.679921</v>
      </c>
      <c r="G35">
        <v>37.263717</v>
      </c>
      <c r="H35">
        <v>34.838113999999997</v>
      </c>
      <c r="I35">
        <v>29.430630000000001</v>
      </c>
      <c r="J35">
        <v>57.10239</v>
      </c>
      <c r="K35">
        <v>51.080170000000003</v>
      </c>
      <c r="L35">
        <v>40.328445000000002</v>
      </c>
      <c r="M35">
        <v>-622.48530700000003</v>
      </c>
      <c r="N35">
        <v>0.95594999999999997</v>
      </c>
      <c r="O35">
        <v>1.621664</v>
      </c>
      <c r="P35">
        <f t="shared" si="0"/>
        <v>1.59325E-5</v>
      </c>
      <c r="Q35" cm="1">
        <f t="array" ref="Q35">[1]!PropsSI("D","T",J35+273.15,"P",101325,"Water")</f>
        <v>984.66150219854842</v>
      </c>
      <c r="R35" cm="1">
        <f t="array" ref="R35">[1]!PropsSI("D","T",K35+273.15,"P",101325,"Water")</f>
        <v>987.54267723909209</v>
      </c>
      <c r="S35">
        <f t="shared" si="1"/>
        <v>986.10208971882025</v>
      </c>
      <c r="T35" cm="1">
        <f t="array" ref="T35">[1]!PropsSI("H","T",J35+273.15,"P",101325,"Water")</f>
        <v>239124.1038121896</v>
      </c>
      <c r="U35" cm="1">
        <f t="array" ref="U35">[1]!PropsSI("H","T",K35+273.15,"P",101325,"Water")</f>
        <v>213935.22099500691</v>
      </c>
      <c r="V35">
        <f t="shared" si="2"/>
        <v>395.74434006540116</v>
      </c>
      <c r="X35">
        <f t="shared" si="3"/>
        <v>0.26420478000000003</v>
      </c>
      <c r="Y35">
        <f t="shared" si="3"/>
        <v>0.25216033999999998</v>
      </c>
      <c r="Z35">
        <f t="shared" si="8"/>
        <v>0.36522459233157339</v>
      </c>
      <c r="AA35">
        <f t="shared" si="7"/>
        <v>6.0222199999999972</v>
      </c>
      <c r="AB35">
        <f t="shared" si="5"/>
        <v>6.1465097627716625E-2</v>
      </c>
      <c r="AC35">
        <f t="shared" si="6"/>
        <v>24.324464497736169</v>
      </c>
    </row>
    <row r="36" spans="1:29" x14ac:dyDescent="0.2">
      <c r="A36">
        <v>46136.863916504626</v>
      </c>
      <c r="B36">
        <v>19.877997000000001</v>
      </c>
      <c r="C36">
        <v>19.771469</v>
      </c>
      <c r="D36">
        <v>19.669726000000001</v>
      </c>
      <c r="E36">
        <v>19.640633999999999</v>
      </c>
      <c r="F36">
        <v>38.836948999999997</v>
      </c>
      <c r="G36">
        <v>38.202044000000001</v>
      </c>
      <c r="H36">
        <v>35.343935999999999</v>
      </c>
      <c r="I36">
        <v>29.180091999999998</v>
      </c>
      <c r="J36">
        <v>57.103026</v>
      </c>
      <c r="K36">
        <v>51.084144000000002</v>
      </c>
      <c r="L36">
        <v>39.171768</v>
      </c>
      <c r="M36">
        <v>-622.50530600000002</v>
      </c>
      <c r="N36">
        <v>0.95776499999999998</v>
      </c>
      <c r="O36">
        <v>1.451201</v>
      </c>
      <c r="P36">
        <f t="shared" si="0"/>
        <v>1.5962749999999999E-5</v>
      </c>
      <c r="Q36" cm="1">
        <f t="array" ref="Q36">[1]!PropsSI("D","T",J36+273.15,"P",101325,"Water")</f>
        <v>984.66118603880534</v>
      </c>
      <c r="R36" cm="1">
        <f t="array" ref="R36">[1]!PropsSI("D","T",K36+273.15,"P",101325,"Water")</f>
        <v>987.54085177479396</v>
      </c>
      <c r="S36">
        <f t="shared" si="1"/>
        <v>986.10101890679971</v>
      </c>
      <c r="T36" cm="1">
        <f t="array" ref="T36">[1]!PropsSI("H","T",J36+273.15,"P",101325,"Water")</f>
        <v>239126.76467760507</v>
      </c>
      <c r="U36" cm="1">
        <f t="array" ref="U36">[1]!PropsSI("H","T",K36+273.15,"P",101325,"Water")</f>
        <v>213951.83890403321</v>
      </c>
      <c r="V36">
        <f t="shared" si="2"/>
        <v>396.27558730618688</v>
      </c>
      <c r="X36">
        <f t="shared" si="3"/>
        <v>0.26420605200000002</v>
      </c>
      <c r="Y36">
        <f t="shared" si="3"/>
        <v>0.25216828800000002</v>
      </c>
      <c r="Z36">
        <f t="shared" si="8"/>
        <v>0.36523100003460501</v>
      </c>
      <c r="AA36">
        <f t="shared" si="7"/>
        <v>6.0188819999999978</v>
      </c>
      <c r="AB36">
        <f t="shared" si="5"/>
        <v>6.1499333829979325E-2</v>
      </c>
      <c r="AC36">
        <f t="shared" si="6"/>
        <v>24.370684632414303</v>
      </c>
    </row>
    <row r="37" spans="1:29" x14ac:dyDescent="0.2">
      <c r="A37">
        <v>46136.863974375003</v>
      </c>
      <c r="B37">
        <v>19.843361000000002</v>
      </c>
      <c r="C37">
        <v>19.775677999999999</v>
      </c>
      <c r="D37">
        <v>19.672772999999999</v>
      </c>
      <c r="E37">
        <v>19.634620999999999</v>
      </c>
      <c r="F37">
        <v>38.465713999999998</v>
      </c>
      <c r="G37">
        <v>38.060668</v>
      </c>
      <c r="H37">
        <v>34.850684000000001</v>
      </c>
      <c r="I37">
        <v>29.298304999999999</v>
      </c>
      <c r="J37">
        <v>57.103822999999998</v>
      </c>
      <c r="K37">
        <v>51.081124000000003</v>
      </c>
      <c r="L37">
        <v>37.307371000000003</v>
      </c>
      <c r="M37">
        <v>-622.50408100000004</v>
      </c>
      <c r="N37">
        <v>0.95739300000000005</v>
      </c>
      <c r="O37">
        <v>1.1464540000000001</v>
      </c>
      <c r="P37">
        <f t="shared" si="0"/>
        <v>1.5956550000000002E-5</v>
      </c>
      <c r="Q37" cm="1">
        <f t="array" ref="Q37">[1]!PropsSI("D","T",J37+273.15,"P",101325,"Water")</f>
        <v>984.66078984146532</v>
      </c>
      <c r="R37" cm="1">
        <f t="array" ref="R37">[1]!PropsSI("D","T",K37+273.15,"P",101325,"Water")</f>
        <v>987.54223902672163</v>
      </c>
      <c r="S37">
        <f t="shared" si="1"/>
        <v>986.10151443409347</v>
      </c>
      <c r="T37" cm="1">
        <f t="array" ref="T37">[1]!PropsSI("H","T",J37+273.15,"P",101325,"Water")</f>
        <v>239130.09912709132</v>
      </c>
      <c r="U37" cm="1">
        <f t="array" ref="U37">[1]!PropsSI("H","T",K37+273.15,"P",101325,"Water")</f>
        <v>213939.2102963673</v>
      </c>
      <c r="V37">
        <f t="shared" si="2"/>
        <v>396.37304640063962</v>
      </c>
      <c r="X37">
        <f t="shared" si="3"/>
        <v>0.26420764600000002</v>
      </c>
      <c r="Y37">
        <f t="shared" si="3"/>
        <v>0.25216224799999998</v>
      </c>
      <c r="Z37">
        <f t="shared" si="8"/>
        <v>0.36522798293843101</v>
      </c>
      <c r="AA37">
        <f t="shared" si="7"/>
        <v>6.0226989999999958</v>
      </c>
      <c r="AB37">
        <f t="shared" si="5"/>
        <v>6.1460894027008162E-2</v>
      </c>
      <c r="AC37">
        <f t="shared" si="6"/>
        <v>24.3614417999921</v>
      </c>
    </row>
    <row r="38" spans="1:29" x14ac:dyDescent="0.2">
      <c r="A38">
        <v>44674.864032826401</v>
      </c>
      <c r="B38">
        <v>19.860690000000002</v>
      </c>
      <c r="C38">
        <v>19.763131999999999</v>
      </c>
      <c r="D38">
        <v>19.654553</v>
      </c>
      <c r="E38">
        <v>19.650327000000001</v>
      </c>
      <c r="F38">
        <v>38.457223999999997</v>
      </c>
      <c r="G38">
        <v>37.664318000000002</v>
      </c>
      <c r="H38">
        <v>35.519081</v>
      </c>
      <c r="I38">
        <v>30.526662999999999</v>
      </c>
      <c r="J38">
        <v>57.110031999999997</v>
      </c>
      <c r="K38">
        <v>51.083666999999998</v>
      </c>
      <c r="L38">
        <v>37.352674999999998</v>
      </c>
      <c r="M38">
        <v>-622.49224500000003</v>
      </c>
      <c r="N38">
        <v>0.95780200000000004</v>
      </c>
      <c r="O38">
        <v>1.2644340000000001</v>
      </c>
      <c r="P38">
        <f t="shared" si="0"/>
        <v>1.5963366666666667E-5</v>
      </c>
      <c r="Q38" cm="1">
        <f t="array" ref="Q38">[1]!PropsSI("D","T",J38+273.15,"P",101325,"Water")</f>
        <v>984.65770314814836</v>
      </c>
      <c r="R38" cm="1">
        <f t="array" ref="R38">[1]!PropsSI("D","T",K38+273.15,"P",101325,"Water")</f>
        <v>987.54107089104286</v>
      </c>
      <c r="S38">
        <f t="shared" si="1"/>
        <v>986.09938701959561</v>
      </c>
      <c r="T38" cm="1">
        <f t="array" ref="T38">[1]!PropsSI("H","T",J38+273.15,"P",101325,"Water")</f>
        <v>239156.07604505305</v>
      </c>
      <c r="U38" cm="1">
        <f t="array" ref="U38">[1]!PropsSI("H","T",K38+273.15,"P",101325,"Water")</f>
        <v>213949.84425290764</v>
      </c>
      <c r="V38">
        <f t="shared" si="2"/>
        <v>396.78304288088424</v>
      </c>
      <c r="X38">
        <f t="shared" si="3"/>
        <v>0.26422006399999998</v>
      </c>
      <c r="Y38">
        <f t="shared" si="3"/>
        <v>0.25216733400000002</v>
      </c>
      <c r="Z38">
        <f t="shared" si="8"/>
        <v>0.36524047770863466</v>
      </c>
      <c r="AA38">
        <f t="shared" si="7"/>
        <v>6.0263649999999984</v>
      </c>
      <c r="AB38">
        <f t="shared" si="5"/>
        <v>6.1426541474399889E-2</v>
      </c>
      <c r="AC38">
        <f t="shared" si="6"/>
        <v>24.373010039861224</v>
      </c>
    </row>
    <row r="39" spans="1:29" x14ac:dyDescent="0.2">
      <c r="A39">
        <v>44674.8640912755</v>
      </c>
      <c r="B39">
        <v>19.853752</v>
      </c>
      <c r="C39">
        <v>19.761361999999998</v>
      </c>
      <c r="D39">
        <v>19.656558</v>
      </c>
      <c r="E39">
        <v>19.628184000000001</v>
      </c>
      <c r="F39">
        <v>38.419696000000002</v>
      </c>
      <c r="G39">
        <v>37.499544</v>
      </c>
      <c r="H39">
        <v>35.711630999999997</v>
      </c>
      <c r="I39">
        <v>29.419981</v>
      </c>
      <c r="J39">
        <v>57.112738999999998</v>
      </c>
      <c r="K39">
        <v>51.088434999999997</v>
      </c>
      <c r="L39">
        <v>39.109729999999999</v>
      </c>
      <c r="M39">
        <v>-622.47265400000003</v>
      </c>
      <c r="N39">
        <v>0.95840899999999996</v>
      </c>
      <c r="O39">
        <v>1.396798</v>
      </c>
      <c r="P39">
        <f t="shared" si="0"/>
        <v>1.5973483333333332E-5</v>
      </c>
      <c r="Q39" cm="1">
        <f t="array" ref="Q39">[1]!PropsSI("D","T",J39+273.15,"P",101325,"Water")</f>
        <v>984.65635733820363</v>
      </c>
      <c r="R39" cm="1">
        <f t="array" ref="R39">[1]!PropsSI("D","T",K39+273.15,"P",101325,"Water")</f>
        <v>987.53888058109419</v>
      </c>
      <c r="S39">
        <f t="shared" si="1"/>
        <v>986.09761895964891</v>
      </c>
      <c r="T39" cm="1">
        <f t="array" ref="T39">[1]!PropsSI("H","T",J39+273.15,"P",101325,"Water")</f>
        <v>239167.40146725986</v>
      </c>
      <c r="U39" cm="1">
        <f t="array" ref="U39">[1]!PropsSI("H","T",K39+273.15,"P",101325,"Water")</f>
        <v>213969.78240393818</v>
      </c>
      <c r="V39">
        <f t="shared" si="2"/>
        <v>396.89812669454329</v>
      </c>
      <c r="X39">
        <f t="shared" si="3"/>
        <v>0.26422547799999996</v>
      </c>
      <c r="Y39">
        <f t="shared" si="3"/>
        <v>0.25217687</v>
      </c>
      <c r="Z39">
        <f t="shared" si="8"/>
        <v>0.36525097807853352</v>
      </c>
      <c r="AA39">
        <f t="shared" si="7"/>
        <v>6.0243040000000008</v>
      </c>
      <c r="AB39">
        <f t="shared" si="5"/>
        <v>6.1448719276748678E-2</v>
      </c>
      <c r="AC39">
        <f t="shared" si="6"/>
        <v>24.388881568720421</v>
      </c>
    </row>
    <row r="40" spans="1:29" x14ac:dyDescent="0.2">
      <c r="A40">
        <v>44674.864149145898</v>
      </c>
      <c r="B40">
        <v>19.827293000000001</v>
      </c>
      <c r="C40">
        <v>19.73489</v>
      </c>
      <c r="D40">
        <v>19.643169</v>
      </c>
      <c r="E40">
        <v>19.612966</v>
      </c>
      <c r="F40">
        <v>38.091895999999998</v>
      </c>
      <c r="G40">
        <v>37.881287</v>
      </c>
      <c r="H40">
        <v>34.989612000000001</v>
      </c>
      <c r="I40">
        <v>30.133762000000001</v>
      </c>
      <c r="J40">
        <v>57.110987000000002</v>
      </c>
      <c r="K40">
        <v>51.086528000000001</v>
      </c>
      <c r="L40">
        <v>39.862754000000002</v>
      </c>
      <c r="M40">
        <v>-622.47796000000005</v>
      </c>
      <c r="N40">
        <v>0.95776499999999998</v>
      </c>
      <c r="O40">
        <v>2.358768</v>
      </c>
      <c r="P40">
        <f t="shared" si="0"/>
        <v>1.5962749999999999E-5</v>
      </c>
      <c r="Q40" cm="1">
        <f t="array" ref="Q40">[1]!PropsSI("D","T",J40+273.15,"P",101325,"Water")</f>
        <v>984.65722836619818</v>
      </c>
      <c r="R40" cm="1">
        <f t="array" ref="R40">[1]!PropsSI("D","T",K40+273.15,"P",101325,"Water")</f>
        <v>987.53975663086692</v>
      </c>
      <c r="S40">
        <f t="shared" si="1"/>
        <v>986.09849249853255</v>
      </c>
      <c r="T40" cm="1">
        <f t="array" ref="T40">[1]!PropsSI("H","T",J40+273.15,"P",101325,"Water")</f>
        <v>239160.07152980566</v>
      </c>
      <c r="U40" cm="1">
        <f t="array" ref="U40">[1]!PropsSI("H","T",K40+273.15,"P",101325,"Water")</f>
        <v>213961.80797900414</v>
      </c>
      <c r="V40">
        <f t="shared" si="2"/>
        <v>396.6419283450544</v>
      </c>
      <c r="X40">
        <f t="shared" si="3"/>
        <v>0.26422197400000003</v>
      </c>
      <c r="Y40">
        <f t="shared" si="3"/>
        <v>0.25217305600000001</v>
      </c>
      <c r="Z40">
        <f t="shared" si="8"/>
        <v>0.36524580999216927</v>
      </c>
      <c r="AA40">
        <f t="shared" si="7"/>
        <v>6.0244590000000002</v>
      </c>
      <c r="AB40">
        <f t="shared" si="5"/>
        <v>6.1446333752359306E-2</v>
      </c>
      <c r="AC40">
        <f t="shared" si="6"/>
        <v>24.372192309269597</v>
      </c>
    </row>
    <row r="41" spans="1:29" x14ac:dyDescent="0.2">
      <c r="A41">
        <v>44674.864207594903</v>
      </c>
      <c r="B41">
        <v>19.816523</v>
      </c>
      <c r="C41">
        <v>19.716311000000001</v>
      </c>
      <c r="D41">
        <v>19.648914999999999</v>
      </c>
      <c r="E41">
        <v>19.61007</v>
      </c>
      <c r="F41">
        <v>38.521082999999997</v>
      </c>
      <c r="G41">
        <v>36.502070000000003</v>
      </c>
      <c r="H41">
        <v>35.157020000000003</v>
      </c>
      <c r="I41">
        <v>29.735423000000001</v>
      </c>
      <c r="J41">
        <v>57.109236000000003</v>
      </c>
      <c r="K41">
        <v>51.076991999999997</v>
      </c>
      <c r="L41">
        <v>40.730465000000002</v>
      </c>
      <c r="M41">
        <v>-622.46938899999998</v>
      </c>
      <c r="N41">
        <v>0.95711000000000002</v>
      </c>
      <c r="O41">
        <v>1.453857</v>
      </c>
      <c r="P41">
        <f t="shared" si="0"/>
        <v>1.5951833333333335E-5</v>
      </c>
      <c r="Q41" cm="1">
        <f t="array" ref="Q41">[1]!PropsSI("D","T",J41+273.15,"P",101325,"Water")</f>
        <v>984.65809887839782</v>
      </c>
      <c r="R41" cm="1">
        <f t="array" ref="R41">[1]!PropsSI("D","T",K41+273.15,"P",101325,"Water")</f>
        <v>987.54413698565975</v>
      </c>
      <c r="S41">
        <f t="shared" si="1"/>
        <v>986.10111793202873</v>
      </c>
      <c r="T41" cm="1">
        <f t="array" ref="T41">[1]!PropsSI("H","T",J41+273.15,"P",101325,"Water")</f>
        <v>239152.74577741552</v>
      </c>
      <c r="U41" cm="1">
        <f t="array" ref="U41">[1]!PropsSI("H","T",K41+273.15,"P",101325,"Water")</f>
        <v>213921.93168922907</v>
      </c>
      <c r="V41">
        <f t="shared" si="2"/>
        <v>396.88375053915968</v>
      </c>
      <c r="X41">
        <f t="shared" si="3"/>
        <v>0.26421847199999998</v>
      </c>
      <c r="Y41">
        <f t="shared" si="3"/>
        <v>0.252153984</v>
      </c>
      <c r="Z41">
        <f t="shared" si="8"/>
        <v>0.36523010909984821</v>
      </c>
      <c r="AA41">
        <f t="shared" si="7"/>
        <v>6.0322440000000057</v>
      </c>
      <c r="AB41">
        <f t="shared" si="5"/>
        <v>6.1366566889194799E-2</v>
      </c>
      <c r="AC41">
        <f t="shared" si="6"/>
        <v>24.355393224695845</v>
      </c>
    </row>
    <row r="42" spans="1:29" x14ac:dyDescent="0.2">
      <c r="A42">
        <v>46136.864266041666</v>
      </c>
      <c r="B42">
        <v>19.796589000000001</v>
      </c>
      <c r="C42">
        <v>19.702815000000001</v>
      </c>
      <c r="D42">
        <v>19.654631999999999</v>
      </c>
      <c r="E42">
        <v>19.619713000000001</v>
      </c>
      <c r="F42">
        <v>38.758634000000001</v>
      </c>
      <c r="G42">
        <v>38.683287</v>
      </c>
      <c r="H42">
        <v>35.628194000000001</v>
      </c>
      <c r="I42">
        <v>28.853860999999998</v>
      </c>
      <c r="J42">
        <v>57.105415000000001</v>
      </c>
      <c r="K42">
        <v>51.070317000000003</v>
      </c>
      <c r="L42">
        <v>37.233497</v>
      </c>
      <c r="M42">
        <v>-622.48816399999998</v>
      </c>
      <c r="N42">
        <v>0.95538100000000004</v>
      </c>
      <c r="O42">
        <v>0.49111100000000002</v>
      </c>
      <c r="P42">
        <f t="shared" si="0"/>
        <v>1.5923016666666667E-5</v>
      </c>
      <c r="Q42" cm="1">
        <f t="array" ref="Q42">[1]!PropsSI("D","T",J42+273.15,"P",101325,"Water")</f>
        <v>984.65999842947974</v>
      </c>
      <c r="R42" cm="1">
        <f t="array" ref="R42">[1]!PropsSI("D","T",K42+273.15,"P",101325,"Water")</f>
        <v>987.54720279160495</v>
      </c>
      <c r="S42">
        <f t="shared" si="1"/>
        <v>986.10360061054234</v>
      </c>
      <c r="T42" cm="1">
        <f t="array" ref="T42">[1]!PropsSI("H","T",J42+273.15,"P",101325,"Water")</f>
        <v>239136.75965927885</v>
      </c>
      <c r="U42" cm="1">
        <f t="array" ref="U42">[1]!PropsSI("H","T",K42+273.15,"P",101325,"Water")</f>
        <v>213894.01913894893</v>
      </c>
      <c r="V42">
        <f t="shared" si="2"/>
        <v>396.3550512145938</v>
      </c>
      <c r="X42">
        <f t="shared" si="3"/>
        <v>0.26421083000000001</v>
      </c>
      <c r="Y42">
        <f t="shared" si="3"/>
        <v>0.25214063399999997</v>
      </c>
      <c r="Z42">
        <f t="shared" si="8"/>
        <v>0.36521536386522796</v>
      </c>
      <c r="AA42">
        <f t="shared" si="7"/>
        <v>6.0350979999999979</v>
      </c>
      <c r="AB42">
        <f t="shared" si="5"/>
        <v>6.1335906853268819E-2</v>
      </c>
      <c r="AC42">
        <f t="shared" si="6"/>
        <v>24.310796502120919</v>
      </c>
    </row>
    <row r="43" spans="1:29" x14ac:dyDescent="0.2">
      <c r="A43">
        <v>46136.864324490743</v>
      </c>
      <c r="B43">
        <v>19.798835</v>
      </c>
      <c r="C43">
        <v>19.689014</v>
      </c>
      <c r="D43">
        <v>19.661711</v>
      </c>
      <c r="E43">
        <v>19.625413999999999</v>
      </c>
      <c r="F43">
        <v>38.102795</v>
      </c>
      <c r="G43">
        <v>35.895859000000002</v>
      </c>
      <c r="H43">
        <v>35.292040999999998</v>
      </c>
      <c r="I43">
        <v>29.665984999999999</v>
      </c>
      <c r="J43">
        <v>57.107483999999999</v>
      </c>
      <c r="K43">
        <v>51.064118999999998</v>
      </c>
      <c r="L43">
        <v>38.707709000000001</v>
      </c>
      <c r="M43">
        <v>-622.48653100000001</v>
      </c>
      <c r="N43">
        <v>0.95857300000000001</v>
      </c>
      <c r="O43">
        <v>1.9376949999999999</v>
      </c>
      <c r="P43">
        <f t="shared" si="0"/>
        <v>1.5976216666666668E-5</v>
      </c>
      <c r="Q43" cm="1">
        <f t="array" ref="Q43">[1]!PropsSI("D","T",J43+273.15,"P",101325,"Water")</f>
        <v>984.65896986912344</v>
      </c>
      <c r="R43" cm="1">
        <f t="array" ref="R43">[1]!PropsSI("D","T",K43+273.15,"P",101325,"Water")</f>
        <v>987.55004925448873</v>
      </c>
      <c r="S43">
        <f t="shared" si="1"/>
        <v>986.10450956180603</v>
      </c>
      <c r="T43" cm="1">
        <f t="array" ref="T43">[1]!PropsSI("H","T",J43+273.15,"P",101325,"Water")</f>
        <v>239145.41584236833</v>
      </c>
      <c r="U43" cm="1">
        <f t="array" ref="U43">[1]!PropsSI("H","T",K43+273.15,"P",101325,"Water")</f>
        <v>213868.10125040702</v>
      </c>
      <c r="V43">
        <f t="shared" si="2"/>
        <v>398.22435741546479</v>
      </c>
      <c r="X43">
        <f t="shared" si="3"/>
        <v>0.26421496799999999</v>
      </c>
      <c r="Y43">
        <f t="shared" si="3"/>
        <v>0.252128238</v>
      </c>
      <c r="Z43">
        <f t="shared" si="8"/>
        <v>0.36520979958405508</v>
      </c>
      <c r="AA43">
        <f t="shared" si="7"/>
        <v>6.0433650000000014</v>
      </c>
      <c r="AB43">
        <f t="shared" si="5"/>
        <v>6.1253325981930083E-2</v>
      </c>
      <c r="AC43">
        <f t="shared" si="6"/>
        <v>24.3925663787141</v>
      </c>
    </row>
    <row r="44" spans="1:29" x14ac:dyDescent="0.2">
      <c r="A44">
        <v>46136.864382939813</v>
      </c>
      <c r="B44">
        <v>19.797001999999999</v>
      </c>
      <c r="C44">
        <v>19.725988000000001</v>
      </c>
      <c r="D44">
        <v>19.664861999999999</v>
      </c>
      <c r="E44">
        <v>19.633914999999998</v>
      </c>
      <c r="F44">
        <v>38.289802999999999</v>
      </c>
      <c r="G44">
        <v>37.409815000000002</v>
      </c>
      <c r="H44">
        <v>35.578766000000002</v>
      </c>
      <c r="I44">
        <v>29.395506999999998</v>
      </c>
      <c r="J44">
        <v>57.107644000000001</v>
      </c>
      <c r="K44">
        <v>51.066344000000001</v>
      </c>
      <c r="L44">
        <v>40.228858000000002</v>
      </c>
      <c r="M44">
        <v>-622.48693900000001</v>
      </c>
      <c r="N44">
        <v>0.961314</v>
      </c>
      <c r="O44">
        <v>1.233681</v>
      </c>
      <c r="P44">
        <f t="shared" si="0"/>
        <v>1.60219E-5</v>
      </c>
      <c r="Q44" cm="1">
        <f t="array" ref="Q44">[1]!PropsSI("D","T",J44+273.15,"P",101325,"Water")</f>
        <v>984.65889032737118</v>
      </c>
      <c r="R44" cm="1">
        <f t="array" ref="R44">[1]!PropsSI("D","T",K44+273.15,"P",101325,"Water")</f>
        <v>987.54902744059973</v>
      </c>
      <c r="S44">
        <f t="shared" si="1"/>
        <v>986.10395888398546</v>
      </c>
      <c r="T44" cm="1">
        <f t="array" ref="T44">[1]!PropsSI("H","T",J44+273.15,"P",101325,"Water")</f>
        <v>239146.08524281415</v>
      </c>
      <c r="U44" cm="1">
        <f t="array" ref="U44">[1]!PropsSI("H","T",K44+273.15,"P",101325,"Water")</f>
        <v>213877.40542817253</v>
      </c>
      <c r="V44">
        <f t="shared" si="2"/>
        <v>399.226417455741</v>
      </c>
      <c r="X44">
        <f t="shared" si="3"/>
        <v>0.26421528799999999</v>
      </c>
      <c r="Y44">
        <f t="shared" si="3"/>
        <v>0.25213268799999999</v>
      </c>
      <c r="Z44">
        <f t="shared" si="8"/>
        <v>0.3652131032301939</v>
      </c>
      <c r="AA44">
        <f t="shared" si="7"/>
        <v>6.0412999999999997</v>
      </c>
      <c r="AB44">
        <f t="shared" si="5"/>
        <v>6.1274244788589158E-2</v>
      </c>
      <c r="AC44">
        <f t="shared" si="6"/>
        <v>24.462297229254556</v>
      </c>
    </row>
    <row r="45" spans="1:29" x14ac:dyDescent="0.2">
      <c r="A45">
        <v>46136.864441388891</v>
      </c>
      <c r="B45">
        <v>19.802344999999999</v>
      </c>
      <c r="C45">
        <v>19.722925</v>
      </c>
      <c r="D45">
        <v>19.683197</v>
      </c>
      <c r="E45">
        <v>19.632660999999999</v>
      </c>
      <c r="F45">
        <v>38.263838999999997</v>
      </c>
      <c r="G45">
        <v>37.056780000000003</v>
      </c>
      <c r="H45">
        <v>35.669466999999997</v>
      </c>
      <c r="I45">
        <v>29.974961</v>
      </c>
      <c r="J45">
        <v>57.111145999999998</v>
      </c>
      <c r="K45">
        <v>51.062846999999998</v>
      </c>
      <c r="L45">
        <v>39.256253000000001</v>
      </c>
      <c r="M45">
        <v>-622.47796000000005</v>
      </c>
      <c r="N45">
        <v>0.95455299999999998</v>
      </c>
      <c r="O45">
        <v>1.245512</v>
      </c>
      <c r="P45">
        <f t="shared" si="0"/>
        <v>1.5909216666666667E-5</v>
      </c>
      <c r="Q45" cm="1">
        <f t="array" ref="Q45">[1]!PropsSI("D","T",J45+273.15,"P",101325,"Water")</f>
        <v>984.65714931820014</v>
      </c>
      <c r="R45" cm="1">
        <f t="array" ref="R45">[1]!PropsSI("D","T",K45+273.15,"P",101325,"Water")</f>
        <v>987.55063339615424</v>
      </c>
      <c r="S45">
        <f t="shared" si="1"/>
        <v>986.10389135717719</v>
      </c>
      <c r="T45" cm="1">
        <f t="array" ref="T45">[1]!PropsSI("H","T",J45+273.15,"P",101325,"Water")</f>
        <v>239160.73674668343</v>
      </c>
      <c r="U45" cm="1">
        <f t="array" ref="U45">[1]!PropsSI("H","T",K45+273.15,"P",101325,"Water")</f>
        <v>213862.78218849946</v>
      </c>
      <c r="V45">
        <f t="shared" si="2"/>
        <v>396.87786454662506</v>
      </c>
      <c r="X45">
        <f t="shared" si="3"/>
        <v>0.26422229200000003</v>
      </c>
      <c r="Y45">
        <f t="shared" si="3"/>
        <v>0.25212569400000001</v>
      </c>
      <c r="Z45">
        <f t="shared" si="8"/>
        <v>0.36521334198618061</v>
      </c>
      <c r="AA45">
        <f t="shared" si="7"/>
        <v>6.0482990000000001</v>
      </c>
      <c r="AB45">
        <f t="shared" si="5"/>
        <v>6.1205267703621731E-2</v>
      </c>
      <c r="AC45">
        <f t="shared" si="6"/>
        <v>24.291015945217911</v>
      </c>
    </row>
    <row r="46" spans="1:29" x14ac:dyDescent="0.2">
      <c r="A46">
        <v>46136.86449983796</v>
      </c>
      <c r="B46">
        <v>19.828582999999998</v>
      </c>
      <c r="C46">
        <v>19.72409</v>
      </c>
      <c r="D46">
        <v>19.657883999999999</v>
      </c>
      <c r="E46">
        <v>19.626864999999999</v>
      </c>
      <c r="F46">
        <v>38.360413999999999</v>
      </c>
      <c r="G46">
        <v>35.947299000000001</v>
      </c>
      <c r="H46">
        <v>35.700327999999999</v>
      </c>
      <c r="I46">
        <v>29.149753</v>
      </c>
      <c r="J46">
        <v>57.110669000000001</v>
      </c>
      <c r="K46">
        <v>51.071271000000003</v>
      </c>
      <c r="L46">
        <v>39.362779000000003</v>
      </c>
      <c r="M46">
        <v>-622.48693900000001</v>
      </c>
      <c r="N46">
        <v>0.95658100000000001</v>
      </c>
      <c r="O46">
        <v>1.746124</v>
      </c>
      <c r="P46">
        <f t="shared" si="0"/>
        <v>1.5943016666666666E-5</v>
      </c>
      <c r="Q46" cm="1">
        <f t="array" ref="Q46">[1]!PropsSI("D","T",J46+273.15,"P",101325,"Water")</f>
        <v>984.65738646176328</v>
      </c>
      <c r="R46" cm="1">
        <f t="array" ref="R46">[1]!PropsSI("D","T",K46+273.15,"P",101325,"Water")</f>
        <v>987.54676464016927</v>
      </c>
      <c r="S46">
        <f t="shared" si="1"/>
        <v>986.10207555096622</v>
      </c>
      <c r="T46" cm="1">
        <f t="array" ref="T46">[1]!PropsSI("H","T",J46+273.15,"P",101325,"Water")</f>
        <v>239158.74109611238</v>
      </c>
      <c r="U46" cm="1">
        <f t="array" ref="U46">[1]!PropsSI("H","T",K46+273.15,"P",101325,"Water")</f>
        <v>213898.0084374873</v>
      </c>
      <c r="V46">
        <f t="shared" si="2"/>
        <v>397.13513896318477</v>
      </c>
      <c r="X46">
        <f t="shared" si="3"/>
        <v>0.26422133800000003</v>
      </c>
      <c r="Y46">
        <f t="shared" si="3"/>
        <v>0.25214254199999997</v>
      </c>
      <c r="Z46">
        <f t="shared" si="8"/>
        <v>0.36522428306553223</v>
      </c>
      <c r="AA46">
        <f t="shared" si="7"/>
        <v>6.0393979999999985</v>
      </c>
      <c r="AB46">
        <f t="shared" si="5"/>
        <v>6.1294854467700624E-2</v>
      </c>
      <c r="AC46">
        <f t="shared" si="6"/>
        <v>24.342340546758475</v>
      </c>
    </row>
    <row r="47" spans="1:29" x14ac:dyDescent="0.2">
      <c r="A47">
        <v>46136.86455770833</v>
      </c>
      <c r="B47">
        <v>19.818269000000001</v>
      </c>
      <c r="C47">
        <v>19.722456999999999</v>
      </c>
      <c r="D47">
        <v>19.682962</v>
      </c>
      <c r="E47">
        <v>19.636766000000001</v>
      </c>
      <c r="F47">
        <v>38.441144000000001</v>
      </c>
      <c r="G47">
        <v>37.420775999999996</v>
      </c>
      <c r="H47">
        <v>35.335704999999997</v>
      </c>
      <c r="I47">
        <v>29.091787</v>
      </c>
      <c r="J47">
        <v>57.114331</v>
      </c>
      <c r="K47">
        <v>51.066184999999997</v>
      </c>
      <c r="L47">
        <v>39.331352000000003</v>
      </c>
      <c r="M47">
        <v>-622.46000200000003</v>
      </c>
      <c r="N47">
        <v>0.95519600000000005</v>
      </c>
      <c r="O47">
        <v>1.5117529999999999</v>
      </c>
      <c r="P47">
        <f t="shared" si="0"/>
        <v>1.5919933333333333E-5</v>
      </c>
      <c r="Q47" cm="1">
        <f t="array" ref="Q47">[1]!PropsSI("D","T",J47+273.15,"P",101325,"Water")</f>
        <v>984.65556583995465</v>
      </c>
      <c r="R47" cm="1">
        <f t="array" ref="R47">[1]!PropsSI("D","T",K47+273.15,"P",101325,"Water")</f>
        <v>987.54910046118266</v>
      </c>
      <c r="S47">
        <f t="shared" si="1"/>
        <v>986.10233315056871</v>
      </c>
      <c r="T47" cm="1">
        <f t="array" ref="T47">[1]!PropsSI("H","T",J47+273.15,"P",101325,"Water")</f>
        <v>239174.06200506561</v>
      </c>
      <c r="U47" cm="1">
        <f t="array" ref="U47">[1]!PropsSI("H","T",K47+273.15,"P",101325,"Water")</f>
        <v>213876.74054529163</v>
      </c>
      <c r="V47">
        <f t="shared" si="2"/>
        <v>397.13464055612621</v>
      </c>
      <c r="X47">
        <f t="shared" si="3"/>
        <v>0.264228662</v>
      </c>
      <c r="Y47">
        <f t="shared" si="3"/>
        <v>0.25213236999999999</v>
      </c>
      <c r="Z47">
        <f t="shared" si="8"/>
        <v>0.36522255930340219</v>
      </c>
      <c r="AA47">
        <f t="shared" si="7"/>
        <v>6.0481460000000027</v>
      </c>
      <c r="AB47">
        <f t="shared" si="5"/>
        <v>6.1208278196224465E-2</v>
      </c>
      <c r="AC47">
        <f t="shared" si="6"/>
        <v>24.30792756051698</v>
      </c>
    </row>
    <row r="48" spans="1:29" x14ac:dyDescent="0.2">
      <c r="A48">
        <v>46136.864616157407</v>
      </c>
      <c r="B48">
        <v>19.855096</v>
      </c>
      <c r="C48">
        <v>19.74597</v>
      </c>
      <c r="D48">
        <v>19.686496999999999</v>
      </c>
      <c r="E48">
        <v>19.647213000000001</v>
      </c>
      <c r="F48">
        <v>38.412067</v>
      </c>
      <c r="G48">
        <v>36.605504000000003</v>
      </c>
      <c r="H48">
        <v>35.519337</v>
      </c>
      <c r="I48">
        <v>29.733768000000001</v>
      </c>
      <c r="J48">
        <v>57.118948000000003</v>
      </c>
      <c r="K48">
        <v>51.077469000000001</v>
      </c>
      <c r="L48">
        <v>39.121974000000002</v>
      </c>
      <c r="M48">
        <v>-622.47591999999997</v>
      </c>
      <c r="N48">
        <v>0.95682699999999998</v>
      </c>
      <c r="O48">
        <v>1.978931</v>
      </c>
      <c r="P48">
        <f t="shared" si="0"/>
        <v>1.5947116666666669E-5</v>
      </c>
      <c r="Q48" cm="1">
        <f t="array" ref="Q48">[1]!PropsSI("D","T",J48+273.15,"P",101325,"Water")</f>
        <v>984.65327030857975</v>
      </c>
      <c r="R48" cm="1">
        <f t="array" ref="R48">[1]!PropsSI("D","T",K48+273.15,"P",101325,"Water")</f>
        <v>987.5439178900408</v>
      </c>
      <c r="S48">
        <f t="shared" si="1"/>
        <v>986.09859409931028</v>
      </c>
      <c r="T48" cm="1">
        <f t="array" ref="T48">[1]!PropsSI("H","T",J48+273.15,"P",101325,"Water")</f>
        <v>239193.37840701998</v>
      </c>
      <c r="U48" cm="1">
        <f t="array" ref="U48">[1]!PropsSI("H","T",K48+273.15,"P",101325,"Water")</f>
        <v>213923.92633941406</v>
      </c>
      <c r="V48">
        <f t="shared" si="2"/>
        <v>397.37298256903722</v>
      </c>
      <c r="X48">
        <f t="shared" si="3"/>
        <v>0.26423789600000003</v>
      </c>
      <c r="Y48">
        <f t="shared" si="3"/>
        <v>0.252154938</v>
      </c>
      <c r="Z48">
        <f t="shared" si="8"/>
        <v>0.36524481986783969</v>
      </c>
      <c r="AA48">
        <f t="shared" si="7"/>
        <v>6.0414790000000025</v>
      </c>
      <c r="AB48">
        <f t="shared" si="5"/>
        <v>6.1277657109369006E-2</v>
      </c>
      <c r="AC48">
        <f t="shared" si="6"/>
        <v>24.35008537039273</v>
      </c>
    </row>
    <row r="49" spans="1:29" x14ac:dyDescent="0.2">
      <c r="A49">
        <v>44674.864674608798</v>
      </c>
      <c r="B49">
        <v>19.847258</v>
      </c>
      <c r="C49">
        <v>19.733319000000002</v>
      </c>
      <c r="D49">
        <v>19.695910000000001</v>
      </c>
      <c r="E49">
        <v>19.650243</v>
      </c>
      <c r="F49">
        <v>38.449575000000003</v>
      </c>
      <c r="G49">
        <v>35.763744000000003</v>
      </c>
      <c r="H49">
        <v>35.663694999999997</v>
      </c>
      <c r="I49">
        <v>28.841608999999998</v>
      </c>
      <c r="J49">
        <v>57.117037000000003</v>
      </c>
      <c r="K49">
        <v>51.076833000000001</v>
      </c>
      <c r="L49">
        <v>40.942290999999997</v>
      </c>
      <c r="M49">
        <v>-622.46612400000004</v>
      </c>
      <c r="N49">
        <v>0.95874499999999996</v>
      </c>
      <c r="O49">
        <v>1.6978979999999999</v>
      </c>
      <c r="P49">
        <f t="shared" si="0"/>
        <v>1.5979083333333334E-5</v>
      </c>
      <c r="Q49" cm="1">
        <f t="array" ref="Q49">[1]!PropsSI("D","T",J49+273.15,"P",101325,"Water")</f>
        <v>984.65422045650325</v>
      </c>
      <c r="R49" cm="1">
        <f t="array" ref="R49">[1]!PropsSI("D","T",K49+273.15,"P",101325,"Water")</f>
        <v>987.54421001718276</v>
      </c>
      <c r="S49">
        <f t="shared" si="1"/>
        <v>986.09921523684307</v>
      </c>
      <c r="T49" cm="1">
        <f t="array" ref="T49">[1]!PropsSI("H","T",J49+273.15,"P",101325,"Water")</f>
        <v>239185.38324806589</v>
      </c>
      <c r="U49" cm="1">
        <f t="array" ref="U49">[1]!PropsSI("H","T",K49+273.15,"P",101325,"Water")</f>
        <v>213921.26680591624</v>
      </c>
      <c r="V49">
        <f t="shared" si="2"/>
        <v>398.08571099987</v>
      </c>
      <c r="X49">
        <f t="shared" si="3"/>
        <v>0.26423407399999999</v>
      </c>
      <c r="Y49">
        <f t="shared" si="3"/>
        <v>0.252153666</v>
      </c>
      <c r="Z49">
        <f t="shared" si="8"/>
        <v>0.3652411766762847</v>
      </c>
      <c r="AA49">
        <f t="shared" si="7"/>
        <v>6.0402040000000028</v>
      </c>
      <c r="AB49">
        <f t="shared" si="5"/>
        <v>6.1289652426301154E-2</v>
      </c>
      <c r="AC49">
        <f t="shared" si="6"/>
        <v>24.398534863059002</v>
      </c>
    </row>
    <row r="50" spans="1:29" x14ac:dyDescent="0.2">
      <c r="A50" t="s">
        <v>18</v>
      </c>
      <c r="B50">
        <v>19.847016</v>
      </c>
      <c r="C50">
        <v>19.747713000000001</v>
      </c>
      <c r="D50">
        <v>19.694044999999999</v>
      </c>
      <c r="E50">
        <v>19.663526999999998</v>
      </c>
      <c r="F50">
        <v>39.415208999999997</v>
      </c>
      <c r="G50">
        <v>37.317971</v>
      </c>
      <c r="H50">
        <v>34.821772000000003</v>
      </c>
      <c r="I50">
        <v>28.997478999999998</v>
      </c>
      <c r="J50">
        <v>57.121495000000003</v>
      </c>
      <c r="K50">
        <v>51.070475999999999</v>
      </c>
      <c r="L50">
        <v>39.752147000000001</v>
      </c>
      <c r="M50">
        <v>-622.49020499999995</v>
      </c>
      <c r="N50">
        <v>0.95666300000000004</v>
      </c>
      <c r="O50">
        <v>1.6620619999999999</v>
      </c>
      <c r="P50">
        <f t="shared" si="0"/>
        <v>1.5944383333333336E-5</v>
      </c>
      <c r="Q50" cm="1">
        <f t="array" ref="Q50">[1]!PropsSI("D","T",J50+273.15,"P",101325,"Water")</f>
        <v>984.65200390738198</v>
      </c>
      <c r="R50" cm="1">
        <f t="array" ref="R50">[1]!PropsSI("D","T",K50+273.15,"P",101325,"Water")</f>
        <v>987.54712976676149</v>
      </c>
      <c r="S50">
        <f t="shared" si="1"/>
        <v>986.09956683707173</v>
      </c>
      <c r="T50" cm="1">
        <f t="array" ref="T50">[1]!PropsSI("H","T",J50+273.15,"P",101325,"Water")</f>
        <v>239204.03443742625</v>
      </c>
      <c r="U50" cm="1">
        <f t="array" ref="U50">[1]!PropsSI("H","T",K50+273.15,"P",101325,"Water")</f>
        <v>213894.68402205218</v>
      </c>
      <c r="V50">
        <f t="shared" si="2"/>
        <v>397.93257655028413</v>
      </c>
      <c r="X50">
        <f t="shared" si="3"/>
        <v>0.26424299000000001</v>
      </c>
      <c r="Y50">
        <f t="shared" si="3"/>
        <v>0.25214095199999997</v>
      </c>
      <c r="Z50">
        <f t="shared" si="8"/>
        <v>0.36523884984980226</v>
      </c>
      <c r="AA50">
        <f t="shared" si="7"/>
        <v>6.0510190000000037</v>
      </c>
      <c r="AB50">
        <f t="shared" si="5"/>
        <v>6.1182648625420166E-2</v>
      </c>
      <c r="AC50">
        <f t="shared" si="6"/>
        <v>24.346569007684145</v>
      </c>
    </row>
    <row r="51" spans="1:29" x14ac:dyDescent="0.2">
      <c r="A51">
        <v>46136.864791504631</v>
      </c>
      <c r="B51">
        <v>19.849284999999998</v>
      </c>
      <c r="C51">
        <v>19.729057999999998</v>
      </c>
      <c r="D51">
        <v>19.696296</v>
      </c>
      <c r="E51">
        <v>19.660069</v>
      </c>
      <c r="F51">
        <v>38.561418000000003</v>
      </c>
      <c r="G51">
        <v>36.109496999999998</v>
      </c>
      <c r="H51">
        <v>35.675960000000003</v>
      </c>
      <c r="I51">
        <v>29.288105999999999</v>
      </c>
      <c r="J51">
        <v>57.123086999999998</v>
      </c>
      <c r="K51">
        <v>51.072065000000002</v>
      </c>
      <c r="L51">
        <v>40.653326</v>
      </c>
      <c r="M51">
        <v>-622.50163299999997</v>
      </c>
      <c r="N51">
        <v>0.95865500000000003</v>
      </c>
      <c r="O51">
        <v>1.638857</v>
      </c>
      <c r="P51">
        <f t="shared" si="0"/>
        <v>1.5977583333333334E-5</v>
      </c>
      <c r="Q51" cm="1">
        <f t="array" ref="Q51">[1]!PropsSI("D","T",J51+273.15,"P",101325,"Water")</f>
        <v>984.65121232446313</v>
      </c>
      <c r="R51" cm="1">
        <f t="array" ref="R51">[1]!PropsSI("D","T",K51+273.15,"P",101325,"Water")</f>
        <v>987.54639996875198</v>
      </c>
      <c r="S51">
        <f t="shared" si="1"/>
        <v>986.09880614660756</v>
      </c>
      <c r="T51" cm="1">
        <f t="array" ref="T51">[1]!PropsSI("H","T",J51+273.15,"P",101325,"Water")</f>
        <v>239210.69498072405</v>
      </c>
      <c r="U51" cm="1">
        <f t="array" ref="U51">[1]!PropsSI("H","T",K51+273.15,"P",101325,"Water")</f>
        <v>213901.3286714702</v>
      </c>
      <c r="V51">
        <f t="shared" si="2"/>
        <v>398.76110966698445</v>
      </c>
      <c r="X51">
        <f t="shared" si="3"/>
        <v>0.264246174</v>
      </c>
      <c r="Y51">
        <f t="shared" si="3"/>
        <v>0.25214413000000002</v>
      </c>
      <c r="Z51">
        <f t="shared" si="8"/>
        <v>0.36524334732763469</v>
      </c>
      <c r="AA51">
        <f t="shared" si="7"/>
        <v>6.0510219999999961</v>
      </c>
      <c r="AB51">
        <f t="shared" si="5"/>
        <v>6.1183352366675332E-2</v>
      </c>
      <c r="AC51">
        <f t="shared" si="6"/>
        <v>24.397541482881575</v>
      </c>
    </row>
    <row r="52" spans="1:29" x14ac:dyDescent="0.2">
      <c r="A52">
        <v>46136.864849953701</v>
      </c>
      <c r="B52">
        <v>19.854600000000001</v>
      </c>
      <c r="C52">
        <v>19.768706999999999</v>
      </c>
      <c r="D52">
        <v>19.696456000000001</v>
      </c>
      <c r="E52">
        <v>19.679366000000002</v>
      </c>
      <c r="F52">
        <v>38.593223999999999</v>
      </c>
      <c r="G52">
        <v>37.006791</v>
      </c>
      <c r="H52">
        <v>35.671317999999999</v>
      </c>
      <c r="I52">
        <v>29.761780000000002</v>
      </c>
      <c r="J52">
        <v>57.124679999999998</v>
      </c>
      <c r="K52">
        <v>51.069204999999997</v>
      </c>
      <c r="L52">
        <v>39.931322000000002</v>
      </c>
      <c r="M52">
        <v>-622.50122399999998</v>
      </c>
      <c r="N52">
        <v>0.95743400000000001</v>
      </c>
      <c r="O52">
        <v>1.554681</v>
      </c>
      <c r="P52">
        <f t="shared" si="0"/>
        <v>1.5957233333333334E-5</v>
      </c>
      <c r="Q52" cm="1">
        <f t="array" ref="Q52">[1]!PropsSI("D","T",J52+273.15,"P",101325,"Water")</f>
        <v>984.65042022891987</v>
      </c>
      <c r="R52" cm="1">
        <f t="array" ref="R52">[1]!PropsSI("D","T",K52+273.15,"P",101325,"Water")</f>
        <v>987.54771350156091</v>
      </c>
      <c r="S52">
        <f t="shared" si="1"/>
        <v>986.09906686524039</v>
      </c>
      <c r="T52" cm="1">
        <f t="array" ref="T52">[1]!PropsSI("H","T",J52+273.15,"P",101325,"Water")</f>
        <v>239217.35970872687</v>
      </c>
      <c r="U52" cm="1">
        <f t="array" ref="U52">[1]!PropsSI("H","T",K52+273.15,"P",101325,"Water")</f>
        <v>213889.36913941157</v>
      </c>
      <c r="V52">
        <f t="shared" si="2"/>
        <v>398.54638952917333</v>
      </c>
      <c r="X52">
        <f t="shared" si="3"/>
        <v>0.26424935999999999</v>
      </c>
      <c r="Y52">
        <f t="shared" si="3"/>
        <v>0.25213840999999998</v>
      </c>
      <c r="Z52">
        <f t="shared" si="8"/>
        <v>0.36524170361246766</v>
      </c>
      <c r="AA52">
        <f t="shared" si="7"/>
        <v>6.0554750000000013</v>
      </c>
      <c r="AB52">
        <f t="shared" si="5"/>
        <v>6.1139294663883646E-2</v>
      </c>
      <c r="AC52">
        <f t="shared" si="6"/>
        <v>24.36684514665108</v>
      </c>
    </row>
    <row r="53" spans="1:29" x14ac:dyDescent="0.2">
      <c r="A53">
        <v>46136.864907824071</v>
      </c>
      <c r="B53">
        <v>19.856293000000001</v>
      </c>
      <c r="C53">
        <v>19.763881999999999</v>
      </c>
      <c r="D53">
        <v>19.709047999999999</v>
      </c>
      <c r="E53">
        <v>19.663674</v>
      </c>
      <c r="F53">
        <v>38.626299000000003</v>
      </c>
      <c r="G53">
        <v>37.599713000000001</v>
      </c>
      <c r="H53">
        <v>35.023189000000002</v>
      </c>
      <c r="I53">
        <v>30.030643999999999</v>
      </c>
      <c r="J53">
        <v>57.121335999999999</v>
      </c>
      <c r="K53">
        <v>51.062052999999999</v>
      </c>
      <c r="L53">
        <v>39.869284</v>
      </c>
      <c r="M53">
        <v>-622.50938699999995</v>
      </c>
      <c r="N53">
        <v>0.95705700000000005</v>
      </c>
      <c r="O53">
        <v>1.8521069999999999</v>
      </c>
      <c r="P53">
        <f t="shared" si="0"/>
        <v>1.595095E-5</v>
      </c>
      <c r="Q53" cm="1">
        <f t="array" ref="Q53">[1]!PropsSI("D","T",J53+273.15,"P",101325,"Water")</f>
        <v>984.65208296537992</v>
      </c>
      <c r="R53" cm="1">
        <f t="array" ref="R53">[1]!PropsSI("D","T",K53+273.15,"P",101325,"Water")</f>
        <v>987.55099802013547</v>
      </c>
      <c r="S53">
        <f t="shared" si="1"/>
        <v>986.10154049275775</v>
      </c>
      <c r="T53" cm="1">
        <f t="array" ref="T53">[1]!PropsSI("H","T",J53+273.15,"P",101325,"Water")</f>
        <v>239203.36921989423</v>
      </c>
      <c r="U53" cm="1">
        <f t="array" ref="U53">[1]!PropsSI("H","T",K53+273.15,"P",101325,"Water")</f>
        <v>213859.46195673692</v>
      </c>
      <c r="V53">
        <f t="shared" si="2"/>
        <v>398.64081469185953</v>
      </c>
      <c r="X53">
        <f t="shared" si="3"/>
        <v>0.26424267200000001</v>
      </c>
      <c r="Y53">
        <f t="shared" si="3"/>
        <v>0.25212410600000001</v>
      </c>
      <c r="Z53">
        <f t="shared" si="8"/>
        <v>0.36522699042102413</v>
      </c>
      <c r="AA53">
        <f t="shared" si="7"/>
        <v>6.0592830000000006</v>
      </c>
      <c r="AB53">
        <f t="shared" si="5"/>
        <v>6.1099503994245706E-2</v>
      </c>
      <c r="AC53">
        <f t="shared" si="6"/>
        <v>24.356756049534635</v>
      </c>
    </row>
    <row r="54" spans="1:29" x14ac:dyDescent="0.2">
      <c r="A54">
        <v>46136.864966273148</v>
      </c>
      <c r="B54">
        <v>19.839348000000001</v>
      </c>
      <c r="C54">
        <v>19.736160000000002</v>
      </c>
      <c r="D54">
        <v>19.711058000000001</v>
      </c>
      <c r="E54">
        <v>19.642323000000001</v>
      </c>
      <c r="F54">
        <v>38.500774</v>
      </c>
      <c r="G54">
        <v>36.340809999999998</v>
      </c>
      <c r="H54">
        <v>35.213603999999997</v>
      </c>
      <c r="I54">
        <v>29.384965000000001</v>
      </c>
      <c r="J54">
        <v>57.124997999999998</v>
      </c>
      <c r="K54">
        <v>51.061258000000002</v>
      </c>
      <c r="L54">
        <v>38.955044000000001</v>
      </c>
      <c r="M54">
        <v>-622.49142900000004</v>
      </c>
      <c r="N54">
        <v>0.95486400000000005</v>
      </c>
      <c r="O54">
        <v>1.7942739999999999</v>
      </c>
      <c r="P54">
        <f t="shared" si="0"/>
        <v>1.5914400000000001E-5</v>
      </c>
      <c r="Q54" cm="1">
        <f t="array" ref="Q54">[1]!PropsSI("D","T",J54+273.15,"P",101325,"Water")</f>
        <v>984.6502621063006</v>
      </c>
      <c r="R54" cm="1">
        <f t="array" ref="R54">[1]!PropsSI("D","T",K54+273.15,"P",101325,"Water")</f>
        <v>987.55136309924978</v>
      </c>
      <c r="S54">
        <f t="shared" si="1"/>
        <v>986.10081260277525</v>
      </c>
      <c r="T54" cm="1">
        <f t="array" ref="T54">[1]!PropsSI("H","T",J54+273.15,"P",101325,"Water")</f>
        <v>239218.69014423736</v>
      </c>
      <c r="U54" cm="1">
        <f t="array" ref="U54">[1]!PropsSI("H","T",K54+273.15,"P",101325,"Water")</f>
        <v>213856.13754349711</v>
      </c>
      <c r="V54">
        <f t="shared" si="2"/>
        <v>398.01968078110394</v>
      </c>
      <c r="X54">
        <f t="shared" si="3"/>
        <v>0.26424999599999999</v>
      </c>
      <c r="Y54">
        <f t="shared" si="3"/>
        <v>0.25212251600000002</v>
      </c>
      <c r="Z54">
        <f t="shared" si="8"/>
        <v>0.36523119179523844</v>
      </c>
      <c r="AA54">
        <f t="shared" si="7"/>
        <v>6.0637399999999957</v>
      </c>
      <c r="AB54">
        <f t="shared" si="5"/>
        <v>6.1056481275573955E-2</v>
      </c>
      <c r="AC54">
        <f t="shared" si="6"/>
        <v>24.301681186921396</v>
      </c>
    </row>
    <row r="55" spans="1:29" x14ac:dyDescent="0.2">
      <c r="A55">
        <v>46136.865024143517</v>
      </c>
      <c r="B55">
        <v>19.815670999999998</v>
      </c>
      <c r="C55">
        <v>19.735676000000002</v>
      </c>
      <c r="D55">
        <v>19.695712</v>
      </c>
      <c r="E55">
        <v>19.655353999999999</v>
      </c>
      <c r="F55">
        <v>38.497773000000002</v>
      </c>
      <c r="G55">
        <v>38.008361000000001</v>
      </c>
      <c r="H55">
        <v>35.041387</v>
      </c>
      <c r="I55">
        <v>29.667325000000002</v>
      </c>
      <c r="J55">
        <v>57.127226999999998</v>
      </c>
      <c r="K55">
        <v>51.053947999999998</v>
      </c>
      <c r="L55">
        <v>40.241101999999998</v>
      </c>
      <c r="M55">
        <v>-622.49265300000002</v>
      </c>
      <c r="N55">
        <v>0.95557300000000001</v>
      </c>
      <c r="O55">
        <v>1.7900799999999999</v>
      </c>
      <c r="P55">
        <f t="shared" si="0"/>
        <v>1.5926216666666667E-5</v>
      </c>
      <c r="Q55" cm="1">
        <f t="array" ref="Q55">[1]!PropsSI("D","T",J55+273.15,"P",101325,"Water")</f>
        <v>984.64915373902977</v>
      </c>
      <c r="R55" cm="1">
        <f t="array" ref="R55">[1]!PropsSI("D","T",K55+273.15,"P",101325,"Water")</f>
        <v>987.55471979832021</v>
      </c>
      <c r="S55">
        <f t="shared" si="1"/>
        <v>986.10193676867493</v>
      </c>
      <c r="T55" cm="1">
        <f t="array" ref="T55">[1]!PropsSI("H","T",J55+273.15,"P",101325,"Water")</f>
        <v>239228.01574492911</v>
      </c>
      <c r="U55" cm="1">
        <f t="array" ref="U55">[1]!PropsSI("H","T",K55+273.15,"P",101325,"Water")</f>
        <v>213825.56967719633</v>
      </c>
      <c r="V55">
        <f t="shared" si="2"/>
        <v>398.94219193343616</v>
      </c>
      <c r="X55">
        <f t="shared" si="3"/>
        <v>0.26425445399999997</v>
      </c>
      <c r="Y55">
        <f t="shared" si="3"/>
        <v>0.252107896</v>
      </c>
      <c r="Z55">
        <f t="shared" si="8"/>
        <v>0.3652243251542604</v>
      </c>
      <c r="AA55">
        <f t="shared" si="7"/>
        <v>6.0732789999999994</v>
      </c>
      <c r="AB55">
        <f t="shared" si="5"/>
        <v>6.0962041977392002E-2</v>
      </c>
      <c r="AC55">
        <f t="shared" si="6"/>
        <v>24.320330651198912</v>
      </c>
    </row>
    <row r="56" spans="1:29" x14ac:dyDescent="0.2">
      <c r="A56">
        <v>46136.865082592594</v>
      </c>
      <c r="B56">
        <v>19.837136000000001</v>
      </c>
      <c r="C56">
        <v>19.728856</v>
      </c>
      <c r="D56">
        <v>19.681927999999999</v>
      </c>
      <c r="E56">
        <v>19.652125000000002</v>
      </c>
      <c r="F56">
        <v>38.377276000000002</v>
      </c>
      <c r="G56">
        <v>37.815958999999999</v>
      </c>
      <c r="H56">
        <v>35.212358999999999</v>
      </c>
      <c r="I56">
        <v>29.619577</v>
      </c>
      <c r="J56">
        <v>57.127544999999998</v>
      </c>
      <c r="K56">
        <v>51.059987</v>
      </c>
      <c r="L56">
        <v>38.880353999999997</v>
      </c>
      <c r="M56">
        <v>-622.51836600000001</v>
      </c>
      <c r="N56">
        <v>0.95431100000000002</v>
      </c>
      <c r="O56">
        <v>1.5198989999999999</v>
      </c>
      <c r="P56">
        <f t="shared" si="0"/>
        <v>1.5905183333333335E-5</v>
      </c>
      <c r="Q56" cm="1">
        <f t="array" ref="Q56">[1]!PropsSI("D","T",J56+273.15,"P",101325,"Water")</f>
        <v>984.64899561150435</v>
      </c>
      <c r="R56" cm="1">
        <f t="array" ref="R56">[1]!PropsSI("D","T",K56+273.15,"P",101325,"Water")</f>
        <v>987.55194675811561</v>
      </c>
      <c r="S56">
        <f t="shared" si="1"/>
        <v>986.10047118480998</v>
      </c>
      <c r="T56" cm="1">
        <f t="array" ref="T56">[1]!PropsSI("H","T",J56+273.15,"P",101325,"Water")</f>
        <v>239229.3461807034</v>
      </c>
      <c r="U56" cm="1">
        <f t="array" ref="U56">[1]!PropsSI("H","T",K56+273.15,"P",101325,"Water")</f>
        <v>213850.82266441008</v>
      </c>
      <c r="V56">
        <f t="shared" si="2"/>
        <v>398.03952348708003</v>
      </c>
      <c r="X56">
        <f t="shared" ref="X56:Y109" si="9">(0.15+0.002*ABS(J56))</f>
        <v>0.26425509000000003</v>
      </c>
      <c r="Y56">
        <f t="shared" si="9"/>
        <v>0.25211997399999997</v>
      </c>
      <c r="Z56">
        <f t="shared" si="8"/>
        <v>0.36523312264999841</v>
      </c>
      <c r="AA56">
        <f t="shared" si="7"/>
        <v>6.0675579999999982</v>
      </c>
      <c r="AB56">
        <f t="shared" si="5"/>
        <v>6.1019406433598114E-2</v>
      </c>
      <c r="AC56">
        <f t="shared" si="6"/>
        <v>24.288135460293859</v>
      </c>
    </row>
    <row r="57" spans="1:29" x14ac:dyDescent="0.2">
      <c r="A57">
        <v>46136.865140462964</v>
      </c>
      <c r="B57">
        <v>19.813891000000002</v>
      </c>
      <c r="C57">
        <v>19.730194000000001</v>
      </c>
      <c r="D57">
        <v>19.682335999999999</v>
      </c>
      <c r="E57">
        <v>19.658591999999999</v>
      </c>
      <c r="F57">
        <v>38.385478999999997</v>
      </c>
      <c r="G57">
        <v>37.082081000000002</v>
      </c>
      <c r="H57">
        <v>34.898760000000003</v>
      </c>
      <c r="I57">
        <v>28.870263000000001</v>
      </c>
      <c r="J57">
        <v>57.130889000000003</v>
      </c>
      <c r="K57">
        <v>51.066502999999997</v>
      </c>
      <c r="L57">
        <v>40.936985999999997</v>
      </c>
      <c r="M57">
        <v>-622.45959400000004</v>
      </c>
      <c r="N57">
        <v>0.95551200000000003</v>
      </c>
      <c r="O57">
        <v>1.3317600000000001</v>
      </c>
      <c r="P57">
        <f t="shared" si="0"/>
        <v>1.5925200000000001E-5</v>
      </c>
      <c r="Q57" cm="1">
        <f t="array" ref="Q57">[1]!PropsSI("D","T",J57+273.15,"P",101325,"Water")</f>
        <v>984.64733274892808</v>
      </c>
      <c r="R57" cm="1">
        <f t="array" ref="R57">[1]!PropsSI("D","T",K57+273.15,"P",101325,"Water")</f>
        <v>987.54895441987537</v>
      </c>
      <c r="S57">
        <f t="shared" si="1"/>
        <v>986.09814358440167</v>
      </c>
      <c r="T57" cm="1">
        <f t="array" ref="T57">[1]!PropsSI("H","T",J57+273.15,"P",101325,"Water")</f>
        <v>239243.3366776726</v>
      </c>
      <c r="U57" cm="1">
        <f t="array" ref="U57">[1]!PropsSI("H","T",K57+273.15,"P",101325,"Water")</f>
        <v>213878.07031101399</v>
      </c>
      <c r="V57">
        <f t="shared" si="2"/>
        <v>398.33132758371346</v>
      </c>
      <c r="X57">
        <f t="shared" si="9"/>
        <v>0.264261778</v>
      </c>
      <c r="Y57">
        <f t="shared" si="9"/>
        <v>0.25213300599999999</v>
      </c>
      <c r="Z57">
        <f t="shared" si="8"/>
        <v>0.36524695758666809</v>
      </c>
      <c r="AA57">
        <f t="shared" si="7"/>
        <v>6.064386000000006</v>
      </c>
      <c r="AB57">
        <f t="shared" si="5"/>
        <v>6.1052716420592977E-2</v>
      </c>
      <c r="AC57">
        <f t="shared" si="6"/>
        <v>24.319209584406781</v>
      </c>
    </row>
    <row r="58" spans="1:29" x14ac:dyDescent="0.2">
      <c r="A58">
        <v>46136.865198912034</v>
      </c>
      <c r="B58">
        <v>19.825308</v>
      </c>
      <c r="C58">
        <v>19.742909999999998</v>
      </c>
      <c r="D58">
        <v>19.721520999999999</v>
      </c>
      <c r="E58">
        <v>19.650071000000001</v>
      </c>
      <c r="F58">
        <v>38.696402999999997</v>
      </c>
      <c r="G58">
        <v>36.598348999999999</v>
      </c>
      <c r="H58">
        <v>35.025868000000003</v>
      </c>
      <c r="I58">
        <v>28.733938999999999</v>
      </c>
      <c r="J58">
        <v>57.134709999999998</v>
      </c>
      <c r="K58">
        <v>51.062688999999999</v>
      </c>
      <c r="L58">
        <v>41.259417999999997</v>
      </c>
      <c r="M58">
        <v>-622.47102199999995</v>
      </c>
      <c r="N58">
        <v>0.95524100000000001</v>
      </c>
      <c r="O58">
        <v>1.510394</v>
      </c>
      <c r="P58">
        <f t="shared" si="0"/>
        <v>1.5920683333333335E-5</v>
      </c>
      <c r="Q58" cm="1">
        <f t="array" ref="Q58">[1]!PropsSI("D","T",J58+273.15,"P",101325,"Water")</f>
        <v>984.6454326066164</v>
      </c>
      <c r="R58" cm="1">
        <f t="array" ref="R58">[1]!PropsSI("D","T",K58+273.15,"P",101325,"Water")</f>
        <v>987.55070595388679</v>
      </c>
      <c r="S58">
        <f t="shared" si="1"/>
        <v>986.09806928025159</v>
      </c>
      <c r="T58" cm="1">
        <f t="array" ref="T58">[1]!PropsSI("H","T",J58+273.15,"P",101325,"Water")</f>
        <v>239259.32283410063</v>
      </c>
      <c r="U58" cm="1">
        <f t="array" ref="U58">[1]!PropsSI("H","T",K58+273.15,"P",101325,"Water")</f>
        <v>213862.12148745367</v>
      </c>
      <c r="V58">
        <f t="shared" si="2"/>
        <v>398.71968240142428</v>
      </c>
      <c r="X58">
        <f t="shared" si="9"/>
        <v>0.26426941999999998</v>
      </c>
      <c r="Y58">
        <f t="shared" si="9"/>
        <v>0.25212537800000001</v>
      </c>
      <c r="Z58">
        <f t="shared" si="8"/>
        <v>0.36524722117872338</v>
      </c>
      <c r="AA58">
        <f t="shared" si="7"/>
        <v>6.0720209999999994</v>
      </c>
      <c r="AB58">
        <f t="shared" si="5"/>
        <v>6.097805195226192E-2</v>
      </c>
      <c r="AC58">
        <f t="shared" si="6"/>
        <v>24.313149507863422</v>
      </c>
    </row>
    <row r="59" spans="1:29" x14ac:dyDescent="0.2">
      <c r="A59">
        <v>46136.86525678241</v>
      </c>
      <c r="B59">
        <v>19.819146</v>
      </c>
      <c r="C59">
        <v>19.725649000000001</v>
      </c>
      <c r="D59">
        <v>19.675238</v>
      </c>
      <c r="E59">
        <v>19.655314000000001</v>
      </c>
      <c r="F59">
        <v>38.263317000000001</v>
      </c>
      <c r="G59">
        <v>35.729517999999999</v>
      </c>
      <c r="H59">
        <v>36.168480000000002</v>
      </c>
      <c r="I59">
        <v>29.525879</v>
      </c>
      <c r="J59">
        <v>57.139645999999999</v>
      </c>
      <c r="K59">
        <v>51.065866999999997</v>
      </c>
      <c r="L59">
        <v>39.296658999999998</v>
      </c>
      <c r="M59">
        <v>-622.50285699999995</v>
      </c>
      <c r="N59">
        <v>0.95721199999999995</v>
      </c>
      <c r="O59">
        <v>1.2814490000000001</v>
      </c>
      <c r="P59">
        <f t="shared" si="0"/>
        <v>1.5953533333333332E-5</v>
      </c>
      <c r="Q59" cm="1">
        <f t="array" ref="Q59">[1]!PropsSI("D","T",J59+273.15,"P",101325,"Water")</f>
        <v>984.64297785548558</v>
      </c>
      <c r="R59" cm="1">
        <f t="array" ref="R59">[1]!PropsSI("D","T",K59+273.15,"P",101325,"Water")</f>
        <v>987.54924650186103</v>
      </c>
      <c r="S59">
        <f t="shared" si="1"/>
        <v>986.09611217867337</v>
      </c>
      <c r="T59" cm="1">
        <f t="array" ref="T59">[1]!PropsSI("H","T",J59+273.15,"P",101325,"Water")</f>
        <v>239279.97389421519</v>
      </c>
      <c r="U59" cm="1">
        <f t="array" ref="U59">[1]!PropsSI("H","T",K59+273.15,"P",101325,"Water")</f>
        <v>213875.41077954712</v>
      </c>
      <c r="V59">
        <f t="shared" si="2"/>
        <v>399.65740239551559</v>
      </c>
      <c r="X59">
        <f t="shared" si="9"/>
        <v>0.264279292</v>
      </c>
      <c r="Y59">
        <f t="shared" si="9"/>
        <v>0.252131734</v>
      </c>
      <c r="Z59">
        <f t="shared" si="8"/>
        <v>0.36525875139395086</v>
      </c>
      <c r="AA59">
        <f t="shared" si="7"/>
        <v>6.0737790000000018</v>
      </c>
      <c r="AB59">
        <f t="shared" si="5"/>
        <v>6.0962749786046481E-2</v>
      </c>
      <c r="AC59">
        <f t="shared" si="6"/>
        <v>24.364214222379111</v>
      </c>
    </row>
    <row r="60" spans="1:29" x14ac:dyDescent="0.2">
      <c r="A60">
        <v>46136.86531523148</v>
      </c>
      <c r="B60">
        <v>19.780376</v>
      </c>
      <c r="C60">
        <v>19.687432999999999</v>
      </c>
      <c r="D60">
        <v>19.649318000000001</v>
      </c>
      <c r="E60">
        <v>19.618694999999999</v>
      </c>
      <c r="F60">
        <v>38.913806000000001</v>
      </c>
      <c r="G60">
        <v>37.302489999999999</v>
      </c>
      <c r="H60">
        <v>36.071261999999997</v>
      </c>
      <c r="I60">
        <v>29.828054999999999</v>
      </c>
      <c r="J60">
        <v>57.135505999999999</v>
      </c>
      <c r="K60">
        <v>51.069521999999999</v>
      </c>
      <c r="L60">
        <v>40.625981000000003</v>
      </c>
      <c r="M60">
        <v>-622.506122</v>
      </c>
      <c r="N60">
        <v>0.95610200000000001</v>
      </c>
      <c r="O60">
        <v>1.603313</v>
      </c>
      <c r="P60">
        <f t="shared" si="0"/>
        <v>1.5935033333333332E-5</v>
      </c>
      <c r="Q60" cm="1">
        <f t="array" ref="Q60">[1]!PropsSI("D","T",J60+273.15,"P",101325,"Water")</f>
        <v>984.64503675317781</v>
      </c>
      <c r="R60" cm="1">
        <f t="array" ref="R60">[1]!PropsSI("D","T",K60+273.15,"P",101325,"Water")</f>
        <v>987.54756791329703</v>
      </c>
      <c r="S60">
        <f t="shared" si="1"/>
        <v>986.09630233323742</v>
      </c>
      <c r="T60" cm="1">
        <f t="array" ref="T60">[1]!PropsSI("H","T",J60+273.15,"P",101325,"Water")</f>
        <v>239262.65310975481</v>
      </c>
      <c r="U60" cm="1">
        <f t="array" ref="U60">[1]!PropsSI("H","T",K60+273.15,"P",101325,"Water")</f>
        <v>213890.69472375864</v>
      </c>
      <c r="V60">
        <f t="shared" si="2"/>
        <v>398.68169589870251</v>
      </c>
      <c r="X60">
        <f t="shared" si="9"/>
        <v>0.26427101200000003</v>
      </c>
      <c r="Y60">
        <f t="shared" si="9"/>
        <v>0.25213904399999998</v>
      </c>
      <c r="Z60">
        <f t="shared" si="8"/>
        <v>0.36525780661436669</v>
      </c>
      <c r="AA60">
        <f t="shared" si="7"/>
        <v>6.0659840000000003</v>
      </c>
      <c r="AB60">
        <f t="shared" si="5"/>
        <v>6.1038828804402277E-2</v>
      </c>
      <c r="AC60">
        <f t="shared" si="6"/>
        <v>24.335063783409673</v>
      </c>
    </row>
    <row r="61" spans="1:29" x14ac:dyDescent="0.2">
      <c r="A61">
        <v>46136.865373680557</v>
      </c>
      <c r="B61">
        <v>19.778939000000001</v>
      </c>
      <c r="C61">
        <v>19.699016</v>
      </c>
      <c r="D61">
        <v>19.642347000000001</v>
      </c>
      <c r="E61">
        <v>19.623736999999998</v>
      </c>
      <c r="F61">
        <v>39.194358000000001</v>
      </c>
      <c r="G61">
        <v>38.145000000000003</v>
      </c>
      <c r="H61">
        <v>35.054921999999998</v>
      </c>
      <c r="I61">
        <v>29.742556</v>
      </c>
      <c r="J61">
        <v>57.132002999999997</v>
      </c>
      <c r="K61">
        <v>51.070793999999999</v>
      </c>
      <c r="L61">
        <v>39.339514000000001</v>
      </c>
      <c r="M61">
        <v>-622.50530600000002</v>
      </c>
      <c r="N61">
        <v>0.95899100000000004</v>
      </c>
      <c r="O61">
        <v>1.6646920000000001</v>
      </c>
      <c r="P61">
        <f t="shared" si="0"/>
        <v>1.5983183333333333E-5</v>
      </c>
      <c r="Q61" cm="1">
        <f t="array" ref="Q61">[1]!PropsSI("D","T",J61+273.15,"P",101325,"Water")</f>
        <v>984.64677877783583</v>
      </c>
      <c r="R61" cm="1">
        <f t="array" ref="R61">[1]!PropsSI("D","T",K61+273.15,"P",101325,"Water")</f>
        <v>987.54698371661573</v>
      </c>
      <c r="S61">
        <f t="shared" si="1"/>
        <v>986.09688124722584</v>
      </c>
      <c r="T61" cm="1">
        <f t="array" ref="T61">[1]!PropsSI("H","T",J61+273.15,"P",101325,"Water")</f>
        <v>239247.99738849912</v>
      </c>
      <c r="U61" cm="1">
        <f t="array" ref="U61">[1]!PropsSI("H","T",K61+273.15,"P",101325,"Water")</f>
        <v>213896.01378817871</v>
      </c>
      <c r="V61">
        <f t="shared" si="2"/>
        <v>399.57178292781902</v>
      </c>
      <c r="X61">
        <f t="shared" si="9"/>
        <v>0.264264006</v>
      </c>
      <c r="Y61">
        <f t="shared" si="9"/>
        <v>0.25214158799999997</v>
      </c>
      <c r="Z61">
        <f t="shared" si="8"/>
        <v>0.36525449383454511</v>
      </c>
      <c r="AA61">
        <f t="shared" si="7"/>
        <v>6.0612089999999981</v>
      </c>
      <c r="AB61">
        <f t="shared" si="5"/>
        <v>6.1085085652935751E-2</v>
      </c>
      <c r="AC61">
        <f t="shared" si="6"/>
        <v>24.407876584642075</v>
      </c>
    </row>
    <row r="62" spans="1:29" x14ac:dyDescent="0.2">
      <c r="A62">
        <v>46136.865431550927</v>
      </c>
      <c r="B62">
        <v>19.794896000000001</v>
      </c>
      <c r="C62">
        <v>19.720648000000001</v>
      </c>
      <c r="D62">
        <v>19.640463</v>
      </c>
      <c r="E62">
        <v>19.618932999999998</v>
      </c>
      <c r="F62">
        <v>38.702860999999999</v>
      </c>
      <c r="G62">
        <v>37.873192000000003</v>
      </c>
      <c r="H62">
        <v>35.459896000000001</v>
      </c>
      <c r="I62">
        <v>29.454135000000001</v>
      </c>
      <c r="J62">
        <v>57.134551000000002</v>
      </c>
      <c r="K62">
        <v>51.068092</v>
      </c>
      <c r="L62">
        <v>39.934995000000001</v>
      </c>
      <c r="M62">
        <v>-622.50489800000003</v>
      </c>
      <c r="N62">
        <v>0.95681099999999997</v>
      </c>
      <c r="O62">
        <v>1.548657</v>
      </c>
      <c r="P62">
        <f t="shared" si="0"/>
        <v>1.5946850000000001E-5</v>
      </c>
      <c r="Q62" cm="1">
        <f t="array" ref="Q62">[1]!PropsSI("D","T",J62+273.15,"P",101325,"Water")</f>
        <v>984.64551167736852</v>
      </c>
      <c r="R62" cm="1">
        <f t="array" ref="R62">[1]!PropsSI("D","T",K62+273.15,"P",101325,"Water")</f>
        <v>987.5482246627505</v>
      </c>
      <c r="S62">
        <f t="shared" si="1"/>
        <v>986.09686817005945</v>
      </c>
      <c r="T62" cm="1">
        <f t="array" ref="T62">[1]!PropsSI("H","T",J62+273.15,"P",101325,"Water")</f>
        <v>239258.6576157691</v>
      </c>
      <c r="U62" cm="1">
        <f t="array" ref="U62">[1]!PropsSI("H","T",K62+273.15,"P",101325,"Water")</f>
        <v>213884.7149585539</v>
      </c>
      <c r="V62">
        <f t="shared" si="2"/>
        <v>399.0087712581647</v>
      </c>
      <c r="X62">
        <f t="shared" si="9"/>
        <v>0.26426910199999998</v>
      </c>
      <c r="Y62">
        <f t="shared" si="9"/>
        <v>0.25213618399999999</v>
      </c>
      <c r="Z62">
        <f t="shared" si="8"/>
        <v>0.36525445042321963</v>
      </c>
      <c r="AA62">
        <f t="shared" si="7"/>
        <v>6.0664590000000018</v>
      </c>
      <c r="AB62">
        <f t="shared" si="5"/>
        <v>6.1033632023599765E-2</v>
      </c>
      <c r="AC62">
        <f t="shared" si="6"/>
        <v>24.352954519159514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DBEC4-1348-5647-A9E9-2C6CB6CD9BBF}">
  <dimension ref="A1:AC59"/>
  <sheetViews>
    <sheetView topLeftCell="M1" workbookViewId="0">
      <selection activeCell="W4" sqref="W4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  <col min="23" max="23" width="33.83203125" customWidth="1"/>
    <col min="24" max="24" width="12.33203125" customWidth="1"/>
    <col min="25" max="25" width="12.83203125" customWidth="1"/>
    <col min="26" max="26" width="12" customWidth="1"/>
  </cols>
  <sheetData>
    <row r="1" spans="1:2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25</v>
      </c>
      <c r="U1" s="3" t="s">
        <v>26</v>
      </c>
      <c r="V1" s="3" t="s">
        <v>27</v>
      </c>
      <c r="W1" s="3" t="s">
        <v>28</v>
      </c>
      <c r="X1" s="3" t="s">
        <v>29</v>
      </c>
      <c r="Y1" s="3" t="s">
        <v>30</v>
      </c>
      <c r="Z1" s="3" t="s">
        <v>31</v>
      </c>
      <c r="AA1" s="3" t="s">
        <v>32</v>
      </c>
      <c r="AB1" s="3" t="s">
        <v>33</v>
      </c>
      <c r="AC1" s="3" t="s">
        <v>34</v>
      </c>
    </row>
    <row r="2" spans="1:29" x14ac:dyDescent="0.2">
      <c r="A2">
        <v>44674.866917664403</v>
      </c>
      <c r="B2">
        <v>19.76972</v>
      </c>
      <c r="C2">
        <v>19.618368</v>
      </c>
      <c r="D2">
        <v>19.626473000000001</v>
      </c>
      <c r="E2">
        <v>19.559843999999998</v>
      </c>
      <c r="F2">
        <v>35.081619000000003</v>
      </c>
      <c r="G2">
        <v>33.958323999999998</v>
      </c>
      <c r="H2">
        <v>31.368583000000001</v>
      </c>
      <c r="I2">
        <v>27.153313000000001</v>
      </c>
      <c r="J2">
        <v>57.113694000000002</v>
      </c>
      <c r="K2">
        <v>49.214765</v>
      </c>
      <c r="L2">
        <v>86.540415999999993</v>
      </c>
      <c r="M2">
        <v>-622.48000100000002</v>
      </c>
      <c r="N2">
        <v>0.94992600000000005</v>
      </c>
      <c r="O2">
        <v>1.8325880000000001</v>
      </c>
      <c r="P2">
        <f t="shared" ref="P2:P65" si="0" xml:space="preserve"> N2*0.001/60</f>
        <v>1.58321E-5</v>
      </c>
      <c r="Q2" cm="1">
        <f t="array" ref="Q2">[1]!PropsSI("D","T",J2+273.15,"P",101325,"Water")</f>
        <v>984.65588254053966</v>
      </c>
      <c r="R2" cm="1">
        <f t="array" ref="R2">[1]!PropsSI("D","T",K2+273.15,"P",101325,"Water")</f>
        <v>988.38817763279769</v>
      </c>
      <c r="S2">
        <f t="shared" ref="S2:S65" si="1">(Q2+R2)/2</f>
        <v>986.52203008666868</v>
      </c>
      <c r="T2" cm="1">
        <f t="array" ref="T2">[1]!PropsSI("H","T",J2+273.15,"P",101325,"Water")</f>
        <v>239171.39695308442</v>
      </c>
      <c r="U2" cm="1">
        <f t="array" ref="U2">[1]!PropsSI("H","T",K2+273.15,"P",101325,"Water")</f>
        <v>206135.24155813872</v>
      </c>
      <c r="V2">
        <f t="shared" ref="V2:V65" si="2">S2*P2*(T2-U2)</f>
        <v>515.98231009866777</v>
      </c>
      <c r="W2" s="3">
        <f>AVERAGE(V24:V59)</f>
        <v>523.04063762733949</v>
      </c>
      <c r="X2">
        <f>(0.15+0.002*ABS(J2))</f>
        <v>0.26422738800000001</v>
      </c>
      <c r="Y2">
        <f>(0.15+0.002*ABS(K2))</f>
        <v>0.24842953000000001</v>
      </c>
      <c r="Z2">
        <f>SQRT((X2)^2 + (Y2)^2)</f>
        <v>0.36267525962674024</v>
      </c>
      <c r="AA2">
        <f>J2-K2</f>
        <v>7.8989290000000025</v>
      </c>
      <c r="AB2">
        <f>SQRT((0.01)^2 + (Z2/ABS(AA2))^2)</f>
        <v>4.6990849772546375E-2</v>
      </c>
      <c r="AC2">
        <f>ABS(V2*AB2)</f>
        <v>24.246447219137934</v>
      </c>
    </row>
    <row r="3" spans="1:29" x14ac:dyDescent="0.2">
      <c r="A3">
        <v>44674.866976113502</v>
      </c>
      <c r="B3">
        <v>19.703769000000001</v>
      </c>
      <c r="C3">
        <v>19.55527</v>
      </c>
      <c r="D3">
        <v>19.577776</v>
      </c>
      <c r="E3">
        <v>19.490100999999999</v>
      </c>
      <c r="F3">
        <v>35.246893</v>
      </c>
      <c r="G3">
        <v>33.810994000000001</v>
      </c>
      <c r="H3">
        <v>31.750564000000001</v>
      </c>
      <c r="I3">
        <v>27.413996999999998</v>
      </c>
      <c r="J3">
        <v>57.113852999999999</v>
      </c>
      <c r="K3">
        <v>49.202534999999997</v>
      </c>
      <c r="L3">
        <v>87.164058999999995</v>
      </c>
      <c r="M3">
        <v>-622.48938799999996</v>
      </c>
      <c r="N3">
        <v>0.95233999999999996</v>
      </c>
      <c r="O3">
        <v>1.2085189999999999</v>
      </c>
      <c r="P3">
        <f t="shared" si="0"/>
        <v>1.5872333333333334E-5</v>
      </c>
      <c r="Q3" cm="1">
        <f t="array" ref="Q3">[1]!PropsSI("D","T",J3+273.15,"P",101325,"Water")</f>
        <v>984.65580348989954</v>
      </c>
      <c r="R3" cm="1">
        <f t="array" ref="R3">[1]!PropsSI("D","T",K3+273.15,"P",101325,"Water")</f>
        <v>988.39364545473302</v>
      </c>
      <c r="S3">
        <f t="shared" si="1"/>
        <v>986.52472447231628</v>
      </c>
      <c r="T3" cm="1">
        <f t="array" ref="T3">[1]!PropsSI("H","T",J3+273.15,"P",101325,"Water")</f>
        <v>239172.06217011274</v>
      </c>
      <c r="U3" cm="1">
        <f t="array" ref="U3">[1]!PropsSI("H","T",K3+273.15,"P",101325,"Water")</f>
        <v>206084.10641643294</v>
      </c>
      <c r="V3">
        <f t="shared" si="2"/>
        <v>518.10607656404011</v>
      </c>
      <c r="W3" s="3" t="s">
        <v>35</v>
      </c>
      <c r="X3">
        <f t="shared" ref="X3:Y55" si="3">(0.15+0.002*ABS(J3))</f>
        <v>0.26422770600000001</v>
      </c>
      <c r="Y3">
        <f t="shared" si="3"/>
        <v>0.24840507000000001</v>
      </c>
      <c r="Z3">
        <f t="shared" ref="Z3:Z55" si="4">SQRT((X3)^2 + (Y3)^2)</f>
        <v>0.36265873685839606</v>
      </c>
      <c r="AA3">
        <f>J3-K3</f>
        <v>7.9113180000000014</v>
      </c>
      <c r="AB3">
        <f t="shared" ref="AB3:AB66" si="5">SQRT((0.01)^2 + (Z3/ABS(AA3))^2)</f>
        <v>4.6918557351872635E-2</v>
      </c>
      <c r="AC3">
        <f t="shared" ref="AC3:AC66" si="6">ABS(V3*AB3)</f>
        <v>24.308789667623632</v>
      </c>
    </row>
    <row r="4" spans="1:29" x14ac:dyDescent="0.2">
      <c r="A4">
        <v>44674.8670345625</v>
      </c>
      <c r="B4">
        <v>19.690663000000001</v>
      </c>
      <c r="C4">
        <v>19.560728000000001</v>
      </c>
      <c r="D4">
        <v>19.579225000000001</v>
      </c>
      <c r="E4">
        <v>19.51501</v>
      </c>
      <c r="F4">
        <v>35.339142000000002</v>
      </c>
      <c r="G4">
        <v>34.759264000000002</v>
      </c>
      <c r="H4">
        <v>31.532377</v>
      </c>
      <c r="I4">
        <v>27.115251000000001</v>
      </c>
      <c r="J4">
        <v>57.114012000000002</v>
      </c>
      <c r="K4">
        <v>49.200311999999997</v>
      </c>
      <c r="L4">
        <v>85.795963999999998</v>
      </c>
      <c r="M4">
        <v>-622.487348</v>
      </c>
      <c r="N4">
        <v>0.95612600000000003</v>
      </c>
      <c r="O4">
        <v>1.5767409999999999</v>
      </c>
      <c r="P4">
        <f t="shared" si="0"/>
        <v>1.5935433333333333E-5</v>
      </c>
      <c r="Q4" cm="1">
        <f t="array" ref="Q4">[1]!PropsSI("D","T",J4+273.15,"P",101325,"Water")</f>
        <v>984.65572443914164</v>
      </c>
      <c r="R4" cm="1">
        <f t="array" ref="R4">[1]!PropsSI("D","T",K4+273.15,"P",101325,"Water")</f>
        <v>988.39463921333208</v>
      </c>
      <c r="S4">
        <f t="shared" si="1"/>
        <v>986.5251818262368</v>
      </c>
      <c r="T4" cm="1">
        <f t="array" ref="T4">[1]!PropsSI("H","T",J4+273.15,"P",101325,"Water")</f>
        <v>239172.72738716824</v>
      </c>
      <c r="U4" cm="1">
        <f t="array" ref="U4">[1]!PropsSI("H","T",K4+273.15,"P",101325,"Water")</f>
        <v>206074.81178297559</v>
      </c>
      <c r="V4">
        <f t="shared" si="2"/>
        <v>520.32260925176979</v>
      </c>
      <c r="W4" s="3">
        <f>SQRT((AVERAGE(AC24:AC59))^2 + (_xlfn.STDEV.S(V24:V59)/SQRT(COUNT(V24:V59)))^2)</f>
        <v>24.2555374968466</v>
      </c>
      <c r="X4">
        <f t="shared" si="3"/>
        <v>0.26422802400000001</v>
      </c>
      <c r="Y4">
        <f t="shared" si="3"/>
        <v>0.24840062399999999</v>
      </c>
      <c r="Z4">
        <f t="shared" si="4"/>
        <v>0.36265592325306634</v>
      </c>
      <c r="AA4">
        <f t="shared" ref="AA4:AA67" si="7">J4-K4</f>
        <v>7.9137000000000057</v>
      </c>
      <c r="AB4">
        <f t="shared" si="5"/>
        <v>4.6904729267691132E-2</v>
      </c>
      <c r="AC4">
        <f t="shared" si="6"/>
        <v>24.405591118812904</v>
      </c>
    </row>
    <row r="5" spans="1:29" x14ac:dyDescent="0.2">
      <c r="A5">
        <v>44674.867093011599</v>
      </c>
      <c r="B5">
        <v>19.754897</v>
      </c>
      <c r="C5">
        <v>19.603387999999999</v>
      </c>
      <c r="D5">
        <v>19.571857999999999</v>
      </c>
      <c r="E5">
        <v>19.536573000000001</v>
      </c>
      <c r="F5">
        <v>35.134697000000003</v>
      </c>
      <c r="G5">
        <v>35.084780000000002</v>
      </c>
      <c r="H5">
        <v>31.671305</v>
      </c>
      <c r="I5">
        <v>27.416571999999999</v>
      </c>
      <c r="J5">
        <v>57.103982000000002</v>
      </c>
      <c r="K5">
        <v>49.197611999999999</v>
      </c>
      <c r="L5">
        <v>85.532712000000004</v>
      </c>
      <c r="M5">
        <v>-622.48571500000003</v>
      </c>
      <c r="N5">
        <v>0.95277400000000001</v>
      </c>
      <c r="O5">
        <v>1.68547</v>
      </c>
      <c r="P5">
        <f t="shared" si="0"/>
        <v>1.5879566666666666E-5</v>
      </c>
      <c r="Q5" cm="1">
        <f t="array" ref="Q5">[1]!PropsSI("D","T",J5+273.15,"P",101325,"Water")</f>
        <v>984.66071080039046</v>
      </c>
      <c r="R5" cm="1">
        <f t="array" ref="R5">[1]!PropsSI("D","T",K5+273.15,"P",101325,"Water")</f>
        <v>988.39584616357058</v>
      </c>
      <c r="S5">
        <f t="shared" si="1"/>
        <v>986.52827848198058</v>
      </c>
      <c r="T5" cm="1">
        <f t="array" ref="T5">[1]!PropsSI("H","T",J5+273.15,"P",101325,"Water")</f>
        <v>239130.76434354347</v>
      </c>
      <c r="U5" cm="1">
        <f t="array" ref="U5">[1]!PropsSI("H","T",K5+273.15,"P",101325,"Water")</f>
        <v>206063.52275628809</v>
      </c>
      <c r="V5">
        <f t="shared" si="2"/>
        <v>518.01955430563407</v>
      </c>
      <c r="W5" s="3"/>
      <c r="X5">
        <f t="shared" si="3"/>
        <v>0.26420796400000002</v>
      </c>
      <c r="Y5">
        <f t="shared" si="3"/>
        <v>0.248395224</v>
      </c>
      <c r="Z5">
        <f t="shared" si="4"/>
        <v>0.36263760911829795</v>
      </c>
      <c r="AA5">
        <f t="shared" si="7"/>
        <v>7.9063700000000026</v>
      </c>
      <c r="AB5">
        <f t="shared" si="5"/>
        <v>4.6943975767085575E-2</v>
      </c>
      <c r="AC5">
        <f t="shared" si="6"/>
        <v>24.317897404200156</v>
      </c>
    </row>
    <row r="6" spans="1:29" x14ac:dyDescent="0.2">
      <c r="A6">
        <v>46136.867151458333</v>
      </c>
      <c r="B6">
        <v>19.734134999999998</v>
      </c>
      <c r="C6">
        <v>19.581458999999999</v>
      </c>
      <c r="D6">
        <v>19.640369</v>
      </c>
      <c r="E6">
        <v>19.585726000000001</v>
      </c>
      <c r="F6">
        <v>35.138461</v>
      </c>
      <c r="G6">
        <v>34.475447000000003</v>
      </c>
      <c r="H6">
        <v>31.494546</v>
      </c>
      <c r="I6">
        <v>27.198595999999998</v>
      </c>
      <c r="J6">
        <v>57.100161</v>
      </c>
      <c r="K6">
        <v>49.186176000000003</v>
      </c>
      <c r="L6">
        <v>82.729179000000002</v>
      </c>
      <c r="M6">
        <v>-622.47265400000003</v>
      </c>
      <c r="N6">
        <v>0.95233599999999996</v>
      </c>
      <c r="O6">
        <v>1.585993</v>
      </c>
      <c r="P6">
        <f t="shared" si="0"/>
        <v>1.5872266666666667E-5</v>
      </c>
      <c r="Q6" cm="1">
        <f t="array" ref="Q6">[1]!PropsSI("D","T",J6+273.15,"P",101325,"Water")</f>
        <v>984.6626102294864</v>
      </c>
      <c r="R6" cm="1">
        <f t="array" ref="R6">[1]!PropsSI("D","T",K6+273.15,"P",101325,"Water")</f>
        <v>988.40095773311941</v>
      </c>
      <c r="S6">
        <f t="shared" si="1"/>
        <v>986.53178398130285</v>
      </c>
      <c r="T6" cm="1">
        <f t="array" ref="T6">[1]!PropsSI("H","T",J6+273.15,"P",101325,"Water")</f>
        <v>239114.77823334321</v>
      </c>
      <c r="U6" cm="1">
        <f t="array" ref="U6">[1]!PropsSI("H","T",K6+273.15,"P",101325,"Water")</f>
        <v>206015.70747842937</v>
      </c>
      <c r="V6">
        <f t="shared" si="2"/>
        <v>518.2816521412924</v>
      </c>
      <c r="W6" s="3"/>
      <c r="X6">
        <f t="shared" si="3"/>
        <v>0.26420032199999999</v>
      </c>
      <c r="Y6">
        <f t="shared" si="3"/>
        <v>0.24837235200000002</v>
      </c>
      <c r="Z6">
        <f t="shared" si="4"/>
        <v>0.36261637495142934</v>
      </c>
      <c r="AA6">
        <f t="shared" si="7"/>
        <v>7.9139849999999967</v>
      </c>
      <c r="AB6">
        <f t="shared" si="5"/>
        <v>4.6898234548546643E-2</v>
      </c>
      <c r="AC6">
        <f t="shared" si="6"/>
        <v>24.306494484330592</v>
      </c>
    </row>
    <row r="7" spans="1:29" x14ac:dyDescent="0.2">
      <c r="A7">
        <v>46136.86720990741</v>
      </c>
      <c r="B7">
        <v>19.759346000000001</v>
      </c>
      <c r="C7">
        <v>19.60812</v>
      </c>
      <c r="D7">
        <v>19.637886999999999</v>
      </c>
      <c r="E7">
        <v>19.603762</v>
      </c>
      <c r="F7">
        <v>34.682324999999999</v>
      </c>
      <c r="G7">
        <v>33.504534999999997</v>
      </c>
      <c r="H7">
        <v>31.825844</v>
      </c>
      <c r="I7">
        <v>27.469363999999999</v>
      </c>
      <c r="J7">
        <v>57.093474000000001</v>
      </c>
      <c r="K7">
        <v>49.180776000000002</v>
      </c>
      <c r="L7">
        <v>90.118605000000002</v>
      </c>
      <c r="M7">
        <v>-622.49550999999997</v>
      </c>
      <c r="N7">
        <v>0.95390900000000001</v>
      </c>
      <c r="O7">
        <v>1.715829</v>
      </c>
      <c r="P7">
        <f t="shared" si="0"/>
        <v>1.5898483333333334E-5</v>
      </c>
      <c r="Q7" cm="1">
        <f t="array" ref="Q7">[1]!PropsSI("D","T",J7+273.15,"P",101325,"Water")</f>
        <v>984.66593414122281</v>
      </c>
      <c r="R7" cm="1">
        <f t="array" ref="R7">[1]!PropsSI("D","T",K7+273.15,"P",101325,"Water")</f>
        <v>988.4033710798501</v>
      </c>
      <c r="S7">
        <f t="shared" si="1"/>
        <v>986.53465261053645</v>
      </c>
      <c r="T7" cm="1">
        <f t="array" ref="T7">[1]!PropsSI("H","T",J7+273.15,"P",101325,"Water")</f>
        <v>239086.80150835172</v>
      </c>
      <c r="U7" cm="1">
        <f t="array" ref="U7">[1]!PropsSI("H","T",K7+273.15,"P",101325,"Water")</f>
        <v>205993.129447613</v>
      </c>
      <c r="V7">
        <f t="shared" si="2"/>
        <v>519.05454667811853</v>
      </c>
      <c r="W7" s="3"/>
      <c r="X7">
        <f t="shared" si="3"/>
        <v>0.26418694799999998</v>
      </c>
      <c r="Y7">
        <f t="shared" si="3"/>
        <v>0.24836155199999999</v>
      </c>
      <c r="Z7">
        <f t="shared" si="4"/>
        <v>0.36259923332158794</v>
      </c>
      <c r="AA7">
        <f t="shared" si="7"/>
        <v>7.9126979999999989</v>
      </c>
      <c r="AB7">
        <f t="shared" si="5"/>
        <v>4.6903399219218447E-2</v>
      </c>
      <c r="AC7">
        <f t="shared" si="6"/>
        <v>24.345422619394249</v>
      </c>
    </row>
    <row r="8" spans="1:29" x14ac:dyDescent="0.2">
      <c r="A8">
        <v>46136.867267777779</v>
      </c>
      <c r="B8">
        <v>19.849966999999999</v>
      </c>
      <c r="C8">
        <v>19.689315000000001</v>
      </c>
      <c r="D8">
        <v>19.703472999999999</v>
      </c>
      <c r="E8">
        <v>19.664397000000001</v>
      </c>
      <c r="F8">
        <v>35.20299</v>
      </c>
      <c r="G8">
        <v>33.169258999999997</v>
      </c>
      <c r="H8">
        <v>31.468973999999999</v>
      </c>
      <c r="I8">
        <v>27.782389999999999</v>
      </c>
      <c r="J8">
        <v>57.085194999999999</v>
      </c>
      <c r="K8">
        <v>49.180458000000002</v>
      </c>
      <c r="L8">
        <v>86.368588000000003</v>
      </c>
      <c r="M8">
        <v>-622.50653</v>
      </c>
      <c r="N8">
        <v>0.95445899999999995</v>
      </c>
      <c r="O8">
        <v>1.5054890000000001</v>
      </c>
      <c r="P8">
        <f t="shared" si="0"/>
        <v>1.590765E-5</v>
      </c>
      <c r="Q8" cm="1">
        <f t="array" ref="Q8">[1]!PropsSI("D","T",J8+273.15,"P",101325,"Water")</f>
        <v>984.67004901308565</v>
      </c>
      <c r="R8" cm="1">
        <f t="array" ref="R8">[1]!PropsSI("D","T",K8+273.15,"P",101325,"Water")</f>
        <v>988.403513193143</v>
      </c>
      <c r="S8">
        <f t="shared" si="1"/>
        <v>986.53678110311432</v>
      </c>
      <c r="T8" cm="1">
        <f t="array" ref="T8">[1]!PropsSI("H","T",J8+273.15,"P",101325,"Water")</f>
        <v>239052.16428045824</v>
      </c>
      <c r="U8" cm="1">
        <f t="array" ref="U8">[1]!PropsSI("H","T",K8+273.15,"P",101325,"Water")</f>
        <v>205991.79985271255</v>
      </c>
      <c r="V8">
        <f t="shared" si="2"/>
        <v>518.83222830495231</v>
      </c>
      <c r="W8" s="3"/>
      <c r="X8">
        <f t="shared" si="3"/>
        <v>0.26417038999999998</v>
      </c>
      <c r="Y8">
        <f t="shared" si="3"/>
        <v>0.24836091599999999</v>
      </c>
      <c r="Z8">
        <f>SQRT((X8)^2 + (Y8)^2)</f>
        <v>0.36258673382945372</v>
      </c>
      <c r="AA8">
        <f t="shared" si="7"/>
        <v>7.9047369999999972</v>
      </c>
      <c r="AB8">
        <f t="shared" si="5"/>
        <v>4.6946945295449773E-2</v>
      </c>
      <c r="AC8">
        <f t="shared" si="6"/>
        <v>24.357588239748903</v>
      </c>
    </row>
    <row r="9" spans="1:29" x14ac:dyDescent="0.2">
      <c r="A9">
        <v>46136.867326226849</v>
      </c>
      <c r="B9">
        <v>19.815657000000002</v>
      </c>
      <c r="C9">
        <v>19.651771</v>
      </c>
      <c r="D9">
        <v>19.690822000000001</v>
      </c>
      <c r="E9">
        <v>19.632379</v>
      </c>
      <c r="F9">
        <v>35.302709999999998</v>
      </c>
      <c r="G9">
        <v>33.752755999999998</v>
      </c>
      <c r="H9">
        <v>32.178797000000003</v>
      </c>
      <c r="I9">
        <v>27.734985999999999</v>
      </c>
      <c r="J9">
        <v>57.091881999999998</v>
      </c>
      <c r="K9">
        <v>49.176805000000002</v>
      </c>
      <c r="L9">
        <v>87.967284000000006</v>
      </c>
      <c r="M9">
        <v>-622.47918500000003</v>
      </c>
      <c r="N9">
        <v>0.95040999999999998</v>
      </c>
      <c r="O9">
        <v>1.473757</v>
      </c>
      <c r="P9">
        <f t="shared" si="0"/>
        <v>1.5840166666666664E-5</v>
      </c>
      <c r="Q9" cm="1">
        <f t="array" ref="Q9">[1]!PropsSI("D","T",J9+273.15,"P",101325,"Water")</f>
        <v>984.66672543773075</v>
      </c>
      <c r="R9" cm="1">
        <f t="array" ref="R9">[1]!PropsSI("D","T",K9+273.15,"P",101325,"Water")</f>
        <v>988.40514566031959</v>
      </c>
      <c r="S9">
        <f t="shared" si="1"/>
        <v>986.53593554902523</v>
      </c>
      <c r="T9" cm="1">
        <f t="array" ref="T9">[1]!PropsSI("H","T",J9+273.15,"P",101325,"Water")</f>
        <v>239080.14098364275</v>
      </c>
      <c r="U9" cm="1">
        <f t="array" ref="U9">[1]!PropsSI("H","T",K9+273.15,"P",101325,"Water")</f>
        <v>205976.5262377405</v>
      </c>
      <c r="V9">
        <f t="shared" si="2"/>
        <v>517.30666679176363</v>
      </c>
      <c r="W9" s="3"/>
      <c r="X9">
        <f t="shared" si="3"/>
        <v>0.26418376399999999</v>
      </c>
      <c r="Y9">
        <f t="shared" si="3"/>
        <v>0.24835361</v>
      </c>
      <c r="Z9">
        <f t="shared" ref="Z9:Z72" si="8">SQRT((X9)^2 + (Y9)^2)</f>
        <v>0.36259147364663691</v>
      </c>
      <c r="AA9">
        <f t="shared" si="7"/>
        <v>7.9150769999999966</v>
      </c>
      <c r="AB9">
        <f t="shared" si="5"/>
        <v>4.6888984768607589E-2</v>
      </c>
      <c r="AC9">
        <f t="shared" si="6"/>
        <v>24.255984419898166</v>
      </c>
    </row>
    <row r="10" spans="1:29" x14ac:dyDescent="0.2">
      <c r="A10">
        <v>44674.867384678299</v>
      </c>
      <c r="B10">
        <v>19.826900999999999</v>
      </c>
      <c r="C10">
        <v>19.702213</v>
      </c>
      <c r="D10">
        <v>19.664777999999998</v>
      </c>
      <c r="E10">
        <v>19.647848</v>
      </c>
      <c r="F10">
        <v>35.207020999999997</v>
      </c>
      <c r="G10">
        <v>34.406430999999998</v>
      </c>
      <c r="H10">
        <v>31.342464</v>
      </c>
      <c r="I10">
        <v>27.782053000000001</v>
      </c>
      <c r="J10">
        <v>57.097613000000003</v>
      </c>
      <c r="K10">
        <v>49.175375000000003</v>
      </c>
      <c r="L10">
        <v>84.032786999999999</v>
      </c>
      <c r="M10">
        <v>-622.49102100000005</v>
      </c>
      <c r="N10">
        <v>0.94832799999999995</v>
      </c>
      <c r="O10">
        <v>1.34964</v>
      </c>
      <c r="P10">
        <f t="shared" si="0"/>
        <v>1.5805466666666666E-5</v>
      </c>
      <c r="Q10" cm="1">
        <f t="array" ref="Q10">[1]!PropsSI("D","T",J10+273.15,"P",101325,"Water")</f>
        <v>984.66387679766353</v>
      </c>
      <c r="R10" cm="1">
        <f t="array" ref="R10">[1]!PropsSI("D","T",K10+273.15,"P",101325,"Water")</f>
        <v>988.40578468038063</v>
      </c>
      <c r="S10">
        <f t="shared" si="1"/>
        <v>986.53483073902203</v>
      </c>
      <c r="T10" cm="1">
        <f t="array" ref="T10">[1]!PropsSI("H","T",J10+273.15,"P",101325,"Water")</f>
        <v>239104.11804058249</v>
      </c>
      <c r="U10" cm="1">
        <f t="array" ref="U10">[1]!PropsSI("H","T",K10+273.15,"P",101325,"Water")</f>
        <v>205970.5472434902</v>
      </c>
      <c r="V10">
        <f t="shared" si="2"/>
        <v>516.63995343620115</v>
      </c>
      <c r="X10">
        <f t="shared" si="3"/>
        <v>0.26419522600000001</v>
      </c>
      <c r="Y10">
        <f t="shared" si="3"/>
        <v>0.24835075000000001</v>
      </c>
      <c r="Z10">
        <f t="shared" si="8"/>
        <v>0.36259786605377808</v>
      </c>
      <c r="AA10">
        <f t="shared" si="7"/>
        <v>7.9222380000000001</v>
      </c>
      <c r="AB10">
        <f t="shared" si="5"/>
        <v>4.6849318187346667E-2</v>
      </c>
      <c r="AC10">
        <f t="shared" si="6"/>
        <v>24.204229566828555</v>
      </c>
    </row>
    <row r="11" spans="1:29" x14ac:dyDescent="0.2">
      <c r="A11">
        <v>44674.867443127398</v>
      </c>
      <c r="B11">
        <v>19.817186</v>
      </c>
      <c r="C11">
        <v>19.692114</v>
      </c>
      <c r="D11">
        <v>19.671437000000001</v>
      </c>
      <c r="E11">
        <v>19.622354999999999</v>
      </c>
      <c r="F11">
        <v>34.984216000000004</v>
      </c>
      <c r="G11">
        <v>33.544741000000002</v>
      </c>
      <c r="H11">
        <v>31.983073999999998</v>
      </c>
      <c r="I11">
        <v>27.504085</v>
      </c>
      <c r="J11">
        <v>57.092837000000003</v>
      </c>
      <c r="K11">
        <v>49.168545999999999</v>
      </c>
      <c r="L11">
        <v>84.006665999999996</v>
      </c>
      <c r="M11">
        <v>-622.47632799999997</v>
      </c>
      <c r="N11">
        <v>0.95536399999999999</v>
      </c>
      <c r="O11">
        <v>1.6678059999999999</v>
      </c>
      <c r="P11">
        <f t="shared" si="0"/>
        <v>1.5922733333333333E-5</v>
      </c>
      <c r="Q11" cm="1">
        <f t="array" ref="Q11">[1]!PropsSI("D","T",J11+273.15,"P",101325,"Water")</f>
        <v>984.66625076107914</v>
      </c>
      <c r="R11" cm="1">
        <f t="array" ref="R11">[1]!PropsSI("D","T",K11+273.15,"P",101325,"Water")</f>
        <v>988.40883614934478</v>
      </c>
      <c r="S11">
        <f t="shared" si="1"/>
        <v>986.53754345521202</v>
      </c>
      <c r="T11" cm="1">
        <f t="array" ref="T11">[1]!PropsSI("H","T",J11+273.15,"P",101325,"Water")</f>
        <v>239084.13646161155</v>
      </c>
      <c r="U11" cm="1">
        <f t="array" ref="U11">[1]!PropsSI("H","T",K11+273.15,"P",101325,"Water")</f>
        <v>205941.99441794195</v>
      </c>
      <c r="V11">
        <f t="shared" si="2"/>
        <v>520.60916993151022</v>
      </c>
      <c r="X11">
        <f t="shared" si="3"/>
        <v>0.26418567400000004</v>
      </c>
      <c r="Y11">
        <f t="shared" si="3"/>
        <v>0.24833709199999998</v>
      </c>
      <c r="Z11">
        <f t="shared" si="8"/>
        <v>0.36258155166782929</v>
      </c>
      <c r="AA11">
        <f t="shared" si="7"/>
        <v>7.9242910000000037</v>
      </c>
      <c r="AB11">
        <f t="shared" si="5"/>
        <v>4.6835722375052569E-2</v>
      </c>
      <c r="AC11">
        <f t="shared" si="6"/>
        <v>24.383106548818777</v>
      </c>
    </row>
    <row r="12" spans="1:29" x14ac:dyDescent="0.2">
      <c r="A12">
        <v>44674.867500997701</v>
      </c>
      <c r="B12">
        <v>19.810475</v>
      </c>
      <c r="C12">
        <v>19.653399</v>
      </c>
      <c r="D12">
        <v>19.590344999999999</v>
      </c>
      <c r="E12">
        <v>19.592229</v>
      </c>
      <c r="F12">
        <v>35.484605999999999</v>
      </c>
      <c r="G12">
        <v>34.464981000000002</v>
      </c>
      <c r="H12">
        <v>32.017462999999999</v>
      </c>
      <c r="I12">
        <v>27.600373000000001</v>
      </c>
      <c r="J12">
        <v>57.092995999999999</v>
      </c>
      <c r="K12">
        <v>49.165686999999998</v>
      </c>
      <c r="L12">
        <v>85.261705000000006</v>
      </c>
      <c r="M12">
        <v>-622.47510299999999</v>
      </c>
      <c r="N12">
        <v>0.95402399999999998</v>
      </c>
      <c r="O12">
        <v>1.5990819999999999</v>
      </c>
      <c r="P12">
        <f t="shared" si="0"/>
        <v>1.5900400000000001E-5</v>
      </c>
      <c r="Q12" cm="1">
        <f t="array" ref="Q12">[1]!PropsSI("D","T",J12+273.15,"P",101325,"Water")</f>
        <v>984.66617173061013</v>
      </c>
      <c r="R12" cm="1">
        <f t="array" ref="R12">[1]!PropsSI("D","T",K12+273.15,"P",101325,"Water")</f>
        <v>988.41011357263346</v>
      </c>
      <c r="S12">
        <f t="shared" si="1"/>
        <v>986.5381426516218</v>
      </c>
      <c r="T12" cm="1">
        <f t="array" ref="T12">[1]!PropsSI("H","T",J12+273.15,"P",101325,"Water")</f>
        <v>239084.80167736649</v>
      </c>
      <c r="U12" cm="1">
        <f t="array" ref="U12">[1]!PropsSI("H","T",K12+273.15,"P",101325,"Water")</f>
        <v>205930.040617566</v>
      </c>
      <c r="V12">
        <f t="shared" si="2"/>
        <v>520.07722207086113</v>
      </c>
      <c r="X12">
        <f t="shared" si="3"/>
        <v>0.26418599199999998</v>
      </c>
      <c r="Y12">
        <f t="shared" si="3"/>
        <v>0.24833137399999999</v>
      </c>
      <c r="Z12">
        <f t="shared" si="8"/>
        <v>0.36257786705996264</v>
      </c>
      <c r="AA12">
        <f t="shared" si="7"/>
        <v>7.927309000000001</v>
      </c>
      <c r="AB12">
        <f t="shared" si="5"/>
        <v>4.6818250516883902E-2</v>
      </c>
      <c r="AC12">
        <f t="shared" si="6"/>
        <v>24.34910567103864</v>
      </c>
    </row>
    <row r="13" spans="1:29" x14ac:dyDescent="0.2">
      <c r="A13">
        <v>44674.8675594468</v>
      </c>
      <c r="B13">
        <v>19.756475999999999</v>
      </c>
      <c r="C13">
        <v>19.683243999999998</v>
      </c>
      <c r="D13">
        <v>19.599788</v>
      </c>
      <c r="E13">
        <v>19.560196999999999</v>
      </c>
      <c r="F13">
        <v>35.296809000000003</v>
      </c>
      <c r="G13">
        <v>34.498690000000003</v>
      </c>
      <c r="H13">
        <v>31.448484000000001</v>
      </c>
      <c r="I13">
        <v>27.414227</v>
      </c>
      <c r="J13">
        <v>57.096179999999997</v>
      </c>
      <c r="K13">
        <v>49.159650999999997</v>
      </c>
      <c r="L13">
        <v>90.740613999999994</v>
      </c>
      <c r="M13">
        <v>-622.48979599999996</v>
      </c>
      <c r="N13">
        <v>0.95052099999999995</v>
      </c>
      <c r="O13">
        <v>1.713884</v>
      </c>
      <c r="P13">
        <f t="shared" si="0"/>
        <v>1.5842016666666665E-5</v>
      </c>
      <c r="Q13" cm="1">
        <f t="array" ref="Q13">[1]!PropsSI("D","T",J13+273.15,"P",101325,"Water")</f>
        <v>984.66458910064921</v>
      </c>
      <c r="R13" cm="1">
        <f t="array" ref="R13">[1]!PropsSI("D","T",K13+273.15,"P",101325,"Water")</f>
        <v>988.41281032619554</v>
      </c>
      <c r="S13">
        <f t="shared" si="1"/>
        <v>986.53869971342237</v>
      </c>
      <c r="T13" cm="1">
        <f t="array" ref="T13">[1]!PropsSI("H","T",J13+273.15,"P",101325,"Water")</f>
        <v>239098.12272917505</v>
      </c>
      <c r="U13" cm="1">
        <f t="array" ref="U13">[1]!PropsSI("H","T",K13+273.15,"P",101325,"Water")</f>
        <v>205904.80343022835</v>
      </c>
      <c r="V13">
        <f t="shared" si="2"/>
        <v>518.77050467905019</v>
      </c>
      <c r="X13">
        <f t="shared" si="3"/>
        <v>0.26419236000000001</v>
      </c>
      <c r="Y13">
        <f t="shared" si="3"/>
        <v>0.24831930199999999</v>
      </c>
      <c r="Z13">
        <f t="shared" si="8"/>
        <v>0.36257423905751607</v>
      </c>
      <c r="AA13">
        <f t="shared" si="7"/>
        <v>7.9365290000000002</v>
      </c>
      <c r="AB13">
        <f t="shared" si="5"/>
        <v>4.6765897119631944E-2</v>
      </c>
      <c r="AC13">
        <f t="shared" si="6"/>
        <v>24.260768050520003</v>
      </c>
    </row>
    <row r="14" spans="1:29" x14ac:dyDescent="0.2">
      <c r="A14">
        <v>44674.867617895899</v>
      </c>
      <c r="B14">
        <v>19.691566000000002</v>
      </c>
      <c r="C14">
        <v>19.637862999999999</v>
      </c>
      <c r="D14">
        <v>19.562201999999999</v>
      </c>
      <c r="E14">
        <v>19.490803</v>
      </c>
      <c r="F14">
        <v>35.249402000000003</v>
      </c>
      <c r="G14">
        <v>33.417186999999998</v>
      </c>
      <c r="H14">
        <v>31.425954999999998</v>
      </c>
      <c r="I14">
        <v>27.619423999999999</v>
      </c>
      <c r="J14">
        <v>57.089334000000001</v>
      </c>
      <c r="K14">
        <v>49.154251000000002</v>
      </c>
      <c r="L14">
        <v>85.890653</v>
      </c>
      <c r="M14">
        <v>-622.49265300000002</v>
      </c>
      <c r="N14">
        <v>0.94864400000000004</v>
      </c>
      <c r="O14">
        <v>1.4529669999999999</v>
      </c>
      <c r="P14">
        <f t="shared" si="0"/>
        <v>1.5810733333333334E-5</v>
      </c>
      <c r="Q14" cm="1">
        <f t="array" ref="Q14">[1]!PropsSI("D","T",J14+273.15,"P",101325,"Water")</f>
        <v>984.66799187773222</v>
      </c>
      <c r="R14" cm="1">
        <f t="array" ref="R14">[1]!PropsSI("D","T",K14+273.15,"P",101325,"Water")</f>
        <v>988.41522272429722</v>
      </c>
      <c r="S14">
        <f t="shared" si="1"/>
        <v>986.54160730101466</v>
      </c>
      <c r="T14" cm="1">
        <f t="array" ref="T14">[1]!PropsSI("H","T",J14+273.15,"P",101325,"Water")</f>
        <v>239069.48079916133</v>
      </c>
      <c r="U14" cm="1">
        <f t="array" ref="U14">[1]!PropsSI("H","T",K14+273.15,"P",101325,"Water")</f>
        <v>205882.22543789967</v>
      </c>
      <c r="V14">
        <f t="shared" si="2"/>
        <v>517.65302614877157</v>
      </c>
      <c r="X14">
        <f t="shared" si="3"/>
        <v>0.26417866800000001</v>
      </c>
      <c r="Y14">
        <f t="shared" si="3"/>
        <v>0.24830850199999999</v>
      </c>
      <c r="Z14">
        <f t="shared" si="8"/>
        <v>0.36255686559729938</v>
      </c>
      <c r="AA14">
        <f t="shared" si="7"/>
        <v>7.9350829999999988</v>
      </c>
      <c r="AB14">
        <f t="shared" si="5"/>
        <v>4.6771890757373806E-2</v>
      </c>
      <c r="AC14">
        <f t="shared" si="6"/>
        <v>24.211610789254312</v>
      </c>
    </row>
    <row r="15" spans="1:29" x14ac:dyDescent="0.2">
      <c r="A15">
        <v>46136.86767634259</v>
      </c>
      <c r="B15">
        <v>19.717317999999999</v>
      </c>
      <c r="C15">
        <v>19.630983000000001</v>
      </c>
      <c r="D15">
        <v>19.581804999999999</v>
      </c>
      <c r="E15">
        <v>19.532844999999998</v>
      </c>
      <c r="F15">
        <v>35.289870999999998</v>
      </c>
      <c r="G15">
        <v>34.193469999999998</v>
      </c>
      <c r="H15">
        <v>31.928235000000001</v>
      </c>
      <c r="I15">
        <v>27.447329</v>
      </c>
      <c r="J15">
        <v>57.085512999999999</v>
      </c>
      <c r="K15">
        <v>49.146151000000003</v>
      </c>
      <c r="L15">
        <v>84.145026000000001</v>
      </c>
      <c r="M15">
        <v>-622.50489800000003</v>
      </c>
      <c r="N15">
        <v>0.95036900000000002</v>
      </c>
      <c r="O15">
        <v>1.7416130000000001</v>
      </c>
      <c r="P15">
        <f t="shared" si="0"/>
        <v>1.5839483333333333E-5</v>
      </c>
      <c r="Q15" cm="1">
        <f t="array" ref="Q15">[1]!PropsSI("D","T",J15+273.15,"P",101325,"Water")</f>
        <v>984.6698909667474</v>
      </c>
      <c r="R15" cm="1">
        <f t="array" ref="R15">[1]!PropsSI("D","T",K15+273.15,"P",101325,"Water")</f>
        <v>988.41884095921421</v>
      </c>
      <c r="S15">
        <f t="shared" si="1"/>
        <v>986.54436596298081</v>
      </c>
      <c r="T15" cm="1">
        <f t="array" ref="T15">[1]!PropsSI("H","T",J15+273.15,"P",101325,"Water")</f>
        <v>239053.49471098522</v>
      </c>
      <c r="U15" cm="1">
        <f t="array" ref="U15">[1]!PropsSI("H","T",K15+273.15,"P",101325,"Water")</f>
        <v>205848.3584642215</v>
      </c>
      <c r="V15">
        <f t="shared" si="2"/>
        <v>518.87518180842471</v>
      </c>
      <c r="X15">
        <f t="shared" si="3"/>
        <v>0.26417102599999998</v>
      </c>
      <c r="Y15">
        <f t="shared" si="3"/>
        <v>0.24829230200000002</v>
      </c>
      <c r="Z15">
        <f t="shared" si="8"/>
        <v>0.362540202198807</v>
      </c>
      <c r="AA15">
        <f t="shared" si="7"/>
        <v>7.9393619999999956</v>
      </c>
      <c r="AB15">
        <f t="shared" si="5"/>
        <v>4.6745784934772522E-2</v>
      </c>
      <c r="AC15">
        <f t="shared" si="6"/>
        <v>24.255227656807612</v>
      </c>
    </row>
    <row r="16" spans="1:29" x14ac:dyDescent="0.2">
      <c r="A16">
        <v>46136.867734212959</v>
      </c>
      <c r="B16">
        <v>19.731878999999999</v>
      </c>
      <c r="C16">
        <v>19.627469999999999</v>
      </c>
      <c r="D16">
        <v>19.583756999999999</v>
      </c>
      <c r="E16">
        <v>19.539650999999999</v>
      </c>
      <c r="F16">
        <v>35.112780999999998</v>
      </c>
      <c r="G16">
        <v>34.280028999999999</v>
      </c>
      <c r="H16">
        <v>31.838512000000001</v>
      </c>
      <c r="I16">
        <v>27.588825</v>
      </c>
      <c r="J16">
        <v>57.084238999999997</v>
      </c>
      <c r="K16">
        <v>49.146151000000003</v>
      </c>
      <c r="L16">
        <v>88.383998000000005</v>
      </c>
      <c r="M16">
        <v>-622.480817</v>
      </c>
      <c r="N16">
        <v>0.95263500000000001</v>
      </c>
      <c r="O16">
        <v>1.545188</v>
      </c>
      <c r="P16">
        <f t="shared" si="0"/>
        <v>1.5877250000000001E-5</v>
      </c>
      <c r="Q16" cm="1">
        <f t="array" ref="Q16">[1]!PropsSI("D","T",J16+273.15,"P",101325,"Water")</f>
        <v>984.67052414237719</v>
      </c>
      <c r="R16" cm="1">
        <f t="array" ref="R16">[1]!PropsSI("D","T",K16+273.15,"P",101325,"Water")</f>
        <v>988.41884095921421</v>
      </c>
      <c r="S16">
        <f t="shared" si="1"/>
        <v>986.54468255079564</v>
      </c>
      <c r="T16" cm="1">
        <f t="array" ref="T16">[1]!PropsSI("H","T",J16+273.15,"P",101325,"Water")</f>
        <v>239048.16462162885</v>
      </c>
      <c r="U16" cm="1">
        <f t="array" ref="U16">[1]!PropsSI("H","T",K16+273.15,"P",101325,"Water")</f>
        <v>205848.3584642215</v>
      </c>
      <c r="V16">
        <f t="shared" si="2"/>
        <v>520.02903355013893</v>
      </c>
      <c r="X16">
        <f t="shared" si="3"/>
        <v>0.26416847799999998</v>
      </c>
      <c r="Y16">
        <f t="shared" si="3"/>
        <v>0.24829230200000002</v>
      </c>
      <c r="Z16">
        <f t="shared" si="8"/>
        <v>0.36253834555988101</v>
      </c>
      <c r="AA16">
        <f t="shared" si="7"/>
        <v>7.9380879999999934</v>
      </c>
      <c r="AB16">
        <f t="shared" si="5"/>
        <v>4.6752715481202425E-2</v>
      </c>
      <c r="AC16">
        <f t="shared" si="6"/>
        <v>24.312769447534315</v>
      </c>
    </row>
    <row r="17" spans="1:29" x14ac:dyDescent="0.2">
      <c r="A17">
        <v>46136.867792662037</v>
      </c>
      <c r="B17">
        <v>19.706047999999999</v>
      </c>
      <c r="C17">
        <v>19.625275999999999</v>
      </c>
      <c r="D17">
        <v>19.541105999999999</v>
      </c>
      <c r="E17">
        <v>19.472632000000001</v>
      </c>
      <c r="F17">
        <v>35.273054000000002</v>
      </c>
      <c r="G17">
        <v>34.868378999999997</v>
      </c>
      <c r="H17">
        <v>31.464106999999998</v>
      </c>
      <c r="I17">
        <v>27.218049000000001</v>
      </c>
      <c r="J17">
        <v>57.085991</v>
      </c>
      <c r="K17">
        <v>49.141862000000003</v>
      </c>
      <c r="L17">
        <v>86.756732</v>
      </c>
      <c r="M17">
        <v>-622.51959099999999</v>
      </c>
      <c r="N17">
        <v>0.95163500000000001</v>
      </c>
      <c r="O17">
        <v>2.22986</v>
      </c>
      <c r="P17">
        <f t="shared" si="0"/>
        <v>1.5860583333333335E-5</v>
      </c>
      <c r="Q17" cm="1">
        <f t="array" ref="Q17">[1]!PropsSI("D","T",J17+273.15,"P",101325,"Water")</f>
        <v>984.66965339910746</v>
      </c>
      <c r="R17" cm="1">
        <f t="array" ref="R17">[1]!PropsSI("D","T",K17+273.15,"P",101325,"Water")</f>
        <v>988.42075666090682</v>
      </c>
      <c r="S17">
        <f t="shared" si="1"/>
        <v>986.54520503000708</v>
      </c>
      <c r="T17" cm="1">
        <f t="array" ref="T17">[1]!PropsSI("H","T",J17+273.15,"P",101325,"Water")</f>
        <v>239055.49454058032</v>
      </c>
      <c r="U17" cm="1">
        <f t="array" ref="U17">[1]!PropsSI("H","T",K17+273.15,"P",101325,"Water")</f>
        <v>205830.42569974539</v>
      </c>
      <c r="V17">
        <f t="shared" si="2"/>
        <v>519.87871361711291</v>
      </c>
      <c r="X17">
        <f t="shared" si="3"/>
        <v>0.26417198200000003</v>
      </c>
      <c r="Y17">
        <f t="shared" si="3"/>
        <v>0.24828372399999998</v>
      </c>
      <c r="Z17">
        <f t="shared" si="8"/>
        <v>0.36253502406956012</v>
      </c>
      <c r="AA17">
        <f t="shared" si="7"/>
        <v>7.9441289999999967</v>
      </c>
      <c r="AB17">
        <f t="shared" si="5"/>
        <v>4.6718381723903434E-2</v>
      </c>
      <c r="AC17">
        <f t="shared" si="6"/>
        <v>24.287892192896155</v>
      </c>
    </row>
    <row r="18" spans="1:29" x14ac:dyDescent="0.2">
      <c r="A18">
        <v>46136.867850532406</v>
      </c>
      <c r="B18">
        <v>19.729175000000001</v>
      </c>
      <c r="C18">
        <v>19.657405000000001</v>
      </c>
      <c r="D18">
        <v>19.548698000000002</v>
      </c>
      <c r="E18">
        <v>19.459513999999999</v>
      </c>
      <c r="F18">
        <v>34.983818999999997</v>
      </c>
      <c r="G18">
        <v>33.967618000000002</v>
      </c>
      <c r="H18">
        <v>31.640892000000001</v>
      </c>
      <c r="I18">
        <v>27.090651999999999</v>
      </c>
      <c r="J18">
        <v>57.084558000000001</v>
      </c>
      <c r="K18">
        <v>49.132649999999998</v>
      </c>
      <c r="L18">
        <v>89.088452000000004</v>
      </c>
      <c r="M18">
        <v>-622.48408199999994</v>
      </c>
      <c r="N18">
        <v>0.94954899999999998</v>
      </c>
      <c r="O18">
        <v>1.313283</v>
      </c>
      <c r="P18">
        <f t="shared" si="0"/>
        <v>1.5825816666666667E-5</v>
      </c>
      <c r="Q18" cm="1">
        <f t="array" ref="Q18">[1]!PropsSI("D","T",J18+273.15,"P",101325,"Water")</f>
        <v>984.67036560089537</v>
      </c>
      <c r="R18" cm="1">
        <f t="array" ref="R18">[1]!PropsSI("D","T",K18+273.15,"P",101325,"Water")</f>
        <v>988.42487083137485</v>
      </c>
      <c r="S18">
        <f t="shared" si="1"/>
        <v>986.54761821613511</v>
      </c>
      <c r="T18" cm="1">
        <f t="array" ref="T18">[1]!PropsSI("H","T",J18+273.15,"P",101325,"Water")</f>
        <v>239049.49923578583</v>
      </c>
      <c r="U18" cm="1">
        <f t="array" ref="U18">[1]!PropsSI("H","T",K18+273.15,"P",101325,"Water")</f>
        <v>205791.90936605979</v>
      </c>
      <c r="V18">
        <f t="shared" si="2"/>
        <v>519.24814785797901</v>
      </c>
      <c r="X18">
        <f t="shared" si="3"/>
        <v>0.26416911599999998</v>
      </c>
      <c r="Y18">
        <f t="shared" si="3"/>
        <v>0.24826529999999999</v>
      </c>
      <c r="Z18">
        <f t="shared" si="8"/>
        <v>0.36252031809584334</v>
      </c>
      <c r="AA18">
        <f t="shared" si="7"/>
        <v>7.9519080000000031</v>
      </c>
      <c r="AB18">
        <f t="shared" si="5"/>
        <v>4.6672967698107748E-2</v>
      </c>
      <c r="AC18">
        <f t="shared" si="6"/>
        <v>24.234852032277729</v>
      </c>
    </row>
    <row r="19" spans="1:29" x14ac:dyDescent="0.2">
      <c r="A19">
        <v>46136.867908981483</v>
      </c>
      <c r="B19">
        <v>19.731701000000001</v>
      </c>
      <c r="C19">
        <v>19.666806000000001</v>
      </c>
      <c r="D19">
        <v>19.574484000000002</v>
      </c>
      <c r="E19">
        <v>19.490884000000001</v>
      </c>
      <c r="F19">
        <v>35.252009000000001</v>
      </c>
      <c r="G19">
        <v>34.274859999999997</v>
      </c>
      <c r="H19">
        <v>31.609476000000001</v>
      </c>
      <c r="I19">
        <v>27.010352999999999</v>
      </c>
      <c r="J19">
        <v>57.079462999999997</v>
      </c>
      <c r="K19">
        <v>49.13138</v>
      </c>
      <c r="L19">
        <v>84.981311000000005</v>
      </c>
      <c r="M19">
        <v>-622.5</v>
      </c>
      <c r="N19">
        <v>0.95216000000000001</v>
      </c>
      <c r="O19">
        <v>1.923627</v>
      </c>
      <c r="P19">
        <f t="shared" si="0"/>
        <v>1.5869333333333334E-5</v>
      </c>
      <c r="Q19" cm="1">
        <f t="array" ref="Q19">[1]!PropsSI("D","T",J19+273.15,"P",101325,"Water")</f>
        <v>984.67289771768606</v>
      </c>
      <c r="R19" cm="1">
        <f t="array" ref="R19">[1]!PropsSI("D","T",K19+273.15,"P",101325,"Water")</f>
        <v>988.42543798184829</v>
      </c>
      <c r="S19">
        <f t="shared" si="1"/>
        <v>986.54916784976717</v>
      </c>
      <c r="T19" cm="1">
        <f t="array" ref="T19">[1]!PropsSI("H","T",J19+273.15,"P",101325,"Water")</f>
        <v>239028.18306781221</v>
      </c>
      <c r="U19" cm="1">
        <f t="array" ref="U19">[1]!PropsSI("H","T",K19+273.15,"P",101325,"Water")</f>
        <v>205786.59936530422</v>
      </c>
      <c r="V19">
        <f t="shared" si="2"/>
        <v>520.42616548815909</v>
      </c>
      <c r="X19">
        <f t="shared" si="3"/>
        <v>0.26415892600000002</v>
      </c>
      <c r="Y19">
        <f t="shared" si="3"/>
        <v>0.24826276</v>
      </c>
      <c r="Z19">
        <f t="shared" si="8"/>
        <v>0.36251115319158261</v>
      </c>
      <c r="AA19">
        <f t="shared" si="7"/>
        <v>7.9480829999999969</v>
      </c>
      <c r="AB19">
        <f t="shared" si="5"/>
        <v>4.6693271763440632E-2</v>
      </c>
      <c r="AC19">
        <f t="shared" si="6"/>
        <v>24.300400377943941</v>
      </c>
    </row>
    <row r="20" spans="1:29" x14ac:dyDescent="0.2">
      <c r="A20">
        <v>46136.867966851853</v>
      </c>
      <c r="B20">
        <v>19.720409</v>
      </c>
      <c r="C20">
        <v>19.626768999999999</v>
      </c>
      <c r="D20">
        <v>19.5474</v>
      </c>
      <c r="E20">
        <v>19.470289000000001</v>
      </c>
      <c r="F20">
        <v>35.178351999999997</v>
      </c>
      <c r="G20">
        <v>34.512546999999998</v>
      </c>
      <c r="H20">
        <v>31.986903000000002</v>
      </c>
      <c r="I20">
        <v>27.560497000000002</v>
      </c>
      <c r="J20">
        <v>57.079940999999998</v>
      </c>
      <c r="K20">
        <v>49.131697000000003</v>
      </c>
      <c r="L20">
        <v>84.607451999999995</v>
      </c>
      <c r="M20">
        <v>-622.49347</v>
      </c>
      <c r="N20">
        <v>0.95123800000000003</v>
      </c>
      <c r="O20">
        <v>1.54318</v>
      </c>
      <c r="P20">
        <f t="shared" si="0"/>
        <v>1.5853966666666668E-5</v>
      </c>
      <c r="Q20" cm="1">
        <f t="array" ref="Q20">[1]!PropsSI("D","T",J20+273.15,"P",101325,"Water")</f>
        <v>984.67266016760595</v>
      </c>
      <c r="R20" cm="1">
        <f t="array" ref="R20">[1]!PropsSI("D","T",K20+273.15,"P",101325,"Water")</f>
        <v>988.42529641851422</v>
      </c>
      <c r="S20">
        <f t="shared" si="1"/>
        <v>986.54897829306015</v>
      </c>
      <c r="T20" cm="1">
        <f t="array" ref="T20">[1]!PropsSI("H","T",J20+273.15,"P",101325,"Water")</f>
        <v>239030.18289628768</v>
      </c>
      <c r="U20" cm="1">
        <f t="array" ref="U20">[1]!PropsSI("H","T",K20+273.15,"P",101325,"Water")</f>
        <v>205787.9247749162</v>
      </c>
      <c r="V20">
        <f t="shared" si="2"/>
        <v>519.93267249743928</v>
      </c>
      <c r="X20">
        <f t="shared" si="3"/>
        <v>0.26415988200000001</v>
      </c>
      <c r="Y20">
        <f t="shared" si="3"/>
        <v>0.248263394</v>
      </c>
      <c r="Z20">
        <f t="shared" si="8"/>
        <v>0.36251228401069829</v>
      </c>
      <c r="AA20">
        <f t="shared" si="7"/>
        <v>7.9482439999999954</v>
      </c>
      <c r="AB20">
        <f t="shared" si="5"/>
        <v>4.6692508295520095E-2</v>
      </c>
      <c r="AC20">
        <f t="shared" si="6"/>
        <v>24.276960623698617</v>
      </c>
    </row>
    <row r="21" spans="1:29" x14ac:dyDescent="0.2">
      <c r="A21">
        <v>46136.868024722222</v>
      </c>
      <c r="B21">
        <v>19.672844999999999</v>
      </c>
      <c r="C21">
        <v>19.595746999999999</v>
      </c>
      <c r="D21">
        <v>19.529444999999999</v>
      </c>
      <c r="E21">
        <v>19.478496</v>
      </c>
      <c r="F21">
        <v>35.247351000000002</v>
      </c>
      <c r="G21">
        <v>34.991636999999997</v>
      </c>
      <c r="H21">
        <v>31.777151</v>
      </c>
      <c r="I21">
        <v>27.841985000000001</v>
      </c>
      <c r="J21">
        <v>57.080418000000002</v>
      </c>
      <c r="K21">
        <v>49.122008999999998</v>
      </c>
      <c r="L21">
        <v>92.210745000000003</v>
      </c>
      <c r="M21">
        <v>-622.49550999999997</v>
      </c>
      <c r="N21">
        <v>0.952291</v>
      </c>
      <c r="O21">
        <v>1.08721</v>
      </c>
      <c r="P21">
        <f t="shared" si="0"/>
        <v>1.5871516666666665E-5</v>
      </c>
      <c r="Q21" cm="1">
        <f t="array" ref="Q21">[1]!PropsSI("D","T",J21+273.15,"P",101325,"Water")</f>
        <v>984.67242311311497</v>
      </c>
      <c r="R21" cm="1">
        <f t="array" ref="R21">[1]!PropsSI("D","T",K21+273.15,"P",101325,"Water")</f>
        <v>988.42962250747985</v>
      </c>
      <c r="S21">
        <f t="shared" si="1"/>
        <v>986.55102281029735</v>
      </c>
      <c r="T21" cm="1">
        <f t="array" ref="T21">[1]!PropsSI("H","T",J21+273.15,"P",101325,"Water")</f>
        <v>239032.17854104325</v>
      </c>
      <c r="U21" cm="1">
        <f t="array" ref="U21">[1]!PropsSI("H","T",K21+273.15,"P",101325,"Water")</f>
        <v>205747.41826264633</v>
      </c>
      <c r="V21">
        <f t="shared" si="2"/>
        <v>521.17480684448765</v>
      </c>
      <c r="X21">
        <f t="shared" si="3"/>
        <v>0.26416083600000001</v>
      </c>
      <c r="Y21">
        <f t="shared" si="3"/>
        <v>0.24824401800000001</v>
      </c>
      <c r="Z21">
        <f t="shared" si="8"/>
        <v>0.36249970999850911</v>
      </c>
      <c r="AA21">
        <f t="shared" si="7"/>
        <v>7.9584090000000032</v>
      </c>
      <c r="AB21">
        <f t="shared" si="5"/>
        <v>4.6634063510299709E-2</v>
      </c>
      <c r="AC21">
        <f t="shared" si="6"/>
        <v>24.304499042354021</v>
      </c>
    </row>
    <row r="22" spans="1:29" x14ac:dyDescent="0.2">
      <c r="A22">
        <v>46136.868083171299</v>
      </c>
      <c r="B22">
        <v>19.691029</v>
      </c>
      <c r="C22">
        <v>19.652944000000002</v>
      </c>
      <c r="D22">
        <v>19.555911999999999</v>
      </c>
      <c r="E22">
        <v>19.487832000000001</v>
      </c>
      <c r="F22">
        <v>34.973500999999999</v>
      </c>
      <c r="G22">
        <v>34.339208999999997</v>
      </c>
      <c r="H22">
        <v>32.147208999999997</v>
      </c>
      <c r="I22">
        <v>26.558323999999999</v>
      </c>
      <c r="J22">
        <v>57.071821</v>
      </c>
      <c r="K22">
        <v>49.118355999999999</v>
      </c>
      <c r="L22">
        <v>87.329764999999995</v>
      </c>
      <c r="M22">
        <v>-622.49306200000001</v>
      </c>
      <c r="N22">
        <v>0.94922600000000001</v>
      </c>
      <c r="O22">
        <v>1.5838829999999999</v>
      </c>
      <c r="P22">
        <f t="shared" si="0"/>
        <v>1.5820433333333335E-5</v>
      </c>
      <c r="Q22" cm="1">
        <f t="array" ref="Q22">[1]!PropsSI("D","T",J22+273.15,"P",101325,"Water")</f>
        <v>984.67669534863603</v>
      </c>
      <c r="R22" cm="1">
        <f t="array" ref="R22">[1]!PropsSI("D","T",K22+273.15,"P",101325,"Water")</f>
        <v>988.43125356018811</v>
      </c>
      <c r="S22">
        <f t="shared" si="1"/>
        <v>986.55397445441213</v>
      </c>
      <c r="T22" cm="1">
        <f t="array" ref="T22">[1]!PropsSI("H","T",J22+273.15,"P",101325,"Water")</f>
        <v>238996.21092683051</v>
      </c>
      <c r="U22" cm="1">
        <f t="array" ref="U22">[1]!PropsSI("H","T",K22+273.15,"P",101325,"Water")</f>
        <v>205732.14470509524</v>
      </c>
      <c r="V22">
        <f t="shared" si="2"/>
        <v>519.1759450002404</v>
      </c>
      <c r="X22">
        <f t="shared" si="3"/>
        <v>0.26414364200000001</v>
      </c>
      <c r="Y22">
        <f t="shared" si="3"/>
        <v>0.248236712</v>
      </c>
      <c r="Z22">
        <f t="shared" si="8"/>
        <v>0.36248217720819753</v>
      </c>
      <c r="AA22">
        <f t="shared" si="7"/>
        <v>7.9534650000000013</v>
      </c>
      <c r="AB22">
        <f t="shared" si="5"/>
        <v>4.6659566211840253E-2</v>
      </c>
      <c r="AC22">
        <f t="shared" si="6"/>
        <v>24.224524381333453</v>
      </c>
    </row>
    <row r="23" spans="1:29" x14ac:dyDescent="0.2">
      <c r="A23">
        <v>46136.868141620369</v>
      </c>
      <c r="B23">
        <v>19.628446</v>
      </c>
      <c r="C23">
        <v>19.594697</v>
      </c>
      <c r="D23">
        <v>19.486273000000001</v>
      </c>
      <c r="E23">
        <v>19.446483000000001</v>
      </c>
      <c r="F23">
        <v>35.074947999999999</v>
      </c>
      <c r="G23">
        <v>33.983766000000003</v>
      </c>
      <c r="H23">
        <v>31.391318999999999</v>
      </c>
      <c r="I23">
        <v>27.418237000000001</v>
      </c>
      <c r="J23">
        <v>57.077711999999998</v>
      </c>
      <c r="K23">
        <v>49.114862000000002</v>
      </c>
      <c r="L23">
        <v>90.729185999999999</v>
      </c>
      <c r="M23">
        <v>-622.50204099999996</v>
      </c>
      <c r="N23">
        <v>0.95055699999999999</v>
      </c>
      <c r="O23">
        <v>1.6102259999999999</v>
      </c>
      <c r="P23">
        <f t="shared" si="0"/>
        <v>1.5842616666666666E-5</v>
      </c>
      <c r="Q23" cm="1">
        <f t="array" ref="Q23">[1]!PropsSI("D","T",J23+273.15,"P",101325,"Water")</f>
        <v>984.67376789449906</v>
      </c>
      <c r="R23" cm="1">
        <f t="array" ref="R23">[1]!PropsSI("D","T",K23+273.15,"P",101325,"Water")</f>
        <v>988.43281353717759</v>
      </c>
      <c r="S23">
        <f t="shared" si="1"/>
        <v>986.55329071583833</v>
      </c>
      <c r="T23" cm="1">
        <f t="array" ref="T23">[1]!PropsSI("H","T",J23+273.15,"P",101325,"Water")</f>
        <v>239020.85733708594</v>
      </c>
      <c r="U23" cm="1">
        <f t="array" ref="U23">[1]!PropsSI("H","T",K23+273.15,"P",101325,"Water")</f>
        <v>205717.53594570549</v>
      </c>
      <c r="V23">
        <f t="shared" si="2"/>
        <v>520.51711265236315</v>
      </c>
      <c r="X23">
        <f t="shared" si="3"/>
        <v>0.26415542400000003</v>
      </c>
      <c r="Y23">
        <f t="shared" si="3"/>
        <v>0.24822972399999998</v>
      </c>
      <c r="Z23">
        <f t="shared" si="8"/>
        <v>0.36248597752980177</v>
      </c>
      <c r="AA23">
        <f t="shared" si="7"/>
        <v>7.962849999999996</v>
      </c>
      <c r="AB23">
        <f t="shared" si="5"/>
        <v>4.6607566850243622E-2</v>
      </c>
      <c r="AC23">
        <f t="shared" si="6"/>
        <v>24.260036124640806</v>
      </c>
    </row>
    <row r="24" spans="1:29" x14ac:dyDescent="0.2">
      <c r="A24">
        <v>46136.868199490738</v>
      </c>
      <c r="B24">
        <v>19.614546000000001</v>
      </c>
      <c r="C24">
        <v>19.509553</v>
      </c>
      <c r="D24">
        <v>19.462187</v>
      </c>
      <c r="E24">
        <v>19.427709</v>
      </c>
      <c r="F24">
        <v>35.570233000000002</v>
      </c>
      <c r="G24">
        <v>34.514327999999999</v>
      </c>
      <c r="H24">
        <v>31.560524999999998</v>
      </c>
      <c r="I24">
        <v>27.216483</v>
      </c>
      <c r="J24">
        <v>57.083920999999997</v>
      </c>
      <c r="K24">
        <v>49.103903000000003</v>
      </c>
      <c r="L24">
        <v>88.842342000000002</v>
      </c>
      <c r="M24">
        <v>-622.51755000000003</v>
      </c>
      <c r="N24">
        <v>0.95380299999999996</v>
      </c>
      <c r="O24">
        <v>0.85026000000000002</v>
      </c>
      <c r="P24">
        <f t="shared" si="0"/>
        <v>1.5896716666666666E-5</v>
      </c>
      <c r="Q24" cm="1">
        <f t="array" ref="Q24">[1]!PropsSI("D","T",J24+273.15,"P",101325,"Water")</f>
        <v>984.67068218625502</v>
      </c>
      <c r="R24" cm="1">
        <f t="array" ref="R24">[1]!PropsSI("D","T",K24+273.15,"P",101325,"Water")</f>
        <v>988.43770591088867</v>
      </c>
      <c r="S24">
        <f t="shared" si="1"/>
        <v>986.55419404857184</v>
      </c>
      <c r="T24" cm="1">
        <f t="array" ref="T24">[1]!PropsSI("H","T",J24+273.15,"P",101325,"Water")</f>
        <v>239046.83419124794</v>
      </c>
      <c r="U24" cm="1">
        <f t="array" ref="U24">[1]!PropsSI("H","T",K24+273.15,"P",101325,"Water")</f>
        <v>205671.71530463867</v>
      </c>
      <c r="V24">
        <f t="shared" si="2"/>
        <v>523.42107165294738</v>
      </c>
      <c r="X24">
        <f t="shared" si="3"/>
        <v>0.26416784199999999</v>
      </c>
      <c r="Y24">
        <f t="shared" si="3"/>
        <v>0.248207806</v>
      </c>
      <c r="Z24">
        <f t="shared" si="8"/>
        <v>0.3624800183544889</v>
      </c>
      <c r="AA24">
        <f t="shared" si="7"/>
        <v>7.9800179999999941</v>
      </c>
      <c r="AB24">
        <f t="shared" si="5"/>
        <v>4.6511187941793632E-2</v>
      </c>
      <c r="AC24">
        <f t="shared" si="6"/>
        <v>24.344935836345268</v>
      </c>
    </row>
    <row r="25" spans="1:29" x14ac:dyDescent="0.2">
      <c r="A25">
        <v>46136.868257939816</v>
      </c>
      <c r="B25">
        <v>19.640467999999998</v>
      </c>
      <c r="C25">
        <v>19.580164</v>
      </c>
      <c r="D25">
        <v>19.480198000000001</v>
      </c>
      <c r="E25">
        <v>19.532197</v>
      </c>
      <c r="F25">
        <v>35.394596</v>
      </c>
      <c r="G25">
        <v>34.369759999999999</v>
      </c>
      <c r="H25">
        <v>31.261181000000001</v>
      </c>
      <c r="I25">
        <v>27.009421</v>
      </c>
      <c r="J25">
        <v>57.073413000000002</v>
      </c>
      <c r="K25">
        <v>49.095008</v>
      </c>
      <c r="L25">
        <v>86.092684000000006</v>
      </c>
      <c r="M25">
        <v>-622.474695</v>
      </c>
      <c r="N25">
        <v>0.94983600000000001</v>
      </c>
      <c r="O25">
        <v>2.437214</v>
      </c>
      <c r="P25">
        <f t="shared" si="0"/>
        <v>1.5830600000000001E-5</v>
      </c>
      <c r="Q25" cm="1">
        <f t="array" ref="Q25">[1]!PropsSI("D","T",J25+273.15,"P",101325,"Water")</f>
        <v>984.67590424618754</v>
      </c>
      <c r="R25" cm="1">
        <f t="array" ref="R25">[1]!PropsSI("D","T",K25+273.15,"P",101325,"Water")</f>
        <v>988.44167627771913</v>
      </c>
      <c r="S25">
        <f t="shared" si="1"/>
        <v>986.55879026195339</v>
      </c>
      <c r="T25" cm="1">
        <f t="array" ref="T25">[1]!PropsSI("H","T",J25+273.15,"P",101325,"Water")</f>
        <v>239002.87143896686</v>
      </c>
      <c r="U25" cm="1">
        <f t="array" ref="U25">[1]!PropsSI("H","T",K25+273.15,"P",101325,"Water")</f>
        <v>205634.52447135848</v>
      </c>
      <c r="V25">
        <f t="shared" si="2"/>
        <v>521.14075605712912</v>
      </c>
      <c r="X25">
        <f t="shared" si="3"/>
        <v>0.264146826</v>
      </c>
      <c r="Y25">
        <f t="shared" si="3"/>
        <v>0.24819001600000001</v>
      </c>
      <c r="Z25">
        <f t="shared" si="8"/>
        <v>0.36245252065333267</v>
      </c>
      <c r="AA25">
        <f t="shared" si="7"/>
        <v>7.9784050000000022</v>
      </c>
      <c r="AB25">
        <f t="shared" si="5"/>
        <v>4.6516790573506162E-2</v>
      </c>
      <c r="AC25">
        <f t="shared" si="6"/>
        <v>24.241795408828139</v>
      </c>
    </row>
    <row r="26" spans="1:29" x14ac:dyDescent="0.2">
      <c r="A26">
        <v>46136.868316388885</v>
      </c>
      <c r="B26">
        <v>19.649381000000002</v>
      </c>
      <c r="C26">
        <v>19.535958999999998</v>
      </c>
      <c r="D26">
        <v>19.489592999999999</v>
      </c>
      <c r="E26">
        <v>19.487061000000001</v>
      </c>
      <c r="F26">
        <v>35.144855</v>
      </c>
      <c r="G26">
        <v>34.963697000000003</v>
      </c>
      <c r="H26">
        <v>31.685887000000001</v>
      </c>
      <c r="I26">
        <v>26.917335000000001</v>
      </c>
      <c r="J26">
        <v>57.073253999999999</v>
      </c>
      <c r="K26">
        <v>49.091197000000001</v>
      </c>
      <c r="L26">
        <v>89.361908</v>
      </c>
      <c r="M26">
        <v>-622.48204199999998</v>
      </c>
      <c r="N26">
        <v>0.95212300000000005</v>
      </c>
      <c r="O26">
        <v>2.359963</v>
      </c>
      <c r="P26">
        <f t="shared" si="0"/>
        <v>1.5868716666666666E-5</v>
      </c>
      <c r="Q26" cm="1">
        <f t="array" ref="Q26">[1]!PropsSI("D","T",J26+273.15,"P",101325,"Water")</f>
        <v>984.67598325775384</v>
      </c>
      <c r="R26" cm="1">
        <f t="array" ref="R26">[1]!PropsSI("D","T",K26+273.15,"P",101325,"Water")</f>
        <v>988.44337719287603</v>
      </c>
      <c r="S26">
        <f t="shared" si="1"/>
        <v>986.55968022531488</v>
      </c>
      <c r="T26" cm="1">
        <f t="array" ref="T26">[1]!PropsSI("H","T",J26+273.15,"P",101325,"Water")</f>
        <v>239002.20622446848</v>
      </c>
      <c r="U26" cm="1">
        <f t="array" ref="U26">[1]!PropsSI("H","T",K26+273.15,"P",101325,"Water")</f>
        <v>205618.59032770962</v>
      </c>
      <c r="V26">
        <f t="shared" si="2"/>
        <v>522.63506346407462</v>
      </c>
      <c r="X26">
        <f t="shared" si="3"/>
        <v>0.264146508</v>
      </c>
      <c r="Y26">
        <f t="shared" si="3"/>
        <v>0.248182394</v>
      </c>
      <c r="Z26">
        <f t="shared" si="8"/>
        <v>0.36244706976352464</v>
      </c>
      <c r="AA26">
        <f t="shared" si="7"/>
        <v>7.9820569999999975</v>
      </c>
      <c r="AB26">
        <f t="shared" si="5"/>
        <v>4.6495824799073861E-2</v>
      </c>
      <c r="AC26">
        <f t="shared" si="6"/>
        <v>24.300348344678461</v>
      </c>
    </row>
    <row r="27" spans="1:29" x14ac:dyDescent="0.2">
      <c r="A27">
        <v>46136.868374259262</v>
      </c>
      <c r="B27">
        <v>19.628088000000002</v>
      </c>
      <c r="C27">
        <v>19.534678</v>
      </c>
      <c r="D27">
        <v>19.528015</v>
      </c>
      <c r="E27">
        <v>19.525151999999999</v>
      </c>
      <c r="F27">
        <v>35.132108000000002</v>
      </c>
      <c r="G27">
        <v>33.463574000000001</v>
      </c>
      <c r="H27">
        <v>31.474629</v>
      </c>
      <c r="I27">
        <v>27.519358</v>
      </c>
      <c r="J27">
        <v>57.081372999999999</v>
      </c>
      <c r="K27">
        <v>49.083573000000001</v>
      </c>
      <c r="L27">
        <v>85.854327999999995</v>
      </c>
      <c r="M27">
        <v>-622.49632699999995</v>
      </c>
      <c r="N27">
        <v>0.95033199999999995</v>
      </c>
      <c r="O27">
        <v>2.225387</v>
      </c>
      <c r="P27">
        <f t="shared" si="0"/>
        <v>1.5838866666666668E-5</v>
      </c>
      <c r="Q27" cm="1">
        <f t="array" ref="Q27">[1]!PropsSI("D","T",J27+273.15,"P",101325,"Water")</f>
        <v>984.6719485029904</v>
      </c>
      <c r="R27" cm="1">
        <f t="array" ref="R27">[1]!PropsSI("D","T",K27+273.15,"P",101325,"Water")</f>
        <v>988.44677962687638</v>
      </c>
      <c r="S27">
        <f t="shared" si="1"/>
        <v>986.55936406493333</v>
      </c>
      <c r="T27" cm="1">
        <f t="array" ref="T27">[1]!PropsSI("H","T",J27+273.15,"P",101325,"Water")</f>
        <v>239036.17401477601</v>
      </c>
      <c r="U27" cm="1">
        <f t="array" ref="U27">[1]!PropsSI("H","T",K27+273.15,"P",101325,"Water")</f>
        <v>205586.71368974424</v>
      </c>
      <c r="V27">
        <f t="shared" si="2"/>
        <v>522.68067251412378</v>
      </c>
      <c r="X27">
        <f t="shared" si="3"/>
        <v>0.264162746</v>
      </c>
      <c r="Y27">
        <f t="shared" si="3"/>
        <v>0.24816714600000001</v>
      </c>
      <c r="Z27">
        <f t="shared" si="8"/>
        <v>0.36244846354764126</v>
      </c>
      <c r="AA27">
        <f t="shared" si="7"/>
        <v>7.997799999999998</v>
      </c>
      <c r="AB27">
        <f t="shared" si="5"/>
        <v>4.6408709351009575E-2</v>
      </c>
      <c r="AC27">
        <f t="shared" si="6"/>
        <v>24.256935414098191</v>
      </c>
    </row>
    <row r="28" spans="1:29" x14ac:dyDescent="0.2">
      <c r="A28">
        <v>46136.868432129631</v>
      </c>
      <c r="B28">
        <v>19.66855</v>
      </c>
      <c r="C28">
        <v>19.522046</v>
      </c>
      <c r="D28">
        <v>19.517641999999999</v>
      </c>
      <c r="E28">
        <v>19.511771</v>
      </c>
      <c r="F28">
        <v>34.569484000000003</v>
      </c>
      <c r="G28">
        <v>32.452835999999998</v>
      </c>
      <c r="H28">
        <v>31.426808000000001</v>
      </c>
      <c r="I28">
        <v>27.282722</v>
      </c>
      <c r="J28">
        <v>57.075322999999997</v>
      </c>
      <c r="K28">
        <v>49.082619999999999</v>
      </c>
      <c r="L28">
        <v>90.549603000000005</v>
      </c>
      <c r="M28">
        <v>-622.50734699999998</v>
      </c>
      <c r="N28">
        <v>0.95105300000000004</v>
      </c>
      <c r="O28">
        <v>1.5889789999999999</v>
      </c>
      <c r="P28">
        <f t="shared" si="0"/>
        <v>1.5850883333333334E-5</v>
      </c>
      <c r="Q28" cm="1">
        <f t="array" ref="Q28">[1]!PropsSI("D","T",J28+273.15,"P",101325,"Water")</f>
        <v>984.67495510171182</v>
      </c>
      <c r="R28" cm="1">
        <f t="array" ref="R28">[1]!PropsSI("D","T",K28+273.15,"P",101325,"Water")</f>
        <v>988.44720490404018</v>
      </c>
      <c r="S28">
        <f t="shared" si="1"/>
        <v>986.561080002876</v>
      </c>
      <c r="T28" cm="1">
        <f t="array" ref="T28">[1]!PropsSI("H","T",J28+273.15,"P",101325,"Water")</f>
        <v>239010.86238140074</v>
      </c>
      <c r="U28" cm="1">
        <f t="array" ref="U28">[1]!PropsSI("H","T",K28+273.15,"P",101325,"Water")</f>
        <v>205582.7291111013</v>
      </c>
      <c r="V28">
        <f t="shared" si="2"/>
        <v>522.74462125426419</v>
      </c>
      <c r="X28">
        <f t="shared" si="3"/>
        <v>0.26415064599999999</v>
      </c>
      <c r="Y28">
        <f t="shared" si="3"/>
        <v>0.24816524000000001</v>
      </c>
      <c r="Z28">
        <f t="shared" si="8"/>
        <v>0.36243833975791651</v>
      </c>
      <c r="AA28">
        <f t="shared" si="7"/>
        <v>7.9927029999999988</v>
      </c>
      <c r="AB28">
        <f t="shared" si="5"/>
        <v>4.6435693891675789E-2</v>
      </c>
      <c r="AC28">
        <f t="shared" si="6"/>
        <v>24.274009216083009</v>
      </c>
    </row>
    <row r="29" spans="1:29" x14ac:dyDescent="0.2">
      <c r="A29">
        <v>46136.868490578701</v>
      </c>
      <c r="B29">
        <v>19.638764999999999</v>
      </c>
      <c r="C29">
        <v>19.558786000000001</v>
      </c>
      <c r="D29">
        <v>19.532522</v>
      </c>
      <c r="E29">
        <v>19.527771000000001</v>
      </c>
      <c r="F29">
        <v>35.323684999999998</v>
      </c>
      <c r="G29">
        <v>33.778244999999998</v>
      </c>
      <c r="H29">
        <v>31.192668999999999</v>
      </c>
      <c r="I29">
        <v>27.381965999999998</v>
      </c>
      <c r="J29">
        <v>57.081214000000003</v>
      </c>
      <c r="K29">
        <v>49.079602000000001</v>
      </c>
      <c r="L29">
        <v>88.171355000000005</v>
      </c>
      <c r="M29">
        <v>-622.50693799999999</v>
      </c>
      <c r="N29">
        <v>0.952905</v>
      </c>
      <c r="O29">
        <v>1.467708</v>
      </c>
      <c r="P29">
        <f t="shared" si="0"/>
        <v>1.5881750000000001E-5</v>
      </c>
      <c r="Q29" cm="1">
        <f t="array" ref="Q29">[1]!PropsSI("D","T",J29+273.15,"P",101325,"Water")</f>
        <v>984.67202752222511</v>
      </c>
      <c r="R29" cm="1">
        <f t="array" ref="R29">[1]!PropsSI("D","T",K29+273.15,"P",101325,"Water")</f>
        <v>988.44855164967032</v>
      </c>
      <c r="S29">
        <f t="shared" si="1"/>
        <v>986.56028958594766</v>
      </c>
      <c r="T29" cm="1">
        <f t="array" ref="T29">[1]!PropsSI("H","T",J29+273.15,"P",101325,"Water")</f>
        <v>239035.50879975109</v>
      </c>
      <c r="U29" cm="1">
        <f t="array" ref="U29">[1]!PropsSI("H","T",K29+273.15,"P",101325,"Water")</f>
        <v>205570.11058350737</v>
      </c>
      <c r="V29">
        <f t="shared" si="2"/>
        <v>524.34602868825607</v>
      </c>
      <c r="X29">
        <f t="shared" si="3"/>
        <v>0.264162428</v>
      </c>
      <c r="Y29">
        <f t="shared" si="3"/>
        <v>0.24815920399999999</v>
      </c>
      <c r="Z29">
        <f t="shared" si="8"/>
        <v>0.3624427939644666</v>
      </c>
      <c r="AA29">
        <f t="shared" si="7"/>
        <v>8.0016120000000015</v>
      </c>
      <c r="AB29">
        <f t="shared" si="5"/>
        <v>4.6386934934528619E-2</v>
      </c>
      <c r="AC29">
        <f t="shared" si="6"/>
        <v>24.322805115940611</v>
      </c>
    </row>
    <row r="30" spans="1:29" x14ac:dyDescent="0.2">
      <c r="A30">
        <v>46136.868549027778</v>
      </c>
      <c r="B30">
        <v>19.715302000000001</v>
      </c>
      <c r="C30">
        <v>19.602433999999999</v>
      </c>
      <c r="D30">
        <v>19.546969000000001</v>
      </c>
      <c r="E30">
        <v>19.549617000000001</v>
      </c>
      <c r="F30">
        <v>35.443140999999997</v>
      </c>
      <c r="G30">
        <v>34.654479000000002</v>
      </c>
      <c r="H30">
        <v>31.561513999999999</v>
      </c>
      <c r="I30">
        <v>27.174272999999999</v>
      </c>
      <c r="J30">
        <v>57.081691999999997</v>
      </c>
      <c r="K30">
        <v>49.092149999999997</v>
      </c>
      <c r="L30">
        <v>91.479353000000003</v>
      </c>
      <c r="M30">
        <v>-622.45510400000001</v>
      </c>
      <c r="N30">
        <v>0.95131100000000002</v>
      </c>
      <c r="O30">
        <v>1.5770839999999999</v>
      </c>
      <c r="P30">
        <f t="shared" si="0"/>
        <v>1.5855183333333334E-5</v>
      </c>
      <c r="Q30" cm="1">
        <f t="array" ref="Q30">[1]!PropsSI("D","T",J30+273.15,"P",101325,"Water")</f>
        <v>984.67178996706286</v>
      </c>
      <c r="R30" cm="1">
        <f t="array" ref="R30">[1]!PropsSI("D","T",K30+273.15,"P",101325,"Water")</f>
        <v>988.44295186154568</v>
      </c>
      <c r="S30">
        <f t="shared" si="1"/>
        <v>986.55737091430433</v>
      </c>
      <c r="T30" cm="1">
        <f t="array" ref="T30">[1]!PropsSI("H","T",J30+273.15,"P",101325,"Water")</f>
        <v>239037.50862857781</v>
      </c>
      <c r="U30" cm="1">
        <f t="array" ref="U30">[1]!PropsSI("H","T",K30+273.15,"P",101325,"Water")</f>
        <v>205622.57490848121</v>
      </c>
      <c r="V30">
        <f t="shared" si="2"/>
        <v>522.67799665524183</v>
      </c>
      <c r="X30">
        <f t="shared" si="3"/>
        <v>0.264163384</v>
      </c>
      <c r="Y30">
        <f t="shared" si="3"/>
        <v>0.2481843</v>
      </c>
      <c r="Z30">
        <f t="shared" si="8"/>
        <v>0.36246067402246751</v>
      </c>
      <c r="AA30">
        <f t="shared" si="7"/>
        <v>7.9895420000000001</v>
      </c>
      <c r="AB30">
        <f t="shared" si="5"/>
        <v>4.6455943851704123E-2</v>
      </c>
      <c r="AC30">
        <f t="shared" si="6"/>
        <v>24.281499665137108</v>
      </c>
    </row>
    <row r="31" spans="1:29" x14ac:dyDescent="0.2">
      <c r="A31">
        <v>46136.868606898148</v>
      </c>
      <c r="B31">
        <v>19.751563000000001</v>
      </c>
      <c r="C31">
        <v>19.628661000000001</v>
      </c>
      <c r="D31">
        <v>19.580176000000002</v>
      </c>
      <c r="E31">
        <v>19.560928000000001</v>
      </c>
      <c r="F31">
        <v>34.723238000000002</v>
      </c>
      <c r="G31">
        <v>32.389681000000003</v>
      </c>
      <c r="H31">
        <v>31.627839999999999</v>
      </c>
      <c r="I31">
        <v>27.287837</v>
      </c>
      <c r="J31">
        <v>57.086787000000001</v>
      </c>
      <c r="K31">
        <v>49.080714</v>
      </c>
      <c r="L31">
        <v>80.710095999999993</v>
      </c>
      <c r="M31">
        <v>-622.48816399999998</v>
      </c>
      <c r="N31">
        <v>0.95157000000000003</v>
      </c>
      <c r="O31">
        <v>1.291641</v>
      </c>
      <c r="P31">
        <f t="shared" si="0"/>
        <v>1.58595E-5</v>
      </c>
      <c r="Q31" cm="1">
        <f t="array" ref="Q31">[1]!PropsSI("D","T",J31+273.15,"P",101325,"Water")</f>
        <v>984.66925778126881</v>
      </c>
      <c r="R31" cm="1">
        <f t="array" ref="R31">[1]!PropsSI("D","T",K31+273.15,"P",101325,"Water")</f>
        <v>988.44805544026019</v>
      </c>
      <c r="S31">
        <f t="shared" si="1"/>
        <v>986.5586566107645</v>
      </c>
      <c r="T31" cm="1">
        <f t="array" ref="T31">[1]!PropsSI("H","T",J31+273.15,"P",101325,"Water")</f>
        <v>239058.82480098924</v>
      </c>
      <c r="U31" cm="1">
        <f t="array" ref="U31">[1]!PropsSI("H","T",K31+273.15,"P",101325,"Water")</f>
        <v>205574.75995457359</v>
      </c>
      <c r="V31">
        <f t="shared" si="2"/>
        <v>523.90262836235979</v>
      </c>
      <c r="X31">
        <f t="shared" si="3"/>
        <v>0.26417357399999997</v>
      </c>
      <c r="Y31">
        <f t="shared" si="3"/>
        <v>0.24816142800000002</v>
      </c>
      <c r="Z31">
        <f t="shared" si="8"/>
        <v>0.36245244039312613</v>
      </c>
      <c r="AA31">
        <f t="shared" si="7"/>
        <v>8.0060730000000007</v>
      </c>
      <c r="AB31">
        <f t="shared" si="5"/>
        <v>4.6363466093037153E-2</v>
      </c>
      <c r="AC31">
        <f t="shared" si="6"/>
        <v>24.289941746131312</v>
      </c>
    </row>
    <row r="32" spans="1:29" x14ac:dyDescent="0.2">
      <c r="A32">
        <v>46136.868664768517</v>
      </c>
      <c r="B32">
        <v>19.755248000000002</v>
      </c>
      <c r="C32">
        <v>19.622205999999998</v>
      </c>
      <c r="D32">
        <v>19.609299</v>
      </c>
      <c r="E32">
        <v>19.578023000000002</v>
      </c>
      <c r="F32">
        <v>35.508805000000002</v>
      </c>
      <c r="G32">
        <v>34.019022</v>
      </c>
      <c r="H32">
        <v>31.003444999999999</v>
      </c>
      <c r="I32">
        <v>27.469479</v>
      </c>
      <c r="J32">
        <v>57.08408</v>
      </c>
      <c r="K32">
        <v>49.085638000000003</v>
      </c>
      <c r="L32">
        <v>84.259305999999995</v>
      </c>
      <c r="M32">
        <v>-622.51102000000003</v>
      </c>
      <c r="N32">
        <v>0.95068900000000001</v>
      </c>
      <c r="O32">
        <v>1.7346999999999999</v>
      </c>
      <c r="P32">
        <f t="shared" si="0"/>
        <v>1.5844816666666668E-5</v>
      </c>
      <c r="Q32" cm="1">
        <f t="array" ref="Q32">[1]!PropsSI("D","T",J32+273.15,"P",101325,"Water")</f>
        <v>984.67060316438858</v>
      </c>
      <c r="R32" cm="1">
        <f t="array" ref="R32">[1]!PropsSI("D","T",K32+273.15,"P",101325,"Water")</f>
        <v>988.44585809801231</v>
      </c>
      <c r="S32">
        <f t="shared" si="1"/>
        <v>986.55823063120044</v>
      </c>
      <c r="T32" cm="1">
        <f t="array" ref="T32">[1]!PropsSI("H","T",J32+273.15,"P",101325,"Water")</f>
        <v>239047.49940640925</v>
      </c>
      <c r="U32" cm="1">
        <f t="array" ref="U32">[1]!PropsSI("H","T",K32+273.15,"P",101325,"Water")</f>
        <v>205595.34764115684</v>
      </c>
      <c r="V32">
        <f t="shared" si="2"/>
        <v>522.91849321707218</v>
      </c>
      <c r="X32">
        <f t="shared" si="3"/>
        <v>0.26416815999999999</v>
      </c>
      <c r="Y32">
        <f t="shared" si="3"/>
        <v>0.248171276</v>
      </c>
      <c r="Z32">
        <f t="shared" si="8"/>
        <v>0.36245523722144474</v>
      </c>
      <c r="AA32">
        <f t="shared" si="7"/>
        <v>7.9984419999999972</v>
      </c>
      <c r="AB32">
        <f t="shared" si="5"/>
        <v>4.6405984264543294E-2</v>
      </c>
      <c r="AC32">
        <f t="shared" si="6"/>
        <v>24.266547367870142</v>
      </c>
    </row>
    <row r="33" spans="1:29" x14ac:dyDescent="0.2">
      <c r="A33">
        <v>46136.868722638887</v>
      </c>
      <c r="B33">
        <v>19.777562</v>
      </c>
      <c r="C33">
        <v>19.631499999999999</v>
      </c>
      <c r="D33">
        <v>19.586395</v>
      </c>
      <c r="E33">
        <v>19.567451999999999</v>
      </c>
      <c r="F33">
        <v>35.300724000000002</v>
      </c>
      <c r="G33">
        <v>34.431488999999999</v>
      </c>
      <c r="H33">
        <v>31.127901000000001</v>
      </c>
      <c r="I33">
        <v>26.981494999999999</v>
      </c>
      <c r="J33">
        <v>57.084398</v>
      </c>
      <c r="K33">
        <v>49.094214000000001</v>
      </c>
      <c r="L33">
        <v>87.039167000000006</v>
      </c>
      <c r="M33">
        <v>-622.49836700000003</v>
      </c>
      <c r="N33">
        <v>0.949627</v>
      </c>
      <c r="O33">
        <v>1.4904930000000001</v>
      </c>
      <c r="P33">
        <f t="shared" si="0"/>
        <v>1.5827116666666666E-5</v>
      </c>
      <c r="Q33" cm="1">
        <f t="array" ref="Q33">[1]!PropsSI("D","T",J33+273.15,"P",101325,"Water")</f>
        <v>984.67044512020448</v>
      </c>
      <c r="R33" cm="1">
        <f t="array" ref="R33">[1]!PropsSI("D","T",K33+273.15,"P",101325,"Water")</f>
        <v>988.44203066158002</v>
      </c>
      <c r="S33">
        <f t="shared" si="1"/>
        <v>986.55623789089225</v>
      </c>
      <c r="T33" cm="1">
        <f t="array" ref="T33">[1]!PropsSI("H","T",J33+273.15,"P",101325,"Water")</f>
        <v>239048.8298368289</v>
      </c>
      <c r="U33" cm="1">
        <f t="array" ref="U33">[1]!PropsSI("H","T",K33+273.15,"P",101325,"Water")</f>
        <v>205631.20468357223</v>
      </c>
      <c r="V33">
        <f t="shared" si="2"/>
        <v>521.79418370332303</v>
      </c>
      <c r="X33">
        <f t="shared" si="3"/>
        <v>0.26416879599999998</v>
      </c>
      <c r="Y33">
        <f t="shared" si="3"/>
        <v>0.24818842800000002</v>
      </c>
      <c r="Z33">
        <f t="shared" si="8"/>
        <v>0.36246744484601762</v>
      </c>
      <c r="AA33">
        <f t="shared" si="7"/>
        <v>7.9901839999999993</v>
      </c>
      <c r="AB33">
        <f t="shared" si="5"/>
        <v>4.6453211670160914E-2</v>
      </c>
      <c r="AC33">
        <f t="shared" si="6"/>
        <v>24.239015663829292</v>
      </c>
    </row>
    <row r="34" spans="1:29" x14ac:dyDescent="0.2">
      <c r="A34">
        <v>46136.868780509256</v>
      </c>
      <c r="B34">
        <v>19.724907000000002</v>
      </c>
      <c r="C34">
        <v>19.602198000000001</v>
      </c>
      <c r="D34">
        <v>19.575918999999999</v>
      </c>
      <c r="E34">
        <v>19.554935</v>
      </c>
      <c r="F34">
        <v>34.924866000000002</v>
      </c>
      <c r="G34">
        <v>33.568840999999999</v>
      </c>
      <c r="H34">
        <v>31.289618999999998</v>
      </c>
      <c r="I34">
        <v>27.564427999999999</v>
      </c>
      <c r="J34">
        <v>57.085194999999999</v>
      </c>
      <c r="K34">
        <v>49.086432000000002</v>
      </c>
      <c r="L34">
        <v>81.685965999999993</v>
      </c>
      <c r="M34">
        <v>-622.48530700000003</v>
      </c>
      <c r="N34">
        <v>0.95014799999999999</v>
      </c>
      <c r="O34">
        <v>1.6290210000000001</v>
      </c>
      <c r="P34">
        <f t="shared" si="0"/>
        <v>1.5835800000000002E-5</v>
      </c>
      <c r="Q34" cm="1">
        <f t="array" ref="Q34">[1]!PropsSI("D","T",J34+273.15,"P",101325,"Water")</f>
        <v>984.67004901308565</v>
      </c>
      <c r="R34" cm="1">
        <f t="array" ref="R34">[1]!PropsSI("D","T",K34+273.15,"P",101325,"Water")</f>
        <v>988.44550375928816</v>
      </c>
      <c r="S34">
        <f t="shared" si="1"/>
        <v>986.5577763861869</v>
      </c>
      <c r="T34" cm="1">
        <f t="array" ref="T34">[1]!PropsSI("H","T",J34+273.15,"P",101325,"Water")</f>
        <v>239052.16428045824</v>
      </c>
      <c r="U34" cm="1">
        <f t="array" ref="U34">[1]!PropsSI("H","T",K34+273.15,"P",101325,"Water")</f>
        <v>205598.66742712646</v>
      </c>
      <c r="V34">
        <f t="shared" si="2"/>
        <v>522.64169430120489</v>
      </c>
      <c r="X34">
        <f t="shared" si="3"/>
        <v>0.26417038999999998</v>
      </c>
      <c r="Y34">
        <f t="shared" si="3"/>
        <v>0.24817286399999999</v>
      </c>
      <c r="Z34">
        <f t="shared" si="8"/>
        <v>0.36245794980758056</v>
      </c>
      <c r="AA34">
        <f t="shared" si="7"/>
        <v>7.9987629999999967</v>
      </c>
      <c r="AB34">
        <f t="shared" si="5"/>
        <v>4.6404539574412797E-2</v>
      </c>
      <c r="AC34">
        <f t="shared" si="6"/>
        <v>24.252947186438419</v>
      </c>
    </row>
    <row r="35" spans="1:29" x14ac:dyDescent="0.2">
      <c r="A35">
        <v>46136.868838379633</v>
      </c>
      <c r="B35">
        <v>19.758648000000001</v>
      </c>
      <c r="C35">
        <v>19.639135</v>
      </c>
      <c r="D35">
        <v>19.596264000000001</v>
      </c>
      <c r="E35">
        <v>19.549869000000001</v>
      </c>
      <c r="F35">
        <v>35.272489999999998</v>
      </c>
      <c r="G35">
        <v>34.648133000000001</v>
      </c>
      <c r="H35">
        <v>31.128412999999998</v>
      </c>
      <c r="I35">
        <v>26.639903</v>
      </c>
      <c r="J35">
        <v>57.084558000000001</v>
      </c>
      <c r="K35">
        <v>49.093260999999998</v>
      </c>
      <c r="L35">
        <v>86.411034999999998</v>
      </c>
      <c r="M35">
        <v>-622.49265300000002</v>
      </c>
      <c r="N35">
        <v>0.94982</v>
      </c>
      <c r="O35">
        <v>1.405376</v>
      </c>
      <c r="P35">
        <f t="shared" si="0"/>
        <v>1.5830333333333333E-5</v>
      </c>
      <c r="Q35" cm="1">
        <f t="array" ref="Q35">[1]!PropsSI("D","T",J35+273.15,"P",101325,"Water")</f>
        <v>984.67036560089537</v>
      </c>
      <c r="R35" cm="1">
        <f t="array" ref="R35">[1]!PropsSI("D","T",K35+273.15,"P",101325,"Water")</f>
        <v>988.44245600596889</v>
      </c>
      <c r="S35">
        <f t="shared" si="1"/>
        <v>986.55641080343207</v>
      </c>
      <c r="T35" cm="1">
        <f t="array" ref="T35">[1]!PropsSI("H","T",J35+273.15,"P",101325,"Water")</f>
        <v>239049.49923578583</v>
      </c>
      <c r="U35" cm="1">
        <f t="array" ref="U35">[1]!PropsSI("H","T",K35+273.15,"P",101325,"Water")</f>
        <v>205627.22010223748</v>
      </c>
      <c r="V35">
        <f t="shared" si="2"/>
        <v>521.97300703744986</v>
      </c>
      <c r="X35">
        <f t="shared" si="3"/>
        <v>0.26416911599999998</v>
      </c>
      <c r="Y35">
        <f t="shared" si="3"/>
        <v>0.24818652199999999</v>
      </c>
      <c r="Z35">
        <f t="shared" si="8"/>
        <v>0.36246637299296874</v>
      </c>
      <c r="AA35">
        <f t="shared" si="7"/>
        <v>7.991297000000003</v>
      </c>
      <c r="AB35">
        <f t="shared" si="5"/>
        <v>4.6446910687689177E-2</v>
      </c>
      <c r="AC35">
        <f t="shared" si="6"/>
        <v>24.244033639252986</v>
      </c>
    </row>
    <row r="36" spans="1:29" x14ac:dyDescent="0.2">
      <c r="A36">
        <v>46136.868896250002</v>
      </c>
      <c r="B36">
        <v>19.859425999999999</v>
      </c>
      <c r="C36">
        <v>19.741205999999998</v>
      </c>
      <c r="D36">
        <v>19.587472000000002</v>
      </c>
      <c r="E36">
        <v>19.558147000000002</v>
      </c>
      <c r="F36">
        <v>35.287267999999997</v>
      </c>
      <c r="G36">
        <v>34.066667000000002</v>
      </c>
      <c r="H36">
        <v>31.476336</v>
      </c>
      <c r="I36">
        <v>27.182797999999998</v>
      </c>
      <c r="J36">
        <v>57.087423999999999</v>
      </c>
      <c r="K36">
        <v>49.093578999999998</v>
      </c>
      <c r="L36">
        <v>86.472256999999999</v>
      </c>
      <c r="M36">
        <v>-622.48489900000004</v>
      </c>
      <c r="N36">
        <v>0.95204100000000003</v>
      </c>
      <c r="O36">
        <v>1.475447</v>
      </c>
      <c r="P36">
        <f t="shared" si="0"/>
        <v>1.586735E-5</v>
      </c>
      <c r="Q36" cm="1">
        <f t="array" ref="Q36">[1]!PropsSI("D","T",J36+273.15,"P",101325,"Water")</f>
        <v>984.66894118482207</v>
      </c>
      <c r="R36" cm="1">
        <f t="array" ref="R36">[1]!PropsSI("D","T",K36+273.15,"P",101325,"Water")</f>
        <v>988.44231407638677</v>
      </c>
      <c r="S36">
        <f t="shared" si="1"/>
        <v>986.55562763060448</v>
      </c>
      <c r="T36" cm="1">
        <f t="array" ref="T36">[1]!PropsSI("H","T",J36+273.15,"P",101325,"Water")</f>
        <v>239061.48984626465</v>
      </c>
      <c r="U36" cm="1">
        <f t="array" ref="U36">[1]!PropsSI("H","T",K36+273.15,"P",101325,"Water")</f>
        <v>205628.5496896746</v>
      </c>
      <c r="V36">
        <f t="shared" si="2"/>
        <v>523.36002881533614</v>
      </c>
      <c r="X36">
        <f t="shared" si="3"/>
        <v>0.26417484800000002</v>
      </c>
      <c r="Y36">
        <f t="shared" si="3"/>
        <v>0.24818715799999999</v>
      </c>
      <c r="Z36">
        <f t="shared" si="8"/>
        <v>0.36247098602776479</v>
      </c>
      <c r="AA36">
        <f t="shared" si="7"/>
        <v>7.9938450000000003</v>
      </c>
      <c r="AB36">
        <f t="shared" si="5"/>
        <v>4.6433355849380464E-2</v>
      </c>
      <c r="AC36">
        <f t="shared" si="6"/>
        <v>24.301362455324515</v>
      </c>
    </row>
    <row r="37" spans="1:29" x14ac:dyDescent="0.2">
      <c r="A37">
        <v>46136.868954699072</v>
      </c>
      <c r="B37">
        <v>19.870605999999999</v>
      </c>
      <c r="C37">
        <v>19.729296000000001</v>
      </c>
      <c r="D37">
        <v>19.614681000000001</v>
      </c>
      <c r="E37">
        <v>19.573550999999998</v>
      </c>
      <c r="F37">
        <v>35.006549999999997</v>
      </c>
      <c r="G37">
        <v>32.409979</v>
      </c>
      <c r="H37">
        <v>31.716759</v>
      </c>
      <c r="I37">
        <v>27.019731</v>
      </c>
      <c r="J37">
        <v>57.089492999999997</v>
      </c>
      <c r="K37">
        <v>49.086114000000002</v>
      </c>
      <c r="L37">
        <v>84.234001000000006</v>
      </c>
      <c r="M37">
        <v>-622.50040799999999</v>
      </c>
      <c r="N37">
        <v>0.95211000000000001</v>
      </c>
      <c r="O37">
        <v>1.5998950000000001</v>
      </c>
      <c r="P37">
        <f t="shared" si="0"/>
        <v>1.5868500000000002E-5</v>
      </c>
      <c r="Q37" cm="1">
        <f t="array" ref="Q37">[1]!PropsSI("D","T",J37+273.15,"P",101325,"Water")</f>
        <v>984.66791285064176</v>
      </c>
      <c r="R37" cm="1">
        <f t="array" ref="R37">[1]!PropsSI("D","T",K37+273.15,"P",101325,"Water")</f>
        <v>988.44564567378904</v>
      </c>
      <c r="S37">
        <f t="shared" si="1"/>
        <v>986.5567792622154</v>
      </c>
      <c r="T37" cm="1">
        <f t="array" ref="T37">[1]!PropsSI("H","T",J37+273.15,"P",101325,"Water")</f>
        <v>239070.14601472413</v>
      </c>
      <c r="U37" cm="1">
        <f t="array" ref="U37">[1]!PropsSI("H","T",K37+273.15,"P",101325,"Water")</f>
        <v>205597.33784027337</v>
      </c>
      <c r="V37">
        <f t="shared" si="2"/>
        <v>524.02271161112333</v>
      </c>
      <c r="X37">
        <f t="shared" si="3"/>
        <v>0.264178986</v>
      </c>
      <c r="Y37">
        <f t="shared" si="3"/>
        <v>0.24817222799999999</v>
      </c>
      <c r="Z37">
        <f t="shared" si="8"/>
        <v>0.36246377942419594</v>
      </c>
      <c r="AA37">
        <f t="shared" si="7"/>
        <v>8.0033789999999954</v>
      </c>
      <c r="AB37">
        <f t="shared" si="5"/>
        <v>4.6379729951171095E-2</v>
      </c>
      <c r="AC37">
        <f t="shared" si="6"/>
        <v>24.304031852804311</v>
      </c>
    </row>
    <row r="38" spans="1:29" x14ac:dyDescent="0.2">
      <c r="A38">
        <v>44674.869012571799</v>
      </c>
      <c r="B38">
        <v>19.81636</v>
      </c>
      <c r="C38">
        <v>19.679912000000002</v>
      </c>
      <c r="D38">
        <v>19.615973</v>
      </c>
      <c r="E38">
        <v>19.563255000000002</v>
      </c>
      <c r="F38">
        <v>35.169753999999998</v>
      </c>
      <c r="G38">
        <v>33.700499000000001</v>
      </c>
      <c r="H38">
        <v>31.911152000000001</v>
      </c>
      <c r="I38">
        <v>26.774925</v>
      </c>
      <c r="J38">
        <v>57.084558000000001</v>
      </c>
      <c r="K38">
        <v>49.093102000000002</v>
      </c>
      <c r="L38">
        <v>84.154821999999996</v>
      </c>
      <c r="M38">
        <v>-622.480817</v>
      </c>
      <c r="N38">
        <v>0.95064300000000002</v>
      </c>
      <c r="O38">
        <v>1.398768</v>
      </c>
      <c r="P38">
        <f t="shared" si="0"/>
        <v>1.584405E-5</v>
      </c>
      <c r="Q38" cm="1">
        <f t="array" ref="Q38">[1]!PropsSI("D","T",J38+273.15,"P",101325,"Water")</f>
        <v>984.67036560089537</v>
      </c>
      <c r="R38" cm="1">
        <f t="array" ref="R38">[1]!PropsSI("D","T",K38+273.15,"P",101325,"Water")</f>
        <v>988.44252697048705</v>
      </c>
      <c r="S38">
        <f t="shared" si="1"/>
        <v>986.55644628569121</v>
      </c>
      <c r="T38" cm="1">
        <f t="array" ref="T38">[1]!PropsSI("H","T",J38+273.15,"P",101325,"Water")</f>
        <v>239049.49923578583</v>
      </c>
      <c r="U38" cm="1">
        <f t="array" ref="U38">[1]!PropsSI("H","T",K38+273.15,"P",101325,"Water")</f>
        <v>205626.55530847234</v>
      </c>
      <c r="V38">
        <f t="shared" si="2"/>
        <v>522.43569640390797</v>
      </c>
      <c r="X38">
        <f t="shared" si="3"/>
        <v>0.26416911599999998</v>
      </c>
      <c r="Y38">
        <f t="shared" si="3"/>
        <v>0.24818620399999999</v>
      </c>
      <c r="Z38">
        <f t="shared" si="8"/>
        <v>0.36246615525335751</v>
      </c>
      <c r="AA38">
        <f t="shared" si="7"/>
        <v>7.9914559999999994</v>
      </c>
      <c r="AB38">
        <f t="shared" si="5"/>
        <v>4.6446002797784575E-2</v>
      </c>
      <c r="AC38">
        <f t="shared" si="6"/>
        <v>24.265049816838442</v>
      </c>
    </row>
    <row r="39" spans="1:29" x14ac:dyDescent="0.2">
      <c r="A39">
        <v>44674.869070442197</v>
      </c>
      <c r="B39">
        <v>19.867826000000001</v>
      </c>
      <c r="C39">
        <v>19.758362999999999</v>
      </c>
      <c r="D39">
        <v>19.665191</v>
      </c>
      <c r="E39">
        <v>19.644397999999999</v>
      </c>
      <c r="F39">
        <v>35.330939000000001</v>
      </c>
      <c r="G39">
        <v>33.028593999999998</v>
      </c>
      <c r="H39">
        <v>30.628717000000002</v>
      </c>
      <c r="I39">
        <v>27.120585999999999</v>
      </c>
      <c r="J39">
        <v>57.083283999999999</v>
      </c>
      <c r="K39">
        <v>49.091513999999997</v>
      </c>
      <c r="L39">
        <v>87.142426999999998</v>
      </c>
      <c r="M39">
        <v>-622.49591899999996</v>
      </c>
      <c r="N39">
        <v>0.944747</v>
      </c>
      <c r="O39">
        <v>1.618131</v>
      </c>
      <c r="P39">
        <f t="shared" si="0"/>
        <v>1.5745783333333334E-5</v>
      </c>
      <c r="Q39" cm="1">
        <f t="array" ref="Q39">[1]!PropsSI("D","T",J39+273.15,"P",101325,"Water")</f>
        <v>984.67099876911641</v>
      </c>
      <c r="R39" cm="1">
        <f t="array" ref="R39">[1]!PropsSI("D","T",K39+273.15,"P",101325,"Water")</f>
        <v>988.44323571397456</v>
      </c>
      <c r="S39">
        <f t="shared" si="1"/>
        <v>986.55711724154548</v>
      </c>
      <c r="T39" cm="1">
        <f t="array" ref="T39">[1]!PropsSI("H","T",J39+273.15,"P",101325,"Water")</f>
        <v>239044.16914688787</v>
      </c>
      <c r="U39" cm="1">
        <f t="array" ref="U39">[1]!PropsSI("H","T",K39+273.15,"P",101325,"Water")</f>
        <v>205619.91573384733</v>
      </c>
      <c r="V39">
        <f t="shared" si="2"/>
        <v>519.2161834069999</v>
      </c>
      <c r="X39">
        <f t="shared" si="3"/>
        <v>0.26416656799999999</v>
      </c>
      <c r="Y39">
        <f t="shared" si="3"/>
        <v>0.24818302799999997</v>
      </c>
      <c r="Z39">
        <f t="shared" si="8"/>
        <v>0.36246212358831009</v>
      </c>
      <c r="AA39">
        <f t="shared" si="7"/>
        <v>7.9917700000000025</v>
      </c>
      <c r="AB39">
        <f t="shared" si="5"/>
        <v>4.6443769865523642E-2</v>
      </c>
      <c r="AC39">
        <f t="shared" si="6"/>
        <v>24.114356932610217</v>
      </c>
    </row>
    <row r="40" spans="1:29" x14ac:dyDescent="0.2">
      <c r="A40">
        <v>44674.869128891201</v>
      </c>
      <c r="B40">
        <v>19.866171999999999</v>
      </c>
      <c r="C40">
        <v>19.772981999999999</v>
      </c>
      <c r="D40">
        <v>19.648191000000001</v>
      </c>
      <c r="E40">
        <v>19.600396</v>
      </c>
      <c r="F40">
        <v>35.428443000000001</v>
      </c>
      <c r="G40">
        <v>34.531910000000003</v>
      </c>
      <c r="H40">
        <v>30.96218</v>
      </c>
      <c r="I40">
        <v>27.373389</v>
      </c>
      <c r="J40">
        <v>57.083443000000003</v>
      </c>
      <c r="K40">
        <v>49.079920000000001</v>
      </c>
      <c r="L40">
        <v>88.730919</v>
      </c>
      <c r="M40">
        <v>-622.49714300000005</v>
      </c>
      <c r="N40">
        <v>0.94990200000000002</v>
      </c>
      <c r="O40">
        <v>1.602195</v>
      </c>
      <c r="P40">
        <f t="shared" si="0"/>
        <v>1.5831700000000003E-5</v>
      </c>
      <c r="Q40" cm="1">
        <f t="array" ref="Q40">[1]!PropsSI("D","T",J40+273.15,"P",101325,"Water")</f>
        <v>984.67091974789116</v>
      </c>
      <c r="R40" cm="1">
        <f t="array" ref="R40">[1]!PropsSI("D","T",K40+273.15,"P",101325,"Water")</f>
        <v>988.44840974889121</v>
      </c>
      <c r="S40">
        <f t="shared" si="1"/>
        <v>986.55966474839124</v>
      </c>
      <c r="T40" cm="1">
        <f t="array" ref="T40">[1]!PropsSI("H","T",J40+273.15,"P",101325,"Water")</f>
        <v>239044.83436202054</v>
      </c>
      <c r="U40" cm="1">
        <f t="array" ref="U40">[1]!PropsSI("H","T",K40+273.15,"P",101325,"Water")</f>
        <v>205571.44016981078</v>
      </c>
      <c r="V40">
        <f t="shared" si="2"/>
        <v>522.81815369317053</v>
      </c>
      <c r="X40">
        <f t="shared" si="3"/>
        <v>0.26416688599999999</v>
      </c>
      <c r="Y40">
        <f t="shared" si="3"/>
        <v>0.24815983999999999</v>
      </c>
      <c r="Z40">
        <f t="shared" si="8"/>
        <v>0.36244647859754769</v>
      </c>
      <c r="AA40">
        <f t="shared" si="7"/>
        <v>8.0035230000000013</v>
      </c>
      <c r="AB40">
        <f t="shared" si="5"/>
        <v>4.6376823473210621E-2</v>
      </c>
      <c r="AC40">
        <f t="shared" si="6"/>
        <v>24.246645222418071</v>
      </c>
    </row>
    <row r="41" spans="1:29" x14ac:dyDescent="0.2">
      <c r="A41">
        <v>44674.8691873403</v>
      </c>
      <c r="B41">
        <v>19.833580000000001</v>
      </c>
      <c r="C41">
        <v>19.730439000000001</v>
      </c>
      <c r="D41">
        <v>19.624231000000002</v>
      </c>
      <c r="E41">
        <v>19.602535</v>
      </c>
      <c r="F41">
        <v>35.095567000000003</v>
      </c>
      <c r="G41">
        <v>33.194046</v>
      </c>
      <c r="H41">
        <v>31.864913000000001</v>
      </c>
      <c r="I41">
        <v>27.151857</v>
      </c>
      <c r="J41">
        <v>57.082965999999999</v>
      </c>
      <c r="K41">
        <v>49.076425999999998</v>
      </c>
      <c r="L41">
        <v>89.988406999999995</v>
      </c>
      <c r="M41">
        <v>-622.48938799999996</v>
      </c>
      <c r="N41">
        <v>0.94786499999999996</v>
      </c>
      <c r="O41">
        <v>1.069788</v>
      </c>
      <c r="P41">
        <f t="shared" si="0"/>
        <v>1.579775E-5</v>
      </c>
      <c r="Q41" cm="1">
        <f t="array" ref="Q41">[1]!PropsSI("D","T",J41+273.15,"P",101325,"Water")</f>
        <v>984.67115681115786</v>
      </c>
      <c r="R41" cm="1">
        <f t="array" ref="R41">[1]!PropsSI("D","T",K41+273.15,"P",101325,"Water")</f>
        <v>988.44996883565273</v>
      </c>
      <c r="S41">
        <f t="shared" si="1"/>
        <v>986.56056282340523</v>
      </c>
      <c r="T41" cm="1">
        <f t="array" ref="T41">[1]!PropsSI("H","T",J41+273.15,"P",101325,"Water")</f>
        <v>239042.83871662922</v>
      </c>
      <c r="U41" cm="1">
        <f t="array" ref="U41">[1]!PropsSI("H","T",K41+273.15,"P",101325,"Water")</f>
        <v>205556.8314464073</v>
      </c>
      <c r="V41">
        <f t="shared" si="2"/>
        <v>521.89406108975334</v>
      </c>
      <c r="X41">
        <f t="shared" si="3"/>
        <v>0.26416593199999999</v>
      </c>
      <c r="Y41">
        <f t="shared" si="3"/>
        <v>0.24815285199999998</v>
      </c>
      <c r="Z41">
        <f t="shared" si="8"/>
        <v>0.36244099876416092</v>
      </c>
      <c r="AA41">
        <f t="shared" si="7"/>
        <v>8.0065400000000011</v>
      </c>
      <c r="AB41">
        <f t="shared" si="5"/>
        <v>4.6359492249704509E-2</v>
      </c>
      <c r="AC41">
        <f t="shared" si="6"/>
        <v>24.194743680257233</v>
      </c>
    </row>
    <row r="42" spans="1:29" x14ac:dyDescent="0.2">
      <c r="A42">
        <v>46136.869245208334</v>
      </c>
      <c r="B42">
        <v>19.8444</v>
      </c>
      <c r="C42">
        <v>19.687975999999999</v>
      </c>
      <c r="D42">
        <v>19.626432000000001</v>
      </c>
      <c r="E42">
        <v>19.592431000000001</v>
      </c>
      <c r="F42">
        <v>35.011178999999998</v>
      </c>
      <c r="G42">
        <v>33.686346999999998</v>
      </c>
      <c r="H42">
        <v>31.483803999999999</v>
      </c>
      <c r="I42">
        <v>27.350543999999999</v>
      </c>
      <c r="J42">
        <v>57.079622000000001</v>
      </c>
      <c r="K42">
        <v>49.072772999999998</v>
      </c>
      <c r="L42">
        <v>87.139977999999999</v>
      </c>
      <c r="M42">
        <v>-622.48857199999998</v>
      </c>
      <c r="N42">
        <v>0.95018899999999995</v>
      </c>
      <c r="O42">
        <v>1.5498130000000001</v>
      </c>
      <c r="P42">
        <f t="shared" si="0"/>
        <v>1.5836483333333333E-5</v>
      </c>
      <c r="Q42" cm="1">
        <f t="array" ref="Q42">[1]!PropsSI("D","T",J42+273.15,"P",101325,"Water")</f>
        <v>984.67281870013028</v>
      </c>
      <c r="R42" cm="1">
        <f t="array" ref="R42">[1]!PropsSI("D","T",K42+273.15,"P",101325,"Water")</f>
        <v>988.45159878456298</v>
      </c>
      <c r="S42">
        <f t="shared" si="1"/>
        <v>986.56220874234668</v>
      </c>
      <c r="T42" cm="1">
        <f t="array" ref="T42">[1]!PropsSI("H","T",J42+273.15,"P",101325,"Water")</f>
        <v>239028.8482827142</v>
      </c>
      <c r="U42" cm="1">
        <f t="array" ref="U42">[1]!PropsSI("H","T",K42+273.15,"P",101325,"Water")</f>
        <v>205541.55793342169</v>
      </c>
      <c r="V42">
        <f t="shared" si="2"/>
        <v>523.19457373307478</v>
      </c>
      <c r="X42">
        <f t="shared" si="3"/>
        <v>0.26415924400000002</v>
      </c>
      <c r="Y42">
        <f t="shared" si="3"/>
        <v>0.24814554599999999</v>
      </c>
      <c r="Z42">
        <f t="shared" si="8"/>
        <v>0.36243112199463451</v>
      </c>
      <c r="AA42">
        <f t="shared" si="7"/>
        <v>8.0068490000000025</v>
      </c>
      <c r="AB42">
        <f t="shared" si="5"/>
        <v>4.6356581894788078E-2</v>
      </c>
      <c r="AC42">
        <f t="shared" si="6"/>
        <v>24.25351210416602</v>
      </c>
    </row>
    <row r="43" spans="1:29" x14ac:dyDescent="0.2">
      <c r="A43">
        <v>46136.869303657404</v>
      </c>
      <c r="B43">
        <v>19.778986</v>
      </c>
      <c r="C43">
        <v>19.630099000000001</v>
      </c>
      <c r="D43">
        <v>19.601008</v>
      </c>
      <c r="E43">
        <v>19.587291</v>
      </c>
      <c r="F43">
        <v>34.958658</v>
      </c>
      <c r="G43">
        <v>33.013978000000002</v>
      </c>
      <c r="H43">
        <v>31.647403000000001</v>
      </c>
      <c r="I43">
        <v>27.128522</v>
      </c>
      <c r="J43">
        <v>57.087741999999999</v>
      </c>
      <c r="K43">
        <v>49.079602000000001</v>
      </c>
      <c r="L43">
        <v>85.628625</v>
      </c>
      <c r="M43">
        <v>-622.47551099999998</v>
      </c>
      <c r="N43">
        <v>0.94989800000000002</v>
      </c>
      <c r="O43">
        <v>1.782545</v>
      </c>
      <c r="P43">
        <f t="shared" si="0"/>
        <v>1.5831633333333333E-5</v>
      </c>
      <c r="Q43" cm="1">
        <f t="array" ref="Q43">[1]!PropsSI("D","T",J43+273.15,"P",101325,"Water")</f>
        <v>984.66878313417556</v>
      </c>
      <c r="R43" cm="1">
        <f t="array" ref="R43">[1]!PropsSI("D","T",K43+273.15,"P",101325,"Water")</f>
        <v>988.44855164967032</v>
      </c>
      <c r="S43">
        <f t="shared" si="1"/>
        <v>986.55866739192288</v>
      </c>
      <c r="T43" cm="1">
        <f t="array" ref="T43">[1]!PropsSI("H","T",J43+273.15,"P",101325,"Water")</f>
        <v>239062.82027704356</v>
      </c>
      <c r="U43" cm="1">
        <f t="array" ref="U43">[1]!PropsSI("H","T",K43+273.15,"P",101325,"Water")</f>
        <v>205570.11058350737</v>
      </c>
      <c r="V43">
        <f t="shared" si="2"/>
        <v>523.1171092186546</v>
      </c>
      <c r="X43">
        <f t="shared" si="3"/>
        <v>0.26417548400000002</v>
      </c>
      <c r="Y43">
        <f t="shared" si="3"/>
        <v>0.24815920399999999</v>
      </c>
      <c r="Z43">
        <f t="shared" si="8"/>
        <v>0.36245230979612736</v>
      </c>
      <c r="AA43">
        <f t="shared" si="7"/>
        <v>8.0081399999999974</v>
      </c>
      <c r="AB43">
        <f t="shared" si="5"/>
        <v>4.6352039968424234E-2</v>
      </c>
      <c r="AC43">
        <f t="shared" si="6"/>
        <v>24.247545154669623</v>
      </c>
    </row>
    <row r="44" spans="1:29" x14ac:dyDescent="0.2">
      <c r="A44">
        <v>46136.869362106481</v>
      </c>
      <c r="B44">
        <v>19.767841000000001</v>
      </c>
      <c r="C44">
        <v>19.654105999999999</v>
      </c>
      <c r="D44">
        <v>19.595845000000001</v>
      </c>
      <c r="E44">
        <v>19.577483000000001</v>
      </c>
      <c r="F44">
        <v>34.730946000000003</v>
      </c>
      <c r="G44">
        <v>32.665022</v>
      </c>
      <c r="H44">
        <v>31.516572</v>
      </c>
      <c r="I44">
        <v>27.4404</v>
      </c>
      <c r="J44">
        <v>57.078189000000002</v>
      </c>
      <c r="K44">
        <v>49.080554999999997</v>
      </c>
      <c r="L44">
        <v>84.133598000000006</v>
      </c>
      <c r="M44">
        <v>-622.49183700000003</v>
      </c>
      <c r="N44">
        <v>0.94640199999999997</v>
      </c>
      <c r="O44">
        <v>1.222955</v>
      </c>
      <c r="P44">
        <f t="shared" si="0"/>
        <v>1.5773366666666667E-5</v>
      </c>
      <c r="Q44" cm="1">
        <f t="array" ref="Q44">[1]!PropsSI("D","T",J44+273.15,"P",101325,"Water")</f>
        <v>984.67353084647152</v>
      </c>
      <c r="R44" cm="1">
        <f t="array" ref="R44">[1]!PropsSI("D","T",K44+273.15,"P",101325,"Water")</f>
        <v>988.44812639156476</v>
      </c>
      <c r="S44">
        <f t="shared" si="1"/>
        <v>986.56082861901814</v>
      </c>
      <c r="T44" cm="1">
        <f t="array" ref="T44">[1]!PropsSI("H","T",J44+273.15,"P",101325,"Water")</f>
        <v>239022.85298147498</v>
      </c>
      <c r="U44" cm="1">
        <f t="array" ref="U44">[1]!PropsSI("H","T",K44+273.15,"P",101325,"Water")</f>
        <v>205574.09516139745</v>
      </c>
      <c r="V44">
        <f t="shared" si="2"/>
        <v>520.50902124876461</v>
      </c>
      <c r="X44">
        <f t="shared" si="3"/>
        <v>0.26415637800000002</v>
      </c>
      <c r="Y44">
        <f t="shared" si="3"/>
        <v>0.24816110999999999</v>
      </c>
      <c r="Z44">
        <f t="shared" si="8"/>
        <v>0.36243968954090966</v>
      </c>
      <c r="AA44">
        <f t="shared" si="7"/>
        <v>7.997634000000005</v>
      </c>
      <c r="AB44">
        <f t="shared" si="5"/>
        <v>4.640855658810164E-2</v>
      </c>
      <c r="AC44">
        <f t="shared" si="6"/>
        <v>24.156072367240693</v>
      </c>
    </row>
    <row r="45" spans="1:29" x14ac:dyDescent="0.2">
      <c r="A45">
        <v>46136.869419976851</v>
      </c>
      <c r="B45">
        <v>19.779357000000001</v>
      </c>
      <c r="C45">
        <v>19.663848999999999</v>
      </c>
      <c r="D45">
        <v>19.590858999999998</v>
      </c>
      <c r="E45">
        <v>19.560119</v>
      </c>
      <c r="F45">
        <v>35.192073999999998</v>
      </c>
      <c r="G45">
        <v>33.063899999999997</v>
      </c>
      <c r="H45">
        <v>31.029126000000002</v>
      </c>
      <c r="I45">
        <v>27.25667</v>
      </c>
      <c r="J45">
        <v>57.078667000000003</v>
      </c>
      <c r="K45">
        <v>49.072772999999998</v>
      </c>
      <c r="L45">
        <v>89.219465999999997</v>
      </c>
      <c r="M45">
        <v>-622.48326599999996</v>
      </c>
      <c r="N45">
        <v>0.94614799999999999</v>
      </c>
      <c r="O45">
        <v>1.9093309999999999</v>
      </c>
      <c r="P45">
        <f t="shared" si="0"/>
        <v>1.5769133333333335E-5</v>
      </c>
      <c r="Q45" cm="1">
        <f t="array" ref="Q45">[1]!PropsSI("D","T",J45+273.15,"P",101325,"Water")</f>
        <v>984.67329330008965</v>
      </c>
      <c r="R45" cm="1">
        <f t="array" ref="R45">[1]!PropsSI("D","T",K45+273.15,"P",101325,"Water")</f>
        <v>988.45159878456298</v>
      </c>
      <c r="S45">
        <f t="shared" si="1"/>
        <v>986.56244604232631</v>
      </c>
      <c r="T45" cm="1">
        <f t="array" ref="T45">[1]!PropsSI("H","T",J45+273.15,"P",101325,"Water")</f>
        <v>239024.85280970699</v>
      </c>
      <c r="U45" cm="1">
        <f t="array" ref="U45">[1]!PropsSI("H","T",K45+273.15,"P",101325,"Water")</f>
        <v>205541.55793342169</v>
      </c>
      <c r="V45">
        <f t="shared" si="2"/>
        <v>520.90747870436826</v>
      </c>
      <c r="X45">
        <f t="shared" si="3"/>
        <v>0.26415733400000002</v>
      </c>
      <c r="Y45">
        <f t="shared" si="3"/>
        <v>0.24814554599999999</v>
      </c>
      <c r="Z45">
        <f t="shared" si="8"/>
        <v>0.36242972988653355</v>
      </c>
      <c r="AA45">
        <f t="shared" si="7"/>
        <v>8.005894000000005</v>
      </c>
      <c r="AB45">
        <f t="shared" si="5"/>
        <v>4.6361684534979013E-2</v>
      </c>
      <c r="AC45">
        <f t="shared" si="6"/>
        <v>24.150148199603219</v>
      </c>
    </row>
    <row r="46" spans="1:29" x14ac:dyDescent="0.2">
      <c r="A46">
        <v>46136.86947784722</v>
      </c>
      <c r="B46">
        <v>19.762864</v>
      </c>
      <c r="C46">
        <v>19.624932000000001</v>
      </c>
      <c r="D46">
        <v>19.604398</v>
      </c>
      <c r="E46">
        <v>19.545034999999999</v>
      </c>
      <c r="F46">
        <v>35.370472999999997</v>
      </c>
      <c r="G46">
        <v>35.023650000000004</v>
      </c>
      <c r="H46">
        <v>31.549703000000001</v>
      </c>
      <c r="I46">
        <v>27.342293000000002</v>
      </c>
      <c r="J46">
        <v>57.076756000000003</v>
      </c>
      <c r="K46">
        <v>49.078332000000003</v>
      </c>
      <c r="L46">
        <v>86.620003999999994</v>
      </c>
      <c r="M46">
        <v>-622.48326599999996</v>
      </c>
      <c r="N46">
        <v>0.95218000000000003</v>
      </c>
      <c r="O46">
        <v>1.6300380000000001</v>
      </c>
      <c r="P46">
        <f t="shared" si="0"/>
        <v>1.5869666666666668E-5</v>
      </c>
      <c r="Q46" cm="1">
        <f t="array" ref="Q46">[1]!PropsSI("D","T",J46+273.15,"P",101325,"Water")</f>
        <v>984.67424298032279</v>
      </c>
      <c r="R46" cm="1">
        <f t="array" ref="R46">[1]!PropsSI("D","T",K46+273.15,"P",101325,"Water")</f>
        <v>988.44911835359551</v>
      </c>
      <c r="S46">
        <f t="shared" si="1"/>
        <v>986.56168066695909</v>
      </c>
      <c r="T46" cm="1">
        <f t="array" ref="T46">[1]!PropsSI("H","T",J46+273.15,"P",101325,"Water")</f>
        <v>239016.85768104799</v>
      </c>
      <c r="U46" cm="1">
        <f t="array" ref="U46">[1]!PropsSI("H","T",K46+273.15,"P",101325,"Water")</f>
        <v>205564.80060078259</v>
      </c>
      <c r="V46">
        <f t="shared" si="2"/>
        <v>523.73895434362703</v>
      </c>
      <c r="X46">
        <f t="shared" si="3"/>
        <v>0.26415351200000003</v>
      </c>
      <c r="Y46">
        <f t="shared" si="3"/>
        <v>0.248156664</v>
      </c>
      <c r="Z46">
        <f t="shared" si="8"/>
        <v>0.36243455656096463</v>
      </c>
      <c r="AA46">
        <f t="shared" si="7"/>
        <v>7.998424</v>
      </c>
      <c r="AB46">
        <f t="shared" si="5"/>
        <v>4.6403559005738955E-2</v>
      </c>
      <c r="AC46">
        <f t="shared" si="6"/>
        <v>24.303351471488519</v>
      </c>
    </row>
    <row r="47" spans="1:29" x14ac:dyDescent="0.2">
      <c r="A47">
        <v>46136.869536296297</v>
      </c>
      <c r="B47">
        <v>19.760842</v>
      </c>
      <c r="C47">
        <v>19.667131999999999</v>
      </c>
      <c r="D47">
        <v>19.600657999999999</v>
      </c>
      <c r="E47">
        <v>19.558658999999999</v>
      </c>
      <c r="F47">
        <v>35.23048</v>
      </c>
      <c r="G47">
        <v>34.175711</v>
      </c>
      <c r="H47">
        <v>31.743665</v>
      </c>
      <c r="I47">
        <v>27.480194000000001</v>
      </c>
      <c r="J47">
        <v>57.078029999999998</v>
      </c>
      <c r="K47">
        <v>49.075155000000002</v>
      </c>
      <c r="L47">
        <v>86.011054999999999</v>
      </c>
      <c r="M47">
        <v>-622.493878</v>
      </c>
      <c r="N47">
        <v>0.95061899999999999</v>
      </c>
      <c r="O47">
        <v>1.4531449999999999</v>
      </c>
      <c r="P47">
        <f t="shared" si="0"/>
        <v>1.5843649999999999E-5</v>
      </c>
      <c r="Q47" cm="1">
        <f t="array" ref="Q47">[1]!PropsSI("D","T",J47+273.15,"P",101325,"Water")</f>
        <v>984.67360986263031</v>
      </c>
      <c r="R47" cm="1">
        <f t="array" ref="R47">[1]!PropsSI("D","T",K47+273.15,"P",101325,"Water")</f>
        <v>988.45053595902698</v>
      </c>
      <c r="S47">
        <f t="shared" si="1"/>
        <v>986.56207291082865</v>
      </c>
      <c r="T47" cm="1">
        <f t="array" ref="T47">[1]!PropsSI("H","T",J47+273.15,"P",101325,"Water")</f>
        <v>239022.18776665337</v>
      </c>
      <c r="U47" cm="1">
        <f t="array" ref="U47">[1]!PropsSI("H","T",K47+273.15,"P",101325,"Water")</f>
        <v>205551.51728366723</v>
      </c>
      <c r="V47">
        <f t="shared" si="2"/>
        <v>523.17148806931073</v>
      </c>
      <c r="X47">
        <f t="shared" si="3"/>
        <v>0.26415606000000003</v>
      </c>
      <c r="Y47">
        <f t="shared" si="3"/>
        <v>0.24815030999999999</v>
      </c>
      <c r="Z47">
        <f t="shared" si="8"/>
        <v>0.36243206313434762</v>
      </c>
      <c r="AA47">
        <f t="shared" si="7"/>
        <v>8.002874999999996</v>
      </c>
      <c r="AB47">
        <f t="shared" si="5"/>
        <v>4.6378645142093493E-2</v>
      </c>
      <c r="AC47">
        <f t="shared" si="6"/>
        <v>24.263984793627561</v>
      </c>
    </row>
    <row r="48" spans="1:29" x14ac:dyDescent="0.2">
      <c r="A48">
        <v>46136.869594745367</v>
      </c>
      <c r="B48">
        <v>19.724768999999998</v>
      </c>
      <c r="C48">
        <v>19.601348000000002</v>
      </c>
      <c r="D48">
        <v>19.591567999999999</v>
      </c>
      <c r="E48">
        <v>19.497509000000001</v>
      </c>
      <c r="F48">
        <v>35.606512000000002</v>
      </c>
      <c r="G48">
        <v>34.527670000000001</v>
      </c>
      <c r="H48">
        <v>31.722075</v>
      </c>
      <c r="I48">
        <v>27.773824999999999</v>
      </c>
      <c r="J48">
        <v>57.075642000000002</v>
      </c>
      <c r="K48">
        <v>49.082779000000002</v>
      </c>
      <c r="L48">
        <v>88.854994000000005</v>
      </c>
      <c r="M48">
        <v>-622.50734699999998</v>
      </c>
      <c r="N48">
        <v>0.94972100000000004</v>
      </c>
      <c r="O48">
        <v>1.2675339999999999</v>
      </c>
      <c r="P48">
        <f t="shared" si="0"/>
        <v>1.5828683333333333E-5</v>
      </c>
      <c r="Q48" cm="1">
        <f t="array" ref="Q48">[1]!PropsSI("D","T",J48+273.15,"P",101325,"Water")</f>
        <v>984.67479657751153</v>
      </c>
      <c r="R48" cm="1">
        <f t="array" ref="R48">[1]!PropsSI("D","T",K48+273.15,"P",101325,"Water")</f>
        <v>988.44713395055498</v>
      </c>
      <c r="S48">
        <f t="shared" si="1"/>
        <v>986.56096526403326</v>
      </c>
      <c r="T48" cm="1">
        <f t="array" ref="T48">[1]!PropsSI("H","T",J48+273.15,"P",101325,"Water")</f>
        <v>239012.19699444869</v>
      </c>
      <c r="U48" cm="1">
        <f t="array" ref="U48">[1]!PropsSI("H","T",K48+273.15,"P",101325,"Water")</f>
        <v>205583.39390439881</v>
      </c>
      <c r="V48">
        <f t="shared" si="2"/>
        <v>522.02288894762921</v>
      </c>
      <c r="X48">
        <f t="shared" si="3"/>
        <v>0.26415128399999999</v>
      </c>
      <c r="Y48">
        <f t="shared" si="3"/>
        <v>0.24816555800000001</v>
      </c>
      <c r="Z48">
        <f t="shared" si="8"/>
        <v>0.36243902248005799</v>
      </c>
      <c r="AA48">
        <f t="shared" si="7"/>
        <v>7.9928629999999998</v>
      </c>
      <c r="AB48">
        <f t="shared" si="5"/>
        <v>4.6434890869948731E-2</v>
      </c>
      <c r="AC48">
        <f t="shared" si="6"/>
        <v>24.240075879898527</v>
      </c>
    </row>
    <row r="49" spans="1:29" x14ac:dyDescent="0.2">
      <c r="A49">
        <v>44674.869652618101</v>
      </c>
      <c r="B49">
        <v>19.701878000000001</v>
      </c>
      <c r="C49">
        <v>19.587211</v>
      </c>
      <c r="D49">
        <v>19.593070999999998</v>
      </c>
      <c r="E49">
        <v>19.529240000000001</v>
      </c>
      <c r="F49">
        <v>35.413862000000002</v>
      </c>
      <c r="G49">
        <v>34.332695000000001</v>
      </c>
      <c r="H49">
        <v>31.182454</v>
      </c>
      <c r="I49">
        <v>27.493057</v>
      </c>
      <c r="J49">
        <v>57.080736999999999</v>
      </c>
      <c r="K49">
        <v>49.069913999999997</v>
      </c>
      <c r="L49">
        <v>85.232726999999997</v>
      </c>
      <c r="M49">
        <v>-622.50775499999997</v>
      </c>
      <c r="N49">
        <v>0.94972100000000004</v>
      </c>
      <c r="O49">
        <v>1.5411980000000001</v>
      </c>
      <c r="P49">
        <f t="shared" si="0"/>
        <v>1.5828683333333333E-5</v>
      </c>
      <c r="Q49" cm="1">
        <f t="array" ref="Q49">[1]!PropsSI("D","T",J49+273.15,"P",101325,"Water")</f>
        <v>984.67226457903348</v>
      </c>
      <c r="R49" cm="1">
        <f t="array" ref="R49">[1]!PropsSI("D","T",K49+273.15,"P",101325,"Water")</f>
        <v>988.45287439324102</v>
      </c>
      <c r="S49">
        <f t="shared" si="1"/>
        <v>986.56256948613725</v>
      </c>
      <c r="T49" cm="1">
        <f t="array" ref="T49">[1]!PropsSI("H","T",J49+273.15,"P",101325,"Water")</f>
        <v>239033.5131547364</v>
      </c>
      <c r="U49" cm="1">
        <f t="array" ref="U49">[1]!PropsSI("H","T",K49+273.15,"P",101325,"Water")</f>
        <v>205529.60420649845</v>
      </c>
      <c r="V49">
        <f t="shared" si="2"/>
        <v>523.19658986359354</v>
      </c>
      <c r="X49">
        <f t="shared" si="3"/>
        <v>0.26416147400000001</v>
      </c>
      <c r="Y49">
        <f t="shared" si="3"/>
        <v>0.24813982800000001</v>
      </c>
      <c r="Z49">
        <f t="shared" si="8"/>
        <v>0.36242883244262214</v>
      </c>
      <c r="AA49">
        <f t="shared" si="7"/>
        <v>8.010823000000002</v>
      </c>
      <c r="AB49">
        <f t="shared" si="5"/>
        <v>4.6334376692557716E-2</v>
      </c>
      <c r="AC49">
        <f t="shared" si="6"/>
        <v>24.241987879001368</v>
      </c>
    </row>
    <row r="50" spans="1:29" x14ac:dyDescent="0.2">
      <c r="A50" t="s">
        <v>19</v>
      </c>
      <c r="B50">
        <v>19.708030999999998</v>
      </c>
      <c r="C50">
        <v>19.651423999999999</v>
      </c>
      <c r="D50">
        <v>19.573277000000001</v>
      </c>
      <c r="E50">
        <v>19.576678000000001</v>
      </c>
      <c r="F50">
        <v>35.182988999999999</v>
      </c>
      <c r="G50">
        <v>33.868741999999997</v>
      </c>
      <c r="H50">
        <v>31.251411000000001</v>
      </c>
      <c r="I50">
        <v>27.227983999999999</v>
      </c>
      <c r="J50">
        <v>57.078825999999999</v>
      </c>
      <c r="K50">
        <v>49.066260999999997</v>
      </c>
      <c r="L50">
        <v>90.259005999999999</v>
      </c>
      <c r="M50">
        <v>-622.49836700000003</v>
      </c>
      <c r="N50">
        <v>0.95342199999999999</v>
      </c>
      <c r="O50">
        <v>1.4864900000000001</v>
      </c>
      <c r="P50">
        <f t="shared" si="0"/>
        <v>1.5890366666666666E-5</v>
      </c>
      <c r="Q50" cm="1">
        <f t="array" ref="Q50">[1]!PropsSI("D","T",J50+273.15,"P",101325,"Water")</f>
        <v>984.67321428330922</v>
      </c>
      <c r="R50" cm="1">
        <f t="array" ref="R50">[1]!PropsSI("D","T",K50+273.15,"P",101325,"Water")</f>
        <v>988.45450418440919</v>
      </c>
      <c r="S50">
        <f t="shared" si="1"/>
        <v>986.56385923385915</v>
      </c>
      <c r="T50" cm="1">
        <f t="array" ref="T50">[1]!PropsSI("H","T",J50+273.15,"P",101325,"Water")</f>
        <v>239025.51802456495</v>
      </c>
      <c r="U50" cm="1">
        <f t="array" ref="U50">[1]!PropsSI("H","T",K50+273.15,"P",101325,"Water")</f>
        <v>205514.33069991917</v>
      </c>
      <c r="V50">
        <f t="shared" si="2"/>
        <v>525.35024115942622</v>
      </c>
      <c r="X50">
        <f t="shared" si="3"/>
        <v>0.26415765199999997</v>
      </c>
      <c r="Y50">
        <f t="shared" si="3"/>
        <v>0.24813252199999999</v>
      </c>
      <c r="Z50">
        <f t="shared" si="8"/>
        <v>0.36242104462107821</v>
      </c>
      <c r="AA50">
        <f t="shared" si="7"/>
        <v>8.0125650000000022</v>
      </c>
      <c r="AB50">
        <f t="shared" si="5"/>
        <v>4.6323823434139183E-2</v>
      </c>
      <c r="AC50">
        <f t="shared" si="6"/>
        <v>24.336231812551699</v>
      </c>
    </row>
    <row r="51" spans="1:29" x14ac:dyDescent="0.2">
      <c r="A51">
        <v>46136.869768935183</v>
      </c>
      <c r="B51">
        <v>19.742360999999999</v>
      </c>
      <c r="C51">
        <v>19.640193</v>
      </c>
      <c r="D51">
        <v>19.576041</v>
      </c>
      <c r="E51">
        <v>19.536688999999999</v>
      </c>
      <c r="F51">
        <v>35.276048000000003</v>
      </c>
      <c r="G51">
        <v>33.991534000000001</v>
      </c>
      <c r="H51">
        <v>31.453654</v>
      </c>
      <c r="I51">
        <v>27.619845000000002</v>
      </c>
      <c r="J51">
        <v>57.082805999999998</v>
      </c>
      <c r="K51">
        <v>49.072932000000002</v>
      </c>
      <c r="L51">
        <v>84.409094999999994</v>
      </c>
      <c r="M51">
        <v>-622.50857099999996</v>
      </c>
      <c r="N51">
        <v>0.94932399999999995</v>
      </c>
      <c r="O51">
        <v>1.649011</v>
      </c>
      <c r="P51">
        <f t="shared" si="0"/>
        <v>1.5822066666666665E-5</v>
      </c>
      <c r="Q51" cm="1">
        <f t="array" ref="Q51">[1]!PropsSI("D","T",J51+273.15,"P",101325,"Water")</f>
        <v>984.67123632892515</v>
      </c>
      <c r="R51" cm="1">
        <f t="array" ref="R51">[1]!PropsSI("D","T",K51+273.15,"P",101325,"Water")</f>
        <v>988.45152784146558</v>
      </c>
      <c r="S51">
        <f t="shared" si="1"/>
        <v>986.56138208519542</v>
      </c>
      <c r="T51" cm="1">
        <f t="array" ref="T51">[1]!PropsSI("H","T",J51+273.15,"P",101325,"Water")</f>
        <v>239042.16931778102</v>
      </c>
      <c r="U51" cm="1">
        <f t="array" ref="U51">[1]!PropsSI("H","T",K51+273.15,"P",101325,"Water")</f>
        <v>205542.22272626669</v>
      </c>
      <c r="V51">
        <f t="shared" si="2"/>
        <v>522.91540492016054</v>
      </c>
      <c r="X51">
        <f t="shared" si="3"/>
        <v>0.26416561199999999</v>
      </c>
      <c r="Y51">
        <f t="shared" si="3"/>
        <v>0.24814586399999999</v>
      </c>
      <c r="Z51">
        <f t="shared" si="8"/>
        <v>0.36243598108306113</v>
      </c>
      <c r="AA51">
        <f t="shared" si="7"/>
        <v>8.0098739999999964</v>
      </c>
      <c r="AB51">
        <f t="shared" si="5"/>
        <v>4.6340482093373256E-2</v>
      </c>
      <c r="AC51">
        <f t="shared" si="6"/>
        <v>24.232151958051723</v>
      </c>
    </row>
    <row r="52" spans="1:29" x14ac:dyDescent="0.2">
      <c r="A52">
        <v>46136.86982738426</v>
      </c>
      <c r="B52">
        <v>19.72418</v>
      </c>
      <c r="C52">
        <v>19.616375999999999</v>
      </c>
      <c r="D52">
        <v>19.617522000000001</v>
      </c>
      <c r="E52">
        <v>19.596482000000002</v>
      </c>
      <c r="F52">
        <v>34.847757000000001</v>
      </c>
      <c r="G52">
        <v>32.873468000000003</v>
      </c>
      <c r="H52">
        <v>31.661729000000001</v>
      </c>
      <c r="I52">
        <v>27.335173999999999</v>
      </c>
      <c r="J52">
        <v>57.087423999999999</v>
      </c>
      <c r="K52">
        <v>49.065942999999997</v>
      </c>
      <c r="L52">
        <v>88.943152999999995</v>
      </c>
      <c r="M52">
        <v>-622.49795900000004</v>
      </c>
      <c r="N52">
        <v>0.947685</v>
      </c>
      <c r="O52">
        <v>1.129375</v>
      </c>
      <c r="P52">
        <f t="shared" si="0"/>
        <v>1.579475E-5</v>
      </c>
      <c r="Q52" cm="1">
        <f t="array" ref="Q52">[1]!PropsSI("D","T",J52+273.15,"P",101325,"Water")</f>
        <v>984.66894118482207</v>
      </c>
      <c r="R52" cm="1">
        <f t="array" ref="R52">[1]!PropsSI("D","T",K52+273.15,"P",101325,"Water")</f>
        <v>988.45464605640063</v>
      </c>
      <c r="S52">
        <f t="shared" si="1"/>
        <v>986.5617936206113</v>
      </c>
      <c r="T52" cm="1">
        <f t="array" ref="T52">[1]!PropsSI("H","T",J52+273.15,"P",101325,"Water")</f>
        <v>239061.48984626465</v>
      </c>
      <c r="U52" cm="1">
        <f t="array" ref="U52">[1]!PropsSI("H","T",K52+273.15,"P",101325,"Water")</f>
        <v>205513.00111472595</v>
      </c>
      <c r="V52">
        <f t="shared" si="2"/>
        <v>522.76922131632818</v>
      </c>
      <c r="X52">
        <f t="shared" si="3"/>
        <v>0.26417484800000002</v>
      </c>
      <c r="Y52">
        <f t="shared" si="3"/>
        <v>0.248131886</v>
      </c>
      <c r="Z52">
        <f t="shared" si="8"/>
        <v>0.36243314302880758</v>
      </c>
      <c r="AA52">
        <f t="shared" si="7"/>
        <v>8.0214810000000014</v>
      </c>
      <c r="AB52">
        <f t="shared" si="5"/>
        <v>4.6276207122395017E-2</v>
      </c>
      <c r="AC52">
        <f t="shared" si="6"/>
        <v>24.191776762847564</v>
      </c>
    </row>
    <row r="53" spans="1:29" x14ac:dyDescent="0.2">
      <c r="A53">
        <v>46136.86988583333</v>
      </c>
      <c r="B53">
        <v>19.624879</v>
      </c>
      <c r="C53">
        <v>19.571660999999999</v>
      </c>
      <c r="D53">
        <v>19.581900999999998</v>
      </c>
      <c r="E53">
        <v>19.546717999999998</v>
      </c>
      <c r="F53">
        <v>35.162295999999998</v>
      </c>
      <c r="G53">
        <v>33.607244000000001</v>
      </c>
      <c r="H53">
        <v>31.839248999999999</v>
      </c>
      <c r="I53">
        <v>27.546832999999999</v>
      </c>
      <c r="J53">
        <v>57.080100000000002</v>
      </c>
      <c r="K53">
        <v>49.054507999999998</v>
      </c>
      <c r="L53">
        <v>84.449909000000005</v>
      </c>
      <c r="M53">
        <v>-622.48489900000004</v>
      </c>
      <c r="N53">
        <v>0.94939799999999996</v>
      </c>
      <c r="O53">
        <v>1.460909</v>
      </c>
      <c r="P53">
        <f t="shared" si="0"/>
        <v>1.5823299999999998E-5</v>
      </c>
      <c r="Q53" cm="1">
        <f t="array" ref="Q53">[1]!PropsSI("D","T",J53+273.15,"P",101325,"Water")</f>
        <v>984.67258114961112</v>
      </c>
      <c r="R53" cm="1">
        <f t="array" ref="R53">[1]!PropsSI("D","T",K53+273.15,"P",101325,"Water")</f>
        <v>988.45974720182437</v>
      </c>
      <c r="S53">
        <f t="shared" si="1"/>
        <v>986.56616417571774</v>
      </c>
      <c r="T53" cm="1">
        <f t="array" ref="T53">[1]!PropsSI("H","T",J53+273.15,"P",101325,"Water")</f>
        <v>239030.84811120931</v>
      </c>
      <c r="U53" cm="1">
        <f t="array" ref="U53">[1]!PropsSI("H","T",K53+273.15,"P",101325,"Water")</f>
        <v>205465.1904220513</v>
      </c>
      <c r="V53">
        <f t="shared" si="2"/>
        <v>523.98449953215754</v>
      </c>
      <c r="X53">
        <f t="shared" si="3"/>
        <v>0.26416020000000001</v>
      </c>
      <c r="Y53">
        <f t="shared" si="3"/>
        <v>0.24810901599999999</v>
      </c>
      <c r="Z53">
        <f t="shared" si="8"/>
        <v>0.36240680882749465</v>
      </c>
      <c r="AA53">
        <f t="shared" si="7"/>
        <v>8.0255920000000032</v>
      </c>
      <c r="AB53">
        <f t="shared" si="5"/>
        <v>4.6250406279735812E-2</v>
      </c>
      <c r="AC53">
        <f t="shared" si="6"/>
        <v>24.234495987646326</v>
      </c>
    </row>
    <row r="54" spans="1:29" x14ac:dyDescent="0.2">
      <c r="A54">
        <v>46136.869943703707</v>
      </c>
      <c r="B54">
        <v>19.636479000000001</v>
      </c>
      <c r="C54">
        <v>19.560013999999999</v>
      </c>
      <c r="D54">
        <v>19.562234</v>
      </c>
      <c r="E54">
        <v>19.530716999999999</v>
      </c>
      <c r="F54">
        <v>34.925739999999998</v>
      </c>
      <c r="G54">
        <v>33.677636999999997</v>
      </c>
      <c r="H54">
        <v>31.144504000000001</v>
      </c>
      <c r="I54">
        <v>27.403721000000001</v>
      </c>
      <c r="J54">
        <v>57.082329000000001</v>
      </c>
      <c r="K54">
        <v>49.061813999999998</v>
      </c>
      <c r="L54">
        <v>87.697908999999996</v>
      </c>
      <c r="M54">
        <v>-622.49347</v>
      </c>
      <c r="N54">
        <v>0.95186899999999997</v>
      </c>
      <c r="O54">
        <v>1.853429</v>
      </c>
      <c r="P54">
        <f t="shared" si="0"/>
        <v>1.5864483333333334E-5</v>
      </c>
      <c r="Q54" cm="1">
        <f t="array" ref="Q54">[1]!PropsSI("D","T",J54+273.15,"P",101325,"Water")</f>
        <v>984.67147339034</v>
      </c>
      <c r="R54" cm="1">
        <f t="array" ref="R54">[1]!PropsSI("D","T",K54+273.15,"P",101325,"Water")</f>
        <v>988.45648810038324</v>
      </c>
      <c r="S54">
        <f t="shared" si="1"/>
        <v>986.56398074536162</v>
      </c>
      <c r="T54" cm="1">
        <f t="array" ref="T54">[1]!PropsSI("H","T",J54+273.15,"P",101325,"Water")</f>
        <v>239040.17367251505</v>
      </c>
      <c r="U54" cm="1">
        <f t="array" ref="U54">[1]!PropsSI("H","T",K54+273.15,"P",101325,"Water")</f>
        <v>205495.73741590479</v>
      </c>
      <c r="V54">
        <f t="shared" si="2"/>
        <v>525.01496871809604</v>
      </c>
      <c r="X54">
        <f t="shared" si="3"/>
        <v>0.264164658</v>
      </c>
      <c r="Y54">
        <f t="shared" si="3"/>
        <v>0.24812362799999998</v>
      </c>
      <c r="Z54">
        <f t="shared" si="8"/>
        <v>0.36242006195592891</v>
      </c>
      <c r="AA54">
        <f t="shared" si="7"/>
        <v>8.0205150000000032</v>
      </c>
      <c r="AB54">
        <f t="shared" si="5"/>
        <v>4.6279928006615997E-2</v>
      </c>
      <c r="AC54">
        <f t="shared" si="6"/>
        <v>24.297654954669234</v>
      </c>
    </row>
    <row r="55" spans="1:29" x14ac:dyDescent="0.2">
      <c r="A55">
        <v>46136.870002152777</v>
      </c>
      <c r="B55">
        <v>19.679622999999999</v>
      </c>
      <c r="C55">
        <v>19.627216000000001</v>
      </c>
      <c r="D55">
        <v>19.605270999999998</v>
      </c>
      <c r="E55">
        <v>19.609241000000001</v>
      </c>
      <c r="F55">
        <v>34.919502000000001</v>
      </c>
      <c r="G55">
        <v>33.452644999999997</v>
      </c>
      <c r="H55">
        <v>31.745546999999998</v>
      </c>
      <c r="I55">
        <v>26.907160000000001</v>
      </c>
      <c r="J55">
        <v>57.081851</v>
      </c>
      <c r="K55">
        <v>49.055619999999998</v>
      </c>
      <c r="L55">
        <v>85.857185000000001</v>
      </c>
      <c r="M55">
        <v>-622.51714200000004</v>
      </c>
      <c r="N55">
        <v>0.952098</v>
      </c>
      <c r="O55">
        <v>1.7977810000000001</v>
      </c>
      <c r="P55">
        <f t="shared" si="0"/>
        <v>1.5868300000000002E-5</v>
      </c>
      <c r="Q55" cm="1">
        <f t="array" ref="Q55">[1]!PropsSI("D","T",J55+273.15,"P",101325,"Water")</f>
        <v>984.67171094737046</v>
      </c>
      <c r="R55" cm="1">
        <f t="array" ref="R55">[1]!PropsSI("D","T",K55+273.15,"P",101325,"Water")</f>
        <v>988.45925117745935</v>
      </c>
      <c r="S55">
        <f t="shared" si="1"/>
        <v>986.56548106241485</v>
      </c>
      <c r="T55" cm="1">
        <f t="array" ref="T55">[1]!PropsSI("H","T",J55+273.15,"P",101325,"Water")</f>
        <v>239038.17384353952</v>
      </c>
      <c r="U55" cm="1">
        <f t="array" ref="U55">[1]!PropsSI("H","T",K55+273.15,"P",101325,"Water")</f>
        <v>205469.83978565066</v>
      </c>
      <c r="V55">
        <f t="shared" si="2"/>
        <v>525.51619794819749</v>
      </c>
      <c r="X55">
        <f t="shared" si="3"/>
        <v>0.264163702</v>
      </c>
      <c r="Y55">
        <f t="shared" si="3"/>
        <v>0.24811124000000001</v>
      </c>
      <c r="Z55">
        <f t="shared" si="8"/>
        <v>0.36241088403727945</v>
      </c>
      <c r="AA55">
        <f t="shared" si="7"/>
        <v>8.0262310000000028</v>
      </c>
      <c r="AB55">
        <f t="shared" si="5"/>
        <v>4.6247391969907653E-2</v>
      </c>
      <c r="AC55">
        <f t="shared" si="6"/>
        <v>24.303753593045869</v>
      </c>
    </row>
    <row r="56" spans="1:29" x14ac:dyDescent="0.2">
      <c r="A56">
        <v>46136.870060023146</v>
      </c>
      <c r="B56">
        <v>19.762039999999999</v>
      </c>
      <c r="C56">
        <v>19.665524000000001</v>
      </c>
      <c r="D56">
        <v>19.635853999999998</v>
      </c>
      <c r="E56">
        <v>19.581890000000001</v>
      </c>
      <c r="F56">
        <v>34.943162999999998</v>
      </c>
      <c r="G56">
        <v>33.423971999999999</v>
      </c>
      <c r="H56">
        <v>31.937079000000001</v>
      </c>
      <c r="I56">
        <v>27.458966</v>
      </c>
      <c r="J56">
        <v>57.083920999999997</v>
      </c>
      <c r="K56">
        <v>49.050854999999999</v>
      </c>
      <c r="L56">
        <v>85.414349999999999</v>
      </c>
      <c r="M56">
        <v>-622.50367300000005</v>
      </c>
      <c r="N56">
        <v>0.94995499999999999</v>
      </c>
      <c r="O56">
        <v>1.5402830000000001</v>
      </c>
      <c r="P56">
        <f t="shared" si="0"/>
        <v>1.5832583333333335E-5</v>
      </c>
      <c r="Q56" cm="1">
        <f t="array" ref="Q56">[1]!PropsSI("D","T",J56+273.15,"P",101325,"Water")</f>
        <v>984.67068218625502</v>
      </c>
      <c r="R56" cm="1">
        <f t="array" ref="R56">[1]!PropsSI("D","T",K56+273.15,"P",101325,"Water")</f>
        <v>988.46137661977116</v>
      </c>
      <c r="S56">
        <f t="shared" si="1"/>
        <v>986.56602940301309</v>
      </c>
      <c r="T56" cm="1">
        <f t="array" ref="T56">[1]!PropsSI("H","T",J56+273.15,"P",101325,"Water")</f>
        <v>239046.83419124794</v>
      </c>
      <c r="U56" cm="1">
        <f t="array" ref="U56">[1]!PropsSI("H","T",K56+273.15,"P",101325,"Water")</f>
        <v>205449.91693049954</v>
      </c>
      <c r="V56">
        <f t="shared" si="2"/>
        <v>524.78011413392335</v>
      </c>
      <c r="X56">
        <f t="shared" ref="X56:Y109" si="9">(0.15+0.002*ABS(J56))</f>
        <v>0.26416784199999999</v>
      </c>
      <c r="Y56">
        <f t="shared" si="9"/>
        <v>0.24810170999999998</v>
      </c>
      <c r="Z56">
        <f t="shared" si="8"/>
        <v>0.3624073774799032</v>
      </c>
      <c r="AA56">
        <f t="shared" si="7"/>
        <v>8.033065999999998</v>
      </c>
      <c r="AB56">
        <f t="shared" si="5"/>
        <v>4.6209456369868063E-2</v>
      </c>
      <c r="AC56">
        <f t="shared" si="6"/>
        <v>24.249803787845913</v>
      </c>
    </row>
    <row r="57" spans="1:29" x14ac:dyDescent="0.2">
      <c r="A57">
        <v>46136.870117893515</v>
      </c>
      <c r="B57">
        <v>19.749759999999998</v>
      </c>
      <c r="C57">
        <v>19.656665</v>
      </c>
      <c r="D57">
        <v>19.700963999999999</v>
      </c>
      <c r="E57">
        <v>19.593630999999998</v>
      </c>
      <c r="F57">
        <v>35.163009000000002</v>
      </c>
      <c r="G57">
        <v>33.831290000000003</v>
      </c>
      <c r="H57">
        <v>31.835180000000001</v>
      </c>
      <c r="I57">
        <v>26.852831999999999</v>
      </c>
      <c r="J57">
        <v>57.08822</v>
      </c>
      <c r="K57">
        <v>49.062131999999998</v>
      </c>
      <c r="L57">
        <v>86.484909000000002</v>
      </c>
      <c r="M57">
        <v>-622.48326599999996</v>
      </c>
      <c r="N57">
        <v>0.95054099999999997</v>
      </c>
      <c r="O57">
        <v>1.6634979999999999</v>
      </c>
      <c r="P57">
        <f t="shared" si="0"/>
        <v>1.5842349999999999E-5</v>
      </c>
      <c r="Q57" cm="1">
        <f t="array" ref="Q57">[1]!PropsSI("D","T",J57+273.15,"P",101325,"Water")</f>
        <v>984.66854556004728</v>
      </c>
      <c r="R57" cm="1">
        <f t="array" ref="R57">[1]!PropsSI("D","T",K57+273.15,"P",101325,"Water")</f>
        <v>988.45634623713806</v>
      </c>
      <c r="S57">
        <f t="shared" si="1"/>
        <v>986.56244589859261</v>
      </c>
      <c r="T57" cm="1">
        <f t="array" ref="T57">[1]!PropsSI("H","T",J57+273.15,"P",101325,"Water")</f>
        <v>239064.82010707573</v>
      </c>
      <c r="U57" cm="1">
        <f t="array" ref="U57">[1]!PropsSI("H","T",K57+273.15,"P",101325,"Water")</f>
        <v>205497.06700072341</v>
      </c>
      <c r="V57">
        <f t="shared" si="2"/>
        <v>524.64610839832926</v>
      </c>
      <c r="X57">
        <f t="shared" si="9"/>
        <v>0.26417644000000001</v>
      </c>
      <c r="Y57">
        <f t="shared" si="9"/>
        <v>0.24812426399999998</v>
      </c>
      <c r="Z57">
        <f t="shared" si="8"/>
        <v>0.36242908525201906</v>
      </c>
      <c r="AA57">
        <f t="shared" si="7"/>
        <v>8.0260880000000014</v>
      </c>
      <c r="AB57">
        <f t="shared" si="5"/>
        <v>4.6250391542525179E-2</v>
      </c>
      <c r="AC57">
        <f t="shared" si="6"/>
        <v>24.265087934684836</v>
      </c>
    </row>
    <row r="58" spans="1:29" x14ac:dyDescent="0.2">
      <c r="A58">
        <v>46136.870175763892</v>
      </c>
      <c r="B58">
        <v>19.786728</v>
      </c>
      <c r="C58">
        <v>19.6935</v>
      </c>
      <c r="D58">
        <v>19.673055999999999</v>
      </c>
      <c r="E58">
        <v>19.625249</v>
      </c>
      <c r="F58">
        <v>35.266480999999999</v>
      </c>
      <c r="G58">
        <v>32.773190999999997</v>
      </c>
      <c r="H58">
        <v>31.528535999999999</v>
      </c>
      <c r="I58">
        <v>27.724817000000002</v>
      </c>
      <c r="J58">
        <v>57.092517999999998</v>
      </c>
      <c r="K58">
        <v>49.064672999999999</v>
      </c>
      <c r="L58">
        <v>88.338285999999997</v>
      </c>
      <c r="M58">
        <v>-622.50040799999999</v>
      </c>
      <c r="N58">
        <v>0.95096700000000001</v>
      </c>
      <c r="O58">
        <v>1.43984</v>
      </c>
      <c r="P58">
        <f t="shared" si="0"/>
        <v>1.5849450000000001E-5</v>
      </c>
      <c r="Q58" cm="1">
        <f t="array" ref="Q58">[1]!PropsSI("D","T",J58+273.15,"P",101325,"Water")</f>
        <v>984.66640931862298</v>
      </c>
      <c r="R58" cm="1">
        <f t="array" ref="R58">[1]!PropsSI("D","T",K58+273.15,"P",101325,"Water")</f>
        <v>988.45521264527713</v>
      </c>
      <c r="S58">
        <f t="shared" si="1"/>
        <v>986.56081098195</v>
      </c>
      <c r="T58" cm="1">
        <f t="array" ref="T58">[1]!PropsSI("H","T",J58+273.15,"P",101325,"Water")</f>
        <v>239082.801846416</v>
      </c>
      <c r="U58" cm="1">
        <f t="array" ref="U58">[1]!PropsSI("H","T",K58+273.15,"P",101325,"Water")</f>
        <v>205507.69113669285</v>
      </c>
      <c r="V58">
        <f t="shared" si="2"/>
        <v>524.99541380325468</v>
      </c>
      <c r="X58">
        <f t="shared" si="9"/>
        <v>0.26418503599999998</v>
      </c>
      <c r="Y58">
        <f t="shared" si="9"/>
        <v>0.248129346</v>
      </c>
      <c r="Z58">
        <f t="shared" si="8"/>
        <v>0.36243883013925121</v>
      </c>
      <c r="AA58">
        <f t="shared" si="7"/>
        <v>8.0278449999999992</v>
      </c>
      <c r="AB58">
        <f t="shared" si="5"/>
        <v>4.6241927457157175E-2</v>
      </c>
      <c r="AC58">
        <f t="shared" si="6"/>
        <v>24.276799840430314</v>
      </c>
    </row>
    <row r="59" spans="1:29" x14ac:dyDescent="0.2">
      <c r="A59">
        <v>46136.870233634261</v>
      </c>
      <c r="B59">
        <v>19.787970000000001</v>
      </c>
      <c r="C59">
        <v>19.687297999999998</v>
      </c>
      <c r="D59">
        <v>19.665925000000001</v>
      </c>
      <c r="E59">
        <v>19.591000999999999</v>
      </c>
      <c r="F59">
        <v>34.780177999999999</v>
      </c>
      <c r="G59">
        <v>33.173878000000002</v>
      </c>
      <c r="H59">
        <v>31.820891</v>
      </c>
      <c r="I59">
        <v>27.475809000000002</v>
      </c>
      <c r="J59">
        <v>57.094428999999998</v>
      </c>
      <c r="K59">
        <v>49.063243</v>
      </c>
      <c r="L59">
        <v>87.543222999999998</v>
      </c>
      <c r="M59">
        <v>-622.51591800000006</v>
      </c>
      <c r="N59">
        <v>0.94697600000000004</v>
      </c>
      <c r="O59">
        <v>1.8963810000000001</v>
      </c>
      <c r="P59">
        <f t="shared" si="0"/>
        <v>1.5782933333333334E-5</v>
      </c>
      <c r="Q59" cm="1">
        <f t="array" ref="Q59">[1]!PropsSI("D","T",J59+273.15,"P",101325,"Water")</f>
        <v>984.66545945534347</v>
      </c>
      <c r="R59" cm="1">
        <f t="array" ref="R59">[1]!PropsSI("D","T",K59+273.15,"P",101325,"Water")</f>
        <v>988.45585060268741</v>
      </c>
      <c r="S59">
        <f t="shared" si="1"/>
        <v>986.56065502901538</v>
      </c>
      <c r="T59" cm="1">
        <f t="array" ref="T59">[1]!PropsSI("H","T",J59+273.15,"P",101325,"Water")</f>
        <v>239090.79698696343</v>
      </c>
      <c r="U59" cm="1">
        <f t="array" ref="U59">[1]!PropsSI("H","T",K59+273.15,"P",101325,"Water")</f>
        <v>205501.71218544134</v>
      </c>
      <c r="V59">
        <f t="shared" si="2"/>
        <v>523.00962859758511</v>
      </c>
      <c r="X59">
        <f t="shared" si="9"/>
        <v>0.26418885800000003</v>
      </c>
      <c r="Y59">
        <f t="shared" si="9"/>
        <v>0.24812648599999998</v>
      </c>
      <c r="Z59">
        <f t="shared" si="8"/>
        <v>0.36243965807573036</v>
      </c>
      <c r="AA59">
        <f t="shared" si="7"/>
        <v>8.0311859999999982</v>
      </c>
      <c r="AB59">
        <f t="shared" si="5"/>
        <v>4.6223691112957939E-2</v>
      </c>
      <c r="AC59">
        <f t="shared" si="6"/>
        <v>24.175435521397628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0E82E-7E3B-5240-80E2-922742BB1500}">
  <dimension ref="A1:AC41"/>
  <sheetViews>
    <sheetView topLeftCell="N1" workbookViewId="0">
      <selection activeCell="W4" sqref="W4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23" max="23" width="33.83203125" customWidth="1"/>
    <col min="24" max="24" width="12.33203125" customWidth="1"/>
    <col min="25" max="25" width="12.83203125" customWidth="1"/>
    <col min="26" max="26" width="12" customWidth="1"/>
  </cols>
  <sheetData>
    <row r="1" spans="1:2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25</v>
      </c>
      <c r="U1" s="3" t="s">
        <v>26</v>
      </c>
      <c r="V1" s="3" t="s">
        <v>27</v>
      </c>
      <c r="W1" s="3" t="s">
        <v>28</v>
      </c>
      <c r="X1" s="3" t="s">
        <v>29</v>
      </c>
      <c r="Y1" s="3" t="s">
        <v>30</v>
      </c>
      <c r="Z1" s="3" t="s">
        <v>31</v>
      </c>
      <c r="AA1" s="3" t="s">
        <v>32</v>
      </c>
      <c r="AB1" s="3" t="s">
        <v>33</v>
      </c>
      <c r="AC1" s="3" t="s">
        <v>34</v>
      </c>
    </row>
    <row r="2" spans="1:29" x14ac:dyDescent="0.2">
      <c r="A2">
        <v>44674.871495789397</v>
      </c>
      <c r="B2">
        <v>19.901142</v>
      </c>
      <c r="C2">
        <v>19.830192</v>
      </c>
      <c r="D2">
        <v>19.651373</v>
      </c>
      <c r="E2">
        <v>19.565664999999999</v>
      </c>
      <c r="F2">
        <v>33.521788000000001</v>
      </c>
      <c r="G2">
        <v>31.420027000000001</v>
      </c>
      <c r="H2">
        <v>29.534241999999999</v>
      </c>
      <c r="I2">
        <v>25.550270000000001</v>
      </c>
      <c r="J2">
        <v>57.102549000000003</v>
      </c>
      <c r="K2">
        <v>48.060906000000003</v>
      </c>
      <c r="L2">
        <v>140.72749899999999</v>
      </c>
      <c r="M2">
        <v>-622.512652</v>
      </c>
      <c r="N2">
        <v>0.95450000000000002</v>
      </c>
      <c r="O2">
        <v>1.610951</v>
      </c>
      <c r="P2">
        <f t="shared" ref="P2:P65" si="0" xml:space="preserve"> N2*0.001/60</f>
        <v>1.5908333333333335E-5</v>
      </c>
      <c r="Q2" cm="1">
        <f t="array" ref="Q2">[1]!PropsSI("D","T",J2+273.15,"P",101325,"Water")</f>
        <v>984.66142315882757</v>
      </c>
      <c r="R2" cm="1">
        <f t="array" ref="R2">[1]!PropsSI("D","T",K2+273.15,"P",101325,"Water")</f>
        <v>988.89966803819027</v>
      </c>
      <c r="S2">
        <f t="shared" ref="S2:S65" si="1">(Q2+R2)/2</f>
        <v>986.78054559850898</v>
      </c>
      <c r="T2" cm="1">
        <f t="array" ref="T2">[1]!PropsSI("H","T",J2+273.15,"P",101325,"Water")</f>
        <v>239124.76902855077</v>
      </c>
      <c r="U2" cm="1">
        <f t="array" ref="U2">[1]!PropsSI("H","T",K2+273.15,"P",101325,"Water")</f>
        <v>201310.98788992368</v>
      </c>
      <c r="V2">
        <f t="shared" ref="V2:V65" si="2">S2*P2*(T2-U2)</f>
        <v>593.60201616808706</v>
      </c>
      <c r="W2" s="3">
        <f>AVERAGE(V2:V41)</f>
        <v>592.95148082002788</v>
      </c>
      <c r="X2">
        <f>(0.15+0.002*ABS(J2))</f>
        <v>0.26420509800000003</v>
      </c>
      <c r="Y2">
        <f>(0.15+0.002*ABS(K2))</f>
        <v>0.246121812</v>
      </c>
      <c r="Z2">
        <f>SQRT((X2)^2 + (Y2)^2)</f>
        <v>0.36108209613791842</v>
      </c>
      <c r="AA2">
        <f>J2-K2</f>
        <v>9.0416430000000005</v>
      </c>
      <c r="AB2">
        <f>SQRT((0.01)^2 + (Z2/ABS(AA2))^2)</f>
        <v>4.1168438057373719E-2</v>
      </c>
      <c r="AC2">
        <f>ABS(V2*AB2)</f>
        <v>24.437667833348044</v>
      </c>
    </row>
    <row r="3" spans="1:29" x14ac:dyDescent="0.2">
      <c r="A3">
        <v>44674.871553659803</v>
      </c>
      <c r="B3">
        <v>19.992739</v>
      </c>
      <c r="C3">
        <v>19.902678999999999</v>
      </c>
      <c r="D3">
        <v>19.631779000000002</v>
      </c>
      <c r="E3">
        <v>19.575597999999999</v>
      </c>
      <c r="F3">
        <v>33.802684999999997</v>
      </c>
      <c r="G3">
        <v>32.451487999999998</v>
      </c>
      <c r="H3">
        <v>29.252808000000002</v>
      </c>
      <c r="I3">
        <v>25.766629999999999</v>
      </c>
      <c r="J3">
        <v>57.111941999999999</v>
      </c>
      <c r="K3">
        <v>48.065987</v>
      </c>
      <c r="L3">
        <v>140.44098299999999</v>
      </c>
      <c r="M3">
        <v>-622.50204099999996</v>
      </c>
      <c r="N3">
        <v>0.95207399999999998</v>
      </c>
      <c r="O3">
        <v>2.2041520000000001</v>
      </c>
      <c r="P3">
        <f t="shared" si="0"/>
        <v>1.5867900000000001E-5</v>
      </c>
      <c r="Q3" cm="1">
        <f t="array" ref="Q3">[1]!PropsSI("D","T",J3+273.15,"P",101325,"Water")</f>
        <v>984.65675357869782</v>
      </c>
      <c r="R3" cm="1">
        <f t="array" ref="R3">[1]!PropsSI("D","T",K3+273.15,"P",101325,"Water")</f>
        <v>988.89743519392061</v>
      </c>
      <c r="S3">
        <f t="shared" si="1"/>
        <v>986.77709438630927</v>
      </c>
      <c r="T3" cm="1">
        <f t="array" ref="T3">[1]!PropsSI("H","T",J3+273.15,"P",101325,"Water")</f>
        <v>239164.06701498764</v>
      </c>
      <c r="U3" cm="1">
        <f t="array" ref="U3">[1]!PropsSI("H","T",K3+273.15,"P",101325,"Water")</f>
        <v>201332.23066553302</v>
      </c>
      <c r="V3">
        <f t="shared" si="2"/>
        <v>592.3739297920921</v>
      </c>
      <c r="W3" s="3" t="s">
        <v>35</v>
      </c>
      <c r="X3">
        <f t="shared" ref="X3:Y55" si="3">(0.15+0.002*ABS(J3))</f>
        <v>0.26422388399999996</v>
      </c>
      <c r="Y3">
        <f t="shared" si="3"/>
        <v>0.24613197399999998</v>
      </c>
      <c r="Z3">
        <f t="shared" ref="Z3:Z55" si="4">SQRT((X3)^2 + (Y3)^2)</f>
        <v>0.36110276861467305</v>
      </c>
      <c r="AA3">
        <f>J3-K3</f>
        <v>9.0459549999999993</v>
      </c>
      <c r="AB3">
        <f t="shared" ref="AB3:AB66" si="5">SQRT((0.01)^2 + (Z3/ABS(AA3))^2)</f>
        <v>4.1152188904927375E-2</v>
      </c>
      <c r="AC3">
        <f t="shared" ref="AC3:AC66" si="6">ABS(V3*AB3)</f>
        <v>24.37748386115836</v>
      </c>
    </row>
    <row r="4" spans="1:29" x14ac:dyDescent="0.2">
      <c r="A4">
        <v>44674.871611530099</v>
      </c>
      <c r="B4">
        <v>19.935683999999998</v>
      </c>
      <c r="C4">
        <v>19.843077999999998</v>
      </c>
      <c r="D4">
        <v>19.693480999999998</v>
      </c>
      <c r="E4">
        <v>19.590675999999998</v>
      </c>
      <c r="F4">
        <v>33.562448000000003</v>
      </c>
      <c r="G4">
        <v>32.303021000000001</v>
      </c>
      <c r="H4">
        <v>29.329146000000001</v>
      </c>
      <c r="I4">
        <v>25.737417000000001</v>
      </c>
      <c r="J4">
        <v>57.116081999999999</v>
      </c>
      <c r="K4">
        <v>48.064081000000002</v>
      </c>
      <c r="L4">
        <v>138.112528</v>
      </c>
      <c r="M4">
        <v>-622.50571400000001</v>
      </c>
      <c r="N4">
        <v>0.95269599999999999</v>
      </c>
      <c r="O4">
        <v>1.7982640000000001</v>
      </c>
      <c r="P4">
        <f t="shared" si="0"/>
        <v>1.5878266666666667E-5</v>
      </c>
      <c r="Q4" cm="1">
        <f t="array" ref="Q4">[1]!PropsSI("D","T",J4+273.15,"P",101325,"Water")</f>
        <v>984.65469527355435</v>
      </c>
      <c r="R4" cm="1">
        <f t="array" ref="R4">[1]!PropsSI("D","T",K4+273.15,"P",101325,"Water")</f>
        <v>988.89827280549309</v>
      </c>
      <c r="S4">
        <f t="shared" si="1"/>
        <v>986.77648403952367</v>
      </c>
      <c r="T4" cm="1">
        <f t="array" ref="T4">[1]!PropsSI("H","T",J4+273.15,"P",101325,"Water")</f>
        <v>239181.38776099411</v>
      </c>
      <c r="U4" cm="1">
        <f t="array" ref="U4">[1]!PropsSI("H","T",K4+273.15,"P",101325,"Water")</f>
        <v>201324.26201091823</v>
      </c>
      <c r="V4">
        <f t="shared" si="2"/>
        <v>593.15680921897626</v>
      </c>
      <c r="W4" s="3">
        <f>SQRT((AVERAGE(AC2:AC41))^2 + (_xlfn.STDEV.S(V2:V41)/SQRT(COUNT(V2:V41)))^2)</f>
        <v>24.314658017099326</v>
      </c>
      <c r="X4">
        <f t="shared" si="3"/>
        <v>0.26423216399999999</v>
      </c>
      <c r="Y4">
        <f t="shared" si="3"/>
        <v>0.24612816199999998</v>
      </c>
      <c r="Z4">
        <f t="shared" si="4"/>
        <v>0.36110622899864397</v>
      </c>
      <c r="AA4">
        <f t="shared" ref="AA4:AA67" si="7">J4-K4</f>
        <v>9.0520009999999971</v>
      </c>
      <c r="AB4">
        <f t="shared" si="5"/>
        <v>4.1126696952771206E-2</v>
      </c>
      <c r="AC4">
        <f t="shared" si="6"/>
        <v>24.394580338221562</v>
      </c>
    </row>
    <row r="5" spans="1:29" x14ac:dyDescent="0.2">
      <c r="A5">
        <v>44674.871669979198</v>
      </c>
      <c r="B5">
        <v>20.019193999999999</v>
      </c>
      <c r="C5">
        <v>19.876657999999999</v>
      </c>
      <c r="D5">
        <v>19.771871000000001</v>
      </c>
      <c r="E5">
        <v>19.664771999999999</v>
      </c>
      <c r="F5">
        <v>33.876959999999997</v>
      </c>
      <c r="G5">
        <v>32.086084999999997</v>
      </c>
      <c r="H5">
        <v>29.057586000000001</v>
      </c>
      <c r="I5">
        <v>25.547307</v>
      </c>
      <c r="J5">
        <v>57.113374999999998</v>
      </c>
      <c r="K5">
        <v>48.072178999999998</v>
      </c>
      <c r="L5">
        <v>135.99875599999999</v>
      </c>
      <c r="M5">
        <v>-622.48775599999999</v>
      </c>
      <c r="N5">
        <v>0.95226599999999995</v>
      </c>
      <c r="O5">
        <v>1.8545339999999999</v>
      </c>
      <c r="P5">
        <f t="shared" si="0"/>
        <v>1.5871100000000001E-5</v>
      </c>
      <c r="Q5" cm="1">
        <f t="array" ref="Q5">[1]!PropsSI("D","T",J5+273.15,"P",101325,"Water")</f>
        <v>984.65604113849508</v>
      </c>
      <c r="R5" cm="1">
        <f t="array" ref="R5">[1]!PropsSI("D","T",K5+273.15,"P",101325,"Water")</f>
        <v>988.89471388673883</v>
      </c>
      <c r="S5">
        <f t="shared" si="1"/>
        <v>986.77537751261696</v>
      </c>
      <c r="T5" cm="1">
        <f t="array" ref="T5">[1]!PropsSI("H","T",J5+273.15,"P",101325,"Water")</f>
        <v>239170.06233522447</v>
      </c>
      <c r="U5" cm="1">
        <f t="array" ref="U5">[1]!PropsSI("H","T",K5+273.15,"P",101325,"Water")</f>
        <v>201358.11834725668</v>
      </c>
      <c r="V5">
        <f t="shared" si="2"/>
        <v>592.18082154682156</v>
      </c>
      <c r="W5" s="3"/>
      <c r="X5">
        <f t="shared" si="3"/>
        <v>0.26422675000000001</v>
      </c>
      <c r="Y5">
        <f t="shared" si="3"/>
        <v>0.24614435800000001</v>
      </c>
      <c r="Z5">
        <f t="shared" si="4"/>
        <v>0.361113306859211</v>
      </c>
      <c r="AA5">
        <f t="shared" si="7"/>
        <v>9.0411959999999993</v>
      </c>
      <c r="AB5">
        <f t="shared" si="5"/>
        <v>4.1173702036360837E-2</v>
      </c>
      <c r="AC5">
        <f t="shared" si="6"/>
        <v>24.382276698016202</v>
      </c>
    </row>
    <row r="6" spans="1:29" x14ac:dyDescent="0.2">
      <c r="A6">
        <v>46136.871728425926</v>
      </c>
      <c r="B6">
        <v>20.065836000000001</v>
      </c>
      <c r="C6">
        <v>19.900386000000001</v>
      </c>
      <c r="D6">
        <v>19.746829999999999</v>
      </c>
      <c r="E6">
        <v>19.671074999999998</v>
      </c>
      <c r="F6">
        <v>33.558537999999999</v>
      </c>
      <c r="G6">
        <v>30.660415</v>
      </c>
      <c r="H6">
        <v>28.800249999999998</v>
      </c>
      <c r="I6">
        <v>25.624727</v>
      </c>
      <c r="J6">
        <v>57.111941999999999</v>
      </c>
      <c r="K6">
        <v>48.076307</v>
      </c>
      <c r="L6">
        <v>146.38640000000001</v>
      </c>
      <c r="M6">
        <v>-622.49020499999995</v>
      </c>
      <c r="N6">
        <v>0.95070100000000002</v>
      </c>
      <c r="O6">
        <v>2.014335</v>
      </c>
      <c r="P6">
        <f t="shared" si="0"/>
        <v>1.5845016666666668E-5</v>
      </c>
      <c r="Q6" cm="1">
        <f t="array" ref="Q6">[1]!PropsSI("D","T",J6+273.15,"P",101325,"Water")</f>
        <v>984.65675357869782</v>
      </c>
      <c r="R6" cm="1">
        <f t="array" ref="R6">[1]!PropsSI("D","T",K6+273.15,"P",101325,"Water")</f>
        <v>988.8928995390213</v>
      </c>
      <c r="S6">
        <f t="shared" si="1"/>
        <v>986.77482655885956</v>
      </c>
      <c r="T6" cm="1">
        <f t="array" ref="T6">[1]!PropsSI("H","T",J6+273.15,"P",101325,"Water")</f>
        <v>239164.06701498764</v>
      </c>
      <c r="U6" cm="1">
        <f t="array" ref="U6">[1]!PropsSI("H","T",K6+273.15,"P",101325,"Water")</f>
        <v>201375.37680707377</v>
      </c>
      <c r="V6">
        <f t="shared" si="2"/>
        <v>590.84368921994894</v>
      </c>
      <c r="W6" s="3"/>
      <c r="X6">
        <f t="shared" si="3"/>
        <v>0.26422388399999996</v>
      </c>
      <c r="Y6">
        <f t="shared" si="3"/>
        <v>0.24615261399999999</v>
      </c>
      <c r="Z6">
        <f t="shared" si="4"/>
        <v>0.36111683740180051</v>
      </c>
      <c r="AA6">
        <f t="shared" si="7"/>
        <v>9.0356349999999992</v>
      </c>
      <c r="AB6">
        <f t="shared" si="5"/>
        <v>4.1197927188018041E-2</v>
      </c>
      <c r="AC6">
        <f t="shared" si="6"/>
        <v>24.341535287983415</v>
      </c>
    </row>
    <row r="7" spans="1:29" x14ac:dyDescent="0.2">
      <c r="A7">
        <v>46136.871786296295</v>
      </c>
      <c r="B7">
        <v>19.997378000000001</v>
      </c>
      <c r="C7">
        <v>19.919357000000002</v>
      </c>
      <c r="D7">
        <v>19.726089000000002</v>
      </c>
      <c r="E7">
        <v>19.661833999999999</v>
      </c>
      <c r="F7">
        <v>33.828232999999997</v>
      </c>
      <c r="G7">
        <v>33.167985000000002</v>
      </c>
      <c r="H7">
        <v>28.865953999999999</v>
      </c>
      <c r="I7">
        <v>25.218216999999999</v>
      </c>
      <c r="J7">
        <v>57.118152000000002</v>
      </c>
      <c r="K7">
        <v>48.071544000000003</v>
      </c>
      <c r="L7">
        <v>139.377363</v>
      </c>
      <c r="M7">
        <v>-622.48653100000001</v>
      </c>
      <c r="N7">
        <v>0.951631</v>
      </c>
      <c r="O7">
        <v>1.5003550000000001</v>
      </c>
      <c r="P7">
        <f t="shared" si="0"/>
        <v>1.5860516666666665E-5</v>
      </c>
      <c r="Q7" cm="1">
        <f t="array" ref="Q7">[1]!PropsSI("D","T",J7+273.15,"P",101325,"Water")</f>
        <v>984.65366608193767</v>
      </c>
      <c r="R7" cm="1">
        <f t="array" ref="R7">[1]!PropsSI("D","T",K7+273.15,"P",101325,"Water")</f>
        <v>988.89499297318014</v>
      </c>
      <c r="S7">
        <f t="shared" si="1"/>
        <v>986.77432952755885</v>
      </c>
      <c r="T7" cm="1">
        <f t="array" ref="T7">[1]!PropsSI("H","T",J7+273.15,"P",101325,"Water")</f>
        <v>239190.04813654826</v>
      </c>
      <c r="U7" cm="1">
        <f t="array" ref="U7">[1]!PropsSI("H","T",K7+273.15,"P",101325,"Water")</f>
        <v>201355.46352160466</v>
      </c>
      <c r="V7">
        <f t="shared" si="2"/>
        <v>592.13965163559101</v>
      </c>
      <c r="W7" s="3"/>
      <c r="X7">
        <f t="shared" si="3"/>
        <v>0.26423630399999998</v>
      </c>
      <c r="Y7">
        <f t="shared" si="3"/>
        <v>0.24614308800000001</v>
      </c>
      <c r="Z7">
        <f t="shared" si="4"/>
        <v>0.36111943193596791</v>
      </c>
      <c r="AA7">
        <f t="shared" si="7"/>
        <v>9.0466079999999991</v>
      </c>
      <c r="AB7">
        <f t="shared" si="5"/>
        <v>4.1151180601970122E-2</v>
      </c>
      <c r="AC7">
        <f t="shared" si="6"/>
        <v>24.367245746043878</v>
      </c>
    </row>
    <row r="8" spans="1:29" x14ac:dyDescent="0.2">
      <c r="A8">
        <v>46136.871844745372</v>
      </c>
      <c r="B8">
        <v>19.938013000000002</v>
      </c>
      <c r="C8">
        <v>19.837955999999998</v>
      </c>
      <c r="D8">
        <v>19.738519</v>
      </c>
      <c r="E8">
        <v>19.687211999999999</v>
      </c>
      <c r="F8">
        <v>33.517581</v>
      </c>
      <c r="G8">
        <v>30.721985</v>
      </c>
      <c r="H8">
        <v>29.682908000000001</v>
      </c>
      <c r="I8">
        <v>25.935625000000002</v>
      </c>
      <c r="J8">
        <v>57.116399999999999</v>
      </c>
      <c r="K8">
        <v>48.076307</v>
      </c>
      <c r="L8">
        <v>140.736886</v>
      </c>
      <c r="M8">
        <v>-622.49918400000001</v>
      </c>
      <c r="N8">
        <v>0.95239300000000005</v>
      </c>
      <c r="O8">
        <v>1.642593</v>
      </c>
      <c r="P8">
        <f t="shared" si="0"/>
        <v>1.5873216666666669E-5</v>
      </c>
      <c r="Q8" cm="1">
        <f t="array" ref="Q8">[1]!PropsSI("D","T",J8+273.15,"P",101325,"Water")</f>
        <v>984.6545371675337</v>
      </c>
      <c r="R8" cm="1">
        <f t="array" ref="R8">[1]!PropsSI("D","T",K8+273.15,"P",101325,"Water")</f>
        <v>988.8928995390213</v>
      </c>
      <c r="S8">
        <f t="shared" si="1"/>
        <v>986.77371835327745</v>
      </c>
      <c r="T8" cm="1">
        <f t="array" ref="T8">[1]!PropsSI("H","T",J8+273.15,"P",101325,"Water")</f>
        <v>239182.71819540125</v>
      </c>
      <c r="U8" cm="1">
        <f t="array" ref="U8">[1]!PropsSI("H","T",K8+273.15,"P",101325,"Water")</f>
        <v>201375.37680707377</v>
      </c>
      <c r="V8">
        <f t="shared" si="2"/>
        <v>592.18671079429896</v>
      </c>
      <c r="W8" s="3"/>
      <c r="X8">
        <f t="shared" si="3"/>
        <v>0.26423279999999999</v>
      </c>
      <c r="Y8">
        <f t="shared" si="3"/>
        <v>0.24615261399999999</v>
      </c>
      <c r="Z8">
        <f>SQRT((X8)^2 + (Y8)^2)</f>
        <v>0.36112336115913768</v>
      </c>
      <c r="AA8">
        <f t="shared" si="7"/>
        <v>9.0400929999999988</v>
      </c>
      <c r="AB8">
        <f t="shared" si="5"/>
        <v>4.1179508302373519E-2</v>
      </c>
      <c r="AC8">
        <f t="shared" si="6"/>
        <v>24.385957573709099</v>
      </c>
    </row>
    <row r="9" spans="1:29" x14ac:dyDescent="0.2">
      <c r="A9">
        <v>46136.871903194442</v>
      </c>
      <c r="B9">
        <v>19.946839000000001</v>
      </c>
      <c r="C9">
        <v>19.857624999999999</v>
      </c>
      <c r="D9">
        <v>19.658338000000001</v>
      </c>
      <c r="E9">
        <v>19.643516000000002</v>
      </c>
      <c r="F9">
        <v>33.376137</v>
      </c>
      <c r="G9">
        <v>31.012157999999999</v>
      </c>
      <c r="H9">
        <v>29.534267</v>
      </c>
      <c r="I9">
        <v>25.512975000000001</v>
      </c>
      <c r="J9">
        <v>57.111623999999999</v>
      </c>
      <c r="K9">
        <v>48.079641000000002</v>
      </c>
      <c r="L9">
        <v>142.75188800000001</v>
      </c>
      <c r="M9">
        <v>-622.47265400000003</v>
      </c>
      <c r="N9">
        <v>0.94851700000000005</v>
      </c>
      <c r="O9">
        <v>2.1129359999999999</v>
      </c>
      <c r="P9">
        <f t="shared" si="0"/>
        <v>1.5808616666666666E-5</v>
      </c>
      <c r="Q9" cm="1">
        <f t="array" ref="Q9">[1]!PropsSI("D","T",J9+273.15,"P",101325,"Water")</f>
        <v>984.65691167608895</v>
      </c>
      <c r="R9" cm="1">
        <f t="array" ref="R9">[1]!PropsSI("D","T",K9+273.15,"P",101325,"Water")</f>
        <v>988.89143408848031</v>
      </c>
      <c r="S9">
        <f t="shared" si="1"/>
        <v>986.77417288228457</v>
      </c>
      <c r="T9" cm="1">
        <f t="array" ref="T9">[1]!PropsSI("H","T",J9+273.15,"P",101325,"Water")</f>
        <v>239162.73658115335</v>
      </c>
      <c r="U9" cm="1">
        <f t="array" ref="U9">[1]!PropsSI("H","T",K9+273.15,"P",101325,"Water")</f>
        <v>201389.31569226179</v>
      </c>
      <c r="V9">
        <f t="shared" si="2"/>
        <v>589.24778746374386</v>
      </c>
      <c r="W9" s="3"/>
      <c r="X9">
        <f t="shared" si="3"/>
        <v>0.26422324799999997</v>
      </c>
      <c r="Y9">
        <f t="shared" si="3"/>
        <v>0.24615928200000001</v>
      </c>
      <c r="Z9">
        <f t="shared" ref="Z9:Z72" si="8">SQRT((X9)^2 + (Y9)^2)</f>
        <v>0.36112091728176732</v>
      </c>
      <c r="AA9">
        <f t="shared" si="7"/>
        <v>9.0319829999999968</v>
      </c>
      <c r="AB9">
        <f t="shared" si="5"/>
        <v>4.1214042137950969E-2</v>
      </c>
      <c r="AC9">
        <f t="shared" si="6"/>
        <v>24.285283142225115</v>
      </c>
    </row>
    <row r="10" spans="1:29" x14ac:dyDescent="0.2">
      <c r="A10">
        <v>44674.871961067198</v>
      </c>
      <c r="B10">
        <v>19.942499999999999</v>
      </c>
      <c r="C10">
        <v>19.805707000000002</v>
      </c>
      <c r="D10">
        <v>19.659407999999999</v>
      </c>
      <c r="E10">
        <v>19.623570999999998</v>
      </c>
      <c r="F10">
        <v>33.233493000000003</v>
      </c>
      <c r="G10">
        <v>30.767817999999998</v>
      </c>
      <c r="H10">
        <v>29.740781999999999</v>
      </c>
      <c r="I10">
        <v>26.138648</v>
      </c>
      <c r="J10">
        <v>57.102071000000002</v>
      </c>
      <c r="K10">
        <v>48.062176000000001</v>
      </c>
      <c r="L10">
        <v>146.51537300000001</v>
      </c>
      <c r="M10">
        <v>-622.50081599999999</v>
      </c>
      <c r="N10">
        <v>0.95340100000000005</v>
      </c>
      <c r="O10">
        <v>1.7665200000000001</v>
      </c>
      <c r="P10">
        <f t="shared" si="0"/>
        <v>1.5890016666666669E-5</v>
      </c>
      <c r="Q10" cm="1">
        <f t="array" ref="Q10">[1]!PropsSI("D","T",J10+273.15,"P",101325,"Water")</f>
        <v>984.66166077459263</v>
      </c>
      <c r="R10" cm="1">
        <f t="array" ref="R10">[1]!PropsSI("D","T",K10+273.15,"P",101325,"Water")</f>
        <v>988.89910995324078</v>
      </c>
      <c r="S10">
        <f t="shared" si="1"/>
        <v>986.78038536391671</v>
      </c>
      <c r="T10" cm="1">
        <f t="array" ref="T10">[1]!PropsSI("H","T",J10+273.15,"P",101325,"Water")</f>
        <v>239122.7691958122</v>
      </c>
      <c r="U10" cm="1">
        <f t="array" ref="U10">[1]!PropsSI("H","T",K10+273.15,"P",101325,"Water")</f>
        <v>201316.29753801905</v>
      </c>
      <c r="V10">
        <f t="shared" si="2"/>
        <v>592.80384121182192</v>
      </c>
      <c r="X10">
        <f t="shared" si="3"/>
        <v>0.26420414199999998</v>
      </c>
      <c r="Y10">
        <f t="shared" si="3"/>
        <v>0.24612435199999999</v>
      </c>
      <c r="Z10">
        <f t="shared" si="8"/>
        <v>0.3610831279599977</v>
      </c>
      <c r="AA10">
        <f t="shared" si="7"/>
        <v>9.0398950000000013</v>
      </c>
      <c r="AB10">
        <f t="shared" si="5"/>
        <v>4.1176039669507038E-2</v>
      </c>
      <c r="AC10">
        <f t="shared" si="6"/>
        <v>24.409314481974132</v>
      </c>
    </row>
    <row r="11" spans="1:29" x14ac:dyDescent="0.2">
      <c r="A11">
        <v>44674.872019516202</v>
      </c>
      <c r="B11">
        <v>19.880447</v>
      </c>
      <c r="C11">
        <v>19.845670999999999</v>
      </c>
      <c r="D11">
        <v>19.635977</v>
      </c>
      <c r="E11">
        <v>19.625761000000001</v>
      </c>
      <c r="F11">
        <v>33.459180000000003</v>
      </c>
      <c r="G11">
        <v>31.946943999999998</v>
      </c>
      <c r="H11">
        <v>29.709599999999998</v>
      </c>
      <c r="I11">
        <v>26.179162999999999</v>
      </c>
      <c r="J11">
        <v>57.101275000000001</v>
      </c>
      <c r="K11">
        <v>48.041694</v>
      </c>
      <c r="L11">
        <v>146.581084</v>
      </c>
      <c r="M11">
        <v>-622.49755100000004</v>
      </c>
      <c r="N11">
        <v>0.95214299999999996</v>
      </c>
      <c r="O11">
        <v>1.368485</v>
      </c>
      <c r="P11">
        <f t="shared" si="0"/>
        <v>1.586905E-5</v>
      </c>
      <c r="Q11" cm="1">
        <f t="array" ref="Q11">[1]!PropsSI("D","T",J11+273.15,"P",101325,"Water")</f>
        <v>984.66205646632841</v>
      </c>
      <c r="R11" cm="1">
        <f t="array" ref="R11">[1]!PropsSI("D","T",K11+273.15,"P",101325,"Water")</f>
        <v>988.90810918103227</v>
      </c>
      <c r="S11">
        <f t="shared" si="1"/>
        <v>986.78508282368034</v>
      </c>
      <c r="T11" cm="1">
        <f t="array" ref="T11">[1]!PropsSI("H","T",J11+273.15,"P",101325,"Water")</f>
        <v>239119.43893066666</v>
      </c>
      <c r="U11" cm="1">
        <f t="array" ref="U11">[1]!PropsSI("H","T",K11+273.15,"P",101325,"Water")</f>
        <v>201230.66592413673</v>
      </c>
      <c r="V11">
        <f t="shared" si="2"/>
        <v>593.31324759595759</v>
      </c>
      <c r="X11">
        <f t="shared" si="3"/>
        <v>0.26420254999999998</v>
      </c>
      <c r="Y11">
        <f t="shared" si="3"/>
        <v>0.24608338800000001</v>
      </c>
      <c r="Z11">
        <f t="shared" si="8"/>
        <v>0.36105404204365449</v>
      </c>
      <c r="AA11">
        <f t="shared" si="7"/>
        <v>9.0595810000000014</v>
      </c>
      <c r="AB11">
        <f t="shared" si="5"/>
        <v>4.1088734902282001E-2</v>
      </c>
      <c r="AC11">
        <f t="shared" si="6"/>
        <v>24.378490744482306</v>
      </c>
    </row>
    <row r="12" spans="1:29" x14ac:dyDescent="0.2">
      <c r="A12">
        <v>44674.872077386601</v>
      </c>
      <c r="B12">
        <v>19.907298999999998</v>
      </c>
      <c r="C12">
        <v>19.800063999999999</v>
      </c>
      <c r="D12">
        <v>19.643787</v>
      </c>
      <c r="E12">
        <v>19.603923000000002</v>
      </c>
      <c r="F12">
        <v>33.397700999999998</v>
      </c>
      <c r="G12">
        <v>32.568221999999999</v>
      </c>
      <c r="H12">
        <v>29.384115999999999</v>
      </c>
      <c r="I12">
        <v>25.636417999999999</v>
      </c>
      <c r="J12">
        <v>57.103982000000002</v>
      </c>
      <c r="K12">
        <v>48.042012</v>
      </c>
      <c r="L12">
        <v>137.10155800000001</v>
      </c>
      <c r="M12">
        <v>-622.49102100000005</v>
      </c>
      <c r="N12">
        <v>0.94930800000000004</v>
      </c>
      <c r="O12">
        <v>1.7585139999999999</v>
      </c>
      <c r="P12">
        <f t="shared" si="0"/>
        <v>1.5821800000000002E-5</v>
      </c>
      <c r="Q12" cm="1">
        <f t="array" ref="Q12">[1]!PropsSI("D","T",J12+273.15,"P",101325,"Water")</f>
        <v>984.66071080039046</v>
      </c>
      <c r="R12" cm="1">
        <f t="array" ref="R12">[1]!PropsSI("D","T",K12+273.15,"P",101325,"Water")</f>
        <v>988.90796948209629</v>
      </c>
      <c r="S12">
        <f t="shared" si="1"/>
        <v>986.78434014124332</v>
      </c>
      <c r="T12" cm="1">
        <f t="array" ref="T12">[1]!PropsSI("H","T",J12+273.15,"P",101325,"Water")</f>
        <v>239130.76434354347</v>
      </c>
      <c r="U12" cm="1">
        <f t="array" ref="U12">[1]!PropsSI("H","T",K12+273.15,"P",101325,"Water")</f>
        <v>201231.99542502267</v>
      </c>
      <c r="V12">
        <f t="shared" si="2"/>
        <v>591.70227900957411</v>
      </c>
      <c r="X12">
        <f t="shared" si="3"/>
        <v>0.26420796400000002</v>
      </c>
      <c r="Y12">
        <f t="shared" si="3"/>
        <v>0.24608402400000001</v>
      </c>
      <c r="Z12">
        <f t="shared" si="8"/>
        <v>0.36105843724950937</v>
      </c>
      <c r="AA12">
        <f t="shared" si="7"/>
        <v>9.0619700000000023</v>
      </c>
      <c r="AB12">
        <f t="shared" si="5"/>
        <v>4.1079014826554024E-2</v>
      </c>
      <c r="AC12">
        <f t="shared" si="6"/>
        <v>24.306546692340099</v>
      </c>
    </row>
    <row r="13" spans="1:29" x14ac:dyDescent="0.2">
      <c r="A13">
        <v>44674.872135256999</v>
      </c>
      <c r="B13">
        <v>19.935099000000001</v>
      </c>
      <c r="C13">
        <v>19.793489999999998</v>
      </c>
      <c r="D13">
        <v>19.691275999999998</v>
      </c>
      <c r="E13">
        <v>19.652912000000001</v>
      </c>
      <c r="F13">
        <v>33.539907999999997</v>
      </c>
      <c r="G13">
        <v>31.956353</v>
      </c>
      <c r="H13">
        <v>29.749071000000001</v>
      </c>
      <c r="I13">
        <v>25.729063</v>
      </c>
      <c r="J13">
        <v>57.104300000000002</v>
      </c>
      <c r="K13">
        <v>48.037407000000002</v>
      </c>
      <c r="L13">
        <v>139.143089</v>
      </c>
      <c r="M13">
        <v>-622.47306300000002</v>
      </c>
      <c r="N13">
        <v>0.95197900000000002</v>
      </c>
      <c r="O13">
        <v>1.8938140000000001</v>
      </c>
      <c r="P13">
        <f t="shared" si="0"/>
        <v>1.5866316666666668E-5</v>
      </c>
      <c r="Q13" cm="1">
        <f t="array" ref="Q13">[1]!PropsSI("D","T",J13+273.15,"P",101325,"Water")</f>
        <v>984.66055271775963</v>
      </c>
      <c r="R13" cm="1">
        <f t="array" ref="R13">[1]!PropsSI("D","T",K13+273.15,"P",101325,"Water")</f>
        <v>988.909992414621</v>
      </c>
      <c r="S13">
        <f t="shared" si="1"/>
        <v>986.78527256619032</v>
      </c>
      <c r="T13" cm="1">
        <f t="array" ref="T13">[1]!PropsSI("H","T",J13+273.15,"P",101325,"Water")</f>
        <v>239132.09477640092</v>
      </c>
      <c r="U13" cm="1">
        <f t="array" ref="U13">[1]!PropsSI("H","T",K13+273.15,"P",101325,"Water")</f>
        <v>201212.74274984372</v>
      </c>
      <c r="V13">
        <f t="shared" si="2"/>
        <v>593.68993252726807</v>
      </c>
      <c r="X13">
        <f t="shared" si="3"/>
        <v>0.26420860000000002</v>
      </c>
      <c r="Y13">
        <f t="shared" si="3"/>
        <v>0.246074814</v>
      </c>
      <c r="Z13">
        <f t="shared" si="8"/>
        <v>0.36105262552582912</v>
      </c>
      <c r="AA13">
        <f t="shared" si="7"/>
        <v>9.0668930000000003</v>
      </c>
      <c r="AB13">
        <f t="shared" si="5"/>
        <v>4.1057410797957494E-2</v>
      </c>
      <c r="AC13">
        <f t="shared" si="6"/>
        <v>24.375371446383713</v>
      </c>
    </row>
    <row r="14" spans="1:29" x14ac:dyDescent="0.2">
      <c r="A14">
        <v>44674.872193127303</v>
      </c>
      <c r="B14">
        <v>19.997919</v>
      </c>
      <c r="C14">
        <v>19.899455</v>
      </c>
      <c r="D14">
        <v>19.67043</v>
      </c>
      <c r="E14">
        <v>19.645959000000001</v>
      </c>
      <c r="F14">
        <v>33.174491000000003</v>
      </c>
      <c r="G14">
        <v>31.136320000000001</v>
      </c>
      <c r="H14">
        <v>29.446415999999999</v>
      </c>
      <c r="I14">
        <v>25.822050999999998</v>
      </c>
      <c r="J14">
        <v>57.106847999999999</v>
      </c>
      <c r="K14">
        <v>48.039470999999999</v>
      </c>
      <c r="L14">
        <v>141.49603200000001</v>
      </c>
      <c r="M14">
        <v>-622.50163299999997</v>
      </c>
      <c r="N14">
        <v>0.94949600000000001</v>
      </c>
      <c r="O14">
        <v>1.42398</v>
      </c>
      <c r="P14">
        <f t="shared" si="0"/>
        <v>1.5824933333333332E-5</v>
      </c>
      <c r="Q14" cm="1">
        <f t="array" ref="Q14">[1]!PropsSI("D","T",J14+273.15,"P",101325,"Water")</f>
        <v>984.65928604607302</v>
      </c>
      <c r="R14" cm="1">
        <f t="array" ref="R14">[1]!PropsSI("D","T",K14+273.15,"P",101325,"Water")</f>
        <v>988.90908573673357</v>
      </c>
      <c r="S14">
        <f t="shared" si="1"/>
        <v>986.78418589140324</v>
      </c>
      <c r="T14" cm="1">
        <f t="array" ref="T14">[1]!PropsSI("H","T",J14+273.15,"P",101325,"Water")</f>
        <v>239142.75497585977</v>
      </c>
      <c r="U14" cm="1">
        <f t="array" ref="U14">[1]!PropsSI("H","T",K14+273.15,"P",101325,"Water")</f>
        <v>201221.37196127055</v>
      </c>
      <c r="V14">
        <f t="shared" si="2"/>
        <v>592.17250368689849</v>
      </c>
      <c r="X14">
        <f t="shared" si="3"/>
        <v>0.264213696</v>
      </c>
      <c r="Y14">
        <f t="shared" si="3"/>
        <v>0.24607894199999999</v>
      </c>
      <c r="Z14">
        <f t="shared" si="8"/>
        <v>0.36105916807335026</v>
      </c>
      <c r="AA14">
        <f t="shared" si="7"/>
        <v>9.0673770000000005</v>
      </c>
      <c r="AB14">
        <f t="shared" si="5"/>
        <v>4.1056049057409054E-2</v>
      </c>
      <c r="AC14">
        <f t="shared" si="6"/>
        <v>24.312263361818047</v>
      </c>
    </row>
    <row r="15" spans="1:29" x14ac:dyDescent="0.2">
      <c r="A15">
        <v>46136.872251574074</v>
      </c>
      <c r="B15">
        <v>19.904485000000001</v>
      </c>
      <c r="C15">
        <v>19.760573000000001</v>
      </c>
      <c r="D15">
        <v>19.664117999999998</v>
      </c>
      <c r="E15">
        <v>19.603435999999999</v>
      </c>
      <c r="F15">
        <v>33.442557999999998</v>
      </c>
      <c r="G15">
        <v>30.918569000000002</v>
      </c>
      <c r="H15">
        <v>29.466515999999999</v>
      </c>
      <c r="I15">
        <v>25.849530999999999</v>
      </c>
      <c r="J15">
        <v>57.103026</v>
      </c>
      <c r="K15">
        <v>48.048045000000002</v>
      </c>
      <c r="L15">
        <v>144.48527000000001</v>
      </c>
      <c r="M15">
        <v>-622.49102100000005</v>
      </c>
      <c r="N15">
        <v>0.94949600000000001</v>
      </c>
      <c r="O15">
        <v>1.57697</v>
      </c>
      <c r="P15">
        <f t="shared" si="0"/>
        <v>1.5824933333333332E-5</v>
      </c>
      <c r="Q15" cm="1">
        <f t="array" ref="Q15">[1]!PropsSI("D","T",J15+273.15,"P",101325,"Water")</f>
        <v>984.66118603880534</v>
      </c>
      <c r="R15" cm="1">
        <f t="array" ref="R15">[1]!PropsSI("D","T",K15+273.15,"P",101325,"Water")</f>
        <v>988.90531902737223</v>
      </c>
      <c r="S15">
        <f t="shared" si="1"/>
        <v>986.78325253308878</v>
      </c>
      <c r="T15" cm="1">
        <f t="array" ref="T15">[1]!PropsSI("H","T",J15+273.15,"P",101325,"Water")</f>
        <v>239126.76467760507</v>
      </c>
      <c r="U15" cm="1">
        <f t="array" ref="U15">[1]!PropsSI("H","T",K15+273.15,"P",101325,"Water")</f>
        <v>201257.2183189411</v>
      </c>
      <c r="V15">
        <f t="shared" si="2"/>
        <v>591.36247380278121</v>
      </c>
      <c r="X15">
        <f t="shared" si="3"/>
        <v>0.26420605200000002</v>
      </c>
      <c r="Y15">
        <f t="shared" si="3"/>
        <v>0.24609608999999999</v>
      </c>
      <c r="Z15">
        <f t="shared" si="8"/>
        <v>0.36106526200496608</v>
      </c>
      <c r="AA15">
        <f t="shared" si="7"/>
        <v>9.0549809999999979</v>
      </c>
      <c r="AB15">
        <f t="shared" si="5"/>
        <v>4.1109574096714424E-2</v>
      </c>
      <c r="AC15">
        <f t="shared" si="6"/>
        <v>24.310659434811775</v>
      </c>
    </row>
    <row r="16" spans="1:29" x14ac:dyDescent="0.2">
      <c r="A16">
        <v>46136.872309444443</v>
      </c>
      <c r="B16">
        <v>19.928533999999999</v>
      </c>
      <c r="C16">
        <v>19.762589999999999</v>
      </c>
      <c r="D16">
        <v>19.676175000000001</v>
      </c>
      <c r="E16">
        <v>19.654838000000002</v>
      </c>
      <c r="F16">
        <v>33.619186999999997</v>
      </c>
      <c r="G16">
        <v>32.256034</v>
      </c>
      <c r="H16">
        <v>29.433118</v>
      </c>
      <c r="I16">
        <v>25.458904</v>
      </c>
      <c r="J16">
        <v>57.110669000000001</v>
      </c>
      <c r="K16">
        <v>48.032961999999998</v>
      </c>
      <c r="L16">
        <v>137.048092</v>
      </c>
      <c r="M16">
        <v>-622.487348</v>
      </c>
      <c r="N16">
        <v>0.94703300000000001</v>
      </c>
      <c r="O16">
        <v>1.4248320000000001</v>
      </c>
      <c r="P16">
        <f t="shared" si="0"/>
        <v>1.5783883333333333E-5</v>
      </c>
      <c r="Q16" cm="1">
        <f t="array" ref="Q16">[1]!PropsSI("D","T",J16+273.15,"P",101325,"Water")</f>
        <v>984.65738646176328</v>
      </c>
      <c r="R16" cm="1">
        <f t="array" ref="R16">[1]!PropsSI("D","T",K16+273.15,"P",101325,"Water")</f>
        <v>988.91194492570105</v>
      </c>
      <c r="S16">
        <f t="shared" si="1"/>
        <v>986.78466569373222</v>
      </c>
      <c r="T16" cm="1">
        <f t="array" ref="T16">[1]!PropsSI("H","T",J16+273.15,"P",101325,"Water")</f>
        <v>239158.74109611238</v>
      </c>
      <c r="U16" cm="1">
        <f t="array" ref="U16">[1]!PropsSI("H","T",K16+273.15,"P",101325,"Water")</f>
        <v>201194.15901079518</v>
      </c>
      <c r="V16">
        <f t="shared" si="2"/>
        <v>591.3095290250111</v>
      </c>
      <c r="X16">
        <f t="shared" si="3"/>
        <v>0.26422133800000003</v>
      </c>
      <c r="Y16">
        <f t="shared" si="3"/>
        <v>0.24606592399999999</v>
      </c>
      <c r="Z16">
        <f t="shared" si="8"/>
        <v>0.36105588820636064</v>
      </c>
      <c r="AA16">
        <f t="shared" si="7"/>
        <v>9.0777070000000037</v>
      </c>
      <c r="AB16">
        <f t="shared" si="5"/>
        <v>4.1011752006119735E-2</v>
      </c>
      <c r="AC16">
        <f t="shared" si="6"/>
        <v>24.250639763229216</v>
      </c>
    </row>
    <row r="17" spans="1:29" x14ac:dyDescent="0.2">
      <c r="A17">
        <v>46136.87236789352</v>
      </c>
      <c r="B17">
        <v>19.873286</v>
      </c>
      <c r="C17">
        <v>19.747053000000001</v>
      </c>
      <c r="D17">
        <v>19.636078999999999</v>
      </c>
      <c r="E17">
        <v>19.595894000000001</v>
      </c>
      <c r="F17">
        <v>33.659984999999999</v>
      </c>
      <c r="G17">
        <v>31.013058999999998</v>
      </c>
      <c r="H17">
        <v>29.880237999999999</v>
      </c>
      <c r="I17">
        <v>25.773032000000001</v>
      </c>
      <c r="J17">
        <v>57.110827999999998</v>
      </c>
      <c r="K17">
        <v>48.034390999999999</v>
      </c>
      <c r="L17">
        <v>146.363135</v>
      </c>
      <c r="M17">
        <v>-622.47510299999999</v>
      </c>
      <c r="N17">
        <v>0.95096700000000001</v>
      </c>
      <c r="O17">
        <v>1.49766</v>
      </c>
      <c r="P17">
        <f t="shared" si="0"/>
        <v>1.5849450000000001E-5</v>
      </c>
      <c r="Q17" cm="1">
        <f t="array" ref="Q17">[1]!PropsSI("D","T",J17+273.15,"P",101325,"Water")</f>
        <v>984.65730741404354</v>
      </c>
      <c r="R17" cm="1">
        <f t="array" ref="R17">[1]!PropsSI("D","T",K17+273.15,"P",101325,"Water")</f>
        <v>988.91131723753074</v>
      </c>
      <c r="S17">
        <f t="shared" si="1"/>
        <v>986.78431232578714</v>
      </c>
      <c r="T17" cm="1">
        <f t="array" ref="T17">[1]!PropsSI("H","T",J17+273.15,"P",101325,"Water")</f>
        <v>239159.40631298322</v>
      </c>
      <c r="U17" cm="1">
        <f t="array" ref="U17">[1]!PropsSI("H","T",K17+273.15,"P",101325,"Water")</f>
        <v>201200.13340018902</v>
      </c>
      <c r="V17">
        <f t="shared" si="2"/>
        <v>593.68259634131061</v>
      </c>
      <c r="X17">
        <f t="shared" si="3"/>
        <v>0.26422165600000003</v>
      </c>
      <c r="Y17">
        <f t="shared" si="3"/>
        <v>0.24606878199999999</v>
      </c>
      <c r="Z17">
        <f t="shared" si="8"/>
        <v>0.36105806870134599</v>
      </c>
      <c r="AA17">
        <f t="shared" si="7"/>
        <v>9.0764369999999985</v>
      </c>
      <c r="AB17">
        <f t="shared" si="5"/>
        <v>4.1017382316257657E-2</v>
      </c>
      <c r="AC17">
        <f t="shared" si="6"/>
        <v>24.351306028640007</v>
      </c>
    </row>
    <row r="18" spans="1:29" x14ac:dyDescent="0.2">
      <c r="A18">
        <v>46136.87242576389</v>
      </c>
      <c r="B18">
        <v>20.041634999999999</v>
      </c>
      <c r="C18">
        <v>19.843636</v>
      </c>
      <c r="D18">
        <v>19.671513999999998</v>
      </c>
      <c r="E18">
        <v>19.616392999999999</v>
      </c>
      <c r="F18">
        <v>33.547587</v>
      </c>
      <c r="G18">
        <v>30.418543</v>
      </c>
      <c r="H18">
        <v>29.721951000000001</v>
      </c>
      <c r="I18">
        <v>25.781917</v>
      </c>
      <c r="J18">
        <v>57.115763999999999</v>
      </c>
      <c r="K18">
        <v>48.026769999999999</v>
      </c>
      <c r="L18">
        <v>141.99682300000001</v>
      </c>
      <c r="M18">
        <v>-622.48693900000001</v>
      </c>
      <c r="N18">
        <v>0.95065599999999995</v>
      </c>
      <c r="O18">
        <v>1.9092290000000001</v>
      </c>
      <c r="P18">
        <f t="shared" si="0"/>
        <v>1.5844266666666667E-5</v>
      </c>
      <c r="Q18" cm="1">
        <f t="array" ref="Q18">[1]!PropsSI("D","T",J18+273.15,"P",101325,"Water")</f>
        <v>984.65485337895564</v>
      </c>
      <c r="R18" cm="1">
        <f t="array" ref="R18">[1]!PropsSI("D","T",K18+273.15,"P",101325,"Water")</f>
        <v>988.91466460303741</v>
      </c>
      <c r="S18">
        <f t="shared" si="1"/>
        <v>986.78475899099658</v>
      </c>
      <c r="T18" cm="1">
        <f t="array" ref="T18">[1]!PropsSI("H","T",J18+273.15,"P",101325,"Water")</f>
        <v>239180.05732666998</v>
      </c>
      <c r="U18" cm="1">
        <f t="array" ref="U18">[1]!PropsSI("H","T",K18+273.15,"P",101325,"Water")</f>
        <v>201168.2713897872</v>
      </c>
      <c r="V18">
        <f t="shared" si="2"/>
        <v>594.30974455315186</v>
      </c>
      <c r="X18">
        <f t="shared" si="3"/>
        <v>0.26423152799999999</v>
      </c>
      <c r="Y18">
        <f t="shared" si="3"/>
        <v>0.24605354000000002</v>
      </c>
      <c r="Z18">
        <f t="shared" si="8"/>
        <v>0.3610549057079081</v>
      </c>
      <c r="AA18">
        <f t="shared" si="7"/>
        <v>9.0889939999999996</v>
      </c>
      <c r="AB18">
        <f t="shared" si="5"/>
        <v>4.0963747249224455E-2</v>
      </c>
      <c r="AC18">
        <f t="shared" si="6"/>
        <v>24.345154163626464</v>
      </c>
    </row>
    <row r="19" spans="1:29" x14ac:dyDescent="0.2">
      <c r="A19">
        <v>46136.87248421296</v>
      </c>
      <c r="B19">
        <v>20.047854000000001</v>
      </c>
      <c r="C19">
        <v>19.869313999999999</v>
      </c>
      <c r="D19">
        <v>19.707868999999999</v>
      </c>
      <c r="E19">
        <v>19.696867999999998</v>
      </c>
      <c r="F19">
        <v>33.580106999999998</v>
      </c>
      <c r="G19">
        <v>31.850168</v>
      </c>
      <c r="H19">
        <v>29.125944</v>
      </c>
      <c r="I19">
        <v>25.991699000000001</v>
      </c>
      <c r="J19">
        <v>57.117196999999997</v>
      </c>
      <c r="K19">
        <v>48.022641999999998</v>
      </c>
      <c r="L19">
        <v>141.67806400000001</v>
      </c>
      <c r="M19">
        <v>-622.49265300000002</v>
      </c>
      <c r="N19">
        <v>0.94932799999999995</v>
      </c>
      <c r="O19">
        <v>1.374598</v>
      </c>
      <c r="P19">
        <f t="shared" si="0"/>
        <v>1.5822133333333332E-5</v>
      </c>
      <c r="Q19" cm="1">
        <f t="array" ref="Q19">[1]!PropsSI("D","T",J19+273.15,"P",101325,"Water")</f>
        <v>984.65414090545869</v>
      </c>
      <c r="R19" cm="1">
        <f t="array" ref="R19">[1]!PropsSI("D","T",K19+273.15,"P",101325,"Water")</f>
        <v>988.91647757823637</v>
      </c>
      <c r="S19">
        <f t="shared" si="1"/>
        <v>986.78530924184747</v>
      </c>
      <c r="T19" cm="1">
        <f t="array" ref="T19">[1]!PropsSI("H","T",J19+273.15,"P",101325,"Water")</f>
        <v>239186.05264907019</v>
      </c>
      <c r="U19" cm="1">
        <f t="array" ref="U19">[1]!PropsSI("H","T",K19+273.15,"P",101325,"Water")</f>
        <v>201151.01298111174</v>
      </c>
      <c r="V19">
        <f t="shared" si="2"/>
        <v>593.8429279430303</v>
      </c>
      <c r="X19">
        <f t="shared" si="3"/>
        <v>0.26423439399999998</v>
      </c>
      <c r="Y19">
        <f t="shared" si="3"/>
        <v>0.24604528399999998</v>
      </c>
      <c r="Z19">
        <f t="shared" si="8"/>
        <v>0.36105137688587735</v>
      </c>
      <c r="AA19">
        <f t="shared" si="7"/>
        <v>9.0945549999999997</v>
      </c>
      <c r="AB19">
        <f t="shared" si="5"/>
        <v>4.0939816225854304E-2</v>
      </c>
      <c r="AC19">
        <f t="shared" si="6"/>
        <v>24.3118203370109</v>
      </c>
    </row>
    <row r="20" spans="1:29" x14ac:dyDescent="0.2">
      <c r="A20">
        <v>46136.872542662037</v>
      </c>
      <c r="B20">
        <v>19.829712000000001</v>
      </c>
      <c r="C20">
        <v>19.771201999999999</v>
      </c>
      <c r="D20">
        <v>19.662863999999999</v>
      </c>
      <c r="E20">
        <v>19.619571000000001</v>
      </c>
      <c r="F20">
        <v>33.475805999999999</v>
      </c>
      <c r="G20">
        <v>31.820485999999999</v>
      </c>
      <c r="H20">
        <v>28.791070999999999</v>
      </c>
      <c r="I20">
        <v>25.438313999999998</v>
      </c>
      <c r="J20">
        <v>57.110191</v>
      </c>
      <c r="K20">
        <v>48.035026000000002</v>
      </c>
      <c r="L20">
        <v>140.791169</v>
      </c>
      <c r="M20">
        <v>-622.49959200000001</v>
      </c>
      <c r="N20">
        <v>0.94777100000000003</v>
      </c>
      <c r="O20">
        <v>1.810921</v>
      </c>
      <c r="P20">
        <f t="shared" si="0"/>
        <v>1.5796183333333333E-5</v>
      </c>
      <c r="Q20" cm="1">
        <f t="array" ref="Q20">[1]!PropsSI("D","T",J20+273.15,"P",101325,"Water")</f>
        <v>984.65762410107902</v>
      </c>
      <c r="R20" cm="1">
        <f t="array" ref="R20">[1]!PropsSI("D","T",K20+273.15,"P",101325,"Water")</f>
        <v>988.91103830937107</v>
      </c>
      <c r="S20">
        <f t="shared" si="1"/>
        <v>986.78433120522504</v>
      </c>
      <c r="T20" cm="1">
        <f t="array" ref="T20">[1]!PropsSI("H","T",J20+273.15,"P",101325,"Water")</f>
        <v>239156.74126188725</v>
      </c>
      <c r="U20" cm="1">
        <f t="array" ref="U20">[1]!PropsSI("H","T",K20+273.15,"P",101325,"Water")</f>
        <v>201202.78821995918</v>
      </c>
      <c r="V20">
        <f t="shared" si="2"/>
        <v>591.60444227381606</v>
      </c>
      <c r="X20">
        <f t="shared" si="3"/>
        <v>0.26422038199999998</v>
      </c>
      <c r="Y20">
        <f t="shared" si="3"/>
        <v>0.24607005199999998</v>
      </c>
      <c r="Z20">
        <f t="shared" si="8"/>
        <v>0.36105800192698767</v>
      </c>
      <c r="AA20">
        <f t="shared" si="7"/>
        <v>9.0751649999999984</v>
      </c>
      <c r="AB20">
        <f t="shared" si="5"/>
        <v>4.1022782596074669E-2</v>
      </c>
      <c r="AC20">
        <f t="shared" si="6"/>
        <v>24.269260418270765</v>
      </c>
    </row>
    <row r="21" spans="1:29" x14ac:dyDescent="0.2">
      <c r="A21">
        <v>46136.872601111114</v>
      </c>
      <c r="B21">
        <v>19.889406999999999</v>
      </c>
      <c r="C21">
        <v>19.745619999999999</v>
      </c>
      <c r="D21">
        <v>19.671982</v>
      </c>
      <c r="E21">
        <v>19.660382999999999</v>
      </c>
      <c r="F21">
        <v>33.545779000000003</v>
      </c>
      <c r="G21">
        <v>32.893568000000002</v>
      </c>
      <c r="H21">
        <v>30.200942000000001</v>
      </c>
      <c r="I21">
        <v>26.193866</v>
      </c>
      <c r="J21">
        <v>57.105096000000003</v>
      </c>
      <c r="K21">
        <v>48.032643999999998</v>
      </c>
      <c r="L21">
        <v>144.357113</v>
      </c>
      <c r="M21">
        <v>-622.5</v>
      </c>
      <c r="N21">
        <v>0.94760299999999997</v>
      </c>
      <c r="O21">
        <v>1.6965380000000001</v>
      </c>
      <c r="P21">
        <f t="shared" si="0"/>
        <v>1.5793383333333334E-5</v>
      </c>
      <c r="Q21" cm="1">
        <f t="array" ref="Q21">[1]!PropsSI("D","T",J21+273.15,"P",101325,"Water")</f>
        <v>984.66015701137655</v>
      </c>
      <c r="R21" cm="1">
        <f t="array" ref="R21">[1]!PropsSI("D","T",K21+273.15,"P",101325,"Water")</f>
        <v>988.91208460532266</v>
      </c>
      <c r="S21">
        <f t="shared" si="1"/>
        <v>986.78612080834955</v>
      </c>
      <c r="T21" cm="1">
        <f t="array" ref="T21">[1]!PropsSI("H","T",J21+273.15,"P",101325,"Water")</f>
        <v>239135.42504251478</v>
      </c>
      <c r="U21" cm="1">
        <f t="array" ref="U21">[1]!PropsSI("H","T",K21+273.15,"P",101325,"Water")</f>
        <v>201192.82951062982</v>
      </c>
      <c r="V21">
        <f t="shared" si="2"/>
        <v>591.32364508489263</v>
      </c>
      <c r="X21">
        <f t="shared" si="3"/>
        <v>0.26421019200000001</v>
      </c>
      <c r="Y21">
        <f t="shared" si="3"/>
        <v>0.24606528799999999</v>
      </c>
      <c r="Z21">
        <f t="shared" si="8"/>
        <v>0.36104729816909004</v>
      </c>
      <c r="AA21">
        <f t="shared" si="7"/>
        <v>9.0724520000000055</v>
      </c>
      <c r="AB21">
        <f t="shared" si="5"/>
        <v>4.1033176842188566E-2</v>
      </c>
      <c r="AC21">
        <f t="shared" si="6"/>
        <v>24.263887699735946</v>
      </c>
    </row>
    <row r="22" spans="1:29" x14ac:dyDescent="0.2">
      <c r="A22">
        <v>46136.872659560184</v>
      </c>
      <c r="B22">
        <v>19.978905000000001</v>
      </c>
      <c r="C22">
        <v>19.848082000000002</v>
      </c>
      <c r="D22">
        <v>19.671547</v>
      </c>
      <c r="E22">
        <v>19.635037000000001</v>
      </c>
      <c r="F22">
        <v>33.365015</v>
      </c>
      <c r="G22">
        <v>31.908567999999999</v>
      </c>
      <c r="H22">
        <v>29.548627</v>
      </c>
      <c r="I22">
        <v>25.599727999999999</v>
      </c>
      <c r="J22">
        <v>57.110349999999997</v>
      </c>
      <c r="K22">
        <v>48.021847999999999</v>
      </c>
      <c r="L22">
        <v>149.65113400000001</v>
      </c>
      <c r="M22">
        <v>-622.48449100000005</v>
      </c>
      <c r="N22">
        <v>0.94725899999999996</v>
      </c>
      <c r="O22">
        <v>1.4554069999999999</v>
      </c>
      <c r="P22">
        <f t="shared" si="0"/>
        <v>1.5787650000000001E-5</v>
      </c>
      <c r="Q22" cm="1">
        <f t="array" ref="Q22">[1]!PropsSI("D","T",J22+273.15,"P",101325,"Water")</f>
        <v>984.65754505383495</v>
      </c>
      <c r="R22" cm="1">
        <f t="array" ref="R22">[1]!PropsSI("D","T",K22+273.15,"P",101325,"Water")</f>
        <v>988.91682628178057</v>
      </c>
      <c r="S22">
        <f t="shared" si="1"/>
        <v>986.78718566780776</v>
      </c>
      <c r="T22" cm="1">
        <f t="array" ref="T22">[1]!PropsSI("H","T",J22+273.15,"P",101325,"Water")</f>
        <v>239157.40647867162</v>
      </c>
      <c r="U22" cm="1">
        <f t="array" ref="U22">[1]!PropsSI("H","T",K22+273.15,"P",101325,"Water")</f>
        <v>201147.69341360967</v>
      </c>
      <c r="V22">
        <f t="shared" si="2"/>
        <v>592.15524738188515</v>
      </c>
      <c r="X22">
        <f t="shared" si="3"/>
        <v>0.26422069999999998</v>
      </c>
      <c r="Y22">
        <f t="shared" si="3"/>
        <v>0.24604369599999998</v>
      </c>
      <c r="Z22">
        <f t="shared" si="8"/>
        <v>0.3610402728918623</v>
      </c>
      <c r="AA22">
        <f t="shared" si="7"/>
        <v>9.0885019999999983</v>
      </c>
      <c r="AB22">
        <f t="shared" si="5"/>
        <v>4.0964271317617269E-2</v>
      </c>
      <c r="AC22">
        <f t="shared" si="6"/>
        <v>24.257208215902317</v>
      </c>
    </row>
    <row r="23" spans="1:29" x14ac:dyDescent="0.2">
      <c r="A23">
        <v>46136.872718009261</v>
      </c>
      <c r="B23">
        <v>20.059605000000001</v>
      </c>
      <c r="C23">
        <v>19.858671999999999</v>
      </c>
      <c r="D23">
        <v>19.685385</v>
      </c>
      <c r="E23">
        <v>19.643639</v>
      </c>
      <c r="F23">
        <v>33.589888999999999</v>
      </c>
      <c r="G23">
        <v>31.445442</v>
      </c>
      <c r="H23">
        <v>29.231695999999999</v>
      </c>
      <c r="I23">
        <v>25.888062000000001</v>
      </c>
      <c r="J23">
        <v>57.107325000000003</v>
      </c>
      <c r="K23">
        <v>48.022165000000001</v>
      </c>
      <c r="L23">
        <v>144.015906</v>
      </c>
      <c r="M23">
        <v>-622.49265300000002</v>
      </c>
      <c r="N23">
        <v>0.94775900000000002</v>
      </c>
      <c r="O23">
        <v>1.857521</v>
      </c>
      <c r="P23">
        <f t="shared" si="0"/>
        <v>1.5795983333333336E-5</v>
      </c>
      <c r="Q23" cm="1">
        <f t="array" ref="Q23">[1]!PropsSI("D","T",J23+273.15,"P",101325,"Water")</f>
        <v>984.65904891359128</v>
      </c>
      <c r="R23" cm="1">
        <f t="array" ref="R23">[1]!PropsSI("D","T",K23+273.15,"P",101325,"Water")</f>
        <v>988.91668706437315</v>
      </c>
      <c r="S23">
        <f t="shared" si="1"/>
        <v>986.78786798898227</v>
      </c>
      <c r="T23" cm="1">
        <f t="array" ref="T23">[1]!PropsSI("H","T",J23+273.15,"P",101325,"Water")</f>
        <v>239144.75062576353</v>
      </c>
      <c r="U23" cm="1">
        <f t="array" ref="U23">[1]!PropsSI("H","T",K23+273.15,"P",101325,"Water")</f>
        <v>201149.01873214138</v>
      </c>
      <c r="V23">
        <f t="shared" si="2"/>
        <v>592.25029102968995</v>
      </c>
      <c r="X23">
        <f t="shared" si="3"/>
        <v>0.26421465</v>
      </c>
      <c r="Y23">
        <f t="shared" si="3"/>
        <v>0.24604433000000001</v>
      </c>
      <c r="Z23">
        <f t="shared" si="8"/>
        <v>0.36103627740127642</v>
      </c>
      <c r="AA23">
        <f t="shared" si="7"/>
        <v>9.0851600000000019</v>
      </c>
      <c r="AB23">
        <f t="shared" si="5"/>
        <v>4.0978015817528558E-2</v>
      </c>
      <c r="AC23">
        <f t="shared" si="6"/>
        <v>24.269241793750528</v>
      </c>
    </row>
    <row r="24" spans="1:29" x14ac:dyDescent="0.2">
      <c r="A24">
        <v>46136.872776458331</v>
      </c>
      <c r="B24">
        <v>19.993541</v>
      </c>
      <c r="C24">
        <v>19.819396999999999</v>
      </c>
      <c r="D24">
        <v>19.671198</v>
      </c>
      <c r="E24">
        <v>19.622589000000001</v>
      </c>
      <c r="F24">
        <v>33.683191999999998</v>
      </c>
      <c r="G24">
        <v>32.850051999999998</v>
      </c>
      <c r="H24">
        <v>29.939534999999999</v>
      </c>
      <c r="I24">
        <v>25.516732999999999</v>
      </c>
      <c r="J24">
        <v>57.101911999999999</v>
      </c>
      <c r="K24">
        <v>48.018672000000002</v>
      </c>
      <c r="L24">
        <v>135.342871</v>
      </c>
      <c r="M24">
        <v>-622.49510199999997</v>
      </c>
      <c r="N24">
        <v>0.94943500000000003</v>
      </c>
      <c r="O24">
        <v>1.2130810000000001</v>
      </c>
      <c r="P24">
        <f t="shared" si="0"/>
        <v>1.5823916666666669E-5</v>
      </c>
      <c r="Q24" cm="1">
        <f t="array" ref="Q24">[1]!PropsSI("D","T",J24+273.15,"P",101325,"Water")</f>
        <v>984.66173981381985</v>
      </c>
      <c r="R24" cm="1">
        <f t="array" ref="R24">[1]!PropsSI("D","T",K24+273.15,"P",101325,"Water")</f>
        <v>988.91822105355459</v>
      </c>
      <c r="S24">
        <f t="shared" si="1"/>
        <v>986.78998043368722</v>
      </c>
      <c r="T24" cm="1">
        <f t="array" ref="T24">[1]!PropsSI("H","T",J24+273.15,"P",101325,"Water")</f>
        <v>239122.10397951916</v>
      </c>
      <c r="U24" cm="1">
        <f t="array" ref="U24">[1]!PropsSI("H","T",K24+273.15,"P",101325,"Water")</f>
        <v>201134.41514535417</v>
      </c>
      <c r="V24">
        <f t="shared" si="2"/>
        <v>593.17329447266263</v>
      </c>
      <c r="X24">
        <f t="shared" si="3"/>
        <v>0.26420382399999998</v>
      </c>
      <c r="Y24">
        <f t="shared" si="3"/>
        <v>0.24603734399999999</v>
      </c>
      <c r="Z24">
        <f t="shared" si="8"/>
        <v>0.36102359377026494</v>
      </c>
      <c r="AA24">
        <f t="shared" si="7"/>
        <v>9.0832399999999964</v>
      </c>
      <c r="AB24">
        <f t="shared" si="5"/>
        <v>4.0984807723273786E-2</v>
      </c>
      <c r="AC24">
        <f t="shared" si="6"/>
        <v>24.311093420542939</v>
      </c>
    </row>
    <row r="25" spans="1:29" x14ac:dyDescent="0.2">
      <c r="A25">
        <v>46136.872834907408</v>
      </c>
      <c r="B25">
        <v>19.978086000000001</v>
      </c>
      <c r="C25">
        <v>19.792455</v>
      </c>
      <c r="D25">
        <v>19.654132000000001</v>
      </c>
      <c r="E25">
        <v>19.636367</v>
      </c>
      <c r="F25">
        <v>33.595984999999999</v>
      </c>
      <c r="G25">
        <v>30.825676000000001</v>
      </c>
      <c r="H25">
        <v>29.945456</v>
      </c>
      <c r="I25">
        <v>26.019869</v>
      </c>
      <c r="J25">
        <v>57.111941999999999</v>
      </c>
      <c r="K25">
        <v>48.014862000000001</v>
      </c>
      <c r="L25">
        <v>139.42185000000001</v>
      </c>
      <c r="M25">
        <v>-622.49632699999995</v>
      </c>
      <c r="N25">
        <v>0.947627</v>
      </c>
      <c r="O25">
        <v>1.610722</v>
      </c>
      <c r="P25">
        <f t="shared" si="0"/>
        <v>1.5793783333333334E-5</v>
      </c>
      <c r="Q25" cm="1">
        <f t="array" ref="Q25">[1]!PropsSI("D","T",J25+273.15,"P",101325,"Water")</f>
        <v>984.65675357869782</v>
      </c>
      <c r="R25" cm="1">
        <f t="array" ref="R25">[1]!PropsSI("D","T",K25+273.15,"P",101325,"Water")</f>
        <v>988.91989416333774</v>
      </c>
      <c r="S25">
        <f t="shared" si="1"/>
        <v>986.78832387101784</v>
      </c>
      <c r="T25" cm="1">
        <f t="array" ref="T25">[1]!PropsSI("H","T",J25+273.15,"P",101325,"Water")</f>
        <v>239164.06701498764</v>
      </c>
      <c r="U25" cm="1">
        <f t="array" ref="U25">[1]!PropsSI("H","T",K25+273.15,"P",101325,"Water")</f>
        <v>201118.48624372581</v>
      </c>
      <c r="V25">
        <f t="shared" si="2"/>
        <v>592.94497919173443</v>
      </c>
      <c r="X25">
        <f t="shared" si="3"/>
        <v>0.26422388399999996</v>
      </c>
      <c r="Y25">
        <f t="shared" si="3"/>
        <v>0.24602972400000001</v>
      </c>
      <c r="Z25">
        <f t="shared" si="8"/>
        <v>0.36103308154179115</v>
      </c>
      <c r="AA25">
        <f t="shared" si="7"/>
        <v>9.0970799999999983</v>
      </c>
      <c r="AB25">
        <f t="shared" si="5"/>
        <v>4.0927180798920534E-2</v>
      </c>
      <c r="AC25">
        <f t="shared" si="6"/>
        <v>24.267566367192288</v>
      </c>
    </row>
    <row r="26" spans="1:29" x14ac:dyDescent="0.2">
      <c r="A26">
        <v>46136.872893356478</v>
      </c>
      <c r="B26">
        <v>20.000914000000002</v>
      </c>
      <c r="C26">
        <v>19.934709000000002</v>
      </c>
      <c r="D26">
        <v>19.692906000000001</v>
      </c>
      <c r="E26">
        <v>19.661376000000001</v>
      </c>
      <c r="F26">
        <v>33.683528000000003</v>
      </c>
      <c r="G26">
        <v>31.424354000000001</v>
      </c>
      <c r="H26">
        <v>29.472617</v>
      </c>
      <c r="I26">
        <v>26.009450000000001</v>
      </c>
      <c r="J26">
        <v>57.110349999999997</v>
      </c>
      <c r="K26">
        <v>48.020578</v>
      </c>
      <c r="L26">
        <v>133.23358899999999</v>
      </c>
      <c r="M26">
        <v>-622.49673499999994</v>
      </c>
      <c r="N26">
        <v>0.95145100000000005</v>
      </c>
      <c r="O26">
        <v>1.707149</v>
      </c>
      <c r="P26">
        <f t="shared" si="0"/>
        <v>1.5857516666666669E-5</v>
      </c>
      <c r="Q26" cm="1">
        <f t="array" ref="Q26">[1]!PropsSI("D","T",J26+273.15,"P",101325,"Water")</f>
        <v>984.65754505383495</v>
      </c>
      <c r="R26" cm="1">
        <f t="array" ref="R26">[1]!PropsSI("D","T",K26+273.15,"P",101325,"Water")</f>
        <v>988.917384022943</v>
      </c>
      <c r="S26">
        <f t="shared" si="1"/>
        <v>986.78746453838903</v>
      </c>
      <c r="T26" cm="1">
        <f t="array" ref="T26">[1]!PropsSI("H","T",J26+273.15,"P",101325,"Water")</f>
        <v>239157.40647867162</v>
      </c>
      <c r="U26" cm="1">
        <f t="array" ref="U26">[1]!PropsSI("H","T",K26+273.15,"P",101325,"Water")</f>
        <v>201142.38377836702</v>
      </c>
      <c r="V26">
        <f t="shared" si="2"/>
        <v>594.8590244785762</v>
      </c>
      <c r="X26">
        <f t="shared" si="3"/>
        <v>0.26422069999999998</v>
      </c>
      <c r="Y26">
        <f t="shared" si="3"/>
        <v>0.24604115599999998</v>
      </c>
      <c r="Z26">
        <f t="shared" si="8"/>
        <v>0.36103854192358231</v>
      </c>
      <c r="AA26">
        <f t="shared" si="7"/>
        <v>9.0897719999999964</v>
      </c>
      <c r="AB26">
        <f t="shared" si="5"/>
        <v>4.0958704319456439E-2</v>
      </c>
      <c r="AC26">
        <f t="shared" si="6"/>
        <v>24.364654895378301</v>
      </c>
    </row>
    <row r="27" spans="1:29" x14ac:dyDescent="0.2">
      <c r="A27">
        <v>46136.872951805555</v>
      </c>
      <c r="B27">
        <v>20.052761</v>
      </c>
      <c r="C27">
        <v>19.941766000000001</v>
      </c>
      <c r="D27">
        <v>19.657686999999999</v>
      </c>
      <c r="E27">
        <v>19.61289</v>
      </c>
      <c r="F27">
        <v>33.590063999999998</v>
      </c>
      <c r="G27">
        <v>31.380723</v>
      </c>
      <c r="H27">
        <v>29.407195000000002</v>
      </c>
      <c r="I27">
        <v>25.648346</v>
      </c>
      <c r="J27">
        <v>57.100957000000001</v>
      </c>
      <c r="K27">
        <v>48.019466000000001</v>
      </c>
      <c r="L27">
        <v>141.37644599999999</v>
      </c>
      <c r="M27">
        <v>-622.52448900000002</v>
      </c>
      <c r="N27">
        <v>0.945685</v>
      </c>
      <c r="O27">
        <v>1.2563899999999999</v>
      </c>
      <c r="P27">
        <f t="shared" si="0"/>
        <v>1.5761416666666668E-5</v>
      </c>
      <c r="Q27" cm="1">
        <f t="array" ref="Q27">[1]!PropsSI("D","T",J27+273.15,"P",101325,"Water")</f>
        <v>984.66221454311892</v>
      </c>
      <c r="R27" cm="1">
        <f t="array" ref="R27">[1]!PropsSI("D","T",K27+273.15,"P",101325,"Water")</f>
        <v>988.91787236694654</v>
      </c>
      <c r="S27">
        <f t="shared" si="1"/>
        <v>986.79004345503267</v>
      </c>
      <c r="T27" cm="1">
        <f t="array" ref="T27">[1]!PropsSI("H","T",J27+273.15,"P",101325,"Water")</f>
        <v>239118.10849817886</v>
      </c>
      <c r="U27" cm="1">
        <f t="array" ref="U27">[1]!PropsSI("H","T",K27+273.15,"P",101325,"Water")</f>
        <v>201137.73471221735</v>
      </c>
      <c r="V27">
        <f t="shared" si="2"/>
        <v>590.71669281213565</v>
      </c>
      <c r="X27">
        <f t="shared" si="3"/>
        <v>0.26420191399999998</v>
      </c>
      <c r="Y27">
        <f t="shared" si="3"/>
        <v>0.24603893199999999</v>
      </c>
      <c r="Z27">
        <f t="shared" si="8"/>
        <v>0.36102327822588393</v>
      </c>
      <c r="AA27">
        <f t="shared" si="7"/>
        <v>9.0814909999999998</v>
      </c>
      <c r="AB27">
        <f t="shared" si="5"/>
        <v>4.0992197409503182E-2</v>
      </c>
      <c r="AC27">
        <f t="shared" si="6"/>
        <v>24.214775284843913</v>
      </c>
    </row>
    <row r="28" spans="1:29" x14ac:dyDescent="0.2">
      <c r="A28">
        <v>46136.873009675925</v>
      </c>
      <c r="B28">
        <v>20.098008</v>
      </c>
      <c r="C28">
        <v>19.890953</v>
      </c>
      <c r="D28">
        <v>19.679576999999998</v>
      </c>
      <c r="E28">
        <v>19.647987000000001</v>
      </c>
      <c r="F28">
        <v>33.580598999999999</v>
      </c>
      <c r="G28">
        <v>32.329441000000003</v>
      </c>
      <c r="H28">
        <v>29.374829999999999</v>
      </c>
      <c r="I28">
        <v>25.179901000000001</v>
      </c>
      <c r="J28">
        <v>57.101433999999998</v>
      </c>
      <c r="K28">
        <v>48.003748000000002</v>
      </c>
      <c r="L28">
        <v>146.44231500000001</v>
      </c>
      <c r="M28">
        <v>-622.47877700000004</v>
      </c>
      <c r="N28">
        <v>0.94420599999999999</v>
      </c>
      <c r="O28">
        <v>1.8841559999999999</v>
      </c>
      <c r="P28">
        <f t="shared" si="0"/>
        <v>1.5736766666666668E-5</v>
      </c>
      <c r="Q28" cm="1">
        <f t="array" ref="Q28">[1]!PropsSI("D","T",J28+273.15,"P",101325,"Water")</f>
        <v>984.6619774277026</v>
      </c>
      <c r="R28" cm="1">
        <f t="array" ref="R28">[1]!PropsSI("D","T",K28+273.15,"P",101325,"Water")</f>
        <v>988.92477416873237</v>
      </c>
      <c r="S28">
        <f t="shared" si="1"/>
        <v>986.79337579821754</v>
      </c>
      <c r="T28" cm="1">
        <f t="array" ref="T28">[1]!PropsSI("H","T",J28+273.15,"P",101325,"Water")</f>
        <v>239120.10414691124</v>
      </c>
      <c r="U28" cm="1">
        <f t="array" ref="U28">[1]!PropsSI("H","T",K28+273.15,"P",101325,"Water")</f>
        <v>201072.02069680326</v>
      </c>
      <c r="V28">
        <f t="shared" si="2"/>
        <v>590.84629479208604</v>
      </c>
      <c r="X28">
        <f t="shared" si="3"/>
        <v>0.26420286799999998</v>
      </c>
      <c r="Y28">
        <f t="shared" si="3"/>
        <v>0.24600749599999999</v>
      </c>
      <c r="Z28">
        <f t="shared" si="8"/>
        <v>0.36100255338101894</v>
      </c>
      <c r="AA28">
        <f t="shared" si="7"/>
        <v>9.0976859999999959</v>
      </c>
      <c r="AB28">
        <f t="shared" si="5"/>
        <v>4.0921363514993495E-2</v>
      </c>
      <c r="AC28">
        <f t="shared" si="6"/>
        <v>24.17823601067396</v>
      </c>
    </row>
    <row r="29" spans="1:29" x14ac:dyDescent="0.2">
      <c r="A29">
        <v>46136.873068125002</v>
      </c>
      <c r="B29">
        <v>20.104922999999999</v>
      </c>
      <c r="C29">
        <v>19.945654000000001</v>
      </c>
      <c r="D29">
        <v>19.722892000000002</v>
      </c>
      <c r="E29">
        <v>19.683696999999999</v>
      </c>
      <c r="F29">
        <v>33.564861000000001</v>
      </c>
      <c r="G29">
        <v>31.246760999999999</v>
      </c>
      <c r="H29">
        <v>29.506654999999999</v>
      </c>
      <c r="I29">
        <v>25.803948999999999</v>
      </c>
      <c r="J29">
        <v>57.103504000000001</v>
      </c>
      <c r="K29">
        <v>47.998666999999998</v>
      </c>
      <c r="L29">
        <v>130.65494200000001</v>
      </c>
      <c r="M29">
        <v>-622.49591899999996</v>
      </c>
      <c r="N29">
        <v>0.95074599999999998</v>
      </c>
      <c r="O29">
        <v>1.6626209999999999</v>
      </c>
      <c r="P29">
        <f t="shared" si="0"/>
        <v>1.5845766666666667E-5</v>
      </c>
      <c r="Q29" cm="1">
        <f t="array" ref="Q29">[1]!PropsSI("D","T",J29+273.15,"P",101325,"Water")</f>
        <v>984.66094842027758</v>
      </c>
      <c r="R29" cm="1">
        <f t="array" ref="R29">[1]!PropsSI("D","T",K29+273.15,"P",101325,"Water")</f>
        <v>988.92700489001413</v>
      </c>
      <c r="S29">
        <f t="shared" si="1"/>
        <v>986.7939766551458</v>
      </c>
      <c r="T29" cm="1">
        <f t="array" ref="T29">[1]!PropsSI("H","T",J29+273.15,"P",101325,"Water")</f>
        <v>239128.76451052935</v>
      </c>
      <c r="U29" cm="1">
        <f t="array" ref="U29">[1]!PropsSI("H","T",K29+273.15,"P",101325,"Water")</f>
        <v>201050.77800020733</v>
      </c>
      <c r="V29">
        <f t="shared" si="2"/>
        <v>595.4067065042052</v>
      </c>
      <c r="X29">
        <f t="shared" si="3"/>
        <v>0.26420700799999997</v>
      </c>
      <c r="Y29">
        <f t="shared" si="3"/>
        <v>0.24599733400000001</v>
      </c>
      <c r="Z29">
        <f t="shared" si="8"/>
        <v>0.3609986584620774</v>
      </c>
      <c r="AA29">
        <f t="shared" si="7"/>
        <v>9.1048370000000034</v>
      </c>
      <c r="AB29">
        <f t="shared" si="5"/>
        <v>4.0890728821957628E-2</v>
      </c>
      <c r="AC29">
        <f t="shared" si="6"/>
        <v>24.346614174438368</v>
      </c>
    </row>
    <row r="30" spans="1:29" x14ac:dyDescent="0.2">
      <c r="A30">
        <v>46136.873125995371</v>
      </c>
      <c r="B30">
        <v>20.009869999999999</v>
      </c>
      <c r="C30">
        <v>19.901088000000001</v>
      </c>
      <c r="D30">
        <v>19.70945</v>
      </c>
      <c r="E30">
        <v>19.63654</v>
      </c>
      <c r="F30">
        <v>33.682223999999998</v>
      </c>
      <c r="G30">
        <v>31.949812000000001</v>
      </c>
      <c r="H30">
        <v>29.353518000000001</v>
      </c>
      <c r="I30">
        <v>25.738278999999999</v>
      </c>
      <c r="J30">
        <v>57.098568</v>
      </c>
      <c r="K30">
        <v>48.013592000000003</v>
      </c>
      <c r="L30">
        <v>139.41083</v>
      </c>
      <c r="M30">
        <v>-622.49836700000003</v>
      </c>
      <c r="N30">
        <v>0.94850000000000001</v>
      </c>
      <c r="O30">
        <v>1.718955</v>
      </c>
      <c r="P30">
        <f t="shared" si="0"/>
        <v>1.5808333333333332E-5</v>
      </c>
      <c r="Q30" cm="1">
        <f t="array" ref="Q30">[1]!PropsSI("D","T",J30+273.15,"P",101325,"Water")</f>
        <v>984.66340208775102</v>
      </c>
      <c r="R30" cm="1">
        <f t="array" ref="R30">[1]!PropsSI("D","T",K30+273.15,"P",101325,"Water")</f>
        <v>988.92045184493679</v>
      </c>
      <c r="S30">
        <f t="shared" si="1"/>
        <v>986.79192696634391</v>
      </c>
      <c r="T30" cm="1">
        <f t="array" ref="T30">[1]!PropsSI("H","T",J30+273.15,"P",101325,"Water")</f>
        <v>239108.11352067691</v>
      </c>
      <c r="U30" cm="1">
        <f t="array" ref="U30">[1]!PropsSI("H","T",K30+273.15,"P",101325,"Water")</f>
        <v>201113.17661067395</v>
      </c>
      <c r="V30">
        <f t="shared" si="2"/>
        <v>592.7033752075763</v>
      </c>
      <c r="X30">
        <f t="shared" si="3"/>
        <v>0.264197136</v>
      </c>
      <c r="Y30">
        <f t="shared" si="3"/>
        <v>0.24602718400000001</v>
      </c>
      <c r="Z30">
        <f t="shared" si="8"/>
        <v>0.3610117753447557</v>
      </c>
      <c r="AA30">
        <f t="shared" si="7"/>
        <v>9.0849759999999975</v>
      </c>
      <c r="AB30">
        <f t="shared" si="5"/>
        <v>4.0976180884226991E-2</v>
      </c>
      <c r="AC30">
        <f t="shared" si="6"/>
        <v>24.286720713197507</v>
      </c>
    </row>
    <row r="31" spans="1:29" x14ac:dyDescent="0.2">
      <c r="A31">
        <v>46136.873184444441</v>
      </c>
      <c r="B31">
        <v>19.969456999999998</v>
      </c>
      <c r="C31">
        <v>19.827563000000001</v>
      </c>
      <c r="D31">
        <v>19.660627999999999</v>
      </c>
      <c r="E31">
        <v>19.624320000000001</v>
      </c>
      <c r="F31">
        <v>33.555697000000002</v>
      </c>
      <c r="G31">
        <v>30.740271</v>
      </c>
      <c r="H31">
        <v>29.340606000000001</v>
      </c>
      <c r="I31">
        <v>25.886246</v>
      </c>
      <c r="J31">
        <v>57.094906999999999</v>
      </c>
      <c r="K31">
        <v>48.009304999999998</v>
      </c>
      <c r="L31">
        <v>138.93738500000001</v>
      </c>
      <c r="M31">
        <v>-622.52081499999997</v>
      </c>
      <c r="N31">
        <v>0.94838599999999995</v>
      </c>
      <c r="O31">
        <v>1.71471</v>
      </c>
      <c r="P31">
        <f t="shared" si="0"/>
        <v>1.5806433333333332E-5</v>
      </c>
      <c r="Q31" cm="1">
        <f t="array" ref="Q31">[1]!PropsSI("D","T",J31+273.15,"P",101325,"Water")</f>
        <v>984.66522186180703</v>
      </c>
      <c r="R31" cm="1">
        <f t="array" ref="R31">[1]!PropsSI("D","T",K31+273.15,"P",101325,"Water")</f>
        <v>988.92233426970472</v>
      </c>
      <c r="S31">
        <f t="shared" si="1"/>
        <v>986.79377806575587</v>
      </c>
      <c r="T31" cm="1">
        <f t="array" ref="T31">[1]!PropsSI("H","T",J31+273.15,"P",101325,"Water")</f>
        <v>239092.79681823519</v>
      </c>
      <c r="U31" cm="1">
        <f t="array" ref="U31">[1]!PropsSI("H","T",K31+273.15,"P",101325,"Water")</f>
        <v>201095.25346644633</v>
      </c>
      <c r="V31">
        <f t="shared" si="2"/>
        <v>592.67390449889058</v>
      </c>
      <c r="X31">
        <f t="shared" si="3"/>
        <v>0.26418981399999997</v>
      </c>
      <c r="Y31">
        <f t="shared" si="3"/>
        <v>0.24601861</v>
      </c>
      <c r="Z31">
        <f t="shared" si="8"/>
        <v>0.36100057380520417</v>
      </c>
      <c r="AA31">
        <f t="shared" si="7"/>
        <v>9.0856020000000015</v>
      </c>
      <c r="AB31">
        <f t="shared" si="5"/>
        <v>4.0972330163130524E-2</v>
      </c>
      <c r="AC31">
        <f t="shared" si="6"/>
        <v>24.283230894200234</v>
      </c>
    </row>
    <row r="32" spans="1:29" x14ac:dyDescent="0.2">
      <c r="A32">
        <v>46136.873242314818</v>
      </c>
      <c r="B32">
        <v>19.936843</v>
      </c>
      <c r="C32">
        <v>19.783837999999999</v>
      </c>
      <c r="D32">
        <v>19.670480000000001</v>
      </c>
      <c r="E32">
        <v>19.589213999999998</v>
      </c>
      <c r="F32">
        <v>33.433757999999997</v>
      </c>
      <c r="G32">
        <v>31.676487000000002</v>
      </c>
      <c r="H32">
        <v>29.090323000000001</v>
      </c>
      <c r="I32">
        <v>25.720237999999998</v>
      </c>
      <c r="J32">
        <v>57.107644000000001</v>
      </c>
      <c r="K32">
        <v>48.006447000000001</v>
      </c>
      <c r="L32">
        <v>143.03962799999999</v>
      </c>
      <c r="M32">
        <v>-622.52285600000005</v>
      </c>
      <c r="N32">
        <v>0.94864400000000004</v>
      </c>
      <c r="O32">
        <v>1.49719</v>
      </c>
      <c r="P32">
        <f t="shared" si="0"/>
        <v>1.5810733333333334E-5</v>
      </c>
      <c r="Q32" cm="1">
        <f t="array" ref="Q32">[1]!PropsSI("D","T",J32+273.15,"P",101325,"Water")</f>
        <v>984.65889032737118</v>
      </c>
      <c r="R32" cm="1">
        <f t="array" ref="R32">[1]!PropsSI("D","T",K32+273.15,"P",101325,"Water")</f>
        <v>988.92358915098282</v>
      </c>
      <c r="S32">
        <f t="shared" si="1"/>
        <v>986.79123973917694</v>
      </c>
      <c r="T32" cm="1">
        <f t="array" ref="T32">[1]!PropsSI("H","T",J32+273.15,"P",101325,"Water")</f>
        <v>239146.08524281415</v>
      </c>
      <c r="U32" cm="1">
        <f t="array" ref="U32">[1]!PropsSI("H","T",K32+273.15,"P",101325,"Water")</f>
        <v>201083.30470611592</v>
      </c>
      <c r="V32">
        <f t="shared" si="2"/>
        <v>593.85143481833893</v>
      </c>
      <c r="X32">
        <f t="shared" si="3"/>
        <v>0.26421528799999999</v>
      </c>
      <c r="Y32">
        <f t="shared" si="3"/>
        <v>0.24601289399999998</v>
      </c>
      <c r="Z32">
        <f t="shared" si="8"/>
        <v>0.36101532159615907</v>
      </c>
      <c r="AA32">
        <f t="shared" si="7"/>
        <v>9.1011969999999991</v>
      </c>
      <c r="AB32">
        <f t="shared" si="5"/>
        <v>4.0907880382295217E-2</v>
      </c>
      <c r="AC32">
        <f t="shared" si="6"/>
        <v>24.293203460402992</v>
      </c>
    </row>
    <row r="33" spans="1:29" x14ac:dyDescent="0.2">
      <c r="A33">
        <v>46136.873300763888</v>
      </c>
      <c r="B33">
        <v>19.954903000000002</v>
      </c>
      <c r="C33">
        <v>19.803142999999999</v>
      </c>
      <c r="D33">
        <v>19.708822000000001</v>
      </c>
      <c r="E33">
        <v>19.633711999999999</v>
      </c>
      <c r="F33">
        <v>33.632004999999999</v>
      </c>
      <c r="G33">
        <v>31.305610000000001</v>
      </c>
      <c r="H33">
        <v>29.479816</v>
      </c>
      <c r="I33">
        <v>25.084835000000002</v>
      </c>
      <c r="J33">
        <v>57.103026</v>
      </c>
      <c r="K33">
        <v>47.997714999999999</v>
      </c>
      <c r="L33">
        <v>140.016514</v>
      </c>
      <c r="M33">
        <v>-622.52897800000005</v>
      </c>
      <c r="N33">
        <v>0.94988099999999998</v>
      </c>
      <c r="O33">
        <v>1.8706609999999999</v>
      </c>
      <c r="P33">
        <f t="shared" si="0"/>
        <v>1.5831349999999999E-5</v>
      </c>
      <c r="Q33" cm="1">
        <f t="array" ref="Q33">[1]!PropsSI("D","T",J33+273.15,"P",101325,"Water")</f>
        <v>984.66118603880534</v>
      </c>
      <c r="R33" cm="1">
        <f t="array" ref="R33">[1]!PropsSI("D","T",K33+273.15,"P",101325,"Water")</f>
        <v>988.92742282916197</v>
      </c>
      <c r="S33">
        <f t="shared" si="1"/>
        <v>986.7943044339836</v>
      </c>
      <c r="T33" cm="1">
        <f t="array" ref="T33">[1]!PropsSI("H","T",J33+273.15,"P",101325,"Water")</f>
        <v>239126.76467760507</v>
      </c>
      <c r="U33" cm="1">
        <f t="array" ref="U33">[1]!PropsSI("H","T",K33+273.15,"P",101325,"Water")</f>
        <v>201046.79786963912</v>
      </c>
      <c r="V33">
        <f t="shared" si="2"/>
        <v>594.8961327825067</v>
      </c>
      <c r="X33">
        <f t="shared" si="3"/>
        <v>0.26420605200000002</v>
      </c>
      <c r="Y33">
        <f t="shared" si="3"/>
        <v>0.24599543000000001</v>
      </c>
      <c r="Z33">
        <f t="shared" si="8"/>
        <v>0.36099666133402347</v>
      </c>
      <c r="AA33">
        <f t="shared" si="7"/>
        <v>9.1053110000000004</v>
      </c>
      <c r="AB33">
        <f t="shared" si="5"/>
        <v>4.088851478772268E-2</v>
      </c>
      <c r="AC33">
        <f t="shared" si="6"/>
        <v>24.324419322436558</v>
      </c>
    </row>
    <row r="34" spans="1:29" x14ac:dyDescent="0.2">
      <c r="A34">
        <v>46136.873359212965</v>
      </c>
      <c r="B34">
        <v>20.083763000000001</v>
      </c>
      <c r="C34">
        <v>19.855224</v>
      </c>
      <c r="D34">
        <v>19.685421999999999</v>
      </c>
      <c r="E34">
        <v>19.651893999999999</v>
      </c>
      <c r="F34">
        <v>33.743271999999997</v>
      </c>
      <c r="G34">
        <v>31.316137999999999</v>
      </c>
      <c r="H34">
        <v>29.612929999999999</v>
      </c>
      <c r="I34">
        <v>25.915334000000001</v>
      </c>
      <c r="J34">
        <v>57.099682999999999</v>
      </c>
      <c r="K34">
        <v>47.998190999999998</v>
      </c>
      <c r="L34">
        <v>143.10329899999999</v>
      </c>
      <c r="M34">
        <v>-622.47796000000005</v>
      </c>
      <c r="N34">
        <v>0.94791400000000003</v>
      </c>
      <c r="O34">
        <v>1.159556</v>
      </c>
      <c r="P34">
        <f t="shared" si="0"/>
        <v>1.5798566666666668E-5</v>
      </c>
      <c r="Q34" cm="1">
        <f t="array" ref="Q34">[1]!PropsSI("D","T",J34+273.15,"P",101325,"Water")</f>
        <v>984.66284783829292</v>
      </c>
      <c r="R34" cm="1">
        <f t="array" ref="R34">[1]!PropsSI("D","T",K34+273.15,"P",101325,"Water")</f>
        <v>988.92721386034702</v>
      </c>
      <c r="S34">
        <f t="shared" si="1"/>
        <v>986.79503084932003</v>
      </c>
      <c r="T34" cm="1">
        <f t="array" ref="T34">[1]!PropsSI("H","T",J34+273.15,"P",101325,"Water")</f>
        <v>239112.77840105671</v>
      </c>
      <c r="U34" cm="1">
        <f t="array" ref="U34">[1]!PropsSI("H","T",K34+273.15,"P",101325,"Water")</f>
        <v>201048.78793485623</v>
      </c>
      <c r="V34">
        <f t="shared" si="2"/>
        <v>593.41559706768555</v>
      </c>
      <c r="X34">
        <f t="shared" si="3"/>
        <v>0.26419936599999999</v>
      </c>
      <c r="Y34">
        <f t="shared" si="3"/>
        <v>0.24599638200000001</v>
      </c>
      <c r="Z34">
        <f t="shared" si="8"/>
        <v>0.36099241675122745</v>
      </c>
      <c r="AA34">
        <f t="shared" si="7"/>
        <v>9.1014920000000004</v>
      </c>
      <c r="AB34">
        <f t="shared" si="5"/>
        <v>4.0904193454714417E-2</v>
      </c>
      <c r="AC34">
        <f t="shared" si="6"/>
        <v>24.273186381501471</v>
      </c>
    </row>
    <row r="35" spans="1:29" x14ac:dyDescent="0.2">
      <c r="A35">
        <v>46136.873417662035</v>
      </c>
      <c r="B35">
        <v>19.952812000000002</v>
      </c>
      <c r="C35">
        <v>19.781324999999999</v>
      </c>
      <c r="D35">
        <v>19.714876</v>
      </c>
      <c r="E35">
        <v>19.639046</v>
      </c>
      <c r="F35">
        <v>33.550244999999997</v>
      </c>
      <c r="G35">
        <v>30.889486000000002</v>
      </c>
      <c r="H35">
        <v>29.231010000000001</v>
      </c>
      <c r="I35">
        <v>25.751868999999999</v>
      </c>
      <c r="J35">
        <v>57.102867000000003</v>
      </c>
      <c r="K35">
        <v>47.992634000000002</v>
      </c>
      <c r="L35">
        <v>134.91636199999999</v>
      </c>
      <c r="M35">
        <v>-622.50816299999997</v>
      </c>
      <c r="N35">
        <v>0.94706999999999997</v>
      </c>
      <c r="O35">
        <v>1.7237960000000001</v>
      </c>
      <c r="P35">
        <f t="shared" si="0"/>
        <v>1.5784499999999998E-5</v>
      </c>
      <c r="Q35" cm="1">
        <f t="array" ref="Q35">[1]!PropsSI("D","T",J35+273.15,"P",101325,"Water")</f>
        <v>984.66126507896229</v>
      </c>
      <c r="R35" cm="1">
        <f t="array" ref="R35">[1]!PropsSI("D","T",K35+273.15,"P",101325,"Water")</f>
        <v>988.92965334459734</v>
      </c>
      <c r="S35">
        <f t="shared" si="1"/>
        <v>986.79545921177987</v>
      </c>
      <c r="T35" cm="1">
        <f t="array" ref="T35">[1]!PropsSI("H","T",J35+273.15,"P",101325,"Water")</f>
        <v>239126.09946128746</v>
      </c>
      <c r="U35" cm="1">
        <f t="array" ref="U35">[1]!PropsSI("H","T",K35+273.15,"P",101325,"Water")</f>
        <v>201025.55518062357</v>
      </c>
      <c r="V35">
        <f t="shared" si="2"/>
        <v>593.45685623318252</v>
      </c>
      <c r="X35">
        <f t="shared" si="3"/>
        <v>0.26420573400000003</v>
      </c>
      <c r="Y35">
        <f t="shared" si="3"/>
        <v>0.24598526800000001</v>
      </c>
      <c r="Z35">
        <f t="shared" si="8"/>
        <v>0.36098950393537843</v>
      </c>
      <c r="AA35">
        <f t="shared" si="7"/>
        <v>9.1102330000000009</v>
      </c>
      <c r="AB35">
        <f t="shared" si="5"/>
        <v>4.0866983788787774E-2</v>
      </c>
      <c r="AC35">
        <f t="shared" si="6"/>
        <v>24.252791723026426</v>
      </c>
    </row>
    <row r="36" spans="1:29" x14ac:dyDescent="0.2">
      <c r="A36">
        <v>46136.873476111112</v>
      </c>
      <c r="B36">
        <v>19.951065</v>
      </c>
      <c r="C36">
        <v>19.842538000000001</v>
      </c>
      <c r="D36">
        <v>19.713608000000001</v>
      </c>
      <c r="E36">
        <v>19.705076999999999</v>
      </c>
      <c r="F36">
        <v>33.463827000000002</v>
      </c>
      <c r="G36">
        <v>32.332295999999999</v>
      </c>
      <c r="H36">
        <v>29.776433000000001</v>
      </c>
      <c r="I36">
        <v>25.904207</v>
      </c>
      <c r="J36">
        <v>57.105255</v>
      </c>
      <c r="K36">
        <v>47.998666999999998</v>
      </c>
      <c r="L36">
        <v>150.42742200000001</v>
      </c>
      <c r="M36">
        <v>-622.49428599999999</v>
      </c>
      <c r="N36">
        <v>0.94777500000000003</v>
      </c>
      <c r="O36">
        <v>1.6919</v>
      </c>
      <c r="P36">
        <f t="shared" si="0"/>
        <v>1.5796250000000003E-5</v>
      </c>
      <c r="Q36" cm="1">
        <f t="array" ref="Q36">[1]!PropsSI("D","T",J36+273.15,"P",101325,"Water")</f>
        <v>984.66007796906865</v>
      </c>
      <c r="R36" cm="1">
        <f t="array" ref="R36">[1]!PropsSI("D","T",K36+273.15,"P",101325,"Water")</f>
        <v>988.92700489001413</v>
      </c>
      <c r="S36">
        <f t="shared" si="1"/>
        <v>986.79354142954139</v>
      </c>
      <c r="T36" cm="1">
        <f t="array" ref="T36">[1]!PropsSI("H","T",J36+273.15,"P",101325,"Water")</f>
        <v>239136.09025902764</v>
      </c>
      <c r="U36" cm="1">
        <f t="array" ref="U36">[1]!PropsSI("H","T",K36+273.15,"P",101325,"Water")</f>
        <v>201050.77800020733</v>
      </c>
      <c r="V36">
        <f t="shared" si="2"/>
        <v>593.66004075763226</v>
      </c>
      <c r="X36">
        <f t="shared" si="3"/>
        <v>0.26421051000000001</v>
      </c>
      <c r="Y36">
        <f t="shared" si="3"/>
        <v>0.24599733400000001</v>
      </c>
      <c r="Z36">
        <f t="shared" si="8"/>
        <v>0.3610012215070299</v>
      </c>
      <c r="AA36">
        <f t="shared" si="7"/>
        <v>9.1065880000000021</v>
      </c>
      <c r="AB36">
        <f t="shared" si="5"/>
        <v>4.0883609586614487E-2</v>
      </c>
      <c r="AC36">
        <f t="shared" si="6"/>
        <v>24.270965333508681</v>
      </c>
    </row>
    <row r="37" spans="1:29" x14ac:dyDescent="0.2">
      <c r="A37">
        <v>46136.873534560182</v>
      </c>
      <c r="B37">
        <v>19.93439</v>
      </c>
      <c r="C37">
        <v>19.881976000000002</v>
      </c>
      <c r="D37">
        <v>19.686857</v>
      </c>
      <c r="E37">
        <v>19.696757000000002</v>
      </c>
      <c r="F37">
        <v>33.649993000000002</v>
      </c>
      <c r="G37">
        <v>31.814778</v>
      </c>
      <c r="H37">
        <v>28.607861</v>
      </c>
      <c r="I37">
        <v>24.994909</v>
      </c>
      <c r="J37">
        <v>57.102549000000003</v>
      </c>
      <c r="K37">
        <v>47.992634000000002</v>
      </c>
      <c r="L37">
        <v>136.915853</v>
      </c>
      <c r="M37">
        <v>-622.49550999999997</v>
      </c>
      <c r="N37">
        <v>0.95019299999999995</v>
      </c>
      <c r="O37">
        <v>1.34476</v>
      </c>
      <c r="P37">
        <f t="shared" si="0"/>
        <v>1.583655E-5</v>
      </c>
      <c r="Q37" cm="1">
        <f t="array" ref="Q37">[1]!PropsSI("D","T",J37+273.15,"P",101325,"Water")</f>
        <v>984.66142315882757</v>
      </c>
      <c r="R37" cm="1">
        <f t="array" ref="R37">[1]!PropsSI("D","T",K37+273.15,"P",101325,"Water")</f>
        <v>988.92965334459734</v>
      </c>
      <c r="S37">
        <f t="shared" si="1"/>
        <v>986.79553825171251</v>
      </c>
      <c r="T37" cm="1">
        <f t="array" ref="T37">[1]!PropsSI("H","T",J37+273.15,"P",101325,"Water")</f>
        <v>239124.76902855077</v>
      </c>
      <c r="U37" cm="1">
        <f t="array" ref="U37">[1]!PropsSI("H","T",K37+273.15,"P",101325,"Water")</f>
        <v>201025.55518062357</v>
      </c>
      <c r="V37">
        <f t="shared" si="2"/>
        <v>595.39305963563925</v>
      </c>
      <c r="X37">
        <f t="shared" si="3"/>
        <v>0.26420509800000003</v>
      </c>
      <c r="Y37">
        <f t="shared" si="3"/>
        <v>0.24598526800000001</v>
      </c>
      <c r="Z37">
        <f t="shared" si="8"/>
        <v>0.36098903845161484</v>
      </c>
      <c r="AA37">
        <f t="shared" si="7"/>
        <v>9.1099150000000009</v>
      </c>
      <c r="AB37">
        <f t="shared" si="5"/>
        <v>4.0868275375534766E-2</v>
      </c>
      <c r="AC37">
        <f t="shared" si="6"/>
        <v>24.332687517871499</v>
      </c>
    </row>
    <row r="38" spans="1:29" x14ac:dyDescent="0.2">
      <c r="A38">
        <v>44674.873593011602</v>
      </c>
      <c r="B38">
        <v>19.998888999999998</v>
      </c>
      <c r="C38">
        <v>19.826094000000001</v>
      </c>
      <c r="D38">
        <v>19.687878999999999</v>
      </c>
      <c r="E38">
        <v>19.686736</v>
      </c>
      <c r="F38">
        <v>34.084449999999997</v>
      </c>
      <c r="G38">
        <v>31.477487</v>
      </c>
      <c r="H38">
        <v>29.007417</v>
      </c>
      <c r="I38">
        <v>25.775617</v>
      </c>
      <c r="J38">
        <v>57.104300000000002</v>
      </c>
      <c r="K38">
        <v>47.991523000000001</v>
      </c>
      <c r="L38">
        <v>150.34946600000001</v>
      </c>
      <c r="M38">
        <v>-622.512652</v>
      </c>
      <c r="N38">
        <v>0.947357</v>
      </c>
      <c r="O38">
        <v>1.7680450000000001</v>
      </c>
      <c r="P38">
        <f t="shared" si="0"/>
        <v>1.5789283333333335E-5</v>
      </c>
      <c r="Q38" cm="1">
        <f t="array" ref="Q38">[1]!PropsSI("D","T",J38+273.15,"P",101325,"Water")</f>
        <v>984.66055271775963</v>
      </c>
      <c r="R38" cm="1">
        <f t="array" ref="R38">[1]!PropsSI("D","T",K38+273.15,"P",101325,"Water")</f>
        <v>988.93014104096562</v>
      </c>
      <c r="S38">
        <f t="shared" si="1"/>
        <v>986.79534687936257</v>
      </c>
      <c r="T38" cm="1">
        <f t="array" ref="T38">[1]!PropsSI("H","T",J38+273.15,"P",101325,"Water")</f>
        <v>239132.09477640092</v>
      </c>
      <c r="U38" cm="1">
        <f t="array" ref="U38">[1]!PropsSI("H","T",K38+273.15,"P",101325,"Water")</f>
        <v>201020.91030304733</v>
      </c>
      <c r="V38">
        <f t="shared" si="2"/>
        <v>593.80241238572091</v>
      </c>
      <c r="X38">
        <f t="shared" si="3"/>
        <v>0.26420860000000002</v>
      </c>
      <c r="Y38">
        <f t="shared" si="3"/>
        <v>0.24598304599999998</v>
      </c>
      <c r="Z38">
        <f t="shared" si="8"/>
        <v>0.36099008744479139</v>
      </c>
      <c r="AA38">
        <f t="shared" si="7"/>
        <v>9.1127770000000012</v>
      </c>
      <c r="AB38">
        <f t="shared" si="5"/>
        <v>4.0856320304490205E-2</v>
      </c>
      <c r="AC38">
        <f t="shared" si="6"/>
        <v>24.260581558009996</v>
      </c>
    </row>
    <row r="39" spans="1:29" x14ac:dyDescent="0.2">
      <c r="A39">
        <v>44674.873650882</v>
      </c>
      <c r="B39">
        <v>19.996759000000001</v>
      </c>
      <c r="C39">
        <v>19.886692</v>
      </c>
      <c r="D39">
        <v>19.729192000000001</v>
      </c>
      <c r="E39">
        <v>19.687633000000002</v>
      </c>
      <c r="F39">
        <v>33.627184</v>
      </c>
      <c r="G39">
        <v>31.619990000000001</v>
      </c>
      <c r="H39">
        <v>29.796495</v>
      </c>
      <c r="I39">
        <v>26.190517</v>
      </c>
      <c r="J39">
        <v>57.117356000000001</v>
      </c>
      <c r="K39">
        <v>48.006447000000001</v>
      </c>
      <c r="L39">
        <v>143.99141700000001</v>
      </c>
      <c r="M39">
        <v>-622.48816399999998</v>
      </c>
      <c r="N39">
        <v>0.95174599999999998</v>
      </c>
      <c r="O39">
        <v>1.7639400000000001</v>
      </c>
      <c r="P39">
        <f t="shared" si="0"/>
        <v>1.5862433333333333E-5</v>
      </c>
      <c r="Q39" cm="1">
        <f t="array" ref="Q39">[1]!PropsSI("D","T",J39+273.15,"P",101325,"Water")</f>
        <v>984.65406185145878</v>
      </c>
      <c r="R39" cm="1">
        <f t="array" ref="R39">[1]!PropsSI("D","T",K39+273.15,"P",101325,"Water")</f>
        <v>988.92358915098282</v>
      </c>
      <c r="S39">
        <f t="shared" si="1"/>
        <v>986.7888255012208</v>
      </c>
      <c r="T39" cm="1">
        <f t="array" ref="T39">[1]!PropsSI("H","T",J39+273.15,"P",101325,"Water")</f>
        <v>239186.71786633879</v>
      </c>
      <c r="U39" cm="1">
        <f t="array" ref="U39">[1]!PropsSI("H","T",K39+273.15,"P",101325,"Water")</f>
        <v>201083.30470611592</v>
      </c>
      <c r="V39">
        <f t="shared" si="2"/>
        <v>596.42784738227567</v>
      </c>
      <c r="X39">
        <f t="shared" si="3"/>
        <v>0.26423471199999998</v>
      </c>
      <c r="Y39">
        <f t="shared" si="3"/>
        <v>0.24601289399999998</v>
      </c>
      <c r="Z39">
        <f t="shared" si="8"/>
        <v>0.36102953762812562</v>
      </c>
      <c r="AA39">
        <f t="shared" si="7"/>
        <v>9.1109089999999995</v>
      </c>
      <c r="AB39">
        <f t="shared" si="5"/>
        <v>4.0868393608538438E-2</v>
      </c>
      <c r="AC39">
        <f t="shared" si="6"/>
        <v>24.375048025912132</v>
      </c>
    </row>
    <row r="40" spans="1:29" x14ac:dyDescent="0.2">
      <c r="A40">
        <v>44674.873709330997</v>
      </c>
      <c r="B40">
        <v>19.980152</v>
      </c>
      <c r="C40">
        <v>19.774296</v>
      </c>
      <c r="D40">
        <v>19.595476000000001</v>
      </c>
      <c r="E40">
        <v>19.574935</v>
      </c>
      <c r="F40">
        <v>33.667298000000002</v>
      </c>
      <c r="G40">
        <v>31.492058</v>
      </c>
      <c r="H40">
        <v>29.851614999999999</v>
      </c>
      <c r="I40">
        <v>25.322977000000002</v>
      </c>
      <c r="J40">
        <v>57.113852999999999</v>
      </c>
      <c r="K40">
        <v>47.998508999999999</v>
      </c>
      <c r="L40">
        <v>139.57694499999999</v>
      </c>
      <c r="M40">
        <v>-622.50040799999999</v>
      </c>
      <c r="N40">
        <v>0.94844700000000004</v>
      </c>
      <c r="O40">
        <v>1.4442109999999999</v>
      </c>
      <c r="P40">
        <f t="shared" si="0"/>
        <v>1.5807450000000001E-5</v>
      </c>
      <c r="Q40" cm="1">
        <f t="array" ref="Q40">[1]!PropsSI("D","T",J40+273.15,"P",101325,"Water")</f>
        <v>984.65580348989954</v>
      </c>
      <c r="R40" cm="1">
        <f t="array" ref="R40">[1]!PropsSI("D","T",K40+273.15,"P",101325,"Water")</f>
        <v>988.92707425429649</v>
      </c>
      <c r="S40">
        <f t="shared" si="1"/>
        <v>986.79143887209807</v>
      </c>
      <c r="T40" cm="1">
        <f t="array" ref="T40">[1]!PropsSI("H","T",J40+273.15,"P",101325,"Water")</f>
        <v>239172.06217011274</v>
      </c>
      <c r="U40" cm="1">
        <f t="array" ref="U40">[1]!PropsSI("H","T",K40+273.15,"P",101325,"Water")</f>
        <v>201050.11743228466</v>
      </c>
      <c r="V40">
        <f t="shared" si="2"/>
        <v>594.65111461183312</v>
      </c>
      <c r="X40">
        <f t="shared" si="3"/>
        <v>0.26422770600000001</v>
      </c>
      <c r="Y40">
        <f t="shared" si="3"/>
        <v>0.24599701800000001</v>
      </c>
      <c r="Z40">
        <f t="shared" si="8"/>
        <v>0.36101359182572995</v>
      </c>
      <c r="AA40">
        <f t="shared" si="7"/>
        <v>9.1153440000000003</v>
      </c>
      <c r="AB40">
        <f t="shared" si="5"/>
        <v>4.0848004082376724E-2</v>
      </c>
      <c r="AC40">
        <f t="shared" si="6"/>
        <v>24.290311157254028</v>
      </c>
    </row>
    <row r="41" spans="1:29" x14ac:dyDescent="0.2">
      <c r="A41">
        <v>44674.873767780096</v>
      </c>
      <c r="B41">
        <v>19.660575999999999</v>
      </c>
      <c r="C41">
        <v>19.668257000000001</v>
      </c>
      <c r="D41">
        <v>19.374756000000001</v>
      </c>
      <c r="E41">
        <v>19.344456999999998</v>
      </c>
      <c r="F41">
        <v>33.108007999999998</v>
      </c>
      <c r="G41">
        <v>30.297048</v>
      </c>
      <c r="H41">
        <v>29.536263000000002</v>
      </c>
      <c r="I41">
        <v>26.012391000000001</v>
      </c>
      <c r="J41">
        <v>57.119743999999997</v>
      </c>
      <c r="K41">
        <v>47.992952000000002</v>
      </c>
      <c r="L41">
        <v>140.58342500000001</v>
      </c>
      <c r="M41">
        <v>-622.49632699999995</v>
      </c>
      <c r="N41">
        <v>0.94610300000000003</v>
      </c>
      <c r="O41">
        <v>1.271792</v>
      </c>
      <c r="P41">
        <f t="shared" si="0"/>
        <v>1.5768383333333333E-5</v>
      </c>
      <c r="Q41" cm="1">
        <f t="array" ref="Q41">[1]!PropsSI("D","T",J41+273.15,"P",101325,"Water")</f>
        <v>984.65287453136034</v>
      </c>
      <c r="R41" cm="1">
        <f t="array" ref="R41">[1]!PropsSI("D","T",K41+273.15,"P",101325,"Water")</f>
        <v>988.92951375039661</v>
      </c>
      <c r="S41">
        <f t="shared" si="1"/>
        <v>986.79119414087847</v>
      </c>
      <c r="T41" cm="1">
        <f t="array" ref="T41">[1]!PropsSI("H","T",J41+273.15,"P",101325,"Water")</f>
        <v>239196.70867772869</v>
      </c>
      <c r="U41" cm="1">
        <f t="array" ref="U41">[1]!PropsSI("H","T",K41+273.15,"P",101325,"Water")</f>
        <v>201026.88467760335</v>
      </c>
      <c r="V41">
        <f t="shared" si="2"/>
        <v>593.92634786179201</v>
      </c>
      <c r="X41">
        <f t="shared" si="3"/>
        <v>0.26423948799999997</v>
      </c>
      <c r="Y41">
        <f t="shared" si="3"/>
        <v>0.24598590400000001</v>
      </c>
      <c r="Z41">
        <f t="shared" si="8"/>
        <v>0.36101464234182989</v>
      </c>
      <c r="AA41">
        <f t="shared" si="7"/>
        <v>9.1267919999999947</v>
      </c>
      <c r="AB41">
        <f t="shared" si="5"/>
        <v>4.0799951372806877E-2</v>
      </c>
      <c r="AC41">
        <f t="shared" si="6"/>
        <v>24.232166111789894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02251-9C9C-4540-B995-638426DD4778}">
  <dimension ref="A1:AC45"/>
  <sheetViews>
    <sheetView topLeftCell="N1" workbookViewId="0">
      <selection activeCell="W4" sqref="W4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23" max="23" width="33.83203125" customWidth="1"/>
    <col min="24" max="24" width="12.33203125" customWidth="1"/>
    <col min="25" max="25" width="12.83203125" customWidth="1"/>
    <col min="26" max="26" width="12" customWidth="1"/>
  </cols>
  <sheetData>
    <row r="1" spans="1:2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25</v>
      </c>
      <c r="U1" s="3" t="s">
        <v>26</v>
      </c>
      <c r="V1" s="3" t="s">
        <v>27</v>
      </c>
      <c r="W1" s="3" t="s">
        <v>28</v>
      </c>
      <c r="X1" s="3" t="s">
        <v>29</v>
      </c>
      <c r="Y1" s="3" t="s">
        <v>30</v>
      </c>
      <c r="Z1" s="3" t="s">
        <v>31</v>
      </c>
      <c r="AA1" s="3" t="s">
        <v>32</v>
      </c>
      <c r="AB1" s="3" t="s">
        <v>33</v>
      </c>
      <c r="AC1" s="3" t="s">
        <v>34</v>
      </c>
    </row>
    <row r="2" spans="1:29" x14ac:dyDescent="0.2">
      <c r="A2">
        <v>44674.875868474599</v>
      </c>
      <c r="B2">
        <v>19.970303000000001</v>
      </c>
      <c r="C2">
        <v>19.860223000000001</v>
      </c>
      <c r="D2">
        <v>19.749634</v>
      </c>
      <c r="E2">
        <v>19.678908</v>
      </c>
      <c r="F2">
        <v>31.836845</v>
      </c>
      <c r="G2">
        <v>30.967324999999999</v>
      </c>
      <c r="H2">
        <v>27.378215999999998</v>
      </c>
      <c r="I2">
        <v>24.387219999999999</v>
      </c>
      <c r="J2">
        <v>57.083601999999999</v>
      </c>
      <c r="K2">
        <v>47.072223000000001</v>
      </c>
      <c r="L2">
        <v>211.39294100000001</v>
      </c>
      <c r="M2">
        <v>-622.47877700000004</v>
      </c>
      <c r="N2">
        <v>0.94858200000000004</v>
      </c>
      <c r="O2">
        <v>1.6677930000000001</v>
      </c>
      <c r="P2">
        <f t="shared" ref="P2:P65" si="0" xml:space="preserve"> N2*0.001/60</f>
        <v>1.5809699999999999E-5</v>
      </c>
      <c r="Q2" cm="1">
        <f t="array" ref="Q2">[1]!PropsSI("D","T",J2+273.15,"P",101325,"Water")</f>
        <v>984.67084072650198</v>
      </c>
      <c r="R2" cm="1">
        <f t="array" ref="R2">[1]!PropsSI("D","T",K2+273.15,"P",101325,"Water")</f>
        <v>989.33083466862615</v>
      </c>
      <c r="S2">
        <f t="shared" ref="S2:S65" si="1">(Q2+R2)/2</f>
        <v>987.00083769756407</v>
      </c>
      <c r="T2" cm="1">
        <f t="array" ref="T2">[1]!PropsSI("H","T",J2+273.15,"P",101325,"Water")</f>
        <v>239045.49957715368</v>
      </c>
      <c r="U2" cm="1">
        <f t="array" ref="U2">[1]!PropsSI("H","T",K2+273.15,"P",101325,"Water")</f>
        <v>197177.5967166526</v>
      </c>
      <c r="V2">
        <f t="shared" ref="V2:V65" si="2">S2*P2*(T2-U2)</f>
        <v>653.31459155148673</v>
      </c>
      <c r="W2" s="3">
        <f>AVERAGE(V2:V45)</f>
        <v>651.02128754724015</v>
      </c>
      <c r="X2">
        <f>(0.15+0.002*ABS(J2))</f>
        <v>0.26416720399999999</v>
      </c>
      <c r="Y2">
        <f>(0.15+0.002*ABS(K2))</f>
        <v>0.24414444600000001</v>
      </c>
      <c r="Z2">
        <f>SQRT((X2)^2 + (Y2)^2)</f>
        <v>0.35970935792918218</v>
      </c>
      <c r="AA2">
        <f>J2-K2</f>
        <v>10.011378999999998</v>
      </c>
      <c r="AB2">
        <f>SQRT((0.01)^2 + (Z2/ABS(AA2))^2)</f>
        <v>3.7295690957442104E-2</v>
      </c>
      <c r="AC2">
        <f>ABS(V2*AB2)</f>
        <v>24.365819104491766</v>
      </c>
    </row>
    <row r="3" spans="1:29" x14ac:dyDescent="0.2">
      <c r="A3">
        <v>44674.875926344903</v>
      </c>
      <c r="B3">
        <v>19.972270999999999</v>
      </c>
      <c r="C3">
        <v>19.83709</v>
      </c>
      <c r="D3">
        <v>19.759712</v>
      </c>
      <c r="E3">
        <v>19.710028000000001</v>
      </c>
      <c r="F3">
        <v>32.017083999999997</v>
      </c>
      <c r="G3">
        <v>31.554977000000001</v>
      </c>
      <c r="H3">
        <v>27.95609</v>
      </c>
      <c r="I3">
        <v>24.304228999999999</v>
      </c>
      <c r="J3">
        <v>57.088059999999999</v>
      </c>
      <c r="K3">
        <v>47.079048</v>
      </c>
      <c r="L3">
        <v>207.50987000000001</v>
      </c>
      <c r="M3">
        <v>-622.50122399999998</v>
      </c>
      <c r="N3">
        <v>0.94640999999999997</v>
      </c>
      <c r="O3">
        <v>1.6285639999999999</v>
      </c>
      <c r="P3">
        <f t="shared" si="0"/>
        <v>1.5773500000000001E-5</v>
      </c>
      <c r="Q3" cm="1">
        <f t="array" ref="Q3">[1]!PropsSI("D","T",J3+273.15,"P",101325,"Water")</f>
        <v>984.66862508292888</v>
      </c>
      <c r="R3" cm="1">
        <f t="array" ref="R3">[1]!PropsSI("D","T",K3+273.15,"P",101325,"Water")</f>
        <v>989.3278809375023</v>
      </c>
      <c r="S3">
        <f t="shared" si="1"/>
        <v>986.99825301021565</v>
      </c>
      <c r="T3" cm="1">
        <f t="array" ref="T3">[1]!PropsSI("H","T",J3+273.15,"P",101325,"Water")</f>
        <v>239064.15070788239</v>
      </c>
      <c r="U3" cm="1">
        <f t="array" ref="U3">[1]!PropsSI("H","T",K3+273.15,"P",101325,"Water")</f>
        <v>197206.12922244763</v>
      </c>
      <c r="V3">
        <f t="shared" si="2"/>
        <v>651.66313093015765</v>
      </c>
      <c r="W3" s="3" t="s">
        <v>35</v>
      </c>
      <c r="X3">
        <f t="shared" ref="X3:Y55" si="3">(0.15+0.002*ABS(J3))</f>
        <v>0.26417612000000001</v>
      </c>
      <c r="Y3">
        <f t="shared" si="3"/>
        <v>0.24415809599999999</v>
      </c>
      <c r="Z3">
        <f t="shared" ref="Z3:Z55" si="4">SQRT((X3)^2 + (Y3)^2)</f>
        <v>0.35972517040179386</v>
      </c>
      <c r="AA3">
        <f>J3-K3</f>
        <v>10.009011999999998</v>
      </c>
      <c r="AB3">
        <f t="shared" ref="AB3:AB66" si="5">SQRT((0.01)^2 + (Z3/ABS(AA3))^2)</f>
        <v>3.7305398886291502E-2</v>
      </c>
      <c r="AC3">
        <f t="shared" ref="AC3:AC66" si="6">ABS(V3*AB3)</f>
        <v>24.310553038839135</v>
      </c>
    </row>
    <row r="4" spans="1:29" x14ac:dyDescent="0.2">
      <c r="A4">
        <v>44674.875984215301</v>
      </c>
      <c r="B4">
        <v>19.956496000000001</v>
      </c>
      <c r="C4">
        <v>19.790554</v>
      </c>
      <c r="D4">
        <v>19.762881</v>
      </c>
      <c r="E4">
        <v>19.769933000000002</v>
      </c>
      <c r="F4">
        <v>32.079389999999997</v>
      </c>
      <c r="G4">
        <v>30.875983999999999</v>
      </c>
      <c r="H4">
        <v>27.471534999999999</v>
      </c>
      <c r="I4">
        <v>24.469362</v>
      </c>
      <c r="J4">
        <v>57.086787000000001</v>
      </c>
      <c r="K4">
        <v>47.082698999999998</v>
      </c>
      <c r="L4">
        <v>205.31079600000001</v>
      </c>
      <c r="M4">
        <v>-622.47143000000005</v>
      </c>
      <c r="N4">
        <v>0.95057800000000003</v>
      </c>
      <c r="O4">
        <v>1.7701290000000001</v>
      </c>
      <c r="P4">
        <f t="shared" si="0"/>
        <v>1.5842966666666667E-5</v>
      </c>
      <c r="Q4" cm="1">
        <f t="array" ref="Q4">[1]!PropsSI("D","T",J4+273.15,"P",101325,"Water")</f>
        <v>984.66925778126881</v>
      </c>
      <c r="R4" cm="1">
        <f t="array" ref="R4">[1]!PropsSI("D","T",K4+273.15,"P",101325,"Water")</f>
        <v>989.32630072378265</v>
      </c>
      <c r="S4">
        <f t="shared" si="1"/>
        <v>986.99777925252579</v>
      </c>
      <c r="T4" cm="1">
        <f t="array" ref="T4">[1]!PropsSI("H","T",J4+273.15,"P",101325,"Water")</f>
        <v>239058.82480098924</v>
      </c>
      <c r="U4" cm="1">
        <f t="array" ref="U4">[1]!PropsSI("H","T",K4+273.15,"P",101325,"Water")</f>
        <v>197221.39254985232</v>
      </c>
      <c r="V4">
        <f t="shared" si="2"/>
        <v>654.21079501830286</v>
      </c>
      <c r="W4" s="3">
        <f>SQRT((AVERAGE(AC2:AC45))^2 + (_xlfn.STDEV.S(V2:V45)/SQRT(COUNT(V2:V45)))^2)</f>
        <v>24.302390590386068</v>
      </c>
      <c r="X4">
        <f t="shared" si="3"/>
        <v>0.26417357399999997</v>
      </c>
      <c r="Y4">
        <f t="shared" si="3"/>
        <v>0.24416539799999998</v>
      </c>
      <c r="Z4">
        <f t="shared" si="4"/>
        <v>0.35972825685568799</v>
      </c>
      <c r="AA4">
        <f t="shared" ref="AA4:AA67" si="7">J4-K4</f>
        <v>10.004088000000003</v>
      </c>
      <c r="AB4">
        <f t="shared" si="5"/>
        <v>3.7322738721789706E-2</v>
      </c>
      <c r="AC4">
        <f t="shared" si="6"/>
        <v>24.41693857144244</v>
      </c>
    </row>
    <row r="5" spans="1:29" x14ac:dyDescent="0.2">
      <c r="A5">
        <v>44674.8760426644</v>
      </c>
      <c r="B5">
        <v>19.993590000000001</v>
      </c>
      <c r="C5">
        <v>19.880763000000002</v>
      </c>
      <c r="D5">
        <v>19.710259000000001</v>
      </c>
      <c r="E5">
        <v>19.683145</v>
      </c>
      <c r="F5">
        <v>32.162503000000001</v>
      </c>
      <c r="G5">
        <v>30.851467</v>
      </c>
      <c r="H5">
        <v>27.885921</v>
      </c>
      <c r="I5">
        <v>24.433612</v>
      </c>
      <c r="J5">
        <v>57.088379000000003</v>
      </c>
      <c r="K5">
        <v>47.085237999999997</v>
      </c>
      <c r="L5">
        <v>220.11536100000001</v>
      </c>
      <c r="M5">
        <v>-622.48571500000003</v>
      </c>
      <c r="N5">
        <v>0.94995099999999999</v>
      </c>
      <c r="O5">
        <v>1.78684</v>
      </c>
      <c r="P5">
        <f t="shared" si="0"/>
        <v>1.5832516666666668E-5</v>
      </c>
      <c r="Q5" cm="1">
        <f t="array" ref="Q5">[1]!PropsSI("D","T",J5+273.15,"P",101325,"Water")</f>
        <v>984.66846653404434</v>
      </c>
      <c r="R5" cm="1">
        <f t="array" ref="R5">[1]!PropsSI("D","T",K5+273.15,"P",101325,"Water")</f>
        <v>989.32520174881438</v>
      </c>
      <c r="S5">
        <f t="shared" si="1"/>
        <v>986.99683414142942</v>
      </c>
      <c r="T5" cm="1">
        <f t="array" ref="T5">[1]!PropsSI("H","T",J5+273.15,"P",101325,"Water")</f>
        <v>239065.48532247575</v>
      </c>
      <c r="U5" cm="1">
        <f t="array" ref="U5">[1]!PropsSI("H","T",K5+273.15,"P",101325,"Water")</f>
        <v>197232.00706497792</v>
      </c>
      <c r="V5">
        <f t="shared" si="2"/>
        <v>653.71686475319154</v>
      </c>
      <c r="W5" s="3"/>
      <c r="X5">
        <f t="shared" si="3"/>
        <v>0.26417675800000001</v>
      </c>
      <c r="Y5">
        <f t="shared" si="3"/>
        <v>0.24417047599999997</v>
      </c>
      <c r="Z5">
        <f t="shared" si="4"/>
        <v>0.35973404178289425</v>
      </c>
      <c r="AA5">
        <f t="shared" si="7"/>
        <v>10.003141000000006</v>
      </c>
      <c r="AB5">
        <f t="shared" si="5"/>
        <v>3.7326575604097766E-2</v>
      </c>
      <c r="AC5">
        <f t="shared" si="6"/>
        <v>24.401011975883758</v>
      </c>
    </row>
    <row r="6" spans="1:29" x14ac:dyDescent="0.2">
      <c r="A6">
        <v>46136.876101111113</v>
      </c>
      <c r="B6">
        <v>20.042341</v>
      </c>
      <c r="C6">
        <v>19.854787999999999</v>
      </c>
      <c r="D6">
        <v>19.754881999999998</v>
      </c>
      <c r="E6">
        <v>19.725702999999999</v>
      </c>
      <c r="F6">
        <v>32.006466000000003</v>
      </c>
      <c r="G6">
        <v>30.871324999999999</v>
      </c>
      <c r="H6">
        <v>27.498189</v>
      </c>
      <c r="I6">
        <v>23.793993</v>
      </c>
      <c r="J6">
        <v>57.08408</v>
      </c>
      <c r="K6">
        <v>47.080317999999998</v>
      </c>
      <c r="L6">
        <v>205.991578</v>
      </c>
      <c r="M6">
        <v>-622.46571600000004</v>
      </c>
      <c r="N6">
        <v>0.94748399999999999</v>
      </c>
      <c r="O6">
        <v>1.4303980000000001</v>
      </c>
      <c r="P6">
        <f t="shared" si="0"/>
        <v>1.5791400000000003E-5</v>
      </c>
      <c r="Q6" cm="1">
        <f t="array" ref="Q6">[1]!PropsSI("D","T",J6+273.15,"P",101325,"Water")</f>
        <v>984.67060316438858</v>
      </c>
      <c r="R6" cm="1">
        <f t="array" ref="R6">[1]!PropsSI("D","T",K6+273.15,"P",101325,"Water")</f>
        <v>989.32733127056349</v>
      </c>
      <c r="S6">
        <f t="shared" si="1"/>
        <v>986.99896721747609</v>
      </c>
      <c r="T6" cm="1">
        <f t="array" ref="T6">[1]!PropsSI("H","T",J6+273.15,"P",101325,"Water")</f>
        <v>239047.49940640925</v>
      </c>
      <c r="U6" cm="1">
        <f t="array" ref="U6">[1]!PropsSI("H","T",K6+273.15,"P",101325,"Water")</f>
        <v>197211.43856908337</v>
      </c>
      <c r="V6">
        <f t="shared" si="2"/>
        <v>652.06083917441822</v>
      </c>
      <c r="W6" s="3"/>
      <c r="X6">
        <f t="shared" si="3"/>
        <v>0.26416815999999999</v>
      </c>
      <c r="Y6">
        <f t="shared" si="3"/>
        <v>0.24416063599999999</v>
      </c>
      <c r="Z6">
        <f t="shared" si="4"/>
        <v>0.35972104877211464</v>
      </c>
      <c r="AA6">
        <f t="shared" si="7"/>
        <v>10.003762000000002</v>
      </c>
      <c r="AB6">
        <f t="shared" si="5"/>
        <v>3.7323173479695826E-2</v>
      </c>
      <c r="AC6">
        <f t="shared" si="6"/>
        <v>24.336979819822851</v>
      </c>
    </row>
    <row r="7" spans="1:29" x14ac:dyDescent="0.2">
      <c r="A7">
        <v>46136.876159560183</v>
      </c>
      <c r="B7">
        <v>19.939755999999999</v>
      </c>
      <c r="C7">
        <v>19.909827</v>
      </c>
      <c r="D7">
        <v>19.687998</v>
      </c>
      <c r="E7">
        <v>19.653851</v>
      </c>
      <c r="F7">
        <v>32.114443999999999</v>
      </c>
      <c r="G7">
        <v>31.347812999999999</v>
      </c>
      <c r="H7">
        <v>26.984670999999999</v>
      </c>
      <c r="I7">
        <v>24.331333000000001</v>
      </c>
      <c r="J7">
        <v>57.091403999999997</v>
      </c>
      <c r="K7">
        <v>47.086508000000002</v>
      </c>
      <c r="L7">
        <v>216.30942899999999</v>
      </c>
      <c r="M7">
        <v>-622.48897999999997</v>
      </c>
      <c r="N7">
        <v>0.94416100000000003</v>
      </c>
      <c r="O7">
        <v>1.7600260000000001</v>
      </c>
      <c r="P7">
        <f t="shared" si="0"/>
        <v>1.5736016666666666E-5</v>
      </c>
      <c r="Q7" cm="1">
        <f t="array" ref="Q7">[1]!PropsSI("D","T",J7+273.15,"P",101325,"Water")</f>
        <v>984.66696302248909</v>
      </c>
      <c r="R7" cm="1">
        <f t="array" ref="R7">[1]!PropsSI("D","T",K7+273.15,"P",101325,"Water")</f>
        <v>989.32465202850585</v>
      </c>
      <c r="S7">
        <f t="shared" si="1"/>
        <v>986.99580752549741</v>
      </c>
      <c r="T7" cm="1">
        <f t="array" ref="T7">[1]!PropsSI("H","T",J7+273.15,"P",101325,"Water")</f>
        <v>239078.14115295271</v>
      </c>
      <c r="U7" cm="1">
        <f t="array" ref="U7">[1]!PropsSI("H","T",K7+273.15,"P",101325,"Water")</f>
        <v>197237.31641335753</v>
      </c>
      <c r="V7">
        <f t="shared" si="2"/>
        <v>649.84585219010933</v>
      </c>
      <c r="W7" s="3"/>
      <c r="X7">
        <f t="shared" si="3"/>
        <v>0.26418280799999999</v>
      </c>
      <c r="Y7">
        <f t="shared" si="3"/>
        <v>0.24417301600000002</v>
      </c>
      <c r="Z7">
        <f t="shared" si="4"/>
        <v>0.35974020874139317</v>
      </c>
      <c r="AA7">
        <f t="shared" si="7"/>
        <v>10.004895999999995</v>
      </c>
      <c r="AB7">
        <f t="shared" si="5"/>
        <v>3.7321091833122988E-2</v>
      </c>
      <c r="AC7">
        <f t="shared" si="6"/>
        <v>24.252956726961138</v>
      </c>
    </row>
    <row r="8" spans="1:29" x14ac:dyDescent="0.2">
      <c r="A8">
        <v>46136.876217430552</v>
      </c>
      <c r="B8">
        <v>20.057866000000001</v>
      </c>
      <c r="C8">
        <v>19.973303999999999</v>
      </c>
      <c r="D8">
        <v>19.763542000000001</v>
      </c>
      <c r="E8">
        <v>19.723012000000001</v>
      </c>
      <c r="F8">
        <v>32.124271</v>
      </c>
      <c r="G8">
        <v>31.447849999999999</v>
      </c>
      <c r="H8">
        <v>27.167075000000001</v>
      </c>
      <c r="I8">
        <v>23.927531999999999</v>
      </c>
      <c r="J8">
        <v>57.090130000000002</v>
      </c>
      <c r="K8">
        <v>47.096666999999997</v>
      </c>
      <c r="L8">
        <v>205.95770200000001</v>
      </c>
      <c r="M8">
        <v>-622.48816399999998</v>
      </c>
      <c r="N8">
        <v>0.94845900000000005</v>
      </c>
      <c r="O8">
        <v>1.780664</v>
      </c>
      <c r="P8">
        <f t="shared" si="0"/>
        <v>1.5807650000000001E-5</v>
      </c>
      <c r="Q8" cm="1">
        <f t="array" ref="Q8">[1]!PropsSI("D","T",J8+273.15,"P",101325,"Water")</f>
        <v>984.66759624372435</v>
      </c>
      <c r="R8" cm="1">
        <f t="array" ref="R8">[1]!PropsSI("D","T",K8+273.15,"P",101325,"Water")</f>
        <v>989.32025430459703</v>
      </c>
      <c r="S8">
        <f t="shared" si="1"/>
        <v>986.99392527416069</v>
      </c>
      <c r="T8" cm="1">
        <f t="array" ref="T8">[1]!PropsSI("H","T",J8+273.15,"P",101325,"Water")</f>
        <v>239072.81106060933</v>
      </c>
      <c r="U8" cm="1">
        <f t="array" ref="U8">[1]!PropsSI("H","T",K8+273.15,"P",101325,"Water")</f>
        <v>197279.78703387274</v>
      </c>
      <c r="V8">
        <f t="shared" si="2"/>
        <v>652.05703954034584</v>
      </c>
      <c r="W8" s="3"/>
      <c r="X8">
        <f t="shared" si="3"/>
        <v>0.26418026</v>
      </c>
      <c r="Y8">
        <f t="shared" si="3"/>
        <v>0.24419333399999998</v>
      </c>
      <c r="Z8">
        <f>SQRT((X8)^2 + (Y8)^2)</f>
        <v>0.35975212875492918</v>
      </c>
      <c r="AA8">
        <f t="shared" si="7"/>
        <v>9.9934630000000055</v>
      </c>
      <c r="AB8">
        <f t="shared" si="5"/>
        <v>3.7361874417025112E-2</v>
      </c>
      <c r="AC8">
        <f t="shared" si="6"/>
        <v>24.362073224043581</v>
      </c>
    </row>
    <row r="9" spans="1:29" x14ac:dyDescent="0.2">
      <c r="A9">
        <v>46136.876275879629</v>
      </c>
      <c r="B9">
        <v>20.154893000000001</v>
      </c>
      <c r="C9">
        <v>20.058844000000001</v>
      </c>
      <c r="D9">
        <v>19.911061</v>
      </c>
      <c r="E9">
        <v>19.783764000000001</v>
      </c>
      <c r="F9">
        <v>32.401060000000001</v>
      </c>
      <c r="G9">
        <v>31.43768</v>
      </c>
      <c r="H9">
        <v>27.484839999999998</v>
      </c>
      <c r="I9">
        <v>23.776091000000001</v>
      </c>
      <c r="J9">
        <v>57.090288999999999</v>
      </c>
      <c r="K9">
        <v>47.106983999999997</v>
      </c>
      <c r="L9">
        <v>201.94688300000001</v>
      </c>
      <c r="M9">
        <v>-622.48122499999999</v>
      </c>
      <c r="N9">
        <v>0.94614399999999999</v>
      </c>
      <c r="O9">
        <v>1.2971060000000001</v>
      </c>
      <c r="P9">
        <f t="shared" si="0"/>
        <v>1.5769066666666668E-5</v>
      </c>
      <c r="Q9" cm="1">
        <f t="array" ref="Q9">[1]!PropsSI("D","T",J9+273.15,"P",101325,"Water")</f>
        <v>984.66751721585933</v>
      </c>
      <c r="R9" cm="1">
        <f t="array" ref="R9">[1]!PropsSI("D","T",K9+273.15,"P",101325,"Water")</f>
        <v>989.31578746701223</v>
      </c>
      <c r="S9">
        <f t="shared" si="1"/>
        <v>986.99165234143584</v>
      </c>
      <c r="T9" cm="1">
        <f t="array" ref="T9">[1]!PropsSI("H","T",J9+273.15,"P",101325,"Water")</f>
        <v>239073.47627620565</v>
      </c>
      <c r="U9" cm="1">
        <f t="array" ref="U9">[1]!PropsSI("H","T",K9+273.15,"P",101325,"Water")</f>
        <v>197322.91821234598</v>
      </c>
      <c r="V9">
        <f t="shared" si="2"/>
        <v>649.80306231859709</v>
      </c>
      <c r="W9" s="3"/>
      <c r="X9">
        <f t="shared" si="3"/>
        <v>0.264180578</v>
      </c>
      <c r="Y9">
        <f t="shared" si="3"/>
        <v>0.244213968</v>
      </c>
      <c r="Z9">
        <f t="shared" ref="Z9:Z72" si="8">SQRT((X9)^2 + (Y9)^2)</f>
        <v>0.35976636857649591</v>
      </c>
      <c r="AA9">
        <f t="shared" si="7"/>
        <v>9.9833050000000014</v>
      </c>
      <c r="AB9">
        <f t="shared" si="5"/>
        <v>3.739854242554496E-2</v>
      </c>
      <c r="AC9">
        <f t="shared" si="6"/>
        <v>24.30168739437109</v>
      </c>
    </row>
    <row r="10" spans="1:29" x14ac:dyDescent="0.2">
      <c r="A10">
        <v>44674.876334330998</v>
      </c>
      <c r="B10">
        <v>20.105218000000001</v>
      </c>
      <c r="C10">
        <v>19.980782999999999</v>
      </c>
      <c r="D10">
        <v>19.834409999999998</v>
      </c>
      <c r="E10">
        <v>19.753627000000002</v>
      </c>
      <c r="F10">
        <v>32.137701</v>
      </c>
      <c r="G10">
        <v>30.842960000000001</v>
      </c>
      <c r="H10">
        <v>28.030536000000001</v>
      </c>
      <c r="I10">
        <v>24.687252000000001</v>
      </c>
      <c r="J10">
        <v>57.094110000000001</v>
      </c>
      <c r="K10">
        <v>47.107301</v>
      </c>
      <c r="L10">
        <v>208.28207599999999</v>
      </c>
      <c r="M10">
        <v>-622.49714300000005</v>
      </c>
      <c r="N10">
        <v>0.94715199999999999</v>
      </c>
      <c r="O10">
        <v>1.7653380000000001</v>
      </c>
      <c r="P10">
        <f t="shared" si="0"/>
        <v>1.5785866666666667E-5</v>
      </c>
      <c r="Q10" cm="1">
        <f t="array" ref="Q10">[1]!PropsSI("D","T",J10+273.15,"P",101325,"Water")</f>
        <v>984.66561801595719</v>
      </c>
      <c r="R10" cm="1">
        <f t="array" ref="R10">[1]!PropsSI("D","T",K10+273.15,"P",101325,"Water")</f>
        <v>989.31565020757364</v>
      </c>
      <c r="S10">
        <f t="shared" si="1"/>
        <v>986.99063411176542</v>
      </c>
      <c r="T10" cm="1">
        <f t="array" ref="T10">[1]!PropsSI("H","T",J10+273.15,"P",101325,"Water")</f>
        <v>239089.4623715198</v>
      </c>
      <c r="U10" cm="1">
        <f t="array" ref="U10">[1]!PropsSI("H","T",K10+273.15,"P",101325,"Water")</f>
        <v>197324.24346076555</v>
      </c>
      <c r="V10">
        <f t="shared" si="2"/>
        <v>650.72309979615966</v>
      </c>
      <c r="X10">
        <f t="shared" si="3"/>
        <v>0.26418821999999997</v>
      </c>
      <c r="Y10">
        <f t="shared" si="3"/>
        <v>0.244214602</v>
      </c>
      <c r="Z10">
        <f t="shared" si="8"/>
        <v>0.35977241058311682</v>
      </c>
      <c r="AA10">
        <f t="shared" si="7"/>
        <v>9.9868090000000009</v>
      </c>
      <c r="AB10">
        <f t="shared" si="5"/>
        <v>3.7386941948130345E-2</v>
      </c>
      <c r="AC10">
        <f t="shared" si="6"/>
        <v>24.328546756386451</v>
      </c>
    </row>
    <row r="11" spans="1:29" x14ac:dyDescent="0.2">
      <c r="A11">
        <v>44674.876392201397</v>
      </c>
      <c r="B11">
        <v>20.080559000000001</v>
      </c>
      <c r="C11">
        <v>20.042952</v>
      </c>
      <c r="D11">
        <v>19.799278000000001</v>
      </c>
      <c r="E11">
        <v>19.739538</v>
      </c>
      <c r="F11">
        <v>31.850413</v>
      </c>
      <c r="G11">
        <v>30.999625000000002</v>
      </c>
      <c r="H11">
        <v>27.517900000000001</v>
      </c>
      <c r="I11">
        <v>24.199863000000001</v>
      </c>
      <c r="J11">
        <v>57.097613000000003</v>
      </c>
      <c r="K11">
        <v>47.111427999999997</v>
      </c>
      <c r="L11">
        <v>222.709925</v>
      </c>
      <c r="M11">
        <v>-622.49755100000004</v>
      </c>
      <c r="N11">
        <v>0.94540199999999996</v>
      </c>
      <c r="O11">
        <v>1.5313110000000001</v>
      </c>
      <c r="P11">
        <f t="shared" si="0"/>
        <v>1.5756700000000001E-5</v>
      </c>
      <c r="Q11" cm="1">
        <f t="array" ref="Q11">[1]!PropsSI("D","T",J11+273.15,"P",101325,"Water")</f>
        <v>984.66387679766353</v>
      </c>
      <c r="R11" cm="1">
        <f t="array" ref="R11">[1]!PropsSI("D","T",K11+273.15,"P",101325,"Water")</f>
        <v>989.3138631747031</v>
      </c>
      <c r="S11">
        <f t="shared" si="1"/>
        <v>986.98886998618332</v>
      </c>
      <c r="T11" cm="1">
        <f t="array" ref="T11">[1]!PropsSI("H","T",J11+273.15,"P",101325,"Water")</f>
        <v>239104.11804058249</v>
      </c>
      <c r="U11" cm="1">
        <f t="array" ref="U11">[1]!PropsSI("H","T",K11+273.15,"P",101325,"Water")</f>
        <v>197341.49677550831</v>
      </c>
      <c r="V11">
        <f t="shared" si="2"/>
        <v>649.47923625258466</v>
      </c>
      <c r="X11">
        <f t="shared" si="3"/>
        <v>0.26419522600000001</v>
      </c>
      <c r="Y11">
        <f t="shared" si="3"/>
        <v>0.24422285599999999</v>
      </c>
      <c r="Z11">
        <f t="shared" si="8"/>
        <v>0.35978315807439876</v>
      </c>
      <c r="AA11">
        <f t="shared" si="7"/>
        <v>9.9861850000000061</v>
      </c>
      <c r="AB11">
        <f t="shared" si="5"/>
        <v>3.7390148020886867E-2</v>
      </c>
      <c r="AC11">
        <f t="shared" si="6"/>
        <v>24.284124779976693</v>
      </c>
    </row>
    <row r="12" spans="1:29" x14ac:dyDescent="0.2">
      <c r="A12">
        <v>44674.876450650503</v>
      </c>
      <c r="B12">
        <v>20.106826000000002</v>
      </c>
      <c r="C12">
        <v>20.043455000000002</v>
      </c>
      <c r="D12">
        <v>19.845987999999998</v>
      </c>
      <c r="E12">
        <v>19.773130999999999</v>
      </c>
      <c r="F12">
        <v>31.958904</v>
      </c>
      <c r="G12">
        <v>31.701943</v>
      </c>
      <c r="H12">
        <v>27.781797000000001</v>
      </c>
      <c r="I12">
        <v>23.937522000000001</v>
      </c>
      <c r="J12">
        <v>57.103982000000002</v>
      </c>
      <c r="K12">
        <v>47.118887999999998</v>
      </c>
      <c r="L12">
        <v>201.72648599999999</v>
      </c>
      <c r="M12">
        <v>-622.50449000000003</v>
      </c>
      <c r="N12">
        <v>0.94631200000000004</v>
      </c>
      <c r="O12">
        <v>1.442407</v>
      </c>
      <c r="P12">
        <f t="shared" si="0"/>
        <v>1.5771866666666667E-5</v>
      </c>
      <c r="Q12" cm="1">
        <f t="array" ref="Q12">[1]!PropsSI("D","T",J12+273.15,"P",101325,"Water")</f>
        <v>984.66071080039046</v>
      </c>
      <c r="R12" cm="1">
        <f t="array" ref="R12">[1]!PropsSI("D","T",K12+273.15,"P",101325,"Water")</f>
        <v>989.31063262563771</v>
      </c>
      <c r="S12">
        <f t="shared" si="1"/>
        <v>986.98567171301409</v>
      </c>
      <c r="T12" cm="1">
        <f t="array" ref="T12">[1]!PropsSI("H","T",J12+273.15,"P",101325,"Water")</f>
        <v>239130.76434354347</v>
      </c>
      <c r="U12" cm="1">
        <f t="array" ref="U12">[1]!PropsSI("H","T",K12+273.15,"P",101325,"Water")</f>
        <v>197372.68402290481</v>
      </c>
      <c r="V12">
        <f t="shared" si="2"/>
        <v>650.03160104611652</v>
      </c>
      <c r="X12">
        <f t="shared" si="3"/>
        <v>0.26420796400000002</v>
      </c>
      <c r="Y12">
        <f t="shared" si="3"/>
        <v>0.24423777599999999</v>
      </c>
      <c r="Z12">
        <f t="shared" si="8"/>
        <v>0.35980263960461917</v>
      </c>
      <c r="AA12">
        <f t="shared" si="7"/>
        <v>9.9850940000000037</v>
      </c>
      <c r="AB12">
        <f t="shared" si="5"/>
        <v>3.7395821172570565E-2</v>
      </c>
      <c r="AC12">
        <f t="shared" si="6"/>
        <v>24.308465509240307</v>
      </c>
    </row>
    <row r="13" spans="1:29" x14ac:dyDescent="0.2">
      <c r="A13">
        <v>44674.876509099602</v>
      </c>
      <c r="B13">
        <v>20.13381</v>
      </c>
      <c r="C13">
        <v>20.037935000000001</v>
      </c>
      <c r="D13">
        <v>19.895032</v>
      </c>
      <c r="E13">
        <v>19.809726000000001</v>
      </c>
      <c r="F13">
        <v>32.14725</v>
      </c>
      <c r="G13">
        <v>31.761407999999999</v>
      </c>
      <c r="H13">
        <v>28.038557000000001</v>
      </c>
      <c r="I13">
        <v>24.552233000000001</v>
      </c>
      <c r="J13">
        <v>57.102708</v>
      </c>
      <c r="K13">
        <v>47.116824999999999</v>
      </c>
      <c r="L13">
        <v>213.65486799999999</v>
      </c>
      <c r="M13">
        <v>-622.52326400000004</v>
      </c>
      <c r="N13">
        <v>0.94690600000000003</v>
      </c>
      <c r="O13">
        <v>1.292251</v>
      </c>
      <c r="P13">
        <f t="shared" si="0"/>
        <v>1.5781766666666669E-5</v>
      </c>
      <c r="Q13" cm="1">
        <f t="array" ref="Q13">[1]!PropsSI("D","T",J13+273.15,"P",101325,"Water")</f>
        <v>984.66134411897974</v>
      </c>
      <c r="R13" cm="1">
        <f t="array" ref="R13">[1]!PropsSI("D","T",K13+273.15,"P",101325,"Water")</f>
        <v>989.31152604448766</v>
      </c>
      <c r="S13">
        <f t="shared" si="1"/>
        <v>986.9864350817337</v>
      </c>
      <c r="T13" cm="1">
        <f t="array" ref="T13">[1]!PropsSI("H","T",J13+273.15,"P",101325,"Water")</f>
        <v>239125.43424487158</v>
      </c>
      <c r="U13" cm="1">
        <f t="array" ref="U13">[1]!PropsSI("H","T",K13+273.15,"P",101325,"Water")</f>
        <v>197364.05945172592</v>
      </c>
      <c r="V13">
        <f t="shared" si="2"/>
        <v>650.49144491274888</v>
      </c>
      <c r="X13">
        <f t="shared" si="3"/>
        <v>0.26420541600000003</v>
      </c>
      <c r="Y13">
        <f t="shared" si="3"/>
        <v>0.24423365</v>
      </c>
      <c r="Z13">
        <f t="shared" si="8"/>
        <v>0.35979796780423257</v>
      </c>
      <c r="AA13">
        <f t="shared" si="7"/>
        <v>9.9858830000000012</v>
      </c>
      <c r="AB13">
        <f t="shared" si="5"/>
        <v>3.7392626962921394E-2</v>
      </c>
      <c r="AC13">
        <f t="shared" si="6"/>
        <v>24.323583942194151</v>
      </c>
    </row>
    <row r="14" spans="1:29" x14ac:dyDescent="0.2">
      <c r="A14">
        <v>44674.876567548599</v>
      </c>
      <c r="B14">
        <v>20.049486999999999</v>
      </c>
      <c r="C14">
        <v>19.808222000000001</v>
      </c>
      <c r="D14">
        <v>19.830002</v>
      </c>
      <c r="E14">
        <v>19.668590999999999</v>
      </c>
      <c r="F14">
        <v>32.031311000000002</v>
      </c>
      <c r="G14">
        <v>29.925784</v>
      </c>
      <c r="H14">
        <v>28.491911000000002</v>
      </c>
      <c r="I14">
        <v>24.523257999999998</v>
      </c>
      <c r="J14">
        <v>57.096657999999998</v>
      </c>
      <c r="K14">
        <v>47.128253000000001</v>
      </c>
      <c r="L14">
        <v>221.44182499999999</v>
      </c>
      <c r="M14">
        <v>-622.49102100000005</v>
      </c>
      <c r="N14">
        <v>0.94783200000000001</v>
      </c>
      <c r="O14">
        <v>1.3929480000000001</v>
      </c>
      <c r="P14">
        <f t="shared" si="0"/>
        <v>1.5797200000000002E-5</v>
      </c>
      <c r="Q14" cm="1">
        <f t="array" ref="Q14">[1]!PropsSI("D","T",J14+273.15,"P",101325,"Water")</f>
        <v>984.66435150202426</v>
      </c>
      <c r="R14" cm="1">
        <f t="array" ref="R14">[1]!PropsSI("D","T",K14+273.15,"P",101325,"Water")</f>
        <v>989.30657658254484</v>
      </c>
      <c r="S14">
        <f t="shared" si="1"/>
        <v>986.98546404228455</v>
      </c>
      <c r="T14" cm="1">
        <f t="array" ref="T14">[1]!PropsSI("H","T",J14+273.15,"P",101325,"Water")</f>
        <v>239100.12256079208</v>
      </c>
      <c r="U14" cm="1">
        <f t="array" ref="U14">[1]!PropsSI("H","T",K14+273.15,"P",101325,"Water")</f>
        <v>197411.83532437767</v>
      </c>
      <c r="V14">
        <f t="shared" si="2"/>
        <v>649.98738161207154</v>
      </c>
      <c r="X14">
        <f t="shared" si="3"/>
        <v>0.26419331600000001</v>
      </c>
      <c r="Y14">
        <f t="shared" si="3"/>
        <v>0.24425650599999998</v>
      </c>
      <c r="Z14">
        <f t="shared" si="8"/>
        <v>0.35980459827857109</v>
      </c>
      <c r="AA14">
        <f t="shared" si="7"/>
        <v>9.9684049999999971</v>
      </c>
      <c r="AB14">
        <f t="shared" si="5"/>
        <v>3.7454144754100152E-2</v>
      </c>
      <c r="AC14">
        <f t="shared" si="6"/>
        <v>24.344721479237062</v>
      </c>
    </row>
    <row r="15" spans="1:29" x14ac:dyDescent="0.2">
      <c r="A15">
        <v>46136.87662599537</v>
      </c>
      <c r="B15">
        <v>19.960619999999999</v>
      </c>
      <c r="C15">
        <v>19.836452000000001</v>
      </c>
      <c r="D15">
        <v>19.740963000000001</v>
      </c>
      <c r="E15">
        <v>19.704111000000001</v>
      </c>
      <c r="F15">
        <v>31.746680999999999</v>
      </c>
      <c r="G15">
        <v>30.148211</v>
      </c>
      <c r="H15">
        <v>27.392545999999999</v>
      </c>
      <c r="I15">
        <v>24.901215000000001</v>
      </c>
      <c r="J15">
        <v>57.104458999999999</v>
      </c>
      <c r="K15">
        <v>47.119363999999997</v>
      </c>
      <c r="L15">
        <v>216.13800900000001</v>
      </c>
      <c r="M15">
        <v>-622.506122</v>
      </c>
      <c r="N15">
        <v>0.94416100000000003</v>
      </c>
      <c r="O15">
        <v>1.3057209999999999</v>
      </c>
      <c r="P15">
        <f t="shared" si="0"/>
        <v>1.5736016666666666E-5</v>
      </c>
      <c r="Q15" cm="1">
        <f t="array" ref="Q15">[1]!PropsSI("D","T",J15+273.15,"P",101325,"Water")</f>
        <v>984.66047367621888</v>
      </c>
      <c r="R15" cm="1">
        <f t="array" ref="R15">[1]!PropsSI("D","T",K15+273.15,"P",101325,"Water")</f>
        <v>989.31042648124856</v>
      </c>
      <c r="S15">
        <f t="shared" si="1"/>
        <v>986.98545007873372</v>
      </c>
      <c r="T15" cm="1">
        <f t="array" ref="T15">[1]!PropsSI("H","T",J15+273.15,"P",101325,"Water")</f>
        <v>239132.75999281323</v>
      </c>
      <c r="U15" cm="1">
        <f t="array" ref="U15">[1]!PropsSI("H","T",K15+273.15,"P",101325,"Water")</f>
        <v>197374.67398711847</v>
      </c>
      <c r="V15">
        <f t="shared" si="2"/>
        <v>648.5539993284624</v>
      </c>
      <c r="X15">
        <f t="shared" si="3"/>
        <v>0.26420891800000001</v>
      </c>
      <c r="Y15">
        <f t="shared" si="3"/>
        <v>0.24423872799999999</v>
      </c>
      <c r="Z15">
        <f t="shared" si="8"/>
        <v>0.359803986367284</v>
      </c>
      <c r="AA15">
        <f t="shared" si="7"/>
        <v>9.9850950000000012</v>
      </c>
      <c r="AB15">
        <f t="shared" si="5"/>
        <v>3.7395947660701048E-2</v>
      </c>
      <c r="AC15">
        <f t="shared" si="6"/>
        <v>24.253291414025522</v>
      </c>
    </row>
    <row r="16" spans="1:29" x14ac:dyDescent="0.2">
      <c r="A16">
        <v>46136.876684444447</v>
      </c>
      <c r="B16">
        <v>20.052205000000001</v>
      </c>
      <c r="C16">
        <v>19.983250000000002</v>
      </c>
      <c r="D16">
        <v>19.674330999999999</v>
      </c>
      <c r="E16">
        <v>19.703206000000002</v>
      </c>
      <c r="F16">
        <v>31.851303000000001</v>
      </c>
      <c r="G16">
        <v>30.213197000000001</v>
      </c>
      <c r="H16">
        <v>27.926447</v>
      </c>
      <c r="I16">
        <v>24.91864</v>
      </c>
      <c r="J16">
        <v>57.097932</v>
      </c>
      <c r="K16">
        <v>47.109999000000002</v>
      </c>
      <c r="L16">
        <v>215.69925599999999</v>
      </c>
      <c r="M16">
        <v>-622.47020599999996</v>
      </c>
      <c r="N16">
        <v>0.94209100000000001</v>
      </c>
      <c r="O16">
        <v>1.409405</v>
      </c>
      <c r="P16">
        <f t="shared" si="0"/>
        <v>1.5701516666666669E-5</v>
      </c>
      <c r="Q16" cm="1">
        <f t="array" ref="Q16">[1]!PropsSI("D","T",J16+273.15,"P",101325,"Water")</f>
        <v>984.66371823025725</v>
      </c>
      <c r="R16" cm="1">
        <f t="array" ref="R16">[1]!PropsSI("D","T",K16+273.15,"P",101325,"Water")</f>
        <v>989.31448195930091</v>
      </c>
      <c r="S16">
        <f t="shared" si="1"/>
        <v>986.98910009477913</v>
      </c>
      <c r="T16" cm="1">
        <f t="array" ref="T16">[1]!PropsSI("H","T",J16+273.15,"P",101325,"Water")</f>
        <v>239105.45265635749</v>
      </c>
      <c r="U16" cm="1">
        <f t="array" ref="U16">[1]!PropsSI("H","T",K16+273.15,"P",101325,"Water")</f>
        <v>197335.52270502527</v>
      </c>
      <c r="V16">
        <f t="shared" si="2"/>
        <v>647.31803631301148</v>
      </c>
      <c r="X16">
        <f t="shared" si="3"/>
        <v>0.264195864</v>
      </c>
      <c r="Y16">
        <f t="shared" si="3"/>
        <v>0.24421999799999999</v>
      </c>
      <c r="Z16">
        <f t="shared" si="8"/>
        <v>0.35978168655147874</v>
      </c>
      <c r="AA16">
        <f t="shared" si="7"/>
        <v>9.9879329999999982</v>
      </c>
      <c r="AB16">
        <f t="shared" si="5"/>
        <v>3.7383930471125808E-2</v>
      </c>
      <c r="AC16">
        <f t="shared" si="6"/>
        <v>24.199292462231313</v>
      </c>
    </row>
    <row r="17" spans="1:29" x14ac:dyDescent="0.2">
      <c r="A17">
        <v>46136.876742314817</v>
      </c>
      <c r="B17">
        <v>20.082125000000001</v>
      </c>
      <c r="C17">
        <v>19.942553</v>
      </c>
      <c r="D17">
        <v>19.743245000000002</v>
      </c>
      <c r="E17">
        <v>19.787960000000002</v>
      </c>
      <c r="F17">
        <v>31.907066</v>
      </c>
      <c r="G17">
        <v>31.466654999999999</v>
      </c>
      <c r="H17">
        <v>28.089592</v>
      </c>
      <c r="I17">
        <v>24.103629000000002</v>
      </c>
      <c r="J17">
        <v>57.094588000000002</v>
      </c>
      <c r="K17">
        <v>47.099682000000001</v>
      </c>
      <c r="L17">
        <v>214.62135000000001</v>
      </c>
      <c r="M17">
        <v>-622.48326599999996</v>
      </c>
      <c r="N17">
        <v>0.94603800000000005</v>
      </c>
      <c r="O17">
        <v>1.670042</v>
      </c>
      <c r="P17">
        <f t="shared" si="0"/>
        <v>1.5767300000000001E-5</v>
      </c>
      <c r="Q17" cm="1">
        <f t="array" ref="Q17">[1]!PropsSI("D","T",J17+273.15,"P",101325,"Water")</f>
        <v>984.66538042333809</v>
      </c>
      <c r="R17" cm="1">
        <f t="array" ref="R17">[1]!PropsSI("D","T",K17+273.15,"P",101325,"Water")</f>
        <v>989.31894900805628</v>
      </c>
      <c r="S17">
        <f t="shared" si="1"/>
        <v>986.99216471569719</v>
      </c>
      <c r="T17" cm="1">
        <f t="array" ref="T17">[1]!PropsSI("H","T",J17+273.15,"P",101325,"Water")</f>
        <v>239091.46220277576</v>
      </c>
      <c r="U17" cm="1">
        <f t="array" ref="U17">[1]!PropsSI("H","T",K17+273.15,"P",101325,"Water")</f>
        <v>197292.39151933495</v>
      </c>
      <c r="V17">
        <f t="shared" si="2"/>
        <v>650.48556294296577</v>
      </c>
      <c r="X17">
        <f t="shared" si="3"/>
        <v>0.26418917600000003</v>
      </c>
      <c r="Y17">
        <f t="shared" si="3"/>
        <v>0.244199364</v>
      </c>
      <c r="Z17">
        <f t="shared" si="8"/>
        <v>0.35976276918764605</v>
      </c>
      <c r="AA17">
        <f t="shared" si="7"/>
        <v>9.9949060000000003</v>
      </c>
      <c r="AB17">
        <f t="shared" si="5"/>
        <v>3.7357892531322948E-2</v>
      </c>
      <c r="AC17">
        <f t="shared" si="6"/>
        <v>24.300769753600424</v>
      </c>
    </row>
    <row r="18" spans="1:29" x14ac:dyDescent="0.2">
      <c r="A18">
        <v>46136.876800763886</v>
      </c>
      <c r="B18">
        <v>19.741803999999998</v>
      </c>
      <c r="C18">
        <v>19.660461000000002</v>
      </c>
      <c r="D18">
        <v>19.682395</v>
      </c>
      <c r="E18">
        <v>19.648744000000001</v>
      </c>
      <c r="F18">
        <v>32.030478000000002</v>
      </c>
      <c r="G18">
        <v>30.689015999999999</v>
      </c>
      <c r="H18">
        <v>28.416589999999999</v>
      </c>
      <c r="I18">
        <v>24.694928000000001</v>
      </c>
      <c r="J18">
        <v>57.093792000000001</v>
      </c>
      <c r="K18">
        <v>47.092857000000002</v>
      </c>
      <c r="L18">
        <v>215.55191600000001</v>
      </c>
      <c r="M18">
        <v>-622.49142900000004</v>
      </c>
      <c r="N18">
        <v>0.94652499999999995</v>
      </c>
      <c r="O18">
        <v>1.3609500000000001</v>
      </c>
      <c r="P18">
        <f t="shared" si="0"/>
        <v>1.5775416666666665E-5</v>
      </c>
      <c r="Q18" cm="1">
        <f t="array" ref="Q18">[1]!PropsSI("D","T",J18+273.15,"P",101325,"Water")</f>
        <v>984.66577607889394</v>
      </c>
      <c r="R18" cm="1">
        <f t="array" ref="R18">[1]!PropsSI("D","T",K18+273.15,"P",101325,"Water")</f>
        <v>989.32190369552063</v>
      </c>
      <c r="S18">
        <f t="shared" si="1"/>
        <v>986.99383988720729</v>
      </c>
      <c r="T18" cm="1">
        <f t="array" ref="T18">[1]!PropsSI("H","T",J18+273.15,"P",101325,"Water")</f>
        <v>239088.13193993337</v>
      </c>
      <c r="U18" cm="1">
        <f t="array" ref="U18">[1]!PropsSI("H","T",K18+273.15,"P",101325,"Water")</f>
        <v>197263.85898067779</v>
      </c>
      <c r="V18">
        <f t="shared" si="2"/>
        <v>651.21392897372232</v>
      </c>
      <c r="X18">
        <f t="shared" si="3"/>
        <v>0.26418758399999998</v>
      </c>
      <c r="Y18">
        <f t="shared" si="3"/>
        <v>0.244185714</v>
      </c>
      <c r="Z18">
        <f t="shared" si="8"/>
        <v>0.35975233489366937</v>
      </c>
      <c r="AA18">
        <f t="shared" si="7"/>
        <v>10.000934999999998</v>
      </c>
      <c r="AB18">
        <f t="shared" si="5"/>
        <v>3.7335980499980867E-2</v>
      </c>
      <c r="AC18">
        <f t="shared" si="6"/>
        <v>24.31371055347882</v>
      </c>
    </row>
    <row r="19" spans="1:29" x14ac:dyDescent="0.2">
      <c r="A19">
        <v>46136.876859212964</v>
      </c>
      <c r="B19">
        <v>19.748794</v>
      </c>
      <c r="C19">
        <v>19.651191000000001</v>
      </c>
      <c r="D19">
        <v>19.640028999999998</v>
      </c>
      <c r="E19">
        <v>19.593599999999999</v>
      </c>
      <c r="F19">
        <v>31.619056</v>
      </c>
      <c r="G19">
        <v>30.543139</v>
      </c>
      <c r="H19">
        <v>27.459696999999998</v>
      </c>
      <c r="I19">
        <v>24.627490999999999</v>
      </c>
      <c r="J19">
        <v>57.098568</v>
      </c>
      <c r="K19">
        <v>47.082540000000002</v>
      </c>
      <c r="L19">
        <v>215.65640099999999</v>
      </c>
      <c r="M19">
        <v>-622.47755199999995</v>
      </c>
      <c r="N19">
        <v>0.94719299999999995</v>
      </c>
      <c r="O19">
        <v>1.8025720000000001</v>
      </c>
      <c r="P19">
        <f t="shared" si="0"/>
        <v>1.5786549999999999E-5</v>
      </c>
      <c r="Q19" cm="1">
        <f t="array" ref="Q19">[1]!PropsSI("D","T",J19+273.15,"P",101325,"Water")</f>
        <v>984.66340208775102</v>
      </c>
      <c r="R19" cm="1">
        <f t="array" ref="R19">[1]!PropsSI("D","T",K19+273.15,"P",101325,"Water")</f>
        <v>989.32636954348993</v>
      </c>
      <c r="S19">
        <f t="shared" si="1"/>
        <v>986.99488581562048</v>
      </c>
      <c r="T19" cm="1">
        <f t="array" ref="T19">[1]!PropsSI("H","T",J19+273.15,"P",101325,"Water")</f>
        <v>239108.11352067691</v>
      </c>
      <c r="U19" cm="1">
        <f t="array" ref="U19">[1]!PropsSI("H","T",K19+273.15,"P",101325,"Water")</f>
        <v>197220.72783623741</v>
      </c>
      <c r="V19">
        <f t="shared" si="2"/>
        <v>652.65758167469357</v>
      </c>
      <c r="X19">
        <f t="shared" si="3"/>
        <v>0.264197136</v>
      </c>
      <c r="Y19">
        <f t="shared" si="3"/>
        <v>0.24416508000000001</v>
      </c>
      <c r="Z19">
        <f t="shared" si="8"/>
        <v>0.3597453446008842</v>
      </c>
      <c r="AA19">
        <f t="shared" si="7"/>
        <v>10.016027999999999</v>
      </c>
      <c r="AB19">
        <f t="shared" si="5"/>
        <v>3.7283085980348525E-2</v>
      </c>
      <c r="AC19">
        <f t="shared" si="6"/>
        <v>24.333088733303942</v>
      </c>
    </row>
    <row r="20" spans="1:29" x14ac:dyDescent="0.2">
      <c r="A20">
        <v>46136.876917662034</v>
      </c>
      <c r="B20">
        <v>19.848787000000002</v>
      </c>
      <c r="C20">
        <v>19.674672000000001</v>
      </c>
      <c r="D20">
        <v>19.591438</v>
      </c>
      <c r="E20">
        <v>19.587049</v>
      </c>
      <c r="F20">
        <v>31.860935999999999</v>
      </c>
      <c r="G20">
        <v>31.20129</v>
      </c>
      <c r="H20">
        <v>27.174230999999999</v>
      </c>
      <c r="I20">
        <v>23.924987000000002</v>
      </c>
      <c r="J20">
        <v>57.096499000000001</v>
      </c>
      <c r="K20">
        <v>47.085715</v>
      </c>
      <c r="L20">
        <v>216.01883100000001</v>
      </c>
      <c r="M20">
        <v>-622.48653100000001</v>
      </c>
      <c r="N20">
        <v>0.94444300000000003</v>
      </c>
      <c r="O20">
        <v>1.778122</v>
      </c>
      <c r="P20">
        <f t="shared" si="0"/>
        <v>1.574071666666667E-5</v>
      </c>
      <c r="Q20" cm="1">
        <f t="array" ref="Q20">[1]!PropsSI("D","T",J20+273.15,"P",101325,"Water")</f>
        <v>984.66443053600483</v>
      </c>
      <c r="R20" cm="1">
        <f t="array" ref="R20">[1]!PropsSI("D","T",K20+273.15,"P",101325,"Water")</f>
        <v>989.32499528036021</v>
      </c>
      <c r="S20">
        <f t="shared" si="1"/>
        <v>986.99471290818246</v>
      </c>
      <c r="T20" cm="1">
        <f t="array" ref="T20">[1]!PropsSI("H","T",J20+273.15,"P",101325,"Water")</f>
        <v>239099.45734485757</v>
      </c>
      <c r="U20" cm="1">
        <f t="array" ref="U20">[1]!PropsSI("H","T",K20+273.15,"P",101325,"Water")</f>
        <v>197234.00120604844</v>
      </c>
      <c r="V20">
        <f t="shared" si="2"/>
        <v>650.42189936742409</v>
      </c>
      <c r="X20">
        <f t="shared" si="3"/>
        <v>0.26419299800000001</v>
      </c>
      <c r="Y20">
        <f t="shared" si="3"/>
        <v>0.24417142999999999</v>
      </c>
      <c r="Z20">
        <f t="shared" si="8"/>
        <v>0.35974661557890009</v>
      </c>
      <c r="AA20">
        <f t="shared" si="7"/>
        <v>10.010784000000001</v>
      </c>
      <c r="AB20">
        <f t="shared" si="5"/>
        <v>3.7301333803318411E-2</v>
      </c>
      <c r="AC20">
        <f t="shared" si="6"/>
        <v>24.261604381292663</v>
      </c>
    </row>
    <row r="21" spans="1:29" x14ac:dyDescent="0.2">
      <c r="A21">
        <v>46136.876976111111</v>
      </c>
      <c r="B21">
        <v>19.926953999999999</v>
      </c>
      <c r="C21">
        <v>19.779373</v>
      </c>
      <c r="D21">
        <v>19.625824999999999</v>
      </c>
      <c r="E21">
        <v>19.631456</v>
      </c>
      <c r="F21">
        <v>31.780777</v>
      </c>
      <c r="G21">
        <v>30.423176000000002</v>
      </c>
      <c r="H21">
        <v>28.081005000000001</v>
      </c>
      <c r="I21">
        <v>24.43871</v>
      </c>
      <c r="J21">
        <v>57.098886999999998</v>
      </c>
      <c r="K21">
        <v>47.064762999999999</v>
      </c>
      <c r="L21">
        <v>207.19764000000001</v>
      </c>
      <c r="M21">
        <v>-622.48816399999998</v>
      </c>
      <c r="N21">
        <v>0.94327099999999997</v>
      </c>
      <c r="O21">
        <v>1.5310820000000001</v>
      </c>
      <c r="P21">
        <f t="shared" si="0"/>
        <v>1.5721183333333334E-5</v>
      </c>
      <c r="Q21" cm="1">
        <f t="array" ref="Q21">[1]!PropsSI("D","T",J21+273.15,"P",101325,"Water")</f>
        <v>984.66324351848073</v>
      </c>
      <c r="R21" cm="1">
        <f t="array" ref="R21">[1]!PropsSI("D","T",K21+273.15,"P",101325,"Water")</f>
        <v>989.33406285390333</v>
      </c>
      <c r="S21">
        <f t="shared" si="1"/>
        <v>986.99865318619209</v>
      </c>
      <c r="T21" cm="1">
        <f t="array" ref="T21">[1]!PropsSI("H","T",J21+273.15,"P",101325,"Water")</f>
        <v>239109.44813664016</v>
      </c>
      <c r="U21" cm="1">
        <f t="array" ref="U21">[1]!PropsSI("H","T",K21+273.15,"P",101325,"Water")</f>
        <v>197146.40955048962</v>
      </c>
      <c r="V21">
        <f t="shared" si="2"/>
        <v>651.13152223505494</v>
      </c>
      <c r="X21">
        <f t="shared" si="3"/>
        <v>0.264197774</v>
      </c>
      <c r="Y21">
        <f t="shared" si="3"/>
        <v>0.24412952599999999</v>
      </c>
      <c r="Z21">
        <f t="shared" si="8"/>
        <v>0.35972168304334917</v>
      </c>
      <c r="AA21">
        <f t="shared" si="7"/>
        <v>10.034123999999998</v>
      </c>
      <c r="AB21">
        <f t="shared" si="5"/>
        <v>3.7218417772181933E-2</v>
      </c>
      <c r="AC21">
        <f t="shared" si="6"/>
        <v>24.234085019181045</v>
      </c>
    </row>
    <row r="22" spans="1:29" x14ac:dyDescent="0.2">
      <c r="A22">
        <v>46136.877034560188</v>
      </c>
      <c r="B22">
        <v>19.917625000000001</v>
      </c>
      <c r="C22">
        <v>19.862099000000001</v>
      </c>
      <c r="D22">
        <v>19.670235000000002</v>
      </c>
      <c r="E22">
        <v>19.681913000000002</v>
      </c>
      <c r="F22">
        <v>32.008389000000001</v>
      </c>
      <c r="G22">
        <v>31.607721999999999</v>
      </c>
      <c r="H22">
        <v>27.530313</v>
      </c>
      <c r="I22">
        <v>24.486459</v>
      </c>
      <c r="J22">
        <v>57.100479</v>
      </c>
      <c r="K22">
        <v>47.062859000000003</v>
      </c>
      <c r="L22">
        <v>204.65205399999999</v>
      </c>
      <c r="M22">
        <v>-622.46081800000002</v>
      </c>
      <c r="N22">
        <v>0.94420599999999999</v>
      </c>
      <c r="O22">
        <v>1.4882949999999999</v>
      </c>
      <c r="P22">
        <f t="shared" si="0"/>
        <v>1.5736766666666668E-5</v>
      </c>
      <c r="Q22" cm="1">
        <f t="array" ref="Q22">[1]!PropsSI("D","T",J22+273.15,"P",101325,"Water")</f>
        <v>984.66245215423976</v>
      </c>
      <c r="R22" cm="1">
        <f t="array" ref="R22">[1]!PropsSI("D","T",K22+273.15,"P",101325,"Water")</f>
        <v>989.33488671622843</v>
      </c>
      <c r="S22">
        <f t="shared" si="1"/>
        <v>986.99866943523409</v>
      </c>
      <c r="T22" cm="1">
        <f t="array" ref="T22">[1]!PropsSI("H","T",J22+273.15,"P",101325,"Water")</f>
        <v>239116.10866571733</v>
      </c>
      <c r="U22" cm="1">
        <f t="array" ref="U22">[1]!PropsSI("H","T",K22+273.15,"P",101325,"Water")</f>
        <v>197138.44971815613</v>
      </c>
      <c r="V22">
        <f t="shared" si="2"/>
        <v>652.00404099649381</v>
      </c>
      <c r="X22">
        <f t="shared" si="3"/>
        <v>0.26420095799999999</v>
      </c>
      <c r="Y22">
        <f t="shared" si="3"/>
        <v>0.24412571799999999</v>
      </c>
      <c r="Z22">
        <f t="shared" si="8"/>
        <v>0.35972143722210004</v>
      </c>
      <c r="AA22">
        <f t="shared" si="7"/>
        <v>10.037619999999997</v>
      </c>
      <c r="AB22">
        <f t="shared" si="5"/>
        <v>3.7206367341153027E-2</v>
      </c>
      <c r="AC22">
        <f t="shared" si="6"/>
        <v>24.258701857231745</v>
      </c>
    </row>
    <row r="23" spans="1:29" x14ac:dyDescent="0.2">
      <c r="A23">
        <v>46136.877092430557</v>
      </c>
      <c r="B23">
        <v>19.948381000000001</v>
      </c>
      <c r="C23">
        <v>19.823153999999999</v>
      </c>
      <c r="D23">
        <v>19.643405999999999</v>
      </c>
      <c r="E23">
        <v>19.650908999999999</v>
      </c>
      <c r="F23">
        <v>31.949928</v>
      </c>
      <c r="G23">
        <v>30.426705999999999</v>
      </c>
      <c r="H23">
        <v>28.018948000000002</v>
      </c>
      <c r="I23">
        <v>24.318709999999999</v>
      </c>
      <c r="J23">
        <v>57.103982000000002</v>
      </c>
      <c r="K23">
        <v>47.066985000000003</v>
      </c>
      <c r="L23">
        <v>205.72791799999999</v>
      </c>
      <c r="M23">
        <v>-622.47918500000003</v>
      </c>
      <c r="N23">
        <v>0.95087699999999997</v>
      </c>
      <c r="O23">
        <v>1.861753</v>
      </c>
      <c r="P23">
        <f t="shared" si="0"/>
        <v>1.5847950000000001E-5</v>
      </c>
      <c r="Q23" cm="1">
        <f t="array" ref="Q23">[1]!PropsSI("D","T",J23+273.15,"P",101325,"Water")</f>
        <v>984.66071080039046</v>
      </c>
      <c r="R23" cm="1">
        <f t="array" ref="R23">[1]!PropsSI("D","T",K23+273.15,"P",101325,"Water")</f>
        <v>989.33310136157377</v>
      </c>
      <c r="S23">
        <f t="shared" si="1"/>
        <v>986.99690608098217</v>
      </c>
      <c r="T23" cm="1">
        <f t="array" ref="T23">[1]!PropsSI("H","T",J23+273.15,"P",101325,"Water")</f>
        <v>239130.76434354347</v>
      </c>
      <c r="U23" cm="1">
        <f t="array" ref="U23">[1]!PropsSI("H","T",K23+273.15,"P",101325,"Water")</f>
        <v>197155.69880960911</v>
      </c>
      <c r="V23">
        <f t="shared" si="2"/>
        <v>656.56883807783424</v>
      </c>
      <c r="X23">
        <f t="shared" si="3"/>
        <v>0.26420796400000002</v>
      </c>
      <c r="Y23">
        <f t="shared" si="3"/>
        <v>0.24413397000000001</v>
      </c>
      <c r="Z23">
        <f t="shared" si="8"/>
        <v>0.35973218308762173</v>
      </c>
      <c r="AA23">
        <f t="shared" si="7"/>
        <v>10.036997</v>
      </c>
      <c r="AB23">
        <f t="shared" si="5"/>
        <v>3.7209541167871403E-2</v>
      </c>
      <c r="AC23">
        <f t="shared" si="6"/>
        <v>24.430625209998666</v>
      </c>
    </row>
    <row r="24" spans="1:29" x14ac:dyDescent="0.2">
      <c r="A24">
        <v>46136.877150879627</v>
      </c>
      <c r="B24">
        <v>20.041222999999999</v>
      </c>
      <c r="C24">
        <v>19.847408000000001</v>
      </c>
      <c r="D24">
        <v>19.681090999999999</v>
      </c>
      <c r="E24">
        <v>19.673811000000001</v>
      </c>
      <c r="F24">
        <v>32.060284000000003</v>
      </c>
      <c r="G24">
        <v>31.613810999999998</v>
      </c>
      <c r="H24">
        <v>27.542145999999999</v>
      </c>
      <c r="I24">
        <v>24.186574</v>
      </c>
      <c r="J24">
        <v>57.094746999999998</v>
      </c>
      <c r="K24">
        <v>47.082222999999999</v>
      </c>
      <c r="L24">
        <v>212.105966</v>
      </c>
      <c r="M24">
        <v>-622.50285699999995</v>
      </c>
      <c r="N24">
        <v>0.94847999999999999</v>
      </c>
      <c r="O24">
        <v>1.149885</v>
      </c>
      <c r="P24">
        <f t="shared" si="0"/>
        <v>1.5808000000000002E-5</v>
      </c>
      <c r="Q24" cm="1">
        <f t="array" ref="Q24">[1]!PropsSI("D","T",J24+273.15,"P",101325,"Water")</f>
        <v>984.66530139115969</v>
      </c>
      <c r="R24" cm="1">
        <f t="array" ref="R24">[1]!PropsSI("D","T",K24+273.15,"P",101325,"Water")</f>
        <v>989.32650674964725</v>
      </c>
      <c r="S24">
        <f t="shared" si="1"/>
        <v>986.99590407040341</v>
      </c>
      <c r="T24" cm="1">
        <f t="array" ref="T24">[1]!PropsSI("H","T",J24+273.15,"P",101325,"Water")</f>
        <v>239092.12741861097</v>
      </c>
      <c r="U24" cm="1">
        <f t="array" ref="U24">[1]!PropsSI("H","T",K24+273.15,"P",101325,"Water")</f>
        <v>197219.40258965976</v>
      </c>
      <c r="V24">
        <f t="shared" si="2"/>
        <v>653.31631045857</v>
      </c>
      <c r="X24">
        <f t="shared" si="3"/>
        <v>0.26418949400000002</v>
      </c>
      <c r="Y24">
        <f t="shared" si="3"/>
        <v>0.24416444599999998</v>
      </c>
      <c r="Z24">
        <f t="shared" si="8"/>
        <v>0.35973930203754906</v>
      </c>
      <c r="AA24">
        <f t="shared" si="7"/>
        <v>10.012523999999999</v>
      </c>
      <c r="AB24">
        <f t="shared" si="5"/>
        <v>3.7294613722945999E-2</v>
      </c>
      <c r="AC24">
        <f t="shared" si="6"/>
        <v>24.365179437452632</v>
      </c>
    </row>
    <row r="25" spans="1:29" x14ac:dyDescent="0.2">
      <c r="A25">
        <v>46136.877209328704</v>
      </c>
      <c r="B25">
        <v>20.065286</v>
      </c>
      <c r="C25">
        <v>19.856408999999999</v>
      </c>
      <c r="D25">
        <v>19.681729000000001</v>
      </c>
      <c r="E25">
        <v>19.669616000000001</v>
      </c>
      <c r="F25">
        <v>31.791139000000001</v>
      </c>
      <c r="G25">
        <v>31.258773000000001</v>
      </c>
      <c r="H25">
        <v>27.486978000000001</v>
      </c>
      <c r="I25">
        <v>23.878060999999999</v>
      </c>
      <c r="J25">
        <v>57.090449</v>
      </c>
      <c r="K25">
        <v>47.077778000000002</v>
      </c>
      <c r="L25">
        <v>209.722004</v>
      </c>
      <c r="M25">
        <v>-622.525305</v>
      </c>
      <c r="N25">
        <v>0.94777100000000003</v>
      </c>
      <c r="O25">
        <v>2.164212</v>
      </c>
      <c r="P25">
        <f t="shared" si="0"/>
        <v>1.5796183333333333E-5</v>
      </c>
      <c r="Q25" cm="1">
        <f t="array" ref="Q25">[1]!PropsSI("D","T",J25+273.15,"P",101325,"Water")</f>
        <v>984.66743769081961</v>
      </c>
      <c r="R25" cm="1">
        <f t="array" ref="R25">[1]!PropsSI("D","T",K25+273.15,"P",101325,"Water")</f>
        <v>989.32843059346374</v>
      </c>
      <c r="S25">
        <f t="shared" si="1"/>
        <v>986.99793414214173</v>
      </c>
      <c r="T25" cm="1">
        <f t="array" ref="T25">[1]!PropsSI("H","T",J25+273.15,"P",101325,"Water")</f>
        <v>239074.14567548104</v>
      </c>
      <c r="U25" cm="1">
        <f t="array" ref="U25">[1]!PropsSI("H","T",K25+273.15,"P",101325,"Water")</f>
        <v>197200.81987621207</v>
      </c>
      <c r="V25">
        <f t="shared" si="2"/>
        <v>652.83866115892715</v>
      </c>
      <c r="X25">
        <f t="shared" si="3"/>
        <v>0.264180898</v>
      </c>
      <c r="Y25">
        <f t="shared" si="3"/>
        <v>0.244155556</v>
      </c>
      <c r="Z25">
        <f t="shared" si="8"/>
        <v>0.35972695533384141</v>
      </c>
      <c r="AA25">
        <f t="shared" si="7"/>
        <v>10.012670999999997</v>
      </c>
      <c r="AB25">
        <f t="shared" si="5"/>
        <v>3.7292917601824987E-2</v>
      </c>
      <c r="AC25">
        <f t="shared" si="6"/>
        <v>24.346258397885613</v>
      </c>
    </row>
    <row r="26" spans="1:29" x14ac:dyDescent="0.2">
      <c r="A26">
        <v>46136.877267777774</v>
      </c>
      <c r="B26">
        <v>20.043889</v>
      </c>
      <c r="C26">
        <v>19.940864000000001</v>
      </c>
      <c r="D26">
        <v>19.768723999999999</v>
      </c>
      <c r="E26">
        <v>19.727222000000001</v>
      </c>
      <c r="F26">
        <v>31.955103999999999</v>
      </c>
      <c r="G26">
        <v>29.846678000000001</v>
      </c>
      <c r="H26">
        <v>28.615981999999999</v>
      </c>
      <c r="I26">
        <v>24.460618</v>
      </c>
      <c r="J26">
        <v>57.09825</v>
      </c>
      <c r="K26">
        <v>47.082222999999999</v>
      </c>
      <c r="L26">
        <v>211.04152999999999</v>
      </c>
      <c r="M26">
        <v>-622.480817</v>
      </c>
      <c r="N26">
        <v>0.94466099999999997</v>
      </c>
      <c r="O26">
        <v>1.8737360000000001</v>
      </c>
      <c r="P26">
        <f t="shared" si="0"/>
        <v>1.5744349999999998E-5</v>
      </c>
      <c r="Q26" cm="1">
        <f t="array" ref="Q26">[1]!PropsSI("D","T",J26+273.15,"P",101325,"Water")</f>
        <v>984.66356015931319</v>
      </c>
      <c r="R26" cm="1">
        <f t="array" ref="R26">[1]!PropsSI("D","T",K26+273.15,"P",101325,"Water")</f>
        <v>989.32650674964725</v>
      </c>
      <c r="S26">
        <f t="shared" si="1"/>
        <v>986.99503345448022</v>
      </c>
      <c r="T26" cm="1">
        <f t="array" ref="T26">[1]!PropsSI("H","T",J26+273.15,"P",101325,"Water")</f>
        <v>239106.78308847031</v>
      </c>
      <c r="U26" cm="1">
        <f t="array" ref="U26">[1]!PropsSI("H","T",K26+273.15,"P",101325,"Water")</f>
        <v>197219.40258965976</v>
      </c>
      <c r="V26">
        <f t="shared" si="2"/>
        <v>650.91293924239937</v>
      </c>
      <c r="X26">
        <f t="shared" si="3"/>
        <v>0.2641965</v>
      </c>
      <c r="Y26">
        <f t="shared" si="3"/>
        <v>0.24416444599999998</v>
      </c>
      <c r="Z26">
        <f t="shared" si="8"/>
        <v>0.35974444721598819</v>
      </c>
      <c r="AA26">
        <f t="shared" si="7"/>
        <v>10.016027000000001</v>
      </c>
      <c r="AB26">
        <f t="shared" si="5"/>
        <v>3.7283003122931542E-2</v>
      </c>
      <c r="AC26">
        <f t="shared" si="6"/>
        <v>24.267989146530926</v>
      </c>
    </row>
    <row r="27" spans="1:29" x14ac:dyDescent="0.2">
      <c r="A27">
        <v>46136.877326226851</v>
      </c>
      <c r="B27">
        <v>20.041506999999999</v>
      </c>
      <c r="C27">
        <v>19.881831999999999</v>
      </c>
      <c r="D27">
        <v>19.753591</v>
      </c>
      <c r="E27">
        <v>19.706496999999999</v>
      </c>
      <c r="F27">
        <v>32.031747000000003</v>
      </c>
      <c r="G27">
        <v>32.278416999999997</v>
      </c>
      <c r="H27">
        <v>27.476334999999999</v>
      </c>
      <c r="I27">
        <v>24.184963</v>
      </c>
      <c r="J27">
        <v>57.098728000000001</v>
      </c>
      <c r="K27">
        <v>47.076509000000001</v>
      </c>
      <c r="L27">
        <v>204.868369</v>
      </c>
      <c r="M27">
        <v>-622.50163299999997</v>
      </c>
      <c r="N27">
        <v>0.94559899999999997</v>
      </c>
      <c r="O27">
        <v>1.8673059999999999</v>
      </c>
      <c r="P27">
        <f t="shared" si="0"/>
        <v>1.5759983333333331E-5</v>
      </c>
      <c r="Q27" cm="1">
        <f t="array" ref="Q27">[1]!PropsSI("D","T",J27+273.15,"P",101325,"Water")</f>
        <v>984.66332255466671</v>
      </c>
      <c r="R27" cm="1">
        <f t="array" ref="R27">[1]!PropsSI("D","T",K27+273.15,"P",101325,"Water")</f>
        <v>989.32897980571772</v>
      </c>
      <c r="S27">
        <f t="shared" si="1"/>
        <v>986.99615118019221</v>
      </c>
      <c r="T27" cm="1">
        <f t="array" ref="T27">[1]!PropsSI("H","T",J27+273.15,"P",101325,"Water")</f>
        <v>239108.78292051022</v>
      </c>
      <c r="U27" cm="1">
        <f t="array" ref="U27">[1]!PropsSI("H","T",K27+273.15,"P",101325,"Water")</f>
        <v>197195.51471094304</v>
      </c>
      <c r="V27">
        <f t="shared" si="2"/>
        <v>651.96268477154683</v>
      </c>
      <c r="X27">
        <f t="shared" si="3"/>
        <v>0.264197456</v>
      </c>
      <c r="Y27">
        <f t="shared" si="3"/>
        <v>0.244153018</v>
      </c>
      <c r="Z27">
        <f t="shared" si="8"/>
        <v>0.35973739304578867</v>
      </c>
      <c r="AA27">
        <f t="shared" si="7"/>
        <v>10.022219</v>
      </c>
      <c r="AB27">
        <f t="shared" si="5"/>
        <v>3.7260948239526713E-2</v>
      </c>
      <c r="AC27">
        <f t="shared" si="6"/>
        <v>24.292747851375477</v>
      </c>
    </row>
    <row r="28" spans="1:29" x14ac:dyDescent="0.2">
      <c r="A28">
        <v>46136.877384097221</v>
      </c>
      <c r="B28">
        <v>20.069298</v>
      </c>
      <c r="C28">
        <v>19.833909999999999</v>
      </c>
      <c r="D28">
        <v>19.739350000000002</v>
      </c>
      <c r="E28">
        <v>19.694469999999999</v>
      </c>
      <c r="F28">
        <v>31.817492000000001</v>
      </c>
      <c r="G28">
        <v>30.465522</v>
      </c>
      <c r="H28">
        <v>27.766193000000001</v>
      </c>
      <c r="I28">
        <v>24.176812000000002</v>
      </c>
      <c r="J28">
        <v>57.096657999999998</v>
      </c>
      <c r="K28">
        <v>47.084445000000002</v>
      </c>
      <c r="L28">
        <v>216.77022199999999</v>
      </c>
      <c r="M28">
        <v>-622.49632699999995</v>
      </c>
      <c r="N28">
        <v>0.94586499999999996</v>
      </c>
      <c r="O28">
        <v>1.879556</v>
      </c>
      <c r="P28">
        <f t="shared" si="0"/>
        <v>1.5764416666666664E-5</v>
      </c>
      <c r="Q28" cm="1">
        <f t="array" ref="Q28">[1]!PropsSI("D","T",J28+273.15,"P",101325,"Water")</f>
        <v>984.66435150202426</v>
      </c>
      <c r="R28" cm="1">
        <f t="array" ref="R28">[1]!PropsSI("D","T",K28+273.15,"P",101325,"Water")</f>
        <v>989.3255449938224</v>
      </c>
      <c r="S28">
        <f t="shared" si="1"/>
        <v>986.99494824792328</v>
      </c>
      <c r="T28" cm="1">
        <f t="array" ref="T28">[1]!PropsSI("H","T",J28+273.15,"P",101325,"Water")</f>
        <v>239100.12256079208</v>
      </c>
      <c r="U28" cm="1">
        <f t="array" ref="U28">[1]!PropsSI("H","T",K28+273.15,"P",101325,"Water")</f>
        <v>197228.69185786007</v>
      </c>
      <c r="V28">
        <f t="shared" si="2"/>
        <v>651.49432263624067</v>
      </c>
      <c r="X28">
        <f t="shared" si="3"/>
        <v>0.26419331600000001</v>
      </c>
      <c r="Y28">
        <f t="shared" si="3"/>
        <v>0.24416889</v>
      </c>
      <c r="Z28">
        <f t="shared" si="8"/>
        <v>0.35974512514126994</v>
      </c>
      <c r="AA28">
        <f t="shared" si="7"/>
        <v>10.012212999999996</v>
      </c>
      <c r="AB28">
        <f t="shared" si="5"/>
        <v>3.7296249187676156E-2</v>
      </c>
      <c r="AC28">
        <f t="shared" si="6"/>
        <v>24.298294601397519</v>
      </c>
    </row>
    <row r="29" spans="1:29" x14ac:dyDescent="0.2">
      <c r="A29">
        <v>46136.877442546298</v>
      </c>
      <c r="B29">
        <v>19.848717000000001</v>
      </c>
      <c r="C29">
        <v>19.859033</v>
      </c>
      <c r="D29">
        <v>19.487290999999999</v>
      </c>
      <c r="E29">
        <v>19.513016</v>
      </c>
      <c r="F29">
        <v>31.457815</v>
      </c>
      <c r="G29">
        <v>29.956741999999998</v>
      </c>
      <c r="H29">
        <v>27.666090000000001</v>
      </c>
      <c r="I29">
        <v>24.559753000000001</v>
      </c>
      <c r="J29">
        <v>57.100320000000004</v>
      </c>
      <c r="K29">
        <v>47.076985000000001</v>
      </c>
      <c r="L29">
        <v>220.17086800000001</v>
      </c>
      <c r="M29">
        <v>-622.506122</v>
      </c>
      <c r="N29">
        <v>0.94700499999999999</v>
      </c>
      <c r="O29">
        <v>1.2803690000000001</v>
      </c>
      <c r="P29">
        <f t="shared" si="0"/>
        <v>1.5783416666666665E-5</v>
      </c>
      <c r="Q29" cm="1">
        <f t="array" ref="Q29">[1]!PropsSI("D","T",J29+273.15,"P",101325,"Water")</f>
        <v>984.66253119194164</v>
      </c>
      <c r="R29" cm="1">
        <f t="array" ref="R29">[1]!PropsSI("D","T",K29+273.15,"P",101325,"Water")</f>
        <v>989.32877379831734</v>
      </c>
      <c r="S29">
        <f t="shared" si="1"/>
        <v>986.99565249512943</v>
      </c>
      <c r="T29" cm="1">
        <f t="array" ref="T29">[1]!PropsSI("H","T",J29+273.15,"P",101325,"Water")</f>
        <v>239115.44344952656</v>
      </c>
      <c r="U29" cm="1">
        <f t="array" ref="U29">[1]!PropsSI("H","T",K29+273.15,"P",101325,"Water")</f>
        <v>197197.50467045719</v>
      </c>
      <c r="V29">
        <f t="shared" si="2"/>
        <v>653.00450939634538</v>
      </c>
      <c r="X29">
        <f t="shared" si="3"/>
        <v>0.26420063999999999</v>
      </c>
      <c r="Y29">
        <f t="shared" si="3"/>
        <v>0.24415397</v>
      </c>
      <c r="Z29">
        <f t="shared" si="8"/>
        <v>0.35974037755466165</v>
      </c>
      <c r="AA29">
        <f t="shared" si="7"/>
        <v>10.023335000000003</v>
      </c>
      <c r="AB29">
        <f t="shared" si="5"/>
        <v>3.7257385256329593E-2</v>
      </c>
      <c r="AC29">
        <f t="shared" si="6"/>
        <v>24.329240580700137</v>
      </c>
    </row>
    <row r="30" spans="1:29" x14ac:dyDescent="0.2">
      <c r="A30">
        <v>46136.877500416667</v>
      </c>
      <c r="B30">
        <v>19.977461000000002</v>
      </c>
      <c r="C30">
        <v>19.957667000000001</v>
      </c>
      <c r="D30">
        <v>19.622631999999999</v>
      </c>
      <c r="E30">
        <v>19.642731000000001</v>
      </c>
      <c r="F30">
        <v>31.860797000000002</v>
      </c>
      <c r="G30">
        <v>31.065629999999999</v>
      </c>
      <c r="H30">
        <v>27.216180000000001</v>
      </c>
      <c r="I30">
        <v>24.290023000000001</v>
      </c>
      <c r="J30">
        <v>57.097453999999999</v>
      </c>
      <c r="K30">
        <v>47.074921000000003</v>
      </c>
      <c r="L30">
        <v>215.558446</v>
      </c>
      <c r="M30">
        <v>-622.49550999999997</v>
      </c>
      <c r="N30">
        <v>0.94737300000000002</v>
      </c>
      <c r="O30">
        <v>1.8702030000000001</v>
      </c>
      <c r="P30">
        <f t="shared" si="0"/>
        <v>1.5789550000000002E-5</v>
      </c>
      <c r="Q30" cm="1">
        <f t="array" ref="Q30">[1]!PropsSI("D","T",J30+273.15,"P",101325,"Water")</f>
        <v>984.66395583258964</v>
      </c>
      <c r="R30" cm="1">
        <f t="array" ref="R30">[1]!PropsSI("D","T",K30+273.15,"P",101325,"Water")</f>
        <v>989.3296670630026</v>
      </c>
      <c r="S30">
        <f t="shared" si="1"/>
        <v>986.99681144779606</v>
      </c>
      <c r="T30" cm="1">
        <f t="array" ref="T30">[1]!PropsSI("H","T",J30+273.15,"P",101325,"Water")</f>
        <v>239103.45282447716</v>
      </c>
      <c r="U30" cm="1">
        <f t="array" ref="U30">[1]!PropsSI("H","T",K30+273.15,"P",101325,"Water")</f>
        <v>197188.87593887036</v>
      </c>
      <c r="V30">
        <f t="shared" si="2"/>
        <v>653.20663724400765</v>
      </c>
      <c r="X30">
        <f t="shared" si="3"/>
        <v>0.26419490800000001</v>
      </c>
      <c r="Y30">
        <f t="shared" si="3"/>
        <v>0.24414984200000001</v>
      </c>
      <c r="Z30">
        <f t="shared" si="8"/>
        <v>0.3597333662057961</v>
      </c>
      <c r="AA30">
        <f t="shared" si="7"/>
        <v>10.022532999999996</v>
      </c>
      <c r="AB30">
        <f t="shared" si="5"/>
        <v>3.7259477920550059E-2</v>
      </c>
      <c r="AC30">
        <f t="shared" si="6"/>
        <v>24.338138277949856</v>
      </c>
    </row>
    <row r="31" spans="1:29" x14ac:dyDescent="0.2">
      <c r="A31">
        <v>46136.877558865737</v>
      </c>
      <c r="B31">
        <v>20.105423999999999</v>
      </c>
      <c r="C31">
        <v>19.918745999999999</v>
      </c>
      <c r="D31">
        <v>19.694362000000002</v>
      </c>
      <c r="E31">
        <v>19.717285</v>
      </c>
      <c r="F31">
        <v>32.032414000000003</v>
      </c>
      <c r="G31">
        <v>31.433978</v>
      </c>
      <c r="H31">
        <v>27.295873</v>
      </c>
      <c r="I31">
        <v>24.352792999999998</v>
      </c>
      <c r="J31">
        <v>57.095384000000003</v>
      </c>
      <c r="K31">
        <v>47.072857999999997</v>
      </c>
      <c r="L31">
        <v>206.24870799999999</v>
      </c>
      <c r="M31">
        <v>-622.51469299999997</v>
      </c>
      <c r="N31">
        <v>0.94416900000000004</v>
      </c>
      <c r="O31">
        <v>1.2475579999999999</v>
      </c>
      <c r="P31">
        <f t="shared" si="0"/>
        <v>1.573615E-5</v>
      </c>
      <c r="Q31" cm="1">
        <f t="array" ref="Q31">[1]!PropsSI("D","T",J31+273.15,"P",101325,"Water")</f>
        <v>984.66498476390723</v>
      </c>
      <c r="R31" cm="1">
        <f t="array" ref="R31">[1]!PropsSI("D","T",K31+273.15,"P",101325,"Water")</f>
        <v>989.33055986596662</v>
      </c>
      <c r="S31">
        <f t="shared" si="1"/>
        <v>986.99777231493692</v>
      </c>
      <c r="T31" cm="1">
        <f t="array" ref="T31">[1]!PropsSI("H","T",J31+273.15,"P",101325,"Water")</f>
        <v>239094.79246589117</v>
      </c>
      <c r="U31" cm="1">
        <f t="array" ref="U31">[1]!PropsSI("H","T",K31+273.15,"P",101325,"Water")</f>
        <v>197180.2513888902</v>
      </c>
      <c r="V31">
        <f t="shared" si="2"/>
        <v>650.99758067440735</v>
      </c>
      <c r="X31">
        <f t="shared" si="3"/>
        <v>0.26419076800000002</v>
      </c>
      <c r="Y31">
        <f t="shared" si="3"/>
        <v>0.24414571599999998</v>
      </c>
      <c r="Z31">
        <f t="shared" si="8"/>
        <v>0.3597275254099726</v>
      </c>
      <c r="AA31">
        <f t="shared" si="7"/>
        <v>10.022526000000006</v>
      </c>
      <c r="AB31">
        <f t="shared" si="5"/>
        <v>3.7258940683737543E-2</v>
      </c>
      <c r="AC31">
        <f t="shared" si="6"/>
        <v>24.255480243604389</v>
      </c>
    </row>
    <row r="32" spans="1:29" x14ac:dyDescent="0.2">
      <c r="A32">
        <v>46136.877617314814</v>
      </c>
      <c r="B32">
        <v>20.070433000000001</v>
      </c>
      <c r="C32">
        <v>20.000166</v>
      </c>
      <c r="D32">
        <v>19.681957000000001</v>
      </c>
      <c r="E32">
        <v>19.757639000000001</v>
      </c>
      <c r="F32">
        <v>32.001238000000001</v>
      </c>
      <c r="G32">
        <v>30.344232000000002</v>
      </c>
      <c r="H32">
        <v>27.956354000000001</v>
      </c>
      <c r="I32">
        <v>24.565611000000001</v>
      </c>
      <c r="J32">
        <v>57.096657999999998</v>
      </c>
      <c r="K32">
        <v>47.079683000000003</v>
      </c>
      <c r="L32">
        <v>206.86582000000001</v>
      </c>
      <c r="M32">
        <v>-622.531835</v>
      </c>
      <c r="N32">
        <v>0.94330800000000004</v>
      </c>
      <c r="O32">
        <v>1.433816</v>
      </c>
      <c r="P32">
        <f t="shared" si="0"/>
        <v>1.5721799999999999E-5</v>
      </c>
      <c r="Q32" cm="1">
        <f t="array" ref="Q32">[1]!PropsSI("D","T",J32+273.15,"P",101325,"Water")</f>
        <v>984.66435150202426</v>
      </c>
      <c r="R32" cm="1">
        <f t="array" ref="R32">[1]!PropsSI("D","T",K32+273.15,"P",101325,"Water")</f>
        <v>989.32760610540129</v>
      </c>
      <c r="S32">
        <f t="shared" si="1"/>
        <v>986.99597880371277</v>
      </c>
      <c r="T32" cm="1">
        <f t="array" ref="T32">[1]!PropsSI("H","T",J32+273.15,"P",101325,"Water")</f>
        <v>239100.12256079208</v>
      </c>
      <c r="U32" cm="1">
        <f t="array" ref="U32">[1]!PropsSI("H","T",K32+273.15,"P",101325,"Water")</f>
        <v>197208.7838957285</v>
      </c>
      <c r="V32">
        <f t="shared" si="2"/>
        <v>650.04270560845805</v>
      </c>
      <c r="X32">
        <f t="shared" si="3"/>
        <v>0.26419331600000001</v>
      </c>
      <c r="Y32">
        <f t="shared" si="3"/>
        <v>0.24415936599999999</v>
      </c>
      <c r="Z32">
        <f t="shared" si="8"/>
        <v>0.35973866100906893</v>
      </c>
      <c r="AA32">
        <f t="shared" si="7"/>
        <v>10.016974999999995</v>
      </c>
      <c r="AB32">
        <f t="shared" si="5"/>
        <v>3.7279172065209601E-2</v>
      </c>
      <c r="AC32">
        <f t="shared" si="6"/>
        <v>24.233053872112098</v>
      </c>
    </row>
    <row r="33" spans="1:29" x14ac:dyDescent="0.2">
      <c r="A33">
        <v>46136.877675185184</v>
      </c>
      <c r="B33">
        <v>20.143211999999998</v>
      </c>
      <c r="C33">
        <v>20.162438000000002</v>
      </c>
      <c r="D33">
        <v>19.734853000000001</v>
      </c>
      <c r="E33">
        <v>19.733459</v>
      </c>
      <c r="F33">
        <v>31.856437</v>
      </c>
      <c r="G33">
        <v>29.614404</v>
      </c>
      <c r="H33">
        <v>28.303920999999999</v>
      </c>
      <c r="I33">
        <v>24.717856999999999</v>
      </c>
      <c r="J33">
        <v>57.096179999999997</v>
      </c>
      <c r="K33">
        <v>47.083969000000003</v>
      </c>
      <c r="L33">
        <v>198.218906</v>
      </c>
      <c r="M33">
        <v>-622.50653</v>
      </c>
      <c r="N33">
        <v>0.94423000000000001</v>
      </c>
      <c r="O33">
        <v>1.337402</v>
      </c>
      <c r="P33">
        <f t="shared" si="0"/>
        <v>1.5737166666666666E-5</v>
      </c>
      <c r="Q33" cm="1">
        <f t="array" ref="Q33">[1]!PropsSI("D","T",J33+273.15,"P",101325,"Water")</f>
        <v>984.66458910064921</v>
      </c>
      <c r="R33" cm="1">
        <f t="array" ref="R33">[1]!PropsSI("D","T",K33+273.15,"P",101325,"Water")</f>
        <v>989.32575102533258</v>
      </c>
      <c r="S33">
        <f t="shared" si="1"/>
        <v>986.99517006299084</v>
      </c>
      <c r="T33" cm="1">
        <f t="array" ref="T33">[1]!PropsSI("H","T",J33+273.15,"P",101325,"Water")</f>
        <v>239098.12272917505</v>
      </c>
      <c r="U33" cm="1">
        <f t="array" ref="U33">[1]!PropsSI("H","T",K33+273.15,"P",101325,"Water")</f>
        <v>197226.70189749449</v>
      </c>
      <c r="V33">
        <f t="shared" si="2"/>
        <v>650.36815770496355</v>
      </c>
      <c r="X33">
        <f t="shared" si="3"/>
        <v>0.26419236000000001</v>
      </c>
      <c r="Y33">
        <f t="shared" si="3"/>
        <v>0.244167938</v>
      </c>
      <c r="Z33">
        <f t="shared" si="8"/>
        <v>0.35974377691565623</v>
      </c>
      <c r="AA33">
        <f t="shared" si="7"/>
        <v>10.012210999999994</v>
      </c>
      <c r="AB33">
        <f t="shared" si="5"/>
        <v>3.7296126374688342E-2</v>
      </c>
      <c r="AC33">
        <f t="shared" si="6"/>
        <v>24.256212999837558</v>
      </c>
    </row>
    <row r="34" spans="1:29" x14ac:dyDescent="0.2">
      <c r="A34">
        <v>46136.877733055553</v>
      </c>
      <c r="B34">
        <v>20.174246</v>
      </c>
      <c r="C34">
        <v>20.058297</v>
      </c>
      <c r="D34">
        <v>19.731493</v>
      </c>
      <c r="E34">
        <v>19.725536999999999</v>
      </c>
      <c r="F34">
        <v>31.890592000000002</v>
      </c>
      <c r="G34">
        <v>31.692135</v>
      </c>
      <c r="H34">
        <v>27.663346000000001</v>
      </c>
      <c r="I34">
        <v>24.555005999999999</v>
      </c>
      <c r="J34">
        <v>57.103344999999997</v>
      </c>
      <c r="K34">
        <v>47.094285999999997</v>
      </c>
      <c r="L34">
        <v>214.36462800000001</v>
      </c>
      <c r="M34">
        <v>-622.47265400000003</v>
      </c>
      <c r="N34">
        <v>0.94470600000000005</v>
      </c>
      <c r="O34">
        <v>2.3959899999999998</v>
      </c>
      <c r="P34">
        <f t="shared" si="0"/>
        <v>1.5745099999999999E-5</v>
      </c>
      <c r="Q34" cm="1">
        <f t="array" ref="Q34">[1]!PropsSI("D","T",J34+273.15,"P",101325,"Water")</f>
        <v>984.66102746092531</v>
      </c>
      <c r="R34" cm="1">
        <f t="array" ref="R34">[1]!PropsSI("D","T",K34+273.15,"P",101325,"Water")</f>
        <v>989.32128507724337</v>
      </c>
      <c r="S34">
        <f t="shared" si="1"/>
        <v>986.99115626908429</v>
      </c>
      <c r="T34" cm="1">
        <f t="array" ref="T34">[1]!PropsSI("H","T",J34+273.15,"P",101325,"Water")</f>
        <v>239128.09929414114</v>
      </c>
      <c r="U34" cm="1">
        <f t="array" ref="U34">[1]!PropsSI("H","T",K34+273.15,"P",101325,"Water")</f>
        <v>197269.83304538947</v>
      </c>
      <c r="V34">
        <f t="shared" si="2"/>
        <v>650.48894569816389</v>
      </c>
      <c r="X34">
        <f t="shared" si="3"/>
        <v>0.26420668999999997</v>
      </c>
      <c r="Y34">
        <f t="shared" si="3"/>
        <v>0.24418857199999999</v>
      </c>
      <c r="Z34">
        <f t="shared" si="8"/>
        <v>0.35976830563038104</v>
      </c>
      <c r="AA34">
        <f t="shared" si="7"/>
        <v>10.009059000000001</v>
      </c>
      <c r="AB34">
        <f t="shared" si="5"/>
        <v>3.7309388212462852E-2</v>
      </c>
      <c r="AC34">
        <f t="shared" si="6"/>
        <v>24.269344602968463</v>
      </c>
    </row>
    <row r="35" spans="1:29" x14ac:dyDescent="0.2">
      <c r="A35">
        <v>46136.877790925922</v>
      </c>
      <c r="B35">
        <v>20.220113000000001</v>
      </c>
      <c r="C35">
        <v>20.017164999999999</v>
      </c>
      <c r="D35">
        <v>19.851745000000001</v>
      </c>
      <c r="E35">
        <v>19.870296</v>
      </c>
      <c r="F35">
        <v>32.275534</v>
      </c>
      <c r="G35">
        <v>32.142516999999998</v>
      </c>
      <c r="H35">
        <v>28.344688000000001</v>
      </c>
      <c r="I35">
        <v>24.658930999999999</v>
      </c>
      <c r="J35">
        <v>57.107644000000001</v>
      </c>
      <c r="K35">
        <v>47.094127</v>
      </c>
      <c r="L35">
        <v>222.80502200000001</v>
      </c>
      <c r="M35">
        <v>-622.50408100000004</v>
      </c>
      <c r="N35">
        <v>0.945357</v>
      </c>
      <c r="O35">
        <v>1.393672</v>
      </c>
      <c r="P35">
        <f t="shared" si="0"/>
        <v>1.5755950000000003E-5</v>
      </c>
      <c r="Q35" cm="1">
        <f t="array" ref="Q35">[1]!PropsSI("D","T",J35+273.15,"P",101325,"Water")</f>
        <v>984.65889032737118</v>
      </c>
      <c r="R35" cm="1">
        <f t="array" ref="R35">[1]!PropsSI("D","T",K35+273.15,"P",101325,"Water")</f>
        <v>989.3213539094894</v>
      </c>
      <c r="S35">
        <f t="shared" si="1"/>
        <v>986.99012211843024</v>
      </c>
      <c r="T35" cm="1">
        <f t="array" ref="T35">[1]!PropsSI("H","T",J35+273.15,"P",101325,"Water")</f>
        <v>239146.08524281415</v>
      </c>
      <c r="U35" cm="1">
        <f t="array" ref="U35">[1]!PropsSI("H","T",K35+273.15,"P",101325,"Water")</f>
        <v>197269.16833135777</v>
      </c>
      <c r="V35">
        <f t="shared" si="2"/>
        <v>651.22655356286327</v>
      </c>
      <c r="X35">
        <f t="shared" si="3"/>
        <v>0.26421528799999999</v>
      </c>
      <c r="Y35">
        <f t="shared" si="3"/>
        <v>0.24418825399999999</v>
      </c>
      <c r="Z35">
        <f t="shared" si="8"/>
        <v>0.35977440404299393</v>
      </c>
      <c r="AA35">
        <f t="shared" si="7"/>
        <v>10.013517</v>
      </c>
      <c r="AB35">
        <f t="shared" si="5"/>
        <v>3.7294558362428544E-2</v>
      </c>
      <c r="AC35">
        <f t="shared" si="6"/>
        <v>24.287206709013404</v>
      </c>
    </row>
    <row r="36" spans="1:29" x14ac:dyDescent="0.2">
      <c r="A36">
        <v>46136.877849375</v>
      </c>
      <c r="B36">
        <v>20.292351</v>
      </c>
      <c r="C36">
        <v>20.205842000000001</v>
      </c>
      <c r="D36">
        <v>19.850007000000002</v>
      </c>
      <c r="E36">
        <v>19.845365999999999</v>
      </c>
      <c r="F36">
        <v>31.790389999999999</v>
      </c>
      <c r="G36">
        <v>32.052978000000003</v>
      </c>
      <c r="H36">
        <v>27.906458000000001</v>
      </c>
      <c r="I36">
        <v>23.898412</v>
      </c>
      <c r="J36">
        <v>57.113216000000001</v>
      </c>
      <c r="K36">
        <v>47.102063000000001</v>
      </c>
      <c r="L36">
        <v>214.180148</v>
      </c>
      <c r="M36">
        <v>-622.48163399999999</v>
      </c>
      <c r="N36">
        <v>0.94297600000000004</v>
      </c>
      <c r="O36">
        <v>1.2582070000000001</v>
      </c>
      <c r="P36">
        <f t="shared" si="0"/>
        <v>1.5716266666666667E-5</v>
      </c>
      <c r="Q36" cm="1">
        <f t="array" ref="Q36">[1]!PropsSI("D","T",J36+273.15,"P",101325,"Water")</f>
        <v>984.65612018865249</v>
      </c>
      <c r="R36" cm="1">
        <f t="array" ref="R36">[1]!PropsSI("D","T",K36+273.15,"P",101325,"Water")</f>
        <v>989.31791814817859</v>
      </c>
      <c r="S36">
        <f t="shared" si="1"/>
        <v>986.9870191684156</v>
      </c>
      <c r="T36" cm="1">
        <f t="array" ref="T36">[1]!PropsSI("H","T",J36+273.15,"P",101325,"Water")</f>
        <v>239169.39711825422</v>
      </c>
      <c r="U36" cm="1">
        <f t="array" ref="U36">[1]!PropsSI("H","T",K36+273.15,"P",101325,"Water")</f>
        <v>197302.34551086693</v>
      </c>
      <c r="V36">
        <f t="shared" si="2"/>
        <v>649.43128758385831</v>
      </c>
      <c r="X36">
        <f t="shared" si="3"/>
        <v>0.26422643200000001</v>
      </c>
      <c r="Y36">
        <f t="shared" si="3"/>
        <v>0.24420412599999999</v>
      </c>
      <c r="Z36">
        <f t="shared" si="8"/>
        <v>0.35979336086547581</v>
      </c>
      <c r="AA36">
        <f t="shared" si="7"/>
        <v>10.011153</v>
      </c>
      <c r="AB36">
        <f t="shared" si="5"/>
        <v>3.7304556141350018E-2</v>
      </c>
      <c r="AC36">
        <f t="shared" si="6"/>
        <v>24.22674592762127</v>
      </c>
    </row>
    <row r="37" spans="1:29" x14ac:dyDescent="0.2">
      <c r="A37">
        <v>46136.877907824077</v>
      </c>
      <c r="B37">
        <v>20.221053999999999</v>
      </c>
      <c r="C37">
        <v>20.067795</v>
      </c>
      <c r="D37">
        <v>19.800203</v>
      </c>
      <c r="E37">
        <v>19.771249999999998</v>
      </c>
      <c r="F37">
        <v>32.028965999999997</v>
      </c>
      <c r="G37">
        <v>31.609929999999999</v>
      </c>
      <c r="H37">
        <v>27.319842999999999</v>
      </c>
      <c r="I37">
        <v>24.267758000000001</v>
      </c>
      <c r="J37">
        <v>57.104300000000002</v>
      </c>
      <c r="K37">
        <v>47.111744999999999</v>
      </c>
      <c r="L37">
        <v>208.166571</v>
      </c>
      <c r="M37">
        <v>-622.49224500000003</v>
      </c>
      <c r="N37">
        <v>0.94470600000000005</v>
      </c>
      <c r="O37">
        <v>1.823693</v>
      </c>
      <c r="P37">
        <f t="shared" si="0"/>
        <v>1.5745099999999999E-5</v>
      </c>
      <c r="Q37" cm="1">
        <f t="array" ref="Q37">[1]!PropsSI("D","T",J37+273.15,"P",101325,"Water")</f>
        <v>984.66055271775963</v>
      </c>
      <c r="R37" cm="1">
        <f t="array" ref="R37">[1]!PropsSI("D","T",K37+273.15,"P",101325,"Water")</f>
        <v>989.31372590569333</v>
      </c>
      <c r="S37">
        <f t="shared" si="1"/>
        <v>986.98713931172642</v>
      </c>
      <c r="T37" cm="1">
        <f t="array" ref="T37">[1]!PropsSI("H","T",J37+273.15,"P",101325,"Water")</f>
        <v>239132.09477640092</v>
      </c>
      <c r="U37" cm="1">
        <f t="array" ref="U37">[1]!PropsSI("H","T",K37+273.15,"P",101325,"Water")</f>
        <v>197342.82202424563</v>
      </c>
      <c r="V37">
        <f t="shared" si="2"/>
        <v>649.41412476282267</v>
      </c>
      <c r="X37">
        <f t="shared" si="3"/>
        <v>0.26420860000000002</v>
      </c>
      <c r="Y37">
        <f t="shared" si="3"/>
        <v>0.24422348999999999</v>
      </c>
      <c r="Z37">
        <f t="shared" si="8"/>
        <v>0.35979340930836978</v>
      </c>
      <c r="AA37">
        <f t="shared" si="7"/>
        <v>9.992555000000003</v>
      </c>
      <c r="AB37">
        <f t="shared" si="5"/>
        <v>3.7369006654487252E-2</v>
      </c>
      <c r="AC37">
        <f t="shared" si="6"/>
        <v>24.267960749779935</v>
      </c>
    </row>
    <row r="38" spans="1:29" x14ac:dyDescent="0.2">
      <c r="A38">
        <v>44674.877965696804</v>
      </c>
      <c r="B38">
        <v>20.167172999999998</v>
      </c>
      <c r="C38">
        <v>20.094708000000001</v>
      </c>
      <c r="D38">
        <v>19.813413000000001</v>
      </c>
      <c r="E38">
        <v>19.804780000000001</v>
      </c>
      <c r="F38">
        <v>31.936603999999999</v>
      </c>
      <c r="G38">
        <v>29.685542999999999</v>
      </c>
      <c r="H38">
        <v>27.779672999999999</v>
      </c>
      <c r="I38">
        <v>24.315925</v>
      </c>
      <c r="J38">
        <v>57.110349999999997</v>
      </c>
      <c r="K38">
        <v>47.116824999999999</v>
      </c>
      <c r="L38">
        <v>208.56246999999999</v>
      </c>
      <c r="M38">
        <v>-622.48653100000001</v>
      </c>
      <c r="N38">
        <v>0.94746399999999997</v>
      </c>
      <c r="O38">
        <v>1.98695</v>
      </c>
      <c r="P38">
        <f t="shared" si="0"/>
        <v>1.5791066666666665E-5</v>
      </c>
      <c r="Q38" cm="1">
        <f t="array" ref="Q38">[1]!PropsSI("D","T",J38+273.15,"P",101325,"Water")</f>
        <v>984.65754505383495</v>
      </c>
      <c r="R38" cm="1">
        <f t="array" ref="R38">[1]!PropsSI("D","T",K38+273.15,"P",101325,"Water")</f>
        <v>989.31152604448766</v>
      </c>
      <c r="S38">
        <f t="shared" si="1"/>
        <v>986.98453554916136</v>
      </c>
      <c r="T38" cm="1">
        <f t="array" ref="T38">[1]!PropsSI("H","T",J38+273.15,"P",101325,"Water")</f>
        <v>239157.40647867162</v>
      </c>
      <c r="U38" cm="1">
        <f t="array" ref="U38">[1]!PropsSI("H","T",K38+273.15,"P",101325,"Water")</f>
        <v>197364.05945172592</v>
      </c>
      <c r="V38">
        <f t="shared" si="2"/>
        <v>651.37182330437884</v>
      </c>
      <c r="X38">
        <f t="shared" si="3"/>
        <v>0.26422069999999998</v>
      </c>
      <c r="Y38">
        <f t="shared" si="3"/>
        <v>0.24423365</v>
      </c>
      <c r="Z38">
        <f t="shared" si="8"/>
        <v>0.35980919124004113</v>
      </c>
      <c r="AA38">
        <f t="shared" si="7"/>
        <v>9.9935249999999982</v>
      </c>
      <c r="AB38">
        <f t="shared" si="5"/>
        <v>3.7367160878590669E-2</v>
      </c>
      <c r="AC38">
        <f t="shared" si="6"/>
        <v>24.339915713195658</v>
      </c>
    </row>
    <row r="39" spans="1:29" x14ac:dyDescent="0.2">
      <c r="A39">
        <v>44674.878023567202</v>
      </c>
      <c r="B39">
        <v>20.311792000000001</v>
      </c>
      <c r="C39">
        <v>20.158480999999998</v>
      </c>
      <c r="D39">
        <v>19.787322</v>
      </c>
      <c r="E39">
        <v>19.741493999999999</v>
      </c>
      <c r="F39">
        <v>31.904530000000001</v>
      </c>
      <c r="G39">
        <v>29.792196000000001</v>
      </c>
      <c r="H39">
        <v>27.955839999999998</v>
      </c>
      <c r="I39">
        <v>24.071057</v>
      </c>
      <c r="J39">
        <v>57.098728000000001</v>
      </c>
      <c r="K39">
        <v>47.117142000000001</v>
      </c>
      <c r="L39">
        <v>205.492828</v>
      </c>
      <c r="M39">
        <v>-622.49265300000002</v>
      </c>
      <c r="N39">
        <v>0.94463200000000003</v>
      </c>
      <c r="O39">
        <v>1.640687</v>
      </c>
      <c r="P39">
        <f t="shared" si="0"/>
        <v>1.5743866666666667E-5</v>
      </c>
      <c r="Q39" cm="1">
        <f t="array" ref="Q39">[1]!PropsSI("D","T",J39+273.15,"P",101325,"Water")</f>
        <v>984.66332255466671</v>
      </c>
      <c r="R39" cm="1">
        <f t="array" ref="R39">[1]!PropsSI("D","T",K39+273.15,"P",101325,"Water")</f>
        <v>989.31138876387172</v>
      </c>
      <c r="S39">
        <f t="shared" si="1"/>
        <v>986.98735565926927</v>
      </c>
      <c r="T39" cm="1">
        <f t="array" ref="T39">[1]!PropsSI("H","T",J39+273.15,"P",101325,"Water")</f>
        <v>239108.78292051022</v>
      </c>
      <c r="U39" cm="1">
        <f t="array" ref="U39">[1]!PropsSI("H","T",K39+273.15,"P",101325,"Water")</f>
        <v>197365.38470083004</v>
      </c>
      <c r="V39">
        <f t="shared" si="2"/>
        <v>648.65055344673488</v>
      </c>
      <c r="X39">
        <f t="shared" si="3"/>
        <v>0.264197456</v>
      </c>
      <c r="Y39">
        <f t="shared" si="3"/>
        <v>0.244234284</v>
      </c>
      <c r="Z39">
        <f t="shared" si="8"/>
        <v>0.35979255306059993</v>
      </c>
      <c r="AA39">
        <f t="shared" si="7"/>
        <v>9.9815860000000001</v>
      </c>
      <c r="AB39">
        <f t="shared" si="5"/>
        <v>3.7407050438846186E-2</v>
      </c>
      <c r="AC39">
        <f t="shared" si="6"/>
        <v>24.264103969967504</v>
      </c>
    </row>
    <row r="40" spans="1:29" x14ac:dyDescent="0.2">
      <c r="A40">
        <v>44674.878082016199</v>
      </c>
      <c r="B40">
        <v>20.165634000000001</v>
      </c>
      <c r="C40">
        <v>20.005400000000002</v>
      </c>
      <c r="D40">
        <v>19.746406</v>
      </c>
      <c r="E40">
        <v>19.701224</v>
      </c>
      <c r="F40">
        <v>32.061478999999999</v>
      </c>
      <c r="G40">
        <v>30.689848999999999</v>
      </c>
      <c r="H40">
        <v>28.113500999999999</v>
      </c>
      <c r="I40">
        <v>24.455369000000001</v>
      </c>
      <c r="J40">
        <v>57.101593999999999</v>
      </c>
      <c r="K40">
        <v>47.118729000000002</v>
      </c>
      <c r="L40">
        <v>209.67629199999999</v>
      </c>
      <c r="M40">
        <v>-622.47796000000005</v>
      </c>
      <c r="N40">
        <v>0.94254599999999999</v>
      </c>
      <c r="O40">
        <v>2.355985</v>
      </c>
      <c r="P40">
        <f t="shared" si="0"/>
        <v>1.5709100000000002E-5</v>
      </c>
      <c r="Q40" cm="1">
        <f t="array" ref="Q40">[1]!PropsSI("D","T",J40+273.15,"P",101325,"Water")</f>
        <v>984.66189789185069</v>
      </c>
      <c r="R40" cm="1">
        <f t="array" ref="R40">[1]!PropsSI("D","T",K40+273.15,"P",101325,"Water")</f>
        <v>989.31070148443393</v>
      </c>
      <c r="S40">
        <f t="shared" si="1"/>
        <v>986.98629968814225</v>
      </c>
      <c r="T40" cm="1">
        <f t="array" ref="T40">[1]!PropsSI("H","T",J40+273.15,"P",101325,"Water")</f>
        <v>239120.77354691693</v>
      </c>
      <c r="U40" cm="1">
        <f t="array" ref="U40">[1]!PropsSI("H","T",K40+273.15,"P",101325,"Water")</f>
        <v>197372.01930792679</v>
      </c>
      <c r="V40">
        <f t="shared" si="2"/>
        <v>647.30051044902189</v>
      </c>
      <c r="X40">
        <f t="shared" si="3"/>
        <v>0.26420318799999998</v>
      </c>
      <c r="Y40">
        <f t="shared" si="3"/>
        <v>0.24423745800000002</v>
      </c>
      <c r="Z40">
        <f t="shared" si="8"/>
        <v>0.35979891667383479</v>
      </c>
      <c r="AA40">
        <f t="shared" si="7"/>
        <v>9.9828649999999968</v>
      </c>
      <c r="AB40">
        <f t="shared" si="5"/>
        <v>3.7403214634815295E-2</v>
      </c>
      <c r="AC40">
        <f t="shared" si="6"/>
        <v>24.211119925550268</v>
      </c>
    </row>
    <row r="41" spans="1:29" x14ac:dyDescent="0.2">
      <c r="A41">
        <v>44674.878139886598</v>
      </c>
      <c r="B41">
        <v>20.212935999999999</v>
      </c>
      <c r="C41">
        <v>20.073910000000001</v>
      </c>
      <c r="D41">
        <v>19.811192999999999</v>
      </c>
      <c r="E41">
        <v>19.800053999999999</v>
      </c>
      <c r="F41">
        <v>32.014521000000002</v>
      </c>
      <c r="G41">
        <v>31.480003</v>
      </c>
      <c r="H41">
        <v>27.927907000000001</v>
      </c>
      <c r="I41">
        <v>24.670404999999999</v>
      </c>
      <c r="J41">
        <v>57.104937</v>
      </c>
      <c r="K41">
        <v>47.11365</v>
      </c>
      <c r="L41">
        <v>213.89403999999999</v>
      </c>
      <c r="M41">
        <v>-622.47510299999999</v>
      </c>
      <c r="N41">
        <v>0.94567299999999999</v>
      </c>
      <c r="O41">
        <v>1.8789340000000001</v>
      </c>
      <c r="P41">
        <f t="shared" si="0"/>
        <v>1.5761216666666668E-5</v>
      </c>
      <c r="Q41" cm="1">
        <f t="array" ref="Q41">[1]!PropsSI("D","T",J41+273.15,"P",101325,"Water")</f>
        <v>984.66023605353541</v>
      </c>
      <c r="R41" cm="1">
        <f t="array" ref="R41">[1]!PropsSI("D","T",K41+273.15,"P",101325,"Water")</f>
        <v>989.31290097827639</v>
      </c>
      <c r="S41">
        <f t="shared" si="1"/>
        <v>986.9865685159059</v>
      </c>
      <c r="T41" cm="1">
        <f t="array" ref="T41">[1]!PropsSI("H","T",J41+273.15,"P",101325,"Water")</f>
        <v>239134.75982603594</v>
      </c>
      <c r="U41" cm="1">
        <f t="array" ref="U41">[1]!PropsSI("H","T",K41+273.15,"P",101325,"Water")</f>
        <v>197350.78605881668</v>
      </c>
      <c r="V41">
        <f t="shared" si="2"/>
        <v>649.99605678854959</v>
      </c>
      <c r="X41">
        <f t="shared" si="3"/>
        <v>0.26420987400000001</v>
      </c>
      <c r="Y41">
        <f t="shared" si="3"/>
        <v>0.24422729999999998</v>
      </c>
      <c r="Z41">
        <f t="shared" si="8"/>
        <v>0.35979693103803134</v>
      </c>
      <c r="AA41">
        <f t="shared" si="7"/>
        <v>9.9912869999999998</v>
      </c>
      <c r="AB41">
        <f t="shared" si="5"/>
        <v>3.7373749210393312E-2</v>
      </c>
      <c r="AC41">
        <f t="shared" si="6"/>
        <v>24.292789614159823</v>
      </c>
    </row>
    <row r="42" spans="1:29" x14ac:dyDescent="0.2">
      <c r="A42">
        <v>46136.878198333332</v>
      </c>
      <c r="B42">
        <v>20.135145000000001</v>
      </c>
      <c r="C42">
        <v>20.044833000000001</v>
      </c>
      <c r="D42">
        <v>19.815788000000001</v>
      </c>
      <c r="E42">
        <v>19.760016</v>
      </c>
      <c r="F42">
        <v>32.140377999999998</v>
      </c>
      <c r="G42">
        <v>31.025845</v>
      </c>
      <c r="H42">
        <v>27.974719</v>
      </c>
      <c r="I42">
        <v>24.791072</v>
      </c>
      <c r="J42">
        <v>57.103822999999998</v>
      </c>
      <c r="K42">
        <v>47.111109999999996</v>
      </c>
      <c r="L42">
        <v>204.512877</v>
      </c>
      <c r="M42">
        <v>-622.48000100000002</v>
      </c>
      <c r="N42">
        <v>0.94628299999999999</v>
      </c>
      <c r="O42">
        <v>1.6970339999999999</v>
      </c>
      <c r="P42">
        <f t="shared" si="0"/>
        <v>1.5771383333333333E-5</v>
      </c>
      <c r="Q42" cm="1">
        <f t="array" ref="Q42">[1]!PropsSI("D","T",J42+273.15,"P",101325,"Water")</f>
        <v>984.66078984146532</v>
      </c>
      <c r="R42" cm="1">
        <f t="array" ref="R42">[1]!PropsSI("D","T",K42+273.15,"P",101325,"Water")</f>
        <v>989.31400087603777</v>
      </c>
      <c r="S42">
        <f t="shared" si="1"/>
        <v>986.98739535875154</v>
      </c>
      <c r="T42" cm="1">
        <f t="array" ref="T42">[1]!PropsSI("H","T",J42+273.15,"P",101325,"Water")</f>
        <v>239130.09912709132</v>
      </c>
      <c r="U42" cm="1">
        <f t="array" ref="U42">[1]!PropsSI("H","T",K42+273.15,"P",101325,"Water")</f>
        <v>197340.16734624177</v>
      </c>
      <c r="V42">
        <f t="shared" si="2"/>
        <v>650.50862062256181</v>
      </c>
      <c r="X42">
        <f t="shared" si="3"/>
        <v>0.26420764600000002</v>
      </c>
      <c r="Y42">
        <f t="shared" si="3"/>
        <v>0.24422221999999999</v>
      </c>
      <c r="Z42">
        <f t="shared" si="8"/>
        <v>0.35979184669276448</v>
      </c>
      <c r="AA42">
        <f t="shared" si="7"/>
        <v>9.992713000000002</v>
      </c>
      <c r="AB42">
        <f t="shared" si="5"/>
        <v>3.7368307433538153E-2</v>
      </c>
      <c r="AC42">
        <f t="shared" si="6"/>
        <v>24.308406123590728</v>
      </c>
    </row>
    <row r="43" spans="1:29" x14ac:dyDescent="0.2">
      <c r="A43">
        <v>46136.878256203701</v>
      </c>
      <c r="B43">
        <v>20.116931000000001</v>
      </c>
      <c r="C43">
        <v>20.003083</v>
      </c>
      <c r="D43">
        <v>19.849042000000001</v>
      </c>
      <c r="E43">
        <v>19.826485000000002</v>
      </c>
      <c r="F43">
        <v>32.093243999999999</v>
      </c>
      <c r="G43">
        <v>31.079422999999998</v>
      </c>
      <c r="H43">
        <v>27.658370999999999</v>
      </c>
      <c r="I43">
        <v>25.037391</v>
      </c>
      <c r="J43">
        <v>57.109394999999999</v>
      </c>
      <c r="K43">
        <v>47.096032000000001</v>
      </c>
      <c r="L43">
        <v>204.06147100000001</v>
      </c>
      <c r="M43">
        <v>-622.50122399999998</v>
      </c>
      <c r="N43">
        <v>0.94427099999999997</v>
      </c>
      <c r="O43">
        <v>1.5561419999999999</v>
      </c>
      <c r="P43">
        <f t="shared" si="0"/>
        <v>1.573785E-5</v>
      </c>
      <c r="Q43" cm="1">
        <f t="array" ref="Q43">[1]!PropsSI("D","T",J43+273.15,"P",101325,"Water")</f>
        <v>984.65801983208905</v>
      </c>
      <c r="R43" cm="1">
        <f t="array" ref="R43">[1]!PropsSI("D","T",K43+273.15,"P",101325,"Water")</f>
        <v>989.32052920993613</v>
      </c>
      <c r="S43">
        <f t="shared" si="1"/>
        <v>986.98927452101259</v>
      </c>
      <c r="T43" cm="1">
        <f t="array" ref="T43">[1]!PropsSI("H","T",J43+273.15,"P",101325,"Water")</f>
        <v>239153.41099416348</v>
      </c>
      <c r="U43" cm="1">
        <f t="array" ref="U43">[1]!PropsSI("H","T",K43+273.15,"P",101325,"Water")</f>
        <v>197277.1323581395</v>
      </c>
      <c r="V43">
        <f t="shared" si="2"/>
        <v>650.46796949196528</v>
      </c>
      <c r="X43">
        <f t="shared" si="3"/>
        <v>0.26421878999999998</v>
      </c>
      <c r="Y43">
        <f t="shared" si="3"/>
        <v>0.24419206399999999</v>
      </c>
      <c r="Z43">
        <f t="shared" si="8"/>
        <v>0.35977956182869003</v>
      </c>
      <c r="AA43">
        <f t="shared" si="7"/>
        <v>10.013362999999998</v>
      </c>
      <c r="AB43">
        <f t="shared" si="5"/>
        <v>3.7295586923736489E-2</v>
      </c>
      <c r="AC43">
        <f t="shared" si="6"/>
        <v>24.259584697293967</v>
      </c>
    </row>
    <row r="44" spans="1:29" x14ac:dyDescent="0.2">
      <c r="A44">
        <v>46136.878314074071</v>
      </c>
      <c r="B44">
        <v>20.163163000000001</v>
      </c>
      <c r="C44">
        <v>20.042197000000002</v>
      </c>
      <c r="D44">
        <v>19.925529000000001</v>
      </c>
      <c r="E44">
        <v>19.802911999999999</v>
      </c>
      <c r="F44">
        <v>32.206079000000003</v>
      </c>
      <c r="G44">
        <v>31.016425000000002</v>
      </c>
      <c r="H44">
        <v>27.804563000000002</v>
      </c>
      <c r="I44">
        <v>25.182016000000001</v>
      </c>
      <c r="J44">
        <v>57.101593999999999</v>
      </c>
      <c r="K44">
        <v>47.103808999999998</v>
      </c>
      <c r="L44">
        <v>225.22367700000001</v>
      </c>
      <c r="M44">
        <v>-622.47877700000004</v>
      </c>
      <c r="N44">
        <v>0.94565600000000005</v>
      </c>
      <c r="O44">
        <v>2.240853</v>
      </c>
      <c r="P44">
        <f t="shared" si="0"/>
        <v>1.5760933333333337E-5</v>
      </c>
      <c r="Q44" cm="1">
        <f t="array" ref="Q44">[1]!PropsSI("D","T",J44+273.15,"P",101325,"Water")</f>
        <v>984.66189789185069</v>
      </c>
      <c r="R44" cm="1">
        <f t="array" ref="R44">[1]!PropsSI("D","T",K44+273.15,"P",101325,"Water")</f>
        <v>989.31716218868507</v>
      </c>
      <c r="S44">
        <f t="shared" si="1"/>
        <v>986.98953004026794</v>
      </c>
      <c r="T44" cm="1">
        <f t="array" ref="T44">[1]!PropsSI("H","T",J44+273.15,"P",101325,"Water")</f>
        <v>239120.77354691693</v>
      </c>
      <c r="U44" cm="1">
        <f t="array" ref="U44">[1]!PropsSI("H","T",K44+273.15,"P",101325,"Water")</f>
        <v>197309.64482679684</v>
      </c>
      <c r="V44">
        <f t="shared" si="2"/>
        <v>650.40874146937017</v>
      </c>
      <c r="X44">
        <f t="shared" si="3"/>
        <v>0.26420318799999998</v>
      </c>
      <c r="Y44">
        <f t="shared" si="3"/>
        <v>0.24420761799999999</v>
      </c>
      <c r="Z44">
        <f t="shared" si="8"/>
        <v>0.35977866145534154</v>
      </c>
      <c r="AA44">
        <f t="shared" si="7"/>
        <v>9.9977850000000004</v>
      </c>
      <c r="AB44">
        <f t="shared" si="5"/>
        <v>3.734943728086676E-2</v>
      </c>
      <c r="AC44">
        <f t="shared" si="6"/>
        <v>24.292400496437725</v>
      </c>
    </row>
    <row r="45" spans="1:29" x14ac:dyDescent="0.2">
      <c r="A45">
        <v>46136.878372523148</v>
      </c>
      <c r="B45">
        <v>20.170065999999998</v>
      </c>
      <c r="C45">
        <v>20.052060999999998</v>
      </c>
      <c r="D45">
        <v>19.895225</v>
      </c>
      <c r="E45">
        <v>19.781189000000001</v>
      </c>
      <c r="F45">
        <v>32.271965000000002</v>
      </c>
      <c r="G45">
        <v>31.760459000000001</v>
      </c>
      <c r="H45">
        <v>27.953032</v>
      </c>
      <c r="I45">
        <v>24.767043999999999</v>
      </c>
      <c r="J45">
        <v>57.090288999999999</v>
      </c>
      <c r="K45">
        <v>47.113014999999997</v>
      </c>
      <c r="L45">
        <v>189.91360800000001</v>
      </c>
      <c r="M45">
        <v>-622.49959200000001</v>
      </c>
      <c r="N45">
        <v>0.94669300000000001</v>
      </c>
      <c r="O45">
        <v>1.7303539999999999</v>
      </c>
      <c r="P45">
        <f t="shared" si="0"/>
        <v>1.5778216666666668E-5</v>
      </c>
      <c r="Q45" cm="1">
        <f t="array" ref="Q45">[1]!PropsSI("D","T",J45+273.15,"P",101325,"Water")</f>
        <v>984.66751721585933</v>
      </c>
      <c r="R45" cm="1">
        <f t="array" ref="R45">[1]!PropsSI("D","T",K45+273.15,"P",101325,"Water")</f>
        <v>989.31317595682924</v>
      </c>
      <c r="S45">
        <f t="shared" si="1"/>
        <v>986.99034658634423</v>
      </c>
      <c r="T45" cm="1">
        <f t="array" ref="T45">[1]!PropsSI("H","T",J45+273.15,"P",101325,"Water")</f>
        <v>239073.47627620565</v>
      </c>
      <c r="U45" cm="1">
        <f t="array" ref="U45">[1]!PropsSI("H","T",K45+273.15,"P",101325,"Water")</f>
        <v>197348.13138052507</v>
      </c>
      <c r="V45">
        <f t="shared" si="2"/>
        <v>649.78660699644979</v>
      </c>
      <c r="X45">
        <f t="shared" si="3"/>
        <v>0.264180578</v>
      </c>
      <c r="Y45">
        <f t="shared" si="3"/>
        <v>0.24422602999999998</v>
      </c>
      <c r="Z45">
        <f t="shared" si="8"/>
        <v>0.35977455652390838</v>
      </c>
      <c r="AA45">
        <f t="shared" si="7"/>
        <v>9.9772740000000013</v>
      </c>
      <c r="AB45">
        <f t="shared" si="5"/>
        <v>3.7420323825288107E-2</v>
      </c>
      <c r="AC45">
        <f t="shared" si="6"/>
        <v>24.315225251142369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89A5A-29F4-F24D-94E6-46EB38A49045}">
  <dimension ref="A1:AC58"/>
  <sheetViews>
    <sheetView topLeftCell="O1" workbookViewId="0">
      <selection activeCell="W4" sqref="W4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23" max="23" width="33.83203125" customWidth="1"/>
    <col min="24" max="24" width="12.33203125" customWidth="1"/>
    <col min="25" max="25" width="12.83203125" customWidth="1"/>
    <col min="26" max="26" width="12" customWidth="1"/>
  </cols>
  <sheetData>
    <row r="1" spans="1:2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25</v>
      </c>
      <c r="U1" s="3" t="s">
        <v>26</v>
      </c>
      <c r="V1" s="3" t="s">
        <v>27</v>
      </c>
      <c r="W1" s="3" t="s">
        <v>28</v>
      </c>
      <c r="X1" s="3" t="s">
        <v>29</v>
      </c>
      <c r="Y1" s="3" t="s">
        <v>30</v>
      </c>
      <c r="Z1" s="3" t="s">
        <v>31</v>
      </c>
      <c r="AA1" s="3" t="s">
        <v>32</v>
      </c>
      <c r="AB1" s="3" t="s">
        <v>33</v>
      </c>
      <c r="AC1" s="3" t="s">
        <v>34</v>
      </c>
    </row>
    <row r="2" spans="1:29" x14ac:dyDescent="0.2">
      <c r="A2">
        <v>44674.879801344898</v>
      </c>
      <c r="B2">
        <v>20.013534</v>
      </c>
      <c r="C2">
        <v>19.833649999999999</v>
      </c>
      <c r="D2">
        <v>19.829881</v>
      </c>
      <c r="E2">
        <v>19.76707</v>
      </c>
      <c r="F2">
        <v>32.130099999999999</v>
      </c>
      <c r="G2">
        <v>30.724595999999998</v>
      </c>
      <c r="H2">
        <v>26.780345000000001</v>
      </c>
      <c r="I2">
        <v>23.598981999999999</v>
      </c>
      <c r="J2">
        <v>57.063063999999997</v>
      </c>
      <c r="K2">
        <v>46.487067000000003</v>
      </c>
      <c r="L2">
        <v>278.498152</v>
      </c>
      <c r="M2">
        <v>-622.49183700000003</v>
      </c>
      <c r="N2">
        <v>0.94130000000000003</v>
      </c>
      <c r="O2">
        <v>1.7127410000000001</v>
      </c>
      <c r="P2">
        <f t="shared" ref="P2:P65" si="0" xml:space="preserve"> N2*0.001/60</f>
        <v>1.5688333333333334E-5</v>
      </c>
      <c r="Q2" cm="1">
        <f t="array" ref="Q2">[1]!PropsSI("D","T",J2+273.15,"P",101325,"Water")</f>
        <v>984.68104663354075</v>
      </c>
      <c r="R2" cm="1">
        <f t="array" ref="R2">[1]!PropsSI("D","T",K2+273.15,"P",101325,"Water")</f>
        <v>989.58289999807221</v>
      </c>
      <c r="S2">
        <f t="shared" ref="S2:S65" si="1">(Q2+R2)/2</f>
        <v>987.13197331580648</v>
      </c>
      <c r="T2" cm="1">
        <f t="array" ref="T2">[1]!PropsSI("H","T",J2+273.15,"P",101325,"Water")</f>
        <v>238959.57394401735</v>
      </c>
      <c r="U2" cm="1">
        <f t="array" ref="U2">[1]!PropsSI("H","T",K2+273.15,"P",101325,"Water")</f>
        <v>194731.34095801727</v>
      </c>
      <c r="V2">
        <f t="shared" ref="V2:V65" si="2">S2*P2*(T2-U2)</f>
        <v>684.93855938819786</v>
      </c>
      <c r="W2" s="3">
        <f>AVERAGE(V18:V58)</f>
        <v>693.48862783670415</v>
      </c>
      <c r="X2">
        <f>(0.15+0.002*ABS(J2))</f>
        <v>0.26412612800000002</v>
      </c>
      <c r="Y2">
        <f>(0.15+0.002*ABS(K2))</f>
        <v>0.24297413400000001</v>
      </c>
      <c r="Z2">
        <f>SQRT((X2)^2 + (Y2)^2)</f>
        <v>0.35888583321903689</v>
      </c>
      <c r="AA2">
        <f>J2-K2</f>
        <v>10.575996999999994</v>
      </c>
      <c r="AB2">
        <f>SQRT((0.01)^2 + (Z2/ABS(AA2))^2)</f>
        <v>3.5376772629700896E-2</v>
      </c>
      <c r="AC2">
        <f>ABS(V2*AB2)</f>
        <v>24.23091568079116</v>
      </c>
    </row>
    <row r="3" spans="1:29" x14ac:dyDescent="0.2">
      <c r="A3">
        <v>44674.879859215303</v>
      </c>
      <c r="B3">
        <v>20.087596999999999</v>
      </c>
      <c r="C3">
        <v>19.953554</v>
      </c>
      <c r="D3">
        <v>19.827618999999999</v>
      </c>
      <c r="E3">
        <v>19.814474000000001</v>
      </c>
      <c r="F3">
        <v>31.892401</v>
      </c>
      <c r="G3">
        <v>30.616875</v>
      </c>
      <c r="H3">
        <v>26.864840999999998</v>
      </c>
      <c r="I3">
        <v>24.110602</v>
      </c>
      <c r="J3">
        <v>57.054147999999998</v>
      </c>
      <c r="K3">
        <v>46.482940999999997</v>
      </c>
      <c r="L3">
        <v>292.30439899999999</v>
      </c>
      <c r="M3">
        <v>-622.52285600000005</v>
      </c>
      <c r="N3">
        <v>0.94119799999999998</v>
      </c>
      <c r="O3">
        <v>2.291404</v>
      </c>
      <c r="P3">
        <f t="shared" si="0"/>
        <v>1.5686633333333333E-5</v>
      </c>
      <c r="Q3" cm="1">
        <f t="array" ref="Q3">[1]!PropsSI("D","T",J3+273.15,"P",101325,"Water")</f>
        <v>984.68547644546777</v>
      </c>
      <c r="R3" cm="1">
        <f t="array" ref="R3">[1]!PropsSI("D","T",K3+273.15,"P",101325,"Water")</f>
        <v>989.58466904210729</v>
      </c>
      <c r="S3">
        <f t="shared" si="1"/>
        <v>987.13507274378753</v>
      </c>
      <c r="T3" cm="1">
        <f t="array" ref="T3">[1]!PropsSI("H","T",J3+273.15,"P",101325,"Water")</f>
        <v>238922.27177797863</v>
      </c>
      <c r="U3" cm="1">
        <f t="array" ref="U3">[1]!PropsSI("H","T",K3+273.15,"P",101325,"Water")</f>
        <v>194714.09241160366</v>
      </c>
      <c r="V3">
        <f t="shared" si="2"/>
        <v>684.55596246253458</v>
      </c>
      <c r="W3" s="3" t="s">
        <v>35</v>
      </c>
      <c r="X3">
        <f t="shared" ref="X3:Y55" si="3">(0.15+0.002*ABS(J3))</f>
        <v>0.26410829599999996</v>
      </c>
      <c r="Y3">
        <f t="shared" si="3"/>
        <v>0.24296588199999999</v>
      </c>
      <c r="Z3">
        <f t="shared" ref="Z3:Z55" si="4">SQRT((X3)^2 + (Y3)^2)</f>
        <v>0.35886712280739996</v>
      </c>
      <c r="AA3">
        <f>J3-K3</f>
        <v>10.571207000000001</v>
      </c>
      <c r="AB3">
        <f t="shared" ref="AB3:AB66" si="5">SQRT((0.01)^2 + (Z3/ABS(AA3))^2)</f>
        <v>3.5389824086459742E-2</v>
      </c>
      <c r="AC3">
        <f t="shared" ref="AC3:AC66" si="6">ABS(V3*AB3)</f>
        <v>24.226315088886238</v>
      </c>
    </row>
    <row r="4" spans="1:29" x14ac:dyDescent="0.2">
      <c r="A4">
        <v>44674.879917664402</v>
      </c>
      <c r="B4">
        <v>19.994904999999999</v>
      </c>
      <c r="C4">
        <v>20.023966999999999</v>
      </c>
      <c r="D4">
        <v>19.815823000000002</v>
      </c>
      <c r="E4">
        <v>19.815207999999998</v>
      </c>
      <c r="F4">
        <v>31.723623</v>
      </c>
      <c r="G4">
        <v>29.576298999999999</v>
      </c>
      <c r="H4">
        <v>27.124790000000001</v>
      </c>
      <c r="I4">
        <v>24.037752999999999</v>
      </c>
      <c r="J4">
        <v>57.058447000000001</v>
      </c>
      <c r="K4">
        <v>46.463422000000001</v>
      </c>
      <c r="L4">
        <v>285.37495000000001</v>
      </c>
      <c r="M4">
        <v>-622.50857099999996</v>
      </c>
      <c r="N4">
        <v>0.94414399999999998</v>
      </c>
      <c r="O4">
        <v>1.518273</v>
      </c>
      <c r="P4">
        <f t="shared" si="0"/>
        <v>1.5735733333333333E-5</v>
      </c>
      <c r="Q4" cm="1">
        <f t="array" ref="Q4">[1]!PropsSI("D","T",J4+273.15,"P",101325,"Water")</f>
        <v>984.68334059714005</v>
      </c>
      <c r="R4" cm="1">
        <f t="array" ref="R4">[1]!PropsSI("D","T",K4+273.15,"P",101325,"Water")</f>
        <v>989.59303633655622</v>
      </c>
      <c r="S4">
        <f t="shared" si="1"/>
        <v>987.13818846684808</v>
      </c>
      <c r="T4" cm="1">
        <f t="array" ref="T4">[1]!PropsSI("H","T",J4+273.15,"P",101325,"Water")</f>
        <v>238940.25764347508</v>
      </c>
      <c r="U4" cm="1">
        <f t="array" ref="U4">[1]!PropsSI("H","T",K4+273.15,"P",101325,"Water")</f>
        <v>194632.49421333018</v>
      </c>
      <c r="V4">
        <f t="shared" si="2"/>
        <v>688.24770007667996</v>
      </c>
      <c r="W4" s="3">
        <f>SQRT((AVERAGE(AC18:AC58))^2 + (_xlfn.STDEV.S(V18:V58)/SQRT(COUNT(V18:V58)))^2)</f>
        <v>24.307147765504631</v>
      </c>
      <c r="X4">
        <f t="shared" si="3"/>
        <v>0.26411689399999999</v>
      </c>
      <c r="Y4">
        <f t="shared" si="3"/>
        <v>0.242926844</v>
      </c>
      <c r="Z4">
        <f t="shared" si="4"/>
        <v>0.35884702204701041</v>
      </c>
      <c r="AA4">
        <f t="shared" ref="AA4:AA67" si="7">J4-K4</f>
        <v>10.595025</v>
      </c>
      <c r="AB4">
        <f t="shared" si="5"/>
        <v>3.5314805732545536E-2</v>
      </c>
      <c r="AC4">
        <f t="shared" si="6"/>
        <v>24.305333824079216</v>
      </c>
    </row>
    <row r="5" spans="1:29" x14ac:dyDescent="0.2">
      <c r="A5">
        <v>44674.879976113501</v>
      </c>
      <c r="B5">
        <v>20.039200999999998</v>
      </c>
      <c r="C5">
        <v>20.027484000000001</v>
      </c>
      <c r="D5">
        <v>19.838611</v>
      </c>
      <c r="E5">
        <v>19.840520999999999</v>
      </c>
      <c r="F5">
        <v>31.725925</v>
      </c>
      <c r="G5">
        <v>30.936159</v>
      </c>
      <c r="H5">
        <v>26.295012</v>
      </c>
      <c r="I5">
        <v>22.958521999999999</v>
      </c>
      <c r="J5">
        <v>57.057492000000003</v>
      </c>
      <c r="K5">
        <v>46.470562999999999</v>
      </c>
      <c r="L5">
        <v>278.97608700000001</v>
      </c>
      <c r="M5">
        <v>-622.47918500000003</v>
      </c>
      <c r="N5">
        <v>0.94384100000000004</v>
      </c>
      <c r="O5">
        <v>1.6350450000000001</v>
      </c>
      <c r="P5">
        <f t="shared" si="0"/>
        <v>1.5730683333333335E-5</v>
      </c>
      <c r="Q5" cm="1">
        <f t="array" ref="Q5">[1]!PropsSI("D","T",J5+273.15,"P",101325,"Water")</f>
        <v>984.6838150742002</v>
      </c>
      <c r="R5" cm="1">
        <f t="array" ref="R5">[1]!PropsSI("D","T",K5+273.15,"P",101325,"Water")</f>
        <v>989.58997547550814</v>
      </c>
      <c r="S5">
        <f t="shared" si="1"/>
        <v>987.13689527485417</v>
      </c>
      <c r="T5" cm="1">
        <f t="array" ref="T5">[1]!PropsSI("H","T",J5+273.15,"P",101325,"Water")</f>
        <v>238936.26217846185</v>
      </c>
      <c r="U5" cm="1">
        <f t="array" ref="U5">[1]!PropsSI("H","T",K5+273.15,"P",101325,"Water")</f>
        <v>194662.34679503916</v>
      </c>
      <c r="V5">
        <f t="shared" si="2"/>
        <v>687.50031850511562</v>
      </c>
      <c r="W5" s="3"/>
      <c r="X5">
        <f t="shared" si="3"/>
        <v>0.264114984</v>
      </c>
      <c r="Y5">
        <f t="shared" si="3"/>
        <v>0.24294112600000001</v>
      </c>
      <c r="Z5">
        <f t="shared" si="4"/>
        <v>0.35885528486489943</v>
      </c>
      <c r="AA5">
        <f t="shared" si="7"/>
        <v>10.586929000000005</v>
      </c>
      <c r="AB5">
        <f t="shared" si="5"/>
        <v>3.5340395458639678E-2</v>
      </c>
      <c r="AC5">
        <f t="shared" si="6"/>
        <v>24.29653313391152</v>
      </c>
    </row>
    <row r="6" spans="1:29" x14ac:dyDescent="0.2">
      <c r="A6">
        <v>46136.880034560185</v>
      </c>
      <c r="B6">
        <v>20.074831</v>
      </c>
      <c r="C6">
        <v>20.05283</v>
      </c>
      <c r="D6">
        <v>19.878579999999999</v>
      </c>
      <c r="E6">
        <v>19.824237</v>
      </c>
      <c r="F6">
        <v>31.882981000000001</v>
      </c>
      <c r="G6">
        <v>31.018654999999999</v>
      </c>
      <c r="H6">
        <v>26.097452000000001</v>
      </c>
      <c r="I6">
        <v>23.231615999999999</v>
      </c>
      <c r="J6">
        <v>57.050327000000003</v>
      </c>
      <c r="K6">
        <v>46.470086999999999</v>
      </c>
      <c r="L6">
        <v>272.041741</v>
      </c>
      <c r="M6">
        <v>-622.48571500000003</v>
      </c>
      <c r="N6">
        <v>0.94363200000000003</v>
      </c>
      <c r="O6">
        <v>1.397891</v>
      </c>
      <c r="P6">
        <f t="shared" si="0"/>
        <v>1.5727200000000001E-5</v>
      </c>
      <c r="Q6" cm="1">
        <f t="array" ref="Q6">[1]!PropsSI("D","T",J6+273.15,"P",101325,"Water")</f>
        <v>984.68737471738245</v>
      </c>
      <c r="R6" cm="1">
        <f t="array" ref="R6">[1]!PropsSI("D","T",K6+273.15,"P",101325,"Water")</f>
        <v>989.59017951516466</v>
      </c>
      <c r="S6">
        <f t="shared" si="1"/>
        <v>987.13877711627356</v>
      </c>
      <c r="T6" cm="1">
        <f t="array" ref="T6">[1]!PropsSI("H","T",J6+273.15,"P",101325,"Water")</f>
        <v>238906.28574266547</v>
      </c>
      <c r="U6" cm="1">
        <f t="array" ref="U6">[1]!PropsSI("H","T",K6+273.15,"P",101325,"Water")</f>
        <v>194660.35690126286</v>
      </c>
      <c r="V6">
        <f t="shared" si="2"/>
        <v>686.91490271616794</v>
      </c>
      <c r="W6" s="3"/>
      <c r="X6">
        <f t="shared" si="3"/>
        <v>0.26410065399999999</v>
      </c>
      <c r="Y6">
        <f t="shared" si="3"/>
        <v>0.24294017400000001</v>
      </c>
      <c r="Z6">
        <f t="shared" si="4"/>
        <v>0.35884409370418513</v>
      </c>
      <c r="AA6">
        <f t="shared" si="7"/>
        <v>10.580240000000003</v>
      </c>
      <c r="AB6">
        <f t="shared" si="5"/>
        <v>3.5359935255284136E-2</v>
      </c>
      <c r="AC6">
        <f t="shared" si="6"/>
        <v>24.289266485933499</v>
      </c>
    </row>
    <row r="7" spans="1:29" x14ac:dyDescent="0.2">
      <c r="A7">
        <v>46136.880093009262</v>
      </c>
      <c r="B7">
        <v>20.147704999999998</v>
      </c>
      <c r="C7">
        <v>20.162945000000001</v>
      </c>
      <c r="D7">
        <v>19.961511999999999</v>
      </c>
      <c r="E7">
        <v>19.962623000000001</v>
      </c>
      <c r="F7">
        <v>32.017113000000002</v>
      </c>
      <c r="G7">
        <v>30.165509</v>
      </c>
      <c r="H7">
        <v>27.365300999999999</v>
      </c>
      <c r="I7">
        <v>23.607282000000001</v>
      </c>
      <c r="J7">
        <v>57.053829999999998</v>
      </c>
      <c r="K7">
        <v>46.484369000000001</v>
      </c>
      <c r="L7">
        <v>287.565045</v>
      </c>
      <c r="M7">
        <v>-622.48530700000003</v>
      </c>
      <c r="N7">
        <v>0.94192699999999996</v>
      </c>
      <c r="O7">
        <v>1.1473949999999999</v>
      </c>
      <c r="P7">
        <f t="shared" si="0"/>
        <v>1.5698783333333333E-5</v>
      </c>
      <c r="Q7" cm="1">
        <f t="array" ref="Q7">[1]!PropsSI("D","T",J7+273.15,"P",101325,"Water")</f>
        <v>984.68563443117591</v>
      </c>
      <c r="R7" cm="1">
        <f t="array" ref="R7">[1]!PropsSI("D","T",K7+273.15,"P",101325,"Water")</f>
        <v>989.58405679283794</v>
      </c>
      <c r="S7">
        <f t="shared" si="1"/>
        <v>987.13484561200698</v>
      </c>
      <c r="T7" cm="1">
        <f t="array" ref="T7">[1]!PropsSI("H","T",J7+273.15,"P",101325,"Water")</f>
        <v>238920.94135138733</v>
      </c>
      <c r="U7" cm="1">
        <f t="array" ref="U7">[1]!PropsSI("H","T",K7+273.15,"P",101325,"Water")</f>
        <v>194720.06209712534</v>
      </c>
      <c r="V7">
        <f t="shared" si="2"/>
        <v>684.97289558401837</v>
      </c>
      <c r="W7" s="3"/>
      <c r="X7">
        <f t="shared" si="3"/>
        <v>0.26410765999999997</v>
      </c>
      <c r="Y7">
        <f t="shared" si="3"/>
        <v>0.24296873800000002</v>
      </c>
      <c r="Z7">
        <f t="shared" si="4"/>
        <v>0.35886858836625452</v>
      </c>
      <c r="AA7">
        <f t="shared" si="7"/>
        <v>10.569460999999997</v>
      </c>
      <c r="AB7">
        <f t="shared" si="5"/>
        <v>3.5395336499880109E-2</v>
      </c>
      <c r="AC7">
        <f t="shared" si="6"/>
        <v>24.244846132493571</v>
      </c>
    </row>
    <row r="8" spans="1:29" x14ac:dyDescent="0.2">
      <c r="A8">
        <v>46136.880151458332</v>
      </c>
      <c r="B8">
        <v>20.247207</v>
      </c>
      <c r="C8">
        <v>20.203101</v>
      </c>
      <c r="D8">
        <v>19.925046999999999</v>
      </c>
      <c r="E8">
        <v>19.935493000000001</v>
      </c>
      <c r="F8">
        <v>31.756395999999999</v>
      </c>
      <c r="G8">
        <v>28.545009</v>
      </c>
      <c r="H8">
        <v>27.625297</v>
      </c>
      <c r="I8">
        <v>23.803224</v>
      </c>
      <c r="J8">
        <v>57.044435999999997</v>
      </c>
      <c r="K8">
        <v>46.510078</v>
      </c>
      <c r="L8">
        <v>264.68945600000001</v>
      </c>
      <c r="M8">
        <v>-622.49755100000004</v>
      </c>
      <c r="N8">
        <v>0.94467299999999998</v>
      </c>
      <c r="O8">
        <v>1.3165610000000001</v>
      </c>
      <c r="P8">
        <f t="shared" si="0"/>
        <v>1.5744550000000002E-5</v>
      </c>
      <c r="Q8" cm="1">
        <f t="array" ref="Q8">[1]!PropsSI("D","T",J8+273.15,"P",101325,"Water")</f>
        <v>984.69030119097692</v>
      </c>
      <c r="R8" cm="1">
        <f t="array" ref="R8">[1]!PropsSI("D","T",K8+273.15,"P",101325,"Water")</f>
        <v>989.57303177584379</v>
      </c>
      <c r="S8">
        <f t="shared" si="1"/>
        <v>987.1316664834103</v>
      </c>
      <c r="T8" cm="1">
        <f t="array" ref="T8">[1]!PropsSI("H","T",J8+273.15,"P",101325,"Water")</f>
        <v>238881.63939579696</v>
      </c>
      <c r="U8" cm="1">
        <f t="array" ref="U8">[1]!PropsSI("H","T",K8+273.15,"P",101325,"Water")</f>
        <v>194827.53741679172</v>
      </c>
      <c r="V8">
        <f t="shared" si="2"/>
        <v>684.68638062085165</v>
      </c>
      <c r="W8" s="3"/>
      <c r="X8">
        <f t="shared" si="3"/>
        <v>0.26408887199999997</v>
      </c>
      <c r="Y8">
        <f t="shared" si="3"/>
        <v>0.24302015599999999</v>
      </c>
      <c r="Z8">
        <f>SQRT((X8)^2 + (Y8)^2)</f>
        <v>0.35888957707977071</v>
      </c>
      <c r="AA8">
        <f t="shared" si="7"/>
        <v>10.534357999999997</v>
      </c>
      <c r="AB8">
        <f t="shared" si="5"/>
        <v>3.5505794015977123E-2</v>
      </c>
      <c r="AC8">
        <f t="shared" si="6"/>
        <v>24.310333595868869</v>
      </c>
    </row>
    <row r="9" spans="1:29" x14ac:dyDescent="0.2">
      <c r="A9">
        <v>46136.880209907409</v>
      </c>
      <c r="B9">
        <v>20.306547999999999</v>
      </c>
      <c r="C9">
        <v>20.182074</v>
      </c>
      <c r="D9">
        <v>19.880804000000001</v>
      </c>
      <c r="E9">
        <v>19.850798000000001</v>
      </c>
      <c r="F9">
        <v>32.270352000000003</v>
      </c>
      <c r="G9">
        <v>30.884153999999999</v>
      </c>
      <c r="H9">
        <v>26.952030000000001</v>
      </c>
      <c r="I9">
        <v>24.117027</v>
      </c>
      <c r="J9">
        <v>57.034565000000001</v>
      </c>
      <c r="K9">
        <v>46.491351999999999</v>
      </c>
      <c r="L9">
        <v>276.23418400000003</v>
      </c>
      <c r="M9">
        <v>-622.512652</v>
      </c>
      <c r="N9">
        <v>0.94486999999999999</v>
      </c>
      <c r="O9">
        <v>1.5251349999999999</v>
      </c>
      <c r="P9">
        <f t="shared" si="0"/>
        <v>1.5747833333333332E-5</v>
      </c>
      <c r="Q9" cm="1">
        <f t="array" ref="Q9">[1]!PropsSI("D","T",J9+273.15,"P",101325,"Water")</f>
        <v>984.69520433726041</v>
      </c>
      <c r="R9" cm="1">
        <f t="array" ref="R9">[1]!PropsSI("D","T",K9+273.15,"P",101325,"Water")</f>
        <v>989.58106265865081</v>
      </c>
      <c r="S9">
        <f t="shared" si="1"/>
        <v>987.13813349795555</v>
      </c>
      <c r="T9" cm="1">
        <f t="array" ref="T9">[1]!PropsSI("H","T",J9+273.15,"P",101325,"Water")</f>
        <v>238840.34183852962</v>
      </c>
      <c r="U9" cm="1">
        <f t="array" ref="U9">[1]!PropsSI("H","T",K9+273.15,"P",101325,"Water")</f>
        <v>194749.25420036825</v>
      </c>
      <c r="V9">
        <f t="shared" si="2"/>
        <v>685.40860280481047</v>
      </c>
      <c r="W9" s="3"/>
      <c r="X9">
        <f t="shared" si="3"/>
        <v>0.26406912999999999</v>
      </c>
      <c r="Y9">
        <f t="shared" si="3"/>
        <v>0.24298270399999999</v>
      </c>
      <c r="Z9">
        <f t="shared" ref="Z9:Z72" si="8">SQRT((X9)^2 + (Y9)^2)</f>
        <v>0.35884968978962278</v>
      </c>
      <c r="AA9">
        <f t="shared" si="7"/>
        <v>10.543213000000002</v>
      </c>
      <c r="AB9">
        <f t="shared" si="5"/>
        <v>3.5474710089990341E-2</v>
      </c>
      <c r="AC9">
        <f t="shared" si="6"/>
        <v>24.314671477685991</v>
      </c>
    </row>
    <row r="10" spans="1:29" x14ac:dyDescent="0.2">
      <c r="A10">
        <v>44674.8802683588</v>
      </c>
      <c r="B10">
        <v>20.327639000000001</v>
      </c>
      <c r="C10">
        <v>20.150048000000002</v>
      </c>
      <c r="D10">
        <v>19.905666</v>
      </c>
      <c r="E10">
        <v>19.916540000000001</v>
      </c>
      <c r="F10">
        <v>32.019258999999998</v>
      </c>
      <c r="G10">
        <v>29.959731999999999</v>
      </c>
      <c r="H10">
        <v>26.887297</v>
      </c>
      <c r="I10">
        <v>24.117284000000001</v>
      </c>
      <c r="J10">
        <v>57.035839000000003</v>
      </c>
      <c r="K10">
        <v>46.489130000000003</v>
      </c>
      <c r="L10">
        <v>268.19458600000002</v>
      </c>
      <c r="M10">
        <v>-622.45388000000003</v>
      </c>
      <c r="N10">
        <v>0.94343100000000002</v>
      </c>
      <c r="O10">
        <v>1.1829639999999999</v>
      </c>
      <c r="P10">
        <f t="shared" si="0"/>
        <v>1.572385E-5</v>
      </c>
      <c r="Q10" cm="1">
        <f t="array" ref="Q10">[1]!PropsSI("D","T",J10+273.15,"P",101325,"Water")</f>
        <v>984.6945715462806</v>
      </c>
      <c r="R10" cm="1">
        <f t="array" ref="R10">[1]!PropsSI("D","T",K10+273.15,"P",101325,"Water")</f>
        <v>989.58201543237237</v>
      </c>
      <c r="S10">
        <f t="shared" si="1"/>
        <v>987.13829348932654</v>
      </c>
      <c r="T10" cm="1">
        <f t="array" ref="T10">[1]!PropsSI("H","T",J10+273.15,"P",101325,"Water")</f>
        <v>238845.67190305208</v>
      </c>
      <c r="U10" cm="1">
        <f t="array" ref="U10">[1]!PropsSI("H","T",K10+273.15,"P",101325,"Water")</f>
        <v>194739.96523263113</v>
      </c>
      <c r="V10">
        <f t="shared" si="2"/>
        <v>684.59177425132452</v>
      </c>
      <c r="X10">
        <f t="shared" si="3"/>
        <v>0.26407167799999998</v>
      </c>
      <c r="Y10">
        <f t="shared" si="3"/>
        <v>0.24297826</v>
      </c>
      <c r="Z10">
        <f t="shared" si="8"/>
        <v>0.35884855573676655</v>
      </c>
      <c r="AA10">
        <f t="shared" si="7"/>
        <v>10.546709</v>
      </c>
      <c r="AB10">
        <f t="shared" si="5"/>
        <v>3.5463782395980796E-2</v>
      </c>
      <c r="AC10">
        <f t="shared" si="6"/>
        <v>24.278213712127382</v>
      </c>
    </row>
    <row r="11" spans="1:29" x14ac:dyDescent="0.2">
      <c r="A11">
        <v>44674.880326229199</v>
      </c>
      <c r="B11">
        <v>20.354671</v>
      </c>
      <c r="C11">
        <v>20.116251999999999</v>
      </c>
      <c r="D11">
        <v>19.886036000000001</v>
      </c>
      <c r="E11">
        <v>19.904465999999999</v>
      </c>
      <c r="F11">
        <v>32.213541999999997</v>
      </c>
      <c r="G11">
        <v>29.812525000000001</v>
      </c>
      <c r="H11">
        <v>27.206316999999999</v>
      </c>
      <c r="I11">
        <v>23.539085</v>
      </c>
      <c r="J11">
        <v>57.037112999999998</v>
      </c>
      <c r="K11">
        <v>46.473578000000003</v>
      </c>
      <c r="L11">
        <v>288.46785699999998</v>
      </c>
      <c r="M11">
        <v>-622.49714300000005</v>
      </c>
      <c r="N11">
        <v>0.94344799999999995</v>
      </c>
      <c r="O11">
        <v>1.270343</v>
      </c>
      <c r="P11">
        <f t="shared" si="0"/>
        <v>1.5724133333333331E-5</v>
      </c>
      <c r="Q11" cm="1">
        <f t="array" ref="Q11">[1]!PropsSI("D","T",J11+273.15,"P",101325,"Water")</f>
        <v>984.69393874544153</v>
      </c>
      <c r="R11" cm="1">
        <f t="array" ref="R11">[1]!PropsSI("D","T",K11+273.15,"P",101325,"Water")</f>
        <v>989.58868304528607</v>
      </c>
      <c r="S11">
        <f t="shared" si="1"/>
        <v>987.14131089536386</v>
      </c>
      <c r="T11" cm="1">
        <f t="array" ref="T11">[1]!PropsSI("H","T",J11+273.15,"P",101325,"Water")</f>
        <v>238851.00196819197</v>
      </c>
      <c r="U11" cm="1">
        <f t="array" ref="U11">[1]!PropsSI("H","T",K11+273.15,"P",101325,"Water")</f>
        <v>194674.95085023064</v>
      </c>
      <c r="V11">
        <f t="shared" si="2"/>
        <v>685.69808518993602</v>
      </c>
      <c r="X11">
        <f t="shared" si="3"/>
        <v>0.26407422599999997</v>
      </c>
      <c r="Y11">
        <f t="shared" si="3"/>
        <v>0.242947156</v>
      </c>
      <c r="Z11">
        <f t="shared" si="8"/>
        <v>0.35882937093552886</v>
      </c>
      <c r="AA11">
        <f t="shared" si="7"/>
        <v>10.563534999999995</v>
      </c>
      <c r="AB11">
        <f t="shared" si="5"/>
        <v>3.5410046870336359E-2</v>
      </c>
      <c r="AC11">
        <f t="shared" si="6"/>
        <v>24.280601335475527</v>
      </c>
    </row>
    <row r="12" spans="1:29" x14ac:dyDescent="0.2">
      <c r="A12">
        <v>44674.880384678298</v>
      </c>
      <c r="B12">
        <v>20.432195</v>
      </c>
      <c r="C12">
        <v>20.174565999999999</v>
      </c>
      <c r="D12">
        <v>19.911839000000001</v>
      </c>
      <c r="E12">
        <v>19.880137000000001</v>
      </c>
      <c r="F12">
        <v>31.757556000000001</v>
      </c>
      <c r="G12">
        <v>30.737808000000001</v>
      </c>
      <c r="H12">
        <v>27.000229999999998</v>
      </c>
      <c r="I12">
        <v>24.075158999999999</v>
      </c>
      <c r="J12">
        <v>57.036157000000003</v>
      </c>
      <c r="K12">
        <v>46.482306000000001</v>
      </c>
      <c r="L12">
        <v>289.46617400000002</v>
      </c>
      <c r="M12">
        <v>-622.49550999999997</v>
      </c>
      <c r="N12">
        <v>0.94032899999999997</v>
      </c>
      <c r="O12">
        <v>1.406812</v>
      </c>
      <c r="P12">
        <f t="shared" si="0"/>
        <v>1.5672149999999999E-5</v>
      </c>
      <c r="Q12" cm="1">
        <f t="array" ref="Q12">[1]!PropsSI("D","T",J12+273.15,"P",101325,"Water")</f>
        <v>984.69441359534915</v>
      </c>
      <c r="R12" cm="1">
        <f t="array" ref="R12">[1]!PropsSI("D","T",K12+273.15,"P",101325,"Water")</f>
        <v>989.58494129135295</v>
      </c>
      <c r="S12">
        <f t="shared" si="1"/>
        <v>987.13967744335105</v>
      </c>
      <c r="T12" cm="1">
        <f t="array" ref="T12">[1]!PropsSI("H","T",J12+273.15,"P",101325,"Water")</f>
        <v>238847.00232742741</v>
      </c>
      <c r="U12" cm="1">
        <f t="array" ref="U12">[1]!PropsSI("H","T",K12+273.15,"P",101325,"Water")</f>
        <v>194711.43782468216</v>
      </c>
      <c r="V12">
        <f t="shared" si="2"/>
        <v>682.80371256185606</v>
      </c>
      <c r="X12">
        <f t="shared" si="3"/>
        <v>0.26407231399999997</v>
      </c>
      <c r="Y12">
        <f t="shared" si="3"/>
        <v>0.242964612</v>
      </c>
      <c r="Z12">
        <f t="shared" si="8"/>
        <v>0.35883978278003836</v>
      </c>
      <c r="AA12">
        <f t="shared" si="7"/>
        <v>10.553851000000002</v>
      </c>
      <c r="AB12">
        <f t="shared" si="5"/>
        <v>3.5440894665376296E-2</v>
      </c>
      <c r="AC12">
        <f t="shared" si="6"/>
        <v>24.199174454032615</v>
      </c>
    </row>
    <row r="13" spans="1:29" x14ac:dyDescent="0.2">
      <c r="A13">
        <v>44674.880443127302</v>
      </c>
      <c r="B13">
        <v>20.509160999999999</v>
      </c>
      <c r="C13">
        <v>20.2653</v>
      </c>
      <c r="D13">
        <v>19.902034</v>
      </c>
      <c r="E13">
        <v>19.882152000000001</v>
      </c>
      <c r="F13">
        <v>32.174731999999999</v>
      </c>
      <c r="G13">
        <v>29.694137000000001</v>
      </c>
      <c r="H13">
        <v>26.653048999999999</v>
      </c>
      <c r="I13">
        <v>23.518393</v>
      </c>
      <c r="J13">
        <v>57.041570999999998</v>
      </c>
      <c r="K13">
        <v>46.477544999999999</v>
      </c>
      <c r="L13">
        <v>272.39111100000002</v>
      </c>
      <c r="M13">
        <v>-622.48285799999996</v>
      </c>
      <c r="N13">
        <v>0.94515199999999999</v>
      </c>
      <c r="O13">
        <v>1.3565400000000001</v>
      </c>
      <c r="P13">
        <f t="shared" si="0"/>
        <v>1.5752533333333332E-5</v>
      </c>
      <c r="Q13" cm="1">
        <f t="array" ref="Q13">[1]!PropsSI("D","T",J13+273.15,"P",101325,"Water")</f>
        <v>984.69172436151393</v>
      </c>
      <c r="R13" cm="1">
        <f t="array" ref="R13">[1]!PropsSI("D","T",K13+273.15,"P",101325,"Water")</f>
        <v>989.5869824295529</v>
      </c>
      <c r="S13">
        <f t="shared" si="1"/>
        <v>987.13935339553336</v>
      </c>
      <c r="T13" cm="1">
        <f t="array" ref="T13">[1]!PropsSI("H","T",J13+273.15,"P",101325,"Water")</f>
        <v>238869.65301750056</v>
      </c>
      <c r="U13" cm="1">
        <f t="array" ref="U13">[1]!PropsSI("H","T",K13+273.15,"P",101325,"Water")</f>
        <v>194691.5346963999</v>
      </c>
      <c r="V13">
        <f t="shared" si="2"/>
        <v>686.96733523432135</v>
      </c>
      <c r="X13">
        <f t="shared" si="3"/>
        <v>0.26408314199999999</v>
      </c>
      <c r="Y13">
        <f t="shared" si="3"/>
        <v>0.24295508999999998</v>
      </c>
      <c r="Z13">
        <f t="shared" si="8"/>
        <v>0.35884130426345889</v>
      </c>
      <c r="AA13">
        <f t="shared" si="7"/>
        <v>10.564025999999998</v>
      </c>
      <c r="AB13">
        <f t="shared" si="5"/>
        <v>3.5409615961135246E-2</v>
      </c>
      <c r="AC13">
        <f t="shared" si="6"/>
        <v>24.325249518491773</v>
      </c>
    </row>
    <row r="14" spans="1:29" x14ac:dyDescent="0.2">
      <c r="A14">
        <v>44674.880501576401</v>
      </c>
      <c r="B14">
        <v>20.417729999999999</v>
      </c>
      <c r="C14">
        <v>20.05433</v>
      </c>
      <c r="D14">
        <v>19.915371</v>
      </c>
      <c r="E14">
        <v>19.894893</v>
      </c>
      <c r="F14">
        <v>32.189804000000002</v>
      </c>
      <c r="G14">
        <v>28.714696</v>
      </c>
      <c r="H14">
        <v>26.635757000000002</v>
      </c>
      <c r="I14">
        <v>23.866</v>
      </c>
      <c r="J14">
        <v>57.041888999999998</v>
      </c>
      <c r="K14">
        <v>46.475006</v>
      </c>
      <c r="L14">
        <v>276.809257</v>
      </c>
      <c r="M14">
        <v>-622.48775599999999</v>
      </c>
      <c r="N14">
        <v>0.94324300000000005</v>
      </c>
      <c r="O14">
        <v>2.2007590000000001</v>
      </c>
      <c r="P14">
        <f t="shared" si="0"/>
        <v>1.5720716666666667E-5</v>
      </c>
      <c r="Q14" cm="1">
        <f t="array" ref="Q14">[1]!PropsSI("D","T",J14+273.15,"P",101325,"Water")</f>
        <v>984.69156639949415</v>
      </c>
      <c r="R14" cm="1">
        <f t="array" ref="R14">[1]!PropsSI("D","T",K14+273.15,"P",101325,"Water")</f>
        <v>989.58807088746698</v>
      </c>
      <c r="S14">
        <f t="shared" si="1"/>
        <v>987.13981864348057</v>
      </c>
      <c r="T14" cm="1">
        <f t="array" ref="T14">[1]!PropsSI("H","T",J14+273.15,"P",101325,"Water")</f>
        <v>238870.98344259695</v>
      </c>
      <c r="U14" cm="1">
        <f t="array" ref="U14">[1]!PropsSI("H","T",K14+273.15,"P",101325,"Water")</f>
        <v>194680.9205327761</v>
      </c>
      <c r="V14">
        <f t="shared" si="2"/>
        <v>685.76549746304431</v>
      </c>
      <c r="X14">
        <f t="shared" si="3"/>
        <v>0.26408377799999999</v>
      </c>
      <c r="Y14">
        <f t="shared" si="3"/>
        <v>0.24295001199999999</v>
      </c>
      <c r="Z14">
        <f t="shared" si="8"/>
        <v>0.35883833425869288</v>
      </c>
      <c r="AA14">
        <f t="shared" si="7"/>
        <v>10.566882999999997</v>
      </c>
      <c r="AB14">
        <f t="shared" si="5"/>
        <v>3.540053618950316E-2</v>
      </c>
      <c r="AC14">
        <f t="shared" si="6"/>
        <v>24.276466310453138</v>
      </c>
    </row>
    <row r="15" spans="1:29" x14ac:dyDescent="0.2">
      <c r="A15">
        <v>46136.88056002315</v>
      </c>
      <c r="B15">
        <v>19.673223</v>
      </c>
      <c r="C15">
        <v>19.780712000000001</v>
      </c>
      <c r="D15">
        <v>19.705207000000001</v>
      </c>
      <c r="E15">
        <v>19.745486</v>
      </c>
      <c r="F15">
        <v>31.619373</v>
      </c>
      <c r="G15">
        <v>29.191672000000001</v>
      </c>
      <c r="H15">
        <v>26.618337</v>
      </c>
      <c r="I15">
        <v>23.354541999999999</v>
      </c>
      <c r="J15">
        <v>57.039341999999998</v>
      </c>
      <c r="K15">
        <v>46.492939</v>
      </c>
      <c r="L15">
        <v>285.93451399999998</v>
      </c>
      <c r="M15">
        <v>-622.52326400000004</v>
      </c>
      <c r="N15">
        <v>0.94323500000000005</v>
      </c>
      <c r="O15">
        <v>1.4714700000000001</v>
      </c>
      <c r="P15">
        <f t="shared" si="0"/>
        <v>1.5720583333333333E-5</v>
      </c>
      <c r="Q15" cm="1">
        <f t="array" ref="Q15">[1]!PropsSI("D","T",J15+273.15,"P",101325,"Water")</f>
        <v>984.69283156858091</v>
      </c>
      <c r="R15" cm="1">
        <f t="array" ref="R15">[1]!PropsSI("D","T",K15+273.15,"P",101325,"Water")</f>
        <v>989.58038214656756</v>
      </c>
      <c r="S15">
        <f t="shared" si="1"/>
        <v>987.13660685757418</v>
      </c>
      <c r="T15" cm="1">
        <f t="array" ref="T15">[1]!PropsSI("H","T",J15+273.15,"P",101325,"Water")</f>
        <v>238860.32749188211</v>
      </c>
      <c r="U15" cm="1">
        <f t="array" ref="U15">[1]!PropsSI("H","T",K15+273.15,"P",101325,"Water")</f>
        <v>194755.88858079797</v>
      </c>
      <c r="V15">
        <f t="shared" si="2"/>
        <v>684.42870570125183</v>
      </c>
      <c r="X15">
        <f t="shared" si="3"/>
        <v>0.26407868400000001</v>
      </c>
      <c r="Y15">
        <f t="shared" si="3"/>
        <v>0.24298587799999999</v>
      </c>
      <c r="Z15">
        <f t="shared" si="8"/>
        <v>0.35885886954428581</v>
      </c>
      <c r="AA15">
        <f t="shared" si="7"/>
        <v>10.546402999999998</v>
      </c>
      <c r="AB15">
        <f t="shared" si="5"/>
        <v>3.5465667815463231E-2</v>
      </c>
      <c r="AC15">
        <f t="shared" si="6"/>
        <v>24.273721119768041</v>
      </c>
    </row>
    <row r="16" spans="1:29" x14ac:dyDescent="0.2">
      <c r="A16">
        <v>46136.880617893519</v>
      </c>
      <c r="B16">
        <v>19.067800999999999</v>
      </c>
      <c r="C16">
        <v>19.121106999999999</v>
      </c>
      <c r="D16">
        <v>19.697243</v>
      </c>
      <c r="E16">
        <v>19.804254</v>
      </c>
      <c r="F16">
        <v>31.397776</v>
      </c>
      <c r="G16">
        <v>28.454473</v>
      </c>
      <c r="H16">
        <v>26.495816999999999</v>
      </c>
      <c r="I16">
        <v>23.223786</v>
      </c>
      <c r="J16">
        <v>57.035361000000002</v>
      </c>
      <c r="K16">
        <v>46.4831</v>
      </c>
      <c r="L16">
        <v>278.18061699999998</v>
      </c>
      <c r="M16">
        <v>-622.47551099999998</v>
      </c>
      <c r="N16">
        <v>0.94383300000000003</v>
      </c>
      <c r="O16">
        <v>1.245906</v>
      </c>
      <c r="P16">
        <f t="shared" si="0"/>
        <v>1.5730550000000001E-5</v>
      </c>
      <c r="Q16" cm="1">
        <f t="array" ref="Q16">[1]!PropsSI("D","T",J16+273.15,"P",101325,"Water")</f>
        <v>984.69480896822824</v>
      </c>
      <c r="R16" cm="1">
        <f t="array" ref="R16">[1]!PropsSI("D","T",K16+273.15,"P",101325,"Water")</f>
        <v>989.58460087219964</v>
      </c>
      <c r="S16">
        <f t="shared" si="1"/>
        <v>987.13970492021394</v>
      </c>
      <c r="T16" cm="1">
        <f t="array" ref="T16">[1]!PropsSI("H","T",J16+273.15,"P",101325,"Water")</f>
        <v>238843.67208285653</v>
      </c>
      <c r="U16" cm="1">
        <f t="array" ref="U16">[1]!PropsSI("H","T",K16+273.15,"P",101325,"Water")</f>
        <v>194714.75710341483</v>
      </c>
      <c r="V16">
        <f t="shared" si="2"/>
        <v>685.244845442307</v>
      </c>
      <c r="X16">
        <f t="shared" si="3"/>
        <v>0.26407072199999998</v>
      </c>
      <c r="Y16">
        <f t="shared" si="3"/>
        <v>0.24296619999999999</v>
      </c>
      <c r="Z16">
        <f t="shared" si="8"/>
        <v>0.35883968643398584</v>
      </c>
      <c r="AA16">
        <f t="shared" si="7"/>
        <v>10.552261000000001</v>
      </c>
      <c r="AB16">
        <f t="shared" si="5"/>
        <v>3.5445800965407046E-2</v>
      </c>
      <c r="AC16">
        <f t="shared" si="6"/>
        <v>24.289052404119126</v>
      </c>
    </row>
    <row r="17" spans="1:29" x14ac:dyDescent="0.2">
      <c r="A17">
        <v>46136.880676342589</v>
      </c>
      <c r="B17">
        <v>18.206683999999999</v>
      </c>
      <c r="C17">
        <v>18.535167999999999</v>
      </c>
      <c r="D17">
        <v>19.630313000000001</v>
      </c>
      <c r="E17">
        <v>19.68205</v>
      </c>
      <c r="F17">
        <v>30.659144999999999</v>
      </c>
      <c r="G17">
        <v>28.460239000000001</v>
      </c>
      <c r="H17">
        <v>26.791346999999998</v>
      </c>
      <c r="I17">
        <v>23.894469000000001</v>
      </c>
      <c r="J17">
        <v>57.034405999999997</v>
      </c>
      <c r="K17">
        <v>46.445489999999999</v>
      </c>
      <c r="L17">
        <v>281.07271700000001</v>
      </c>
      <c r="M17">
        <v>-622.50816299999997</v>
      </c>
      <c r="N17">
        <v>0.94400899999999999</v>
      </c>
      <c r="O17">
        <v>1.4755229999999999</v>
      </c>
      <c r="P17">
        <f t="shared" si="0"/>
        <v>1.5733483333333334E-5</v>
      </c>
      <c r="Q17" cm="1">
        <f t="array" ref="Q17">[1]!PropsSI("D","T",J17+273.15,"P",101325,"Water")</f>
        <v>984.69528331126401</v>
      </c>
      <c r="R17" cm="1">
        <f t="array" ref="R17">[1]!PropsSI("D","T",K17+273.15,"P",101325,"Water")</f>
        <v>989.60072102705385</v>
      </c>
      <c r="S17">
        <f t="shared" si="1"/>
        <v>987.14800216915887</v>
      </c>
      <c r="T17" cm="1">
        <f t="array" ref="T17">[1]!PropsSI("H","T",J17+273.15,"P",101325,"Water")</f>
        <v>238839.67662647314</v>
      </c>
      <c r="U17" cm="1">
        <f t="array" ref="U17">[1]!PropsSI("H","T",K17+273.15,"P",101325,"Water")</f>
        <v>194557.53046343522</v>
      </c>
      <c r="V17">
        <f t="shared" si="2"/>
        <v>687.75826225607841</v>
      </c>
      <c r="X17">
        <f t="shared" si="3"/>
        <v>0.26406881199999999</v>
      </c>
      <c r="Y17">
        <f t="shared" si="3"/>
        <v>0.24289097999999998</v>
      </c>
      <c r="Z17">
        <f t="shared" si="8"/>
        <v>0.35878735434300318</v>
      </c>
      <c r="AA17">
        <f t="shared" si="7"/>
        <v>10.588915999999998</v>
      </c>
      <c r="AB17">
        <f t="shared" si="5"/>
        <v>3.532814196475699E-2</v>
      </c>
      <c r="AC17">
        <f t="shared" si="6"/>
        <v>24.297221526417307</v>
      </c>
    </row>
    <row r="18" spans="1:29" x14ac:dyDescent="0.2">
      <c r="A18">
        <v>46136.880734212966</v>
      </c>
      <c r="B18">
        <v>17.626418000000001</v>
      </c>
      <c r="C18">
        <v>17.948038</v>
      </c>
      <c r="D18">
        <v>19.561986999999998</v>
      </c>
      <c r="E18">
        <v>19.587025000000001</v>
      </c>
      <c r="F18">
        <v>30.095268999999998</v>
      </c>
      <c r="G18">
        <v>27.683212000000001</v>
      </c>
      <c r="H18">
        <v>26.724619000000001</v>
      </c>
      <c r="I18">
        <v>23.583418999999999</v>
      </c>
      <c r="J18">
        <v>57.033132000000002</v>
      </c>
      <c r="K18">
        <v>46.380110000000002</v>
      </c>
      <c r="L18">
        <v>281.051085</v>
      </c>
      <c r="M18">
        <v>-622.474695</v>
      </c>
      <c r="N18">
        <v>0.94283700000000004</v>
      </c>
      <c r="O18">
        <v>1.587988</v>
      </c>
      <c r="P18">
        <f t="shared" si="0"/>
        <v>1.5713950000000002E-5</v>
      </c>
      <c r="Q18" cm="1">
        <f t="array" ref="Q18">[1]!PropsSI("D","T",J18+273.15,"P",101325,"Water")</f>
        <v>984.69591609113274</v>
      </c>
      <c r="R18" cm="1">
        <f t="array" ref="R18">[1]!PropsSI("D","T",K18+273.15,"P",101325,"Water")</f>
        <v>989.62872073350741</v>
      </c>
      <c r="S18">
        <f t="shared" si="1"/>
        <v>987.16231841232002</v>
      </c>
      <c r="T18" cm="1">
        <f t="array" ref="T18">[1]!PropsSI("H","T",J18+273.15,"P",101325,"Water")</f>
        <v>238834.34656269744</v>
      </c>
      <c r="U18" cm="1">
        <f t="array" ref="U18">[1]!PropsSI("H","T",K18+273.15,"P",101325,"Water")</f>
        <v>194284.21353569897</v>
      </c>
      <c r="V18">
        <f t="shared" si="2"/>
        <v>691.07143395662536</v>
      </c>
      <c r="X18">
        <f t="shared" si="3"/>
        <v>0.26406626399999999</v>
      </c>
      <c r="Y18">
        <f t="shared" si="3"/>
        <v>0.24276022</v>
      </c>
      <c r="Z18">
        <f t="shared" si="8"/>
        <v>0.35869696987480409</v>
      </c>
      <c r="AA18">
        <f t="shared" si="7"/>
        <v>10.653022</v>
      </c>
      <c r="AB18">
        <f t="shared" si="5"/>
        <v>3.5124497683729633E-2</v>
      </c>
      <c r="AC18">
        <f t="shared" si="6"/>
        <v>24.273536981301202</v>
      </c>
    </row>
    <row r="19" spans="1:29" x14ac:dyDescent="0.2">
      <c r="A19">
        <v>46136.880792083335</v>
      </c>
      <c r="B19">
        <v>17.368169000000002</v>
      </c>
      <c r="C19">
        <v>17.675246999999999</v>
      </c>
      <c r="D19">
        <v>19.542428000000001</v>
      </c>
      <c r="E19">
        <v>19.516749999999998</v>
      </c>
      <c r="F19">
        <v>30.083051999999999</v>
      </c>
      <c r="G19">
        <v>26.832730999999999</v>
      </c>
      <c r="H19">
        <v>26.819642999999999</v>
      </c>
      <c r="I19">
        <v>22.974716000000001</v>
      </c>
      <c r="J19">
        <v>57.030107000000001</v>
      </c>
      <c r="K19">
        <v>46.322983000000001</v>
      </c>
      <c r="L19">
        <v>268.83659499999999</v>
      </c>
      <c r="M19">
        <v>-622.50571400000001</v>
      </c>
      <c r="N19">
        <v>0.94443500000000002</v>
      </c>
      <c r="O19">
        <v>1.9638599999999999</v>
      </c>
      <c r="P19">
        <f t="shared" si="0"/>
        <v>1.5740583333333336E-5</v>
      </c>
      <c r="Q19" cm="1">
        <f t="array" ref="Q19">[1]!PropsSI("D","T",J19+273.15,"P",101325,"Water")</f>
        <v>984.69741853130586</v>
      </c>
      <c r="R19" cm="1">
        <f t="array" ref="R19">[1]!PropsSI("D","T",K19+273.15,"P",101325,"Water")</f>
        <v>989.65316203270027</v>
      </c>
      <c r="S19">
        <f t="shared" si="1"/>
        <v>987.17529028200306</v>
      </c>
      <c r="T19" cm="1">
        <f t="array" ref="T19">[1]!PropsSI("H","T",J19+273.15,"P",101325,"Water")</f>
        <v>238821.69080153917</v>
      </c>
      <c r="U19" cm="1">
        <f t="array" ref="U19">[1]!PropsSI("H","T",K19+273.15,"P",101325,"Water")</f>
        <v>194045.39852144933</v>
      </c>
      <c r="V19">
        <f t="shared" si="2"/>
        <v>695.76604097273673</v>
      </c>
      <c r="X19">
        <f t="shared" si="3"/>
        <v>0.26406021400000002</v>
      </c>
      <c r="Y19">
        <f t="shared" si="3"/>
        <v>0.24264596599999999</v>
      </c>
      <c r="Z19">
        <f t="shared" si="8"/>
        <v>0.35861519966922617</v>
      </c>
      <c r="AA19">
        <f t="shared" si="7"/>
        <v>10.707124</v>
      </c>
      <c r="AB19">
        <f t="shared" si="5"/>
        <v>3.4954118575815797E-2</v>
      </c>
      <c r="AC19">
        <f t="shared" si="6"/>
        <v>24.319888697186951</v>
      </c>
    </row>
    <row r="20" spans="1:29" x14ac:dyDescent="0.2">
      <c r="A20">
        <v>46136.880850532405</v>
      </c>
      <c r="B20">
        <v>18.067481999999998</v>
      </c>
      <c r="C20">
        <v>18.844109</v>
      </c>
      <c r="D20">
        <v>19.648050000000001</v>
      </c>
      <c r="E20">
        <v>19.762754000000001</v>
      </c>
      <c r="F20">
        <v>30.663038</v>
      </c>
      <c r="G20">
        <v>27.674937</v>
      </c>
      <c r="H20">
        <v>26.930958</v>
      </c>
      <c r="I20">
        <v>23.476454</v>
      </c>
      <c r="J20">
        <v>57.037908999999999</v>
      </c>
      <c r="K20">
        <v>46.261254999999998</v>
      </c>
      <c r="L20">
        <v>283.55463300000002</v>
      </c>
      <c r="M20">
        <v>-622.49061300000005</v>
      </c>
      <c r="N20">
        <v>0.94471000000000005</v>
      </c>
      <c r="O20">
        <v>1.568608</v>
      </c>
      <c r="P20">
        <f t="shared" si="0"/>
        <v>1.574516666666667E-5</v>
      </c>
      <c r="Q20" cm="1">
        <f t="array" ref="Q20">[1]!PropsSI("D","T",J20+273.15,"P",101325,"Water")</f>
        <v>984.69354336406536</v>
      </c>
      <c r="R20" cm="1">
        <f t="array" ref="R20">[1]!PropsSI("D","T",K20+273.15,"P",101325,"Water")</f>
        <v>989.67954668408572</v>
      </c>
      <c r="S20">
        <f t="shared" si="1"/>
        <v>987.18654502407549</v>
      </c>
      <c r="T20" cm="1">
        <f t="array" ref="T20">[1]!PropsSI("H","T",J20+273.15,"P",101325,"Water")</f>
        <v>238854.33221336757</v>
      </c>
      <c r="U20" cm="1">
        <f t="array" ref="U20">[1]!PropsSI("H","T",K20+273.15,"P",101325,"Water")</f>
        <v>193787.3501875707</v>
      </c>
      <c r="V20">
        <f t="shared" si="2"/>
        <v>700.49488024946925</v>
      </c>
      <c r="X20">
        <f t="shared" si="3"/>
        <v>0.26407581800000002</v>
      </c>
      <c r="Y20">
        <f t="shared" si="3"/>
        <v>0.24252251</v>
      </c>
      <c r="Z20">
        <f t="shared" si="8"/>
        <v>0.35854317105345801</v>
      </c>
      <c r="AA20">
        <f t="shared" si="7"/>
        <v>10.776654000000001</v>
      </c>
      <c r="AB20">
        <f t="shared" si="5"/>
        <v>3.4740710039451499E-2</v>
      </c>
      <c r="AC20">
        <f t="shared" si="6"/>
        <v>24.335689518867113</v>
      </c>
    </row>
    <row r="21" spans="1:29" x14ac:dyDescent="0.2">
      <c r="A21">
        <v>46136.880908402774</v>
      </c>
      <c r="B21">
        <v>18.871024999999999</v>
      </c>
      <c r="C21">
        <v>18.789460999999999</v>
      </c>
      <c r="D21">
        <v>20.057293999999999</v>
      </c>
      <c r="E21">
        <v>19.896802999999998</v>
      </c>
      <c r="F21">
        <v>31.351856999999999</v>
      </c>
      <c r="G21">
        <v>29.220022</v>
      </c>
      <c r="H21">
        <v>26.907686000000002</v>
      </c>
      <c r="I21">
        <v>24.034203999999999</v>
      </c>
      <c r="J21">
        <v>57.032654999999998</v>
      </c>
      <c r="K21">
        <v>46.249353999999997</v>
      </c>
      <c r="L21">
        <v>283.07016800000002</v>
      </c>
      <c r="M21">
        <v>-622.47347100000002</v>
      </c>
      <c r="N21">
        <v>0.94014900000000001</v>
      </c>
      <c r="O21">
        <v>1.6917599999999999</v>
      </c>
      <c r="P21">
        <f t="shared" si="0"/>
        <v>1.5669150000000002E-5</v>
      </c>
      <c r="Q21" cm="1">
        <f t="array" ref="Q21">[1]!PropsSI("D","T",J21+273.15,"P",101325,"Water")</f>
        <v>984.69615300853889</v>
      </c>
      <c r="R21" cm="1">
        <f t="array" ref="R21">[1]!PropsSI("D","T",K21+273.15,"P",101325,"Water")</f>
        <v>989.68463057212739</v>
      </c>
      <c r="S21">
        <f t="shared" si="1"/>
        <v>987.19039179033314</v>
      </c>
      <c r="T21" cm="1">
        <f t="array" ref="T21">[1]!PropsSI("H","T",J21+273.15,"P",101325,"Water")</f>
        <v>238832.35092674865</v>
      </c>
      <c r="U21" cm="1">
        <f t="array" ref="U21">[1]!PropsSI("H","T",K21+273.15,"P",101325,"Water")</f>
        <v>193737.59922686915</v>
      </c>
      <c r="V21">
        <f t="shared" si="2"/>
        <v>697.54520518547463</v>
      </c>
      <c r="X21">
        <f t="shared" si="3"/>
        <v>0.26406531</v>
      </c>
      <c r="Y21">
        <f t="shared" si="3"/>
        <v>0.24249870800000001</v>
      </c>
      <c r="Z21">
        <f t="shared" si="8"/>
        <v>0.35851933187356211</v>
      </c>
      <c r="AA21">
        <f t="shared" si="7"/>
        <v>10.783301000000002</v>
      </c>
      <c r="AB21">
        <f t="shared" si="5"/>
        <v>3.4718953073960439E-2</v>
      </c>
      <c r="AC21">
        <f t="shared" si="6"/>
        <v>24.2180392458006</v>
      </c>
    </row>
    <row r="22" spans="1:29" x14ac:dyDescent="0.2">
      <c r="A22">
        <v>46136.880966851852</v>
      </c>
      <c r="B22">
        <v>19.277493</v>
      </c>
      <c r="C22">
        <v>18.991766999999999</v>
      </c>
      <c r="D22">
        <v>19.983035000000001</v>
      </c>
      <c r="E22">
        <v>19.812953</v>
      </c>
      <c r="F22">
        <v>31.546645000000002</v>
      </c>
      <c r="G22">
        <v>29.010641</v>
      </c>
      <c r="H22">
        <v>27.100812999999999</v>
      </c>
      <c r="I22">
        <v>23.774905</v>
      </c>
      <c r="J22">
        <v>57.027242000000001</v>
      </c>
      <c r="K22">
        <v>46.269348000000001</v>
      </c>
      <c r="L22">
        <v>289.84166599999998</v>
      </c>
      <c r="M22">
        <v>-622.49510199999997</v>
      </c>
      <c r="N22">
        <v>0.942415</v>
      </c>
      <c r="O22">
        <v>1.874727</v>
      </c>
      <c r="P22">
        <f t="shared" si="0"/>
        <v>1.5706916666666667E-5</v>
      </c>
      <c r="Q22" cm="1">
        <f t="array" ref="Q22">[1]!PropsSI("D","T",J22+273.15,"P",101325,"Water")</f>
        <v>984.69884145226581</v>
      </c>
      <c r="R22" cm="1">
        <f t="array" ref="R22">[1]!PropsSI("D","T",K22+273.15,"P",101325,"Water")</f>
        <v>989.67608894844807</v>
      </c>
      <c r="S22">
        <f t="shared" si="1"/>
        <v>987.18746520035688</v>
      </c>
      <c r="T22" cm="1">
        <f t="array" ref="T22">[1]!PropsSI("H","T",J22+273.15,"P",101325,"Water")</f>
        <v>238809.7044393234</v>
      </c>
      <c r="U22" cm="1">
        <f t="array" ref="U22">[1]!PropsSI("H","T",K22+273.15,"P",101325,"Water")</f>
        <v>193821.18219628147</v>
      </c>
      <c r="V22">
        <f t="shared" si="2"/>
        <v>697.57723593651326</v>
      </c>
      <c r="X22">
        <f t="shared" si="3"/>
        <v>0.26405448399999998</v>
      </c>
      <c r="Y22">
        <f t="shared" si="3"/>
        <v>0.242538696</v>
      </c>
      <c r="Z22">
        <f t="shared" si="8"/>
        <v>0.35853840739575815</v>
      </c>
      <c r="AA22">
        <f t="shared" si="7"/>
        <v>10.757894</v>
      </c>
      <c r="AB22">
        <f t="shared" si="5"/>
        <v>3.4795852438890509E-2</v>
      </c>
      <c r="AC22">
        <f t="shared" si="6"/>
        <v>24.272794566376025</v>
      </c>
    </row>
    <row r="23" spans="1:29" x14ac:dyDescent="0.2">
      <c r="A23">
        <v>46136.881024722221</v>
      </c>
      <c r="B23">
        <v>18.672094999999999</v>
      </c>
      <c r="C23">
        <v>18.655290000000001</v>
      </c>
      <c r="D23">
        <v>19.830836000000001</v>
      </c>
      <c r="E23">
        <v>19.709178999999999</v>
      </c>
      <c r="F23">
        <v>31.135857000000001</v>
      </c>
      <c r="G23">
        <v>28.511776999999999</v>
      </c>
      <c r="H23">
        <v>26.773963999999999</v>
      </c>
      <c r="I23">
        <v>23.717776000000001</v>
      </c>
      <c r="J23">
        <v>57.024217</v>
      </c>
      <c r="K23">
        <v>46.300449999999998</v>
      </c>
      <c r="L23">
        <v>283.68687199999999</v>
      </c>
      <c r="M23">
        <v>-622.48244999999997</v>
      </c>
      <c r="N23">
        <v>0.94320599999999999</v>
      </c>
      <c r="O23">
        <v>1.478777</v>
      </c>
      <c r="P23">
        <f t="shared" si="0"/>
        <v>1.5720100000000002E-5</v>
      </c>
      <c r="Q23" cm="1">
        <f t="array" ref="Q23">[1]!PropsSI("D","T",J23+273.15,"P",101325,"Water")</f>
        <v>984.7003437840857</v>
      </c>
      <c r="R23" cm="1">
        <f t="array" ref="R23">[1]!PropsSI("D","T",K23+273.15,"P",101325,"Water")</f>
        <v>989.66279643312248</v>
      </c>
      <c r="S23">
        <f t="shared" si="1"/>
        <v>987.18157010860409</v>
      </c>
      <c r="T23" cm="1">
        <f t="array" ref="T23">[1]!PropsSI("H","T",J23+273.15,"P",101325,"Water")</f>
        <v>238797.0486851832</v>
      </c>
      <c r="U23" cm="1">
        <f t="array" ref="U23">[1]!PropsSI("H","T",K23+273.15,"P",101325,"Water")</f>
        <v>193951.20125151091</v>
      </c>
      <c r="V23">
        <f t="shared" si="2"/>
        <v>695.94445407510614</v>
      </c>
      <c r="X23">
        <f t="shared" si="3"/>
        <v>0.264048434</v>
      </c>
      <c r="Y23">
        <f t="shared" si="3"/>
        <v>0.24260090000000001</v>
      </c>
      <c r="Z23">
        <f t="shared" si="8"/>
        <v>0.35857603402718141</v>
      </c>
      <c r="AA23">
        <f t="shared" si="7"/>
        <v>10.723767000000002</v>
      </c>
      <c r="AB23">
        <f t="shared" si="5"/>
        <v>3.4900814800530228E-2</v>
      </c>
      <c r="AC23">
        <f t="shared" si="6"/>
        <v>24.289028503131394</v>
      </c>
    </row>
    <row r="24" spans="1:29" x14ac:dyDescent="0.2">
      <c r="A24">
        <v>46136.881083171298</v>
      </c>
      <c r="B24">
        <v>18.713867</v>
      </c>
      <c r="C24">
        <v>18.793202000000001</v>
      </c>
      <c r="D24">
        <v>19.881961</v>
      </c>
      <c r="E24">
        <v>19.771046999999999</v>
      </c>
      <c r="F24">
        <v>30.808430000000001</v>
      </c>
      <c r="G24">
        <v>28.037016999999999</v>
      </c>
      <c r="H24">
        <v>27.023866999999999</v>
      </c>
      <c r="I24">
        <v>23.756060999999999</v>
      </c>
      <c r="J24">
        <v>57.019122000000003</v>
      </c>
      <c r="K24">
        <v>46.301402000000003</v>
      </c>
      <c r="L24">
        <v>281.42372</v>
      </c>
      <c r="M24">
        <v>-622.50122399999998</v>
      </c>
      <c r="N24">
        <v>0.94248500000000002</v>
      </c>
      <c r="O24">
        <v>1.9018079999999999</v>
      </c>
      <c r="P24">
        <f t="shared" si="0"/>
        <v>1.5708083333333333E-5</v>
      </c>
      <c r="Q24" cm="1">
        <f t="array" ref="Q24">[1]!PropsSI("D","T",J24+273.15,"P",101325,"Water")</f>
        <v>984.70287403208033</v>
      </c>
      <c r="R24" cm="1">
        <f t="array" ref="R24">[1]!PropsSI("D","T",K24+273.15,"P",101325,"Water")</f>
        <v>989.66238945836346</v>
      </c>
      <c r="S24">
        <f t="shared" si="1"/>
        <v>987.1826317452219</v>
      </c>
      <c r="T24" cm="1">
        <f t="array" ref="T24">[1]!PropsSI("H","T",J24+273.15,"P",101325,"Water")</f>
        <v>238775.73263795156</v>
      </c>
      <c r="U24" cm="1">
        <f t="array" ref="U24">[1]!PropsSI("H","T",K24+273.15,"P",101325,"Water")</f>
        <v>193955.18100341328</v>
      </c>
      <c r="V24">
        <f t="shared" si="2"/>
        <v>695.02095659950157</v>
      </c>
      <c r="X24">
        <f t="shared" si="3"/>
        <v>0.26403824399999998</v>
      </c>
      <c r="Y24">
        <f t="shared" si="3"/>
        <v>0.24260280400000001</v>
      </c>
      <c r="Z24">
        <f t="shared" si="8"/>
        <v>0.35856981858944281</v>
      </c>
      <c r="AA24">
        <f t="shared" si="7"/>
        <v>10.71772</v>
      </c>
      <c r="AB24">
        <f t="shared" si="5"/>
        <v>3.4918334231675494E-2</v>
      </c>
      <c r="AC24">
        <f t="shared" si="6"/>
        <v>24.268974060560222</v>
      </c>
    </row>
    <row r="25" spans="1:29" x14ac:dyDescent="0.2">
      <c r="A25">
        <v>46136.881141620368</v>
      </c>
      <c r="B25">
        <v>18.954224</v>
      </c>
      <c r="C25">
        <v>18.788266</v>
      </c>
      <c r="D25">
        <v>19.934470999999998</v>
      </c>
      <c r="E25">
        <v>19.810383999999999</v>
      </c>
      <c r="F25">
        <v>30.676269000000001</v>
      </c>
      <c r="G25">
        <v>27.305731000000002</v>
      </c>
      <c r="H25">
        <v>27.214462999999999</v>
      </c>
      <c r="I25">
        <v>23.850863</v>
      </c>
      <c r="J25">
        <v>57.03154</v>
      </c>
      <c r="K25">
        <v>46.297435</v>
      </c>
      <c r="L25">
        <v>293.38230499999997</v>
      </c>
      <c r="M25">
        <v>-622.480817</v>
      </c>
      <c r="N25">
        <v>0.94646799999999998</v>
      </c>
      <c r="O25">
        <v>1.7699640000000001</v>
      </c>
      <c r="P25">
        <f t="shared" si="0"/>
        <v>1.5774466666666666E-5</v>
      </c>
      <c r="Q25" cm="1">
        <f t="array" ref="Q25">[1]!PropsSI("D","T",J25+273.15,"P",101325,"Water")</f>
        <v>984.69670680377828</v>
      </c>
      <c r="R25" cm="1">
        <f t="array" ref="R25">[1]!PropsSI("D","T",K25+273.15,"P",101325,"Water")</f>
        <v>989.66408528801537</v>
      </c>
      <c r="S25">
        <f t="shared" si="1"/>
        <v>987.18039604589683</v>
      </c>
      <c r="T25" cm="1">
        <f t="array" ref="T25">[1]!PropsSI("H","T",J25+273.15,"P",101325,"Water")</f>
        <v>238827.68607571541</v>
      </c>
      <c r="U25" cm="1">
        <f t="array" ref="U25">[1]!PropsSI("H","T",K25+273.15,"P",101325,"Water")</f>
        <v>193938.59731152983</v>
      </c>
      <c r="V25">
        <f t="shared" si="2"/>
        <v>699.02385445924767</v>
      </c>
      <c r="X25">
        <f t="shared" si="3"/>
        <v>0.26406308000000001</v>
      </c>
      <c r="Y25">
        <f t="shared" si="3"/>
        <v>0.24259486999999999</v>
      </c>
      <c r="Z25">
        <f t="shared" si="8"/>
        <v>0.35858273964233595</v>
      </c>
      <c r="AA25">
        <f t="shared" si="7"/>
        <v>10.734105</v>
      </c>
      <c r="AB25">
        <f t="shared" si="5"/>
        <v>3.4870561093036545E-2</v>
      </c>
      <c r="AC25">
        <f t="shared" si="6"/>
        <v>24.375354022411081</v>
      </c>
    </row>
    <row r="26" spans="1:29" x14ac:dyDescent="0.2">
      <c r="A26">
        <v>46136.881200069445</v>
      </c>
      <c r="B26">
        <v>18.764078999999999</v>
      </c>
      <c r="C26">
        <v>18.607101</v>
      </c>
      <c r="D26">
        <v>20.003478999999999</v>
      </c>
      <c r="E26">
        <v>19.852035000000001</v>
      </c>
      <c r="F26">
        <v>30.741516000000001</v>
      </c>
      <c r="G26">
        <v>27.255794999999999</v>
      </c>
      <c r="H26">
        <v>27.011832999999999</v>
      </c>
      <c r="I26">
        <v>23.434992999999999</v>
      </c>
      <c r="J26">
        <v>57.035679999999999</v>
      </c>
      <c r="K26">
        <v>46.314255000000003</v>
      </c>
      <c r="L26">
        <v>290.42163699999998</v>
      </c>
      <c r="M26">
        <v>-622.52040699999998</v>
      </c>
      <c r="N26">
        <v>0.94618500000000005</v>
      </c>
      <c r="O26">
        <v>1.8769640000000001</v>
      </c>
      <c r="P26">
        <f t="shared" si="0"/>
        <v>1.5769750000000003E-5</v>
      </c>
      <c r="Q26" cm="1">
        <f t="array" ref="Q26">[1]!PropsSI("D","T",J26+273.15,"P",101325,"Water")</f>
        <v>984.69465052152702</v>
      </c>
      <c r="R26" cm="1">
        <f t="array" ref="R26">[1]!PropsSI("D","T",K26+273.15,"P",101325,"Water")</f>
        <v>989.65689426337951</v>
      </c>
      <c r="S26">
        <f t="shared" si="1"/>
        <v>987.17577239245327</v>
      </c>
      <c r="T26" cm="1">
        <f t="array" ref="T26">[1]!PropsSI("H","T",J26+273.15,"P",101325,"Water")</f>
        <v>238845.00669089396</v>
      </c>
      <c r="U26" cm="1">
        <f t="array" ref="U26">[1]!PropsSI("H","T",K26+273.15,"P",101325,"Water")</f>
        <v>194008.91185435597</v>
      </c>
      <c r="V26">
        <f t="shared" si="2"/>
        <v>697.98658503768934</v>
      </c>
      <c r="X26">
        <f t="shared" si="3"/>
        <v>0.26407135999999998</v>
      </c>
      <c r="Y26">
        <f t="shared" si="3"/>
        <v>0.24262851000000002</v>
      </c>
      <c r="Z26">
        <f t="shared" si="8"/>
        <v>0.35861159635052198</v>
      </c>
      <c r="AA26">
        <f t="shared" si="7"/>
        <v>10.721424999999996</v>
      </c>
      <c r="AB26">
        <f t="shared" si="5"/>
        <v>3.4910990683433167E-2</v>
      </c>
      <c r="AC26">
        <f t="shared" si="6"/>
        <v>24.367403167412103</v>
      </c>
    </row>
    <row r="27" spans="1:29" x14ac:dyDescent="0.2">
      <c r="A27">
        <v>46136.881258518515</v>
      </c>
      <c r="B27">
        <v>18.993413</v>
      </c>
      <c r="C27">
        <v>18.906257</v>
      </c>
      <c r="D27">
        <v>19.945647999999998</v>
      </c>
      <c r="E27">
        <v>19.878211</v>
      </c>
      <c r="F27">
        <v>31.342571</v>
      </c>
      <c r="G27">
        <v>29.009492999999999</v>
      </c>
      <c r="H27">
        <v>26.712288999999998</v>
      </c>
      <c r="I27">
        <v>23.422141</v>
      </c>
      <c r="J27">
        <v>57.051282</v>
      </c>
      <c r="K27">
        <v>46.318697999999998</v>
      </c>
      <c r="L27">
        <v>282.35020400000002</v>
      </c>
      <c r="M27">
        <v>-622.47673599999996</v>
      </c>
      <c r="N27">
        <v>0.94565200000000005</v>
      </c>
      <c r="O27">
        <v>1.4913190000000001</v>
      </c>
      <c r="P27">
        <f t="shared" si="0"/>
        <v>1.5760866666666667E-5</v>
      </c>
      <c r="Q27" cm="1">
        <f t="array" ref="Q27">[1]!PropsSI("D","T",J27+273.15,"P",101325,"Water")</f>
        <v>984.68690028192998</v>
      </c>
      <c r="R27" cm="1">
        <f t="array" ref="R27">[1]!PropsSI("D","T",K27+273.15,"P",101325,"Water")</f>
        <v>989.65499443165686</v>
      </c>
      <c r="S27">
        <f t="shared" si="1"/>
        <v>987.17094735679348</v>
      </c>
      <c r="T27" cm="1">
        <f t="array" ref="T27">[1]!PropsSI("H","T",J27+273.15,"P",101325,"Water")</f>
        <v>238910.28120502707</v>
      </c>
      <c r="U27" cm="1">
        <f t="array" ref="U27">[1]!PropsSI("H","T",K27+273.15,"P",101325,"Water")</f>
        <v>194027.485438656</v>
      </c>
      <c r="V27">
        <f t="shared" si="2"/>
        <v>698.31659357643093</v>
      </c>
      <c r="X27">
        <f t="shared" si="3"/>
        <v>0.26410256399999998</v>
      </c>
      <c r="Y27">
        <f t="shared" si="3"/>
        <v>0.24263739600000001</v>
      </c>
      <c r="Z27">
        <f t="shared" si="8"/>
        <v>0.35864058644976993</v>
      </c>
      <c r="AA27">
        <f t="shared" si="7"/>
        <v>10.732584000000003</v>
      </c>
      <c r="AB27">
        <f t="shared" si="5"/>
        <v>3.488026003423058E-2</v>
      </c>
      <c r="AC27">
        <f t="shared" si="6"/>
        <v>24.357464370164024</v>
      </c>
    </row>
    <row r="28" spans="1:29" x14ac:dyDescent="0.2">
      <c r="A28">
        <v>46136.881316967592</v>
      </c>
      <c r="B28">
        <v>18.656685</v>
      </c>
      <c r="C28">
        <v>18.243231000000002</v>
      </c>
      <c r="D28">
        <v>19.966405000000002</v>
      </c>
      <c r="E28">
        <v>19.828436</v>
      </c>
      <c r="F28">
        <v>30.913974</v>
      </c>
      <c r="G28">
        <v>26.975055000000001</v>
      </c>
      <c r="H28">
        <v>27.335813999999999</v>
      </c>
      <c r="I28">
        <v>24.118617</v>
      </c>
      <c r="J28">
        <v>57.048098000000003</v>
      </c>
      <c r="K28">
        <v>46.333137999999998</v>
      </c>
      <c r="L28">
        <v>292.26031999999998</v>
      </c>
      <c r="M28">
        <v>-622.50122399999998</v>
      </c>
      <c r="N28">
        <v>0.94503400000000004</v>
      </c>
      <c r="O28">
        <v>1.470898</v>
      </c>
      <c r="P28">
        <f t="shared" si="0"/>
        <v>1.5750566666666668E-5</v>
      </c>
      <c r="Q28" cm="1">
        <f t="array" ref="Q28">[1]!PropsSI("D","T",J28+273.15,"P",101325,"Water")</f>
        <v>984.6884820431103</v>
      </c>
      <c r="R28" cm="1">
        <f t="array" ref="R28">[1]!PropsSI("D","T",K28+273.15,"P",101325,"Water")</f>
        <v>989.64881893710458</v>
      </c>
      <c r="S28">
        <f t="shared" si="1"/>
        <v>987.16865049010744</v>
      </c>
      <c r="T28" cm="1">
        <f t="array" ref="T28">[1]!PropsSI("H","T",J28+273.15,"P",101325,"Water")</f>
        <v>238896.96020933721</v>
      </c>
      <c r="U28" cm="1">
        <f t="array" ref="U28">[1]!PropsSI("H","T",K28+273.15,"P",101325,"Water")</f>
        <v>194087.85066269789</v>
      </c>
      <c r="V28">
        <f t="shared" si="2"/>
        <v>696.71290018021818</v>
      </c>
      <c r="X28">
        <f t="shared" si="3"/>
        <v>0.26409619600000001</v>
      </c>
      <c r="Y28">
        <f t="shared" si="3"/>
        <v>0.24266627599999999</v>
      </c>
      <c r="Z28">
        <f t="shared" si="8"/>
        <v>0.35865543666502336</v>
      </c>
      <c r="AA28">
        <f t="shared" si="7"/>
        <v>10.714960000000005</v>
      </c>
      <c r="AB28">
        <f t="shared" si="5"/>
        <v>3.4934247115048118E-2</v>
      </c>
      <c r="AC28">
        <f t="shared" si="6"/>
        <v>24.339140623137595</v>
      </c>
    </row>
    <row r="29" spans="1:29" x14ac:dyDescent="0.2">
      <c r="A29">
        <v>46136.881375416669</v>
      </c>
      <c r="B29">
        <v>18.463660000000001</v>
      </c>
      <c r="C29">
        <v>18.314578999999998</v>
      </c>
      <c r="D29">
        <v>19.878663</v>
      </c>
      <c r="E29">
        <v>19.861087999999999</v>
      </c>
      <c r="F29">
        <v>30.924893999999998</v>
      </c>
      <c r="G29">
        <v>28.568770000000001</v>
      </c>
      <c r="H29">
        <v>27.137747000000001</v>
      </c>
      <c r="I29">
        <v>23.807551</v>
      </c>
      <c r="J29">
        <v>57.050804999999997</v>
      </c>
      <c r="K29">
        <v>46.328378000000001</v>
      </c>
      <c r="L29">
        <v>290.09389800000002</v>
      </c>
      <c r="M29">
        <v>-622.51224400000001</v>
      </c>
      <c r="N29">
        <v>0.94672199999999995</v>
      </c>
      <c r="O29">
        <v>1.326918</v>
      </c>
      <c r="P29">
        <f t="shared" si="0"/>
        <v>1.5778699999999999E-5</v>
      </c>
      <c r="Q29" cm="1">
        <f t="array" ref="Q29">[1]!PropsSI("D","T",J29+273.15,"P",101325,"Water")</f>
        <v>984.68713725196915</v>
      </c>
      <c r="R29" cm="1">
        <f t="array" ref="R29">[1]!PropsSI("D","T",K29+273.15,"P",101325,"Water")</f>
        <v>989.65085478436629</v>
      </c>
      <c r="S29">
        <f t="shared" si="1"/>
        <v>987.16899601816772</v>
      </c>
      <c r="T29" cm="1">
        <f t="array" ref="T29">[1]!PropsSI("H","T",J29+273.15,"P",101325,"Water")</f>
        <v>238908.28556565344</v>
      </c>
      <c r="U29" cm="1">
        <f t="array" ref="U29">[1]!PropsSI("H","T",K29+273.15,"P",101325,"Water")</f>
        <v>194067.95187186752</v>
      </c>
      <c r="V29">
        <f t="shared" si="2"/>
        <v>698.44395343188114</v>
      </c>
      <c r="X29">
        <f t="shared" si="3"/>
        <v>0.26410160999999999</v>
      </c>
      <c r="Y29">
        <f t="shared" si="3"/>
        <v>0.242656756</v>
      </c>
      <c r="Z29">
        <f t="shared" si="8"/>
        <v>0.35865298219453801</v>
      </c>
      <c r="AA29">
        <f t="shared" si="7"/>
        <v>10.722426999999996</v>
      </c>
      <c r="AB29">
        <f t="shared" si="5"/>
        <v>3.4911693977414907E-2</v>
      </c>
      <c r="AC29">
        <f t="shared" si="6"/>
        <v>24.383861562589662</v>
      </c>
    </row>
    <row r="30" spans="1:29" x14ac:dyDescent="0.2">
      <c r="A30">
        <v>46136.881433865739</v>
      </c>
      <c r="B30">
        <v>19.183226999999999</v>
      </c>
      <c r="C30">
        <v>18.710008999999999</v>
      </c>
      <c r="D30">
        <v>19.989874</v>
      </c>
      <c r="E30">
        <v>19.898776999999999</v>
      </c>
      <c r="F30">
        <v>31.266404000000001</v>
      </c>
      <c r="G30">
        <v>29.160458999999999</v>
      </c>
      <c r="H30">
        <v>26.428132999999999</v>
      </c>
      <c r="I30">
        <v>23.710884</v>
      </c>
      <c r="J30">
        <v>57.040934</v>
      </c>
      <c r="K30">
        <v>46.307431999999999</v>
      </c>
      <c r="L30">
        <v>281.60820000000001</v>
      </c>
      <c r="M30">
        <v>-622.51428499999997</v>
      </c>
      <c r="N30">
        <v>0.94545599999999996</v>
      </c>
      <c r="O30">
        <v>1.50728</v>
      </c>
      <c r="P30">
        <f t="shared" si="0"/>
        <v>1.57576E-5</v>
      </c>
      <c r="Q30" cm="1">
        <f t="array" ref="Q30">[1]!PropsSI("D","T",J30+273.15,"P",101325,"Water")</f>
        <v>984.69204078043447</v>
      </c>
      <c r="R30" cm="1">
        <f t="array" ref="R30">[1]!PropsSI("D","T",K30+273.15,"P",101325,"Water")</f>
        <v>989.65981152224856</v>
      </c>
      <c r="S30">
        <f t="shared" si="1"/>
        <v>987.17592615134151</v>
      </c>
      <c r="T30" cm="1">
        <f t="array" ref="T30">[1]!PropsSI("H","T",J30+273.15,"P",101325,"Water")</f>
        <v>238866.98798371752</v>
      </c>
      <c r="U30" cm="1">
        <f t="array" ref="U30">[1]!PropsSI("H","T",K30+273.15,"P",101325,"Water")</f>
        <v>193980.38889053301</v>
      </c>
      <c r="V30">
        <f t="shared" si="2"/>
        <v>698.23454136991484</v>
      </c>
      <c r="X30">
        <f t="shared" si="3"/>
        <v>0.264081868</v>
      </c>
      <c r="Y30">
        <f t="shared" si="3"/>
        <v>0.24261486399999999</v>
      </c>
      <c r="Z30">
        <f t="shared" si="8"/>
        <v>0.3586101019772141</v>
      </c>
      <c r="AA30">
        <f t="shared" si="7"/>
        <v>10.733502000000001</v>
      </c>
      <c r="AB30">
        <f t="shared" si="5"/>
        <v>3.4874801182264929E-2</v>
      </c>
      <c r="AC30">
        <f t="shared" si="6"/>
        <v>24.350790808865717</v>
      </c>
    </row>
    <row r="31" spans="1:29" x14ac:dyDescent="0.2">
      <c r="A31">
        <v>46136.881491736109</v>
      </c>
      <c r="B31">
        <v>19.27242</v>
      </c>
      <c r="C31">
        <v>18.723220000000001</v>
      </c>
      <c r="D31">
        <v>19.960104000000001</v>
      </c>
      <c r="E31">
        <v>19.880110999999999</v>
      </c>
      <c r="F31">
        <v>31.458175000000001</v>
      </c>
      <c r="G31">
        <v>28.523804999999999</v>
      </c>
      <c r="H31">
        <v>26.851481</v>
      </c>
      <c r="I31">
        <v>23.568307999999998</v>
      </c>
      <c r="J31">
        <v>57.041570999999998</v>
      </c>
      <c r="K31">
        <v>46.303147000000003</v>
      </c>
      <c r="L31">
        <v>292.355009</v>
      </c>
      <c r="M31">
        <v>-622.46653200000003</v>
      </c>
      <c r="N31">
        <v>0.94406599999999996</v>
      </c>
      <c r="O31">
        <v>1.5288710000000001</v>
      </c>
      <c r="P31">
        <f t="shared" si="0"/>
        <v>1.5734433333333333E-5</v>
      </c>
      <c r="Q31" cm="1">
        <f t="array" ref="Q31">[1]!PropsSI("D","T",J31+273.15,"P",101325,"Water")</f>
        <v>984.69172436151393</v>
      </c>
      <c r="R31" cm="1">
        <f t="array" ref="R31">[1]!PropsSI("D","T",K31+273.15,"P",101325,"Water")</f>
        <v>989.66164346433982</v>
      </c>
      <c r="S31">
        <f t="shared" si="1"/>
        <v>987.17668391292682</v>
      </c>
      <c r="T31" cm="1">
        <f t="array" ref="T31">[1]!PropsSI("H","T",J31+273.15,"P",101325,"Water")</f>
        <v>238869.65301750056</v>
      </c>
      <c r="U31" cm="1">
        <f t="array" ref="U31">[1]!PropsSI("H","T",K31+273.15,"P",101325,"Water")</f>
        <v>193962.47582234134</v>
      </c>
      <c r="V31">
        <f t="shared" si="2"/>
        <v>697.52817185730532</v>
      </c>
      <c r="X31">
        <f t="shared" si="3"/>
        <v>0.26408314199999999</v>
      </c>
      <c r="Y31">
        <f t="shared" si="3"/>
        <v>0.242606294</v>
      </c>
      <c r="Z31">
        <f t="shared" si="8"/>
        <v>0.35860524226091089</v>
      </c>
      <c r="AA31">
        <f t="shared" si="7"/>
        <v>10.738423999999995</v>
      </c>
      <c r="AB31">
        <f t="shared" si="5"/>
        <v>3.4859697203259724E-2</v>
      </c>
      <c r="AC31">
        <f t="shared" si="6"/>
        <v>24.315620861688974</v>
      </c>
    </row>
    <row r="32" spans="1:29" x14ac:dyDescent="0.2">
      <c r="A32">
        <v>46136.881550185186</v>
      </c>
      <c r="B32">
        <v>19.034708999999999</v>
      </c>
      <c r="C32">
        <v>18.785976000000002</v>
      </c>
      <c r="D32">
        <v>19.901115000000001</v>
      </c>
      <c r="E32">
        <v>19.835511</v>
      </c>
      <c r="F32">
        <v>30.950944</v>
      </c>
      <c r="G32">
        <v>28.653967000000002</v>
      </c>
      <c r="H32">
        <v>26.972045999999999</v>
      </c>
      <c r="I32">
        <v>23.503437000000002</v>
      </c>
      <c r="J32">
        <v>57.040934</v>
      </c>
      <c r="K32">
        <v>46.322031000000003</v>
      </c>
      <c r="L32">
        <v>277.22964400000001</v>
      </c>
      <c r="M32">
        <v>-622.51224400000001</v>
      </c>
      <c r="N32">
        <v>0.94413599999999998</v>
      </c>
      <c r="O32">
        <v>2.086681</v>
      </c>
      <c r="P32">
        <f t="shared" si="0"/>
        <v>1.5735600000000002E-5</v>
      </c>
      <c r="Q32" cm="1">
        <f t="array" ref="Q32">[1]!PropsSI("D","T",J32+273.15,"P",101325,"Water")</f>
        <v>984.69204078043447</v>
      </c>
      <c r="R32" cm="1">
        <f t="array" ref="R32">[1]!PropsSI("D","T",K32+273.15,"P",101325,"Water")</f>
        <v>989.65356914832364</v>
      </c>
      <c r="S32">
        <f t="shared" si="1"/>
        <v>987.17280496437911</v>
      </c>
      <c r="T32" cm="1">
        <f t="array" ref="T32">[1]!PropsSI("H","T",J32+273.15,"P",101325,"Water")</f>
        <v>238866.98798371752</v>
      </c>
      <c r="U32" cm="1">
        <f t="array" ref="U32">[1]!PropsSI("H","T",K32+273.15,"P",101325,"Water")</f>
        <v>194041.41876503118</v>
      </c>
      <c r="V32">
        <f t="shared" si="2"/>
        <v>696.30947227707861</v>
      </c>
      <c r="X32">
        <f t="shared" si="3"/>
        <v>0.264081868</v>
      </c>
      <c r="Y32">
        <f t="shared" si="3"/>
        <v>0.24264406199999999</v>
      </c>
      <c r="Z32">
        <f t="shared" si="8"/>
        <v>0.35862985630065614</v>
      </c>
      <c r="AA32">
        <f t="shared" si="7"/>
        <v>10.718902999999997</v>
      </c>
      <c r="AB32">
        <f t="shared" si="5"/>
        <v>3.4920163020997638E-2</v>
      </c>
      <c r="AC32">
        <f t="shared" si="6"/>
        <v>24.315240284980419</v>
      </c>
    </row>
    <row r="33" spans="1:29" x14ac:dyDescent="0.2">
      <c r="A33">
        <v>46136.881608634256</v>
      </c>
      <c r="B33">
        <v>19.155740000000002</v>
      </c>
      <c r="C33">
        <v>18.746262000000002</v>
      </c>
      <c r="D33">
        <v>19.924876999999999</v>
      </c>
      <c r="E33">
        <v>19.796520999999998</v>
      </c>
      <c r="F33">
        <v>31.143356000000001</v>
      </c>
      <c r="G33">
        <v>27.567668999999999</v>
      </c>
      <c r="H33">
        <v>26.718591</v>
      </c>
      <c r="I33">
        <v>23.998260999999999</v>
      </c>
      <c r="J33">
        <v>57.043002999999999</v>
      </c>
      <c r="K33">
        <v>46.333931999999997</v>
      </c>
      <c r="L33">
        <v>296.64581500000003</v>
      </c>
      <c r="M33">
        <v>-622.51224400000001</v>
      </c>
      <c r="N33">
        <v>0.94416500000000003</v>
      </c>
      <c r="O33">
        <v>1.4325330000000001</v>
      </c>
      <c r="P33">
        <f t="shared" si="0"/>
        <v>1.5736083333333333E-5</v>
      </c>
      <c r="Q33" cm="1">
        <f t="array" ref="Q33">[1]!PropsSI("D","T",J33+273.15,"P",101325,"Water")</f>
        <v>984.69101303085426</v>
      </c>
      <c r="R33" cm="1">
        <f t="array" ref="R33">[1]!PropsSI("D","T",K33+273.15,"P",101325,"Water")</f>
        <v>989.64847932898545</v>
      </c>
      <c r="S33">
        <f t="shared" si="1"/>
        <v>987.16974617991991</v>
      </c>
      <c r="T33" cm="1">
        <f t="array" ref="T33">[1]!PropsSI("H","T",J33+273.15,"P",101325,"Water")</f>
        <v>238875.64411437933</v>
      </c>
      <c r="U33" cm="1">
        <f t="array" ref="U33">[1]!PropsSI("H","T",K33+273.15,"P",101325,"Water")</f>
        <v>194091.16991524288</v>
      </c>
      <c r="V33">
        <f t="shared" si="2"/>
        <v>695.69032480452347</v>
      </c>
      <c r="X33">
        <f t="shared" si="3"/>
        <v>0.26408600599999998</v>
      </c>
      <c r="Y33">
        <f t="shared" si="3"/>
        <v>0.24266786400000001</v>
      </c>
      <c r="Z33">
        <f t="shared" si="8"/>
        <v>0.35864900778247599</v>
      </c>
      <c r="AA33">
        <f t="shared" si="7"/>
        <v>10.709071000000002</v>
      </c>
      <c r="AB33">
        <f t="shared" si="5"/>
        <v>3.4951308773919228E-2</v>
      </c>
      <c r="AC33">
        <f t="shared" si="6"/>
        <v>24.31528735327106</v>
      </c>
    </row>
    <row r="34" spans="1:29" x14ac:dyDescent="0.2">
      <c r="A34">
        <v>46136.881667083333</v>
      </c>
      <c r="B34">
        <v>19.043175000000002</v>
      </c>
      <c r="C34">
        <v>18.782263</v>
      </c>
      <c r="D34">
        <v>19.876811</v>
      </c>
      <c r="E34">
        <v>19.793068999999999</v>
      </c>
      <c r="F34">
        <v>31.202839000000001</v>
      </c>
      <c r="G34">
        <v>26.699446999999999</v>
      </c>
      <c r="H34">
        <v>27.283691000000001</v>
      </c>
      <c r="I34">
        <v>23.315346999999999</v>
      </c>
      <c r="J34">
        <v>57.039977999999998</v>
      </c>
      <c r="K34">
        <v>46.346944000000001</v>
      </c>
      <c r="L34">
        <v>293.87983100000002</v>
      </c>
      <c r="M34">
        <v>-622.51142800000002</v>
      </c>
      <c r="N34">
        <v>0.94382900000000003</v>
      </c>
      <c r="O34">
        <v>1.843504</v>
      </c>
      <c r="P34">
        <f t="shared" si="0"/>
        <v>1.5730483333333335E-5</v>
      </c>
      <c r="Q34" cm="1">
        <f t="array" ref="Q34">[1]!PropsSI("D","T",J34+273.15,"P",101325,"Water")</f>
        <v>984.69251565254535</v>
      </c>
      <c r="R34" cm="1">
        <f t="array" ref="R34">[1]!PropsSI("D","T",K34+273.15,"P",101325,"Water")</f>
        <v>989.64291324628198</v>
      </c>
      <c r="S34">
        <f t="shared" si="1"/>
        <v>987.16771444941367</v>
      </c>
      <c r="T34" cm="1">
        <f t="array" ref="T34">[1]!PropsSI("H","T",J34+273.15,"P",101325,"Water")</f>
        <v>238862.98834152974</v>
      </c>
      <c r="U34" cm="1">
        <f t="array" ref="U34">[1]!PropsSI("H","T",K34+273.15,"P",101325,"Water")</f>
        <v>194145.56554508166</v>
      </c>
      <c r="V34">
        <f t="shared" si="2"/>
        <v>694.40010206436204</v>
      </c>
      <c r="X34">
        <f t="shared" si="3"/>
        <v>0.264079956</v>
      </c>
      <c r="Y34">
        <f t="shared" si="3"/>
        <v>0.242693888</v>
      </c>
      <c r="Z34">
        <f t="shared" si="8"/>
        <v>0.35866216197630674</v>
      </c>
      <c r="AA34">
        <f t="shared" si="7"/>
        <v>10.693033999999997</v>
      </c>
      <c r="AB34">
        <f t="shared" si="5"/>
        <v>3.5000618232186295E-2</v>
      </c>
      <c r="AC34">
        <f t="shared" si="6"/>
        <v>24.304432872745934</v>
      </c>
    </row>
    <row r="35" spans="1:29" x14ac:dyDescent="0.2">
      <c r="A35">
        <v>46136.88172553241</v>
      </c>
      <c r="B35">
        <v>19.557755</v>
      </c>
      <c r="C35">
        <v>19.199438000000001</v>
      </c>
      <c r="D35">
        <v>20.012502999999999</v>
      </c>
      <c r="E35">
        <v>19.828793999999998</v>
      </c>
      <c r="F35">
        <v>31.338477000000001</v>
      </c>
      <c r="G35">
        <v>28.229351000000001</v>
      </c>
      <c r="H35">
        <v>26.611353000000001</v>
      </c>
      <c r="I35">
        <v>24.163387</v>
      </c>
      <c r="J35">
        <v>57.047939</v>
      </c>
      <c r="K35">
        <v>46.352339000000001</v>
      </c>
      <c r="L35">
        <v>273.70818800000001</v>
      </c>
      <c r="M35">
        <v>-622.51755000000003</v>
      </c>
      <c r="N35">
        <v>0.94300899999999999</v>
      </c>
      <c r="O35">
        <v>1.583858</v>
      </c>
      <c r="P35">
        <f t="shared" si="0"/>
        <v>1.5716816666666665E-5</v>
      </c>
      <c r="Q35" cm="1">
        <f t="array" ref="Q35">[1]!PropsSI("D","T",J35+273.15,"P",101325,"Water")</f>
        <v>984.68856103020403</v>
      </c>
      <c r="R35" cm="1">
        <f t="array" ref="R35">[1]!PropsSI("D","T",K35+273.15,"P",101325,"Water")</f>
        <v>989.64060511195282</v>
      </c>
      <c r="S35">
        <f t="shared" si="1"/>
        <v>987.16458307107837</v>
      </c>
      <c r="T35" cm="1">
        <f t="array" ref="T35">[1]!PropsSI("H","T",J35+273.15,"P",101325,"Water")</f>
        <v>238896.29499643849</v>
      </c>
      <c r="U35" cm="1">
        <f t="array" ref="U35">[1]!PropsSI("H","T",K35+273.15,"P",101325,"Water")</f>
        <v>194168.11892392446</v>
      </c>
      <c r="V35">
        <f t="shared" si="2"/>
        <v>693.96144345996538</v>
      </c>
      <c r="X35">
        <f t="shared" si="3"/>
        <v>0.26409587800000001</v>
      </c>
      <c r="Y35">
        <f t="shared" si="3"/>
        <v>0.24270467800000001</v>
      </c>
      <c r="Z35">
        <f t="shared" si="8"/>
        <v>0.35868118643117397</v>
      </c>
      <c r="AA35">
        <f t="shared" si="7"/>
        <v>10.695599999999999</v>
      </c>
      <c r="AB35">
        <f t="shared" si="5"/>
        <v>3.4994611243239819E-2</v>
      </c>
      <c r="AC35">
        <f t="shared" si="6"/>
        <v>24.28491093167904</v>
      </c>
    </row>
    <row r="36" spans="1:29" x14ac:dyDescent="0.2">
      <c r="A36">
        <v>46136.88178398148</v>
      </c>
      <c r="B36">
        <v>19.442238</v>
      </c>
      <c r="C36">
        <v>18.920732000000001</v>
      </c>
      <c r="D36">
        <v>20.028787999999999</v>
      </c>
      <c r="E36">
        <v>19.846523999999999</v>
      </c>
      <c r="F36">
        <v>31.09535</v>
      </c>
      <c r="G36">
        <v>27.740765</v>
      </c>
      <c r="H36">
        <v>26.831538999999999</v>
      </c>
      <c r="I36">
        <v>23.895333999999998</v>
      </c>
      <c r="J36">
        <v>57.050646</v>
      </c>
      <c r="K36">
        <v>46.358687000000003</v>
      </c>
      <c r="L36">
        <v>287.94625000000002</v>
      </c>
      <c r="M36">
        <v>-622.49306200000001</v>
      </c>
      <c r="N36">
        <v>0.94361200000000001</v>
      </c>
      <c r="O36">
        <v>1.435074</v>
      </c>
      <c r="P36">
        <f t="shared" si="0"/>
        <v>1.5726866666666667E-5</v>
      </c>
      <c r="Q36" cm="1">
        <f t="array" ref="Q36">[1]!PropsSI("D","T",J36+273.15,"P",101325,"Water")</f>
        <v>984.68721624166574</v>
      </c>
      <c r="R36" cm="1">
        <f t="array" ref="R36">[1]!PropsSI("D","T",K36+273.15,"P",101325,"Water")</f>
        <v>989.63788900172904</v>
      </c>
      <c r="S36">
        <f t="shared" si="1"/>
        <v>987.16255262169739</v>
      </c>
      <c r="T36" cm="1">
        <f t="array" ref="T36">[1]!PropsSI("H","T",J36+273.15,"P",101325,"Water")</f>
        <v>238907.6203525388</v>
      </c>
      <c r="U36" cm="1">
        <f t="array" ref="U36">[1]!PropsSI("H","T",K36+273.15,"P",101325,"Water")</f>
        <v>194194.65625347651</v>
      </c>
      <c r="V36">
        <f t="shared" si="2"/>
        <v>694.16759809917187</v>
      </c>
      <c r="X36">
        <f t="shared" si="3"/>
        <v>0.26410129199999999</v>
      </c>
      <c r="Y36">
        <f t="shared" si="3"/>
        <v>0.24271737399999999</v>
      </c>
      <c r="Z36">
        <f t="shared" si="8"/>
        <v>0.35869376364459576</v>
      </c>
      <c r="AA36">
        <f t="shared" si="7"/>
        <v>10.691958999999997</v>
      </c>
      <c r="AB36">
        <f t="shared" si="5"/>
        <v>3.5006682526385349E-2</v>
      </c>
      <c r="AC36">
        <f t="shared" si="6"/>
        <v>24.300504726761169</v>
      </c>
    </row>
    <row r="37" spans="1:29" x14ac:dyDescent="0.2">
      <c r="A37">
        <v>46136.881842430557</v>
      </c>
      <c r="B37">
        <v>19.081728999999999</v>
      </c>
      <c r="C37">
        <v>18.585507</v>
      </c>
      <c r="D37">
        <v>19.930081000000001</v>
      </c>
      <c r="E37">
        <v>19.820747000000001</v>
      </c>
      <c r="F37">
        <v>31.414521000000001</v>
      </c>
      <c r="G37">
        <v>28.984186000000001</v>
      </c>
      <c r="H37">
        <v>27.075171000000001</v>
      </c>
      <c r="I37">
        <v>23.289313</v>
      </c>
      <c r="J37">
        <v>57.045231999999999</v>
      </c>
      <c r="K37">
        <v>46.361702000000001</v>
      </c>
      <c r="L37">
        <v>275.63094899999999</v>
      </c>
      <c r="M37">
        <v>-622.47551099999998</v>
      </c>
      <c r="N37">
        <v>0.94267299999999998</v>
      </c>
      <c r="O37">
        <v>1.3569089999999999</v>
      </c>
      <c r="P37">
        <f t="shared" si="0"/>
        <v>1.5711216666666666E-5</v>
      </c>
      <c r="Q37" cm="1">
        <f t="array" ref="Q37">[1]!PropsSI("D","T",J37+273.15,"P",101325,"Water")</f>
        <v>984.68990577417662</v>
      </c>
      <c r="R37" cm="1">
        <f t="array" ref="R37">[1]!PropsSI("D","T",K37+273.15,"P",101325,"Water")</f>
        <v>989.63659888104871</v>
      </c>
      <c r="S37">
        <f t="shared" si="1"/>
        <v>987.16325232761267</v>
      </c>
      <c r="T37" cm="1">
        <f t="array" ref="T37">[1]!PropsSI("H","T",J37+273.15,"P",101325,"Water")</f>
        <v>238884.96964321588</v>
      </c>
      <c r="U37" cm="1">
        <f t="array" ref="U37">[1]!PropsSI("H","T",K37+273.15,"P",101325,"Water")</f>
        <v>194207.26023401212</v>
      </c>
      <c r="V37">
        <f t="shared" si="2"/>
        <v>692.93053098358348</v>
      </c>
      <c r="X37">
        <f t="shared" si="3"/>
        <v>0.26409046400000002</v>
      </c>
      <c r="Y37">
        <f t="shared" si="3"/>
        <v>0.242723404</v>
      </c>
      <c r="Z37">
        <f t="shared" si="8"/>
        <v>0.35868987165109995</v>
      </c>
      <c r="AA37">
        <f t="shared" si="7"/>
        <v>10.683529999999998</v>
      </c>
      <c r="AB37">
        <f t="shared" si="5"/>
        <v>3.5031699700257844E-2</v>
      </c>
      <c r="AC37">
        <f t="shared" si="6"/>
        <v>24.274534274557109</v>
      </c>
    </row>
    <row r="38" spans="1:29" x14ac:dyDescent="0.2">
      <c r="A38">
        <v>44674.881900303299</v>
      </c>
      <c r="B38">
        <v>18.87481</v>
      </c>
      <c r="C38">
        <v>18.567546</v>
      </c>
      <c r="D38">
        <v>19.918051999999999</v>
      </c>
      <c r="E38">
        <v>19.746098</v>
      </c>
      <c r="F38">
        <v>31.364169</v>
      </c>
      <c r="G38">
        <v>28.781609</v>
      </c>
      <c r="H38">
        <v>26.579122000000002</v>
      </c>
      <c r="I38">
        <v>23.780629999999999</v>
      </c>
      <c r="J38">
        <v>57.040137999999999</v>
      </c>
      <c r="K38">
        <v>46.354084999999998</v>
      </c>
      <c r="L38">
        <v>293.501891</v>
      </c>
      <c r="M38">
        <v>-622.47061399999996</v>
      </c>
      <c r="N38">
        <v>0.94460699999999997</v>
      </c>
      <c r="O38">
        <v>1.2051259999999999</v>
      </c>
      <c r="P38">
        <f t="shared" si="0"/>
        <v>1.5743449999999999E-5</v>
      </c>
      <c r="Q38" cm="1">
        <f t="array" ref="Q38">[1]!PropsSI("D","T",J38+273.15,"P",101325,"Water")</f>
        <v>984.69243617642985</v>
      </c>
      <c r="R38" cm="1">
        <f t="array" ref="R38">[1]!PropsSI("D","T",K38+273.15,"P",101325,"Water")</f>
        <v>989.63985808079315</v>
      </c>
      <c r="S38">
        <f t="shared" si="1"/>
        <v>987.16614712861156</v>
      </c>
      <c r="T38" cm="1">
        <f t="array" ref="T38">[1]!PropsSI("H","T",J38+273.15,"P",101325,"Water")</f>
        <v>238863.65773765053</v>
      </c>
      <c r="U38" cm="1">
        <f t="array" ref="U38">[1]!PropsSI("H","T",K38+273.15,"P",101325,"Water")</f>
        <v>194175.41794280428</v>
      </c>
      <c r="V38">
        <f t="shared" si="2"/>
        <v>694.51784922911975</v>
      </c>
      <c r="X38">
        <f t="shared" si="3"/>
        <v>0.264080276</v>
      </c>
      <c r="Y38">
        <f t="shared" si="3"/>
        <v>0.24270817</v>
      </c>
      <c r="Z38">
        <f t="shared" si="8"/>
        <v>0.35867206185732542</v>
      </c>
      <c r="AA38">
        <f t="shared" si="7"/>
        <v>10.686053000000001</v>
      </c>
      <c r="AB38">
        <f t="shared" si="5"/>
        <v>3.5022505421729501E-2</v>
      </c>
      <c r="AC38">
        <f t="shared" si="6"/>
        <v>24.323755140114759</v>
      </c>
    </row>
    <row r="39" spans="1:29" x14ac:dyDescent="0.2">
      <c r="A39">
        <v>44674.881958752303</v>
      </c>
      <c r="B39">
        <v>19.662262999999999</v>
      </c>
      <c r="C39">
        <v>18.809760000000001</v>
      </c>
      <c r="D39">
        <v>20.060473999999999</v>
      </c>
      <c r="E39">
        <v>19.836983</v>
      </c>
      <c r="F39">
        <v>31.603967000000001</v>
      </c>
      <c r="G39">
        <v>29.211521999999999</v>
      </c>
      <c r="H39">
        <v>26.580372000000001</v>
      </c>
      <c r="I39">
        <v>24.392631999999999</v>
      </c>
      <c r="J39">
        <v>57.041570999999998</v>
      </c>
      <c r="K39">
        <v>46.357576000000002</v>
      </c>
      <c r="L39">
        <v>288.65886799999998</v>
      </c>
      <c r="M39">
        <v>-622.48163399999999</v>
      </c>
      <c r="N39">
        <v>0.94538199999999994</v>
      </c>
      <c r="O39">
        <v>1.56674</v>
      </c>
      <c r="P39">
        <f t="shared" si="0"/>
        <v>1.5756366666666667E-5</v>
      </c>
      <c r="Q39" cm="1">
        <f t="array" ref="Q39">[1]!PropsSI("D","T",J39+273.15,"P",101325,"Water")</f>
        <v>984.69172436151393</v>
      </c>
      <c r="R39" cm="1">
        <f t="array" ref="R39">[1]!PropsSI("D","T",K39+273.15,"P",101325,"Water")</f>
        <v>989.63836438375915</v>
      </c>
      <c r="S39">
        <f t="shared" si="1"/>
        <v>987.16504437263654</v>
      </c>
      <c r="T39" cm="1">
        <f t="array" ref="T39">[1]!PropsSI("H","T",J39+273.15,"P",101325,"Water")</f>
        <v>238869.65301750056</v>
      </c>
      <c r="U39" cm="1">
        <f t="array" ref="U39">[1]!PropsSI("H","T",K39+273.15,"P",101325,"Water")</f>
        <v>194190.01180215558</v>
      </c>
      <c r="V39">
        <f t="shared" si="2"/>
        <v>694.95314439168567</v>
      </c>
      <c r="X39">
        <f t="shared" si="3"/>
        <v>0.26408314199999999</v>
      </c>
      <c r="Y39">
        <f t="shared" si="3"/>
        <v>0.24271515199999999</v>
      </c>
      <c r="Z39">
        <f t="shared" si="8"/>
        <v>0.35867889664569791</v>
      </c>
      <c r="AA39">
        <f t="shared" si="7"/>
        <v>10.683994999999996</v>
      </c>
      <c r="AB39">
        <f t="shared" si="5"/>
        <v>3.5029314763689999E-2</v>
      </c>
      <c r="AC39">
        <f t="shared" si="6"/>
        <v>24.343732440912461</v>
      </c>
    </row>
    <row r="40" spans="1:29" x14ac:dyDescent="0.2">
      <c r="A40">
        <v>44674.882016622701</v>
      </c>
      <c r="B40">
        <v>19.580117000000001</v>
      </c>
      <c r="C40">
        <v>19.107555000000001</v>
      </c>
      <c r="D40">
        <v>20.139716</v>
      </c>
      <c r="E40">
        <v>19.859587000000001</v>
      </c>
      <c r="F40">
        <v>31.256292999999999</v>
      </c>
      <c r="G40">
        <v>28.063535999999999</v>
      </c>
      <c r="H40">
        <v>26.945679999999999</v>
      </c>
      <c r="I40">
        <v>23.941368000000001</v>
      </c>
      <c r="J40">
        <v>57.043002999999999</v>
      </c>
      <c r="K40">
        <v>46.361226000000002</v>
      </c>
      <c r="L40">
        <v>286.20552099999998</v>
      </c>
      <c r="M40">
        <v>-622.49102100000005</v>
      </c>
      <c r="N40">
        <v>0.945218</v>
      </c>
      <c r="O40">
        <v>1.678061</v>
      </c>
      <c r="P40">
        <f t="shared" si="0"/>
        <v>1.5753633333333334E-5</v>
      </c>
      <c r="Q40" cm="1">
        <f t="array" ref="Q40">[1]!PropsSI("D","T",J40+273.15,"P",101325,"Water")</f>
        <v>984.69101303085426</v>
      </c>
      <c r="R40" cm="1">
        <f t="array" ref="R40">[1]!PropsSI("D","T",K40+273.15,"P",101325,"Water")</f>
        <v>989.63680256592829</v>
      </c>
      <c r="S40">
        <f t="shared" si="1"/>
        <v>987.16390779839128</v>
      </c>
      <c r="T40" cm="1">
        <f t="array" ref="T40">[1]!PropsSI("H","T",J40+273.15,"P",101325,"Water")</f>
        <v>238875.64411437933</v>
      </c>
      <c r="U40" cm="1">
        <f t="array" ref="U40">[1]!PropsSI("H","T",K40+273.15,"P",101325,"Water")</f>
        <v>194205.27035171789</v>
      </c>
      <c r="V40">
        <f t="shared" si="2"/>
        <v>694.68766547019914</v>
      </c>
      <c r="X40">
        <f t="shared" si="3"/>
        <v>0.26408600599999998</v>
      </c>
      <c r="Y40">
        <f t="shared" si="3"/>
        <v>0.24272245200000001</v>
      </c>
      <c r="Z40">
        <f t="shared" si="8"/>
        <v>0.35868594518035457</v>
      </c>
      <c r="AA40">
        <f t="shared" si="7"/>
        <v>10.681776999999997</v>
      </c>
      <c r="AB40">
        <f t="shared" si="5"/>
        <v>3.5036628071358621E-2</v>
      </c>
      <c r="AC40">
        <f t="shared" si="6"/>
        <v>24.339513360839767</v>
      </c>
    </row>
    <row r="41" spans="1:29" x14ac:dyDescent="0.2">
      <c r="A41">
        <v>44674.882075071801</v>
      </c>
      <c r="B41">
        <v>19.580423</v>
      </c>
      <c r="C41">
        <v>19.086079999999999</v>
      </c>
      <c r="D41">
        <v>20.141414999999999</v>
      </c>
      <c r="E41">
        <v>19.938251999999999</v>
      </c>
      <c r="F41">
        <v>31.210957000000001</v>
      </c>
      <c r="G41">
        <v>28.695702000000001</v>
      </c>
      <c r="H41">
        <v>26.329416999999999</v>
      </c>
      <c r="I41">
        <v>24.081306999999999</v>
      </c>
      <c r="J41">
        <v>57.041730000000001</v>
      </c>
      <c r="K41">
        <v>46.379792000000002</v>
      </c>
      <c r="L41">
        <v>277.49493699999999</v>
      </c>
      <c r="M41">
        <v>-622.50040799999999</v>
      </c>
      <c r="N41">
        <v>0.94461600000000001</v>
      </c>
      <c r="O41">
        <v>1.4385060000000001</v>
      </c>
      <c r="P41">
        <f t="shared" si="0"/>
        <v>1.5743599999999999E-5</v>
      </c>
      <c r="Q41" cm="1">
        <f t="array" ref="Q41">[1]!PropsSI("D","T",J41+273.15,"P",101325,"Water")</f>
        <v>984.69164538057589</v>
      </c>
      <c r="R41" cm="1">
        <f t="array" ref="R41">[1]!PropsSI("D","T",K41+273.15,"P",101325,"Water")</f>
        <v>989.62885684897208</v>
      </c>
      <c r="S41">
        <f t="shared" si="1"/>
        <v>987.16025111477393</v>
      </c>
      <c r="T41" cm="1">
        <f t="array" ref="T41">[1]!PropsSI("H","T",J41+273.15,"P",101325,"Water")</f>
        <v>238870.3182300489</v>
      </c>
      <c r="U41" cm="1">
        <f t="array" ref="U41">[1]!PropsSI("H","T",K41+273.15,"P",101325,"Water")</f>
        <v>194282.88415928456</v>
      </c>
      <c r="V41">
        <f t="shared" si="2"/>
        <v>692.95365053555304</v>
      </c>
      <c r="X41">
        <f t="shared" si="3"/>
        <v>0.26408345999999999</v>
      </c>
      <c r="Y41">
        <f t="shared" si="3"/>
        <v>0.242759584</v>
      </c>
      <c r="Z41">
        <f t="shared" si="8"/>
        <v>0.35870919903094856</v>
      </c>
      <c r="AA41">
        <f t="shared" si="7"/>
        <v>10.661937999999999</v>
      </c>
      <c r="AB41">
        <f t="shared" si="5"/>
        <v>3.5098606145083207E-2</v>
      </c>
      <c r="AC41">
        <f t="shared" si="6"/>
        <v>24.321707256945004</v>
      </c>
    </row>
    <row r="42" spans="1:29" x14ac:dyDescent="0.2">
      <c r="A42">
        <v>46136.88213351852</v>
      </c>
      <c r="B42">
        <v>19.855753</v>
      </c>
      <c r="C42">
        <v>19.336003000000002</v>
      </c>
      <c r="D42">
        <v>20.062358</v>
      </c>
      <c r="E42">
        <v>19.936975</v>
      </c>
      <c r="F42">
        <v>31.667539999999999</v>
      </c>
      <c r="G42">
        <v>27.442647000000001</v>
      </c>
      <c r="H42">
        <v>27.541481000000001</v>
      </c>
      <c r="I42">
        <v>23.914950999999999</v>
      </c>
      <c r="J42">
        <v>57.035997999999999</v>
      </c>
      <c r="K42">
        <v>46.388361000000003</v>
      </c>
      <c r="L42">
        <v>280.38703700000002</v>
      </c>
      <c r="M42">
        <v>-622.48653100000001</v>
      </c>
      <c r="N42">
        <v>0.942604</v>
      </c>
      <c r="O42">
        <v>1.619745</v>
      </c>
      <c r="P42">
        <f t="shared" si="0"/>
        <v>1.5710066666666667E-5</v>
      </c>
      <c r="Q42" cm="1">
        <f t="array" ref="Q42">[1]!PropsSI("D","T",J42+273.15,"P",101325,"Water")</f>
        <v>984.6944925709098</v>
      </c>
      <c r="R42" cm="1">
        <f t="array" ref="R42">[1]!PropsSI("D","T",K42+273.15,"P",101325,"Water")</f>
        <v>989.62518876566014</v>
      </c>
      <c r="S42">
        <f t="shared" si="1"/>
        <v>987.15984066828491</v>
      </c>
      <c r="T42" cm="1">
        <f t="array" ref="T42">[1]!PropsSI("H","T",J42+273.15,"P",101325,"Water")</f>
        <v>238846.33711522215</v>
      </c>
      <c r="U42" cm="1">
        <f t="array" ref="U42">[1]!PropsSI("H","T",K42+273.15,"P",101325,"Water")</f>
        <v>194318.70626382431</v>
      </c>
      <c r="V42">
        <f t="shared" si="2"/>
        <v>690.54994621501748</v>
      </c>
      <c r="X42">
        <f t="shared" si="3"/>
        <v>0.26407199599999998</v>
      </c>
      <c r="Y42">
        <f t="shared" si="3"/>
        <v>0.242776722</v>
      </c>
      <c r="Z42">
        <f t="shared" si="8"/>
        <v>0.35871235804818502</v>
      </c>
      <c r="AA42">
        <f t="shared" si="7"/>
        <v>10.647636999999996</v>
      </c>
      <c r="AB42">
        <f t="shared" si="5"/>
        <v>3.5142207696101643E-2</v>
      </c>
      <c r="AC42">
        <f t="shared" si="6"/>
        <v>24.267449634419965</v>
      </c>
    </row>
    <row r="43" spans="1:29" x14ac:dyDescent="0.2">
      <c r="A43">
        <v>46136.88219138889</v>
      </c>
      <c r="B43">
        <v>19.618818999999998</v>
      </c>
      <c r="C43">
        <v>19.207757000000001</v>
      </c>
      <c r="D43">
        <v>20.057572</v>
      </c>
      <c r="E43">
        <v>19.889265000000002</v>
      </c>
      <c r="F43">
        <v>31.587059</v>
      </c>
      <c r="G43">
        <v>29.307099999999998</v>
      </c>
      <c r="H43">
        <v>26.959441000000002</v>
      </c>
      <c r="I43">
        <v>24.214939000000001</v>
      </c>
      <c r="J43">
        <v>57.036794</v>
      </c>
      <c r="K43">
        <v>46.396296</v>
      </c>
      <c r="L43">
        <v>276.55008600000002</v>
      </c>
      <c r="M43">
        <v>-622.487348</v>
      </c>
      <c r="N43">
        <v>0.94191899999999995</v>
      </c>
      <c r="O43">
        <v>1.489744</v>
      </c>
      <c r="P43">
        <f t="shared" si="0"/>
        <v>1.5698649999999999E-5</v>
      </c>
      <c r="Q43" cm="1">
        <f t="array" ref="Q43">[1]!PropsSI("D","T",J43+273.15,"P",101325,"Water")</f>
        <v>984.69409719492648</v>
      </c>
      <c r="R43" cm="1">
        <f t="array" ref="R43">[1]!PropsSI("D","T",K43+273.15,"P",101325,"Water")</f>
        <v>989.62179162663097</v>
      </c>
      <c r="S43">
        <f t="shared" si="1"/>
        <v>987.15794441077878</v>
      </c>
      <c r="T43" cm="1">
        <f t="array" ref="T43">[1]!PropsSI("H","T",J43+273.15,"P",101325,"Water")</f>
        <v>238849.667359985</v>
      </c>
      <c r="U43" cm="1">
        <f t="array" ref="U43">[1]!PropsSI("H","T",K43+273.15,"P",101325,"Water")</f>
        <v>194351.87799021177</v>
      </c>
      <c r="V43">
        <f t="shared" si="2"/>
        <v>689.58433610841473</v>
      </c>
      <c r="X43">
        <f t="shared" si="3"/>
        <v>0.26407358800000003</v>
      </c>
      <c r="Y43">
        <f t="shared" si="3"/>
        <v>0.242792592</v>
      </c>
      <c r="Z43">
        <f t="shared" si="8"/>
        <v>0.35872427100667753</v>
      </c>
      <c r="AA43">
        <f t="shared" si="7"/>
        <v>10.640498000000001</v>
      </c>
      <c r="AB43">
        <f t="shared" si="5"/>
        <v>3.5164950332250325E-2</v>
      </c>
      <c r="AC43">
        <f t="shared" si="6"/>
        <v>24.249198929150218</v>
      </c>
    </row>
    <row r="44" spans="1:29" x14ac:dyDescent="0.2">
      <c r="A44">
        <v>46136.88224983796</v>
      </c>
      <c r="B44">
        <v>19.587669000000002</v>
      </c>
      <c r="C44">
        <v>19.211611000000001</v>
      </c>
      <c r="D44">
        <v>20.040921000000001</v>
      </c>
      <c r="E44">
        <v>19.962633</v>
      </c>
      <c r="F44">
        <v>31.460242999999998</v>
      </c>
      <c r="G44">
        <v>28.97813</v>
      </c>
      <c r="H44">
        <v>27.091282</v>
      </c>
      <c r="I44">
        <v>23.777123</v>
      </c>
      <c r="J44">
        <v>57.042844000000002</v>
      </c>
      <c r="K44">
        <v>46.409149999999997</v>
      </c>
      <c r="L44">
        <v>288.95517899999999</v>
      </c>
      <c r="M44">
        <v>-622.506122</v>
      </c>
      <c r="N44">
        <v>0.94291100000000005</v>
      </c>
      <c r="O44">
        <v>1.912431</v>
      </c>
      <c r="P44">
        <f t="shared" si="0"/>
        <v>1.5715183333333335E-5</v>
      </c>
      <c r="Q44" cm="1">
        <f t="array" ref="Q44">[1]!PropsSI("D","T",J44+273.15,"P",101325,"Water")</f>
        <v>984.69109201301671</v>
      </c>
      <c r="R44" cm="1">
        <f t="array" ref="R44">[1]!PropsSI("D","T",K44+273.15,"P",101325,"Water")</f>
        <v>989.61628764612499</v>
      </c>
      <c r="S44">
        <f t="shared" si="1"/>
        <v>987.15368982957079</v>
      </c>
      <c r="T44" cm="1">
        <f t="array" ref="T44">[1]!PropsSI("H","T",J44+273.15,"P",101325,"Water")</f>
        <v>238874.97890179246</v>
      </c>
      <c r="U44" cm="1">
        <f t="array" ref="U44">[1]!PropsSI("H","T",K44+273.15,"P",101325,"Water")</f>
        <v>194405.61329017923</v>
      </c>
      <c r="V44">
        <f t="shared" si="2"/>
        <v>689.86666352169789</v>
      </c>
      <c r="X44">
        <f t="shared" si="3"/>
        <v>0.26408568799999999</v>
      </c>
      <c r="Y44">
        <f t="shared" si="3"/>
        <v>0.24281829999999999</v>
      </c>
      <c r="Z44">
        <f t="shared" si="8"/>
        <v>0.35875057828709256</v>
      </c>
      <c r="AA44">
        <f t="shared" si="7"/>
        <v>10.633694000000006</v>
      </c>
      <c r="AB44">
        <f t="shared" si="5"/>
        <v>3.5188003630343224E-2</v>
      </c>
      <c r="AC44">
        <f t="shared" si="6"/>
        <v>24.275030660454274</v>
      </c>
    </row>
    <row r="45" spans="1:29" x14ac:dyDescent="0.2">
      <c r="A45">
        <v>46136.882308287037</v>
      </c>
      <c r="B45">
        <v>19.216498999999999</v>
      </c>
      <c r="C45">
        <v>18.969324</v>
      </c>
      <c r="D45">
        <v>20.009093</v>
      </c>
      <c r="E45">
        <v>19.850007999999999</v>
      </c>
      <c r="F45">
        <v>31.114007000000001</v>
      </c>
      <c r="G45">
        <v>28.405242000000001</v>
      </c>
      <c r="H45">
        <v>26.938203000000001</v>
      </c>
      <c r="I45">
        <v>23.853812999999999</v>
      </c>
      <c r="J45">
        <v>57.041730000000001</v>
      </c>
      <c r="K45">
        <v>46.407563000000003</v>
      </c>
      <c r="L45">
        <v>268.04683899999998</v>
      </c>
      <c r="M45">
        <v>-622.47632799999997</v>
      </c>
      <c r="N45">
        <v>0.94168600000000002</v>
      </c>
      <c r="O45">
        <v>1.7209239999999999</v>
      </c>
      <c r="P45">
        <f t="shared" si="0"/>
        <v>1.5694766666666668E-5</v>
      </c>
      <c r="Q45" cm="1">
        <f t="array" ref="Q45">[1]!PropsSI("D","T",J45+273.15,"P",101325,"Water")</f>
        <v>984.69164538057589</v>
      </c>
      <c r="R45" cm="1">
        <f t="array" ref="R45">[1]!PropsSI("D","T",K45+273.15,"P",101325,"Water")</f>
        <v>989.61696724810156</v>
      </c>
      <c r="S45">
        <f t="shared" si="1"/>
        <v>987.15430631433878</v>
      </c>
      <c r="T45" cm="1">
        <f t="array" ref="T45">[1]!PropsSI("H","T",J45+273.15,"P",101325,"Water")</f>
        <v>238870.3182300489</v>
      </c>
      <c r="U45" cm="1">
        <f t="array" ref="U45">[1]!PropsSI("H","T",K45+273.15,"P",101325,"Water")</f>
        <v>194398.97893927881</v>
      </c>
      <c r="V45">
        <f t="shared" si="2"/>
        <v>689.00141946759823</v>
      </c>
      <c r="X45">
        <f t="shared" si="3"/>
        <v>0.26408345999999999</v>
      </c>
      <c r="Y45">
        <f t="shared" si="3"/>
        <v>0.24281512599999999</v>
      </c>
      <c r="Z45">
        <f t="shared" si="8"/>
        <v>0.35874678989500031</v>
      </c>
      <c r="AA45">
        <f t="shared" si="7"/>
        <v>10.634166999999998</v>
      </c>
      <c r="AB45">
        <f t="shared" si="5"/>
        <v>3.5186223343548845E-2</v>
      </c>
      <c r="AC45">
        <f t="shared" si="6"/>
        <v>24.243357829409096</v>
      </c>
    </row>
    <row r="46" spans="1:29" x14ac:dyDescent="0.2">
      <c r="A46">
        <v>46136.882366736114</v>
      </c>
      <c r="B46">
        <v>19.807110999999999</v>
      </c>
      <c r="C46">
        <v>19.180275999999999</v>
      </c>
      <c r="D46">
        <v>19.993251999999998</v>
      </c>
      <c r="E46">
        <v>19.841221999999998</v>
      </c>
      <c r="F46">
        <v>31.560946000000001</v>
      </c>
      <c r="G46">
        <v>26.887518</v>
      </c>
      <c r="H46">
        <v>27.16075</v>
      </c>
      <c r="I46">
        <v>24.012865999999999</v>
      </c>
      <c r="J46">
        <v>57.036316999999997</v>
      </c>
      <c r="K46">
        <v>46.379474999999999</v>
      </c>
      <c r="L46">
        <v>275.11219899999998</v>
      </c>
      <c r="M46">
        <v>-622.47306300000002</v>
      </c>
      <c r="N46">
        <v>0.942608</v>
      </c>
      <c r="O46">
        <v>1.5658380000000001</v>
      </c>
      <c r="P46">
        <f t="shared" si="0"/>
        <v>1.5710133333333334E-5</v>
      </c>
      <c r="Q46" cm="1">
        <f t="array" ref="Q46">[1]!PropsSI("D","T",J46+273.15,"P",101325,"Water")</f>
        <v>984.69433412295291</v>
      </c>
      <c r="R46" cm="1">
        <f t="array" ref="R46">[1]!PropsSI("D","T",K46+273.15,"P",101325,"Water")</f>
        <v>989.62899253570561</v>
      </c>
      <c r="S46">
        <f t="shared" si="1"/>
        <v>987.16166332932926</v>
      </c>
      <c r="T46" cm="1">
        <f t="array" ref="T46">[1]!PropsSI("H","T",J46+273.15,"P",101325,"Water")</f>
        <v>238847.67172334317</v>
      </c>
      <c r="U46" cm="1">
        <f t="array" ref="U46">[1]!PropsSI("H","T",K46+273.15,"P",101325,"Water")</f>
        <v>194281.55896331443</v>
      </c>
      <c r="V46">
        <f t="shared" si="2"/>
        <v>691.15094604597482</v>
      </c>
      <c r="X46">
        <f t="shared" si="3"/>
        <v>0.26407263399999997</v>
      </c>
      <c r="Y46">
        <f t="shared" si="3"/>
        <v>0.24275895</v>
      </c>
      <c r="Z46">
        <f t="shared" si="8"/>
        <v>0.35870079987755876</v>
      </c>
      <c r="AA46">
        <f t="shared" si="7"/>
        <v>10.656841999999997</v>
      </c>
      <c r="AB46">
        <f t="shared" si="5"/>
        <v>3.5113272332781865E-2</v>
      </c>
      <c r="AC46">
        <f t="shared" si="6"/>
        <v>24.268571391572138</v>
      </c>
    </row>
    <row r="47" spans="1:29" x14ac:dyDescent="0.2">
      <c r="A47">
        <v>46136.882424606483</v>
      </c>
      <c r="B47">
        <v>19.791999000000001</v>
      </c>
      <c r="C47">
        <v>19.282684</v>
      </c>
      <c r="D47">
        <v>19.986167999999999</v>
      </c>
      <c r="E47">
        <v>19.902003000000001</v>
      </c>
      <c r="F47">
        <v>31.420781000000002</v>
      </c>
      <c r="G47">
        <v>28.468233000000001</v>
      </c>
      <c r="H47">
        <v>26.919727999999999</v>
      </c>
      <c r="I47">
        <v>23.878571999999998</v>
      </c>
      <c r="J47">
        <v>57.030743999999999</v>
      </c>
      <c r="K47">
        <v>46.368208000000003</v>
      </c>
      <c r="L47">
        <v>289.62004400000001</v>
      </c>
      <c r="M47">
        <v>-622.48693900000001</v>
      </c>
      <c r="N47">
        <v>0.94266899999999998</v>
      </c>
      <c r="O47">
        <v>1.6350960000000001</v>
      </c>
      <c r="P47">
        <f t="shared" si="0"/>
        <v>1.5711149999999999E-5</v>
      </c>
      <c r="Q47" cm="1">
        <f t="array" ref="Q47">[1]!PropsSI("D","T",J47+273.15,"P",101325,"Water")</f>
        <v>984.69710215430553</v>
      </c>
      <c r="R47" cm="1">
        <f t="array" ref="R47">[1]!PropsSI("D","T",K47+273.15,"P",101325,"Water")</f>
        <v>989.63381474669563</v>
      </c>
      <c r="S47">
        <f t="shared" si="1"/>
        <v>987.16545845050064</v>
      </c>
      <c r="T47" cm="1">
        <f t="array" ref="T47">[1]!PropsSI("H","T",J47+273.15,"P",101325,"Water")</f>
        <v>238824.35583259462</v>
      </c>
      <c r="U47" cm="1">
        <f t="array" ref="U47">[1]!PropsSI("H","T",K47+273.15,"P",101325,"Water")</f>
        <v>194234.4580840737</v>
      </c>
      <c r="V47">
        <f t="shared" si="2"/>
        <v>691.56722391133258</v>
      </c>
      <c r="X47">
        <f t="shared" si="3"/>
        <v>0.26406148800000001</v>
      </c>
      <c r="Y47">
        <f t="shared" si="3"/>
        <v>0.24273641600000001</v>
      </c>
      <c r="Z47">
        <f t="shared" si="8"/>
        <v>0.35867734399777634</v>
      </c>
      <c r="AA47">
        <f t="shared" si="7"/>
        <v>10.662535999999996</v>
      </c>
      <c r="AB47">
        <f t="shared" si="5"/>
        <v>3.5093933742092569E-2</v>
      </c>
      <c r="AC47">
        <f t="shared" si="6"/>
        <v>24.269814334147203</v>
      </c>
    </row>
    <row r="48" spans="1:29" x14ac:dyDescent="0.2">
      <c r="A48">
        <v>46136.882483055553</v>
      </c>
      <c r="B48">
        <v>19.921379999999999</v>
      </c>
      <c r="C48">
        <v>19.388611000000001</v>
      </c>
      <c r="D48">
        <v>19.962111</v>
      </c>
      <c r="E48">
        <v>19.873595000000002</v>
      </c>
      <c r="F48">
        <v>31.531863000000001</v>
      </c>
      <c r="G48">
        <v>29.047986000000002</v>
      </c>
      <c r="H48">
        <v>27.098953999999999</v>
      </c>
      <c r="I48">
        <v>23.926158999999998</v>
      </c>
      <c r="J48">
        <v>57.026285999999999</v>
      </c>
      <c r="K48">
        <v>46.387568000000002</v>
      </c>
      <c r="L48">
        <v>280.39071000000001</v>
      </c>
      <c r="M48">
        <v>-622.48408199999994</v>
      </c>
      <c r="N48">
        <v>0.94520999999999999</v>
      </c>
      <c r="O48">
        <v>1.605067</v>
      </c>
      <c r="P48">
        <f t="shared" si="0"/>
        <v>1.5753500000000001E-5</v>
      </c>
      <c r="Q48" cm="1">
        <f t="array" ref="Q48">[1]!PropsSI("D","T",J48+273.15,"P",101325,"Water")</f>
        <v>984.69931624480103</v>
      </c>
      <c r="R48" cm="1">
        <f t="array" ref="R48">[1]!PropsSI("D","T",K48+273.15,"P",101325,"Water")</f>
        <v>989.62552824180477</v>
      </c>
      <c r="S48">
        <f t="shared" si="1"/>
        <v>987.1624222433029</v>
      </c>
      <c r="T48" cm="1">
        <f t="array" ref="T48">[1]!PropsSI("H","T",J48+273.15,"P",101325,"Water")</f>
        <v>238805.70480224973</v>
      </c>
      <c r="U48" cm="1">
        <f t="array" ref="U48">[1]!PropsSI("H","T",K48+273.15,"P",101325,"Water")</f>
        <v>194315.39118212002</v>
      </c>
      <c r="V48">
        <f t="shared" si="2"/>
        <v>691.88057779403925</v>
      </c>
      <c r="X48">
        <f t="shared" si="3"/>
        <v>0.26405257199999999</v>
      </c>
      <c r="Y48">
        <f t="shared" si="3"/>
        <v>0.242775136</v>
      </c>
      <c r="Z48">
        <f t="shared" si="8"/>
        <v>0.35869698554578577</v>
      </c>
      <c r="AA48">
        <f t="shared" si="7"/>
        <v>10.638717999999997</v>
      </c>
      <c r="AB48">
        <f t="shared" si="5"/>
        <v>3.5167899271383321E-2</v>
      </c>
      <c r="AC48">
        <f t="shared" si="6"/>
        <v>24.331986467687265</v>
      </c>
    </row>
    <row r="49" spans="1:29" x14ac:dyDescent="0.2">
      <c r="A49">
        <v>44674.882541507002</v>
      </c>
      <c r="B49">
        <v>19.744785</v>
      </c>
      <c r="C49">
        <v>19.404250999999999</v>
      </c>
      <c r="D49">
        <v>19.999735000000001</v>
      </c>
      <c r="E49">
        <v>19.899346000000001</v>
      </c>
      <c r="F49">
        <v>31.653299000000001</v>
      </c>
      <c r="G49">
        <v>29.034554</v>
      </c>
      <c r="H49">
        <v>27.000364999999999</v>
      </c>
      <c r="I49">
        <v>24.223455000000001</v>
      </c>
      <c r="J49">
        <v>57.027878000000001</v>
      </c>
      <c r="K49">
        <v>46.392010999999997</v>
      </c>
      <c r="L49">
        <v>272.93026700000001</v>
      </c>
      <c r="M49">
        <v>-622.49020499999995</v>
      </c>
      <c r="N49">
        <v>0.94255800000000001</v>
      </c>
      <c r="O49">
        <v>1.303256</v>
      </c>
      <c r="P49">
        <f t="shared" si="0"/>
        <v>1.5709299999999999E-5</v>
      </c>
      <c r="Q49" cm="1">
        <f t="array" ref="Q49">[1]!PropsSI("D","T",J49+273.15,"P",101325,"Water")</f>
        <v>984.69852558302171</v>
      </c>
      <c r="R49" cm="1">
        <f t="array" ref="R49">[1]!PropsSI("D","T",K49+273.15,"P",101325,"Water")</f>
        <v>989.62362617809458</v>
      </c>
      <c r="S49">
        <f t="shared" si="1"/>
        <v>987.1610758805582</v>
      </c>
      <c r="T49" cm="1">
        <f t="array" ref="T49">[1]!PropsSI("H","T",J49+273.15,"P",101325,"Water")</f>
        <v>238812.36528592143</v>
      </c>
      <c r="U49" cm="1">
        <f t="array" ref="U49">[1]!PropsSI("H","T",K49+273.15,"P",101325,"Water")</f>
        <v>194333.964838174</v>
      </c>
      <c r="V49">
        <f t="shared" si="2"/>
        <v>689.75366485372797</v>
      </c>
      <c r="X49">
        <f t="shared" si="3"/>
        <v>0.26405575599999997</v>
      </c>
      <c r="Y49">
        <f t="shared" si="3"/>
        <v>0.24278402199999999</v>
      </c>
      <c r="Z49">
        <f t="shared" si="8"/>
        <v>0.35870534372271062</v>
      </c>
      <c r="AA49">
        <f t="shared" si="7"/>
        <v>10.635867000000005</v>
      </c>
      <c r="AB49">
        <f t="shared" si="5"/>
        <v>3.5177317515417229E-2</v>
      </c>
      <c r="AC49">
        <f t="shared" si="6"/>
        <v>24.263683675982271</v>
      </c>
    </row>
    <row r="50" spans="1:29" x14ac:dyDescent="0.2">
      <c r="A50" t="s">
        <v>20</v>
      </c>
      <c r="B50">
        <v>19.910890999999999</v>
      </c>
      <c r="C50">
        <v>19.586579</v>
      </c>
      <c r="D50">
        <v>20.028791999999999</v>
      </c>
      <c r="E50">
        <v>19.892949000000002</v>
      </c>
      <c r="F50">
        <v>31.638584000000002</v>
      </c>
      <c r="G50">
        <v>28.928391000000001</v>
      </c>
      <c r="H50">
        <v>27.260959</v>
      </c>
      <c r="I50">
        <v>23.989615000000001</v>
      </c>
      <c r="J50">
        <v>57.021669000000003</v>
      </c>
      <c r="K50">
        <v>46.403118999999997</v>
      </c>
      <c r="L50">
        <v>305.53761400000002</v>
      </c>
      <c r="M50">
        <v>-622.48571500000003</v>
      </c>
      <c r="N50">
        <v>0.94396400000000003</v>
      </c>
      <c r="O50">
        <v>1.5883179999999999</v>
      </c>
      <c r="P50">
        <f t="shared" si="0"/>
        <v>1.5732733333333333E-5</v>
      </c>
      <c r="Q50" cm="1">
        <f t="array" ref="Q50">[1]!PropsSI("D","T",J50+273.15,"P",101325,"Water")</f>
        <v>984.70160917613862</v>
      </c>
      <c r="R50" cm="1">
        <f t="array" ref="R50">[1]!PropsSI("D","T",K50+273.15,"P",101325,"Water")</f>
        <v>989.61887021322593</v>
      </c>
      <c r="S50">
        <f t="shared" si="1"/>
        <v>987.16023969468233</v>
      </c>
      <c r="T50" cm="1">
        <f t="array" ref="T50">[1]!PropsSI("H","T",J50+273.15,"P",101325,"Water")</f>
        <v>238786.3885684124</v>
      </c>
      <c r="U50" cm="1">
        <f t="array" ref="U50">[1]!PropsSI("H","T",K50+273.15,"P",101325,"Water")</f>
        <v>194380.40108753898</v>
      </c>
      <c r="V50">
        <f t="shared" si="2"/>
        <v>689.65734903402222</v>
      </c>
      <c r="X50">
        <f t="shared" si="3"/>
        <v>0.26404333800000002</v>
      </c>
      <c r="Y50">
        <f t="shared" si="3"/>
        <v>0.24280623800000001</v>
      </c>
      <c r="Z50">
        <f t="shared" si="8"/>
        <v>0.35871123979308889</v>
      </c>
      <c r="AA50">
        <f t="shared" si="7"/>
        <v>10.618550000000006</v>
      </c>
      <c r="AB50">
        <f t="shared" si="5"/>
        <v>3.5230585453910397E-2</v>
      </c>
      <c r="AC50">
        <f t="shared" si="6"/>
        <v>24.297032169060429</v>
      </c>
    </row>
    <row r="51" spans="1:29" x14ac:dyDescent="0.2">
      <c r="A51">
        <v>46136.882657824077</v>
      </c>
      <c r="B51">
        <v>19.979949999999999</v>
      </c>
      <c r="C51">
        <v>19.632232999999999</v>
      </c>
      <c r="D51">
        <v>20.003919</v>
      </c>
      <c r="E51">
        <v>19.929224999999999</v>
      </c>
      <c r="F51">
        <v>31.753382999999999</v>
      </c>
      <c r="G51">
        <v>28.839471</v>
      </c>
      <c r="H51">
        <v>26.738603999999999</v>
      </c>
      <c r="I51">
        <v>23.660647000000001</v>
      </c>
      <c r="J51">
        <v>57.024853</v>
      </c>
      <c r="K51">
        <v>46.405500000000004</v>
      </c>
      <c r="L51">
        <v>267.63706300000001</v>
      </c>
      <c r="M51">
        <v>-622.51224400000001</v>
      </c>
      <c r="N51">
        <v>0.94504600000000005</v>
      </c>
      <c r="O51">
        <v>1.50132</v>
      </c>
      <c r="P51">
        <f t="shared" si="0"/>
        <v>1.5750766666666668E-5</v>
      </c>
      <c r="Q51" cm="1">
        <f t="array" ref="Q51">[1]!PropsSI("D","T",J51+273.15,"P",101325,"Water")</f>
        <v>984.70002792654748</v>
      </c>
      <c r="R51" cm="1">
        <f t="array" ref="R51">[1]!PropsSI("D","T",K51+273.15,"P",101325,"Water")</f>
        <v>989.61785066211064</v>
      </c>
      <c r="S51">
        <f t="shared" si="1"/>
        <v>987.158939294329</v>
      </c>
      <c r="T51" cm="1">
        <f t="array" ref="T51">[1]!PropsSI("H","T",J51+273.15,"P",101325,"Water")</f>
        <v>238799.70953105268</v>
      </c>
      <c r="U51" cm="1">
        <f t="array" ref="U51">[1]!PropsSI("H","T",K51+273.15,"P",101325,"Water")</f>
        <v>194390.354701993</v>
      </c>
      <c r="V51">
        <f t="shared" si="2"/>
        <v>690.49930279308342</v>
      </c>
      <c r="X51">
        <f t="shared" si="3"/>
        <v>0.264049706</v>
      </c>
      <c r="Y51">
        <f t="shared" si="3"/>
        <v>0.242811</v>
      </c>
      <c r="Z51">
        <f t="shared" si="8"/>
        <v>0.35871915053379355</v>
      </c>
      <c r="AA51">
        <f t="shared" si="7"/>
        <v>10.619352999999997</v>
      </c>
      <c r="AB51">
        <f t="shared" si="5"/>
        <v>3.5228850369316063E-2</v>
      </c>
      <c r="AC51">
        <f t="shared" si="6"/>
        <v>24.325496618214601</v>
      </c>
    </row>
    <row r="52" spans="1:29" x14ac:dyDescent="0.2">
      <c r="A52">
        <v>46136.882716273147</v>
      </c>
      <c r="B52">
        <v>20.063234000000001</v>
      </c>
      <c r="C52">
        <v>19.525144000000001</v>
      </c>
      <c r="D52">
        <v>20.049102000000001</v>
      </c>
      <c r="E52">
        <v>19.962458999999999</v>
      </c>
      <c r="F52">
        <v>31.623035000000002</v>
      </c>
      <c r="G52">
        <v>28.369519</v>
      </c>
      <c r="H52">
        <v>27.085160999999999</v>
      </c>
      <c r="I52">
        <v>24.389312</v>
      </c>
      <c r="J52">
        <v>57.019122000000003</v>
      </c>
      <c r="K52">
        <v>46.413592999999999</v>
      </c>
      <c r="L52">
        <v>282.804059</v>
      </c>
      <c r="M52">
        <v>-622.47836800000005</v>
      </c>
      <c r="N52">
        <v>0.94597600000000004</v>
      </c>
      <c r="O52">
        <v>1.5221100000000001</v>
      </c>
      <c r="P52">
        <f t="shared" si="0"/>
        <v>1.5766266666666668E-5</v>
      </c>
      <c r="Q52" cm="1">
        <f t="array" ref="Q52">[1]!PropsSI("D","T",J52+273.15,"P",101325,"Water")</f>
        <v>984.70287403208033</v>
      </c>
      <c r="R52" cm="1">
        <f t="array" ref="R52">[1]!PropsSI("D","T",K52+273.15,"P",101325,"Water")</f>
        <v>989.61438492571688</v>
      </c>
      <c r="S52">
        <f t="shared" si="1"/>
        <v>987.15862947889855</v>
      </c>
      <c r="T52" cm="1">
        <f t="array" ref="T52">[1]!PropsSI("H","T",J52+273.15,"P",101325,"Water")</f>
        <v>238775.73263795156</v>
      </c>
      <c r="U52" cm="1">
        <f t="array" ref="U52">[1]!PropsSI("H","T",K52+273.15,"P",101325,"Water")</f>
        <v>194424.18696743631</v>
      </c>
      <c r="V52">
        <f t="shared" si="2"/>
        <v>690.27886124975555</v>
      </c>
      <c r="X52">
        <f t="shared" si="3"/>
        <v>0.26403824399999998</v>
      </c>
      <c r="Y52">
        <f t="shared" si="3"/>
        <v>0.242827186</v>
      </c>
      <c r="Z52">
        <f t="shared" si="8"/>
        <v>0.35872167003859989</v>
      </c>
      <c r="AA52">
        <f t="shared" si="7"/>
        <v>10.605529000000004</v>
      </c>
      <c r="AB52">
        <f t="shared" si="5"/>
        <v>3.5271300177339864E-2</v>
      </c>
      <c r="AC52">
        <f t="shared" si="6"/>
        <v>24.347032921212463</v>
      </c>
    </row>
    <row r="53" spans="1:29" x14ac:dyDescent="0.2">
      <c r="A53">
        <v>46136.882774143516</v>
      </c>
      <c r="B53">
        <v>19.831623</v>
      </c>
      <c r="C53">
        <v>19.285802</v>
      </c>
      <c r="D53">
        <v>20.056084999999999</v>
      </c>
      <c r="E53">
        <v>19.924330999999999</v>
      </c>
      <c r="F53">
        <v>31.286428999999998</v>
      </c>
      <c r="G53">
        <v>27.721276</v>
      </c>
      <c r="H53">
        <v>27.766463999999999</v>
      </c>
      <c r="I53">
        <v>23.992362</v>
      </c>
      <c r="J53">
        <v>57.021827999999999</v>
      </c>
      <c r="K53">
        <v>46.418194999999997</v>
      </c>
      <c r="L53">
        <v>294.79651999999999</v>
      </c>
      <c r="M53">
        <v>-622.49183700000003</v>
      </c>
      <c r="N53">
        <v>0.942079</v>
      </c>
      <c r="O53">
        <v>1.662811</v>
      </c>
      <c r="P53">
        <f t="shared" si="0"/>
        <v>1.5701316666666668E-5</v>
      </c>
      <c r="Q53" cm="1">
        <f t="array" ref="Q53">[1]!PropsSI("D","T",J53+273.15,"P",101325,"Water")</f>
        <v>984.7015302144415</v>
      </c>
      <c r="R53" cm="1">
        <f t="array" ref="R53">[1]!PropsSI("D","T",K53+273.15,"P",101325,"Water")</f>
        <v>989.61241397087144</v>
      </c>
      <c r="S53">
        <f t="shared" si="1"/>
        <v>987.15697209265647</v>
      </c>
      <c r="T53" cm="1">
        <f t="array" ref="T53">[1]!PropsSI("H","T",J53+273.15,"P",101325,"Water")</f>
        <v>238787.05377971163</v>
      </c>
      <c r="U53" cm="1">
        <f t="array" ref="U53">[1]!PropsSI("H","T",K53+273.15,"P",101325,"Water")</f>
        <v>194443.42533857428</v>
      </c>
      <c r="V53">
        <f t="shared" si="2"/>
        <v>687.31135106909107</v>
      </c>
      <c r="X53">
        <f t="shared" si="3"/>
        <v>0.26404365600000002</v>
      </c>
      <c r="Y53">
        <f t="shared" si="3"/>
        <v>0.24283638999999999</v>
      </c>
      <c r="Z53">
        <f t="shared" si="8"/>
        <v>0.35873188397754452</v>
      </c>
      <c r="AA53">
        <f t="shared" si="7"/>
        <v>10.603633000000002</v>
      </c>
      <c r="AB53">
        <f t="shared" si="5"/>
        <v>3.5278023753817736E-2</v>
      </c>
      <c r="AC53">
        <f t="shared" si="6"/>
        <v>24.246986169283957</v>
      </c>
    </row>
    <row r="54" spans="1:29" x14ac:dyDescent="0.2">
      <c r="A54">
        <v>46136.882832592593</v>
      </c>
      <c r="B54">
        <v>19.965168999999999</v>
      </c>
      <c r="C54">
        <v>19.178816000000001</v>
      </c>
      <c r="D54">
        <v>20.028269999999999</v>
      </c>
      <c r="E54">
        <v>19.927361000000001</v>
      </c>
      <c r="F54">
        <v>31.757895999999999</v>
      </c>
      <c r="G54">
        <v>28.475152999999999</v>
      </c>
      <c r="H54">
        <v>27.743872</v>
      </c>
      <c r="I54">
        <v>24.255009999999999</v>
      </c>
      <c r="J54">
        <v>57.026764</v>
      </c>
      <c r="K54">
        <v>46.414228000000001</v>
      </c>
      <c r="L54">
        <v>284.89007700000002</v>
      </c>
      <c r="M54">
        <v>-622.46449199999995</v>
      </c>
      <c r="N54">
        <v>0.94447999999999999</v>
      </c>
      <c r="O54">
        <v>1.464709</v>
      </c>
      <c r="P54">
        <f t="shared" si="0"/>
        <v>1.5741333333333335E-5</v>
      </c>
      <c r="Q54" cm="1">
        <f t="array" ref="Q54">[1]!PropsSI("D","T",J54+273.15,"P",101325,"Water")</f>
        <v>984.69907884922054</v>
      </c>
      <c r="R54" cm="1">
        <f t="array" ref="R54">[1]!PropsSI("D","T",K54+273.15,"P",101325,"Water")</f>
        <v>989.61411297511597</v>
      </c>
      <c r="S54">
        <f t="shared" si="1"/>
        <v>987.15659591216831</v>
      </c>
      <c r="T54" cm="1">
        <f t="array" ref="T54">[1]!PropsSI("H","T",J54+273.15,"P",101325,"Water")</f>
        <v>238807.70462070932</v>
      </c>
      <c r="U54" cm="1">
        <f t="array" ref="U54">[1]!PropsSI("H","T",K54+273.15,"P",101325,"Water")</f>
        <v>194426.84154467867</v>
      </c>
      <c r="V54">
        <f t="shared" si="2"/>
        <v>689.64137792012343</v>
      </c>
      <c r="X54">
        <f t="shared" si="3"/>
        <v>0.26405352799999998</v>
      </c>
      <c r="Y54">
        <f t="shared" si="3"/>
        <v>0.242828456</v>
      </c>
      <c r="Z54">
        <f t="shared" si="8"/>
        <v>0.35873377969267228</v>
      </c>
      <c r="AA54">
        <f t="shared" si="7"/>
        <v>10.612535999999999</v>
      </c>
      <c r="AB54">
        <f t="shared" si="5"/>
        <v>3.525097875801541E-2</v>
      </c>
      <c r="AC54">
        <f t="shared" si="6"/>
        <v>24.310533563710749</v>
      </c>
    </row>
    <row r="55" spans="1:29" x14ac:dyDescent="0.2">
      <c r="A55">
        <v>46136.882890462963</v>
      </c>
      <c r="B55">
        <v>20.012889000000001</v>
      </c>
      <c r="C55">
        <v>19.461466000000001</v>
      </c>
      <c r="D55">
        <v>20.077893</v>
      </c>
      <c r="E55">
        <v>19.956949000000002</v>
      </c>
      <c r="F55">
        <v>31.938002999999998</v>
      </c>
      <c r="G55">
        <v>28.813178000000001</v>
      </c>
      <c r="H55">
        <v>26.607388</v>
      </c>
      <c r="I55">
        <v>23.338422999999999</v>
      </c>
      <c r="J55">
        <v>57.026922999999996</v>
      </c>
      <c r="K55">
        <v>46.399152000000001</v>
      </c>
      <c r="L55">
        <v>276.01501100000002</v>
      </c>
      <c r="M55">
        <v>-622.48408199999994</v>
      </c>
      <c r="N55">
        <v>0.943079</v>
      </c>
      <c r="O55">
        <v>1.396366</v>
      </c>
      <c r="P55">
        <f t="shared" si="0"/>
        <v>1.5717983333333334E-5</v>
      </c>
      <c r="Q55" cm="1">
        <f t="array" ref="Q55">[1]!PropsSI("D","T",J55+273.15,"P",101325,"Water")</f>
        <v>984.69899988260863</v>
      </c>
      <c r="R55" cm="1">
        <f t="array" ref="R55">[1]!PropsSI("D","T",K55+273.15,"P",101325,"Water")</f>
        <v>989.62056880795046</v>
      </c>
      <c r="S55">
        <f t="shared" si="1"/>
        <v>987.1597843452796</v>
      </c>
      <c r="T55" cm="1">
        <f t="array" ref="T55">[1]!PropsSI("H","T",J55+273.15,"P",101325,"Water")</f>
        <v>238808.36983233824</v>
      </c>
      <c r="U55" cm="1">
        <f t="array" ref="U55">[1]!PropsSI("H","T",K55+273.15,"P",101325,"Water")</f>
        <v>194363.81730685188</v>
      </c>
      <c r="V55">
        <f t="shared" si="2"/>
        <v>689.60883423289738</v>
      </c>
      <c r="X55">
        <f t="shared" si="3"/>
        <v>0.26405384599999998</v>
      </c>
      <c r="Y55">
        <f t="shared" si="3"/>
        <v>0.24279830399999999</v>
      </c>
      <c r="Z55">
        <f t="shared" si="8"/>
        <v>0.35871360444324957</v>
      </c>
      <c r="AA55">
        <f t="shared" si="7"/>
        <v>10.627770999999996</v>
      </c>
      <c r="AB55">
        <f t="shared" si="5"/>
        <v>3.52026952909626E-2</v>
      </c>
      <c r="AC55">
        <f t="shared" si="6"/>
        <v>24.276089661456624</v>
      </c>
    </row>
    <row r="56" spans="1:29" x14ac:dyDescent="0.2">
      <c r="A56">
        <v>46136.88294891204</v>
      </c>
      <c r="B56">
        <v>20.133310999999999</v>
      </c>
      <c r="C56">
        <v>19.337931999999999</v>
      </c>
      <c r="D56">
        <v>20.065874000000001</v>
      </c>
      <c r="E56">
        <v>19.952175</v>
      </c>
      <c r="F56">
        <v>31.780358</v>
      </c>
      <c r="G56">
        <v>28.922404</v>
      </c>
      <c r="H56">
        <v>26.826218999999998</v>
      </c>
      <c r="I56">
        <v>23.863689000000001</v>
      </c>
      <c r="J56">
        <v>57.042684999999999</v>
      </c>
      <c r="K56">
        <v>46.398834999999998</v>
      </c>
      <c r="L56">
        <v>282.85915799999998</v>
      </c>
      <c r="M56">
        <v>-622.48285799999996</v>
      </c>
      <c r="N56">
        <v>0.94244799999999995</v>
      </c>
      <c r="O56">
        <v>1.6242430000000001</v>
      </c>
      <c r="P56">
        <f t="shared" si="0"/>
        <v>1.5707466666666665E-5</v>
      </c>
      <c r="Q56" cm="1">
        <f t="array" ref="Q56">[1]!PropsSI("D","T",J56+273.15,"P",101325,"Water")</f>
        <v>984.69117099501398</v>
      </c>
      <c r="R56" cm="1">
        <f t="array" ref="R56">[1]!PropsSI("D","T",K56+273.15,"P",101325,"Water")</f>
        <v>989.62070453672959</v>
      </c>
      <c r="S56">
        <f t="shared" si="1"/>
        <v>987.15593776587184</v>
      </c>
      <c r="T56" cm="1">
        <f t="array" ref="T56">[1]!PropsSI("H","T",J56+273.15,"P",101325,"Water")</f>
        <v>238874.31368919412</v>
      </c>
      <c r="U56" cm="1">
        <f t="array" ref="U56">[1]!PropsSI("H","T",K56+273.15,"P",101325,"Water")</f>
        <v>194362.49210951937</v>
      </c>
      <c r="V56">
        <f t="shared" si="2"/>
        <v>690.18779702547022</v>
      </c>
      <c r="X56">
        <f t="shared" ref="X56:Y109" si="9">(0.15+0.002*ABS(J56))</f>
        <v>0.26408536999999999</v>
      </c>
      <c r="Y56">
        <f t="shared" si="9"/>
        <v>0.24279766999999999</v>
      </c>
      <c r="Z56">
        <f t="shared" si="8"/>
        <v>0.35873638121253582</v>
      </c>
      <c r="AA56">
        <f t="shared" si="7"/>
        <v>10.64385</v>
      </c>
      <c r="AB56">
        <f t="shared" si="5"/>
        <v>3.5155862513647274E-2</v>
      </c>
      <c r="AC56">
        <f t="shared" si="6"/>
        <v>24.264147300824522</v>
      </c>
    </row>
    <row r="57" spans="1:29" x14ac:dyDescent="0.2">
      <c r="A57">
        <v>46136.883006782409</v>
      </c>
      <c r="B57">
        <v>20.090551999999999</v>
      </c>
      <c r="C57">
        <v>19.457827999999999</v>
      </c>
      <c r="D57">
        <v>20.020233999999999</v>
      </c>
      <c r="E57">
        <v>19.922623999999999</v>
      </c>
      <c r="F57">
        <v>31.893449</v>
      </c>
      <c r="G57">
        <v>28.483905</v>
      </c>
      <c r="H57">
        <v>26.869558000000001</v>
      </c>
      <c r="I57">
        <v>23.982999</v>
      </c>
      <c r="J57">
        <v>57.041092999999996</v>
      </c>
      <c r="K57">
        <v>46.410418999999997</v>
      </c>
      <c r="L57">
        <v>299.35669899999999</v>
      </c>
      <c r="M57">
        <v>-622.52816199999995</v>
      </c>
      <c r="N57">
        <v>0.94297600000000004</v>
      </c>
      <c r="O57">
        <v>1.253873</v>
      </c>
      <c r="P57">
        <f t="shared" si="0"/>
        <v>1.5716266666666667E-5</v>
      </c>
      <c r="Q57" cm="1">
        <f t="array" ref="Q57">[1]!PropsSI("D","T",J57+273.15,"P",101325,"Water")</f>
        <v>984.69196180011591</v>
      </c>
      <c r="R57" cm="1">
        <f t="array" ref="R57">[1]!PropsSI("D","T",K57+273.15,"P",101325,"Water")</f>
        <v>989.61574420902832</v>
      </c>
      <c r="S57">
        <f t="shared" si="1"/>
        <v>987.15385300457206</v>
      </c>
      <c r="T57" cm="1">
        <f t="array" ref="T57">[1]!PropsSI("H","T",J57+273.15,"P",101325,"Water")</f>
        <v>238867.65319619112</v>
      </c>
      <c r="U57" cm="1">
        <f t="array" ref="U57">[1]!PropsSI("H","T",K57+273.15,"P",101325,"Water")</f>
        <v>194410.91826306071</v>
      </c>
      <c r="V57">
        <f t="shared" si="2"/>
        <v>689.71837677699102</v>
      </c>
      <c r="X57">
        <f t="shared" si="9"/>
        <v>0.264082186</v>
      </c>
      <c r="Y57">
        <f t="shared" si="9"/>
        <v>0.24282083799999998</v>
      </c>
      <c r="Z57">
        <f t="shared" si="8"/>
        <v>0.35874971822924245</v>
      </c>
      <c r="AA57">
        <f t="shared" si="7"/>
        <v>10.630673999999999</v>
      </c>
      <c r="AB57">
        <f t="shared" si="5"/>
        <v>3.5197115169794249E-2</v>
      </c>
      <c r="AC57">
        <f t="shared" si="6"/>
        <v>24.276097142143296</v>
      </c>
    </row>
    <row r="58" spans="1:29" x14ac:dyDescent="0.2">
      <c r="A58">
        <v>46136.883065231479</v>
      </c>
      <c r="B58">
        <v>19.378926</v>
      </c>
      <c r="C58">
        <v>18.840973000000002</v>
      </c>
      <c r="D58">
        <v>20.000757</v>
      </c>
      <c r="E58">
        <v>19.884730999999999</v>
      </c>
      <c r="F58">
        <v>31.483622</v>
      </c>
      <c r="G58">
        <v>29.414235000000001</v>
      </c>
      <c r="H58">
        <v>27.229220000000002</v>
      </c>
      <c r="I58">
        <v>23.902519999999999</v>
      </c>
      <c r="J58">
        <v>57.038863999999997</v>
      </c>
      <c r="K58">
        <v>46.406452000000002</v>
      </c>
      <c r="L58">
        <v>274.50243399999999</v>
      </c>
      <c r="M58">
        <v>-622.50653</v>
      </c>
      <c r="N58">
        <v>0.94120599999999999</v>
      </c>
      <c r="O58">
        <v>1.448888</v>
      </c>
      <c r="P58">
        <f t="shared" si="0"/>
        <v>1.5686766666666667E-5</v>
      </c>
      <c r="Q58" cm="1">
        <f t="array" ref="Q58">[1]!PropsSI("D","T",J58+273.15,"P",101325,"Water")</f>
        <v>984.69306900069978</v>
      </c>
      <c r="R58" cm="1">
        <f t="array" ref="R58">[1]!PropsSI("D","T",K58+273.15,"P",101325,"Water")</f>
        <v>989.61744300204953</v>
      </c>
      <c r="S58">
        <f t="shared" si="1"/>
        <v>987.15525600137471</v>
      </c>
      <c r="T58" cm="1">
        <f t="array" ref="T58">[1]!PropsSI("H","T",J58+273.15,"P",101325,"Water")</f>
        <v>238858.32767103749</v>
      </c>
      <c r="U58" cm="1">
        <f t="array" ref="U58">[1]!PropsSI("H","T",K58+273.15,"P",101325,"Water")</f>
        <v>194394.33447592153</v>
      </c>
      <c r="V58">
        <f t="shared" si="2"/>
        <v>688.5371250822659</v>
      </c>
      <c r="X58">
        <f t="shared" si="9"/>
        <v>0.26407772799999996</v>
      </c>
      <c r="Y58">
        <f t="shared" si="9"/>
        <v>0.242812904</v>
      </c>
      <c r="Z58">
        <f t="shared" si="8"/>
        <v>0.35874106647351539</v>
      </c>
      <c r="AA58">
        <f t="shared" si="7"/>
        <v>10.632411999999995</v>
      </c>
      <c r="AB58">
        <f t="shared" si="5"/>
        <v>3.5191046047038314E-2</v>
      </c>
      <c r="AC58">
        <f t="shared" si="6"/>
        <v>24.2303416738654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530E7-F7BC-1640-B69E-B6886BEFAD50}">
  <dimension ref="A1:AC64"/>
  <sheetViews>
    <sheetView topLeftCell="N1" workbookViewId="0">
      <selection activeCell="W4" sqref="W4"/>
    </sheetView>
  </sheetViews>
  <sheetFormatPr baseColWidth="10" defaultRowHeight="16" x14ac:dyDescent="0.2"/>
  <cols>
    <col min="1" max="1" width="12.33203125" style="4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23" max="23" width="33.83203125" customWidth="1"/>
    <col min="24" max="24" width="12.33203125" customWidth="1"/>
    <col min="25" max="25" width="12.83203125" customWidth="1"/>
    <col min="26" max="26" width="12" customWidth="1"/>
  </cols>
  <sheetData>
    <row r="1" spans="1:2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25</v>
      </c>
      <c r="U1" s="3" t="s">
        <v>26</v>
      </c>
      <c r="V1" s="3" t="s">
        <v>27</v>
      </c>
      <c r="W1" s="3" t="s">
        <v>28</v>
      </c>
      <c r="X1" s="3" t="s">
        <v>29</v>
      </c>
      <c r="Y1" s="3" t="s">
        <v>30</v>
      </c>
      <c r="Z1" s="3" t="s">
        <v>31</v>
      </c>
      <c r="AA1" s="3" t="s">
        <v>32</v>
      </c>
      <c r="AB1" s="3" t="s">
        <v>33</v>
      </c>
      <c r="AC1" s="3" t="s">
        <v>34</v>
      </c>
    </row>
    <row r="2" spans="1:29" x14ac:dyDescent="0.2">
      <c r="A2" s="4">
        <v>46136.884220324071</v>
      </c>
      <c r="B2">
        <v>18.206645000000002</v>
      </c>
      <c r="C2">
        <v>18.267852999999999</v>
      </c>
      <c r="D2">
        <v>19.726065999999999</v>
      </c>
      <c r="E2">
        <v>19.794629</v>
      </c>
      <c r="F2">
        <v>29.511407999999999</v>
      </c>
      <c r="G2">
        <v>27.337105000000001</v>
      </c>
      <c r="H2">
        <v>25.776411</v>
      </c>
      <c r="I2">
        <v>22.167570999999999</v>
      </c>
      <c r="J2">
        <v>57.011479999999999</v>
      </c>
      <c r="K2">
        <v>45.748596999999997</v>
      </c>
      <c r="L2">
        <v>390.98231600000003</v>
      </c>
      <c r="M2">
        <v>-622.47347100000002</v>
      </c>
      <c r="N2">
        <v>0.94456600000000002</v>
      </c>
      <c r="O2">
        <v>1.321898</v>
      </c>
      <c r="P2">
        <f t="shared" ref="P2:P65" si="0" xml:space="preserve"> N2*0.001/60</f>
        <v>1.5742766666666668E-5</v>
      </c>
      <c r="Q2" cm="1">
        <f t="array" ref="Q2">[1]!PropsSI("D","T",J2+273.15,"P",101325,"Water")</f>
        <v>984.70666885988021</v>
      </c>
      <c r="R2" cm="1">
        <f t="array" ref="R2">[1]!PropsSI("D","T",K2+273.15,"P",101325,"Water")</f>
        <v>989.8976622659618</v>
      </c>
      <c r="S2">
        <f t="shared" ref="S2:S65" si="1">(Q2+R2)/2</f>
        <v>987.302165562921</v>
      </c>
      <c r="T2" cm="1">
        <f t="array" ref="T2">[1]!PropsSI("H","T",J2+273.15,"P",101325,"Water")</f>
        <v>238743.76067800619</v>
      </c>
      <c r="U2" cm="1">
        <f t="array" ref="U2">[1]!PropsSI("H","T",K2+273.15,"P",101325,"Water")</f>
        <v>191644.26145330467</v>
      </c>
      <c r="V2">
        <f t="shared" ref="V2:V65" si="2">S2*P2*(T2-U2)</f>
        <v>732.06128150975564</v>
      </c>
      <c r="W2" s="3">
        <f>AVERAGE(V8:V64)</f>
        <v>749.33819923762246</v>
      </c>
      <c r="X2">
        <f>(0.15+0.002*ABS(J2))</f>
        <v>0.26402296000000003</v>
      </c>
      <c r="Y2">
        <f>(0.15+0.002*ABS(K2))</f>
        <v>0.24149719399999997</v>
      </c>
      <c r="Z2">
        <f>SQRT((X2)^2 + (Y2)^2)</f>
        <v>0.35781142815320366</v>
      </c>
      <c r="AA2">
        <f>J2-K2</f>
        <v>11.262883000000002</v>
      </c>
      <c r="AB2">
        <f>SQRT((0.01)^2 + (Z2/ABS(AA2))^2)</f>
        <v>3.3305771686922093E-2</v>
      </c>
      <c r="AC2">
        <f>ABS(V2*AB2)</f>
        <v>24.381865902799525</v>
      </c>
    </row>
    <row r="3" spans="1:29" x14ac:dyDescent="0.2">
      <c r="A3" s="4">
        <v>46136.884278773148</v>
      </c>
      <c r="B3">
        <v>17.928469</v>
      </c>
      <c r="C3">
        <v>18.069568</v>
      </c>
      <c r="D3">
        <v>19.65212</v>
      </c>
      <c r="E3">
        <v>19.700472000000001</v>
      </c>
      <c r="F3">
        <v>29.164088</v>
      </c>
      <c r="G3">
        <v>26.876003999999998</v>
      </c>
      <c r="H3">
        <v>25.863289999999999</v>
      </c>
      <c r="I3">
        <v>22.379068</v>
      </c>
      <c r="J3">
        <v>57.007021999999999</v>
      </c>
      <c r="K3">
        <v>45.685135000000002</v>
      </c>
      <c r="L3">
        <v>401.698106</v>
      </c>
      <c r="M3">
        <v>-622.47632799999997</v>
      </c>
      <c r="N3">
        <v>0.94543500000000003</v>
      </c>
      <c r="O3">
        <v>1.7136549999999999</v>
      </c>
      <c r="P3">
        <f t="shared" si="0"/>
        <v>1.5757249999999999E-5</v>
      </c>
      <c r="Q3" cm="1">
        <f t="array" ref="Q3">[1]!PropsSI("D","T",J3+273.15,"P",101325,"Water")</f>
        <v>984.70888242817307</v>
      </c>
      <c r="R3" cm="1">
        <f t="array" ref="R3">[1]!PropsSI("D","T",K3+273.15,"P",101325,"Water")</f>
        <v>989.92453684361919</v>
      </c>
      <c r="S3">
        <f t="shared" si="1"/>
        <v>987.31670963589613</v>
      </c>
      <c r="T3" cm="1">
        <f t="array" ref="T3">[1]!PropsSI("H","T",J3+273.15,"P",101325,"Water")</f>
        <v>238725.10968135286</v>
      </c>
      <c r="U3" cm="1">
        <f t="array" ref="U3">[1]!PropsSI("H","T",K3+273.15,"P",101325,"Water")</f>
        <v>191378.97209660889</v>
      </c>
      <c r="V3">
        <f t="shared" si="2"/>
        <v>736.58262203028346</v>
      </c>
      <c r="W3" s="3" t="s">
        <v>35</v>
      </c>
      <c r="X3">
        <f t="shared" ref="X3:Y55" si="3">(0.15+0.002*ABS(J3))</f>
        <v>0.264014044</v>
      </c>
      <c r="Y3">
        <f t="shared" si="3"/>
        <v>0.24137027</v>
      </c>
      <c r="Z3">
        <f t="shared" ref="Z3:Z55" si="4">SQRT((X3)^2 + (Y3)^2)</f>
        <v>0.35771919527627649</v>
      </c>
      <c r="AA3">
        <f>J3-K3</f>
        <v>11.321886999999997</v>
      </c>
      <c r="AB3">
        <f t="shared" ref="AB3:AB66" si="5">SQRT((0.01)^2 + (Z3/ABS(AA3))^2)</f>
        <v>3.3140116620259369E-2</v>
      </c>
      <c r="AC3">
        <f t="shared" ref="AC3:AC66" si="6">ABS(V3*AB3)</f>
        <v>24.410433994540021</v>
      </c>
    </row>
    <row r="4" spans="1:29" x14ac:dyDescent="0.2">
      <c r="A4" s="4">
        <v>46136.884336643518</v>
      </c>
      <c r="B4">
        <v>17.810925000000001</v>
      </c>
      <c r="C4">
        <v>18.558211</v>
      </c>
      <c r="D4">
        <v>19.884291999999999</v>
      </c>
      <c r="E4">
        <v>19.955133</v>
      </c>
      <c r="F4">
        <v>28.891245000000001</v>
      </c>
      <c r="G4">
        <v>27.244983999999999</v>
      </c>
      <c r="H4">
        <v>26.093468000000001</v>
      </c>
      <c r="I4">
        <v>23.145737</v>
      </c>
      <c r="J4">
        <v>57.000813000000001</v>
      </c>
      <c r="K4">
        <v>45.625006999999997</v>
      </c>
      <c r="L4">
        <v>418.22340100000002</v>
      </c>
      <c r="M4">
        <v>-622.50816299999997</v>
      </c>
      <c r="N4">
        <v>0.94807799999999998</v>
      </c>
      <c r="O4">
        <v>1.3098639999999999</v>
      </c>
      <c r="P4">
        <f t="shared" si="0"/>
        <v>1.5801300000000001E-5</v>
      </c>
      <c r="Q4" cm="1">
        <f t="array" ref="Q4">[1]!PropsSI("D","T",J4+273.15,"P",101325,"Water")</f>
        <v>984.71196523383355</v>
      </c>
      <c r="R4" cm="1">
        <f t="array" ref="R4">[1]!PropsSI("D","T",K4+273.15,"P",101325,"Water")</f>
        <v>989.94997388179331</v>
      </c>
      <c r="S4">
        <f t="shared" si="1"/>
        <v>987.33096955781343</v>
      </c>
      <c r="T4" cm="1">
        <f t="array" ref="T4">[1]!PropsSI("H","T",J4+273.15,"P",101325,"Water")</f>
        <v>238699.13301461202</v>
      </c>
      <c r="U4" cm="1">
        <f t="array" ref="U4">[1]!PropsSI("H","T",K4+273.15,"P",101325,"Water")</f>
        <v>191127.6205890163</v>
      </c>
      <c r="V4">
        <f t="shared" si="2"/>
        <v>742.16853376235326</v>
      </c>
      <c r="W4" s="3">
        <f>SQRT((AVERAGE(AC8:AC64))^2 + (_xlfn.STDEV.S(V8:V64)/SQRT(COUNT(V8:V64)))^2)</f>
        <v>24.379575338200105</v>
      </c>
      <c r="X4">
        <f t="shared" si="3"/>
        <v>0.26400162599999999</v>
      </c>
      <c r="Y4">
        <f t="shared" si="3"/>
        <v>0.24125001399999998</v>
      </c>
      <c r="Z4">
        <f t="shared" si="4"/>
        <v>0.3576288967430401</v>
      </c>
      <c r="AA4">
        <f t="shared" ref="AA4:AA67" si="7">J4-K4</f>
        <v>11.375806000000004</v>
      </c>
      <c r="AB4">
        <f t="shared" si="5"/>
        <v>3.2989808065872643E-2</v>
      </c>
      <c r="AC4">
        <f t="shared" si="6"/>
        <v>24.483997481350155</v>
      </c>
    </row>
    <row r="5" spans="1:29" x14ac:dyDescent="0.2">
      <c r="A5" s="4">
        <v>46136.884394513887</v>
      </c>
      <c r="B5">
        <v>17.715188999999999</v>
      </c>
      <c r="C5">
        <v>17.835560000000001</v>
      </c>
      <c r="D5">
        <v>19.782971</v>
      </c>
      <c r="E5">
        <v>19.831185000000001</v>
      </c>
      <c r="F5">
        <v>29.283501000000001</v>
      </c>
      <c r="G5">
        <v>27.372498</v>
      </c>
      <c r="H5">
        <v>25.770468999999999</v>
      </c>
      <c r="I5">
        <v>22.651966000000002</v>
      </c>
      <c r="J5">
        <v>56.993966999999998</v>
      </c>
      <c r="K5">
        <v>45.595657000000003</v>
      </c>
      <c r="L5">
        <v>414.81132700000001</v>
      </c>
      <c r="M5">
        <v>-622.51469299999997</v>
      </c>
      <c r="N5">
        <v>0.94389800000000001</v>
      </c>
      <c r="O5">
        <v>1.5589379999999999</v>
      </c>
      <c r="P5">
        <f t="shared" si="0"/>
        <v>1.5731633333333334E-5</v>
      </c>
      <c r="Q5" cm="1">
        <f t="array" ref="Q5">[1]!PropsSI("D","T",J5+273.15,"P",101325,"Water")</f>
        <v>984.71536404204301</v>
      </c>
      <c r="R5" cm="1">
        <f t="array" ref="R5">[1]!PropsSI("D","T",K5+273.15,"P",101325,"Water")</f>
        <v>989.9623812658009</v>
      </c>
      <c r="S5">
        <f t="shared" si="1"/>
        <v>987.33887265392195</v>
      </c>
      <c r="T5" cm="1">
        <f t="array" ref="T5">[1]!PropsSI("H","T",J5+273.15,"P",101325,"Water")</f>
        <v>238670.49134097641</v>
      </c>
      <c r="U5" cm="1">
        <f t="array" ref="U5">[1]!PropsSI("H","T",K5+273.15,"P",101325,"Water")</f>
        <v>191004.92982264899</v>
      </c>
      <c r="V5">
        <f t="shared" si="2"/>
        <v>740.3630997380169</v>
      </c>
      <c r="W5" s="3"/>
      <c r="X5">
        <f t="shared" si="3"/>
        <v>0.26398793399999998</v>
      </c>
      <c r="Y5">
        <f t="shared" si="3"/>
        <v>0.24119131399999999</v>
      </c>
      <c r="Z5">
        <f t="shared" si="4"/>
        <v>0.35757919297217916</v>
      </c>
      <c r="AA5">
        <f t="shared" si="7"/>
        <v>11.398309999999995</v>
      </c>
      <c r="AB5">
        <f t="shared" si="5"/>
        <v>3.29265107246157E-2</v>
      </c>
      <c r="AC5">
        <f t="shared" si="6"/>
        <v>24.377573543633538</v>
      </c>
    </row>
    <row r="6" spans="1:29" x14ac:dyDescent="0.2">
      <c r="A6" s="4">
        <v>46136.884452384256</v>
      </c>
      <c r="B6">
        <v>17.392163</v>
      </c>
      <c r="C6">
        <v>17.407988</v>
      </c>
      <c r="D6">
        <v>19.475391999999999</v>
      </c>
      <c r="E6">
        <v>19.471990000000002</v>
      </c>
      <c r="F6">
        <v>28.726438999999999</v>
      </c>
      <c r="G6">
        <v>27.096187</v>
      </c>
      <c r="H6">
        <v>25.335087000000001</v>
      </c>
      <c r="I6">
        <v>22.547491999999998</v>
      </c>
      <c r="J6">
        <v>56.991579000000002</v>
      </c>
      <c r="K6">
        <v>45.561388999999998</v>
      </c>
      <c r="L6">
        <v>391.62799799999999</v>
      </c>
      <c r="M6">
        <v>-622.49918400000001</v>
      </c>
      <c r="N6">
        <v>0.94447599999999998</v>
      </c>
      <c r="O6">
        <v>1.640598</v>
      </c>
      <c r="P6">
        <f t="shared" si="0"/>
        <v>1.5741266666666668E-5</v>
      </c>
      <c r="Q6" cm="1">
        <f t="array" ref="Q6">[1]!PropsSI("D","T",J6+273.15,"P",101325,"Water")</f>
        <v>984.7165495365042</v>
      </c>
      <c r="R6" cm="1">
        <f t="array" ref="R6">[1]!PropsSI("D","T",K6+273.15,"P",101325,"Water")</f>
        <v>989.97686013879058</v>
      </c>
      <c r="S6">
        <f t="shared" si="1"/>
        <v>987.34670483764739</v>
      </c>
      <c r="T6" cm="1">
        <f t="array" ref="T6">[1]!PropsSI("H","T",J6+273.15,"P",101325,"Water")</f>
        <v>238660.50064755301</v>
      </c>
      <c r="U6" cm="1">
        <f t="array" ref="U6">[1]!PropsSI("H","T",K6+273.15,"P",101325,"Water")</f>
        <v>190861.68073989436</v>
      </c>
      <c r="V6">
        <f t="shared" si="2"/>
        <v>742.8934544651828</v>
      </c>
      <c r="W6" s="3"/>
      <c r="X6">
        <f t="shared" si="3"/>
        <v>0.263983158</v>
      </c>
      <c r="Y6">
        <f t="shared" si="3"/>
        <v>0.24112277799999998</v>
      </c>
      <c r="Z6">
        <f t="shared" si="4"/>
        <v>0.35752944183394214</v>
      </c>
      <c r="AA6">
        <f t="shared" si="7"/>
        <v>11.430190000000003</v>
      </c>
      <c r="AB6">
        <f t="shared" si="5"/>
        <v>3.2839010759100472E-2</v>
      </c>
      <c r="AC6">
        <f t="shared" si="6"/>
        <v>24.395886144047456</v>
      </c>
    </row>
    <row r="7" spans="1:29" x14ac:dyDescent="0.2">
      <c r="A7" s="4">
        <v>46136.884510833333</v>
      </c>
      <c r="B7">
        <v>17.268148</v>
      </c>
      <c r="C7">
        <v>17.380621000000001</v>
      </c>
      <c r="D7">
        <v>19.536304999999999</v>
      </c>
      <c r="E7">
        <v>19.513949</v>
      </c>
      <c r="F7">
        <v>28.751532999999998</v>
      </c>
      <c r="G7">
        <v>25.993258999999998</v>
      </c>
      <c r="H7">
        <v>25.210788999999998</v>
      </c>
      <c r="I7">
        <v>22.707636000000001</v>
      </c>
      <c r="J7">
        <v>56.977727999999999</v>
      </c>
      <c r="K7">
        <v>45.495234000000004</v>
      </c>
      <c r="L7">
        <v>406.64193999999998</v>
      </c>
      <c r="M7">
        <v>-622.48571500000003</v>
      </c>
      <c r="N7">
        <v>0.94325499999999995</v>
      </c>
      <c r="O7">
        <v>1.9257359999999999</v>
      </c>
      <c r="P7">
        <f t="shared" si="0"/>
        <v>1.5720916666666667E-5</v>
      </c>
      <c r="Q7" cm="1">
        <f t="array" ref="Q7">[1]!PropsSI("D","T",J7+273.15,"P",101325,"Water")</f>
        <v>984.72342501808248</v>
      </c>
      <c r="R7" cm="1">
        <f t="array" ref="R7">[1]!PropsSI("D","T",K7+273.15,"P",101325,"Water")</f>
        <v>990.00478887648501</v>
      </c>
      <c r="S7">
        <f t="shared" si="1"/>
        <v>987.36410694728374</v>
      </c>
      <c r="T7" cm="1">
        <f t="array" ref="T7">[1]!PropsSI("H","T",J7+273.15,"P",101325,"Water")</f>
        <v>238602.55215953832</v>
      </c>
      <c r="U7" cm="1">
        <f t="array" ref="U7">[1]!PropsSI("H","T",K7+273.15,"P",101325,"Water")</f>
        <v>190585.1364516273</v>
      </c>
      <c r="V7">
        <f t="shared" si="2"/>
        <v>745.33923585916853</v>
      </c>
      <c r="W7" s="3"/>
      <c r="X7">
        <f t="shared" si="3"/>
        <v>0.26395545599999998</v>
      </c>
      <c r="Y7">
        <f t="shared" si="3"/>
        <v>0.24099046800000001</v>
      </c>
      <c r="Z7">
        <f t="shared" si="4"/>
        <v>0.35741976500891354</v>
      </c>
      <c r="AA7">
        <f t="shared" si="7"/>
        <v>11.482493999999996</v>
      </c>
      <c r="AB7">
        <f t="shared" si="5"/>
        <v>3.2694231303777993E-2</v>
      </c>
      <c r="AC7">
        <f t="shared" si="6"/>
        <v>24.368293376960796</v>
      </c>
    </row>
    <row r="8" spans="1:29" x14ac:dyDescent="0.2">
      <c r="A8" s="4">
        <v>46136.884569282411</v>
      </c>
      <c r="B8">
        <v>17.072558999999998</v>
      </c>
      <c r="C8">
        <v>17.078717000000001</v>
      </c>
      <c r="D8">
        <v>19.269507999999998</v>
      </c>
      <c r="E8">
        <v>19.225798999999999</v>
      </c>
      <c r="F8">
        <v>28.680776000000002</v>
      </c>
      <c r="G8">
        <v>26.861597</v>
      </c>
      <c r="H8">
        <v>25.243559000000001</v>
      </c>
      <c r="I8">
        <v>22.250389999999999</v>
      </c>
      <c r="J8">
        <v>56.969926999999998</v>
      </c>
      <c r="K8">
        <v>45.435268000000001</v>
      </c>
      <c r="L8">
        <v>403.15925700000003</v>
      </c>
      <c r="M8">
        <v>-622.50693799999999</v>
      </c>
      <c r="N8">
        <v>0.94525499999999996</v>
      </c>
      <c r="O8">
        <v>1.7405330000000001</v>
      </c>
      <c r="P8">
        <f t="shared" si="0"/>
        <v>1.5754249999999999E-5</v>
      </c>
      <c r="Q8" cm="1">
        <f t="array" ref="Q8">[1]!PropsSI("D","T",J8+273.15,"P",101325,"Water")</f>
        <v>984.72729683352986</v>
      </c>
      <c r="R8" cm="1">
        <f t="array" ref="R8">[1]!PropsSI("D","T",K8+273.15,"P",101325,"Water")</f>
        <v>990.03007860555238</v>
      </c>
      <c r="S8">
        <f t="shared" si="1"/>
        <v>987.37868771954118</v>
      </c>
      <c r="T8" cm="1">
        <f t="array" ref="T8">[1]!PropsSI("H","T",J8+273.15,"P",101325,"Water")</f>
        <v>238569.91511553782</v>
      </c>
      <c r="U8" cm="1">
        <f t="array" ref="U8">[1]!PropsSI("H","T",K8+273.15,"P",101325,"Water")</f>
        <v>190334.46449007551</v>
      </c>
      <c r="V8">
        <f t="shared" si="2"/>
        <v>750.32224434478826</v>
      </c>
      <c r="W8" s="3"/>
      <c r="X8">
        <f t="shared" si="3"/>
        <v>0.26393985399999997</v>
      </c>
      <c r="Y8">
        <f t="shared" si="3"/>
        <v>0.240870536</v>
      </c>
      <c r="Z8">
        <f>SQRT((X8)^2 + (Y8)^2)</f>
        <v>0.35732738719900631</v>
      </c>
      <c r="AA8">
        <f t="shared" si="7"/>
        <v>11.534658999999998</v>
      </c>
      <c r="AB8">
        <f t="shared" si="5"/>
        <v>3.2552612539594385E-2</v>
      </c>
      <c r="AC8">
        <f t="shared" si="6"/>
        <v>24.424949299994758</v>
      </c>
    </row>
    <row r="9" spans="1:29" x14ac:dyDescent="0.2">
      <c r="A9" s="4">
        <v>46136.884627731481</v>
      </c>
      <c r="B9">
        <v>17.040800999999998</v>
      </c>
      <c r="C9">
        <v>17.175709000000001</v>
      </c>
      <c r="D9">
        <v>19.159409</v>
      </c>
      <c r="E9">
        <v>19.017368000000001</v>
      </c>
      <c r="F9">
        <v>28.789987</v>
      </c>
      <c r="G9">
        <v>27.368642000000001</v>
      </c>
      <c r="H9">
        <v>25.33727</v>
      </c>
      <c r="I9">
        <v>22.160239000000001</v>
      </c>
      <c r="J9">
        <v>56.966583</v>
      </c>
      <c r="K9">
        <v>45.365785000000002</v>
      </c>
      <c r="L9">
        <v>411.742501</v>
      </c>
      <c r="M9">
        <v>-622.48653100000001</v>
      </c>
      <c r="N9">
        <v>0.94489400000000001</v>
      </c>
      <c r="O9">
        <v>1.620482</v>
      </c>
      <c r="P9">
        <f t="shared" si="0"/>
        <v>1.5748233333333333E-5</v>
      </c>
      <c r="Q9" cm="1">
        <f t="array" ref="Q9">[1]!PropsSI("D","T",J9+273.15,"P",101325,"Water")</f>
        <v>984.72895642416336</v>
      </c>
      <c r="R9" cm="1">
        <f t="array" ref="R9">[1]!PropsSI("D","T",K9+273.15,"P",101325,"Water")</f>
        <v>990.05935080763743</v>
      </c>
      <c r="S9">
        <f t="shared" si="1"/>
        <v>987.39415361590045</v>
      </c>
      <c r="T9" cm="1">
        <f t="array" ref="T9">[1]!PropsSI("H","T",J9+273.15,"P",101325,"Water")</f>
        <v>238555.92482992369</v>
      </c>
      <c r="U9" cm="1">
        <f t="array" ref="U9">[1]!PropsSI("H","T",K9+273.15,"P",101325,"Water")</f>
        <v>190044.01014826432</v>
      </c>
      <c r="V9">
        <f t="shared" si="2"/>
        <v>754.34637575747252</v>
      </c>
      <c r="W9" s="3"/>
      <c r="X9">
        <f t="shared" si="3"/>
        <v>0.263933166</v>
      </c>
      <c r="Y9">
        <f t="shared" si="3"/>
        <v>0.24073157000000001</v>
      </c>
      <c r="Z9">
        <f t="shared" ref="Z9:Z72" si="8">SQRT((X9)^2 + (Y9)^2)</f>
        <v>0.35722878510759526</v>
      </c>
      <c r="AA9">
        <f t="shared" si="7"/>
        <v>11.600797999999998</v>
      </c>
      <c r="AB9">
        <f t="shared" si="5"/>
        <v>3.237649736852765E-2</v>
      </c>
      <c r="AC9">
        <f t="shared" si="6"/>
        <v>24.42309344967018</v>
      </c>
    </row>
    <row r="10" spans="1:29" x14ac:dyDescent="0.2">
      <c r="A10" s="4">
        <v>46136.88468560185</v>
      </c>
      <c r="B10">
        <v>17.272518000000002</v>
      </c>
      <c r="C10">
        <v>17.531838</v>
      </c>
      <c r="D10">
        <v>19.378800999999999</v>
      </c>
      <c r="E10">
        <v>19.41357</v>
      </c>
      <c r="F10">
        <v>28.678425000000001</v>
      </c>
      <c r="G10">
        <v>26.875921999999999</v>
      </c>
      <c r="H10">
        <v>25.320494</v>
      </c>
      <c r="I10">
        <v>22.642907000000001</v>
      </c>
      <c r="J10">
        <v>56.958463999999999</v>
      </c>
      <c r="K10">
        <v>45.311214</v>
      </c>
      <c r="L10">
        <v>391.21822200000003</v>
      </c>
      <c r="M10">
        <v>-622.47755199999995</v>
      </c>
      <c r="N10">
        <v>0.94532000000000005</v>
      </c>
      <c r="O10">
        <v>1.681327</v>
      </c>
      <c r="P10">
        <f t="shared" si="0"/>
        <v>1.5755333333333335E-5</v>
      </c>
      <c r="Q10" cm="1">
        <f t="array" ref="Q10">[1]!PropsSI("D","T",J10+273.15,"P",101325,"Water")</f>
        <v>984.73298551199946</v>
      </c>
      <c r="R10" cm="1">
        <f t="array" ref="R10">[1]!PropsSI("D","T",K10+273.15,"P",101325,"Water")</f>
        <v>990.08231731427998</v>
      </c>
      <c r="S10">
        <f t="shared" si="1"/>
        <v>987.40765141313977</v>
      </c>
      <c r="T10" cm="1">
        <f t="array" ref="T10">[1]!PropsSI("H","T",J10+273.15,"P",101325,"Water")</f>
        <v>238521.95740518512</v>
      </c>
      <c r="U10" cm="1">
        <f t="array" ref="U10">[1]!PropsSI("H","T",K10+273.15,"P",101325,"Water")</f>
        <v>189815.89195633269</v>
      </c>
      <c r="V10">
        <f t="shared" si="2"/>
        <v>757.71717630958062</v>
      </c>
      <c r="X10">
        <f t="shared" si="3"/>
        <v>0.263916928</v>
      </c>
      <c r="Y10">
        <f t="shared" si="3"/>
        <v>0.240622428</v>
      </c>
      <c r="Z10">
        <f t="shared" si="8"/>
        <v>0.35714324540941883</v>
      </c>
      <c r="AA10">
        <f t="shared" si="7"/>
        <v>11.64725</v>
      </c>
      <c r="AB10">
        <f t="shared" si="5"/>
        <v>3.2252730463349928E-2</v>
      </c>
      <c r="AC10">
        <f t="shared" si="6"/>
        <v>24.438447854963499</v>
      </c>
    </row>
    <row r="11" spans="1:29" x14ac:dyDescent="0.2">
      <c r="A11" s="4">
        <v>46136.884743472219</v>
      </c>
      <c r="B11">
        <v>17.694364</v>
      </c>
      <c r="C11">
        <v>17.961127999999999</v>
      </c>
      <c r="D11">
        <v>19.366799</v>
      </c>
      <c r="E11">
        <v>19.626958999999999</v>
      </c>
      <c r="F11">
        <v>29.120251</v>
      </c>
      <c r="G11">
        <v>27.353721</v>
      </c>
      <c r="H11">
        <v>25.480160999999999</v>
      </c>
      <c r="I11">
        <v>21.897067</v>
      </c>
      <c r="J11">
        <v>56.960692999999999</v>
      </c>
      <c r="K11">
        <v>45.314863000000003</v>
      </c>
      <c r="L11">
        <v>404.49674099999999</v>
      </c>
      <c r="M11">
        <v>-622.50285699999995</v>
      </c>
      <c r="N11">
        <v>0.94383700000000004</v>
      </c>
      <c r="O11">
        <v>1.8544069999999999</v>
      </c>
      <c r="P11">
        <f t="shared" si="0"/>
        <v>1.5730616666666668E-5</v>
      </c>
      <c r="Q11" cm="1">
        <f t="array" ref="Q11">[1]!PropsSI("D","T",J11+273.15,"P",101325,"Water")</f>
        <v>984.73187940133869</v>
      </c>
      <c r="R11" cm="1">
        <f t="array" ref="R11">[1]!PropsSI("D","T",K11+273.15,"P",101325,"Water")</f>
        <v>990.08078225729435</v>
      </c>
      <c r="S11">
        <f t="shared" si="1"/>
        <v>987.40633082931652</v>
      </c>
      <c r="T11" cm="1">
        <f t="array" ref="T11">[1]!PropsSI("H","T",J11+273.15,"P",101325,"Water")</f>
        <v>238531.28286012384</v>
      </c>
      <c r="U11" cm="1">
        <f t="array" ref="U11">[1]!PropsSI("H","T",K11+273.15,"P",101325,"Water")</f>
        <v>189831.14552072695</v>
      </c>
      <c r="V11">
        <f t="shared" si="2"/>
        <v>756.43539382154302</v>
      </c>
      <c r="X11">
        <f t="shared" si="3"/>
        <v>0.26392138599999998</v>
      </c>
      <c r="Y11">
        <f t="shared" si="3"/>
        <v>0.24062972599999999</v>
      </c>
      <c r="Z11">
        <f t="shared" si="8"/>
        <v>0.35715145670008969</v>
      </c>
      <c r="AA11">
        <f t="shared" si="7"/>
        <v>11.645829999999997</v>
      </c>
      <c r="AB11">
        <f t="shared" si="5"/>
        <v>3.2256955420169917E-2</v>
      </c>
      <c r="AC11">
        <f t="shared" si="6"/>
        <v>24.400302776740187</v>
      </c>
    </row>
    <row r="12" spans="1:29" x14ac:dyDescent="0.2">
      <c r="A12" s="4">
        <v>46136.884801342596</v>
      </c>
      <c r="B12">
        <v>17.812885999999999</v>
      </c>
      <c r="C12">
        <v>18.33606</v>
      </c>
      <c r="D12">
        <v>19.507021000000002</v>
      </c>
      <c r="E12">
        <v>19.714611000000001</v>
      </c>
      <c r="F12">
        <v>29.280702999999999</v>
      </c>
      <c r="G12">
        <v>27.789598000000002</v>
      </c>
      <c r="H12">
        <v>25.638247</v>
      </c>
      <c r="I12">
        <v>22.119962999999998</v>
      </c>
      <c r="J12">
        <v>56.954165000000003</v>
      </c>
      <c r="K12">
        <v>45.339292999999998</v>
      </c>
      <c r="L12">
        <v>407.45292000000001</v>
      </c>
      <c r="M12">
        <v>-622.47959300000002</v>
      </c>
      <c r="N12">
        <v>0.94377100000000003</v>
      </c>
      <c r="O12">
        <v>1.4260520000000001</v>
      </c>
      <c r="P12">
        <f t="shared" si="0"/>
        <v>1.5729516666666666E-5</v>
      </c>
      <c r="Q12" cm="1">
        <f t="array" ref="Q12">[1]!PropsSI("D","T",J12+273.15,"P",101325,"Water")</f>
        <v>984.73511874639371</v>
      </c>
      <c r="R12" cm="1">
        <f t="array" ref="R12">[1]!PropsSI("D","T",K12+273.15,"P",101325,"Water")</f>
        <v>990.07050269331853</v>
      </c>
      <c r="S12">
        <f t="shared" si="1"/>
        <v>987.40281071985612</v>
      </c>
      <c r="T12" cm="1">
        <f t="array" ref="T12">[1]!PropsSI("H","T",J12+273.15,"P",101325,"Water")</f>
        <v>238503.97170820567</v>
      </c>
      <c r="U12" cm="1">
        <f t="array" ref="U12">[1]!PropsSI("H","T",K12+273.15,"P",101325,"Water")</f>
        <v>189933.26797326643</v>
      </c>
      <c r="V12">
        <f t="shared" si="2"/>
        <v>754.3695207394295</v>
      </c>
      <c r="X12">
        <f t="shared" si="3"/>
        <v>0.26390833000000002</v>
      </c>
      <c r="Y12">
        <f t="shared" si="3"/>
        <v>0.24067858599999997</v>
      </c>
      <c r="Z12">
        <f t="shared" si="8"/>
        <v>0.35717473091240409</v>
      </c>
      <c r="AA12">
        <f t="shared" si="7"/>
        <v>11.614872000000005</v>
      </c>
      <c r="AB12">
        <f t="shared" si="5"/>
        <v>3.2336584910581889E-2</v>
      </c>
      <c r="AC12">
        <f t="shared" si="6"/>
        <v>24.393734061345526</v>
      </c>
    </row>
    <row r="13" spans="1:29" x14ac:dyDescent="0.2">
      <c r="A13" s="4">
        <v>46136.884859791666</v>
      </c>
      <c r="B13">
        <v>17.566291</v>
      </c>
      <c r="C13">
        <v>17.986270000000001</v>
      </c>
      <c r="D13">
        <v>19.610385999999998</v>
      </c>
      <c r="E13">
        <v>19.731627</v>
      </c>
      <c r="F13">
        <v>28.960486</v>
      </c>
      <c r="G13">
        <v>26.587223999999999</v>
      </c>
      <c r="H13">
        <v>25.493238000000002</v>
      </c>
      <c r="I13">
        <v>22.360651000000001</v>
      </c>
      <c r="J13">
        <v>56.957507999999997</v>
      </c>
      <c r="K13">
        <v>45.387042000000001</v>
      </c>
      <c r="L13">
        <v>400.18226299999998</v>
      </c>
      <c r="M13">
        <v>-622.49510199999997</v>
      </c>
      <c r="N13">
        <v>0.943083</v>
      </c>
      <c r="O13">
        <v>1.3098639999999999</v>
      </c>
      <c r="P13">
        <f t="shared" si="0"/>
        <v>1.5718050000000001E-5</v>
      </c>
      <c r="Q13" cm="1">
        <f t="array" ref="Q13">[1]!PropsSI("D","T",J13+273.15,"P",101325,"Water")</f>
        <v>984.7334599046161</v>
      </c>
      <c r="R13" cm="1">
        <f t="array" ref="R13">[1]!PropsSI("D","T",K13+273.15,"P",101325,"Water")</f>
        <v>990.05039908976141</v>
      </c>
      <c r="S13">
        <f t="shared" si="1"/>
        <v>987.39192949718881</v>
      </c>
      <c r="T13" cm="1">
        <f t="array" ref="T13">[1]!PropsSI("H","T",J13+273.15,"P",101325,"Water")</f>
        <v>238517.95779388899</v>
      </c>
      <c r="U13" cm="1">
        <f t="array" ref="U13">[1]!PropsSI("H","T",K13+273.15,"P",101325,"Water")</f>
        <v>190132.86901626812</v>
      </c>
      <c r="V13">
        <f t="shared" si="2"/>
        <v>750.93056440565204</v>
      </c>
      <c r="X13">
        <f t="shared" si="3"/>
        <v>0.263915016</v>
      </c>
      <c r="Y13">
        <f t="shared" si="3"/>
        <v>0.240774084</v>
      </c>
      <c r="Z13">
        <f t="shared" si="8"/>
        <v>0.3572440275166533</v>
      </c>
      <c r="AA13">
        <f t="shared" si="7"/>
        <v>11.570465999999996</v>
      </c>
      <c r="AB13">
        <f t="shared" si="5"/>
        <v>3.2454538328883627E-2</v>
      </c>
      <c r="AC13">
        <f t="shared" si="6"/>
        <v>24.371104784833449</v>
      </c>
    </row>
    <row r="14" spans="1:29" x14ac:dyDescent="0.2">
      <c r="A14" s="4">
        <v>46136.884918240743</v>
      </c>
      <c r="B14">
        <v>17.571545</v>
      </c>
      <c r="C14">
        <v>17.864083000000001</v>
      </c>
      <c r="D14">
        <v>19.620318999999999</v>
      </c>
      <c r="E14">
        <v>19.707612999999998</v>
      </c>
      <c r="F14">
        <v>28.963809000000001</v>
      </c>
      <c r="G14">
        <v>27.509055</v>
      </c>
      <c r="H14">
        <v>25.891019</v>
      </c>
      <c r="I14">
        <v>22.177652999999999</v>
      </c>
      <c r="J14">
        <v>56.955120000000001</v>
      </c>
      <c r="K14">
        <v>45.397511999999999</v>
      </c>
      <c r="L14">
        <v>398.69825600000001</v>
      </c>
      <c r="M14">
        <v>-622.50244899999996</v>
      </c>
      <c r="N14">
        <v>0.94490700000000005</v>
      </c>
      <c r="O14">
        <v>1.89215</v>
      </c>
      <c r="P14">
        <f t="shared" si="0"/>
        <v>1.574845E-5</v>
      </c>
      <c r="Q14" cm="1">
        <f t="array" ref="Q14">[1]!PropsSI("D","T",J14+273.15,"P",101325,"Water")</f>
        <v>984.73464486943806</v>
      </c>
      <c r="R14" cm="1">
        <f t="array" ref="R14">[1]!PropsSI("D","T",K14+273.15,"P",101325,"Water")</f>
        <v>990.04598882613072</v>
      </c>
      <c r="S14">
        <f t="shared" si="1"/>
        <v>987.39031684778433</v>
      </c>
      <c r="T14" cm="1">
        <f t="array" ref="T14">[1]!PropsSI("H","T",J14+273.15,"P",101325,"Water")</f>
        <v>238507.96713454532</v>
      </c>
      <c r="U14" cm="1">
        <f t="array" ref="U14">[1]!PropsSI("H","T",K14+273.15,"P",101325,"Water")</f>
        <v>190176.63591952642</v>
      </c>
      <c r="V14">
        <f t="shared" si="2"/>
        <v>751.54577403556016</v>
      </c>
      <c r="X14">
        <f t="shared" si="3"/>
        <v>0.26391024000000002</v>
      </c>
      <c r="Y14">
        <f t="shared" si="3"/>
        <v>0.240795024</v>
      </c>
      <c r="Z14">
        <f t="shared" si="8"/>
        <v>0.35725461279039933</v>
      </c>
      <c r="AA14">
        <f t="shared" si="7"/>
        <v>11.557608000000002</v>
      </c>
      <c r="AB14">
        <f t="shared" si="5"/>
        <v>3.248808966770423E-2</v>
      </c>
      <c r="AC14">
        <f t="shared" si="6"/>
        <v>24.416286496251459</v>
      </c>
    </row>
    <row r="15" spans="1:29" x14ac:dyDescent="0.2">
      <c r="A15" s="4">
        <v>46136.884976111112</v>
      </c>
      <c r="B15">
        <v>17.209333999999998</v>
      </c>
      <c r="C15">
        <v>17.324182</v>
      </c>
      <c r="D15">
        <v>19.504722999999998</v>
      </c>
      <c r="E15">
        <v>19.516607</v>
      </c>
      <c r="F15">
        <v>28.844263999999999</v>
      </c>
      <c r="G15">
        <v>27.516777999999999</v>
      </c>
      <c r="H15">
        <v>25.609244</v>
      </c>
      <c r="I15">
        <v>22.440397000000001</v>
      </c>
      <c r="J15">
        <v>56.934583000000003</v>
      </c>
      <c r="K15">
        <v>45.400208999999997</v>
      </c>
      <c r="L15">
        <v>397.56892499999998</v>
      </c>
      <c r="M15">
        <v>-622.49265300000002</v>
      </c>
      <c r="N15">
        <v>0.94364000000000003</v>
      </c>
      <c r="O15">
        <v>1.7535069999999999</v>
      </c>
      <c r="P15">
        <f t="shared" si="0"/>
        <v>1.5727333333333334E-5</v>
      </c>
      <c r="Q15" cm="1">
        <f t="array" ref="Q15">[1]!PropsSI("D","T",J15+273.15,"P",101325,"Water")</f>
        <v>984.7448342335756</v>
      </c>
      <c r="R15" cm="1">
        <f t="array" ref="R15">[1]!PropsSI("D","T",K15+273.15,"P",101325,"Water")</f>
        <v>990.04485264940399</v>
      </c>
      <c r="S15">
        <f t="shared" si="1"/>
        <v>987.3948434414898</v>
      </c>
      <c r="T15" cm="1">
        <f t="array" ref="T15">[1]!PropsSI("H","T",J15+273.15,"P",101325,"Water")</f>
        <v>238422.0467197258</v>
      </c>
      <c r="U15" cm="1">
        <f t="array" ref="U15">[1]!PropsSI("H","T",K15+273.15,"P",101325,"Water")</f>
        <v>190187.90997644493</v>
      </c>
      <c r="V15">
        <f t="shared" si="2"/>
        <v>749.03214610377529</v>
      </c>
      <c r="X15">
        <f t="shared" si="3"/>
        <v>0.26386916599999999</v>
      </c>
      <c r="Y15">
        <f t="shared" si="3"/>
        <v>0.24080041799999999</v>
      </c>
      <c r="Z15">
        <f t="shared" si="8"/>
        <v>0.35722790774869517</v>
      </c>
      <c r="AA15">
        <f t="shared" si="7"/>
        <v>11.534374000000007</v>
      </c>
      <c r="AB15">
        <f t="shared" si="5"/>
        <v>3.2545133481107852E-2</v>
      </c>
      <c r="AC15">
        <f t="shared" si="6"/>
        <v>24.377351176588046</v>
      </c>
    </row>
    <row r="16" spans="1:29" x14ac:dyDescent="0.2">
      <c r="A16" s="4">
        <v>46136.885034560182</v>
      </c>
      <c r="B16">
        <v>17.326979000000001</v>
      </c>
      <c r="C16">
        <v>17.394870000000001</v>
      </c>
      <c r="D16">
        <v>19.463352</v>
      </c>
      <c r="E16">
        <v>19.572220999999999</v>
      </c>
      <c r="F16">
        <v>28.749493000000001</v>
      </c>
      <c r="G16">
        <v>26.984238000000001</v>
      </c>
      <c r="H16">
        <v>25.636754</v>
      </c>
      <c r="I16">
        <v>22.063468</v>
      </c>
      <c r="J16">
        <v>56.927258999999999</v>
      </c>
      <c r="K16">
        <v>45.363563999999997</v>
      </c>
      <c r="L16">
        <v>404.66367200000002</v>
      </c>
      <c r="M16">
        <v>-622.47387900000001</v>
      </c>
      <c r="N16">
        <v>0.94463200000000003</v>
      </c>
      <c r="O16">
        <v>1.4278059999999999</v>
      </c>
      <c r="P16">
        <f t="shared" si="0"/>
        <v>1.5743866666666667E-5</v>
      </c>
      <c r="Q16" cm="1">
        <f t="array" ref="Q16">[1]!PropsSI("D","T",J16+273.15,"P",101325,"Water")</f>
        <v>984.74846739089583</v>
      </c>
      <c r="R16" cm="1">
        <f t="array" ref="R16">[1]!PropsSI("D","T",K16+273.15,"P",101325,"Water")</f>
        <v>990.06028593117321</v>
      </c>
      <c r="S16">
        <f t="shared" si="1"/>
        <v>987.40437666103458</v>
      </c>
      <c r="T16" cm="1">
        <f t="array" ref="T16">[1]!PropsSI("H","T",J16+273.15,"P",101325,"Water")</f>
        <v>238391.40542357726</v>
      </c>
      <c r="U16" cm="1">
        <f t="array" ref="U16">[1]!PropsSI("H","T",K16+273.15,"P",101325,"Water")</f>
        <v>190034.72589204632</v>
      </c>
      <c r="V16">
        <f t="shared" si="2"/>
        <v>751.73180098277294</v>
      </c>
      <c r="X16">
        <f t="shared" si="3"/>
        <v>0.26385451799999998</v>
      </c>
      <c r="Y16">
        <f t="shared" si="3"/>
        <v>0.24072712799999998</v>
      </c>
      <c r="Z16">
        <f t="shared" si="8"/>
        <v>0.35716768726207682</v>
      </c>
      <c r="AA16">
        <f t="shared" si="7"/>
        <v>11.563695000000003</v>
      </c>
      <c r="AB16">
        <f t="shared" si="5"/>
        <v>3.2465457230507408E-2</v>
      </c>
      <c r="AC16">
        <f t="shared" si="6"/>
        <v>24.405316633618522</v>
      </c>
    </row>
    <row r="17" spans="1:29" x14ac:dyDescent="0.2">
      <c r="A17" s="4">
        <v>46136.885092430559</v>
      </c>
      <c r="B17">
        <v>17.654831999999999</v>
      </c>
      <c r="C17">
        <v>17.813347</v>
      </c>
      <c r="D17">
        <v>19.397321999999999</v>
      </c>
      <c r="E17">
        <v>19.761386999999999</v>
      </c>
      <c r="F17">
        <v>29.036142000000002</v>
      </c>
      <c r="G17">
        <v>27.426887000000001</v>
      </c>
      <c r="H17">
        <v>25.770078999999999</v>
      </c>
      <c r="I17">
        <v>22.355535</v>
      </c>
      <c r="J17">
        <v>56.928533000000002</v>
      </c>
      <c r="K17">
        <v>45.332154000000003</v>
      </c>
      <c r="L17">
        <v>411.149877</v>
      </c>
      <c r="M17">
        <v>-622.48775599999999</v>
      </c>
      <c r="N17">
        <v>0.94527499999999998</v>
      </c>
      <c r="O17">
        <v>1.6003780000000001</v>
      </c>
      <c r="P17">
        <f t="shared" si="0"/>
        <v>1.5754583333333333E-5</v>
      </c>
      <c r="Q17" cm="1">
        <f t="array" ref="Q17">[1]!PropsSI("D","T",J17+273.15,"P",101325,"Water")</f>
        <v>984.74783543151273</v>
      </c>
      <c r="R17" cm="1">
        <f t="array" ref="R17">[1]!PropsSI("D","T",K17+273.15,"P",101325,"Water")</f>
        <v>990.07350704344037</v>
      </c>
      <c r="S17">
        <f t="shared" si="1"/>
        <v>987.41067123747655</v>
      </c>
      <c r="T17" cm="1">
        <f t="array" ref="T17">[1]!PropsSI("H","T",J17+273.15,"P",101325,"Water")</f>
        <v>238396.73543454587</v>
      </c>
      <c r="U17" cm="1">
        <f t="array" ref="U17">[1]!PropsSI("H","T",K17+273.15,"P",101325,"Water")</f>
        <v>189903.42546432183</v>
      </c>
      <c r="V17">
        <f t="shared" si="2"/>
        <v>754.37374792173784</v>
      </c>
      <c r="X17">
        <f t="shared" si="3"/>
        <v>0.26385706600000003</v>
      </c>
      <c r="Y17">
        <f t="shared" si="3"/>
        <v>0.24066430799999999</v>
      </c>
      <c r="Z17">
        <f t="shared" si="8"/>
        <v>0.35712723282220754</v>
      </c>
      <c r="AA17">
        <f t="shared" si="7"/>
        <v>11.596378999999999</v>
      </c>
      <c r="AB17">
        <f t="shared" si="5"/>
        <v>3.2379328955939694E-2</v>
      </c>
      <c r="AC17">
        <f t="shared" si="6"/>
        <v>24.426115739683077</v>
      </c>
    </row>
    <row r="18" spans="1:29" x14ac:dyDescent="0.2">
      <c r="A18" s="4">
        <v>46136.885150879629</v>
      </c>
      <c r="B18">
        <v>17.634912</v>
      </c>
      <c r="C18">
        <v>18.009285999999999</v>
      </c>
      <c r="D18">
        <v>19.528589</v>
      </c>
      <c r="E18">
        <v>19.81324</v>
      </c>
      <c r="F18">
        <v>28.992101999999999</v>
      </c>
      <c r="G18">
        <v>26.280670000000001</v>
      </c>
      <c r="H18">
        <v>25.616288000000001</v>
      </c>
      <c r="I18">
        <v>22.036508999999999</v>
      </c>
      <c r="J18">
        <v>56.917707</v>
      </c>
      <c r="K18">
        <v>45.333423000000003</v>
      </c>
      <c r="L18">
        <v>391.51086099999998</v>
      </c>
      <c r="M18">
        <v>-622.49877600000002</v>
      </c>
      <c r="N18">
        <v>0.94436600000000004</v>
      </c>
      <c r="O18">
        <v>1.4916879999999999</v>
      </c>
      <c r="P18">
        <f t="shared" si="0"/>
        <v>1.5739433333333334E-5</v>
      </c>
      <c r="Q18" cm="1">
        <f t="array" ref="Q18">[1]!PropsSI("D","T",J18+273.15,"P",101325,"Water")</f>
        <v>984.75320528357588</v>
      </c>
      <c r="R18" cm="1">
        <f t="array" ref="R18">[1]!PropsSI("D","T",K18+273.15,"P",101325,"Water")</f>
        <v>990.07297302804898</v>
      </c>
      <c r="S18">
        <f t="shared" si="1"/>
        <v>987.41308915581249</v>
      </c>
      <c r="T18" cm="1">
        <f t="array" ref="T18">[1]!PropsSI("H","T",J18+273.15,"P",101325,"Water")</f>
        <v>238351.44291268988</v>
      </c>
      <c r="U18" cm="1">
        <f t="array" ref="U18">[1]!PropsSI("H","T",K18+273.15,"P",101325,"Water")</f>
        <v>189908.73014821779</v>
      </c>
      <c r="V18">
        <f t="shared" si="2"/>
        <v>752.86382132573317</v>
      </c>
      <c r="X18">
        <f t="shared" si="3"/>
        <v>0.26383541399999999</v>
      </c>
      <c r="Y18">
        <f t="shared" si="3"/>
        <v>0.24066684599999999</v>
      </c>
      <c r="Z18">
        <f t="shared" si="8"/>
        <v>0.35711294634070478</v>
      </c>
      <c r="AA18">
        <f t="shared" si="7"/>
        <v>11.584283999999997</v>
      </c>
      <c r="AB18">
        <f t="shared" si="5"/>
        <v>3.2408739675347617E-2</v>
      </c>
      <c r="AC18">
        <f t="shared" si="6"/>
        <v>24.399367596333107</v>
      </c>
    </row>
    <row r="19" spans="1:29" x14ac:dyDescent="0.2">
      <c r="A19" s="4">
        <v>46136.885209328706</v>
      </c>
      <c r="B19">
        <v>17.4786</v>
      </c>
      <c r="C19">
        <v>17.714658</v>
      </c>
      <c r="D19">
        <v>19.505879</v>
      </c>
      <c r="E19">
        <v>19.786369000000001</v>
      </c>
      <c r="F19">
        <v>29.026916</v>
      </c>
      <c r="G19">
        <v>27.192851999999998</v>
      </c>
      <c r="H19">
        <v>25.761994000000001</v>
      </c>
      <c r="I19">
        <v>21.866678</v>
      </c>
      <c r="J19">
        <v>56.910702000000001</v>
      </c>
      <c r="K19">
        <v>45.348968999999997</v>
      </c>
      <c r="L19">
        <v>376.07775600000002</v>
      </c>
      <c r="M19">
        <v>-622.49347</v>
      </c>
      <c r="N19">
        <v>0.94403000000000004</v>
      </c>
      <c r="O19">
        <v>1.546662</v>
      </c>
      <c r="P19">
        <f t="shared" si="0"/>
        <v>1.5733833333333335E-5</v>
      </c>
      <c r="Q19" cm="1">
        <f t="array" ref="Q19">[1]!PropsSI("D","T",J19+273.15,"P",101325,"Water")</f>
        <v>984.75667948443026</v>
      </c>
      <c r="R19" cm="1">
        <f t="array" ref="R19">[1]!PropsSI("D","T",K19+273.15,"P",101325,"Water")</f>
        <v>990.06643011702783</v>
      </c>
      <c r="S19">
        <f t="shared" si="1"/>
        <v>987.41155480072905</v>
      </c>
      <c r="T19" cm="1">
        <f t="array" ref="T19">[1]!PropsSI("H","T",J19+273.15,"P",101325,"Water")</f>
        <v>238322.13625720909</v>
      </c>
      <c r="U19" cm="1">
        <f t="array" ref="U19">[1]!PropsSI("H","T",K19+273.15,"P",101325,"Water")</f>
        <v>189973.71568768963</v>
      </c>
      <c r="V19">
        <f t="shared" si="2"/>
        <v>751.1298854881145</v>
      </c>
      <c r="X19">
        <f t="shared" si="3"/>
        <v>0.26382140399999998</v>
      </c>
      <c r="Y19">
        <f t="shared" si="3"/>
        <v>0.240697938</v>
      </c>
      <c r="Z19">
        <f t="shared" si="8"/>
        <v>0.35712355084197828</v>
      </c>
      <c r="AA19">
        <f t="shared" si="7"/>
        <v>11.561733000000004</v>
      </c>
      <c r="AB19">
        <f t="shared" si="5"/>
        <v>3.2466811993540491E-2</v>
      </c>
      <c r="AC19">
        <f t="shared" si="6"/>
        <v>24.386792774872212</v>
      </c>
    </row>
    <row r="20" spans="1:29" x14ac:dyDescent="0.2">
      <c r="A20" s="4">
        <v>46136.885267777776</v>
      </c>
      <c r="B20">
        <v>17.655633999999999</v>
      </c>
      <c r="C20">
        <v>17.827673999999998</v>
      </c>
      <c r="D20">
        <v>19.478778999999999</v>
      </c>
      <c r="E20">
        <v>19.828365999999999</v>
      </c>
      <c r="F20">
        <v>28.677242</v>
      </c>
      <c r="G20">
        <v>27.304874000000002</v>
      </c>
      <c r="H20">
        <v>25.343601</v>
      </c>
      <c r="I20">
        <v>22.160387</v>
      </c>
      <c r="J20">
        <v>56.903219999999997</v>
      </c>
      <c r="K20">
        <v>45.341672000000003</v>
      </c>
      <c r="L20">
        <v>410.52664299999998</v>
      </c>
      <c r="M20">
        <v>-622.468165</v>
      </c>
      <c r="N20">
        <v>0.94362400000000002</v>
      </c>
      <c r="O20">
        <v>1.6416280000000001</v>
      </c>
      <c r="P20">
        <f t="shared" si="0"/>
        <v>1.5727066666666667E-5</v>
      </c>
      <c r="Q20" cm="1">
        <f t="array" ref="Q20">[1]!PropsSI("D","T",J20+273.15,"P",101325,"Water")</f>
        <v>984.76038992838005</v>
      </c>
      <c r="R20" cm="1">
        <f t="array" ref="R20">[1]!PropsSI("D","T",K20+273.15,"P",101325,"Water")</f>
        <v>990.06950144527104</v>
      </c>
      <c r="S20">
        <f t="shared" si="1"/>
        <v>987.4149456868256</v>
      </c>
      <c r="T20" cm="1">
        <f t="array" ref="T20">[1]!PropsSI("H","T",J20+273.15,"P",101325,"Water")</f>
        <v>238290.83400916416</v>
      </c>
      <c r="U20" cm="1">
        <f t="array" ref="U20">[1]!PropsSI("H","T",K20+273.15,"P",101325,"Water")</f>
        <v>189943.21269162316</v>
      </c>
      <c r="V20">
        <f t="shared" si="2"/>
        <v>750.7970129099607</v>
      </c>
      <c r="X20">
        <f t="shared" si="3"/>
        <v>0.26380643999999998</v>
      </c>
      <c r="Y20">
        <f t="shared" si="3"/>
        <v>0.24068334400000002</v>
      </c>
      <c r="Z20">
        <f t="shared" si="8"/>
        <v>0.3571026601196019</v>
      </c>
      <c r="AA20">
        <f t="shared" si="7"/>
        <v>11.561547999999995</v>
      </c>
      <c r="AB20">
        <f t="shared" si="5"/>
        <v>3.2465563153389741E-2</v>
      </c>
      <c r="AC20">
        <f t="shared" si="6"/>
        <v>24.375047838004701</v>
      </c>
    </row>
    <row r="21" spans="1:29" x14ac:dyDescent="0.2">
      <c r="A21" s="4">
        <v>46136.885325648145</v>
      </c>
      <c r="B21">
        <v>17.622558999999999</v>
      </c>
      <c r="C21">
        <v>18.010484000000002</v>
      </c>
      <c r="D21">
        <v>19.433374000000001</v>
      </c>
      <c r="E21">
        <v>19.838991</v>
      </c>
      <c r="F21">
        <v>29.060103000000002</v>
      </c>
      <c r="G21">
        <v>27.608699000000001</v>
      </c>
      <c r="H21">
        <v>25.682960999999999</v>
      </c>
      <c r="I21">
        <v>22.432265000000001</v>
      </c>
      <c r="J21">
        <v>56.901468000000001</v>
      </c>
      <c r="K21">
        <v>45.343733999999998</v>
      </c>
      <c r="L21">
        <v>391.66677099999998</v>
      </c>
      <c r="M21">
        <v>-622.48775599999999</v>
      </c>
      <c r="N21">
        <v>0.94393499999999997</v>
      </c>
      <c r="O21">
        <v>1.6206210000000001</v>
      </c>
      <c r="P21">
        <f t="shared" si="0"/>
        <v>1.5732250000000002E-5</v>
      </c>
      <c r="Q21" cm="1">
        <f t="array" ref="Q21">[1]!PropsSI("D","T",J21+273.15,"P",101325,"Water")</f>
        <v>984.76125872405885</v>
      </c>
      <c r="R21" cm="1">
        <f t="array" ref="R21">[1]!PropsSI("D","T",K21+273.15,"P",101325,"Water")</f>
        <v>990.06863358101691</v>
      </c>
      <c r="S21">
        <f t="shared" si="1"/>
        <v>987.41494615253782</v>
      </c>
      <c r="T21" cm="1">
        <f t="array" ref="T21">[1]!PropsSI("H","T",J21+273.15,"P",101325,"Water")</f>
        <v>238283.50421569281</v>
      </c>
      <c r="U21" cm="1">
        <f t="array" ref="U21">[1]!PropsSI("H","T",K21+273.15,"P",101325,"Water")</f>
        <v>189951.83228465624</v>
      </c>
      <c r="V21">
        <f t="shared" si="2"/>
        <v>750.7966993661729</v>
      </c>
      <c r="X21">
        <f t="shared" si="3"/>
        <v>0.26380293599999999</v>
      </c>
      <c r="Y21">
        <f t="shared" si="3"/>
        <v>0.24068746799999999</v>
      </c>
      <c r="Z21">
        <f t="shared" si="8"/>
        <v>0.3571028511430161</v>
      </c>
      <c r="AA21">
        <f t="shared" si="7"/>
        <v>11.557734000000004</v>
      </c>
      <c r="AB21">
        <f t="shared" si="5"/>
        <v>3.2475276071237534E-2</v>
      </c>
      <c r="AC21">
        <f t="shared" si="6"/>
        <v>24.382330085290395</v>
      </c>
    </row>
    <row r="22" spans="1:29" x14ac:dyDescent="0.2">
      <c r="A22" s="4">
        <v>46136.885384097222</v>
      </c>
      <c r="B22">
        <v>17.538301000000001</v>
      </c>
      <c r="C22">
        <v>17.947645000000001</v>
      </c>
      <c r="D22">
        <v>19.580012</v>
      </c>
      <c r="E22">
        <v>19.800815</v>
      </c>
      <c r="F22">
        <v>29.002846999999999</v>
      </c>
      <c r="G22">
        <v>26.912676000000001</v>
      </c>
      <c r="H22">
        <v>25.697824000000001</v>
      </c>
      <c r="I22">
        <v>22.310245999999999</v>
      </c>
      <c r="J22">
        <v>56.902901</v>
      </c>
      <c r="K22">
        <v>45.329932999999997</v>
      </c>
      <c r="L22">
        <v>412.98488800000001</v>
      </c>
      <c r="M22">
        <v>-622.52408000000003</v>
      </c>
      <c r="N22">
        <v>0.94347999999999999</v>
      </c>
      <c r="O22">
        <v>1.3731869999999999</v>
      </c>
      <c r="P22">
        <f t="shared" si="0"/>
        <v>1.5724666666666665E-5</v>
      </c>
      <c r="Q22" cm="1">
        <f t="array" ref="Q22">[1]!PropsSI("D","T",J22+273.15,"P",101325,"Water")</f>
        <v>984.76054811804443</v>
      </c>
      <c r="R22" cm="1">
        <f t="array" ref="R22">[1]!PropsSI("D","T",K22+273.15,"P",101325,"Water")</f>
        <v>990.07444164862716</v>
      </c>
      <c r="S22">
        <f t="shared" si="1"/>
        <v>987.41749488333585</v>
      </c>
      <c r="T22" cm="1">
        <f t="array" ref="T22">[1]!PropsSI("H","T",J22+273.15,"P",101325,"Water")</f>
        <v>238289.49941768614</v>
      </c>
      <c r="U22" cm="1">
        <f t="array" ref="U22">[1]!PropsSI("H","T",K22+273.15,"P",101325,"Water")</f>
        <v>189894.14122318951</v>
      </c>
      <c r="V22">
        <f t="shared" si="2"/>
        <v>751.42557840857341</v>
      </c>
      <c r="X22">
        <f t="shared" si="3"/>
        <v>0.26380580199999998</v>
      </c>
      <c r="Y22">
        <f t="shared" si="3"/>
        <v>0.240659866</v>
      </c>
      <c r="Z22">
        <f t="shared" si="8"/>
        <v>0.35708636528436805</v>
      </c>
      <c r="AA22">
        <f t="shared" si="7"/>
        <v>11.572968000000003</v>
      </c>
      <c r="AB22">
        <f t="shared" si="5"/>
        <v>3.243522811978148E-2</v>
      </c>
      <c r="AC22">
        <f t="shared" si="6"/>
        <v>24.372660050720825</v>
      </c>
    </row>
    <row r="23" spans="1:29" x14ac:dyDescent="0.2">
      <c r="A23" s="4">
        <v>46136.8854425463</v>
      </c>
      <c r="B23">
        <v>17.450140999999999</v>
      </c>
      <c r="C23">
        <v>17.560797999999998</v>
      </c>
      <c r="D23">
        <v>19.533162999999998</v>
      </c>
      <c r="E23">
        <v>19.728231999999998</v>
      </c>
      <c r="F23">
        <v>28.826604</v>
      </c>
      <c r="G23">
        <v>26.81521</v>
      </c>
      <c r="H23">
        <v>25.564312000000001</v>
      </c>
      <c r="I23">
        <v>21.878107</v>
      </c>
      <c r="J23">
        <v>56.896692000000002</v>
      </c>
      <c r="K23">
        <v>45.343259000000003</v>
      </c>
      <c r="L23">
        <v>402.55887899999999</v>
      </c>
      <c r="M23">
        <v>-622.48285799999996</v>
      </c>
      <c r="N23">
        <v>0.94181700000000002</v>
      </c>
      <c r="O23">
        <v>1.653103</v>
      </c>
      <c r="P23">
        <f t="shared" si="0"/>
        <v>1.5696950000000002E-5</v>
      </c>
      <c r="Q23" cm="1">
        <f t="array" ref="Q23">[1]!PropsSI("D","T",J23+273.15,"P",101325,"Water")</f>
        <v>984.7636269900355</v>
      </c>
      <c r="R23" cm="1">
        <f t="array" ref="R23">[1]!PropsSI("D","T",K23+273.15,"P",101325,"Water")</f>
        <v>990.06883350384123</v>
      </c>
      <c r="S23">
        <f t="shared" si="1"/>
        <v>987.41623024693831</v>
      </c>
      <c r="T23" cm="1">
        <f t="array" ref="T23">[1]!PropsSI("H","T",J23+273.15,"P",101325,"Water")</f>
        <v>238263.5230038575</v>
      </c>
      <c r="U23" cm="1">
        <f t="array" ref="U23">[1]!PropsSI("H","T",K23+273.15,"P",101325,"Water")</f>
        <v>189949.84668480846</v>
      </c>
      <c r="V23">
        <f t="shared" si="2"/>
        <v>748.8341153932929</v>
      </c>
      <c r="X23">
        <f t="shared" si="3"/>
        <v>0.26379338400000002</v>
      </c>
      <c r="Y23">
        <f t="shared" si="3"/>
        <v>0.24068651800000002</v>
      </c>
      <c r="Z23">
        <f t="shared" si="8"/>
        <v>0.35709515453046375</v>
      </c>
      <c r="AA23">
        <f t="shared" si="7"/>
        <v>11.553432999999998</v>
      </c>
      <c r="AB23">
        <f t="shared" si="5"/>
        <v>3.2485585698319712E-2</v>
      </c>
      <c r="AC23">
        <f t="shared" si="6"/>
        <v>24.326314829434249</v>
      </c>
    </row>
    <row r="24" spans="1:29" x14ac:dyDescent="0.2">
      <c r="A24" s="4">
        <v>46136.88550099537</v>
      </c>
      <c r="B24">
        <v>17.540756999999999</v>
      </c>
      <c r="C24">
        <v>17.997070000000001</v>
      </c>
      <c r="D24">
        <v>19.473908000000002</v>
      </c>
      <c r="E24">
        <v>19.834948000000001</v>
      </c>
      <c r="F24">
        <v>29.032498</v>
      </c>
      <c r="G24">
        <v>27.6218</v>
      </c>
      <c r="H24">
        <v>25.552706000000001</v>
      </c>
      <c r="I24">
        <v>21.951934000000001</v>
      </c>
      <c r="J24">
        <v>56.888731999999997</v>
      </c>
      <c r="K24">
        <v>45.341355</v>
      </c>
      <c r="L24">
        <v>393.27893499999999</v>
      </c>
      <c r="M24">
        <v>-622.47591999999997</v>
      </c>
      <c r="N24">
        <v>0.94432499999999997</v>
      </c>
      <c r="O24">
        <v>1.451328</v>
      </c>
      <c r="P24">
        <f t="shared" si="0"/>
        <v>1.5738749999999999E-5</v>
      </c>
      <c r="Q24" cm="1">
        <f t="array" ref="Q24">[1]!PropsSI("D","T",J24+273.15,"P",101325,"Water")</f>
        <v>984.76757379135279</v>
      </c>
      <c r="R24" cm="1">
        <f t="array" ref="R24">[1]!PropsSI("D","T",K24+273.15,"P",101325,"Water")</f>
        <v>990.0696348631235</v>
      </c>
      <c r="S24">
        <f t="shared" si="1"/>
        <v>987.4186043272382</v>
      </c>
      <c r="T24" cm="1">
        <f t="array" ref="T24">[1]!PropsSI("H","T",J24+273.15,"P",101325,"Water")</f>
        <v>238230.22100395354</v>
      </c>
      <c r="U24" cm="1">
        <f t="array" ref="U24">[1]!PropsSI("H","T",K24+273.15,"P",101325,"Water")</f>
        <v>189941.8875651563</v>
      </c>
      <c r="V24">
        <f t="shared" si="2"/>
        <v>750.43617226184517</v>
      </c>
      <c r="X24">
        <f t="shared" si="3"/>
        <v>0.26377746400000002</v>
      </c>
      <c r="Y24">
        <f t="shared" si="3"/>
        <v>0.24068270999999999</v>
      </c>
      <c r="Z24">
        <f t="shared" si="8"/>
        <v>0.35708082755479242</v>
      </c>
      <c r="AA24">
        <f t="shared" si="7"/>
        <v>11.547376999999997</v>
      </c>
      <c r="AB24">
        <f t="shared" si="5"/>
        <v>3.2499828160650723E-2</v>
      </c>
      <c r="AC24">
        <f t="shared" si="6"/>
        <v>24.389046644046452</v>
      </c>
    </row>
    <row r="25" spans="1:29" x14ac:dyDescent="0.2">
      <c r="A25" s="4">
        <v>46136.885559444447</v>
      </c>
      <c r="B25">
        <v>17.600142999999999</v>
      </c>
      <c r="C25">
        <v>18.037012000000001</v>
      </c>
      <c r="D25">
        <v>19.551552000000001</v>
      </c>
      <c r="E25">
        <v>19.815532999999999</v>
      </c>
      <c r="F25">
        <v>29.022314999999999</v>
      </c>
      <c r="G25">
        <v>26.692537999999999</v>
      </c>
      <c r="H25">
        <v>25.601621000000002</v>
      </c>
      <c r="I25">
        <v>21.937546999999999</v>
      </c>
      <c r="J25">
        <v>56.871856999999999</v>
      </c>
      <c r="K25">
        <v>45.347223999999997</v>
      </c>
      <c r="L25">
        <v>415.87902800000001</v>
      </c>
      <c r="M25">
        <v>-622.48693900000001</v>
      </c>
      <c r="N25">
        <v>0.94370200000000004</v>
      </c>
      <c r="O25">
        <v>1.668695</v>
      </c>
      <c r="P25">
        <f t="shared" si="0"/>
        <v>1.5728366666666667E-5</v>
      </c>
      <c r="Q25" cm="1">
        <f t="array" ref="Q25">[1]!PropsSI("D","T",J25+273.15,"P",101325,"Water")</f>
        <v>984.77593963513937</v>
      </c>
      <c r="R25" cm="1">
        <f t="array" ref="R25">[1]!PropsSI("D","T",K25+273.15,"P",101325,"Water")</f>
        <v>990.06716462616237</v>
      </c>
      <c r="S25">
        <f t="shared" si="1"/>
        <v>987.42155213065087</v>
      </c>
      <c r="T25" cm="1">
        <f t="array" ref="T25">[1]!PropsSI("H","T",J25+273.15,"P",101325,"Water")</f>
        <v>238159.62168268973</v>
      </c>
      <c r="U25" cm="1">
        <f t="array" ref="U25">[1]!PropsSI("H","T",K25+273.15,"P",101325,"Water")</f>
        <v>189966.42121934076</v>
      </c>
      <c r="V25">
        <f t="shared" si="2"/>
        <v>748.46586012044975</v>
      </c>
      <c r="X25">
        <f t="shared" si="3"/>
        <v>0.26374371399999996</v>
      </c>
      <c r="Y25">
        <f t="shared" si="3"/>
        <v>0.24069444800000001</v>
      </c>
      <c r="Z25">
        <f t="shared" si="8"/>
        <v>0.3570638093850152</v>
      </c>
      <c r="AA25">
        <f t="shared" si="7"/>
        <v>11.524633000000001</v>
      </c>
      <c r="AB25">
        <f t="shared" si="5"/>
        <v>3.2556494699889214E-2</v>
      </c>
      <c r="AC25">
        <f t="shared" si="6"/>
        <v>24.367424808059443</v>
      </c>
    </row>
    <row r="26" spans="1:29" x14ac:dyDescent="0.2">
      <c r="A26" s="4">
        <v>46136.885617893517</v>
      </c>
      <c r="B26">
        <v>17.466512999999999</v>
      </c>
      <c r="C26">
        <v>17.581700999999999</v>
      </c>
      <c r="D26">
        <v>19.409022</v>
      </c>
      <c r="E26">
        <v>19.794689000000002</v>
      </c>
      <c r="F26">
        <v>29.108910999999999</v>
      </c>
      <c r="G26">
        <v>27.247456</v>
      </c>
      <c r="H26">
        <v>26.058852000000002</v>
      </c>
      <c r="I26">
        <v>22.277508999999998</v>
      </c>
      <c r="J26">
        <v>56.876154999999997</v>
      </c>
      <c r="K26">
        <v>45.330568</v>
      </c>
      <c r="L26">
        <v>383.11944399999999</v>
      </c>
      <c r="M26">
        <v>-622.48938799999996</v>
      </c>
      <c r="N26">
        <v>0.94373899999999999</v>
      </c>
      <c r="O26">
        <v>1.4487989999999999</v>
      </c>
      <c r="P26">
        <f t="shared" si="0"/>
        <v>1.5728983333333331E-5</v>
      </c>
      <c r="Q26" cm="1">
        <f t="array" ref="Q26">[1]!PropsSI("D","T",J26+273.15,"P",101325,"Water")</f>
        <v>984.77380905027269</v>
      </c>
      <c r="R26" cm="1">
        <f t="array" ref="R26">[1]!PropsSI("D","T",K26+273.15,"P",101325,"Water")</f>
        <v>990.07417444173643</v>
      </c>
      <c r="S26">
        <f t="shared" si="1"/>
        <v>987.4239917460045</v>
      </c>
      <c r="T26" cm="1">
        <f t="array" ref="T26">[1]!PropsSI("H","T",J26+273.15,"P",101325,"Water")</f>
        <v>238177.60305781165</v>
      </c>
      <c r="U26" cm="1">
        <f t="array" ref="U26">[1]!PropsSI("H","T",K26+273.15,"P",101325,"Water")</f>
        <v>189896.79565495875</v>
      </c>
      <c r="V26">
        <f t="shared" si="2"/>
        <v>749.85769349507052</v>
      </c>
      <c r="X26">
        <f t="shared" si="3"/>
        <v>0.26375230999999999</v>
      </c>
      <c r="Y26">
        <f t="shared" si="3"/>
        <v>0.240661136</v>
      </c>
      <c r="Z26">
        <f t="shared" si="8"/>
        <v>0.35704770467144387</v>
      </c>
      <c r="AA26">
        <f t="shared" si="7"/>
        <v>11.545586999999998</v>
      </c>
      <c r="AB26">
        <f t="shared" si="5"/>
        <v>3.2501660124137507E-2</v>
      </c>
      <c r="AC26">
        <f t="shared" si="6"/>
        <v>24.371619895446457</v>
      </c>
    </row>
    <row r="27" spans="1:29" x14ac:dyDescent="0.2">
      <c r="A27" s="4">
        <v>46136.885675763886</v>
      </c>
      <c r="B27">
        <v>17.388152000000002</v>
      </c>
      <c r="C27">
        <v>17.349135</v>
      </c>
      <c r="D27">
        <v>19.457881</v>
      </c>
      <c r="E27">
        <v>19.522220999999998</v>
      </c>
      <c r="F27">
        <v>28.905215999999999</v>
      </c>
      <c r="G27">
        <v>27.707371999999999</v>
      </c>
      <c r="H27">
        <v>25.232610999999999</v>
      </c>
      <c r="I27">
        <v>22.104649999999999</v>
      </c>
      <c r="J27">
        <v>56.876314000000001</v>
      </c>
      <c r="K27">
        <v>45.323270999999998</v>
      </c>
      <c r="L27">
        <v>392.379797</v>
      </c>
      <c r="M27">
        <v>-622.49510199999997</v>
      </c>
      <c r="N27">
        <v>0.94202200000000003</v>
      </c>
      <c r="O27">
        <v>1.779533</v>
      </c>
      <c r="P27">
        <f t="shared" si="0"/>
        <v>1.5700366666666666E-5</v>
      </c>
      <c r="Q27" cm="1">
        <f t="array" ref="Q27">[1]!PropsSI("D","T",J27+273.15,"P",101325,"Water")</f>
        <v>984.77373022936411</v>
      </c>
      <c r="R27" cm="1">
        <f t="array" ref="R27">[1]!PropsSI("D","T",K27+273.15,"P",101325,"Water")</f>
        <v>990.07724483806589</v>
      </c>
      <c r="S27">
        <f t="shared" si="1"/>
        <v>987.425487533715</v>
      </c>
      <c r="T27" cm="1">
        <f t="array" ref="T27">[1]!PropsSI("H","T",J27+273.15,"P",101325,"Water")</f>
        <v>238178.26826006698</v>
      </c>
      <c r="U27" cm="1">
        <f t="array" ref="U27">[1]!PropsSI("H","T",K27+273.15,"P",101325,"Water")</f>
        <v>189866.2926861094</v>
      </c>
      <c r="V27">
        <f t="shared" si="2"/>
        <v>748.977765388075</v>
      </c>
      <c r="X27">
        <f t="shared" si="3"/>
        <v>0.26375262799999999</v>
      </c>
      <c r="Y27">
        <f t="shared" si="3"/>
        <v>0.24064654199999999</v>
      </c>
      <c r="Z27">
        <f t="shared" si="8"/>
        <v>0.35703810294345911</v>
      </c>
      <c r="AA27">
        <f t="shared" si="7"/>
        <v>11.553043000000002</v>
      </c>
      <c r="AB27">
        <f t="shared" si="5"/>
        <v>3.2481879994089524E-2</v>
      </c>
      <c r="AC27">
        <f t="shared" si="6"/>
        <v>24.32820589357679</v>
      </c>
    </row>
    <row r="28" spans="1:29" x14ac:dyDescent="0.2">
      <c r="A28" s="4">
        <v>46136.885734212963</v>
      </c>
      <c r="B28">
        <v>17.489469</v>
      </c>
      <c r="C28">
        <v>17.784493000000001</v>
      </c>
      <c r="D28">
        <v>19.476109999999998</v>
      </c>
      <c r="E28">
        <v>19.780068</v>
      </c>
      <c r="F28">
        <v>28.812760999999998</v>
      </c>
      <c r="G28">
        <v>26.909644</v>
      </c>
      <c r="H28">
        <v>25.924284</v>
      </c>
      <c r="I28">
        <v>22.711537</v>
      </c>
      <c r="J28">
        <v>56.875518</v>
      </c>
      <c r="K28">
        <v>45.300269</v>
      </c>
      <c r="L28">
        <v>422.59297800000002</v>
      </c>
      <c r="M28">
        <v>-622.50816299999997</v>
      </c>
      <c r="N28">
        <v>0.94361200000000001</v>
      </c>
      <c r="O28">
        <v>1.7301249999999999</v>
      </c>
      <c r="P28">
        <f t="shared" si="0"/>
        <v>1.5726866666666667E-5</v>
      </c>
      <c r="Q28" cm="1">
        <f t="array" ref="Q28">[1]!PropsSI("D","T",J28+273.15,"P",101325,"Water")</f>
        <v>984.77412482811576</v>
      </c>
      <c r="R28" cm="1">
        <f t="array" ref="R28">[1]!PropsSI("D","T",K28+273.15,"P",101325,"Water")</f>
        <v>990.08692108933064</v>
      </c>
      <c r="S28">
        <f t="shared" si="1"/>
        <v>987.43052295872326</v>
      </c>
      <c r="T28" cm="1">
        <f t="array" ref="T28">[1]!PropsSI("H","T",J28+273.15,"P",101325,"Water")</f>
        <v>238174.9380653133</v>
      </c>
      <c r="U28" cm="1">
        <f t="array" ref="U28">[1]!PropsSI("H","T",K28+273.15,"P",101325,"Water")</f>
        <v>189770.13963970257</v>
      </c>
      <c r="V28">
        <f t="shared" si="2"/>
        <v>751.68722342923206</v>
      </c>
      <c r="X28">
        <f t="shared" si="3"/>
        <v>0.26375103599999999</v>
      </c>
      <c r="Y28">
        <f t="shared" si="3"/>
        <v>0.240600538</v>
      </c>
      <c r="Z28">
        <f t="shared" si="8"/>
        <v>0.35700592134719938</v>
      </c>
      <c r="AA28">
        <f t="shared" si="7"/>
        <v>11.575248999999999</v>
      </c>
      <c r="AB28">
        <f t="shared" si="5"/>
        <v>3.2422833166669725E-2</v>
      </c>
      <c r="AC28">
        <f t="shared" si="6"/>
        <v>24.371829438763182</v>
      </c>
    </row>
    <row r="29" spans="1:29" x14ac:dyDescent="0.2">
      <c r="A29" s="4">
        <v>46136.88579266204</v>
      </c>
      <c r="B29">
        <v>17.647328999999999</v>
      </c>
      <c r="C29">
        <v>17.849104000000001</v>
      </c>
      <c r="D29">
        <v>19.426235999999999</v>
      </c>
      <c r="E29">
        <v>19.800191000000002</v>
      </c>
      <c r="F29">
        <v>29.124692</v>
      </c>
      <c r="G29">
        <v>27.630644</v>
      </c>
      <c r="H29">
        <v>25.704989999999999</v>
      </c>
      <c r="I29">
        <v>22.226126000000001</v>
      </c>
      <c r="J29">
        <v>56.868991000000001</v>
      </c>
      <c r="K29">
        <v>45.295827000000003</v>
      </c>
      <c r="L29">
        <v>402.37848000000002</v>
      </c>
      <c r="M29">
        <v>-622.50693799999999</v>
      </c>
      <c r="N29">
        <v>0.94381700000000002</v>
      </c>
      <c r="O29">
        <v>1.305836</v>
      </c>
      <c r="P29">
        <f t="shared" si="0"/>
        <v>1.5730283333333334E-5</v>
      </c>
      <c r="Q29" cm="1">
        <f t="array" ref="Q29">[1]!PropsSI("D","T",J29+273.15,"P",101325,"Water")</f>
        <v>984.77736029300104</v>
      </c>
      <c r="R29" cm="1">
        <f t="array" ref="R29">[1]!PropsSI("D","T",K29+273.15,"P",101325,"Water")</f>
        <v>990.08878928225909</v>
      </c>
      <c r="S29">
        <f t="shared" si="1"/>
        <v>987.43307478763006</v>
      </c>
      <c r="T29" cm="1">
        <f t="array" ref="T29">[1]!PropsSI("H","T",J29+273.15,"P",101325,"Water")</f>
        <v>238147.63131421682</v>
      </c>
      <c r="U29" cm="1">
        <f t="array" ref="U29">[1]!PropsSI("H","T",K29+273.15,"P",101325,"Water")</f>
        <v>189751.57118696562</v>
      </c>
      <c r="V29">
        <f t="shared" si="2"/>
        <v>751.71674221762305</v>
      </c>
      <c r="X29">
        <f t="shared" si="3"/>
        <v>0.26373798199999998</v>
      </c>
      <c r="Y29">
        <f t="shared" si="3"/>
        <v>0.24059165399999999</v>
      </c>
      <c r="Z29">
        <f t="shared" si="8"/>
        <v>0.35699028995742732</v>
      </c>
      <c r="AA29">
        <f t="shared" si="7"/>
        <v>11.573163999999998</v>
      </c>
      <c r="AB29">
        <f t="shared" si="5"/>
        <v>3.2426833966584571E-2</v>
      </c>
      <c r="AC29">
        <f t="shared" si="6"/>
        <v>24.375793989792719</v>
      </c>
    </row>
    <row r="30" spans="1:29" x14ac:dyDescent="0.2">
      <c r="A30" s="4">
        <v>46136.88585053241</v>
      </c>
      <c r="B30">
        <v>17.474124</v>
      </c>
      <c r="C30">
        <v>17.834803999999998</v>
      </c>
      <c r="D30">
        <v>19.340017</v>
      </c>
      <c r="E30">
        <v>19.762885000000001</v>
      </c>
      <c r="F30">
        <v>29.160553</v>
      </c>
      <c r="G30">
        <v>27.821777000000001</v>
      </c>
      <c r="H30">
        <v>25.659331000000002</v>
      </c>
      <c r="I30">
        <v>21.941571</v>
      </c>
      <c r="J30">
        <v>56.859439000000002</v>
      </c>
      <c r="K30">
        <v>45.291702999999998</v>
      </c>
      <c r="L30">
        <v>410.47276799999997</v>
      </c>
      <c r="M30">
        <v>-622.50653</v>
      </c>
      <c r="N30">
        <v>0.943546</v>
      </c>
      <c r="O30">
        <v>2.0672380000000001</v>
      </c>
      <c r="P30">
        <f t="shared" si="0"/>
        <v>1.5725766666666668E-5</v>
      </c>
      <c r="Q30" cm="1">
        <f t="array" ref="Q30">[1]!PropsSI("D","T",J30+273.15,"P",101325,"Water")</f>
        <v>984.78209479708585</v>
      </c>
      <c r="R30" cm="1">
        <f t="array" ref="R30">[1]!PropsSI("D","T",K30+273.15,"P",101325,"Water")</f>
        <v>990.09052360977614</v>
      </c>
      <c r="S30">
        <f t="shared" si="1"/>
        <v>987.43630920343094</v>
      </c>
      <c r="T30" cm="1">
        <f t="array" ref="T30">[1]!PropsSI("H","T",J30+273.15,"P",101325,"Water")</f>
        <v>238107.66902051881</v>
      </c>
      <c r="U30" cm="1">
        <f t="array" ref="U30">[1]!PropsSI("H","T",K30+273.15,"P",101325,"Water")</f>
        <v>189734.33204169993</v>
      </c>
      <c r="V30">
        <f t="shared" si="2"/>
        <v>751.15051250284307</v>
      </c>
      <c r="X30">
        <f t="shared" si="3"/>
        <v>0.26371887799999999</v>
      </c>
      <c r="Y30">
        <f t="shared" si="3"/>
        <v>0.240583406</v>
      </c>
      <c r="Z30">
        <f t="shared" si="8"/>
        <v>0.35697061763699783</v>
      </c>
      <c r="AA30">
        <f t="shared" si="7"/>
        <v>11.567736000000004</v>
      </c>
      <c r="AB30">
        <f t="shared" si="5"/>
        <v>3.2438985254013404E-2</v>
      </c>
      <c r="AC30">
        <f t="shared" si="6"/>
        <v>24.366560398624337</v>
      </c>
    </row>
    <row r="31" spans="1:29" x14ac:dyDescent="0.2">
      <c r="A31" s="4">
        <v>46136.885908402779</v>
      </c>
      <c r="B31">
        <v>17.469947999999999</v>
      </c>
      <c r="C31">
        <v>17.943867000000001</v>
      </c>
      <c r="D31">
        <v>19.395795</v>
      </c>
      <c r="E31">
        <v>19.718321</v>
      </c>
      <c r="F31">
        <v>28.755368000000001</v>
      </c>
      <c r="G31">
        <v>27.425886999999999</v>
      </c>
      <c r="H31">
        <v>25.771825</v>
      </c>
      <c r="I31">
        <v>21.578526</v>
      </c>
      <c r="J31">
        <v>56.860553000000003</v>
      </c>
      <c r="K31">
        <v>45.294558000000002</v>
      </c>
      <c r="L31">
        <v>418.71439700000002</v>
      </c>
      <c r="M31">
        <v>-622.49714300000005</v>
      </c>
      <c r="N31">
        <v>0.94320999999999999</v>
      </c>
      <c r="O31">
        <v>1.5833999999999999</v>
      </c>
      <c r="P31">
        <f t="shared" si="0"/>
        <v>1.5720166666666666E-5</v>
      </c>
      <c r="Q31" cm="1">
        <f t="array" ref="Q31">[1]!PropsSI("D","T",J31+273.15,"P",101325,"Water")</f>
        <v>984.78154266515344</v>
      </c>
      <c r="R31" cm="1">
        <f t="array" ref="R31">[1]!PropsSI("D","T",K31+273.15,"P",101325,"Water")</f>
        <v>990.08932296642695</v>
      </c>
      <c r="S31">
        <f t="shared" si="1"/>
        <v>987.43543281579014</v>
      </c>
      <c r="T31" cm="1">
        <f t="array" ref="T31">[1]!PropsSI("H","T",J31+273.15,"P",101325,"Water")</f>
        <v>238112.32961283703</v>
      </c>
      <c r="U31" cm="1">
        <f t="array" ref="U31">[1]!PropsSI("H","T",K31+273.15,"P",101325,"Water")</f>
        <v>189746.26651265557</v>
      </c>
      <c r="V31">
        <f t="shared" si="2"/>
        <v>750.76944889592585</v>
      </c>
      <c r="X31">
        <f t="shared" si="3"/>
        <v>0.26372110599999998</v>
      </c>
      <c r="Y31">
        <f t="shared" si="3"/>
        <v>0.24058911599999999</v>
      </c>
      <c r="Z31">
        <f t="shared" si="8"/>
        <v>0.35697611192840994</v>
      </c>
      <c r="AA31">
        <f t="shared" si="7"/>
        <v>11.565995000000001</v>
      </c>
      <c r="AB31">
        <f t="shared" si="5"/>
        <v>3.2443856121585658E-2</v>
      </c>
      <c r="AC31">
        <f t="shared" si="6"/>
        <v>24.357855980461576</v>
      </c>
    </row>
    <row r="32" spans="1:29" x14ac:dyDescent="0.2">
      <c r="A32" s="4">
        <v>46136.885966273148</v>
      </c>
      <c r="B32">
        <v>17.849124</v>
      </c>
      <c r="C32">
        <v>18.389455000000002</v>
      </c>
      <c r="D32">
        <v>19.570744000000001</v>
      </c>
      <c r="E32">
        <v>19.806619999999999</v>
      </c>
      <c r="F32">
        <v>29.109579</v>
      </c>
      <c r="G32">
        <v>26.766812999999999</v>
      </c>
      <c r="H32">
        <v>25.484829999999999</v>
      </c>
      <c r="I32">
        <v>22.128131</v>
      </c>
      <c r="J32">
        <v>56.856254999999997</v>
      </c>
      <c r="K32">
        <v>45.300744999999999</v>
      </c>
      <c r="L32">
        <v>408.04717599999998</v>
      </c>
      <c r="M32">
        <v>-622.50244899999996</v>
      </c>
      <c r="N32">
        <v>0.94495600000000002</v>
      </c>
      <c r="O32">
        <v>1.474863</v>
      </c>
      <c r="P32">
        <f t="shared" si="0"/>
        <v>1.5749266666666668E-5</v>
      </c>
      <c r="Q32" cm="1">
        <f t="array" ref="Q32">[1]!PropsSI("D","T",J32+273.15,"P",101325,"Water")</f>
        <v>984.7836728416213</v>
      </c>
      <c r="R32" cm="1">
        <f t="array" ref="R32">[1]!PropsSI("D","T",K32+273.15,"P",101325,"Water")</f>
        <v>990.08672088762569</v>
      </c>
      <c r="S32">
        <f t="shared" si="1"/>
        <v>987.43519686462355</v>
      </c>
      <c r="T32" cm="1">
        <f t="array" ref="T32">[1]!PropsSI("H","T",J32+273.15,"P",101325,"Water")</f>
        <v>238094.34826387779</v>
      </c>
      <c r="U32" cm="1">
        <f t="array" ref="U32">[1]!PropsSI("H","T",K32+273.15,"P",101325,"Water")</f>
        <v>189772.12941562815</v>
      </c>
      <c r="V32">
        <f t="shared" si="2"/>
        <v>751.47719893760348</v>
      </c>
      <c r="X32">
        <f t="shared" si="3"/>
        <v>0.26371251000000001</v>
      </c>
      <c r="Y32">
        <f t="shared" si="3"/>
        <v>0.24060149</v>
      </c>
      <c r="Z32">
        <f t="shared" si="8"/>
        <v>0.356978101458227</v>
      </c>
      <c r="AA32">
        <f t="shared" si="7"/>
        <v>11.555509999999998</v>
      </c>
      <c r="AB32">
        <f t="shared" si="5"/>
        <v>3.2470662602016642E-2</v>
      </c>
      <c r="AC32">
        <f t="shared" si="6"/>
        <v>24.400962579811463</v>
      </c>
    </row>
    <row r="33" spans="1:29" x14ac:dyDescent="0.2">
      <c r="A33" s="4">
        <v>46136.886024722226</v>
      </c>
      <c r="B33">
        <v>17.650708999999999</v>
      </c>
      <c r="C33">
        <v>18.150708999999999</v>
      </c>
      <c r="D33">
        <v>19.403860000000002</v>
      </c>
      <c r="E33">
        <v>19.806736999999998</v>
      </c>
      <c r="F33">
        <v>29.155016</v>
      </c>
      <c r="G33">
        <v>26.884537000000002</v>
      </c>
      <c r="H33">
        <v>25.883987000000001</v>
      </c>
      <c r="I33">
        <v>22.239559</v>
      </c>
      <c r="J33">
        <v>56.856254999999997</v>
      </c>
      <c r="K33">
        <v>45.315655999999997</v>
      </c>
      <c r="L33">
        <v>397.48688800000002</v>
      </c>
      <c r="M33">
        <v>-622.48857199999998</v>
      </c>
      <c r="N33">
        <v>0.94501299999999999</v>
      </c>
      <c r="O33">
        <v>1.22617</v>
      </c>
      <c r="P33">
        <f t="shared" si="0"/>
        <v>1.5750216666666667E-5</v>
      </c>
      <c r="Q33" cm="1">
        <f t="array" ref="Q33">[1]!PropsSI("D","T",J33+273.15,"P",101325,"Water")</f>
        <v>984.7836728416213</v>
      </c>
      <c r="R33" cm="1">
        <f t="array" ref="R33">[1]!PropsSI("D","T",K33+273.15,"P",101325,"Water")</f>
        <v>990.0804486467988</v>
      </c>
      <c r="S33">
        <f t="shared" si="1"/>
        <v>987.43206074421005</v>
      </c>
      <c r="T33" cm="1">
        <f t="array" ref="T33">[1]!PropsSI("H","T",J33+273.15,"P",101325,"Water")</f>
        <v>238094.34826387779</v>
      </c>
      <c r="U33" cm="1">
        <f t="array" ref="U33">[1]!PropsSI("H","T",K33+273.15,"P",101325,"Water")</f>
        <v>189834.46042281439</v>
      </c>
      <c r="V33">
        <f t="shared" si="2"/>
        <v>750.55075280419999</v>
      </c>
      <c r="X33">
        <f t="shared" si="3"/>
        <v>0.26371251000000001</v>
      </c>
      <c r="Y33">
        <f t="shared" si="3"/>
        <v>0.24063131199999999</v>
      </c>
      <c r="Z33">
        <f t="shared" si="8"/>
        <v>0.35699820201976012</v>
      </c>
      <c r="AA33">
        <f t="shared" si="7"/>
        <v>11.540599</v>
      </c>
      <c r="AB33">
        <f t="shared" si="5"/>
        <v>3.2510296714774976E-2</v>
      </c>
      <c r="AC33">
        <f t="shared" si="6"/>
        <v>24.400627673162269</v>
      </c>
    </row>
    <row r="34" spans="1:29" x14ac:dyDescent="0.2">
      <c r="A34" s="4">
        <v>46136.886083171295</v>
      </c>
      <c r="B34">
        <v>17.621236</v>
      </c>
      <c r="C34">
        <v>18.060572000000001</v>
      </c>
      <c r="D34">
        <v>19.472453999999999</v>
      </c>
      <c r="E34">
        <v>19.714041999999999</v>
      </c>
      <c r="F34">
        <v>28.843378999999999</v>
      </c>
      <c r="G34">
        <v>27.401325</v>
      </c>
      <c r="H34">
        <v>25.305233000000001</v>
      </c>
      <c r="I34">
        <v>21.965713000000001</v>
      </c>
      <c r="J34">
        <v>56.848931999999998</v>
      </c>
      <c r="K34">
        <v>45.324697999999998</v>
      </c>
      <c r="L34">
        <v>391.165572</v>
      </c>
      <c r="M34">
        <v>-622.47918500000003</v>
      </c>
      <c r="N34">
        <v>0.94645999999999997</v>
      </c>
      <c r="O34">
        <v>1.3914230000000001</v>
      </c>
      <c r="P34">
        <f t="shared" si="0"/>
        <v>1.5774333333333332E-5</v>
      </c>
      <c r="Q34" cm="1">
        <f t="array" ref="Q34">[1]!PropsSI("D","T",J34+273.15,"P",101325,"Water")</f>
        <v>984.78730201062672</v>
      </c>
      <c r="R34" cm="1">
        <f t="array" ref="R34">[1]!PropsSI("D","T",K34+273.15,"P",101325,"Water")</f>
        <v>990.07664442096404</v>
      </c>
      <c r="S34">
        <f t="shared" si="1"/>
        <v>987.43197321579532</v>
      </c>
      <c r="T34" cm="1">
        <f t="array" ref="T34">[1]!PropsSI("H","T",J34+273.15,"P",101325,"Water")</f>
        <v>238063.71137533267</v>
      </c>
      <c r="U34" cm="1">
        <f t="array" ref="U34">[1]!PropsSI("H","T",K34+273.15,"P",101325,"Water")</f>
        <v>189872.25784031936</v>
      </c>
      <c r="V34">
        <f t="shared" si="2"/>
        <v>750.63398808209547</v>
      </c>
      <c r="X34">
        <f t="shared" si="3"/>
        <v>0.263697864</v>
      </c>
      <c r="Y34">
        <f t="shared" si="3"/>
        <v>0.24064939599999999</v>
      </c>
      <c r="Z34">
        <f t="shared" si="8"/>
        <v>0.3569995732116879</v>
      </c>
      <c r="AA34">
        <f t="shared" si="7"/>
        <v>11.524234</v>
      </c>
      <c r="AB34">
        <f t="shared" si="5"/>
        <v>3.2552211024562759E-2</v>
      </c>
      <c r="AC34">
        <f t="shared" si="6"/>
        <v>24.434795982257498</v>
      </c>
    </row>
    <row r="35" spans="1:29" x14ac:dyDescent="0.2">
      <c r="A35" s="4">
        <v>46136.886141041665</v>
      </c>
      <c r="B35">
        <v>17.556729000000001</v>
      </c>
      <c r="C35">
        <v>17.942899000000001</v>
      </c>
      <c r="D35">
        <v>19.491005000000001</v>
      </c>
      <c r="E35">
        <v>19.739215999999999</v>
      </c>
      <c r="F35">
        <v>28.95637</v>
      </c>
      <c r="G35">
        <v>26.373638</v>
      </c>
      <c r="H35">
        <v>25.630241999999999</v>
      </c>
      <c r="I35">
        <v>21.907557000000001</v>
      </c>
      <c r="J35">
        <v>56.836832000000001</v>
      </c>
      <c r="K35">
        <v>45.332312999999999</v>
      </c>
      <c r="L35">
        <v>394.53642400000001</v>
      </c>
      <c r="M35">
        <v>-622.51795800000002</v>
      </c>
      <c r="N35">
        <v>0.94661899999999999</v>
      </c>
      <c r="O35">
        <v>1.681187</v>
      </c>
      <c r="P35">
        <f t="shared" si="0"/>
        <v>1.5776983333333335E-5</v>
      </c>
      <c r="Q35" cm="1">
        <f t="array" ref="Q35">[1]!PropsSI("D","T",J35+273.15,"P",101325,"Water")</f>
        <v>984.79329787345898</v>
      </c>
      <c r="R35" cm="1">
        <f t="array" ref="R35">[1]!PropsSI("D","T",K35+273.15,"P",101325,"Water")</f>
        <v>990.07344013431407</v>
      </c>
      <c r="S35">
        <f t="shared" si="1"/>
        <v>987.43336900388658</v>
      </c>
      <c r="T35" cm="1">
        <f t="array" ref="T35">[1]!PropsSI("H","T",J35+273.15,"P",101325,"Water")</f>
        <v>238013.08922366085</v>
      </c>
      <c r="U35" cm="1">
        <f t="array" ref="U35">[1]!PropsSI("H","T",K35+273.15,"P",101325,"Water")</f>
        <v>189904.09011739967</v>
      </c>
      <c r="V35">
        <f t="shared" si="2"/>
        <v>749.47661720197061</v>
      </c>
      <c r="X35">
        <f t="shared" si="3"/>
        <v>0.26367366400000003</v>
      </c>
      <c r="Y35">
        <f t="shared" si="3"/>
        <v>0.24066462599999999</v>
      </c>
      <c r="Z35">
        <f t="shared" si="8"/>
        <v>0.35699196530861138</v>
      </c>
      <c r="AA35">
        <f t="shared" si="7"/>
        <v>11.504519000000002</v>
      </c>
      <c r="AB35">
        <f t="shared" si="5"/>
        <v>3.2602105186582242E-2</v>
      </c>
      <c r="AC35">
        <f t="shared" si="6"/>
        <v>24.434515508902479</v>
      </c>
    </row>
    <row r="36" spans="1:29" x14ac:dyDescent="0.2">
      <c r="A36" s="4">
        <v>46136.886198912034</v>
      </c>
      <c r="B36">
        <v>17.611874</v>
      </c>
      <c r="C36">
        <v>17.945588000000001</v>
      </c>
      <c r="D36">
        <v>19.440840999999999</v>
      </c>
      <c r="E36">
        <v>19.759060999999999</v>
      </c>
      <c r="F36">
        <v>28.907226999999999</v>
      </c>
      <c r="G36">
        <v>27.441922000000002</v>
      </c>
      <c r="H36">
        <v>25.690338000000001</v>
      </c>
      <c r="I36">
        <v>21.944036000000001</v>
      </c>
      <c r="J36">
        <v>56.831100999999997</v>
      </c>
      <c r="K36">
        <v>45.321843000000001</v>
      </c>
      <c r="L36">
        <v>400.14512200000001</v>
      </c>
      <c r="M36">
        <v>-622.47265400000003</v>
      </c>
      <c r="N36">
        <v>0.94286199999999998</v>
      </c>
      <c r="O36">
        <v>1.6225020000000001</v>
      </c>
      <c r="P36">
        <f t="shared" si="0"/>
        <v>1.5714366666666666E-5</v>
      </c>
      <c r="Q36" cm="1">
        <f t="array" ref="Q36">[1]!PropsSI("D","T",J36+273.15,"P",101325,"Water")</f>
        <v>984.79613742088702</v>
      </c>
      <c r="R36" cm="1">
        <f t="array" ref="R36">[1]!PropsSI("D","T",K36+273.15,"P",101325,"Water")</f>
        <v>990.07784566173075</v>
      </c>
      <c r="S36">
        <f t="shared" si="1"/>
        <v>987.43699154130888</v>
      </c>
      <c r="T36" cm="1">
        <f t="array" ref="T36">[1]!PropsSI("H","T",J36+273.15,"P",101325,"Water")</f>
        <v>237989.11275176177</v>
      </c>
      <c r="U36" cm="1">
        <f t="array" ref="U36">[1]!PropsSI("H","T",K36+273.15,"P",101325,"Water")</f>
        <v>189860.32335198944</v>
      </c>
      <c r="V36">
        <f t="shared" si="2"/>
        <v>746.81187165828283</v>
      </c>
      <c r="X36">
        <f t="shared" si="3"/>
        <v>0.26366220200000001</v>
      </c>
      <c r="Y36">
        <f t="shared" si="3"/>
        <v>0.240643686</v>
      </c>
      <c r="Z36">
        <f t="shared" si="8"/>
        <v>0.35696938296604008</v>
      </c>
      <c r="AA36">
        <f t="shared" si="7"/>
        <v>11.509257999999996</v>
      </c>
      <c r="AB36">
        <f t="shared" si="5"/>
        <v>3.258807685373389E-2</v>
      </c>
      <c r="AC36">
        <f t="shared" si="6"/>
        <v>24.337162668880971</v>
      </c>
    </row>
    <row r="37" spans="1:29" x14ac:dyDescent="0.2">
      <c r="A37" s="4">
        <v>46136.886257361111</v>
      </c>
      <c r="B37">
        <v>17.631898</v>
      </c>
      <c r="C37">
        <v>18.069268999999998</v>
      </c>
      <c r="D37">
        <v>19.399882000000002</v>
      </c>
      <c r="E37">
        <v>19.780163999999999</v>
      </c>
      <c r="F37">
        <v>29.191723</v>
      </c>
      <c r="G37">
        <v>27.878854</v>
      </c>
      <c r="H37">
        <v>25.670597000000001</v>
      </c>
      <c r="I37">
        <v>22.567326000000001</v>
      </c>
      <c r="J37">
        <v>56.836354999999998</v>
      </c>
      <c r="K37">
        <v>45.301696</v>
      </c>
      <c r="L37">
        <v>382.484782</v>
      </c>
      <c r="M37">
        <v>-622.49755100000004</v>
      </c>
      <c r="N37">
        <v>0.94357899999999995</v>
      </c>
      <c r="O37">
        <v>1.1936260000000001</v>
      </c>
      <c r="P37">
        <f t="shared" si="0"/>
        <v>1.5726316666666666E-5</v>
      </c>
      <c r="Q37" cm="1">
        <f t="array" ref="Q37">[1]!PropsSI("D","T",J37+273.15,"P",101325,"Water")</f>
        <v>984.79353422102236</v>
      </c>
      <c r="R37" cm="1">
        <f t="array" ref="R37">[1]!PropsSI("D","T",K37+273.15,"P",101325,"Water")</f>
        <v>990.08632090010792</v>
      </c>
      <c r="S37">
        <f t="shared" si="1"/>
        <v>987.43992756056514</v>
      </c>
      <c r="T37" cm="1">
        <f t="array" ref="T37">[1]!PropsSI("H","T",J37+273.15,"P",101325,"Water")</f>
        <v>238011.09362431336</v>
      </c>
      <c r="U37" cm="1">
        <f t="array" ref="U37">[1]!PropsSI("H","T",K37+273.15,"P",101325,"Water")</f>
        <v>189776.10478734813</v>
      </c>
      <c r="V37">
        <f t="shared" si="2"/>
        <v>749.03115653036036</v>
      </c>
      <c r="X37">
        <f t="shared" si="3"/>
        <v>0.26367270999999998</v>
      </c>
      <c r="Y37">
        <f t="shared" si="3"/>
        <v>0.240603392</v>
      </c>
      <c r="Z37">
        <f t="shared" si="8"/>
        <v>0.35694998282763613</v>
      </c>
      <c r="AA37">
        <f t="shared" si="7"/>
        <v>11.534658999999998</v>
      </c>
      <c r="AB37">
        <f t="shared" si="5"/>
        <v>3.2521477014352075E-2</v>
      </c>
      <c r="AC37">
        <f t="shared" si="6"/>
        <v>24.359599540135665</v>
      </c>
    </row>
    <row r="38" spans="1:29" x14ac:dyDescent="0.2">
      <c r="A38" s="4">
        <v>46136.886315810189</v>
      </c>
      <c r="B38">
        <v>17.635776</v>
      </c>
      <c r="C38">
        <v>18.160188000000002</v>
      </c>
      <c r="D38">
        <v>19.528517999999998</v>
      </c>
      <c r="E38">
        <v>19.715036000000001</v>
      </c>
      <c r="F38">
        <v>29.046059</v>
      </c>
      <c r="G38">
        <v>27.463705999999998</v>
      </c>
      <c r="H38">
        <v>25.268184000000002</v>
      </c>
      <c r="I38">
        <v>21.91845</v>
      </c>
      <c r="J38">
        <v>56.833807999999998</v>
      </c>
      <c r="K38">
        <v>45.306930999999999</v>
      </c>
      <c r="L38">
        <v>390.54233799999997</v>
      </c>
      <c r="M38">
        <v>-622.46612400000004</v>
      </c>
      <c r="N38">
        <v>0.94362000000000001</v>
      </c>
      <c r="O38">
        <v>1.5941259999999999</v>
      </c>
      <c r="P38">
        <f t="shared" si="0"/>
        <v>1.5727E-5</v>
      </c>
      <c r="Q38" cm="1">
        <f t="array" ref="Q38">[1]!PropsSI("D","T",J38+273.15,"P",101325,"Water")</f>
        <v>984.7947962043396</v>
      </c>
      <c r="R38" cm="1">
        <f t="array" ref="R38">[1]!PropsSI("D","T",K38+273.15,"P",101325,"Water")</f>
        <v>990.08411896369398</v>
      </c>
      <c r="S38">
        <f t="shared" si="1"/>
        <v>987.43945758401674</v>
      </c>
      <c r="T38" cm="1">
        <f t="array" ref="T38">[1]!PropsSI("H","T",J38+273.15,"P",101325,"Water")</f>
        <v>238000.43787835032</v>
      </c>
      <c r="U38" cm="1">
        <f t="array" ref="U38">[1]!PropsSI("H","T",K38+273.15,"P",101325,"Water")</f>
        <v>189797.98814610732</v>
      </c>
      <c r="V38">
        <f t="shared" si="2"/>
        <v>748.55803186196306</v>
      </c>
      <c r="X38">
        <f t="shared" si="3"/>
        <v>0.26366761599999999</v>
      </c>
      <c r="Y38">
        <f t="shared" si="3"/>
        <v>0.24061386200000001</v>
      </c>
      <c r="Z38">
        <f t="shared" si="8"/>
        <v>0.35695327749395789</v>
      </c>
      <c r="AA38">
        <f t="shared" si="7"/>
        <v>11.526876999999999</v>
      </c>
      <c r="AB38">
        <f t="shared" si="5"/>
        <v>3.2541629557590795E-2</v>
      </c>
      <c r="AC38">
        <f t="shared" si="6"/>
        <v>24.359298175211251</v>
      </c>
    </row>
    <row r="39" spans="1:29" x14ac:dyDescent="0.2">
      <c r="A39" s="4">
        <v>46136.886373680558</v>
      </c>
      <c r="B39">
        <v>17.833473999999999</v>
      </c>
      <c r="C39">
        <v>18.114070000000002</v>
      </c>
      <c r="D39">
        <v>19.420228000000002</v>
      </c>
      <c r="E39">
        <v>19.782928999999999</v>
      </c>
      <c r="F39">
        <v>29.205463000000002</v>
      </c>
      <c r="G39">
        <v>28.154871</v>
      </c>
      <c r="H39">
        <v>25.679309</v>
      </c>
      <c r="I39">
        <v>22.041768000000001</v>
      </c>
      <c r="J39">
        <v>56.821072000000001</v>
      </c>
      <c r="K39">
        <v>45.328029999999998</v>
      </c>
      <c r="L39">
        <v>404.50123100000002</v>
      </c>
      <c r="M39">
        <v>-622.50204099999996</v>
      </c>
      <c r="N39">
        <v>0.94397200000000003</v>
      </c>
      <c r="O39">
        <v>1.652963</v>
      </c>
      <c r="P39">
        <f t="shared" si="0"/>
        <v>1.5732866666666666E-5</v>
      </c>
      <c r="Q39" cm="1">
        <f t="array" ref="Q39">[1]!PropsSI("D","T",J39+273.15,"P",101325,"Water")</f>
        <v>984.80110602353011</v>
      </c>
      <c r="R39" cm="1">
        <f t="array" ref="R39">[1]!PropsSI("D","T",K39+273.15,"P",101325,"Water")</f>
        <v>990.07524241099338</v>
      </c>
      <c r="S39">
        <f t="shared" si="1"/>
        <v>987.4381742172618</v>
      </c>
      <c r="T39" cm="1">
        <f t="array" ref="T39">[1]!PropsSI("H","T",J39+273.15,"P",101325,"Water")</f>
        <v>237947.1550025933</v>
      </c>
      <c r="U39" cm="1">
        <f t="array" ref="U39">[1]!PropsSI("H","T",K39+273.15,"P",101325,"Water")</f>
        <v>189886.18628893458</v>
      </c>
      <c r="V39">
        <f t="shared" si="2"/>
        <v>746.6383537344966</v>
      </c>
      <c r="X39">
        <f t="shared" si="3"/>
        <v>0.26364214399999997</v>
      </c>
      <c r="Y39">
        <f t="shared" si="3"/>
        <v>0.24065606</v>
      </c>
      <c r="Z39">
        <f t="shared" si="8"/>
        <v>0.35696291026889659</v>
      </c>
      <c r="AA39">
        <f t="shared" si="7"/>
        <v>11.493042000000003</v>
      </c>
      <c r="AB39">
        <f t="shared" si="5"/>
        <v>3.2629193753162651E-2</v>
      </c>
      <c r="AC39">
        <f t="shared" si="6"/>
        <v>24.362207507545282</v>
      </c>
    </row>
    <row r="40" spans="1:29" x14ac:dyDescent="0.2">
      <c r="A40" s="4">
        <v>46136.886432129628</v>
      </c>
      <c r="B40">
        <v>17.608097000000001</v>
      </c>
      <c r="C40">
        <v>18.02542</v>
      </c>
      <c r="D40">
        <v>19.565449999999998</v>
      </c>
      <c r="E40">
        <v>19.801535000000001</v>
      </c>
      <c r="F40">
        <v>28.797284999999999</v>
      </c>
      <c r="G40">
        <v>27.101075000000002</v>
      </c>
      <c r="H40">
        <v>25.642648000000001</v>
      </c>
      <c r="I40">
        <v>22.186371999999999</v>
      </c>
      <c r="J40">
        <v>56.819001999999998</v>
      </c>
      <c r="K40">
        <v>45.315655999999997</v>
      </c>
      <c r="L40">
        <v>399.59331300000002</v>
      </c>
      <c r="M40">
        <v>-622.47224600000004</v>
      </c>
      <c r="N40">
        <v>0.94346399999999997</v>
      </c>
      <c r="O40">
        <v>1.777309</v>
      </c>
      <c r="P40">
        <f t="shared" si="0"/>
        <v>1.5724399999999998E-5</v>
      </c>
      <c r="Q40" cm="1">
        <f t="array" ref="Q40">[1]!PropsSI("D","T",J40+273.15,"P",101325,"Water")</f>
        <v>984.80213147395853</v>
      </c>
      <c r="R40" cm="1">
        <f t="array" ref="R40">[1]!PropsSI("D","T",K40+273.15,"P",101325,"Water")</f>
        <v>990.0804486467988</v>
      </c>
      <c r="S40">
        <f t="shared" si="1"/>
        <v>987.44129006037861</v>
      </c>
      <c r="T40" cm="1">
        <f t="array" ref="T40">[1]!PropsSI("H","T",J40+273.15,"P",101325,"Water")</f>
        <v>237938.49486779259</v>
      </c>
      <c r="U40" cm="1">
        <f t="array" ref="U40">[1]!PropsSI("H","T",K40+273.15,"P",101325,"Water")</f>
        <v>189834.46042281439</v>
      </c>
      <c r="V40">
        <f t="shared" si="2"/>
        <v>746.90758212233175</v>
      </c>
      <c r="X40">
        <f t="shared" si="3"/>
        <v>0.26363800399999998</v>
      </c>
      <c r="Y40">
        <f t="shared" si="3"/>
        <v>0.24063131199999999</v>
      </c>
      <c r="Z40">
        <f t="shared" si="8"/>
        <v>0.35694316840072082</v>
      </c>
      <c r="AA40">
        <f t="shared" si="7"/>
        <v>11.503346000000001</v>
      </c>
      <c r="AB40">
        <f t="shared" si="5"/>
        <v>3.2601079364264179E-2</v>
      </c>
      <c r="AC40">
        <f t="shared" si="6"/>
        <v>24.349993362540804</v>
      </c>
    </row>
    <row r="41" spans="1:29" x14ac:dyDescent="0.2">
      <c r="A41" s="4">
        <v>46136.886489999997</v>
      </c>
      <c r="B41">
        <v>17.709315</v>
      </c>
      <c r="C41">
        <v>18.118760999999999</v>
      </c>
      <c r="D41">
        <v>19.494112000000001</v>
      </c>
      <c r="E41">
        <v>19.824019</v>
      </c>
      <c r="F41">
        <v>29.285748999999999</v>
      </c>
      <c r="G41">
        <v>27.022953999999999</v>
      </c>
      <c r="H41">
        <v>25.579840000000001</v>
      </c>
      <c r="I41">
        <v>21.954180999999998</v>
      </c>
      <c r="J41">
        <v>56.819957000000002</v>
      </c>
      <c r="K41">
        <v>45.300426999999999</v>
      </c>
      <c r="L41">
        <v>405.68035500000002</v>
      </c>
      <c r="M41">
        <v>-622.50285699999995</v>
      </c>
      <c r="N41">
        <v>0.94359499999999996</v>
      </c>
      <c r="O41">
        <v>1.7879069999999999</v>
      </c>
      <c r="P41">
        <f t="shared" si="0"/>
        <v>1.5726583333333333E-5</v>
      </c>
      <c r="Q41" cm="1">
        <f t="array" ref="Q41">[1]!PropsSI("D","T",J41+273.15,"P",101325,"Water")</f>
        <v>984.80165838293271</v>
      </c>
      <c r="R41" cm="1">
        <f t="array" ref="R41">[1]!PropsSI("D","T",K41+273.15,"P",101325,"Water")</f>
        <v>990.08685463599807</v>
      </c>
      <c r="S41">
        <f t="shared" si="1"/>
        <v>987.44425650946539</v>
      </c>
      <c r="T41" cm="1">
        <f t="array" ref="T41">[1]!PropsSI("H","T",J41+273.15,"P",101325,"Water")</f>
        <v>237942.49024378351</v>
      </c>
      <c r="U41" cm="1">
        <f t="array" ref="U41">[1]!PropsSI("H","T",K41+273.15,"P",101325,"Water")</f>
        <v>189770.80011155372</v>
      </c>
      <c r="V41">
        <f t="shared" si="2"/>
        <v>748.06416799625913</v>
      </c>
      <c r="X41">
        <f t="shared" si="3"/>
        <v>0.26363991399999998</v>
      </c>
      <c r="Y41">
        <f t="shared" si="3"/>
        <v>0.24060085399999998</v>
      </c>
      <c r="Z41">
        <f t="shared" si="8"/>
        <v>0.35692404682152851</v>
      </c>
      <c r="AA41">
        <f t="shared" si="7"/>
        <v>11.519530000000003</v>
      </c>
      <c r="AB41">
        <f t="shared" si="5"/>
        <v>3.2558009980781989E-2</v>
      </c>
      <c r="AC41">
        <f t="shared" si="6"/>
        <v>24.355480647887578</v>
      </c>
    </row>
    <row r="42" spans="1:29" x14ac:dyDescent="0.2">
      <c r="A42" s="4">
        <v>46136.886548449074</v>
      </c>
      <c r="B42">
        <v>18.095334999999999</v>
      </c>
      <c r="C42">
        <v>18.217549000000002</v>
      </c>
      <c r="D42">
        <v>19.602217</v>
      </c>
      <c r="E42">
        <v>19.835934000000002</v>
      </c>
      <c r="F42">
        <v>29.145412</v>
      </c>
      <c r="G42">
        <v>27.62255</v>
      </c>
      <c r="H42">
        <v>25.621269999999999</v>
      </c>
      <c r="I42">
        <v>22.080929000000001</v>
      </c>
      <c r="J42">
        <v>56.817092000000002</v>
      </c>
      <c r="K42">
        <v>45.317242999999998</v>
      </c>
      <c r="L42">
        <v>426.23075499999999</v>
      </c>
      <c r="M42">
        <v>-622.51795800000002</v>
      </c>
      <c r="N42">
        <v>0.94650500000000004</v>
      </c>
      <c r="O42">
        <v>1.8308089999999999</v>
      </c>
      <c r="P42">
        <f t="shared" si="0"/>
        <v>1.5775083333333334E-5</v>
      </c>
      <c r="Q42" cm="1">
        <f t="array" ref="Q42">[1]!PropsSI("D","T",J42+273.15,"P",101325,"Water")</f>
        <v>984.8030776393681</v>
      </c>
      <c r="R42" cm="1">
        <f t="array" ref="R42">[1]!PropsSI("D","T",K42+273.15,"P",101325,"Water")</f>
        <v>990.07978099196885</v>
      </c>
      <c r="S42">
        <f t="shared" si="1"/>
        <v>987.44142931566853</v>
      </c>
      <c r="T42" cm="1">
        <f t="array" ref="T42">[1]!PropsSI("H","T",J42+273.15,"P",101325,"Water")</f>
        <v>237930.50411686377</v>
      </c>
      <c r="U42" cm="1">
        <f t="array" ref="U42">[1]!PropsSI("H","T",K42+273.15,"P",101325,"Water")</f>
        <v>189841.0944076624</v>
      </c>
      <c r="V42">
        <f t="shared" si="2"/>
        <v>749.08733247606915</v>
      </c>
      <c r="X42">
        <f t="shared" si="3"/>
        <v>0.26363418399999999</v>
      </c>
      <c r="Y42">
        <f t="shared" si="3"/>
        <v>0.24063448599999998</v>
      </c>
      <c r="Z42">
        <f t="shared" si="8"/>
        <v>0.3569424867199617</v>
      </c>
      <c r="AA42">
        <f t="shared" si="7"/>
        <v>11.499849000000005</v>
      </c>
      <c r="AB42">
        <f t="shared" si="5"/>
        <v>3.261000400099829E-2</v>
      </c>
      <c r="AC42">
        <f t="shared" si="6"/>
        <v>24.42774090914175</v>
      </c>
    </row>
    <row r="43" spans="1:29" x14ac:dyDescent="0.2">
      <c r="A43" s="4">
        <v>46136.886606898152</v>
      </c>
      <c r="B43">
        <v>17.583523</v>
      </c>
      <c r="C43">
        <v>18.017759000000002</v>
      </c>
      <c r="D43">
        <v>19.409852000000001</v>
      </c>
      <c r="E43">
        <v>19.813642000000002</v>
      </c>
      <c r="F43">
        <v>29.034395</v>
      </c>
      <c r="G43">
        <v>27.552036000000001</v>
      </c>
      <c r="H43">
        <v>25.702819999999999</v>
      </c>
      <c r="I43">
        <v>21.637954000000001</v>
      </c>
      <c r="J43">
        <v>56.817728000000002</v>
      </c>
      <c r="K43">
        <v>45.322001999999998</v>
      </c>
      <c r="L43">
        <v>391.24311899999998</v>
      </c>
      <c r="M43">
        <v>-622.50040799999999</v>
      </c>
      <c r="N43">
        <v>0.943689</v>
      </c>
      <c r="O43">
        <v>1.6719740000000001</v>
      </c>
      <c r="P43">
        <f t="shared" si="0"/>
        <v>1.5728149999999999E-5</v>
      </c>
      <c r="Q43" cm="1">
        <f t="array" ref="Q43">[1]!PropsSI("D","T",J43+273.15,"P",101325,"Water")</f>
        <v>984.80276258361619</v>
      </c>
      <c r="R43" cm="1">
        <f t="array" ref="R43">[1]!PropsSI("D","T",K43+273.15,"P",101325,"Water")</f>
        <v>990.07777876401087</v>
      </c>
      <c r="S43">
        <f t="shared" si="1"/>
        <v>987.44027067381353</v>
      </c>
      <c r="T43" cm="1">
        <f t="array" ref="T43">[1]!PropsSI("H","T",J43+273.15,"P",101325,"Water")</f>
        <v>237933.16491127209</v>
      </c>
      <c r="U43" cm="1">
        <f t="array" ref="U43">[1]!PropsSI("H","T",K43+273.15,"P",101325,"Water")</f>
        <v>189860.98800475261</v>
      </c>
      <c r="V43">
        <f t="shared" si="2"/>
        <v>746.59016856535993</v>
      </c>
      <c r="X43">
        <f t="shared" si="3"/>
        <v>0.26363545599999999</v>
      </c>
      <c r="Y43">
        <f t="shared" si="3"/>
        <v>0.24064400399999999</v>
      </c>
      <c r="Z43">
        <f t="shared" si="8"/>
        <v>0.35694984286518455</v>
      </c>
      <c r="AA43">
        <f t="shared" si="7"/>
        <v>11.495726000000005</v>
      </c>
      <c r="AB43">
        <f t="shared" si="5"/>
        <v>3.2621209184247435E-2</v>
      </c>
      <c r="AC43">
        <f t="shared" si="6"/>
        <v>24.354674063673158</v>
      </c>
    </row>
    <row r="44" spans="1:29" x14ac:dyDescent="0.2">
      <c r="A44" s="4">
        <v>46136.886665347221</v>
      </c>
      <c r="B44">
        <v>17.584512</v>
      </c>
      <c r="C44">
        <v>17.671014</v>
      </c>
      <c r="D44">
        <v>19.511599</v>
      </c>
      <c r="E44">
        <v>19.795311000000002</v>
      </c>
      <c r="F44">
        <v>28.963940999999998</v>
      </c>
      <c r="G44">
        <v>27.490929000000001</v>
      </c>
      <c r="H44">
        <v>25.83229</v>
      </c>
      <c r="I44">
        <v>22.135453999999999</v>
      </c>
      <c r="J44">
        <v>56.807380000000002</v>
      </c>
      <c r="K44">
        <v>45.318353000000002</v>
      </c>
      <c r="L44">
        <v>429.136324</v>
      </c>
      <c r="M44">
        <v>-622.49061300000005</v>
      </c>
      <c r="N44">
        <v>0.94665200000000005</v>
      </c>
      <c r="O44">
        <v>1.6149279999999999</v>
      </c>
      <c r="P44">
        <f t="shared" si="0"/>
        <v>1.5777533333333336E-5</v>
      </c>
      <c r="Q44" cm="1">
        <f t="array" ref="Q44">[1]!PropsSI("D","T",J44+273.15,"P",101325,"Water")</f>
        <v>984.80788837318937</v>
      </c>
      <c r="R44" cm="1">
        <f t="array" ref="R44">[1]!PropsSI("D","T",K44+273.15,"P",101325,"Water")</f>
        <v>990.07931400180757</v>
      </c>
      <c r="S44">
        <f t="shared" si="1"/>
        <v>987.44360118749842</v>
      </c>
      <c r="T44" cm="1">
        <f t="array" ref="T44">[1]!PropsSI("H","T",J44+273.15,"P",101325,"Water")</f>
        <v>237889.87263470652</v>
      </c>
      <c r="U44" cm="1">
        <f t="array" ref="U44">[1]!PropsSI("H","T",K44+273.15,"P",101325,"Water")</f>
        <v>189845.73443516935</v>
      </c>
      <c r="V44">
        <f t="shared" si="2"/>
        <v>748.50001570094162</v>
      </c>
      <c r="X44">
        <f t="shared" si="3"/>
        <v>0.26361476</v>
      </c>
      <c r="Y44">
        <f t="shared" si="3"/>
        <v>0.24063670600000001</v>
      </c>
      <c r="Z44">
        <f t="shared" si="8"/>
        <v>0.35692963727377425</v>
      </c>
      <c r="AA44">
        <f t="shared" si="7"/>
        <v>11.489027</v>
      </c>
      <c r="AB44">
        <f t="shared" si="5"/>
        <v>3.2636768847385166E-2</v>
      </c>
      <c r="AC44">
        <f t="shared" si="6"/>
        <v>24.428621994695799</v>
      </c>
    </row>
    <row r="45" spans="1:29" x14ac:dyDescent="0.2">
      <c r="A45" s="4">
        <v>46136.886723217591</v>
      </c>
      <c r="B45">
        <v>17.499701000000002</v>
      </c>
      <c r="C45">
        <v>17.663550999999998</v>
      </c>
      <c r="D45">
        <v>19.470571</v>
      </c>
      <c r="E45">
        <v>19.679825000000001</v>
      </c>
      <c r="F45">
        <v>28.795096999999998</v>
      </c>
      <c r="G45">
        <v>27.447914000000001</v>
      </c>
      <c r="H45">
        <v>25.447327000000001</v>
      </c>
      <c r="I45">
        <v>21.704758999999999</v>
      </c>
      <c r="J45">
        <v>56.804515000000002</v>
      </c>
      <c r="K45">
        <v>45.312958999999999</v>
      </c>
      <c r="L45">
        <v>408.90876500000002</v>
      </c>
      <c r="M45">
        <v>-622.47591999999997</v>
      </c>
      <c r="N45">
        <v>0.94624200000000003</v>
      </c>
      <c r="O45">
        <v>1.7985690000000001</v>
      </c>
      <c r="P45">
        <f t="shared" si="0"/>
        <v>1.5770700000000001E-5</v>
      </c>
      <c r="Q45" cm="1">
        <f t="array" ref="Q45">[1]!PropsSI("D","T",J45+273.15,"P",101325,"Water")</f>
        <v>984.80930741004704</v>
      </c>
      <c r="R45" cm="1">
        <f t="array" ref="R45">[1]!PropsSI("D","T",K45+273.15,"P",101325,"Water")</f>
        <v>990.08158324129784</v>
      </c>
      <c r="S45">
        <f t="shared" si="1"/>
        <v>987.44544532567238</v>
      </c>
      <c r="T45" cm="1">
        <f t="array" ref="T45">[1]!PropsSI("H","T",J45+273.15,"P",101325,"Water")</f>
        <v>237877.88652181666</v>
      </c>
      <c r="U45" cm="1">
        <f t="array" ref="U45">[1]!PropsSI("H","T",K45+273.15,"P",101325,"Water")</f>
        <v>189823.18641195443</v>
      </c>
      <c r="V45">
        <f t="shared" si="2"/>
        <v>748.34171118342363</v>
      </c>
      <c r="X45">
        <f t="shared" si="3"/>
        <v>0.26360903000000002</v>
      </c>
      <c r="Y45">
        <f t="shared" si="3"/>
        <v>0.24062591799999999</v>
      </c>
      <c r="Z45">
        <f t="shared" si="8"/>
        <v>0.35691813222486135</v>
      </c>
      <c r="AA45">
        <f t="shared" si="7"/>
        <v>11.491556000000003</v>
      </c>
      <c r="AB45">
        <f t="shared" si="5"/>
        <v>3.2629307706172707E-2</v>
      </c>
      <c r="AC45">
        <f t="shared" si="6"/>
        <v>24.417871963567755</v>
      </c>
    </row>
    <row r="46" spans="1:29" x14ac:dyDescent="0.2">
      <c r="A46" s="4">
        <v>46136.88678108796</v>
      </c>
      <c r="B46">
        <v>17.264202000000001</v>
      </c>
      <c r="C46">
        <v>17.280094999999999</v>
      </c>
      <c r="D46">
        <v>19.296094</v>
      </c>
      <c r="E46">
        <v>19.416316999999999</v>
      </c>
      <c r="F46">
        <v>28.581410999999999</v>
      </c>
      <c r="G46">
        <v>26.259727999999999</v>
      </c>
      <c r="H46">
        <v>25.262373</v>
      </c>
      <c r="I46">
        <v>22.242564999999999</v>
      </c>
      <c r="J46">
        <v>56.807699</v>
      </c>
      <c r="K46">
        <v>45.309151999999997</v>
      </c>
      <c r="L46">
        <v>412.058403</v>
      </c>
      <c r="M46">
        <v>-622.51387699999998</v>
      </c>
      <c r="N46">
        <v>0.94437400000000005</v>
      </c>
      <c r="O46">
        <v>1.8344689999999999</v>
      </c>
      <c r="P46">
        <f t="shared" si="0"/>
        <v>1.5739566666666667E-5</v>
      </c>
      <c r="Q46" cm="1">
        <f t="array" ref="Q46">[1]!PropsSI("D","T",J46+273.15,"P",101325,"Water")</f>
        <v>984.80773036912012</v>
      </c>
      <c r="R46" cm="1">
        <f t="array" ref="R46">[1]!PropsSI("D","T",K46+273.15,"P",101325,"Water")</f>
        <v>990.08318471309917</v>
      </c>
      <c r="S46">
        <f t="shared" si="1"/>
        <v>987.44545754110959</v>
      </c>
      <c r="T46" cm="1">
        <f t="array" ref="T46">[1]!PropsSI("H","T",J46+273.15,"P",101325,"Water")</f>
        <v>237891.20721431557</v>
      </c>
      <c r="U46" cm="1">
        <f t="array" ref="U46">[1]!PropsSI("H","T",K46+273.15,"P",101325,"Water")</f>
        <v>189807.2723768923</v>
      </c>
      <c r="V46">
        <f t="shared" si="2"/>
        <v>747.31876540467397</v>
      </c>
      <c r="X46">
        <f t="shared" si="3"/>
        <v>0.263615398</v>
      </c>
      <c r="Y46">
        <f t="shared" si="3"/>
        <v>0.24061830400000001</v>
      </c>
      <c r="Z46">
        <f t="shared" si="8"/>
        <v>0.35691770239445231</v>
      </c>
      <c r="AA46">
        <f t="shared" si="7"/>
        <v>11.498547000000002</v>
      </c>
      <c r="AB46">
        <f t="shared" si="5"/>
        <v>3.2611297675410177E-2</v>
      </c>
      <c r="AC46">
        <f t="shared" si="6"/>
        <v>24.371034717031847</v>
      </c>
    </row>
    <row r="47" spans="1:29" x14ac:dyDescent="0.2">
      <c r="A47" s="4">
        <v>46136.886838958337</v>
      </c>
      <c r="B47">
        <v>17.457602999999999</v>
      </c>
      <c r="C47">
        <v>17.497485000000001</v>
      </c>
      <c r="D47">
        <v>19.349397</v>
      </c>
      <c r="E47">
        <v>19.544366</v>
      </c>
      <c r="F47">
        <v>28.919553000000001</v>
      </c>
      <c r="G47">
        <v>27.483650999999998</v>
      </c>
      <c r="H47">
        <v>25.224045</v>
      </c>
      <c r="I47">
        <v>21.485979</v>
      </c>
      <c r="J47">
        <v>56.788117</v>
      </c>
      <c r="K47">
        <v>45.269652999999998</v>
      </c>
      <c r="L47">
        <v>398.19420000000002</v>
      </c>
      <c r="M47">
        <v>-622.46694000000002</v>
      </c>
      <c r="N47">
        <v>0.94213599999999997</v>
      </c>
      <c r="O47">
        <v>1.6682630000000001</v>
      </c>
      <c r="P47">
        <f t="shared" si="0"/>
        <v>1.5702266666666667E-5</v>
      </c>
      <c r="Q47" cm="1">
        <f t="array" ref="Q47">[1]!PropsSI("D","T",J47+273.15,"P",101325,"Water")</f>
        <v>984.81742839059712</v>
      </c>
      <c r="R47" cm="1">
        <f t="array" ref="R47">[1]!PropsSI("D","T",K47+273.15,"P",101325,"Water")</f>
        <v>990.09979462275408</v>
      </c>
      <c r="S47">
        <f t="shared" si="1"/>
        <v>987.45861150667565</v>
      </c>
      <c r="T47" cm="1">
        <f t="array" ref="T47">[1]!PropsSI("H","T",J47+273.15,"P",101325,"Water")</f>
        <v>237809.28334443239</v>
      </c>
      <c r="U47" cm="1">
        <f t="array" ref="U47">[1]!PropsSI("H","T",K47+273.15,"P",101325,"Water")</f>
        <v>189642.15868696308</v>
      </c>
      <c r="V47">
        <f t="shared" si="2"/>
        <v>746.84756950412259</v>
      </c>
      <c r="X47">
        <f t="shared" si="3"/>
        <v>0.26357623399999996</v>
      </c>
      <c r="Y47">
        <f t="shared" si="3"/>
        <v>0.24053930600000001</v>
      </c>
      <c r="Z47">
        <f t="shared" si="8"/>
        <v>0.35683552073831493</v>
      </c>
      <c r="AA47">
        <f t="shared" si="7"/>
        <v>11.518464000000002</v>
      </c>
      <c r="AB47">
        <f t="shared" si="5"/>
        <v>3.2553424826891948E-2</v>
      </c>
      <c r="AC47">
        <f t="shared" si="6"/>
        <v>24.312446210999415</v>
      </c>
    </row>
    <row r="48" spans="1:29" x14ac:dyDescent="0.2">
      <c r="A48" s="4">
        <v>46136.886897407407</v>
      </c>
      <c r="B48">
        <v>17.463733000000001</v>
      </c>
      <c r="C48">
        <v>17.682247</v>
      </c>
      <c r="D48">
        <v>19.432493000000001</v>
      </c>
      <c r="E48">
        <v>19.627573999999999</v>
      </c>
      <c r="F48">
        <v>28.940448</v>
      </c>
      <c r="G48">
        <v>27.083106999999998</v>
      </c>
      <c r="H48">
        <v>25.266044999999998</v>
      </c>
      <c r="I48">
        <v>22.014474</v>
      </c>
      <c r="J48">
        <v>56.795281000000003</v>
      </c>
      <c r="K48">
        <v>45.248871999999999</v>
      </c>
      <c r="L48">
        <v>424.08637199999998</v>
      </c>
      <c r="M48">
        <v>-622.48612300000002</v>
      </c>
      <c r="N48">
        <v>0.94500099999999998</v>
      </c>
      <c r="O48">
        <v>1.7397069999999999</v>
      </c>
      <c r="P48">
        <f t="shared" si="0"/>
        <v>1.5750016666666667E-5</v>
      </c>
      <c r="Q48" cm="1">
        <f t="array" ref="Q48">[1]!PropsSI("D","T",J48+273.15,"P",101325,"Water")</f>
        <v>984.81388067750891</v>
      </c>
      <c r="R48" cm="1">
        <f t="array" ref="R48">[1]!PropsSI("D","T",K48+273.15,"P",101325,"Water")</f>
        <v>990.10852898824589</v>
      </c>
      <c r="S48">
        <f t="shared" si="1"/>
        <v>987.46120483287746</v>
      </c>
      <c r="T48" cm="1">
        <f t="array" ref="T48">[1]!PropsSI("H","T",J48+273.15,"P",101325,"Water")</f>
        <v>237839.25486244354</v>
      </c>
      <c r="U48" cm="1">
        <f t="array" ref="U48">[1]!PropsSI("H","T",K48+273.15,"P",101325,"Water")</f>
        <v>189555.29009207533</v>
      </c>
      <c r="V48">
        <f t="shared" si="2"/>
        <v>750.93783155589915</v>
      </c>
      <c r="X48">
        <f t="shared" si="3"/>
        <v>0.26359056199999997</v>
      </c>
      <c r="Y48">
        <f t="shared" si="3"/>
        <v>0.24049774400000001</v>
      </c>
      <c r="Z48">
        <f t="shared" si="8"/>
        <v>0.35681808985050822</v>
      </c>
      <c r="AA48">
        <f t="shared" si="7"/>
        <v>11.546409000000004</v>
      </c>
      <c r="AB48">
        <f t="shared" si="5"/>
        <v>3.2480644456952999E-2</v>
      </c>
      <c r="AC48">
        <f t="shared" si="6"/>
        <v>24.390944716042419</v>
      </c>
    </row>
    <row r="49" spans="1:29" x14ac:dyDescent="0.2">
      <c r="A49" s="4">
        <v>46136.886955277776</v>
      </c>
      <c r="B49">
        <v>17.463082</v>
      </c>
      <c r="C49">
        <v>17.67305</v>
      </c>
      <c r="D49">
        <v>19.612463999999999</v>
      </c>
      <c r="E49">
        <v>19.749251999999998</v>
      </c>
      <c r="F49">
        <v>28.803584000000001</v>
      </c>
      <c r="G49">
        <v>26.755023999999999</v>
      </c>
      <c r="H49">
        <v>25.355689999999999</v>
      </c>
      <c r="I49">
        <v>21.875361000000002</v>
      </c>
      <c r="J49">
        <v>56.782863999999996</v>
      </c>
      <c r="K49">
        <v>45.236975000000001</v>
      </c>
      <c r="L49">
        <v>408.21084100000002</v>
      </c>
      <c r="M49">
        <v>-622.49061300000005</v>
      </c>
      <c r="N49">
        <v>0.94489400000000001</v>
      </c>
      <c r="O49">
        <v>1.4177280000000001</v>
      </c>
      <c r="P49">
        <f t="shared" si="0"/>
        <v>1.5748233333333333E-5</v>
      </c>
      <c r="Q49" cm="1">
        <f t="array" ref="Q49">[1]!PropsSI("D","T",J49+273.15,"P",101325,"Water")</f>
        <v>984.82002955094219</v>
      </c>
      <c r="R49" cm="1">
        <f t="array" ref="R49">[1]!PropsSI("D","T",K49+273.15,"P",101325,"Water")</f>
        <v>990.11352801050271</v>
      </c>
      <c r="S49">
        <f t="shared" si="1"/>
        <v>987.46677878072251</v>
      </c>
      <c r="T49" cm="1">
        <f t="array" ref="T49">[1]!PropsSI("H","T",J49+273.15,"P",101325,"Water")</f>
        <v>237787.30675414557</v>
      </c>
      <c r="U49" cm="1">
        <f t="array" ref="U49">[1]!PropsSI("H","T",K49+273.15,"P",101325,"Water")</f>
        <v>189505.55837239866</v>
      </c>
      <c r="V49">
        <f t="shared" si="2"/>
        <v>750.82257643785772</v>
      </c>
      <c r="X49">
        <f t="shared" si="3"/>
        <v>0.263565728</v>
      </c>
      <c r="Y49">
        <f t="shared" si="3"/>
        <v>0.24047394999999999</v>
      </c>
      <c r="Z49">
        <f t="shared" si="8"/>
        <v>0.35678370703378887</v>
      </c>
      <c r="AA49">
        <f t="shared" si="7"/>
        <v>11.545888999999995</v>
      </c>
      <c r="AB49">
        <f t="shared" si="5"/>
        <v>3.2479135374165101E-2</v>
      </c>
      <c r="AC49">
        <f t="shared" si="6"/>
        <v>24.386068102104606</v>
      </c>
    </row>
    <row r="50" spans="1:29" x14ac:dyDescent="0.2">
      <c r="A50" s="4">
        <v>46136.887013726853</v>
      </c>
      <c r="B50">
        <v>17.451934999999999</v>
      </c>
      <c r="C50">
        <v>17.717911999999998</v>
      </c>
      <c r="D50">
        <v>19.654385000000001</v>
      </c>
      <c r="E50">
        <v>19.824686</v>
      </c>
      <c r="F50">
        <v>28.797682999999999</v>
      </c>
      <c r="G50">
        <v>27.57236</v>
      </c>
      <c r="H50">
        <v>25.254000000000001</v>
      </c>
      <c r="I50">
        <v>21.706970999999999</v>
      </c>
      <c r="J50">
        <v>56.779679999999999</v>
      </c>
      <c r="K50">
        <v>45.234912999999999</v>
      </c>
      <c r="L50">
        <v>406.55704600000001</v>
      </c>
      <c r="M50">
        <v>-622.50408100000004</v>
      </c>
      <c r="N50">
        <v>0.94299699999999997</v>
      </c>
      <c r="O50">
        <v>1.8600749999999999</v>
      </c>
      <c r="P50">
        <f t="shared" si="0"/>
        <v>1.5716616666666668E-5</v>
      </c>
      <c r="Q50" cm="1">
        <f t="array" ref="Q50">[1]!PropsSI("D","T",J50+273.15,"P",101325,"Water")</f>
        <v>984.82160610996618</v>
      </c>
      <c r="R50" cm="1">
        <f t="array" ref="R50">[1]!PropsSI("D","T",K50+273.15,"P",101325,"Water")</f>
        <v>990.11439434606143</v>
      </c>
      <c r="S50">
        <f t="shared" si="1"/>
        <v>987.46800022801381</v>
      </c>
      <c r="T50" cm="1">
        <f t="array" ref="T50">[1]!PropsSI("H","T",J50+273.15,"P",101325,"Water")</f>
        <v>237773.98609239806</v>
      </c>
      <c r="U50" cm="1">
        <f t="array" ref="U50">[1]!PropsSI("H","T",K50+273.15,"P",101325,"Water")</f>
        <v>189496.93882360446</v>
      </c>
      <c r="V50">
        <f t="shared" si="2"/>
        <v>749.24316776459159</v>
      </c>
      <c r="X50">
        <f t="shared" si="3"/>
        <v>0.26355936000000002</v>
      </c>
      <c r="Y50">
        <f t="shared" si="3"/>
        <v>0.240469826</v>
      </c>
      <c r="Z50">
        <f t="shared" si="8"/>
        <v>0.3567762232269408</v>
      </c>
      <c r="AA50">
        <f t="shared" si="7"/>
        <v>11.544767</v>
      </c>
      <c r="AB50">
        <f t="shared" si="5"/>
        <v>3.248137594771669E-2</v>
      </c>
      <c r="AC50">
        <f t="shared" si="6"/>
        <v>24.336449008419866</v>
      </c>
    </row>
    <row r="51" spans="1:29" x14ac:dyDescent="0.2">
      <c r="A51" s="4">
        <v>46136.887071597223</v>
      </c>
      <c r="B51">
        <v>17.390982000000001</v>
      </c>
      <c r="C51">
        <v>17.815059000000002</v>
      </c>
      <c r="D51">
        <v>19.506003</v>
      </c>
      <c r="E51">
        <v>19.757989999999999</v>
      </c>
      <c r="F51">
        <v>28.908449999999998</v>
      </c>
      <c r="G51">
        <v>27.422371999999999</v>
      </c>
      <c r="H51">
        <v>25.400148000000002</v>
      </c>
      <c r="I51">
        <v>22.290666000000002</v>
      </c>
      <c r="J51">
        <v>56.776336999999998</v>
      </c>
      <c r="K51">
        <v>45.243637</v>
      </c>
      <c r="L51">
        <v>404.22328499999998</v>
      </c>
      <c r="M51">
        <v>-622.50897899999995</v>
      </c>
      <c r="N51">
        <v>0.94522200000000001</v>
      </c>
      <c r="O51">
        <v>1.7715780000000001</v>
      </c>
      <c r="P51">
        <f t="shared" si="0"/>
        <v>1.5753700000000001E-5</v>
      </c>
      <c r="Q51" cm="1">
        <f t="array" ref="Q51">[1]!PropsSI("D","T",J51+273.15,"P",101325,"Water")</f>
        <v>984.82326133140896</v>
      </c>
      <c r="R51" cm="1">
        <f t="array" ref="R51">[1]!PropsSI("D","T",K51+273.15,"P",101325,"Water")</f>
        <v>990.11072881366442</v>
      </c>
      <c r="S51">
        <f t="shared" si="1"/>
        <v>987.46699507253675</v>
      </c>
      <c r="T51" cm="1">
        <f t="array" ref="T51">[1]!PropsSI("H","T",J51+273.15,"P",101325,"Water")</f>
        <v>237760.00023853985</v>
      </c>
      <c r="U51" cm="1">
        <f t="array" ref="U51">[1]!PropsSI("H","T",K51+273.15,"P",101325,"Water")</f>
        <v>189533.4067943363</v>
      </c>
      <c r="V51">
        <f t="shared" si="2"/>
        <v>750.22536867363863</v>
      </c>
      <c r="X51">
        <f t="shared" si="3"/>
        <v>0.26355267399999999</v>
      </c>
      <c r="Y51">
        <f t="shared" si="3"/>
        <v>0.240487274</v>
      </c>
      <c r="Z51">
        <f t="shared" si="8"/>
        <v>0.35678304462025845</v>
      </c>
      <c r="AA51">
        <f t="shared" si="7"/>
        <v>11.532699999999998</v>
      </c>
      <c r="AB51">
        <f t="shared" si="5"/>
        <v>3.251270517155222E-2</v>
      </c>
      <c r="AC51">
        <f t="shared" si="6"/>
        <v>24.39185622390508</v>
      </c>
    </row>
    <row r="52" spans="1:29" x14ac:dyDescent="0.2">
      <c r="A52" s="4">
        <v>46136.8871300463</v>
      </c>
      <c r="B52">
        <v>17.650390999999999</v>
      </c>
      <c r="C52">
        <v>17.879712000000001</v>
      </c>
      <c r="D52">
        <v>19.561688</v>
      </c>
      <c r="E52">
        <v>19.852387</v>
      </c>
      <c r="F52">
        <v>28.936779000000001</v>
      </c>
      <c r="G52">
        <v>26.347919000000001</v>
      </c>
      <c r="H52">
        <v>25.426666999999998</v>
      </c>
      <c r="I52">
        <v>22.311294</v>
      </c>
      <c r="J52">
        <v>56.769173000000002</v>
      </c>
      <c r="K52">
        <v>45.241098999999998</v>
      </c>
      <c r="L52">
        <v>380.61548800000003</v>
      </c>
      <c r="M52">
        <v>-622.47143000000005</v>
      </c>
      <c r="N52">
        <v>0.94440199999999996</v>
      </c>
      <c r="O52">
        <v>1.5644530000000001</v>
      </c>
      <c r="P52">
        <f t="shared" si="0"/>
        <v>1.5740033333333332E-5</v>
      </c>
      <c r="Q52" cm="1">
        <f t="array" ref="Q52">[1]!PropsSI("D","T",J52+273.15,"P",101325,"Water")</f>
        <v>984.82680821730992</v>
      </c>
      <c r="R52" cm="1">
        <f t="array" ref="R52">[1]!PropsSI("D","T",K52+273.15,"P",101325,"Water")</f>
        <v>990.1117952507567</v>
      </c>
      <c r="S52">
        <f t="shared" si="1"/>
        <v>987.46930173403325</v>
      </c>
      <c r="T52" cm="1">
        <f t="array" ref="T52">[1]!PropsSI("H","T",J52+273.15,"P",101325,"Water")</f>
        <v>237730.028773286</v>
      </c>
      <c r="U52" cm="1">
        <f t="array" ref="U52">[1]!PropsSI("H","T",K52+273.15,"P",101325,"Water")</f>
        <v>189522.79747248077</v>
      </c>
      <c r="V52">
        <f t="shared" si="2"/>
        <v>749.27534140213345</v>
      </c>
      <c r="X52">
        <f t="shared" si="3"/>
        <v>0.26353834600000003</v>
      </c>
      <c r="Y52">
        <f t="shared" si="3"/>
        <v>0.24048219799999998</v>
      </c>
      <c r="Z52">
        <f t="shared" si="8"/>
        <v>0.35676903924994241</v>
      </c>
      <c r="AA52">
        <f t="shared" si="7"/>
        <v>11.528074000000004</v>
      </c>
      <c r="AB52">
        <f t="shared" si="5"/>
        <v>3.2523361863734196E-2</v>
      </c>
      <c r="AC52">
        <f t="shared" si="6"/>
        <v>24.368953063994567</v>
      </c>
    </row>
    <row r="53" spans="1:29" x14ac:dyDescent="0.2">
      <c r="A53" s="4">
        <v>46136.887187916669</v>
      </c>
      <c r="B53">
        <v>17.798378</v>
      </c>
      <c r="C53">
        <v>18.064430999999999</v>
      </c>
      <c r="D53">
        <v>19.509847000000001</v>
      </c>
      <c r="E53">
        <v>19.826492999999999</v>
      </c>
      <c r="F53">
        <v>29.005074</v>
      </c>
      <c r="G53">
        <v>27.455708999999999</v>
      </c>
      <c r="H53">
        <v>25.555731000000002</v>
      </c>
      <c r="I53">
        <v>22.187227</v>
      </c>
      <c r="J53">
        <v>56.778565999999998</v>
      </c>
      <c r="K53">
        <v>45.255851999999997</v>
      </c>
      <c r="L53">
        <v>406.88560100000001</v>
      </c>
      <c r="M53">
        <v>-622.49755100000004</v>
      </c>
      <c r="N53">
        <v>0.94207099999999999</v>
      </c>
      <c r="O53">
        <v>1.6837789999999999</v>
      </c>
      <c r="P53">
        <f t="shared" si="0"/>
        <v>1.5701183333333335E-5</v>
      </c>
      <c r="Q53" cm="1">
        <f t="array" ref="Q53">[1]!PropsSI("D","T",J53+273.15,"P",101325,"Water")</f>
        <v>984.82215769299194</v>
      </c>
      <c r="R53" cm="1">
        <f t="array" ref="R53">[1]!PropsSI("D","T",K53+273.15,"P",101325,"Water")</f>
        <v>990.10559559151238</v>
      </c>
      <c r="S53">
        <f t="shared" si="1"/>
        <v>987.46387664225222</v>
      </c>
      <c r="T53" cm="1">
        <f t="array" ref="T53">[1]!PropsSI("H","T",J53+273.15,"P",101325,"Water")</f>
        <v>237769.32553514242</v>
      </c>
      <c r="U53" cm="1">
        <f t="array" ref="U53">[1]!PropsSI("H","T",K53+273.15,"P",101325,"Water")</f>
        <v>189584.46783095316</v>
      </c>
      <c r="V53">
        <f t="shared" si="2"/>
        <v>747.07496418355527</v>
      </c>
      <c r="X53">
        <f t="shared" si="3"/>
        <v>0.26355713199999997</v>
      </c>
      <c r="Y53">
        <f t="shared" si="3"/>
        <v>0.24051170399999999</v>
      </c>
      <c r="Z53">
        <f t="shared" si="8"/>
        <v>0.35680280490636423</v>
      </c>
      <c r="AA53">
        <f t="shared" si="7"/>
        <v>11.522714000000001</v>
      </c>
      <c r="AB53">
        <f t="shared" si="5"/>
        <v>3.2539849276530877E-2</v>
      </c>
      <c r="AC53">
        <f t="shared" si="6"/>
        <v>24.309706732802592</v>
      </c>
    </row>
    <row r="54" spans="1:29" x14ac:dyDescent="0.2">
      <c r="A54" s="4">
        <v>46136.887245787038</v>
      </c>
      <c r="B54">
        <v>17.847725000000001</v>
      </c>
      <c r="C54">
        <v>18.089917</v>
      </c>
      <c r="D54">
        <v>19.712174000000001</v>
      </c>
      <c r="E54">
        <v>19.884067000000002</v>
      </c>
      <c r="F54">
        <v>29.137733999999998</v>
      </c>
      <c r="G54">
        <v>27.949601999999999</v>
      </c>
      <c r="H54">
        <v>25.937919999999998</v>
      </c>
      <c r="I54">
        <v>22.373564999999999</v>
      </c>
      <c r="J54">
        <v>56.765830000000001</v>
      </c>
      <c r="K54">
        <v>45.261721000000001</v>
      </c>
      <c r="L54">
        <v>389.64442400000001</v>
      </c>
      <c r="M54">
        <v>-622.49836700000003</v>
      </c>
      <c r="N54">
        <v>0.94371799999999995</v>
      </c>
      <c r="O54">
        <v>1.880954</v>
      </c>
      <c r="P54">
        <f t="shared" si="0"/>
        <v>1.5728633333333334E-5</v>
      </c>
      <c r="Q54" cm="1">
        <f t="array" ref="Q54">[1]!PropsSI("D","T",J54+273.15,"P",101325,"Water")</f>
        <v>984.82846322463558</v>
      </c>
      <c r="R54" cm="1">
        <f t="array" ref="R54">[1]!PropsSI("D","T",K54+273.15,"P",101325,"Water")</f>
        <v>990.10312883879237</v>
      </c>
      <c r="S54">
        <f t="shared" si="1"/>
        <v>987.46579603171404</v>
      </c>
      <c r="T54" cm="1">
        <f t="array" ref="T54">[1]!PropsSI("H","T",J54+273.15,"P",101325,"Water")</f>
        <v>237716.04293305113</v>
      </c>
      <c r="U54" cm="1">
        <f t="array" ref="U54">[1]!PropsSI("H","T",K54+273.15,"P",101325,"Water")</f>
        <v>189609.00138430309</v>
      </c>
      <c r="V54">
        <f t="shared" si="2"/>
        <v>747.17391134896786</v>
      </c>
      <c r="X54">
        <f t="shared" si="3"/>
        <v>0.26353166</v>
      </c>
      <c r="Y54">
        <f t="shared" si="3"/>
        <v>0.240523442</v>
      </c>
      <c r="Z54">
        <f t="shared" si="8"/>
        <v>0.35679190289843038</v>
      </c>
      <c r="AA54">
        <f t="shared" si="7"/>
        <v>11.504109</v>
      </c>
      <c r="AB54">
        <f t="shared" si="5"/>
        <v>3.2586605931293006E-2</v>
      </c>
      <c r="AC54">
        <f t="shared" si="6"/>
        <v>24.34786181127167</v>
      </c>
    </row>
    <row r="55" spans="1:29" x14ac:dyDescent="0.2">
      <c r="A55" s="4">
        <v>46136.887304236108</v>
      </c>
      <c r="B55">
        <v>18.060797999999998</v>
      </c>
      <c r="C55">
        <v>18.377244999999998</v>
      </c>
      <c r="D55">
        <v>19.851604999999999</v>
      </c>
      <c r="E55">
        <v>19.866710000000001</v>
      </c>
      <c r="F55">
        <v>29.129142999999999</v>
      </c>
      <c r="G55">
        <v>27.330634</v>
      </c>
      <c r="H55">
        <v>25.728916000000002</v>
      </c>
      <c r="I55">
        <v>22.002652999999999</v>
      </c>
      <c r="J55">
        <v>56.754367999999999</v>
      </c>
      <c r="K55">
        <v>45.269970000000001</v>
      </c>
      <c r="L55">
        <v>405.219562</v>
      </c>
      <c r="M55">
        <v>-622.48693900000001</v>
      </c>
      <c r="N55">
        <v>0.94348500000000002</v>
      </c>
      <c r="O55">
        <v>1.6196429999999999</v>
      </c>
      <c r="P55">
        <f t="shared" si="0"/>
        <v>1.5724750000000002E-5</v>
      </c>
      <c r="Q55" cm="1">
        <f t="array" ref="Q55">[1]!PropsSI("D","T",J55+273.15,"P",101325,"Water")</f>
        <v>984.83413715968027</v>
      </c>
      <c r="R55" cm="1">
        <f t="array" ref="R55">[1]!PropsSI("D","T",K55+273.15,"P",101325,"Water")</f>
        <v>990.09966136273295</v>
      </c>
      <c r="S55">
        <f t="shared" si="1"/>
        <v>987.46689926120666</v>
      </c>
      <c r="T55" cm="1">
        <f t="array" ref="T55">[1]!PropsSI("H","T",J55+273.15,"P",101325,"Water")</f>
        <v>237668.09031852984</v>
      </c>
      <c r="U55" cm="1">
        <f t="array" ref="U55">[1]!PropsSI("H","T",K55+273.15,"P",101325,"Water")</f>
        <v>189643.48380890954</v>
      </c>
      <c r="V55">
        <f t="shared" si="2"/>
        <v>745.71024772385863</v>
      </c>
      <c r="X55">
        <f t="shared" si="3"/>
        <v>0.26350873600000002</v>
      </c>
      <c r="Y55">
        <f t="shared" si="3"/>
        <v>0.24053994000000001</v>
      </c>
      <c r="Z55">
        <f t="shared" si="8"/>
        <v>0.35678609373617876</v>
      </c>
      <c r="AA55">
        <f t="shared" si="7"/>
        <v>11.484397999999999</v>
      </c>
      <c r="AB55">
        <f t="shared" si="5"/>
        <v>3.2636790863681223E-2</v>
      </c>
      <c r="AC55">
        <f t="shared" si="6"/>
        <v>24.33758939986749</v>
      </c>
    </row>
    <row r="56" spans="1:29" x14ac:dyDescent="0.2">
      <c r="A56" s="4">
        <v>46136.887362685186</v>
      </c>
      <c r="B56">
        <v>17.836027000000001</v>
      </c>
      <c r="C56">
        <v>18.178045999999998</v>
      </c>
      <c r="D56">
        <v>19.595832000000001</v>
      </c>
      <c r="E56">
        <v>19.983076000000001</v>
      </c>
      <c r="F56">
        <v>29.166083</v>
      </c>
      <c r="G56">
        <v>28.178349999999998</v>
      </c>
      <c r="H56">
        <v>25.765423999999999</v>
      </c>
      <c r="I56">
        <v>22.242497</v>
      </c>
      <c r="J56">
        <v>56.754049000000002</v>
      </c>
      <c r="K56">
        <v>45.280597999999998</v>
      </c>
      <c r="L56">
        <v>406.75499500000001</v>
      </c>
      <c r="M56">
        <v>-622.46489999999994</v>
      </c>
      <c r="N56">
        <v>0.94648399999999999</v>
      </c>
      <c r="O56">
        <v>1.429254</v>
      </c>
      <c r="P56">
        <f t="shared" si="0"/>
        <v>1.5774733333333333E-5</v>
      </c>
      <c r="Q56" cm="1">
        <f t="array" ref="Q56">[1]!PropsSI("D","T",J56+273.15,"P",101325,"Water")</f>
        <v>984.83429506004018</v>
      </c>
      <c r="R56" cm="1">
        <f t="array" ref="R56">[1]!PropsSI("D","T",K56+273.15,"P",101325,"Water")</f>
        <v>990.09519317465447</v>
      </c>
      <c r="S56">
        <f t="shared" si="1"/>
        <v>987.46474411734732</v>
      </c>
      <c r="T56" cm="1">
        <f t="array" ref="T56">[1]!PropsSI("H","T",J56+273.15,"P",101325,"Water")</f>
        <v>237666.75574555402</v>
      </c>
      <c r="U56" cm="1">
        <f t="array" ref="U56">[1]!PropsSI("H","T",K56+273.15,"P",101325,"Water")</f>
        <v>189687.91093635888</v>
      </c>
      <c r="V56">
        <f t="shared" si="2"/>
        <v>747.36613043754267</v>
      </c>
      <c r="X56">
        <f t="shared" ref="X56:Y109" si="9">(0.15+0.002*ABS(J56))</f>
        <v>0.26350809799999997</v>
      </c>
      <c r="Y56">
        <f t="shared" si="9"/>
        <v>0.24056119599999998</v>
      </c>
      <c r="Z56">
        <f t="shared" si="8"/>
        <v>0.35679995338078169</v>
      </c>
      <c r="AA56">
        <f t="shared" si="7"/>
        <v>11.473451000000004</v>
      </c>
      <c r="AB56">
        <f t="shared" si="5"/>
        <v>3.26661579445209E-2</v>
      </c>
      <c r="AC56">
        <f t="shared" si="6"/>
        <v>24.413580059258177</v>
      </c>
    </row>
    <row r="57" spans="1:29" x14ac:dyDescent="0.2">
      <c r="A57" s="4">
        <v>46136.887420555555</v>
      </c>
      <c r="B57">
        <v>17.619554000000001</v>
      </c>
      <c r="C57">
        <v>17.966899999999999</v>
      </c>
      <c r="D57">
        <v>19.769292</v>
      </c>
      <c r="E57">
        <v>19.90934</v>
      </c>
      <c r="F57">
        <v>28.792043</v>
      </c>
      <c r="G57">
        <v>26.635254</v>
      </c>
      <c r="H57">
        <v>25.572571</v>
      </c>
      <c r="I57">
        <v>21.919038</v>
      </c>
      <c r="J57">
        <v>56.748637000000002</v>
      </c>
      <c r="K57">
        <v>45.296779000000001</v>
      </c>
      <c r="L57">
        <v>408.69326599999999</v>
      </c>
      <c r="M57">
        <v>-622.48489900000004</v>
      </c>
      <c r="N57">
        <v>0.94433699999999998</v>
      </c>
      <c r="O57">
        <v>1.6607270000000001</v>
      </c>
      <c r="P57">
        <f t="shared" si="0"/>
        <v>1.5738949999999999E-5</v>
      </c>
      <c r="Q57" cm="1">
        <f t="array" ref="Q57">[1]!PropsSI("D","T",J57+273.15,"P",101325,"Water")</f>
        <v>984.83697382685023</v>
      </c>
      <c r="R57" cm="1">
        <f t="array" ref="R57">[1]!PropsSI("D","T",K57+273.15,"P",101325,"Water")</f>
        <v>990.0883889066489</v>
      </c>
      <c r="S57">
        <f t="shared" si="1"/>
        <v>987.46268136674962</v>
      </c>
      <c r="T57" cm="1">
        <f t="array" ref="T57">[1]!PropsSI("H","T",J57+273.15,"P",101325,"Water")</f>
        <v>237644.1140303679</v>
      </c>
      <c r="U57" cm="1">
        <f t="array" ref="U57">[1]!PropsSI("H","T",K57+273.15,"P",101325,"Water")</f>
        <v>189755.55073795636</v>
      </c>
      <c r="V57">
        <f t="shared" si="2"/>
        <v>744.26612930080773</v>
      </c>
      <c r="X57">
        <f t="shared" si="9"/>
        <v>0.263497274</v>
      </c>
      <c r="Y57">
        <f t="shared" si="9"/>
        <v>0.24059355799999999</v>
      </c>
      <c r="Z57">
        <f t="shared" si="8"/>
        <v>0.35681377994204544</v>
      </c>
      <c r="AA57">
        <f t="shared" si="7"/>
        <v>11.451858000000001</v>
      </c>
      <c r="AB57">
        <f t="shared" si="5"/>
        <v>3.2723133832769612E-2</v>
      </c>
      <c r="AC57">
        <f t="shared" si="6"/>
        <v>24.354720156307742</v>
      </c>
    </row>
    <row r="58" spans="1:29" x14ac:dyDescent="0.2">
      <c r="A58" s="4">
        <v>46136.887479004632</v>
      </c>
      <c r="B58">
        <v>17.767603000000001</v>
      </c>
      <c r="C58">
        <v>17.868904000000001</v>
      </c>
      <c r="D58">
        <v>19.874842000000001</v>
      </c>
      <c r="E58">
        <v>19.857536</v>
      </c>
      <c r="F58">
        <v>29.176083999999999</v>
      </c>
      <c r="G58">
        <v>27.437013</v>
      </c>
      <c r="H58">
        <v>25.427447999999998</v>
      </c>
      <c r="I58">
        <v>21.981976</v>
      </c>
      <c r="J58">
        <v>56.739880999999997</v>
      </c>
      <c r="K58">
        <v>45.280281000000002</v>
      </c>
      <c r="L58">
        <v>394.119302</v>
      </c>
      <c r="M58">
        <v>-622.47755199999995</v>
      </c>
      <c r="N58">
        <v>0.94292699999999996</v>
      </c>
      <c r="O58">
        <v>1.3602000000000001</v>
      </c>
      <c r="P58">
        <f t="shared" si="0"/>
        <v>1.5715449999999999E-5</v>
      </c>
      <c r="Q58" cm="1">
        <f t="array" ref="Q58">[1]!PropsSI("D","T",J58+273.15,"P",101325,"Water")</f>
        <v>984.84130738841498</v>
      </c>
      <c r="R58" cm="1">
        <f t="array" ref="R58">[1]!PropsSI("D","T",K58+273.15,"P",101325,"Water")</f>
        <v>990.09532645808508</v>
      </c>
      <c r="S58">
        <f t="shared" si="1"/>
        <v>987.46831692325009</v>
      </c>
      <c r="T58" cm="1">
        <f t="array" ref="T58">[1]!PropsSI("H","T",J58+273.15,"P",101325,"Water")</f>
        <v>237607.48233644807</v>
      </c>
      <c r="U58" cm="1">
        <f t="array" ref="U58">[1]!PropsSI("H","T",K58+273.15,"P",101325,"Water")</f>
        <v>189686.58581377828</v>
      </c>
      <c r="V58">
        <f t="shared" si="2"/>
        <v>743.66086211538129</v>
      </c>
      <c r="X58">
        <f t="shared" si="9"/>
        <v>0.26347976200000001</v>
      </c>
      <c r="Y58">
        <f t="shared" si="9"/>
        <v>0.24056056200000001</v>
      </c>
      <c r="Z58">
        <f t="shared" si="8"/>
        <v>0.356778599376886</v>
      </c>
      <c r="AA58">
        <f t="shared" si="7"/>
        <v>11.459599999999995</v>
      </c>
      <c r="AB58">
        <f t="shared" si="5"/>
        <v>3.2700168679444828E-2</v>
      </c>
      <c r="AC58">
        <f t="shared" si="6"/>
        <v>24.317835631474331</v>
      </c>
    </row>
    <row r="59" spans="1:29" x14ac:dyDescent="0.2">
      <c r="A59" s="4">
        <v>46136.887537453702</v>
      </c>
      <c r="B59">
        <v>17.673275</v>
      </c>
      <c r="C59">
        <v>18.166522000000001</v>
      </c>
      <c r="D59">
        <v>19.555727000000001</v>
      </c>
      <c r="E59">
        <v>19.823221</v>
      </c>
      <c r="F59">
        <v>29.008454</v>
      </c>
      <c r="G59">
        <v>27.623618</v>
      </c>
      <c r="H59">
        <v>25.633109000000001</v>
      </c>
      <c r="I59">
        <v>21.97072</v>
      </c>
      <c r="J59">
        <v>56.743065000000001</v>
      </c>
      <c r="K59">
        <v>45.273618999999997</v>
      </c>
      <c r="L59">
        <v>401.74177700000001</v>
      </c>
      <c r="M59">
        <v>-622.48489900000004</v>
      </c>
      <c r="N59">
        <v>0.94338999999999995</v>
      </c>
      <c r="O59">
        <v>1.751868</v>
      </c>
      <c r="P59">
        <f t="shared" si="0"/>
        <v>1.5723166666666665E-5</v>
      </c>
      <c r="Q59" cm="1">
        <f t="array" ref="Q59">[1]!PropsSI("D","T",J59+273.15,"P",101325,"Water")</f>
        <v>984.83973160195626</v>
      </c>
      <c r="R59" cm="1">
        <f t="array" ref="R59">[1]!PropsSI("D","T",K59+273.15,"P",101325,"Water")</f>
        <v>990.09812735084597</v>
      </c>
      <c r="S59">
        <f t="shared" si="1"/>
        <v>987.46892947640117</v>
      </c>
      <c r="T59" cm="1">
        <f t="array" ref="T59">[1]!PropsSI("H","T",J59+273.15,"P",101325,"Water")</f>
        <v>237620.80294893432</v>
      </c>
      <c r="U59" cm="1">
        <f t="array" ref="U59">[1]!PropsSI("H","T",K59+273.15,"P",101325,"Water")</f>
        <v>189658.73734305496</v>
      </c>
      <c r="V59">
        <f t="shared" si="2"/>
        <v>744.66567604382669</v>
      </c>
      <c r="X59">
        <f t="shared" si="9"/>
        <v>0.26348612999999999</v>
      </c>
      <c r="Y59">
        <f t="shared" si="9"/>
        <v>0.240547238</v>
      </c>
      <c r="Z59">
        <f t="shared" si="8"/>
        <v>0.35677431859903475</v>
      </c>
      <c r="AA59">
        <f t="shared" si="7"/>
        <v>11.469446000000005</v>
      </c>
      <c r="AB59">
        <f t="shared" si="5"/>
        <v>3.2674367994006859E-2</v>
      </c>
      <c r="AC59">
        <f t="shared" si="6"/>
        <v>24.331480331561892</v>
      </c>
    </row>
    <row r="60" spans="1:29" x14ac:dyDescent="0.2">
      <c r="A60" s="4">
        <v>46136.887595324071</v>
      </c>
      <c r="B60">
        <v>17.822084</v>
      </c>
      <c r="C60">
        <v>18.283791999999998</v>
      </c>
      <c r="D60">
        <v>19.721482999999999</v>
      </c>
      <c r="E60">
        <v>19.842032</v>
      </c>
      <c r="F60">
        <v>29.04665</v>
      </c>
      <c r="G60">
        <v>27.691583999999999</v>
      </c>
      <c r="H60">
        <v>25.429632999999999</v>
      </c>
      <c r="I60">
        <v>21.999231000000002</v>
      </c>
      <c r="J60">
        <v>56.737015</v>
      </c>
      <c r="K60">
        <v>45.264100999999997</v>
      </c>
      <c r="L60">
        <v>399.36597799999998</v>
      </c>
      <c r="M60">
        <v>-622.48938799999996</v>
      </c>
      <c r="N60">
        <v>0.94606599999999996</v>
      </c>
      <c r="O60">
        <v>1.194045</v>
      </c>
      <c r="P60">
        <f t="shared" si="0"/>
        <v>1.5767766666666665E-5</v>
      </c>
      <c r="Q60" cm="1">
        <f t="array" ref="Q60">[1]!PropsSI("D","T",J60+273.15,"P",101325,"Water")</f>
        <v>984.84272574135491</v>
      </c>
      <c r="R60" cm="1">
        <f t="array" ref="R60">[1]!PropsSI("D","T",K60+273.15,"P",101325,"Water")</f>
        <v>990.10212845173999</v>
      </c>
      <c r="S60">
        <f t="shared" si="1"/>
        <v>987.47242709654745</v>
      </c>
      <c r="T60" cm="1">
        <f t="array" ref="T60">[1]!PropsSI("H","T",J60+273.15,"P",101325,"Water")</f>
        <v>237595.49211506755</v>
      </c>
      <c r="U60" cm="1">
        <f t="array" ref="U60">[1]!PropsSI("H","T",K60+273.15,"P",101325,"Water")</f>
        <v>189618.95024587752</v>
      </c>
      <c r="V60">
        <f t="shared" si="2"/>
        <v>747.00602276566292</v>
      </c>
      <c r="X60">
        <f t="shared" si="9"/>
        <v>0.26347403000000003</v>
      </c>
      <c r="Y60">
        <f t="shared" si="9"/>
        <v>0.24052820199999997</v>
      </c>
      <c r="Z60">
        <f t="shared" si="8"/>
        <v>0.35675254791212591</v>
      </c>
      <c r="AA60">
        <f t="shared" si="7"/>
        <v>11.472914000000003</v>
      </c>
      <c r="AB60">
        <f t="shared" si="5"/>
        <v>3.2663610063519241E-2</v>
      </c>
      <c r="AC60">
        <f t="shared" si="6"/>
        <v>24.399913442717992</v>
      </c>
    </row>
    <row r="61" spans="1:29" x14ac:dyDescent="0.2">
      <c r="A61" s="4">
        <v>46136.887653773148</v>
      </c>
      <c r="B61">
        <v>17.670562</v>
      </c>
      <c r="C61">
        <v>17.909213000000001</v>
      </c>
      <c r="D61">
        <v>19.624956999999998</v>
      </c>
      <c r="E61">
        <v>19.778490999999999</v>
      </c>
      <c r="F61">
        <v>28.970766000000001</v>
      </c>
      <c r="G61">
        <v>27.358737999999999</v>
      </c>
      <c r="H61">
        <v>25.435248999999999</v>
      </c>
      <c r="I61">
        <v>21.683174999999999</v>
      </c>
      <c r="J61">
        <v>56.732239999999997</v>
      </c>
      <c r="K61">
        <v>45.265528000000003</v>
      </c>
      <c r="L61">
        <v>396.18328000000002</v>
      </c>
      <c r="M61">
        <v>-622.47183800000005</v>
      </c>
      <c r="N61">
        <v>0.94570200000000004</v>
      </c>
      <c r="O61">
        <v>1.25963</v>
      </c>
      <c r="P61">
        <f t="shared" si="0"/>
        <v>1.5761700000000002E-5</v>
      </c>
      <c r="Q61" cm="1">
        <f t="array" ref="Q61">[1]!PropsSI("D","T",J61+273.15,"P",101325,"Water")</f>
        <v>984.84508872686206</v>
      </c>
      <c r="R61" cm="1">
        <f t="array" ref="R61">[1]!PropsSI("D","T",K61+273.15,"P",101325,"Water")</f>
        <v>990.10152862097641</v>
      </c>
      <c r="S61">
        <f t="shared" si="1"/>
        <v>987.47330867391929</v>
      </c>
      <c r="T61" cm="1">
        <f t="array" ref="T61">[1]!PropsSI("H","T",J61+273.15,"P",101325,"Water")</f>
        <v>237575.515392578</v>
      </c>
      <c r="U61" cm="1">
        <f t="array" ref="U61">[1]!PropsSI("H","T",K61+273.15,"P",101325,"Water")</f>
        <v>189624.915383093</v>
      </c>
      <c r="V61">
        <f t="shared" si="2"/>
        <v>746.31551216762477</v>
      </c>
      <c r="X61">
        <f t="shared" si="9"/>
        <v>0.26346448</v>
      </c>
      <c r="Y61">
        <f t="shared" si="9"/>
        <v>0.24053105600000002</v>
      </c>
      <c r="Z61">
        <f t="shared" si="8"/>
        <v>0.35674741922282427</v>
      </c>
      <c r="AA61">
        <f t="shared" si="7"/>
        <v>11.466711999999994</v>
      </c>
      <c r="AB61">
        <f t="shared" si="5"/>
        <v>3.2679195542709823E-2</v>
      </c>
      <c r="AC61">
        <f t="shared" si="6"/>
        <v>24.388990558683442</v>
      </c>
    </row>
    <row r="62" spans="1:29" x14ac:dyDescent="0.2">
      <c r="A62" s="4">
        <v>46136.887712222226</v>
      </c>
      <c r="B62">
        <v>17.802486999999999</v>
      </c>
      <c r="C62">
        <v>17.984228999999999</v>
      </c>
      <c r="D62">
        <v>19.654259</v>
      </c>
      <c r="E62">
        <v>19.942914999999999</v>
      </c>
      <c r="F62">
        <v>28.978888999999999</v>
      </c>
      <c r="G62">
        <v>27.244489000000002</v>
      </c>
      <c r="H62">
        <v>25.726078000000001</v>
      </c>
      <c r="I62">
        <v>22.231847999999999</v>
      </c>
      <c r="J62">
        <v>56.722687999999998</v>
      </c>
      <c r="K62">
        <v>45.257120999999998</v>
      </c>
      <c r="L62">
        <v>405.17670700000002</v>
      </c>
      <c r="M62">
        <v>-622.47183800000005</v>
      </c>
      <c r="N62">
        <v>0.94350900000000004</v>
      </c>
      <c r="O62">
        <v>1.8233999999999999</v>
      </c>
      <c r="P62">
        <f t="shared" si="0"/>
        <v>1.572515E-5</v>
      </c>
      <c r="Q62" cm="1">
        <f t="array" ref="Q62">[1]!PropsSI("D","T",J62+273.15,"P",101325,"Water")</f>
        <v>984.84981527030345</v>
      </c>
      <c r="R62" cm="1">
        <f t="array" ref="R62">[1]!PropsSI("D","T",K62+273.15,"P",101325,"Water")</f>
        <v>990.10506224849689</v>
      </c>
      <c r="S62">
        <f t="shared" si="1"/>
        <v>987.47743875940023</v>
      </c>
      <c r="T62" cm="1">
        <f t="array" ref="T62">[1]!PropsSI("H","T",J62+273.15,"P",101325,"Water")</f>
        <v>237535.5536069154</v>
      </c>
      <c r="U62" cm="1">
        <f t="array" ref="U62">[1]!PropsSI("H","T",K62+273.15,"P",101325,"Water")</f>
        <v>189589.77249542193</v>
      </c>
      <c r="V62">
        <f t="shared" si="2"/>
        <v>744.51315719620561</v>
      </c>
      <c r="X62">
        <f t="shared" si="9"/>
        <v>0.26344537600000001</v>
      </c>
      <c r="Y62">
        <f t="shared" si="9"/>
        <v>0.24051424199999999</v>
      </c>
      <c r="Z62">
        <f t="shared" si="8"/>
        <v>0.35672197400863315</v>
      </c>
      <c r="AA62">
        <f t="shared" si="7"/>
        <v>11.465567</v>
      </c>
      <c r="AB62">
        <f t="shared" si="5"/>
        <v>3.2680040623416562E-2</v>
      </c>
      <c r="AC62">
        <f t="shared" si="6"/>
        <v>24.330720221840121</v>
      </c>
    </row>
    <row r="63" spans="1:29" x14ac:dyDescent="0.2">
      <c r="A63" s="4">
        <v>46136.887770092595</v>
      </c>
      <c r="B63">
        <v>17.644707</v>
      </c>
      <c r="C63">
        <v>17.943863</v>
      </c>
      <c r="D63">
        <v>19.642703999999998</v>
      </c>
      <c r="E63">
        <v>19.855062</v>
      </c>
      <c r="F63">
        <v>28.941962</v>
      </c>
      <c r="G63">
        <v>27.231864999999999</v>
      </c>
      <c r="H63">
        <v>25.823585000000001</v>
      </c>
      <c r="I63">
        <v>22.538057999999999</v>
      </c>
      <c r="J63">
        <v>56.714250999999997</v>
      </c>
      <c r="K63">
        <v>45.251252000000001</v>
      </c>
      <c r="L63">
        <v>403.46087499999999</v>
      </c>
      <c r="M63">
        <v>-622.50979500000005</v>
      </c>
      <c r="N63">
        <v>0.94395600000000002</v>
      </c>
      <c r="O63">
        <v>2.15646</v>
      </c>
      <c r="P63">
        <f t="shared" si="0"/>
        <v>1.5732599999999999E-5</v>
      </c>
      <c r="Q63" cm="1">
        <f t="array" ref="Q63">[1]!PropsSI("D","T",J63+273.15,"P",101325,"Water")</f>
        <v>984.85398962397426</v>
      </c>
      <c r="R63" cm="1">
        <f t="array" ref="R63">[1]!PropsSI("D","T",K63+273.15,"P",101325,"Water")</f>
        <v>990.10752881363896</v>
      </c>
      <c r="S63">
        <f t="shared" si="1"/>
        <v>987.48075921880661</v>
      </c>
      <c r="T63" cm="1">
        <f t="array" ref="T63">[1]!PropsSI("H","T",J63+273.15,"P",101325,"Water")</f>
        <v>237500.25656916684</v>
      </c>
      <c r="U63" cm="1">
        <f t="array" ref="U63">[1]!PropsSI("H","T",K63+273.15,"P",101325,"Water")</f>
        <v>189565.23894749972</v>
      </c>
      <c r="V63">
        <f t="shared" si="2"/>
        <v>744.70116721667966</v>
      </c>
      <c r="X63">
        <f t="shared" si="9"/>
        <v>0.26342850200000001</v>
      </c>
      <c r="Y63">
        <f t="shared" si="9"/>
        <v>0.24050250400000001</v>
      </c>
      <c r="Z63">
        <f t="shared" si="8"/>
        <v>0.35670159811281199</v>
      </c>
      <c r="AA63">
        <f t="shared" si="7"/>
        <v>11.462998999999996</v>
      </c>
      <c r="AB63">
        <f t="shared" si="5"/>
        <v>3.2684984030129649E-2</v>
      </c>
      <c r="AC63">
        <f t="shared" si="6"/>
        <v>24.340545757696084</v>
      </c>
    </row>
    <row r="64" spans="1:29" x14ac:dyDescent="0.2">
      <c r="A64" s="4">
        <v>46136.887828541665</v>
      </c>
      <c r="B64">
        <v>17.885265</v>
      </c>
      <c r="C64">
        <v>18.208397000000001</v>
      </c>
      <c r="D64">
        <v>19.625515</v>
      </c>
      <c r="E64">
        <v>19.92013</v>
      </c>
      <c r="F64">
        <v>29.315094999999999</v>
      </c>
      <c r="G64">
        <v>27.785554000000001</v>
      </c>
      <c r="H64">
        <v>25.450447</v>
      </c>
      <c r="I64">
        <v>22.131920000000001</v>
      </c>
      <c r="J64">
        <v>56.709156</v>
      </c>
      <c r="K64">
        <v>45.25141</v>
      </c>
      <c r="L64">
        <v>398.22358600000001</v>
      </c>
      <c r="M64">
        <v>-622.47224600000004</v>
      </c>
      <c r="N64">
        <v>0.94447599999999998</v>
      </c>
      <c r="O64">
        <v>1.4363330000000001</v>
      </c>
      <c r="P64">
        <f t="shared" si="0"/>
        <v>1.5741266666666668E-5</v>
      </c>
      <c r="Q64" cm="1">
        <f t="array" ref="Q64">[1]!PropsSI("D","T",J64+273.15,"P",101325,"Water")</f>
        <v>984.85651025430536</v>
      </c>
      <c r="R64" cm="1">
        <f t="array" ref="R64">[1]!PropsSI("D","T",K64+273.15,"P",101325,"Water")</f>
        <v>990.10746241409799</v>
      </c>
      <c r="S64">
        <f t="shared" si="1"/>
        <v>987.48198633420168</v>
      </c>
      <c r="T64" cm="1">
        <f t="array" ref="T64">[1]!PropsSI("H","T",J64+273.15,"P",101325,"Water")</f>
        <v>237478.94113773535</v>
      </c>
      <c r="U64" cm="1">
        <f t="array" ref="U64">[1]!PropsSI("H","T",K64+273.15,"P",101325,"Water")</f>
        <v>189565.89941779253</v>
      </c>
      <c r="V64">
        <f t="shared" si="2"/>
        <v>744.77073082087986</v>
      </c>
      <c r="X64">
        <f t="shared" si="9"/>
        <v>0.26341831199999999</v>
      </c>
      <c r="Y64">
        <f t="shared" si="9"/>
        <v>0.24050282000000001</v>
      </c>
      <c r="Z64">
        <f t="shared" si="8"/>
        <v>0.35669428580351797</v>
      </c>
      <c r="AA64">
        <f t="shared" si="7"/>
        <v>11.457746</v>
      </c>
      <c r="AB64">
        <f t="shared" si="5"/>
        <v>3.2697959008149195E-2</v>
      </c>
      <c r="AC64">
        <f t="shared" si="6"/>
        <v>24.352482826850448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C5DA3E-3A6E-C946-9FB6-444A6798C0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Results</vt:lpstr>
      <vt:lpstr>1mps</vt:lpstr>
      <vt:lpstr>2mps</vt:lpstr>
      <vt:lpstr>3mps</vt:lpstr>
      <vt:lpstr>4mps</vt:lpstr>
      <vt:lpstr>5mps</vt:lpstr>
      <vt:lpstr>6mps</vt:lpstr>
      <vt:lpstr>7mps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Ping, Angela JiaYi</dc:creator>
  <cp:lastModifiedBy>Ping, Angela JiaYi</cp:lastModifiedBy>
  <dcterms:created xsi:type="dcterms:W3CDTF">2026-04-26T19:40:40Z</dcterms:created>
  <dcterms:modified xsi:type="dcterms:W3CDTF">2026-04-26T20:02:34Z</dcterms:modified>
</cp:coreProperties>
</file>