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Redo_front_4_24_26/20gps/"/>
    </mc:Choice>
  </mc:AlternateContent>
  <xr:revisionPtr revIDLastSave="0" documentId="13_ncr:1_{B130891B-2939-AD42-A8CF-4032CF49D564}" xr6:coauthVersionLast="47" xr6:coauthVersionMax="47" xr10:uidLastSave="{00000000-0000-0000-0000-000000000000}"/>
  <bookViews>
    <workbookView xWindow="1900" yWindow="1900" windowWidth="27240" windowHeight="16180" activeTab="7" xr2:uid="{AD560312-CC9D-B948-98E9-F62E6C23AAAD}"/>
  </bookViews>
  <sheets>
    <sheet name="Results" sheetId="1" r:id="rId1"/>
    <sheet name="1mps" sheetId="3" r:id="rId2"/>
    <sheet name="2mps" sheetId="4" r:id="rId3"/>
    <sheet name="3mps" sheetId="5" r:id="rId4"/>
    <sheet name="4mps" sheetId="6" r:id="rId5"/>
    <sheet name="5mps" sheetId="7" r:id="rId6"/>
    <sheet name="6mps" sheetId="8" r:id="rId7"/>
    <sheet name="7mps" sheetId="9" r:id="rId8"/>
  </sheets>
  <externalReferences>
    <externalReference r:id="rId9"/>
  </externalReferences>
  <definedNames>
    <definedName name="ExternalData_1" localSheetId="1" hidden="1">'1mps'!$A$1:$O$120</definedName>
    <definedName name="ExternalData_1" localSheetId="2" hidden="1">'2mps'!$A:$P</definedName>
    <definedName name="ExternalData_1" localSheetId="3" hidden="1">'3mps'!$A$1:$O$30</definedName>
    <definedName name="ExternalData_1" localSheetId="4" hidden="1">'4mps'!$A$1:$O$51</definedName>
    <definedName name="ExternalData_1" localSheetId="5" hidden="1">'5mps'!$A$1:$O$48</definedName>
    <definedName name="ExternalData_1" localSheetId="6" hidden="1">'6mps'!$A$1:$O$49</definedName>
    <definedName name="ExternalData_1" localSheetId="7" hidden="1">'7mps'!$A$1:$O$47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26" i="9" l="1"/>
  <c r="Y26" i="9"/>
  <c r="AA26" i="9"/>
  <c r="X27" i="9"/>
  <c r="Z27" i="9" s="1"/>
  <c r="AB27" i="9" s="1"/>
  <c r="Y27" i="9"/>
  <c r="AA27" i="9"/>
  <c r="X28" i="9"/>
  <c r="Z28" i="9" s="1"/>
  <c r="Y28" i="9"/>
  <c r="AA28" i="9"/>
  <c r="X29" i="9"/>
  <c r="Y29" i="9"/>
  <c r="Z29" i="9"/>
  <c r="AA29" i="9"/>
  <c r="X30" i="9"/>
  <c r="Y30" i="9"/>
  <c r="AA30" i="9"/>
  <c r="X31" i="9"/>
  <c r="Y31" i="9"/>
  <c r="Z31" i="9"/>
  <c r="AB31" i="9" s="1"/>
  <c r="AA31" i="9"/>
  <c r="X32" i="9"/>
  <c r="Z32" i="9" s="1"/>
  <c r="AB32" i="9" s="1"/>
  <c r="Y32" i="9"/>
  <c r="AA32" i="9"/>
  <c r="X33" i="9"/>
  <c r="Y33" i="9"/>
  <c r="Z33" i="9" s="1"/>
  <c r="AB33" i="9" s="1"/>
  <c r="AA33" i="9"/>
  <c r="X34" i="9"/>
  <c r="Z34" i="9" s="1"/>
  <c r="Y34" i="9"/>
  <c r="AA34" i="9"/>
  <c r="X35" i="9"/>
  <c r="Y35" i="9"/>
  <c r="Z35" i="9"/>
  <c r="AB35" i="9" s="1"/>
  <c r="AA35" i="9"/>
  <c r="X36" i="9"/>
  <c r="Y36" i="9"/>
  <c r="AA36" i="9"/>
  <c r="X37" i="9"/>
  <c r="Y37" i="9"/>
  <c r="Z37" i="9"/>
  <c r="AB37" i="9" s="1"/>
  <c r="AA37" i="9"/>
  <c r="X38" i="9"/>
  <c r="Y38" i="9"/>
  <c r="AA38" i="9"/>
  <c r="X39" i="9"/>
  <c r="Z39" i="9" s="1"/>
  <c r="AB39" i="9" s="1"/>
  <c r="Y39" i="9"/>
  <c r="AA39" i="9"/>
  <c r="X40" i="9"/>
  <c r="Z40" i="9" s="1"/>
  <c r="AB40" i="9" s="1"/>
  <c r="Y40" i="9"/>
  <c r="AA40" i="9"/>
  <c r="X41" i="9"/>
  <c r="Y41" i="9"/>
  <c r="Z41" i="9"/>
  <c r="AA41" i="9"/>
  <c r="X42" i="9"/>
  <c r="Y42" i="9"/>
  <c r="AA42" i="9"/>
  <c r="X43" i="9"/>
  <c r="Y43" i="9"/>
  <c r="Z43" i="9"/>
  <c r="AB43" i="9" s="1"/>
  <c r="AA43" i="9"/>
  <c r="X44" i="9"/>
  <c r="Y44" i="9"/>
  <c r="AA44" i="9"/>
  <c r="X45" i="9"/>
  <c r="Z45" i="9" s="1"/>
  <c r="AB45" i="9" s="1"/>
  <c r="Y45" i="9"/>
  <c r="AA45" i="9"/>
  <c r="X46" i="9"/>
  <c r="Y46" i="9"/>
  <c r="AA46" i="9"/>
  <c r="X47" i="9"/>
  <c r="Z47" i="9" s="1"/>
  <c r="AB47" i="9" s="1"/>
  <c r="Y47" i="9"/>
  <c r="AA47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X26" i="8"/>
  <c r="Y26" i="8"/>
  <c r="AA26" i="8"/>
  <c r="X27" i="8"/>
  <c r="Z27" i="8" s="1"/>
  <c r="AB27" i="8" s="1"/>
  <c r="Y27" i="8"/>
  <c r="AA27" i="8"/>
  <c r="X28" i="8"/>
  <c r="Y28" i="8"/>
  <c r="AA28" i="8"/>
  <c r="X29" i="8"/>
  <c r="Y29" i="8"/>
  <c r="Z29" i="8"/>
  <c r="AA29" i="8"/>
  <c r="AB29" i="8"/>
  <c r="X30" i="8"/>
  <c r="Y30" i="8"/>
  <c r="AA30" i="8"/>
  <c r="X31" i="8"/>
  <c r="Y31" i="8"/>
  <c r="Z31" i="8"/>
  <c r="AB31" i="8" s="1"/>
  <c r="AA31" i="8"/>
  <c r="X32" i="8"/>
  <c r="Y32" i="8"/>
  <c r="AA32" i="8"/>
  <c r="X33" i="8"/>
  <c r="Y33" i="8"/>
  <c r="Z33" i="8"/>
  <c r="AB33" i="8" s="1"/>
  <c r="AA33" i="8"/>
  <c r="X34" i="8"/>
  <c r="Y34" i="8"/>
  <c r="AA34" i="8"/>
  <c r="X35" i="8"/>
  <c r="Z35" i="8" s="1"/>
  <c r="AB35" i="8" s="1"/>
  <c r="Y35" i="8"/>
  <c r="AA35" i="8"/>
  <c r="X36" i="8"/>
  <c r="Y36" i="8"/>
  <c r="AA36" i="8"/>
  <c r="X37" i="8"/>
  <c r="Y37" i="8"/>
  <c r="Z37" i="8"/>
  <c r="AA37" i="8"/>
  <c r="AB37" i="8"/>
  <c r="X38" i="8"/>
  <c r="Y38" i="8"/>
  <c r="AA38" i="8"/>
  <c r="X39" i="8"/>
  <c r="Y39" i="8"/>
  <c r="Z39" i="8"/>
  <c r="AB39" i="8" s="1"/>
  <c r="AA39" i="8"/>
  <c r="X40" i="8"/>
  <c r="Y40" i="8"/>
  <c r="AA40" i="8"/>
  <c r="X41" i="8"/>
  <c r="Y41" i="8"/>
  <c r="Z41" i="8"/>
  <c r="AB41" i="8" s="1"/>
  <c r="AA41" i="8"/>
  <c r="X42" i="8"/>
  <c r="Y42" i="8"/>
  <c r="AA42" i="8"/>
  <c r="X43" i="8"/>
  <c r="Z43" i="8" s="1"/>
  <c r="AB43" i="8" s="1"/>
  <c r="Y43" i="8"/>
  <c r="AA43" i="8"/>
  <c r="X44" i="8"/>
  <c r="Y44" i="8"/>
  <c r="AA44" i="8"/>
  <c r="X45" i="8"/>
  <c r="Y45" i="8"/>
  <c r="Z45" i="8"/>
  <c r="AA45" i="8"/>
  <c r="AB45" i="8"/>
  <c r="X46" i="8"/>
  <c r="Y46" i="8"/>
  <c r="AA46" i="8"/>
  <c r="X47" i="8"/>
  <c r="Y47" i="8"/>
  <c r="Z47" i="8"/>
  <c r="AB47" i="8" s="1"/>
  <c r="AA47" i="8"/>
  <c r="X48" i="8"/>
  <c r="Y48" i="8"/>
  <c r="AA48" i="8"/>
  <c r="X49" i="8"/>
  <c r="Y49" i="8"/>
  <c r="Z49" i="8"/>
  <c r="AB49" i="8" s="1"/>
  <c r="AA49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X26" i="7"/>
  <c r="Y26" i="7"/>
  <c r="Z26" i="7"/>
  <c r="AB26" i="7" s="1"/>
  <c r="AA26" i="7"/>
  <c r="X27" i="7"/>
  <c r="Y27" i="7"/>
  <c r="AA27" i="7"/>
  <c r="X28" i="7"/>
  <c r="Y28" i="7"/>
  <c r="Z28" i="7" s="1"/>
  <c r="AB28" i="7" s="1"/>
  <c r="AA28" i="7"/>
  <c r="X29" i="7"/>
  <c r="Z29" i="7" s="1"/>
  <c r="AB29" i="7" s="1"/>
  <c r="Y29" i="7"/>
  <c r="AA29" i="7"/>
  <c r="X30" i="7"/>
  <c r="Y30" i="7"/>
  <c r="Z30" i="7" s="1"/>
  <c r="AB30" i="7" s="1"/>
  <c r="AA30" i="7"/>
  <c r="X31" i="7"/>
  <c r="Y31" i="7"/>
  <c r="Z31" i="7"/>
  <c r="AB31" i="7" s="1"/>
  <c r="AA31" i="7"/>
  <c r="X32" i="7"/>
  <c r="Y32" i="7"/>
  <c r="Z32" i="7"/>
  <c r="AA32" i="7"/>
  <c r="X33" i="7"/>
  <c r="Y33" i="7"/>
  <c r="Z33" i="7" s="1"/>
  <c r="AB33" i="7" s="1"/>
  <c r="AA33" i="7"/>
  <c r="X34" i="7"/>
  <c r="Z34" i="7" s="1"/>
  <c r="AB34" i="7" s="1"/>
  <c r="Y34" i="7"/>
  <c r="AA34" i="7"/>
  <c r="X35" i="7"/>
  <c r="Y35" i="7"/>
  <c r="Z35" i="7" s="1"/>
  <c r="AB35" i="7" s="1"/>
  <c r="AA35" i="7"/>
  <c r="X36" i="7"/>
  <c r="Z36" i="7" s="1"/>
  <c r="AB36" i="7" s="1"/>
  <c r="Y36" i="7"/>
  <c r="AA36" i="7"/>
  <c r="X37" i="7"/>
  <c r="Y37" i="7"/>
  <c r="Z37" i="7"/>
  <c r="AA37" i="7"/>
  <c r="AB37" i="7" s="1"/>
  <c r="X38" i="7"/>
  <c r="Y38" i="7"/>
  <c r="Z38" i="7"/>
  <c r="AB38" i="7" s="1"/>
  <c r="AA38" i="7"/>
  <c r="X39" i="7"/>
  <c r="Z39" i="7" s="1"/>
  <c r="AB39" i="7" s="1"/>
  <c r="Y39" i="7"/>
  <c r="AA39" i="7"/>
  <c r="X40" i="7"/>
  <c r="Z40" i="7" s="1"/>
  <c r="AB40" i="7" s="1"/>
  <c r="Y40" i="7"/>
  <c r="AA40" i="7"/>
  <c r="X41" i="7"/>
  <c r="Y41" i="7"/>
  <c r="Z41" i="7" s="1"/>
  <c r="AB41" i="7" s="1"/>
  <c r="AA41" i="7"/>
  <c r="X42" i="7"/>
  <c r="Y42" i="7"/>
  <c r="Z42" i="7"/>
  <c r="AB42" i="7" s="1"/>
  <c r="AA42" i="7"/>
  <c r="X43" i="7"/>
  <c r="Z43" i="7" s="1"/>
  <c r="AB43" i="7" s="1"/>
  <c r="Y43" i="7"/>
  <c r="AA43" i="7"/>
  <c r="X44" i="7"/>
  <c r="Z44" i="7" s="1"/>
  <c r="AB44" i="7" s="1"/>
  <c r="Y44" i="7"/>
  <c r="AA44" i="7"/>
  <c r="X45" i="7"/>
  <c r="Z45" i="7" s="1"/>
  <c r="AB45" i="7" s="1"/>
  <c r="Y45" i="7"/>
  <c r="AA45" i="7"/>
  <c r="X46" i="7"/>
  <c r="Y46" i="7"/>
  <c r="Z46" i="7"/>
  <c r="AB46" i="7" s="1"/>
  <c r="AA46" i="7"/>
  <c r="X47" i="7"/>
  <c r="Y47" i="7"/>
  <c r="Z47" i="7"/>
  <c r="AB47" i="7" s="1"/>
  <c r="AA47" i="7"/>
  <c r="X48" i="7"/>
  <c r="Y48" i="7"/>
  <c r="Z48" i="7" s="1"/>
  <c r="AB48" i="7" s="1"/>
  <c r="AA48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X26" i="6"/>
  <c r="Y26" i="6"/>
  <c r="AA26" i="6"/>
  <c r="X27" i="6"/>
  <c r="Z27" i="6" s="1"/>
  <c r="AB27" i="6" s="1"/>
  <c r="Y27" i="6"/>
  <c r="AA27" i="6"/>
  <c r="X28" i="6"/>
  <c r="Z28" i="6" s="1"/>
  <c r="Y28" i="6"/>
  <c r="AA28" i="6"/>
  <c r="X29" i="6"/>
  <c r="Y29" i="6"/>
  <c r="Z29" i="6"/>
  <c r="AA29" i="6"/>
  <c r="AB29" i="6" s="1"/>
  <c r="X30" i="6"/>
  <c r="Z30" i="6" s="1"/>
  <c r="AB30" i="6" s="1"/>
  <c r="Y30" i="6"/>
  <c r="AA30" i="6"/>
  <c r="X31" i="6"/>
  <c r="Y31" i="6"/>
  <c r="Z31" i="6"/>
  <c r="AB31" i="6" s="1"/>
  <c r="AA31" i="6"/>
  <c r="X32" i="6"/>
  <c r="Z32" i="6" s="1"/>
  <c r="AB32" i="6" s="1"/>
  <c r="Y32" i="6"/>
  <c r="AA32" i="6"/>
  <c r="X33" i="6"/>
  <c r="Z33" i="6" s="1"/>
  <c r="AB33" i="6" s="1"/>
  <c r="Y33" i="6"/>
  <c r="AA33" i="6"/>
  <c r="X34" i="6"/>
  <c r="Y34" i="6"/>
  <c r="AA34" i="6"/>
  <c r="X35" i="6"/>
  <c r="Z35" i="6" s="1"/>
  <c r="AB35" i="6" s="1"/>
  <c r="Y35" i="6"/>
  <c r="AA35" i="6"/>
  <c r="X36" i="6"/>
  <c r="Z36" i="6" s="1"/>
  <c r="Y36" i="6"/>
  <c r="AA36" i="6"/>
  <c r="X37" i="6"/>
  <c r="Y37" i="6"/>
  <c r="Z37" i="6"/>
  <c r="AA37" i="6"/>
  <c r="AB37" i="6" s="1"/>
  <c r="X38" i="6"/>
  <c r="Y38" i="6"/>
  <c r="AA38" i="6"/>
  <c r="X39" i="6"/>
  <c r="Z39" i="6" s="1"/>
  <c r="AB39" i="6" s="1"/>
  <c r="Y39" i="6"/>
  <c r="AA39" i="6"/>
  <c r="X40" i="6"/>
  <c r="Y40" i="6"/>
  <c r="AA40" i="6"/>
  <c r="X41" i="6"/>
  <c r="Z41" i="6" s="1"/>
  <c r="AB41" i="6" s="1"/>
  <c r="Y41" i="6"/>
  <c r="AA41" i="6"/>
  <c r="X42" i="6"/>
  <c r="Z42" i="6" s="1"/>
  <c r="AB42" i="6" s="1"/>
  <c r="Y42" i="6"/>
  <c r="AA42" i="6"/>
  <c r="X43" i="6"/>
  <c r="Y43" i="6"/>
  <c r="Z43" i="6" s="1"/>
  <c r="AB43" i="6" s="1"/>
  <c r="AA43" i="6"/>
  <c r="X44" i="6"/>
  <c r="Z44" i="6" s="1"/>
  <c r="AB44" i="6" s="1"/>
  <c r="Y44" i="6"/>
  <c r="AA44" i="6"/>
  <c r="X45" i="6"/>
  <c r="Z45" i="6" s="1"/>
  <c r="AB45" i="6" s="1"/>
  <c r="Y45" i="6"/>
  <c r="AA45" i="6"/>
  <c r="X46" i="6"/>
  <c r="Y46" i="6"/>
  <c r="AA46" i="6"/>
  <c r="X47" i="6"/>
  <c r="Z47" i="6" s="1"/>
  <c r="AB47" i="6" s="1"/>
  <c r="Y47" i="6"/>
  <c r="AA47" i="6"/>
  <c r="X48" i="6"/>
  <c r="Y48" i="6"/>
  <c r="AA48" i="6"/>
  <c r="X49" i="6"/>
  <c r="Z49" i="6" s="1"/>
  <c r="AB49" i="6" s="1"/>
  <c r="Y49" i="6"/>
  <c r="AA49" i="6"/>
  <c r="X50" i="6"/>
  <c r="Z50" i="6" s="1"/>
  <c r="AB50" i="6" s="1"/>
  <c r="Y50" i="6"/>
  <c r="AA50" i="6"/>
  <c r="X51" i="6"/>
  <c r="Y51" i="6"/>
  <c r="Z51" i="6" s="1"/>
  <c r="AB51" i="6" s="1"/>
  <c r="AA51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X26" i="5"/>
  <c r="Y26" i="5"/>
  <c r="AA26" i="5"/>
  <c r="X27" i="5"/>
  <c r="Y27" i="5"/>
  <c r="AA27" i="5"/>
  <c r="X28" i="5"/>
  <c r="Z28" i="5" s="1"/>
  <c r="AB28" i="5" s="1"/>
  <c r="Y28" i="5"/>
  <c r="AA28" i="5"/>
  <c r="X29" i="5"/>
  <c r="Y29" i="5"/>
  <c r="AA29" i="5"/>
  <c r="X30" i="5"/>
  <c r="Y30" i="5"/>
  <c r="AA30" i="5"/>
  <c r="P26" i="5"/>
  <c r="P27" i="5"/>
  <c r="P28" i="5"/>
  <c r="P29" i="5"/>
  <c r="P30" i="5"/>
  <c r="AA25" i="9"/>
  <c r="Y25" i="9"/>
  <c r="Z25" i="9" s="1"/>
  <c r="AB25" i="9" s="1"/>
  <c r="X25" i="9"/>
  <c r="P25" i="9"/>
  <c r="AA24" i="9"/>
  <c r="Y24" i="9"/>
  <c r="X24" i="9"/>
  <c r="P24" i="9"/>
  <c r="AA23" i="9"/>
  <c r="Y23" i="9"/>
  <c r="X23" i="9"/>
  <c r="Z23" i="9" s="1"/>
  <c r="P23" i="9"/>
  <c r="AA22" i="9"/>
  <c r="Z22" i="9"/>
  <c r="AB22" i="9" s="1"/>
  <c r="Y22" i="9"/>
  <c r="X22" i="9"/>
  <c r="P22" i="9"/>
  <c r="AA21" i="9"/>
  <c r="Y21" i="9"/>
  <c r="X21" i="9"/>
  <c r="Z21" i="9" s="1"/>
  <c r="P21" i="9"/>
  <c r="AA20" i="9"/>
  <c r="Y20" i="9"/>
  <c r="X20" i="9"/>
  <c r="P20" i="9"/>
  <c r="AA19" i="9"/>
  <c r="Y19" i="9"/>
  <c r="Z19" i="9" s="1"/>
  <c r="AB19" i="9" s="1"/>
  <c r="X19" i="9"/>
  <c r="P19" i="9"/>
  <c r="AA18" i="9"/>
  <c r="Y18" i="9"/>
  <c r="X18" i="9"/>
  <c r="P18" i="9"/>
  <c r="AA17" i="9"/>
  <c r="Y17" i="9"/>
  <c r="X17" i="9"/>
  <c r="Z17" i="9" s="1"/>
  <c r="AB17" i="9" s="1"/>
  <c r="P17" i="9"/>
  <c r="AA16" i="9"/>
  <c r="Y16" i="9"/>
  <c r="X16" i="9"/>
  <c r="Z16" i="9" s="1"/>
  <c r="AB16" i="9" s="1"/>
  <c r="P16" i="9"/>
  <c r="AA15" i="9"/>
  <c r="Y15" i="9"/>
  <c r="X15" i="9"/>
  <c r="P15" i="9"/>
  <c r="AA14" i="9"/>
  <c r="Y14" i="9"/>
  <c r="Z14" i="9" s="1"/>
  <c r="AB14" i="9" s="1"/>
  <c r="X14" i="9"/>
  <c r="P14" i="9"/>
  <c r="AA13" i="9"/>
  <c r="Y13" i="9"/>
  <c r="X13" i="9"/>
  <c r="P13" i="9"/>
  <c r="AA12" i="9"/>
  <c r="Y12" i="9"/>
  <c r="X12" i="9"/>
  <c r="Z12" i="9" s="1"/>
  <c r="P12" i="9"/>
  <c r="AA11" i="9"/>
  <c r="Y11" i="9"/>
  <c r="X11" i="9"/>
  <c r="P11" i="9"/>
  <c r="AA10" i="9"/>
  <c r="Y10" i="9"/>
  <c r="Z10" i="9" s="1"/>
  <c r="AB10" i="9" s="1"/>
  <c r="X10" i="9"/>
  <c r="P10" i="9"/>
  <c r="AA9" i="9"/>
  <c r="Y9" i="9"/>
  <c r="X9" i="9"/>
  <c r="Z9" i="9" s="1"/>
  <c r="AB9" i="9" s="1"/>
  <c r="P9" i="9"/>
  <c r="AA8" i="9"/>
  <c r="Y8" i="9"/>
  <c r="X8" i="9"/>
  <c r="Z8" i="9" s="1"/>
  <c r="P8" i="9"/>
  <c r="AA7" i="9"/>
  <c r="Y7" i="9"/>
  <c r="X7" i="9"/>
  <c r="Z7" i="9" s="1"/>
  <c r="AB7" i="9" s="1"/>
  <c r="P7" i="9"/>
  <c r="AA6" i="9"/>
  <c r="Y6" i="9"/>
  <c r="X6" i="9"/>
  <c r="P6" i="9"/>
  <c r="AA5" i="9"/>
  <c r="Y5" i="9"/>
  <c r="X5" i="9"/>
  <c r="Z5" i="9" s="1"/>
  <c r="AB5" i="9" s="1"/>
  <c r="P5" i="9"/>
  <c r="AA4" i="9"/>
  <c r="Y4" i="9"/>
  <c r="X4" i="9"/>
  <c r="P4" i="9"/>
  <c r="AA3" i="9"/>
  <c r="Y3" i="9"/>
  <c r="Z3" i="9" s="1"/>
  <c r="X3" i="9"/>
  <c r="P3" i="9"/>
  <c r="AA2" i="9"/>
  <c r="Y2" i="9"/>
  <c r="X2" i="9"/>
  <c r="Z2" i="9" s="1"/>
  <c r="AB2" i="9" s="1"/>
  <c r="P2" i="9"/>
  <c r="AA25" i="8"/>
  <c r="Y25" i="8"/>
  <c r="X25" i="8"/>
  <c r="P25" i="8"/>
  <c r="AA24" i="8"/>
  <c r="Y24" i="8"/>
  <c r="X24" i="8"/>
  <c r="Z24" i="8" s="1"/>
  <c r="AB24" i="8" s="1"/>
  <c r="P24" i="8"/>
  <c r="AA23" i="8"/>
  <c r="Y23" i="8"/>
  <c r="X23" i="8"/>
  <c r="Z23" i="8" s="1"/>
  <c r="AB23" i="8" s="1"/>
  <c r="P23" i="8"/>
  <c r="AA22" i="8"/>
  <c r="Y22" i="8"/>
  <c r="X22" i="8"/>
  <c r="P22" i="8"/>
  <c r="AA21" i="8"/>
  <c r="Y21" i="8"/>
  <c r="Z21" i="8" s="1"/>
  <c r="AB21" i="8" s="1"/>
  <c r="X21" i="8"/>
  <c r="P21" i="8"/>
  <c r="AA20" i="8"/>
  <c r="Y20" i="8"/>
  <c r="X20" i="8"/>
  <c r="P20" i="8"/>
  <c r="AA19" i="8"/>
  <c r="Y19" i="8"/>
  <c r="X19" i="8"/>
  <c r="Z19" i="8" s="1"/>
  <c r="P19" i="8"/>
  <c r="AA18" i="8"/>
  <c r="Y18" i="8"/>
  <c r="X18" i="8"/>
  <c r="P18" i="8"/>
  <c r="AA17" i="8"/>
  <c r="Y17" i="8"/>
  <c r="X17" i="8"/>
  <c r="P17" i="8"/>
  <c r="AA16" i="8"/>
  <c r="Y16" i="8"/>
  <c r="X16" i="8"/>
  <c r="Z16" i="8" s="1"/>
  <c r="AB16" i="8" s="1"/>
  <c r="P16" i="8"/>
  <c r="AA15" i="8"/>
  <c r="Y15" i="8"/>
  <c r="X15" i="8"/>
  <c r="P15" i="8"/>
  <c r="AA14" i="8"/>
  <c r="Y14" i="8"/>
  <c r="X14" i="8"/>
  <c r="Z14" i="8" s="1"/>
  <c r="AB14" i="8" s="1"/>
  <c r="P14" i="8"/>
  <c r="AA13" i="8"/>
  <c r="Y13" i="8"/>
  <c r="X13" i="8"/>
  <c r="P13" i="8"/>
  <c r="AA12" i="8"/>
  <c r="Y12" i="8"/>
  <c r="X12" i="8"/>
  <c r="Z12" i="8" s="1"/>
  <c r="AB12" i="8" s="1"/>
  <c r="P12" i="8"/>
  <c r="AA11" i="8"/>
  <c r="Y11" i="8"/>
  <c r="X11" i="8"/>
  <c r="Z11" i="8" s="1"/>
  <c r="AB11" i="8" s="1"/>
  <c r="P11" i="8"/>
  <c r="AA10" i="8"/>
  <c r="Y10" i="8"/>
  <c r="X10" i="8"/>
  <c r="Z10" i="8" s="1"/>
  <c r="AB10" i="8" s="1"/>
  <c r="P10" i="8"/>
  <c r="AA9" i="8"/>
  <c r="Z9" i="8"/>
  <c r="AB9" i="8" s="1"/>
  <c r="Y9" i="8"/>
  <c r="X9" i="8"/>
  <c r="P9" i="8"/>
  <c r="AA8" i="8"/>
  <c r="Y8" i="8"/>
  <c r="X8" i="8"/>
  <c r="Z8" i="8" s="1"/>
  <c r="AB8" i="8" s="1"/>
  <c r="P8" i="8"/>
  <c r="AA7" i="8"/>
  <c r="Y7" i="8"/>
  <c r="X7" i="8"/>
  <c r="Z7" i="8" s="1"/>
  <c r="AB7" i="8" s="1"/>
  <c r="P7" i="8"/>
  <c r="AA6" i="8"/>
  <c r="Y6" i="8"/>
  <c r="X6" i="8"/>
  <c r="P6" i="8"/>
  <c r="AA5" i="8"/>
  <c r="Y5" i="8"/>
  <c r="X5" i="8"/>
  <c r="Z5" i="8" s="1"/>
  <c r="AB5" i="8" s="1"/>
  <c r="P5" i="8"/>
  <c r="AA4" i="8"/>
  <c r="Y4" i="8"/>
  <c r="X4" i="8"/>
  <c r="Z4" i="8" s="1"/>
  <c r="AB4" i="8" s="1"/>
  <c r="P4" i="8"/>
  <c r="AA3" i="8"/>
  <c r="Y3" i="8"/>
  <c r="X3" i="8"/>
  <c r="Z3" i="8" s="1"/>
  <c r="AB3" i="8" s="1"/>
  <c r="P3" i="8"/>
  <c r="AA2" i="8"/>
  <c r="Y2" i="8"/>
  <c r="X2" i="8"/>
  <c r="P2" i="8"/>
  <c r="AA25" i="7"/>
  <c r="Y25" i="7"/>
  <c r="X25" i="7"/>
  <c r="Z25" i="7" s="1"/>
  <c r="AB25" i="7" s="1"/>
  <c r="P25" i="7"/>
  <c r="AA24" i="7"/>
  <c r="Y24" i="7"/>
  <c r="X24" i="7"/>
  <c r="P24" i="7"/>
  <c r="AA23" i="7"/>
  <c r="Y23" i="7"/>
  <c r="X23" i="7"/>
  <c r="Z23" i="7" s="1"/>
  <c r="P23" i="7"/>
  <c r="AA22" i="7"/>
  <c r="Y22" i="7"/>
  <c r="X22" i="7"/>
  <c r="Z22" i="7" s="1"/>
  <c r="AB22" i="7" s="1"/>
  <c r="P22" i="7"/>
  <c r="AA21" i="7"/>
  <c r="Y21" i="7"/>
  <c r="X21" i="7"/>
  <c r="Z21" i="7" s="1"/>
  <c r="AB21" i="7" s="1"/>
  <c r="P21" i="7"/>
  <c r="AA20" i="7"/>
  <c r="Y20" i="7"/>
  <c r="X20" i="7"/>
  <c r="Z20" i="7" s="1"/>
  <c r="AB20" i="7" s="1"/>
  <c r="P20" i="7"/>
  <c r="AA19" i="7"/>
  <c r="Y19" i="7"/>
  <c r="X19" i="7"/>
  <c r="P19" i="7"/>
  <c r="AA18" i="7"/>
  <c r="Y18" i="7"/>
  <c r="X18" i="7"/>
  <c r="P18" i="7"/>
  <c r="AA17" i="7"/>
  <c r="Y17" i="7"/>
  <c r="X17" i="7"/>
  <c r="Z17" i="7" s="1"/>
  <c r="AB17" i="7" s="1"/>
  <c r="P17" i="7"/>
  <c r="AA16" i="7"/>
  <c r="Y16" i="7"/>
  <c r="X16" i="7"/>
  <c r="P16" i="7"/>
  <c r="AA15" i="7"/>
  <c r="Y15" i="7"/>
  <c r="Z15" i="7" s="1"/>
  <c r="AB15" i="7" s="1"/>
  <c r="X15" i="7"/>
  <c r="P15" i="7"/>
  <c r="AA14" i="7"/>
  <c r="Y14" i="7"/>
  <c r="X14" i="7"/>
  <c r="Z14" i="7" s="1"/>
  <c r="AB14" i="7" s="1"/>
  <c r="P14" i="7"/>
  <c r="AA13" i="7"/>
  <c r="Y13" i="7"/>
  <c r="X13" i="7"/>
  <c r="Z13" i="7" s="1"/>
  <c r="AB13" i="7" s="1"/>
  <c r="P13" i="7"/>
  <c r="AA12" i="7"/>
  <c r="Y12" i="7"/>
  <c r="X12" i="7"/>
  <c r="Z12" i="7" s="1"/>
  <c r="P12" i="7"/>
  <c r="AA11" i="7"/>
  <c r="Y11" i="7"/>
  <c r="X11" i="7"/>
  <c r="Z11" i="7" s="1"/>
  <c r="AB11" i="7" s="1"/>
  <c r="P11" i="7"/>
  <c r="AA10" i="7"/>
  <c r="Y10" i="7"/>
  <c r="X10" i="7"/>
  <c r="Z10" i="7" s="1"/>
  <c r="AB10" i="7" s="1"/>
  <c r="P10" i="7"/>
  <c r="AA9" i="7"/>
  <c r="Y9" i="7"/>
  <c r="X9" i="7"/>
  <c r="Z9" i="7" s="1"/>
  <c r="P9" i="7"/>
  <c r="AA8" i="7"/>
  <c r="Z8" i="7"/>
  <c r="Y8" i="7"/>
  <c r="X8" i="7"/>
  <c r="P8" i="7"/>
  <c r="AA7" i="7"/>
  <c r="Y7" i="7"/>
  <c r="X7" i="7"/>
  <c r="P7" i="7"/>
  <c r="AA6" i="7"/>
  <c r="Y6" i="7"/>
  <c r="X6" i="7"/>
  <c r="P6" i="7"/>
  <c r="AA5" i="7"/>
  <c r="Y5" i="7"/>
  <c r="X5" i="7"/>
  <c r="Z5" i="7" s="1"/>
  <c r="AB5" i="7" s="1"/>
  <c r="P5" i="7"/>
  <c r="AA4" i="7"/>
  <c r="Y4" i="7"/>
  <c r="X4" i="7"/>
  <c r="Z4" i="7" s="1"/>
  <c r="P4" i="7"/>
  <c r="AA3" i="7"/>
  <c r="Z3" i="7"/>
  <c r="AB3" i="7" s="1"/>
  <c r="Y3" i="7"/>
  <c r="X3" i="7"/>
  <c r="P3" i="7"/>
  <c r="AA2" i="7"/>
  <c r="Z2" i="7"/>
  <c r="AB2" i="7" s="1"/>
  <c r="Y2" i="7"/>
  <c r="X2" i="7"/>
  <c r="P2" i="7"/>
  <c r="AA25" i="6"/>
  <c r="Y25" i="6"/>
  <c r="X25" i="6"/>
  <c r="P25" i="6"/>
  <c r="AA24" i="6"/>
  <c r="Y24" i="6"/>
  <c r="X24" i="6"/>
  <c r="Z24" i="6" s="1"/>
  <c r="AB24" i="6" s="1"/>
  <c r="P24" i="6"/>
  <c r="AA23" i="6"/>
  <c r="Y23" i="6"/>
  <c r="X23" i="6"/>
  <c r="Z23" i="6" s="1"/>
  <c r="P23" i="6"/>
  <c r="AA22" i="6"/>
  <c r="Y22" i="6"/>
  <c r="X22" i="6"/>
  <c r="Z22" i="6" s="1"/>
  <c r="AB22" i="6" s="1"/>
  <c r="P22" i="6"/>
  <c r="AA21" i="6"/>
  <c r="Y21" i="6"/>
  <c r="X21" i="6"/>
  <c r="Z21" i="6" s="1"/>
  <c r="AB21" i="6" s="1"/>
  <c r="P21" i="6"/>
  <c r="AA20" i="6"/>
  <c r="Y20" i="6"/>
  <c r="X20" i="6"/>
  <c r="P20" i="6"/>
  <c r="AA19" i="6"/>
  <c r="Y19" i="6"/>
  <c r="X19" i="6"/>
  <c r="P19" i="6"/>
  <c r="AA18" i="6"/>
  <c r="Y18" i="6"/>
  <c r="X18" i="6"/>
  <c r="Z18" i="6" s="1"/>
  <c r="AB18" i="6" s="1"/>
  <c r="P18" i="6"/>
  <c r="AA17" i="6"/>
  <c r="Y17" i="6"/>
  <c r="X17" i="6"/>
  <c r="P17" i="6"/>
  <c r="AA16" i="6"/>
  <c r="Y16" i="6"/>
  <c r="X16" i="6"/>
  <c r="P16" i="6"/>
  <c r="AA15" i="6"/>
  <c r="Y15" i="6"/>
  <c r="X15" i="6"/>
  <c r="Z15" i="6" s="1"/>
  <c r="AB15" i="6" s="1"/>
  <c r="P15" i="6"/>
  <c r="AA14" i="6"/>
  <c r="Y14" i="6"/>
  <c r="X14" i="6"/>
  <c r="P14" i="6"/>
  <c r="AA13" i="6"/>
  <c r="Y13" i="6"/>
  <c r="X13" i="6"/>
  <c r="P13" i="6"/>
  <c r="AA12" i="6"/>
  <c r="Y12" i="6"/>
  <c r="Z12" i="6" s="1"/>
  <c r="AB12" i="6" s="1"/>
  <c r="X12" i="6"/>
  <c r="P12" i="6"/>
  <c r="AA11" i="6"/>
  <c r="Y11" i="6"/>
  <c r="X11" i="6"/>
  <c r="Z11" i="6" s="1"/>
  <c r="AB11" i="6" s="1"/>
  <c r="P11" i="6"/>
  <c r="AA10" i="6"/>
  <c r="Y10" i="6"/>
  <c r="X10" i="6"/>
  <c r="P10" i="6"/>
  <c r="AA9" i="6"/>
  <c r="Z9" i="6"/>
  <c r="AB9" i="6" s="1"/>
  <c r="Y9" i="6"/>
  <c r="X9" i="6"/>
  <c r="P9" i="6"/>
  <c r="AA8" i="6"/>
  <c r="Y8" i="6"/>
  <c r="X8" i="6"/>
  <c r="P8" i="6"/>
  <c r="AA7" i="6"/>
  <c r="Y7" i="6"/>
  <c r="X7" i="6"/>
  <c r="Z7" i="6" s="1"/>
  <c r="AB7" i="6" s="1"/>
  <c r="P7" i="6"/>
  <c r="AA6" i="6"/>
  <c r="Y6" i="6"/>
  <c r="X6" i="6"/>
  <c r="Z6" i="6" s="1"/>
  <c r="P6" i="6"/>
  <c r="AA5" i="6"/>
  <c r="Y5" i="6"/>
  <c r="X5" i="6"/>
  <c r="Z5" i="6" s="1"/>
  <c r="AB5" i="6" s="1"/>
  <c r="P5" i="6"/>
  <c r="AA4" i="6"/>
  <c r="Y4" i="6"/>
  <c r="X4" i="6"/>
  <c r="Z4" i="6" s="1"/>
  <c r="P4" i="6"/>
  <c r="AA3" i="6"/>
  <c r="Y3" i="6"/>
  <c r="X3" i="6"/>
  <c r="P3" i="6"/>
  <c r="AA2" i="6"/>
  <c r="Z2" i="6"/>
  <c r="AB2" i="6" s="1"/>
  <c r="Y2" i="6"/>
  <c r="X2" i="6"/>
  <c r="P2" i="6"/>
  <c r="AA25" i="5"/>
  <c r="Y25" i="5"/>
  <c r="X25" i="5"/>
  <c r="P25" i="5"/>
  <c r="AA24" i="5"/>
  <c r="Y24" i="5"/>
  <c r="X24" i="5"/>
  <c r="Z24" i="5" s="1"/>
  <c r="AB24" i="5" s="1"/>
  <c r="P24" i="5"/>
  <c r="AA23" i="5"/>
  <c r="Y23" i="5"/>
  <c r="X23" i="5"/>
  <c r="Z23" i="5" s="1"/>
  <c r="P23" i="5"/>
  <c r="AA22" i="5"/>
  <c r="Y22" i="5"/>
  <c r="X22" i="5"/>
  <c r="P22" i="5"/>
  <c r="AA21" i="5"/>
  <c r="Y21" i="5"/>
  <c r="X21" i="5"/>
  <c r="Z21" i="5" s="1"/>
  <c r="AB21" i="5" s="1"/>
  <c r="P21" i="5"/>
  <c r="AA20" i="5"/>
  <c r="Y20" i="5"/>
  <c r="X20" i="5"/>
  <c r="Z20" i="5" s="1"/>
  <c r="AB20" i="5" s="1"/>
  <c r="P20" i="5"/>
  <c r="AA19" i="5"/>
  <c r="Y19" i="5"/>
  <c r="X19" i="5"/>
  <c r="Z19" i="5" s="1"/>
  <c r="AB19" i="5" s="1"/>
  <c r="P19" i="5"/>
  <c r="AA18" i="5"/>
  <c r="Y18" i="5"/>
  <c r="X18" i="5"/>
  <c r="P18" i="5"/>
  <c r="AA17" i="5"/>
  <c r="Y17" i="5"/>
  <c r="X17" i="5"/>
  <c r="P17" i="5"/>
  <c r="AA16" i="5"/>
  <c r="Y16" i="5"/>
  <c r="X16" i="5"/>
  <c r="Z16" i="5" s="1"/>
  <c r="AB16" i="5" s="1"/>
  <c r="P16" i="5"/>
  <c r="AA15" i="5"/>
  <c r="Y15" i="5"/>
  <c r="X15" i="5"/>
  <c r="P15" i="5"/>
  <c r="AA14" i="5"/>
  <c r="Z14" i="5"/>
  <c r="Y14" i="5"/>
  <c r="X14" i="5"/>
  <c r="P14" i="5"/>
  <c r="AA13" i="5"/>
  <c r="Y13" i="5"/>
  <c r="X13" i="5"/>
  <c r="Z13" i="5" s="1"/>
  <c r="AB13" i="5" s="1"/>
  <c r="P13" i="5"/>
  <c r="AA12" i="5"/>
  <c r="Y12" i="5"/>
  <c r="Z12" i="5" s="1"/>
  <c r="AB12" i="5" s="1"/>
  <c r="X12" i="5"/>
  <c r="P12" i="5"/>
  <c r="AA11" i="5"/>
  <c r="Y11" i="5"/>
  <c r="X11" i="5"/>
  <c r="Z11" i="5" s="1"/>
  <c r="P11" i="5"/>
  <c r="AA10" i="5"/>
  <c r="Y10" i="5"/>
  <c r="X10" i="5"/>
  <c r="Z10" i="5" s="1"/>
  <c r="AB10" i="5" s="1"/>
  <c r="P10" i="5"/>
  <c r="AA9" i="5"/>
  <c r="Y9" i="5"/>
  <c r="X9" i="5"/>
  <c r="P9" i="5"/>
  <c r="AA8" i="5"/>
  <c r="Y8" i="5"/>
  <c r="X8" i="5"/>
  <c r="Z8" i="5" s="1"/>
  <c r="P8" i="5"/>
  <c r="AA7" i="5"/>
  <c r="Y7" i="5"/>
  <c r="X7" i="5"/>
  <c r="Z7" i="5" s="1"/>
  <c r="AB7" i="5" s="1"/>
  <c r="P7" i="5"/>
  <c r="AA6" i="5"/>
  <c r="Y6" i="5"/>
  <c r="X6" i="5"/>
  <c r="Z6" i="5" s="1"/>
  <c r="AB6" i="5" s="1"/>
  <c r="P6" i="5"/>
  <c r="AA5" i="5"/>
  <c r="Y5" i="5"/>
  <c r="X5" i="5"/>
  <c r="P5" i="5"/>
  <c r="AA4" i="5"/>
  <c r="Z4" i="5"/>
  <c r="AB4" i="5" s="1"/>
  <c r="Y4" i="5"/>
  <c r="X4" i="5"/>
  <c r="P4" i="5"/>
  <c r="AA3" i="5"/>
  <c r="Y3" i="5"/>
  <c r="X3" i="5"/>
  <c r="P3" i="5"/>
  <c r="AA2" i="5"/>
  <c r="Y2" i="5"/>
  <c r="X2" i="5"/>
  <c r="Z2" i="5" s="1"/>
  <c r="AB2" i="5" s="1"/>
  <c r="P2" i="5"/>
  <c r="AA25" i="4"/>
  <c r="AB25" i="4" s="1"/>
  <c r="Y25" i="4"/>
  <c r="X25" i="4"/>
  <c r="Z25" i="4" s="1"/>
  <c r="P25" i="4"/>
  <c r="AA24" i="4"/>
  <c r="Y24" i="4"/>
  <c r="Z24" i="4" s="1"/>
  <c r="X24" i="4"/>
  <c r="P24" i="4"/>
  <c r="AA23" i="4"/>
  <c r="Y23" i="4"/>
  <c r="X23" i="4"/>
  <c r="Z23" i="4" s="1"/>
  <c r="AB23" i="4" s="1"/>
  <c r="P23" i="4"/>
  <c r="AA22" i="4"/>
  <c r="Y22" i="4"/>
  <c r="X22" i="4"/>
  <c r="P22" i="4"/>
  <c r="AA21" i="4"/>
  <c r="Y21" i="4"/>
  <c r="X21" i="4"/>
  <c r="Z21" i="4" s="1"/>
  <c r="P21" i="4"/>
  <c r="AA20" i="4"/>
  <c r="Y20" i="4"/>
  <c r="X20" i="4"/>
  <c r="Z20" i="4" s="1"/>
  <c r="AB20" i="4" s="1"/>
  <c r="P20" i="4"/>
  <c r="AA19" i="4"/>
  <c r="Z19" i="4"/>
  <c r="AB19" i="4" s="1"/>
  <c r="Y19" i="4"/>
  <c r="X19" i="4"/>
  <c r="P19" i="4"/>
  <c r="AA18" i="4"/>
  <c r="Y18" i="4"/>
  <c r="X18" i="4"/>
  <c r="P18" i="4"/>
  <c r="AA17" i="4"/>
  <c r="Y17" i="4"/>
  <c r="X17" i="4"/>
  <c r="Z17" i="4" s="1"/>
  <c r="P17" i="4"/>
  <c r="AA16" i="4"/>
  <c r="Y16" i="4"/>
  <c r="X16" i="4"/>
  <c r="P16" i="4"/>
  <c r="AA15" i="4"/>
  <c r="Y15" i="4"/>
  <c r="X15" i="4"/>
  <c r="P15" i="4"/>
  <c r="AA14" i="4"/>
  <c r="Y14" i="4"/>
  <c r="X14" i="4"/>
  <c r="Z14" i="4" s="1"/>
  <c r="P14" i="4"/>
  <c r="AA13" i="4"/>
  <c r="Y13" i="4"/>
  <c r="X13" i="4"/>
  <c r="P13" i="4"/>
  <c r="AA12" i="4"/>
  <c r="Y12" i="4"/>
  <c r="X12" i="4"/>
  <c r="Z12" i="4" s="1"/>
  <c r="AB12" i="4" s="1"/>
  <c r="P12" i="4"/>
  <c r="AA11" i="4"/>
  <c r="Y11" i="4"/>
  <c r="Z11" i="4" s="1"/>
  <c r="AB11" i="4" s="1"/>
  <c r="X11" i="4"/>
  <c r="P11" i="4"/>
  <c r="AA10" i="4"/>
  <c r="Y10" i="4"/>
  <c r="X10" i="4"/>
  <c r="P10" i="4"/>
  <c r="AA9" i="4"/>
  <c r="Y9" i="4"/>
  <c r="X9" i="4"/>
  <c r="Z9" i="4" s="1"/>
  <c r="AB9" i="4" s="1"/>
  <c r="P9" i="4"/>
  <c r="AA8" i="4"/>
  <c r="Y8" i="4"/>
  <c r="X8" i="4"/>
  <c r="Z8" i="4" s="1"/>
  <c r="AB8" i="4" s="1"/>
  <c r="P8" i="4"/>
  <c r="AA7" i="4"/>
  <c r="Y7" i="4"/>
  <c r="X7" i="4"/>
  <c r="Z7" i="4" s="1"/>
  <c r="AB7" i="4" s="1"/>
  <c r="P7" i="4"/>
  <c r="AA6" i="4"/>
  <c r="Y6" i="4"/>
  <c r="X6" i="4"/>
  <c r="P6" i="4"/>
  <c r="AA5" i="4"/>
  <c r="Z5" i="4"/>
  <c r="AB5" i="4" s="1"/>
  <c r="Y5" i="4"/>
  <c r="X5" i="4"/>
  <c r="P5" i="4"/>
  <c r="AA4" i="4"/>
  <c r="Y4" i="4"/>
  <c r="X4" i="4"/>
  <c r="P4" i="4"/>
  <c r="AA3" i="4"/>
  <c r="Y3" i="4"/>
  <c r="X3" i="4"/>
  <c r="Z3" i="4" s="1"/>
  <c r="P3" i="4"/>
  <c r="AA2" i="4"/>
  <c r="Y2" i="4"/>
  <c r="Z2" i="4" s="1"/>
  <c r="X2" i="4"/>
  <c r="P2" i="4"/>
  <c r="P21" i="3"/>
  <c r="X21" i="3"/>
  <c r="Y21" i="3"/>
  <c r="AA21" i="3"/>
  <c r="P22" i="3"/>
  <c r="X22" i="3"/>
  <c r="Y22" i="3"/>
  <c r="Z22" i="3" s="1"/>
  <c r="AB22" i="3" s="1"/>
  <c r="AA22" i="3"/>
  <c r="P23" i="3"/>
  <c r="X23" i="3"/>
  <c r="Y23" i="3"/>
  <c r="Z23" i="3"/>
  <c r="AA23" i="3"/>
  <c r="P24" i="3"/>
  <c r="X24" i="3"/>
  <c r="Y24" i="3"/>
  <c r="AA24" i="3"/>
  <c r="P25" i="3"/>
  <c r="X25" i="3"/>
  <c r="Y25" i="3"/>
  <c r="AA25" i="3"/>
  <c r="P26" i="3"/>
  <c r="X26" i="3"/>
  <c r="Y26" i="3"/>
  <c r="Z26" i="3" s="1"/>
  <c r="AA26" i="3"/>
  <c r="P27" i="3"/>
  <c r="X27" i="3"/>
  <c r="Y27" i="3"/>
  <c r="Z27" i="3"/>
  <c r="AB27" i="3" s="1"/>
  <c r="AA27" i="3"/>
  <c r="P28" i="3"/>
  <c r="X28" i="3"/>
  <c r="Y28" i="3"/>
  <c r="AA28" i="3"/>
  <c r="P29" i="3"/>
  <c r="X29" i="3"/>
  <c r="Y29" i="3"/>
  <c r="AA29" i="3"/>
  <c r="P30" i="3"/>
  <c r="X30" i="3"/>
  <c r="Y30" i="3"/>
  <c r="Z30" i="3" s="1"/>
  <c r="AB30" i="3" s="1"/>
  <c r="AA30" i="3"/>
  <c r="P31" i="3"/>
  <c r="X31" i="3"/>
  <c r="Y31" i="3"/>
  <c r="Z31" i="3" s="1"/>
  <c r="AB31" i="3" s="1"/>
  <c r="AA31" i="3"/>
  <c r="P32" i="3"/>
  <c r="X32" i="3"/>
  <c r="Y32" i="3"/>
  <c r="Z32" i="3" s="1"/>
  <c r="AB32" i="3" s="1"/>
  <c r="AA32" i="3"/>
  <c r="P33" i="3"/>
  <c r="X33" i="3"/>
  <c r="Z33" i="3" s="1"/>
  <c r="AB33" i="3" s="1"/>
  <c r="Y33" i="3"/>
  <c r="AA33" i="3"/>
  <c r="P34" i="3"/>
  <c r="X34" i="3"/>
  <c r="Z34" i="3" s="1"/>
  <c r="Y34" i="3"/>
  <c r="AA34" i="3"/>
  <c r="P35" i="3"/>
  <c r="X35" i="3"/>
  <c r="Y35" i="3"/>
  <c r="Z35" i="3" s="1"/>
  <c r="AB35" i="3" s="1"/>
  <c r="AA35" i="3"/>
  <c r="P36" i="3"/>
  <c r="X36" i="3"/>
  <c r="Y36" i="3"/>
  <c r="Z36" i="3" s="1"/>
  <c r="AA36" i="3"/>
  <c r="P37" i="3"/>
  <c r="X37" i="3"/>
  <c r="Y37" i="3"/>
  <c r="AA37" i="3"/>
  <c r="P38" i="3"/>
  <c r="X38" i="3"/>
  <c r="Y38" i="3"/>
  <c r="AA38" i="3"/>
  <c r="P39" i="3"/>
  <c r="X39" i="3"/>
  <c r="Y39" i="3"/>
  <c r="Z39" i="3"/>
  <c r="AA39" i="3"/>
  <c r="P40" i="3"/>
  <c r="X40" i="3"/>
  <c r="Y40" i="3"/>
  <c r="AA40" i="3"/>
  <c r="P41" i="3"/>
  <c r="X41" i="3"/>
  <c r="Y41" i="3"/>
  <c r="AA41" i="3"/>
  <c r="P42" i="3"/>
  <c r="X42" i="3"/>
  <c r="Y42" i="3"/>
  <c r="Z42" i="3" s="1"/>
  <c r="AB42" i="3" s="1"/>
  <c r="AA42" i="3"/>
  <c r="P43" i="3"/>
  <c r="X43" i="3"/>
  <c r="Y43" i="3"/>
  <c r="Z43" i="3" s="1"/>
  <c r="AB43" i="3" s="1"/>
  <c r="AA43" i="3"/>
  <c r="P44" i="3"/>
  <c r="X44" i="3"/>
  <c r="Y44" i="3"/>
  <c r="AA44" i="3"/>
  <c r="P45" i="3"/>
  <c r="X45" i="3"/>
  <c r="Y45" i="3"/>
  <c r="AA45" i="3"/>
  <c r="P46" i="3"/>
  <c r="X46" i="3"/>
  <c r="Y46" i="3"/>
  <c r="Z46" i="3" s="1"/>
  <c r="AA46" i="3"/>
  <c r="P47" i="3"/>
  <c r="X47" i="3"/>
  <c r="Y47" i="3"/>
  <c r="Z47" i="3" s="1"/>
  <c r="AA47" i="3"/>
  <c r="P48" i="3"/>
  <c r="X48" i="3"/>
  <c r="Y48" i="3"/>
  <c r="Z48" i="3" s="1"/>
  <c r="AA48" i="3"/>
  <c r="P49" i="3"/>
  <c r="X49" i="3"/>
  <c r="Y49" i="3"/>
  <c r="AA49" i="3"/>
  <c r="P50" i="3"/>
  <c r="X50" i="3"/>
  <c r="Y50" i="3"/>
  <c r="AA50" i="3"/>
  <c r="P51" i="3"/>
  <c r="X51" i="3"/>
  <c r="Z51" i="3" s="1"/>
  <c r="AB51" i="3" s="1"/>
  <c r="Y51" i="3"/>
  <c r="AA51" i="3"/>
  <c r="P52" i="3"/>
  <c r="X52" i="3"/>
  <c r="Z52" i="3" s="1"/>
  <c r="AB52" i="3" s="1"/>
  <c r="Y52" i="3"/>
  <c r="AA52" i="3"/>
  <c r="P53" i="3"/>
  <c r="X53" i="3"/>
  <c r="Y53" i="3"/>
  <c r="Z53" i="3" s="1"/>
  <c r="AB53" i="3" s="1"/>
  <c r="AA53" i="3"/>
  <c r="P54" i="3"/>
  <c r="X54" i="3"/>
  <c r="Y54" i="3"/>
  <c r="Z54" i="3"/>
  <c r="AB54" i="3" s="1"/>
  <c r="AA54" i="3"/>
  <c r="P55" i="3"/>
  <c r="X55" i="3"/>
  <c r="Y55" i="3"/>
  <c r="Z55" i="3"/>
  <c r="AA55" i="3"/>
  <c r="AB55" i="3"/>
  <c r="P56" i="3"/>
  <c r="X56" i="3"/>
  <c r="Y56" i="3"/>
  <c r="AA56" i="3"/>
  <c r="P57" i="3"/>
  <c r="X57" i="3"/>
  <c r="Y57" i="3"/>
  <c r="AA57" i="3"/>
  <c r="P58" i="3"/>
  <c r="X58" i="3"/>
  <c r="Y58" i="3"/>
  <c r="Z58" i="3" s="1"/>
  <c r="AA58" i="3"/>
  <c r="P59" i="3"/>
  <c r="X59" i="3"/>
  <c r="Y59" i="3"/>
  <c r="AA59" i="3"/>
  <c r="P60" i="3"/>
  <c r="X60" i="3"/>
  <c r="Y60" i="3"/>
  <c r="Z60" i="3" s="1"/>
  <c r="AA60" i="3"/>
  <c r="P61" i="3"/>
  <c r="X61" i="3"/>
  <c r="Y61" i="3"/>
  <c r="AA61" i="3"/>
  <c r="P62" i="3"/>
  <c r="X62" i="3"/>
  <c r="Z62" i="3" s="1"/>
  <c r="Y62" i="3"/>
  <c r="AA62" i="3"/>
  <c r="P63" i="3"/>
  <c r="X63" i="3"/>
  <c r="Y63" i="3"/>
  <c r="AA63" i="3"/>
  <c r="P64" i="3"/>
  <c r="X64" i="3"/>
  <c r="Y64" i="3"/>
  <c r="AA64" i="3"/>
  <c r="P65" i="3"/>
  <c r="X65" i="3"/>
  <c r="Y65" i="3"/>
  <c r="Z65" i="3"/>
  <c r="AB65" i="3" s="1"/>
  <c r="AA65" i="3"/>
  <c r="P66" i="3"/>
  <c r="X66" i="3"/>
  <c r="Y66" i="3"/>
  <c r="Z66" i="3"/>
  <c r="AB66" i="3" s="1"/>
  <c r="AA66" i="3"/>
  <c r="P67" i="3"/>
  <c r="X67" i="3"/>
  <c r="Z67" i="3" s="1"/>
  <c r="AB67" i="3" s="1"/>
  <c r="Y67" i="3"/>
  <c r="AA67" i="3"/>
  <c r="P68" i="3"/>
  <c r="X68" i="3"/>
  <c r="Y68" i="3"/>
  <c r="AA68" i="3"/>
  <c r="P69" i="3"/>
  <c r="X69" i="3"/>
  <c r="Y69" i="3"/>
  <c r="AA69" i="3"/>
  <c r="P70" i="3"/>
  <c r="X70" i="3"/>
  <c r="Y70" i="3"/>
  <c r="AA70" i="3"/>
  <c r="P71" i="3"/>
  <c r="X71" i="3"/>
  <c r="Y71" i="3"/>
  <c r="Z71" i="3" s="1"/>
  <c r="AA71" i="3"/>
  <c r="P72" i="3"/>
  <c r="X72" i="3"/>
  <c r="Y72" i="3"/>
  <c r="Z72" i="3" s="1"/>
  <c r="AB72" i="3" s="1"/>
  <c r="AA72" i="3"/>
  <c r="P73" i="3"/>
  <c r="X73" i="3"/>
  <c r="Y73" i="3"/>
  <c r="AA73" i="3"/>
  <c r="P74" i="3"/>
  <c r="X74" i="3"/>
  <c r="Y74" i="3"/>
  <c r="AA74" i="3"/>
  <c r="P75" i="3"/>
  <c r="X75" i="3"/>
  <c r="Y75" i="3"/>
  <c r="AA75" i="3"/>
  <c r="P76" i="3"/>
  <c r="X76" i="3"/>
  <c r="Y76" i="3"/>
  <c r="AA76" i="3"/>
  <c r="P77" i="3"/>
  <c r="X77" i="3"/>
  <c r="Y77" i="3"/>
  <c r="Z77" i="3"/>
  <c r="AB77" i="3" s="1"/>
  <c r="AA77" i="3"/>
  <c r="P78" i="3"/>
  <c r="X78" i="3"/>
  <c r="Z78" i="3" s="1"/>
  <c r="AB78" i="3" s="1"/>
  <c r="Y78" i="3"/>
  <c r="AA78" i="3"/>
  <c r="P79" i="3"/>
  <c r="X79" i="3"/>
  <c r="Z79" i="3" s="1"/>
  <c r="Y79" i="3"/>
  <c r="AA79" i="3"/>
  <c r="P80" i="3"/>
  <c r="X80" i="3"/>
  <c r="Y80" i="3"/>
  <c r="AA80" i="3"/>
  <c r="P81" i="3"/>
  <c r="X81" i="3"/>
  <c r="Y81" i="3"/>
  <c r="Z81" i="3" s="1"/>
  <c r="AB81" i="3" s="1"/>
  <c r="AA81" i="3"/>
  <c r="P82" i="3"/>
  <c r="X82" i="3"/>
  <c r="Y82" i="3"/>
  <c r="AA82" i="3"/>
  <c r="P83" i="3"/>
  <c r="X83" i="3"/>
  <c r="Y83" i="3"/>
  <c r="Z83" i="3"/>
  <c r="AA83" i="3"/>
  <c r="P84" i="3"/>
  <c r="X84" i="3"/>
  <c r="Y84" i="3"/>
  <c r="Z84" i="3"/>
  <c r="AB84" i="3" s="1"/>
  <c r="AA84" i="3"/>
  <c r="P85" i="3"/>
  <c r="X85" i="3"/>
  <c r="Y85" i="3"/>
  <c r="AA85" i="3"/>
  <c r="P86" i="3"/>
  <c r="X86" i="3"/>
  <c r="Z86" i="3" s="1"/>
  <c r="AB86" i="3" s="1"/>
  <c r="Y86" i="3"/>
  <c r="AA86" i="3"/>
  <c r="P87" i="3"/>
  <c r="X87" i="3"/>
  <c r="Z87" i="3" s="1"/>
  <c r="AB87" i="3" s="1"/>
  <c r="Y87" i="3"/>
  <c r="AA87" i="3"/>
  <c r="P88" i="3"/>
  <c r="X88" i="3"/>
  <c r="Y88" i="3"/>
  <c r="Z88" i="3" s="1"/>
  <c r="AB88" i="3" s="1"/>
  <c r="AA88" i="3"/>
  <c r="P89" i="3"/>
  <c r="X89" i="3"/>
  <c r="Y89" i="3"/>
  <c r="Z89" i="3" s="1"/>
  <c r="AB89" i="3" s="1"/>
  <c r="AA89" i="3"/>
  <c r="P90" i="3"/>
  <c r="X90" i="3"/>
  <c r="Y90" i="3"/>
  <c r="Z90" i="3"/>
  <c r="AA90" i="3"/>
  <c r="P91" i="3"/>
  <c r="X91" i="3"/>
  <c r="Y91" i="3"/>
  <c r="Z91" i="3" s="1"/>
  <c r="AB91" i="3" s="1"/>
  <c r="AA91" i="3"/>
  <c r="P92" i="3"/>
  <c r="X92" i="3"/>
  <c r="Y92" i="3"/>
  <c r="Z92" i="3" s="1"/>
  <c r="AB92" i="3" s="1"/>
  <c r="AA92" i="3"/>
  <c r="P93" i="3"/>
  <c r="X93" i="3"/>
  <c r="Y93" i="3"/>
  <c r="Z93" i="3" s="1"/>
  <c r="AA93" i="3"/>
  <c r="P94" i="3"/>
  <c r="X94" i="3"/>
  <c r="Y94" i="3"/>
  <c r="Z94" i="3" s="1"/>
  <c r="AB94" i="3" s="1"/>
  <c r="AA94" i="3"/>
  <c r="P95" i="3"/>
  <c r="X95" i="3"/>
  <c r="Y95" i="3"/>
  <c r="Z95" i="3" s="1"/>
  <c r="AB95" i="3" s="1"/>
  <c r="AA95" i="3"/>
  <c r="P96" i="3"/>
  <c r="X96" i="3"/>
  <c r="Y96" i="3"/>
  <c r="Z96" i="3" s="1"/>
  <c r="AA96" i="3"/>
  <c r="P97" i="3"/>
  <c r="X97" i="3"/>
  <c r="Y97" i="3"/>
  <c r="AA97" i="3"/>
  <c r="P98" i="3"/>
  <c r="X98" i="3"/>
  <c r="Y98" i="3"/>
  <c r="Z98" i="3" s="1"/>
  <c r="AB98" i="3" s="1"/>
  <c r="AA98" i="3"/>
  <c r="P99" i="3"/>
  <c r="X99" i="3"/>
  <c r="Y99" i="3"/>
  <c r="Z99" i="3" s="1"/>
  <c r="AB99" i="3" s="1"/>
  <c r="AA99" i="3"/>
  <c r="P100" i="3"/>
  <c r="X100" i="3"/>
  <c r="Y100" i="3"/>
  <c r="AA100" i="3"/>
  <c r="P101" i="3"/>
  <c r="X101" i="3"/>
  <c r="Z101" i="3" s="1"/>
  <c r="AB101" i="3" s="1"/>
  <c r="Y101" i="3"/>
  <c r="AA101" i="3"/>
  <c r="P102" i="3"/>
  <c r="X102" i="3"/>
  <c r="Y102" i="3"/>
  <c r="Z102" i="3"/>
  <c r="AA102" i="3"/>
  <c r="P103" i="3"/>
  <c r="X103" i="3"/>
  <c r="Y103" i="3"/>
  <c r="Z103" i="3"/>
  <c r="AB103" i="3" s="1"/>
  <c r="AA103" i="3"/>
  <c r="P104" i="3"/>
  <c r="X104" i="3"/>
  <c r="Y104" i="3"/>
  <c r="Z104" i="3"/>
  <c r="AB104" i="3" s="1"/>
  <c r="AA104" i="3"/>
  <c r="P105" i="3"/>
  <c r="X105" i="3"/>
  <c r="Z105" i="3" s="1"/>
  <c r="AB105" i="3" s="1"/>
  <c r="Y105" i="3"/>
  <c r="AA105" i="3"/>
  <c r="P106" i="3"/>
  <c r="X106" i="3"/>
  <c r="Z106" i="3" s="1"/>
  <c r="AB106" i="3" s="1"/>
  <c r="Y106" i="3"/>
  <c r="AA106" i="3"/>
  <c r="P107" i="3"/>
  <c r="X107" i="3"/>
  <c r="Y107" i="3"/>
  <c r="Z107" i="3"/>
  <c r="AB107" i="3" s="1"/>
  <c r="AA107" i="3"/>
  <c r="P108" i="3"/>
  <c r="X108" i="3"/>
  <c r="Y108" i="3"/>
  <c r="Z108" i="3" s="1"/>
  <c r="AB108" i="3" s="1"/>
  <c r="AA108" i="3"/>
  <c r="P109" i="3"/>
  <c r="X109" i="3"/>
  <c r="Y109" i="3"/>
  <c r="AA109" i="3"/>
  <c r="P110" i="3"/>
  <c r="X110" i="3"/>
  <c r="Y110" i="3"/>
  <c r="AA110" i="3"/>
  <c r="P111" i="3"/>
  <c r="X111" i="3"/>
  <c r="Y111" i="3"/>
  <c r="Z111" i="3" s="1"/>
  <c r="AB111" i="3" s="1"/>
  <c r="AA111" i="3"/>
  <c r="P112" i="3"/>
  <c r="X112" i="3"/>
  <c r="Y112" i="3"/>
  <c r="Z112" i="3" s="1"/>
  <c r="AB112" i="3" s="1"/>
  <c r="AA112" i="3"/>
  <c r="P113" i="3"/>
  <c r="X113" i="3"/>
  <c r="Y113" i="3"/>
  <c r="AA113" i="3"/>
  <c r="P114" i="3"/>
  <c r="X114" i="3"/>
  <c r="Z114" i="3" s="1"/>
  <c r="AB114" i="3" s="1"/>
  <c r="Y114" i="3"/>
  <c r="AA114" i="3"/>
  <c r="P115" i="3"/>
  <c r="X115" i="3"/>
  <c r="Y115" i="3"/>
  <c r="Z115" i="3" s="1"/>
  <c r="AA115" i="3"/>
  <c r="P116" i="3"/>
  <c r="X116" i="3"/>
  <c r="Y116" i="3"/>
  <c r="Z116" i="3" s="1"/>
  <c r="AB116" i="3" s="1"/>
  <c r="AA116" i="3"/>
  <c r="P117" i="3"/>
  <c r="X117" i="3"/>
  <c r="Z117" i="3" s="1"/>
  <c r="AB117" i="3" s="1"/>
  <c r="Y117" i="3"/>
  <c r="AA117" i="3"/>
  <c r="P118" i="3"/>
  <c r="X118" i="3"/>
  <c r="Z118" i="3" s="1"/>
  <c r="Y118" i="3"/>
  <c r="AA118" i="3"/>
  <c r="P119" i="3"/>
  <c r="X119" i="3"/>
  <c r="Y119" i="3"/>
  <c r="Z119" i="3" s="1"/>
  <c r="AB119" i="3" s="1"/>
  <c r="AA119" i="3"/>
  <c r="P120" i="3"/>
  <c r="X120" i="3"/>
  <c r="Y120" i="3"/>
  <c r="Z120" i="3" s="1"/>
  <c r="AB120" i="3" s="1"/>
  <c r="AA120" i="3"/>
  <c r="AA20" i="3"/>
  <c r="Y20" i="3"/>
  <c r="X20" i="3"/>
  <c r="Z20" i="3" s="1"/>
  <c r="AB20" i="3" s="1"/>
  <c r="P20" i="3"/>
  <c r="AA19" i="3"/>
  <c r="Y19" i="3"/>
  <c r="X19" i="3"/>
  <c r="Z19" i="3" s="1"/>
  <c r="AB19" i="3" s="1"/>
  <c r="P19" i="3"/>
  <c r="AA18" i="3"/>
  <c r="Y18" i="3"/>
  <c r="X18" i="3"/>
  <c r="Z18" i="3" s="1"/>
  <c r="AB18" i="3" s="1"/>
  <c r="P18" i="3"/>
  <c r="AA17" i="3"/>
  <c r="Y17" i="3"/>
  <c r="X17" i="3"/>
  <c r="Z17" i="3" s="1"/>
  <c r="AB17" i="3" s="1"/>
  <c r="P17" i="3"/>
  <c r="AA16" i="3"/>
  <c r="Y16" i="3"/>
  <c r="X16" i="3"/>
  <c r="Z16" i="3" s="1"/>
  <c r="AB16" i="3" s="1"/>
  <c r="P16" i="3"/>
  <c r="AA15" i="3"/>
  <c r="Y15" i="3"/>
  <c r="X15" i="3"/>
  <c r="Z15" i="3" s="1"/>
  <c r="AB15" i="3" s="1"/>
  <c r="P15" i="3"/>
  <c r="AA14" i="3"/>
  <c r="Y14" i="3"/>
  <c r="X14" i="3"/>
  <c r="P14" i="3"/>
  <c r="AA13" i="3"/>
  <c r="Y13" i="3"/>
  <c r="X13" i="3"/>
  <c r="P13" i="3"/>
  <c r="AA12" i="3"/>
  <c r="Y12" i="3"/>
  <c r="X12" i="3"/>
  <c r="Z12" i="3" s="1"/>
  <c r="AB12" i="3" s="1"/>
  <c r="P12" i="3"/>
  <c r="AA11" i="3"/>
  <c r="Y11" i="3"/>
  <c r="X11" i="3"/>
  <c r="P11" i="3"/>
  <c r="AA10" i="3"/>
  <c r="Y10" i="3"/>
  <c r="X10" i="3"/>
  <c r="P10" i="3"/>
  <c r="AA9" i="3"/>
  <c r="Y9" i="3"/>
  <c r="X9" i="3"/>
  <c r="P9" i="3"/>
  <c r="AA8" i="3"/>
  <c r="Y8" i="3"/>
  <c r="Z8" i="3" s="1"/>
  <c r="AB8" i="3" s="1"/>
  <c r="X8" i="3"/>
  <c r="P8" i="3"/>
  <c r="AA7" i="3"/>
  <c r="Y7" i="3"/>
  <c r="X7" i="3"/>
  <c r="P7" i="3"/>
  <c r="AA6" i="3"/>
  <c r="Y6" i="3"/>
  <c r="X6" i="3"/>
  <c r="Z6" i="3" s="1"/>
  <c r="AB6" i="3" s="1"/>
  <c r="P6" i="3"/>
  <c r="AA5" i="3"/>
  <c r="Y5" i="3"/>
  <c r="X5" i="3"/>
  <c r="P5" i="3"/>
  <c r="AA4" i="3"/>
  <c r="Y4" i="3"/>
  <c r="X4" i="3"/>
  <c r="P4" i="3"/>
  <c r="AA3" i="3"/>
  <c r="Y3" i="3"/>
  <c r="X3" i="3"/>
  <c r="Z3" i="3" s="1"/>
  <c r="AB3" i="3" s="1"/>
  <c r="P3" i="3"/>
  <c r="AA2" i="3"/>
  <c r="Y2" i="3"/>
  <c r="Z2" i="3" s="1"/>
  <c r="AB2" i="3" s="1"/>
  <c r="X2" i="3"/>
  <c r="P2" i="3"/>
  <c r="U34" i="9" a="1"/>
  <c r="Q36" i="9" a="1"/>
  <c r="R26" i="9" a="1"/>
  <c r="R36" i="9" a="1"/>
  <c r="U39" i="9" a="1"/>
  <c r="Q30" i="9" a="1"/>
  <c r="T34" i="9" a="1"/>
  <c r="U47" i="9" a="1"/>
  <c r="T31" i="8" a="1"/>
  <c r="U32" i="8" a="1"/>
  <c r="Q36" i="8" a="1"/>
  <c r="T40" i="8" a="1"/>
  <c r="R48" i="8" a="1"/>
  <c r="Q32" i="8" a="1"/>
  <c r="Q28" i="8" a="1"/>
  <c r="T46" i="8" a="1"/>
  <c r="Q26" i="7" a="1"/>
  <c r="U31" i="7" a="1"/>
  <c r="Q35" i="7" a="1"/>
  <c r="R34" i="7" a="1"/>
  <c r="Q44" i="7" a="1"/>
  <c r="U36" i="7" a="1"/>
  <c r="R30" i="7" a="1"/>
  <c r="U34" i="6" a="1"/>
  <c r="T31" i="6" a="1"/>
  <c r="R27" i="6" a="1"/>
  <c r="R26" i="6" a="1"/>
  <c r="T28" i="6" a="1"/>
  <c r="U28" i="6" a="1"/>
  <c r="T49" i="6" a="1"/>
  <c r="U37" i="6" a="1"/>
  <c r="U35" i="6" a="1"/>
  <c r="U30" i="5" a="1"/>
  <c r="Q28" i="5" a="1"/>
  <c r="U14" i="9" a="1"/>
  <c r="R3" i="9" a="1"/>
  <c r="U9" i="9" a="1"/>
  <c r="T14" i="9" a="1"/>
  <c r="Q24" i="9" a="1"/>
  <c r="R21" i="9" a="1"/>
  <c r="Q9" i="9" a="1"/>
  <c r="Q3" i="9" a="1"/>
  <c r="U12" i="8" a="1"/>
  <c r="U7" i="8" a="1"/>
  <c r="Q20" i="8" a="1"/>
  <c r="T14" i="8" a="1"/>
  <c r="U18" i="8" a="1"/>
  <c r="U13" i="8" a="1"/>
  <c r="T6" i="8" a="1"/>
  <c r="R23" i="8" a="1"/>
  <c r="Q23" i="7" a="1"/>
  <c r="T17" i="7" a="1"/>
  <c r="R22" i="7" a="1"/>
  <c r="U4" i="7" a="1"/>
  <c r="T16" i="7" a="1"/>
  <c r="T4" i="7" a="1"/>
  <c r="U15" i="7" a="1"/>
  <c r="R4" i="7" a="1"/>
  <c r="U13" i="6" a="1"/>
  <c r="U7" i="6" a="1"/>
  <c r="Q24" i="6" a="1"/>
  <c r="Q8" i="6" a="1"/>
  <c r="U11" i="6" a="1"/>
  <c r="U6" i="6" a="1"/>
  <c r="U15" i="6" a="1"/>
  <c r="T20" i="6" a="1"/>
  <c r="T22" i="5" a="1"/>
  <c r="T17" i="5" a="1"/>
  <c r="Q20" i="5" a="1"/>
  <c r="Q15" i="5" a="1"/>
  <c r="R7" i="5" a="1"/>
  <c r="U20" i="5" a="1"/>
  <c r="U6" i="5" a="1"/>
  <c r="Q39" i="9" a="1"/>
  <c r="T41" i="9" a="1"/>
  <c r="T29" i="9" a="1"/>
  <c r="T26" i="9" a="1"/>
  <c r="Q44" i="9" a="1"/>
  <c r="R32" i="9" a="1"/>
  <c r="U36" i="9" a="1"/>
  <c r="Q27" i="8" a="1"/>
  <c r="U33" i="8" a="1"/>
  <c r="Q37" i="8" a="1"/>
  <c r="R38" i="8" a="1"/>
  <c r="U42" i="8" a="1"/>
  <c r="R44" i="8" a="1"/>
  <c r="R34" i="8" a="1"/>
  <c r="R30" i="8" a="1"/>
  <c r="Q27" i="7" a="1"/>
  <c r="R28" i="7" a="1"/>
  <c r="Q36" i="7" a="1"/>
  <c r="T27" i="7" a="1"/>
  <c r="T37" i="7" a="1"/>
  <c r="Q30" i="7" a="1"/>
  <c r="Q41" i="7" a="1"/>
  <c r="T33" i="7" a="1"/>
  <c r="Q39" i="6" a="1"/>
  <c r="U33" i="6" a="1"/>
  <c r="T30" i="6" a="1"/>
  <c r="T29" i="6" a="1"/>
  <c r="U30" i="6" a="1"/>
  <c r="Q33" i="6" a="1"/>
  <c r="U51" i="6" a="1"/>
  <c r="Q42" i="6" a="1"/>
  <c r="Q40" i="6" a="1"/>
  <c r="R26" i="5" a="1"/>
  <c r="Q18" i="4" a="1"/>
  <c r="Q13" i="9" a="1"/>
  <c r="R20" i="9" a="1"/>
  <c r="Q8" i="9" a="1"/>
  <c r="R5" i="9" a="1"/>
  <c r="T23" i="9" a="1"/>
  <c r="U20" i="9" a="1"/>
  <c r="U4" i="9" a="1"/>
  <c r="Q5" i="9" a="1"/>
  <c r="Q11" i="8" a="1"/>
  <c r="Q6" i="8" a="1"/>
  <c r="T19" i="8" a="1"/>
  <c r="R5" i="8" a="1"/>
  <c r="Q17" i="8" a="1"/>
  <c r="Q12" i="8" a="1"/>
  <c r="Q9" i="8" a="1"/>
  <c r="U22" i="8" a="1"/>
  <c r="T22" i="7" a="1"/>
  <c r="R8" i="7" a="1"/>
  <c r="U21" i="7" a="1"/>
  <c r="Q3" i="7" a="1"/>
  <c r="R7" i="7" a="1"/>
  <c r="T7" i="7" a="1"/>
  <c r="Q14" i="7" a="1"/>
  <c r="R41" i="9" a="1"/>
  <c r="T39" i="9" a="1"/>
  <c r="T28" i="9" a="1"/>
  <c r="U28" i="9" a="1"/>
  <c r="R46" i="9" a="1"/>
  <c r="T35" i="9" a="1"/>
  <c r="Q41" i="9" a="1"/>
  <c r="R29" i="8" a="1"/>
  <c r="Q38" i="8" a="1"/>
  <c r="R39" i="8" a="1"/>
  <c r="T41" i="8" a="1"/>
  <c r="Q47" i="8" a="1"/>
  <c r="T26" i="8" a="1"/>
  <c r="U26" i="8" a="1"/>
  <c r="T33" i="8" a="1"/>
  <c r="R29" i="7" a="1"/>
  <c r="U33" i="7" a="1"/>
  <c r="R38" i="7" a="1"/>
  <c r="U29" i="7" a="1"/>
  <c r="U39" i="7" a="1"/>
  <c r="R32" i="7" a="1"/>
  <c r="R43" i="7" a="1"/>
  <c r="U35" i="7" a="1"/>
  <c r="R41" i="6" a="1"/>
  <c r="Q38" i="6" a="1"/>
  <c r="U32" i="6" a="1"/>
  <c r="U31" i="6" a="1"/>
  <c r="Q35" i="6" a="1"/>
  <c r="R35" i="6" a="1"/>
  <c r="U26" i="6" a="1"/>
  <c r="R44" i="6" a="1"/>
  <c r="R42" i="6" a="1"/>
  <c r="T29" i="5" a="1"/>
  <c r="R18" i="9" a="1"/>
  <c r="T12" i="9" a="1"/>
  <c r="U19" i="9" a="1"/>
  <c r="R12" i="9" a="1"/>
  <c r="U2" i="9" a="1"/>
  <c r="R14" i="9" a="1"/>
  <c r="Q19" i="9" a="1"/>
  <c r="R7" i="9" a="1"/>
  <c r="R18" i="8" a="1"/>
  <c r="T10" i="8" a="1"/>
  <c r="T5" i="8" a="1"/>
  <c r="R10" i="8" a="1"/>
  <c r="U2" i="8" a="1"/>
  <c r="T16" i="8" a="1"/>
  <c r="T11" i="8" a="1"/>
  <c r="T25" i="8" a="1"/>
  <c r="R18" i="7" a="1"/>
  <c r="Q26" i="9" a="1"/>
  <c r="R27" i="9" a="1"/>
  <c r="U30" i="9" a="1"/>
  <c r="Q33" i="9" a="1"/>
  <c r="U41" i="9" a="1"/>
  <c r="U37" i="9" a="1"/>
  <c r="R43" i="9" a="1"/>
  <c r="T32" i="8" a="1"/>
  <c r="R40" i="8" a="1"/>
  <c r="T42" i="8" a="1"/>
  <c r="U43" i="8" a="1"/>
  <c r="R49" i="8" a="1"/>
  <c r="U28" i="8" a="1"/>
  <c r="Q31" i="8" a="1"/>
  <c r="U35" i="8" a="1"/>
  <c r="T32" i="7" a="1"/>
  <c r="R27" i="7" a="1"/>
  <c r="T41" i="7" a="1"/>
  <c r="T26" i="7" a="1"/>
  <c r="U26" i="7" a="1"/>
  <c r="T35" i="7" a="1"/>
  <c r="T46" i="7" a="1"/>
  <c r="Q40" i="7" a="1"/>
  <c r="T44" i="6" a="1"/>
  <c r="R40" i="6" a="1"/>
  <c r="Q37" i="6" a="1"/>
  <c r="Q36" i="6" a="1"/>
  <c r="T40" i="6" a="1"/>
  <c r="T38" i="6" a="1"/>
  <c r="Q31" i="6" a="1"/>
  <c r="T47" i="6" a="1"/>
  <c r="R28" i="9" a="1"/>
  <c r="T30" i="9" a="1"/>
  <c r="Q35" i="9" a="1"/>
  <c r="R35" i="9" a="1"/>
  <c r="R47" i="9" a="1"/>
  <c r="Q42" i="9" a="1"/>
  <c r="T46" i="9" a="1"/>
  <c r="U34" i="8" a="1"/>
  <c r="T43" i="8" a="1"/>
  <c r="U44" i="8" a="1"/>
  <c r="Q48" i="8" a="1"/>
  <c r="U38" i="8" a="1"/>
  <c r="Q33" i="8" a="1"/>
  <c r="R33" i="8" a="1"/>
  <c r="Q40" i="8" a="1"/>
  <c r="U34" i="7" a="1"/>
  <c r="T30" i="7" a="1"/>
  <c r="U43" i="7" a="1"/>
  <c r="U28" i="7" a="1"/>
  <c r="Q31" i="7" a="1"/>
  <c r="U37" i="7" a="1"/>
  <c r="U48" i="7" a="1"/>
  <c r="R42" i="7" a="1"/>
  <c r="U46" i="6" a="1"/>
  <c r="T43" i="6" a="1"/>
  <c r="R39" i="6" a="1"/>
  <c r="R38" i="6" a="1"/>
  <c r="Q47" i="6" a="1"/>
  <c r="U40" i="6" a="1"/>
  <c r="R33" i="6" a="1"/>
  <c r="Q29" i="6" a="1"/>
  <c r="U47" i="6" a="1"/>
  <c r="U29" i="5" a="1"/>
  <c r="Q16" i="9" a="1"/>
  <c r="R25" i="9" a="1"/>
  <c r="T17" i="9" a="1"/>
  <c r="T24" i="9" a="1"/>
  <c r="U23" i="9" a="1"/>
  <c r="Q12" i="9" a="1"/>
  <c r="R9" i="9" a="1"/>
  <c r="R23" i="9" a="1"/>
  <c r="Q16" i="8" a="1"/>
  <c r="T3" i="8" a="1"/>
  <c r="T24" i="8" a="1"/>
  <c r="Q8" i="8" a="1"/>
  <c r="U3" i="8" a="1"/>
  <c r="U6" i="8" a="1"/>
  <c r="U10" i="8" a="1"/>
  <c r="U15" i="8" a="1"/>
  <c r="Q16" i="7" a="1"/>
  <c r="Q11" i="7" a="1"/>
  <c r="T5" i="7" a="1"/>
  <c r="R10" i="7" a="1"/>
  <c r="Q22" i="7" a="1"/>
  <c r="T2" i="7" a="1"/>
  <c r="Q19" i="7" a="1"/>
  <c r="R23" i="7" a="1"/>
  <c r="Q16" i="6" a="1"/>
  <c r="Q23" i="6" a="1"/>
  <c r="R20" i="6" a="1"/>
  <c r="T12" i="6" a="1"/>
  <c r="T14" i="6" a="1"/>
  <c r="Q3" i="6" a="1"/>
  <c r="T6" i="6" a="1"/>
  <c r="T31" i="9" a="1"/>
  <c r="U32" i="9" a="1"/>
  <c r="R37" i="9" a="1"/>
  <c r="T38" i="9" a="1"/>
  <c r="U26" i="9" a="1"/>
  <c r="R44" i="9" a="1"/>
  <c r="Q28" i="9" a="1"/>
  <c r="Q39" i="8" a="1"/>
  <c r="U45" i="8" a="1"/>
  <c r="Q49" i="8" a="1"/>
  <c r="U39" i="8" a="1"/>
  <c r="T27" i="8" a="1"/>
  <c r="R35" i="8" a="1"/>
  <c r="Q30" i="8" a="1"/>
  <c r="R42" i="8" a="1"/>
  <c r="Q39" i="7" a="1"/>
  <c r="U32" i="7" a="1"/>
  <c r="Q48" i="7" a="1"/>
  <c r="Q33" i="7" a="1"/>
  <c r="R33" i="7" a="1"/>
  <c r="Q42" i="7" a="1"/>
  <c r="T31" i="7" a="1"/>
  <c r="U33" i="9" a="1"/>
  <c r="Q37" i="9" a="1"/>
  <c r="T40" i="9" a="1"/>
  <c r="U40" i="9" a="1"/>
  <c r="Q31" i="9" a="1"/>
  <c r="T47" i="9" a="1"/>
  <c r="R30" i="9" a="1"/>
  <c r="R41" i="8" a="1"/>
  <c r="Q44" i="8" a="1"/>
  <c r="R46" i="8" a="1"/>
  <c r="Q43" i="8" a="1"/>
  <c r="U29" i="8" a="1"/>
  <c r="T38" i="8" a="1"/>
  <c r="R32" i="8" a="1"/>
  <c r="T45" i="8" a="1"/>
  <c r="R41" i="7" a="1"/>
  <c r="Q37" i="7" a="1"/>
  <c r="U30" i="7" a="1"/>
  <c r="R35" i="7" a="1"/>
  <c r="T36" i="7" a="1"/>
  <c r="R44" i="7" a="1"/>
  <c r="Q38" i="7" a="1"/>
  <c r="U47" i="7" a="1"/>
  <c r="Q46" i="6" a="1"/>
  <c r="Q50" i="6" a="1"/>
  <c r="U44" i="6" a="1"/>
  <c r="U43" i="6" a="1"/>
  <c r="U29" i="6" a="1"/>
  <c r="Q32" i="6" a="1"/>
  <c r="U38" i="6" a="1"/>
  <c r="T34" i="6" a="1"/>
  <c r="R29" i="5" a="1"/>
  <c r="T26" i="5" a="1"/>
  <c r="R6" i="9" a="1"/>
  <c r="Q38" i="9" a="1"/>
  <c r="R39" i="9" a="1"/>
  <c r="U42" i="9" a="1"/>
  <c r="Q45" i="9" a="1"/>
  <c r="R33" i="9" a="1"/>
  <c r="T44" i="9" a="1"/>
  <c r="T33" i="9" a="1"/>
  <c r="T44" i="8" a="1"/>
  <c r="T36" i="8" a="1"/>
  <c r="T48" i="8" a="1"/>
  <c r="R43" i="8" a="1"/>
  <c r="Q34" i="8" a="1"/>
  <c r="U40" i="8" a="1"/>
  <c r="Q29" i="8" a="1"/>
  <c r="U47" i="8" a="1"/>
  <c r="T44" i="7" a="1"/>
  <c r="R39" i="7" a="1"/>
  <c r="R37" i="7" a="1"/>
  <c r="T38" i="7" a="1"/>
  <c r="U38" i="7" a="1"/>
  <c r="T47" i="7" a="1"/>
  <c r="R40" i="7" a="1"/>
  <c r="U45" i="7" a="1"/>
  <c r="R48" i="6" a="1"/>
  <c r="U42" i="6" a="1"/>
  <c r="Q49" i="6" a="1"/>
  <c r="Q48" i="6" a="1"/>
  <c r="Q34" i="6" a="1"/>
  <c r="R34" i="6" a="1"/>
  <c r="Q43" i="6" a="1"/>
  <c r="U36" i="6" a="1"/>
  <c r="Q26" i="5" a="1"/>
  <c r="U28" i="5" a="1"/>
  <c r="U5" i="9" a="1"/>
  <c r="T22" i="9" a="1"/>
  <c r="Q6" i="9" a="1"/>
  <c r="U6" i="9" a="1"/>
  <c r="R19" i="9" a="1"/>
  <c r="U8" i="9" a="1"/>
  <c r="R16" i="9" a="1"/>
  <c r="T20" i="9" a="1"/>
  <c r="R25" i="8" a="1"/>
  <c r="R20" i="8" a="1"/>
  <c r="Q13" i="8" a="1"/>
  <c r="R12" i="8" a="1"/>
  <c r="R24" i="8" a="1"/>
  <c r="T8" i="8" a="1"/>
  <c r="Q19" i="8" a="1"/>
  <c r="R2" i="8" a="1"/>
  <c r="U5" i="7" a="1"/>
  <c r="T3" i="7" a="1"/>
  <c r="T24" i="7" a="1"/>
  <c r="Q15" i="7" a="1"/>
  <c r="Q10" i="7" a="1"/>
  <c r="T23" i="7" a="1"/>
  <c r="U8" i="7" a="1"/>
  <c r="T20" i="7" a="1"/>
  <c r="U5" i="6" a="1"/>
  <c r="U12" i="6" a="1"/>
  <c r="T17" i="6" a="1"/>
  <c r="U21" i="6" a="1"/>
  <c r="R24" i="6" a="1"/>
  <c r="R19" i="6" a="1"/>
  <c r="R21" i="6" a="1"/>
  <c r="R40" i="9" a="1"/>
  <c r="T42" i="9" a="1"/>
  <c r="Q47" i="9" a="1"/>
  <c r="U27" i="9" a="1"/>
  <c r="T36" i="9" a="1"/>
  <c r="U46" i="9" a="1"/>
  <c r="U35" i="9" a="1"/>
  <c r="U46" i="8" a="1"/>
  <c r="U49" i="8" a="1"/>
  <c r="T35" i="8" a="1"/>
  <c r="T28" i="8" a="1"/>
  <c r="R36" i="8" a="1"/>
  <c r="Q45" i="8" a="1"/>
  <c r="R31" i="8" a="1"/>
  <c r="T37" i="8" a="1"/>
  <c r="U46" i="7" a="1"/>
  <c r="T42" i="7" a="1"/>
  <c r="T40" i="7" a="1"/>
  <c r="U40" i="7" a="1"/>
  <c r="Q43" i="7" a="1"/>
  <c r="U41" i="7" a="1"/>
  <c r="T43" i="7" a="1"/>
  <c r="T39" i="7" a="1"/>
  <c r="T48" i="6" a="1"/>
  <c r="R47" i="6" a="1"/>
  <c r="R51" i="6" a="1"/>
  <c r="R50" i="6" a="1"/>
  <c r="R36" i="6" a="1"/>
  <c r="T37" i="6" a="1"/>
  <c r="R45" i="6" a="1"/>
  <c r="U48" i="6" a="1"/>
  <c r="R28" i="5" a="1"/>
  <c r="U27" i="5" a="1"/>
  <c r="Q2" i="9" a="1"/>
  <c r="R13" i="9" a="1"/>
  <c r="T5" i="9" a="1"/>
  <c r="R22" i="9" a="1"/>
  <c r="U18" i="9" a="1"/>
  <c r="T6" i="9" a="1"/>
  <c r="U15" i="9" a="1"/>
  <c r="R11" i="9" a="1"/>
  <c r="U24" i="8" a="1"/>
  <c r="Q27" i="9" a="1"/>
  <c r="T43" i="9" a="1"/>
  <c r="U44" i="9" a="1"/>
  <c r="T27" i="9" a="1"/>
  <c r="Q32" i="9" a="1"/>
  <c r="U38" i="9" a="1"/>
  <c r="Q46" i="9" a="1"/>
  <c r="Q40" i="9" a="1"/>
  <c r="Q42" i="8" a="1"/>
  <c r="U48" i="8" a="1"/>
  <c r="R26" i="8" a="1"/>
  <c r="U30" i="8" a="1"/>
  <c r="T39" i="8" a="1"/>
  <c r="R47" i="8" a="1"/>
  <c r="T34" i="8" a="1"/>
  <c r="T49" i="8" a="1"/>
  <c r="U44" i="7" a="1"/>
  <c r="R48" i="7" a="1"/>
  <c r="U42" i="7" a="1"/>
  <c r="R46" i="7" a="1"/>
  <c r="R45" i="7" a="1"/>
  <c r="Q29" i="7" a="1"/>
  <c r="Q34" i="7" a="1"/>
  <c r="Q27" i="6" a="1"/>
  <c r="U49" i="6" a="1"/>
  <c r="U50" i="6" a="1"/>
  <c r="R37" i="6" a="1"/>
  <c r="R49" i="6" a="1"/>
  <c r="T39" i="6" a="1"/>
  <c r="U39" i="6" a="1"/>
  <c r="Q30" i="6" a="1"/>
  <c r="Q28" i="6" a="1"/>
  <c r="T28" i="5" a="1"/>
  <c r="Q29" i="5" a="1"/>
  <c r="T10" i="9" a="1"/>
  <c r="U12" i="9" a="1"/>
  <c r="U21" i="9" a="1"/>
  <c r="R17" i="9" a="1"/>
  <c r="Q17" i="9" a="1"/>
  <c r="U3" i="9" a="1"/>
  <c r="Q14" i="9" a="1"/>
  <c r="U10" i="9" a="1"/>
  <c r="R29" i="9" a="1"/>
  <c r="U45" i="9" a="1"/>
  <c r="R38" i="9" a="1"/>
  <c r="U29" i="9" a="1"/>
  <c r="R34" i="9" a="1"/>
  <c r="Q43" i="9" a="1"/>
  <c r="Q29" i="9" a="1"/>
  <c r="R42" i="9" a="1"/>
  <c r="Q26" i="8" a="1"/>
  <c r="R27" i="8" a="1"/>
  <c r="T29" i="8" a="1"/>
  <c r="Q35" i="8" a="1"/>
  <c r="U41" i="8" a="1"/>
  <c r="R45" i="8" a="1"/>
  <c r="U36" i="8" a="1"/>
  <c r="U37" i="8" a="1"/>
  <c r="Q45" i="7" a="1"/>
  <c r="R26" i="7" a="1"/>
  <c r="Q47" i="7" a="1"/>
  <c r="U27" i="7" a="1"/>
  <c r="T48" i="7" a="1"/>
  <c r="T32" i="9" a="1"/>
  <c r="U31" i="9" a="1"/>
  <c r="U43" i="9" a="1"/>
  <c r="Q34" i="9" a="1"/>
  <c r="T37" i="9" a="1"/>
  <c r="R45" i="9" a="1"/>
  <c r="R31" i="9" a="1"/>
  <c r="T45" i="9" a="1"/>
  <c r="R28" i="8" a="1"/>
  <c r="T30" i="8" a="1"/>
  <c r="U31" i="8" a="1"/>
  <c r="R37" i="8" a="1"/>
  <c r="Q46" i="8" a="1"/>
  <c r="U27" i="8" a="1"/>
  <c r="Q41" i="8" a="1"/>
  <c r="T47" i="8" a="1"/>
  <c r="R47" i="7" a="1"/>
  <c r="T29" i="7" a="1"/>
  <c r="T34" i="7" a="1"/>
  <c r="T42" i="6" a="1"/>
  <c r="T36" i="6" a="1"/>
  <c r="U26" i="5" a="1"/>
  <c r="R8" i="9" a="1"/>
  <c r="T16" i="9" a="1"/>
  <c r="T2" i="9" a="1"/>
  <c r="U4" i="8" a="1"/>
  <c r="U21" i="8" a="1"/>
  <c r="Q22" i="8" a="1"/>
  <c r="U20" i="8" a="1"/>
  <c r="U17" i="7" a="1"/>
  <c r="R20" i="7" a="1"/>
  <c r="T19" i="7" a="1"/>
  <c r="R19" i="7" a="1"/>
  <c r="U20" i="7" a="1"/>
  <c r="U10" i="7" a="1"/>
  <c r="R9" i="6" a="1"/>
  <c r="U19" i="6" a="1"/>
  <c r="T19" i="6" a="1"/>
  <c r="Q10" i="6" a="1"/>
  <c r="U25" i="6" a="1"/>
  <c r="T8" i="6" a="1"/>
  <c r="Q5" i="5" a="1"/>
  <c r="R20" i="5" a="1"/>
  <c r="R22" i="5" a="1"/>
  <c r="U16" i="5" a="1"/>
  <c r="T6" i="5" a="1"/>
  <c r="T18" i="5" a="1"/>
  <c r="Q21" i="5" a="1"/>
  <c r="R17" i="4" a="1"/>
  <c r="R16" i="4" a="1"/>
  <c r="R9" i="4" a="1"/>
  <c r="Q9" i="4" a="1"/>
  <c r="Q12" i="4" a="1"/>
  <c r="T16" i="4" a="1"/>
  <c r="U22" i="4" a="1"/>
  <c r="U3" i="4" a="1"/>
  <c r="U29" i="3" a="1"/>
  <c r="U65" i="3" a="1"/>
  <c r="T44" i="3" a="1"/>
  <c r="T80" i="3" a="1"/>
  <c r="U51" i="3" a="1"/>
  <c r="U87" i="3" a="1"/>
  <c r="Q55" i="3" a="1"/>
  <c r="R38" i="3" a="1"/>
  <c r="U30" i="3" a="1"/>
  <c r="U35" i="3" a="1"/>
  <c r="U71" i="3" a="1"/>
  <c r="Q32" i="3" a="1"/>
  <c r="Q68" i="3" a="1"/>
  <c r="R51" i="3" a="1"/>
  <c r="R87" i="3" a="1"/>
  <c r="R44" i="3" a="1"/>
  <c r="Q47" i="3" a="1"/>
  <c r="T89" i="3" a="1"/>
  <c r="U84" i="3" a="1"/>
  <c r="U80" i="3" a="1"/>
  <c r="R120" i="3" a="1"/>
  <c r="R96" i="3" a="1"/>
  <c r="Q78" i="3" a="1"/>
  <c r="R53" i="3" a="1"/>
  <c r="U110" i="3" a="1"/>
  <c r="R83" i="3" a="1"/>
  <c r="Q107" i="3" a="1"/>
  <c r="U90" i="3" a="1"/>
  <c r="Q89" i="3" a="1"/>
  <c r="T62" i="3" a="1"/>
  <c r="T116" i="3" a="1"/>
  <c r="R95" i="3" a="1"/>
  <c r="Q120" i="3" a="1"/>
  <c r="U116" i="3" a="1"/>
  <c r="T17" i="3" a="1"/>
  <c r="Q8" i="3" a="1"/>
  <c r="T9" i="3" a="1"/>
  <c r="U13" i="3" a="1"/>
  <c r="U15" i="3" a="1"/>
  <c r="U17" i="3" a="1"/>
  <c r="U93" i="3" a="1"/>
  <c r="R68" i="3" a="1"/>
  <c r="Q117" i="3" a="1"/>
  <c r="Q14" i="3" a="1"/>
  <c r="Q16" i="3" a="1"/>
  <c r="Q83" i="3" a="1"/>
  <c r="U81" i="3" a="1"/>
  <c r="T120" i="3" a="1"/>
  <c r="R97" i="3" a="1"/>
  <c r="T118" i="3" a="1"/>
  <c r="R94" i="3" a="1"/>
  <c r="Q95" i="3" a="1"/>
  <c r="U78" i="3" a="1"/>
  <c r="U118" i="3" a="1"/>
  <c r="U100" i="3" a="1"/>
  <c r="R67" i="3" a="1"/>
  <c r="R13" i="3" a="1"/>
  <c r="U7" i="3" a="1"/>
  <c r="R3" i="3" a="1"/>
  <c r="Q3" i="3" a="1"/>
  <c r="T11" i="3" a="1"/>
  <c r="T13" i="3" a="1"/>
  <c r="T15" i="3" a="1"/>
  <c r="U96" i="3" a="1"/>
  <c r="Q98" i="3" a="1"/>
  <c r="R84" i="3" a="1"/>
  <c r="R2" i="3" a="1"/>
  <c r="R6" i="3" a="1"/>
  <c r="Q104" i="3" a="1"/>
  <c r="R80" i="3" a="1"/>
  <c r="T10" i="3" a="1"/>
  <c r="U14" i="3" a="1"/>
  <c r="Q15" i="3" a="1"/>
  <c r="R11" i="3" a="1"/>
  <c r="R4" i="3" a="1"/>
  <c r="T101" i="3" a="1"/>
  <c r="Q46" i="7" a="1"/>
  <c r="T51" i="6" a="1"/>
  <c r="R32" i="6" a="1"/>
  <c r="Q30" i="5" a="1"/>
  <c r="U7" i="9" a="1"/>
  <c r="U25" i="9" a="1"/>
  <c r="U22" i="9" a="1"/>
  <c r="Q3" i="8" a="1"/>
  <c r="U9" i="8" a="1"/>
  <c r="T21" i="8" a="1"/>
  <c r="T18" i="8" a="1"/>
  <c r="T15" i="7" a="1"/>
  <c r="U19" i="7" a="1"/>
  <c r="R17" i="7" a="1"/>
  <c r="U18" i="7" a="1"/>
  <c r="T18" i="7" a="1"/>
  <c r="Q9" i="7" a="1"/>
  <c r="R25" i="6" a="1"/>
  <c r="Q18" i="6" a="1"/>
  <c r="R10" i="6" a="1"/>
  <c r="T9" i="6" a="1"/>
  <c r="Q12" i="6" a="1"/>
  <c r="R4" i="6" a="1"/>
  <c r="R25" i="5" a="1"/>
  <c r="U19" i="5" a="1"/>
  <c r="U21" i="5" a="1"/>
  <c r="T14" i="5" a="1"/>
  <c r="R19" i="5" a="1"/>
  <c r="R9" i="5" a="1"/>
  <c r="T20" i="5" a="1"/>
  <c r="R24" i="4" a="1"/>
  <c r="U15" i="4" a="1"/>
  <c r="U8" i="4" a="1"/>
  <c r="T8" i="4" a="1"/>
  <c r="T7" i="4" a="1"/>
  <c r="U10" i="4" a="1"/>
  <c r="Q21" i="4" a="1"/>
  <c r="Q17" i="4" a="1"/>
  <c r="R30" i="3" a="1"/>
  <c r="R66" i="3" a="1"/>
  <c r="Q45" i="3" a="1"/>
  <c r="Q81" i="3" a="1"/>
  <c r="R52" i="3" a="1"/>
  <c r="R88" i="3" a="1"/>
  <c r="U56" i="3" a="1"/>
  <c r="T47" i="3" a="1"/>
  <c r="R31" i="3" a="1"/>
  <c r="R36" i="3" a="1"/>
  <c r="T26" i="3" a="1"/>
  <c r="U33" i="3" a="1"/>
  <c r="T24" i="3" a="1"/>
  <c r="T60" i="3" a="1"/>
  <c r="T96" i="3" a="1"/>
  <c r="T53" i="3" a="1"/>
  <c r="U48" i="3" a="1"/>
  <c r="Q90" i="3" a="1"/>
  <c r="T92" i="3" a="1"/>
  <c r="Q82" i="3" a="1"/>
  <c r="Q111" i="3" a="1"/>
  <c r="Q100" i="3" a="1"/>
  <c r="R82" i="3" a="1"/>
  <c r="R77" i="3" a="1"/>
  <c r="R111" i="3" a="1"/>
  <c r="T93" i="3" a="1"/>
  <c r="U108" i="3" a="1"/>
  <c r="R91" i="3" a="1"/>
  <c r="R98" i="3" a="1"/>
  <c r="U52" i="3" a="1"/>
  <c r="R117" i="3" a="1"/>
  <c r="R8" i="3" a="1"/>
  <c r="T7" i="3" a="1"/>
  <c r="U4" i="3" a="1"/>
  <c r="Q12" i="3" a="1"/>
  <c r="U68" i="3" a="1"/>
  <c r="U12" i="3" a="1"/>
  <c r="Q6" i="3" a="1"/>
  <c r="R15" i="3" a="1"/>
  <c r="T20" i="3" a="1"/>
  <c r="U5" i="3" a="1"/>
  <c r="T52" i="3" a="1"/>
  <c r="T113" i="3" a="1"/>
  <c r="T6" i="3" a="1"/>
  <c r="Q28" i="7" a="1"/>
  <c r="T50" i="6" a="1"/>
  <c r="T35" i="6" a="1"/>
  <c r="U17" i="9" a="1"/>
  <c r="Q20" i="9" a="1"/>
  <c r="U13" i="9" a="1"/>
  <c r="Q21" i="9" a="1"/>
  <c r="U19" i="8" a="1"/>
  <c r="T7" i="8" a="1"/>
  <c r="R19" i="8" a="1"/>
  <c r="R9" i="8" a="1"/>
  <c r="R6" i="7" a="1"/>
  <c r="Q18" i="7" a="1"/>
  <c r="U16" i="7" a="1"/>
  <c r="Q17" i="7" a="1"/>
  <c r="R9" i="7" a="1"/>
  <c r="T8" i="7" a="1"/>
  <c r="U24" i="6" a="1"/>
  <c r="R8" i="6" a="1"/>
  <c r="U9" i="6" a="1"/>
  <c r="U4" i="6" a="1"/>
  <c r="U20" i="6" a="1"/>
  <c r="U3" i="6" a="1"/>
  <c r="U24" i="5" a="1"/>
  <c r="Q18" i="5" a="1"/>
  <c r="T19" i="5" a="1"/>
  <c r="R5" i="5" a="1"/>
  <c r="U18" i="5" a="1"/>
  <c r="U8" i="5" a="1"/>
  <c r="R11" i="5" a="1"/>
  <c r="U23" i="4" a="1"/>
  <c r="Q14" i="4" a="1"/>
  <c r="Q4" i="4" a="1"/>
  <c r="U2" i="4" a="1"/>
  <c r="U16" i="4" a="1"/>
  <c r="U4" i="4" a="1"/>
  <c r="Q19" i="4" a="1"/>
  <c r="U13" i="4" a="1"/>
  <c r="T39" i="3" a="1"/>
  <c r="T75" i="3" a="1"/>
  <c r="U46" i="3" a="1"/>
  <c r="T25" i="3" a="1"/>
  <c r="T61" i="3" a="1"/>
  <c r="R21" i="3" a="1"/>
  <c r="R57" i="3" a="1"/>
  <c r="Q48" i="3" a="1"/>
  <c r="T40" i="3" a="1"/>
  <c r="T45" i="3" a="1"/>
  <c r="Q27" i="3" a="1"/>
  <c r="R34" i="3" a="1"/>
  <c r="Q25" i="3" a="1"/>
  <c r="Q61" i="3" a="1"/>
  <c r="Q97" i="3" a="1"/>
  <c r="Q54" i="3" a="1"/>
  <c r="R49" i="3" a="1"/>
  <c r="Q99" i="3" a="1"/>
  <c r="Q93" i="3" a="1"/>
  <c r="R86" i="3" a="1"/>
  <c r="Q66" i="3" a="1"/>
  <c r="T110" i="3" a="1"/>
  <c r="R119" i="3" a="1"/>
  <c r="U103" i="3" a="1"/>
  <c r="R17" i="3" a="1"/>
  <c r="U6" i="3" a="1"/>
  <c r="T4" i="3" a="1"/>
  <c r="U16" i="3" a="1"/>
  <c r="R19" i="3" a="1"/>
  <c r="U20" i="3" a="1"/>
  <c r="U18" i="3" a="1"/>
  <c r="Q19" i="3" a="1"/>
  <c r="T97" i="3" a="1"/>
  <c r="Q80" i="3" a="1"/>
  <c r="U111" i="3" a="1"/>
  <c r="U91" i="3" a="1"/>
  <c r="T3" i="3" a="1"/>
  <c r="T12" i="3" a="1"/>
  <c r="R5" i="3" a="1"/>
  <c r="T16" i="3" a="1"/>
  <c r="R9" i="3" a="1"/>
  <c r="Q9" i="3" a="1"/>
  <c r="T78" i="3" a="1"/>
  <c r="U113" i="3" a="1"/>
  <c r="T45" i="7" a="1"/>
  <c r="T41" i="6" a="1"/>
  <c r="R31" i="6" a="1"/>
  <c r="T15" i="9" a="1"/>
  <c r="T19" i="9" a="1"/>
  <c r="T11" i="9" a="1"/>
  <c r="T8" i="9" a="1"/>
  <c r="Q18" i="8" a="1"/>
  <c r="R3" i="8" a="1"/>
  <c r="R7" i="8" a="1"/>
  <c r="U8" i="8" a="1"/>
  <c r="Q2" i="7" a="1"/>
  <c r="U7" i="7" a="1"/>
  <c r="T14" i="7" a="1"/>
  <c r="U6" i="7" a="1"/>
  <c r="Q7" i="7" a="1"/>
  <c r="U3" i="7" a="1"/>
  <c r="T22" i="6" a="1"/>
  <c r="T5" i="6" a="1"/>
  <c r="T7" i="6" a="1"/>
  <c r="T18" i="6" a="1"/>
  <c r="Q19" i="6" a="1"/>
  <c r="R23" i="6" a="1"/>
  <c r="Q23" i="5" a="1"/>
  <c r="R8" i="5" a="1"/>
  <c r="R10" i="5" a="1"/>
  <c r="U2" i="5" a="1"/>
  <c r="Q17" i="5" a="1"/>
  <c r="Q7" i="5" a="1"/>
  <c r="U10" i="5" a="1"/>
  <c r="Q22" i="4" a="1"/>
  <c r="T13" i="4" a="1"/>
  <c r="R6" i="4" a="1"/>
  <c r="Q6" i="4" a="1"/>
  <c r="Q8" i="4" a="1"/>
  <c r="T10" i="4" a="1"/>
  <c r="R18" i="4" a="1"/>
  <c r="Q7" i="4" a="1"/>
  <c r="Q40" i="3" a="1"/>
  <c r="Q76" i="3" a="1"/>
  <c r="R47" i="3" a="1"/>
  <c r="Q26" i="3" a="1"/>
  <c r="Q62" i="3" a="1"/>
  <c r="T30" i="3" a="1"/>
  <c r="T66" i="3" a="1"/>
  <c r="U49" i="3" a="1"/>
  <c r="Q41" i="3" a="1"/>
  <c r="Q46" i="3" a="1"/>
  <c r="U28" i="3" a="1"/>
  <c r="T43" i="3" a="1"/>
  <c r="U26" i="3" a="1"/>
  <c r="U62" i="3" a="1"/>
  <c r="U98" i="3" a="1"/>
  <c r="T22" i="3" a="1"/>
  <c r="T58" i="3" a="1"/>
  <c r="T104" i="3" a="1"/>
  <c r="T95" i="3" a="1"/>
  <c r="U89" i="3" a="1"/>
  <c r="Q71" i="3" a="1"/>
  <c r="U112" i="3" a="1"/>
  <c r="U85" i="3" a="1"/>
  <c r="T86" i="3" a="1"/>
  <c r="R109" i="3" a="1"/>
  <c r="U99" i="3" a="1"/>
  <c r="U120" i="3" a="1"/>
  <c r="Q2" i="3" a="1"/>
  <c r="T74" i="3" a="1"/>
  <c r="T70" i="3" a="1"/>
  <c r="U19" i="3" a="1"/>
  <c r="U11" i="3" a="1"/>
  <c r="R29" i="6" a="1"/>
  <c r="Q45" i="6" a="1"/>
  <c r="R30" i="6" a="1"/>
  <c r="Q4" i="9" a="1"/>
  <c r="Q25" i="9" a="1"/>
  <c r="T4" i="9" a="1"/>
  <c r="R4" i="9" a="1"/>
  <c r="T17" i="8" a="1"/>
  <c r="Q10" i="8" a="1"/>
  <c r="Q5" i="8" a="1"/>
  <c r="Q7" i="8" a="1"/>
  <c r="U9" i="7" a="1"/>
  <c r="Q6" i="7" a="1"/>
  <c r="R5" i="7" a="1"/>
  <c r="Q5" i="7" a="1"/>
  <c r="T6" i="7" a="1"/>
  <c r="R18" i="6" a="1"/>
  <c r="R13" i="6" a="1"/>
  <c r="Q15" i="6" a="1"/>
  <c r="R3" i="6" a="1"/>
  <c r="Q7" i="6" a="1"/>
  <c r="T25" i="6" a="1"/>
  <c r="U22" i="6" a="1"/>
  <c r="R13" i="5" a="1"/>
  <c r="U7" i="5" a="1"/>
  <c r="U9" i="5" a="1"/>
  <c r="U23" i="5" a="1"/>
  <c r="U25" i="5" a="1"/>
  <c r="T25" i="5" a="1"/>
  <c r="Q9" i="5" a="1"/>
  <c r="T21" i="4" a="1"/>
  <c r="R20" i="4" a="1"/>
  <c r="U5" i="4" a="1"/>
  <c r="Q3" i="4" a="1"/>
  <c r="Q20" i="4" a="1"/>
  <c r="U9" i="4" a="1"/>
  <c r="T17" i="4" a="1"/>
  <c r="T6" i="4" a="1"/>
  <c r="U41" i="3" a="1"/>
  <c r="U77" i="3" a="1"/>
  <c r="T56" i="3" a="1"/>
  <c r="U27" i="3" a="1"/>
  <c r="U63" i="3" a="1"/>
  <c r="Q31" i="3" a="1"/>
  <c r="Q67" i="3" a="1"/>
  <c r="R50" i="3" a="1"/>
  <c r="U42" i="3" a="1"/>
  <c r="U47" i="3" a="1"/>
  <c r="R29" i="3" a="1"/>
  <c r="Q44" i="3" a="1"/>
  <c r="R27" i="3" a="1"/>
  <c r="R63" i="3" a="1"/>
  <c r="R99" i="3" a="1"/>
  <c r="Q23" i="3" a="1"/>
  <c r="Q59" i="3" a="1"/>
  <c r="Q105" i="3" a="1"/>
  <c r="Q96" i="3" a="1"/>
  <c r="R90" i="3" a="1"/>
  <c r="R72" i="3" a="1"/>
  <c r="R113" i="3" a="1"/>
  <c r="T99" i="3" a="1"/>
  <c r="Q88" i="3" a="1"/>
  <c r="Q65" i="3" a="1"/>
  <c r="U102" i="3" a="1"/>
  <c r="R55" i="3" a="1"/>
  <c r="Q101" i="3" a="1"/>
  <c r="T100" i="3" a="1"/>
  <c r="T88" i="3" a="1"/>
  <c r="T50" i="3" a="1"/>
  <c r="U106" i="3" a="1"/>
  <c r="T79" i="3" a="1"/>
  <c r="Q11" i="3" a="1"/>
  <c r="Q102" i="3" a="1"/>
  <c r="R12" i="3" a="1"/>
  <c r="T32" i="6" a="1"/>
  <c r="R43" i="6" a="1"/>
  <c r="T33" i="6" a="1"/>
  <c r="T3" i="9" a="1"/>
  <c r="R15" i="9" a="1"/>
  <c r="T21" i="9" a="1"/>
  <c r="U17" i="8" a="1"/>
  <c r="R8" i="8" a="1"/>
  <c r="R17" i="8" a="1"/>
  <c r="T2" i="8" a="1"/>
  <c r="R16" i="8" a="1"/>
  <c r="R25" i="7" a="1"/>
  <c r="R3" i="7" a="1"/>
  <c r="U2" i="7" a="1"/>
  <c r="U25" i="7" a="1"/>
  <c r="T25" i="7" a="1"/>
  <c r="U17" i="6" a="1"/>
  <c r="Q11" i="6" a="1"/>
  <c r="R5" i="6" a="1"/>
  <c r="R17" i="6" a="1"/>
  <c r="U18" i="6" a="1"/>
  <c r="R16" i="6" a="1"/>
  <c r="U10" i="6" a="1"/>
  <c r="U12" i="5" a="1"/>
  <c r="Q6" i="5" a="1"/>
  <c r="Q8" i="5" a="1"/>
  <c r="Q22" i="5" a="1"/>
  <c r="Q24" i="5" a="1"/>
  <c r="R16" i="5" a="1"/>
  <c r="T8" i="5" a="1"/>
  <c r="R12" i="4" a="1"/>
  <c r="Q25" i="4" a="1"/>
  <c r="U24" i="4" a="1"/>
  <c r="U7" i="4" a="1"/>
  <c r="U21" i="4" a="1"/>
  <c r="Q5" i="4" a="1"/>
  <c r="R7" i="4" a="1"/>
  <c r="R4" i="4" a="1"/>
  <c r="R42" i="3" a="1"/>
  <c r="Q21" i="3" a="1"/>
  <c r="Q57" i="3" a="1"/>
  <c r="R28" i="3" a="1"/>
  <c r="R64" i="3" a="1"/>
  <c r="U32" i="3" a="1"/>
  <c r="T23" i="3" a="1"/>
  <c r="T59" i="3" a="1"/>
  <c r="R43" i="3" a="1"/>
  <c r="R48" i="3" a="1"/>
  <c r="T38" i="3" a="1"/>
  <c r="U45" i="3" a="1"/>
  <c r="T36" i="3" a="1"/>
  <c r="T72" i="3" a="1"/>
  <c r="T29" i="3" a="1"/>
  <c r="U24" i="3" a="1"/>
  <c r="U60" i="3" a="1"/>
  <c r="T107" i="3" a="1"/>
  <c r="T98" i="3" a="1"/>
  <c r="U104" i="3" a="1"/>
  <c r="R74" i="3" a="1"/>
  <c r="Q51" i="3" a="1"/>
  <c r="T102" i="3" a="1"/>
  <c r="T90" i="3" a="1"/>
  <c r="R70" i="3" a="1"/>
  <c r="R103" i="3" a="1"/>
  <c r="R65" i="3" a="1"/>
  <c r="Q119" i="3" a="1"/>
  <c r="Q92" i="3" a="1"/>
  <c r="T109" i="3" a="1"/>
  <c r="T111" i="3" a="1"/>
  <c r="Q51" i="6" a="1"/>
  <c r="T27" i="6" a="1"/>
  <c r="T45" i="6" a="1"/>
  <c r="Q10" i="9" a="1"/>
  <c r="T7" i="9" a="1"/>
  <c r="T9" i="9" a="1"/>
  <c r="T15" i="8" a="1"/>
  <c r="Q25" i="8" a="1"/>
  <c r="U16" i="8" a="1"/>
  <c r="U25" i="8" a="1"/>
  <c r="Q14" i="8" a="1"/>
  <c r="U24" i="7" a="1"/>
  <c r="Q25" i="7" a="1"/>
  <c r="U11" i="7" a="1"/>
  <c r="Q24" i="7" a="1"/>
  <c r="R16" i="7" a="1"/>
  <c r="T15" i="6" a="1"/>
  <c r="T10" i="6" a="1"/>
  <c r="Q25" i="6" a="1"/>
  <c r="R14" i="6" a="1"/>
  <c r="Q17" i="6" a="1"/>
  <c r="Q14" i="6" a="1"/>
  <c r="R18" i="5" a="1"/>
  <c r="Q11" i="5" a="1"/>
  <c r="T5" i="5" a="1"/>
  <c r="T7" i="5" a="1"/>
  <c r="T21" i="5" a="1"/>
  <c r="T23" i="5" a="1"/>
  <c r="U15" i="5" a="1"/>
  <c r="R4" i="5" a="1"/>
  <c r="U11" i="4" a="1"/>
  <c r="T24" i="4" a="1"/>
  <c r="Q23" i="4" a="1"/>
  <c r="T2" i="4" a="1"/>
  <c r="T20" i="4" a="1"/>
  <c r="T4" i="4" a="1"/>
  <c r="U6" i="4" a="1"/>
  <c r="T3" i="4" a="1"/>
  <c r="T51" i="3" a="1"/>
  <c r="U22" i="3" a="1"/>
  <c r="U58" i="3" a="1"/>
  <c r="T37" i="3" a="1"/>
  <c r="T73" i="3" a="1"/>
  <c r="R33" i="3" a="1"/>
  <c r="Q24" i="3" a="1"/>
  <c r="Q60" i="3" a="1"/>
  <c r="T21" i="3" a="1"/>
  <c r="T57" i="3" a="1"/>
  <c r="Q39" i="3" a="1"/>
  <c r="R46" i="3" a="1"/>
  <c r="Q37" i="3" a="1"/>
  <c r="Q73" i="3" a="1"/>
  <c r="Q30" i="3" a="1"/>
  <c r="R25" i="3" a="1"/>
  <c r="R61" i="3" a="1"/>
  <c r="Q108" i="3" a="1"/>
  <c r="U101" i="3" a="1"/>
  <c r="R105" i="3" a="1"/>
  <c r="Q77" i="3" a="1"/>
  <c r="Q53" i="3" a="1"/>
  <c r="Q103" i="3" a="1"/>
  <c r="Q91" i="3" a="1"/>
  <c r="U73" i="3" a="1"/>
  <c r="R106" i="3" a="1"/>
  <c r="R69" i="3" a="1"/>
  <c r="T65" i="3" a="1"/>
  <c r="T106" i="3" a="1"/>
  <c r="T94" i="3" a="1"/>
  <c r="U69" i="3" a="1"/>
  <c r="Q110" i="3" a="1"/>
  <c r="U88" i="3" a="1"/>
  <c r="Q4" i="3" a="1"/>
  <c r="Q13" i="3" a="1"/>
  <c r="T14" i="3" a="1"/>
  <c r="Q17" i="3" a="1"/>
  <c r="T18" i="3" a="1"/>
  <c r="U10" i="3" a="1"/>
  <c r="Q106" i="3" a="1"/>
  <c r="U72" i="3" a="1"/>
  <c r="R10" i="3" a="1"/>
  <c r="T2" i="3" a="1"/>
  <c r="U3" i="3" a="1"/>
  <c r="Q26" i="6" a="1"/>
  <c r="U41" i="6" a="1"/>
  <c r="Q27" i="5" a="1"/>
  <c r="U24" i="9" a="1"/>
  <c r="U16" i="9" a="1"/>
  <c r="T18" i="9" a="1"/>
  <c r="R6" i="8" a="1"/>
  <c r="R15" i="8" a="1"/>
  <c r="Q15" i="8" a="1"/>
  <c r="Q24" i="8" a="1"/>
  <c r="T13" i="8" a="1"/>
  <c r="R13" i="7" a="1"/>
  <c r="R15" i="7" a="1"/>
  <c r="R24" i="7" a="1"/>
  <c r="R14" i="7" a="1"/>
  <c r="T13" i="7" a="1"/>
  <c r="R6" i="6" a="1"/>
  <c r="Q4" i="6" a="1"/>
  <c r="R15" i="6" a="1"/>
  <c r="U8" i="6" a="1"/>
  <c r="T16" i="6" a="1"/>
  <c r="T13" i="6" a="1"/>
  <c r="U17" i="5" a="1"/>
  <c r="T10" i="5" a="1"/>
  <c r="Q25" i="5" a="1"/>
  <c r="R3" i="5" a="1"/>
  <c r="R12" i="5" a="1"/>
  <c r="R14" i="5" a="1"/>
  <c r="Q14" i="5" a="1"/>
  <c r="U3" i="5" a="1"/>
  <c r="Q10" i="4" a="1"/>
  <c r="R15" i="4" a="1"/>
  <c r="Q15" i="4" a="1"/>
  <c r="R5" i="4" a="1"/>
  <c r="U19" i="4" a="1"/>
  <c r="Q2" i="4" a="1"/>
  <c r="T22" i="4" a="1"/>
  <c r="R23" i="4" a="1"/>
  <c r="Q52" i="3" a="1"/>
  <c r="R23" i="3" a="1"/>
  <c r="R59" i="3" a="1"/>
  <c r="Q38" i="3" a="1"/>
  <c r="Q74" i="3" a="1"/>
  <c r="T42" i="3" a="1"/>
  <c r="U25" i="3" a="1"/>
  <c r="U61" i="3" a="1"/>
  <c r="Q22" i="3" a="1"/>
  <c r="Q58" i="3" a="1"/>
  <c r="U40" i="3" a="1"/>
  <c r="T55" i="3" a="1"/>
  <c r="U38" i="3" a="1"/>
  <c r="U74" i="3" a="1"/>
  <c r="U31" i="3" a="1"/>
  <c r="T34" i="3" a="1"/>
  <c r="U54" i="3" a="1"/>
  <c r="U109" i="3" a="1"/>
  <c r="R102" i="3" a="1"/>
  <c r="U107" i="3" a="1"/>
  <c r="T81" i="3" a="1"/>
  <c r="R56" i="3" a="1"/>
  <c r="Q94" i="3" a="1"/>
  <c r="T114" i="3" a="1"/>
  <c r="T28" i="7" a="1"/>
  <c r="R28" i="6" a="1"/>
  <c r="T26" i="6" a="1"/>
  <c r="R27" i="5" a="1"/>
  <c r="Q23" i="9" a="1"/>
  <c r="Q15" i="9" a="1"/>
  <c r="Q7" i="9" a="1"/>
  <c r="Q23" i="8" a="1"/>
  <c r="U14" i="8" a="1"/>
  <c r="U11" i="8" a="1"/>
  <c r="T23" i="8" a="1"/>
  <c r="Q21" i="8" a="1"/>
  <c r="U12" i="7" a="1"/>
  <c r="U14" i="7" a="1"/>
  <c r="U23" i="7" a="1"/>
  <c r="U13" i="7" a="1"/>
  <c r="R2" i="7" a="1"/>
  <c r="Q2" i="6" a="1"/>
  <c r="T3" i="6" a="1"/>
  <c r="U14" i="6" a="1"/>
  <c r="U23" i="6" a="1"/>
  <c r="R7" i="6" a="1"/>
  <c r="R2" i="6" a="1"/>
  <c r="Q16" i="5" a="1"/>
  <c r="Q4" i="5" a="1"/>
  <c r="T24" i="5" a="1"/>
  <c r="Q10" i="5" a="1"/>
  <c r="U11" i="5" a="1"/>
  <c r="U13" i="5" a="1"/>
  <c r="T13" i="5" a="1"/>
  <c r="Q2" i="5" a="1"/>
  <c r="U25" i="4" a="1"/>
  <c r="U14" i="4" a="1"/>
  <c r="R14" i="4" a="1"/>
  <c r="R11" i="4" a="1"/>
  <c r="U18" i="4" a="1"/>
  <c r="R25" i="4" a="1"/>
  <c r="T15" i="4" a="1"/>
  <c r="Q16" i="4" a="1"/>
  <c r="U53" i="3" a="1"/>
  <c r="T32" i="3" a="1"/>
  <c r="T68" i="3" a="1"/>
  <c r="U39" i="3" a="1"/>
  <c r="U75" i="3" a="1"/>
  <c r="Q43" i="3" a="1"/>
  <c r="R26" i="3" a="1"/>
  <c r="R62" i="3" a="1"/>
  <c r="U23" i="3" a="1"/>
  <c r="U59" i="3" a="1"/>
  <c r="R41" i="3" a="1"/>
  <c r="Q56" i="3" a="1"/>
  <c r="R39" i="3" a="1"/>
  <c r="R75" i="3" a="1"/>
  <c r="R32" i="3" a="1"/>
  <c r="Q35" i="3" a="1"/>
  <c r="T64" i="3" a="1"/>
  <c r="R110" i="3" a="1"/>
  <c r="T112" i="3" a="1"/>
  <c r="R108" i="3" a="1"/>
  <c r="Q87" i="3" a="1"/>
  <c r="Q63" i="3" a="1"/>
  <c r="T115" i="3" a="1"/>
  <c r="R100" i="3" a="1"/>
  <c r="T76" i="3" a="1"/>
  <c r="Q114" i="3" a="1"/>
  <c r="T77" i="3" a="1"/>
  <c r="U76" i="3" a="1"/>
  <c r="Q112" i="3" a="1"/>
  <c r="R101" i="3" a="1"/>
  <c r="U83" i="3" a="1"/>
  <c r="R112" i="3" a="1"/>
  <c r="U94" i="3" a="1"/>
  <c r="T5" i="3" a="1"/>
  <c r="Q20" i="3" a="1"/>
  <c r="U2" i="3" a="1"/>
  <c r="R7" i="3" a="1"/>
  <c r="U8" i="3" a="1"/>
  <c r="T8" i="3" a="1"/>
  <c r="R78" i="3" a="1"/>
  <c r="R20" i="3" a="1"/>
  <c r="Q7" i="3" a="1"/>
  <c r="Q32" i="7" a="1"/>
  <c r="U45" i="6" a="1"/>
  <c r="U27" i="6" a="1"/>
  <c r="T30" i="5" a="1"/>
  <c r="Q11" i="9" a="1"/>
  <c r="R24" i="9" a="1"/>
  <c r="T25" i="9" a="1"/>
  <c r="T22" i="8" a="1"/>
  <c r="T12" i="8" a="1"/>
  <c r="U5" i="8" a="1"/>
  <c r="R14" i="8" a="1"/>
  <c r="T20" i="8" a="1"/>
  <c r="T10" i="7" a="1"/>
  <c r="Q13" i="7" a="1"/>
  <c r="T21" i="7" a="1"/>
  <c r="Q12" i="7" a="1"/>
  <c r="U22" i="7" a="1"/>
  <c r="Q13" i="6" a="1"/>
  <c r="Q6" i="6" a="1"/>
  <c r="T23" i="6" a="1"/>
  <c r="Q22" i="6" a="1"/>
  <c r="Q5" i="6" a="1"/>
  <c r="Q21" i="6" a="1"/>
  <c r="T15" i="5" a="1"/>
  <c r="T3" i="5" a="1"/>
  <c r="R15" i="5" a="1"/>
  <c r="U4" i="5" a="1"/>
  <c r="T9" i="5" a="1"/>
  <c r="T11" i="5" a="1"/>
  <c r="R2" i="5" a="1"/>
  <c r="Q13" i="5" a="1"/>
  <c r="Q24" i="4" a="1"/>
  <c r="Q13" i="4" a="1"/>
  <c r="R3" i="4" a="1"/>
  <c r="U20" i="4" a="1"/>
  <c r="T11" i="4" a="1"/>
  <c r="R21" i="4" a="1"/>
  <c r="Q11" i="4" a="1"/>
  <c r="T14" i="4" a="1"/>
  <c r="R54" i="3" a="1"/>
  <c r="Q33" i="3" a="1"/>
  <c r="Q69" i="3" a="1"/>
  <c r="R40" i="3" a="1"/>
  <c r="R76" i="3" a="1"/>
  <c r="U44" i="3" a="1"/>
  <c r="T35" i="3" a="1"/>
  <c r="T71" i="3" a="1"/>
  <c r="R24" i="3" a="1"/>
  <c r="R60" i="3" a="1"/>
  <c r="U21" i="3" a="1"/>
  <c r="U57" i="3" a="1"/>
  <c r="T48" i="3" a="1"/>
  <c r="T84" i="3" a="1"/>
  <c r="T41" i="3" a="1"/>
  <c r="U36" i="3" a="1"/>
  <c r="U79" i="3" a="1"/>
  <c r="U64" i="3" a="1"/>
  <c r="Q113" i="3" a="1"/>
  <c r="T117" i="3" a="1"/>
  <c r="U92" i="3" a="1"/>
  <c r="U66" i="3" a="1"/>
  <c r="Q116" i="3" a="1"/>
  <c r="T105" i="3" a="1"/>
  <c r="U115" i="3" a="1"/>
  <c r="R79" i="3" a="1"/>
  <c r="T103" i="3" a="1"/>
  <c r="R89" i="3" a="1"/>
  <c r="U97" i="3" a="1"/>
  <c r="Q5" i="3" a="1"/>
  <c r="R36" i="7" a="1"/>
  <c r="Q41" i="6" a="1"/>
  <c r="Q44" i="6" a="1"/>
  <c r="T27" i="5" a="1"/>
  <c r="R10" i="9" a="1"/>
  <c r="Q22" i="9" a="1"/>
  <c r="T13" i="9" a="1"/>
  <c r="R13" i="8" a="1"/>
  <c r="T9" i="8" a="1"/>
  <c r="Q2" i="8" a="1"/>
  <c r="T4" i="8" a="1"/>
  <c r="R11" i="8" a="1"/>
  <c r="Q4" i="7" a="1"/>
  <c r="T12" i="7" a="1"/>
  <c r="R12" i="7" a="1"/>
  <c r="T11" i="7" a="1"/>
  <c r="Q21" i="7" a="1"/>
  <c r="U16" i="6" a="1"/>
  <c r="T24" i="6" a="1"/>
  <c r="R22" i="6" a="1"/>
  <c r="T21" i="6" a="1"/>
  <c r="T2" i="6" a="1"/>
  <c r="R11" i="6" a="1"/>
  <c r="R6" i="5" a="1"/>
  <c r="T12" i="5" a="1"/>
  <c r="U14" i="5" a="1"/>
  <c r="Q3" i="5" a="1"/>
  <c r="R24" i="5" a="1"/>
  <c r="R21" i="5" a="1"/>
  <c r="R23" i="5" a="1"/>
  <c r="T4" i="5" a="1"/>
  <c r="T23" i="4" a="1"/>
  <c r="T12" i="4" a="1"/>
  <c r="R2" i="4" a="1"/>
  <c r="T5" i="4" a="1"/>
  <c r="R8" i="4" a="1"/>
  <c r="R19" i="4" a="1"/>
  <c r="R10" i="4" a="1"/>
  <c r="T27" i="3" a="1"/>
  <c r="T63" i="3" a="1"/>
  <c r="U34" i="3" a="1"/>
  <c r="U70" i="3" a="1"/>
  <c r="T49" i="3" a="1"/>
  <c r="T85" i="3" a="1"/>
  <c r="R45" i="3" a="1"/>
  <c r="Q36" i="3" a="1"/>
  <c r="T28" i="3" a="1"/>
  <c r="T33" i="3" a="1"/>
  <c r="T69" i="3" a="1"/>
  <c r="R22" i="3" a="1"/>
  <c r="R58" i="3" a="1"/>
  <c r="Q49" i="3" a="1"/>
  <c r="Q85" i="3" a="1"/>
  <c r="Q42" i="3" a="1"/>
  <c r="R37" i="3" a="1"/>
  <c r="R81" i="3" a="1"/>
  <c r="U67" i="3" a="1"/>
  <c r="U114" i="3" a="1"/>
  <c r="Q118" i="3" a="1"/>
  <c r="R93" i="3" a="1"/>
  <c r="R73" i="3" a="1"/>
  <c r="U117" i="3" a="1"/>
  <c r="T108" i="3" a="1"/>
  <c r="Q79" i="3" a="1"/>
  <c r="R116" i="3" a="1"/>
  <c r="Q84" i="3" a="1"/>
  <c r="U82" i="3" a="1"/>
  <c r="R114" i="3" a="1"/>
  <c r="R104" i="3" a="1"/>
  <c r="T91" i="3" a="1"/>
  <c r="R31" i="7" a="1"/>
  <c r="T46" i="6" a="1"/>
  <c r="R46" i="6" a="1"/>
  <c r="R30" i="5" a="1"/>
  <c r="Q18" i="9" a="1"/>
  <c r="U11" i="9" a="1"/>
  <c r="R2" i="9" a="1"/>
  <c r="Q4" i="8" a="1"/>
  <c r="R22" i="8" a="1"/>
  <c r="U23" i="8" a="1"/>
  <c r="R21" i="8" a="1"/>
  <c r="R4" i="8" a="1"/>
  <c r="Q8" i="7" a="1"/>
  <c r="Q20" i="7" a="1"/>
  <c r="T9" i="7" a="1"/>
  <c r="R21" i="7" a="1"/>
  <c r="R11" i="7" a="1"/>
  <c r="U2" i="6" a="1"/>
  <c r="T11" i="6" a="1"/>
  <c r="Q20" i="6" a="1"/>
  <c r="R12" i="6" a="1"/>
  <c r="T4" i="6" a="1"/>
  <c r="Q9" i="6" a="1"/>
  <c r="U5" i="5" a="1"/>
  <c r="T2" i="5" a="1"/>
  <c r="Q12" i="5" a="1"/>
  <c r="R17" i="5" a="1"/>
  <c r="T16" i="5" a="1"/>
  <c r="Q19" i="5" a="1"/>
  <c r="U22" i="5" a="1"/>
  <c r="R22" i="4" a="1"/>
  <c r="T25" i="4" a="1"/>
  <c r="U12" i="4" a="1"/>
  <c r="R13" i="4" a="1"/>
  <c r="T19" i="4" a="1"/>
  <c r="U17" i="4" a="1"/>
  <c r="T18" i="4" a="1"/>
  <c r="T9" i="4" a="1"/>
  <c r="Q28" i="3" a="1"/>
  <c r="Q64" i="3" a="1"/>
  <c r="R35" i="3" a="1"/>
  <c r="R71" i="3" a="1"/>
  <c r="Q50" i="3" a="1"/>
  <c r="Q86" i="3" a="1"/>
  <c r="T54" i="3" a="1"/>
  <c r="U37" i="3" a="1"/>
  <c r="Q29" i="3" a="1"/>
  <c r="Q34" i="3" a="1"/>
  <c r="Q70" i="3" a="1"/>
  <c r="T31" i="3" a="1"/>
  <c r="T67" i="3" a="1"/>
  <c r="U50" i="3" a="1"/>
  <c r="U86" i="3" a="1"/>
  <c r="U43" i="3" a="1"/>
  <c r="T46" i="3" a="1"/>
  <c r="R85" i="3" a="1"/>
  <c r="Q72" i="3" a="1"/>
  <c r="R115" i="3" a="1"/>
  <c r="U119" i="3" a="1"/>
  <c r="U95" i="3" a="1"/>
  <c r="Q75" i="3" a="1"/>
  <c r="R118" i="3" a="1"/>
  <c r="Q109" i="3" a="1"/>
  <c r="T82" i="3" a="1"/>
  <c r="U105" i="3" a="1"/>
  <c r="T87" i="3" a="1"/>
  <c r="T83" i="3" a="1"/>
  <c r="U55" i="3" a="1"/>
  <c r="R107" i="3" a="1"/>
  <c r="R92" i="3" a="1"/>
  <c r="T119" i="3" a="1"/>
  <c r="Q115" i="3" a="1"/>
  <c r="Q18" i="3" a="1"/>
  <c r="U9" i="3" a="1"/>
  <c r="Q10" i="3" a="1"/>
  <c r="R14" i="3" a="1"/>
  <c r="R16" i="3" a="1"/>
  <c r="R18" i="3" a="1"/>
  <c r="T19" i="3" a="1"/>
  <c r="Z4" i="3" l="1"/>
  <c r="AB4" i="3" s="1"/>
  <c r="Z7" i="3"/>
  <c r="AB7" i="3" s="1"/>
  <c r="Z10" i="3"/>
  <c r="AB10" i="3" s="1"/>
  <c r="Z13" i="3"/>
  <c r="AB13" i="3" s="1"/>
  <c r="AB2" i="4"/>
  <c r="AB24" i="4"/>
  <c r="Z3" i="5"/>
  <c r="AB3" i="5" s="1"/>
  <c r="Z17" i="5"/>
  <c r="AB17" i="5" s="1"/>
  <c r="Z25" i="5"/>
  <c r="AB25" i="5" s="1"/>
  <c r="Z18" i="7"/>
  <c r="AB18" i="7" s="1"/>
  <c r="Z20" i="9"/>
  <c r="AB20" i="9" s="1"/>
  <c r="Z29" i="5"/>
  <c r="AB29" i="5" s="1"/>
  <c r="Z48" i="8"/>
  <c r="AB48" i="8" s="1"/>
  <c r="Z40" i="8"/>
  <c r="AB40" i="8" s="1"/>
  <c r="Z32" i="8"/>
  <c r="AB32" i="8" s="1"/>
  <c r="Z42" i="9"/>
  <c r="AB42" i="9" s="1"/>
  <c r="Z73" i="3"/>
  <c r="AB73" i="3" s="1"/>
  <c r="Z59" i="3"/>
  <c r="AB59" i="3" s="1"/>
  <c r="Z49" i="3"/>
  <c r="AB49" i="3" s="1"/>
  <c r="Z41" i="3"/>
  <c r="AB41" i="3" s="1"/>
  <c r="Z38" i="3"/>
  <c r="AB38" i="3" s="1"/>
  <c r="Z24" i="3"/>
  <c r="AB24" i="3" s="1"/>
  <c r="Z22" i="4"/>
  <c r="AB22" i="4" s="1"/>
  <c r="Z9" i="5"/>
  <c r="AB9" i="5" s="1"/>
  <c r="AB14" i="5"/>
  <c r="Z24" i="7"/>
  <c r="AB24" i="7" s="1"/>
  <c r="Z13" i="8"/>
  <c r="AB13" i="8" s="1"/>
  <c r="AB3" i="9"/>
  <c r="Z6" i="9"/>
  <c r="AB6" i="9" s="1"/>
  <c r="AB36" i="6"/>
  <c r="AB28" i="6"/>
  <c r="AB28" i="9"/>
  <c r="AB62" i="3"/>
  <c r="AB3" i="4"/>
  <c r="AB14" i="4"/>
  <c r="AB17" i="4"/>
  <c r="AB23" i="5"/>
  <c r="AB19" i="8"/>
  <c r="AB12" i="9"/>
  <c r="AB23" i="9"/>
  <c r="AB41" i="9"/>
  <c r="Z38" i="9"/>
  <c r="AB38" i="9" s="1"/>
  <c r="Z5" i="3"/>
  <c r="AB5" i="3" s="1"/>
  <c r="Z11" i="3"/>
  <c r="AB11" i="3" s="1"/>
  <c r="Z14" i="3"/>
  <c r="AB14" i="3" s="1"/>
  <c r="Z113" i="3"/>
  <c r="AB113" i="3" s="1"/>
  <c r="Z100" i="3"/>
  <c r="AB100" i="3" s="1"/>
  <c r="Z56" i="3"/>
  <c r="AB56" i="3" s="1"/>
  <c r="Z6" i="4"/>
  <c r="AB6" i="4" s="1"/>
  <c r="Z15" i="5"/>
  <c r="AB15" i="5" s="1"/>
  <c r="Z18" i="5"/>
  <c r="AB18" i="5" s="1"/>
  <c r="AB4" i="6"/>
  <c r="Z10" i="6"/>
  <c r="AB10" i="6" s="1"/>
  <c r="Z13" i="6"/>
  <c r="AB13" i="6" s="1"/>
  <c r="Z16" i="7"/>
  <c r="AB16" i="7" s="1"/>
  <c r="Z19" i="7"/>
  <c r="AB19" i="7" s="1"/>
  <c r="Z6" i="8"/>
  <c r="AB6" i="8" s="1"/>
  <c r="Z22" i="8"/>
  <c r="AB22" i="8" s="1"/>
  <c r="Z25" i="8"/>
  <c r="AB25" i="8" s="1"/>
  <c r="Z15" i="9"/>
  <c r="AB15" i="9" s="1"/>
  <c r="Z42" i="8"/>
  <c r="AB42" i="8" s="1"/>
  <c r="Z34" i="8"/>
  <c r="AB34" i="8" s="1"/>
  <c r="Z26" i="8"/>
  <c r="AB26" i="8" s="1"/>
  <c r="Z16" i="6"/>
  <c r="AB16" i="6" s="1"/>
  <c r="Z19" i="6"/>
  <c r="AB19" i="6" s="1"/>
  <c r="AB8" i="7"/>
  <c r="Z4" i="9"/>
  <c r="AB4" i="9" s="1"/>
  <c r="Z18" i="9"/>
  <c r="AB18" i="9" s="1"/>
  <c r="AB34" i="9"/>
  <c r="AB115" i="3"/>
  <c r="Z110" i="3"/>
  <c r="AB110" i="3" s="1"/>
  <c r="AB102" i="3"/>
  <c r="AB83" i="3"/>
  <c r="Z75" i="3"/>
  <c r="AB75" i="3" s="1"/>
  <c r="AB58" i="3"/>
  <c r="Z45" i="3"/>
  <c r="AB45" i="3" s="1"/>
  <c r="Z40" i="3"/>
  <c r="AB40" i="3" s="1"/>
  <c r="Z29" i="3"/>
  <c r="AB29" i="3" s="1"/>
  <c r="AB26" i="3"/>
  <c r="AB23" i="3"/>
  <c r="Z21" i="3"/>
  <c r="AB21" i="3" s="1"/>
  <c r="Z46" i="6"/>
  <c r="AB46" i="6" s="1"/>
  <c r="Z38" i="6"/>
  <c r="AB38" i="6" s="1"/>
  <c r="Z44" i="9"/>
  <c r="AB44" i="9" s="1"/>
  <c r="Z80" i="3"/>
  <c r="AB80" i="3" s="1"/>
  <c r="Z69" i="3"/>
  <c r="AB69" i="3" s="1"/>
  <c r="Z64" i="3"/>
  <c r="AB64" i="3" s="1"/>
  <c r="Z61" i="3"/>
  <c r="Z37" i="3"/>
  <c r="AB37" i="3" s="1"/>
  <c r="Z4" i="4"/>
  <c r="AB4" i="4" s="1"/>
  <c r="Z15" i="4"/>
  <c r="AB15" i="4" s="1"/>
  <c r="Z18" i="4"/>
  <c r="AB18" i="4" s="1"/>
  <c r="Z8" i="6"/>
  <c r="AB8" i="6" s="1"/>
  <c r="Z25" i="6"/>
  <c r="AB25" i="6" s="1"/>
  <c r="Z6" i="7"/>
  <c r="AB6" i="7" s="1"/>
  <c r="Z17" i="8"/>
  <c r="AB17" i="8" s="1"/>
  <c r="Z20" i="8"/>
  <c r="AB20" i="8" s="1"/>
  <c r="Z13" i="9"/>
  <c r="AB13" i="9" s="1"/>
  <c r="Z24" i="9"/>
  <c r="AB24" i="9" s="1"/>
  <c r="Z27" i="5"/>
  <c r="AB27" i="5" s="1"/>
  <c r="Z44" i="8"/>
  <c r="AB44" i="8" s="1"/>
  <c r="Z36" i="8"/>
  <c r="AB36" i="8" s="1"/>
  <c r="Z28" i="8"/>
  <c r="AB28" i="8" s="1"/>
  <c r="Z30" i="9"/>
  <c r="AB30" i="9" s="1"/>
  <c r="AB118" i="3"/>
  <c r="AB34" i="3"/>
  <c r="AB21" i="9"/>
  <c r="Z9" i="3"/>
  <c r="AB9" i="3" s="1"/>
  <c r="AB96" i="3"/>
  <c r="AB93" i="3"/>
  <c r="AB90" i="3"/>
  <c r="AB71" i="3"/>
  <c r="AB47" i="3"/>
  <c r="AB39" i="3"/>
  <c r="Z5" i="5"/>
  <c r="AB5" i="5" s="1"/>
  <c r="Z3" i="6"/>
  <c r="AB3" i="6" s="1"/>
  <c r="Z14" i="6"/>
  <c r="AB14" i="6" s="1"/>
  <c r="Z17" i="6"/>
  <c r="AB17" i="6" s="1"/>
  <c r="Z20" i="6"/>
  <c r="AB20" i="6" s="1"/>
  <c r="Z48" i="6"/>
  <c r="AB48" i="6" s="1"/>
  <c r="Z40" i="6"/>
  <c r="AB40" i="6" s="1"/>
  <c r="AB32" i="7"/>
  <c r="AB29" i="9"/>
  <c r="Z26" i="9"/>
  <c r="AB26" i="9" s="1"/>
  <c r="Z109" i="3"/>
  <c r="AB109" i="3" s="1"/>
  <c r="AB79" i="3"/>
  <c r="Z74" i="3"/>
  <c r="AB74" i="3" s="1"/>
  <c r="Z50" i="3"/>
  <c r="AB50" i="3" s="1"/>
  <c r="AB36" i="3"/>
  <c r="Z28" i="3"/>
  <c r="AB28" i="3" s="1"/>
  <c r="AB21" i="4"/>
  <c r="AB8" i="5"/>
  <c r="AB11" i="5"/>
  <c r="AB6" i="6"/>
  <c r="AB23" i="6"/>
  <c r="AB4" i="7"/>
  <c r="AB12" i="7"/>
  <c r="AB23" i="7"/>
  <c r="AB8" i="9"/>
  <c r="Z27" i="7"/>
  <c r="AB27" i="7" s="1"/>
  <c r="Z46" i="8"/>
  <c r="AB46" i="8" s="1"/>
  <c r="Z38" i="8"/>
  <c r="AB38" i="8" s="1"/>
  <c r="Z30" i="8"/>
  <c r="AB30" i="8" s="1"/>
  <c r="Z36" i="9"/>
  <c r="AB36" i="9" s="1"/>
  <c r="Z82" i="3"/>
  <c r="AB82" i="3" s="1"/>
  <c r="Z68" i="3"/>
  <c r="AB68" i="3" s="1"/>
  <c r="Z63" i="3"/>
  <c r="AB63" i="3" s="1"/>
  <c r="Z57" i="3"/>
  <c r="AB57" i="3" s="1"/>
  <c r="Z25" i="3"/>
  <c r="AB25" i="3" s="1"/>
  <c r="Z16" i="4"/>
  <c r="AB16" i="4" s="1"/>
  <c r="Z22" i="5"/>
  <c r="AB22" i="5" s="1"/>
  <c r="Z7" i="7"/>
  <c r="AB7" i="7" s="1"/>
  <c r="AB9" i="7"/>
  <c r="Z2" i="8"/>
  <c r="AB2" i="8" s="1"/>
  <c r="Z15" i="8"/>
  <c r="AB15" i="8" s="1"/>
  <c r="Z18" i="8"/>
  <c r="AB18" i="8" s="1"/>
  <c r="Z11" i="9"/>
  <c r="AB11" i="9" s="1"/>
  <c r="Z30" i="5"/>
  <c r="AB30" i="5" s="1"/>
  <c r="Z26" i="5"/>
  <c r="AB26" i="5" s="1"/>
  <c r="Z34" i="6"/>
  <c r="AB34" i="6" s="1"/>
  <c r="Z26" i="6"/>
  <c r="AB26" i="6" s="1"/>
  <c r="Z46" i="9"/>
  <c r="AB46" i="9" s="1"/>
  <c r="U47" i="9"/>
  <c r="T45" i="9"/>
  <c r="R42" i="9"/>
  <c r="Q40" i="9"/>
  <c r="U35" i="9"/>
  <c r="T33" i="9"/>
  <c r="R30" i="9"/>
  <c r="Q28" i="9"/>
  <c r="T46" i="9"/>
  <c r="R43" i="9"/>
  <c r="Q41" i="9"/>
  <c r="U36" i="9"/>
  <c r="T34" i="9"/>
  <c r="R31" i="9"/>
  <c r="Q29" i="9"/>
  <c r="Q46" i="9"/>
  <c r="U46" i="9"/>
  <c r="T44" i="9"/>
  <c r="T47" i="9"/>
  <c r="R44" i="9"/>
  <c r="Q42" i="9"/>
  <c r="U37" i="9"/>
  <c r="T35" i="9"/>
  <c r="R32" i="9"/>
  <c r="Q30" i="9"/>
  <c r="R45" i="9"/>
  <c r="Q43" i="9"/>
  <c r="U38" i="9"/>
  <c r="T36" i="9"/>
  <c r="R33" i="9"/>
  <c r="Q31" i="9"/>
  <c r="S31" i="9" s="1"/>
  <c r="V31" i="9" s="1"/>
  <c r="AC31" i="9" s="1"/>
  <c r="U26" i="9"/>
  <c r="R47" i="9"/>
  <c r="U41" i="9"/>
  <c r="R46" i="9"/>
  <c r="Q44" i="9"/>
  <c r="S44" i="9" s="1"/>
  <c r="U39" i="9"/>
  <c r="T37" i="9"/>
  <c r="R34" i="9"/>
  <c r="Q32" i="9"/>
  <c r="U27" i="9"/>
  <c r="Q45" i="9"/>
  <c r="S45" i="9" s="1"/>
  <c r="V45" i="9" s="1"/>
  <c r="AC45" i="9" s="1"/>
  <c r="U40" i="9"/>
  <c r="T38" i="9"/>
  <c r="R35" i="9"/>
  <c r="Q33" i="9"/>
  <c r="U28" i="9"/>
  <c r="T26" i="9"/>
  <c r="R36" i="9"/>
  <c r="Q34" i="9"/>
  <c r="U29" i="9"/>
  <c r="T27" i="9"/>
  <c r="Q47" i="9"/>
  <c r="U42" i="9"/>
  <c r="T40" i="9"/>
  <c r="R37" i="9"/>
  <c r="Q35" i="9"/>
  <c r="S35" i="9" s="1"/>
  <c r="U30" i="9"/>
  <c r="T28" i="9"/>
  <c r="T29" i="9"/>
  <c r="R26" i="9"/>
  <c r="U43" i="9"/>
  <c r="R38" i="9"/>
  <c r="U44" i="9"/>
  <c r="T42" i="9"/>
  <c r="R39" i="9"/>
  <c r="Q37" i="9"/>
  <c r="S37" i="9" s="1"/>
  <c r="U32" i="9"/>
  <c r="T30" i="9"/>
  <c r="R27" i="9"/>
  <c r="T39" i="9"/>
  <c r="T41" i="9"/>
  <c r="Q36" i="9"/>
  <c r="S36" i="9" s="1"/>
  <c r="U31" i="9"/>
  <c r="U45" i="9"/>
  <c r="T43" i="9"/>
  <c r="R40" i="9"/>
  <c r="Q38" i="9"/>
  <c r="S38" i="9" s="1"/>
  <c r="V38" i="9" s="1"/>
  <c r="U33" i="9"/>
  <c r="T31" i="9"/>
  <c r="R28" i="9"/>
  <c r="Q26" i="9"/>
  <c r="S26" i="9" s="1"/>
  <c r="R41" i="9"/>
  <c r="Q39" i="9"/>
  <c r="U34" i="9"/>
  <c r="T32" i="9"/>
  <c r="R29" i="9"/>
  <c r="Q27" i="9"/>
  <c r="T46" i="8"/>
  <c r="T47" i="8"/>
  <c r="U37" i="8"/>
  <c r="T49" i="8"/>
  <c r="T37" i="8"/>
  <c r="U47" i="8"/>
  <c r="T45" i="8"/>
  <c r="R42" i="8"/>
  <c r="Q40" i="8"/>
  <c r="U35" i="8"/>
  <c r="T33" i="8"/>
  <c r="R30" i="8"/>
  <c r="Q28" i="8"/>
  <c r="Q41" i="8"/>
  <c r="U36" i="8"/>
  <c r="T34" i="8"/>
  <c r="R31" i="8"/>
  <c r="Q29" i="8"/>
  <c r="R32" i="8"/>
  <c r="Q30" i="8"/>
  <c r="R33" i="8"/>
  <c r="Q31" i="8"/>
  <c r="S31" i="8" s="1"/>
  <c r="U26" i="8"/>
  <c r="R34" i="8"/>
  <c r="Q32" i="8"/>
  <c r="U27" i="8"/>
  <c r="R45" i="8"/>
  <c r="R47" i="8"/>
  <c r="Q45" i="8"/>
  <c r="U40" i="8"/>
  <c r="T38" i="8"/>
  <c r="R35" i="8"/>
  <c r="Q33" i="8"/>
  <c r="S33" i="8" s="1"/>
  <c r="U28" i="8"/>
  <c r="T26" i="8"/>
  <c r="R44" i="8"/>
  <c r="R48" i="8"/>
  <c r="Q46" i="8"/>
  <c r="U41" i="8"/>
  <c r="T39" i="8"/>
  <c r="R36" i="8"/>
  <c r="Q34" i="8"/>
  <c r="U29" i="8"/>
  <c r="T27" i="8"/>
  <c r="U38" i="8"/>
  <c r="R49" i="8"/>
  <c r="Q47" i="8"/>
  <c r="U42" i="8"/>
  <c r="T40" i="8"/>
  <c r="R37" i="8"/>
  <c r="Q35" i="8"/>
  <c r="U30" i="8"/>
  <c r="T28" i="8"/>
  <c r="R43" i="8"/>
  <c r="Q43" i="8"/>
  <c r="U39" i="8"/>
  <c r="Q48" i="8"/>
  <c r="U43" i="8"/>
  <c r="T41" i="8"/>
  <c r="R38" i="8"/>
  <c r="Q36" i="8"/>
  <c r="U31" i="8"/>
  <c r="T29" i="8"/>
  <c r="R26" i="8"/>
  <c r="T35" i="8"/>
  <c r="T48" i="8"/>
  <c r="R46" i="8"/>
  <c r="Q49" i="8"/>
  <c r="U44" i="8"/>
  <c r="T42" i="8"/>
  <c r="R39" i="8"/>
  <c r="Q37" i="8"/>
  <c r="U32" i="8"/>
  <c r="T30" i="8"/>
  <c r="R27" i="8"/>
  <c r="U48" i="8"/>
  <c r="U49" i="8"/>
  <c r="T36" i="8"/>
  <c r="Q44" i="8"/>
  <c r="U45" i="8"/>
  <c r="T43" i="8"/>
  <c r="R40" i="8"/>
  <c r="Q38" i="8"/>
  <c r="U33" i="8"/>
  <c r="T31" i="8"/>
  <c r="R28" i="8"/>
  <c r="Q26" i="8"/>
  <c r="Q42" i="8"/>
  <c r="U46" i="8"/>
  <c r="T44" i="8"/>
  <c r="R41" i="8"/>
  <c r="Q39" i="8"/>
  <c r="U34" i="8"/>
  <c r="T32" i="8"/>
  <c r="R29" i="8"/>
  <c r="Q27" i="8"/>
  <c r="T39" i="7"/>
  <c r="U45" i="7"/>
  <c r="U47" i="7"/>
  <c r="T45" i="7"/>
  <c r="R42" i="7"/>
  <c r="Q40" i="7"/>
  <c r="U35" i="7"/>
  <c r="T33" i="7"/>
  <c r="R30" i="7"/>
  <c r="Q28" i="7"/>
  <c r="S28" i="7" s="1"/>
  <c r="Q46" i="7"/>
  <c r="Q34" i="7"/>
  <c r="S34" i="7" s="1"/>
  <c r="T43" i="7"/>
  <c r="R40" i="7"/>
  <c r="Q38" i="7"/>
  <c r="T31" i="7"/>
  <c r="U48" i="7"/>
  <c r="T46" i="7"/>
  <c r="R43" i="7"/>
  <c r="Q41" i="7"/>
  <c r="U36" i="7"/>
  <c r="T34" i="7"/>
  <c r="R31" i="7"/>
  <c r="Q29" i="7"/>
  <c r="S29" i="7" s="1"/>
  <c r="U41" i="7"/>
  <c r="T47" i="7"/>
  <c r="R44" i="7"/>
  <c r="Q42" i="7"/>
  <c r="U37" i="7"/>
  <c r="T35" i="7"/>
  <c r="R32" i="7"/>
  <c r="Q30" i="7"/>
  <c r="Q44" i="7"/>
  <c r="R36" i="7"/>
  <c r="T48" i="7"/>
  <c r="R45" i="7"/>
  <c r="Q43" i="7"/>
  <c r="U38" i="7"/>
  <c r="T36" i="7"/>
  <c r="R33" i="7"/>
  <c r="Q31" i="7"/>
  <c r="U26" i="7"/>
  <c r="U39" i="7"/>
  <c r="T37" i="7"/>
  <c r="R34" i="7"/>
  <c r="Q32" i="7"/>
  <c r="S32" i="7" s="1"/>
  <c r="U27" i="7"/>
  <c r="R46" i="7"/>
  <c r="U40" i="7"/>
  <c r="T38" i="7"/>
  <c r="R35" i="7"/>
  <c r="Q33" i="7"/>
  <c r="S33" i="7" s="1"/>
  <c r="U28" i="7"/>
  <c r="T26" i="7"/>
  <c r="U29" i="7"/>
  <c r="T27" i="7"/>
  <c r="Q35" i="7"/>
  <c r="T28" i="7"/>
  <c r="Q47" i="7"/>
  <c r="U42" i="7"/>
  <c r="T40" i="7"/>
  <c r="R37" i="7"/>
  <c r="U30" i="7"/>
  <c r="Q48" i="7"/>
  <c r="U43" i="7"/>
  <c r="T41" i="7"/>
  <c r="R38" i="7"/>
  <c r="Q36" i="7"/>
  <c r="U31" i="7"/>
  <c r="T29" i="7"/>
  <c r="R26" i="7"/>
  <c r="R48" i="7"/>
  <c r="T42" i="7"/>
  <c r="R39" i="7"/>
  <c r="Q37" i="7"/>
  <c r="S37" i="7" s="1"/>
  <c r="U32" i="7"/>
  <c r="T30" i="7"/>
  <c r="R27" i="7"/>
  <c r="U33" i="7"/>
  <c r="R28" i="7"/>
  <c r="Q26" i="7"/>
  <c r="R47" i="7"/>
  <c r="Q45" i="7"/>
  <c r="U44" i="7"/>
  <c r="U46" i="7"/>
  <c r="T44" i="7"/>
  <c r="R41" i="7"/>
  <c r="Q39" i="7"/>
  <c r="U34" i="7"/>
  <c r="T32" i="7"/>
  <c r="R29" i="7"/>
  <c r="Q27" i="7"/>
  <c r="U47" i="6"/>
  <c r="T45" i="6"/>
  <c r="R42" i="6"/>
  <c r="Q40" i="6"/>
  <c r="S40" i="6" s="1"/>
  <c r="V40" i="6" s="1"/>
  <c r="U35" i="6"/>
  <c r="T33" i="6"/>
  <c r="R30" i="6"/>
  <c r="Q28" i="6"/>
  <c r="U48" i="6"/>
  <c r="U36" i="6"/>
  <c r="T34" i="6"/>
  <c r="R31" i="6"/>
  <c r="Q29" i="6"/>
  <c r="T47" i="6"/>
  <c r="R44" i="6"/>
  <c r="Q42" i="6"/>
  <c r="S42" i="6" s="1"/>
  <c r="U37" i="6"/>
  <c r="T35" i="6"/>
  <c r="R32" i="6"/>
  <c r="Q30" i="6"/>
  <c r="R45" i="6"/>
  <c r="Q43" i="6"/>
  <c r="U38" i="6"/>
  <c r="T36" i="6"/>
  <c r="R33" i="6"/>
  <c r="Q31" i="6"/>
  <c r="U26" i="6"/>
  <c r="U51" i="6"/>
  <c r="T49" i="6"/>
  <c r="R46" i="6"/>
  <c r="Q44" i="6"/>
  <c r="S44" i="6" s="1"/>
  <c r="V44" i="6" s="1"/>
  <c r="AC44" i="6" s="1"/>
  <c r="U39" i="6"/>
  <c r="T37" i="6"/>
  <c r="R34" i="6"/>
  <c r="Q32" i="6"/>
  <c r="U27" i="6"/>
  <c r="U40" i="6"/>
  <c r="T38" i="6"/>
  <c r="R35" i="6"/>
  <c r="Q33" i="6"/>
  <c r="S33" i="6" s="1"/>
  <c r="U28" i="6"/>
  <c r="T26" i="6"/>
  <c r="U41" i="6"/>
  <c r="T39" i="6"/>
  <c r="R36" i="6"/>
  <c r="Q34" i="6"/>
  <c r="S34" i="6" s="1"/>
  <c r="V34" i="6" s="1"/>
  <c r="U29" i="6"/>
  <c r="T27" i="6"/>
  <c r="Q47" i="6"/>
  <c r="T40" i="6"/>
  <c r="Q35" i="6"/>
  <c r="S35" i="6" s="1"/>
  <c r="U30" i="6"/>
  <c r="T28" i="6"/>
  <c r="R43" i="6"/>
  <c r="Q45" i="6"/>
  <c r="R49" i="6"/>
  <c r="R50" i="6"/>
  <c r="Q48" i="6"/>
  <c r="U43" i="6"/>
  <c r="T41" i="6"/>
  <c r="R38" i="6"/>
  <c r="Q36" i="6"/>
  <c r="U31" i="6"/>
  <c r="T29" i="6"/>
  <c r="R26" i="6"/>
  <c r="T50" i="6"/>
  <c r="T51" i="6"/>
  <c r="R37" i="6"/>
  <c r="R51" i="6"/>
  <c r="Q49" i="6"/>
  <c r="S49" i="6" s="1"/>
  <c r="V49" i="6" s="1"/>
  <c r="AC49" i="6" s="1"/>
  <c r="U44" i="6"/>
  <c r="T42" i="6"/>
  <c r="R39" i="6"/>
  <c r="Q37" i="6"/>
  <c r="U32" i="6"/>
  <c r="T30" i="6"/>
  <c r="R27" i="6"/>
  <c r="T46" i="6"/>
  <c r="Q41" i="6"/>
  <c r="S41" i="6" s="1"/>
  <c r="V41" i="6" s="1"/>
  <c r="AC41" i="6" s="1"/>
  <c r="U50" i="6"/>
  <c r="R47" i="6"/>
  <c r="U42" i="6"/>
  <c r="Q50" i="6"/>
  <c r="U45" i="6"/>
  <c r="T43" i="6"/>
  <c r="R40" i="6"/>
  <c r="Q38" i="6"/>
  <c r="U33" i="6"/>
  <c r="T31" i="6"/>
  <c r="R28" i="6"/>
  <c r="Q26" i="6"/>
  <c r="S26" i="6" s="1"/>
  <c r="V26" i="6" s="1"/>
  <c r="U49" i="6"/>
  <c r="T48" i="6"/>
  <c r="R48" i="6"/>
  <c r="Q46" i="6"/>
  <c r="Q51" i="6"/>
  <c r="U46" i="6"/>
  <c r="T44" i="6"/>
  <c r="R41" i="6"/>
  <c r="Q39" i="6"/>
  <c r="S39" i="6" s="1"/>
  <c r="U34" i="6"/>
  <c r="T32" i="6"/>
  <c r="R29" i="6"/>
  <c r="Q27" i="6"/>
  <c r="Q28" i="5"/>
  <c r="Q30" i="5"/>
  <c r="U26" i="5"/>
  <c r="Q29" i="5"/>
  <c r="U27" i="5"/>
  <c r="U28" i="5"/>
  <c r="T26" i="5"/>
  <c r="R30" i="5"/>
  <c r="U29" i="5"/>
  <c r="T27" i="5"/>
  <c r="T29" i="5"/>
  <c r="R26" i="5"/>
  <c r="U30" i="5"/>
  <c r="T30" i="5"/>
  <c r="R27" i="5"/>
  <c r="T28" i="5"/>
  <c r="R28" i="5"/>
  <c r="Q26" i="5"/>
  <c r="R29" i="5"/>
  <c r="Q27" i="5"/>
  <c r="S27" i="5" s="1"/>
  <c r="Q18" i="4"/>
  <c r="S18" i="4" s="1"/>
  <c r="V18" i="4" s="1"/>
  <c r="Q5" i="9"/>
  <c r="Q3" i="9"/>
  <c r="R4" i="9"/>
  <c r="T8" i="9"/>
  <c r="U10" i="9"/>
  <c r="R11" i="9"/>
  <c r="T20" i="9"/>
  <c r="Q21" i="9"/>
  <c r="U22" i="9"/>
  <c r="R23" i="9"/>
  <c r="T2" i="9"/>
  <c r="R7" i="9"/>
  <c r="U4" i="9"/>
  <c r="Q9" i="9"/>
  <c r="R2" i="9"/>
  <c r="T13" i="9"/>
  <c r="Q14" i="9"/>
  <c r="U15" i="9"/>
  <c r="R16" i="9"/>
  <c r="T25" i="9"/>
  <c r="Q7" i="9"/>
  <c r="R9" i="9"/>
  <c r="T18" i="9"/>
  <c r="Q19" i="9"/>
  <c r="S19" i="9" s="1"/>
  <c r="U20" i="9"/>
  <c r="R21" i="9"/>
  <c r="T9" i="9"/>
  <c r="T21" i="9"/>
  <c r="U3" i="9"/>
  <c r="T6" i="9"/>
  <c r="U8" i="9"/>
  <c r="T4" i="9"/>
  <c r="T11" i="9"/>
  <c r="Q12" i="9"/>
  <c r="U13" i="9"/>
  <c r="R14" i="9"/>
  <c r="T23" i="9"/>
  <c r="Q24" i="9"/>
  <c r="U25" i="9"/>
  <c r="T16" i="9"/>
  <c r="Q17" i="9"/>
  <c r="U18" i="9"/>
  <c r="R19" i="9"/>
  <c r="U11" i="9"/>
  <c r="Q22" i="9"/>
  <c r="S22" i="9" s="1"/>
  <c r="V22" i="9" s="1"/>
  <c r="AC22" i="9" s="1"/>
  <c r="U23" i="9"/>
  <c r="R24" i="9"/>
  <c r="U2" i="9"/>
  <c r="R5" i="9"/>
  <c r="T14" i="9"/>
  <c r="Q15" i="9"/>
  <c r="U16" i="9"/>
  <c r="R17" i="9"/>
  <c r="R22" i="9"/>
  <c r="U6" i="9"/>
  <c r="T7" i="9"/>
  <c r="R15" i="9"/>
  <c r="T24" i="9"/>
  <c r="Q25" i="9"/>
  <c r="S25" i="9" s="1"/>
  <c r="V25" i="9" s="1"/>
  <c r="AC25" i="9" s="1"/>
  <c r="R12" i="9"/>
  <c r="Q8" i="9"/>
  <c r="U9" i="9"/>
  <c r="T19" i="9"/>
  <c r="Q20" i="9"/>
  <c r="U21" i="9"/>
  <c r="T5" i="9"/>
  <c r="Q6" i="9"/>
  <c r="U7" i="9"/>
  <c r="R8" i="9"/>
  <c r="T17" i="9"/>
  <c r="Q18" i="9"/>
  <c r="S18" i="9" s="1"/>
  <c r="V18" i="9" s="1"/>
  <c r="AC18" i="9" s="1"/>
  <c r="U19" i="9"/>
  <c r="R20" i="9"/>
  <c r="R3" i="9"/>
  <c r="R10" i="9"/>
  <c r="Q11" i="9"/>
  <c r="S11" i="9" s="1"/>
  <c r="U12" i="9"/>
  <c r="R13" i="9"/>
  <c r="T22" i="9"/>
  <c r="Q23" i="9"/>
  <c r="U24" i="9"/>
  <c r="R25" i="9"/>
  <c r="Q10" i="9"/>
  <c r="S10" i="9" s="1"/>
  <c r="V10" i="9" s="1"/>
  <c r="AC10" i="9" s="1"/>
  <c r="T12" i="9"/>
  <c r="Q13" i="9"/>
  <c r="U14" i="9"/>
  <c r="T3" i="9"/>
  <c r="Q4" i="9"/>
  <c r="S4" i="9" s="1"/>
  <c r="T10" i="9"/>
  <c r="Q2" i="9"/>
  <c r="U5" i="9"/>
  <c r="R6" i="9"/>
  <c r="T15" i="9"/>
  <c r="Q16" i="9"/>
  <c r="U17" i="9"/>
  <c r="R18" i="9"/>
  <c r="U22" i="8"/>
  <c r="R23" i="8"/>
  <c r="R4" i="8"/>
  <c r="R11" i="8"/>
  <c r="T20" i="8"/>
  <c r="Q21" i="8"/>
  <c r="R2" i="8"/>
  <c r="T13" i="8"/>
  <c r="Q14" i="8"/>
  <c r="S14" i="8" s="1"/>
  <c r="U15" i="8"/>
  <c r="R16" i="8"/>
  <c r="T25" i="8"/>
  <c r="Q9" i="8"/>
  <c r="T6" i="8"/>
  <c r="Q7" i="8"/>
  <c r="U8" i="8"/>
  <c r="R9" i="8"/>
  <c r="T18" i="8"/>
  <c r="Q19" i="8"/>
  <c r="S19" i="8" s="1"/>
  <c r="U20" i="8"/>
  <c r="R21" i="8"/>
  <c r="U10" i="8"/>
  <c r="T4" i="8"/>
  <c r="T11" i="8"/>
  <c r="Q12" i="8"/>
  <c r="U13" i="8"/>
  <c r="R14" i="8"/>
  <c r="T23" i="8"/>
  <c r="Q24" i="8"/>
  <c r="U25" i="8"/>
  <c r="T8" i="8"/>
  <c r="T2" i="8"/>
  <c r="Q5" i="8"/>
  <c r="U6" i="8"/>
  <c r="R7" i="8"/>
  <c r="T16" i="8"/>
  <c r="Q17" i="8"/>
  <c r="U18" i="8"/>
  <c r="R19" i="8"/>
  <c r="T21" i="8"/>
  <c r="Q22" i="8"/>
  <c r="S22" i="8" s="1"/>
  <c r="U23" i="8"/>
  <c r="R24" i="8"/>
  <c r="Q2" i="8"/>
  <c r="S2" i="8" s="1"/>
  <c r="U5" i="8"/>
  <c r="U3" i="8"/>
  <c r="U11" i="8"/>
  <c r="U2" i="8"/>
  <c r="R5" i="8"/>
  <c r="T14" i="8"/>
  <c r="Q15" i="8"/>
  <c r="U16" i="8"/>
  <c r="R17" i="8"/>
  <c r="Q10" i="8"/>
  <c r="R12" i="8"/>
  <c r="R3" i="8"/>
  <c r="T7" i="8"/>
  <c r="Q8" i="8"/>
  <c r="U9" i="8"/>
  <c r="R10" i="8"/>
  <c r="T19" i="8"/>
  <c r="Q20" i="8"/>
  <c r="U21" i="8"/>
  <c r="R22" i="8"/>
  <c r="T9" i="8"/>
  <c r="T12" i="8"/>
  <c r="Q13" i="8"/>
  <c r="S13" i="8" s="1"/>
  <c r="U14" i="8"/>
  <c r="R15" i="8"/>
  <c r="T24" i="8"/>
  <c r="Q25" i="8"/>
  <c r="S25" i="8" s="1"/>
  <c r="V25" i="8" s="1"/>
  <c r="AC25" i="8" s="1"/>
  <c r="T5" i="8"/>
  <c r="Q6" i="8"/>
  <c r="U7" i="8"/>
  <c r="R8" i="8"/>
  <c r="T17" i="8"/>
  <c r="Q18" i="8"/>
  <c r="U19" i="8"/>
  <c r="R20" i="8"/>
  <c r="Q3" i="8"/>
  <c r="U4" i="8"/>
  <c r="T3" i="8"/>
  <c r="Q4" i="8"/>
  <c r="S4" i="8" s="1"/>
  <c r="V4" i="8" s="1"/>
  <c r="AC4" i="8" s="1"/>
  <c r="T10" i="8"/>
  <c r="Q11" i="8"/>
  <c r="U12" i="8"/>
  <c r="R13" i="8"/>
  <c r="T22" i="8"/>
  <c r="Q23" i="8"/>
  <c r="U24" i="8"/>
  <c r="R25" i="8"/>
  <c r="R6" i="8"/>
  <c r="T15" i="8"/>
  <c r="Q16" i="8"/>
  <c r="U17" i="8"/>
  <c r="R18" i="8"/>
  <c r="U3" i="7"/>
  <c r="R4" i="7"/>
  <c r="T8" i="7"/>
  <c r="Q9" i="7"/>
  <c r="U10" i="7"/>
  <c r="R11" i="7"/>
  <c r="T20" i="7"/>
  <c r="Q21" i="7"/>
  <c r="U22" i="7"/>
  <c r="R23" i="7"/>
  <c r="R2" i="7"/>
  <c r="T13" i="7"/>
  <c r="Q14" i="7"/>
  <c r="U15" i="7"/>
  <c r="R16" i="7"/>
  <c r="T25" i="7"/>
  <c r="T6" i="7"/>
  <c r="Q7" i="7"/>
  <c r="U8" i="7"/>
  <c r="R9" i="7"/>
  <c r="T18" i="7"/>
  <c r="Q19" i="7"/>
  <c r="U20" i="7"/>
  <c r="R21" i="7"/>
  <c r="T7" i="7"/>
  <c r="T4" i="7"/>
  <c r="T11" i="7"/>
  <c r="Q12" i="7"/>
  <c r="U13" i="7"/>
  <c r="R14" i="7"/>
  <c r="T23" i="7"/>
  <c r="Q24" i="7"/>
  <c r="U25" i="7"/>
  <c r="T2" i="7"/>
  <c r="Q5" i="7"/>
  <c r="S5" i="7" s="1"/>
  <c r="V5" i="7" s="1"/>
  <c r="AC5" i="7" s="1"/>
  <c r="U6" i="7"/>
  <c r="R7" i="7"/>
  <c r="T16" i="7"/>
  <c r="Q17" i="7"/>
  <c r="U18" i="7"/>
  <c r="R19" i="7"/>
  <c r="T9" i="7"/>
  <c r="Q10" i="7"/>
  <c r="R12" i="7"/>
  <c r="T21" i="7"/>
  <c r="Q22" i="7"/>
  <c r="U23" i="7"/>
  <c r="R24" i="7"/>
  <c r="Q3" i="7"/>
  <c r="U4" i="7"/>
  <c r="U11" i="7"/>
  <c r="U2" i="7"/>
  <c r="R5" i="7"/>
  <c r="T14" i="7"/>
  <c r="Q15" i="7"/>
  <c r="S15" i="7" s="1"/>
  <c r="U16" i="7"/>
  <c r="R17" i="7"/>
  <c r="R10" i="7"/>
  <c r="T19" i="7"/>
  <c r="Q20" i="7"/>
  <c r="U21" i="7"/>
  <c r="R22" i="7"/>
  <c r="T12" i="7"/>
  <c r="Q13" i="7"/>
  <c r="U14" i="7"/>
  <c r="R15" i="7"/>
  <c r="T24" i="7"/>
  <c r="Q25" i="7"/>
  <c r="S25" i="7" s="1"/>
  <c r="R3" i="7"/>
  <c r="T5" i="7"/>
  <c r="Q6" i="7"/>
  <c r="S6" i="7" s="1"/>
  <c r="U7" i="7"/>
  <c r="R8" i="7"/>
  <c r="T17" i="7"/>
  <c r="Q18" i="7"/>
  <c r="U19" i="7"/>
  <c r="R20" i="7"/>
  <c r="Q8" i="7"/>
  <c r="T3" i="7"/>
  <c r="Q4" i="7"/>
  <c r="T10" i="7"/>
  <c r="Q11" i="7"/>
  <c r="S11" i="7" s="1"/>
  <c r="V11" i="7" s="1"/>
  <c r="AC11" i="7" s="1"/>
  <c r="U12" i="7"/>
  <c r="R13" i="7"/>
  <c r="T22" i="7"/>
  <c r="Q23" i="7"/>
  <c r="U24" i="7"/>
  <c r="R25" i="7"/>
  <c r="U9" i="7"/>
  <c r="Q2" i="7"/>
  <c r="U5" i="7"/>
  <c r="R6" i="7"/>
  <c r="T15" i="7"/>
  <c r="Q16" i="7"/>
  <c r="S16" i="7" s="1"/>
  <c r="U17" i="7"/>
  <c r="R18" i="7"/>
  <c r="U10" i="6"/>
  <c r="T20" i="6"/>
  <c r="U22" i="6"/>
  <c r="R23" i="6"/>
  <c r="U3" i="6"/>
  <c r="R4" i="6"/>
  <c r="T8" i="6"/>
  <c r="Q9" i="6"/>
  <c r="R11" i="6"/>
  <c r="Q21" i="6"/>
  <c r="R2" i="6"/>
  <c r="T13" i="6"/>
  <c r="Q14" i="6"/>
  <c r="U15" i="6"/>
  <c r="R16" i="6"/>
  <c r="T25" i="6"/>
  <c r="Q19" i="6"/>
  <c r="U20" i="6"/>
  <c r="R21" i="6"/>
  <c r="Q12" i="6"/>
  <c r="S12" i="6" s="1"/>
  <c r="U25" i="6"/>
  <c r="T6" i="6"/>
  <c r="T4" i="6"/>
  <c r="T2" i="6"/>
  <c r="Q5" i="6"/>
  <c r="U6" i="6"/>
  <c r="R7" i="6"/>
  <c r="T16" i="6"/>
  <c r="Q17" i="6"/>
  <c r="U18" i="6"/>
  <c r="R19" i="6"/>
  <c r="Q7" i="6"/>
  <c r="S7" i="6" s="1"/>
  <c r="T18" i="6"/>
  <c r="Q3" i="6"/>
  <c r="U4" i="6"/>
  <c r="T9" i="6"/>
  <c r="Q10" i="6"/>
  <c r="U11" i="6"/>
  <c r="R12" i="6"/>
  <c r="T21" i="6"/>
  <c r="Q22" i="6"/>
  <c r="U23" i="6"/>
  <c r="R24" i="6"/>
  <c r="U8" i="6"/>
  <c r="R14" i="6"/>
  <c r="T14" i="6"/>
  <c r="R17" i="6"/>
  <c r="R3" i="6"/>
  <c r="T7" i="6"/>
  <c r="Q8" i="6"/>
  <c r="U9" i="6"/>
  <c r="R10" i="6"/>
  <c r="T19" i="6"/>
  <c r="Q20" i="6"/>
  <c r="U21" i="6"/>
  <c r="R22" i="6"/>
  <c r="T23" i="6"/>
  <c r="T12" i="6"/>
  <c r="U14" i="6"/>
  <c r="R15" i="6"/>
  <c r="Q25" i="6"/>
  <c r="Q24" i="6"/>
  <c r="R5" i="6"/>
  <c r="Q15" i="6"/>
  <c r="T5" i="6"/>
  <c r="R8" i="6"/>
  <c r="T17" i="6"/>
  <c r="Q18" i="6"/>
  <c r="U19" i="6"/>
  <c r="R20" i="6"/>
  <c r="T11" i="6"/>
  <c r="T24" i="6"/>
  <c r="Q6" i="6"/>
  <c r="U7" i="6"/>
  <c r="T3" i="6"/>
  <c r="Q4" i="6"/>
  <c r="T10" i="6"/>
  <c r="Q11" i="6"/>
  <c r="U12" i="6"/>
  <c r="R13" i="6"/>
  <c r="T22" i="6"/>
  <c r="Q23" i="6"/>
  <c r="U24" i="6"/>
  <c r="R25" i="6"/>
  <c r="R9" i="6"/>
  <c r="U13" i="6"/>
  <c r="U2" i="6"/>
  <c r="U16" i="6"/>
  <c r="Q13" i="6"/>
  <c r="Q2" i="6"/>
  <c r="U5" i="6"/>
  <c r="R6" i="6"/>
  <c r="T15" i="6"/>
  <c r="Q16" i="6"/>
  <c r="S16" i="6" s="1"/>
  <c r="U17" i="6"/>
  <c r="R18" i="6"/>
  <c r="T4" i="5"/>
  <c r="Q13" i="5"/>
  <c r="Q2" i="5"/>
  <c r="U3" i="5"/>
  <c r="R4" i="5"/>
  <c r="T8" i="5"/>
  <c r="Q9" i="5"/>
  <c r="U10" i="5"/>
  <c r="R11" i="5"/>
  <c r="T20" i="5"/>
  <c r="Q21" i="5"/>
  <c r="S21" i="5" s="1"/>
  <c r="V21" i="5" s="1"/>
  <c r="AC21" i="5" s="1"/>
  <c r="U22" i="5"/>
  <c r="R23" i="5"/>
  <c r="U6" i="5"/>
  <c r="R2" i="5"/>
  <c r="T13" i="5"/>
  <c r="Q14" i="5"/>
  <c r="U15" i="5"/>
  <c r="R16" i="5"/>
  <c r="T25" i="5"/>
  <c r="Q7" i="5"/>
  <c r="U8" i="5"/>
  <c r="R9" i="5"/>
  <c r="T18" i="5"/>
  <c r="Q19" i="5"/>
  <c r="U20" i="5"/>
  <c r="R21" i="5"/>
  <c r="T11" i="5"/>
  <c r="U13" i="5"/>
  <c r="R14" i="5"/>
  <c r="T23" i="5"/>
  <c r="Q24" i="5"/>
  <c r="S24" i="5" s="1"/>
  <c r="U25" i="5"/>
  <c r="Q17" i="5"/>
  <c r="U18" i="5"/>
  <c r="R19" i="5"/>
  <c r="T6" i="5"/>
  <c r="R7" i="5"/>
  <c r="T16" i="5"/>
  <c r="R24" i="5"/>
  <c r="T9" i="5"/>
  <c r="U11" i="5"/>
  <c r="R12" i="5"/>
  <c r="T21" i="5"/>
  <c r="Q22" i="5"/>
  <c r="S22" i="5" s="1"/>
  <c r="U23" i="5"/>
  <c r="U2" i="5"/>
  <c r="R5" i="5"/>
  <c r="T14" i="5"/>
  <c r="Q15" i="5"/>
  <c r="U16" i="5"/>
  <c r="R17" i="5"/>
  <c r="Q3" i="5"/>
  <c r="U4" i="5"/>
  <c r="Q10" i="5"/>
  <c r="R3" i="5"/>
  <c r="T7" i="5"/>
  <c r="Q8" i="5"/>
  <c r="U9" i="5"/>
  <c r="R10" i="5"/>
  <c r="T19" i="5"/>
  <c r="Q20" i="5"/>
  <c r="U21" i="5"/>
  <c r="R22" i="5"/>
  <c r="Q12" i="5"/>
  <c r="U14" i="5"/>
  <c r="R15" i="5"/>
  <c r="T24" i="5"/>
  <c r="Q25" i="5"/>
  <c r="T5" i="5"/>
  <c r="Q6" i="5"/>
  <c r="S6" i="5" s="1"/>
  <c r="U7" i="5"/>
  <c r="R8" i="5"/>
  <c r="T17" i="5"/>
  <c r="Q18" i="5"/>
  <c r="U19" i="5"/>
  <c r="R20" i="5"/>
  <c r="T2" i="5"/>
  <c r="T12" i="5"/>
  <c r="T3" i="5"/>
  <c r="Q4" i="5"/>
  <c r="T10" i="5"/>
  <c r="Q11" i="5"/>
  <c r="S11" i="5" s="1"/>
  <c r="V11" i="5" s="1"/>
  <c r="U12" i="5"/>
  <c r="R13" i="5"/>
  <c r="T22" i="5"/>
  <c r="Q23" i="5"/>
  <c r="U24" i="5"/>
  <c r="R25" i="5"/>
  <c r="Q5" i="5"/>
  <c r="U5" i="5"/>
  <c r="R6" i="5"/>
  <c r="T15" i="5"/>
  <c r="Q16" i="5"/>
  <c r="U17" i="5"/>
  <c r="R18" i="5"/>
  <c r="T14" i="4"/>
  <c r="Q16" i="4"/>
  <c r="R23" i="4"/>
  <c r="T3" i="4"/>
  <c r="R4" i="4"/>
  <c r="T6" i="4"/>
  <c r="Q7" i="4"/>
  <c r="S7" i="4" s="1"/>
  <c r="U13" i="4"/>
  <c r="Q17" i="4"/>
  <c r="U3" i="4"/>
  <c r="T9" i="4"/>
  <c r="R10" i="4"/>
  <c r="Q11" i="4"/>
  <c r="T15" i="4"/>
  <c r="T22" i="4"/>
  <c r="U6" i="4"/>
  <c r="R7" i="4"/>
  <c r="T17" i="4"/>
  <c r="R18" i="4"/>
  <c r="Q19" i="4"/>
  <c r="Q21" i="4"/>
  <c r="U22" i="4"/>
  <c r="T18" i="4"/>
  <c r="R19" i="4"/>
  <c r="R21" i="4"/>
  <c r="R25" i="4"/>
  <c r="Q2" i="4"/>
  <c r="T4" i="4"/>
  <c r="Q5" i="4"/>
  <c r="U9" i="4"/>
  <c r="T10" i="4"/>
  <c r="U4" i="4"/>
  <c r="U10" i="4"/>
  <c r="T16" i="4"/>
  <c r="U17" i="4"/>
  <c r="R8" i="4"/>
  <c r="T11" i="4"/>
  <c r="U18" i="4"/>
  <c r="U19" i="4"/>
  <c r="T20" i="4"/>
  <c r="U21" i="4"/>
  <c r="Q20" i="4"/>
  <c r="Q8" i="4"/>
  <c r="U16" i="4"/>
  <c r="T7" i="4"/>
  <c r="Q12" i="4"/>
  <c r="S12" i="4" s="1"/>
  <c r="T19" i="4"/>
  <c r="T5" i="4"/>
  <c r="U20" i="4"/>
  <c r="R11" i="4"/>
  <c r="R5" i="4"/>
  <c r="T2" i="4"/>
  <c r="U7" i="4"/>
  <c r="Q3" i="4"/>
  <c r="Q6" i="4"/>
  <c r="U2" i="4"/>
  <c r="T8" i="4"/>
  <c r="Q9" i="4"/>
  <c r="R13" i="4"/>
  <c r="R2" i="4"/>
  <c r="R3" i="4"/>
  <c r="R14" i="4"/>
  <c r="Q15" i="4"/>
  <c r="Q23" i="4"/>
  <c r="S23" i="4" s="1"/>
  <c r="U24" i="4"/>
  <c r="U5" i="4"/>
  <c r="R6" i="4"/>
  <c r="Q4" i="4"/>
  <c r="U8" i="4"/>
  <c r="R9" i="4"/>
  <c r="U12" i="4"/>
  <c r="T12" i="4"/>
  <c r="Q13" i="4"/>
  <c r="S13" i="4" s="1"/>
  <c r="U14" i="4"/>
  <c r="R15" i="4"/>
  <c r="T24" i="4"/>
  <c r="Q25" i="4"/>
  <c r="R20" i="4"/>
  <c r="T13" i="4"/>
  <c r="Q14" i="4"/>
  <c r="U15" i="4"/>
  <c r="R16" i="4"/>
  <c r="T25" i="4"/>
  <c r="T23" i="4"/>
  <c r="Q24" i="4"/>
  <c r="U25" i="4"/>
  <c r="Q10" i="4"/>
  <c r="U11" i="4"/>
  <c r="R12" i="4"/>
  <c r="T21" i="4"/>
  <c r="Q22" i="4"/>
  <c r="U23" i="4"/>
  <c r="R24" i="4"/>
  <c r="R17" i="4"/>
  <c r="R22" i="4"/>
  <c r="Z13" i="4"/>
  <c r="AB13" i="4" s="1"/>
  <c r="Z10" i="4"/>
  <c r="AB10" i="4" s="1"/>
  <c r="R117" i="3"/>
  <c r="U116" i="3"/>
  <c r="Q115" i="3"/>
  <c r="T101" i="3"/>
  <c r="U97" i="3"/>
  <c r="U94" i="3"/>
  <c r="U91" i="3"/>
  <c r="U88" i="3"/>
  <c r="R80" i="3"/>
  <c r="T79" i="3"/>
  <c r="U68" i="3"/>
  <c r="R67" i="3"/>
  <c r="U52" i="3"/>
  <c r="Q120" i="3"/>
  <c r="T119" i="3"/>
  <c r="T114" i="3"/>
  <c r="Q102" i="3"/>
  <c r="R112" i="3"/>
  <c r="U111" i="3"/>
  <c r="Q110" i="3"/>
  <c r="T109" i="3"/>
  <c r="U106" i="3"/>
  <c r="U103" i="3"/>
  <c r="U100" i="3"/>
  <c r="R98" i="3"/>
  <c r="R95" i="3"/>
  <c r="R92" i="3"/>
  <c r="T91" i="3"/>
  <c r="R89" i="3"/>
  <c r="U83" i="3"/>
  <c r="Q80" i="3"/>
  <c r="U69" i="3"/>
  <c r="T52" i="3"/>
  <c r="T50" i="3"/>
  <c r="R119" i="3"/>
  <c r="U118" i="3"/>
  <c r="Q117" i="3"/>
  <c r="S117" i="3" s="1"/>
  <c r="T116" i="3"/>
  <c r="R107" i="3"/>
  <c r="R104" i="3"/>
  <c r="T103" i="3"/>
  <c r="R101" i="3"/>
  <c r="T97" i="3"/>
  <c r="T94" i="3"/>
  <c r="Q92" i="3"/>
  <c r="S92" i="3" s="1"/>
  <c r="V92" i="3" s="1"/>
  <c r="AC92" i="3" s="1"/>
  <c r="T88" i="3"/>
  <c r="R84" i="3"/>
  <c r="U78" i="3"/>
  <c r="R68" i="3"/>
  <c r="T62" i="3"/>
  <c r="U55" i="3"/>
  <c r="R114" i="3"/>
  <c r="U113" i="3"/>
  <c r="Q112" i="3"/>
  <c r="S112" i="3" s="1"/>
  <c r="T111" i="3"/>
  <c r="T106" i="3"/>
  <c r="Q104" i="3"/>
  <c r="S104" i="3" s="1"/>
  <c r="T100" i="3"/>
  <c r="Q98" i="3"/>
  <c r="S98" i="3" s="1"/>
  <c r="Q95" i="3"/>
  <c r="S95" i="3" s="1"/>
  <c r="V95" i="3" s="1"/>
  <c r="AC95" i="3" s="1"/>
  <c r="U93" i="3"/>
  <c r="Q89" i="3"/>
  <c r="T83" i="3"/>
  <c r="U82" i="3"/>
  <c r="R79" i="3"/>
  <c r="U76" i="3"/>
  <c r="T70" i="3"/>
  <c r="T65" i="3"/>
  <c r="Q119" i="3"/>
  <c r="Q101" i="3"/>
  <c r="S101" i="3" s="1"/>
  <c r="V101" i="3" s="1"/>
  <c r="AC101" i="3" s="1"/>
  <c r="U96" i="3"/>
  <c r="R94" i="3"/>
  <c r="R91" i="3"/>
  <c r="U90" i="3"/>
  <c r="T87" i="3"/>
  <c r="Q84" i="3"/>
  <c r="T78" i="3"/>
  <c r="T77" i="3"/>
  <c r="U72" i="3"/>
  <c r="R69" i="3"/>
  <c r="R65" i="3"/>
  <c r="R55" i="3"/>
  <c r="U120" i="3"/>
  <c r="T118" i="3"/>
  <c r="U108" i="3"/>
  <c r="Q107" i="3"/>
  <c r="U105" i="3"/>
  <c r="R116" i="3"/>
  <c r="U115" i="3"/>
  <c r="Q114" i="3"/>
  <c r="S114" i="3" s="1"/>
  <c r="T113" i="3"/>
  <c r="R106" i="3"/>
  <c r="R103" i="3"/>
  <c r="U102" i="3"/>
  <c r="U99" i="3"/>
  <c r="R97" i="3"/>
  <c r="T93" i="3"/>
  <c r="R83" i="3"/>
  <c r="T82" i="3"/>
  <c r="Q79" i="3"/>
  <c r="R78" i="3"/>
  <c r="T76" i="3"/>
  <c r="T74" i="3"/>
  <c r="U73" i="3"/>
  <c r="R70" i="3"/>
  <c r="Q65" i="3"/>
  <c r="R109" i="3"/>
  <c r="T120" i="3"/>
  <c r="R111" i="3"/>
  <c r="U110" i="3"/>
  <c r="Q109" i="3"/>
  <c r="T108" i="3"/>
  <c r="T105" i="3"/>
  <c r="R100" i="3"/>
  <c r="Q94" i="3"/>
  <c r="Q91" i="3"/>
  <c r="S91" i="3" s="1"/>
  <c r="T90" i="3"/>
  <c r="Q88" i="3"/>
  <c r="S88" i="3" s="1"/>
  <c r="V88" i="3" s="1"/>
  <c r="AC88" i="3" s="1"/>
  <c r="T86" i="3"/>
  <c r="U81" i="3"/>
  <c r="R77" i="3"/>
  <c r="R53" i="3"/>
  <c r="R118" i="3"/>
  <c r="U117" i="3"/>
  <c r="Q116" i="3"/>
  <c r="T115" i="3"/>
  <c r="Q106" i="3"/>
  <c r="Q103" i="3"/>
  <c r="T102" i="3"/>
  <c r="T99" i="3"/>
  <c r="U85" i="3"/>
  <c r="Q83" i="3"/>
  <c r="S83" i="3" s="1"/>
  <c r="V83" i="3" s="1"/>
  <c r="AC83" i="3" s="1"/>
  <c r="R82" i="3"/>
  <c r="Q78" i="3"/>
  <c r="Q75" i="3"/>
  <c r="R73" i="3"/>
  <c r="U66" i="3"/>
  <c r="Q63" i="3"/>
  <c r="R56" i="3"/>
  <c r="Q53" i="3"/>
  <c r="Q51" i="3"/>
  <c r="S51" i="3" s="1"/>
  <c r="V51" i="3" s="1"/>
  <c r="AC51" i="3" s="1"/>
  <c r="R113" i="3"/>
  <c r="U112" i="3"/>
  <c r="T110" i="3"/>
  <c r="Q100" i="3"/>
  <c r="R96" i="3"/>
  <c r="U95" i="3"/>
  <c r="R93" i="3"/>
  <c r="U92" i="3"/>
  <c r="Q87" i="3"/>
  <c r="T81" i="3"/>
  <c r="Q77" i="3"/>
  <c r="S77" i="3" s="1"/>
  <c r="R74" i="3"/>
  <c r="R72" i="3"/>
  <c r="Q71" i="3"/>
  <c r="S71" i="3" s="1"/>
  <c r="V71" i="3" s="1"/>
  <c r="AC71" i="3" s="1"/>
  <c r="Q66" i="3"/>
  <c r="S66" i="3" s="1"/>
  <c r="V66" i="3" s="1"/>
  <c r="AC66" i="3" s="1"/>
  <c r="Q111" i="3"/>
  <c r="S111" i="3" s="1"/>
  <c r="R120" i="3"/>
  <c r="U119" i="3"/>
  <c r="Q118" i="3"/>
  <c r="T117" i="3"/>
  <c r="R108" i="3"/>
  <c r="U107" i="3"/>
  <c r="R105" i="3"/>
  <c r="U104" i="3"/>
  <c r="R90" i="3"/>
  <c r="U89" i="3"/>
  <c r="R86" i="3"/>
  <c r="Q82" i="3"/>
  <c r="S82" i="3" s="1"/>
  <c r="U80" i="3"/>
  <c r="R115" i="3"/>
  <c r="U114" i="3"/>
  <c r="Q113" i="3"/>
  <c r="T112" i="3"/>
  <c r="R102" i="3"/>
  <c r="U101" i="3"/>
  <c r="T98" i="3"/>
  <c r="Q96" i="3"/>
  <c r="S96" i="3" s="1"/>
  <c r="T95" i="3"/>
  <c r="Q93" i="3"/>
  <c r="S93" i="3" s="1"/>
  <c r="V93" i="3" s="1"/>
  <c r="AC93" i="3" s="1"/>
  <c r="T92" i="3"/>
  <c r="U84" i="3"/>
  <c r="Q72" i="3"/>
  <c r="U67" i="3"/>
  <c r="U64" i="3"/>
  <c r="R110" i="3"/>
  <c r="U109" i="3"/>
  <c r="Q108" i="3"/>
  <c r="T107" i="3"/>
  <c r="Q105" i="3"/>
  <c r="S105" i="3" s="1"/>
  <c r="V105" i="3" s="1"/>
  <c r="AC105" i="3" s="1"/>
  <c r="T104" i="3"/>
  <c r="Q99" i="3"/>
  <c r="Q90" i="3"/>
  <c r="T89" i="3"/>
  <c r="R85" i="3"/>
  <c r="R81" i="3"/>
  <c r="U79" i="3"/>
  <c r="T64" i="3"/>
  <c r="U54" i="3"/>
  <c r="R61" i="3"/>
  <c r="U60" i="3"/>
  <c r="Q59" i="3"/>
  <c r="S59" i="3" s="1"/>
  <c r="T58" i="3"/>
  <c r="R49" i="3"/>
  <c r="U48" i="3"/>
  <c r="Q47" i="3"/>
  <c r="T46" i="3"/>
  <c r="R37" i="3"/>
  <c r="U36" i="3"/>
  <c r="Q35" i="3"/>
  <c r="T34" i="3"/>
  <c r="R25" i="3"/>
  <c r="U24" i="3"/>
  <c r="Q23" i="3"/>
  <c r="S23" i="3" s="1"/>
  <c r="T22" i="3"/>
  <c r="Q54" i="3"/>
  <c r="S54" i="3" s="1"/>
  <c r="V54" i="3" s="1"/>
  <c r="AC54" i="3" s="1"/>
  <c r="T53" i="3"/>
  <c r="R44" i="3"/>
  <c r="U43" i="3"/>
  <c r="Q42" i="3"/>
  <c r="T41" i="3"/>
  <c r="R32" i="3"/>
  <c r="U31" i="3"/>
  <c r="Q30" i="3"/>
  <c r="S30" i="3" s="1"/>
  <c r="T29" i="3"/>
  <c r="R99" i="3"/>
  <c r="U98" i="3"/>
  <c r="Q97" i="3"/>
  <c r="S97" i="3" s="1"/>
  <c r="V97" i="3" s="1"/>
  <c r="T96" i="3"/>
  <c r="R87" i="3"/>
  <c r="U86" i="3"/>
  <c r="Q85" i="3"/>
  <c r="T84" i="3"/>
  <c r="R75" i="3"/>
  <c r="U74" i="3"/>
  <c r="Q73" i="3"/>
  <c r="S73" i="3" s="1"/>
  <c r="T72" i="3"/>
  <c r="R63" i="3"/>
  <c r="U62" i="3"/>
  <c r="Q61" i="3"/>
  <c r="S61" i="3" s="1"/>
  <c r="T60" i="3"/>
  <c r="R51" i="3"/>
  <c r="U50" i="3"/>
  <c r="Q49" i="3"/>
  <c r="T48" i="3"/>
  <c r="R39" i="3"/>
  <c r="U38" i="3"/>
  <c r="Q37" i="3"/>
  <c r="S37" i="3" s="1"/>
  <c r="T36" i="3"/>
  <c r="R27" i="3"/>
  <c r="U26" i="3"/>
  <c r="Q25" i="3"/>
  <c r="T24" i="3"/>
  <c r="Q68" i="3"/>
  <c r="S68" i="3" s="1"/>
  <c r="T67" i="3"/>
  <c r="R58" i="3"/>
  <c r="U57" i="3"/>
  <c r="Q56" i="3"/>
  <c r="T55" i="3"/>
  <c r="R46" i="3"/>
  <c r="U45" i="3"/>
  <c r="Q44" i="3"/>
  <c r="S44" i="3" s="1"/>
  <c r="V44" i="3" s="1"/>
  <c r="AC44" i="3" s="1"/>
  <c r="T43" i="3"/>
  <c r="R34" i="3"/>
  <c r="U33" i="3"/>
  <c r="Q32" i="3"/>
  <c r="T31" i="3"/>
  <c r="R22" i="3"/>
  <c r="U21" i="3"/>
  <c r="R41" i="3"/>
  <c r="U40" i="3"/>
  <c r="Q39" i="3"/>
  <c r="T38" i="3"/>
  <c r="R29" i="3"/>
  <c r="U28" i="3"/>
  <c r="Q27" i="3"/>
  <c r="T26" i="3"/>
  <c r="U71" i="3"/>
  <c r="Q70" i="3"/>
  <c r="T69" i="3"/>
  <c r="R60" i="3"/>
  <c r="U59" i="3"/>
  <c r="Q58" i="3"/>
  <c r="T57" i="3"/>
  <c r="R48" i="3"/>
  <c r="U47" i="3"/>
  <c r="Q46" i="3"/>
  <c r="T45" i="3"/>
  <c r="R36" i="3"/>
  <c r="U35" i="3"/>
  <c r="Q34" i="3"/>
  <c r="T33" i="3"/>
  <c r="R24" i="3"/>
  <c r="U23" i="3"/>
  <c r="Q22" i="3"/>
  <c r="T21" i="3"/>
  <c r="R43" i="3"/>
  <c r="U42" i="3"/>
  <c r="Q41" i="3"/>
  <c r="S41" i="3" s="1"/>
  <c r="T40" i="3"/>
  <c r="R31" i="3"/>
  <c r="U30" i="3"/>
  <c r="Q29" i="3"/>
  <c r="T28" i="3"/>
  <c r="T71" i="3"/>
  <c r="R62" i="3"/>
  <c r="U61" i="3"/>
  <c r="Q60" i="3"/>
  <c r="S60" i="3" s="1"/>
  <c r="T59" i="3"/>
  <c r="R50" i="3"/>
  <c r="U49" i="3"/>
  <c r="Q48" i="3"/>
  <c r="T47" i="3"/>
  <c r="R38" i="3"/>
  <c r="U37" i="3"/>
  <c r="Q36" i="3"/>
  <c r="T35" i="3"/>
  <c r="R26" i="3"/>
  <c r="U25" i="3"/>
  <c r="Q24" i="3"/>
  <c r="S24" i="3" s="1"/>
  <c r="T23" i="3"/>
  <c r="Q67" i="3"/>
  <c r="T66" i="3"/>
  <c r="R57" i="3"/>
  <c r="U56" i="3"/>
  <c r="Q55" i="3"/>
  <c r="T54" i="3"/>
  <c r="R45" i="3"/>
  <c r="U44" i="3"/>
  <c r="Q43" i="3"/>
  <c r="T42" i="3"/>
  <c r="R33" i="3"/>
  <c r="U32" i="3"/>
  <c r="Q31" i="3"/>
  <c r="S31" i="3" s="1"/>
  <c r="V31" i="3" s="1"/>
  <c r="AC31" i="3" s="1"/>
  <c r="T30" i="3"/>
  <c r="R21" i="3"/>
  <c r="R88" i="3"/>
  <c r="U87" i="3"/>
  <c r="Q86" i="3"/>
  <c r="T85" i="3"/>
  <c r="R76" i="3"/>
  <c r="U75" i="3"/>
  <c r="Q74" i="3"/>
  <c r="T73" i="3"/>
  <c r="R64" i="3"/>
  <c r="U63" i="3"/>
  <c r="Q62" i="3"/>
  <c r="S62" i="3" s="1"/>
  <c r="V62" i="3" s="1"/>
  <c r="AC62" i="3" s="1"/>
  <c r="T61" i="3"/>
  <c r="R52" i="3"/>
  <c r="U51" i="3"/>
  <c r="Q50" i="3"/>
  <c r="T49" i="3"/>
  <c r="R40" i="3"/>
  <c r="U39" i="3"/>
  <c r="Q38" i="3"/>
  <c r="S38" i="3" s="1"/>
  <c r="T37" i="3"/>
  <c r="R28" i="3"/>
  <c r="U27" i="3"/>
  <c r="Q26" i="3"/>
  <c r="S26" i="3" s="1"/>
  <c r="V26" i="3" s="1"/>
  <c r="AC26" i="3" s="1"/>
  <c r="T25" i="3"/>
  <c r="Q81" i="3"/>
  <c r="T80" i="3"/>
  <c r="R71" i="3"/>
  <c r="U70" i="3"/>
  <c r="Q69" i="3"/>
  <c r="T68" i="3"/>
  <c r="R59" i="3"/>
  <c r="U58" i="3"/>
  <c r="Q57" i="3"/>
  <c r="T56" i="3"/>
  <c r="R47" i="3"/>
  <c r="U46" i="3"/>
  <c r="Q45" i="3"/>
  <c r="T44" i="3"/>
  <c r="R35" i="3"/>
  <c r="U34" i="3"/>
  <c r="Q33" i="3"/>
  <c r="T32" i="3"/>
  <c r="R23" i="3"/>
  <c r="U22" i="3"/>
  <c r="Q21" i="3"/>
  <c r="U77" i="3"/>
  <c r="Q76" i="3"/>
  <c r="S76" i="3" s="1"/>
  <c r="V76" i="3" s="1"/>
  <c r="AC76" i="3" s="1"/>
  <c r="T75" i="3"/>
  <c r="R66" i="3"/>
  <c r="U65" i="3"/>
  <c r="Q64" i="3"/>
  <c r="T63" i="3"/>
  <c r="R54" i="3"/>
  <c r="U53" i="3"/>
  <c r="Q52" i="3"/>
  <c r="S52" i="3" s="1"/>
  <c r="T51" i="3"/>
  <c r="R42" i="3"/>
  <c r="U41" i="3"/>
  <c r="Q40" i="3"/>
  <c r="S40" i="3" s="1"/>
  <c r="T39" i="3"/>
  <c r="R30" i="3"/>
  <c r="U29" i="3"/>
  <c r="Q28" i="3"/>
  <c r="T27" i="3"/>
  <c r="Z76" i="3"/>
  <c r="AB76" i="3" s="1"/>
  <c r="Z70" i="3"/>
  <c r="AB70" i="3" s="1"/>
  <c r="AB60" i="3"/>
  <c r="Z85" i="3"/>
  <c r="AB85" i="3" s="1"/>
  <c r="AB61" i="3"/>
  <c r="Z97" i="3"/>
  <c r="AB97" i="3" s="1"/>
  <c r="AB48" i="3"/>
  <c r="AB46" i="3"/>
  <c r="Z44" i="3"/>
  <c r="AB44" i="3" s="1"/>
  <c r="Q2" i="3"/>
  <c r="U5" i="3"/>
  <c r="R6" i="3"/>
  <c r="T15" i="3"/>
  <c r="Q16" i="3"/>
  <c r="U17" i="3"/>
  <c r="R18" i="3"/>
  <c r="U3" i="3"/>
  <c r="R4" i="3"/>
  <c r="T8" i="3"/>
  <c r="Q9" i="3"/>
  <c r="U10" i="3"/>
  <c r="R11" i="3"/>
  <c r="T20" i="3"/>
  <c r="R2" i="3"/>
  <c r="T13" i="3"/>
  <c r="Q14" i="3"/>
  <c r="U15" i="3"/>
  <c r="R16" i="3"/>
  <c r="T6" i="3"/>
  <c r="Q7" i="3"/>
  <c r="U8" i="3"/>
  <c r="R9" i="3"/>
  <c r="T18" i="3"/>
  <c r="Q19" i="3"/>
  <c r="U20" i="3"/>
  <c r="T4" i="3"/>
  <c r="T11" i="3"/>
  <c r="Q12" i="3"/>
  <c r="U13" i="3"/>
  <c r="R14" i="3"/>
  <c r="T2" i="3"/>
  <c r="Q5" i="3"/>
  <c r="R7" i="3"/>
  <c r="T16" i="3"/>
  <c r="Q17" i="3"/>
  <c r="S17" i="3" s="1"/>
  <c r="U18" i="3"/>
  <c r="R19" i="3"/>
  <c r="U6" i="3"/>
  <c r="Q3" i="3"/>
  <c r="U4" i="3"/>
  <c r="T9" i="3"/>
  <c r="Q10" i="3"/>
  <c r="U11" i="3"/>
  <c r="R12" i="3"/>
  <c r="U2" i="3"/>
  <c r="R5" i="3"/>
  <c r="T14" i="3"/>
  <c r="Q15" i="3"/>
  <c r="U16" i="3"/>
  <c r="R17" i="3"/>
  <c r="R3" i="3"/>
  <c r="T7" i="3"/>
  <c r="Q8" i="3"/>
  <c r="U9" i="3"/>
  <c r="R10" i="3"/>
  <c r="T19" i="3"/>
  <c r="Q20" i="3"/>
  <c r="T12" i="3"/>
  <c r="Q13" i="3"/>
  <c r="U14" i="3"/>
  <c r="R15" i="3"/>
  <c r="Q6" i="3"/>
  <c r="S6" i="3" s="1"/>
  <c r="U7" i="3"/>
  <c r="R8" i="3"/>
  <c r="T17" i="3"/>
  <c r="Q18" i="3"/>
  <c r="S18" i="3" s="1"/>
  <c r="U19" i="3"/>
  <c r="R20" i="3"/>
  <c r="T5" i="3"/>
  <c r="T3" i="3"/>
  <c r="Q4" i="3"/>
  <c r="T10" i="3"/>
  <c r="Q11" i="3"/>
  <c r="U12" i="3"/>
  <c r="R13" i="3"/>
  <c r="V104" i="3" l="1"/>
  <c r="AC104" i="3" s="1"/>
  <c r="V6" i="5"/>
  <c r="AC6" i="5" s="1"/>
  <c r="S35" i="3"/>
  <c r="V35" i="3" s="1"/>
  <c r="AC35" i="3" s="1"/>
  <c r="S87" i="3"/>
  <c r="V87" i="3" s="1"/>
  <c r="AC87" i="3" s="1"/>
  <c r="S6" i="4"/>
  <c r="V24" i="5"/>
  <c r="AC24" i="5" s="1"/>
  <c r="V7" i="6"/>
  <c r="AC7" i="6" s="1"/>
  <c r="S9" i="6"/>
  <c r="S4" i="7"/>
  <c r="V4" i="7" s="1"/>
  <c r="AC4" i="7" s="1"/>
  <c r="V25" i="7"/>
  <c r="AC25" i="7" s="1"/>
  <c r="V2" i="8"/>
  <c r="V13" i="8"/>
  <c r="AC13" i="8" s="1"/>
  <c r="V19" i="8"/>
  <c r="AC19" i="8" s="1"/>
  <c r="S27" i="7"/>
  <c r="V27" i="7" s="1"/>
  <c r="S41" i="7"/>
  <c r="V41" i="7" s="1"/>
  <c r="AC41" i="7" s="1"/>
  <c r="S39" i="9"/>
  <c r="V39" i="9" s="1"/>
  <c r="AC39" i="9" s="1"/>
  <c r="V44" i="9"/>
  <c r="AC44" i="9" s="1"/>
  <c r="AC46" i="9"/>
  <c r="AC46" i="6"/>
  <c r="S4" i="4"/>
  <c r="V4" i="4" s="1"/>
  <c r="AC4" i="4" s="1"/>
  <c r="S17" i="4"/>
  <c r="S4" i="5"/>
  <c r="V4" i="5" s="1"/>
  <c r="AC4" i="5" s="1"/>
  <c r="S25" i="5"/>
  <c r="V25" i="5" s="1"/>
  <c r="AC25" i="5" s="1"/>
  <c r="S7" i="5"/>
  <c r="S56" i="3"/>
  <c r="S36" i="3"/>
  <c r="S85" i="3"/>
  <c r="V85" i="3" s="1"/>
  <c r="AC85" i="3" s="1"/>
  <c r="S118" i="3"/>
  <c r="S79" i="3"/>
  <c r="V79" i="3" s="1"/>
  <c r="AC79" i="3" s="1"/>
  <c r="S25" i="4"/>
  <c r="S8" i="7"/>
  <c r="V8" i="7" s="1"/>
  <c r="AC8" i="7" s="1"/>
  <c r="S7" i="7"/>
  <c r="S2" i="9"/>
  <c r="S46" i="6"/>
  <c r="V46" i="6" s="1"/>
  <c r="S32" i="6"/>
  <c r="V32" i="6" s="1"/>
  <c r="AC32" i="6" s="1"/>
  <c r="S43" i="8"/>
  <c r="V43" i="8" s="1"/>
  <c r="AC43" i="8" s="1"/>
  <c r="AC26" i="6"/>
  <c r="AC34" i="9"/>
  <c r="S23" i="8"/>
  <c r="V23" i="8" s="1"/>
  <c r="AC23" i="8" s="1"/>
  <c r="V22" i="8"/>
  <c r="AC22" i="8" s="1"/>
  <c r="S43" i="6"/>
  <c r="V43" i="6" s="1"/>
  <c r="AC43" i="6" s="1"/>
  <c r="S40" i="7"/>
  <c r="V40" i="7" s="1"/>
  <c r="AC40" i="7" s="1"/>
  <c r="S33" i="9"/>
  <c r="V33" i="9" s="1"/>
  <c r="AC33" i="9" s="1"/>
  <c r="AC34" i="6"/>
  <c r="S45" i="8"/>
  <c r="S42" i="9"/>
  <c r="V42" i="9" s="1"/>
  <c r="AC42" i="9" s="1"/>
  <c r="AC26" i="5"/>
  <c r="AC29" i="9"/>
  <c r="S119" i="3"/>
  <c r="V119" i="3" s="1"/>
  <c r="AC119" i="3" s="1"/>
  <c r="S15" i="3"/>
  <c r="S19" i="3"/>
  <c r="S107" i="3"/>
  <c r="S10" i="4"/>
  <c r="V10" i="4" s="1"/>
  <c r="S15" i="4"/>
  <c r="S2" i="4"/>
  <c r="S20" i="9"/>
  <c r="V20" i="9" s="1"/>
  <c r="AC20" i="9" s="1"/>
  <c r="S4" i="3"/>
  <c r="V4" i="3" s="1"/>
  <c r="AC4" i="3" s="1"/>
  <c r="S13" i="3"/>
  <c r="V13" i="3" s="1"/>
  <c r="AC13" i="3" s="1"/>
  <c r="V17" i="3"/>
  <c r="AC17" i="3" s="1"/>
  <c r="S23" i="5"/>
  <c r="S27" i="6"/>
  <c r="V27" i="6" s="1"/>
  <c r="AC27" i="6" s="1"/>
  <c r="S30" i="6"/>
  <c r="V30" i="6" s="1"/>
  <c r="AC30" i="6" s="1"/>
  <c r="S28" i="6"/>
  <c r="V28" i="6" s="1"/>
  <c r="AC28" i="6" s="1"/>
  <c r="S39" i="7"/>
  <c r="V39" i="7" s="1"/>
  <c r="AC39" i="7" s="1"/>
  <c r="S42" i="7"/>
  <c r="AC29" i="5"/>
  <c r="AC40" i="6"/>
  <c r="S5" i="3"/>
  <c r="V5" i="3" s="1"/>
  <c r="AC5" i="3" s="1"/>
  <c r="S7" i="3"/>
  <c r="V7" i="3" s="1"/>
  <c r="AC7" i="3" s="1"/>
  <c r="S67" i="3"/>
  <c r="V67" i="3" s="1"/>
  <c r="AC67" i="3" s="1"/>
  <c r="V23" i="3"/>
  <c r="AC23" i="3" s="1"/>
  <c r="V59" i="3"/>
  <c r="AC59" i="3" s="1"/>
  <c r="V96" i="3"/>
  <c r="AC96" i="3" s="1"/>
  <c r="S65" i="3"/>
  <c r="V65" i="3" s="1"/>
  <c r="AC65" i="3" s="1"/>
  <c r="S20" i="7"/>
  <c r="V20" i="7" s="1"/>
  <c r="AC20" i="7" s="1"/>
  <c r="AC38" i="9"/>
  <c r="S21" i="3"/>
  <c r="V21" i="3" s="1"/>
  <c r="AC21" i="3" s="1"/>
  <c r="S57" i="3"/>
  <c r="V57" i="3" s="1"/>
  <c r="AC57" i="3" s="1"/>
  <c r="AC11" i="5"/>
  <c r="AC41" i="9"/>
  <c r="S39" i="3"/>
  <c r="V30" i="3"/>
  <c r="AC30" i="3" s="1"/>
  <c r="S108" i="3"/>
  <c r="V108" i="3" s="1"/>
  <c r="AC108" i="3" s="1"/>
  <c r="S53" i="3"/>
  <c r="V53" i="3" s="1"/>
  <c r="AC53" i="3" s="1"/>
  <c r="V91" i="3"/>
  <c r="AC91" i="3" s="1"/>
  <c r="S110" i="3"/>
  <c r="V110" i="3" s="1"/>
  <c r="AC110" i="3" s="1"/>
  <c r="S16" i="5"/>
  <c r="V16" i="5" s="1"/>
  <c r="AC16" i="5" s="1"/>
  <c r="S8" i="5"/>
  <c r="V8" i="5" s="1"/>
  <c r="AC8" i="5" s="1"/>
  <c r="S17" i="5"/>
  <c r="V17" i="5" s="1"/>
  <c r="AC17" i="5" s="1"/>
  <c r="V16" i="6"/>
  <c r="AC16" i="6" s="1"/>
  <c r="S23" i="6"/>
  <c r="V23" i="6" s="1"/>
  <c r="AC23" i="6" s="1"/>
  <c r="S3" i="6"/>
  <c r="V3" i="6" s="1"/>
  <c r="AC3" i="6" s="1"/>
  <c r="S21" i="6"/>
  <c r="V21" i="6" s="1"/>
  <c r="AC21" i="6" s="1"/>
  <c r="V16" i="7"/>
  <c r="AC16" i="7" s="1"/>
  <c r="S22" i="7"/>
  <c r="V22" i="7" s="1"/>
  <c r="AC22" i="7" s="1"/>
  <c r="S19" i="7"/>
  <c r="S8" i="8"/>
  <c r="V8" i="8" s="1"/>
  <c r="AC8" i="8" s="1"/>
  <c r="S16" i="9"/>
  <c r="V16" i="9" s="1"/>
  <c r="AC16" i="9" s="1"/>
  <c r="S12" i="9"/>
  <c r="V12" i="9" s="1"/>
  <c r="AC12" i="9" s="1"/>
  <c r="S38" i="6"/>
  <c r="S47" i="8"/>
  <c r="V47" i="8" s="1"/>
  <c r="AC47" i="8" s="1"/>
  <c r="AC46" i="8"/>
  <c r="S27" i="8"/>
  <c r="V27" i="8" s="1"/>
  <c r="AC27" i="8" s="1"/>
  <c r="S37" i="8"/>
  <c r="V37" i="8" s="1"/>
  <c r="AC37" i="8" s="1"/>
  <c r="S5" i="8"/>
  <c r="V5" i="8" s="1"/>
  <c r="AC5" i="8" s="1"/>
  <c r="V14" i="8"/>
  <c r="AC14" i="8" s="1"/>
  <c r="S7" i="9"/>
  <c r="V7" i="9" s="1"/>
  <c r="AC7" i="9" s="1"/>
  <c r="V32" i="7"/>
  <c r="AC32" i="7" s="1"/>
  <c r="V28" i="7"/>
  <c r="AC28" i="7" s="1"/>
  <c r="V31" i="8"/>
  <c r="AC31" i="8" s="1"/>
  <c r="AC27" i="7"/>
  <c r="AC26" i="8"/>
  <c r="S21" i="9"/>
  <c r="V21" i="9" s="1"/>
  <c r="AC21" i="9" s="1"/>
  <c r="S26" i="7"/>
  <c r="V26" i="7" s="1"/>
  <c r="AC26" i="7" s="1"/>
  <c r="S35" i="7"/>
  <c r="V35" i="7" s="1"/>
  <c r="AC35" i="7" s="1"/>
  <c r="S44" i="7"/>
  <c r="V44" i="7" s="1"/>
  <c r="AC44" i="7" s="1"/>
  <c r="S48" i="8"/>
  <c r="V48" i="8" s="1"/>
  <c r="AC48" i="8" s="1"/>
  <c r="AC38" i="6"/>
  <c r="AC34" i="8"/>
  <c r="V35" i="9"/>
  <c r="AC35" i="9" s="1"/>
  <c r="S28" i="9"/>
  <c r="V28" i="9" s="1"/>
  <c r="AC28" i="9" s="1"/>
  <c r="S46" i="9"/>
  <c r="V46" i="9" s="1"/>
  <c r="S43" i="9"/>
  <c r="V43" i="9" s="1"/>
  <c r="AC43" i="9" s="1"/>
  <c r="S29" i="9"/>
  <c r="V29" i="9" s="1"/>
  <c r="V26" i="9"/>
  <c r="AC26" i="9" s="1"/>
  <c r="V37" i="9"/>
  <c r="AC37" i="9" s="1"/>
  <c r="S47" i="9"/>
  <c r="V47" i="9" s="1"/>
  <c r="AC47" i="9" s="1"/>
  <c r="S27" i="9"/>
  <c r="V27" i="9" s="1"/>
  <c r="AC27" i="9" s="1"/>
  <c r="S32" i="9"/>
  <c r="V32" i="9" s="1"/>
  <c r="AC32" i="9" s="1"/>
  <c r="S40" i="9"/>
  <c r="V40" i="9" s="1"/>
  <c r="AC40" i="9" s="1"/>
  <c r="S34" i="9"/>
  <c r="V34" i="9" s="1"/>
  <c r="S41" i="9"/>
  <c r="V41" i="9" s="1"/>
  <c r="V36" i="9"/>
  <c r="AC36" i="9" s="1"/>
  <c r="S30" i="9"/>
  <c r="V30" i="9" s="1"/>
  <c r="AC30" i="9" s="1"/>
  <c r="V33" i="8"/>
  <c r="AC33" i="8" s="1"/>
  <c r="S39" i="8"/>
  <c r="V39" i="8" s="1"/>
  <c r="AC39" i="8" s="1"/>
  <c r="S42" i="8"/>
  <c r="V42" i="8" s="1"/>
  <c r="AC42" i="8" s="1"/>
  <c r="S38" i="8"/>
  <c r="V38" i="8" s="1"/>
  <c r="AC38" i="8" s="1"/>
  <c r="S40" i="8"/>
  <c r="V40" i="8" s="1"/>
  <c r="AC40" i="8" s="1"/>
  <c r="S30" i="8"/>
  <c r="V30" i="8" s="1"/>
  <c r="AC30" i="8" s="1"/>
  <c r="S44" i="8"/>
  <c r="V44" i="8" s="1"/>
  <c r="AC44" i="8" s="1"/>
  <c r="S26" i="8"/>
  <c r="V26" i="8" s="1"/>
  <c r="S35" i="8"/>
  <c r="V35" i="8" s="1"/>
  <c r="AC35" i="8" s="1"/>
  <c r="S34" i="8"/>
  <c r="V34" i="8" s="1"/>
  <c r="S29" i="8"/>
  <c r="V29" i="8" s="1"/>
  <c r="AC29" i="8" s="1"/>
  <c r="S46" i="8"/>
  <c r="V46" i="8" s="1"/>
  <c r="S41" i="8"/>
  <c r="V41" i="8" s="1"/>
  <c r="AC41" i="8" s="1"/>
  <c r="S49" i="8"/>
  <c r="V49" i="8" s="1"/>
  <c r="AC49" i="8" s="1"/>
  <c r="V45" i="8"/>
  <c r="AC45" i="8" s="1"/>
  <c r="S36" i="8"/>
  <c r="V36" i="8" s="1"/>
  <c r="AC36" i="8" s="1"/>
  <c r="S32" i="8"/>
  <c r="V32" i="8" s="1"/>
  <c r="AC32" i="8" s="1"/>
  <c r="S28" i="8"/>
  <c r="V28" i="8" s="1"/>
  <c r="AC28" i="8" s="1"/>
  <c r="V29" i="7"/>
  <c r="AC29" i="7" s="1"/>
  <c r="V34" i="7"/>
  <c r="AC34" i="7" s="1"/>
  <c r="S45" i="7"/>
  <c r="V45" i="7" s="1"/>
  <c r="AC45" i="7" s="1"/>
  <c r="S47" i="7"/>
  <c r="V47" i="7" s="1"/>
  <c r="AC47" i="7" s="1"/>
  <c r="S46" i="7"/>
  <c r="V46" i="7" s="1"/>
  <c r="AC46" i="7" s="1"/>
  <c r="S31" i="7"/>
  <c r="V31" i="7" s="1"/>
  <c r="AC31" i="7" s="1"/>
  <c r="S30" i="7"/>
  <c r="V30" i="7" s="1"/>
  <c r="AC30" i="7" s="1"/>
  <c r="V42" i="7"/>
  <c r="AC42" i="7" s="1"/>
  <c r="V37" i="7"/>
  <c r="AC37" i="7" s="1"/>
  <c r="S38" i="7"/>
  <c r="V38" i="7" s="1"/>
  <c r="AC38" i="7" s="1"/>
  <c r="V33" i="7"/>
  <c r="AC33" i="7" s="1"/>
  <c r="S36" i="7"/>
  <c r="V36" i="7" s="1"/>
  <c r="AC36" i="7" s="1"/>
  <c r="S48" i="7"/>
  <c r="V48" i="7" s="1"/>
  <c r="AC48" i="7" s="1"/>
  <c r="S43" i="7"/>
  <c r="V43" i="7" s="1"/>
  <c r="AC43" i="7" s="1"/>
  <c r="S51" i="6"/>
  <c r="V51" i="6" s="1"/>
  <c r="AC51" i="6" s="1"/>
  <c r="S50" i="6"/>
  <c r="V50" i="6" s="1"/>
  <c r="AC50" i="6" s="1"/>
  <c r="S48" i="6"/>
  <c r="V48" i="6" s="1"/>
  <c r="AC48" i="6" s="1"/>
  <c r="V39" i="6"/>
  <c r="AC39" i="6" s="1"/>
  <c r="V33" i="6"/>
  <c r="AC33" i="6" s="1"/>
  <c r="V38" i="6"/>
  <c r="V35" i="6"/>
  <c r="AC35" i="6" s="1"/>
  <c r="V42" i="6"/>
  <c r="AC42" i="6" s="1"/>
  <c r="S37" i="6"/>
  <c r="V37" i="6" s="1"/>
  <c r="AC37" i="6" s="1"/>
  <c r="S36" i="6"/>
  <c r="V36" i="6" s="1"/>
  <c r="AC36" i="6" s="1"/>
  <c r="S31" i="6"/>
  <c r="V31" i="6" s="1"/>
  <c r="AC31" i="6" s="1"/>
  <c r="S45" i="6"/>
  <c r="V45" i="6" s="1"/>
  <c r="AC45" i="6" s="1"/>
  <c r="S47" i="6"/>
  <c r="V47" i="6" s="1"/>
  <c r="AC47" i="6" s="1"/>
  <c r="S29" i="6"/>
  <c r="V29" i="6" s="1"/>
  <c r="AC29" i="6" s="1"/>
  <c r="V27" i="5"/>
  <c r="AC27" i="5" s="1"/>
  <c r="S26" i="5"/>
  <c r="V26" i="5" s="1"/>
  <c r="S30" i="5"/>
  <c r="V30" i="5" s="1"/>
  <c r="AC30" i="5" s="1"/>
  <c r="S29" i="5"/>
  <c r="V29" i="5" s="1"/>
  <c r="S28" i="5"/>
  <c r="V28" i="5" s="1"/>
  <c r="AC28" i="5" s="1"/>
  <c r="AC18" i="4"/>
  <c r="V19" i="9"/>
  <c r="AC19" i="9" s="1"/>
  <c r="S6" i="9"/>
  <c r="V6" i="9" s="1"/>
  <c r="AC6" i="9" s="1"/>
  <c r="V2" i="9"/>
  <c r="S17" i="9"/>
  <c r="V17" i="9" s="1"/>
  <c r="AC17" i="9" s="1"/>
  <c r="S14" i="9"/>
  <c r="V14" i="9" s="1"/>
  <c r="S15" i="9"/>
  <c r="V15" i="9" s="1"/>
  <c r="AC15" i="9" s="1"/>
  <c r="V11" i="9"/>
  <c r="AC11" i="9" s="1"/>
  <c r="S24" i="9"/>
  <c r="V24" i="9" s="1"/>
  <c r="AC24" i="9" s="1"/>
  <c r="S9" i="9"/>
  <c r="V9" i="9" s="1"/>
  <c r="AC9" i="9" s="1"/>
  <c r="S3" i="9"/>
  <c r="V3" i="9" s="1"/>
  <c r="AC3" i="9" s="1"/>
  <c r="S23" i="9"/>
  <c r="V23" i="9" s="1"/>
  <c r="AC23" i="9" s="1"/>
  <c r="V4" i="9"/>
  <c r="AC4" i="9" s="1"/>
  <c r="S13" i="9"/>
  <c r="V13" i="9" s="1"/>
  <c r="AC13" i="9" s="1"/>
  <c r="S8" i="9"/>
  <c r="V8" i="9" s="1"/>
  <c r="AC8" i="9" s="1"/>
  <c r="S5" i="9"/>
  <c r="V5" i="9" s="1"/>
  <c r="AC5" i="9" s="1"/>
  <c r="AC2" i="8"/>
  <c r="S10" i="8"/>
  <c r="V10" i="8" s="1"/>
  <c r="AC10" i="8" s="1"/>
  <c r="S21" i="8"/>
  <c r="V21" i="8" s="1"/>
  <c r="AC21" i="8" s="1"/>
  <c r="S24" i="8"/>
  <c r="V24" i="8" s="1"/>
  <c r="AC24" i="8" s="1"/>
  <c r="S3" i="8"/>
  <c r="V3" i="8" s="1"/>
  <c r="AC3" i="8" s="1"/>
  <c r="S15" i="8"/>
  <c r="V15" i="8" s="1"/>
  <c r="AC15" i="8" s="1"/>
  <c r="S7" i="8"/>
  <c r="V7" i="8" s="1"/>
  <c r="AC7" i="8" s="1"/>
  <c r="S16" i="8"/>
  <c r="V16" i="8" s="1"/>
  <c r="AC16" i="8" s="1"/>
  <c r="S18" i="8"/>
  <c r="V18" i="8" s="1"/>
  <c r="AC18" i="8" s="1"/>
  <c r="S20" i="8"/>
  <c r="V20" i="8" s="1"/>
  <c r="AC20" i="8" s="1"/>
  <c r="S11" i="8"/>
  <c r="V11" i="8" s="1"/>
  <c r="AC11" i="8" s="1"/>
  <c r="S6" i="8"/>
  <c r="V6" i="8" s="1"/>
  <c r="AC6" i="8" s="1"/>
  <c r="S17" i="8"/>
  <c r="V17" i="8" s="1"/>
  <c r="AC17" i="8" s="1"/>
  <c r="S12" i="8"/>
  <c r="V12" i="8" s="1"/>
  <c r="AC12" i="8" s="1"/>
  <c r="S9" i="8"/>
  <c r="V9" i="8" s="1"/>
  <c r="AC9" i="8" s="1"/>
  <c r="V15" i="7"/>
  <c r="AC15" i="7" s="1"/>
  <c r="S10" i="7"/>
  <c r="V10" i="7" s="1"/>
  <c r="AC10" i="7" s="1"/>
  <c r="V6" i="7"/>
  <c r="AC6" i="7" s="1"/>
  <c r="V7" i="7"/>
  <c r="AC7" i="7" s="1"/>
  <c r="V19" i="7"/>
  <c r="AC19" i="7" s="1"/>
  <c r="S9" i="7"/>
  <c r="V9" i="7" s="1"/>
  <c r="AC9" i="7" s="1"/>
  <c r="S24" i="7"/>
  <c r="V24" i="7" s="1"/>
  <c r="AC24" i="7" s="1"/>
  <c r="S2" i="7"/>
  <c r="V2" i="7" s="1"/>
  <c r="W2" i="7" s="1"/>
  <c r="S13" i="7"/>
  <c r="V13" i="7" s="1"/>
  <c r="AC13" i="7" s="1"/>
  <c r="S18" i="7"/>
  <c r="V18" i="7" s="1"/>
  <c r="AC18" i="7" s="1"/>
  <c r="S17" i="7"/>
  <c r="V17" i="7" s="1"/>
  <c r="AC17" i="7" s="1"/>
  <c r="S23" i="7"/>
  <c r="V23" i="7" s="1"/>
  <c r="AC23" i="7" s="1"/>
  <c r="S21" i="7"/>
  <c r="V21" i="7" s="1"/>
  <c r="AC21" i="7" s="1"/>
  <c r="S12" i="7"/>
  <c r="V12" i="7" s="1"/>
  <c r="AC12" i="7" s="1"/>
  <c r="S3" i="7"/>
  <c r="V3" i="7" s="1"/>
  <c r="AC3" i="7" s="1"/>
  <c r="S14" i="7"/>
  <c r="V14" i="7" s="1"/>
  <c r="AC14" i="7" s="1"/>
  <c r="S2" i="6"/>
  <c r="V2" i="6" s="1"/>
  <c r="S11" i="6"/>
  <c r="V11" i="6" s="1"/>
  <c r="AC11" i="6" s="1"/>
  <c r="S20" i="6"/>
  <c r="V20" i="6" s="1"/>
  <c r="AC20" i="6" s="1"/>
  <c r="S19" i="6"/>
  <c r="V19" i="6" s="1"/>
  <c r="AC19" i="6" s="1"/>
  <c r="V9" i="6"/>
  <c r="AC9" i="6" s="1"/>
  <c r="S17" i="6"/>
  <c r="V17" i="6" s="1"/>
  <c r="AC17" i="6" s="1"/>
  <c r="S18" i="6"/>
  <c r="V18" i="6" s="1"/>
  <c r="AC18" i="6" s="1"/>
  <c r="V12" i="6"/>
  <c r="AC12" i="6" s="1"/>
  <c r="S13" i="6"/>
  <c r="V13" i="6" s="1"/>
  <c r="AC13" i="6" s="1"/>
  <c r="S15" i="6"/>
  <c r="V15" i="6" s="1"/>
  <c r="AC15" i="6" s="1"/>
  <c r="S24" i="6"/>
  <c r="V24" i="6" s="1"/>
  <c r="AC24" i="6" s="1"/>
  <c r="S8" i="6"/>
  <c r="V8" i="6" s="1"/>
  <c r="AC8" i="6" s="1"/>
  <c r="S22" i="6"/>
  <c r="V22" i="6" s="1"/>
  <c r="AC22" i="6" s="1"/>
  <c r="S4" i="6"/>
  <c r="V4" i="6" s="1"/>
  <c r="AC4" i="6" s="1"/>
  <c r="S6" i="6"/>
  <c r="V6" i="6" s="1"/>
  <c r="AC6" i="6" s="1"/>
  <c r="S25" i="6"/>
  <c r="V25" i="6" s="1"/>
  <c r="AC25" i="6" s="1"/>
  <c r="S10" i="6"/>
  <c r="V10" i="6" s="1"/>
  <c r="AC10" i="6" s="1"/>
  <c r="S5" i="6"/>
  <c r="V5" i="6" s="1"/>
  <c r="AC5" i="6" s="1"/>
  <c r="S14" i="6"/>
  <c r="V14" i="6" s="1"/>
  <c r="AC14" i="6" s="1"/>
  <c r="S9" i="5"/>
  <c r="V9" i="5" s="1"/>
  <c r="AC9" i="5" s="1"/>
  <c r="V22" i="5"/>
  <c r="AC22" i="5" s="1"/>
  <c r="S10" i="5"/>
  <c r="V10" i="5" s="1"/>
  <c r="AC10" i="5" s="1"/>
  <c r="S5" i="5"/>
  <c r="V5" i="5" s="1"/>
  <c r="AC5" i="5" s="1"/>
  <c r="S14" i="5"/>
  <c r="V14" i="5" s="1"/>
  <c r="AC14" i="5" s="1"/>
  <c r="V23" i="5"/>
  <c r="AC23" i="5" s="1"/>
  <c r="S18" i="5"/>
  <c r="V18" i="5" s="1"/>
  <c r="AC18" i="5" s="1"/>
  <c r="S2" i="5"/>
  <c r="V2" i="5" s="1"/>
  <c r="S12" i="5"/>
  <c r="V12" i="5" s="1"/>
  <c r="AC12" i="5" s="1"/>
  <c r="S20" i="5"/>
  <c r="V20" i="5" s="1"/>
  <c r="AC20" i="5" s="1"/>
  <c r="S15" i="5"/>
  <c r="V15" i="5" s="1"/>
  <c r="AC15" i="5" s="1"/>
  <c r="S13" i="5"/>
  <c r="V13" i="5" s="1"/>
  <c r="AC13" i="5" s="1"/>
  <c r="V7" i="5"/>
  <c r="AC7" i="5" s="1"/>
  <c r="S3" i="5"/>
  <c r="V3" i="5" s="1"/>
  <c r="AC3" i="5" s="1"/>
  <c r="S19" i="5"/>
  <c r="V19" i="5" s="1"/>
  <c r="AC19" i="5" s="1"/>
  <c r="V15" i="4"/>
  <c r="AC15" i="4" s="1"/>
  <c r="V2" i="4"/>
  <c r="AC10" i="4"/>
  <c r="S24" i="4"/>
  <c r="V24" i="4" s="1"/>
  <c r="AC24" i="4" s="1"/>
  <c r="V6" i="4"/>
  <c r="AC6" i="4" s="1"/>
  <c r="S3" i="4"/>
  <c r="V3" i="4" s="1"/>
  <c r="AC3" i="4" s="1"/>
  <c r="V17" i="4"/>
  <c r="AC17" i="4" s="1"/>
  <c r="V12" i="4"/>
  <c r="AC12" i="4" s="1"/>
  <c r="V7" i="4"/>
  <c r="AC7" i="4" s="1"/>
  <c r="V25" i="4"/>
  <c r="AC25" i="4" s="1"/>
  <c r="S14" i="4"/>
  <c r="V14" i="4" s="1"/>
  <c r="AC14" i="4" s="1"/>
  <c r="S8" i="4"/>
  <c r="V8" i="4" s="1"/>
  <c r="AC8" i="4" s="1"/>
  <c r="S20" i="4"/>
  <c r="V20" i="4" s="1"/>
  <c r="AC20" i="4" s="1"/>
  <c r="S11" i="4"/>
  <c r="V11" i="4" s="1"/>
  <c r="AC11" i="4" s="1"/>
  <c r="V13" i="4"/>
  <c r="AC13" i="4" s="1"/>
  <c r="S21" i="4"/>
  <c r="V21" i="4" s="1"/>
  <c r="AC21" i="4" s="1"/>
  <c r="S22" i="4"/>
  <c r="V22" i="4" s="1"/>
  <c r="AC22" i="4" s="1"/>
  <c r="S9" i="4"/>
  <c r="V9" i="4" s="1"/>
  <c r="AC9" i="4" s="1"/>
  <c r="S5" i="4"/>
  <c r="V5" i="4" s="1"/>
  <c r="AC5" i="4" s="1"/>
  <c r="S19" i="4"/>
  <c r="V19" i="4" s="1"/>
  <c r="AC19" i="4" s="1"/>
  <c r="S16" i="4"/>
  <c r="V16" i="4" s="1"/>
  <c r="AC16" i="4" s="1"/>
  <c r="V23" i="4"/>
  <c r="AC23" i="4" s="1"/>
  <c r="S48" i="3"/>
  <c r="V48" i="3" s="1"/>
  <c r="AC48" i="3" s="1"/>
  <c r="S27" i="3"/>
  <c r="V27" i="3" s="1"/>
  <c r="AC27" i="3" s="1"/>
  <c r="S25" i="3"/>
  <c r="V25" i="3" s="1"/>
  <c r="AC25" i="3" s="1"/>
  <c r="V61" i="3"/>
  <c r="AC61" i="3" s="1"/>
  <c r="AC97" i="3"/>
  <c r="S99" i="3"/>
  <c r="V99" i="3" s="1"/>
  <c r="AC99" i="3" s="1"/>
  <c r="V40" i="3"/>
  <c r="AC40" i="3" s="1"/>
  <c r="V41" i="3"/>
  <c r="AC41" i="3" s="1"/>
  <c r="S46" i="3"/>
  <c r="V46" i="3" s="1"/>
  <c r="AC46" i="3" s="1"/>
  <c r="V98" i="3"/>
  <c r="AC98" i="3" s="1"/>
  <c r="V52" i="3"/>
  <c r="AC52" i="3" s="1"/>
  <c r="V38" i="3"/>
  <c r="AC38" i="3" s="1"/>
  <c r="S74" i="3"/>
  <c r="V74" i="3" s="1"/>
  <c r="AC74" i="3" s="1"/>
  <c r="S22" i="3"/>
  <c r="V22" i="3" s="1"/>
  <c r="AC22" i="3" s="1"/>
  <c r="S58" i="3"/>
  <c r="V58" i="3" s="1"/>
  <c r="AC58" i="3" s="1"/>
  <c r="S106" i="3"/>
  <c r="V106" i="3" s="1"/>
  <c r="AC106" i="3" s="1"/>
  <c r="S94" i="3"/>
  <c r="V94" i="3" s="1"/>
  <c r="AC94" i="3" s="1"/>
  <c r="S80" i="3"/>
  <c r="V80" i="3" s="1"/>
  <c r="AC80" i="3" s="1"/>
  <c r="S43" i="3"/>
  <c r="V43" i="3" s="1"/>
  <c r="AC43" i="3" s="1"/>
  <c r="V56" i="3"/>
  <c r="AC56" i="3" s="1"/>
  <c r="S63" i="3"/>
  <c r="V63" i="3" s="1"/>
  <c r="AC63" i="3" s="1"/>
  <c r="V114" i="3"/>
  <c r="AC114" i="3" s="1"/>
  <c r="V112" i="3"/>
  <c r="AC112" i="3" s="1"/>
  <c r="S33" i="3"/>
  <c r="V33" i="3" s="1"/>
  <c r="AC33" i="3" s="1"/>
  <c r="S69" i="3"/>
  <c r="V69" i="3" s="1"/>
  <c r="AC69" i="3" s="1"/>
  <c r="S113" i="3"/>
  <c r="V113" i="3" s="1"/>
  <c r="AC113" i="3" s="1"/>
  <c r="S116" i="3"/>
  <c r="V116" i="3" s="1"/>
  <c r="AC116" i="3" s="1"/>
  <c r="S102" i="3"/>
  <c r="V102" i="3" s="1"/>
  <c r="AC102" i="3" s="1"/>
  <c r="V36" i="3"/>
  <c r="AC36" i="3" s="1"/>
  <c r="S42" i="3"/>
  <c r="V42" i="3" s="1"/>
  <c r="AC42" i="3" s="1"/>
  <c r="V118" i="3"/>
  <c r="AC118" i="3" s="1"/>
  <c r="S84" i="3"/>
  <c r="V84" i="3" s="1"/>
  <c r="AC84" i="3" s="1"/>
  <c r="V24" i="3"/>
  <c r="AC24" i="3" s="1"/>
  <c r="S28" i="3"/>
  <c r="V28" i="3" s="1"/>
  <c r="AC28" i="3" s="1"/>
  <c r="S64" i="3"/>
  <c r="V64" i="3" s="1"/>
  <c r="AC64" i="3" s="1"/>
  <c r="S50" i="3"/>
  <c r="V50" i="3" s="1"/>
  <c r="AC50" i="3" s="1"/>
  <c r="S86" i="3"/>
  <c r="V86" i="3" s="1"/>
  <c r="AC86" i="3" s="1"/>
  <c r="S29" i="3"/>
  <c r="V29" i="3" s="1"/>
  <c r="AC29" i="3" s="1"/>
  <c r="S34" i="3"/>
  <c r="V34" i="3" s="1"/>
  <c r="AC34" i="3" s="1"/>
  <c r="S70" i="3"/>
  <c r="V70" i="3" s="1"/>
  <c r="AC70" i="3" s="1"/>
  <c r="S72" i="3"/>
  <c r="V72" i="3" s="1"/>
  <c r="AC72" i="3" s="1"/>
  <c r="S75" i="3"/>
  <c r="V75" i="3" s="1"/>
  <c r="AC75" i="3" s="1"/>
  <c r="S109" i="3"/>
  <c r="V109" i="3" s="1"/>
  <c r="AC109" i="3" s="1"/>
  <c r="S115" i="3"/>
  <c r="V115" i="3" s="1"/>
  <c r="AC115" i="3" s="1"/>
  <c r="V39" i="3"/>
  <c r="AC39" i="3" s="1"/>
  <c r="V77" i="3"/>
  <c r="AC77" i="3" s="1"/>
  <c r="S49" i="3"/>
  <c r="V49" i="3" s="1"/>
  <c r="AC49" i="3" s="1"/>
  <c r="S55" i="3"/>
  <c r="V55" i="3" s="1"/>
  <c r="AC55" i="3" s="1"/>
  <c r="S32" i="3"/>
  <c r="V32" i="3" s="1"/>
  <c r="AC32" i="3" s="1"/>
  <c r="V68" i="3"/>
  <c r="AC68" i="3" s="1"/>
  <c r="S47" i="3"/>
  <c r="V47" i="3" s="1"/>
  <c r="AC47" i="3" s="1"/>
  <c r="S78" i="3"/>
  <c r="V78" i="3" s="1"/>
  <c r="AC78" i="3" s="1"/>
  <c r="V107" i="3"/>
  <c r="AC107" i="3" s="1"/>
  <c r="S89" i="3"/>
  <c r="V89" i="3" s="1"/>
  <c r="AC89" i="3" s="1"/>
  <c r="S120" i="3"/>
  <c r="V120" i="3" s="1"/>
  <c r="AC120" i="3" s="1"/>
  <c r="V60" i="3"/>
  <c r="AC60" i="3" s="1"/>
  <c r="V37" i="3"/>
  <c r="AC37" i="3" s="1"/>
  <c r="V73" i="3"/>
  <c r="AC73" i="3" s="1"/>
  <c r="S103" i="3"/>
  <c r="V103" i="3" s="1"/>
  <c r="AC103" i="3" s="1"/>
  <c r="S45" i="3"/>
  <c r="V45" i="3" s="1"/>
  <c r="AC45" i="3" s="1"/>
  <c r="S81" i="3"/>
  <c r="V81" i="3" s="1"/>
  <c r="AC81" i="3" s="1"/>
  <c r="S90" i="3"/>
  <c r="V90" i="3" s="1"/>
  <c r="AC90" i="3" s="1"/>
  <c r="V82" i="3"/>
  <c r="AC82" i="3" s="1"/>
  <c r="V111" i="3"/>
  <c r="AC111" i="3" s="1"/>
  <c r="S100" i="3"/>
  <c r="V100" i="3" s="1"/>
  <c r="AC100" i="3" s="1"/>
  <c r="V117" i="3"/>
  <c r="AC117" i="3" s="1"/>
  <c r="S9" i="3"/>
  <c r="V9" i="3" s="1"/>
  <c r="AC9" i="3" s="1"/>
  <c r="S20" i="3"/>
  <c r="V20" i="3" s="1"/>
  <c r="AC20" i="3" s="1"/>
  <c r="V18" i="3"/>
  <c r="AC18" i="3" s="1"/>
  <c r="S10" i="3"/>
  <c r="V10" i="3" s="1"/>
  <c r="AC10" i="3" s="1"/>
  <c r="S8" i="3"/>
  <c r="V8" i="3" s="1"/>
  <c r="AC8" i="3" s="1"/>
  <c r="S12" i="3"/>
  <c r="V12" i="3" s="1"/>
  <c r="AC12" i="3" s="1"/>
  <c r="S14" i="3"/>
  <c r="V14" i="3" s="1"/>
  <c r="AC14" i="3" s="1"/>
  <c r="S16" i="3"/>
  <c r="V16" i="3" s="1"/>
  <c r="AC16" i="3" s="1"/>
  <c r="S3" i="3"/>
  <c r="V3" i="3" s="1"/>
  <c r="AC3" i="3" s="1"/>
  <c r="V6" i="3"/>
  <c r="AC6" i="3" s="1"/>
  <c r="S11" i="3"/>
  <c r="V11" i="3" s="1"/>
  <c r="AC11" i="3" s="1"/>
  <c r="V15" i="3"/>
  <c r="AC15" i="3" s="1"/>
  <c r="V19" i="3"/>
  <c r="AC19" i="3" s="1"/>
  <c r="S2" i="3"/>
  <c r="V2" i="3" s="1"/>
  <c r="W2" i="6" l="1"/>
  <c r="W2" i="3"/>
  <c r="AC14" i="9"/>
  <c r="W4" i="9" s="1"/>
  <c r="W2" i="9"/>
  <c r="W2" i="8"/>
  <c r="W2" i="5"/>
  <c r="W4" i="4"/>
  <c r="W2" i="4"/>
  <c r="W4" i="8"/>
  <c r="AC2" i="9"/>
  <c r="AC2" i="7"/>
  <c r="W4" i="7" s="1"/>
  <c r="AC2" i="6"/>
  <c r="W4" i="6" s="1"/>
  <c r="AC2" i="5"/>
  <c r="W4" i="5" s="1"/>
  <c r="AC2" i="4"/>
  <c r="AC2" i="3"/>
  <c r="W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CD2A4E-16ED-B740-A9A0-F8F3606A549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19D6D19B-9E74-874B-B736-33E1010F5DEA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4049E72E-EB93-B24D-A845-298D63B22F2A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3EDDCDD6-61F3-6A4D-9FF6-CDE947B017B0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FE744FCE-5948-DA4E-B445-A3DB19F59B64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4E346387-49FF-5B4B-8C14-DAB3E7488A83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DEE6CEB1-7457-4145-BC04-46AB4CC2E907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<sst xmlns="http://schemas.openxmlformats.org/spreadsheetml/2006/main" count="215" uniqueCount="35">
  <si>
    <t>Velocity (m/s)</t>
  </si>
  <si>
    <t>Q_steady (W)</t>
  </si>
  <si>
    <t>Uncertainty ±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</si>
  <si>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</si>
  <si>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</si>
  <si>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</si>
  <si>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</si>
  <si>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</si>
  <si>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</si>
  <si>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</si>
  <si>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</si>
  <si>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</si>
  <si>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</si>
  <si>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</si>
  <si>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</si>
  <si>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</si>
  <si>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</si>
  <si>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</si>
  <si>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44675.0351948635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</si>
  <si>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</si>
  <si>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</si>
  <si>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</si>
  <si>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</si>
  <si>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</si>
  <si>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</si>
  <si>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</si>
  <si>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</si>
  <si>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RTD_IN_unc</t>
  </si>
  <si>
    <t>RTD_OUT_unc</t>
  </si>
  <si>
    <t>RTD_unc</t>
  </si>
  <si>
    <t>Delta_RTD</t>
  </si>
  <si>
    <t>Rel_unc</t>
  </si>
  <si>
    <t>ABS_unc</t>
  </si>
  <si>
    <t>uncertainty of average steady state Q</t>
  </si>
  <si>
    <t>44675.0282411598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</si>
</sst>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0" fillId="0" borderId="0" xfId="0" applyNumberFormat="1"/>
  </cellXfs>
  <cellStyles count="1">
    <cellStyle name="Normal" xfId="0" builtinId="0"/>
  </cellStyles>
  <dxfs count="1">
    <dxf>
      <numFmt numFmtId="27" formatCode="m/d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E727A0-3773-E64A-AE20-8879DD93618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0D8670-3117-064D-AD3D-6B86B39031E4}" autoFormatId="16" applyNumberFormats="0" applyBorderFormats="0" applyFontFormats="0" applyPatternFormats="0" applyAlignmentFormats="0" applyWidthHeightFormats="0">
  <queryTableRefresh nextId="17">
    <queryTableFields count="16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  <queryTableField id="16" name="Column16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6E22B13-0EDB-864E-898F-61A0B509525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A966B4C-6B44-8545-B560-2D8A8AF5F43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6AFB825-0CDC-B04D-888B-0F600270EDB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12E3820-C0B5-B44D-B96E-0A70833D374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3427946-2B72-CA49-A019-E15471A7FA2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CF7A3-DC83-2C4E-9852-A165C321720D}" name="sheet1" displayName="sheet1" ref="A1:O120" tableType="queryTable" totalsRowShown="0">
  <autoFilter ref="A1:O120" xr:uid="{3A9CF7A3-DC83-2C4E-9852-A165C321720D}"/>
  <tableColumns count="15">
    <tableColumn id="1" xr3:uid="{B4722DEF-2945-AC45-8FE8-CC9EFB5A7831}" uniqueName="1" name="Time" queryTableFieldId="1"/>
    <tableColumn id="2" xr3:uid="{3FFB38EB-D5DD-FE44-B7F8-CAF8E5A48511}" uniqueName="2" name="T1" queryTableFieldId="2"/>
    <tableColumn id="3" xr3:uid="{867851F1-E968-1C47-8A3A-823C1BAE85B7}" uniqueName="3" name="T2" queryTableFieldId="3"/>
    <tableColumn id="4" xr3:uid="{47C0F984-6727-5645-AB33-15D1B64552F1}" uniqueName="4" name="T3" queryTableFieldId="4"/>
    <tableColumn id="5" xr3:uid="{F42A4174-02F1-D74F-B3CB-AD0F1E1877C0}" uniqueName="5" name="T4" queryTableFieldId="5"/>
    <tableColumn id="6" xr3:uid="{7F1C36BE-45F6-4147-9CE2-AA916BA6214A}" uniqueName="6" name="T5" queryTableFieldId="6"/>
    <tableColumn id="7" xr3:uid="{6384EA7D-D336-094C-B7B2-4DDDA0D2EAC4}" uniqueName="7" name="T6" queryTableFieldId="7"/>
    <tableColumn id="8" xr3:uid="{9CFD6F67-5AA1-FE4E-BCAC-12873D2CE51A}" uniqueName="8" name="T7" queryTableFieldId="8"/>
    <tableColumn id="9" xr3:uid="{DF1AB9B8-75DD-D746-90D3-6F31BC333413}" uniqueName="9" name="T8" queryTableFieldId="9"/>
    <tableColumn id="10" xr3:uid="{67DC8FCC-4E99-C048-8470-A87462D528AB}" uniqueName="10" name="RTD_IN" queryTableFieldId="10"/>
    <tableColumn id="11" xr3:uid="{2E305CDF-D869-1949-BD47-251B7AE86337}" uniqueName="11" name="RTD_OUT" queryTableFieldId="11"/>
    <tableColumn id="12" xr3:uid="{6AF750DA-8A85-E640-A272-16E7AEA0BDDC}" uniqueName="12" name="DPT_TS" queryTableFieldId="12"/>
    <tableColumn id="13" xr3:uid="{F38285D8-D997-394A-9759-71928762BE34}" uniqueName="13" name="DPT_nozzle" queryTableFieldId="13"/>
    <tableColumn id="14" xr3:uid="{E2FE6ABC-903D-4D43-9D83-9C8F88282352}" uniqueName="14" name="Flow_gps" queryTableFieldId="14"/>
    <tableColumn id="15" xr3:uid="{3BE9901F-B065-4B47-A9C5-923BCA761401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1F60CC-12D9-B74C-894E-8F2BF8987F10}" name="sheet1__2" displayName="sheet1__2" ref="A1:P1048576" tableType="queryTable" totalsRowShown="0">
  <autoFilter ref="A1:P1048576" xr:uid="{691F60CC-12D9-B74C-894E-8F2BF8987F10}"/>
  <tableColumns count="16">
    <tableColumn id="1" xr3:uid="{F9EF0543-61E6-4C48-BF6E-17D60537C7EF}" uniqueName="1" name="Time" queryTableFieldId="1" dataDxfId="0"/>
    <tableColumn id="2" xr3:uid="{551B8F62-04FF-694A-831C-9F22ADF45AF0}" uniqueName="2" name="T1" queryTableFieldId="2"/>
    <tableColumn id="3" xr3:uid="{8BFC0DEF-A1FE-2640-9BB1-BF0BE4C82713}" uniqueName="3" name="T2" queryTableFieldId="3"/>
    <tableColumn id="4" xr3:uid="{83AF271A-ADB1-5C4D-B502-0CE38D19704A}" uniqueName="4" name="T3" queryTableFieldId="4"/>
    <tableColumn id="5" xr3:uid="{9E770074-A700-864B-AE25-08109A653451}" uniqueName="5" name="T4" queryTableFieldId="5"/>
    <tableColumn id="6" xr3:uid="{9DD1F4BC-B50B-B645-B6C4-7AA8F9E6092C}" uniqueName="6" name="T5" queryTableFieldId="6"/>
    <tableColumn id="7" xr3:uid="{12F6F3B5-C7D8-B649-9E22-27B474D0217C}" uniqueName="7" name="T6" queryTableFieldId="7"/>
    <tableColumn id="8" xr3:uid="{F71A4C65-A639-FC48-8A5B-639DB02534B1}" uniqueName="8" name="T7" queryTableFieldId="8"/>
    <tableColumn id="9" xr3:uid="{84A9365C-7F25-3A42-906F-0C009DC8676E}" uniqueName="9" name="T8" queryTableFieldId="9"/>
    <tableColumn id="10" xr3:uid="{56B927AC-760E-9243-A590-914390C62A70}" uniqueName="10" name="RTD_IN" queryTableFieldId="10"/>
    <tableColumn id="11" xr3:uid="{13A1C090-65D1-384F-905A-9EF61CD2D895}" uniqueName="11" name="RTD_OUT" queryTableFieldId="11"/>
    <tableColumn id="12" xr3:uid="{992F69FB-920F-FA4C-ADA7-133FDEAD4A60}" uniqueName="12" name="DPT_TS" queryTableFieldId="12"/>
    <tableColumn id="13" xr3:uid="{74ADEB6D-3AAA-8943-98A1-DB17102B72F2}" uniqueName="13" name="DPT_nozzle" queryTableFieldId="13"/>
    <tableColumn id="14" xr3:uid="{B1181D35-6ADE-9548-84DE-9591B47606C7}" uniqueName="14" name="Flow_gps" queryTableFieldId="14"/>
    <tableColumn id="15" xr3:uid="{764863E0-3F5D-1D44-9A67-1E147A0DC38F}" uniqueName="15" name="DP_liquid" queryTableFieldId="15"/>
    <tableColumn id="16" xr3:uid="{BB167F5F-94DB-0945-8567-FD840AA4483E}" uniqueName="16" name="v_dot (m3/s)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491A20-BEE1-4E4E-97E5-573A7AD1B3A3}" name="sheet1__3" displayName="sheet1__3" ref="A1:O30" tableType="queryTable" totalsRowShown="0">
  <autoFilter ref="A1:O30" xr:uid="{01491A20-BEE1-4E4E-97E5-573A7AD1B3A3}"/>
  <tableColumns count="15">
    <tableColumn id="1" xr3:uid="{62C41E8B-9E9C-4447-946C-211CEF0FE988}" uniqueName="1" name="Time" queryTableFieldId="1"/>
    <tableColumn id="2" xr3:uid="{AF43622C-CF01-3840-95FB-6EA1633CC31B}" uniqueName="2" name="T1" queryTableFieldId="2"/>
    <tableColumn id="3" xr3:uid="{08F9F661-8F0B-D643-87DD-1D41F45E53D9}" uniqueName="3" name="T2" queryTableFieldId="3"/>
    <tableColumn id="4" xr3:uid="{F4C1B402-B653-C249-9D68-597346792F1D}" uniqueName="4" name="T3" queryTableFieldId="4"/>
    <tableColumn id="5" xr3:uid="{CE7D40F8-D60F-504F-8BB8-B79C128C7278}" uniqueName="5" name="T4" queryTableFieldId="5"/>
    <tableColumn id="6" xr3:uid="{88DA1B5B-D4BD-9B43-8534-95F4834635D1}" uniqueName="6" name="T5" queryTableFieldId="6"/>
    <tableColumn id="7" xr3:uid="{3145408F-D7F3-C140-B7B2-B393343F5CF7}" uniqueName="7" name="T6" queryTableFieldId="7"/>
    <tableColumn id="8" xr3:uid="{68935332-5ED3-CE4F-AB85-02C2758B8426}" uniqueName="8" name="T7" queryTableFieldId="8"/>
    <tableColumn id="9" xr3:uid="{092954E9-2509-0B4D-BEF5-771031988C9C}" uniqueName="9" name="T8" queryTableFieldId="9"/>
    <tableColumn id="10" xr3:uid="{BC9CE130-C1EA-6A47-A1F5-2E8B6C5EB46C}" uniqueName="10" name="RTD_IN" queryTableFieldId="10"/>
    <tableColumn id="11" xr3:uid="{4A4A5830-45DC-7349-9BB0-CF37DE2E45A4}" uniqueName="11" name="RTD_OUT" queryTableFieldId="11"/>
    <tableColumn id="12" xr3:uid="{C3D16D28-5AC5-7B48-8BB9-E7DF597F45DF}" uniqueName="12" name="DPT_TS" queryTableFieldId="12"/>
    <tableColumn id="13" xr3:uid="{6EC354E1-84C4-1849-B557-315E94E82223}" uniqueName="13" name="DPT_nozzle" queryTableFieldId="13"/>
    <tableColumn id="14" xr3:uid="{0A130365-A7D4-FC4D-89D2-C5B40BF18D79}" uniqueName="14" name="Flow_gps" queryTableFieldId="14"/>
    <tableColumn id="15" xr3:uid="{1EF98046-CB71-704B-927B-5B490F1DE343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956496-54CF-8E46-8CA9-275BC8CC7FBA}" name="sheet1__4" displayName="sheet1__4" ref="A1:O51" tableType="queryTable" totalsRowShown="0">
  <autoFilter ref="A1:O51" xr:uid="{D2956496-54CF-8E46-8CA9-275BC8CC7FBA}"/>
  <tableColumns count="15">
    <tableColumn id="1" xr3:uid="{AC30F11A-EC8A-A044-AE3C-6737F6216310}" uniqueName="1" name="Time" queryTableFieldId="1"/>
    <tableColumn id="2" xr3:uid="{81B7B24F-2F86-1F47-A07B-9777C48CE7C9}" uniqueName="2" name="T1" queryTableFieldId="2"/>
    <tableColumn id="3" xr3:uid="{F29C5755-3F8B-A546-9438-7965AAE6DF13}" uniqueName="3" name="T2" queryTableFieldId="3"/>
    <tableColumn id="4" xr3:uid="{20228EEB-F75C-9245-883D-E66CA881498E}" uniqueName="4" name="T3" queryTableFieldId="4"/>
    <tableColumn id="5" xr3:uid="{CB1A01DE-C0C1-6941-B811-9542F3FBB6FE}" uniqueName="5" name="T4" queryTableFieldId="5"/>
    <tableColumn id="6" xr3:uid="{AFC46784-E336-6343-ABFA-03394FF27A30}" uniqueName="6" name="T5" queryTableFieldId="6"/>
    <tableColumn id="7" xr3:uid="{E9963D56-0411-C44C-AA55-F3DE950CD27D}" uniqueName="7" name="T6" queryTableFieldId="7"/>
    <tableColumn id="8" xr3:uid="{FA562F21-701E-6E4C-80A1-374A7D4F1E04}" uniqueName="8" name="T7" queryTableFieldId="8"/>
    <tableColumn id="9" xr3:uid="{17E3AA89-53CF-2D4E-8A78-39870255EC65}" uniqueName="9" name="T8" queryTableFieldId="9"/>
    <tableColumn id="10" xr3:uid="{0F69C3D7-FF8D-684E-B916-9D4D0E84D8F8}" uniqueName="10" name="RTD_IN" queryTableFieldId="10"/>
    <tableColumn id="11" xr3:uid="{47CA3444-587E-924F-B34F-71227CC8B2D6}" uniqueName="11" name="RTD_OUT" queryTableFieldId="11"/>
    <tableColumn id="12" xr3:uid="{7A00531B-835C-9449-B7B8-D47EDDDBDD7E}" uniqueName="12" name="DPT_TS" queryTableFieldId="12"/>
    <tableColumn id="13" xr3:uid="{B5A23BD7-7D98-024C-8EBD-1228FE027FAB}" uniqueName="13" name="DPT_nozzle" queryTableFieldId="13"/>
    <tableColumn id="14" xr3:uid="{6F556340-316F-144D-9981-F14BA180AA8D}" uniqueName="14" name="Flow_gps" queryTableFieldId="14"/>
    <tableColumn id="15" xr3:uid="{E7868279-C945-1342-AE57-BBC9FE75ABB3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5DB380-CB90-AC4D-BE5D-8D3D5650B2CA}" name="sheet1__5" displayName="sheet1__5" ref="A1:O48" tableType="queryTable" totalsRowShown="0">
  <autoFilter ref="A1:O48" xr:uid="{DE5DB380-CB90-AC4D-BE5D-8D3D5650B2CA}"/>
  <tableColumns count="15">
    <tableColumn id="1" xr3:uid="{B2195A35-2EDB-D541-A278-BD8BE7B94888}" uniqueName="1" name="Time" queryTableFieldId="1"/>
    <tableColumn id="2" xr3:uid="{7FE84215-6220-7745-993C-716F1E99B840}" uniqueName="2" name="T1" queryTableFieldId="2"/>
    <tableColumn id="3" xr3:uid="{3CAB7967-418D-3448-94B6-1206B2853010}" uniqueName="3" name="T2" queryTableFieldId="3"/>
    <tableColumn id="4" xr3:uid="{7624DCC9-1B80-0940-9DE9-521C836151E4}" uniqueName="4" name="T3" queryTableFieldId="4"/>
    <tableColumn id="5" xr3:uid="{DAA6695E-9F52-D74E-BEBD-4770CAC63291}" uniqueName="5" name="T4" queryTableFieldId="5"/>
    <tableColumn id="6" xr3:uid="{85D1E923-9056-5E48-B2FC-1C55055B7CAF}" uniqueName="6" name="T5" queryTableFieldId="6"/>
    <tableColumn id="7" xr3:uid="{1608D52A-A77D-9A46-A71E-8BFE02CE0397}" uniqueName="7" name="T6" queryTableFieldId="7"/>
    <tableColumn id="8" xr3:uid="{0EA90A25-5C85-FF42-8AB7-6965EFE88FA9}" uniqueName="8" name="T7" queryTableFieldId="8"/>
    <tableColumn id="9" xr3:uid="{7D5D2DB8-0B6F-8B40-A02D-0DA9D8FF9C31}" uniqueName="9" name="T8" queryTableFieldId="9"/>
    <tableColumn id="10" xr3:uid="{55355BBB-0653-2142-9B5A-7A3E8ECB3463}" uniqueName="10" name="RTD_IN" queryTableFieldId="10"/>
    <tableColumn id="11" xr3:uid="{6467FD59-D87B-3F47-914C-160552991E90}" uniqueName="11" name="RTD_OUT" queryTableFieldId="11"/>
    <tableColumn id="12" xr3:uid="{32557168-E85A-8F4F-B002-1820E078125C}" uniqueName="12" name="DPT_TS" queryTableFieldId="12"/>
    <tableColumn id="13" xr3:uid="{7A009131-C802-E64B-8824-12A90E0156C5}" uniqueName="13" name="DPT_nozzle" queryTableFieldId="13"/>
    <tableColumn id="14" xr3:uid="{CF037184-82C6-C64F-9137-7862C9F184B9}" uniqueName="14" name="Flow_gps" queryTableFieldId="14"/>
    <tableColumn id="15" xr3:uid="{A4054B4E-D1C7-8047-9425-7B710B9FC9E6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930B31-2BBA-174F-8A1D-1ADCE1771487}" name="sheet1__6" displayName="sheet1__6" ref="A1:O49" tableType="queryTable" totalsRowShown="0">
  <autoFilter ref="A1:O49" xr:uid="{60930B31-2BBA-174F-8A1D-1ADCE1771487}"/>
  <tableColumns count="15">
    <tableColumn id="1" xr3:uid="{09C87B0A-5998-E64A-89CE-6417ABB8BC4A}" uniqueName="1" name="Time" queryTableFieldId="1"/>
    <tableColumn id="2" xr3:uid="{1CC0B9C8-D20E-7545-8857-B514FB32064C}" uniqueName="2" name="T1" queryTableFieldId="2"/>
    <tableColumn id="3" xr3:uid="{B34E0FA5-BF0A-874A-B41F-59436DDA96C3}" uniqueName="3" name="T2" queryTableFieldId="3"/>
    <tableColumn id="4" xr3:uid="{C5161C2B-FA52-154A-8D45-855060D2CC89}" uniqueName="4" name="T3" queryTableFieldId="4"/>
    <tableColumn id="5" xr3:uid="{FC937900-4C92-7140-B6EE-78690C5CACCA}" uniqueName="5" name="T4" queryTableFieldId="5"/>
    <tableColumn id="6" xr3:uid="{5C692379-3475-F34F-844D-2C63D1EA2232}" uniqueName="6" name="T5" queryTableFieldId="6"/>
    <tableColumn id="7" xr3:uid="{ACECE37F-10A0-4442-9DEE-42C0446037FA}" uniqueName="7" name="T6" queryTableFieldId="7"/>
    <tableColumn id="8" xr3:uid="{CF06CBE7-AE93-6B44-97A6-B75C8C7084F8}" uniqueName="8" name="T7" queryTableFieldId="8"/>
    <tableColumn id="9" xr3:uid="{DA68DAAD-4DFB-9247-A4D2-CBAB77E393CB}" uniqueName="9" name="T8" queryTableFieldId="9"/>
    <tableColumn id="10" xr3:uid="{836A7BAF-1D91-514F-8B2B-16BC537A078D}" uniqueName="10" name="RTD_IN" queryTableFieldId="10"/>
    <tableColumn id="11" xr3:uid="{C00BEF42-1168-134C-8DFE-100839A43CE1}" uniqueName="11" name="RTD_OUT" queryTableFieldId="11"/>
    <tableColumn id="12" xr3:uid="{1364D727-A003-9B42-8C0D-733800D27772}" uniqueName="12" name="DPT_TS" queryTableFieldId="12"/>
    <tableColumn id="13" xr3:uid="{D5DBD555-5EB2-634E-8304-7C1288026B29}" uniqueName="13" name="DPT_nozzle" queryTableFieldId="13"/>
    <tableColumn id="14" xr3:uid="{1AA4F4B6-5691-BE4A-BB63-21FDB2B55CA9}" uniqueName="14" name="Flow_gps" queryTableFieldId="14"/>
    <tableColumn id="15" xr3:uid="{8C7971A1-D47F-5844-8100-CEA508C3DC54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23C510-6422-EA46-9AE3-DE0A9EE568D2}" name="sheet1__7" displayName="sheet1__7" ref="A1:O47" tableType="queryTable" totalsRowShown="0">
  <autoFilter ref="A1:O47" xr:uid="{6623C510-6422-EA46-9AE3-DE0A9EE568D2}"/>
  <tableColumns count="15">
    <tableColumn id="1" xr3:uid="{29DAF476-8B28-7D4F-BDDE-206D554B182B}" uniqueName="1" name="Time" queryTableFieldId="1"/>
    <tableColumn id="2" xr3:uid="{C21112D8-C586-624D-8C03-8935B4577152}" uniqueName="2" name="T1" queryTableFieldId="2"/>
    <tableColumn id="3" xr3:uid="{3EA12F25-CC0D-0B4B-8B4F-2717DAF4A996}" uniqueName="3" name="T2" queryTableFieldId="3"/>
    <tableColumn id="4" xr3:uid="{C787E3FF-474D-1A4F-B104-04C32A3F71A9}" uniqueName="4" name="T3" queryTableFieldId="4"/>
    <tableColumn id="5" xr3:uid="{1D07BACA-6E4B-E44A-9A21-0DCE66C12EFF}" uniqueName="5" name="T4" queryTableFieldId="5"/>
    <tableColumn id="6" xr3:uid="{0F020424-E1C1-AF42-A00B-C9704A9EE474}" uniqueName="6" name="T5" queryTableFieldId="6"/>
    <tableColumn id="7" xr3:uid="{FDAA06C0-BD31-D04D-A15C-1058C508A97A}" uniqueName="7" name="T6" queryTableFieldId="7"/>
    <tableColumn id="8" xr3:uid="{8DA7D17C-CFBB-F44F-B89F-E61018262348}" uniqueName="8" name="T7" queryTableFieldId="8"/>
    <tableColumn id="9" xr3:uid="{139198F1-809F-4640-A3E6-AB9566098F12}" uniqueName="9" name="T8" queryTableFieldId="9"/>
    <tableColumn id="10" xr3:uid="{934F8721-5758-C94C-892F-934CCB092562}" uniqueName="10" name="RTD_IN" queryTableFieldId="10"/>
    <tableColumn id="11" xr3:uid="{9AF76ACD-0C64-554E-BE05-60E7783A5FF3}" uniqueName="11" name="RTD_OUT" queryTableFieldId="11"/>
    <tableColumn id="12" xr3:uid="{4805E312-37E4-964D-845C-806C9956D8FC}" uniqueName="12" name="DPT_TS" queryTableFieldId="12"/>
    <tableColumn id="13" xr3:uid="{DFCBE7EA-9CC5-3E4B-A10B-3C4EB6FB3653}" uniqueName="13" name="DPT_nozzle" queryTableFieldId="13"/>
    <tableColumn id="14" xr3:uid="{5B5B6B91-98CC-C940-BB3E-B5E6B064AFB4}" uniqueName="14" name="Flow_gps" queryTableFieldId="14"/>
    <tableColumn id="15" xr3:uid="{30295343-D366-6240-8D6D-AEA49149B72E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9FB4-CBC6-B74D-B28A-5B6CD9156018}">
  <dimension ref="A1:C9"/>
  <sheetViews>
    <sheetView workbookViewId="0">
      <selection activeCell="C2" sqref="C2:C8"/>
    </sheetView>
  </sheetViews>
  <sheetFormatPr baseColWidth="10" defaultRowHeight="16" x14ac:dyDescent="0.2"/>
  <cols>
    <col min="1" max="1" width="16.33203125" customWidth="1"/>
    <col min="2" max="2" width="18" customWidth="1"/>
    <col min="3" max="3" width="17.66406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1</v>
      </c>
      <c r="B2" s="3">
        <v>275.6523191175047</v>
      </c>
      <c r="C2" s="3">
        <v>34.803087473853239</v>
      </c>
    </row>
    <row r="3" spans="1:3" x14ac:dyDescent="0.2">
      <c r="A3" s="3">
        <v>2</v>
      </c>
      <c r="B3" s="3">
        <v>443.59842185896059</v>
      </c>
      <c r="C3" s="3">
        <v>34.157582419960512</v>
      </c>
    </row>
    <row r="4" spans="1:3" x14ac:dyDescent="0.2">
      <c r="A4" s="3">
        <v>3</v>
      </c>
      <c r="B4" s="3">
        <v>553.39542448876466</v>
      </c>
      <c r="C4" s="3">
        <v>33.936094938497426</v>
      </c>
    </row>
    <row r="5" spans="1:3" x14ac:dyDescent="0.2">
      <c r="A5" s="3">
        <v>4</v>
      </c>
      <c r="B5" s="3">
        <v>642.69325129250433</v>
      </c>
      <c r="C5" s="3">
        <v>33.907863563608871</v>
      </c>
    </row>
    <row r="6" spans="1:3" x14ac:dyDescent="0.2">
      <c r="A6" s="3">
        <v>5</v>
      </c>
      <c r="B6" s="3">
        <v>704.8668809865685</v>
      </c>
      <c r="C6">
        <v>34.013696320605227</v>
      </c>
    </row>
    <row r="7" spans="1:3" x14ac:dyDescent="0.2">
      <c r="A7" s="3">
        <v>6</v>
      </c>
      <c r="B7" s="3">
        <v>742.01326706829752</v>
      </c>
      <c r="C7">
        <v>33.95392682135715</v>
      </c>
    </row>
    <row r="8" spans="1:3" x14ac:dyDescent="0.2">
      <c r="A8" s="3">
        <v>7</v>
      </c>
      <c r="B8" s="3">
        <v>784.24289575818739</v>
      </c>
      <c r="C8">
        <v>34.144047867722676</v>
      </c>
    </row>
    <row r="9" spans="1:3" x14ac:dyDescent="0.2">
      <c r="A9" s="3">
        <v>8</v>
      </c>
      <c r="B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C92-FD14-3F46-9FDE-47AB8D78ABE3}">
  <dimension ref="A1:AC120"/>
  <sheetViews>
    <sheetView topLeftCell="M1" workbookViewId="0">
      <selection activeCell="P1" sqref="P1:AC1048576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44675.0335154653</v>
      </c>
      <c r="B2">
        <v>18.412367</v>
      </c>
      <c r="C2">
        <v>18.080206</v>
      </c>
      <c r="D2">
        <v>18.888470999999999</v>
      </c>
      <c r="E2">
        <v>18.479977999999999</v>
      </c>
      <c r="F2">
        <v>41.521208000000001</v>
      </c>
      <c r="G2">
        <v>41.720089000000002</v>
      </c>
      <c r="H2">
        <v>38.790616999999997</v>
      </c>
      <c r="I2">
        <v>31.952919000000001</v>
      </c>
      <c r="J2">
        <v>58.617519000000001</v>
      </c>
      <c r="K2">
        <v>55.439256999999998</v>
      </c>
      <c r="L2">
        <v>30.815860000000001</v>
      </c>
      <c r="M2">
        <v>-622.50163299999997</v>
      </c>
      <c r="N2">
        <v>1.3337859999999999</v>
      </c>
      <c r="O2">
        <v>2.2598129999999998</v>
      </c>
      <c r="P2">
        <f t="shared" ref="P2:P20" si="0" xml:space="preserve"> N2*0.001/60</f>
        <v>2.2229766666666665E-5</v>
      </c>
      <c r="Q2" cm="1">
        <f t="array" ref="Q2">[1]!PropsSI("D","T",J2+273.15,"P",101325,"Water")</f>
        <v>983.90138621064511</v>
      </c>
      <c r="R2" cm="1">
        <f t="array" ref="R2">[1]!PropsSI("D","T",K2+273.15,"P",101325,"Water")</f>
        <v>985.479803340893</v>
      </c>
      <c r="S2">
        <f t="shared" ref="S2:S20" si="1">(Q2+R2)/2</f>
        <v>984.69059477576911</v>
      </c>
      <c r="T2" cm="1">
        <f t="array" ref="T2">[1]!PropsSI("H","T",J2+273.15,"P",101325,"Water")</f>
        <v>245463.48584543509</v>
      </c>
      <c r="U2" cm="1">
        <f t="array" ref="U2">[1]!PropsSI("H","T",K2+273.15,"P",101325,"Water")</f>
        <v>232166.50296637579</v>
      </c>
      <c r="V2">
        <f t="shared" ref="V2:V20" si="2">S2*P2*(T2-U2)</f>
        <v>291.06353764334</v>
      </c>
      <c r="W2" s="3">
        <f>AVERAGE(V2:V120)</f>
        <v>275.6523191175047</v>
      </c>
      <c r="X2">
        <f>(0.15+0.002*ABS(J2))</f>
        <v>0.26723503799999998</v>
      </c>
      <c r="Y2">
        <f>(0.15+0.002*ABS(K2))</f>
        <v>0.26087851400000001</v>
      </c>
      <c r="Z2">
        <f>SQRT((X2)^2 + (Y2)^2)</f>
        <v>0.37345972286407225</v>
      </c>
      <c r="AA2">
        <f>J2-K2</f>
        <v>3.1782620000000037</v>
      </c>
      <c r="AB2">
        <f>SQRT((0.01)^2 + (Z2/ABS(AA2))^2)</f>
        <v>0.11792913372812107</v>
      </c>
      <c r="AC2">
        <f>ABS(V2*AB2)</f>
        <v>34.324870854121443</v>
      </c>
    </row>
    <row r="3" spans="1:29" x14ac:dyDescent="0.2">
      <c r="A3">
        <v>44675.033550187502</v>
      </c>
      <c r="B3">
        <v>18.346636</v>
      </c>
      <c r="C3">
        <v>18.375506999999999</v>
      </c>
      <c r="D3">
        <v>18.630662000000001</v>
      </c>
      <c r="E3">
        <v>18.532496999999999</v>
      </c>
      <c r="F3">
        <v>41.455235999999999</v>
      </c>
      <c r="G3">
        <v>41.958734</v>
      </c>
      <c r="H3">
        <v>39.290129999999998</v>
      </c>
      <c r="I3">
        <v>31.671312</v>
      </c>
      <c r="J3">
        <v>58.626120999999998</v>
      </c>
      <c r="K3">
        <v>55.460106000000003</v>
      </c>
      <c r="L3">
        <v>23.623567000000001</v>
      </c>
      <c r="M3">
        <v>-622.52326400000004</v>
      </c>
      <c r="N3">
        <v>1.325987</v>
      </c>
      <c r="O3">
        <v>2.9259949999999999</v>
      </c>
      <c r="P3">
        <f t="shared" si="0"/>
        <v>2.2099783333333335E-5</v>
      </c>
      <c r="Q3" cm="1">
        <f t="array" ref="Q3">[1]!PropsSI("D","T",J3+273.15,"P",101325,"Water")</f>
        <v>983.89703130748694</v>
      </c>
      <c r="R3" cm="1">
        <f t="array" ref="R3">[1]!PropsSI("D","T",K3+273.15,"P",101325,"Water")</f>
        <v>985.46965032113974</v>
      </c>
      <c r="S3">
        <f t="shared" si="1"/>
        <v>984.6833408143134</v>
      </c>
      <c r="T3" cm="1">
        <f t="array" ref="T3">[1]!PropsSI("H","T",J3+273.15,"P",101325,"Water")</f>
        <v>245499.47975857509</v>
      </c>
      <c r="U3" cm="1">
        <f t="array" ref="U3">[1]!PropsSI("H","T",K3+273.15,"P",101325,"Water")</f>
        <v>232253.71685016336</v>
      </c>
      <c r="V3">
        <f t="shared" si="2"/>
        <v>288.24486783980865</v>
      </c>
      <c r="W3" s="3" t="s">
        <v>33</v>
      </c>
      <c r="X3">
        <f t="shared" ref="X3:Y20" si="3">(0.15+0.002*ABS(J3))</f>
        <v>0.26725224199999997</v>
      </c>
      <c r="Y3">
        <f t="shared" si="3"/>
        <v>0.26092021199999998</v>
      </c>
      <c r="Z3">
        <f t="shared" ref="Z3:Z7" si="4">SQRT((X3)^2 + (Y3)^2)</f>
        <v>0.37350116182436632</v>
      </c>
      <c r="AA3">
        <f>J3-K3</f>
        <v>3.1660149999999945</v>
      </c>
      <c r="AB3">
        <f t="shared" ref="AB3:AB20" si="5">SQRT((0.01)^2 + (Z3/ABS(AA3))^2)</f>
        <v>0.11839508344171253</v>
      </c>
      <c r="AC3">
        <f t="shared" ref="AC3:AC20" si="6">ABS(V3*AB3)</f>
        <v>34.126775179539543</v>
      </c>
    </row>
    <row r="4" spans="1:29" x14ac:dyDescent="0.2">
      <c r="A4">
        <v>44675.033585488498</v>
      </c>
      <c r="B4">
        <v>18.182109000000001</v>
      </c>
      <c r="C4">
        <v>18.340551000000001</v>
      </c>
      <c r="D4">
        <v>18.626707</v>
      </c>
      <c r="E4">
        <v>18.426175000000001</v>
      </c>
      <c r="F4">
        <v>42.004227</v>
      </c>
      <c r="G4">
        <v>42.554048000000002</v>
      </c>
      <c r="H4">
        <v>38.712800000000001</v>
      </c>
      <c r="I4">
        <v>31.489267000000002</v>
      </c>
      <c r="J4">
        <v>58.641571999999996</v>
      </c>
      <c r="K4">
        <v>55.472042000000002</v>
      </c>
      <c r="L4">
        <v>35.274411999999998</v>
      </c>
      <c r="M4">
        <v>-622.46449199999995</v>
      </c>
      <c r="N4">
        <v>1.3338429999999999</v>
      </c>
      <c r="O4">
        <v>2.8603079999999999</v>
      </c>
      <c r="P4">
        <f t="shared" si="0"/>
        <v>2.2230716666666664E-5</v>
      </c>
      <c r="Q4" cm="1">
        <f t="array" ref="Q4">[1]!PropsSI("D","T",J4+273.15,"P",101325,"Water")</f>
        <v>983.88920787406641</v>
      </c>
      <c r="R4" cm="1">
        <f t="array" ref="R4">[1]!PropsSI("D","T",K4+273.15,"P",101325,"Water")</f>
        <v>985.46383653400733</v>
      </c>
      <c r="S4">
        <f t="shared" si="1"/>
        <v>984.67652220403693</v>
      </c>
      <c r="T4" cm="1">
        <f t="array" ref="T4">[1]!PropsSI("H","T",J4+273.15,"P",101325,"Water")</f>
        <v>245564.13246921942</v>
      </c>
      <c r="U4" cm="1">
        <f t="array" ref="U4">[1]!PropsSI("H","T",K4+273.15,"P",101325,"Water")</f>
        <v>232303.64665112819</v>
      </c>
      <c r="V4">
        <f t="shared" si="2"/>
        <v>290.27289348525505</v>
      </c>
      <c r="W4" s="3">
        <f>SQRT((AVERAGE(AC2:AC120))^2 + (_xlfn.STDEV.S(V2:V120)/SQRT(COUNT(V2:V120)))^2)</f>
        <v>34.803087473853239</v>
      </c>
      <c r="X4">
        <f t="shared" si="3"/>
        <v>0.26728314399999997</v>
      </c>
      <c r="Y4">
        <f t="shared" si="3"/>
        <v>0.26094408400000002</v>
      </c>
      <c r="Z4">
        <f t="shared" si="4"/>
        <v>0.37353994972576066</v>
      </c>
      <c r="AA4">
        <f t="shared" ref="AA4:AA5" si="7">J4-K4</f>
        <v>3.1695299999999946</v>
      </c>
      <c r="AB4">
        <f t="shared" si="5"/>
        <v>0.11827691475322898</v>
      </c>
      <c r="AC4">
        <f t="shared" si="6"/>
        <v>34.33258227792863</v>
      </c>
    </row>
    <row r="5" spans="1:29" x14ac:dyDescent="0.2">
      <c r="A5">
        <v>44675.0336207894</v>
      </c>
      <c r="B5">
        <v>18.143554999999999</v>
      </c>
      <c r="C5">
        <v>18.614844999999999</v>
      </c>
      <c r="D5">
        <v>18.553127</v>
      </c>
      <c r="E5">
        <v>18.450050000000001</v>
      </c>
      <c r="F5">
        <v>41.398314999999997</v>
      </c>
      <c r="G5">
        <v>42.618479000000001</v>
      </c>
      <c r="H5">
        <v>39.032477</v>
      </c>
      <c r="I5">
        <v>31.544501</v>
      </c>
      <c r="J5">
        <v>58.654316000000001</v>
      </c>
      <c r="K5">
        <v>55.497824999999999</v>
      </c>
      <c r="L5">
        <v>23.797027</v>
      </c>
      <c r="M5">
        <v>-622.48979599999996</v>
      </c>
      <c r="N5">
        <v>1.333515</v>
      </c>
      <c r="O5">
        <v>2.8599779999999999</v>
      </c>
      <c r="P5">
        <f t="shared" si="0"/>
        <v>2.2225249999999999E-5</v>
      </c>
      <c r="Q5" cm="1">
        <f t="array" ref="Q5">[1]!PropsSI("D","T",J5+273.15,"P",101325,"Water")</f>
        <v>983.88275402345812</v>
      </c>
      <c r="R5" cm="1">
        <f t="array" ref="R5">[1]!PropsSI("D","T",K5+273.15,"P",101325,"Water")</f>
        <v>985.451275146086</v>
      </c>
      <c r="S5">
        <f t="shared" si="1"/>
        <v>984.66701458477201</v>
      </c>
      <c r="T5" cm="1">
        <f t="array" ref="T5">[1]!PropsSI("H","T",J5+273.15,"P",101325,"Water")</f>
        <v>245617.45816344407</v>
      </c>
      <c r="U5" cm="1">
        <f t="array" ref="U5">[1]!PropsSI("H","T",K5+273.15,"P",101325,"Water")</f>
        <v>232411.50038781948</v>
      </c>
      <c r="V5">
        <f t="shared" si="2"/>
        <v>289.00539423517711</v>
      </c>
      <c r="W5" s="3"/>
      <c r="X5">
        <f t="shared" si="3"/>
        <v>0.26730863199999999</v>
      </c>
      <c r="Y5">
        <f t="shared" si="3"/>
        <v>0.26099565000000002</v>
      </c>
      <c r="Z5">
        <f t="shared" si="4"/>
        <v>0.37359421042172736</v>
      </c>
      <c r="AA5">
        <f t="shared" si="7"/>
        <v>3.1564910000000026</v>
      </c>
      <c r="AB5">
        <f t="shared" si="5"/>
        <v>0.11877914305189266</v>
      </c>
      <c r="AC5">
        <f t="shared" si="6"/>
        <v>34.327813064628735</v>
      </c>
    </row>
    <row r="6" spans="1:29" x14ac:dyDescent="0.2">
      <c r="A6">
        <v>46137.033655509258</v>
      </c>
      <c r="B6">
        <v>18.140328</v>
      </c>
      <c r="C6">
        <v>18.574846000000001</v>
      </c>
      <c r="D6">
        <v>18.554362999999999</v>
      </c>
      <c r="E6">
        <v>18.564264999999999</v>
      </c>
      <c r="F6">
        <v>42.073323000000002</v>
      </c>
      <c r="G6">
        <v>42.719574999999999</v>
      </c>
      <c r="H6">
        <v>38.52516</v>
      </c>
      <c r="I6">
        <v>30.938741</v>
      </c>
      <c r="J6">
        <v>58.669288999999999</v>
      </c>
      <c r="K6">
        <v>55.518833000000001</v>
      </c>
      <c r="L6">
        <v>27.113188000000001</v>
      </c>
      <c r="M6">
        <v>-622.50775499999997</v>
      </c>
      <c r="N6">
        <v>1.34026</v>
      </c>
      <c r="O6">
        <v>3.0223330000000002</v>
      </c>
      <c r="P6">
        <f t="shared" si="0"/>
        <v>2.2337666666666668E-5</v>
      </c>
      <c r="Q6" cm="1">
        <f t="array" ref="Q6">[1]!PropsSI("D","T",J6+273.15,"P",101325,"Water")</f>
        <v>983.87517011526086</v>
      </c>
      <c r="R6" cm="1">
        <f t="array" ref="R6">[1]!PropsSI("D","T",K6+273.15,"P",101325,"Water")</f>
        <v>985.44103708610021</v>
      </c>
      <c r="S6">
        <f t="shared" si="1"/>
        <v>984.65810360068053</v>
      </c>
      <c r="T6" cm="1">
        <f t="array" ref="T6">[1]!PropsSI("H","T",J6+273.15,"P",101325,"Water")</f>
        <v>245680.11091928458</v>
      </c>
      <c r="U6" cm="1">
        <f t="array" ref="U6">[1]!PropsSI("H","T",K6+273.15,"P",101325,"Water")</f>
        <v>232499.3798424821</v>
      </c>
      <c r="V6">
        <f t="shared" si="2"/>
        <v>289.90971210334573</v>
      </c>
      <c r="W6" s="3"/>
      <c r="X6">
        <f t="shared" si="3"/>
        <v>0.26733857799999999</v>
      </c>
      <c r="Y6">
        <f t="shared" si="3"/>
        <v>0.261037666</v>
      </c>
      <c r="Z6">
        <f t="shared" si="4"/>
        <v>0.37364498973997978</v>
      </c>
      <c r="AA6">
        <f>J6-K6</f>
        <v>3.1504559999999984</v>
      </c>
      <c r="AB6">
        <f t="shared" si="5"/>
        <v>0.1190211257490327</v>
      </c>
      <c r="AC6">
        <f t="shared" si="6"/>
        <v>34.505380300118176</v>
      </c>
    </row>
    <row r="7" spans="1:29" x14ac:dyDescent="0.2">
      <c r="A7">
        <v>46137.033690231481</v>
      </c>
      <c r="B7">
        <v>18.137765000000002</v>
      </c>
      <c r="C7">
        <v>18.879483</v>
      </c>
      <c r="D7">
        <v>18.185096999999999</v>
      </c>
      <c r="E7">
        <v>18.584827000000001</v>
      </c>
      <c r="F7">
        <v>41.952686</v>
      </c>
      <c r="G7">
        <v>43.418357</v>
      </c>
      <c r="H7">
        <v>38.263874000000001</v>
      </c>
      <c r="I7">
        <v>31.585621</v>
      </c>
      <c r="J7">
        <v>58.689678999999998</v>
      </c>
      <c r="K7">
        <v>55.541114999999998</v>
      </c>
      <c r="L7">
        <v>35.123806999999999</v>
      </c>
      <c r="M7">
        <v>-622.49959200000001</v>
      </c>
      <c r="N7">
        <v>1.3498939999999999</v>
      </c>
      <c r="O7">
        <v>2.8630409999999999</v>
      </c>
      <c r="P7">
        <f t="shared" si="0"/>
        <v>2.2498233333333331E-5</v>
      </c>
      <c r="Q7" cm="1">
        <f t="array" ref="Q7">[1]!PropsSI("D","T",J7+273.15,"P",101325,"Water")</f>
        <v>983.86484030966858</v>
      </c>
      <c r="R7" cm="1">
        <f t="array" ref="R7">[1]!PropsSI("D","T",K7+273.15,"P",101325,"Water")</f>
        <v>985.43017517576152</v>
      </c>
      <c r="S7">
        <f t="shared" si="1"/>
        <v>984.64750774271511</v>
      </c>
      <c r="T7" cm="1">
        <f t="array" ref="T7">[1]!PropsSI("H","T",J7+273.15,"P",101325,"Water")</f>
        <v>245765.43062427168</v>
      </c>
      <c r="U7" cm="1">
        <f t="array" ref="U7">[1]!PropsSI("H","T",K7+273.15,"P",101325,"Water")</f>
        <v>232592.58879879673</v>
      </c>
      <c r="V7">
        <f t="shared" si="2"/>
        <v>291.81571741317265</v>
      </c>
      <c r="W7" s="3"/>
      <c r="X7">
        <f t="shared" si="3"/>
        <v>0.26737935800000001</v>
      </c>
      <c r="Y7">
        <f t="shared" si="3"/>
        <v>0.26108222999999997</v>
      </c>
      <c r="Z7">
        <f t="shared" si="4"/>
        <v>0.37370530088060705</v>
      </c>
      <c r="AA7">
        <f t="shared" ref="AA7:AA20" si="8">J7-K7</f>
        <v>3.1485640000000004</v>
      </c>
      <c r="AB7">
        <f t="shared" si="5"/>
        <v>0.1191112293614055</v>
      </c>
      <c r="AC7">
        <f t="shared" si="6"/>
        <v>34.758528848063499</v>
      </c>
    </row>
    <row r="8" spans="1:29" x14ac:dyDescent="0.2">
      <c r="A8">
        <v>46137.033725532405</v>
      </c>
      <c r="B8">
        <v>18.540111</v>
      </c>
      <c r="C8">
        <v>19.107420000000001</v>
      </c>
      <c r="D8">
        <v>17.817983000000002</v>
      </c>
      <c r="E8">
        <v>18.167615000000001</v>
      </c>
      <c r="F8">
        <v>41.696778000000002</v>
      </c>
      <c r="G8">
        <v>41.274279999999997</v>
      </c>
      <c r="H8">
        <v>38.534377999999997</v>
      </c>
      <c r="I8">
        <v>31.740546999999999</v>
      </c>
      <c r="J8">
        <v>58.701148000000003</v>
      </c>
      <c r="K8">
        <v>55.559736000000001</v>
      </c>
      <c r="L8">
        <v>18.980533999999999</v>
      </c>
      <c r="M8">
        <v>-622.50326500000006</v>
      </c>
      <c r="N8">
        <v>1.343928</v>
      </c>
      <c r="O8">
        <v>2.9152439999999999</v>
      </c>
      <c r="P8">
        <f t="shared" si="0"/>
        <v>2.2398800000000003E-5</v>
      </c>
      <c r="Q8" cm="1">
        <f t="array" ref="Q8">[1]!PropsSI("D","T",J8+273.15,"P",101325,"Water")</f>
        <v>983.85902889131478</v>
      </c>
      <c r="R8" cm="1">
        <f t="array" ref="R8">[1]!PropsSI("D","T",K8+273.15,"P",101325,"Water")</f>
        <v>985.42109555922275</v>
      </c>
      <c r="S8">
        <f t="shared" si="1"/>
        <v>984.64006222526882</v>
      </c>
      <c r="T8" cm="1">
        <f t="array" ref="T8">[1]!PropsSI("H","T",J8+273.15,"P",101325,"Water")</f>
        <v>245813.42146536201</v>
      </c>
      <c r="U8" cm="1">
        <f t="array" ref="U8">[1]!PropsSI("H","T",K8+273.15,"P",101325,"Water")</f>
        <v>232670.48338252775</v>
      </c>
      <c r="V8">
        <f t="shared" si="2"/>
        <v>289.86429025014127</v>
      </c>
      <c r="W8" s="3"/>
      <c r="X8">
        <f t="shared" si="3"/>
        <v>0.26740229599999998</v>
      </c>
      <c r="Y8">
        <f t="shared" si="3"/>
        <v>0.26111947200000002</v>
      </c>
      <c r="Z8">
        <f>SQRT((X8)^2 + (Y8)^2)</f>
        <v>0.3737477311819169</v>
      </c>
      <c r="AA8">
        <f t="shared" si="8"/>
        <v>3.1414120000000025</v>
      </c>
      <c r="AB8">
        <f t="shared" si="5"/>
        <v>0.11939395795862331</v>
      </c>
      <c r="AC8">
        <f t="shared" si="6"/>
        <v>34.608044883831553</v>
      </c>
    </row>
    <row r="9" spans="1:29" x14ac:dyDescent="0.2">
      <c r="A9">
        <v>46137.033760254628</v>
      </c>
      <c r="B9">
        <v>18.711392</v>
      </c>
      <c r="C9">
        <v>18.412817</v>
      </c>
      <c r="D9">
        <v>17.656665</v>
      </c>
      <c r="E9">
        <v>17.837465000000002</v>
      </c>
      <c r="F9">
        <v>41.659874000000002</v>
      </c>
      <c r="G9">
        <v>41.345373000000002</v>
      </c>
      <c r="H9">
        <v>37.986586000000003</v>
      </c>
      <c r="I9">
        <v>31.768913000000001</v>
      </c>
      <c r="J9">
        <v>58.716441000000003</v>
      </c>
      <c r="K9">
        <v>55.582017999999998</v>
      </c>
      <c r="L9">
        <v>34.968305000000001</v>
      </c>
      <c r="M9">
        <v>-622.46530800000005</v>
      </c>
      <c r="N9">
        <v>1.3542540000000001</v>
      </c>
      <c r="O9">
        <v>2.4526029999999999</v>
      </c>
      <c r="P9">
        <f t="shared" si="0"/>
        <v>2.2570900000000001E-5</v>
      </c>
      <c r="Q9" cm="1">
        <f t="array" ref="Q9">[1]!PropsSI("D","T",J9+273.15,"P",101325,"Water")</f>
        <v>983.85127860307841</v>
      </c>
      <c r="R9" cm="1">
        <f t="array" ref="R9">[1]!PropsSI("D","T",K9+273.15,"P",101325,"Water")</f>
        <v>985.41022802324278</v>
      </c>
      <c r="S9">
        <f t="shared" si="1"/>
        <v>984.63075331316054</v>
      </c>
      <c r="T9" cm="1">
        <f t="array" ref="T9">[1]!PropsSI("H","T",J9+273.15,"P",101325,"Water")</f>
        <v>245877.4135232878</v>
      </c>
      <c r="U9" cm="1">
        <f t="array" ref="U9">[1]!PropsSI("H","T",K9+273.15,"P",101325,"Water")</f>
        <v>232763.69267619631</v>
      </c>
      <c r="V9">
        <f t="shared" si="2"/>
        <v>291.43936187333082</v>
      </c>
      <c r="W9" s="3"/>
      <c r="X9">
        <f t="shared" si="3"/>
        <v>0.26743288199999998</v>
      </c>
      <c r="Y9">
        <f t="shared" si="3"/>
        <v>0.26116403599999999</v>
      </c>
      <c r="Z9">
        <f t="shared" ref="Z9:Z20" si="9">SQRT((X9)^2 + (Y9)^2)</f>
        <v>0.37380074916275274</v>
      </c>
      <c r="AA9">
        <f t="shared" si="8"/>
        <v>3.1344230000000053</v>
      </c>
      <c r="AB9">
        <f t="shared" si="5"/>
        <v>0.1196751674979086</v>
      </c>
      <c r="AC9">
        <f t="shared" si="6"/>
        <v>34.878054447674465</v>
      </c>
    </row>
    <row r="10" spans="1:29" x14ac:dyDescent="0.2">
      <c r="A10">
        <v>44675.033795557902</v>
      </c>
      <c r="B10">
        <v>18.569061000000001</v>
      </c>
      <c r="C10">
        <v>17.968346</v>
      </c>
      <c r="D10">
        <v>17.713564999999999</v>
      </c>
      <c r="E10">
        <v>17.805876000000001</v>
      </c>
      <c r="F10">
        <v>41.638739000000001</v>
      </c>
      <c r="G10">
        <v>40.055447000000001</v>
      </c>
      <c r="H10">
        <v>38.342905000000002</v>
      </c>
      <c r="I10">
        <v>32.014752999999999</v>
      </c>
      <c r="J10">
        <v>58.724404999999997</v>
      </c>
      <c r="K10">
        <v>55.600797999999998</v>
      </c>
      <c r="L10">
        <v>26.160582999999999</v>
      </c>
      <c r="M10">
        <v>-622.47714399999995</v>
      </c>
      <c r="N10">
        <v>1.342293</v>
      </c>
      <c r="O10">
        <v>2.852277</v>
      </c>
      <c r="P10">
        <f t="shared" si="0"/>
        <v>2.2371550000000001E-5</v>
      </c>
      <c r="Q10" cm="1">
        <f t="array" ref="Q10">[1]!PropsSI("D","T",J10+273.15,"P",101325,"Water")</f>
        <v>983.8472420004432</v>
      </c>
      <c r="R10" cm="1">
        <f t="array" ref="R10">[1]!PropsSI("D","T",K10+273.15,"P",101325,"Water")</f>
        <v>985.40106612848876</v>
      </c>
      <c r="S10">
        <f t="shared" si="1"/>
        <v>984.62415406446598</v>
      </c>
      <c r="T10" cm="1">
        <f t="array" ref="T10">[1]!PropsSI("H","T",J10+273.15,"P",101325,"Water")</f>
        <v>245910.73813854594</v>
      </c>
      <c r="U10" cm="1">
        <f t="array" ref="U10">[1]!PropsSI("H","T",K10+273.15,"P",101325,"Water")</f>
        <v>232842.25266714141</v>
      </c>
      <c r="V10">
        <f t="shared" si="2"/>
        <v>287.86695883238951</v>
      </c>
      <c r="X10">
        <f t="shared" si="3"/>
        <v>0.26744880999999998</v>
      </c>
      <c r="Y10">
        <f t="shared" si="3"/>
        <v>0.26120159599999998</v>
      </c>
      <c r="Z10">
        <f t="shared" si="9"/>
        <v>0.37383838717200146</v>
      </c>
      <c r="AA10">
        <f t="shared" si="8"/>
        <v>3.1236069999999998</v>
      </c>
      <c r="AB10">
        <f t="shared" si="5"/>
        <v>0.12009868159391004</v>
      </c>
      <c r="AC10">
        <f t="shared" si="6"/>
        <v>34.572442230218357</v>
      </c>
    </row>
    <row r="11" spans="1:29" x14ac:dyDescent="0.2">
      <c r="A11">
        <v>44675.033830280103</v>
      </c>
      <c r="B11">
        <v>18.452435999999999</v>
      </c>
      <c r="C11">
        <v>17.602277000000001</v>
      </c>
      <c r="D11">
        <v>17.810548000000001</v>
      </c>
      <c r="E11">
        <v>17.881578000000001</v>
      </c>
      <c r="F11">
        <v>42.426223999999998</v>
      </c>
      <c r="G11">
        <v>41.586858999999997</v>
      </c>
      <c r="H11">
        <v>38.983840000000001</v>
      </c>
      <c r="I11">
        <v>32.363911999999999</v>
      </c>
      <c r="J11">
        <v>58.743521000000001</v>
      </c>
      <c r="K11">
        <v>55.618623999999997</v>
      </c>
      <c r="L11">
        <v>32.770456000000003</v>
      </c>
      <c r="M11">
        <v>-622.49714300000005</v>
      </c>
      <c r="N11">
        <v>1.346894</v>
      </c>
      <c r="O11">
        <v>2.7310949999999998</v>
      </c>
      <c r="P11">
        <f t="shared" si="0"/>
        <v>2.2448233333333333E-5</v>
      </c>
      <c r="Q11" cm="1">
        <f t="array" ref="Q11">[1]!PropsSI("D","T",J11+273.15,"P",101325,"Water")</f>
        <v>983.83755139025357</v>
      </c>
      <c r="R11" cm="1">
        <f t="array" ref="R11">[1]!PropsSI("D","T",K11+273.15,"P",101325,"Water")</f>
        <v>985.39236763339318</v>
      </c>
      <c r="S11">
        <f t="shared" si="1"/>
        <v>984.61495951182337</v>
      </c>
      <c r="T11" cm="1">
        <f t="array" ref="T11">[1]!PropsSI("H","T",J11+273.15,"P",101325,"Water")</f>
        <v>245990.72736585519</v>
      </c>
      <c r="U11" cm="1">
        <f t="array" ref="U11">[1]!PropsSI("H","T",K11+273.15,"P",101325,"Water")</f>
        <v>232916.82203192645</v>
      </c>
      <c r="V11">
        <f t="shared" si="2"/>
        <v>288.97078232867534</v>
      </c>
      <c r="X11">
        <f t="shared" si="3"/>
        <v>0.26748704200000001</v>
      </c>
      <c r="Y11">
        <f t="shared" si="3"/>
        <v>0.26123724799999998</v>
      </c>
      <c r="Z11">
        <f t="shared" si="9"/>
        <v>0.37389064896106089</v>
      </c>
      <c r="AA11">
        <f t="shared" si="8"/>
        <v>3.1248970000000043</v>
      </c>
      <c r="AB11">
        <f t="shared" si="5"/>
        <v>0.12006611323127635</v>
      </c>
      <c r="AC11">
        <f t="shared" si="6"/>
        <v>34.695598671605246</v>
      </c>
    </row>
    <row r="12" spans="1:29" x14ac:dyDescent="0.2">
      <c r="A12">
        <v>44675.033865580997</v>
      </c>
      <c r="B12">
        <v>18.305019000000001</v>
      </c>
      <c r="C12">
        <v>17.528490999999999</v>
      </c>
      <c r="D12">
        <v>17.902014000000001</v>
      </c>
      <c r="E12">
        <v>18.152072</v>
      </c>
      <c r="F12">
        <v>41.652884</v>
      </c>
      <c r="G12">
        <v>42.704631999999997</v>
      </c>
      <c r="H12">
        <v>38.591087999999999</v>
      </c>
      <c r="I12">
        <v>31.257646999999999</v>
      </c>
      <c r="J12">
        <v>58.757699000000002</v>
      </c>
      <c r="K12">
        <v>55.634858000000001</v>
      </c>
      <c r="L12">
        <v>27.027069999999998</v>
      </c>
      <c r="M12">
        <v>-622.50897899999995</v>
      </c>
      <c r="N12">
        <v>1.347116</v>
      </c>
      <c r="O12">
        <v>2.628047</v>
      </c>
      <c r="P12">
        <f t="shared" si="0"/>
        <v>2.2451933333333334E-5</v>
      </c>
      <c r="Q12" cm="1">
        <f t="array" ref="Q12">[1]!PropsSI("D","T",J12+273.15,"P",101325,"Water")</f>
        <v>983.83036262474377</v>
      </c>
      <c r="R12" cm="1">
        <f t="array" ref="R12">[1]!PropsSI("D","T",K12+273.15,"P",101325,"Water")</f>
        <v>985.38444427609602</v>
      </c>
      <c r="S12">
        <f t="shared" si="1"/>
        <v>984.60740345041995</v>
      </c>
      <c r="T12" cm="1">
        <f t="array" ref="T12">[1]!PropsSI("H","T",J12+273.15,"P",101325,"Water")</f>
        <v>246050.05406336626</v>
      </c>
      <c r="U12" cm="1">
        <f t="array" ref="U12">[1]!PropsSI("H","T",K12+273.15,"P",101325,"Water")</f>
        <v>232984.73187692332</v>
      </c>
      <c r="V12">
        <f t="shared" si="2"/>
        <v>288.82645161187446</v>
      </c>
      <c r="X12">
        <f t="shared" si="3"/>
        <v>0.26751539800000002</v>
      </c>
      <c r="Y12">
        <f t="shared" si="3"/>
        <v>0.26126971599999999</v>
      </c>
      <c r="Z12">
        <f t="shared" si="9"/>
        <v>0.37393362066791891</v>
      </c>
      <c r="AA12">
        <f t="shared" si="8"/>
        <v>3.1228410000000011</v>
      </c>
      <c r="AB12">
        <f t="shared" si="5"/>
        <v>0.12015832628829479</v>
      </c>
      <c r="AC12">
        <f t="shared" si="6"/>
        <v>34.704903013469995</v>
      </c>
    </row>
    <row r="13" spans="1:29" x14ac:dyDescent="0.2">
      <c r="A13">
        <v>44675.0339003033</v>
      </c>
      <c r="B13">
        <v>18.311402999999999</v>
      </c>
      <c r="C13">
        <v>17.556795000000001</v>
      </c>
      <c r="D13">
        <v>17.807714000000001</v>
      </c>
      <c r="E13">
        <v>18.342331999999999</v>
      </c>
      <c r="F13">
        <v>41.528896000000003</v>
      </c>
      <c r="G13">
        <v>41.860996999999998</v>
      </c>
      <c r="H13">
        <v>37.944718999999999</v>
      </c>
      <c r="I13">
        <v>31.175540999999999</v>
      </c>
      <c r="J13">
        <v>58.775381000000003</v>
      </c>
      <c r="K13">
        <v>55.657299999999999</v>
      </c>
      <c r="L13">
        <v>31.917437</v>
      </c>
      <c r="M13">
        <v>-622.49959200000001</v>
      </c>
      <c r="N13">
        <v>1.339682</v>
      </c>
      <c r="O13">
        <v>2.4848940000000002</v>
      </c>
      <c r="P13">
        <f t="shared" si="0"/>
        <v>2.2328033333333334E-5</v>
      </c>
      <c r="Q13" cm="1">
        <f t="array" ref="Q13">[1]!PropsSI("D","T",J13+273.15,"P",101325,"Water")</f>
        <v>983.82139551934415</v>
      </c>
      <c r="R13" cm="1">
        <f t="array" ref="R13">[1]!PropsSI("D","T",K13+273.15,"P",101325,"Water")</f>
        <v>985.3734882927821</v>
      </c>
      <c r="S13">
        <f t="shared" si="1"/>
        <v>984.59744190606307</v>
      </c>
      <c r="T13" cm="1">
        <f t="array" ref="T13">[1]!PropsSI("H","T",J13+273.15,"P",101325,"Water")</f>
        <v>246124.04308410015</v>
      </c>
      <c r="U13" cm="1">
        <f t="array" ref="U13">[1]!PropsSI("H","T",K13+273.15,"P",101325,"Water")</f>
        <v>233078.61110316956</v>
      </c>
      <c r="V13">
        <f t="shared" si="2"/>
        <v>286.79240086149957</v>
      </c>
      <c r="X13">
        <f t="shared" si="3"/>
        <v>0.267550762</v>
      </c>
      <c r="Y13">
        <f t="shared" si="3"/>
        <v>0.26131460000000001</v>
      </c>
      <c r="Z13">
        <f t="shared" si="9"/>
        <v>0.37399028118380379</v>
      </c>
      <c r="AA13">
        <f t="shared" si="8"/>
        <v>3.1180810000000037</v>
      </c>
      <c r="AB13">
        <f t="shared" si="5"/>
        <v>0.12035859683024798</v>
      </c>
      <c r="AC13">
        <f t="shared" si="6"/>
        <v>34.517930949268091</v>
      </c>
    </row>
    <row r="14" spans="1:29" x14ac:dyDescent="0.2">
      <c r="A14">
        <v>44675.033935604202</v>
      </c>
      <c r="B14">
        <v>18.434436000000002</v>
      </c>
      <c r="C14">
        <v>17.5688</v>
      </c>
      <c r="D14">
        <v>17.804271</v>
      </c>
      <c r="E14">
        <v>18.433447000000001</v>
      </c>
      <c r="F14">
        <v>42.449441</v>
      </c>
      <c r="G14">
        <v>41.228752999999998</v>
      </c>
      <c r="H14">
        <v>37.386125</v>
      </c>
      <c r="I14">
        <v>31.490409</v>
      </c>
      <c r="J14">
        <v>58.792904</v>
      </c>
      <c r="K14">
        <v>55.670988000000001</v>
      </c>
      <c r="L14">
        <v>38.268548000000003</v>
      </c>
      <c r="M14">
        <v>-622.47387900000001</v>
      </c>
      <c r="N14">
        <v>1.355156</v>
      </c>
      <c r="O14">
        <v>2.9112800000000001</v>
      </c>
      <c r="P14">
        <f t="shared" si="0"/>
        <v>2.2585933333333337E-5</v>
      </c>
      <c r="Q14" cm="1">
        <f t="array" ref="Q14">[1]!PropsSI("D","T",J14+273.15,"P",101325,"Water")</f>
        <v>983.81250720468438</v>
      </c>
      <c r="R14" cm="1">
        <f t="array" ref="R14">[1]!PropsSI("D","T",K14+273.15,"P",101325,"Water")</f>
        <v>985.36680440917519</v>
      </c>
      <c r="S14">
        <f t="shared" si="1"/>
        <v>984.58965580692984</v>
      </c>
      <c r="T14" cm="1">
        <f t="array" ref="T14">[1]!PropsSI("H","T",J14+273.15,"P",101325,"Water")</f>
        <v>246197.36691011189</v>
      </c>
      <c r="U14" cm="1">
        <f t="array" ref="U14">[1]!PropsSI("H","T",K14+273.15,"P",101325,"Water")</f>
        <v>233135.87074630518</v>
      </c>
      <c r="V14">
        <f t="shared" si="2"/>
        <v>290.45993633298684</v>
      </c>
      <c r="X14">
        <f t="shared" si="3"/>
        <v>0.26758580799999998</v>
      </c>
      <c r="Y14">
        <f t="shared" si="3"/>
        <v>0.26134197599999998</v>
      </c>
      <c r="Z14">
        <f t="shared" si="9"/>
        <v>0.37403448111450555</v>
      </c>
      <c r="AA14">
        <f t="shared" si="8"/>
        <v>3.1219159999999988</v>
      </c>
      <c r="AB14">
        <f t="shared" si="5"/>
        <v>0.12022587698455429</v>
      </c>
      <c r="AC14">
        <f t="shared" si="6"/>
        <v>34.920800574511148</v>
      </c>
    </row>
    <row r="15" spans="1:29" x14ac:dyDescent="0.2">
      <c r="A15">
        <v>46137.033970324075</v>
      </c>
      <c r="B15">
        <v>18.507121999999999</v>
      </c>
      <c r="C15">
        <v>17.692499000000002</v>
      </c>
      <c r="D15">
        <v>17.961601999999999</v>
      </c>
      <c r="E15">
        <v>18.504746000000001</v>
      </c>
      <c r="F15">
        <v>42.181063000000002</v>
      </c>
      <c r="G15">
        <v>40.841182000000003</v>
      </c>
      <c r="H15">
        <v>37.893711000000003</v>
      </c>
      <c r="I15">
        <v>31.407727000000001</v>
      </c>
      <c r="J15">
        <v>58.805489000000001</v>
      </c>
      <c r="K15">
        <v>55.688018</v>
      </c>
      <c r="L15">
        <v>34.427106999999999</v>
      </c>
      <c r="M15">
        <v>-622.493878</v>
      </c>
      <c r="N15">
        <v>1.3478000000000001</v>
      </c>
      <c r="O15">
        <v>2.7088179999999999</v>
      </c>
      <c r="P15">
        <f t="shared" si="0"/>
        <v>2.2463333333333336E-5</v>
      </c>
      <c r="Q15" cm="1">
        <f t="array" ref="Q15">[1]!PropsSI("D","T",J15+273.15,"P",101325,"Water")</f>
        <v>983.80612249456397</v>
      </c>
      <c r="R15" cm="1">
        <f t="array" ref="R15">[1]!PropsSI("D","T",K15+273.15,"P",101325,"Water")</f>
        <v>985.35848700637769</v>
      </c>
      <c r="S15">
        <f t="shared" si="1"/>
        <v>984.58230475047083</v>
      </c>
      <c r="T15" cm="1">
        <f t="array" ref="T15">[1]!PropsSI("H","T",J15+273.15,"P",101325,"Water")</f>
        <v>246250.02808348683</v>
      </c>
      <c r="U15" cm="1">
        <f t="array" ref="U15">[1]!PropsSI("H","T",K15+273.15,"P",101325,"Water")</f>
        <v>233207.11074153584</v>
      </c>
      <c r="V15">
        <f t="shared" si="2"/>
        <v>288.47020944788216</v>
      </c>
      <c r="X15">
        <f t="shared" si="3"/>
        <v>0.267610978</v>
      </c>
      <c r="Y15">
        <f t="shared" si="3"/>
        <v>0.26137603599999998</v>
      </c>
      <c r="Z15">
        <f t="shared" si="9"/>
        <v>0.37407628599149367</v>
      </c>
      <c r="AA15">
        <f t="shared" si="8"/>
        <v>3.1174710000000019</v>
      </c>
      <c r="AB15">
        <f t="shared" si="5"/>
        <v>0.12040947768875267</v>
      </c>
      <c r="AC15">
        <f t="shared" si="6"/>
        <v>34.734547248384573</v>
      </c>
    </row>
    <row r="16" spans="1:29" x14ac:dyDescent="0.2">
      <c r="A16">
        <v>46137.034005046298</v>
      </c>
      <c r="B16">
        <v>18.502790999999998</v>
      </c>
      <c r="C16">
        <v>17.77178</v>
      </c>
      <c r="D16">
        <v>18.119318</v>
      </c>
      <c r="E16">
        <v>18.297284000000001</v>
      </c>
      <c r="F16">
        <v>42.291611000000003</v>
      </c>
      <c r="G16">
        <v>39.349719</v>
      </c>
      <c r="H16">
        <v>38.480333000000002</v>
      </c>
      <c r="I16">
        <v>32.418711999999999</v>
      </c>
      <c r="J16">
        <v>58.823808</v>
      </c>
      <c r="K16">
        <v>55.704729999999998</v>
      </c>
      <c r="L16">
        <v>43.333599999999997</v>
      </c>
      <c r="M16">
        <v>-622.493878</v>
      </c>
      <c r="N16">
        <v>1.3459719999999999</v>
      </c>
      <c r="O16">
        <v>2.987107</v>
      </c>
      <c r="P16">
        <f t="shared" si="0"/>
        <v>2.2432866666666667E-5</v>
      </c>
      <c r="Q16" cm="1">
        <f t="array" ref="Q16">[1]!PropsSI("D","T",J16+273.15,"P",101325,"Water")</f>
        <v>983.79682708051564</v>
      </c>
      <c r="R16" cm="1">
        <f t="array" ref="R16">[1]!PropsSI("D","T",K16+273.15,"P",101325,"Water")</f>
        <v>985.35032317601008</v>
      </c>
      <c r="S16">
        <f t="shared" si="1"/>
        <v>984.57357512826286</v>
      </c>
      <c r="T16" cm="1">
        <f t="array" ref="T16">[1]!PropsSI("H","T",J16+273.15,"P",101325,"Water")</f>
        <v>246326.68295255365</v>
      </c>
      <c r="U16" cm="1">
        <f t="array" ref="U16">[1]!PropsSI("H","T",K16+273.15,"P",101325,"Water")</f>
        <v>233277.0205822034</v>
      </c>
      <c r="V16">
        <f t="shared" si="2"/>
        <v>288.2253837724424</v>
      </c>
      <c r="X16">
        <f t="shared" si="3"/>
        <v>0.26764761599999998</v>
      </c>
      <c r="Y16">
        <f t="shared" si="3"/>
        <v>0.26140945999999998</v>
      </c>
      <c r="Z16">
        <f t="shared" si="9"/>
        <v>0.37412585065452914</v>
      </c>
      <c r="AA16">
        <f t="shared" si="8"/>
        <v>3.1190780000000018</v>
      </c>
      <c r="AB16">
        <f t="shared" si="5"/>
        <v>0.12036370461309558</v>
      </c>
      <c r="AC16">
        <f t="shared" si="6"/>
        <v>34.691874954382371</v>
      </c>
    </row>
    <row r="17" spans="1:29" x14ac:dyDescent="0.2">
      <c r="A17">
        <v>46137.034039768521</v>
      </c>
      <c r="B17">
        <v>18.646235999999998</v>
      </c>
      <c r="C17">
        <v>17.977834000000001</v>
      </c>
      <c r="D17">
        <v>18.008479000000001</v>
      </c>
      <c r="E17">
        <v>18.450969000000001</v>
      </c>
      <c r="F17">
        <v>41.932946000000001</v>
      </c>
      <c r="G17">
        <v>41.97486</v>
      </c>
      <c r="H17">
        <v>37.685591000000002</v>
      </c>
      <c r="I17">
        <v>32.004832</v>
      </c>
      <c r="J17">
        <v>58.836551999999998</v>
      </c>
      <c r="K17">
        <v>55.72383</v>
      </c>
      <c r="L17">
        <v>19.237663999999999</v>
      </c>
      <c r="M17">
        <v>-622.52040699999998</v>
      </c>
      <c r="N17">
        <v>1.347173</v>
      </c>
      <c r="O17">
        <v>2.6811410000000002</v>
      </c>
      <c r="P17">
        <f t="shared" si="0"/>
        <v>2.2452883333333333E-5</v>
      </c>
      <c r="Q17" cm="1">
        <f t="array" ref="Q17">[1]!PropsSI("D","T",J17+273.15,"P",101325,"Water")</f>
        <v>983.79035934672879</v>
      </c>
      <c r="R17" cm="1">
        <f t="array" ref="R17">[1]!PropsSI("D","T",K17+273.15,"P",101325,"Water")</f>
        <v>985.34099069738681</v>
      </c>
      <c r="S17">
        <f t="shared" si="1"/>
        <v>984.5656750220578</v>
      </c>
      <c r="T17" cm="1">
        <f t="array" ref="T17">[1]!PropsSI("H","T",J17+273.15,"P",101325,"Water")</f>
        <v>246380.00961730813</v>
      </c>
      <c r="U17" cm="1">
        <f t="array" ref="U17">[1]!PropsSI("H","T",K17+273.15,"P",101325,"Water")</f>
        <v>233356.9200607478</v>
      </c>
      <c r="V17">
        <f t="shared" si="2"/>
        <v>287.8928226055981</v>
      </c>
      <c r="X17">
        <f t="shared" si="3"/>
        <v>0.267673104</v>
      </c>
      <c r="Y17">
        <f t="shared" si="3"/>
        <v>0.26144765999999997</v>
      </c>
      <c r="Z17">
        <f t="shared" si="9"/>
        <v>0.37417077588244435</v>
      </c>
      <c r="AA17">
        <f t="shared" si="8"/>
        <v>3.112721999999998</v>
      </c>
      <c r="AB17">
        <f t="shared" si="5"/>
        <v>0.12062216873104148</v>
      </c>
      <c r="AC17">
        <f t="shared" si="6"/>
        <v>34.726256624788249</v>
      </c>
    </row>
    <row r="18" spans="1:29" x14ac:dyDescent="0.2">
      <c r="A18">
        <v>46137.034075069445</v>
      </c>
      <c r="B18">
        <v>18.680641000000001</v>
      </c>
      <c r="C18">
        <v>18.513535000000001</v>
      </c>
      <c r="D18">
        <v>17.885728</v>
      </c>
      <c r="E18">
        <v>18.758054999999999</v>
      </c>
      <c r="F18">
        <v>42.378982000000001</v>
      </c>
      <c r="G18">
        <v>40.851706</v>
      </c>
      <c r="H18">
        <v>38.552109999999999</v>
      </c>
      <c r="I18">
        <v>31.358799000000001</v>
      </c>
      <c r="J18">
        <v>58.851208</v>
      </c>
      <c r="K18">
        <v>55.744999</v>
      </c>
      <c r="L18">
        <v>29.511842999999999</v>
      </c>
      <c r="M18">
        <v>-622.48979599999996</v>
      </c>
      <c r="N18">
        <v>1.3411900000000001</v>
      </c>
      <c r="O18">
        <v>2.4730500000000002</v>
      </c>
      <c r="P18">
        <f t="shared" si="0"/>
        <v>2.2353166666666668E-5</v>
      </c>
      <c r="Q18" cm="1">
        <f t="array" ref="Q18">[1]!PropsSI("D","T",J18+273.15,"P",101325,"Water")</f>
        <v>983.78292005074775</v>
      </c>
      <c r="R18" cm="1">
        <f t="array" ref="R18">[1]!PropsSI("D","T",K18+273.15,"P",101325,"Water")</f>
        <v>985.3306446555132</v>
      </c>
      <c r="S18">
        <f t="shared" si="1"/>
        <v>984.55678235313053</v>
      </c>
      <c r="T18" cm="1">
        <f t="array" ref="T18">[1]!PropsSI("H","T",J18+273.15,"P",101325,"Water")</f>
        <v>246441.33703972842</v>
      </c>
      <c r="U18" cm="1">
        <f t="array" ref="U18">[1]!PropsSI("H","T",K18+273.15,"P",101325,"Water")</f>
        <v>233445.4747778778</v>
      </c>
      <c r="V18">
        <f t="shared" si="2"/>
        <v>286.01244085024399</v>
      </c>
      <c r="X18">
        <f t="shared" si="3"/>
        <v>0.267702416</v>
      </c>
      <c r="Y18">
        <f t="shared" si="3"/>
        <v>0.261489998</v>
      </c>
      <c r="Z18">
        <f t="shared" si="9"/>
        <v>0.3742213283423021</v>
      </c>
      <c r="AA18">
        <f t="shared" si="8"/>
        <v>3.1062089999999998</v>
      </c>
      <c r="AB18">
        <f t="shared" si="5"/>
        <v>0.12088956782563451</v>
      </c>
      <c r="AC18">
        <f t="shared" si="6"/>
        <v>34.575920367140846</v>
      </c>
    </row>
    <row r="19" spans="1:29" x14ac:dyDescent="0.2">
      <c r="A19">
        <v>46137.034109791668</v>
      </c>
      <c r="B19">
        <v>18.604776000000001</v>
      </c>
      <c r="C19">
        <v>18.623365</v>
      </c>
      <c r="D19">
        <v>17.597643000000001</v>
      </c>
      <c r="E19">
        <v>17.929592</v>
      </c>
      <c r="F19">
        <v>42.377080999999997</v>
      </c>
      <c r="G19">
        <v>39.937584999999999</v>
      </c>
      <c r="H19">
        <v>38.734375</v>
      </c>
      <c r="I19">
        <v>30.670570000000001</v>
      </c>
      <c r="J19">
        <v>58.865386000000001</v>
      </c>
      <c r="K19">
        <v>55.759323999999999</v>
      </c>
      <c r="L19">
        <v>23.245626000000001</v>
      </c>
      <c r="M19">
        <v>-622.48040900000001</v>
      </c>
      <c r="N19">
        <v>1.3505739999999999</v>
      </c>
      <c r="O19">
        <v>2.9310909999999999</v>
      </c>
      <c r="P19">
        <f t="shared" si="0"/>
        <v>2.2509566666666665E-5</v>
      </c>
      <c r="Q19" cm="1">
        <f t="array" ref="Q19">[1]!PropsSI("D","T",J19+273.15,"P",101325,"Water")</f>
        <v>983.77572216405963</v>
      </c>
      <c r="R19" cm="1">
        <f t="array" ref="R19">[1]!PropsSI("D","T",K19+273.15,"P",101325,"Water")</f>
        <v>985.32364195332286</v>
      </c>
      <c r="S19">
        <f t="shared" si="1"/>
        <v>984.54968205869125</v>
      </c>
      <c r="T19" cm="1">
        <f t="array" ref="T19">[1]!PropsSI("H","T",J19+273.15,"P",101325,"Water")</f>
        <v>246500.66437678685</v>
      </c>
      <c r="U19" cm="1">
        <f t="array" ref="U19">[1]!PropsSI("H","T",K19+273.15,"P",101325,"Water")</f>
        <v>233505.39958917291</v>
      </c>
      <c r="V19">
        <f t="shared" si="2"/>
        <v>287.99828639739002</v>
      </c>
      <c r="X19">
        <f t="shared" si="3"/>
        <v>0.26773077200000001</v>
      </c>
      <c r="Y19">
        <f t="shared" si="3"/>
        <v>0.26151864800000002</v>
      </c>
      <c r="Z19">
        <f t="shared" si="9"/>
        <v>0.37426163245444211</v>
      </c>
      <c r="AA19">
        <f t="shared" si="8"/>
        <v>3.1060620000000014</v>
      </c>
      <c r="AB19">
        <f t="shared" si="5"/>
        <v>0.12090818148535969</v>
      </c>
      <c r="AC19">
        <f t="shared" si="6"/>
        <v>34.821349079208225</v>
      </c>
    </row>
    <row r="20" spans="1:29" x14ac:dyDescent="0.2">
      <c r="A20">
        <v>46137.034144513891</v>
      </c>
      <c r="B20">
        <v>18.410668999999999</v>
      </c>
      <c r="C20">
        <v>17.714625000000002</v>
      </c>
      <c r="D20">
        <v>17.634896999999999</v>
      </c>
      <c r="E20">
        <v>17.94689</v>
      </c>
      <c r="F20">
        <v>41.823509000000001</v>
      </c>
      <c r="G20">
        <v>41.825932999999999</v>
      </c>
      <c r="H20">
        <v>39.020271999999999</v>
      </c>
      <c r="I20">
        <v>31.927358999999999</v>
      </c>
      <c r="J20">
        <v>58.882112999999997</v>
      </c>
      <c r="K20">
        <v>55.774285999999996</v>
      </c>
      <c r="L20">
        <v>20.930232</v>
      </c>
      <c r="M20">
        <v>-622.49183700000003</v>
      </c>
      <c r="N20">
        <v>1.3397030000000001</v>
      </c>
      <c r="O20">
        <v>2.8972250000000002</v>
      </c>
      <c r="P20">
        <f t="shared" si="0"/>
        <v>2.2328383333333335E-5</v>
      </c>
      <c r="Q20" cm="1">
        <f t="array" ref="Q20">[1]!PropsSI("D","T",J20+273.15,"P",101325,"Water")</f>
        <v>983.76722865792306</v>
      </c>
      <c r="R20" cm="1">
        <f t="array" ref="R20">[1]!PropsSI("D","T",K20+273.15,"P",101325,"Water")</f>
        <v>985.31632650755193</v>
      </c>
      <c r="S20">
        <f t="shared" si="1"/>
        <v>984.5417775827375</v>
      </c>
      <c r="T20" cm="1">
        <f t="array" ref="T20">[1]!PropsSI("H","T",J20+273.15,"P",101325,"Water")</f>
        <v>246570.65802226431</v>
      </c>
      <c r="U20" cm="1">
        <f t="array" ref="U20">[1]!PropsSI("H","T",K20+273.15,"P",101325,"Water")</f>
        <v>233567.98920155104</v>
      </c>
      <c r="V20">
        <f t="shared" si="2"/>
        <v>285.84061011760792</v>
      </c>
      <c r="X20">
        <f t="shared" si="3"/>
        <v>0.26776422599999999</v>
      </c>
      <c r="Y20">
        <f t="shared" si="3"/>
        <v>0.26154857199999998</v>
      </c>
      <c r="Z20">
        <f t="shared" si="9"/>
        <v>0.37430647368248687</v>
      </c>
      <c r="AA20">
        <f t="shared" si="8"/>
        <v>3.1078270000000003</v>
      </c>
      <c r="AB20">
        <f t="shared" si="5"/>
        <v>0.12085436404248767</v>
      </c>
      <c r="AC20">
        <f t="shared" si="6"/>
        <v>34.545085153280176</v>
      </c>
    </row>
    <row r="21" spans="1:29" x14ac:dyDescent="0.2">
      <c r="A21">
        <v>46137.034179814815</v>
      </c>
      <c r="B21">
        <v>18.339686</v>
      </c>
      <c r="C21">
        <v>17.841353999999999</v>
      </c>
      <c r="D21">
        <v>17.707875999999999</v>
      </c>
      <c r="E21">
        <v>17.794803999999999</v>
      </c>
      <c r="F21">
        <v>42.006196000000003</v>
      </c>
      <c r="G21">
        <v>42.823546</v>
      </c>
      <c r="H21">
        <v>38.099648999999999</v>
      </c>
      <c r="I21">
        <v>31.993151000000001</v>
      </c>
      <c r="J21">
        <v>58.894699000000003</v>
      </c>
      <c r="K21">
        <v>55.787655999999998</v>
      </c>
      <c r="L21">
        <v>18.796053000000001</v>
      </c>
      <c r="M21">
        <v>-622.50653</v>
      </c>
      <c r="N21">
        <v>1.3491930000000001</v>
      </c>
      <c r="O21">
        <v>2.9013040000000001</v>
      </c>
      <c r="P21">
        <f t="shared" ref="P21:P84" si="10" xml:space="preserve"> N21*0.001/60</f>
        <v>2.2486550000000002E-5</v>
      </c>
      <c r="Q21" cm="1">
        <f t="array" ref="Q21">[1]!PropsSI("D","T",J21+273.15,"P",101325,"Water")</f>
        <v>983.76083673538585</v>
      </c>
      <c r="R21" cm="1">
        <f t="array" ref="R21">[1]!PropsSI("D","T",K21+273.15,"P",101325,"Water")</f>
        <v>985.30978827996773</v>
      </c>
      <c r="S21">
        <f t="shared" ref="S21:S84" si="11">(Q21+R21)/2</f>
        <v>984.53531250767674</v>
      </c>
      <c r="T21" cm="1">
        <f t="array" ref="T21">[1]!PropsSI("H","T",J21+273.15,"P",101325,"Water")</f>
        <v>246623.32385100823</v>
      </c>
      <c r="U21" cm="1">
        <f t="array" ref="U21">[1]!PropsSI("H","T",K21+273.15,"P",101325,"Water")</f>
        <v>233623.91916928699</v>
      </c>
      <c r="V21">
        <f t="shared" ref="V21:V84" si="12">S21*P21*(T21-U21)</f>
        <v>287.79125327528658</v>
      </c>
      <c r="X21">
        <f t="shared" ref="X21:X84" si="13">(0.15+0.002*ABS(J21))</f>
        <v>0.26778939800000001</v>
      </c>
      <c r="Y21">
        <f t="shared" ref="Y21:Y84" si="14">(0.15+0.002*ABS(K21))</f>
        <v>0.261575312</v>
      </c>
      <c r="Z21">
        <f t="shared" ref="Z21:Z84" si="15">SQRT((X21)^2 + (Y21)^2)</f>
        <v>0.37434316546332153</v>
      </c>
      <c r="AA21">
        <f t="shared" ref="AA21:AA84" si="16">J21-K21</f>
        <v>3.1070430000000044</v>
      </c>
      <c r="AB21">
        <f t="shared" ref="AB21:AB84" si="17">SQRT((0.01)^2 + (Z21/ABS(AA21))^2)</f>
        <v>0.12089641921244339</v>
      </c>
      <c r="AC21">
        <f t="shared" ref="AC21:AC84" si="18">ABS(V21*AB21)</f>
        <v>34.792932001643514</v>
      </c>
    </row>
    <row r="22" spans="1:29" x14ac:dyDescent="0.2">
      <c r="A22">
        <v>46137.034214537038</v>
      </c>
      <c r="B22">
        <v>18.254926000000001</v>
      </c>
      <c r="C22">
        <v>17.917807</v>
      </c>
      <c r="D22">
        <v>17.582449</v>
      </c>
      <c r="E22">
        <v>17.961437</v>
      </c>
      <c r="F22">
        <v>42.198556000000004</v>
      </c>
      <c r="G22">
        <v>41.544803999999999</v>
      </c>
      <c r="H22">
        <v>38.196919000000001</v>
      </c>
      <c r="I22">
        <v>30.958252999999999</v>
      </c>
      <c r="J22">
        <v>58.912381000000003</v>
      </c>
      <c r="K22">
        <v>55.799115999999998</v>
      </c>
      <c r="L22">
        <v>21.186546</v>
      </c>
      <c r="M22">
        <v>-622.48693900000001</v>
      </c>
      <c r="N22">
        <v>1.350984</v>
      </c>
      <c r="O22">
        <v>2.922577</v>
      </c>
      <c r="P22">
        <f t="shared" si="10"/>
        <v>2.25164E-5</v>
      </c>
      <c r="Q22" cm="1">
        <f t="array" ref="Q22">[1]!PropsSI("D","T",J22+273.15,"P",101325,"Water")</f>
        <v>983.75185516242618</v>
      </c>
      <c r="R22" cm="1">
        <f t="array" ref="R22">[1]!PropsSI("D","T",K22+273.15,"P",101325,"Water")</f>
        <v>985.30418320880312</v>
      </c>
      <c r="S22">
        <f t="shared" si="11"/>
        <v>984.52801918561465</v>
      </c>
      <c r="T22" cm="1">
        <f t="array" ref="T22">[1]!PropsSI("H","T",J22+273.15,"P",101325,"Water")</f>
        <v>246697.31388753225</v>
      </c>
      <c r="U22" cm="1">
        <f t="array" ref="U22">[1]!PropsSI("H","T",K22+273.15,"P",101325,"Water")</f>
        <v>233671.8591947511</v>
      </c>
      <c r="V22">
        <f t="shared" si="12"/>
        <v>288.74862729447113</v>
      </c>
      <c r="X22">
        <f t="shared" si="13"/>
        <v>0.26782476199999999</v>
      </c>
      <c r="Y22">
        <f t="shared" si="14"/>
        <v>0.26159823199999999</v>
      </c>
      <c r="Z22">
        <f t="shared" si="15"/>
        <v>0.37438447901306277</v>
      </c>
      <c r="AA22">
        <f t="shared" si="16"/>
        <v>3.1132650000000055</v>
      </c>
      <c r="AB22">
        <f t="shared" si="17"/>
        <v>0.12066968155264217</v>
      </c>
      <c r="AC22">
        <f t="shared" si="18"/>
        <v>34.84320490438639</v>
      </c>
    </row>
    <row r="23" spans="1:29" x14ac:dyDescent="0.2">
      <c r="A23">
        <v>46137.034249259261</v>
      </c>
      <c r="B23">
        <v>18.499165000000001</v>
      </c>
      <c r="C23">
        <v>18.666722</v>
      </c>
      <c r="D23">
        <v>17.553317</v>
      </c>
      <c r="E23">
        <v>18.357873999999999</v>
      </c>
      <c r="F23">
        <v>41.816625999999999</v>
      </c>
      <c r="G23">
        <v>41.613774999999997</v>
      </c>
      <c r="H23">
        <v>37.765251999999997</v>
      </c>
      <c r="I23">
        <v>31.413792999999998</v>
      </c>
      <c r="J23">
        <v>58.923851999999997</v>
      </c>
      <c r="K23">
        <v>55.818534</v>
      </c>
      <c r="L23">
        <v>21.671420000000001</v>
      </c>
      <c r="M23">
        <v>-622.50449000000003</v>
      </c>
      <c r="N23">
        <v>1.3479110000000001</v>
      </c>
      <c r="O23">
        <v>2.8886090000000002</v>
      </c>
      <c r="P23">
        <f t="shared" si="10"/>
        <v>2.2465183333333333E-5</v>
      </c>
      <c r="Q23" cm="1">
        <f t="array" ref="Q23">[1]!PropsSI("D","T",J23+273.15,"P",101325,"Water")</f>
        <v>983.74602746940263</v>
      </c>
      <c r="R23" cm="1">
        <f t="array" ref="R23">[1]!PropsSI("D","T",K23+273.15,"P",101325,"Water")</f>
        <v>985.29468404449119</v>
      </c>
      <c r="S23">
        <f t="shared" si="11"/>
        <v>984.52035575694686</v>
      </c>
      <c r="T23" cm="1">
        <f t="array" ref="T23">[1]!PropsSI("H","T",J23+273.15,"P",101325,"Water")</f>
        <v>246745.3141676017</v>
      </c>
      <c r="U23" cm="1">
        <f t="array" ref="U23">[1]!PropsSI("H","T",K23+273.15,"P",101325,"Water")</f>
        <v>233753.08962224721</v>
      </c>
      <c r="V23">
        <f t="shared" si="12"/>
        <v>287.3546206611432</v>
      </c>
      <c r="X23">
        <f t="shared" si="13"/>
        <v>0.26784770400000002</v>
      </c>
      <c r="Y23">
        <f t="shared" si="14"/>
        <v>0.26163706799999997</v>
      </c>
      <c r="Z23">
        <f t="shared" si="15"/>
        <v>0.37442802764978511</v>
      </c>
      <c r="AA23">
        <f t="shared" si="16"/>
        <v>3.1053179999999969</v>
      </c>
      <c r="AB23">
        <f t="shared" si="17"/>
        <v>0.1209903521504602</v>
      </c>
      <c r="AC23">
        <f t="shared" si="18"/>
        <v>34.76713674585362</v>
      </c>
    </row>
    <row r="24" spans="1:29" x14ac:dyDescent="0.2">
      <c r="A24">
        <v>46137.034283981484</v>
      </c>
      <c r="B24">
        <v>18.590964</v>
      </c>
      <c r="C24">
        <v>18.868243</v>
      </c>
      <c r="D24">
        <v>17.632327</v>
      </c>
      <c r="E24">
        <v>18.320312000000001</v>
      </c>
      <c r="F24">
        <v>42.071188999999997</v>
      </c>
      <c r="G24">
        <v>41.705314000000001</v>
      </c>
      <c r="H24">
        <v>37.837505999999998</v>
      </c>
      <c r="I24">
        <v>30.283677000000001</v>
      </c>
      <c r="J24">
        <v>58.941057000000001</v>
      </c>
      <c r="K24">
        <v>55.841773000000003</v>
      </c>
      <c r="L24">
        <v>24.704737000000002</v>
      </c>
      <c r="M24">
        <v>-622.51836600000001</v>
      </c>
      <c r="N24">
        <v>1.3585769999999999</v>
      </c>
      <c r="O24">
        <v>2.568524</v>
      </c>
      <c r="P24">
        <f t="shared" si="10"/>
        <v>2.264295E-5</v>
      </c>
      <c r="Q24" cm="1">
        <f t="array" ref="Q24">[1]!PropsSI("D","T",J24+273.15,"P",101325,"Water")</f>
        <v>983.73728521994394</v>
      </c>
      <c r="R24" cm="1">
        <f t="array" ref="R24">[1]!PropsSI("D","T",K24+273.15,"P",101325,"Water")</f>
        <v>985.2833126199306</v>
      </c>
      <c r="S24">
        <f t="shared" si="11"/>
        <v>984.51029891993721</v>
      </c>
      <c r="T24" cm="1">
        <f t="array" ref="T24">[1]!PropsSI("H","T",J24+273.15,"P",101325,"Water")</f>
        <v>246817.30841473548</v>
      </c>
      <c r="U24" cm="1">
        <f t="array" ref="U24">[1]!PropsSI("H","T",K24+273.15,"P",101325,"Water")</f>
        <v>233850.30444905901</v>
      </c>
      <c r="V24">
        <f t="shared" si="12"/>
        <v>289.06327237519514</v>
      </c>
      <c r="X24">
        <f t="shared" si="13"/>
        <v>0.267882114</v>
      </c>
      <c r="Y24">
        <f t="shared" si="14"/>
        <v>0.26168354599999999</v>
      </c>
      <c r="Z24">
        <f t="shared" si="15"/>
        <v>0.3744851201960408</v>
      </c>
      <c r="AA24">
        <f t="shared" si="16"/>
        <v>3.0992839999999973</v>
      </c>
      <c r="AB24">
        <f t="shared" si="17"/>
        <v>0.12124265926810637</v>
      </c>
      <c r="AC24">
        <f t="shared" si="18"/>
        <v>35.04679983950961</v>
      </c>
    </row>
    <row r="25" spans="1:29" x14ac:dyDescent="0.2">
      <c r="A25">
        <v>46137.034318703707</v>
      </c>
      <c r="B25">
        <v>18.551465</v>
      </c>
      <c r="C25">
        <v>18.581985</v>
      </c>
      <c r="D25">
        <v>17.722076999999999</v>
      </c>
      <c r="E25">
        <v>18.165122</v>
      </c>
      <c r="F25">
        <v>41.915208999999997</v>
      </c>
      <c r="G25">
        <v>40.511372999999999</v>
      </c>
      <c r="H25">
        <v>39.727556</v>
      </c>
      <c r="I25">
        <v>31.893705000000001</v>
      </c>
      <c r="J25">
        <v>58.959218</v>
      </c>
      <c r="K25">
        <v>55.859122999999997</v>
      </c>
      <c r="L25">
        <v>34.455269000000001</v>
      </c>
      <c r="M25">
        <v>-622.48816399999998</v>
      </c>
      <c r="N25">
        <v>1.3554630000000001</v>
      </c>
      <c r="O25">
        <v>2.9271129999999999</v>
      </c>
      <c r="P25">
        <f t="shared" si="10"/>
        <v>2.2591050000000001E-5</v>
      </c>
      <c r="Q25" cm="1">
        <f t="array" ref="Q25">[1]!PropsSI("D","T",J25+273.15,"P",101325,"Water")</f>
        <v>983.72805528928689</v>
      </c>
      <c r="R25" cm="1">
        <f t="array" ref="R25">[1]!PropsSI("D","T",K25+273.15,"P",101325,"Water")</f>
        <v>985.27482066361529</v>
      </c>
      <c r="S25">
        <f t="shared" si="11"/>
        <v>984.50143797645114</v>
      </c>
      <c r="T25" cm="1">
        <f t="array" ref="T25">[1]!PropsSI("H","T",J25+273.15,"P",101325,"Water")</f>
        <v>246893.30317485883</v>
      </c>
      <c r="U25" cm="1">
        <f t="array" ref="U25">[1]!PropsSI("H","T",K25+273.15,"P",101325,"Water")</f>
        <v>233922.88417747131</v>
      </c>
      <c r="V25">
        <f t="shared" si="12"/>
        <v>288.47406698674399</v>
      </c>
      <c r="X25">
        <f t="shared" si="13"/>
        <v>0.26791843599999998</v>
      </c>
      <c r="Y25">
        <f t="shared" si="14"/>
        <v>0.26171824599999999</v>
      </c>
      <c r="Z25">
        <f t="shared" si="15"/>
        <v>0.37453535031823448</v>
      </c>
      <c r="AA25">
        <f t="shared" si="16"/>
        <v>3.1000950000000032</v>
      </c>
      <c r="AB25">
        <f t="shared" si="17"/>
        <v>0.12122730493470753</v>
      </c>
      <c r="AC25">
        <f t="shared" si="18"/>
        <v>34.970933684357263</v>
      </c>
    </row>
    <row r="26" spans="1:29" x14ac:dyDescent="0.2">
      <c r="A26">
        <v>46137.034353425923</v>
      </c>
      <c r="B26">
        <v>18.552851</v>
      </c>
      <c r="C26">
        <v>18.907449</v>
      </c>
      <c r="D26">
        <v>17.904620999999999</v>
      </c>
      <c r="E26">
        <v>18.254632000000001</v>
      </c>
      <c r="F26">
        <v>41.841540000000002</v>
      </c>
      <c r="G26">
        <v>41.158462999999998</v>
      </c>
      <c r="H26">
        <v>39.470415000000003</v>
      </c>
      <c r="I26">
        <v>31.992072</v>
      </c>
      <c r="J26">
        <v>58.974989999999998</v>
      </c>
      <c r="K26">
        <v>55.888410999999998</v>
      </c>
      <c r="L26">
        <v>24.862687999999999</v>
      </c>
      <c r="M26">
        <v>-622.50530600000002</v>
      </c>
      <c r="N26">
        <v>1.3581350000000001</v>
      </c>
      <c r="O26">
        <v>2.983358</v>
      </c>
      <c r="P26">
        <f t="shared" si="10"/>
        <v>2.2635583333333334E-5</v>
      </c>
      <c r="Q26" cm="1">
        <f t="array" ref="Q26">[1]!PropsSI("D","T",J26+273.15,"P",101325,"Water")</f>
        <v>983.72003791932434</v>
      </c>
      <c r="R26" cm="1">
        <f t="array" ref="R26">[1]!PropsSI("D","T",K26+273.15,"P",101325,"Water")</f>
        <v>985.26048145198547</v>
      </c>
      <c r="S26">
        <f t="shared" si="11"/>
        <v>984.49025968565491</v>
      </c>
      <c r="T26" cm="1">
        <f t="array" ref="T26">[1]!PropsSI("H","T",J26+273.15,"P",101325,"Water")</f>
        <v>246959.30126985654</v>
      </c>
      <c r="U26" cm="1">
        <f t="array" ref="U26">[1]!PropsSI("H","T",K26+273.15,"P",101325,"Water")</f>
        <v>234045.40403496139</v>
      </c>
      <c r="V26">
        <f t="shared" si="12"/>
        <v>287.77988903846193</v>
      </c>
      <c r="X26">
        <f t="shared" si="13"/>
        <v>0.26794997999999998</v>
      </c>
      <c r="Y26">
        <f t="shared" si="14"/>
        <v>0.26177682199999996</v>
      </c>
      <c r="Z26">
        <f t="shared" si="15"/>
        <v>0.37459884719312747</v>
      </c>
      <c r="AA26">
        <f t="shared" si="16"/>
        <v>3.0865790000000004</v>
      </c>
      <c r="AB26">
        <f t="shared" si="17"/>
        <v>0.12177505228611436</v>
      </c>
      <c r="AC26">
        <f t="shared" si="18"/>
        <v>35.04441103455089</v>
      </c>
    </row>
    <row r="27" spans="1:29" x14ac:dyDescent="0.2">
      <c r="A27">
        <v>46137.034388726854</v>
      </c>
      <c r="B27">
        <v>18.504736999999999</v>
      </c>
      <c r="C27">
        <v>18.506544999999999</v>
      </c>
      <c r="D27">
        <v>18.062633000000002</v>
      </c>
      <c r="E27">
        <v>18.484128999999999</v>
      </c>
      <c r="F27">
        <v>42.448200999999997</v>
      </c>
      <c r="G27">
        <v>41.537149999999997</v>
      </c>
      <c r="H27">
        <v>39.001230999999997</v>
      </c>
      <c r="I27">
        <v>31.182122</v>
      </c>
      <c r="J27">
        <v>58.989167999999999</v>
      </c>
      <c r="K27">
        <v>55.908943999999998</v>
      </c>
      <c r="L27">
        <v>16.191693999999998</v>
      </c>
      <c r="M27">
        <v>-622.50285699999995</v>
      </c>
      <c r="N27">
        <v>1.348538</v>
      </c>
      <c r="O27">
        <v>2.4208210000000001</v>
      </c>
      <c r="P27">
        <f t="shared" si="10"/>
        <v>2.2475633333333336E-5</v>
      </c>
      <c r="Q27" cm="1">
        <f t="array" ref="Q27">[1]!PropsSI("D","T",J27+273.15,"P",101325,"Water")</f>
        <v>983.71282955999891</v>
      </c>
      <c r="R27" cm="1">
        <f t="array" ref="R27">[1]!PropsSI("D","T",K27+273.15,"P",101325,"Water")</f>
        <v>985.25042548435704</v>
      </c>
      <c r="S27">
        <f t="shared" si="11"/>
        <v>984.48162752217797</v>
      </c>
      <c r="T27" cm="1">
        <f t="array" ref="T27">[1]!PropsSI("H","T",J27+273.15,"P",101325,"Water")</f>
        <v>247018.6293450231</v>
      </c>
      <c r="U27" cm="1">
        <f t="array" ref="U27">[1]!PropsSI("H","T",K27+273.15,"P",101325,"Water")</f>
        <v>234131.29948207393</v>
      </c>
      <c r="V27">
        <f t="shared" si="12"/>
        <v>285.15599008061128</v>
      </c>
      <c r="X27">
        <f t="shared" si="13"/>
        <v>0.26797833599999998</v>
      </c>
      <c r="Y27">
        <f t="shared" si="14"/>
        <v>0.261817888</v>
      </c>
      <c r="Z27">
        <f t="shared" si="15"/>
        <v>0.3746478280226771</v>
      </c>
      <c r="AA27">
        <f t="shared" si="16"/>
        <v>3.0802240000000012</v>
      </c>
      <c r="AB27">
        <f t="shared" si="17"/>
        <v>0.12204044962511996</v>
      </c>
      <c r="AC27">
        <f t="shared" si="18"/>
        <v>34.800565242734052</v>
      </c>
    </row>
    <row r="28" spans="1:29" x14ac:dyDescent="0.2">
      <c r="A28">
        <v>46137.034423449077</v>
      </c>
      <c r="B28">
        <v>18.415963000000001</v>
      </c>
      <c r="C28">
        <v>18.812442999999998</v>
      </c>
      <c r="D28">
        <v>18.003530000000001</v>
      </c>
      <c r="E28">
        <v>18.556035999999999</v>
      </c>
      <c r="F28">
        <v>41.609896999999997</v>
      </c>
      <c r="G28">
        <v>42.116041000000003</v>
      </c>
      <c r="H28">
        <v>39.668314000000002</v>
      </c>
      <c r="I28">
        <v>31.971968</v>
      </c>
      <c r="J28">
        <v>59.007010999999999</v>
      </c>
      <c r="K28">
        <v>55.931865000000002</v>
      </c>
      <c r="L28">
        <v>29.522047000000001</v>
      </c>
      <c r="M28">
        <v>-622.5</v>
      </c>
      <c r="N28">
        <v>1.355529</v>
      </c>
      <c r="O28">
        <v>2.5957439999999998</v>
      </c>
      <c r="P28">
        <f t="shared" si="10"/>
        <v>2.259215E-5</v>
      </c>
      <c r="Q28" cm="1">
        <f t="array" ref="Q28">[1]!PropsSI("D","T",J28+273.15,"P",101325,"Water")</f>
        <v>983.70375614280329</v>
      </c>
      <c r="R28" cm="1">
        <f t="array" ref="R28">[1]!PropsSI("D","T",K28+273.15,"P",101325,"Water")</f>
        <v>985.23919693922846</v>
      </c>
      <c r="S28">
        <f t="shared" si="11"/>
        <v>984.47147654101582</v>
      </c>
      <c r="T28" cm="1">
        <f t="array" ref="T28">[1]!PropsSI("H","T",J28+273.15,"P",101325,"Water")</f>
        <v>247093.29379375343</v>
      </c>
      <c r="U28" cm="1">
        <f t="array" ref="U28">[1]!PropsSI("H","T",K28+273.15,"P",101325,"Water")</f>
        <v>234227.184807332</v>
      </c>
      <c r="V28">
        <f t="shared" si="12"/>
        <v>286.15934064222569</v>
      </c>
      <c r="X28">
        <f t="shared" si="13"/>
        <v>0.26801402200000002</v>
      </c>
      <c r="Y28">
        <f t="shared" si="14"/>
        <v>0.26186373000000002</v>
      </c>
      <c r="Z28">
        <f t="shared" si="15"/>
        <v>0.37470538971054235</v>
      </c>
      <c r="AA28">
        <f t="shared" si="16"/>
        <v>3.0751459999999966</v>
      </c>
      <c r="AB28">
        <f t="shared" si="17"/>
        <v>0.1222592791315482</v>
      </c>
      <c r="AC28">
        <f t="shared" si="18"/>
        <v>34.985634703677654</v>
      </c>
    </row>
    <row r="29" spans="1:29" x14ac:dyDescent="0.2">
      <c r="A29">
        <v>46137.03445875</v>
      </c>
      <c r="B29">
        <v>18.450925999999999</v>
      </c>
      <c r="C29">
        <v>18.591650000000001</v>
      </c>
      <c r="D29">
        <v>17.981960000000001</v>
      </c>
      <c r="E29">
        <v>18.384029000000002</v>
      </c>
      <c r="F29">
        <v>42.211326999999997</v>
      </c>
      <c r="G29">
        <v>42.723191999999997</v>
      </c>
      <c r="H29">
        <v>39.485641000000001</v>
      </c>
      <c r="I29">
        <v>31.467095</v>
      </c>
      <c r="J29">
        <v>59.022624</v>
      </c>
      <c r="K29">
        <v>55.959243000000001</v>
      </c>
      <c r="L29">
        <v>37.208193000000001</v>
      </c>
      <c r="M29">
        <v>-622.49959200000001</v>
      </c>
      <c r="N29">
        <v>1.362778</v>
      </c>
      <c r="O29">
        <v>3.0145309999999998</v>
      </c>
      <c r="P29">
        <f t="shared" si="10"/>
        <v>2.2712966666666667E-5</v>
      </c>
      <c r="Q29" cm="1">
        <f t="array" ref="Q29">[1]!PropsSI("D","T",J29+273.15,"P",101325,"Water")</f>
        <v>983.69581515482298</v>
      </c>
      <c r="R29" cm="1">
        <f t="array" ref="R29">[1]!PropsSI("D","T",K29+273.15,"P",101325,"Water")</f>
        <v>985.22578076457705</v>
      </c>
      <c r="S29">
        <f t="shared" si="11"/>
        <v>984.46079795970002</v>
      </c>
      <c r="T29" cm="1">
        <f t="array" ref="T29">[1]!PropsSI("H","T",J29+273.15,"P",101325,"Water")</f>
        <v>247158.62686576063</v>
      </c>
      <c r="U29" cm="1">
        <f t="array" ref="U29">[1]!PropsSI("H","T",K29+273.15,"P",101325,"Water")</f>
        <v>234341.71534123225</v>
      </c>
      <c r="V29">
        <f t="shared" si="12"/>
        <v>286.58646581146871</v>
      </c>
      <c r="X29">
        <f t="shared" si="13"/>
        <v>0.26804524800000001</v>
      </c>
      <c r="Y29">
        <f t="shared" si="14"/>
        <v>0.26191848600000001</v>
      </c>
      <c r="Z29">
        <f t="shared" si="15"/>
        <v>0.37476599136516336</v>
      </c>
      <c r="AA29">
        <f t="shared" si="16"/>
        <v>3.0633809999999997</v>
      </c>
      <c r="AB29">
        <f t="shared" si="17"/>
        <v>0.12274540080083914</v>
      </c>
      <c r="AC29">
        <f t="shared" si="18"/>
        <v>35.177170610124712</v>
      </c>
    </row>
    <row r="30" spans="1:29" x14ac:dyDescent="0.2">
      <c r="A30">
        <v>46137.034493472223</v>
      </c>
      <c r="B30">
        <v>18.557700000000001</v>
      </c>
      <c r="C30">
        <v>18.165600999999999</v>
      </c>
      <c r="D30">
        <v>18.304096000000001</v>
      </c>
      <c r="E30">
        <v>18.457075</v>
      </c>
      <c r="F30">
        <v>41.987675000000003</v>
      </c>
      <c r="G30">
        <v>42.010136000000003</v>
      </c>
      <c r="H30">
        <v>38.694276000000002</v>
      </c>
      <c r="I30">
        <v>32.419052000000001</v>
      </c>
      <c r="J30">
        <v>59.038235999999998</v>
      </c>
      <c r="K30">
        <v>55.979458999999999</v>
      </c>
      <c r="L30">
        <v>14.359949</v>
      </c>
      <c r="M30">
        <v>-622.49550999999997</v>
      </c>
      <c r="N30">
        <v>1.3551230000000001</v>
      </c>
      <c r="O30">
        <v>3.0290050000000002</v>
      </c>
      <c r="P30">
        <f t="shared" si="10"/>
        <v>2.2585383333333336E-5</v>
      </c>
      <c r="Q30" cm="1">
        <f t="array" ref="Q30">[1]!PropsSI("D","T",J30+273.15,"P",101325,"Water")</f>
        <v>983.68787322243361</v>
      </c>
      <c r="R30" cm="1">
        <f t="array" ref="R30">[1]!PropsSI("D","T",K30+273.15,"P",101325,"Water")</f>
        <v>985.21587126261136</v>
      </c>
      <c r="S30">
        <f t="shared" si="11"/>
        <v>984.45187224252254</v>
      </c>
      <c r="T30" cm="1">
        <f t="array" ref="T30">[1]!PropsSI("H","T",J30+273.15,"P",101325,"Water")</f>
        <v>247223.95585606017</v>
      </c>
      <c r="U30" cm="1">
        <f t="array" ref="U30">[1]!PropsSI("H","T",K30+273.15,"P",101325,"Water")</f>
        <v>234426.28522321527</v>
      </c>
      <c r="V30">
        <f t="shared" si="12"/>
        <v>284.54626155147241</v>
      </c>
      <c r="X30">
        <f t="shared" si="13"/>
        <v>0.26807647200000001</v>
      </c>
      <c r="Y30">
        <f t="shared" si="14"/>
        <v>0.26195891799999999</v>
      </c>
      <c r="Z30">
        <f t="shared" si="15"/>
        <v>0.37481658122299966</v>
      </c>
      <c r="AA30">
        <f t="shared" si="16"/>
        <v>3.0587769999999992</v>
      </c>
      <c r="AB30">
        <f t="shared" si="17"/>
        <v>0.12294541341568246</v>
      </c>
      <c r="AC30">
        <f t="shared" si="18"/>
        <v>34.98365776233269</v>
      </c>
    </row>
    <row r="31" spans="1:29" x14ac:dyDescent="0.2">
      <c r="A31">
        <v>46137.034528773147</v>
      </c>
      <c r="B31">
        <v>18.594231000000001</v>
      </c>
      <c r="C31">
        <v>18.158892000000002</v>
      </c>
      <c r="D31">
        <v>18.121521000000001</v>
      </c>
      <c r="E31">
        <v>18.582060999999999</v>
      </c>
      <c r="F31">
        <v>42.042954000000002</v>
      </c>
      <c r="G31">
        <v>40.931845000000003</v>
      </c>
      <c r="H31">
        <v>38.704690999999997</v>
      </c>
      <c r="I31">
        <v>30.881501</v>
      </c>
      <c r="J31">
        <v>59.057831999999998</v>
      </c>
      <c r="K31">
        <v>55.994898999999997</v>
      </c>
      <c r="L31">
        <v>22.415056</v>
      </c>
      <c r="M31">
        <v>-622.50734699999998</v>
      </c>
      <c r="N31">
        <v>1.35802</v>
      </c>
      <c r="O31">
        <v>2.7361279999999999</v>
      </c>
      <c r="P31">
        <f t="shared" si="10"/>
        <v>2.2633666666666666E-5</v>
      </c>
      <c r="Q31" cm="1">
        <f t="array" ref="Q31">[1]!PropsSI("D","T",J31+273.15,"P",101325,"Water")</f>
        <v>983.67790254547549</v>
      </c>
      <c r="R31" cm="1">
        <f t="array" ref="R31">[1]!PropsSI("D","T",K31+273.15,"P",101325,"Water")</f>
        <v>985.20830117418495</v>
      </c>
      <c r="S31">
        <f t="shared" si="11"/>
        <v>984.44310185983022</v>
      </c>
      <c r="T31" cm="1">
        <f t="array" ref="T31">[1]!PropsSI("H","T",J31+273.15,"P",101325,"Water")</f>
        <v>247305.9561872404</v>
      </c>
      <c r="U31" cm="1">
        <f t="array" ref="U31">[1]!PropsSI("H","T",K31+273.15,"P",101325,"Water")</f>
        <v>234490.87569972521</v>
      </c>
      <c r="V31">
        <f t="shared" si="12"/>
        <v>285.53994659582929</v>
      </c>
      <c r="X31">
        <f t="shared" si="13"/>
        <v>0.26811566399999998</v>
      </c>
      <c r="Y31">
        <f t="shared" si="14"/>
        <v>0.261989798</v>
      </c>
      <c r="Z31">
        <f t="shared" si="15"/>
        <v>0.37486619417899192</v>
      </c>
      <c r="AA31">
        <f t="shared" si="16"/>
        <v>3.062933000000001</v>
      </c>
      <c r="AB31">
        <f t="shared" si="17"/>
        <v>0.12279584098090182</v>
      </c>
      <c r="AC31">
        <f t="shared" si="18"/>
        <v>35.06311787587665</v>
      </c>
    </row>
    <row r="32" spans="1:29" x14ac:dyDescent="0.2">
      <c r="A32">
        <v>46137.034564074071</v>
      </c>
      <c r="B32">
        <v>18.655963</v>
      </c>
      <c r="C32">
        <v>18.417611000000001</v>
      </c>
      <c r="D32">
        <v>17.899896999999999</v>
      </c>
      <c r="E32">
        <v>18.798962</v>
      </c>
      <c r="F32">
        <v>42.218879000000001</v>
      </c>
      <c r="G32">
        <v>42.555005999999999</v>
      </c>
      <c r="H32">
        <v>39.755617000000001</v>
      </c>
      <c r="I32">
        <v>31.697198</v>
      </c>
      <c r="J32">
        <v>59.07217</v>
      </c>
      <c r="K32">
        <v>56.013204999999999</v>
      </c>
      <c r="L32">
        <v>25.265525</v>
      </c>
      <c r="M32">
        <v>-622.47387900000001</v>
      </c>
      <c r="N32">
        <v>1.3537710000000001</v>
      </c>
      <c r="O32">
        <v>2.9713240000000001</v>
      </c>
      <c r="P32">
        <f t="shared" si="10"/>
        <v>2.2562850000000004E-5</v>
      </c>
      <c r="Q32" cm="1">
        <f t="array" ref="Q32">[1]!PropsSI("D","T",J32+273.15,"P",101325,"Water")</f>
        <v>983.67060575141977</v>
      </c>
      <c r="R32" cm="1">
        <f t="array" ref="R32">[1]!PropsSI("D","T",K32+273.15,"P",101325,"Water")</f>
        <v>985.19932401481492</v>
      </c>
      <c r="S32">
        <f t="shared" si="11"/>
        <v>984.43496488311735</v>
      </c>
      <c r="T32" cm="1">
        <f t="array" ref="T32">[1]!PropsSI("H","T",J32+273.15,"P",101325,"Water")</f>
        <v>247365.95428697008</v>
      </c>
      <c r="U32" cm="1">
        <f t="array" ref="U32">[1]!PropsSI("H","T",K32+273.15,"P",101325,"Water")</f>
        <v>234567.45569066718</v>
      </c>
      <c r="V32">
        <f t="shared" si="12"/>
        <v>284.2758794607754</v>
      </c>
      <c r="X32">
        <f t="shared" si="13"/>
        <v>0.26814433999999998</v>
      </c>
      <c r="Y32">
        <f t="shared" si="14"/>
        <v>0.26202640999999999</v>
      </c>
      <c r="Z32">
        <f t="shared" si="15"/>
        <v>0.37491229189174857</v>
      </c>
      <c r="AA32">
        <f t="shared" si="16"/>
        <v>3.0589650000000006</v>
      </c>
      <c r="AB32">
        <f t="shared" si="17"/>
        <v>0.12296909226434537</v>
      </c>
      <c r="AC32">
        <f t="shared" si="18"/>
        <v>34.95714684994001</v>
      </c>
    </row>
    <row r="33" spans="1:29" x14ac:dyDescent="0.2">
      <c r="A33">
        <v>46137.034599375002</v>
      </c>
      <c r="B33">
        <v>18.710293</v>
      </c>
      <c r="C33">
        <v>18.056235000000001</v>
      </c>
      <c r="D33">
        <v>17.778926999999999</v>
      </c>
      <c r="E33">
        <v>18.651201</v>
      </c>
      <c r="F33">
        <v>42.398674999999997</v>
      </c>
      <c r="G33">
        <v>42.194068999999999</v>
      </c>
      <c r="H33">
        <v>40.115805999999999</v>
      </c>
      <c r="I33">
        <v>31.759951000000001</v>
      </c>
      <c r="J33">
        <v>59.089058000000001</v>
      </c>
      <c r="K33">
        <v>56.028326999999997</v>
      </c>
      <c r="L33">
        <v>33.021054999999997</v>
      </c>
      <c r="M33">
        <v>-622.49550999999997</v>
      </c>
      <c r="N33">
        <v>1.346292</v>
      </c>
      <c r="O33">
        <v>2.9622380000000001</v>
      </c>
      <c r="P33">
        <f t="shared" si="10"/>
        <v>2.2438200000000001E-5</v>
      </c>
      <c r="Q33" cm="1">
        <f t="array" ref="Q33">[1]!PropsSI("D","T",J33+273.15,"P",101325,"Water")</f>
        <v>983.66200965818825</v>
      </c>
      <c r="R33" cm="1">
        <f t="array" ref="R33">[1]!PropsSI("D","T",K33+273.15,"P",101325,"Water")</f>
        <v>985.19190671844274</v>
      </c>
      <c r="S33">
        <f t="shared" si="11"/>
        <v>984.42695818831544</v>
      </c>
      <c r="T33" cm="1">
        <f t="array" ref="T33">[1]!PropsSI("H","T",J33+273.15,"P",101325,"Water")</f>
        <v>247436.6231045764</v>
      </c>
      <c r="U33" cm="1">
        <f t="array" ref="U33">[1]!PropsSI("H","T",K33+273.15,"P",101325,"Water")</f>
        <v>234630.71606257331</v>
      </c>
      <c r="V33">
        <f t="shared" si="12"/>
        <v>282.86672214335096</v>
      </c>
      <c r="X33">
        <f t="shared" si="13"/>
        <v>0.26817811599999997</v>
      </c>
      <c r="Y33">
        <f t="shared" si="14"/>
        <v>0.262056654</v>
      </c>
      <c r="Z33">
        <f t="shared" si="15"/>
        <v>0.37495758667746032</v>
      </c>
      <c r="AA33">
        <f t="shared" si="16"/>
        <v>3.0607310000000041</v>
      </c>
      <c r="AB33">
        <f t="shared" si="17"/>
        <v>0.12291335974179649</v>
      </c>
      <c r="AC33">
        <f t="shared" si="18"/>
        <v>34.768099177788486</v>
      </c>
    </row>
    <row r="34" spans="1:29" x14ac:dyDescent="0.2">
      <c r="A34">
        <v>46137.034634675925</v>
      </c>
      <c r="B34">
        <v>18.702269999999999</v>
      </c>
      <c r="C34">
        <v>18.933246</v>
      </c>
      <c r="D34">
        <v>17.679874999999999</v>
      </c>
      <c r="E34">
        <v>18.199688999999999</v>
      </c>
      <c r="F34">
        <v>42.288364000000001</v>
      </c>
      <c r="G34">
        <v>42.913947</v>
      </c>
      <c r="H34">
        <v>37.937061</v>
      </c>
      <c r="I34">
        <v>31.015529000000001</v>
      </c>
      <c r="J34">
        <v>59.101643000000003</v>
      </c>
      <c r="K34">
        <v>56.038992</v>
      </c>
      <c r="L34">
        <v>32.481082000000001</v>
      </c>
      <c r="M34">
        <v>-622.47265400000003</v>
      </c>
      <c r="N34">
        <v>1.361577</v>
      </c>
      <c r="O34">
        <v>2.4120400000000002</v>
      </c>
      <c r="P34">
        <f t="shared" si="10"/>
        <v>2.2692950000000001E-5</v>
      </c>
      <c r="Q34" cm="1">
        <f t="array" ref="Q34">[1]!PropsSI("D","T",J34+273.15,"P",101325,"Water")</f>
        <v>983.65560271286211</v>
      </c>
      <c r="R34" cm="1">
        <f t="array" ref="R34">[1]!PropsSI("D","T",K34+273.15,"P",101325,"Water")</f>
        <v>985.18667472278821</v>
      </c>
      <c r="S34">
        <f t="shared" si="11"/>
        <v>984.42113871782522</v>
      </c>
      <c r="T34" cm="1">
        <f t="array" ref="T34">[1]!PropsSI("H","T",J34+273.15,"P",101325,"Water")</f>
        <v>247489.28584702563</v>
      </c>
      <c r="U34" cm="1">
        <f t="array" ref="U34">[1]!PropsSI("H","T",K34+273.15,"P",101325,"Water")</f>
        <v>234675.33136818057</v>
      </c>
      <c r="V34">
        <f t="shared" si="12"/>
        <v>286.25630686162697</v>
      </c>
      <c r="X34">
        <f t="shared" si="13"/>
        <v>0.26820328599999999</v>
      </c>
      <c r="Y34">
        <f t="shared" si="14"/>
        <v>0.26207798399999999</v>
      </c>
      <c r="Z34">
        <f t="shared" si="15"/>
        <v>0.37499049630450909</v>
      </c>
      <c r="AA34">
        <f t="shared" si="16"/>
        <v>3.0626510000000025</v>
      </c>
      <c r="AB34">
        <f t="shared" si="17"/>
        <v>0.12284752439675119</v>
      </c>
      <c r="AC34">
        <f t="shared" si="18"/>
        <v>35.165878640907614</v>
      </c>
    </row>
    <row r="35" spans="1:29" x14ac:dyDescent="0.2">
      <c r="A35">
        <v>46137.034669398148</v>
      </c>
      <c r="B35">
        <v>18.530929</v>
      </c>
      <c r="C35">
        <v>18.053778000000001</v>
      </c>
      <c r="D35">
        <v>17.670784000000001</v>
      </c>
      <c r="E35">
        <v>18.113806</v>
      </c>
      <c r="F35">
        <v>42.240493000000001</v>
      </c>
      <c r="G35">
        <v>41.128669000000002</v>
      </c>
      <c r="H35">
        <v>38.236977000000003</v>
      </c>
      <c r="I35">
        <v>31.726693999999998</v>
      </c>
      <c r="J35">
        <v>59.105626000000001</v>
      </c>
      <c r="K35">
        <v>56.048065000000001</v>
      </c>
      <c r="L35">
        <v>29.061254000000002</v>
      </c>
      <c r="M35">
        <v>-622.48816399999998</v>
      </c>
      <c r="N35">
        <v>1.3522050000000001</v>
      </c>
      <c r="O35">
        <v>2.980817</v>
      </c>
      <c r="P35">
        <f t="shared" si="10"/>
        <v>2.2536750000000004E-5</v>
      </c>
      <c r="Q35" cm="1">
        <f t="array" ref="Q35">[1]!PropsSI("D","T",J35+273.15,"P",101325,"Water")</f>
        <v>983.6535747957596</v>
      </c>
      <c r="R35" cm="1">
        <f t="array" ref="R35">[1]!PropsSI("D","T",K35+273.15,"P",101325,"Water")</f>
        <v>985.1822231746105</v>
      </c>
      <c r="S35">
        <f t="shared" si="11"/>
        <v>984.41789898518505</v>
      </c>
      <c r="T35" cm="1">
        <f t="array" ref="T35">[1]!PropsSI("H","T",J35+273.15,"P",101325,"Water")</f>
        <v>247505.95298083386</v>
      </c>
      <c r="U35" cm="1">
        <f t="array" ref="U35">[1]!PropsSI("H","T",K35+273.15,"P",101325,"Water")</f>
        <v>234713.28683255822</v>
      </c>
      <c r="V35">
        <f t="shared" si="12"/>
        <v>283.81271933265384</v>
      </c>
      <c r="X35">
        <f t="shared" si="13"/>
        <v>0.26821125200000001</v>
      </c>
      <c r="Y35">
        <f t="shared" si="14"/>
        <v>0.26209612999999998</v>
      </c>
      <c r="Z35">
        <f t="shared" si="15"/>
        <v>0.37500887597546861</v>
      </c>
      <c r="AA35">
        <f t="shared" si="16"/>
        <v>3.0575609999999998</v>
      </c>
      <c r="AB35">
        <f t="shared" si="17"/>
        <v>0.12305666915364359</v>
      </c>
      <c r="AC35">
        <f t="shared" si="18"/>
        <v>34.925047904514287</v>
      </c>
    </row>
    <row r="36" spans="1:29" x14ac:dyDescent="0.2">
      <c r="A36">
        <v>46137.034704120371</v>
      </c>
      <c r="B36">
        <v>18.537053</v>
      </c>
      <c r="C36">
        <v>18.187982999999999</v>
      </c>
      <c r="D36">
        <v>17.729310000000002</v>
      </c>
      <c r="E36">
        <v>18.214285</v>
      </c>
      <c r="F36">
        <v>42.101858999999997</v>
      </c>
      <c r="G36">
        <v>40.193987</v>
      </c>
      <c r="H36">
        <v>38.711016000000001</v>
      </c>
      <c r="I36">
        <v>30.681757999999999</v>
      </c>
      <c r="J36">
        <v>59.106422999999999</v>
      </c>
      <c r="K36">
        <v>56.055864999999997</v>
      </c>
      <c r="L36">
        <v>20.76371</v>
      </c>
      <c r="M36">
        <v>-622.48244999999997</v>
      </c>
      <c r="N36">
        <v>1.3662030000000001</v>
      </c>
      <c r="O36">
        <v>2.6892740000000002</v>
      </c>
      <c r="P36">
        <f t="shared" si="10"/>
        <v>2.2770050000000001E-5</v>
      </c>
      <c r="Q36" cm="1">
        <f t="array" ref="Q36">[1]!PropsSI("D","T",J36+273.15,"P",101325,"Water")</f>
        <v>983.65316899730999</v>
      </c>
      <c r="R36" cm="1">
        <f t="array" ref="R36">[1]!PropsSI("D","T",K36+273.15,"P",101325,"Water")</f>
        <v>985.17839580303928</v>
      </c>
      <c r="S36">
        <f t="shared" si="11"/>
        <v>984.41578240017463</v>
      </c>
      <c r="T36" cm="1">
        <f t="array" ref="T36">[1]!PropsSI("H","T",J36+273.15,"P",101325,"Water")</f>
        <v>247509.28808223907</v>
      </c>
      <c r="U36" cm="1">
        <f t="array" ref="U36">[1]!PropsSI("H","T",K36+273.15,"P",101325,"Water")</f>
        <v>234745.91692716375</v>
      </c>
      <c r="V36">
        <f t="shared" si="12"/>
        <v>286.09347354161974</v>
      </c>
      <c r="X36">
        <f t="shared" si="13"/>
        <v>0.268212846</v>
      </c>
      <c r="Y36">
        <f t="shared" si="14"/>
        <v>0.26211172999999999</v>
      </c>
      <c r="Z36">
        <f t="shared" si="15"/>
        <v>0.37502091910053847</v>
      </c>
      <c r="AA36">
        <f t="shared" si="16"/>
        <v>3.0505580000000023</v>
      </c>
      <c r="AB36">
        <f t="shared" si="17"/>
        <v>0.12334123510233176</v>
      </c>
      <c r="AC36">
        <f t="shared" si="18"/>
        <v>35.28712238133965</v>
      </c>
    </row>
    <row r="37" spans="1:29" x14ac:dyDescent="0.2">
      <c r="A37">
        <v>46137.034739421295</v>
      </c>
      <c r="B37">
        <v>18.560490999999999</v>
      </c>
      <c r="C37">
        <v>18.381710999999999</v>
      </c>
      <c r="D37">
        <v>17.701644000000002</v>
      </c>
      <c r="E37">
        <v>18.378688</v>
      </c>
      <c r="F37">
        <v>42.576949999999997</v>
      </c>
      <c r="G37">
        <v>41.509675000000001</v>
      </c>
      <c r="H37">
        <v>38.636828000000001</v>
      </c>
      <c r="I37">
        <v>31.172443000000001</v>
      </c>
      <c r="J37">
        <v>59.106104000000002</v>
      </c>
      <c r="K37">
        <v>56.059845000000003</v>
      </c>
      <c r="L37">
        <v>12.794313000000001</v>
      </c>
      <c r="M37">
        <v>-622.48367399999995</v>
      </c>
      <c r="N37">
        <v>1.3569500000000001</v>
      </c>
      <c r="O37">
        <v>3.0551699999999999</v>
      </c>
      <c r="P37">
        <f t="shared" si="10"/>
        <v>2.2615833333333338E-5</v>
      </c>
      <c r="Q37" cm="1">
        <f t="array" ref="Q37">[1]!PropsSI("D","T",J37+273.15,"P",101325,"Water")</f>
        <v>983.65333141897429</v>
      </c>
      <c r="R37" cm="1">
        <f t="array" ref="R37">[1]!PropsSI("D","T",K37+273.15,"P",101325,"Water")</f>
        <v>985.17644271822826</v>
      </c>
      <c r="S37">
        <f t="shared" si="11"/>
        <v>984.41488706860127</v>
      </c>
      <c r="T37" cm="1">
        <f t="array" ref="T37">[1]!PropsSI("H","T",J37+273.15,"P",101325,"Water")</f>
        <v>247507.95320475736</v>
      </c>
      <c r="U37" cm="1">
        <f t="array" ref="U37">[1]!PropsSI("H","T",K37+273.15,"P",101325,"Water")</f>
        <v>234762.56665087971</v>
      </c>
      <c r="V37">
        <f t="shared" si="12"/>
        <v>283.75516763836407</v>
      </c>
      <c r="X37">
        <f t="shared" si="13"/>
        <v>0.26821220800000001</v>
      </c>
      <c r="Y37">
        <f t="shared" si="14"/>
        <v>0.26211969000000002</v>
      </c>
      <c r="Z37">
        <f t="shared" si="15"/>
        <v>0.37502602630475046</v>
      </c>
      <c r="AA37">
        <f t="shared" si="16"/>
        <v>3.0462589999999992</v>
      </c>
      <c r="AB37">
        <f t="shared" si="17"/>
        <v>0.12351582675571651</v>
      </c>
      <c r="AC37">
        <f t="shared" si="18"/>
        <v>35.048254127059472</v>
      </c>
    </row>
    <row r="38" spans="1:29" x14ac:dyDescent="0.2">
      <c r="A38">
        <v>44675.034774145897</v>
      </c>
      <c r="B38">
        <v>18.62528</v>
      </c>
      <c r="C38">
        <v>18.605822</v>
      </c>
      <c r="D38">
        <v>17.778527</v>
      </c>
      <c r="E38">
        <v>18.510504000000001</v>
      </c>
      <c r="F38">
        <v>42.701566999999997</v>
      </c>
      <c r="G38">
        <v>42.730190999999998</v>
      </c>
      <c r="H38">
        <v>38.293230000000001</v>
      </c>
      <c r="I38">
        <v>31.089545999999999</v>
      </c>
      <c r="J38">
        <v>59.101165999999999</v>
      </c>
      <c r="K38">
        <v>56.067962999999999</v>
      </c>
      <c r="L38">
        <v>20.903295</v>
      </c>
      <c r="M38">
        <v>-622.47755199999995</v>
      </c>
      <c r="N38">
        <v>1.349329</v>
      </c>
      <c r="O38">
        <v>3.1288879999999999</v>
      </c>
      <c r="P38">
        <f t="shared" si="10"/>
        <v>2.2488816666666667E-5</v>
      </c>
      <c r="Q38" cm="1">
        <f t="array" ref="Q38">[1]!PropsSI("D","T",J38+273.15,"P",101325,"Water")</f>
        <v>983.6558455678022</v>
      </c>
      <c r="R38" cm="1">
        <f t="array" ref="R38">[1]!PropsSI("D","T",K38+273.15,"P",101325,"Water")</f>
        <v>985.17245871252942</v>
      </c>
      <c r="S38">
        <f t="shared" si="11"/>
        <v>984.41415214016581</v>
      </c>
      <c r="T38" cm="1">
        <f t="array" ref="T38">[1]!PropsSI("H","T",J38+273.15,"P",101325,"Water")</f>
        <v>247487.28980862803</v>
      </c>
      <c r="U38" cm="1">
        <f t="array" ref="U38">[1]!PropsSI("H","T",K38+273.15,"P",101325,"Water")</f>
        <v>234796.52708590808</v>
      </c>
      <c r="V38">
        <f t="shared" si="12"/>
        <v>280.95203157035297</v>
      </c>
      <c r="X38">
        <f t="shared" si="13"/>
        <v>0.26820233199999999</v>
      </c>
      <c r="Y38">
        <f t="shared" si="14"/>
        <v>0.26213592600000002</v>
      </c>
      <c r="Z38">
        <f t="shared" si="15"/>
        <v>0.37503031156176658</v>
      </c>
      <c r="AA38">
        <f t="shared" si="16"/>
        <v>3.0332030000000003</v>
      </c>
      <c r="AB38">
        <f t="shared" si="17"/>
        <v>0.1240454141727601</v>
      </c>
      <c r="AC38">
        <f t="shared" si="18"/>
        <v>34.850811118822804</v>
      </c>
    </row>
    <row r="39" spans="1:29" x14ac:dyDescent="0.2">
      <c r="A39">
        <v>44675.034809446799</v>
      </c>
      <c r="B39">
        <v>18.699489</v>
      </c>
      <c r="C39">
        <v>18.404983000000001</v>
      </c>
      <c r="D39">
        <v>17.775967999999999</v>
      </c>
      <c r="E39">
        <v>18.483488999999999</v>
      </c>
      <c r="F39">
        <v>42.780887</v>
      </c>
      <c r="G39">
        <v>42.071300999999998</v>
      </c>
      <c r="H39">
        <v>38.932034000000002</v>
      </c>
      <c r="I39">
        <v>31.191459999999999</v>
      </c>
      <c r="J39">
        <v>59.096863999999997</v>
      </c>
      <c r="K39">
        <v>56.061118</v>
      </c>
      <c r="L39">
        <v>25.316134999999999</v>
      </c>
      <c r="M39">
        <v>-622.49755100000004</v>
      </c>
      <c r="N39">
        <v>1.3593850000000001</v>
      </c>
      <c r="O39">
        <v>2.7476539999999998</v>
      </c>
      <c r="P39">
        <f t="shared" si="10"/>
        <v>2.2656416666666669E-5</v>
      </c>
      <c r="Q39" cm="1">
        <f t="array" ref="Q39">[1]!PropsSI("D","T",J39+273.15,"P",101325,"Water")</f>
        <v>983.65803578319708</v>
      </c>
      <c r="R39" cm="1">
        <f t="array" ref="R39">[1]!PropsSI("D","T",K39+273.15,"P",101325,"Water")</f>
        <v>985.17581800499499</v>
      </c>
      <c r="S39">
        <f t="shared" si="11"/>
        <v>984.41692689409604</v>
      </c>
      <c r="T39" cm="1">
        <f t="array" ref="T39">[1]!PropsSI("H","T",J39+273.15,"P",101325,"Water")</f>
        <v>247469.28780606115</v>
      </c>
      <c r="U39" cm="1">
        <f t="array" ref="U39">[1]!PropsSI("H","T",K39+273.15,"P",101325,"Water")</f>
        <v>234767.89205375157</v>
      </c>
      <c r="V39">
        <f t="shared" si="12"/>
        <v>283.2838028481172</v>
      </c>
      <c r="X39">
        <f t="shared" si="13"/>
        <v>0.26819372799999996</v>
      </c>
      <c r="Y39">
        <f t="shared" si="14"/>
        <v>0.26212223600000001</v>
      </c>
      <c r="Z39">
        <f t="shared" si="15"/>
        <v>0.37501458950843186</v>
      </c>
      <c r="AA39">
        <f t="shared" si="16"/>
        <v>3.0357459999999961</v>
      </c>
      <c r="AB39">
        <f t="shared" si="17"/>
        <v>0.12393701664099867</v>
      </c>
      <c r="AC39">
        <f t="shared" si="18"/>
        <v>35.109349387712491</v>
      </c>
    </row>
    <row r="40" spans="1:29" x14ac:dyDescent="0.2">
      <c r="A40">
        <v>44675.034844169</v>
      </c>
      <c r="B40">
        <v>18.734396</v>
      </c>
      <c r="C40">
        <v>18.002762000000001</v>
      </c>
      <c r="D40">
        <v>18.046126999999998</v>
      </c>
      <c r="E40">
        <v>18.471088999999999</v>
      </c>
      <c r="F40">
        <v>42.254216</v>
      </c>
      <c r="G40">
        <v>40.160187999999998</v>
      </c>
      <c r="H40">
        <v>40.000022999999999</v>
      </c>
      <c r="I40">
        <v>31.415597999999999</v>
      </c>
      <c r="J40">
        <v>59.089854000000003</v>
      </c>
      <c r="K40">
        <v>56.066688999999997</v>
      </c>
      <c r="L40">
        <v>29.687753000000001</v>
      </c>
      <c r="M40">
        <v>-622.52040699999998</v>
      </c>
      <c r="N40">
        <v>1.3516600000000001</v>
      </c>
      <c r="O40">
        <v>2.8496079999999999</v>
      </c>
      <c r="P40">
        <f t="shared" si="10"/>
        <v>2.2527666666666671E-5</v>
      </c>
      <c r="Q40" cm="1">
        <f t="array" ref="Q40">[1]!PropsSI("D","T",J40+273.15,"P",101325,"Water")</f>
        <v>983.66160444750255</v>
      </c>
      <c r="R40" cm="1">
        <f t="array" ref="R40">[1]!PropsSI("D","T",K40+273.15,"P",101325,"Water")</f>
        <v>985.17308397007059</v>
      </c>
      <c r="S40">
        <f t="shared" si="11"/>
        <v>984.41734420878652</v>
      </c>
      <c r="T40" cm="1">
        <f t="array" ref="T40">[1]!PropsSI("H","T",J40+273.15,"P",101325,"Water")</f>
        <v>247439.95401581243</v>
      </c>
      <c r="U40" cm="1">
        <f t="array" ref="U40">[1]!PropsSI("H","T",K40+273.15,"P",101325,"Water")</f>
        <v>234791.19749642906</v>
      </c>
      <c r="V40">
        <f t="shared" si="12"/>
        <v>280.50674005462963</v>
      </c>
      <c r="X40">
        <f t="shared" si="13"/>
        <v>0.26817970800000002</v>
      </c>
      <c r="Y40">
        <f t="shared" si="14"/>
        <v>0.26213337799999997</v>
      </c>
      <c r="Z40">
        <f t="shared" si="15"/>
        <v>0.37501235132280131</v>
      </c>
      <c r="AA40">
        <f t="shared" si="16"/>
        <v>3.0231650000000059</v>
      </c>
      <c r="AB40">
        <f t="shared" si="17"/>
        <v>0.12444869576952015</v>
      </c>
      <c r="AC40">
        <f t="shared" si="18"/>
        <v>34.908697954358473</v>
      </c>
    </row>
    <row r="41" spans="1:29" x14ac:dyDescent="0.2">
      <c r="A41">
        <v>44675.034879469902</v>
      </c>
      <c r="B41">
        <v>18.690497000000001</v>
      </c>
      <c r="C41">
        <v>18.030656</v>
      </c>
      <c r="D41">
        <v>18.404585000000001</v>
      </c>
      <c r="E41">
        <v>18.375699999999998</v>
      </c>
      <c r="F41">
        <v>42.222298000000002</v>
      </c>
      <c r="G41">
        <v>41.840981999999997</v>
      </c>
      <c r="H41">
        <v>38.842796</v>
      </c>
      <c r="I41">
        <v>31.789080999999999</v>
      </c>
      <c r="J41">
        <v>59.079658000000002</v>
      </c>
      <c r="K41">
        <v>56.062868999999999</v>
      </c>
      <c r="L41">
        <v>20.825339</v>
      </c>
      <c r="M41">
        <v>-622.44041100000004</v>
      </c>
      <c r="N41">
        <v>1.3601430000000001</v>
      </c>
      <c r="O41">
        <v>2.921395</v>
      </c>
      <c r="P41">
        <f t="shared" si="10"/>
        <v>2.2669050000000003E-5</v>
      </c>
      <c r="Q41" cm="1">
        <f t="array" ref="Q41">[1]!PropsSI("D","T",J41+273.15,"P",101325,"Water")</f>
        <v>983.66679452422818</v>
      </c>
      <c r="R41" cm="1">
        <f t="array" ref="R41">[1]!PropsSI("D","T",K41+273.15,"P",101325,"Water")</f>
        <v>985.1749587013137</v>
      </c>
      <c r="S41">
        <f t="shared" si="11"/>
        <v>984.42087661277094</v>
      </c>
      <c r="T41" cm="1">
        <f t="array" ref="T41">[1]!PropsSI("H","T",J41+273.15,"P",101325,"Water")</f>
        <v>247397.28824333046</v>
      </c>
      <c r="U41" cm="1">
        <f t="array" ref="U41">[1]!PropsSI("H","T",K41+273.15,"P",101325,"Water")</f>
        <v>234775.21709831737</v>
      </c>
      <c r="V41">
        <f t="shared" si="12"/>
        <v>281.6727016771444</v>
      </c>
      <c r="X41">
        <f t="shared" si="13"/>
        <v>0.26815931599999998</v>
      </c>
      <c r="Y41">
        <f t="shared" si="14"/>
        <v>0.262125738</v>
      </c>
      <c r="Z41">
        <f t="shared" si="15"/>
        <v>0.37499242829640239</v>
      </c>
      <c r="AA41">
        <f t="shared" si="16"/>
        <v>3.0167890000000028</v>
      </c>
      <c r="AB41">
        <f t="shared" si="17"/>
        <v>0.12470343946772162</v>
      </c>
      <c r="AC41">
        <f t="shared" si="18"/>
        <v>35.12555470330539</v>
      </c>
    </row>
    <row r="42" spans="1:29" x14ac:dyDescent="0.2">
      <c r="A42">
        <v>46137.034914768519</v>
      </c>
      <c r="B42">
        <v>18.419840000000001</v>
      </c>
      <c r="C42">
        <v>18.412693000000001</v>
      </c>
      <c r="D42">
        <v>18.478604000000001</v>
      </c>
      <c r="E42">
        <v>18.384677</v>
      </c>
      <c r="F42">
        <v>42.039574000000002</v>
      </c>
      <c r="G42">
        <v>43.207175999999997</v>
      </c>
      <c r="H42">
        <v>39.540461999999998</v>
      </c>
      <c r="I42">
        <v>31.742391000000001</v>
      </c>
      <c r="J42">
        <v>59.068347000000003</v>
      </c>
      <c r="K42">
        <v>56.052841000000001</v>
      </c>
      <c r="L42">
        <v>38.981164999999997</v>
      </c>
      <c r="M42">
        <v>-622.49020499999995</v>
      </c>
      <c r="N42">
        <v>1.3536600000000001</v>
      </c>
      <c r="O42">
        <v>2.9345089999999998</v>
      </c>
      <c r="P42">
        <f t="shared" si="10"/>
        <v>2.2561E-5</v>
      </c>
      <c r="Q42" cm="1">
        <f t="array" ref="Q42">[1]!PropsSI("D","T",J42+273.15,"P",101325,"Water")</f>
        <v>983.67255144544401</v>
      </c>
      <c r="R42" cm="1">
        <f t="array" ref="R42">[1]!PropsSI("D","T",K42+273.15,"P",101325,"Water")</f>
        <v>985.17987968991736</v>
      </c>
      <c r="S42">
        <f t="shared" si="11"/>
        <v>984.42621556768063</v>
      </c>
      <c r="T42" cm="1">
        <f t="array" ref="T42">[1]!PropsSI("H","T",J42+273.15,"P",101325,"Water")</f>
        <v>247349.95673800347</v>
      </c>
      <c r="U42" cm="1">
        <f t="array" ref="U42">[1]!PropsSI("H","T",K42+273.15,"P",101325,"Water")</f>
        <v>234733.26648776192</v>
      </c>
      <c r="V42">
        <f t="shared" si="12"/>
        <v>280.21214654958425</v>
      </c>
      <c r="X42">
        <f t="shared" si="13"/>
        <v>0.26813669400000001</v>
      </c>
      <c r="Y42">
        <f t="shared" si="14"/>
        <v>0.26210568200000001</v>
      </c>
      <c r="Z42">
        <f t="shared" si="15"/>
        <v>0.37496223170598764</v>
      </c>
      <c r="AA42">
        <f t="shared" si="16"/>
        <v>3.015506000000002</v>
      </c>
      <c r="AB42">
        <f t="shared" si="17"/>
        <v>0.12474617407683422</v>
      </c>
      <c r="AC42">
        <f t="shared" si="18"/>
        <v>34.955393211917816</v>
      </c>
    </row>
    <row r="43" spans="1:29" x14ac:dyDescent="0.2">
      <c r="A43">
        <v>46137.034950069443</v>
      </c>
      <c r="B43">
        <v>18.422972000000001</v>
      </c>
      <c r="C43">
        <v>18.328676999999999</v>
      </c>
      <c r="D43">
        <v>18.408066999999999</v>
      </c>
      <c r="E43">
        <v>18.377282000000001</v>
      </c>
      <c r="F43">
        <v>42.147877999999999</v>
      </c>
      <c r="G43">
        <v>40.508166000000003</v>
      </c>
      <c r="H43">
        <v>39.116832000000002</v>
      </c>
      <c r="I43">
        <v>31.369821000000002</v>
      </c>
      <c r="J43">
        <v>59.055601000000003</v>
      </c>
      <c r="K43">
        <v>56.051248999999999</v>
      </c>
      <c r="L43">
        <v>34.794027999999997</v>
      </c>
      <c r="M43">
        <v>-622.50571400000001</v>
      </c>
      <c r="N43">
        <v>1.353742</v>
      </c>
      <c r="O43">
        <v>2.8783919999999998</v>
      </c>
      <c r="P43">
        <f t="shared" si="10"/>
        <v>2.2562366666666666E-5</v>
      </c>
      <c r="Q43" cm="1">
        <f t="array" ref="Q43">[1]!PropsSI("D","T",J43+273.15,"P",101325,"Water")</f>
        <v>983.67903782015276</v>
      </c>
      <c r="R43" cm="1">
        <f t="array" ref="R43">[1]!PropsSI("D","T",K43+273.15,"P",101325,"Water")</f>
        <v>985.18066086704846</v>
      </c>
      <c r="S43">
        <f t="shared" si="11"/>
        <v>984.42984934360061</v>
      </c>
      <c r="T43" cm="1">
        <f t="array" ref="T43">[1]!PropsSI("H","T",J43+273.15,"P",101325,"Water")</f>
        <v>247296.62046060478</v>
      </c>
      <c r="U43" cm="1">
        <f t="array" ref="U43">[1]!PropsSI("H","T",K43+273.15,"P",101325,"Water")</f>
        <v>234726.60660173756</v>
      </c>
      <c r="V43">
        <f t="shared" si="12"/>
        <v>279.19342275679844</v>
      </c>
      <c r="X43">
        <f t="shared" si="13"/>
        <v>0.26811120199999999</v>
      </c>
      <c r="Y43">
        <f t="shared" si="14"/>
        <v>0.26210249799999996</v>
      </c>
      <c r="Z43">
        <f t="shared" si="15"/>
        <v>0.3749417769410669</v>
      </c>
      <c r="AA43">
        <f t="shared" si="16"/>
        <v>3.0043520000000044</v>
      </c>
      <c r="AB43">
        <f t="shared" si="17"/>
        <v>0.12519955120527684</v>
      </c>
      <c r="AC43">
        <f t="shared" si="18"/>
        <v>34.95489122861629</v>
      </c>
    </row>
    <row r="44" spans="1:29" x14ac:dyDescent="0.2">
      <c r="A44">
        <v>46137.034985370374</v>
      </c>
      <c r="B44">
        <v>18.461237000000001</v>
      </c>
      <c r="C44">
        <v>18.410215000000001</v>
      </c>
      <c r="D44">
        <v>18.186328</v>
      </c>
      <c r="E44">
        <v>18.560189000000001</v>
      </c>
      <c r="F44">
        <v>42.521241000000003</v>
      </c>
      <c r="G44">
        <v>42.008606</v>
      </c>
      <c r="H44">
        <v>37.871402000000003</v>
      </c>
      <c r="I44">
        <v>31.570754999999998</v>
      </c>
      <c r="J44">
        <v>59.043812000000003</v>
      </c>
      <c r="K44">
        <v>56.053637000000002</v>
      </c>
      <c r="L44">
        <v>13.514277</v>
      </c>
      <c r="M44">
        <v>-622.52122299999996</v>
      </c>
      <c r="N44">
        <v>1.3607940000000001</v>
      </c>
      <c r="O44">
        <v>2.9977689999999999</v>
      </c>
      <c r="P44">
        <f t="shared" si="10"/>
        <v>2.2679899999999999E-5</v>
      </c>
      <c r="Q44" cm="1">
        <f t="array" ref="Q44">[1]!PropsSI("D","T",J44+273.15,"P",101325,"Water")</f>
        <v>983.68503632051909</v>
      </c>
      <c r="R44" cm="1">
        <f t="array" ref="R44">[1]!PropsSI("D","T",K44+273.15,"P",101325,"Water")</f>
        <v>985.17948909551376</v>
      </c>
      <c r="S44">
        <f t="shared" si="11"/>
        <v>984.43226270801642</v>
      </c>
      <c r="T44" cm="1">
        <f t="array" ref="T44">[1]!PropsSI("H","T",J44+273.15,"P",101325,"Water")</f>
        <v>247247.28885888116</v>
      </c>
      <c r="U44" cm="1">
        <f t="array" ref="U44">[1]!PropsSI("H","T",K44+273.15,"P",101325,"Water")</f>
        <v>234736.59643111617</v>
      </c>
      <c r="V44">
        <f t="shared" si="12"/>
        <v>279.32404390386881</v>
      </c>
      <c r="X44">
        <f t="shared" si="13"/>
        <v>0.26808762399999997</v>
      </c>
      <c r="Y44">
        <f t="shared" si="14"/>
        <v>0.262107274</v>
      </c>
      <c r="Z44">
        <f t="shared" si="15"/>
        <v>0.37492825610465319</v>
      </c>
      <c r="AA44">
        <f t="shared" si="16"/>
        <v>2.9901750000000007</v>
      </c>
      <c r="AB44">
        <f t="shared" si="17"/>
        <v>0.12578486110179193</v>
      </c>
      <c r="AC44">
        <f t="shared" si="18"/>
        <v>35.134736064838968</v>
      </c>
    </row>
    <row r="45" spans="1:29" x14ac:dyDescent="0.2">
      <c r="A45">
        <v>46137.03502009259</v>
      </c>
      <c r="B45">
        <v>18.276116999999999</v>
      </c>
      <c r="C45">
        <v>18.446256999999999</v>
      </c>
      <c r="D45">
        <v>18.244554000000001</v>
      </c>
      <c r="E45">
        <v>18.501677999999998</v>
      </c>
      <c r="F45">
        <v>42.556494000000001</v>
      </c>
      <c r="G45">
        <v>41.406787000000001</v>
      </c>
      <c r="H45">
        <v>38.380446999999997</v>
      </c>
      <c r="I45">
        <v>32.257641999999997</v>
      </c>
      <c r="J45">
        <v>59.029474</v>
      </c>
      <c r="K45">
        <v>56.043607999999999</v>
      </c>
      <c r="L45">
        <v>16.461884000000001</v>
      </c>
      <c r="M45">
        <v>-622.51550899999995</v>
      </c>
      <c r="N45">
        <v>1.3526149999999999</v>
      </c>
      <c r="O45">
        <v>2.9974259999999999</v>
      </c>
      <c r="P45">
        <f t="shared" si="10"/>
        <v>2.2543583333333332E-5</v>
      </c>
      <c r="Q45" cm="1">
        <f t="array" ref="Q45">[1]!PropsSI("D","T",J45+273.15,"P",101325,"Water")</f>
        <v>983.69233069133884</v>
      </c>
      <c r="R45" cm="1">
        <f t="array" ref="R45">[1]!PropsSI("D","T",K45+273.15,"P",101325,"Water")</f>
        <v>985.18441000625728</v>
      </c>
      <c r="S45">
        <f t="shared" si="11"/>
        <v>984.43837034879812</v>
      </c>
      <c r="T45" cm="1">
        <f t="array" ref="T45">[1]!PropsSI("H","T",J45+273.15,"P",101325,"Water")</f>
        <v>247187.29093094953</v>
      </c>
      <c r="U45" cm="1">
        <f t="array" ref="U45">[1]!PropsSI("H","T",K45+273.15,"P",101325,"Water")</f>
        <v>234694.64167219028</v>
      </c>
      <c r="V45">
        <f t="shared" si="12"/>
        <v>277.24647218290517</v>
      </c>
      <c r="X45">
        <f t="shared" si="13"/>
        <v>0.26805894799999996</v>
      </c>
      <c r="Y45">
        <f t="shared" si="14"/>
        <v>0.26208721600000001</v>
      </c>
      <c r="Z45">
        <f t="shared" si="15"/>
        <v>0.37489372946676147</v>
      </c>
      <c r="AA45">
        <f t="shared" si="16"/>
        <v>2.9858660000000015</v>
      </c>
      <c r="AB45">
        <f t="shared" si="17"/>
        <v>0.1259537119716192</v>
      </c>
      <c r="AC45">
        <f t="shared" si="18"/>
        <v>34.920222302473171</v>
      </c>
    </row>
    <row r="46" spans="1:29" x14ac:dyDescent="0.2">
      <c r="A46">
        <v>46137.035054814813</v>
      </c>
      <c r="B46">
        <v>18.132570000000001</v>
      </c>
      <c r="C46">
        <v>18.382394000000001</v>
      </c>
      <c r="D46">
        <v>18.477436999999998</v>
      </c>
      <c r="E46">
        <v>18.443494000000001</v>
      </c>
      <c r="F46">
        <v>42.325572000000001</v>
      </c>
      <c r="G46">
        <v>42.382693000000003</v>
      </c>
      <c r="H46">
        <v>38.508913999999997</v>
      </c>
      <c r="I46">
        <v>32.014781999999997</v>
      </c>
      <c r="J46">
        <v>59.010993999999997</v>
      </c>
      <c r="K46">
        <v>56.039150999999997</v>
      </c>
      <c r="L46">
        <v>18.497700999999999</v>
      </c>
      <c r="M46">
        <v>-622.49020499999995</v>
      </c>
      <c r="N46">
        <v>1.355869</v>
      </c>
      <c r="O46">
        <v>2.4847410000000001</v>
      </c>
      <c r="P46">
        <f t="shared" si="10"/>
        <v>2.2597816666666666E-5</v>
      </c>
      <c r="Q46" cm="1">
        <f t="array" ref="Q46">[1]!PropsSI("D","T",J46+273.15,"P",101325,"Water")</f>
        <v>983.70173047193623</v>
      </c>
      <c r="R46" cm="1">
        <f t="array" ref="R46">[1]!PropsSI("D","T",K46+273.15,"P",101325,"Water")</f>
        <v>985.18659671590547</v>
      </c>
      <c r="S46">
        <f t="shared" si="11"/>
        <v>984.44416359392085</v>
      </c>
      <c r="T46" cm="1">
        <f t="array" ref="T46">[1]!PropsSI("H","T",J46+273.15,"P",101325,"Water")</f>
        <v>247109.96076825989</v>
      </c>
      <c r="U46" cm="1">
        <f t="array" ref="U46">[1]!PropsSI("H","T",K46+273.15,"P",101325,"Water")</f>
        <v>234675.9965193391</v>
      </c>
      <c r="V46">
        <f t="shared" si="12"/>
        <v>276.60955870847476</v>
      </c>
      <c r="X46">
        <f t="shared" si="13"/>
        <v>0.26802198799999999</v>
      </c>
      <c r="Y46">
        <f t="shared" si="14"/>
        <v>0.26207830199999999</v>
      </c>
      <c r="Z46">
        <f t="shared" si="15"/>
        <v>0.37486107083915149</v>
      </c>
      <c r="AA46">
        <f t="shared" si="16"/>
        <v>2.9718429999999998</v>
      </c>
      <c r="AB46">
        <f t="shared" si="17"/>
        <v>0.12653334721517198</v>
      </c>
      <c r="AC46">
        <f t="shared" si="18"/>
        <v>35.000333335094936</v>
      </c>
    </row>
    <row r="47" spans="1:29" x14ac:dyDescent="0.2">
      <c r="A47">
        <v>46137.035090115744</v>
      </c>
      <c r="B47">
        <v>18.078168000000002</v>
      </c>
      <c r="C47">
        <v>18.396314</v>
      </c>
      <c r="D47">
        <v>18.683529</v>
      </c>
      <c r="E47">
        <v>18.526646</v>
      </c>
      <c r="F47">
        <v>42.461246000000003</v>
      </c>
      <c r="G47">
        <v>42.67313</v>
      </c>
      <c r="H47">
        <v>38.523674</v>
      </c>
      <c r="I47">
        <v>31.486858999999999</v>
      </c>
      <c r="J47">
        <v>58.994107</v>
      </c>
      <c r="K47">
        <v>56.029758999999999</v>
      </c>
      <c r="L47">
        <v>20.244959999999999</v>
      </c>
      <c r="M47">
        <v>-622.50408100000004</v>
      </c>
      <c r="N47">
        <v>1.3411489999999999</v>
      </c>
      <c r="O47">
        <v>2.508276</v>
      </c>
      <c r="P47">
        <f t="shared" si="10"/>
        <v>2.2352483333333333E-5</v>
      </c>
      <c r="Q47" cm="1">
        <f t="array" ref="Q47">[1]!PropsSI("D","T",J47+273.15,"P",101325,"Water")</f>
        <v>983.71031819883819</v>
      </c>
      <c r="R47" cm="1">
        <f t="array" ref="R47">[1]!PropsSI("D","T",K47+273.15,"P",101325,"Water")</f>
        <v>985.191204253872</v>
      </c>
      <c r="S47">
        <f t="shared" si="11"/>
        <v>984.4507612263551</v>
      </c>
      <c r="T47" cm="1">
        <f t="array" ref="T47">[1]!PropsSI("H","T",J47+273.15,"P",101325,"Water")</f>
        <v>247039.29669205335</v>
      </c>
      <c r="U47" cm="1">
        <f t="array" ref="U47">[1]!PropsSI("H","T",K47+273.15,"P",101325,"Water")</f>
        <v>234636.7066008957</v>
      </c>
      <c r="V47">
        <f t="shared" si="12"/>
        <v>272.91799323344236</v>
      </c>
      <c r="X47">
        <f t="shared" si="13"/>
        <v>0.267988214</v>
      </c>
      <c r="Y47">
        <f t="shared" si="14"/>
        <v>0.26205951799999999</v>
      </c>
      <c r="Z47">
        <f t="shared" si="15"/>
        <v>0.37482379035661822</v>
      </c>
      <c r="AA47">
        <f t="shared" si="16"/>
        <v>2.9643480000000011</v>
      </c>
      <c r="AB47">
        <f t="shared" si="17"/>
        <v>0.12683873884626462</v>
      </c>
      <c r="AC47">
        <f t="shared" si="18"/>
        <v>34.616574070183212</v>
      </c>
    </row>
    <row r="48" spans="1:29" x14ac:dyDescent="0.2">
      <c r="A48">
        <v>46137.035124837967</v>
      </c>
      <c r="B48">
        <v>18.065574000000002</v>
      </c>
      <c r="C48">
        <v>18.381387</v>
      </c>
      <c r="D48">
        <v>18.709865000000001</v>
      </c>
      <c r="E48">
        <v>18.624127000000001</v>
      </c>
      <c r="F48">
        <v>42.268146000000002</v>
      </c>
      <c r="G48">
        <v>41.384557999999998</v>
      </c>
      <c r="H48">
        <v>39.473466999999999</v>
      </c>
      <c r="I48">
        <v>32.003895</v>
      </c>
      <c r="J48">
        <v>58.975945000000003</v>
      </c>
      <c r="K48">
        <v>56.020367999999998</v>
      </c>
      <c r="L48">
        <v>29.318383999999998</v>
      </c>
      <c r="M48">
        <v>-622.48367399999995</v>
      </c>
      <c r="N48">
        <v>1.3515170000000001</v>
      </c>
      <c r="O48">
        <v>2.7295579999999999</v>
      </c>
      <c r="P48">
        <f t="shared" si="10"/>
        <v>2.2525283333333336E-5</v>
      </c>
      <c r="Q48" cm="1">
        <f t="array" ref="Q48">[1]!PropsSI("D","T",J48+273.15,"P",101325,"Water")</f>
        <v>983.71955241720104</v>
      </c>
      <c r="R48" cm="1">
        <f t="array" ref="R48">[1]!PropsSI("D","T",K48+273.15,"P",101325,"Water")</f>
        <v>985.19581075954966</v>
      </c>
      <c r="S48">
        <f t="shared" si="11"/>
        <v>984.45768158837541</v>
      </c>
      <c r="T48" cm="1">
        <f t="array" ref="T48">[1]!PropsSI("H","T",J48+273.15,"P",101325,"Water")</f>
        <v>246963.29748048109</v>
      </c>
      <c r="U48" cm="1">
        <f t="array" ref="U48">[1]!PropsSI("H","T",K48+273.15,"P",101325,"Water")</f>
        <v>234597.42089908506</v>
      </c>
      <c r="V48">
        <f t="shared" si="12"/>
        <v>274.21564054261245</v>
      </c>
      <c r="X48">
        <f t="shared" si="13"/>
        <v>0.26795188999999997</v>
      </c>
      <c r="Y48">
        <f t="shared" si="14"/>
        <v>0.262040736</v>
      </c>
      <c r="Z48">
        <f t="shared" si="15"/>
        <v>0.37478468842522605</v>
      </c>
      <c r="AA48">
        <f t="shared" si="16"/>
        <v>2.9555770000000052</v>
      </c>
      <c r="AB48">
        <f t="shared" si="17"/>
        <v>0.12719962159264195</v>
      </c>
      <c r="AC48">
        <f t="shared" si="18"/>
        <v>34.880125711804226</v>
      </c>
    </row>
    <row r="49" spans="1:29" x14ac:dyDescent="0.2">
      <c r="A49">
        <v>44675.035160141197</v>
      </c>
      <c r="B49">
        <v>18.073898</v>
      </c>
      <c r="C49">
        <v>18.437232000000002</v>
      </c>
      <c r="D49">
        <v>18.639163</v>
      </c>
      <c r="E49">
        <v>18.703385000000001</v>
      </c>
      <c r="F49">
        <v>42.709339</v>
      </c>
      <c r="G49">
        <v>40.68974</v>
      </c>
      <c r="H49">
        <v>39.007714999999997</v>
      </c>
      <c r="I49">
        <v>31.677068999999999</v>
      </c>
      <c r="J49">
        <v>58.961925999999998</v>
      </c>
      <c r="K49">
        <v>56.006200999999997</v>
      </c>
      <c r="L49">
        <v>32.076613000000002</v>
      </c>
      <c r="M49">
        <v>-622.49836700000003</v>
      </c>
      <c r="N49">
        <v>1.3547169999999999</v>
      </c>
      <c r="O49">
        <v>2.9391099999999999</v>
      </c>
      <c r="P49">
        <f t="shared" si="10"/>
        <v>2.2578616666666668E-5</v>
      </c>
      <c r="Q49" cm="1">
        <f t="array" ref="Q49">[1]!PropsSI("D","T",J49+273.15,"P",101325,"Water")</f>
        <v>983.72667883901613</v>
      </c>
      <c r="R49" cm="1">
        <f t="array" ref="R49">[1]!PropsSI("D","T",K49+273.15,"P",101325,"Water")</f>
        <v>985.2027589801653</v>
      </c>
      <c r="S49">
        <f t="shared" si="11"/>
        <v>984.46471890959072</v>
      </c>
      <c r="T49" cm="1">
        <f t="array" ref="T49">[1]!PropsSI("H","T",J49+273.15,"P",101325,"Water")</f>
        <v>246904.63482104996</v>
      </c>
      <c r="U49" cm="1">
        <f t="array" ref="U49">[1]!PropsSI("H","T",K49+273.15,"P",101325,"Water")</f>
        <v>234538.15565082163</v>
      </c>
      <c r="V49">
        <f t="shared" si="12"/>
        <v>274.88026269879504</v>
      </c>
      <c r="X49">
        <f t="shared" si="13"/>
        <v>0.26792385200000002</v>
      </c>
      <c r="Y49">
        <f t="shared" si="14"/>
        <v>0.26201240199999998</v>
      </c>
      <c r="Z49">
        <f t="shared" si="15"/>
        <v>0.37474483221563915</v>
      </c>
      <c r="AA49">
        <f t="shared" si="16"/>
        <v>2.955725000000001</v>
      </c>
      <c r="AB49">
        <f t="shared" si="17"/>
        <v>0.12717984911215671</v>
      </c>
      <c r="AC49">
        <f t="shared" si="18"/>
        <v>34.959230333942749</v>
      </c>
    </row>
    <row r="50" spans="1:29" x14ac:dyDescent="0.2">
      <c r="A50" t="s">
        <v>18</v>
      </c>
      <c r="B50">
        <v>18.160194000000001</v>
      </c>
      <c r="C50">
        <v>18.371126</v>
      </c>
      <c r="D50">
        <v>18.418635999999999</v>
      </c>
      <c r="E50">
        <v>18.690325000000001</v>
      </c>
      <c r="F50">
        <v>42.311216999999999</v>
      </c>
      <c r="G50">
        <v>41.449280000000002</v>
      </c>
      <c r="H50">
        <v>40.057931000000004</v>
      </c>
      <c r="I50">
        <v>31.862801000000001</v>
      </c>
      <c r="J50">
        <v>58.944561999999998</v>
      </c>
      <c r="K50">
        <v>55.991875</v>
      </c>
      <c r="L50">
        <v>22.292612999999999</v>
      </c>
      <c r="M50">
        <v>-622.48897999999997</v>
      </c>
      <c r="N50">
        <v>1.3550120000000001</v>
      </c>
      <c r="O50">
        <v>2.6671749999999999</v>
      </c>
      <c r="P50">
        <f t="shared" si="10"/>
        <v>2.2583533333333335E-5</v>
      </c>
      <c r="Q50" cm="1">
        <f t="array" ref="Q50">[1]!PropsSI("D","T",J50+273.15,"P",101325,"Water")</f>
        <v>983.73550403365664</v>
      </c>
      <c r="R50" cm="1">
        <f t="array" ref="R50">[1]!PropsSI("D","T",K50+273.15,"P",101325,"Water")</f>
        <v>985.20978392861639</v>
      </c>
      <c r="S50">
        <f t="shared" si="11"/>
        <v>984.47264398113657</v>
      </c>
      <c r="T50" cm="1">
        <f t="array" ref="T50">[1]!PropsSI("H","T",J50+273.15,"P",101325,"Water")</f>
        <v>246831.97508715867</v>
      </c>
      <c r="U50" cm="1">
        <f t="array" ref="U50">[1]!PropsSI("H","T",K50+273.15,"P",101325,"Water")</f>
        <v>234478.2253299107</v>
      </c>
      <c r="V50">
        <f t="shared" si="12"/>
        <v>274.65932189143683</v>
      </c>
      <c r="X50">
        <f t="shared" si="13"/>
        <v>0.26788912399999998</v>
      </c>
      <c r="Y50">
        <f t="shared" si="14"/>
        <v>0.26198375000000002</v>
      </c>
      <c r="Z50">
        <f t="shared" si="15"/>
        <v>0.37469997067193622</v>
      </c>
      <c r="AA50">
        <f t="shared" si="16"/>
        <v>2.9526869999999974</v>
      </c>
      <c r="AB50">
        <f t="shared" si="17"/>
        <v>0.12729474850387112</v>
      </c>
      <c r="AC50">
        <f t="shared" si="18"/>
        <v>34.962689304414234</v>
      </c>
    </row>
    <row r="51" spans="1:29" x14ac:dyDescent="0.2">
      <c r="A51">
        <v>46137.035229583336</v>
      </c>
      <c r="B51">
        <v>18.292238999999999</v>
      </c>
      <c r="C51">
        <v>18.65146</v>
      </c>
      <c r="D51">
        <v>18.205068000000001</v>
      </c>
      <c r="E51">
        <v>18.673446999999999</v>
      </c>
      <c r="F51">
        <v>42.928153000000002</v>
      </c>
      <c r="G51">
        <v>42.712397000000003</v>
      </c>
      <c r="H51">
        <v>38.119382999999999</v>
      </c>
      <c r="I51">
        <v>30.969546000000001</v>
      </c>
      <c r="J51">
        <v>58.930543</v>
      </c>
      <c r="K51">
        <v>55.983438</v>
      </c>
      <c r="L51">
        <v>24.50638</v>
      </c>
      <c r="M51">
        <v>-622.49265300000002</v>
      </c>
      <c r="N51">
        <v>1.3626830000000001</v>
      </c>
      <c r="O51">
        <v>2.6573259999999999</v>
      </c>
      <c r="P51">
        <f t="shared" si="10"/>
        <v>2.2711383333333337E-5</v>
      </c>
      <c r="Q51" cm="1">
        <f t="array" ref="Q51">[1]!PropsSI("D","T",J51+273.15,"P",101325,"Water")</f>
        <v>983.74262783091467</v>
      </c>
      <c r="R51" cm="1">
        <f t="array" ref="R51">[1]!PropsSI("D","T",K51+273.15,"P",101325,"Water")</f>
        <v>985.21392053603029</v>
      </c>
      <c r="S51">
        <f t="shared" si="11"/>
        <v>984.47827418347242</v>
      </c>
      <c r="T51" cm="1">
        <f t="array" ref="T51">[1]!PropsSI("H","T",J51+273.15,"P",101325,"Water")</f>
        <v>246773.31261297312</v>
      </c>
      <c r="U51" cm="1">
        <f t="array" ref="U51">[1]!PropsSI("H","T",K51+273.15,"P",101325,"Water")</f>
        <v>234442.93064891867</v>
      </c>
      <c r="V51">
        <f t="shared" si="12"/>
        <v>275.69332684652011</v>
      </c>
      <c r="X51">
        <f t="shared" si="13"/>
        <v>0.26786108600000003</v>
      </c>
      <c r="Y51">
        <f t="shared" si="14"/>
        <v>0.26196687600000002</v>
      </c>
      <c r="Z51">
        <f t="shared" si="15"/>
        <v>0.37466812716629472</v>
      </c>
      <c r="AA51">
        <f t="shared" si="16"/>
        <v>2.9471050000000005</v>
      </c>
      <c r="AB51">
        <f t="shared" si="17"/>
        <v>0.12752359438833111</v>
      </c>
      <c r="AC51">
        <f t="shared" si="18"/>
        <v>35.157403988345223</v>
      </c>
    </row>
    <row r="52" spans="1:29" x14ac:dyDescent="0.2">
      <c r="A52">
        <v>46137.03526488426</v>
      </c>
      <c r="B52">
        <v>18.453918999999999</v>
      </c>
      <c r="C52">
        <v>18.339276000000002</v>
      </c>
      <c r="D52">
        <v>18.265032000000001</v>
      </c>
      <c r="E52">
        <v>18.761814999999999</v>
      </c>
      <c r="F52">
        <v>41.976126999999998</v>
      </c>
      <c r="G52">
        <v>42.954537000000002</v>
      </c>
      <c r="H52">
        <v>39.010812999999999</v>
      </c>
      <c r="I52">
        <v>31.071031999999999</v>
      </c>
      <c r="J52">
        <v>58.912700000000001</v>
      </c>
      <c r="K52">
        <v>55.974364999999999</v>
      </c>
      <c r="L52">
        <v>32.782699999999998</v>
      </c>
      <c r="M52">
        <v>-622.49347</v>
      </c>
      <c r="N52">
        <v>1.3514429999999999</v>
      </c>
      <c r="O52">
        <v>2.296449</v>
      </c>
      <c r="P52">
        <f t="shared" si="10"/>
        <v>2.252405E-5</v>
      </c>
      <c r="Q52" cm="1">
        <f t="array" ref="Q52">[1]!PropsSI("D","T",J52+273.15,"P",101325,"Water")</f>
        <v>983.7516931092149</v>
      </c>
      <c r="R52" cm="1">
        <f t="array" ref="R52">[1]!PropsSI("D","T",K52+273.15,"P",101325,"Water")</f>
        <v>985.21836848204987</v>
      </c>
      <c r="S52">
        <f t="shared" si="11"/>
        <v>984.48503079563238</v>
      </c>
      <c r="T52" cm="1">
        <f t="array" ref="T52">[1]!PropsSI("H","T",J52+273.15,"P",101325,"Water")</f>
        <v>246698.64873896918</v>
      </c>
      <c r="U52" cm="1">
        <f t="array" ref="U52">[1]!PropsSI("H","T",K52+273.15,"P",101325,"Water")</f>
        <v>234404.9754056324</v>
      </c>
      <c r="V52">
        <f t="shared" si="12"/>
        <v>272.6071664723861</v>
      </c>
      <c r="X52">
        <f t="shared" si="13"/>
        <v>0.26782539999999999</v>
      </c>
      <c r="Y52">
        <f t="shared" si="14"/>
        <v>0.26194872999999996</v>
      </c>
      <c r="Z52">
        <f t="shared" si="15"/>
        <v>0.37462992677277246</v>
      </c>
      <c r="AA52">
        <f t="shared" si="16"/>
        <v>2.9383350000000021</v>
      </c>
      <c r="AB52">
        <f t="shared" si="17"/>
        <v>0.12788891402971708</v>
      </c>
      <c r="AC52">
        <f t="shared" si="18"/>
        <v>34.86343447687176</v>
      </c>
    </row>
    <row r="53" spans="1:29" x14ac:dyDescent="0.2">
      <c r="A53">
        <v>46137.035300185184</v>
      </c>
      <c r="B53">
        <v>18.530237</v>
      </c>
      <c r="C53">
        <v>18.261154000000001</v>
      </c>
      <c r="D53">
        <v>18.324501999999999</v>
      </c>
      <c r="E53">
        <v>18.662247000000001</v>
      </c>
      <c r="F53">
        <v>42.095706999999997</v>
      </c>
      <c r="G53">
        <v>41.516094000000002</v>
      </c>
      <c r="H53">
        <v>38.811022000000001</v>
      </c>
      <c r="I53">
        <v>32.064045999999998</v>
      </c>
      <c r="J53">
        <v>58.895017000000003</v>
      </c>
      <c r="K53">
        <v>55.966724999999997</v>
      </c>
      <c r="L53">
        <v>22.013850999999999</v>
      </c>
      <c r="M53">
        <v>-622.49306200000001</v>
      </c>
      <c r="N53">
        <v>1.3613390000000001</v>
      </c>
      <c r="O53">
        <v>2.7346919999999999</v>
      </c>
      <c r="P53">
        <f t="shared" si="10"/>
        <v>2.2688983333333332E-5</v>
      </c>
      <c r="Q53" cm="1">
        <f t="array" ref="Q53">[1]!PropsSI("D","T",J53+273.15,"P",101325,"Water")</f>
        <v>983.7606752237391</v>
      </c>
      <c r="R53" cm="1">
        <f t="array" ref="R53">[1]!PropsSI("D","T",K53+273.15,"P",101325,"Water")</f>
        <v>985.22211352205318</v>
      </c>
      <c r="S53">
        <f t="shared" si="11"/>
        <v>984.49139437289614</v>
      </c>
      <c r="T53" cm="1">
        <f t="array" ref="T53">[1]!PropsSI("H","T",J53+273.15,"P",101325,"Water")</f>
        <v>246624.65451559838</v>
      </c>
      <c r="U53" cm="1">
        <f t="array" ref="U53">[1]!PropsSI("H","T",K53+273.15,"P",101325,"Water")</f>
        <v>234373.01488091768</v>
      </c>
      <c r="V53">
        <f t="shared" si="12"/>
        <v>273.66620797284361</v>
      </c>
      <c r="X53">
        <f t="shared" si="13"/>
        <v>0.26779003400000001</v>
      </c>
      <c r="Y53">
        <f t="shared" si="14"/>
        <v>0.26193345000000001</v>
      </c>
      <c r="Z53">
        <f t="shared" si="15"/>
        <v>0.3745939595597127</v>
      </c>
      <c r="AA53">
        <f t="shared" si="16"/>
        <v>2.9282920000000061</v>
      </c>
      <c r="AB53">
        <f t="shared" si="17"/>
        <v>0.12831260502947714</v>
      </c>
      <c r="AC53">
        <f t="shared" si="18"/>
        <v>35.114824053534228</v>
      </c>
    </row>
    <row r="54" spans="1:29" x14ac:dyDescent="0.2">
      <c r="A54">
        <v>46137.035334907407</v>
      </c>
      <c r="B54">
        <v>18.452179999999998</v>
      </c>
      <c r="C54">
        <v>18.459536</v>
      </c>
      <c r="D54">
        <v>18.474701</v>
      </c>
      <c r="E54">
        <v>18.588284999999999</v>
      </c>
      <c r="F54">
        <v>42.270816000000003</v>
      </c>
      <c r="G54">
        <v>42.231529000000002</v>
      </c>
      <c r="H54">
        <v>39.376387999999999</v>
      </c>
      <c r="I54">
        <v>32.506200999999997</v>
      </c>
      <c r="J54">
        <v>58.878449000000003</v>
      </c>
      <c r="K54">
        <v>55.952240000000003</v>
      </c>
      <c r="L54">
        <v>29.875907000000002</v>
      </c>
      <c r="M54">
        <v>-622.48204199999998</v>
      </c>
      <c r="N54">
        <v>1.353631</v>
      </c>
      <c r="O54">
        <v>3.1345559999999999</v>
      </c>
      <c r="P54">
        <f t="shared" si="10"/>
        <v>2.2560516666666669E-5</v>
      </c>
      <c r="Q54" cm="1">
        <f t="array" ref="Q54">[1]!PropsSI("D","T",J54+273.15,"P",101325,"Water")</f>
        <v>983.76908927825821</v>
      </c>
      <c r="R54" cm="1">
        <f t="array" ref="R54">[1]!PropsSI("D","T",K54+273.15,"P",101325,"Water")</f>
        <v>985.22921291732268</v>
      </c>
      <c r="S54">
        <f t="shared" si="11"/>
        <v>984.49915109779045</v>
      </c>
      <c r="T54" cm="1">
        <f t="array" ref="T54">[1]!PropsSI("H","T",J54+273.15,"P",101325,"Water")</f>
        <v>246555.32611065454</v>
      </c>
      <c r="U54" cm="1">
        <f t="array" ref="U54">[1]!PropsSI("H","T",K54+273.15,"P",101325,"Water")</f>
        <v>234312.41962705291</v>
      </c>
      <c r="V54">
        <f t="shared" si="12"/>
        <v>271.9248637151394</v>
      </c>
      <c r="X54">
        <f t="shared" si="13"/>
        <v>0.26775689800000002</v>
      </c>
      <c r="Y54">
        <f t="shared" si="14"/>
        <v>0.26190448</v>
      </c>
      <c r="Z54">
        <f t="shared" si="15"/>
        <v>0.37455001411113681</v>
      </c>
      <c r="AA54">
        <f t="shared" si="16"/>
        <v>2.9262090000000001</v>
      </c>
      <c r="AB54">
        <f t="shared" si="17"/>
        <v>0.12838841656253011</v>
      </c>
      <c r="AC54">
        <f t="shared" si="18"/>
        <v>34.912002676368544</v>
      </c>
    </row>
    <row r="55" spans="1:29" x14ac:dyDescent="0.2">
      <c r="A55">
        <v>46137.03537020833</v>
      </c>
      <c r="B55">
        <v>18.360285999999999</v>
      </c>
      <c r="C55">
        <v>18.150984999999999</v>
      </c>
      <c r="D55">
        <v>18.609722000000001</v>
      </c>
      <c r="E55">
        <v>18.498035999999999</v>
      </c>
      <c r="F55">
        <v>42.503188000000002</v>
      </c>
      <c r="G55">
        <v>41.559083000000001</v>
      </c>
      <c r="H55">
        <v>38.599068000000003</v>
      </c>
      <c r="I55">
        <v>31.843626</v>
      </c>
      <c r="J55">
        <v>58.861244999999997</v>
      </c>
      <c r="K55">
        <v>55.941575</v>
      </c>
      <c r="L55">
        <v>22.701163999999999</v>
      </c>
      <c r="M55">
        <v>-622.52734599999997</v>
      </c>
      <c r="N55">
        <v>1.3491930000000001</v>
      </c>
      <c r="O55">
        <v>2.8668149999999999</v>
      </c>
      <c r="P55">
        <f t="shared" si="10"/>
        <v>2.2486550000000002E-5</v>
      </c>
      <c r="Q55" cm="1">
        <f t="array" ref="Q55">[1]!PropsSI("D","T",J55+273.15,"P",101325,"Water")</f>
        <v>983.77782459092771</v>
      </c>
      <c r="R55" cm="1">
        <f t="array" ref="R55">[1]!PropsSI("D","T",K55+273.15,"P",101325,"Water")</f>
        <v>985.23443922795809</v>
      </c>
      <c r="S55">
        <f t="shared" si="11"/>
        <v>984.50613190944296</v>
      </c>
      <c r="T55" cm="1">
        <f t="array" ref="T55">[1]!PropsSI("H","T",J55+273.15,"P",101325,"Water")</f>
        <v>246483.3365007648</v>
      </c>
      <c r="U55" cm="1">
        <f t="array" ref="U55">[1]!PropsSI("H","T",K55+273.15,"P",101325,"Water")</f>
        <v>234267.80467005286</v>
      </c>
      <c r="V55">
        <f t="shared" si="12"/>
        <v>270.42923153950414</v>
      </c>
      <c r="X55">
        <f t="shared" si="13"/>
        <v>0.26772248999999998</v>
      </c>
      <c r="Y55">
        <f t="shared" si="14"/>
        <v>0.26188315000000001</v>
      </c>
      <c r="Z55">
        <f t="shared" si="15"/>
        <v>0.37451050172955441</v>
      </c>
      <c r="AA55">
        <f t="shared" si="16"/>
        <v>2.9196699999999964</v>
      </c>
      <c r="AB55">
        <f t="shared" si="17"/>
        <v>0.1286607252505256</v>
      </c>
      <c r="AC55">
        <f t="shared" si="18"/>
        <v>34.793621058814914</v>
      </c>
    </row>
    <row r="56" spans="1:29" x14ac:dyDescent="0.2">
      <c r="A56">
        <v>46137.035404930553</v>
      </c>
      <c r="B56">
        <v>18.222089</v>
      </c>
      <c r="C56">
        <v>18.268142000000001</v>
      </c>
      <c r="D56">
        <v>18.662244999999999</v>
      </c>
      <c r="E56">
        <v>18.473210000000002</v>
      </c>
      <c r="F56">
        <v>42.343604999999997</v>
      </c>
      <c r="G56">
        <v>39.039062999999999</v>
      </c>
      <c r="H56">
        <v>39.242038999999998</v>
      </c>
      <c r="I56">
        <v>31.459792</v>
      </c>
      <c r="J56">
        <v>58.841650000000001</v>
      </c>
      <c r="K56">
        <v>55.927886000000001</v>
      </c>
      <c r="L56">
        <v>22.231392</v>
      </c>
      <c r="M56">
        <v>-622.48938799999996</v>
      </c>
      <c r="N56">
        <v>1.3540779999999999</v>
      </c>
      <c r="O56">
        <v>3.0306190000000002</v>
      </c>
      <c r="P56">
        <f t="shared" si="10"/>
        <v>2.2567966666666665E-5</v>
      </c>
      <c r="Q56" cm="1">
        <f t="array" ref="Q56">[1]!PropsSI("D","T",J56+273.15,"P",101325,"Water")</f>
        <v>983.78777177860502</v>
      </c>
      <c r="R56" cm="1">
        <f t="array" ref="R56">[1]!PropsSI("D","T",K56+273.15,"P",101325,"Water")</f>
        <v>985.24114640443486</v>
      </c>
      <c r="S56">
        <f t="shared" si="11"/>
        <v>984.51445909151994</v>
      </c>
      <c r="T56" cm="1">
        <f t="array" ref="T56">[1]!PropsSI("H","T",J56+273.15,"P",101325,"Water")</f>
        <v>246401.34197604188</v>
      </c>
      <c r="U56" cm="1">
        <f t="array" ref="U56">[1]!PropsSI("H","T",K56+273.15,"P",101325,"Water")</f>
        <v>234210.53945878116</v>
      </c>
      <c r="V56">
        <f t="shared" si="12"/>
        <v>270.86121767304212</v>
      </c>
      <c r="X56">
        <f t="shared" si="13"/>
        <v>0.26768330000000001</v>
      </c>
      <c r="Y56">
        <f t="shared" si="14"/>
        <v>0.26185577199999999</v>
      </c>
      <c r="Z56">
        <f t="shared" si="15"/>
        <v>0.37446334190225616</v>
      </c>
      <c r="AA56">
        <f t="shared" si="16"/>
        <v>2.9137640000000005</v>
      </c>
      <c r="AB56">
        <f t="shared" si="17"/>
        <v>0.12890380148079283</v>
      </c>
      <c r="AC56">
        <f t="shared" si="18"/>
        <v>34.915040631771639</v>
      </c>
    </row>
    <row r="57" spans="1:29" x14ac:dyDescent="0.2">
      <c r="A57">
        <v>46137.035440231484</v>
      </c>
      <c r="B57">
        <v>18.376439999999999</v>
      </c>
      <c r="C57">
        <v>18.199159000000002</v>
      </c>
      <c r="D57">
        <v>18.654799000000001</v>
      </c>
      <c r="E57">
        <v>18.535112999999999</v>
      </c>
      <c r="F57">
        <v>42.586801999999999</v>
      </c>
      <c r="G57">
        <v>41.883246999999997</v>
      </c>
      <c r="H57">
        <v>38.501787999999998</v>
      </c>
      <c r="I57">
        <v>31.766736000000002</v>
      </c>
      <c r="J57">
        <v>58.823968000000001</v>
      </c>
      <c r="K57">
        <v>55.911490999999998</v>
      </c>
      <c r="L57">
        <v>22.099561000000001</v>
      </c>
      <c r="M57">
        <v>-622.48204199999998</v>
      </c>
      <c r="N57">
        <v>1.3456980000000001</v>
      </c>
      <c r="O57">
        <v>3.0057239999999998</v>
      </c>
      <c r="P57">
        <f t="shared" si="10"/>
        <v>2.24283E-5</v>
      </c>
      <c r="Q57" cm="1">
        <f t="array" ref="Q57">[1]!PropsSI("D","T",J57+273.15,"P",101325,"Water")</f>
        <v>983.79674588458624</v>
      </c>
      <c r="R57" cm="1">
        <f t="array" ref="R57">[1]!PropsSI("D","T",K57+273.15,"P",101325,"Water")</f>
        <v>985.24917791892949</v>
      </c>
      <c r="S57">
        <f t="shared" si="11"/>
        <v>984.52296190175787</v>
      </c>
      <c r="T57" cm="1">
        <f t="array" ref="T57">[1]!PropsSI("H","T",J57+273.15,"P",101325,"Water")</f>
        <v>246327.35246459005</v>
      </c>
      <c r="U57" cm="1">
        <f t="array" ref="U57">[1]!PropsSI("H","T",K57+273.15,"P",101325,"Water")</f>
        <v>234141.95432699099</v>
      </c>
      <c r="V57">
        <f t="shared" si="12"/>
        <v>269.06792512767714</v>
      </c>
      <c r="X57">
        <f t="shared" si="13"/>
        <v>0.26764793600000003</v>
      </c>
      <c r="Y57">
        <f t="shared" si="14"/>
        <v>0.26182298199999998</v>
      </c>
      <c r="Z57">
        <f t="shared" si="15"/>
        <v>0.37441513263813531</v>
      </c>
      <c r="AA57">
        <f t="shared" si="16"/>
        <v>2.9124770000000026</v>
      </c>
      <c r="AB57">
        <f t="shared" si="17"/>
        <v>0.12894391747330536</v>
      </c>
      <c r="AC57">
        <f t="shared" si="18"/>
        <v>34.694672332376705</v>
      </c>
    </row>
    <row r="58" spans="1:29" x14ac:dyDescent="0.2">
      <c r="A58">
        <v>46137.035474953707</v>
      </c>
      <c r="B58">
        <v>18.217673000000001</v>
      </c>
      <c r="C58">
        <v>18.380478</v>
      </c>
      <c r="D58">
        <v>18.690752</v>
      </c>
      <c r="E58">
        <v>18.584256</v>
      </c>
      <c r="F58">
        <v>42.274281000000002</v>
      </c>
      <c r="G58">
        <v>41.600099</v>
      </c>
      <c r="H58">
        <v>39.353684999999999</v>
      </c>
      <c r="I58">
        <v>31.280100999999998</v>
      </c>
      <c r="J58">
        <v>58.808356000000003</v>
      </c>
      <c r="K58">
        <v>55.892071999999999</v>
      </c>
      <c r="L58">
        <v>21.798760000000001</v>
      </c>
      <c r="M58">
        <v>-622.50489800000003</v>
      </c>
      <c r="N58">
        <v>1.3522130000000001</v>
      </c>
      <c r="O58">
        <v>2.6169660000000001</v>
      </c>
      <c r="P58">
        <f t="shared" si="10"/>
        <v>2.2536883333333334E-5</v>
      </c>
      <c r="Q58" cm="1">
        <f t="array" ref="Q58">[1]!PropsSI("D","T",J58+273.15,"P",101325,"Water")</f>
        <v>983.80466785577948</v>
      </c>
      <c r="R58" cm="1">
        <f t="array" ref="R58">[1]!PropsSI("D","T",K58+273.15,"P",101325,"Water")</f>
        <v>985.25868867951931</v>
      </c>
      <c r="S58">
        <f t="shared" si="11"/>
        <v>984.53167826764934</v>
      </c>
      <c r="T58" cm="1">
        <f t="array" ref="T58">[1]!PropsSI("H","T",J58+273.15,"P",101325,"Water")</f>
        <v>246262.02488130511</v>
      </c>
      <c r="U58" cm="1">
        <f t="array" ref="U58">[1]!PropsSI("H","T",K58+273.15,"P",101325,"Water")</f>
        <v>234060.71903977232</v>
      </c>
      <c r="V58">
        <f t="shared" si="12"/>
        <v>270.72593633906627</v>
      </c>
      <c r="X58">
        <f t="shared" si="13"/>
        <v>0.26761671200000003</v>
      </c>
      <c r="Y58">
        <f t="shared" si="14"/>
        <v>0.261784144</v>
      </c>
      <c r="Z58">
        <f t="shared" si="15"/>
        <v>0.37436565359485596</v>
      </c>
      <c r="AA58">
        <f t="shared" si="16"/>
        <v>2.9162840000000045</v>
      </c>
      <c r="AB58">
        <f t="shared" si="17"/>
        <v>0.12875968824694095</v>
      </c>
      <c r="AC58">
        <f t="shared" si="18"/>
        <v>34.858587163379354</v>
      </c>
    </row>
    <row r="59" spans="1:29" x14ac:dyDescent="0.2">
      <c r="A59">
        <v>46137.035510254631</v>
      </c>
      <c r="B59">
        <v>18.138480000000001</v>
      </c>
      <c r="C59">
        <v>18.193849</v>
      </c>
      <c r="D59">
        <v>18.750467</v>
      </c>
      <c r="E59">
        <v>18.804213000000001</v>
      </c>
      <c r="F59">
        <v>42.155791999999998</v>
      </c>
      <c r="G59">
        <v>41.802250999999998</v>
      </c>
      <c r="H59">
        <v>39.519157</v>
      </c>
      <c r="I59">
        <v>32.245645000000003</v>
      </c>
      <c r="J59">
        <v>58.788761999999998</v>
      </c>
      <c r="K59">
        <v>55.878064000000002</v>
      </c>
      <c r="L59">
        <v>23.071349000000001</v>
      </c>
      <c r="M59">
        <v>-622.47796000000005</v>
      </c>
      <c r="N59">
        <v>1.3566100000000001</v>
      </c>
      <c r="O59">
        <v>2.8962970000000001</v>
      </c>
      <c r="P59">
        <f t="shared" si="10"/>
        <v>2.2610166666666669E-5</v>
      </c>
      <c r="Q59" cm="1">
        <f t="array" ref="Q59">[1]!PropsSI("D","T",J59+273.15,"P",101325,"Water")</f>
        <v>983.81460834609493</v>
      </c>
      <c r="R59" cm="1">
        <f t="array" ref="R59">[1]!PropsSI("D","T",K59+273.15,"P",101325,"Water")</f>
        <v>985.26554787775342</v>
      </c>
      <c r="S59">
        <f t="shared" si="11"/>
        <v>984.54007811192423</v>
      </c>
      <c r="T59" cm="1">
        <f t="array" ref="T59">[1]!PropsSI("H","T",J59+273.15,"P",101325,"Water")</f>
        <v>246180.03497549123</v>
      </c>
      <c r="U59" cm="1">
        <f t="array" ref="U59">[1]!PropsSI("H","T",K59+273.15,"P",101325,"Water")</f>
        <v>234002.11961676617</v>
      </c>
      <c r="V59">
        <f t="shared" si="12"/>
        <v>271.08788842221736</v>
      </c>
      <c r="X59">
        <f t="shared" si="13"/>
        <v>0.26757752400000001</v>
      </c>
      <c r="Y59">
        <f t="shared" si="14"/>
        <v>0.26175612800000003</v>
      </c>
      <c r="Z59">
        <f t="shared" si="15"/>
        <v>0.37431804911802341</v>
      </c>
      <c r="AA59">
        <f t="shared" si="16"/>
        <v>2.9106979999999965</v>
      </c>
      <c r="AB59">
        <f t="shared" si="17"/>
        <v>0.12898899963989841</v>
      </c>
      <c r="AC59">
        <f t="shared" si="18"/>
        <v>34.967355542074216</v>
      </c>
    </row>
    <row r="60" spans="1:29" x14ac:dyDescent="0.2">
      <c r="A60">
        <v>46137.035544976854</v>
      </c>
      <c r="B60">
        <v>18.137450999999999</v>
      </c>
      <c r="C60">
        <v>18.247070999999998</v>
      </c>
      <c r="D60">
        <v>18.714217999999999</v>
      </c>
      <c r="E60">
        <v>18.879808000000001</v>
      </c>
      <c r="F60">
        <v>41.988078000000002</v>
      </c>
      <c r="G60">
        <v>42.423108999999997</v>
      </c>
      <c r="H60">
        <v>39.954684</v>
      </c>
      <c r="I60">
        <v>31.835830999999999</v>
      </c>
      <c r="J60">
        <v>58.773150999999999</v>
      </c>
      <c r="K60">
        <v>55.863897999999999</v>
      </c>
      <c r="L60">
        <v>26.045486</v>
      </c>
      <c r="M60">
        <v>-622.48938799999996</v>
      </c>
      <c r="N60">
        <v>1.353451</v>
      </c>
      <c r="O60">
        <v>2.836303</v>
      </c>
      <c r="P60">
        <f t="shared" si="10"/>
        <v>2.2557516666666669E-5</v>
      </c>
      <c r="Q60" cm="1">
        <f t="array" ref="Q60">[1]!PropsSI("D","T",J60+273.15,"P",101325,"Water")</f>
        <v>983.82252652633986</v>
      </c>
      <c r="R60" cm="1">
        <f t="array" ref="R60">[1]!PropsSI("D","T",K60+273.15,"P",101325,"Water")</f>
        <v>985.2724832151622</v>
      </c>
      <c r="S60">
        <f t="shared" si="11"/>
        <v>984.54750487075103</v>
      </c>
      <c r="T60" cm="1">
        <f t="array" ref="T60">[1]!PropsSI("H","T",J60+273.15,"P",101325,"Water")</f>
        <v>246114.71180687568</v>
      </c>
      <c r="U60" cm="1">
        <f t="array" ref="U60">[1]!PropsSI("H","T",K60+273.15,"P",101325,"Water")</f>
        <v>233942.8593098383</v>
      </c>
      <c r="V60">
        <f t="shared" si="12"/>
        <v>270.32402395856485</v>
      </c>
      <c r="X60">
        <f t="shared" si="13"/>
        <v>0.26754630200000001</v>
      </c>
      <c r="Y60">
        <f t="shared" si="14"/>
        <v>0.26172779600000001</v>
      </c>
      <c r="Z60">
        <f t="shared" si="15"/>
        <v>0.37427591815783823</v>
      </c>
      <c r="AA60">
        <f t="shared" si="16"/>
        <v>2.9092529999999996</v>
      </c>
      <c r="AB60">
        <f t="shared" si="17"/>
        <v>0.12903824419142204</v>
      </c>
      <c r="AC60">
        <f t="shared" si="18"/>
        <v>34.882137414373112</v>
      </c>
    </row>
    <row r="61" spans="1:29" x14ac:dyDescent="0.2">
      <c r="A61">
        <v>46137.035580277778</v>
      </c>
      <c r="B61">
        <v>18.145811999999999</v>
      </c>
      <c r="C61">
        <v>18.20675</v>
      </c>
      <c r="D61">
        <v>18.769006000000001</v>
      </c>
      <c r="E61">
        <v>18.864294000000001</v>
      </c>
      <c r="F61">
        <v>42.451317000000003</v>
      </c>
      <c r="G61">
        <v>41.615070000000003</v>
      </c>
      <c r="H61">
        <v>38.870603000000003</v>
      </c>
      <c r="I61">
        <v>32.558340999999999</v>
      </c>
      <c r="J61">
        <v>58.757221000000001</v>
      </c>
      <c r="K61">
        <v>55.853073999999999</v>
      </c>
      <c r="L61">
        <v>19.744577</v>
      </c>
      <c r="M61">
        <v>-622.48775599999999</v>
      </c>
      <c r="N61">
        <v>1.363232</v>
      </c>
      <c r="O61">
        <v>2.642001</v>
      </c>
      <c r="P61">
        <f t="shared" si="10"/>
        <v>2.2720533333333334E-5</v>
      </c>
      <c r="Q61" cm="1">
        <f t="array" ref="Q61">[1]!PropsSI("D","T",J61+273.15,"P",101325,"Water")</f>
        <v>983.83060500783063</v>
      </c>
      <c r="R61" cm="1">
        <f t="array" ref="R61">[1]!PropsSI("D","T",K61+273.15,"P",101325,"Water")</f>
        <v>985.27778155658109</v>
      </c>
      <c r="S61">
        <f t="shared" si="11"/>
        <v>984.55419328220592</v>
      </c>
      <c r="T61" cm="1">
        <f t="array" ref="T61">[1]!PropsSI("H","T",J61+273.15,"P",101325,"Water")</f>
        <v>246048.05390956262</v>
      </c>
      <c r="U61" cm="1">
        <f t="array" ref="U61">[1]!PropsSI("H","T",K61+273.15,"P",101325,"Water")</f>
        <v>233897.57956655879</v>
      </c>
      <c r="V61">
        <f t="shared" si="12"/>
        <v>271.80120671987379</v>
      </c>
      <c r="X61">
        <f t="shared" si="13"/>
        <v>0.26751444200000002</v>
      </c>
      <c r="Y61">
        <f t="shared" si="14"/>
        <v>0.26170614800000003</v>
      </c>
      <c r="Z61">
        <f t="shared" si="15"/>
        <v>0.37423800525811018</v>
      </c>
      <c r="AA61">
        <f t="shared" si="16"/>
        <v>2.9041470000000018</v>
      </c>
      <c r="AB61">
        <f t="shared" si="17"/>
        <v>0.12925073911393348</v>
      </c>
      <c r="AC61">
        <f t="shared" si="18"/>
        <v>35.130506860602708</v>
      </c>
    </row>
    <row r="62" spans="1:29" x14ac:dyDescent="0.2">
      <c r="A62">
        <v>46137.035615000001</v>
      </c>
      <c r="B62">
        <v>18.214770999999999</v>
      </c>
      <c r="C62">
        <v>18.206439</v>
      </c>
      <c r="D62">
        <v>18.768453000000001</v>
      </c>
      <c r="E62">
        <v>18.900735999999998</v>
      </c>
      <c r="F62">
        <v>42.561447999999999</v>
      </c>
      <c r="G62">
        <v>41.201467000000001</v>
      </c>
      <c r="H62">
        <v>39.014102999999999</v>
      </c>
      <c r="I62">
        <v>31.628550000000001</v>
      </c>
      <c r="J62">
        <v>58.744157999999999</v>
      </c>
      <c r="K62">
        <v>55.844957000000001</v>
      </c>
      <c r="L62">
        <v>18.489538</v>
      </c>
      <c r="M62">
        <v>-622.50449000000003</v>
      </c>
      <c r="N62">
        <v>1.3515090000000001</v>
      </c>
      <c r="O62">
        <v>2.8739949999999999</v>
      </c>
      <c r="P62">
        <f t="shared" si="10"/>
        <v>2.2525150000000002E-5</v>
      </c>
      <c r="Q62" cm="1">
        <f t="array" ref="Q62">[1]!PropsSI("D","T",J62+273.15,"P",101325,"Water")</f>
        <v>983.83722843370424</v>
      </c>
      <c r="R62" cm="1">
        <f t="array" ref="R62">[1]!PropsSI("D","T",K62+273.15,"P",101325,"Water")</f>
        <v>985.28175435013497</v>
      </c>
      <c r="S62">
        <f t="shared" si="11"/>
        <v>984.55949139191966</v>
      </c>
      <c r="T62" cm="1">
        <f t="array" ref="T62">[1]!PropsSI("H","T",J62+273.15,"P",101325,"Water")</f>
        <v>245993.39283910141</v>
      </c>
      <c r="U62" cm="1">
        <f t="array" ref="U62">[1]!PropsSI("H","T",K62+273.15,"P",101325,"Water")</f>
        <v>233863.62397114115</v>
      </c>
      <c r="V62">
        <f t="shared" si="12"/>
        <v>269.00613236370469</v>
      </c>
      <c r="X62">
        <f t="shared" si="13"/>
        <v>0.267488316</v>
      </c>
      <c r="Y62">
        <f t="shared" si="14"/>
        <v>0.26168991399999997</v>
      </c>
      <c r="Z62">
        <f t="shared" si="15"/>
        <v>0.3742079773145453</v>
      </c>
      <c r="AA62">
        <f t="shared" si="16"/>
        <v>2.8992009999999979</v>
      </c>
      <c r="AB62">
        <f t="shared" si="17"/>
        <v>0.12945959406769039</v>
      </c>
      <c r="AC62">
        <f t="shared" si="18"/>
        <v>34.825424697524603</v>
      </c>
    </row>
    <row r="63" spans="1:29" x14ac:dyDescent="0.2">
      <c r="A63">
        <v>46137.035649722224</v>
      </c>
      <c r="B63">
        <v>18.160212999999999</v>
      </c>
      <c r="C63">
        <v>18.220434999999998</v>
      </c>
      <c r="D63">
        <v>18.812276000000001</v>
      </c>
      <c r="E63">
        <v>18.891076999999999</v>
      </c>
      <c r="F63">
        <v>42.720874999999999</v>
      </c>
      <c r="G63">
        <v>41.956597000000002</v>
      </c>
      <c r="H63">
        <v>38.586770999999999</v>
      </c>
      <c r="I63">
        <v>32.001364000000002</v>
      </c>
      <c r="J63">
        <v>58.727432</v>
      </c>
      <c r="K63">
        <v>55.826652000000003</v>
      </c>
      <c r="L63">
        <v>16.406784999999999</v>
      </c>
      <c r="M63">
        <v>-622.47836800000005</v>
      </c>
      <c r="N63">
        <v>1.3594949999999999</v>
      </c>
      <c r="O63">
        <v>2.9579170000000001</v>
      </c>
      <c r="P63">
        <f t="shared" si="10"/>
        <v>2.2658249999999996E-5</v>
      </c>
      <c r="Q63" cm="1">
        <f t="array" ref="Q63">[1]!PropsSI("D","T",J63+273.15,"P",101325,"Water")</f>
        <v>983.84570764732689</v>
      </c>
      <c r="R63" cm="1">
        <f t="array" ref="R63">[1]!PropsSI("D","T",K63+273.15,"P",101325,"Water")</f>
        <v>985.29071208158177</v>
      </c>
      <c r="S63">
        <f t="shared" si="11"/>
        <v>984.56820986445427</v>
      </c>
      <c r="T63" cm="1">
        <f t="array" ref="T63">[1]!PropsSI("H","T",J63+273.15,"P",101325,"Water")</f>
        <v>245923.40434470709</v>
      </c>
      <c r="U63" cm="1">
        <f t="array" ref="U63">[1]!PropsSI("H","T",K63+273.15,"P",101325,"Water")</f>
        <v>233787.04932061708</v>
      </c>
      <c r="V63">
        <f t="shared" si="12"/>
        <v>270.74500038093493</v>
      </c>
      <c r="X63">
        <f t="shared" si="13"/>
        <v>0.26745486400000001</v>
      </c>
      <c r="Y63">
        <f t="shared" si="14"/>
        <v>0.26165330399999998</v>
      </c>
      <c r="Z63">
        <f t="shared" si="15"/>
        <v>0.37415846345014692</v>
      </c>
      <c r="AA63">
        <f t="shared" si="16"/>
        <v>2.9007799999999975</v>
      </c>
      <c r="AB63">
        <f t="shared" si="17"/>
        <v>0.12937252699247553</v>
      </c>
      <c r="AC63">
        <f t="shared" si="18"/>
        <v>35.026964869860301</v>
      </c>
    </row>
    <row r="64" spans="1:29" x14ac:dyDescent="0.2">
      <c r="A64">
        <v>46137.035684444447</v>
      </c>
      <c r="B64">
        <v>18.306201999999999</v>
      </c>
      <c r="C64">
        <v>18.427778</v>
      </c>
      <c r="D64">
        <v>18.760090000000002</v>
      </c>
      <c r="E64">
        <v>18.846582000000001</v>
      </c>
      <c r="F64">
        <v>41.866211999999997</v>
      </c>
      <c r="G64">
        <v>40.108401999999998</v>
      </c>
      <c r="H64">
        <v>37.923437999999997</v>
      </c>
      <c r="I64">
        <v>31.199860000000001</v>
      </c>
      <c r="J64">
        <v>58.714370000000002</v>
      </c>
      <c r="K64">
        <v>55.819170999999997</v>
      </c>
      <c r="L64">
        <v>23.079104000000001</v>
      </c>
      <c r="M64">
        <v>-622.50040799999999</v>
      </c>
      <c r="N64">
        <v>1.345755</v>
      </c>
      <c r="O64">
        <v>2.8505739999999999</v>
      </c>
      <c r="P64">
        <f t="shared" si="10"/>
        <v>2.2429250000000002E-5</v>
      </c>
      <c r="Q64" cm="1">
        <f t="array" ref="Q64">[1]!PropsSI("D","T",J64+273.15,"P",101325,"Water")</f>
        <v>983.85232824009074</v>
      </c>
      <c r="R64" cm="1">
        <f t="array" ref="R64">[1]!PropsSI("D","T",K64+273.15,"P",101325,"Water")</f>
        <v>985.29437238874868</v>
      </c>
      <c r="S64">
        <f t="shared" si="11"/>
        <v>984.57335031441971</v>
      </c>
      <c r="T64" cm="1">
        <f t="array" ref="T64">[1]!PropsSI("H","T",J64+273.15,"P",101325,"Water")</f>
        <v>245868.74762126853</v>
      </c>
      <c r="U64" cm="1">
        <f t="array" ref="U64">[1]!PropsSI("H","T",K64+273.15,"P",101325,"Water")</f>
        <v>233755.75435748359</v>
      </c>
      <c r="V64">
        <f t="shared" si="12"/>
        <v>267.49415937839228</v>
      </c>
      <c r="X64">
        <f t="shared" si="13"/>
        <v>0.26742874</v>
      </c>
      <c r="Y64">
        <f t="shared" si="14"/>
        <v>0.26163834200000002</v>
      </c>
      <c r="Z64">
        <f t="shared" si="15"/>
        <v>0.37412932654697967</v>
      </c>
      <c r="AA64">
        <f t="shared" si="16"/>
        <v>2.8951990000000052</v>
      </c>
      <c r="AB64">
        <f t="shared" si="17"/>
        <v>0.12961039259060655</v>
      </c>
      <c r="AC64">
        <f t="shared" si="18"/>
        <v>34.670023012727704</v>
      </c>
    </row>
    <row r="65" spans="1:29" x14ac:dyDescent="0.2">
      <c r="A65">
        <v>46137.03571916667</v>
      </c>
      <c r="B65">
        <v>18.224558999999999</v>
      </c>
      <c r="C65">
        <v>18.336292</v>
      </c>
      <c r="D65">
        <v>18.707397</v>
      </c>
      <c r="E65">
        <v>18.891055000000001</v>
      </c>
      <c r="F65">
        <v>41.987966999999998</v>
      </c>
      <c r="G65">
        <v>41.037961000000003</v>
      </c>
      <c r="H65">
        <v>39.285460999999998</v>
      </c>
      <c r="I65">
        <v>32.082338999999997</v>
      </c>
      <c r="J65">
        <v>58.697961999999997</v>
      </c>
      <c r="K65">
        <v>55.805483000000002</v>
      </c>
      <c r="L65">
        <v>13.492236999999999</v>
      </c>
      <c r="M65">
        <v>-622.51142800000002</v>
      </c>
      <c r="N65">
        <v>1.348066</v>
      </c>
      <c r="O65">
        <v>2.9465309999999998</v>
      </c>
      <c r="P65">
        <f t="shared" si="10"/>
        <v>2.2467766666666665E-5</v>
      </c>
      <c r="Q65" cm="1">
        <f t="array" ref="Q65">[1]!PropsSI("D","T",J65+273.15,"P",101325,"Water")</f>
        <v>983.86064333755485</v>
      </c>
      <c r="R65" cm="1">
        <f t="array" ref="R65">[1]!PropsSI("D","T",K65+273.15,"P",101325,"Water")</f>
        <v>985.3010687679415</v>
      </c>
      <c r="S65">
        <f t="shared" si="11"/>
        <v>984.58085605274823</v>
      </c>
      <c r="T65" cm="1">
        <f t="array" ref="T65">[1]!PropsSI("H","T",J65+273.15,"P",101325,"Water")</f>
        <v>245800.08997326356</v>
      </c>
      <c r="U65" cm="1">
        <f t="array" ref="U65">[1]!PropsSI("H","T",K65+273.15,"P",101325,"Water")</f>
        <v>233698.49395788228</v>
      </c>
      <c r="V65">
        <f t="shared" si="12"/>
        <v>267.70343454057064</v>
      </c>
      <c r="X65">
        <f t="shared" si="13"/>
        <v>0.26739592400000001</v>
      </c>
      <c r="Y65">
        <f t="shared" si="14"/>
        <v>0.261610966</v>
      </c>
      <c r="Z65">
        <f t="shared" si="15"/>
        <v>0.37408672484233779</v>
      </c>
      <c r="AA65">
        <f t="shared" si="16"/>
        <v>2.8924789999999945</v>
      </c>
      <c r="AB65">
        <f t="shared" si="17"/>
        <v>0.1297168644825859</v>
      </c>
      <c r="AC65">
        <f t="shared" si="18"/>
        <v>34.725650139822008</v>
      </c>
    </row>
    <row r="66" spans="1:29" x14ac:dyDescent="0.2">
      <c r="A66">
        <v>46137.035753888886</v>
      </c>
      <c r="B66">
        <v>18.195459</v>
      </c>
      <c r="C66">
        <v>18.514997999999999</v>
      </c>
      <c r="D66">
        <v>18.551822999999999</v>
      </c>
      <c r="E66">
        <v>18.922062</v>
      </c>
      <c r="F66">
        <v>41.921142000000003</v>
      </c>
      <c r="G66">
        <v>42.354221000000003</v>
      </c>
      <c r="H66">
        <v>38.794910000000002</v>
      </c>
      <c r="I66">
        <v>31.843668000000001</v>
      </c>
      <c r="J66">
        <v>58.684421999999998</v>
      </c>
      <c r="K66">
        <v>55.790042999999997</v>
      </c>
      <c r="L66">
        <v>21.426942</v>
      </c>
      <c r="M66">
        <v>-622.50408100000004</v>
      </c>
      <c r="N66">
        <v>1.3563559999999999</v>
      </c>
      <c r="O66">
        <v>2.8855460000000002</v>
      </c>
      <c r="P66">
        <f t="shared" si="10"/>
        <v>2.2605933333333333E-5</v>
      </c>
      <c r="Q66" cm="1">
        <f t="array" ref="Q66">[1]!PropsSI("D","T",J66+273.15,"P",101325,"Water")</f>
        <v>983.86750380350259</v>
      </c>
      <c r="R66" cm="1">
        <f t="array" ref="R66">[1]!PropsSI("D","T",K66+273.15,"P",101325,"Water")</f>
        <v>985.30862086800335</v>
      </c>
      <c r="S66">
        <f t="shared" si="11"/>
        <v>984.58806233575297</v>
      </c>
      <c r="T66" cm="1">
        <f t="array" ref="T66">[1]!PropsSI("H","T",J66+273.15,"P",101325,"Water")</f>
        <v>245743.4332712687</v>
      </c>
      <c r="U66" cm="1">
        <f t="array" ref="U66">[1]!PropsSI("H","T",K66+273.15,"P",101325,"Water")</f>
        <v>233633.904578944</v>
      </c>
      <c r="V66">
        <f t="shared" si="12"/>
        <v>269.52822356055896</v>
      </c>
      <c r="X66">
        <f t="shared" si="13"/>
        <v>0.26736884399999999</v>
      </c>
      <c r="Y66">
        <f t="shared" si="14"/>
        <v>0.26158008599999999</v>
      </c>
      <c r="Z66">
        <f t="shared" si="15"/>
        <v>0.37404577277876527</v>
      </c>
      <c r="AA66">
        <f t="shared" si="16"/>
        <v>2.8943790000000007</v>
      </c>
      <c r="AB66">
        <f t="shared" si="17"/>
        <v>0.12961811208846002</v>
      </c>
      <c r="AC66">
        <f t="shared" si="18"/>
        <v>34.935739492476046</v>
      </c>
    </row>
    <row r="67" spans="1:29" x14ac:dyDescent="0.2">
      <c r="A67">
        <v>46137.035789189817</v>
      </c>
      <c r="B67">
        <v>18.391701000000001</v>
      </c>
      <c r="C67">
        <v>18.379123</v>
      </c>
      <c r="D67">
        <v>18.184359000000001</v>
      </c>
      <c r="E67">
        <v>18.636811999999999</v>
      </c>
      <c r="F67">
        <v>41.448740000000001</v>
      </c>
      <c r="G67">
        <v>42.302095000000001</v>
      </c>
      <c r="H67">
        <v>38.593989999999998</v>
      </c>
      <c r="I67">
        <v>31.710642</v>
      </c>
      <c r="J67">
        <v>58.667695999999999</v>
      </c>
      <c r="K67">
        <v>55.772376000000001</v>
      </c>
      <c r="L67">
        <v>25.207568999999999</v>
      </c>
      <c r="M67">
        <v>-622.51387699999998</v>
      </c>
      <c r="N67">
        <v>1.349218</v>
      </c>
      <c r="O67">
        <v>2.9893689999999999</v>
      </c>
      <c r="P67">
        <f t="shared" si="10"/>
        <v>2.248696666666667E-5</v>
      </c>
      <c r="Q67" cm="1">
        <f t="array" ref="Q67">[1]!PropsSI("D","T",J67+273.15,"P",101325,"Water")</f>
        <v>983.87597704241375</v>
      </c>
      <c r="R67" cm="1">
        <f t="array" ref="R67">[1]!PropsSI("D","T",K67+273.15,"P",101325,"Water")</f>
        <v>985.31726045019923</v>
      </c>
      <c r="S67">
        <f t="shared" si="11"/>
        <v>984.59661874630649</v>
      </c>
      <c r="T67" cm="1">
        <f t="array" ref="T67">[1]!PropsSI("H","T",J67+273.15,"P",101325,"Water")</f>
        <v>245673.44519389179</v>
      </c>
      <c r="U67" cm="1">
        <f t="array" ref="U67">[1]!PropsSI("H","T",K67+273.15,"P",101325,"Water")</f>
        <v>233559.99921170954</v>
      </c>
      <c r="V67">
        <f t="shared" si="12"/>
        <v>268.19885728165798</v>
      </c>
      <c r="X67">
        <f t="shared" si="13"/>
        <v>0.26733539200000001</v>
      </c>
      <c r="Y67">
        <f t="shared" si="14"/>
        <v>0.26154475199999999</v>
      </c>
      <c r="Z67">
        <f t="shared" si="15"/>
        <v>0.37399715121179089</v>
      </c>
      <c r="AA67">
        <f t="shared" si="16"/>
        <v>2.8953199999999981</v>
      </c>
      <c r="AB67">
        <f t="shared" si="17"/>
        <v>0.1295594929768864</v>
      </c>
      <c r="AC67">
        <f t="shared" si="18"/>
        <v>34.747707966391928</v>
      </c>
    </row>
    <row r="68" spans="1:29" x14ac:dyDescent="0.2">
      <c r="A68">
        <v>46137.03582449074</v>
      </c>
      <c r="B68">
        <v>18.421695</v>
      </c>
      <c r="C68">
        <v>18.293257000000001</v>
      </c>
      <c r="D68">
        <v>18.119364000000001</v>
      </c>
      <c r="E68">
        <v>18.540212</v>
      </c>
      <c r="F68">
        <v>42.440036999999997</v>
      </c>
      <c r="G68">
        <v>42.452843000000001</v>
      </c>
      <c r="H68">
        <v>38.879275</v>
      </c>
      <c r="I68">
        <v>31.265632</v>
      </c>
      <c r="J68">
        <v>58.657183000000003</v>
      </c>
      <c r="K68">
        <v>55.756618000000003</v>
      </c>
      <c r="L68">
        <v>39.379921000000003</v>
      </c>
      <c r="M68">
        <v>-622.51591800000006</v>
      </c>
      <c r="N68">
        <v>1.3451280000000001</v>
      </c>
      <c r="O68">
        <v>2.51233</v>
      </c>
      <c r="P68">
        <f t="shared" si="10"/>
        <v>2.2418800000000003E-5</v>
      </c>
      <c r="Q68" cm="1">
        <f t="array" ref="Q68">[1]!PropsSI("D","T",J68+273.15,"P",101325,"Water")</f>
        <v>983.88130197576095</v>
      </c>
      <c r="R68" cm="1">
        <f t="array" ref="R68">[1]!PropsSI("D","T",K68+273.15,"P",101325,"Water")</f>
        <v>985.32496486427419</v>
      </c>
      <c r="S68">
        <f t="shared" si="11"/>
        <v>984.60313342001757</v>
      </c>
      <c r="T68" cm="1">
        <f t="array" ref="T68">[1]!PropsSI("H","T",J68+273.15,"P",101325,"Water")</f>
        <v>245629.45478016467</v>
      </c>
      <c r="U68" cm="1">
        <f t="array" ref="U68">[1]!PropsSI("H","T",K68+273.15,"P",101325,"Water")</f>
        <v>233494.0797551157</v>
      </c>
      <c r="V68">
        <f t="shared" si="12"/>
        <v>267.87166568910931</v>
      </c>
      <c r="X68">
        <f t="shared" si="13"/>
        <v>0.26731436600000003</v>
      </c>
      <c r="Y68">
        <f t="shared" si="14"/>
        <v>0.26151323599999998</v>
      </c>
      <c r="Z68">
        <f t="shared" si="15"/>
        <v>0.3739600819247606</v>
      </c>
      <c r="AA68">
        <f t="shared" si="16"/>
        <v>2.9005650000000003</v>
      </c>
      <c r="AB68">
        <f t="shared" si="17"/>
        <v>0.12931386984660939</v>
      </c>
      <c r="AC68">
        <f t="shared" si="18"/>
        <v>34.639521712515943</v>
      </c>
    </row>
    <row r="69" spans="1:29" x14ac:dyDescent="0.2">
      <c r="A69">
        <v>46137.035859212963</v>
      </c>
      <c r="B69">
        <v>18.580244</v>
      </c>
      <c r="C69">
        <v>18.387332000000001</v>
      </c>
      <c r="D69">
        <v>18.227146000000001</v>
      </c>
      <c r="E69">
        <v>18.706626</v>
      </c>
      <c r="F69">
        <v>41.701554999999999</v>
      </c>
      <c r="G69">
        <v>40.687328999999998</v>
      </c>
      <c r="H69">
        <v>38.041654999999999</v>
      </c>
      <c r="I69">
        <v>31.740577999999999</v>
      </c>
      <c r="J69">
        <v>58.645235999999997</v>
      </c>
      <c r="K69">
        <v>55.744202999999999</v>
      </c>
      <c r="L69">
        <v>26.897279999999999</v>
      </c>
      <c r="M69">
        <v>-622.49224500000003</v>
      </c>
      <c r="N69">
        <v>1.355102</v>
      </c>
      <c r="O69">
        <v>3.0206050000000002</v>
      </c>
      <c r="P69">
        <f t="shared" si="10"/>
        <v>2.2585033333333331E-5</v>
      </c>
      <c r="Q69" cm="1">
        <f t="array" ref="Q69">[1]!PropsSI("D","T",J69+273.15,"P",101325,"Water")</f>
        <v>983.88735244089992</v>
      </c>
      <c r="R69" cm="1">
        <f t="array" ref="R69">[1]!PropsSI("D","T",K69+273.15,"P",101325,"Water")</f>
        <v>985.33103373892982</v>
      </c>
      <c r="S69">
        <f t="shared" si="11"/>
        <v>984.60919308991492</v>
      </c>
      <c r="T69" cm="1">
        <f t="array" ref="T69">[1]!PropsSI("H","T",J69+273.15,"P",101325,"Water")</f>
        <v>245579.46401784263</v>
      </c>
      <c r="U69" cm="1">
        <f t="array" ref="U69">[1]!PropsSI("H","T",K69+273.15,"P",101325,"Water")</f>
        <v>233442.14492676989</v>
      </c>
      <c r="V69">
        <f t="shared" si="12"/>
        <v>269.90280122889635</v>
      </c>
      <c r="X69">
        <f t="shared" si="13"/>
        <v>0.267290472</v>
      </c>
      <c r="Y69">
        <f t="shared" si="14"/>
        <v>0.26148840600000001</v>
      </c>
      <c r="Z69">
        <f t="shared" si="15"/>
        <v>0.37392563818813446</v>
      </c>
      <c r="AA69">
        <f t="shared" si="16"/>
        <v>2.9010329999999982</v>
      </c>
      <c r="AB69">
        <f t="shared" si="17"/>
        <v>0.12928129610383771</v>
      </c>
      <c r="AC69">
        <f t="shared" si="18"/>
        <v>34.893383964928198</v>
      </c>
    </row>
    <row r="70" spans="1:29" x14ac:dyDescent="0.2">
      <c r="A70">
        <v>46137.035893935186</v>
      </c>
      <c r="B70">
        <v>18.575472000000001</v>
      </c>
      <c r="C70">
        <v>18.937771999999999</v>
      </c>
      <c r="D70">
        <v>18.047636000000001</v>
      </c>
      <c r="E70">
        <v>18.746903</v>
      </c>
      <c r="F70">
        <v>41.865949000000001</v>
      </c>
      <c r="G70">
        <v>39.685412999999997</v>
      </c>
      <c r="H70">
        <v>39.108645000000003</v>
      </c>
      <c r="I70">
        <v>31.598509</v>
      </c>
      <c r="J70">
        <v>58.631059</v>
      </c>
      <c r="K70">
        <v>55.734335000000002</v>
      </c>
      <c r="L70">
        <v>16.570858999999999</v>
      </c>
      <c r="M70">
        <v>-622.48612300000002</v>
      </c>
      <c r="N70">
        <v>1.350419</v>
      </c>
      <c r="O70">
        <v>2.9551340000000001</v>
      </c>
      <c r="P70">
        <f t="shared" si="10"/>
        <v>2.2506983333333333E-5</v>
      </c>
      <c r="Q70" cm="1">
        <f t="array" ref="Q70">[1]!PropsSI("D","T",J70+273.15,"P",101325,"Water")</f>
        <v>983.89453116417451</v>
      </c>
      <c r="R70" cm="1">
        <f t="array" ref="R70">[1]!PropsSI("D","T",K70+273.15,"P",101325,"Water")</f>
        <v>985.33585687598475</v>
      </c>
      <c r="S70">
        <f t="shared" si="11"/>
        <v>984.61519402007957</v>
      </c>
      <c r="T70" cm="1">
        <f t="array" ref="T70">[1]!PropsSI("H","T",J70+273.15,"P",101325,"Water")</f>
        <v>245520.14217000038</v>
      </c>
      <c r="U70" cm="1">
        <f t="array" ref="U70">[1]!PropsSI("H","T",K70+273.15,"P",101325,"Water")</f>
        <v>233400.86483198451</v>
      </c>
      <c r="V70">
        <f t="shared" si="12"/>
        <v>268.5718845618</v>
      </c>
      <c r="X70">
        <f t="shared" si="13"/>
        <v>0.26726211799999999</v>
      </c>
      <c r="Y70">
        <f t="shared" si="14"/>
        <v>0.26146867000000001</v>
      </c>
      <c r="Z70">
        <f t="shared" si="15"/>
        <v>0.37389156865248357</v>
      </c>
      <c r="AA70">
        <f t="shared" si="16"/>
        <v>2.896723999999999</v>
      </c>
      <c r="AB70">
        <f t="shared" si="17"/>
        <v>0.12946073148307849</v>
      </c>
      <c r="AC70">
        <f t="shared" si="18"/>
        <v>34.769512631159543</v>
      </c>
    </row>
    <row r="71" spans="1:29" x14ac:dyDescent="0.2">
      <c r="A71">
        <v>46137.03592923611</v>
      </c>
      <c r="B71">
        <v>18.683278999999999</v>
      </c>
      <c r="C71">
        <v>18.786282</v>
      </c>
      <c r="D71">
        <v>18.215879999999999</v>
      </c>
      <c r="E71">
        <v>18.814723999999998</v>
      </c>
      <c r="F71">
        <v>42.145730999999998</v>
      </c>
      <c r="G71">
        <v>42.093674</v>
      </c>
      <c r="H71">
        <v>38.345168999999999</v>
      </c>
      <c r="I71">
        <v>32.068207999999998</v>
      </c>
      <c r="J71">
        <v>58.621183000000002</v>
      </c>
      <c r="K71">
        <v>55.727809000000001</v>
      </c>
      <c r="L71">
        <v>15.513361</v>
      </c>
      <c r="M71">
        <v>-622.49020499999995</v>
      </c>
      <c r="N71">
        <v>1.3528979999999999</v>
      </c>
      <c r="O71">
        <v>2.9408129999999999</v>
      </c>
      <c r="P71">
        <f t="shared" si="10"/>
        <v>2.2548299999999999E-5</v>
      </c>
      <c r="Q71" cm="1">
        <f t="array" ref="Q71">[1]!PropsSI("D","T",J71+273.15,"P",101325,"Water")</f>
        <v>983.89953130487845</v>
      </c>
      <c r="R71" cm="1">
        <f t="array" ref="R71">[1]!PropsSI("D","T",K71+273.15,"P",101325,"Water")</f>
        <v>985.33904622951229</v>
      </c>
      <c r="S71">
        <f t="shared" si="11"/>
        <v>984.61928876719537</v>
      </c>
      <c r="T71" cm="1">
        <f t="array" ref="T71">[1]!PropsSI("H","T",J71+273.15,"P",101325,"Water")</f>
        <v>245478.81735734115</v>
      </c>
      <c r="U71" cm="1">
        <f t="array" ref="U71">[1]!PropsSI("H","T",K71+273.15,"P",101325,"Water")</f>
        <v>233373.56510544755</v>
      </c>
      <c r="V71">
        <f t="shared" si="12"/>
        <v>268.75465024152072</v>
      </c>
      <c r="X71">
        <f t="shared" si="13"/>
        <v>0.26724236600000001</v>
      </c>
      <c r="Y71">
        <f t="shared" si="14"/>
        <v>0.261455618</v>
      </c>
      <c r="Z71">
        <f t="shared" si="15"/>
        <v>0.37386832223262767</v>
      </c>
      <c r="AA71">
        <f t="shared" si="16"/>
        <v>2.8933740000000014</v>
      </c>
      <c r="AB71">
        <f t="shared" si="17"/>
        <v>0.12960171918791824</v>
      </c>
      <c r="AC71">
        <f t="shared" si="18"/>
        <v>34.831064711048754</v>
      </c>
    </row>
    <row r="72" spans="1:29" x14ac:dyDescent="0.2">
      <c r="A72">
        <v>46137.035963958333</v>
      </c>
      <c r="B72">
        <v>18.636251000000001</v>
      </c>
      <c r="C72">
        <v>18.887014000000001</v>
      </c>
      <c r="D72">
        <v>18.311263</v>
      </c>
      <c r="E72">
        <v>18.793990999999998</v>
      </c>
      <c r="F72">
        <v>41.652569999999997</v>
      </c>
      <c r="G72">
        <v>42.482652999999999</v>
      </c>
      <c r="H72">
        <v>37.911242999999999</v>
      </c>
      <c r="I72">
        <v>32.210394999999998</v>
      </c>
      <c r="J72">
        <v>58.611466</v>
      </c>
      <c r="K72">
        <v>55.718578000000001</v>
      </c>
      <c r="L72">
        <v>14.159551</v>
      </c>
      <c r="M72">
        <v>-622.48326599999996</v>
      </c>
      <c r="N72">
        <v>1.3596760000000001</v>
      </c>
      <c r="O72">
        <v>2.8896250000000001</v>
      </c>
      <c r="P72">
        <f t="shared" si="10"/>
        <v>2.2661266666666669E-5</v>
      </c>
      <c r="Q72" cm="1">
        <f t="array" ref="Q72">[1]!PropsSI("D","T",J72+273.15,"P",101325,"Water")</f>
        <v>983.90445037542759</v>
      </c>
      <c r="R72" cm="1">
        <f t="array" ref="R72">[1]!PropsSI("D","T",K72+273.15,"P",101325,"Water")</f>
        <v>985.3435571087881</v>
      </c>
      <c r="S72">
        <f t="shared" si="11"/>
        <v>984.62400374210779</v>
      </c>
      <c r="T72" cm="1">
        <f t="array" ref="T72">[1]!PropsSI("H","T",J72+273.15,"P",101325,"Water")</f>
        <v>245438.15789876648</v>
      </c>
      <c r="U72" cm="1">
        <f t="array" ref="U72">[1]!PropsSI("H","T",K72+273.15,"P",101325,"Water")</f>
        <v>233334.9497822485</v>
      </c>
      <c r="V72">
        <f t="shared" si="12"/>
        <v>270.05679024316214</v>
      </c>
      <c r="X72">
        <f t="shared" si="13"/>
        <v>0.26722293200000002</v>
      </c>
      <c r="Y72">
        <f t="shared" si="14"/>
        <v>0.261437156</v>
      </c>
      <c r="Z72">
        <f t="shared" si="15"/>
        <v>0.37384151979688529</v>
      </c>
      <c r="AA72">
        <f t="shared" si="16"/>
        <v>2.8928879999999992</v>
      </c>
      <c r="AB72">
        <f t="shared" si="17"/>
        <v>0.12961412510180972</v>
      </c>
      <c r="AC72">
        <f t="shared" si="18"/>
        <v>35.003174595170407</v>
      </c>
    </row>
    <row r="73" spans="1:29" x14ac:dyDescent="0.2">
      <c r="A73">
        <v>46137.035998680556</v>
      </c>
      <c r="B73">
        <v>18.300525</v>
      </c>
      <c r="C73">
        <v>18.536211000000002</v>
      </c>
      <c r="D73">
        <v>18.466947000000001</v>
      </c>
      <c r="E73">
        <v>18.792327</v>
      </c>
      <c r="F73">
        <v>42.212454999999999</v>
      </c>
      <c r="G73">
        <v>40.185020999999999</v>
      </c>
      <c r="H73">
        <v>38.464500999999998</v>
      </c>
      <c r="I73">
        <v>31.586504999999999</v>
      </c>
      <c r="J73">
        <v>58.601908000000002</v>
      </c>
      <c r="K73">
        <v>55.703139</v>
      </c>
      <c r="L73">
        <v>15.774164000000001</v>
      </c>
      <c r="M73">
        <v>-622.50979500000005</v>
      </c>
      <c r="N73">
        <v>1.3504959999999999</v>
      </c>
      <c r="O73">
        <v>2.6080709999999998</v>
      </c>
      <c r="P73">
        <f t="shared" si="10"/>
        <v>2.2508266666666666E-5</v>
      </c>
      <c r="Q73" cm="1">
        <f t="array" ref="Q73">[1]!PropsSI("D","T",J73+273.15,"P",101325,"Water")</f>
        <v>983.90928840351501</v>
      </c>
      <c r="R73" cm="1">
        <f t="array" ref="R73">[1]!PropsSI("D","T",K73+273.15,"P",101325,"Water")</f>
        <v>985.35110045539091</v>
      </c>
      <c r="S73">
        <f t="shared" si="11"/>
        <v>984.63019442945301</v>
      </c>
      <c r="T73" cm="1">
        <f t="array" ref="T73">[1]!PropsSI("H","T",J73+273.15,"P",101325,"Water")</f>
        <v>245398.16379225306</v>
      </c>
      <c r="U73" cm="1">
        <f t="array" ref="U73">[1]!PropsSI("H","T",K73+273.15,"P",101325,"Water")</f>
        <v>233270.36508726847</v>
      </c>
      <c r="V73">
        <f t="shared" si="12"/>
        <v>268.78014347688497</v>
      </c>
      <c r="X73">
        <f t="shared" si="13"/>
        <v>0.26720381599999998</v>
      </c>
      <c r="Y73">
        <f t="shared" si="14"/>
        <v>0.26140627799999999</v>
      </c>
      <c r="Z73">
        <f t="shared" si="15"/>
        <v>0.37380626193628047</v>
      </c>
      <c r="AA73">
        <f t="shared" si="16"/>
        <v>2.8987690000000015</v>
      </c>
      <c r="AB73">
        <f t="shared" si="17"/>
        <v>0.12934060516828963</v>
      </c>
      <c r="AC73">
        <f t="shared" si="18"/>
        <v>34.764186414520019</v>
      </c>
    </row>
    <row r="74" spans="1:29" x14ac:dyDescent="0.2">
      <c r="A74">
        <v>46137.03603398148</v>
      </c>
      <c r="B74">
        <v>18.286460000000002</v>
      </c>
      <c r="C74">
        <v>18.298245000000001</v>
      </c>
      <c r="D74">
        <v>18.639507999999999</v>
      </c>
      <c r="E74">
        <v>18.817644999999999</v>
      </c>
      <c r="F74">
        <v>41.795791999999999</v>
      </c>
      <c r="G74">
        <v>41.647596999999998</v>
      </c>
      <c r="H74">
        <v>39.231110999999999</v>
      </c>
      <c r="I74">
        <v>31.414199</v>
      </c>
      <c r="J74">
        <v>58.591236000000002</v>
      </c>
      <c r="K74">
        <v>55.693907000000003</v>
      </c>
      <c r="L74">
        <v>16.153737</v>
      </c>
      <c r="M74">
        <v>-622.50122399999998</v>
      </c>
      <c r="N74">
        <v>1.3539220000000001</v>
      </c>
      <c r="O74">
        <v>2.5167519999999999</v>
      </c>
      <c r="P74">
        <f t="shared" si="10"/>
        <v>2.2565366666666666E-5</v>
      </c>
      <c r="Q74" cm="1">
        <f t="array" ref="Q74">[1]!PropsSI("D","T",J74+273.15,"P",101325,"Water")</f>
        <v>983.91468966527032</v>
      </c>
      <c r="R74" cm="1">
        <f t="array" ref="R74">[1]!PropsSI("D","T",K74+273.15,"P",101325,"Water")</f>
        <v>985.35561041982282</v>
      </c>
      <c r="S74">
        <f t="shared" si="11"/>
        <v>984.63515004254657</v>
      </c>
      <c r="T74" cm="1">
        <f t="array" ref="T74">[1]!PropsSI("H","T",J74+273.15,"P",101325,"Water")</f>
        <v>245353.508354377</v>
      </c>
      <c r="U74" cm="1">
        <f t="array" ref="U74">[1]!PropsSI("H","T",K74+273.15,"P",101325,"Water")</f>
        <v>233231.7456657124</v>
      </c>
      <c r="V74">
        <f t="shared" si="12"/>
        <v>269.32924127453987</v>
      </c>
      <c r="X74">
        <f t="shared" si="13"/>
        <v>0.267182472</v>
      </c>
      <c r="Y74">
        <f t="shared" si="14"/>
        <v>0.261387814</v>
      </c>
      <c r="Z74">
        <f t="shared" si="15"/>
        <v>0.37377809279267471</v>
      </c>
      <c r="AA74">
        <f t="shared" si="16"/>
        <v>2.8973289999999992</v>
      </c>
      <c r="AB74">
        <f t="shared" si="17"/>
        <v>0.1293948111300505</v>
      </c>
      <c r="AC74">
        <f t="shared" si="18"/>
        <v>34.849806306518886</v>
      </c>
    </row>
    <row r="75" spans="1:29" x14ac:dyDescent="0.2">
      <c r="A75">
        <v>46137.036068703703</v>
      </c>
      <c r="B75">
        <v>18.244389000000002</v>
      </c>
      <c r="C75">
        <v>18.118516</v>
      </c>
      <c r="D75">
        <v>18.698305999999999</v>
      </c>
      <c r="E75">
        <v>18.852853</v>
      </c>
      <c r="F75">
        <v>41.999721000000001</v>
      </c>
      <c r="G75">
        <v>42.864722</v>
      </c>
      <c r="H75">
        <v>39.238992000000003</v>
      </c>
      <c r="I75">
        <v>30.786097000000002</v>
      </c>
      <c r="J75">
        <v>58.580722999999999</v>
      </c>
      <c r="K75">
        <v>55.685153</v>
      </c>
      <c r="L75">
        <v>30.702396</v>
      </c>
      <c r="M75">
        <v>-622.51346899999999</v>
      </c>
      <c r="N75">
        <v>1.3580939999999999</v>
      </c>
      <c r="O75">
        <v>2.8660649999999999</v>
      </c>
      <c r="P75">
        <f t="shared" si="10"/>
        <v>2.2634899999999999E-5</v>
      </c>
      <c r="Q75" cm="1">
        <f t="array" ref="Q75">[1]!PropsSI("D","T",J75+273.15,"P",101325,"Water")</f>
        <v>983.92000978803708</v>
      </c>
      <c r="R75" cm="1">
        <f t="array" ref="R75">[1]!PropsSI("D","T",K75+273.15,"P",101325,"Water")</f>
        <v>985.35988638917183</v>
      </c>
      <c r="S75">
        <f t="shared" si="11"/>
        <v>984.63994808860446</v>
      </c>
      <c r="T75" cm="1">
        <f t="array" ref="T75">[1]!PropsSI("H","T",J75+273.15,"P",101325,"Water")</f>
        <v>245309.51827520481</v>
      </c>
      <c r="U75" cm="1">
        <f t="array" ref="U75">[1]!PropsSI("H","T",K75+273.15,"P",101325,"Water")</f>
        <v>233195.12584926758</v>
      </c>
      <c r="V75">
        <f t="shared" si="12"/>
        <v>269.9962110684919</v>
      </c>
      <c r="X75">
        <f t="shared" si="13"/>
        <v>0.26716144600000002</v>
      </c>
      <c r="Y75">
        <f t="shared" si="14"/>
        <v>0.261370306</v>
      </c>
      <c r="Z75">
        <f t="shared" si="15"/>
        <v>0.37375081951394379</v>
      </c>
      <c r="AA75">
        <f t="shared" si="16"/>
        <v>2.8955699999999993</v>
      </c>
      <c r="AB75">
        <f t="shared" si="17"/>
        <v>0.12946355568636592</v>
      </c>
      <c r="AC75">
        <f t="shared" si="18"/>
        <v>34.954669506773506</v>
      </c>
    </row>
    <row r="76" spans="1:29" x14ac:dyDescent="0.2">
      <c r="A76">
        <v>46137.036103425926</v>
      </c>
      <c r="B76">
        <v>18.220199000000001</v>
      </c>
      <c r="C76">
        <v>18.120950000000001</v>
      </c>
      <c r="D76">
        <v>18.544180999999998</v>
      </c>
      <c r="E76">
        <v>18.891369999999998</v>
      </c>
      <c r="F76">
        <v>42.228842999999998</v>
      </c>
      <c r="G76">
        <v>39.843496000000002</v>
      </c>
      <c r="H76">
        <v>38.961297000000002</v>
      </c>
      <c r="I76">
        <v>31.945906000000001</v>
      </c>
      <c r="J76">
        <v>58.568139000000002</v>
      </c>
      <c r="K76">
        <v>55.678150000000002</v>
      </c>
      <c r="L76">
        <v>20.875540999999998</v>
      </c>
      <c r="M76">
        <v>-622.50408100000004</v>
      </c>
      <c r="N76">
        <v>1.349988</v>
      </c>
      <c r="O76">
        <v>2.974526</v>
      </c>
      <c r="P76">
        <f t="shared" si="10"/>
        <v>2.2499800000000001E-5</v>
      </c>
      <c r="Q76" cm="1">
        <f t="array" ref="Q76">[1]!PropsSI("D","T",J76+273.15,"P",101325,"Water")</f>
        <v>983.92637707405368</v>
      </c>
      <c r="R76" cm="1">
        <f t="array" ref="R76">[1]!PropsSI("D","T",K76+273.15,"P",101325,"Water")</f>
        <v>985.36330672690121</v>
      </c>
      <c r="S76">
        <f t="shared" si="11"/>
        <v>984.64484190047745</v>
      </c>
      <c r="T76" cm="1">
        <f t="array" ref="T76">[1]!PropsSI("H","T",J76+273.15,"P",101325,"Water")</f>
        <v>245256.8624660857</v>
      </c>
      <c r="U76" cm="1">
        <f t="array" ref="U76">[1]!PropsSI("H","T",K76+273.15,"P",101325,"Water")</f>
        <v>233165.83085329176</v>
      </c>
      <c r="V76">
        <f t="shared" si="12"/>
        <v>267.8684869184641</v>
      </c>
      <c r="X76">
        <f t="shared" si="13"/>
        <v>0.267136278</v>
      </c>
      <c r="Y76">
        <f t="shared" si="14"/>
        <v>0.26135629999999999</v>
      </c>
      <c r="Z76">
        <f t="shared" si="15"/>
        <v>0.37372303457692202</v>
      </c>
      <c r="AA76">
        <f t="shared" si="16"/>
        <v>2.8899889999999999</v>
      </c>
      <c r="AB76">
        <f t="shared" si="17"/>
        <v>0.12970249331891254</v>
      </c>
      <c r="AC76">
        <f t="shared" si="18"/>
        <v>34.743210634889302</v>
      </c>
    </row>
    <row r="77" spans="1:29" x14ac:dyDescent="0.2">
      <c r="A77">
        <v>46137.036138148149</v>
      </c>
      <c r="B77">
        <v>18.472065000000001</v>
      </c>
      <c r="C77">
        <v>17.998443000000002</v>
      </c>
      <c r="D77">
        <v>18.357669999999999</v>
      </c>
      <c r="E77">
        <v>18.694053</v>
      </c>
      <c r="F77">
        <v>41.631051999999997</v>
      </c>
      <c r="G77">
        <v>40.079113999999997</v>
      </c>
      <c r="H77">
        <v>38.335832000000003</v>
      </c>
      <c r="I77">
        <v>31.885007999999999</v>
      </c>
      <c r="J77">
        <v>58.562086000000001</v>
      </c>
      <c r="K77">
        <v>55.664780999999998</v>
      </c>
      <c r="L77">
        <v>12.224954</v>
      </c>
      <c r="M77">
        <v>-622.47755199999995</v>
      </c>
      <c r="N77">
        <v>1.3484480000000001</v>
      </c>
      <c r="O77">
        <v>3.3065180000000001</v>
      </c>
      <c r="P77">
        <f t="shared" si="10"/>
        <v>2.2474133333333336E-5</v>
      </c>
      <c r="Q77" cm="1">
        <f t="array" ref="Q77">[1]!PropsSI("D","T",J77+273.15,"P",101325,"Water")</f>
        <v>983.92943944944682</v>
      </c>
      <c r="R77" cm="1">
        <f t="array" ref="R77">[1]!PropsSI("D","T",K77+273.15,"P",101325,"Water")</f>
        <v>985.36983544546081</v>
      </c>
      <c r="S77">
        <f t="shared" si="11"/>
        <v>984.64963744745387</v>
      </c>
      <c r="T77" cm="1">
        <f t="array" ref="T77">[1]!PropsSI("H","T",J77+273.15,"P",101325,"Water")</f>
        <v>245231.53464366507</v>
      </c>
      <c r="U77" cm="1">
        <f t="array" ref="U77">[1]!PropsSI("H","T",K77+273.15,"P",101325,"Water")</f>
        <v>233109.905614583</v>
      </c>
      <c r="V77">
        <f t="shared" si="12"/>
        <v>268.2413135563956</v>
      </c>
      <c r="X77">
        <f t="shared" si="13"/>
        <v>0.26712417199999999</v>
      </c>
      <c r="Y77">
        <f t="shared" si="14"/>
        <v>0.26132956200000002</v>
      </c>
      <c r="Z77">
        <f t="shared" si="15"/>
        <v>0.37369568266411296</v>
      </c>
      <c r="AA77">
        <f t="shared" si="16"/>
        <v>2.8973050000000029</v>
      </c>
      <c r="AB77">
        <f t="shared" si="17"/>
        <v>0.12936751794576182</v>
      </c>
      <c r="AC77">
        <f t="shared" si="18"/>
        <v>34.701712945301729</v>
      </c>
    </row>
    <row r="78" spans="1:29" x14ac:dyDescent="0.2">
      <c r="A78">
        <v>46137.036173449073</v>
      </c>
      <c r="B78">
        <v>18.467859000000001</v>
      </c>
      <c r="C78">
        <v>18.158887</v>
      </c>
      <c r="D78">
        <v>18.190736000000001</v>
      </c>
      <c r="E78">
        <v>18.617612000000001</v>
      </c>
      <c r="F78">
        <v>42.979432000000003</v>
      </c>
      <c r="G78">
        <v>41.574390999999999</v>
      </c>
      <c r="H78">
        <v>38.629465000000003</v>
      </c>
      <c r="I78">
        <v>29.830449000000002</v>
      </c>
      <c r="J78">
        <v>58.551892000000002</v>
      </c>
      <c r="K78">
        <v>55.660164999999999</v>
      </c>
      <c r="L78">
        <v>14.247301</v>
      </c>
      <c r="M78">
        <v>-622.46653200000003</v>
      </c>
      <c r="N78">
        <v>1.3494969999999999</v>
      </c>
      <c r="O78">
        <v>2.783782</v>
      </c>
      <c r="P78">
        <f t="shared" si="10"/>
        <v>2.2491616666666667E-5</v>
      </c>
      <c r="Q78" cm="1">
        <f t="array" ref="Q78">[1]!PropsSI("D","T",J78+273.15,"P",101325,"Water")</f>
        <v>983.93459637214505</v>
      </c>
      <c r="R78" cm="1">
        <f t="array" ref="R78">[1]!PropsSI("D","T",K78+273.15,"P",101325,"Water")</f>
        <v>985.37208940190135</v>
      </c>
      <c r="S78">
        <f t="shared" si="11"/>
        <v>984.6533428870232</v>
      </c>
      <c r="T78" cm="1">
        <f t="array" ref="T78">[1]!PropsSI("H","T",J78+273.15,"P",101325,"Water")</f>
        <v>245188.87949518027</v>
      </c>
      <c r="U78" cm="1">
        <f t="array" ref="U78">[1]!PropsSI("H","T",K78+273.15,"P",101325,"Water")</f>
        <v>233090.59596574167</v>
      </c>
      <c r="V78">
        <f t="shared" si="12"/>
        <v>267.93397728517334</v>
      </c>
      <c r="X78">
        <f t="shared" si="13"/>
        <v>0.26710378400000001</v>
      </c>
      <c r="Y78">
        <f t="shared" si="14"/>
        <v>0.26132032999999999</v>
      </c>
      <c r="Z78">
        <f t="shared" si="15"/>
        <v>0.37367465300502728</v>
      </c>
      <c r="AA78">
        <f t="shared" si="16"/>
        <v>2.891727000000003</v>
      </c>
      <c r="AB78">
        <f t="shared" si="17"/>
        <v>0.12960832125096752</v>
      </c>
      <c r="AC78">
        <f t="shared" si="18"/>
        <v>34.726473002026182</v>
      </c>
    </row>
    <row r="79" spans="1:29" x14ac:dyDescent="0.2">
      <c r="A79">
        <v>46137.036208750003</v>
      </c>
      <c r="B79">
        <v>18.625309999999999</v>
      </c>
      <c r="C79">
        <v>17.978601999999999</v>
      </c>
      <c r="D79">
        <v>18.29739</v>
      </c>
      <c r="E79">
        <v>18.806584000000001</v>
      </c>
      <c r="F79">
        <v>41.582076000000001</v>
      </c>
      <c r="G79">
        <v>42.300493000000003</v>
      </c>
      <c r="H79">
        <v>38.637973000000002</v>
      </c>
      <c r="I79">
        <v>30.685724</v>
      </c>
      <c r="J79">
        <v>58.541856000000003</v>
      </c>
      <c r="K79">
        <v>55.651093000000003</v>
      </c>
      <c r="L79">
        <v>17.859366000000001</v>
      </c>
      <c r="M79">
        <v>-622.50326500000006</v>
      </c>
      <c r="N79">
        <v>1.343866</v>
      </c>
      <c r="O79">
        <v>2.8194400000000002</v>
      </c>
      <c r="P79">
        <f t="shared" si="10"/>
        <v>2.2397766666666668E-5</v>
      </c>
      <c r="Q79" cm="1">
        <f t="array" ref="Q79">[1]!PropsSI("D","T",J79+273.15,"P",101325,"Water")</f>
        <v>983.93967275815817</v>
      </c>
      <c r="R79" cm="1">
        <f t="array" ref="R79">[1]!PropsSI("D","T",K79+273.15,"P",101325,"Water")</f>
        <v>985.3765188052655</v>
      </c>
      <c r="S79">
        <f t="shared" si="11"/>
        <v>984.65809578171184</v>
      </c>
      <c r="T79" cm="1">
        <f t="array" ref="T79">[1]!PropsSI("H","T",J79+273.15,"P",101325,"Water")</f>
        <v>245146.88551433876</v>
      </c>
      <c r="U79" cm="1">
        <f t="array" ref="U79">[1]!PropsSI("H","T",K79+273.15,"P",101325,"Water")</f>
        <v>233052.64600300515</v>
      </c>
      <c r="V79">
        <f t="shared" si="12"/>
        <v>266.72807890010699</v>
      </c>
      <c r="X79">
        <f t="shared" si="13"/>
        <v>0.26708371200000003</v>
      </c>
      <c r="Y79">
        <f t="shared" si="14"/>
        <v>0.26130218599999999</v>
      </c>
      <c r="Z79">
        <f t="shared" si="15"/>
        <v>0.37364761691208143</v>
      </c>
      <c r="AA79">
        <f t="shared" si="16"/>
        <v>2.8907629999999997</v>
      </c>
      <c r="AB79">
        <f t="shared" si="17"/>
        <v>0.12964196054192115</v>
      </c>
      <c r="AC79">
        <f t="shared" si="18"/>
        <v>34.579151080190101</v>
      </c>
    </row>
    <row r="80" spans="1:29" x14ac:dyDescent="0.2">
      <c r="A80">
        <v>46137.036243472219</v>
      </c>
      <c r="B80">
        <v>18.533172</v>
      </c>
      <c r="C80">
        <v>18.126448</v>
      </c>
      <c r="D80">
        <v>18.372059</v>
      </c>
      <c r="E80">
        <v>18.806775999999999</v>
      </c>
      <c r="F80">
        <v>42.255766000000001</v>
      </c>
      <c r="G80">
        <v>41.117213</v>
      </c>
      <c r="H80">
        <v>39.261426</v>
      </c>
      <c r="I80">
        <v>31.659126000000001</v>
      </c>
      <c r="J80">
        <v>58.535643999999998</v>
      </c>
      <c r="K80">
        <v>55.646954999999998</v>
      </c>
      <c r="L80">
        <v>16.458210999999999</v>
      </c>
      <c r="M80">
        <v>-622.49877600000002</v>
      </c>
      <c r="N80">
        <v>1.3546800000000001</v>
      </c>
      <c r="O80">
        <v>2.8990670000000001</v>
      </c>
      <c r="P80">
        <f t="shared" si="10"/>
        <v>2.2578E-5</v>
      </c>
      <c r="Q80" cm="1">
        <f t="array" ref="Q80">[1]!PropsSI("D","T",J80+273.15,"P",101325,"Water")</f>
        <v>983.94281459516321</v>
      </c>
      <c r="R80" cm="1">
        <f t="array" ref="R80">[1]!PropsSI("D","T",K80+273.15,"P",101325,"Water")</f>
        <v>985.37853901492326</v>
      </c>
      <c r="S80">
        <f t="shared" si="11"/>
        <v>984.66067680504329</v>
      </c>
      <c r="T80" cm="1">
        <f t="array" ref="T80">[1]!PropsSI("H","T",J80+273.15,"P",101325,"Water")</f>
        <v>245120.89244949113</v>
      </c>
      <c r="U80" cm="1">
        <f t="array" ref="U80">[1]!PropsSI("H","T",K80+273.15,"P",101325,"Water")</f>
        <v>233035.33594422176</v>
      </c>
      <c r="V80">
        <f t="shared" si="12"/>
        <v>268.6820890163404</v>
      </c>
      <c r="X80">
        <f t="shared" si="13"/>
        <v>0.26707128800000002</v>
      </c>
      <c r="Y80">
        <f t="shared" si="14"/>
        <v>0.26129391000000002</v>
      </c>
      <c r="Z80">
        <f t="shared" si="15"/>
        <v>0.37363294859670371</v>
      </c>
      <c r="AA80">
        <f t="shared" si="16"/>
        <v>2.8886889999999994</v>
      </c>
      <c r="AB80">
        <f t="shared" si="17"/>
        <v>0.12972942358567835</v>
      </c>
      <c r="AC80">
        <f t="shared" si="18"/>
        <v>34.855972535885762</v>
      </c>
    </row>
    <row r="81" spans="1:29" x14ac:dyDescent="0.2">
      <c r="A81">
        <v>46137.036278194442</v>
      </c>
      <c r="B81">
        <v>18.443519999999999</v>
      </c>
      <c r="C81">
        <v>17.908746000000001</v>
      </c>
      <c r="D81">
        <v>18.637246000000001</v>
      </c>
      <c r="E81">
        <v>18.855262</v>
      </c>
      <c r="F81">
        <v>42.456884000000002</v>
      </c>
      <c r="G81">
        <v>40.945625999999997</v>
      </c>
      <c r="H81">
        <v>38.381337000000002</v>
      </c>
      <c r="I81">
        <v>32.250852999999999</v>
      </c>
      <c r="J81">
        <v>58.526246</v>
      </c>
      <c r="K81">
        <v>55.637405000000001</v>
      </c>
      <c r="L81">
        <v>18.473212</v>
      </c>
      <c r="M81">
        <v>-622.50367300000005</v>
      </c>
      <c r="N81">
        <v>1.34589</v>
      </c>
      <c r="O81">
        <v>2.9609540000000001</v>
      </c>
      <c r="P81">
        <f t="shared" si="10"/>
        <v>2.24315E-5</v>
      </c>
      <c r="Q81" cm="1">
        <f t="array" ref="Q81">[1]!PropsSI("D","T",J81+273.15,"P",101325,"Water")</f>
        <v>983.94756737287423</v>
      </c>
      <c r="R81" cm="1">
        <f t="array" ref="R81">[1]!PropsSI("D","T",K81+273.15,"P",101325,"Water")</f>
        <v>985.38320100975113</v>
      </c>
      <c r="S81">
        <f t="shared" si="11"/>
        <v>984.66538419131268</v>
      </c>
      <c r="T81" cm="1">
        <f t="array" ref="T81">[1]!PropsSI("H","T",J81+273.15,"P",101325,"Water")</f>
        <v>245081.56813615563</v>
      </c>
      <c r="U81" cm="1">
        <f t="array" ref="U81">[1]!PropsSI("H","T",K81+273.15,"P",101325,"Water")</f>
        <v>232995.3864610875</v>
      </c>
      <c r="V81">
        <f t="shared" si="12"/>
        <v>266.95379839246635</v>
      </c>
      <c r="X81">
        <f t="shared" si="13"/>
        <v>0.26705249200000003</v>
      </c>
      <c r="Y81">
        <f t="shared" si="14"/>
        <v>0.26127480999999997</v>
      </c>
      <c r="Z81">
        <f t="shared" si="15"/>
        <v>0.37360615603058012</v>
      </c>
      <c r="AA81">
        <f t="shared" si="16"/>
        <v>2.8888409999999993</v>
      </c>
      <c r="AB81">
        <f t="shared" si="17"/>
        <v>0.12971339136482821</v>
      </c>
      <c r="AC81">
        <f t="shared" si="18"/>
        <v>34.627482527209438</v>
      </c>
    </row>
    <row r="82" spans="1:29" x14ac:dyDescent="0.2">
      <c r="A82">
        <v>46137.036312916665</v>
      </c>
      <c r="B82">
        <v>18.353013000000001</v>
      </c>
      <c r="C82">
        <v>17.892592</v>
      </c>
      <c r="D82">
        <v>18.544550000000001</v>
      </c>
      <c r="E82">
        <v>18.878442</v>
      </c>
      <c r="F82">
        <v>41.802436</v>
      </c>
      <c r="G82">
        <v>42.350954999999999</v>
      </c>
      <c r="H82">
        <v>39.177661999999998</v>
      </c>
      <c r="I82">
        <v>31.627379000000001</v>
      </c>
      <c r="J82">
        <v>58.516530000000003</v>
      </c>
      <c r="K82">
        <v>55.622602999999998</v>
      </c>
      <c r="L82">
        <v>19.348271</v>
      </c>
      <c r="M82">
        <v>-622.47551099999998</v>
      </c>
      <c r="N82">
        <v>1.3529720000000001</v>
      </c>
      <c r="O82">
        <v>2.8715679999999999</v>
      </c>
      <c r="P82">
        <f t="shared" si="10"/>
        <v>2.2549533333333335E-5</v>
      </c>
      <c r="Q82" cm="1">
        <f t="array" ref="Q82">[1]!PropsSI("D","T",J82+273.15,"P",101325,"Water")</f>
        <v>983.95248041400043</v>
      </c>
      <c r="R82" cm="1">
        <f t="array" ref="R82">[1]!PropsSI("D","T",K82+273.15,"P",101325,"Water")</f>
        <v>985.39042574615917</v>
      </c>
      <c r="S82">
        <f t="shared" si="11"/>
        <v>984.6714530800798</v>
      </c>
      <c r="T82" cm="1">
        <f t="array" ref="T82">[1]!PropsSI("H","T",J82+273.15,"P",101325,"Water")</f>
        <v>245040.91324506878</v>
      </c>
      <c r="U82" cm="1">
        <f t="array" ref="U82">[1]!PropsSI("H","T",K82+273.15,"P",101325,"Water")</f>
        <v>232933.46692081622</v>
      </c>
      <c r="V82">
        <f t="shared" si="12"/>
        <v>268.83230652189616</v>
      </c>
      <c r="X82">
        <f t="shared" si="13"/>
        <v>0.26703305999999999</v>
      </c>
      <c r="Y82">
        <f t="shared" si="14"/>
        <v>0.26124520600000001</v>
      </c>
      <c r="Z82">
        <f t="shared" si="15"/>
        <v>0.37357156314546486</v>
      </c>
      <c r="AA82">
        <f t="shared" si="16"/>
        <v>2.893927000000005</v>
      </c>
      <c r="AB82">
        <f t="shared" si="17"/>
        <v>0.1294748616825184</v>
      </c>
      <c r="AC82">
        <f t="shared" si="18"/>
        <v>34.807025702714895</v>
      </c>
    </row>
    <row r="83" spans="1:29" x14ac:dyDescent="0.2">
      <c r="A83">
        <v>46137.036348217589</v>
      </c>
      <c r="B83">
        <v>18.567022000000001</v>
      </c>
      <c r="C83">
        <v>17.875015000000001</v>
      </c>
      <c r="D83">
        <v>18.406348000000001</v>
      </c>
      <c r="E83">
        <v>18.853739000000001</v>
      </c>
      <c r="F83">
        <v>42.659143999999998</v>
      </c>
      <c r="G83">
        <v>42.396124</v>
      </c>
      <c r="H83">
        <v>38.856096999999998</v>
      </c>
      <c r="I83">
        <v>32.361761000000001</v>
      </c>
      <c r="J83">
        <v>58.509042999999998</v>
      </c>
      <c r="K83">
        <v>55.610348000000002</v>
      </c>
      <c r="L83">
        <v>22.759528</v>
      </c>
      <c r="M83">
        <v>-622.49959200000001</v>
      </c>
      <c r="N83">
        <v>1.3530530000000001</v>
      </c>
      <c r="O83">
        <v>2.6971400000000001</v>
      </c>
      <c r="P83">
        <f t="shared" si="10"/>
        <v>2.2550883333333335E-5</v>
      </c>
      <c r="Q83" cm="1">
        <f t="array" ref="Q83">[1]!PropsSI("D","T",J83+273.15,"P",101325,"Water")</f>
        <v>983.95626594203873</v>
      </c>
      <c r="R83" cm="1">
        <f t="array" ref="R83">[1]!PropsSI("D","T",K83+273.15,"P",101325,"Water")</f>
        <v>985.39640628990583</v>
      </c>
      <c r="S83">
        <f t="shared" si="11"/>
        <v>984.67633611597228</v>
      </c>
      <c r="T83" cm="1">
        <f t="array" ref="T83">[1]!PropsSI("H","T",J83+273.15,"P",101325,"Water")</f>
        <v>245009.58523871037</v>
      </c>
      <c r="U83" cm="1">
        <f t="array" ref="U83">[1]!PropsSI("H","T",K83+273.15,"P",101325,"Water")</f>
        <v>232882.20202044578</v>
      </c>
      <c r="V83">
        <f t="shared" si="12"/>
        <v>269.2924393962503</v>
      </c>
      <c r="X83">
        <f t="shared" si="13"/>
        <v>0.26701808599999999</v>
      </c>
      <c r="Y83">
        <f t="shared" si="14"/>
        <v>0.26122069599999997</v>
      </c>
      <c r="Z83">
        <f t="shared" si="15"/>
        <v>0.37354371935534908</v>
      </c>
      <c r="AA83">
        <f t="shared" si="16"/>
        <v>2.8986949999999965</v>
      </c>
      <c r="AB83">
        <f t="shared" si="17"/>
        <v>0.12925358593747163</v>
      </c>
      <c r="AC83">
        <f t="shared" si="18"/>
        <v>34.807013457814612</v>
      </c>
    </row>
    <row r="84" spans="1:29" x14ac:dyDescent="0.2">
      <c r="A84">
        <v>46137.036382939812</v>
      </c>
      <c r="B84">
        <v>18.61007</v>
      </c>
      <c r="C84">
        <v>17.930634999999999</v>
      </c>
      <c r="D84">
        <v>18.261137999999999</v>
      </c>
      <c r="E84">
        <v>18.73273</v>
      </c>
      <c r="F84">
        <v>42.536000000000001</v>
      </c>
      <c r="G84">
        <v>42.752391000000003</v>
      </c>
      <c r="H84">
        <v>38.734991999999998</v>
      </c>
      <c r="I84">
        <v>31.866712</v>
      </c>
      <c r="J84">
        <v>58.500920000000001</v>
      </c>
      <c r="K84">
        <v>55.605255</v>
      </c>
      <c r="L84">
        <v>27.878864</v>
      </c>
      <c r="M84">
        <v>-622.47959300000002</v>
      </c>
      <c r="N84">
        <v>1.344981</v>
      </c>
      <c r="O84">
        <v>2.7389230000000002</v>
      </c>
      <c r="P84">
        <f t="shared" si="10"/>
        <v>2.2416350000000001E-5</v>
      </c>
      <c r="Q84" cm="1">
        <f t="array" ref="Q84">[1]!PropsSI("D","T",J84+273.15,"P",101325,"Water")</f>
        <v>983.96037266039832</v>
      </c>
      <c r="R84" cm="1">
        <f t="array" ref="R84">[1]!PropsSI("D","T",K84+273.15,"P",101325,"Water")</f>
        <v>985.39889144451001</v>
      </c>
      <c r="S84">
        <f t="shared" si="11"/>
        <v>984.67963205245417</v>
      </c>
      <c r="T84" cm="1">
        <f t="array" ref="T84">[1]!PropsSI("H","T",J84+273.15,"P",101325,"Water")</f>
        <v>244975.59603082523</v>
      </c>
      <c r="U84" cm="1">
        <f t="array" ref="U84">[1]!PropsSI("H","T",K84+273.15,"P",101325,"Water")</f>
        <v>232860.897088864</v>
      </c>
      <c r="V84">
        <f t="shared" si="12"/>
        <v>267.40682018456391</v>
      </c>
      <c r="X84">
        <f t="shared" si="13"/>
        <v>0.26700183999999999</v>
      </c>
      <c r="Y84">
        <f t="shared" si="14"/>
        <v>0.26121051000000001</v>
      </c>
      <c r="Z84">
        <f t="shared" si="15"/>
        <v>0.37352498323116984</v>
      </c>
      <c r="AA84">
        <f t="shared" si="16"/>
        <v>2.895665000000001</v>
      </c>
      <c r="AB84">
        <f t="shared" si="17"/>
        <v>0.12938157563056898</v>
      </c>
      <c r="AC84">
        <f t="shared" si="18"/>
        <v>34.597515729839117</v>
      </c>
    </row>
    <row r="85" spans="1:29" x14ac:dyDescent="0.2">
      <c r="A85">
        <v>46137.036417662035</v>
      </c>
      <c r="B85">
        <v>18.645669000000002</v>
      </c>
      <c r="C85">
        <v>17.986737999999999</v>
      </c>
      <c r="D85">
        <v>18.322134999999999</v>
      </c>
      <c r="E85">
        <v>18.776916</v>
      </c>
      <c r="F85">
        <v>41.530394999999999</v>
      </c>
      <c r="G85">
        <v>41.161448</v>
      </c>
      <c r="H85">
        <v>38.738342000000003</v>
      </c>
      <c r="I85">
        <v>32.044443999999999</v>
      </c>
      <c r="J85">
        <v>58.494866999999999</v>
      </c>
      <c r="K85">
        <v>55.598570000000002</v>
      </c>
      <c r="L85">
        <v>24.434546000000001</v>
      </c>
      <c r="M85">
        <v>-622.493878</v>
      </c>
      <c r="N85">
        <v>1.353631</v>
      </c>
      <c r="O85">
        <v>2.3284090000000002</v>
      </c>
      <c r="P85">
        <f t="shared" ref="P85:P120" si="19" xml:space="preserve"> N85*0.001/60</f>
        <v>2.2560516666666669E-5</v>
      </c>
      <c r="Q85" cm="1">
        <f t="array" ref="Q85">[1]!PropsSI("D","T",J85+273.15,"P",101325,"Water")</f>
        <v>983.96343259860146</v>
      </c>
      <c r="R85" cm="1">
        <f t="array" ref="R85">[1]!PropsSI("D","T",K85+273.15,"P",101325,"Water")</f>
        <v>985.40215318056676</v>
      </c>
      <c r="S85">
        <f t="shared" ref="S85:S120" si="20">(Q85+R85)/2</f>
        <v>984.68279288958411</v>
      </c>
      <c r="T85" cm="1">
        <f t="array" ref="T85">[1]!PropsSI("H","T",J85+273.15,"P",101325,"Water")</f>
        <v>244950.26837717133</v>
      </c>
      <c r="U85" cm="1">
        <f t="array" ref="U85">[1]!PropsSI("H","T",K85+273.15,"P",101325,"Water")</f>
        <v>232832.93255059066</v>
      </c>
      <c r="V85">
        <f t="shared" ref="V85:V120" si="21">S85*P85*(T85-U85)</f>
        <v>269.18604054550508</v>
      </c>
      <c r="X85">
        <f t="shared" ref="X85:X120" si="22">(0.15+0.002*ABS(J85))</f>
        <v>0.26698973399999998</v>
      </c>
      <c r="Y85">
        <f t="shared" ref="Y85:Y120" si="23">(0.15+0.002*ABS(K85))</f>
        <v>0.26119713999999999</v>
      </c>
      <c r="Z85">
        <f t="shared" ref="Z85:Z120" si="24">SQRT((X85)^2 + (Y85)^2)</f>
        <v>0.37350697986191683</v>
      </c>
      <c r="AA85">
        <f t="shared" ref="AA85:AA120" si="25">J85-K85</f>
        <v>2.896296999999997</v>
      </c>
      <c r="AB85">
        <f t="shared" ref="AB85:AB120" si="26">SQRT((0.01)^2 + (Z85/ABS(AA85))^2)</f>
        <v>0.12934731460239496</v>
      </c>
      <c r="AC85">
        <f t="shared" ref="AC85:AC120" si="27">ABS(V85*AB85)</f>
        <v>34.818491473012493</v>
      </c>
    </row>
    <row r="86" spans="1:29" x14ac:dyDescent="0.2">
      <c r="A86">
        <v>46137.036452962966</v>
      </c>
      <c r="B86">
        <v>18.561544999999999</v>
      </c>
      <c r="C86">
        <v>18.465001000000001</v>
      </c>
      <c r="D86">
        <v>18.166981</v>
      </c>
      <c r="E86">
        <v>18.661832</v>
      </c>
      <c r="F86">
        <v>41.966096999999998</v>
      </c>
      <c r="G86">
        <v>42.775067999999997</v>
      </c>
      <c r="H86">
        <v>39.037156000000003</v>
      </c>
      <c r="I86">
        <v>31.965738999999999</v>
      </c>
      <c r="J86">
        <v>58.488813999999998</v>
      </c>
      <c r="K86">
        <v>55.591408000000001</v>
      </c>
      <c r="L86">
        <v>12.347804999999999</v>
      </c>
      <c r="M86">
        <v>-622.49224500000003</v>
      </c>
      <c r="N86">
        <v>1.352336</v>
      </c>
      <c r="O86">
        <v>2.8283230000000001</v>
      </c>
      <c r="P86">
        <f t="shared" si="19"/>
        <v>2.2538933333333332E-5</v>
      </c>
      <c r="Q86" cm="1">
        <f t="array" ref="Q86">[1]!PropsSI("D","T",J86+273.15,"P",101325,"Water")</f>
        <v>983.96649231725871</v>
      </c>
      <c r="R86" cm="1">
        <f t="array" ref="R86">[1]!PropsSI("D","T",K86+273.15,"P",101325,"Water")</f>
        <v>985.40564734787608</v>
      </c>
      <c r="S86">
        <f t="shared" si="20"/>
        <v>984.68606983256745</v>
      </c>
      <c r="T86" cm="1">
        <f t="array" ref="T86">[1]!PropsSI("H","T",J86+273.15,"P",101325,"Water")</f>
        <v>244924.94073867588</v>
      </c>
      <c r="U86" cm="1">
        <f t="array" ref="U86">[1]!PropsSI("H","T",K86+273.15,"P",101325,"Water")</f>
        <v>232802.9726553142</v>
      </c>
      <c r="V86">
        <f t="shared" si="21"/>
        <v>269.03221622520221</v>
      </c>
      <c r="X86">
        <f t="shared" si="22"/>
        <v>0.26697762800000002</v>
      </c>
      <c r="Y86">
        <f t="shared" si="23"/>
        <v>0.26118281599999998</v>
      </c>
      <c r="Z86">
        <f t="shared" si="24"/>
        <v>0.373488309356794</v>
      </c>
      <c r="AA86">
        <f t="shared" si="25"/>
        <v>2.8974059999999966</v>
      </c>
      <c r="AB86">
        <f t="shared" si="26"/>
        <v>0.12929167752349002</v>
      </c>
      <c r="AC86">
        <f t="shared" si="27"/>
        <v>34.783626543618681</v>
      </c>
    </row>
    <row r="87" spans="1:29" x14ac:dyDescent="0.2">
      <c r="A87">
        <v>46137.036487685182</v>
      </c>
      <c r="B87">
        <v>18.637146000000001</v>
      </c>
      <c r="C87">
        <v>18.666443999999998</v>
      </c>
      <c r="D87">
        <v>18.026686000000002</v>
      </c>
      <c r="E87">
        <v>18.557648</v>
      </c>
      <c r="F87">
        <v>42.463541999999997</v>
      </c>
      <c r="G87">
        <v>39.913421</v>
      </c>
      <c r="H87">
        <v>40.179594999999999</v>
      </c>
      <c r="I87">
        <v>31.841242999999999</v>
      </c>
      <c r="J87">
        <v>58.481805999999999</v>
      </c>
      <c r="K87">
        <v>55.587269999999997</v>
      </c>
      <c r="L87">
        <v>32.574955000000003</v>
      </c>
      <c r="M87">
        <v>-622.48775599999999</v>
      </c>
      <c r="N87">
        <v>1.3527579999999999</v>
      </c>
      <c r="O87">
        <v>3.0272890000000001</v>
      </c>
      <c r="P87">
        <f t="shared" si="19"/>
        <v>2.2545966666666664E-5</v>
      </c>
      <c r="Q87" cm="1">
        <f t="array" ref="Q87">[1]!PropsSI("D","T",J87+273.15,"P",101325,"Water")</f>
        <v>983.97003450267721</v>
      </c>
      <c r="R87" cm="1">
        <f t="array" ref="R87">[1]!PropsSI("D","T",K87+273.15,"P",101325,"Water")</f>
        <v>985.40766603415898</v>
      </c>
      <c r="S87">
        <f t="shared" si="20"/>
        <v>984.68885026841804</v>
      </c>
      <c r="T87" cm="1">
        <f t="array" ref="T87">[1]!PropsSI("H","T",J87+273.15,"P",101325,"Water")</f>
        <v>244895.6171014937</v>
      </c>
      <c r="U87" cm="1">
        <f t="array" ref="U87">[1]!PropsSI("H","T",K87+273.15,"P",101325,"Water")</f>
        <v>232785.66268815569</v>
      </c>
      <c r="V87">
        <f t="shared" si="21"/>
        <v>268.85021570311886</v>
      </c>
      <c r="X87">
        <f t="shared" si="22"/>
        <v>0.26696361199999996</v>
      </c>
      <c r="Y87">
        <f t="shared" si="23"/>
        <v>0.26117454000000001</v>
      </c>
      <c r="Z87">
        <f t="shared" si="24"/>
        <v>0.37347250297217083</v>
      </c>
      <c r="AA87">
        <f t="shared" si="25"/>
        <v>2.8945360000000022</v>
      </c>
      <c r="AB87">
        <f t="shared" si="26"/>
        <v>0.12941366228837217</v>
      </c>
      <c r="AC87">
        <f t="shared" si="27"/>
        <v>34.792891021159434</v>
      </c>
    </row>
    <row r="88" spans="1:29" x14ac:dyDescent="0.2">
      <c r="A88">
        <v>46137.036522986113</v>
      </c>
      <c r="B88">
        <v>18.668534999999999</v>
      </c>
      <c r="C88">
        <v>18.340820999999998</v>
      </c>
      <c r="D88">
        <v>18.030671999999999</v>
      </c>
      <c r="E88">
        <v>18.565785999999999</v>
      </c>
      <c r="F88">
        <v>42.451265999999997</v>
      </c>
      <c r="G88">
        <v>42.386226000000001</v>
      </c>
      <c r="H88">
        <v>38.520437999999999</v>
      </c>
      <c r="I88">
        <v>32.007235000000001</v>
      </c>
      <c r="J88">
        <v>58.475275000000003</v>
      </c>
      <c r="K88">
        <v>55.579630000000002</v>
      </c>
      <c r="L88">
        <v>11.049094</v>
      </c>
      <c r="M88">
        <v>-622.47102199999995</v>
      </c>
      <c r="N88">
        <v>1.3550610000000001</v>
      </c>
      <c r="O88">
        <v>2.993957</v>
      </c>
      <c r="P88">
        <f t="shared" si="19"/>
        <v>2.258435E-5</v>
      </c>
      <c r="Q88" cm="1">
        <f t="array" ref="Q88">[1]!PropsSI("D","T",J88+273.15,"P",101325,"Water")</f>
        <v>983.97333532404241</v>
      </c>
      <c r="R88" cm="1">
        <f t="array" ref="R88">[1]!PropsSI("D","T",K88+273.15,"P",101325,"Water")</f>
        <v>985.41139286221835</v>
      </c>
      <c r="S88">
        <f t="shared" si="20"/>
        <v>984.69236409313044</v>
      </c>
      <c r="T88" cm="1">
        <f t="array" ref="T88">[1]!PropsSI("H","T",J88+273.15,"P",101325,"Water")</f>
        <v>244868.28939802558</v>
      </c>
      <c r="U88" cm="1">
        <f t="array" ref="U88">[1]!PropsSI("H","T",K88+273.15,"P",101325,"Water")</f>
        <v>232753.70326818724</v>
      </c>
      <c r="V88">
        <f t="shared" si="21"/>
        <v>269.41188326198863</v>
      </c>
      <c r="X88">
        <f t="shared" si="22"/>
        <v>0.26695055000000001</v>
      </c>
      <c r="Y88">
        <f t="shared" si="23"/>
        <v>0.26115926</v>
      </c>
      <c r="Z88">
        <f t="shared" si="24"/>
        <v>0.37345248055013652</v>
      </c>
      <c r="AA88">
        <f t="shared" si="25"/>
        <v>2.8956450000000018</v>
      </c>
      <c r="AB88">
        <f t="shared" si="26"/>
        <v>0.12935750030924587</v>
      </c>
      <c r="AC88">
        <f t="shared" si="27"/>
        <v>34.850447772377208</v>
      </c>
    </row>
    <row r="89" spans="1:29" x14ac:dyDescent="0.2">
      <c r="A89">
        <v>46137.036558287036</v>
      </c>
      <c r="B89">
        <v>18.551772</v>
      </c>
      <c r="C89">
        <v>18.491320000000002</v>
      </c>
      <c r="D89">
        <v>18.128679000000002</v>
      </c>
      <c r="E89">
        <v>18.664028999999999</v>
      </c>
      <c r="F89">
        <v>42.507534999999997</v>
      </c>
      <c r="G89">
        <v>42.232244000000001</v>
      </c>
      <c r="H89">
        <v>38.811562000000002</v>
      </c>
      <c r="I89">
        <v>30.602264000000002</v>
      </c>
      <c r="J89">
        <v>58.468904000000002</v>
      </c>
      <c r="K89">
        <v>55.568967000000001</v>
      </c>
      <c r="L89">
        <v>9.6805909999999997</v>
      </c>
      <c r="M89">
        <v>-622.48571500000003</v>
      </c>
      <c r="N89">
        <v>1.351947</v>
      </c>
      <c r="O89">
        <v>2.9266179999999999</v>
      </c>
      <c r="P89">
        <f t="shared" si="19"/>
        <v>2.2532450000000001E-5</v>
      </c>
      <c r="Q89" cm="1">
        <f t="array" ref="Q89">[1]!PropsSI("D","T",J89+273.15,"P",101325,"Water")</f>
        <v>983.97655503376916</v>
      </c>
      <c r="R89" cm="1">
        <f t="array" ref="R89">[1]!PropsSI("D","T",K89+273.15,"P",101325,"Water")</f>
        <v>985.41659372179254</v>
      </c>
      <c r="S89">
        <f t="shared" si="20"/>
        <v>984.69657437778085</v>
      </c>
      <c r="T89" cm="1">
        <f t="array" ref="T89">[1]!PropsSI("H","T",J89+273.15,"P",101325,"Water")</f>
        <v>244841.63120052172</v>
      </c>
      <c r="U89" cm="1">
        <f t="array" ref="U89">[1]!PropsSI("H","T",K89+273.15,"P",101325,"Water")</f>
        <v>232709.09816095114</v>
      </c>
      <c r="V89">
        <f t="shared" si="21"/>
        <v>269.19210948608202</v>
      </c>
      <c r="X89">
        <f t="shared" si="22"/>
        <v>0.266937808</v>
      </c>
      <c r="Y89">
        <f t="shared" si="23"/>
        <v>0.26113793400000002</v>
      </c>
      <c r="Z89">
        <f t="shared" si="24"/>
        <v>0.37342845889625664</v>
      </c>
      <c r="AA89">
        <f t="shared" si="25"/>
        <v>2.8999370000000013</v>
      </c>
      <c r="AB89">
        <f t="shared" si="26"/>
        <v>0.12915893338795023</v>
      </c>
      <c r="AC89">
        <f t="shared" si="27"/>
        <v>34.76856573767467</v>
      </c>
    </row>
    <row r="90" spans="1:29" x14ac:dyDescent="0.2">
      <c r="A90">
        <v>46137.03659358796</v>
      </c>
      <c r="B90">
        <v>18.478835</v>
      </c>
      <c r="C90">
        <v>18.613136000000001</v>
      </c>
      <c r="D90">
        <v>18.215661999999998</v>
      </c>
      <c r="E90">
        <v>18.815712999999999</v>
      </c>
      <c r="F90">
        <v>41.916449999999998</v>
      </c>
      <c r="G90">
        <v>41.027830999999999</v>
      </c>
      <c r="H90">
        <v>38.291832999999997</v>
      </c>
      <c r="I90">
        <v>31.184811</v>
      </c>
      <c r="J90">
        <v>58.463807000000003</v>
      </c>
      <c r="K90">
        <v>55.564509999999999</v>
      </c>
      <c r="L90">
        <v>15.110932</v>
      </c>
      <c r="M90">
        <v>-622.49020499999995</v>
      </c>
      <c r="N90">
        <v>1.3581350000000001</v>
      </c>
      <c r="O90">
        <v>2.777657</v>
      </c>
      <c r="P90">
        <f t="shared" si="19"/>
        <v>2.2635583333333334E-5</v>
      </c>
      <c r="Q90" cm="1">
        <f t="array" ref="Q90">[1]!PropsSI("D","T",J90+273.15,"P",101325,"Water")</f>
        <v>983.97913072746053</v>
      </c>
      <c r="R90" cm="1">
        <f t="array" ref="R90">[1]!PropsSI("D","T",K90+273.15,"P",101325,"Water")</f>
        <v>985.41876740780708</v>
      </c>
      <c r="S90">
        <f t="shared" si="20"/>
        <v>984.69894906763375</v>
      </c>
      <c r="T90" cm="1">
        <f t="array" ref="T90">[1]!PropsSI("H","T",J90+273.15,"P",101325,"Water")</f>
        <v>244820.30381776692</v>
      </c>
      <c r="U90" cm="1">
        <f t="array" ref="U90">[1]!PropsSI("H","T",K90+273.15,"P",101325,"Water")</f>
        <v>232690.45379914343</v>
      </c>
      <c r="V90">
        <f t="shared" si="21"/>
        <v>270.36507903381209</v>
      </c>
      <c r="X90">
        <f t="shared" si="22"/>
        <v>0.26692761399999998</v>
      </c>
      <c r="Y90">
        <f t="shared" si="23"/>
        <v>0.26112901999999999</v>
      </c>
      <c r="Z90">
        <f t="shared" si="24"/>
        <v>0.37341493837538609</v>
      </c>
      <c r="AA90">
        <f t="shared" si="25"/>
        <v>2.8992970000000042</v>
      </c>
      <c r="AB90">
        <f t="shared" si="26"/>
        <v>0.12918262406402162</v>
      </c>
      <c r="AC90">
        <f t="shared" si="27"/>
        <v>34.926470364864443</v>
      </c>
    </row>
    <row r="91" spans="1:29" x14ac:dyDescent="0.2">
      <c r="A91">
        <v>46137.036628888891</v>
      </c>
      <c r="B91">
        <v>18.240084</v>
      </c>
      <c r="C91">
        <v>18.347327</v>
      </c>
      <c r="D91">
        <v>18.159884999999999</v>
      </c>
      <c r="E91">
        <v>18.592503000000001</v>
      </c>
      <c r="F91">
        <v>42.344318999999999</v>
      </c>
      <c r="G91">
        <v>39.357587000000002</v>
      </c>
      <c r="H91">
        <v>37.798769</v>
      </c>
      <c r="I91">
        <v>30.978659</v>
      </c>
      <c r="J91">
        <v>58.457434999999997</v>
      </c>
      <c r="K91">
        <v>55.561326999999999</v>
      </c>
      <c r="L91">
        <v>17.365921</v>
      </c>
      <c r="M91">
        <v>-622.52693699999998</v>
      </c>
      <c r="N91">
        <v>1.3508819999999999</v>
      </c>
      <c r="O91">
        <v>2.8822040000000002</v>
      </c>
      <c r="P91">
        <f t="shared" si="19"/>
        <v>2.2514699999999996E-5</v>
      </c>
      <c r="Q91" cm="1">
        <f t="array" ref="Q91">[1]!PropsSI("D","T",J91+273.15,"P",101325,"Water")</f>
        <v>983.98235050454036</v>
      </c>
      <c r="R91" cm="1">
        <f t="array" ref="R91">[1]!PropsSI("D","T",K91+273.15,"P",101325,"Water")</f>
        <v>985.42031968694027</v>
      </c>
      <c r="S91">
        <f t="shared" si="20"/>
        <v>984.70133509574032</v>
      </c>
      <c r="T91" cm="1">
        <f t="array" ref="T91">[1]!PropsSI("H","T",J91+273.15,"P",101325,"Water")</f>
        <v>244793.64146621936</v>
      </c>
      <c r="U91" cm="1">
        <f t="array" ref="U91">[1]!PropsSI("H","T",K91+273.15,"P",101325,"Water")</f>
        <v>232677.13879273759</v>
      </c>
      <c r="V91">
        <f t="shared" si="21"/>
        <v>268.62595578802473</v>
      </c>
      <c r="X91">
        <f t="shared" si="22"/>
        <v>0.26691486999999997</v>
      </c>
      <c r="Y91">
        <f t="shared" si="23"/>
        <v>0.26112265400000001</v>
      </c>
      <c r="Z91">
        <f t="shared" si="24"/>
        <v>0.37340137688433955</v>
      </c>
      <c r="AA91">
        <f t="shared" si="25"/>
        <v>2.8961079999999981</v>
      </c>
      <c r="AB91">
        <f t="shared" si="26"/>
        <v>0.12931935075166537</v>
      </c>
      <c r="AC91">
        <f t="shared" si="27"/>
        <v>34.738534197552923</v>
      </c>
    </row>
    <row r="92" spans="1:29" x14ac:dyDescent="0.2">
      <c r="A92">
        <v>46137.036664189814</v>
      </c>
      <c r="B92">
        <v>18.218017</v>
      </c>
      <c r="C92">
        <v>18.145513000000001</v>
      </c>
      <c r="D92">
        <v>18.328101</v>
      </c>
      <c r="E92">
        <v>18.539379</v>
      </c>
      <c r="F92">
        <v>42.286585000000002</v>
      </c>
      <c r="G92">
        <v>42.080401000000002</v>
      </c>
      <c r="H92">
        <v>38.229010000000002</v>
      </c>
      <c r="I92">
        <v>31.241371999999998</v>
      </c>
      <c r="J92">
        <v>58.455365</v>
      </c>
      <c r="K92">
        <v>55.55894</v>
      </c>
      <c r="L92">
        <v>18.818093000000001</v>
      </c>
      <c r="M92">
        <v>-622.50408100000004</v>
      </c>
      <c r="N92">
        <v>1.3533280000000001</v>
      </c>
      <c r="O92">
        <v>2.8137850000000002</v>
      </c>
      <c r="P92">
        <f t="shared" si="19"/>
        <v>2.2555466666666671E-5</v>
      </c>
      <c r="Q92" cm="1">
        <f t="array" ref="Q92">[1]!PropsSI("D","T",J92+273.15,"P",101325,"Water")</f>
        <v>983.98339642493113</v>
      </c>
      <c r="R92" cm="1">
        <f t="array" ref="R92">[1]!PropsSI("D","T",K92+273.15,"P",101325,"Water")</f>
        <v>985.42148373334589</v>
      </c>
      <c r="S92">
        <f t="shared" si="20"/>
        <v>984.70244007913857</v>
      </c>
      <c r="T92" cm="1">
        <f t="array" ref="T92">[1]!PropsSI("H","T",J92+273.15,"P",101325,"Water")</f>
        <v>244784.97997150282</v>
      </c>
      <c r="U92" cm="1">
        <f t="array" ref="U92">[1]!PropsSI("H","T",K92+273.15,"P",101325,"Water")</f>
        <v>232667.15358623542</v>
      </c>
      <c r="V92">
        <f t="shared" si="21"/>
        <v>269.14205063035024</v>
      </c>
      <c r="X92">
        <f t="shared" si="22"/>
        <v>0.26691072999999998</v>
      </c>
      <c r="Y92">
        <f t="shared" si="23"/>
        <v>0.26111788000000002</v>
      </c>
      <c r="Z92">
        <f t="shared" si="24"/>
        <v>0.37339507903134889</v>
      </c>
      <c r="AA92">
        <f t="shared" si="25"/>
        <v>2.8964250000000007</v>
      </c>
      <c r="AB92">
        <f t="shared" si="26"/>
        <v>0.12930311415578138</v>
      </c>
      <c r="AC92">
        <f t="shared" si="27"/>
        <v>34.800905296777273</v>
      </c>
    </row>
    <row r="93" spans="1:29" x14ac:dyDescent="0.2">
      <c r="A93">
        <v>46137.036699490738</v>
      </c>
      <c r="B93">
        <v>18.201768999999999</v>
      </c>
      <c r="C93">
        <v>18.17877</v>
      </c>
      <c r="D93">
        <v>18.568597</v>
      </c>
      <c r="E93">
        <v>18.641290999999999</v>
      </c>
      <c r="F93">
        <v>42.568277999999999</v>
      </c>
      <c r="G93">
        <v>40.912258000000001</v>
      </c>
      <c r="H93">
        <v>39.104849000000002</v>
      </c>
      <c r="I93">
        <v>32.484583000000001</v>
      </c>
      <c r="J93">
        <v>58.450744999999998</v>
      </c>
      <c r="K93">
        <v>55.555916000000003</v>
      </c>
      <c r="L93">
        <v>15.779062</v>
      </c>
      <c r="M93">
        <v>-622.53020300000003</v>
      </c>
      <c r="N93">
        <v>1.3515950000000001</v>
      </c>
      <c r="O93">
        <v>2.5722849999999999</v>
      </c>
      <c r="P93">
        <f t="shared" si="19"/>
        <v>2.2526583333333335E-5</v>
      </c>
      <c r="Q93" cm="1">
        <f t="array" ref="Q93">[1]!PropsSI("D","T",J93+273.15,"P",101325,"Water")</f>
        <v>983.9857307053727</v>
      </c>
      <c r="R93" cm="1">
        <f t="array" ref="R93">[1]!PropsSI("D","T",K93+273.15,"P",101325,"Water")</f>
        <v>985.42295836919561</v>
      </c>
      <c r="S93">
        <f t="shared" si="20"/>
        <v>984.70434453728421</v>
      </c>
      <c r="T93" cm="1">
        <f t="array" ref="T93">[1]!PropsSI("H","T",J93+273.15,"P",101325,"Water")</f>
        <v>244765.64852575533</v>
      </c>
      <c r="U93" cm="1">
        <f t="array" ref="U93">[1]!PropsSI("H","T",K93+273.15,"P",101325,"Water")</f>
        <v>232654.50370883112</v>
      </c>
      <c r="V93">
        <f t="shared" si="21"/>
        <v>268.64971076035795</v>
      </c>
      <c r="X93">
        <f t="shared" si="22"/>
        <v>0.26690148999999996</v>
      </c>
      <c r="Y93">
        <f t="shared" si="23"/>
        <v>0.26111183199999999</v>
      </c>
      <c r="Z93">
        <f t="shared" si="24"/>
        <v>0.37338424467914594</v>
      </c>
      <c r="AA93">
        <f t="shared" si="25"/>
        <v>2.8948289999999943</v>
      </c>
      <c r="AB93">
        <f t="shared" si="26"/>
        <v>0.12937024484353152</v>
      </c>
      <c r="AC93">
        <f t="shared" si="27"/>
        <v>34.755278858211433</v>
      </c>
    </row>
    <row r="94" spans="1:29" x14ac:dyDescent="0.2">
      <c r="A94">
        <v>46137.036734791669</v>
      </c>
      <c r="B94">
        <v>18.198187000000001</v>
      </c>
      <c r="C94">
        <v>18.244329</v>
      </c>
      <c r="D94">
        <v>18.484227000000001</v>
      </c>
      <c r="E94">
        <v>18.709651999999998</v>
      </c>
      <c r="F94">
        <v>42.425024000000001</v>
      </c>
      <c r="G94">
        <v>42.351425999999996</v>
      </c>
      <c r="H94">
        <v>38.498506999999996</v>
      </c>
      <c r="I94">
        <v>31.720834</v>
      </c>
      <c r="J94">
        <v>58.444851999999997</v>
      </c>
      <c r="K94">
        <v>55.557347999999998</v>
      </c>
      <c r="L94">
        <v>34.572814000000001</v>
      </c>
      <c r="M94">
        <v>-622.47714399999995</v>
      </c>
      <c r="N94">
        <v>1.3426370000000001</v>
      </c>
      <c r="O94">
        <v>2.7353399999999999</v>
      </c>
      <c r="P94">
        <f t="shared" si="19"/>
        <v>2.2377283333333333E-5</v>
      </c>
      <c r="Q94" cm="1">
        <f t="array" ref="Q94">[1]!PropsSI("D","T",J94+273.15,"P",101325,"Water")</f>
        <v>983.98870799037923</v>
      </c>
      <c r="R94" cm="1">
        <f t="array" ref="R94">[1]!PropsSI("D","T",K94+273.15,"P",101325,"Water")</f>
        <v>985.42226006982708</v>
      </c>
      <c r="S94">
        <f t="shared" si="20"/>
        <v>984.70548403010321</v>
      </c>
      <c r="T94" cm="1">
        <f t="array" ref="T94">[1]!PropsSI("H","T",J94+273.15,"P",101325,"Water")</f>
        <v>244740.9904845586</v>
      </c>
      <c r="U94" cm="1">
        <f t="array" ref="U94">[1]!PropsSI("H","T",K94+273.15,"P",101325,"Water")</f>
        <v>232660.49399423957</v>
      </c>
      <c r="V94">
        <f t="shared" si="21"/>
        <v>266.19414626249721</v>
      </c>
      <c r="X94">
        <f t="shared" si="22"/>
        <v>0.26688970400000001</v>
      </c>
      <c r="Y94">
        <f t="shared" si="23"/>
        <v>0.26111469599999998</v>
      </c>
      <c r="Z94">
        <f t="shared" si="24"/>
        <v>0.37337782281273751</v>
      </c>
      <c r="AA94">
        <f t="shared" si="25"/>
        <v>2.8875039999999998</v>
      </c>
      <c r="AB94">
        <f t="shared" si="26"/>
        <v>0.12969425456662936</v>
      </c>
      <c r="AC94">
        <f t="shared" si="27"/>
        <v>34.523851369514887</v>
      </c>
    </row>
    <row r="95" spans="1:29" x14ac:dyDescent="0.2">
      <c r="A95">
        <v>46137.036770092593</v>
      </c>
      <c r="B95">
        <v>18.190529999999999</v>
      </c>
      <c r="C95">
        <v>18.372565000000002</v>
      </c>
      <c r="D95">
        <v>18.439249</v>
      </c>
      <c r="E95">
        <v>18.574486</v>
      </c>
      <c r="F95">
        <v>42.568233999999997</v>
      </c>
      <c r="G95">
        <v>41.653424999999999</v>
      </c>
      <c r="H95">
        <v>38.149227000000003</v>
      </c>
      <c r="I95">
        <v>30.803728</v>
      </c>
      <c r="J95">
        <v>58.441347999999998</v>
      </c>
      <c r="K95">
        <v>55.553051000000004</v>
      </c>
      <c r="L95">
        <v>16.639835000000001</v>
      </c>
      <c r="M95">
        <v>-622.47796000000005</v>
      </c>
      <c r="N95">
        <v>1.354193</v>
      </c>
      <c r="O95">
        <v>2.9174169999999999</v>
      </c>
      <c r="P95">
        <f t="shared" si="19"/>
        <v>2.2569883333333336E-5</v>
      </c>
      <c r="Q95" cm="1">
        <f t="array" ref="Q95">[1]!PropsSI("D","T",J95+273.15,"P",101325,"Water")</f>
        <v>983.99047819655243</v>
      </c>
      <c r="R95" cm="1">
        <f t="array" ref="R95">[1]!PropsSI("D","T",K95+273.15,"P",101325,"Water")</f>
        <v>985.42435541755253</v>
      </c>
      <c r="S95">
        <f t="shared" si="20"/>
        <v>984.70741680705248</v>
      </c>
      <c r="T95" cm="1">
        <f t="array" ref="T95">[1]!PropsSI("H","T",J95+273.15,"P",101325,"Water")</f>
        <v>244726.32872721591</v>
      </c>
      <c r="U95" cm="1">
        <f t="array" ref="U95">[1]!PropsSI("H","T",K95+273.15,"P",101325,"Water")</f>
        <v>232642.51895703049</v>
      </c>
      <c r="V95">
        <f t="shared" si="21"/>
        <v>268.55942781832675</v>
      </c>
      <c r="X95">
        <f t="shared" si="22"/>
        <v>0.26688269599999997</v>
      </c>
      <c r="Y95">
        <f t="shared" si="23"/>
        <v>0.26110610200000001</v>
      </c>
      <c r="Z95">
        <f t="shared" si="24"/>
        <v>0.37336680345989898</v>
      </c>
      <c r="AA95">
        <f t="shared" si="25"/>
        <v>2.8882969999999943</v>
      </c>
      <c r="AB95">
        <f t="shared" si="26"/>
        <v>0.12965505411323</v>
      </c>
      <c r="AC95">
        <f t="shared" si="27"/>
        <v>34.820087146403239</v>
      </c>
    </row>
    <row r="96" spans="1:29" x14ac:dyDescent="0.2">
      <c r="A96">
        <v>46137.036804814816</v>
      </c>
      <c r="B96">
        <v>18.168364</v>
      </c>
      <c r="C96">
        <v>18.369712</v>
      </c>
      <c r="D96">
        <v>18.240950000000002</v>
      </c>
      <c r="E96">
        <v>18.512308999999998</v>
      </c>
      <c r="F96">
        <v>41.934882999999999</v>
      </c>
      <c r="G96">
        <v>41.923181</v>
      </c>
      <c r="H96">
        <v>38.263007999999999</v>
      </c>
      <c r="I96">
        <v>32.101073999999997</v>
      </c>
      <c r="J96">
        <v>58.439914000000002</v>
      </c>
      <c r="K96">
        <v>55.550185999999997</v>
      </c>
      <c r="L96">
        <v>23.809272</v>
      </c>
      <c r="M96">
        <v>-622.47673599999996</v>
      </c>
      <c r="N96">
        <v>1.353488</v>
      </c>
      <c r="O96">
        <v>2.8784930000000002</v>
      </c>
      <c r="P96">
        <f t="shared" si="19"/>
        <v>2.2558133333333337E-5</v>
      </c>
      <c r="Q96" cm="1">
        <f t="array" ref="Q96">[1]!PropsSI("D","T",J96+273.15,"P",101325,"Water")</f>
        <v>983.99120262614383</v>
      </c>
      <c r="R96" cm="1">
        <f t="array" ref="R96">[1]!PropsSI("D","T",K96+273.15,"P",101325,"Water")</f>
        <v>985.42575241528323</v>
      </c>
      <c r="S96">
        <f t="shared" si="20"/>
        <v>984.70847752071359</v>
      </c>
      <c r="T96" cm="1">
        <f t="array" ref="T96">[1]!PropsSI("H","T",J96+273.15,"P",101325,"Water")</f>
        <v>244720.32845464558</v>
      </c>
      <c r="U96" cm="1">
        <f t="array" ref="U96">[1]!PropsSI("H","T",K96+273.15,"P",101325,"Water")</f>
        <v>232630.53420828807</v>
      </c>
      <c r="V96">
        <f t="shared" si="21"/>
        <v>268.55283778249321</v>
      </c>
      <c r="X96">
        <f t="shared" si="22"/>
        <v>0.26687982799999999</v>
      </c>
      <c r="Y96">
        <f t="shared" si="23"/>
        <v>0.26110037199999997</v>
      </c>
      <c r="Z96">
        <f t="shared" si="24"/>
        <v>0.37336074626538868</v>
      </c>
      <c r="AA96">
        <f t="shared" si="25"/>
        <v>2.8897280000000052</v>
      </c>
      <c r="AB96">
        <f t="shared" si="26"/>
        <v>0.12958914080021136</v>
      </c>
      <c r="AC96">
        <f t="shared" si="27"/>
        <v>34.801531507691834</v>
      </c>
    </row>
    <row r="97" spans="1:29" x14ac:dyDescent="0.2">
      <c r="A97">
        <v>46137.036840115739</v>
      </c>
      <c r="B97">
        <v>18.385950999999999</v>
      </c>
      <c r="C97">
        <v>18.251954000000001</v>
      </c>
      <c r="D97">
        <v>18.047674000000001</v>
      </c>
      <c r="E97">
        <v>18.562636000000001</v>
      </c>
      <c r="F97">
        <v>42.101394999999997</v>
      </c>
      <c r="G97">
        <v>40.774608999999998</v>
      </c>
      <c r="H97">
        <v>39.238323000000001</v>
      </c>
      <c r="I97">
        <v>31.54663</v>
      </c>
      <c r="J97">
        <v>58.436728000000002</v>
      </c>
      <c r="K97">
        <v>55.545571000000002</v>
      </c>
      <c r="L97">
        <v>34.839739999999999</v>
      </c>
      <c r="M97">
        <v>-622.48285799999996</v>
      </c>
      <c r="N97">
        <v>1.353389</v>
      </c>
      <c r="O97">
        <v>3.0472410000000001</v>
      </c>
      <c r="P97">
        <f t="shared" si="19"/>
        <v>2.2556483333333333E-5</v>
      </c>
      <c r="Q97" cm="1">
        <f t="array" ref="Q97">[1]!PropsSI("D","T",J97+273.15,"P",101325,"Water")</f>
        <v>983.99281208877198</v>
      </c>
      <c r="R97" cm="1">
        <f t="array" ref="R97">[1]!PropsSI("D","T",K97+273.15,"P",101325,"Water")</f>
        <v>985.42800262091168</v>
      </c>
      <c r="S97">
        <f t="shared" si="20"/>
        <v>984.71040735484189</v>
      </c>
      <c r="T97" cm="1">
        <f t="array" ref="T97">[1]!PropsSI("H","T",J97+273.15,"P",101325,"Water")</f>
        <v>244706.99730825322</v>
      </c>
      <c r="U97" cm="1">
        <f t="array" ref="U97">[1]!PropsSI("H","T",K97+273.15,"P",101325,"Water")</f>
        <v>232611.22893887231</v>
      </c>
      <c r="V97">
        <f t="shared" si="21"/>
        <v>268.6664157859513</v>
      </c>
      <c r="X97">
        <f t="shared" si="22"/>
        <v>0.26687345600000001</v>
      </c>
      <c r="Y97">
        <f t="shared" si="23"/>
        <v>0.261091142</v>
      </c>
      <c r="Z97">
        <f t="shared" si="24"/>
        <v>0.373349736772705</v>
      </c>
      <c r="AA97">
        <f t="shared" si="25"/>
        <v>2.8911569999999998</v>
      </c>
      <c r="AB97">
        <f t="shared" si="26"/>
        <v>0.12952167420243246</v>
      </c>
      <c r="AC97">
        <f t="shared" si="27"/>
        <v>34.798123974563239</v>
      </c>
    </row>
    <row r="98" spans="1:29" x14ac:dyDescent="0.2">
      <c r="A98">
        <v>46137.03687541667</v>
      </c>
      <c r="B98">
        <v>18.508745000000001</v>
      </c>
      <c r="C98">
        <v>18.084790999999999</v>
      </c>
      <c r="D98">
        <v>18.011178000000001</v>
      </c>
      <c r="E98">
        <v>18.613828000000002</v>
      </c>
      <c r="F98">
        <v>42.057037000000001</v>
      </c>
      <c r="G98">
        <v>39.549222999999998</v>
      </c>
      <c r="H98">
        <v>38.699981000000001</v>
      </c>
      <c r="I98">
        <v>31.893879999999999</v>
      </c>
      <c r="J98">
        <v>58.436728000000002</v>
      </c>
      <c r="K98">
        <v>55.546366999999996</v>
      </c>
      <c r="L98">
        <v>24.703513000000001</v>
      </c>
      <c r="M98">
        <v>-622.51020400000004</v>
      </c>
      <c r="N98">
        <v>1.3584259999999999</v>
      </c>
      <c r="O98">
        <v>2.7883439999999999</v>
      </c>
      <c r="P98">
        <f t="shared" si="19"/>
        <v>2.2640433333333334E-5</v>
      </c>
      <c r="Q98" cm="1">
        <f t="array" ref="Q98">[1]!PropsSI("D","T",J98+273.15,"P",101325,"Water")</f>
        <v>983.99281208877198</v>
      </c>
      <c r="R98" cm="1">
        <f t="array" ref="R98">[1]!PropsSI("D","T",K98+273.15,"P",101325,"Water")</f>
        <v>985.4276145124818</v>
      </c>
      <c r="S98">
        <f t="shared" si="20"/>
        <v>984.71021330062695</v>
      </c>
      <c r="T98" cm="1">
        <f t="array" ref="T98">[1]!PropsSI("H","T",J98+273.15,"P",101325,"Water")</f>
        <v>244706.99730825322</v>
      </c>
      <c r="U98" cm="1">
        <f t="array" ref="U98">[1]!PropsSI("H","T",K98+273.15,"P",101325,"Water")</f>
        <v>232614.55873126702</v>
      </c>
      <c r="V98">
        <f t="shared" si="21"/>
        <v>269.59204146078105</v>
      </c>
      <c r="X98">
        <f t="shared" si="22"/>
        <v>0.26687345600000001</v>
      </c>
      <c r="Y98">
        <f t="shared" si="23"/>
        <v>0.26109273399999999</v>
      </c>
      <c r="Z98">
        <f t="shared" si="24"/>
        <v>0.37335085009274949</v>
      </c>
      <c r="AA98">
        <f t="shared" si="25"/>
        <v>2.8903610000000057</v>
      </c>
      <c r="AB98">
        <f t="shared" si="26"/>
        <v>0.1295575156653167</v>
      </c>
      <c r="AC98">
        <f t="shared" si="27"/>
        <v>34.927675134799848</v>
      </c>
    </row>
    <row r="99" spans="1:29" x14ac:dyDescent="0.2">
      <c r="A99">
        <v>46137.036910138886</v>
      </c>
      <c r="B99">
        <v>18.627209000000001</v>
      </c>
      <c r="C99">
        <v>18.092877000000001</v>
      </c>
      <c r="D99">
        <v>18.014799</v>
      </c>
      <c r="E99">
        <v>18.56427</v>
      </c>
      <c r="F99">
        <v>42.147421999999999</v>
      </c>
      <c r="G99">
        <v>43.057896</v>
      </c>
      <c r="H99">
        <v>38.252474999999997</v>
      </c>
      <c r="I99">
        <v>31.407067000000001</v>
      </c>
      <c r="J99">
        <v>58.433064999999999</v>
      </c>
      <c r="K99">
        <v>55.541432999999998</v>
      </c>
      <c r="L99">
        <v>18.559329999999999</v>
      </c>
      <c r="M99">
        <v>-622.50408100000004</v>
      </c>
      <c r="N99">
        <v>1.3530530000000001</v>
      </c>
      <c r="O99">
        <v>2.7111689999999999</v>
      </c>
      <c r="P99">
        <f t="shared" si="19"/>
        <v>2.2550883333333335E-5</v>
      </c>
      <c r="Q99" cm="1">
        <f t="array" ref="Q99">[1]!PropsSI("D","T",J99+273.15,"P",101325,"Water")</f>
        <v>983.99466244092071</v>
      </c>
      <c r="R99" cm="1">
        <f t="array" ref="R99">[1]!PropsSI("D","T",K99+273.15,"P",101325,"Water")</f>
        <v>985.43002013662215</v>
      </c>
      <c r="S99">
        <f t="shared" si="20"/>
        <v>984.71234128877143</v>
      </c>
      <c r="T99" cm="1">
        <f t="array" ref="T99">[1]!PropsSI("H","T",J99+273.15,"P",101325,"Water")</f>
        <v>244691.67026097397</v>
      </c>
      <c r="U99" cm="1">
        <f t="array" ref="U99">[1]!PropsSI("H","T",K99+273.15,"P",101325,"Water")</f>
        <v>232593.91904195817</v>
      </c>
      <c r="V99">
        <f t="shared" si="21"/>
        <v>268.64427408618411</v>
      </c>
      <c r="X99">
        <f t="shared" si="22"/>
        <v>0.26686612999999998</v>
      </c>
      <c r="Y99">
        <f t="shared" si="23"/>
        <v>0.26108286599999997</v>
      </c>
      <c r="Z99">
        <f t="shared" si="24"/>
        <v>0.37333871251177642</v>
      </c>
      <c r="AA99">
        <f t="shared" si="25"/>
        <v>2.8916320000000013</v>
      </c>
      <c r="AB99">
        <f t="shared" si="26"/>
        <v>0.12949672380283425</v>
      </c>
      <c r="AC99">
        <f t="shared" si="27"/>
        <v>34.78855336255149</v>
      </c>
    </row>
    <row r="100" spans="1:29" x14ac:dyDescent="0.2">
      <c r="A100">
        <v>46137.036945439817</v>
      </c>
      <c r="B100">
        <v>18.661750000000001</v>
      </c>
      <c r="C100">
        <v>17.875091000000001</v>
      </c>
      <c r="D100">
        <v>18.004297999999999</v>
      </c>
      <c r="E100">
        <v>18.602284999999998</v>
      </c>
      <c r="F100">
        <v>42.363616999999998</v>
      </c>
      <c r="G100">
        <v>41.624088</v>
      </c>
      <c r="H100">
        <v>38.637815000000003</v>
      </c>
      <c r="I100">
        <v>31.207968999999999</v>
      </c>
      <c r="J100">
        <v>58.433861</v>
      </c>
      <c r="K100">
        <v>55.532043000000002</v>
      </c>
      <c r="L100">
        <v>28.012734999999999</v>
      </c>
      <c r="M100">
        <v>-622.46489999999994</v>
      </c>
      <c r="N100">
        <v>1.3575360000000001</v>
      </c>
      <c r="O100">
        <v>2.8665349999999998</v>
      </c>
      <c r="P100">
        <f t="shared" si="19"/>
        <v>2.2625600000000002E-5</v>
      </c>
      <c r="Q100" cm="1">
        <f t="array" ref="Q100">[1]!PropsSI("D","T",J100+273.15,"P",101325,"Water")</f>
        <v>983.99426035103863</v>
      </c>
      <c r="R100" cm="1">
        <f t="array" ref="R100">[1]!PropsSI("D","T",K100+273.15,"P",101325,"Water")</f>
        <v>985.43459791579323</v>
      </c>
      <c r="S100">
        <f t="shared" si="20"/>
        <v>984.71442913341593</v>
      </c>
      <c r="T100" cm="1">
        <f t="array" ref="T100">[1]!PropsSI("H","T",J100+273.15,"P",101325,"Water")</f>
        <v>244695.00095380589</v>
      </c>
      <c r="U100" cm="1">
        <f t="array" ref="U100">[1]!PropsSI("H","T",K100+273.15,"P",101325,"Water")</f>
        <v>232554.63923657718</v>
      </c>
      <c r="V100">
        <f t="shared" si="21"/>
        <v>270.48428209506272</v>
      </c>
      <c r="X100">
        <f t="shared" si="22"/>
        <v>0.26686772199999997</v>
      </c>
      <c r="Y100">
        <f t="shared" si="23"/>
        <v>0.26106408599999997</v>
      </c>
      <c r="Z100">
        <f t="shared" si="24"/>
        <v>0.37332671756048297</v>
      </c>
      <c r="AA100">
        <f t="shared" si="25"/>
        <v>2.9018179999999987</v>
      </c>
      <c r="AB100">
        <f t="shared" si="26"/>
        <v>0.12904075692203693</v>
      </c>
      <c r="AC100">
        <f t="shared" si="27"/>
        <v>34.903496497060651</v>
      </c>
    </row>
    <row r="101" spans="1:29" x14ac:dyDescent="0.2">
      <c r="A101">
        <v>46137.036980740741</v>
      </c>
      <c r="B101">
        <v>18.430457000000001</v>
      </c>
      <c r="C101">
        <v>17.991463</v>
      </c>
      <c r="D101">
        <v>18.090758999999998</v>
      </c>
      <c r="E101">
        <v>18.481086999999999</v>
      </c>
      <c r="F101">
        <v>42.463428</v>
      </c>
      <c r="G101">
        <v>41.916347000000002</v>
      </c>
      <c r="H101">
        <v>38.432859000000001</v>
      </c>
      <c r="I101">
        <v>31.456533</v>
      </c>
      <c r="J101">
        <v>58.431631000000003</v>
      </c>
      <c r="K101">
        <v>55.531883999999998</v>
      </c>
      <c r="L101">
        <v>24.252514999999999</v>
      </c>
      <c r="M101">
        <v>-622.49061300000005</v>
      </c>
      <c r="N101">
        <v>1.3571139999999999</v>
      </c>
      <c r="O101">
        <v>2.9474710000000002</v>
      </c>
      <c r="P101">
        <f t="shared" si="19"/>
        <v>2.2618566666666667E-5</v>
      </c>
      <c r="Q101" cm="1">
        <f t="array" ref="Q101">[1]!PropsSI("D","T",J101+273.15,"P",101325,"Water")</f>
        <v>983.99538679929344</v>
      </c>
      <c r="R101" cm="1">
        <f t="array" ref="R101">[1]!PropsSI("D","T",K101+273.15,"P",101325,"Water")</f>
        <v>985.43467542622409</v>
      </c>
      <c r="S101">
        <f t="shared" si="20"/>
        <v>984.71503111275877</v>
      </c>
      <c r="T101" cm="1">
        <f t="array" ref="T101">[1]!PropsSI("H","T",J101+273.15,"P",101325,"Water")</f>
        <v>244685.66999335162</v>
      </c>
      <c r="U101" cm="1">
        <f t="array" ref="U101">[1]!PropsSI("H","T",K101+273.15,"P",101325,"Water")</f>
        <v>232553.97411556862</v>
      </c>
      <c r="V101">
        <f t="shared" si="21"/>
        <v>270.20735250086193</v>
      </c>
      <c r="X101">
        <f t="shared" si="22"/>
        <v>0.26686326199999999</v>
      </c>
      <c r="Y101">
        <f t="shared" si="23"/>
        <v>0.26106376799999997</v>
      </c>
      <c r="Z101">
        <f t="shared" si="24"/>
        <v>0.37332330702440536</v>
      </c>
      <c r="AA101">
        <f t="shared" si="25"/>
        <v>2.899747000000005</v>
      </c>
      <c r="AB101">
        <f t="shared" si="26"/>
        <v>0.12913119197149162</v>
      </c>
      <c r="AC101">
        <f t="shared" si="27"/>
        <v>34.892197507897308</v>
      </c>
    </row>
    <row r="102" spans="1:29" x14ac:dyDescent="0.2">
      <c r="A102">
        <v>46137.037015462964</v>
      </c>
      <c r="B102">
        <v>18.327134999999998</v>
      </c>
      <c r="C102">
        <v>18.413270000000001</v>
      </c>
      <c r="D102">
        <v>18.181991</v>
      </c>
      <c r="E102">
        <v>18.579514</v>
      </c>
      <c r="F102">
        <v>41.838819999999998</v>
      </c>
      <c r="G102">
        <v>40.265152999999998</v>
      </c>
      <c r="H102">
        <v>39.809736999999998</v>
      </c>
      <c r="I102">
        <v>32.092913000000003</v>
      </c>
      <c r="J102">
        <v>58.429242000000002</v>
      </c>
      <c r="K102">
        <v>55.533952999999997</v>
      </c>
      <c r="L102">
        <v>20.372709</v>
      </c>
      <c r="M102">
        <v>-622.49591899999996</v>
      </c>
      <c r="N102">
        <v>1.354201</v>
      </c>
      <c r="O102">
        <v>2.717104</v>
      </c>
      <c r="P102">
        <f t="shared" si="19"/>
        <v>2.2570016666666666E-5</v>
      </c>
      <c r="Q102" cm="1">
        <f t="array" ref="Q102">[1]!PropsSI("D","T",J102+273.15,"P",101325,"Water")</f>
        <v>983.99659353074549</v>
      </c>
      <c r="R102" cm="1">
        <f t="array" ref="R102">[1]!PropsSI("D","T",K102+273.15,"P",101325,"Water")</f>
        <v>985.43366680353347</v>
      </c>
      <c r="S102">
        <f t="shared" si="20"/>
        <v>984.71513016713948</v>
      </c>
      <c r="T102" cm="1">
        <f t="array" ref="T102">[1]!PropsSI("H","T",J102+273.15,"P",101325,"Water")</f>
        <v>244675.67373347201</v>
      </c>
      <c r="U102" cm="1">
        <f t="array" ref="U102">[1]!PropsSI("H","T",K102+273.15,"P",101325,"Water")</f>
        <v>232562.62905592177</v>
      </c>
      <c r="V102">
        <f t="shared" si="21"/>
        <v>269.21286492737306</v>
      </c>
      <c r="X102">
        <f t="shared" si="22"/>
        <v>0.26685848400000001</v>
      </c>
      <c r="Y102">
        <f t="shared" si="23"/>
        <v>0.26106790599999996</v>
      </c>
      <c r="Z102">
        <f t="shared" si="24"/>
        <v>0.37332278530248203</v>
      </c>
      <c r="AA102">
        <f t="shared" si="25"/>
        <v>2.8952890000000053</v>
      </c>
      <c r="AB102">
        <f t="shared" si="26"/>
        <v>0.12932864964452817</v>
      </c>
      <c r="AC102">
        <f t="shared" si="27"/>
        <v>34.816936287991915</v>
      </c>
    </row>
    <row r="103" spans="1:29" x14ac:dyDescent="0.2">
      <c r="A103">
        <v>46137.037050185187</v>
      </c>
      <c r="B103">
        <v>18.319037000000002</v>
      </c>
      <c r="C103">
        <v>18.615431000000001</v>
      </c>
      <c r="D103">
        <v>18.128404</v>
      </c>
      <c r="E103">
        <v>18.556840999999999</v>
      </c>
      <c r="F103">
        <v>42.292273999999999</v>
      </c>
      <c r="G103">
        <v>40.408797999999997</v>
      </c>
      <c r="H103">
        <v>38.638756000000001</v>
      </c>
      <c r="I103">
        <v>32.370882999999999</v>
      </c>
      <c r="J103">
        <v>58.428286999999997</v>
      </c>
      <c r="K103">
        <v>55.538727000000002</v>
      </c>
      <c r="L103">
        <v>12.338417</v>
      </c>
      <c r="M103">
        <v>-622.487348</v>
      </c>
      <c r="N103">
        <v>1.3688260000000001</v>
      </c>
      <c r="O103">
        <v>2.7551640000000002</v>
      </c>
      <c r="P103">
        <f t="shared" si="19"/>
        <v>2.2813766666666668E-5</v>
      </c>
      <c r="Q103" cm="1">
        <f t="array" ref="Q103">[1]!PropsSI("D","T",J103+273.15,"P",101325,"Water")</f>
        <v>983.99707591067238</v>
      </c>
      <c r="R103" cm="1">
        <f t="array" ref="R103">[1]!PropsSI("D","T",K103+273.15,"P",101325,"Water")</f>
        <v>985.4313394118933</v>
      </c>
      <c r="S103">
        <f t="shared" si="20"/>
        <v>984.7142076612829</v>
      </c>
      <c r="T103" cm="1">
        <f t="array" ref="T103">[1]!PropsSI("H","T",J103+273.15,"P",101325,"Water")</f>
        <v>244671.6777407442</v>
      </c>
      <c r="U103" cm="1">
        <f t="array" ref="U103">[1]!PropsSI("H","T",K103+273.15,"P",101325,"Water")</f>
        <v>232582.59942695548</v>
      </c>
      <c r="V103">
        <f t="shared" si="21"/>
        <v>271.58162990049914</v>
      </c>
      <c r="X103">
        <f t="shared" si="22"/>
        <v>0.26685657399999996</v>
      </c>
      <c r="Y103">
        <f t="shared" si="23"/>
        <v>0.26107745399999999</v>
      </c>
      <c r="Z103">
        <f t="shared" si="24"/>
        <v>0.37332809708638265</v>
      </c>
      <c r="AA103">
        <f t="shared" si="25"/>
        <v>2.8895599999999959</v>
      </c>
      <c r="AB103">
        <f t="shared" si="26"/>
        <v>0.12958536496961284</v>
      </c>
      <c r="AC103">
        <f t="shared" si="27"/>
        <v>35.1930046296985</v>
      </c>
    </row>
    <row r="104" spans="1:29" x14ac:dyDescent="0.2">
      <c r="A104">
        <v>46137.03708490741</v>
      </c>
      <c r="B104">
        <v>18.584036000000001</v>
      </c>
      <c r="C104">
        <v>18.089516</v>
      </c>
      <c r="D104">
        <v>18.069609</v>
      </c>
      <c r="E104">
        <v>18.397555000000001</v>
      </c>
      <c r="F104">
        <v>42.170195999999997</v>
      </c>
      <c r="G104">
        <v>42.428373999999998</v>
      </c>
      <c r="H104">
        <v>37.917408999999999</v>
      </c>
      <c r="I104">
        <v>31.612217000000001</v>
      </c>
      <c r="J104">
        <v>58.419207</v>
      </c>
      <c r="K104">
        <v>55.532201999999998</v>
      </c>
      <c r="L104">
        <v>27.723769999999998</v>
      </c>
      <c r="M104">
        <v>-622.474287</v>
      </c>
      <c r="N104">
        <v>1.345567</v>
      </c>
      <c r="O104">
        <v>2.84558</v>
      </c>
      <c r="P104">
        <f t="shared" si="19"/>
        <v>2.2426116666666665E-5</v>
      </c>
      <c r="Q104" cm="1">
        <f t="array" ref="Q104">[1]!PropsSI("D","T",J104+273.15,"P",101325,"Water")</f>
        <v>984.00166203518711</v>
      </c>
      <c r="R104" cm="1">
        <f t="array" ref="R104">[1]!PropsSI("D","T",K104+273.15,"P",101325,"Water")</f>
        <v>985.43452040523346</v>
      </c>
      <c r="S104">
        <f t="shared" si="20"/>
        <v>984.71809122021023</v>
      </c>
      <c r="T104" cm="1">
        <f t="array" ref="T104">[1]!PropsSI("H","T",J104+273.15,"P",101325,"Water")</f>
        <v>244633.68444669392</v>
      </c>
      <c r="U104" cm="1">
        <f t="array" ref="U104">[1]!PropsSI("H","T",K104+273.15,"P",101325,"Water")</f>
        <v>232555.30435761093</v>
      </c>
      <c r="V104">
        <f t="shared" si="21"/>
        <v>266.73173264830302</v>
      </c>
      <c r="X104">
        <f t="shared" si="22"/>
        <v>0.26683841399999997</v>
      </c>
      <c r="Y104">
        <f t="shared" si="23"/>
        <v>0.26106440399999997</v>
      </c>
      <c r="Z104">
        <f t="shared" si="24"/>
        <v>0.37330599006968879</v>
      </c>
      <c r="AA104">
        <f t="shared" si="25"/>
        <v>2.887005000000002</v>
      </c>
      <c r="AB104">
        <f t="shared" si="26"/>
        <v>0.12969173076905011</v>
      </c>
      <c r="AC104">
        <f t="shared" si="27"/>
        <v>34.592900058185968</v>
      </c>
    </row>
    <row r="105" spans="1:29" x14ac:dyDescent="0.2">
      <c r="A105">
        <v>46137.037120208333</v>
      </c>
      <c r="B105">
        <v>18.642738000000001</v>
      </c>
      <c r="C105">
        <v>17.964559999999999</v>
      </c>
      <c r="D105">
        <v>18.124649999999999</v>
      </c>
      <c r="E105">
        <v>18.406697999999999</v>
      </c>
      <c r="F105">
        <v>42.565159000000001</v>
      </c>
      <c r="G105">
        <v>39.862881999999999</v>
      </c>
      <c r="H105">
        <v>37.933557</v>
      </c>
      <c r="I105">
        <v>31.104649999999999</v>
      </c>
      <c r="J105">
        <v>58.403756999999999</v>
      </c>
      <c r="K105">
        <v>55.536498999999999</v>
      </c>
      <c r="L105">
        <v>35.603375</v>
      </c>
      <c r="M105">
        <v>-622.48816399999998</v>
      </c>
      <c r="N105">
        <v>1.341051</v>
      </c>
      <c r="O105">
        <v>3.665756</v>
      </c>
      <c r="P105">
        <f t="shared" si="19"/>
        <v>2.235085E-5</v>
      </c>
      <c r="Q105" cm="1">
        <f t="array" ref="Q105">[1]!PropsSI("D","T",J105+273.15,"P",101325,"Water")</f>
        <v>984.00946438160327</v>
      </c>
      <c r="R105" cm="1">
        <f t="array" ref="R105">[1]!PropsSI("D","T",K105+273.15,"P",101325,"Water")</f>
        <v>985.43242561051898</v>
      </c>
      <c r="S105">
        <f t="shared" si="20"/>
        <v>984.72094499606112</v>
      </c>
      <c r="T105" cm="1">
        <f t="array" ref="T105">[1]!PropsSI("H","T",J105+273.15,"P",101325,"Water")</f>
        <v>244569.03734504187</v>
      </c>
      <c r="U105" cm="1">
        <f t="array" ref="U105">[1]!PropsSI("H","T",K105+273.15,"P",101325,"Water")</f>
        <v>232573.27936166577</v>
      </c>
      <c r="V105">
        <f t="shared" si="21"/>
        <v>264.01883757243507</v>
      </c>
      <c r="X105">
        <f t="shared" si="22"/>
        <v>0.26680751400000002</v>
      </c>
      <c r="Y105">
        <f t="shared" si="23"/>
        <v>0.261072998</v>
      </c>
      <c r="Z105">
        <f t="shared" si="24"/>
        <v>0.37328991388941679</v>
      </c>
      <c r="AA105">
        <f t="shared" si="25"/>
        <v>2.8672579999999996</v>
      </c>
      <c r="AB105">
        <f t="shared" si="26"/>
        <v>0.13057404387087626</v>
      </c>
      <c r="AC105">
        <f t="shared" si="27"/>
        <v>34.47400727992089</v>
      </c>
    </row>
    <row r="106" spans="1:29" x14ac:dyDescent="0.2">
      <c r="A106">
        <v>46137.037155509257</v>
      </c>
      <c r="B106">
        <v>18.712516999999998</v>
      </c>
      <c r="C106">
        <v>18.005167</v>
      </c>
      <c r="D106">
        <v>17.963280999999998</v>
      </c>
      <c r="E106">
        <v>18.480074999999999</v>
      </c>
      <c r="F106">
        <v>41.969617999999997</v>
      </c>
      <c r="G106">
        <v>40.539088999999997</v>
      </c>
      <c r="H106">
        <v>38.242198999999999</v>
      </c>
      <c r="I106">
        <v>31.872228</v>
      </c>
      <c r="J106">
        <v>58.411721</v>
      </c>
      <c r="K106">
        <v>55.528064000000001</v>
      </c>
      <c r="L106">
        <v>33.262267999999999</v>
      </c>
      <c r="M106">
        <v>-622.51469299999997</v>
      </c>
      <c r="N106">
        <v>1.3462099999999999</v>
      </c>
      <c r="O106">
        <v>3.2803529999999999</v>
      </c>
      <c r="P106">
        <f t="shared" si="19"/>
        <v>2.2436833333333335E-5</v>
      </c>
      <c r="Q106" cm="1">
        <f t="array" ref="Q106">[1]!PropsSI("D","T",J106+273.15,"P",101325,"Water")</f>
        <v>984.00544269066802</v>
      </c>
      <c r="R106" cm="1">
        <f t="array" ref="R106">[1]!PropsSI("D","T",K106+273.15,"P",101325,"Water")</f>
        <v>985.43653757943139</v>
      </c>
      <c r="S106">
        <f t="shared" si="20"/>
        <v>984.72099013504976</v>
      </c>
      <c r="T106" cm="1">
        <f t="array" ref="T106">[1]!PropsSI("H","T",J106+273.15,"P",101325,"Water")</f>
        <v>244602.36092607299</v>
      </c>
      <c r="U106" cm="1">
        <f t="array" ref="U106">[1]!PropsSI("H","T",K106+273.15,"P",101325,"Water")</f>
        <v>232537.99448118929</v>
      </c>
      <c r="V106">
        <f t="shared" si="21"/>
        <v>266.55036239387152</v>
      </c>
      <c r="X106">
        <f t="shared" si="22"/>
        <v>0.26682344199999997</v>
      </c>
      <c r="Y106">
        <f t="shared" si="23"/>
        <v>0.261056128</v>
      </c>
      <c r="Z106">
        <f t="shared" si="24"/>
        <v>0.37328950047795306</v>
      </c>
      <c r="AA106">
        <f t="shared" si="25"/>
        <v>2.8836569999999995</v>
      </c>
      <c r="AB106">
        <f t="shared" si="26"/>
        <v>0.12983571019677573</v>
      </c>
      <c r="AC106">
        <f t="shared" si="27"/>
        <v>34.607755604616251</v>
      </c>
    </row>
    <row r="107" spans="1:29" x14ac:dyDescent="0.2">
      <c r="A107">
        <v>46137.03719023148</v>
      </c>
      <c r="B107">
        <v>18.651268000000002</v>
      </c>
      <c r="C107">
        <v>18.351469000000002</v>
      </c>
      <c r="D107">
        <v>18.121676999999998</v>
      </c>
      <c r="E107">
        <v>18.569157000000001</v>
      </c>
      <c r="F107">
        <v>42.328843999999997</v>
      </c>
      <c r="G107">
        <v>41.229894000000002</v>
      </c>
      <c r="H107">
        <v>39.815471000000002</v>
      </c>
      <c r="I107">
        <v>31.041778000000001</v>
      </c>
      <c r="J107">
        <v>58.412835999999999</v>
      </c>
      <c r="K107">
        <v>55.513263000000002</v>
      </c>
      <c r="L107">
        <v>26.255272000000001</v>
      </c>
      <c r="M107">
        <v>-622.49959200000001</v>
      </c>
      <c r="N107">
        <v>1.3391580000000001</v>
      </c>
      <c r="O107">
        <v>2.9450059999999998</v>
      </c>
      <c r="P107">
        <f t="shared" si="19"/>
        <v>2.2319300000000002E-5</v>
      </c>
      <c r="Q107" cm="1">
        <f t="array" ref="Q107">[1]!PropsSI("D","T",J107+273.15,"P",101325,"Water")</f>
        <v>984.00487960338796</v>
      </c>
      <c r="R107" cm="1">
        <f t="array" ref="R107">[1]!PropsSI("D","T",K107+273.15,"P",101325,"Water")</f>
        <v>985.44375184105888</v>
      </c>
      <c r="S107">
        <f t="shared" si="20"/>
        <v>984.72431572222342</v>
      </c>
      <c r="T107" cm="1">
        <f t="array" ref="T107">[1]!PropsSI("H","T",J107+273.15,"P",101325,"Water")</f>
        <v>244607.02639690114</v>
      </c>
      <c r="U107" cm="1">
        <f t="array" ref="U107">[1]!PropsSI("H","T",K107+273.15,"P",101325,"Water")</f>
        <v>232476.07972365533</v>
      </c>
      <c r="V107">
        <f t="shared" si="21"/>
        <v>266.61828182633138</v>
      </c>
      <c r="X107">
        <f t="shared" si="22"/>
        <v>0.26682567200000001</v>
      </c>
      <c r="Y107">
        <f t="shared" si="23"/>
        <v>0.26102652599999998</v>
      </c>
      <c r="Z107">
        <f t="shared" si="24"/>
        <v>0.3732703932993886</v>
      </c>
      <c r="AA107">
        <f t="shared" si="25"/>
        <v>2.8995729999999966</v>
      </c>
      <c r="AB107">
        <f t="shared" si="26"/>
        <v>0.12912070051805485</v>
      </c>
      <c r="AC107">
        <f t="shared" si="27"/>
        <v>34.425939320336084</v>
      </c>
    </row>
    <row r="108" spans="1:29" x14ac:dyDescent="0.2">
      <c r="A108">
        <v>46137.037225532411</v>
      </c>
      <c r="B108">
        <v>18.644693</v>
      </c>
      <c r="C108">
        <v>18.1462</v>
      </c>
      <c r="D108">
        <v>18.181746</v>
      </c>
      <c r="E108">
        <v>18.638525999999999</v>
      </c>
      <c r="F108">
        <v>41.615329000000003</v>
      </c>
      <c r="G108">
        <v>39.390386999999997</v>
      </c>
      <c r="H108">
        <v>39.02272</v>
      </c>
      <c r="I108">
        <v>32.310144000000001</v>
      </c>
      <c r="J108">
        <v>58.412835999999999</v>
      </c>
      <c r="K108">
        <v>55.506259999999997</v>
      </c>
      <c r="L108">
        <v>29.976310000000002</v>
      </c>
      <c r="M108">
        <v>-622.48530700000003</v>
      </c>
      <c r="N108">
        <v>1.3433459999999999</v>
      </c>
      <c r="O108">
        <v>2.9920249999999999</v>
      </c>
      <c r="P108">
        <f t="shared" si="19"/>
        <v>2.2389100000000002E-5</v>
      </c>
      <c r="Q108" cm="1">
        <f t="array" ref="Q108">[1]!PropsSI("D","T",J108+273.15,"P",101325,"Water")</f>
        <v>984.00487960338796</v>
      </c>
      <c r="R108" cm="1">
        <f t="array" ref="R108">[1]!PropsSI("D","T",K108+273.15,"P",101325,"Water")</f>
        <v>985.44716475212499</v>
      </c>
      <c r="S108">
        <f t="shared" si="20"/>
        <v>984.72602217775648</v>
      </c>
      <c r="T108" cm="1">
        <f t="array" ref="T108">[1]!PropsSI("H","T",J108+273.15,"P",101325,"Water")</f>
        <v>244607.02639690114</v>
      </c>
      <c r="U108" cm="1">
        <f t="array" ref="U108">[1]!PropsSI("H","T",K108+273.15,"P",101325,"Water")</f>
        <v>232446.78517403093</v>
      </c>
      <c r="V108">
        <f t="shared" si="21"/>
        <v>268.09841157081235</v>
      </c>
      <c r="X108">
        <f t="shared" si="22"/>
        <v>0.26682567200000001</v>
      </c>
      <c r="Y108">
        <f t="shared" si="23"/>
        <v>0.26101251999999997</v>
      </c>
      <c r="Z108">
        <f t="shared" si="24"/>
        <v>0.3732605990926473</v>
      </c>
      <c r="AA108">
        <f t="shared" si="25"/>
        <v>2.9065760000000012</v>
      </c>
      <c r="AB108">
        <f t="shared" si="26"/>
        <v>0.1288081104480471</v>
      </c>
      <c r="AC108">
        <f t="shared" si="27"/>
        <v>34.533249808559184</v>
      </c>
    </row>
    <row r="109" spans="1:29" x14ac:dyDescent="0.2">
      <c r="A109">
        <v>46137.037260833335</v>
      </c>
      <c r="B109">
        <v>18.687836000000001</v>
      </c>
      <c r="C109">
        <v>18.190296</v>
      </c>
      <c r="D109">
        <v>18.222956</v>
      </c>
      <c r="E109">
        <v>18.619917999999998</v>
      </c>
      <c r="F109">
        <v>42.483739999999997</v>
      </c>
      <c r="G109">
        <v>41.731116999999998</v>
      </c>
      <c r="H109">
        <v>39.172891999999997</v>
      </c>
      <c r="I109">
        <v>32.022756999999999</v>
      </c>
      <c r="J109">
        <v>58.416181000000002</v>
      </c>
      <c r="K109">
        <v>55.501167000000002</v>
      </c>
      <c r="L109">
        <v>26.372409000000001</v>
      </c>
      <c r="M109">
        <v>-622.480817</v>
      </c>
      <c r="N109">
        <v>1.3501890000000001</v>
      </c>
      <c r="O109">
        <v>3.323534</v>
      </c>
      <c r="P109">
        <f t="shared" si="19"/>
        <v>2.2503150000000002E-5</v>
      </c>
      <c r="Q109" cm="1">
        <f t="array" ref="Q109">[1]!PropsSI("D","T",J109+273.15,"P",101325,"Water")</f>
        <v>984.00319029679144</v>
      </c>
      <c r="R109" cm="1">
        <f t="array" ref="R109">[1]!PropsSI("D","T",K109+273.15,"P",101325,"Water")</f>
        <v>985.44964663471728</v>
      </c>
      <c r="S109">
        <f t="shared" si="20"/>
        <v>984.72641846575436</v>
      </c>
      <c r="T109" cm="1">
        <f t="array" ref="T109">[1]!PropsSI("H","T",J109+273.15,"P",101325,"Water")</f>
        <v>244621.02281239498</v>
      </c>
      <c r="U109" cm="1">
        <f t="array" ref="U109">[1]!PropsSI("H","T",K109+273.15,"P",101325,"Water")</f>
        <v>232425.48043871159</v>
      </c>
      <c r="V109">
        <f t="shared" si="21"/>
        <v>270.24646637410638</v>
      </c>
      <c r="X109">
        <f t="shared" si="22"/>
        <v>0.26683236199999999</v>
      </c>
      <c r="Y109">
        <f t="shared" si="23"/>
        <v>0.261002334</v>
      </c>
      <c r="Z109">
        <f t="shared" si="24"/>
        <v>0.37325825880206132</v>
      </c>
      <c r="AA109">
        <f t="shared" si="25"/>
        <v>2.9150139999999993</v>
      </c>
      <c r="AB109">
        <f t="shared" si="26"/>
        <v>0.1284367037442479</v>
      </c>
      <c r="AC109">
        <f t="shared" si="27"/>
        <v>34.709565339620951</v>
      </c>
    </row>
    <row r="110" spans="1:29" x14ac:dyDescent="0.2">
      <c r="A110">
        <v>46137.037296134258</v>
      </c>
      <c r="B110">
        <v>18.642721000000002</v>
      </c>
      <c r="C110">
        <v>18.021426999999999</v>
      </c>
      <c r="D110">
        <v>18.238398</v>
      </c>
      <c r="E110">
        <v>18.737096000000001</v>
      </c>
      <c r="F110">
        <v>41.813403999999998</v>
      </c>
      <c r="G110">
        <v>40.342640000000003</v>
      </c>
      <c r="H110">
        <v>38.147015000000003</v>
      </c>
      <c r="I110">
        <v>32.155070000000002</v>
      </c>
      <c r="J110">
        <v>58.414748000000003</v>
      </c>
      <c r="K110">
        <v>55.503712999999998</v>
      </c>
      <c r="L110">
        <v>20.276387</v>
      </c>
      <c r="M110">
        <v>-622.49265300000002</v>
      </c>
      <c r="N110">
        <v>1.340063</v>
      </c>
      <c r="O110">
        <v>3.0735969999999999</v>
      </c>
      <c r="P110">
        <f t="shared" si="19"/>
        <v>2.2334383333333334E-5</v>
      </c>
      <c r="Q110" cm="1">
        <f t="array" ref="Q110">[1]!PropsSI("D","T",J110+273.15,"P",101325,"Water")</f>
        <v>984.00391400496085</v>
      </c>
      <c r="R110" cm="1">
        <f t="array" ref="R110">[1]!PropsSI("D","T",K110+273.15,"P",101325,"Water")</f>
        <v>985.44840595709798</v>
      </c>
      <c r="S110">
        <f t="shared" si="20"/>
        <v>984.72615998102947</v>
      </c>
      <c r="T110" cm="1">
        <f t="array" ref="T110">[1]!PropsSI("H","T",J110+273.15,"P",101325,"Water")</f>
        <v>244615.02673907671</v>
      </c>
      <c r="U110" cm="1">
        <f t="array" ref="U110">[1]!PropsSI("H","T",K110+273.15,"P",101325,"Water")</f>
        <v>232436.13071361804</v>
      </c>
      <c r="V110">
        <f t="shared" si="21"/>
        <v>267.85352371112356</v>
      </c>
      <c r="X110">
        <f t="shared" si="22"/>
        <v>0.266829496</v>
      </c>
      <c r="Y110">
        <f t="shared" si="23"/>
        <v>0.26100742599999999</v>
      </c>
      <c r="Z110">
        <f t="shared" si="24"/>
        <v>0.37325977061928262</v>
      </c>
      <c r="AA110">
        <f t="shared" si="25"/>
        <v>2.9110350000000054</v>
      </c>
      <c r="AB110">
        <f t="shared" si="26"/>
        <v>0.1286117139938972</v>
      </c>
      <c r="AC110">
        <f t="shared" si="27"/>
        <v>34.449100783792588</v>
      </c>
    </row>
    <row r="111" spans="1:29" x14ac:dyDescent="0.2">
      <c r="A111">
        <v>46137.037330856481</v>
      </c>
      <c r="B111">
        <v>18.611974</v>
      </c>
      <c r="C111">
        <v>17.924748000000001</v>
      </c>
      <c r="D111">
        <v>18.209686000000001</v>
      </c>
      <c r="E111">
        <v>18.710519999999999</v>
      </c>
      <c r="F111">
        <v>42.119559000000002</v>
      </c>
      <c r="G111">
        <v>38.703558000000001</v>
      </c>
      <c r="H111">
        <v>38.751212000000002</v>
      </c>
      <c r="I111">
        <v>32.131860000000003</v>
      </c>
      <c r="J111">
        <v>58.413950999999997</v>
      </c>
      <c r="K111">
        <v>55.511671</v>
      </c>
      <c r="L111">
        <v>15.809264000000001</v>
      </c>
      <c r="M111">
        <v>-622.50285699999995</v>
      </c>
      <c r="N111">
        <v>1.348095</v>
      </c>
      <c r="O111">
        <v>3.254264</v>
      </c>
      <c r="P111">
        <f t="shared" si="19"/>
        <v>2.2468250000000003E-5</v>
      </c>
      <c r="Q111" cm="1">
        <f t="array" ref="Q111">[1]!PropsSI("D","T",J111+273.15,"P",101325,"Water")</f>
        <v>984.00431650864266</v>
      </c>
      <c r="R111" cm="1">
        <f t="array" ref="R111">[1]!PropsSI("D","T",K111+273.15,"P",101325,"Water")</f>
        <v>985.44452772863099</v>
      </c>
      <c r="S111">
        <f t="shared" si="20"/>
        <v>984.72442211863677</v>
      </c>
      <c r="T111" cm="1">
        <f t="array" ref="T111">[1]!PropsSI("H","T",J111+273.15,"P",101325,"Water")</f>
        <v>244611.69186823265</v>
      </c>
      <c r="U111" cm="1">
        <f t="array" ref="U111">[1]!PropsSI("H","T",K111+273.15,"P",101325,"Water")</f>
        <v>232469.42015860134</v>
      </c>
      <c r="V111">
        <f t="shared" si="21"/>
        <v>268.64818045078272</v>
      </c>
      <c r="X111">
        <f t="shared" si="22"/>
        <v>0.26682790200000001</v>
      </c>
      <c r="Y111">
        <f t="shared" si="23"/>
        <v>0.26102334199999999</v>
      </c>
      <c r="Z111">
        <f t="shared" si="24"/>
        <v>0.37326976083600794</v>
      </c>
      <c r="AA111">
        <f t="shared" si="25"/>
        <v>2.9022799999999975</v>
      </c>
      <c r="AB111">
        <f t="shared" si="26"/>
        <v>0.12900077313828018</v>
      </c>
      <c r="AC111">
        <f t="shared" si="27"/>
        <v>34.655822980343174</v>
      </c>
    </row>
    <row r="112" spans="1:29" x14ac:dyDescent="0.2">
      <c r="A112">
        <v>46137.037366157405</v>
      </c>
      <c r="B112">
        <v>18.708145999999999</v>
      </c>
      <c r="C112">
        <v>17.925822</v>
      </c>
      <c r="D112">
        <v>18.088857999999998</v>
      </c>
      <c r="E112">
        <v>18.680899</v>
      </c>
      <c r="F112">
        <v>42.564158999999997</v>
      </c>
      <c r="G112">
        <v>41.387222999999999</v>
      </c>
      <c r="H112">
        <v>38.351249000000003</v>
      </c>
      <c r="I112">
        <v>31.368955</v>
      </c>
      <c r="J112">
        <v>58.412199000000001</v>
      </c>
      <c r="K112">
        <v>55.509920000000001</v>
      </c>
      <c r="L112">
        <v>17.765900999999999</v>
      </c>
      <c r="M112">
        <v>-622.49306200000001</v>
      </c>
      <c r="N112">
        <v>1.350177</v>
      </c>
      <c r="O112">
        <v>2.9574090000000002</v>
      </c>
      <c r="P112">
        <f t="shared" si="19"/>
        <v>2.2502949999999998E-5</v>
      </c>
      <c r="Q112" cm="1">
        <f t="array" ref="Q112">[1]!PropsSI("D","T",J112+273.15,"P",101325,"Water")</f>
        <v>984.00520129631809</v>
      </c>
      <c r="R112" cm="1">
        <f t="array" ref="R112">[1]!PropsSI("D","T",K112+273.15,"P",101325,"Water")</f>
        <v>985.44538108941481</v>
      </c>
      <c r="S112">
        <f t="shared" si="20"/>
        <v>984.72529119286651</v>
      </c>
      <c r="T112" cm="1">
        <f t="array" ref="T112">[1]!PropsSI("H","T",J112+273.15,"P",101325,"Water")</f>
        <v>244604.36101128289</v>
      </c>
      <c r="U112" cm="1">
        <f t="array" ref="U112">[1]!PropsSI("H","T",K112+273.15,"P",101325,"Water")</f>
        <v>232462.0954747189</v>
      </c>
      <c r="V112">
        <f t="shared" si="21"/>
        <v>269.06318178836733</v>
      </c>
      <c r="X112">
        <f t="shared" si="22"/>
        <v>0.26682439800000002</v>
      </c>
      <c r="Y112">
        <f t="shared" si="23"/>
        <v>0.26101984</v>
      </c>
      <c r="Z112">
        <f t="shared" si="24"/>
        <v>0.37326480712985521</v>
      </c>
      <c r="AA112">
        <f t="shared" si="25"/>
        <v>2.9022790000000001</v>
      </c>
      <c r="AB112">
        <f t="shared" si="26"/>
        <v>0.12899911562220628</v>
      </c>
      <c r="AC112">
        <f t="shared" si="27"/>
        <v>34.708912497196309</v>
      </c>
    </row>
    <row r="113" spans="1:29" x14ac:dyDescent="0.2">
      <c r="A113">
        <v>46137.037401458336</v>
      </c>
      <c r="B113">
        <v>18.700479999999999</v>
      </c>
      <c r="C113">
        <v>18.176371</v>
      </c>
      <c r="D113">
        <v>18.188524999999998</v>
      </c>
      <c r="E113">
        <v>18.702936999999999</v>
      </c>
      <c r="F113">
        <v>42.050578999999999</v>
      </c>
      <c r="G113">
        <v>41.475911000000004</v>
      </c>
      <c r="H113">
        <v>39.072692000000004</v>
      </c>
      <c r="I113">
        <v>31.604876999999998</v>
      </c>
      <c r="J113">
        <v>58.412199000000001</v>
      </c>
      <c r="K113">
        <v>55.511989</v>
      </c>
      <c r="L113">
        <v>29.258386999999999</v>
      </c>
      <c r="M113">
        <v>-622.50244899999996</v>
      </c>
      <c r="N113">
        <v>1.3492059999999999</v>
      </c>
      <c r="O113">
        <v>3.3047770000000001</v>
      </c>
      <c r="P113">
        <f t="shared" si="19"/>
        <v>2.2486766666666666E-5</v>
      </c>
      <c r="Q113" cm="1">
        <f t="array" ref="Q113">[1]!PropsSI("D","T",J113+273.15,"P",101325,"Water")</f>
        <v>984.00520129631809</v>
      </c>
      <c r="R113" cm="1">
        <f t="array" ref="R113">[1]!PropsSI("D","T",K113+273.15,"P",101325,"Water")</f>
        <v>985.44437274729592</v>
      </c>
      <c r="S113">
        <f t="shared" si="20"/>
        <v>984.72478702180706</v>
      </c>
      <c r="T113" cm="1">
        <f t="array" ref="T113">[1]!PropsSI("H","T",J113+273.15,"P",101325,"Water")</f>
        <v>244604.36101128289</v>
      </c>
      <c r="U113" cm="1">
        <f t="array" ref="U113">[1]!PropsSI("H","T",K113+273.15,"P",101325,"Water")</f>
        <v>232470.75039830038</v>
      </c>
      <c r="V113">
        <f t="shared" si="21"/>
        <v>268.67789494853855</v>
      </c>
      <c r="X113">
        <f t="shared" si="22"/>
        <v>0.26682439800000002</v>
      </c>
      <c r="Y113">
        <f t="shared" si="23"/>
        <v>0.26102397799999999</v>
      </c>
      <c r="Z113">
        <f t="shared" si="24"/>
        <v>0.37326770079797539</v>
      </c>
      <c r="AA113">
        <f t="shared" si="25"/>
        <v>2.9002100000000013</v>
      </c>
      <c r="AB113">
        <f t="shared" si="26"/>
        <v>0.12909158507250404</v>
      </c>
      <c r="AC113">
        <f t="shared" si="27"/>
        <v>34.684055332850569</v>
      </c>
    </row>
    <row r="114" spans="1:29" x14ac:dyDescent="0.2">
      <c r="A114">
        <v>46137.037436759259</v>
      </c>
      <c r="B114">
        <v>18.607955</v>
      </c>
      <c r="C114">
        <v>18.228770000000001</v>
      </c>
      <c r="D114">
        <v>18.357872</v>
      </c>
      <c r="E114">
        <v>18.756413999999999</v>
      </c>
      <c r="F114">
        <v>42.596727000000001</v>
      </c>
      <c r="G114">
        <v>38.992542999999998</v>
      </c>
      <c r="H114">
        <v>38.713777</v>
      </c>
      <c r="I114">
        <v>31.150897000000001</v>
      </c>
      <c r="J114">
        <v>58.408057999999997</v>
      </c>
      <c r="K114">
        <v>55.520265000000002</v>
      </c>
      <c r="L114">
        <v>23.037064999999998</v>
      </c>
      <c r="M114">
        <v>-622.45388000000003</v>
      </c>
      <c r="N114">
        <v>1.3501030000000001</v>
      </c>
      <c r="O114">
        <v>2.9097420000000001</v>
      </c>
      <c r="P114">
        <f t="shared" si="19"/>
        <v>2.2501716666666668E-5</v>
      </c>
      <c r="Q114" cm="1">
        <f t="array" ref="Q114">[1]!PropsSI("D","T",J114+273.15,"P",101325,"Water")</f>
        <v>984.00729249353594</v>
      </c>
      <c r="R114" cm="1">
        <f t="array" ref="R114">[1]!PropsSI("D","T",K114+273.15,"P",101325,"Water")</f>
        <v>985.4403391145762</v>
      </c>
      <c r="S114">
        <f t="shared" si="20"/>
        <v>984.72381580405613</v>
      </c>
      <c r="T114" cm="1">
        <f t="array" ref="T114">[1]!PropsSI("H","T",J114+273.15,"P",101325,"Water")</f>
        <v>244587.03391667301</v>
      </c>
      <c r="U114" cm="1">
        <f t="array" ref="U114">[1]!PropsSI("H","T",K114+273.15,"P",101325,"Water")</f>
        <v>232505.37010830184</v>
      </c>
      <c r="V114">
        <f t="shared" si="21"/>
        <v>267.70522030800521</v>
      </c>
      <c r="X114">
        <f t="shared" si="22"/>
        <v>0.26681611599999999</v>
      </c>
      <c r="Y114">
        <f t="shared" si="23"/>
        <v>0.26104052999999999</v>
      </c>
      <c r="Z114">
        <f t="shared" si="24"/>
        <v>0.3732733556791944</v>
      </c>
      <c r="AA114">
        <f t="shared" si="25"/>
        <v>2.8877929999999949</v>
      </c>
      <c r="AB114">
        <f t="shared" si="26"/>
        <v>0.1296452847182436</v>
      </c>
      <c r="AC114">
        <f t="shared" si="27"/>
        <v>34.706719507391462</v>
      </c>
    </row>
    <row r="115" spans="1:29" x14ac:dyDescent="0.2">
      <c r="A115">
        <v>46137.037471481482</v>
      </c>
      <c r="B115">
        <v>18.653786</v>
      </c>
      <c r="C115">
        <v>18.051400999999998</v>
      </c>
      <c r="D115">
        <v>18.301257</v>
      </c>
      <c r="E115">
        <v>18.827901000000001</v>
      </c>
      <c r="F115">
        <v>42.348674000000003</v>
      </c>
      <c r="G115">
        <v>41.0991</v>
      </c>
      <c r="H115">
        <v>38.559133000000003</v>
      </c>
      <c r="I115">
        <v>31.290346</v>
      </c>
      <c r="J115">
        <v>58.406624000000001</v>
      </c>
      <c r="K115">
        <v>55.514377000000003</v>
      </c>
      <c r="L115">
        <v>20.27149</v>
      </c>
      <c r="M115">
        <v>-622.48612300000002</v>
      </c>
      <c r="N115">
        <v>1.342551</v>
      </c>
      <c r="O115">
        <v>2.9931429999999999</v>
      </c>
      <c r="P115">
        <f t="shared" si="19"/>
        <v>2.237585E-5</v>
      </c>
      <c r="Q115" cm="1">
        <f t="array" ref="Q115">[1]!PropsSI("D","T",J115+273.15,"P",101325,"Water")</f>
        <v>984.00801663688355</v>
      </c>
      <c r="R115" cm="1">
        <f t="array" ref="R115">[1]!PropsSI("D","T",K115+273.15,"P",101325,"Water")</f>
        <v>985.44320890539689</v>
      </c>
      <c r="S115">
        <f t="shared" si="20"/>
        <v>984.72561277114028</v>
      </c>
      <c r="T115" cm="1">
        <f t="array" ref="T115">[1]!PropsSI("H","T",J115+273.15,"P",101325,"Water")</f>
        <v>244581.03366387237</v>
      </c>
      <c r="U115" cm="1">
        <f t="array" ref="U115">[1]!PropsSI("H","T",K115+273.15,"P",101325,"Water")</f>
        <v>232480.73974652824</v>
      </c>
      <c r="V115">
        <f t="shared" si="21"/>
        <v>266.61875468665357</v>
      </c>
      <c r="X115">
        <f t="shared" si="22"/>
        <v>0.266813248</v>
      </c>
      <c r="Y115">
        <f t="shared" si="23"/>
        <v>0.26102875400000003</v>
      </c>
      <c r="Z115">
        <f t="shared" si="24"/>
        <v>0.37326307039821394</v>
      </c>
      <c r="AA115">
        <f t="shared" si="25"/>
        <v>2.8922469999999976</v>
      </c>
      <c r="AB115">
        <f t="shared" si="26"/>
        <v>0.12944327690898025</v>
      </c>
      <c r="AC115">
        <f t="shared" si="27"/>
        <v>34.512005292031972</v>
      </c>
    </row>
    <row r="116" spans="1:29" x14ac:dyDescent="0.2">
      <c r="A116">
        <v>46137.037506782406</v>
      </c>
      <c r="B116">
        <v>18.633996</v>
      </c>
      <c r="C116">
        <v>18.172298000000001</v>
      </c>
      <c r="D116">
        <v>18.284519</v>
      </c>
      <c r="E116">
        <v>18.833974000000001</v>
      </c>
      <c r="F116">
        <v>42.930352999999997</v>
      </c>
      <c r="G116">
        <v>43.338721</v>
      </c>
      <c r="H116">
        <v>38.135061</v>
      </c>
      <c r="I116">
        <v>31.474591</v>
      </c>
      <c r="J116">
        <v>58.409331999999999</v>
      </c>
      <c r="K116">
        <v>55.509442999999997</v>
      </c>
      <c r="L116">
        <v>22.068134000000001</v>
      </c>
      <c r="M116">
        <v>-622.50897899999995</v>
      </c>
      <c r="N116">
        <v>1.3492219999999999</v>
      </c>
      <c r="O116">
        <v>3.2828179999999998</v>
      </c>
      <c r="P116">
        <f t="shared" si="19"/>
        <v>2.2487033333333333E-5</v>
      </c>
      <c r="Q116" cm="1">
        <f t="array" ref="Q116">[1]!PropsSI("D","T",J116+273.15,"P",101325,"Water")</f>
        <v>984.00664913689513</v>
      </c>
      <c r="R116" cm="1">
        <f t="array" ref="R116">[1]!PropsSI("D","T",K116+273.15,"P",101325,"Water")</f>
        <v>985.44561355505311</v>
      </c>
      <c r="S116">
        <f t="shared" si="20"/>
        <v>984.72613134597418</v>
      </c>
      <c r="T116" cm="1">
        <f t="array" ref="T116">[1]!PropsSI("H","T",J116+273.15,"P",101325,"Water")</f>
        <v>244592.364685882</v>
      </c>
      <c r="U116" cm="1">
        <f t="array" ref="U116">[1]!PropsSI("H","T",K116+273.15,"P",101325,"Water")</f>
        <v>232460.10011559469</v>
      </c>
      <c r="V116">
        <f t="shared" si="21"/>
        <v>268.65164176072904</v>
      </c>
      <c r="X116">
        <f t="shared" si="22"/>
        <v>0.26681866399999998</v>
      </c>
      <c r="Y116">
        <f t="shared" si="23"/>
        <v>0.26101888600000001</v>
      </c>
      <c r="Z116">
        <f t="shared" si="24"/>
        <v>0.37326004113409444</v>
      </c>
      <c r="AA116">
        <f t="shared" si="25"/>
        <v>2.8998890000000017</v>
      </c>
      <c r="AB116">
        <f t="shared" si="26"/>
        <v>0.12910315554975507</v>
      </c>
      <c r="AC116">
        <f t="shared" si="27"/>
        <v>34.683774694932474</v>
      </c>
    </row>
    <row r="117" spans="1:29" x14ac:dyDescent="0.2">
      <c r="A117">
        <v>46137.03754208333</v>
      </c>
      <c r="B117">
        <v>18.638293999999998</v>
      </c>
      <c r="C117">
        <v>18.340413999999999</v>
      </c>
      <c r="D117">
        <v>18.107389000000001</v>
      </c>
      <c r="E117">
        <v>18.683406000000002</v>
      </c>
      <c r="F117">
        <v>41.612515999999999</v>
      </c>
      <c r="G117">
        <v>41.961666000000001</v>
      </c>
      <c r="H117">
        <v>38.965420000000002</v>
      </c>
      <c r="I117">
        <v>31.533380000000001</v>
      </c>
      <c r="J117">
        <v>58.410128</v>
      </c>
      <c r="K117">
        <v>55.505941</v>
      </c>
      <c r="L117">
        <v>20.311078999999999</v>
      </c>
      <c r="M117">
        <v>-622.47183800000005</v>
      </c>
      <c r="N117">
        <v>1.3444069999999999</v>
      </c>
      <c r="O117">
        <v>3.191907</v>
      </c>
      <c r="P117">
        <f t="shared" si="19"/>
        <v>2.2406783333333334E-5</v>
      </c>
      <c r="Q117" cm="1">
        <f t="array" ref="Q117">[1]!PropsSI("D","T",J117+273.15,"P",101325,"Water")</f>
        <v>984.00624716027983</v>
      </c>
      <c r="R117" cm="1">
        <f t="array" ref="R117">[1]!PropsSI("D","T",K117+273.15,"P",101325,"Water")</f>
        <v>985.44732020950858</v>
      </c>
      <c r="S117">
        <f t="shared" si="20"/>
        <v>984.72678368489414</v>
      </c>
      <c r="T117" cm="1">
        <f t="array" ref="T117">[1]!PropsSI("H","T",J117+273.15,"P",101325,"Water")</f>
        <v>244595.69537094401</v>
      </c>
      <c r="U117" cm="1">
        <f t="array" ref="U117">[1]!PropsSI("H","T",K117+273.15,"P",101325,"Water")</f>
        <v>232445.45075186933</v>
      </c>
      <c r="V117">
        <f t="shared" si="21"/>
        <v>268.08979757954847</v>
      </c>
      <c r="X117">
        <f t="shared" si="22"/>
        <v>0.26682025599999998</v>
      </c>
      <c r="Y117">
        <f t="shared" si="23"/>
        <v>0.26101188200000003</v>
      </c>
      <c r="Z117">
        <f t="shared" si="24"/>
        <v>0.37325628133641298</v>
      </c>
      <c r="AA117">
        <f t="shared" si="25"/>
        <v>2.9041870000000003</v>
      </c>
      <c r="AB117">
        <f t="shared" si="26"/>
        <v>0.12891194807654813</v>
      </c>
      <c r="AC117">
        <f t="shared" si="27"/>
        <v>34.559978065427053</v>
      </c>
    </row>
    <row r="118" spans="1:29" x14ac:dyDescent="0.2">
      <c r="A118">
        <v>46137.037577384261</v>
      </c>
      <c r="B118">
        <v>18.637903999999999</v>
      </c>
      <c r="C118">
        <v>18.398071000000002</v>
      </c>
      <c r="D118">
        <v>17.972850000000001</v>
      </c>
      <c r="E118">
        <v>18.600764999999999</v>
      </c>
      <c r="F118">
        <v>41.983387</v>
      </c>
      <c r="G118">
        <v>43.181590999999997</v>
      </c>
      <c r="H118">
        <v>38.744881999999997</v>
      </c>
      <c r="I118">
        <v>31.782852999999999</v>
      </c>
      <c r="J118">
        <v>58.411721</v>
      </c>
      <c r="K118">
        <v>55.500689000000001</v>
      </c>
      <c r="L118">
        <v>27.169512000000001</v>
      </c>
      <c r="M118">
        <v>-622.48938799999996</v>
      </c>
      <c r="N118">
        <v>1.3500779999999999</v>
      </c>
      <c r="O118">
        <v>2.6436269999999999</v>
      </c>
      <c r="P118">
        <f t="shared" si="19"/>
        <v>2.2501300000000001E-5</v>
      </c>
      <c r="Q118" cm="1">
        <f t="array" ref="Q118">[1]!PropsSI("D","T",J118+273.15,"P",101325,"Water")</f>
        <v>984.00544269066802</v>
      </c>
      <c r="R118" cm="1">
        <f t="array" ref="R118">[1]!PropsSI("D","T",K118+273.15,"P",101325,"Water")</f>
        <v>985.44987956188504</v>
      </c>
      <c r="S118">
        <f t="shared" si="20"/>
        <v>984.72766112627653</v>
      </c>
      <c r="T118" cm="1">
        <f t="array" ref="T118">[1]!PropsSI("H","T",J118+273.15,"P",101325,"Water")</f>
        <v>244602.36092607299</v>
      </c>
      <c r="U118" cm="1">
        <f t="array" ref="U118">[1]!PropsSI("H","T",K118+273.15,"P",101325,"Water")</f>
        <v>232423.48089798188</v>
      </c>
      <c r="V118">
        <f t="shared" si="21"/>
        <v>269.85539176105152</v>
      </c>
      <c r="X118">
        <f t="shared" si="22"/>
        <v>0.26682344199999997</v>
      </c>
      <c r="Y118">
        <f t="shared" si="23"/>
        <v>0.26100137800000001</v>
      </c>
      <c r="Z118">
        <f t="shared" si="24"/>
        <v>0.37325121368674236</v>
      </c>
      <c r="AA118">
        <f t="shared" si="25"/>
        <v>2.9110319999999987</v>
      </c>
      <c r="AB118">
        <f t="shared" si="26"/>
        <v>0.12860891514992018</v>
      </c>
      <c r="AC118">
        <f t="shared" si="27"/>
        <v>34.705809181745543</v>
      </c>
    </row>
    <row r="119" spans="1:29" x14ac:dyDescent="0.2">
      <c r="A119">
        <v>46137.037612106484</v>
      </c>
      <c r="B119">
        <v>18.549129000000001</v>
      </c>
      <c r="C119">
        <v>18.218267000000001</v>
      </c>
      <c r="D119">
        <v>17.961403000000001</v>
      </c>
      <c r="E119">
        <v>18.637823999999998</v>
      </c>
      <c r="F119">
        <v>41.669587999999997</v>
      </c>
      <c r="G119">
        <v>39.899414</v>
      </c>
      <c r="H119">
        <v>39.541032000000001</v>
      </c>
      <c r="I119">
        <v>31.459913</v>
      </c>
      <c r="J119">
        <v>58.412996</v>
      </c>
      <c r="K119">
        <v>55.503872000000001</v>
      </c>
      <c r="L119">
        <v>19.738047000000002</v>
      </c>
      <c r="M119">
        <v>-622.49795900000004</v>
      </c>
      <c r="N119">
        <v>1.340678</v>
      </c>
      <c r="O119">
        <v>2.9726330000000001</v>
      </c>
      <c r="P119">
        <f t="shared" si="19"/>
        <v>2.2344633333333336E-5</v>
      </c>
      <c r="Q119" cm="1">
        <f t="array" ref="Q119">[1]!PropsSI("D","T",J119+273.15,"P",101325,"Water")</f>
        <v>984.00479880101898</v>
      </c>
      <c r="R119" cm="1">
        <f t="array" ref="R119">[1]!PropsSI("D","T",K119+273.15,"P",101325,"Water")</f>
        <v>985.44832847432644</v>
      </c>
      <c r="S119">
        <f t="shared" si="20"/>
        <v>984.72656363767271</v>
      </c>
      <c r="T119" cm="1">
        <f t="array" ref="T119">[1]!PropsSI("H","T",J119+273.15,"P",101325,"Water")</f>
        <v>244607.69588153754</v>
      </c>
      <c r="U119" cm="1">
        <f t="array" ref="U119">[1]!PropsSI("H","T",K119+273.15,"P",101325,"Water")</f>
        <v>232436.79583298913</v>
      </c>
      <c r="V119">
        <f t="shared" si="21"/>
        <v>267.80062224342487</v>
      </c>
      <c r="X119">
        <f t="shared" si="22"/>
        <v>0.26682599200000001</v>
      </c>
      <c r="Y119">
        <f t="shared" si="23"/>
        <v>0.26100774399999999</v>
      </c>
      <c r="Z119">
        <f t="shared" si="24"/>
        <v>0.37325748811611748</v>
      </c>
      <c r="AA119">
        <f t="shared" si="25"/>
        <v>2.9091239999999985</v>
      </c>
      <c r="AB119">
        <f t="shared" si="26"/>
        <v>0.12869490604768907</v>
      </c>
      <c r="AC119">
        <f t="shared" si="27"/>
        <v>34.464575919130233</v>
      </c>
    </row>
    <row r="120" spans="1:29" x14ac:dyDescent="0.2">
      <c r="A120">
        <v>46137.037647407407</v>
      </c>
      <c r="B120">
        <v>18.715194</v>
      </c>
      <c r="C120">
        <v>18.410520999999999</v>
      </c>
      <c r="D120">
        <v>17.902311000000001</v>
      </c>
      <c r="E120">
        <v>18.707802999999998</v>
      </c>
      <c r="F120">
        <v>42.131929999999997</v>
      </c>
      <c r="G120">
        <v>41.848695999999997</v>
      </c>
      <c r="H120">
        <v>38.677079999999997</v>
      </c>
      <c r="I120">
        <v>32.009526000000001</v>
      </c>
      <c r="J120">
        <v>58.414110000000001</v>
      </c>
      <c r="K120">
        <v>55.509284000000001</v>
      </c>
      <c r="L120">
        <v>25.638159999999999</v>
      </c>
      <c r="M120">
        <v>-622.50367300000005</v>
      </c>
      <c r="N120">
        <v>1.3450340000000001</v>
      </c>
      <c r="O120">
        <v>3.1049850000000001</v>
      </c>
      <c r="P120">
        <f t="shared" si="19"/>
        <v>2.2417233333333336E-5</v>
      </c>
      <c r="Q120" cm="1">
        <f t="array" ref="Q120">[1]!PropsSI("D","T",J120+273.15,"P",101325,"Water")</f>
        <v>984.00423621021912</v>
      </c>
      <c r="R120" cm="1">
        <f t="array" ref="R120">[1]!PropsSI("D","T",K120+273.15,"P",101325,"Water")</f>
        <v>985.4456910432998</v>
      </c>
      <c r="S120">
        <f t="shared" si="20"/>
        <v>984.72496362675952</v>
      </c>
      <c r="T120" cm="1">
        <f t="array" ref="T120">[1]!PropsSI("H","T",J120+273.15,"P",101325,"Water")</f>
        <v>244612.35716866632</v>
      </c>
      <c r="U120" cm="1">
        <f t="array" ref="U120">[1]!PropsSI("H","T",K120+273.15,"P",101325,"Water")</f>
        <v>232459.43499587686</v>
      </c>
      <c r="V120">
        <f t="shared" si="21"/>
        <v>268.27343914417492</v>
      </c>
      <c r="X120">
        <f t="shared" si="22"/>
        <v>0.26682822</v>
      </c>
      <c r="Y120">
        <f t="shared" si="23"/>
        <v>0.26101856800000001</v>
      </c>
      <c r="Z120">
        <f t="shared" si="24"/>
        <v>0.37326664976815038</v>
      </c>
      <c r="AA120">
        <f t="shared" si="25"/>
        <v>2.9048259999999999</v>
      </c>
      <c r="AB120">
        <f t="shared" si="26"/>
        <v>0.12888731946972679</v>
      </c>
      <c r="AC120">
        <f t="shared" si="27"/>
        <v>34.577044456217578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E8F0-C20C-134E-A880-EBAE45760969}">
  <dimension ref="A1:AC25"/>
  <sheetViews>
    <sheetView topLeftCell="N1" workbookViewId="0">
      <selection activeCell="W13" sqref="W13"/>
    </sheetView>
  </sheetViews>
  <sheetFormatPr baseColWidth="10" defaultRowHeight="16" x14ac:dyDescent="0.2"/>
  <cols>
    <col min="1" max="1" width="11.33203125" style="4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 s="4">
        <v>46137.031847638886</v>
      </c>
      <c r="B2">
        <v>17.932064</v>
      </c>
      <c r="C2">
        <v>18.251201999999999</v>
      </c>
      <c r="D2">
        <v>19.140637000000002</v>
      </c>
      <c r="E2">
        <v>19.426811000000001</v>
      </c>
      <c r="F2">
        <v>40.063544999999998</v>
      </c>
      <c r="G2">
        <v>38.249561</v>
      </c>
      <c r="H2">
        <v>34.494897000000002</v>
      </c>
      <c r="I2">
        <v>30.954346000000001</v>
      </c>
      <c r="J2">
        <v>58.138089000000001</v>
      </c>
      <c r="K2">
        <v>53.283999000000001</v>
      </c>
      <c r="L2">
        <v>57.670433000000003</v>
      </c>
      <c r="M2">
        <v>-622.46041000000002</v>
      </c>
      <c r="N2">
        <v>1.3349120000000001</v>
      </c>
      <c r="O2">
        <v>2.987946</v>
      </c>
      <c r="P2">
        <f t="shared" ref="P2:P25" si="0" xml:space="preserve"> N2*0.001/60</f>
        <v>2.2248533333333336E-5</v>
      </c>
      <c r="Q2" cm="1">
        <f t="array" ref="Q2">[1]!PropsSI("D","T",J2+273.15,"P",101325,"Water")</f>
        <v>984.1434042374143</v>
      </c>
      <c r="R2" cm="1">
        <f t="array" ref="R2">[1]!PropsSI("D","T",K2+273.15,"P",101325,"Water")</f>
        <v>986.5147677997885</v>
      </c>
      <c r="S2">
        <f t="shared" ref="S2:S25" si="1">(Q2+R2)/2</f>
        <v>985.3290860186014</v>
      </c>
      <c r="T2" cm="1">
        <f t="array" ref="T2">[1]!PropsSI("H","T",J2+273.15,"P",101325,"Water")</f>
        <v>243457.42383779437</v>
      </c>
      <c r="U2" cm="1">
        <f t="array" ref="U2">[1]!PropsSI("H","T",K2+273.15,"P",101325,"Water")</f>
        <v>223151.63711080042</v>
      </c>
      <c r="V2">
        <f t="shared" ref="V2:V25" si="2">S2*P2*(T2-U2)</f>
        <v>445.14603576029077</v>
      </c>
      <c r="W2" s="3">
        <f>AVERAGE(V2:V25)</f>
        <v>443.59842185896059</v>
      </c>
      <c r="X2">
        <f>(0.15+0.002*ABS(J2))</f>
        <v>0.26627617800000003</v>
      </c>
      <c r="Y2">
        <f>(0.15+0.002*ABS(K2))</f>
        <v>0.25656799800000002</v>
      </c>
      <c r="Z2">
        <f>SQRT((X2)^2 + (Y2)^2)</f>
        <v>0.36977038898215703</v>
      </c>
      <c r="AA2">
        <f>J2-K2</f>
        <v>4.8540899999999993</v>
      </c>
      <c r="AB2">
        <f>SQRT((0.01)^2 + (Z2/ABS(AA2))^2)</f>
        <v>7.6830639074953785E-2</v>
      </c>
      <c r="AC2">
        <f>ABS(V2*AB2)</f>
        <v>34.200854409145371</v>
      </c>
    </row>
    <row r="3" spans="1:29" x14ac:dyDescent="0.2">
      <c r="A3" s="4">
        <v>46137.031882939817</v>
      </c>
      <c r="B3">
        <v>18.021106</v>
      </c>
      <c r="C3">
        <v>18.301614000000001</v>
      </c>
      <c r="D3">
        <v>19.169294000000001</v>
      </c>
      <c r="E3">
        <v>19.430855999999999</v>
      </c>
      <c r="F3">
        <v>39.575465000000001</v>
      </c>
      <c r="G3">
        <v>37.298560000000002</v>
      </c>
      <c r="H3">
        <v>34.099442000000003</v>
      </c>
      <c r="I3">
        <v>31.449916000000002</v>
      </c>
      <c r="J3">
        <v>58.147644999999997</v>
      </c>
      <c r="K3">
        <v>53.294176999999998</v>
      </c>
      <c r="L3">
        <v>60.73028</v>
      </c>
      <c r="M3">
        <v>-622.50816299999997</v>
      </c>
      <c r="N3">
        <v>1.3281799999999999</v>
      </c>
      <c r="O3">
        <v>2.8868930000000002</v>
      </c>
      <c r="P3">
        <f t="shared" si="0"/>
        <v>2.2136333333333334E-5</v>
      </c>
      <c r="Q3" cm="1">
        <f t="array" ref="Q3">[1]!PropsSI("D","T",J3+273.15,"P",101325,"Water")</f>
        <v>984.13859381180862</v>
      </c>
      <c r="R3" cm="1">
        <f t="array" ref="R3">[1]!PropsSI("D","T",K3+273.15,"P",101325,"Water")</f>
        <v>986.50994876746336</v>
      </c>
      <c r="S3">
        <f t="shared" si="1"/>
        <v>985.32427128963604</v>
      </c>
      <c r="T3" cm="1">
        <f t="array" ref="T3">[1]!PropsSI("H","T",J3+273.15,"P",101325,"Water")</f>
        <v>243497.4077473036</v>
      </c>
      <c r="U3" cm="1">
        <f t="array" ref="U3">[1]!PropsSI("H","T",K3+273.15,"P",101325,"Water")</f>
        <v>223194.20517109422</v>
      </c>
      <c r="V3">
        <f t="shared" si="2"/>
        <v>442.84262305076919</v>
      </c>
      <c r="W3" s="3" t="s">
        <v>33</v>
      </c>
      <c r="X3">
        <f t="shared" ref="X3:Y25" si="3">(0.15+0.002*ABS(J3))</f>
        <v>0.26629528999999996</v>
      </c>
      <c r="Y3">
        <f t="shared" si="3"/>
        <v>0.25658835400000002</v>
      </c>
      <c r="Z3">
        <f t="shared" ref="Z3:Z7" si="4">SQRT((X3)^2 + (Y3)^2)</f>
        <v>0.36979827593515552</v>
      </c>
      <c r="AA3">
        <f>J3-K3</f>
        <v>4.8534679999999994</v>
      </c>
      <c r="AB3">
        <f t="shared" ref="AB3:AB25" si="5">SQRT((0.01)^2 + (Z3/ABS(AA3))^2)</f>
        <v>7.6846015491410485E-2</v>
      </c>
      <c r="AC3">
        <f t="shared" ref="AC3:AC25" si="6">ABS(V3*AB3)</f>
        <v>34.03069107121626</v>
      </c>
    </row>
    <row r="4" spans="1:29" x14ac:dyDescent="0.2">
      <c r="A4" s="4">
        <v>46137.03191766204</v>
      </c>
      <c r="B4">
        <v>18.143726000000001</v>
      </c>
      <c r="C4">
        <v>18.313873999999998</v>
      </c>
      <c r="D4">
        <v>19.185504999999999</v>
      </c>
      <c r="E4">
        <v>19.405895000000001</v>
      </c>
      <c r="F4">
        <v>39.325626999999997</v>
      </c>
      <c r="G4">
        <v>38.277625999999998</v>
      </c>
      <c r="H4">
        <v>34.111175000000003</v>
      </c>
      <c r="I4">
        <v>30.701242000000001</v>
      </c>
      <c r="J4">
        <v>58.155290000000001</v>
      </c>
      <c r="K4">
        <v>53.300061999999997</v>
      </c>
      <c r="L4">
        <v>68.141338000000005</v>
      </c>
      <c r="M4">
        <v>-622.49102100000005</v>
      </c>
      <c r="N4">
        <v>1.331671</v>
      </c>
      <c r="O4">
        <v>3.05104</v>
      </c>
      <c r="P4">
        <f t="shared" si="0"/>
        <v>2.2194516666666666E-5</v>
      </c>
      <c r="Q4" cm="1">
        <f t="array" ref="Q4">[1]!PropsSI("D","T",J4+273.15,"P",101325,"Water")</f>
        <v>984.1347449753149</v>
      </c>
      <c r="R4" cm="1">
        <f t="array" ref="R4">[1]!PropsSI("D","T",K4+273.15,"P",101325,"Water")</f>
        <v>986.50716206613515</v>
      </c>
      <c r="S4">
        <f t="shared" si="1"/>
        <v>985.32095352072497</v>
      </c>
      <c r="T4" cm="1">
        <f t="array" ref="T4">[1]!PropsSI("H","T",J4+273.15,"P",101325,"Water")</f>
        <v>243529.39573868518</v>
      </c>
      <c r="U4" cm="1">
        <f t="array" ref="U4">[1]!PropsSI("H","T",K4+273.15,"P",101325,"Water")</f>
        <v>223218.81837564168</v>
      </c>
      <c r="V4">
        <f t="shared" si="2"/>
        <v>444.16637661144017</v>
      </c>
      <c r="W4" s="3">
        <f>SQRT((AVERAGE(AC2:AC25))^2 + (_xlfn.STDEV.S(V2:V25)/SQRT(COUNT(V2:V25)))^2)</f>
        <v>34.157582419960512</v>
      </c>
      <c r="X4">
        <f t="shared" si="3"/>
        <v>0.26631058000000002</v>
      </c>
      <c r="Y4">
        <f t="shared" si="3"/>
        <v>0.25660012399999999</v>
      </c>
      <c r="Z4">
        <f t="shared" si="4"/>
        <v>0.36981745315324394</v>
      </c>
      <c r="AA4">
        <f t="shared" ref="AA4:AA5" si="7">J4-K4</f>
        <v>4.8552280000000039</v>
      </c>
      <c r="AB4">
        <f t="shared" si="5"/>
        <v>7.6822547130932908E-2</v>
      </c>
      <c r="AC4">
        <f t="shared" si="6"/>
        <v>34.121992401208061</v>
      </c>
    </row>
    <row r="5" spans="1:29" x14ac:dyDescent="0.2">
      <c r="A5" s="4">
        <v>46137.031952962963</v>
      </c>
      <c r="B5">
        <v>18.162739999999999</v>
      </c>
      <c r="C5">
        <v>18.378926</v>
      </c>
      <c r="D5">
        <v>19.202383999999999</v>
      </c>
      <c r="E5">
        <v>19.434788999999999</v>
      </c>
      <c r="F5">
        <v>39.837679999999999</v>
      </c>
      <c r="G5">
        <v>36.812061</v>
      </c>
      <c r="H5">
        <v>34.183855000000001</v>
      </c>
      <c r="I5">
        <v>30.532820000000001</v>
      </c>
      <c r="J5">
        <v>58.164048999999999</v>
      </c>
      <c r="K5">
        <v>53.312148999999998</v>
      </c>
      <c r="L5">
        <v>55.495440000000002</v>
      </c>
      <c r="M5">
        <v>-622.50204099999996</v>
      </c>
      <c r="N5">
        <v>1.3309869999999999</v>
      </c>
      <c r="O5">
        <v>2.8151959999999998</v>
      </c>
      <c r="P5">
        <f t="shared" si="0"/>
        <v>2.2183116666666668E-5</v>
      </c>
      <c r="Q5" cm="1">
        <f t="array" ref="Q5">[1]!PropsSI("D","T",J5+273.15,"P",101325,"Water")</f>
        <v>984.13033486925531</v>
      </c>
      <c r="R5" cm="1">
        <f t="array" ref="R5">[1]!PropsSI("D","T",K5+273.15,"P",101325,"Water")</f>
        <v>986.50143786902231</v>
      </c>
      <c r="S5">
        <f t="shared" si="1"/>
        <v>985.31588636913875</v>
      </c>
      <c r="T5" cm="1">
        <f t="array" ref="T5">[1]!PropsSI("H","T",J5+273.15,"P",101325,"Water")</f>
        <v>243566.04492651732</v>
      </c>
      <c r="U5" cm="1">
        <f t="array" ref="U5">[1]!PropsSI("H","T",K5+273.15,"P",101325,"Water")</f>
        <v>223269.37063015514</v>
      </c>
      <c r="V5">
        <f t="shared" si="2"/>
        <v>443.63206723611802</v>
      </c>
      <c r="W5" s="3"/>
      <c r="X5">
        <f t="shared" si="3"/>
        <v>0.26632809800000001</v>
      </c>
      <c r="Y5">
        <f t="shared" si="3"/>
        <v>0.25662429799999997</v>
      </c>
      <c r="Z5">
        <f t="shared" si="4"/>
        <v>0.36984684141991858</v>
      </c>
      <c r="AA5">
        <f t="shared" si="7"/>
        <v>4.8519000000000005</v>
      </c>
      <c r="AB5">
        <f t="shared" si="5"/>
        <v>7.6880354054927699E-2</v>
      </c>
      <c r="AC5">
        <f t="shared" si="6"/>
        <v>34.106590399232246</v>
      </c>
    </row>
    <row r="6" spans="1:29" x14ac:dyDescent="0.2">
      <c r="A6" s="4">
        <v>46137.031987685186</v>
      </c>
      <c r="B6">
        <v>18.019168000000001</v>
      </c>
      <c r="C6">
        <v>18.226184</v>
      </c>
      <c r="D6">
        <v>19.213494000000001</v>
      </c>
      <c r="E6">
        <v>19.440693</v>
      </c>
      <c r="F6">
        <v>39.861542</v>
      </c>
      <c r="G6">
        <v>37.937736000000001</v>
      </c>
      <c r="H6">
        <v>33.969205000000002</v>
      </c>
      <c r="I6">
        <v>30.742571999999999</v>
      </c>
      <c r="J6">
        <v>58.176631999999998</v>
      </c>
      <c r="K6">
        <v>53.331074999999998</v>
      </c>
      <c r="L6">
        <v>64.373362999999998</v>
      </c>
      <c r="M6">
        <v>-622.48775599999999</v>
      </c>
      <c r="N6">
        <v>1.326803</v>
      </c>
      <c r="O6">
        <v>2.7406130000000002</v>
      </c>
      <c r="P6">
        <f t="shared" si="0"/>
        <v>2.2113383333333331E-5</v>
      </c>
      <c r="Q6" cm="1">
        <f t="array" ref="Q6">[1]!PropsSI("D","T",J6+273.15,"P",101325,"Water")</f>
        <v>984.12399859399409</v>
      </c>
      <c r="R6" cm="1">
        <f t="array" ref="R6">[1]!PropsSI("D","T",K6+273.15,"P",101325,"Water")</f>
        <v>986.49247298318699</v>
      </c>
      <c r="S6">
        <f t="shared" si="1"/>
        <v>985.30823578859054</v>
      </c>
      <c r="T6" cm="1">
        <f t="array" ref="T6">[1]!PropsSI("H","T",J6+273.15,"P",101325,"Water")</f>
        <v>243618.69445411052</v>
      </c>
      <c r="U6" cm="1">
        <f t="array" ref="U6">[1]!PropsSI("H","T",K6+273.15,"P",101325,"Water")</f>
        <v>223348.52618250425</v>
      </c>
      <c r="V6">
        <f t="shared" si="2"/>
        <v>441.65653542960786</v>
      </c>
      <c r="W6" s="3"/>
      <c r="X6">
        <f t="shared" si="3"/>
        <v>0.26635326399999998</v>
      </c>
      <c r="Y6">
        <f t="shared" si="3"/>
        <v>0.25666214999999998</v>
      </c>
      <c r="Z6">
        <f t="shared" si="4"/>
        <v>0.36989122791176893</v>
      </c>
      <c r="AA6">
        <f>J6-K6</f>
        <v>4.8455569999999994</v>
      </c>
      <c r="AB6">
        <f t="shared" si="5"/>
        <v>7.6988374109177513E-2</v>
      </c>
      <c r="AC6">
        <f t="shared" si="6"/>
        <v>34.002418577417863</v>
      </c>
    </row>
    <row r="7" spans="1:29" x14ac:dyDescent="0.2">
      <c r="A7" s="4">
        <v>46137.03202298611</v>
      </c>
      <c r="B7">
        <v>17.852253000000001</v>
      </c>
      <c r="C7">
        <v>17.944012000000001</v>
      </c>
      <c r="D7">
        <v>19.076699999999999</v>
      </c>
      <c r="E7">
        <v>19.421699</v>
      </c>
      <c r="F7">
        <v>39.929988999999999</v>
      </c>
      <c r="G7">
        <v>39.331764</v>
      </c>
      <c r="H7">
        <v>34.488290999999997</v>
      </c>
      <c r="I7">
        <v>30.983899999999998</v>
      </c>
      <c r="J7">
        <v>58.186028</v>
      </c>
      <c r="K7">
        <v>53.342049000000003</v>
      </c>
      <c r="L7">
        <v>61.284945999999998</v>
      </c>
      <c r="M7">
        <v>-622.51346899999999</v>
      </c>
      <c r="N7">
        <v>1.3278110000000001</v>
      </c>
      <c r="O7">
        <v>2.9622890000000002</v>
      </c>
      <c r="P7">
        <f t="shared" si="0"/>
        <v>2.2130183333333337E-5</v>
      </c>
      <c r="Q7" cm="1">
        <f t="array" ref="Q7">[1]!PropsSI("D","T",J7+273.15,"P",101325,"Water")</f>
        <v>984.11926653867192</v>
      </c>
      <c r="R7" cm="1">
        <f t="array" ref="R7">[1]!PropsSI("D","T",K7+273.15,"P",101325,"Water")</f>
        <v>986.48727377156285</v>
      </c>
      <c r="S7">
        <f t="shared" si="1"/>
        <v>985.30327015511739</v>
      </c>
      <c r="T7" cm="1">
        <f t="array" ref="T7">[1]!PropsSI("H","T",J7+273.15,"P",101325,"Water")</f>
        <v>243658.00904467446</v>
      </c>
      <c r="U7" cm="1">
        <f t="array" ref="U7">[1]!PropsSI("H","T",K7+273.15,"P",101325,"Water")</f>
        <v>223394.42357627221</v>
      </c>
      <c r="V7">
        <f t="shared" si="2"/>
        <v>441.84630600183397</v>
      </c>
      <c r="W7" s="3"/>
      <c r="X7">
        <f t="shared" si="3"/>
        <v>0.26637205600000002</v>
      </c>
      <c r="Y7">
        <f t="shared" si="3"/>
        <v>0.25668409800000003</v>
      </c>
      <c r="Z7">
        <f t="shared" si="4"/>
        <v>0.3699199891648744</v>
      </c>
      <c r="AA7">
        <f t="shared" ref="AA7:AA25" si="8">J7-K7</f>
        <v>4.8439789999999974</v>
      </c>
      <c r="AB7">
        <f t="shared" si="5"/>
        <v>7.7018918440239087E-2</v>
      </c>
      <c r="AC7">
        <f t="shared" si="6"/>
        <v>34.030524605076174</v>
      </c>
    </row>
    <row r="8" spans="1:29" x14ac:dyDescent="0.2">
      <c r="A8" s="4">
        <v>46137.032057708333</v>
      </c>
      <c r="B8">
        <v>17.745187999999999</v>
      </c>
      <c r="C8">
        <v>17.755572000000001</v>
      </c>
      <c r="D8">
        <v>18.761222</v>
      </c>
      <c r="E8">
        <v>19.380134999999999</v>
      </c>
      <c r="F8">
        <v>39.214568</v>
      </c>
      <c r="G8">
        <v>36.468037000000002</v>
      </c>
      <c r="H8">
        <v>34.246637999999997</v>
      </c>
      <c r="I8">
        <v>30.986847999999998</v>
      </c>
      <c r="J8">
        <v>58.195585000000001</v>
      </c>
      <c r="K8">
        <v>53.348252000000002</v>
      </c>
      <c r="L8">
        <v>62.906089999999999</v>
      </c>
      <c r="M8">
        <v>-622.49959200000001</v>
      </c>
      <c r="N8">
        <v>1.333564</v>
      </c>
      <c r="O8">
        <v>2.9218139999999999</v>
      </c>
      <c r="P8">
        <f t="shared" si="0"/>
        <v>2.2226066666666667E-5</v>
      </c>
      <c r="Q8" cm="1">
        <f t="array" ref="Q8">[1]!PropsSI("D","T",J8+273.15,"P",101325,"Water")</f>
        <v>984.11445285547779</v>
      </c>
      <c r="R8" cm="1">
        <f t="array" ref="R8">[1]!PropsSI("D","T",K8+273.15,"P",101325,"Water")</f>
        <v>986.48433460590604</v>
      </c>
      <c r="S8">
        <f t="shared" si="1"/>
        <v>985.29939373069192</v>
      </c>
      <c r="T8" cm="1">
        <f t="array" ref="T8">[1]!PropsSI("H","T",J8+273.15,"P",101325,"Water")</f>
        <v>243697.99732597492</v>
      </c>
      <c r="U8" cm="1">
        <f t="array" ref="U8">[1]!PropsSI("H","T",K8+273.15,"P",101325,"Water")</f>
        <v>223420.36687223057</v>
      </c>
      <c r="V8">
        <f t="shared" si="2"/>
        <v>444.06652116153339</v>
      </c>
      <c r="W8" s="3"/>
      <c r="X8">
        <f t="shared" si="3"/>
        <v>0.26639117000000001</v>
      </c>
      <c r="Y8">
        <f t="shared" si="3"/>
        <v>0.25669650399999999</v>
      </c>
      <c r="Z8">
        <f>SQRT((X8)^2 + (Y8)^2)</f>
        <v>0.36994236121292046</v>
      </c>
      <c r="AA8">
        <f t="shared" si="8"/>
        <v>4.847332999999999</v>
      </c>
      <c r="AB8">
        <f t="shared" si="5"/>
        <v>7.6971101884042173E-2</v>
      </c>
      <c r="AC8">
        <f t="shared" si="6"/>
        <v>34.180289443616559</v>
      </c>
    </row>
    <row r="9" spans="1:29" x14ac:dyDescent="0.2">
      <c r="A9" s="4">
        <v>46137.032093009257</v>
      </c>
      <c r="B9">
        <v>17.61731</v>
      </c>
      <c r="C9">
        <v>17.742982999999999</v>
      </c>
      <c r="D9">
        <v>18.692965999999998</v>
      </c>
      <c r="E9">
        <v>19.343606999999999</v>
      </c>
      <c r="F9">
        <v>39.326618000000003</v>
      </c>
      <c r="G9">
        <v>37.145358000000002</v>
      </c>
      <c r="H9">
        <v>34.671115999999998</v>
      </c>
      <c r="I9">
        <v>30.973725000000002</v>
      </c>
      <c r="J9">
        <v>58.198770000000003</v>
      </c>
      <c r="K9">
        <v>53.361293000000003</v>
      </c>
      <c r="L9">
        <v>66.071236999999996</v>
      </c>
      <c r="M9">
        <v>-622.47306300000002</v>
      </c>
      <c r="N9">
        <v>1.327442</v>
      </c>
      <c r="O9">
        <v>2.98848</v>
      </c>
      <c r="P9">
        <f t="shared" si="0"/>
        <v>2.2124033333333334E-5</v>
      </c>
      <c r="Q9" cm="1">
        <f t="array" ref="Q9">[1]!PropsSI("D","T",J9+273.15,"P",101325,"Water")</f>
        <v>984.11284850825223</v>
      </c>
      <c r="R9" cm="1">
        <f t="array" ref="R9">[1]!PropsSI("D","T",K9+273.15,"P",101325,"Water")</f>
        <v>986.47815459991511</v>
      </c>
      <c r="S9">
        <f t="shared" si="1"/>
        <v>985.29550155408367</v>
      </c>
      <c r="T9" cm="1">
        <f t="array" ref="T9">[1]!PropsSI("H","T",J9+273.15,"P",101325,"Water")</f>
        <v>243711.32397188147</v>
      </c>
      <c r="U9" cm="1">
        <f t="array" ref="U9">[1]!PropsSI("H","T",K9+273.15,"P",101325,"Water")</f>
        <v>223474.90931701634</v>
      </c>
      <c r="V9">
        <f t="shared" si="2"/>
        <v>441.1277450153068</v>
      </c>
      <c r="W9" s="3"/>
      <c r="X9">
        <f t="shared" si="3"/>
        <v>0.26639753999999999</v>
      </c>
      <c r="Y9">
        <f t="shared" si="3"/>
        <v>0.25672258599999997</v>
      </c>
      <c r="Z9">
        <f t="shared" ref="Z9:Z25" si="9">SQRT((X9)^2 + (Y9)^2)</f>
        <v>0.36996504629569937</v>
      </c>
      <c r="AA9">
        <f t="shared" si="8"/>
        <v>4.8374769999999998</v>
      </c>
      <c r="AB9">
        <f t="shared" si="5"/>
        <v>7.7129930292761176E-2</v>
      </c>
      <c r="AC9">
        <f t="shared" si="6"/>
        <v>34.024152223233543</v>
      </c>
    </row>
    <row r="10" spans="1:29" x14ac:dyDescent="0.2">
      <c r="A10" s="4">
        <v>46137.032128310188</v>
      </c>
      <c r="B10">
        <v>17.624986</v>
      </c>
      <c r="C10">
        <v>17.821898999999998</v>
      </c>
      <c r="D10">
        <v>18.875601</v>
      </c>
      <c r="E10">
        <v>19.317474000000001</v>
      </c>
      <c r="F10">
        <v>39.870657000000001</v>
      </c>
      <c r="G10">
        <v>37.878886999999999</v>
      </c>
      <c r="H10">
        <v>34.488709</v>
      </c>
      <c r="I10">
        <v>31.176269000000001</v>
      </c>
      <c r="J10">
        <v>58.211829999999999</v>
      </c>
      <c r="K10">
        <v>53.364314999999998</v>
      </c>
      <c r="L10">
        <v>64.615799999999993</v>
      </c>
      <c r="M10">
        <v>-622.47306300000002</v>
      </c>
      <c r="N10">
        <v>1.3366130000000001</v>
      </c>
      <c r="O10">
        <v>2.9226399999999999</v>
      </c>
      <c r="P10">
        <f t="shared" si="0"/>
        <v>2.2276883333333337E-5</v>
      </c>
      <c r="Q10" cm="1">
        <f t="array" ref="Q10">[1]!PropsSI("D","T",J10+273.15,"P",101325,"Water")</f>
        <v>984.10626929155671</v>
      </c>
      <c r="R10" cm="1">
        <f t="array" ref="R10">[1]!PropsSI("D","T",K10+273.15,"P",101325,"Water")</f>
        <v>986.47672234950278</v>
      </c>
      <c r="S10">
        <f t="shared" si="1"/>
        <v>985.29149582052969</v>
      </c>
      <c r="T10" cm="1">
        <f t="array" ref="T10">[1]!PropsSI("H","T",J10+273.15,"P",101325,"Water")</f>
        <v>243765.96954001539</v>
      </c>
      <c r="U10" cm="1">
        <f t="array" ref="U10">[1]!PropsSI("H","T",K10+273.15,"P",101325,"Water")</f>
        <v>223487.54848378358</v>
      </c>
      <c r="V10">
        <f t="shared" si="2"/>
        <v>445.09560008088948</v>
      </c>
      <c r="X10">
        <f t="shared" si="3"/>
        <v>0.26642366000000001</v>
      </c>
      <c r="Y10">
        <f t="shared" si="3"/>
        <v>0.25672863000000001</v>
      </c>
      <c r="Z10">
        <f t="shared" si="9"/>
        <v>0.36998804854950718</v>
      </c>
      <c r="AA10">
        <f t="shared" si="8"/>
        <v>4.8475150000000014</v>
      </c>
      <c r="AB10">
        <f t="shared" si="5"/>
        <v>7.6977605804914556E-2</v>
      </c>
      <c r="AC10">
        <f t="shared" si="6"/>
        <v>34.262393648528608</v>
      </c>
    </row>
    <row r="11" spans="1:29" x14ac:dyDescent="0.2">
      <c r="A11" s="4">
        <v>46137.032163611111</v>
      </c>
      <c r="B11">
        <v>17.731694000000001</v>
      </c>
      <c r="C11">
        <v>18.057597000000001</v>
      </c>
      <c r="D11">
        <v>19.014043000000001</v>
      </c>
      <c r="E11">
        <v>19.346814999999999</v>
      </c>
      <c r="F11">
        <v>39.111001999999999</v>
      </c>
      <c r="G11">
        <v>36.079650999999998</v>
      </c>
      <c r="H11">
        <v>34.948878999999998</v>
      </c>
      <c r="I11">
        <v>30.514308</v>
      </c>
      <c r="J11">
        <v>58.228872000000003</v>
      </c>
      <c r="K11">
        <v>53.364314999999998</v>
      </c>
      <c r="L11">
        <v>60.879252000000001</v>
      </c>
      <c r="M11">
        <v>-622.48857199999998</v>
      </c>
      <c r="N11">
        <v>1.3373550000000001</v>
      </c>
      <c r="O11">
        <v>2.6944590000000002</v>
      </c>
      <c r="P11">
        <f t="shared" si="0"/>
        <v>2.2289250000000003E-5</v>
      </c>
      <c r="Q11" cm="1">
        <f t="array" ref="Q11">[1]!PropsSI("D","T",J11+273.15,"P",101325,"Water")</f>
        <v>984.09768252742663</v>
      </c>
      <c r="R11" cm="1">
        <f t="array" ref="R11">[1]!PropsSI("D","T",K11+273.15,"P",101325,"Water")</f>
        <v>986.47672234950278</v>
      </c>
      <c r="S11">
        <f t="shared" si="1"/>
        <v>985.28720243846465</v>
      </c>
      <c r="T11" cm="1">
        <f t="array" ref="T11">[1]!PropsSI("H","T",J11+273.15,"P",101325,"Water")</f>
        <v>243837.27667221418</v>
      </c>
      <c r="U11" cm="1">
        <f t="array" ref="U11">[1]!PropsSI("H","T",K11+273.15,"P",101325,"Water")</f>
        <v>223487.54848378358</v>
      </c>
      <c r="V11">
        <f t="shared" si="2"/>
        <v>446.90674567207208</v>
      </c>
      <c r="X11">
        <f t="shared" si="3"/>
        <v>0.266457744</v>
      </c>
      <c r="Y11">
        <f t="shared" si="3"/>
        <v>0.25672863000000001</v>
      </c>
      <c r="Z11">
        <f t="shared" si="9"/>
        <v>0.37001259275766069</v>
      </c>
      <c r="AA11">
        <f t="shared" si="8"/>
        <v>4.8645570000000049</v>
      </c>
      <c r="AB11">
        <f t="shared" si="5"/>
        <v>7.671749159402215E-2</v>
      </c>
      <c r="AC11">
        <f t="shared" si="6"/>
        <v>34.285564504408981</v>
      </c>
    </row>
    <row r="12" spans="1:29" x14ac:dyDescent="0.2">
      <c r="A12" s="4">
        <v>46137.032198333334</v>
      </c>
      <c r="B12">
        <v>17.858467999999998</v>
      </c>
      <c r="C12">
        <v>18.085190000000001</v>
      </c>
      <c r="D12">
        <v>19.073502999999999</v>
      </c>
      <c r="E12">
        <v>19.371333</v>
      </c>
      <c r="F12">
        <v>39.603135000000002</v>
      </c>
      <c r="G12">
        <v>36.850033000000003</v>
      </c>
      <c r="H12">
        <v>34.169227999999997</v>
      </c>
      <c r="I12">
        <v>30.612461</v>
      </c>
      <c r="J12">
        <v>58.239862000000002</v>
      </c>
      <c r="K12">
        <v>53.377198</v>
      </c>
      <c r="L12">
        <v>62.046132999999998</v>
      </c>
      <c r="M12">
        <v>-622.50122399999998</v>
      </c>
      <c r="N12">
        <v>1.3266549999999999</v>
      </c>
      <c r="O12">
        <v>2.8442460000000001</v>
      </c>
      <c r="P12">
        <f t="shared" si="0"/>
        <v>2.2110916666666665E-5</v>
      </c>
      <c r="Q12" cm="1">
        <f t="array" ref="Q12">[1]!PropsSI("D","T",J12+273.15,"P",101325,"Water")</f>
        <v>984.09214419219484</v>
      </c>
      <c r="R12" cm="1">
        <f t="array" ref="R12">[1]!PropsSI("D","T",K12+273.15,"P",101325,"Water")</f>
        <v>986.47061591736917</v>
      </c>
      <c r="S12">
        <f t="shared" si="1"/>
        <v>985.28138005478195</v>
      </c>
      <c r="T12" cm="1">
        <f t="array" ref="T12">[1]!PropsSI("H","T",J12+273.15,"P",101325,"Water")</f>
        <v>243883.26109070698</v>
      </c>
      <c r="U12" cm="1">
        <f t="array" ref="U12">[1]!PropsSI("H","T",K12+273.15,"P",101325,"Water")</f>
        <v>223541.43018150787</v>
      </c>
      <c r="V12">
        <f t="shared" si="2"/>
        <v>443.15643830362586</v>
      </c>
      <c r="X12">
        <f t="shared" si="3"/>
        <v>0.26647972399999997</v>
      </c>
      <c r="Y12">
        <f t="shared" si="3"/>
        <v>0.256754396</v>
      </c>
      <c r="Z12">
        <f t="shared" si="9"/>
        <v>0.3700462986822608</v>
      </c>
      <c r="AA12">
        <f t="shared" si="8"/>
        <v>4.8626640000000023</v>
      </c>
      <c r="AB12">
        <f t="shared" si="5"/>
        <v>7.6753722308279926E-2</v>
      </c>
      <c r="AC12">
        <f t="shared" si="6"/>
        <v>34.013906204682883</v>
      </c>
    </row>
    <row r="13" spans="1:29" x14ac:dyDescent="0.2">
      <c r="A13" s="4">
        <v>46137.032233634258</v>
      </c>
      <c r="B13">
        <v>17.972754999999999</v>
      </c>
      <c r="C13">
        <v>18.129971000000001</v>
      </c>
      <c r="D13">
        <v>19.154624999999999</v>
      </c>
      <c r="E13">
        <v>19.374704999999999</v>
      </c>
      <c r="F13">
        <v>39.644015000000003</v>
      </c>
      <c r="G13">
        <v>36.710740000000001</v>
      </c>
      <c r="H13">
        <v>35.083443000000003</v>
      </c>
      <c r="I13">
        <v>30.950832999999999</v>
      </c>
      <c r="J13">
        <v>58.250055000000003</v>
      </c>
      <c r="K13">
        <v>53.390875000000001</v>
      </c>
      <c r="L13">
        <v>59.049548000000001</v>
      </c>
      <c r="M13">
        <v>-622.474287</v>
      </c>
      <c r="N13">
        <v>1.3291059999999999</v>
      </c>
      <c r="O13">
        <v>3.0067919999999999</v>
      </c>
      <c r="P13">
        <f t="shared" si="0"/>
        <v>2.2151766666666663E-5</v>
      </c>
      <c r="Q13" cm="1">
        <f t="array" ref="Q13">[1]!PropsSI("D","T",J13+273.15,"P",101325,"Water")</f>
        <v>984.08700685112876</v>
      </c>
      <c r="R13" cm="1">
        <f t="array" ref="R13">[1]!PropsSI("D","T",K13+273.15,"P",101325,"Water")</f>
        <v>986.46413198878065</v>
      </c>
      <c r="S13">
        <f t="shared" si="1"/>
        <v>985.27556941995476</v>
      </c>
      <c r="T13" cm="1">
        <f t="array" ref="T13">[1]!PropsSI("H","T",J13+273.15,"P",101325,"Water")</f>
        <v>243925.91074168758</v>
      </c>
      <c r="U13" cm="1">
        <f t="array" ref="U13">[1]!PropsSI("H","T",K13+273.15,"P",101325,"Water")</f>
        <v>223598.63275600478</v>
      </c>
      <c r="V13">
        <f t="shared" si="2"/>
        <v>443.65492693273711</v>
      </c>
      <c r="X13">
        <f t="shared" si="3"/>
        <v>0.26650011000000001</v>
      </c>
      <c r="Y13">
        <f t="shared" si="3"/>
        <v>0.25678175000000003</v>
      </c>
      <c r="Z13">
        <f t="shared" si="9"/>
        <v>0.37007995860769688</v>
      </c>
      <c r="AA13">
        <f t="shared" si="8"/>
        <v>4.8591800000000021</v>
      </c>
      <c r="AB13">
        <f t="shared" si="5"/>
        <v>7.6814688525785615E-2</v>
      </c>
      <c r="AC13">
        <f t="shared" si="6"/>
        <v>34.079215025268375</v>
      </c>
    </row>
    <row r="14" spans="1:29" x14ac:dyDescent="0.2">
      <c r="A14" s="4">
        <v>46137.032268356481</v>
      </c>
      <c r="B14">
        <v>18.109214000000001</v>
      </c>
      <c r="C14">
        <v>18.250610000000002</v>
      </c>
      <c r="D14">
        <v>19.164929999999998</v>
      </c>
      <c r="E14">
        <v>19.383662999999999</v>
      </c>
      <c r="F14">
        <v>39.060898999999999</v>
      </c>
      <c r="G14">
        <v>36.398854</v>
      </c>
      <c r="H14">
        <v>34.811508000000003</v>
      </c>
      <c r="I14">
        <v>31.113222</v>
      </c>
      <c r="J14">
        <v>58.257541000000003</v>
      </c>
      <c r="K14">
        <v>53.399304999999998</v>
      </c>
      <c r="L14">
        <v>67.811558000000005</v>
      </c>
      <c r="M14">
        <v>-622.47632799999997</v>
      </c>
      <c r="N14">
        <v>1.3336669999999999</v>
      </c>
      <c r="O14">
        <v>3.1608610000000001</v>
      </c>
      <c r="P14">
        <f t="shared" si="0"/>
        <v>2.2227783333333334E-5</v>
      </c>
      <c r="Q14" cm="1">
        <f t="array" ref="Q14">[1]!PropsSI("D","T",J14+273.15,"P",101325,"Water")</f>
        <v>984.08323345893803</v>
      </c>
      <c r="R14" cm="1">
        <f t="array" ref="R14">[1]!PropsSI("D","T",K14+273.15,"P",101325,"Water")</f>
        <v>986.46013494509532</v>
      </c>
      <c r="S14">
        <f t="shared" si="1"/>
        <v>985.27168420201667</v>
      </c>
      <c r="T14" cm="1">
        <f t="array" ref="T14">[1]!PropsSI("H","T",J14+273.15,"P",101325,"Water")</f>
        <v>243957.23376380475</v>
      </c>
      <c r="U14" cm="1">
        <f t="array" ref="U14">[1]!PropsSI("H","T",K14+273.15,"P",101325,"Water")</f>
        <v>223633.89035140537</v>
      </c>
      <c r="V14">
        <f t="shared" si="2"/>
        <v>445.08946227227852</v>
      </c>
      <c r="X14">
        <f t="shared" si="3"/>
        <v>0.26651508200000001</v>
      </c>
      <c r="Y14">
        <f t="shared" si="3"/>
        <v>0.25679860999999998</v>
      </c>
      <c r="Z14">
        <f t="shared" si="9"/>
        <v>0.37010243856451258</v>
      </c>
      <c r="AA14">
        <f t="shared" si="8"/>
        <v>4.8582360000000051</v>
      </c>
      <c r="AB14">
        <f t="shared" si="5"/>
        <v>7.6833949217785288E-2</v>
      </c>
      <c r="AC14">
        <f t="shared" si="6"/>
        <v>34.197981141599612</v>
      </c>
    </row>
    <row r="15" spans="1:29" x14ac:dyDescent="0.2">
      <c r="A15" s="4">
        <v>46137.032303078704</v>
      </c>
      <c r="B15">
        <v>18.176015</v>
      </c>
      <c r="C15">
        <v>18.330568</v>
      </c>
      <c r="D15">
        <v>19.166945999999999</v>
      </c>
      <c r="E15">
        <v>19.411563999999998</v>
      </c>
      <c r="F15">
        <v>39.606440999999997</v>
      </c>
      <c r="G15">
        <v>38.037326</v>
      </c>
      <c r="H15">
        <v>34.170684999999999</v>
      </c>
      <c r="I15">
        <v>30.653449999999999</v>
      </c>
      <c r="J15">
        <v>58.269168000000001</v>
      </c>
      <c r="K15">
        <v>53.414414000000001</v>
      </c>
      <c r="L15">
        <v>61.393104000000001</v>
      </c>
      <c r="M15">
        <v>-622.48693900000001</v>
      </c>
      <c r="N15">
        <v>1.330306</v>
      </c>
      <c r="O15">
        <v>2.779919</v>
      </c>
      <c r="P15">
        <f t="shared" si="0"/>
        <v>2.2171766666666667E-5</v>
      </c>
      <c r="Q15" cm="1">
        <f t="array" ref="Q15">[1]!PropsSI("D","T",J15+273.15,"P",101325,"Water")</f>
        <v>984.07737208744027</v>
      </c>
      <c r="R15" cm="1">
        <f t="array" ref="R15">[1]!PropsSI("D","T",K15+273.15,"P",101325,"Water")</f>
        <v>986.45296996296281</v>
      </c>
      <c r="S15">
        <f t="shared" si="1"/>
        <v>985.26517102520154</v>
      </c>
      <c r="T15" cm="1">
        <f t="array" ref="T15">[1]!PropsSI("H","T",J15+273.15,"P",101325,"Water")</f>
        <v>244005.88365957004</v>
      </c>
      <c r="U15" cm="1">
        <f t="array" ref="U15">[1]!PropsSI("H","T",K15+273.15,"P",101325,"Water")</f>
        <v>223697.08222744334</v>
      </c>
      <c r="V15">
        <f t="shared" si="2"/>
        <v>443.6471782746159</v>
      </c>
      <c r="X15">
        <f t="shared" si="3"/>
        <v>0.26653833599999999</v>
      </c>
      <c r="Y15">
        <f t="shared" si="3"/>
        <v>0.25682882800000001</v>
      </c>
      <c r="Z15">
        <f t="shared" si="9"/>
        <v>0.37014015109077597</v>
      </c>
      <c r="AA15">
        <f t="shared" si="8"/>
        <v>4.8547539999999998</v>
      </c>
      <c r="AB15">
        <f t="shared" si="5"/>
        <v>7.6895826255081998E-2</v>
      </c>
      <c r="AC15">
        <f t="shared" si="6"/>
        <v>34.114616339162254</v>
      </c>
    </row>
    <row r="16" spans="1:29" x14ac:dyDescent="0.2">
      <c r="A16" s="4">
        <v>46137.032338379628</v>
      </c>
      <c r="B16">
        <v>18.11749</v>
      </c>
      <c r="C16">
        <v>18.195034</v>
      </c>
      <c r="D16">
        <v>19.196874999999999</v>
      </c>
      <c r="E16">
        <v>19.417621</v>
      </c>
      <c r="F16">
        <v>39.777239999999999</v>
      </c>
      <c r="G16">
        <v>38.304094999999997</v>
      </c>
      <c r="H16">
        <v>34.282477999999998</v>
      </c>
      <c r="I16">
        <v>31.310903</v>
      </c>
      <c r="J16">
        <v>58.279043000000001</v>
      </c>
      <c r="K16">
        <v>53.430636999999997</v>
      </c>
      <c r="L16">
        <v>61.098832999999999</v>
      </c>
      <c r="M16">
        <v>-622.46245099999999</v>
      </c>
      <c r="N16">
        <v>1.3368260000000001</v>
      </c>
      <c r="O16">
        <v>2.837218</v>
      </c>
      <c r="P16">
        <f t="shared" si="0"/>
        <v>2.2280433333333334E-5</v>
      </c>
      <c r="Q16" cm="1">
        <f t="array" ref="Q16">[1]!PropsSI("D","T",J16+273.15,"P",101325,"Water")</f>
        <v>984.07239329185791</v>
      </c>
      <c r="R16" cm="1">
        <f t="array" ref="R16">[1]!PropsSI("D","T",K16+273.15,"P",101325,"Water")</f>
        <v>986.44527509575369</v>
      </c>
      <c r="S16">
        <f t="shared" si="1"/>
        <v>985.2588341938058</v>
      </c>
      <c r="T16" cm="1">
        <f t="array" ref="T16">[1]!PropsSI("H","T",J16+273.15,"P",101325,"Water")</f>
        <v>244047.20285006266</v>
      </c>
      <c r="U16" cm="1">
        <f t="array" ref="U16">[1]!PropsSI("H","T",K16+273.15,"P",101325,"Water")</f>
        <v>223764.93338238308</v>
      </c>
      <c r="V16">
        <f t="shared" si="2"/>
        <v>445.23625302299581</v>
      </c>
      <c r="X16">
        <f t="shared" si="3"/>
        <v>0.26655808599999997</v>
      </c>
      <c r="Y16">
        <f t="shared" si="3"/>
        <v>0.25686127399999997</v>
      </c>
      <c r="Z16">
        <f t="shared" si="9"/>
        <v>0.37017688649196678</v>
      </c>
      <c r="AA16">
        <f t="shared" si="8"/>
        <v>4.8484060000000042</v>
      </c>
      <c r="AB16">
        <f t="shared" si="5"/>
        <v>7.7002316710814561E-2</v>
      </c>
      <c r="AC16">
        <f t="shared" si="6"/>
        <v>34.28422296641309</v>
      </c>
    </row>
    <row r="17" spans="1:29" x14ac:dyDescent="0.2">
      <c r="A17" s="4">
        <v>46137.032373680559</v>
      </c>
      <c r="B17">
        <v>18.1599</v>
      </c>
      <c r="C17">
        <v>18.320118999999998</v>
      </c>
      <c r="D17">
        <v>19.172906000000001</v>
      </c>
      <c r="E17">
        <v>19.409849000000001</v>
      </c>
      <c r="F17">
        <v>40.241815000000003</v>
      </c>
      <c r="G17">
        <v>38.811726999999998</v>
      </c>
      <c r="H17">
        <v>34.430708000000003</v>
      </c>
      <c r="I17">
        <v>30.865770000000001</v>
      </c>
      <c r="J17">
        <v>58.285891999999997</v>
      </c>
      <c r="K17">
        <v>53.452745</v>
      </c>
      <c r="L17">
        <v>62.840378999999999</v>
      </c>
      <c r="M17">
        <v>-622.48489900000004</v>
      </c>
      <c r="N17">
        <v>1.328516</v>
      </c>
      <c r="O17">
        <v>2.5889449999999998</v>
      </c>
      <c r="P17">
        <f t="shared" si="0"/>
        <v>2.2141933333333336E-5</v>
      </c>
      <c r="Q17" cm="1">
        <f t="array" ref="Q17">[1]!PropsSI("D","T",J17+273.15,"P",101325,"Water")</f>
        <v>984.06893980656071</v>
      </c>
      <c r="R17" cm="1">
        <f t="array" ref="R17">[1]!PropsSI("D","T",K17+273.15,"P",101325,"Water")</f>
        <v>986.4347861901565</v>
      </c>
      <c r="S17">
        <f t="shared" si="1"/>
        <v>985.25186299835855</v>
      </c>
      <c r="T17" cm="1">
        <f t="array" ref="T17">[1]!PropsSI("H","T",J17+273.15,"P",101325,"Water")</f>
        <v>244075.86060886961</v>
      </c>
      <c r="U17" cm="1">
        <f t="array" ref="U17">[1]!PropsSI("H","T",K17+273.15,"P",101325,"Water")</f>
        <v>223857.39813327845</v>
      </c>
      <c r="V17">
        <f t="shared" si="2"/>
        <v>441.0734634949153</v>
      </c>
      <c r="X17">
        <f t="shared" si="3"/>
        <v>0.26657178399999998</v>
      </c>
      <c r="Y17">
        <f t="shared" si="3"/>
        <v>0.25690549000000001</v>
      </c>
      <c r="Z17">
        <f t="shared" si="9"/>
        <v>0.3702174318114731</v>
      </c>
      <c r="AA17">
        <f t="shared" si="8"/>
        <v>4.8331469999999968</v>
      </c>
      <c r="AB17">
        <f t="shared" si="5"/>
        <v>7.7249649732684583E-2</v>
      </c>
      <c r="AC17">
        <f t="shared" si="6"/>
        <v>34.072770561364244</v>
      </c>
    </row>
    <row r="18" spans="1:29" x14ac:dyDescent="0.2">
      <c r="A18" s="4">
        <v>46137.032408981482</v>
      </c>
      <c r="B18">
        <v>18.158833000000001</v>
      </c>
      <c r="C18">
        <v>18.215240999999999</v>
      </c>
      <c r="D18">
        <v>19.195982000000001</v>
      </c>
      <c r="E18">
        <v>19.434607</v>
      </c>
      <c r="F18">
        <v>39.677926999999997</v>
      </c>
      <c r="G18">
        <v>38.371980999999998</v>
      </c>
      <c r="H18">
        <v>34.407001000000001</v>
      </c>
      <c r="I18">
        <v>31.180457000000001</v>
      </c>
      <c r="J18">
        <v>58.296404000000003</v>
      </c>
      <c r="K18">
        <v>53.464354999999998</v>
      </c>
      <c r="L18">
        <v>47.703176999999997</v>
      </c>
      <c r="M18">
        <v>-622.50857099999996</v>
      </c>
      <c r="N18">
        <v>1.3359780000000001</v>
      </c>
      <c r="O18">
        <v>2.9325779999999999</v>
      </c>
      <c r="P18">
        <f t="shared" si="0"/>
        <v>2.2266300000000001E-5</v>
      </c>
      <c r="Q18" cm="1">
        <f t="array" ref="Q18">[1]!PropsSI("D","T",J18+273.15,"P",101325,"Water")</f>
        <v>984.06363877141087</v>
      </c>
      <c r="R18" cm="1">
        <f t="array" ref="R18">[1]!PropsSI("D","T",K18+273.15,"P",101325,"Water")</f>
        <v>986.42927671373718</v>
      </c>
      <c r="S18">
        <f t="shared" si="1"/>
        <v>985.24645774257397</v>
      </c>
      <c r="T18" cm="1">
        <f t="array" ref="T18">[1]!PropsSI("H","T",J18+273.15,"P",101325,"Water")</f>
        <v>244119.84522230344</v>
      </c>
      <c r="U18" cm="1">
        <f t="array" ref="U18">[1]!PropsSI("H","T",K18+273.15,"P",101325,"Water")</f>
        <v>223905.95599559144</v>
      </c>
      <c r="V18">
        <f t="shared" si="2"/>
        <v>443.44812166442011</v>
      </c>
      <c r="X18">
        <f t="shared" si="3"/>
        <v>0.26659280800000001</v>
      </c>
      <c r="Y18">
        <f t="shared" si="3"/>
        <v>0.25692871</v>
      </c>
      <c r="Z18">
        <f t="shared" si="9"/>
        <v>0.3702486830490947</v>
      </c>
      <c r="AA18">
        <f t="shared" si="8"/>
        <v>4.8320490000000049</v>
      </c>
      <c r="AB18">
        <f t="shared" si="5"/>
        <v>7.7273322368202585E-2</v>
      </c>
      <c r="AC18">
        <f t="shared" si="6"/>
        <v>34.266709658948656</v>
      </c>
    </row>
    <row r="19" spans="1:29" x14ac:dyDescent="0.2">
      <c r="A19" s="4">
        <v>46137.032444282406</v>
      </c>
      <c r="B19">
        <v>17.983318000000001</v>
      </c>
      <c r="C19">
        <v>18.093540000000001</v>
      </c>
      <c r="D19">
        <v>19.181018999999999</v>
      </c>
      <c r="E19">
        <v>19.445357999999999</v>
      </c>
      <c r="F19">
        <v>39.910044999999997</v>
      </c>
      <c r="G19">
        <v>38.791549000000003</v>
      </c>
      <c r="H19">
        <v>34.349300999999997</v>
      </c>
      <c r="I19">
        <v>30.708753999999999</v>
      </c>
      <c r="J19">
        <v>58.308190000000003</v>
      </c>
      <c r="K19">
        <v>53.470239999999997</v>
      </c>
      <c r="L19">
        <v>61.773493000000002</v>
      </c>
      <c r="M19">
        <v>-622.49347</v>
      </c>
      <c r="N19">
        <v>1.337609</v>
      </c>
      <c r="O19">
        <v>3.255242</v>
      </c>
      <c r="P19">
        <f t="shared" si="0"/>
        <v>2.2293483333333333E-5</v>
      </c>
      <c r="Q19" cm="1">
        <f t="array" ref="Q19">[1]!PropsSI("D","T",J19+273.15,"P",101325,"Water")</f>
        <v>984.05769448930653</v>
      </c>
      <c r="R19" cm="1">
        <f t="array" ref="R19">[1]!PropsSI("D","T",K19+273.15,"P",101325,"Water")</f>
        <v>986.42648368700168</v>
      </c>
      <c r="S19">
        <f t="shared" si="1"/>
        <v>985.2420890881541</v>
      </c>
      <c r="T19" cm="1">
        <f t="array" ref="T19">[1]!PropsSI("H","T",J19+273.15,"P",101325,"Water")</f>
        <v>244169.16059735906</v>
      </c>
      <c r="U19" cm="1">
        <f t="array" ref="U19">[1]!PropsSI("H","T",K19+273.15,"P",101325,"Water")</f>
        <v>223930.56953757038</v>
      </c>
      <c r="V19">
        <f t="shared" si="2"/>
        <v>444.53008995347312</v>
      </c>
      <c r="X19">
        <f t="shared" si="3"/>
        <v>0.26661637999999999</v>
      </c>
      <c r="Y19">
        <f t="shared" si="3"/>
        <v>0.25694047999999997</v>
      </c>
      <c r="Z19">
        <f t="shared" si="9"/>
        <v>0.37027382346978671</v>
      </c>
      <c r="AA19">
        <f t="shared" si="8"/>
        <v>4.8379500000000064</v>
      </c>
      <c r="AB19">
        <f t="shared" si="5"/>
        <v>7.7185801777796784E-2</v>
      </c>
      <c r="AC19">
        <f t="shared" si="6"/>
        <v>34.311411407414951</v>
      </c>
    </row>
    <row r="20" spans="1:29" x14ac:dyDescent="0.2">
      <c r="A20" s="4">
        <v>46137.032479583337</v>
      </c>
      <c r="B20">
        <v>17.944979</v>
      </c>
      <c r="C20">
        <v>18.00647</v>
      </c>
      <c r="D20">
        <v>19.160350000000001</v>
      </c>
      <c r="E20">
        <v>19.460256000000001</v>
      </c>
      <c r="F20">
        <v>39.417957000000001</v>
      </c>
      <c r="G20">
        <v>38.73489</v>
      </c>
      <c r="H20">
        <v>33.551591000000002</v>
      </c>
      <c r="I20">
        <v>30.960751999999999</v>
      </c>
      <c r="J20">
        <v>58.320455000000003</v>
      </c>
      <c r="K20">
        <v>53.481372999999998</v>
      </c>
      <c r="L20">
        <v>49.898986000000001</v>
      </c>
      <c r="M20">
        <v>-622.474695</v>
      </c>
      <c r="N20">
        <v>1.3254919999999999</v>
      </c>
      <c r="O20">
        <v>2.9168069999999999</v>
      </c>
      <c r="P20">
        <f t="shared" si="0"/>
        <v>2.2091533333333334E-5</v>
      </c>
      <c r="Q20" cm="1">
        <f t="array" ref="Q20">[1]!PropsSI("D","T",J20+273.15,"P",101325,"Water")</f>
        <v>984.05150773760192</v>
      </c>
      <c r="R20" cm="1">
        <f t="array" ref="R20">[1]!PropsSI("D","T",K20+273.15,"P",101325,"Water")</f>
        <v>986.42119935663288</v>
      </c>
      <c r="S20">
        <f t="shared" si="1"/>
        <v>985.23635354711746</v>
      </c>
      <c r="T20" cm="1">
        <f t="array" ref="T20">[1]!PropsSI("H","T",J20+273.15,"P",101325,"Water")</f>
        <v>244220.4802808761</v>
      </c>
      <c r="U20" cm="1">
        <f t="array" ref="U20">[1]!PropsSI("H","T",K20+273.15,"P",101325,"Water")</f>
        <v>223977.13245192094</v>
      </c>
      <c r="V20">
        <f t="shared" si="2"/>
        <v>440.60419330613007</v>
      </c>
      <c r="X20">
        <f t="shared" si="3"/>
        <v>0.26664091000000001</v>
      </c>
      <c r="Y20">
        <f t="shared" si="3"/>
        <v>0.25696274600000002</v>
      </c>
      <c r="Z20">
        <f t="shared" si="9"/>
        <v>0.37030693717170443</v>
      </c>
      <c r="AA20">
        <f t="shared" si="8"/>
        <v>4.8390820000000048</v>
      </c>
      <c r="AB20">
        <f t="shared" si="5"/>
        <v>7.7174834190224445E-2</v>
      </c>
      <c r="AC20">
        <f t="shared" si="6"/>
        <v>34.003555561918191</v>
      </c>
    </row>
    <row r="21" spans="1:29" x14ac:dyDescent="0.2">
      <c r="A21" s="4">
        <v>46137.03251488426</v>
      </c>
      <c r="B21">
        <v>17.85473</v>
      </c>
      <c r="C21">
        <v>17.994409000000001</v>
      </c>
      <c r="D21">
        <v>19.091926999999998</v>
      </c>
      <c r="E21">
        <v>19.454481999999999</v>
      </c>
      <c r="F21">
        <v>39.214697999999999</v>
      </c>
      <c r="G21">
        <v>38.534014999999997</v>
      </c>
      <c r="H21">
        <v>34.195751000000001</v>
      </c>
      <c r="I21">
        <v>31.05134</v>
      </c>
      <c r="J21">
        <v>58.330489</v>
      </c>
      <c r="K21">
        <v>53.498232999999999</v>
      </c>
      <c r="L21">
        <v>53.495539999999998</v>
      </c>
      <c r="M21">
        <v>-622.48775599999999</v>
      </c>
      <c r="N21">
        <v>1.329712</v>
      </c>
      <c r="O21">
        <v>2.4136920000000002</v>
      </c>
      <c r="P21">
        <f t="shared" si="0"/>
        <v>2.2161866666666669E-5</v>
      </c>
      <c r="Q21" cm="1">
        <f t="array" ref="Q21">[1]!PropsSI("D","T",J21+273.15,"P",101325,"Water")</f>
        <v>984.04644568275353</v>
      </c>
      <c r="R21" cm="1">
        <f t="array" ref="R21">[1]!PropsSI("D","T",K21+273.15,"P",101325,"Water")</f>
        <v>986.41319519020158</v>
      </c>
      <c r="S21">
        <f t="shared" si="1"/>
        <v>985.22982043647755</v>
      </c>
      <c r="T21" cm="1">
        <f t="array" ref="T21">[1]!PropsSI("H","T",J21+273.15,"P",101325,"Water")</f>
        <v>244262.46497463432</v>
      </c>
      <c r="U21" cm="1">
        <f t="array" ref="U21">[1]!PropsSI("H","T",K21+273.15,"P",101325,"Water")</f>
        <v>224047.64818219183</v>
      </c>
      <c r="V21">
        <f t="shared" si="2"/>
        <v>441.38106244153693</v>
      </c>
      <c r="X21">
        <f t="shared" si="3"/>
        <v>0.26666097799999999</v>
      </c>
      <c r="Y21">
        <f t="shared" si="3"/>
        <v>0.25699646599999998</v>
      </c>
      <c r="Z21">
        <f t="shared" si="9"/>
        <v>0.37034478627949607</v>
      </c>
      <c r="AA21">
        <f t="shared" si="8"/>
        <v>4.832256000000001</v>
      </c>
      <c r="AB21">
        <f t="shared" si="5"/>
        <v>7.7289788290564446E-2</v>
      </c>
      <c r="AC21">
        <f t="shared" si="6"/>
        <v>34.114248871570794</v>
      </c>
    </row>
    <row r="22" spans="1:29" x14ac:dyDescent="0.2">
      <c r="A22" s="4">
        <v>46137.032550185184</v>
      </c>
      <c r="B22">
        <v>17.810186999999999</v>
      </c>
      <c r="C22">
        <v>17.881831999999999</v>
      </c>
      <c r="D22">
        <v>19.095531000000001</v>
      </c>
      <c r="E22">
        <v>19.462713999999998</v>
      </c>
      <c r="F22">
        <v>39.467492999999997</v>
      </c>
      <c r="G22">
        <v>37.676189000000001</v>
      </c>
      <c r="H22">
        <v>33.988050999999999</v>
      </c>
      <c r="I22">
        <v>30.806069999999998</v>
      </c>
      <c r="J22">
        <v>58.340842000000002</v>
      </c>
      <c r="K22">
        <v>53.505549000000002</v>
      </c>
      <c r="L22">
        <v>71.108127999999994</v>
      </c>
      <c r="M22">
        <v>-622.48530700000003</v>
      </c>
      <c r="N22">
        <v>1.333974</v>
      </c>
      <c r="O22">
        <v>2.6755870000000002</v>
      </c>
      <c r="P22">
        <f t="shared" si="0"/>
        <v>2.2232899999999999E-5</v>
      </c>
      <c r="Q22" cm="1">
        <f t="array" ref="Q22">[1]!PropsSI("D","T",J22+273.15,"P",101325,"Water")</f>
        <v>984.04122206213879</v>
      </c>
      <c r="R22" cm="1">
        <f t="array" ref="R22">[1]!PropsSI("D","T",K22+273.15,"P",101325,"Water")</f>
        <v>986.40972141277666</v>
      </c>
      <c r="S22">
        <f t="shared" si="1"/>
        <v>985.22547173745772</v>
      </c>
      <c r="T22" cm="1">
        <f t="array" ref="T22">[1]!PropsSI("H","T",J22+273.15,"P",101325,"Water")</f>
        <v>244305.78448540784</v>
      </c>
      <c r="U22" cm="1">
        <f t="array" ref="U22">[1]!PropsSI("H","T",K22+273.15,"P",101325,"Water")</f>
        <v>224078.24685288552</v>
      </c>
      <c r="V22">
        <f t="shared" si="2"/>
        <v>443.07246754174571</v>
      </c>
      <c r="X22">
        <f t="shared" si="3"/>
        <v>0.26668168400000003</v>
      </c>
      <c r="Y22">
        <f t="shared" si="3"/>
        <v>0.25701109799999999</v>
      </c>
      <c r="Z22">
        <f t="shared" si="9"/>
        <v>0.37036984903774428</v>
      </c>
      <c r="AA22">
        <f t="shared" si="8"/>
        <v>4.8352930000000001</v>
      </c>
      <c r="AB22">
        <f t="shared" si="5"/>
        <v>7.7247195906774743E-2</v>
      </c>
      <c r="AC22">
        <f t="shared" si="6"/>
        <v>34.226105701095321</v>
      </c>
    </row>
    <row r="23" spans="1:29" x14ac:dyDescent="0.2">
      <c r="A23" s="4">
        <v>46137.032584907407</v>
      </c>
      <c r="B23">
        <v>17.912140000000001</v>
      </c>
      <c r="C23">
        <v>17.997042</v>
      </c>
      <c r="D23">
        <v>19.168299999999999</v>
      </c>
      <c r="E23">
        <v>19.499468</v>
      </c>
      <c r="F23">
        <v>39.737085</v>
      </c>
      <c r="G23">
        <v>37.725036000000003</v>
      </c>
      <c r="H23">
        <v>34.133420999999998</v>
      </c>
      <c r="I23">
        <v>30.738315</v>
      </c>
      <c r="J23">
        <v>58.349283999999997</v>
      </c>
      <c r="K23">
        <v>53.499664000000003</v>
      </c>
      <c r="L23">
        <v>51.447479999999999</v>
      </c>
      <c r="M23">
        <v>-622.47102199999995</v>
      </c>
      <c r="N23">
        <v>1.3306830000000001</v>
      </c>
      <c r="O23">
        <v>2.9463530000000002</v>
      </c>
      <c r="P23">
        <f t="shared" si="0"/>
        <v>2.217805E-5</v>
      </c>
      <c r="Q23" cm="1">
        <f t="array" ref="Q23">[1]!PropsSI("D","T",J23+273.15,"P",101325,"Water")</f>
        <v>984.03696216316098</v>
      </c>
      <c r="R23" cm="1">
        <f t="array" ref="R23">[1]!PropsSI("D","T",K23+273.15,"P",101325,"Water")</f>
        <v>986.41251575045453</v>
      </c>
      <c r="S23">
        <f t="shared" si="1"/>
        <v>985.22473895680776</v>
      </c>
      <c r="T23" cm="1">
        <f t="array" ref="T23">[1]!PropsSI("H","T",J23+273.15,"P",101325,"Water")</f>
        <v>244341.10793252473</v>
      </c>
      <c r="U23" cm="1">
        <f t="array" ref="U23">[1]!PropsSI("H","T",K23+273.15,"P",101325,"Water")</f>
        <v>224053.63324061749</v>
      </c>
      <c r="V23">
        <f t="shared" si="2"/>
        <v>443.28869695791724</v>
      </c>
      <c r="X23">
        <f t="shared" si="3"/>
        <v>0.26669856800000002</v>
      </c>
      <c r="Y23">
        <f t="shared" si="3"/>
        <v>0.25699932800000003</v>
      </c>
      <c r="Z23">
        <f t="shared" si="9"/>
        <v>0.37037383920263889</v>
      </c>
      <c r="AA23">
        <f t="shared" si="8"/>
        <v>4.8496199999999945</v>
      </c>
      <c r="AB23">
        <f t="shared" si="5"/>
        <v>7.7023634016160261E-2</v>
      </c>
      <c r="AC23">
        <f t="shared" si="6"/>
        <v>34.143706357987192</v>
      </c>
    </row>
    <row r="24" spans="1:29" x14ac:dyDescent="0.2">
      <c r="A24" s="4">
        <v>46137.03261962963</v>
      </c>
      <c r="B24">
        <v>18.248441</v>
      </c>
      <c r="C24">
        <v>18.451543999999998</v>
      </c>
      <c r="D24">
        <v>19.225234</v>
      </c>
      <c r="E24">
        <v>19.472372</v>
      </c>
      <c r="F24">
        <v>39.513311999999999</v>
      </c>
      <c r="G24">
        <v>37.19896</v>
      </c>
      <c r="H24">
        <v>34.474153000000001</v>
      </c>
      <c r="I24">
        <v>31.390937999999998</v>
      </c>
      <c r="J24">
        <v>58.357087999999997</v>
      </c>
      <c r="K24">
        <v>53.505707999999998</v>
      </c>
      <c r="L24">
        <v>48.761083999999997</v>
      </c>
      <c r="M24">
        <v>-622.47836800000005</v>
      </c>
      <c r="N24">
        <v>1.343153</v>
      </c>
      <c r="O24">
        <v>2.9396939999999998</v>
      </c>
      <c r="P24">
        <f t="shared" si="0"/>
        <v>2.2385883333333335E-5</v>
      </c>
      <c r="Q24" cm="1">
        <f t="array" ref="Q24">[1]!PropsSI("D","T",J24+273.15,"P",101325,"Water")</f>
        <v>984.03302382352558</v>
      </c>
      <c r="R24" cm="1">
        <f t="array" ref="R24">[1]!PropsSI("D","T",K24+273.15,"P",101325,"Water")</f>
        <v>986.4096459128001</v>
      </c>
      <c r="S24">
        <f t="shared" si="1"/>
        <v>985.22133486816278</v>
      </c>
      <c r="T24" cm="1">
        <f t="array" ref="T24">[1]!PropsSI("H","T",J24+273.15,"P",101325,"Water")</f>
        <v>244373.76185361476</v>
      </c>
      <c r="U24" cm="1">
        <f t="array" ref="U24">[1]!PropsSI("H","T",K24+273.15,"P",101325,"Water")</f>
        <v>224078.91185970639</v>
      </c>
      <c r="V24">
        <f t="shared" si="2"/>
        <v>447.60392851422392</v>
      </c>
      <c r="X24">
        <f t="shared" si="3"/>
        <v>0.26671417600000003</v>
      </c>
      <c r="Y24">
        <f t="shared" si="3"/>
        <v>0.25701141599999999</v>
      </c>
      <c r="Z24">
        <f t="shared" si="9"/>
        <v>0.3703934659705595</v>
      </c>
      <c r="AA24">
        <f t="shared" si="8"/>
        <v>4.8513799999999989</v>
      </c>
      <c r="AB24">
        <f t="shared" si="5"/>
        <v>7.7000173550444834E-2</v>
      </c>
      <c r="AC24">
        <f t="shared" si="6"/>
        <v>34.465580177456147</v>
      </c>
    </row>
    <row r="25" spans="1:29" x14ac:dyDescent="0.2">
      <c r="A25" s="4">
        <v>46137.032654930554</v>
      </c>
      <c r="B25">
        <v>18.149142000000001</v>
      </c>
      <c r="C25">
        <v>18.235963999999999</v>
      </c>
      <c r="D25">
        <v>19.231028999999999</v>
      </c>
      <c r="E25">
        <v>19.496352999999999</v>
      </c>
      <c r="F25">
        <v>40.005769999999998</v>
      </c>
      <c r="G25">
        <v>38.431654999999999</v>
      </c>
      <c r="H25">
        <v>35.404535000000003</v>
      </c>
      <c r="I25">
        <v>31.172204000000001</v>
      </c>
      <c r="J25">
        <v>58.367122999999999</v>
      </c>
      <c r="K25">
        <v>53.515568999999999</v>
      </c>
      <c r="L25">
        <v>50.365901000000001</v>
      </c>
      <c r="M25">
        <v>-622.49550999999997</v>
      </c>
      <c r="N25">
        <v>1.3325640000000001</v>
      </c>
      <c r="O25">
        <v>2.8229600000000001</v>
      </c>
      <c r="P25">
        <f t="shared" si="0"/>
        <v>2.2209400000000001E-5</v>
      </c>
      <c r="Q25" cm="1">
        <f t="array" ref="Q25">[1]!PropsSI("D","T",J25+273.15,"P",101325,"Water")</f>
        <v>984.0279590581124</v>
      </c>
      <c r="R25" cm="1">
        <f t="array" ref="R25">[1]!PropsSI("D","T",K25+273.15,"P",101325,"Water")</f>
        <v>986.40496317636973</v>
      </c>
      <c r="S25">
        <f t="shared" si="1"/>
        <v>985.21646111724112</v>
      </c>
      <c r="T25" cm="1">
        <f t="array" ref="T25">[1]!PropsSI("H","T",J25+273.15,"P",101325,"Water")</f>
        <v>244415.75088312352</v>
      </c>
      <c r="U25" cm="1">
        <f t="array" ref="U25">[1]!PropsSI("H","T",K25+273.15,"P",101325,"Water")</f>
        <v>224120.15484843083</v>
      </c>
      <c r="V25">
        <f t="shared" si="2"/>
        <v>444.08928591457862</v>
      </c>
      <c r="X25">
        <f t="shared" si="3"/>
        <v>0.26673424600000001</v>
      </c>
      <c r="Y25">
        <f t="shared" si="3"/>
        <v>0.25703113799999999</v>
      </c>
      <c r="Z25">
        <f t="shared" si="9"/>
        <v>0.37042160289427445</v>
      </c>
      <c r="AA25">
        <f t="shared" si="8"/>
        <v>4.8515540000000001</v>
      </c>
      <c r="AB25">
        <f t="shared" si="5"/>
        <v>7.7003208986481539E-2</v>
      </c>
      <c r="AC25">
        <f t="shared" si="6"/>
        <v>34.196300091937651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9543-F884-5246-AC79-224D7445B7D6}">
  <dimension ref="A1:AC30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44675.029814076399</v>
      </c>
      <c r="B2">
        <v>19.594676</v>
      </c>
      <c r="C2">
        <v>19.385662</v>
      </c>
      <c r="D2">
        <v>19.972916999999999</v>
      </c>
      <c r="E2">
        <v>19.951622</v>
      </c>
      <c r="F2">
        <v>35.921939999999999</v>
      </c>
      <c r="G2">
        <v>35.749966000000001</v>
      </c>
      <c r="H2">
        <v>30.177510000000002</v>
      </c>
      <c r="I2">
        <v>29.122996000000001</v>
      </c>
      <c r="J2">
        <v>57.768293</v>
      </c>
      <c r="K2">
        <v>51.737085999999998</v>
      </c>
      <c r="L2">
        <v>103.63139700000001</v>
      </c>
      <c r="M2">
        <v>-622.50040799999999</v>
      </c>
      <c r="N2">
        <v>1.326897</v>
      </c>
      <c r="O2">
        <v>2.4793530000000001</v>
      </c>
      <c r="P2">
        <f t="shared" ref="P2:P25" si="0" xml:space="preserve"> N2*0.001/60</f>
        <v>2.2114950000000001E-5</v>
      </c>
      <c r="Q2" cm="1">
        <f t="array" ref="Q2">[1]!PropsSI("D","T",J2+273.15,"P",101325,"Water")</f>
        <v>984.32913476314206</v>
      </c>
      <c r="R2" cm="1">
        <f t="array" ref="R2">[1]!PropsSI("D","T",K2+273.15,"P",101325,"Water")</f>
        <v>987.23953561715734</v>
      </c>
      <c r="S2">
        <f t="shared" ref="S2:S25" si="1">(Q2+R2)/2</f>
        <v>985.7843351901497</v>
      </c>
      <c r="T2" cm="1">
        <f t="array" ref="T2">[1]!PropsSI("H","T",J2+273.15,"P",101325,"Water")</f>
        <v>241910.16380259191</v>
      </c>
      <c r="U2" cm="1">
        <f t="array" ref="U2">[1]!PropsSI("H","T",K2+273.15,"P",101325,"Water")</f>
        <v>216682.28426335202</v>
      </c>
      <c r="V2">
        <f t="shared" ref="V2:V25" si="2">S2*P2*(T2-U2)</f>
        <v>549.98218622708839</v>
      </c>
      <c r="W2" s="3">
        <f>AVERAGE(V2:V30)</f>
        <v>553.39542448876466</v>
      </c>
      <c r="X2">
        <f>(0.15+0.002*ABS(J2))</f>
        <v>0.26553658599999996</v>
      </c>
      <c r="Y2">
        <f>(0.15+0.002*ABS(K2))</f>
        <v>0.253474172</v>
      </c>
      <c r="Z2">
        <f>SQRT((X2)^2 + (Y2)^2)</f>
        <v>0.36709512987183712</v>
      </c>
      <c r="AA2">
        <f>J2-K2</f>
        <v>6.031207000000002</v>
      </c>
      <c r="AB2">
        <f>SQRT((0.01)^2 + (Z2/ABS(AA2))^2)</f>
        <v>6.1681955143024644E-2</v>
      </c>
      <c r="AC2">
        <f>ABS(V2*AB2)</f>
        <v>33.923976540321895</v>
      </c>
    </row>
    <row r="3" spans="1:29" x14ac:dyDescent="0.2">
      <c r="A3">
        <v>44675.029849377301</v>
      </c>
      <c r="B3">
        <v>19.351931</v>
      </c>
      <c r="C3">
        <v>19.381886999999999</v>
      </c>
      <c r="D3">
        <v>19.918834</v>
      </c>
      <c r="E3">
        <v>19.955310999999998</v>
      </c>
      <c r="F3">
        <v>35.986776999999996</v>
      </c>
      <c r="G3">
        <v>34.296523000000001</v>
      </c>
      <c r="H3">
        <v>31.439306999999999</v>
      </c>
      <c r="I3">
        <v>29.749957999999999</v>
      </c>
      <c r="J3">
        <v>57.773867000000003</v>
      </c>
      <c r="K3">
        <v>51.745033999999997</v>
      </c>
      <c r="L3">
        <v>101.227436</v>
      </c>
      <c r="M3">
        <v>-622.506122</v>
      </c>
      <c r="N3">
        <v>1.326651</v>
      </c>
      <c r="O3">
        <v>2.911292</v>
      </c>
      <c r="P3">
        <f t="shared" si="0"/>
        <v>2.2110850000000002E-5</v>
      </c>
      <c r="Q3" cm="1">
        <f t="array" ref="Q3">[1]!PropsSI("D","T",J3+273.15,"P",101325,"Water")</f>
        <v>984.32634133301246</v>
      </c>
      <c r="R3" cm="1">
        <f t="array" ref="R3">[1]!PropsSI("D","T",K3+273.15,"P",101325,"Water")</f>
        <v>987.23585088544019</v>
      </c>
      <c r="S3">
        <f t="shared" si="1"/>
        <v>985.78109610922638</v>
      </c>
      <c r="T3" cm="1">
        <f t="array" ref="T3">[1]!PropsSI("H","T",J3+273.15,"P",101325,"Water")</f>
        <v>241933.48551317878</v>
      </c>
      <c r="U3" cm="1">
        <f t="array" ref="U3">[1]!PropsSI("H","T",K3+273.15,"P",101325,"Water")</f>
        <v>216715.52168289421</v>
      </c>
      <c r="V3">
        <f t="shared" si="2"/>
        <v>549.66228818384752</v>
      </c>
      <c r="W3" s="3" t="s">
        <v>33</v>
      </c>
      <c r="X3">
        <f t="shared" ref="X3:Y25" si="3">(0.15+0.002*ABS(J3))</f>
        <v>0.26554773399999998</v>
      </c>
      <c r="Y3">
        <f t="shared" si="3"/>
        <v>0.25349006799999996</v>
      </c>
      <c r="Z3">
        <f t="shared" ref="Z3:Z7" si="4">SQRT((X3)^2 + (Y3)^2)</f>
        <v>0.36711416971724115</v>
      </c>
      <c r="AA3">
        <f>J3-K3</f>
        <v>6.0288330000000059</v>
      </c>
      <c r="AB3">
        <f t="shared" ref="AB3:AB25" si="5">SQRT((0.01)^2 + (Z3/ABS(AA3))^2)</f>
        <v>6.1708722030210016E-2</v>
      </c>
      <c r="AC3">
        <f t="shared" ref="AC3:AC25" si="6">ABS(V3*AB3)</f>
        <v>33.91895735202624</v>
      </c>
    </row>
    <row r="4" spans="1:29" x14ac:dyDescent="0.2">
      <c r="A4">
        <v>44675.029884099597</v>
      </c>
      <c r="B4">
        <v>19.509437999999999</v>
      </c>
      <c r="C4">
        <v>19.504299</v>
      </c>
      <c r="D4">
        <v>19.914667000000001</v>
      </c>
      <c r="E4">
        <v>19.947969000000001</v>
      </c>
      <c r="F4">
        <v>35.941043999999998</v>
      </c>
      <c r="G4">
        <v>34.248393</v>
      </c>
      <c r="H4">
        <v>30.964082000000001</v>
      </c>
      <c r="I4">
        <v>29.251021999999999</v>
      </c>
      <c r="J4">
        <v>57.781191999999997</v>
      </c>
      <c r="K4">
        <v>51.751550999999999</v>
      </c>
      <c r="L4">
        <v>109.9821</v>
      </c>
      <c r="M4">
        <v>-622.47061399999996</v>
      </c>
      <c r="N4">
        <v>1.3201069999999999</v>
      </c>
      <c r="O4">
        <v>2.446275</v>
      </c>
      <c r="P4">
        <f t="shared" si="0"/>
        <v>2.2001783333333333E-5</v>
      </c>
      <c r="Q4" cm="1">
        <f t="array" ref="Q4">[1]!PropsSI("D","T",J4+273.15,"P",101325,"Water")</f>
        <v>984.32267009782777</v>
      </c>
      <c r="R4" cm="1">
        <f t="array" ref="R4">[1]!PropsSI("D","T",K4+273.15,"P",101325,"Water")</f>
        <v>987.23282926922616</v>
      </c>
      <c r="S4">
        <f t="shared" si="1"/>
        <v>985.77774968352696</v>
      </c>
      <c r="T4" cm="1">
        <f t="array" ref="T4">[1]!PropsSI("H","T",J4+273.15,"P",101325,"Water")</f>
        <v>241964.13345652045</v>
      </c>
      <c r="U4" cm="1">
        <f t="array" ref="U4">[1]!PropsSI("H","T",K4+273.15,"P",101325,"Water")</f>
        <v>216742.77487610496</v>
      </c>
      <c r="V4">
        <f t="shared" si="2"/>
        <v>547.02272871781372</v>
      </c>
      <c r="W4" s="3">
        <f>SQRT((AVERAGE(AC2:AC30))^2 + (_xlfn.STDEV.S(V2:V30)/SQRT(COUNT(V2:V30)))^2)</f>
        <v>33.936094938497426</v>
      </c>
      <c r="X4">
        <f t="shared" si="3"/>
        <v>0.26556238399999998</v>
      </c>
      <c r="Y4">
        <f t="shared" si="3"/>
        <v>0.25350310199999998</v>
      </c>
      <c r="Z4">
        <f t="shared" si="4"/>
        <v>0.36713376652030505</v>
      </c>
      <c r="AA4">
        <f t="shared" ref="AA4:AA5" si="7">J4-K4</f>
        <v>6.029640999999998</v>
      </c>
      <c r="AB4">
        <f t="shared" si="5"/>
        <v>6.1703877054995103E-2</v>
      </c>
      <c r="AC4">
        <f t="shared" si="6"/>
        <v>33.75342319909192</v>
      </c>
    </row>
    <row r="5" spans="1:29" x14ac:dyDescent="0.2">
      <c r="A5">
        <v>44675.029919400498</v>
      </c>
      <c r="B5">
        <v>19.592015</v>
      </c>
      <c r="C5">
        <v>19.538264000000002</v>
      </c>
      <c r="D5">
        <v>19.859518000000001</v>
      </c>
      <c r="E5">
        <v>19.867187999999999</v>
      </c>
      <c r="F5">
        <v>35.749187999999997</v>
      </c>
      <c r="G5">
        <v>35.516494000000002</v>
      </c>
      <c r="H5">
        <v>31.411235999999999</v>
      </c>
      <c r="I5">
        <v>29.205497999999999</v>
      </c>
      <c r="J5">
        <v>57.784218000000003</v>
      </c>
      <c r="K5">
        <v>51.751232999999999</v>
      </c>
      <c r="L5">
        <v>108.906643</v>
      </c>
      <c r="M5">
        <v>-622.49632699999995</v>
      </c>
      <c r="N5">
        <v>1.31612</v>
      </c>
      <c r="O5">
        <v>2.6670479999999999</v>
      </c>
      <c r="P5">
        <f t="shared" si="0"/>
        <v>2.1935333333333333E-5</v>
      </c>
      <c r="Q5" cm="1">
        <f t="array" ref="Q5">[1]!PropsSI("D","T",J5+273.15,"P",101325,"Water")</f>
        <v>984.321153394764</v>
      </c>
      <c r="R5" cm="1">
        <f t="array" ref="R5">[1]!PropsSI("D","T",K5+273.15,"P",101325,"Water")</f>
        <v>987.23297671670605</v>
      </c>
      <c r="S5">
        <f t="shared" si="1"/>
        <v>985.77706505573497</v>
      </c>
      <c r="T5" cm="1">
        <f t="array" ref="T5">[1]!PropsSI("H","T",J5+273.15,"P",101325,"Water")</f>
        <v>241976.79430608652</v>
      </c>
      <c r="U5" cm="1">
        <f t="array" ref="U5">[1]!PropsSI("H","T",K5+273.15,"P",101325,"Water")</f>
        <v>216741.44504378471</v>
      </c>
      <c r="V5">
        <f t="shared" si="2"/>
        <v>545.67275198016193</v>
      </c>
      <c r="W5" s="3"/>
      <c r="X5">
        <f t="shared" si="3"/>
        <v>0.26556843600000002</v>
      </c>
      <c r="Y5">
        <f t="shared" si="3"/>
        <v>0.25350246599999998</v>
      </c>
      <c r="Z5">
        <f t="shared" si="4"/>
        <v>0.36713770504753013</v>
      </c>
      <c r="AA5">
        <f t="shared" si="7"/>
        <v>6.0329850000000036</v>
      </c>
      <c r="AB5">
        <f t="shared" si="5"/>
        <v>6.167121818638184E-2</v>
      </c>
      <c r="AC5">
        <f t="shared" si="6"/>
        <v>33.652303345731987</v>
      </c>
    </row>
    <row r="6" spans="1:29" x14ac:dyDescent="0.2">
      <c r="A6">
        <v>46137.029954120371</v>
      </c>
      <c r="B6">
        <v>19.620643000000001</v>
      </c>
      <c r="C6">
        <v>19.582744000000002</v>
      </c>
      <c r="D6">
        <v>19.868780999999998</v>
      </c>
      <c r="E6">
        <v>19.882331000000001</v>
      </c>
      <c r="F6">
        <v>36.001125000000002</v>
      </c>
      <c r="G6">
        <v>35.415846000000002</v>
      </c>
      <c r="H6">
        <v>31.307539999999999</v>
      </c>
      <c r="I6">
        <v>29.363807000000001</v>
      </c>
      <c r="J6">
        <v>57.789155000000001</v>
      </c>
      <c r="K6">
        <v>51.747736000000003</v>
      </c>
      <c r="L6">
        <v>106.90756</v>
      </c>
      <c r="M6">
        <v>-622.49142900000004</v>
      </c>
      <c r="N6">
        <v>1.330003</v>
      </c>
      <c r="O6">
        <v>2.8673989999999998</v>
      </c>
      <c r="P6">
        <f t="shared" si="0"/>
        <v>2.2166716666666669E-5</v>
      </c>
      <c r="Q6" cm="1">
        <f t="array" ref="Q6">[1]!PropsSI("D","T",J6+273.15,"P",101325,"Water")</f>
        <v>984.31867873450278</v>
      </c>
      <c r="R6" cm="1">
        <f t="array" ref="R6">[1]!PropsSI("D","T",K6+273.15,"P",101325,"Water")</f>
        <v>987.23459813248905</v>
      </c>
      <c r="S6">
        <f t="shared" si="1"/>
        <v>985.77663843349592</v>
      </c>
      <c r="T6" cm="1">
        <f t="array" ref="T6">[1]!PropsSI("H","T",J6+273.15,"P",101325,"Water")</f>
        <v>241997.45082899972</v>
      </c>
      <c r="U6" cm="1">
        <f t="array" ref="U6">[1]!PropsSI("H","T",K6+273.15,"P",101325,"Water")</f>
        <v>216726.82107179324</v>
      </c>
      <c r="V6">
        <f t="shared" si="2"/>
        <v>552.19943360479124</v>
      </c>
      <c r="W6" s="3"/>
      <c r="X6">
        <f t="shared" si="3"/>
        <v>0.26557830999999998</v>
      </c>
      <c r="Y6">
        <f t="shared" si="3"/>
        <v>0.253495472</v>
      </c>
      <c r="Z6">
        <f t="shared" si="4"/>
        <v>0.36714001834035864</v>
      </c>
      <c r="AA6">
        <f>J6-K6</f>
        <v>6.0414189999999977</v>
      </c>
      <c r="AB6">
        <f t="shared" si="5"/>
        <v>6.15877663675089E-2</v>
      </c>
      <c r="AC6">
        <f t="shared" si="6"/>
        <v>34.008729705122626</v>
      </c>
    </row>
    <row r="7" spans="1:29" x14ac:dyDescent="0.2">
      <c r="A7">
        <v>46137.029988842594</v>
      </c>
      <c r="B7">
        <v>19.580883</v>
      </c>
      <c r="C7">
        <v>19.468475999999999</v>
      </c>
      <c r="D7">
        <v>19.904378000000001</v>
      </c>
      <c r="E7">
        <v>19.903775</v>
      </c>
      <c r="F7">
        <v>36.017977999999999</v>
      </c>
      <c r="G7">
        <v>34.937252999999998</v>
      </c>
      <c r="H7">
        <v>30.692641999999999</v>
      </c>
      <c r="I7">
        <v>29.046275999999999</v>
      </c>
      <c r="J7">
        <v>57.790747000000003</v>
      </c>
      <c r="K7">
        <v>51.757274000000002</v>
      </c>
      <c r="L7">
        <v>97.821483999999998</v>
      </c>
      <c r="M7">
        <v>-622.49836700000003</v>
      </c>
      <c r="N7">
        <v>1.322959</v>
      </c>
      <c r="O7">
        <v>2.7603740000000001</v>
      </c>
      <c r="P7">
        <f t="shared" si="0"/>
        <v>2.2049316666666669E-5</v>
      </c>
      <c r="Q7" cm="1">
        <f t="array" ref="Q7">[1]!PropsSI("D","T",J7+273.15,"P",101325,"Water")</f>
        <v>984.31788071666961</v>
      </c>
      <c r="R7" cm="1">
        <f t="array" ref="R7">[1]!PropsSI("D","T",K7+273.15,"P",101325,"Water")</f>
        <v>987.23017556699403</v>
      </c>
      <c r="S7">
        <f t="shared" si="1"/>
        <v>985.77402814183188</v>
      </c>
      <c r="T7" cm="1">
        <f t="array" ref="T7">[1]!PropsSI("H","T",J7+273.15,"P",101325,"Water")</f>
        <v>242004.11179614792</v>
      </c>
      <c r="U7" cm="1">
        <f t="array" ref="U7">[1]!PropsSI("H","T",K7+273.15,"P",101325,"Water")</f>
        <v>216766.70768201299</v>
      </c>
      <c r="V7">
        <f t="shared" si="2"/>
        <v>548.55122394658622</v>
      </c>
      <c r="W7" s="3"/>
      <c r="X7">
        <f t="shared" si="3"/>
        <v>0.26558149399999997</v>
      </c>
      <c r="Y7">
        <f t="shared" si="3"/>
        <v>0.25351454800000001</v>
      </c>
      <c r="Z7">
        <f t="shared" si="4"/>
        <v>0.3671554929493992</v>
      </c>
      <c r="AA7">
        <f t="shared" ref="AA7:AA25" si="8">J7-K7</f>
        <v>6.0334730000000008</v>
      </c>
      <c r="AB7">
        <f t="shared" si="5"/>
        <v>6.1669270426251636E-2</v>
      </c>
      <c r="AC7">
        <f t="shared" si="6"/>
        <v>33.828753772213346</v>
      </c>
    </row>
    <row r="8" spans="1:29" x14ac:dyDescent="0.2">
      <c r="A8">
        <v>46137.030024143518</v>
      </c>
      <c r="B8">
        <v>19.165189000000002</v>
      </c>
      <c r="C8">
        <v>19.201834000000002</v>
      </c>
      <c r="D8">
        <v>19.896214000000001</v>
      </c>
      <c r="E8">
        <v>19.896384999999999</v>
      </c>
      <c r="F8">
        <v>35.557200999999999</v>
      </c>
      <c r="G8">
        <v>35.026623000000001</v>
      </c>
      <c r="H8">
        <v>31.160461000000002</v>
      </c>
      <c r="I8">
        <v>29.547470000000001</v>
      </c>
      <c r="J8">
        <v>57.797913000000001</v>
      </c>
      <c r="K8">
        <v>51.760612000000002</v>
      </c>
      <c r="L8">
        <v>93.726586999999995</v>
      </c>
      <c r="M8">
        <v>-622.48938799999996</v>
      </c>
      <c r="N8">
        <v>1.330028</v>
      </c>
      <c r="O8">
        <v>2.707662</v>
      </c>
      <c r="P8">
        <f t="shared" si="0"/>
        <v>2.2167133333333333E-5</v>
      </c>
      <c r="Q8" cm="1">
        <f t="array" ref="Q8">[1]!PropsSI("D","T",J8+273.15,"P",101325,"Water")</f>
        <v>984.3142884446487</v>
      </c>
      <c r="R8" cm="1">
        <f t="array" ref="R8">[1]!PropsSI("D","T",K8+273.15,"P",101325,"Water")</f>
        <v>987.22862767001311</v>
      </c>
      <c r="S8">
        <f t="shared" si="1"/>
        <v>985.77145805733085</v>
      </c>
      <c r="T8" cm="1">
        <f t="array" ref="T8">[1]!PropsSI("H","T",J8+273.15,"P",101325,"Water")</f>
        <v>242034.0945289878</v>
      </c>
      <c r="U8" cm="1">
        <f t="array" ref="U8">[1]!PropsSI("H","T",K8+273.15,"P",101325,"Water")</f>
        <v>216780.6667476742</v>
      </c>
      <c r="V8">
        <f t="shared" si="2"/>
        <v>551.83101845318913</v>
      </c>
      <c r="W8" s="3"/>
      <c r="X8">
        <f t="shared" si="3"/>
        <v>0.26559582599999998</v>
      </c>
      <c r="Y8">
        <f t="shared" si="3"/>
        <v>0.25352122399999999</v>
      </c>
      <c r="Z8">
        <f>SQRT((X8)^2 + (Y8)^2)</f>
        <v>0.36717046968278977</v>
      </c>
      <c r="AA8">
        <f t="shared" si="8"/>
        <v>6.0373009999999994</v>
      </c>
      <c r="AB8">
        <f t="shared" si="5"/>
        <v>6.1633644827489446E-2</v>
      </c>
      <c r="AC8">
        <f t="shared" si="6"/>
        <v>34.011356996135632</v>
      </c>
    </row>
    <row r="9" spans="1:29" x14ac:dyDescent="0.2">
      <c r="A9">
        <v>46137.030058865741</v>
      </c>
      <c r="B9">
        <v>19.202449000000001</v>
      </c>
      <c r="C9">
        <v>19.261006999999999</v>
      </c>
      <c r="D9">
        <v>19.869721999999999</v>
      </c>
      <c r="E9">
        <v>19.888318000000002</v>
      </c>
      <c r="F9">
        <v>35.751935000000003</v>
      </c>
      <c r="G9">
        <v>34.429465</v>
      </c>
      <c r="H9">
        <v>31.272082999999999</v>
      </c>
      <c r="I9">
        <v>29.115586</v>
      </c>
      <c r="J9">
        <v>57.804760999999999</v>
      </c>
      <c r="K9">
        <v>51.763790999999998</v>
      </c>
      <c r="L9">
        <v>100.793172</v>
      </c>
      <c r="M9">
        <v>-622.48816399999998</v>
      </c>
      <c r="N9">
        <v>1.329188</v>
      </c>
      <c r="O9">
        <v>2.7418330000000002</v>
      </c>
      <c r="P9">
        <f t="shared" si="0"/>
        <v>2.2153133333333333E-5</v>
      </c>
      <c r="Q9" cm="1">
        <f t="array" ref="Q9">[1]!PropsSI("D","T",J9+273.15,"P",101325,"Water")</f>
        <v>984.31085529455925</v>
      </c>
      <c r="R9" cm="1">
        <f t="array" ref="R9">[1]!PropsSI("D","T",K9+273.15,"P",101325,"Water")</f>
        <v>987.22715343786047</v>
      </c>
      <c r="S9">
        <f t="shared" si="1"/>
        <v>985.76900436620986</v>
      </c>
      <c r="T9" cm="1">
        <f t="array" ref="T9">[1]!PropsSI("H","T",J9+273.15,"P",101325,"Water")</f>
        <v>242062.74676084321</v>
      </c>
      <c r="U9" cm="1">
        <f t="array" ref="U9">[1]!PropsSI("H","T",K9+273.15,"P",101325,"Water")</f>
        <v>216793.96090003595</v>
      </c>
      <c r="V9">
        <f t="shared" si="2"/>
        <v>551.81651601447572</v>
      </c>
      <c r="W9" s="3"/>
      <c r="X9">
        <f t="shared" si="3"/>
        <v>0.26560952199999999</v>
      </c>
      <c r="Y9">
        <f t="shared" si="3"/>
        <v>0.25352758199999997</v>
      </c>
      <c r="Z9">
        <f t="shared" ref="Z9:Z25" si="9">SQRT((X9)^2 + (Y9)^2)</f>
        <v>0.36718476685700779</v>
      </c>
      <c r="AA9">
        <f t="shared" si="8"/>
        <v>6.0409700000000015</v>
      </c>
      <c r="AB9">
        <f t="shared" si="5"/>
        <v>6.1599532483221857E-2</v>
      </c>
      <c r="AC9">
        <f t="shared" si="6"/>
        <v>33.991639403012009</v>
      </c>
    </row>
    <row r="10" spans="1:29" x14ac:dyDescent="0.2">
      <c r="A10">
        <v>44675.0300935903</v>
      </c>
      <c r="B10">
        <v>19.161166000000001</v>
      </c>
      <c r="C10">
        <v>19.284884000000002</v>
      </c>
      <c r="D10">
        <v>19.847394999999999</v>
      </c>
      <c r="E10">
        <v>19.868518000000002</v>
      </c>
      <c r="F10">
        <v>35.413637000000001</v>
      </c>
      <c r="G10">
        <v>34.504581000000002</v>
      </c>
      <c r="H10">
        <v>31.418462999999999</v>
      </c>
      <c r="I10">
        <v>28.643333999999999</v>
      </c>
      <c r="J10">
        <v>57.81559</v>
      </c>
      <c r="K10">
        <v>51.766494000000002</v>
      </c>
      <c r="L10">
        <v>93.855968000000004</v>
      </c>
      <c r="M10">
        <v>-622.49469399999998</v>
      </c>
      <c r="N10">
        <v>1.3257620000000001</v>
      </c>
      <c r="O10">
        <v>2.7450739999999998</v>
      </c>
      <c r="P10">
        <f t="shared" si="0"/>
        <v>2.2096033333333333E-5</v>
      </c>
      <c r="Q10" cm="1">
        <f t="array" ref="Q10">[1]!PropsSI("D","T",J10+273.15,"P",101325,"Water")</f>
        <v>984.30542574774324</v>
      </c>
      <c r="R10" cm="1">
        <f t="array" ref="R10">[1]!PropsSI("D","T",K10+273.15,"P",101325,"Water")</f>
        <v>987.22589989526671</v>
      </c>
      <c r="S10">
        <f t="shared" si="1"/>
        <v>985.76566282150497</v>
      </c>
      <c r="T10" cm="1">
        <f t="array" ref="T10">[1]!PropsSI("H","T",J10+273.15,"P",101325,"Water")</f>
        <v>242108.05565160312</v>
      </c>
      <c r="U10" cm="1">
        <f t="array" ref="U10">[1]!PropsSI("H","T",K10+273.15,"P",101325,"Water")</f>
        <v>216805.26448660277</v>
      </c>
      <c r="V10">
        <f t="shared" si="2"/>
        <v>551.13302268835605</v>
      </c>
      <c r="X10">
        <f t="shared" si="3"/>
        <v>0.26563117999999997</v>
      </c>
      <c r="Y10">
        <f t="shared" si="3"/>
        <v>0.25353298800000001</v>
      </c>
      <c r="Z10">
        <f t="shared" si="9"/>
        <v>0.3672041663603513</v>
      </c>
      <c r="AA10">
        <f t="shared" si="8"/>
        <v>6.0490959999999987</v>
      </c>
      <c r="AB10">
        <f t="shared" si="5"/>
        <v>6.1522129843279524E-2</v>
      </c>
      <c r="AC10">
        <f t="shared" si="6"/>
        <v>33.906877382752164</v>
      </c>
    </row>
    <row r="11" spans="1:29" x14ac:dyDescent="0.2">
      <c r="A11">
        <v>44675.030128891201</v>
      </c>
      <c r="B11">
        <v>19.269030000000001</v>
      </c>
      <c r="C11">
        <v>19.29954</v>
      </c>
      <c r="D11">
        <v>19.878250999999999</v>
      </c>
      <c r="E11">
        <v>19.865736999999999</v>
      </c>
      <c r="F11">
        <v>35.570224000000003</v>
      </c>
      <c r="G11">
        <v>34.503649000000003</v>
      </c>
      <c r="H11">
        <v>30.427910000000001</v>
      </c>
      <c r="I11">
        <v>28.401071000000002</v>
      </c>
      <c r="J11">
        <v>57.824666999999998</v>
      </c>
      <c r="K11">
        <v>51.767128999999997</v>
      </c>
      <c r="L11">
        <v>97.755364999999998</v>
      </c>
      <c r="M11">
        <v>-622.51306099999999</v>
      </c>
      <c r="N11">
        <v>1.335334</v>
      </c>
      <c r="O11">
        <v>2.363572</v>
      </c>
      <c r="P11">
        <f t="shared" si="0"/>
        <v>2.2255566666666667E-5</v>
      </c>
      <c r="Q11" cm="1">
        <f t="array" ref="Q11">[1]!PropsSI("D","T",J11+273.15,"P",101325,"Water")</f>
        <v>984.30087409034707</v>
      </c>
      <c r="R11" cm="1">
        <f t="array" ref="R11">[1]!PropsSI("D","T",K11+273.15,"P",101325,"Water")</f>
        <v>987.22560540103439</v>
      </c>
      <c r="S11">
        <f t="shared" si="1"/>
        <v>985.76323974569073</v>
      </c>
      <c r="T11" cm="1">
        <f t="array" ref="T11">[1]!PropsSI("H","T",J11+273.15,"P",101325,"Water")</f>
        <v>242146.03415341486</v>
      </c>
      <c r="U11" cm="1">
        <f t="array" ref="U11">[1]!PropsSI("H","T",K11+273.15,"P",101325,"Water")</f>
        <v>216807.91997251543</v>
      </c>
      <c r="V11">
        <f t="shared" si="2"/>
        <v>555.88577966636501</v>
      </c>
      <c r="X11">
        <f t="shared" si="3"/>
        <v>0.26564933400000001</v>
      </c>
      <c r="Y11">
        <f t="shared" si="3"/>
        <v>0.25353425799999996</v>
      </c>
      <c r="Z11">
        <f t="shared" si="9"/>
        <v>0.36721817579506344</v>
      </c>
      <c r="AA11">
        <f t="shared" si="8"/>
        <v>6.057538000000001</v>
      </c>
      <c r="AB11">
        <f t="shared" si="5"/>
        <v>6.1440939105319337E-2</v>
      </c>
      <c r="AC11">
        <f t="shared" si="6"/>
        <v>34.154144337994097</v>
      </c>
    </row>
    <row r="12" spans="1:29" x14ac:dyDescent="0.2">
      <c r="A12">
        <v>44675.030163613497</v>
      </c>
      <c r="B12">
        <v>19.391306</v>
      </c>
      <c r="C12">
        <v>19.373598999999999</v>
      </c>
      <c r="D12">
        <v>19.874950999999999</v>
      </c>
      <c r="E12">
        <v>19.881315000000001</v>
      </c>
      <c r="F12">
        <v>35.738489999999999</v>
      </c>
      <c r="G12">
        <v>35.084865000000001</v>
      </c>
      <c r="H12">
        <v>31.699117000000001</v>
      </c>
      <c r="I12">
        <v>28.785473</v>
      </c>
      <c r="J12">
        <v>57.832948000000002</v>
      </c>
      <c r="K12">
        <v>51.77619</v>
      </c>
      <c r="L12">
        <v>102.51349399999999</v>
      </c>
      <c r="M12">
        <v>-622.474287</v>
      </c>
      <c r="N12">
        <v>1.3270649999999999</v>
      </c>
      <c r="O12">
        <v>2.7216019999999999</v>
      </c>
      <c r="P12">
        <f t="shared" si="0"/>
        <v>2.2117749999999997E-5</v>
      </c>
      <c r="Q12" cm="1">
        <f t="array" ref="Q12">[1]!PropsSI("D","T",J12+273.15,"P",101325,"Water")</f>
        <v>984.29672115325843</v>
      </c>
      <c r="R12" cm="1">
        <f t="array" ref="R12">[1]!PropsSI("D","T",K12+273.15,"P",101325,"Water")</f>
        <v>987.22140289431502</v>
      </c>
      <c r="S12">
        <f t="shared" si="1"/>
        <v>985.75906202378678</v>
      </c>
      <c r="T12" cm="1">
        <f t="array" ref="T12">[1]!PropsSI("H","T",J12+273.15,"P",101325,"Water")</f>
        <v>242180.68219107398</v>
      </c>
      <c r="U12" cm="1">
        <f t="array" ref="U12">[1]!PropsSI("H","T",K12+273.15,"P",101325,"Water")</f>
        <v>216845.81188799345</v>
      </c>
      <c r="V12">
        <f t="shared" si="2"/>
        <v>552.37041338500251</v>
      </c>
      <c r="X12">
        <f t="shared" si="3"/>
        <v>0.26566589600000001</v>
      </c>
      <c r="Y12">
        <f t="shared" si="3"/>
        <v>0.25355238000000002</v>
      </c>
      <c r="Z12">
        <f t="shared" si="9"/>
        <v>0.36724266868263988</v>
      </c>
      <c r="AA12">
        <f t="shared" si="8"/>
        <v>6.0567580000000021</v>
      </c>
      <c r="AB12">
        <f t="shared" si="5"/>
        <v>6.1452631978662783E-2</v>
      </c>
      <c r="AC12">
        <f t="shared" si="6"/>
        <v>33.944615729650387</v>
      </c>
    </row>
    <row r="13" spans="1:29" x14ac:dyDescent="0.2">
      <c r="A13">
        <v>44675.030198335699</v>
      </c>
      <c r="B13">
        <v>19.428608000000001</v>
      </c>
      <c r="C13">
        <v>19.382383999999998</v>
      </c>
      <c r="D13">
        <v>19.856169000000001</v>
      </c>
      <c r="E13">
        <v>19.871456999999999</v>
      </c>
      <c r="F13">
        <v>35.806339000000001</v>
      </c>
      <c r="G13">
        <v>35.696027000000001</v>
      </c>
      <c r="H13">
        <v>31.207422999999999</v>
      </c>
      <c r="I13">
        <v>28.533930999999999</v>
      </c>
      <c r="J13">
        <v>57.836770000000001</v>
      </c>
      <c r="K13">
        <v>51.780163999999999</v>
      </c>
      <c r="L13">
        <v>103.36773700000001</v>
      </c>
      <c r="M13">
        <v>-622.48489900000004</v>
      </c>
      <c r="N13">
        <v>1.336781</v>
      </c>
      <c r="O13">
        <v>2.7458740000000001</v>
      </c>
      <c r="P13">
        <f t="shared" si="0"/>
        <v>2.2279683333333333E-5</v>
      </c>
      <c r="Q13" cm="1">
        <f t="array" ref="Q13">[1]!PropsSI("D","T",J13+273.15,"P",101325,"Water")</f>
        <v>984.29480427355509</v>
      </c>
      <c r="R13" cm="1">
        <f t="array" ref="R13">[1]!PropsSI("D","T",K13+273.15,"P",101325,"Water")</f>
        <v>987.21955958006401</v>
      </c>
      <c r="S13">
        <f t="shared" si="1"/>
        <v>985.75718192680961</v>
      </c>
      <c r="T13" cm="1">
        <f t="array" ref="T13">[1]!PropsSI("H","T",J13+273.15,"P",101325,"Water")</f>
        <v>242196.67360240885</v>
      </c>
      <c r="U13" cm="1">
        <f t="array" ref="U13">[1]!PropsSI("H","T",K13+273.15,"P",101325,"Water")</f>
        <v>216862.43064369692</v>
      </c>
      <c r="V13">
        <f t="shared" si="2"/>
        <v>556.39970989258586</v>
      </c>
      <c r="X13">
        <f t="shared" si="3"/>
        <v>0.26567353999999999</v>
      </c>
      <c r="Y13">
        <f t="shared" si="3"/>
        <v>0.253560328</v>
      </c>
      <c r="Z13">
        <f t="shared" si="9"/>
        <v>0.36725368587884749</v>
      </c>
      <c r="AA13">
        <f t="shared" si="8"/>
        <v>6.0566060000000022</v>
      </c>
      <c r="AB13">
        <f t="shared" si="5"/>
        <v>6.1455928184355191E-2</v>
      </c>
      <c r="AC13">
        <f t="shared" si="6"/>
        <v>34.194060612954821</v>
      </c>
    </row>
    <row r="14" spans="1:29" x14ac:dyDescent="0.2">
      <c r="A14">
        <v>44675.0302336366</v>
      </c>
      <c r="B14">
        <v>19.478439999999999</v>
      </c>
      <c r="C14">
        <v>19.250001999999999</v>
      </c>
      <c r="D14">
        <v>19.867754000000001</v>
      </c>
      <c r="E14">
        <v>19.885911</v>
      </c>
      <c r="F14">
        <v>36.187202999999997</v>
      </c>
      <c r="G14">
        <v>35.544857999999998</v>
      </c>
      <c r="H14">
        <v>31.838201999999999</v>
      </c>
      <c r="I14">
        <v>28.614497</v>
      </c>
      <c r="J14">
        <v>57.846007</v>
      </c>
      <c r="K14">
        <v>51.785251000000002</v>
      </c>
      <c r="L14">
        <v>106.68838700000001</v>
      </c>
      <c r="M14">
        <v>-622.47387900000001</v>
      </c>
      <c r="N14">
        <v>1.323143</v>
      </c>
      <c r="O14">
        <v>2.3868529999999999</v>
      </c>
      <c r="P14">
        <f t="shared" si="0"/>
        <v>2.2052383333333332E-5</v>
      </c>
      <c r="Q14" cm="1">
        <f t="array" ref="Q14">[1]!PropsSI("D","T",J14+273.15,"P",101325,"Water")</f>
        <v>984.29017119977607</v>
      </c>
      <c r="R14" cm="1">
        <f t="array" ref="R14">[1]!PropsSI("D","T",K14+273.15,"P",101325,"Water")</f>
        <v>987.21719985981883</v>
      </c>
      <c r="S14">
        <f t="shared" si="1"/>
        <v>985.75368552979739</v>
      </c>
      <c r="T14" cm="1">
        <f t="array" ref="T14">[1]!PropsSI("H","T",J14+273.15,"P",101325,"Water")</f>
        <v>242235.32162953657</v>
      </c>
      <c r="U14" cm="1">
        <f t="array" ref="U14">[1]!PropsSI("H","T",K14+273.15,"P",101325,"Water")</f>
        <v>216883.70382911799</v>
      </c>
      <c r="V14">
        <f t="shared" si="2"/>
        <v>551.09899808808757</v>
      </c>
      <c r="X14">
        <f t="shared" si="3"/>
        <v>0.26569201399999998</v>
      </c>
      <c r="Y14">
        <f t="shared" si="3"/>
        <v>0.25357050199999998</v>
      </c>
      <c r="Z14">
        <f t="shared" si="9"/>
        <v>0.36727407448376775</v>
      </c>
      <c r="AA14">
        <f t="shared" si="8"/>
        <v>6.0607559999999978</v>
      </c>
      <c r="AB14">
        <f t="shared" si="5"/>
        <v>6.1418280980608357E-2</v>
      </c>
      <c r="AC14">
        <f t="shared" si="6"/>
        <v>33.84755311270591</v>
      </c>
    </row>
    <row r="15" spans="1:29" x14ac:dyDescent="0.2">
      <c r="A15">
        <v>46137.030268935188</v>
      </c>
      <c r="B15">
        <v>19.473117999999999</v>
      </c>
      <c r="C15">
        <v>19.331965</v>
      </c>
      <c r="D15">
        <v>19.840392000000001</v>
      </c>
      <c r="E15">
        <v>19.872617999999999</v>
      </c>
      <c r="F15">
        <v>35.882677000000001</v>
      </c>
      <c r="G15">
        <v>32.852697999999997</v>
      </c>
      <c r="H15">
        <v>31.172416999999999</v>
      </c>
      <c r="I15">
        <v>28.930897000000002</v>
      </c>
      <c r="J15">
        <v>57.852058999999997</v>
      </c>
      <c r="K15">
        <v>51.794629999999998</v>
      </c>
      <c r="L15">
        <v>95.284468000000004</v>
      </c>
      <c r="M15">
        <v>-622.48530700000003</v>
      </c>
      <c r="N15">
        <v>1.3351580000000001</v>
      </c>
      <c r="O15">
        <v>2.979533</v>
      </c>
      <c r="P15">
        <f t="shared" si="0"/>
        <v>2.2252633333333334E-5</v>
      </c>
      <c r="Q15" cm="1">
        <f t="array" ref="Q15">[1]!PropsSI("D","T",J15+273.15,"P",101325,"Water")</f>
        <v>984.28713537216152</v>
      </c>
      <c r="R15" cm="1">
        <f t="array" ref="R15">[1]!PropsSI("D","T",K15+273.15,"P",101325,"Water")</f>
        <v>987.21284876205698</v>
      </c>
      <c r="S15">
        <f t="shared" si="1"/>
        <v>985.74999206710925</v>
      </c>
      <c r="T15" cm="1">
        <f t="array" ref="T15">[1]!PropsSI("H","T",J15+273.15,"P",101325,"Water")</f>
        <v>242260.64349088966</v>
      </c>
      <c r="U15" cm="1">
        <f t="array" ref="U15">[1]!PropsSI("H","T",K15+273.15,"P",101325,"Water")</f>
        <v>216922.92563240393</v>
      </c>
      <c r="V15">
        <f t="shared" si="2"/>
        <v>555.79634956915686</v>
      </c>
      <c r="X15">
        <f t="shared" si="3"/>
        <v>0.26570411799999999</v>
      </c>
      <c r="Y15">
        <f t="shared" si="3"/>
        <v>0.25358925999999998</v>
      </c>
      <c r="Z15">
        <f t="shared" si="9"/>
        <v>0.36729578150246367</v>
      </c>
      <c r="AA15">
        <f t="shared" si="8"/>
        <v>6.0574289999999991</v>
      </c>
      <c r="AB15">
        <f t="shared" si="5"/>
        <v>6.1454656282004465E-2</v>
      </c>
      <c r="AC15">
        <f t="shared" si="6"/>
        <v>34.156273625565333</v>
      </c>
    </row>
    <row r="16" spans="1:29" x14ac:dyDescent="0.2">
      <c r="A16">
        <v>46137.030303657404</v>
      </c>
      <c r="B16">
        <v>19.487673000000001</v>
      </c>
      <c r="C16">
        <v>19.286615999999999</v>
      </c>
      <c r="D16">
        <v>19.859309</v>
      </c>
      <c r="E16">
        <v>19.866063</v>
      </c>
      <c r="F16">
        <v>36.043008</v>
      </c>
      <c r="G16">
        <v>35.677083000000003</v>
      </c>
      <c r="H16">
        <v>31.275300999999999</v>
      </c>
      <c r="I16">
        <v>29.672239000000001</v>
      </c>
      <c r="J16">
        <v>57.858905999999998</v>
      </c>
      <c r="K16">
        <v>51.800671000000001</v>
      </c>
      <c r="L16">
        <v>103.19999</v>
      </c>
      <c r="M16">
        <v>-622.51591800000006</v>
      </c>
      <c r="N16">
        <v>1.3297779999999999</v>
      </c>
      <c r="O16">
        <v>2.792144</v>
      </c>
      <c r="P16">
        <f t="shared" si="0"/>
        <v>2.2162966666666668E-5</v>
      </c>
      <c r="Q16" cm="1">
        <f t="array" ref="Q16">[1]!PropsSI("D","T",J16+273.15,"P",101325,"Water")</f>
        <v>984.28370048729346</v>
      </c>
      <c r="R16" cm="1">
        <f t="array" ref="R16">[1]!PropsSI("D","T",K16+273.15,"P",101325,"Water")</f>
        <v>987.21004592707504</v>
      </c>
      <c r="S16">
        <f t="shared" si="1"/>
        <v>985.74687320718431</v>
      </c>
      <c r="T16" cm="1">
        <f t="array" ref="T16">[1]!PropsSI("H","T",J16+273.15,"P",101325,"Water")</f>
        <v>242289.29168859305</v>
      </c>
      <c r="U16" cm="1">
        <f t="array" ref="U16">[1]!PropsSI("H","T",K16+273.15,"P",101325,"Water")</f>
        <v>216948.18835234497</v>
      </c>
      <c r="V16">
        <f t="shared" si="2"/>
        <v>553.62898751791226</v>
      </c>
      <c r="X16">
        <f t="shared" si="3"/>
        <v>0.265717812</v>
      </c>
      <c r="Y16">
        <f t="shared" si="3"/>
        <v>0.25360134200000001</v>
      </c>
      <c r="Z16">
        <f t="shared" si="9"/>
        <v>0.36731402951462161</v>
      </c>
      <c r="AA16">
        <f t="shared" si="8"/>
        <v>6.0582349999999963</v>
      </c>
      <c r="AB16">
        <f t="shared" si="5"/>
        <v>6.1449668677455667E-2</v>
      </c>
      <c r="AC16">
        <f t="shared" si="6"/>
        <v>34.020317853210948</v>
      </c>
    </row>
    <row r="17" spans="1:29" x14ac:dyDescent="0.2">
      <c r="A17">
        <v>46137.030338958335</v>
      </c>
      <c r="B17">
        <v>19.447282999999999</v>
      </c>
      <c r="C17">
        <v>19.193470999999999</v>
      </c>
      <c r="D17">
        <v>19.85249</v>
      </c>
      <c r="E17">
        <v>19.866668000000001</v>
      </c>
      <c r="F17">
        <v>35.979250999999998</v>
      </c>
      <c r="G17">
        <v>35.944096000000002</v>
      </c>
      <c r="H17">
        <v>31.179945</v>
      </c>
      <c r="I17">
        <v>28.356328000000001</v>
      </c>
      <c r="J17">
        <v>57.864958000000001</v>
      </c>
      <c r="K17">
        <v>51.808777999999997</v>
      </c>
      <c r="L17">
        <v>107.473654</v>
      </c>
      <c r="M17">
        <v>-622.51224400000001</v>
      </c>
      <c r="N17">
        <v>1.3277939999999999</v>
      </c>
      <c r="O17">
        <v>2.8739189999999999</v>
      </c>
      <c r="P17">
        <f t="shared" si="0"/>
        <v>2.21299E-5</v>
      </c>
      <c r="Q17" cm="1">
        <f t="array" ref="Q17">[1]!PropsSI("D","T",J17+273.15,"P",101325,"Water")</f>
        <v>984.28066418893275</v>
      </c>
      <c r="R17" cm="1">
        <f t="array" ref="R17">[1]!PropsSI("D","T",K17+273.15,"P",101325,"Water")</f>
        <v>987.20628416419333</v>
      </c>
      <c r="S17">
        <f t="shared" si="1"/>
        <v>985.74347417656304</v>
      </c>
      <c r="T17" cm="1">
        <f t="array" ref="T17">[1]!PropsSI("H","T",J17+273.15,"P",101325,"Water")</f>
        <v>242314.61358155118</v>
      </c>
      <c r="U17" cm="1">
        <f t="array" ref="U17">[1]!PropsSI("H","T",K17+273.15,"P",101325,"Water")</f>
        <v>216982.09084840995</v>
      </c>
      <c r="V17">
        <f t="shared" si="2"/>
        <v>552.61389813873893</v>
      </c>
      <c r="X17">
        <f t="shared" si="3"/>
        <v>0.26572991600000001</v>
      </c>
      <c r="Y17">
        <f t="shared" si="3"/>
        <v>0.25361755600000002</v>
      </c>
      <c r="Z17">
        <f t="shared" si="9"/>
        <v>0.36733398014447316</v>
      </c>
      <c r="AA17">
        <f t="shared" si="8"/>
        <v>6.0561800000000048</v>
      </c>
      <c r="AB17">
        <f t="shared" si="5"/>
        <v>6.1473218224665088E-2</v>
      </c>
      <c r="AC17">
        <f t="shared" si="6"/>
        <v>33.970954754265541</v>
      </c>
    </row>
    <row r="18" spans="1:29" x14ac:dyDescent="0.2">
      <c r="A18">
        <v>46137.030373680558</v>
      </c>
      <c r="B18">
        <v>19.194538000000001</v>
      </c>
      <c r="C18">
        <v>18.920712999999999</v>
      </c>
      <c r="D18">
        <v>19.909435999999999</v>
      </c>
      <c r="E18">
        <v>19.872703000000001</v>
      </c>
      <c r="F18">
        <v>35.535572999999999</v>
      </c>
      <c r="G18">
        <v>33.500877000000003</v>
      </c>
      <c r="H18">
        <v>30.828855000000001</v>
      </c>
      <c r="I18">
        <v>28.817091999999999</v>
      </c>
      <c r="J18">
        <v>57.869736000000003</v>
      </c>
      <c r="K18">
        <v>51.815454000000003</v>
      </c>
      <c r="L18">
        <v>103.069385</v>
      </c>
      <c r="M18">
        <v>-622.49959200000001</v>
      </c>
      <c r="N18">
        <v>1.331024</v>
      </c>
      <c r="O18">
        <v>2.9577270000000002</v>
      </c>
      <c r="P18">
        <f t="shared" si="0"/>
        <v>2.2183733333333336E-5</v>
      </c>
      <c r="Q18" cm="1">
        <f t="array" ref="Q18">[1]!PropsSI("D","T",J18+273.15,"P",101325,"Water")</f>
        <v>984.27826690250254</v>
      </c>
      <c r="R18" cm="1">
        <f t="array" ref="R18">[1]!PropsSI("D","T",K18+273.15,"P",101325,"Water")</f>
        <v>987.20318608847595</v>
      </c>
      <c r="S18">
        <f t="shared" si="1"/>
        <v>985.7407264954893</v>
      </c>
      <c r="T18" cm="1">
        <f t="array" ref="T18">[1]!PropsSI("H","T",J18+273.15,"P",101325,"Water")</f>
        <v>242334.60500051163</v>
      </c>
      <c r="U18" cm="1">
        <f t="array" ref="U18">[1]!PropsSI("H","T",K18+273.15,"P",101325,"Water")</f>
        <v>217010.00909040376</v>
      </c>
      <c r="V18">
        <f t="shared" si="2"/>
        <v>553.78330696946853</v>
      </c>
      <c r="X18">
        <f t="shared" si="3"/>
        <v>0.26573947200000003</v>
      </c>
      <c r="Y18">
        <f t="shared" si="3"/>
        <v>0.25363090799999999</v>
      </c>
      <c r="Z18">
        <f t="shared" si="9"/>
        <v>0.36735011157170383</v>
      </c>
      <c r="AA18">
        <f t="shared" si="8"/>
        <v>6.0542820000000006</v>
      </c>
      <c r="AB18">
        <f t="shared" si="5"/>
        <v>6.149460900488618E-2</v>
      </c>
      <c r="AC18">
        <f t="shared" si="6"/>
        <v>34.054687935520327</v>
      </c>
    </row>
    <row r="19" spans="1:29" x14ac:dyDescent="0.2">
      <c r="A19">
        <v>46137.030408402781</v>
      </c>
      <c r="B19">
        <v>18.944904999999999</v>
      </c>
      <c r="C19">
        <v>18.806272</v>
      </c>
      <c r="D19">
        <v>19.867142999999999</v>
      </c>
      <c r="E19">
        <v>19.856809999999999</v>
      </c>
      <c r="F19">
        <v>35.834907999999999</v>
      </c>
      <c r="G19">
        <v>34.695112000000002</v>
      </c>
      <c r="H19">
        <v>31.312301999999999</v>
      </c>
      <c r="I19">
        <v>29.241053999999998</v>
      </c>
      <c r="J19">
        <v>57.873876000000003</v>
      </c>
      <c r="K19">
        <v>51.820858999999999</v>
      </c>
      <c r="L19">
        <v>99.944235000000006</v>
      </c>
      <c r="M19">
        <v>-622.50081599999999</v>
      </c>
      <c r="N19">
        <v>1.319947</v>
      </c>
      <c r="O19">
        <v>2.849151</v>
      </c>
      <c r="P19">
        <f t="shared" si="0"/>
        <v>2.1999116666666664E-5</v>
      </c>
      <c r="Q19" cm="1">
        <f t="array" ref="Q19">[1]!PropsSI("D","T",J19+273.15,"P",101325,"Water")</f>
        <v>984.27618961123596</v>
      </c>
      <c r="R19" cm="1">
        <f t="array" ref="R19">[1]!PropsSI("D","T",K19+273.15,"P",101325,"Water")</f>
        <v>987.20067762535427</v>
      </c>
      <c r="S19">
        <f t="shared" si="1"/>
        <v>985.73843361829518</v>
      </c>
      <c r="T19" cm="1">
        <f t="array" ref="T19">[1]!PropsSI("H","T",J19+273.15,"P",101325,"Water")</f>
        <v>242351.92699936181</v>
      </c>
      <c r="U19" cm="1">
        <f t="array" ref="U19">[1]!PropsSI("H","T",K19+273.15,"P",101325,"Water")</f>
        <v>217032.61217107711</v>
      </c>
      <c r="V19">
        <f t="shared" si="2"/>
        <v>549.05883183147728</v>
      </c>
      <c r="X19">
        <f t="shared" si="3"/>
        <v>0.265747752</v>
      </c>
      <c r="Y19">
        <f t="shared" si="3"/>
        <v>0.25364171800000002</v>
      </c>
      <c r="Z19">
        <f t="shared" si="9"/>
        <v>0.36736356488231797</v>
      </c>
      <c r="AA19">
        <f t="shared" si="8"/>
        <v>6.0530170000000041</v>
      </c>
      <c r="AB19">
        <f t="shared" si="5"/>
        <v>6.1509313757601991E-2</v>
      </c>
      <c r="AC19">
        <f t="shared" si="6"/>
        <v>33.772231958504761</v>
      </c>
    </row>
    <row r="20" spans="1:29" x14ac:dyDescent="0.2">
      <c r="A20">
        <v>46137.030443703705</v>
      </c>
      <c r="B20">
        <v>18.164603</v>
      </c>
      <c r="C20">
        <v>18.399536999999999</v>
      </c>
      <c r="D20">
        <v>19.657959000000002</v>
      </c>
      <c r="E20">
        <v>19.673445000000001</v>
      </c>
      <c r="F20">
        <v>35.459451999999999</v>
      </c>
      <c r="G20">
        <v>35.853907</v>
      </c>
      <c r="H20">
        <v>30.687588999999999</v>
      </c>
      <c r="I20">
        <v>29.456219000000001</v>
      </c>
      <c r="J20">
        <v>57.874513</v>
      </c>
      <c r="K20">
        <v>51.818156999999999</v>
      </c>
      <c r="L20">
        <v>108.94623300000001</v>
      </c>
      <c r="M20">
        <v>-622.51469299999997</v>
      </c>
      <c r="N20">
        <v>1.3277490000000001</v>
      </c>
      <c r="O20">
        <v>2.767109</v>
      </c>
      <c r="P20">
        <f t="shared" si="0"/>
        <v>2.2129150000000001E-5</v>
      </c>
      <c r="Q20" cm="1">
        <f t="array" ref="Q20">[1]!PropsSI("D","T",J20+273.15,"P",101325,"Water")</f>
        <v>984.27586998017409</v>
      </c>
      <c r="R20" cm="1">
        <f t="array" ref="R20">[1]!PropsSI("D","T",K20+273.15,"P",101325,"Water")</f>
        <v>987.20193164834245</v>
      </c>
      <c r="S20">
        <f t="shared" si="1"/>
        <v>985.73890081425827</v>
      </c>
      <c r="T20" cm="1">
        <f t="array" ref="T20">[1]!PropsSI("H","T",J20+273.15,"P",101325,"Water")</f>
        <v>242354.5922447748</v>
      </c>
      <c r="U20" cm="1">
        <f t="array" ref="U20">[1]!PropsSI("H","T",K20+273.15,"P",101325,"Water")</f>
        <v>217021.31272052508</v>
      </c>
      <c r="V20">
        <f t="shared" si="2"/>
        <v>552.60911415494172</v>
      </c>
      <c r="X20">
        <f t="shared" si="3"/>
        <v>0.265749026</v>
      </c>
      <c r="Y20">
        <f t="shared" si="3"/>
        <v>0.25363631399999997</v>
      </c>
      <c r="Z20">
        <f t="shared" si="9"/>
        <v>0.36736075538829033</v>
      </c>
      <c r="AA20">
        <f t="shared" si="8"/>
        <v>6.056356000000001</v>
      </c>
      <c r="AB20">
        <f t="shared" si="5"/>
        <v>6.1475841192545025E-2</v>
      </c>
      <c r="AC20">
        <f t="shared" si="6"/>
        <v>33.972110143342185</v>
      </c>
    </row>
    <row r="21" spans="1:29" x14ac:dyDescent="0.2">
      <c r="A21">
        <v>46137.030478425928</v>
      </c>
      <c r="B21">
        <v>17.808871</v>
      </c>
      <c r="C21">
        <v>18.086231000000002</v>
      </c>
      <c r="D21">
        <v>19.529461000000001</v>
      </c>
      <c r="E21">
        <v>19.638034000000001</v>
      </c>
      <c r="F21">
        <v>34.923442999999999</v>
      </c>
      <c r="G21">
        <v>35.163097</v>
      </c>
      <c r="H21">
        <v>31.600114999999999</v>
      </c>
      <c r="I21">
        <v>28.593819</v>
      </c>
      <c r="J21">
        <v>57.884546</v>
      </c>
      <c r="K21">
        <v>51.809731999999997</v>
      </c>
      <c r="L21">
        <v>109.15805899999999</v>
      </c>
      <c r="M21">
        <v>-622.48408199999994</v>
      </c>
      <c r="N21">
        <v>1.3264339999999999</v>
      </c>
      <c r="O21">
        <v>2.77969</v>
      </c>
      <c r="P21">
        <f t="shared" si="0"/>
        <v>2.2107233333333331E-5</v>
      </c>
      <c r="Q21" cm="1">
        <f t="array" ref="Q21">[1]!PropsSI("D","T",J21+273.15,"P",101325,"Water")</f>
        <v>984.27083534312931</v>
      </c>
      <c r="R21" cm="1">
        <f t="array" ref="R21">[1]!PropsSI("D","T",K21+273.15,"P",101325,"Water")</f>
        <v>987.20584146688645</v>
      </c>
      <c r="S21">
        <f t="shared" si="1"/>
        <v>985.73833840500788</v>
      </c>
      <c r="T21" cm="1">
        <f t="array" ref="T21">[1]!PropsSI("H","T",J21+273.15,"P",101325,"Water")</f>
        <v>242396.57092696187</v>
      </c>
      <c r="U21" cm="1">
        <f t="array" ref="U21">[1]!PropsSI("H","T",K21+273.15,"P",101325,"Water")</f>
        <v>216986.08036262935</v>
      </c>
      <c r="V21">
        <f t="shared" si="2"/>
        <v>553.74407512607149</v>
      </c>
      <c r="X21">
        <f t="shared" si="3"/>
        <v>0.26576909199999998</v>
      </c>
      <c r="Y21">
        <f t="shared" si="3"/>
        <v>0.25361946400000002</v>
      </c>
      <c r="Z21">
        <f t="shared" si="9"/>
        <v>0.36736363835054736</v>
      </c>
      <c r="AA21">
        <f t="shared" si="8"/>
        <v>6.0748140000000035</v>
      </c>
      <c r="AB21">
        <f t="shared" si="5"/>
        <v>6.1294468166233025E-2</v>
      </c>
      <c r="AC21">
        <f t="shared" si="6"/>
        <v>33.941448585055134</v>
      </c>
    </row>
    <row r="22" spans="1:29" x14ac:dyDescent="0.2">
      <c r="A22">
        <v>46137.030513148151</v>
      </c>
      <c r="B22">
        <v>17.727539</v>
      </c>
      <c r="C22">
        <v>17.889827</v>
      </c>
      <c r="D22">
        <v>19.542469000000001</v>
      </c>
      <c r="E22">
        <v>19.692813000000001</v>
      </c>
      <c r="F22">
        <v>35.151757000000003</v>
      </c>
      <c r="G22">
        <v>33.509799999999998</v>
      </c>
      <c r="H22">
        <v>31.296029000000001</v>
      </c>
      <c r="I22">
        <v>28.806882000000002</v>
      </c>
      <c r="J22">
        <v>57.890439000000001</v>
      </c>
      <c r="K22">
        <v>51.804009000000001</v>
      </c>
      <c r="L22">
        <v>108.69195999999999</v>
      </c>
      <c r="M22">
        <v>-622.47387900000001</v>
      </c>
      <c r="N22">
        <v>1.3261799999999999</v>
      </c>
      <c r="O22">
        <v>2.9341789999999999</v>
      </c>
      <c r="P22">
        <f t="shared" si="0"/>
        <v>2.2102999999999998E-5</v>
      </c>
      <c r="Q22" cm="1">
        <f t="array" ref="Q22">[1]!PropsSI("D","T",J22+273.15,"P",101325,"Water")</f>
        <v>984.26787790723301</v>
      </c>
      <c r="R22" cm="1">
        <f t="array" ref="R22">[1]!PropsSI("D","T",K22+273.15,"P",101325,"Water")</f>
        <v>987.20849709892138</v>
      </c>
      <c r="S22">
        <f t="shared" si="1"/>
        <v>985.73818750307714</v>
      </c>
      <c r="T22" cm="1">
        <f t="array" ref="T22">[1]!PropsSI("H","T",J22+273.15,"P",101325,"Water")</f>
        <v>242421.22761634985</v>
      </c>
      <c r="U22" cm="1">
        <f t="array" ref="U22">[1]!PropsSI("H","T",K22+273.15,"P",101325,"Water")</f>
        <v>216962.14746314278</v>
      </c>
      <c r="V22">
        <f t="shared" si="2"/>
        <v>554.69661228094253</v>
      </c>
      <c r="X22">
        <f t="shared" si="3"/>
        <v>0.265780878</v>
      </c>
      <c r="Y22">
        <f t="shared" si="3"/>
        <v>0.25360801799999999</v>
      </c>
      <c r="Z22">
        <f t="shared" si="9"/>
        <v>0.36736426323791921</v>
      </c>
      <c r="AA22">
        <f t="shared" si="8"/>
        <v>6.08643</v>
      </c>
      <c r="AB22">
        <f t="shared" si="5"/>
        <v>6.1180705043389988E-2</v>
      </c>
      <c r="AC22">
        <f t="shared" si="6"/>
        <v>33.936729824528001</v>
      </c>
    </row>
    <row r="23" spans="1:29" x14ac:dyDescent="0.2">
      <c r="A23">
        <v>46137.030547870374</v>
      </c>
      <c r="B23">
        <v>17.642921999999999</v>
      </c>
      <c r="C23">
        <v>17.871649999999999</v>
      </c>
      <c r="D23">
        <v>19.580586</v>
      </c>
      <c r="E23">
        <v>19.684840999999999</v>
      </c>
      <c r="F23">
        <v>34.699007000000002</v>
      </c>
      <c r="G23">
        <v>34.072848999999998</v>
      </c>
      <c r="H23">
        <v>30.366900000000001</v>
      </c>
      <c r="I23">
        <v>28.706748000000001</v>
      </c>
      <c r="J23">
        <v>57.894737999999997</v>
      </c>
      <c r="K23">
        <v>51.796855999999998</v>
      </c>
      <c r="L23">
        <v>89.295381000000006</v>
      </c>
      <c r="M23">
        <v>-622.51102000000003</v>
      </c>
      <c r="N23">
        <v>1.332978</v>
      </c>
      <c r="O23">
        <v>2.4864440000000001</v>
      </c>
      <c r="P23">
        <f t="shared" si="0"/>
        <v>2.2216300000000003E-5</v>
      </c>
      <c r="Q23" cm="1">
        <f t="array" ref="Q23">[1]!PropsSI("D","T",J23+273.15,"P",101325,"Water")</f>
        <v>984.26572029734621</v>
      </c>
      <c r="R23" cm="1">
        <f t="array" ref="R23">[1]!PropsSI("D","T",K23+273.15,"P",101325,"Water")</f>
        <v>987.21181599499005</v>
      </c>
      <c r="S23">
        <f t="shared" si="1"/>
        <v>985.73876814616813</v>
      </c>
      <c r="T23" cm="1">
        <f t="array" ref="T23">[1]!PropsSI("H","T",J23+273.15,"P",101325,"Water")</f>
        <v>242439.21491658787</v>
      </c>
      <c r="U23" cm="1">
        <f t="array" ref="U23">[1]!PropsSI("H","T",K23+273.15,"P",101325,"Water")</f>
        <v>216932.23448964753</v>
      </c>
      <c r="V23">
        <f t="shared" si="2"/>
        <v>558.58930660429166</v>
      </c>
      <c r="X23">
        <f t="shared" si="3"/>
        <v>0.26578947600000002</v>
      </c>
      <c r="Y23">
        <f t="shared" si="3"/>
        <v>0.25359371200000003</v>
      </c>
      <c r="Z23">
        <f t="shared" si="9"/>
        <v>0.36736060801111153</v>
      </c>
      <c r="AA23">
        <f t="shared" si="8"/>
        <v>6.0978819999999985</v>
      </c>
      <c r="AB23">
        <f t="shared" si="5"/>
        <v>6.1068287016317412E-2</v>
      </c>
      <c r="AC23">
        <f t="shared" si="6"/>
        <v>34.112092099956612</v>
      </c>
    </row>
    <row r="24" spans="1:29" x14ac:dyDescent="0.2">
      <c r="A24">
        <v>46137.030583171298</v>
      </c>
      <c r="B24">
        <v>17.703374</v>
      </c>
      <c r="C24">
        <v>17.855081999999999</v>
      </c>
      <c r="D24">
        <v>19.571998000000001</v>
      </c>
      <c r="E24">
        <v>19.674292999999999</v>
      </c>
      <c r="F24">
        <v>35.262960999999997</v>
      </c>
      <c r="G24">
        <v>34.141236999999997</v>
      </c>
      <c r="H24">
        <v>30.774646000000001</v>
      </c>
      <c r="I24">
        <v>29.225504999999998</v>
      </c>
      <c r="J24">
        <v>57.901268000000002</v>
      </c>
      <c r="K24">
        <v>51.791927999999999</v>
      </c>
      <c r="L24">
        <v>100.82214999999999</v>
      </c>
      <c r="M24">
        <v>-622.49183700000003</v>
      </c>
      <c r="N24">
        <v>1.30799</v>
      </c>
      <c r="O24">
        <v>2.4526919999999999</v>
      </c>
      <c r="P24">
        <f t="shared" si="0"/>
        <v>2.1799833333333334E-5</v>
      </c>
      <c r="Q24" cm="1">
        <f t="array" ref="Q24">[1]!PropsSI("D","T",J24+273.15,"P",101325,"Water")</f>
        <v>984.26244276562204</v>
      </c>
      <c r="R24" cm="1">
        <f t="array" ref="R24">[1]!PropsSI("D","T",K24+273.15,"P",101325,"Water")</f>
        <v>987.21410232958772</v>
      </c>
      <c r="S24">
        <f t="shared" si="1"/>
        <v>985.73827254760488</v>
      </c>
      <c r="T24" cm="1">
        <f t="array" ref="T24">[1]!PropsSI("H","T",J24+273.15,"P",101325,"Water")</f>
        <v>242466.53688257738</v>
      </c>
      <c r="U24" cm="1">
        <f t="array" ref="U24">[1]!PropsSI("H","T",K24+273.15,"P",101325,"Water")</f>
        <v>216911.62620403996</v>
      </c>
      <c r="V24">
        <f t="shared" si="2"/>
        <v>549.14768805174413</v>
      </c>
      <c r="X24">
        <f t="shared" si="3"/>
        <v>0.26580253600000003</v>
      </c>
      <c r="Y24">
        <f t="shared" si="3"/>
        <v>0.253583856</v>
      </c>
      <c r="Z24">
        <f t="shared" si="9"/>
        <v>0.36736325369837963</v>
      </c>
      <c r="AA24">
        <f t="shared" si="8"/>
        <v>6.1093400000000031</v>
      </c>
      <c r="AB24">
        <f t="shared" si="5"/>
        <v>6.095725524653315E-2</v>
      </c>
      <c r="AC24">
        <f t="shared" si="6"/>
        <v>33.474535788613728</v>
      </c>
    </row>
    <row r="25" spans="1:29" x14ac:dyDescent="0.2">
      <c r="A25">
        <v>46137.030618472221</v>
      </c>
      <c r="B25">
        <v>17.681763</v>
      </c>
      <c r="C25">
        <v>17.996441999999998</v>
      </c>
      <c r="D25">
        <v>19.556774999999998</v>
      </c>
      <c r="E25">
        <v>19.645807999999999</v>
      </c>
      <c r="F25">
        <v>35.226011999999997</v>
      </c>
      <c r="G25">
        <v>34.658147999999997</v>
      </c>
      <c r="H25">
        <v>31.181383</v>
      </c>
      <c r="I25">
        <v>29.441178000000001</v>
      </c>
      <c r="J25">
        <v>57.899357000000002</v>
      </c>
      <c r="K25">
        <v>51.788113000000003</v>
      </c>
      <c r="L25">
        <v>105.628848</v>
      </c>
      <c r="M25">
        <v>-622.48530700000003</v>
      </c>
      <c r="N25">
        <v>1.3267040000000001</v>
      </c>
      <c r="O25">
        <v>2.8996010000000001</v>
      </c>
      <c r="P25">
        <f t="shared" si="0"/>
        <v>2.2111733333333337E-5</v>
      </c>
      <c r="Q25" cm="1">
        <f t="array" ref="Q25">[1]!PropsSI("D","T",J25+273.15,"P",101325,"Water")</f>
        <v>984.2634019596137</v>
      </c>
      <c r="R25" cm="1">
        <f t="array" ref="R25">[1]!PropsSI("D","T",K25+273.15,"P",101325,"Water")</f>
        <v>987.21587218314517</v>
      </c>
      <c r="S25">
        <f t="shared" si="1"/>
        <v>985.73963707137943</v>
      </c>
      <c r="T25" cm="1">
        <f t="array" ref="T25">[1]!PropsSI("H","T",J25+273.15,"P",101325,"Water")</f>
        <v>242458.54112625099</v>
      </c>
      <c r="U25" cm="1">
        <f t="array" ref="U25">[1]!PropsSI("H","T",K25+273.15,"P",101325,"Water")</f>
        <v>216895.67235169941</v>
      </c>
      <c r="V25">
        <f t="shared" si="2"/>
        <v>557.17881948248441</v>
      </c>
      <c r="X25">
        <f t="shared" si="3"/>
        <v>0.26579871399999999</v>
      </c>
      <c r="Y25">
        <f t="shared" si="3"/>
        <v>0.25357622600000002</v>
      </c>
      <c r="Z25">
        <f t="shared" si="9"/>
        <v>0.36735522149066679</v>
      </c>
      <c r="AA25">
        <f t="shared" si="8"/>
        <v>6.1112439999999992</v>
      </c>
      <c r="AB25">
        <f t="shared" si="5"/>
        <v>6.0937478264998617E-2</v>
      </c>
      <c r="AC25">
        <f t="shared" si="6"/>
        <v>33.953072201931484</v>
      </c>
    </row>
    <row r="26" spans="1:29" x14ac:dyDescent="0.2">
      <c r="A26">
        <v>46137.030653773145</v>
      </c>
      <c r="B26">
        <v>17.771473</v>
      </c>
      <c r="C26">
        <v>18.045867000000001</v>
      </c>
      <c r="D26">
        <v>19.543264000000001</v>
      </c>
      <c r="E26">
        <v>19.658261</v>
      </c>
      <c r="F26">
        <v>35.265928000000002</v>
      </c>
      <c r="G26">
        <v>35.213811</v>
      </c>
      <c r="H26">
        <v>30.779173</v>
      </c>
      <c r="I26">
        <v>29.296894000000002</v>
      </c>
      <c r="J26">
        <v>57.901904999999999</v>
      </c>
      <c r="K26">
        <v>51.770150000000001</v>
      </c>
      <c r="L26">
        <v>93.839642999999995</v>
      </c>
      <c r="M26">
        <v>-622.48897999999997</v>
      </c>
      <c r="N26">
        <v>1.328643</v>
      </c>
      <c r="O26">
        <v>3.0671659999999998</v>
      </c>
      <c r="P26">
        <f t="shared" ref="P26:P30" si="10" xml:space="preserve"> N26*0.001/60</f>
        <v>2.214405E-5</v>
      </c>
      <c r="Q26" cm="1">
        <f t="array" ref="Q26">[1]!PropsSI("D","T",J26+273.15,"P",101325,"Water")</f>
        <v>984.26212302939973</v>
      </c>
      <c r="R26" cm="1">
        <f t="array" ref="R26">[1]!PropsSI("D","T",K26+273.15,"P",101325,"Water")</f>
        <v>987.22420431490559</v>
      </c>
      <c r="S26">
        <f t="shared" ref="S26:S30" si="11">(Q26+R26)/2</f>
        <v>985.7431636721526</v>
      </c>
      <c r="T26" cm="1">
        <f t="array" ref="T26">[1]!PropsSI("H","T",J26+273.15,"P",101325,"Water")</f>
        <v>242469.20213501208</v>
      </c>
      <c r="U26" cm="1">
        <f t="array" ref="U26">[1]!PropsSI("H","T",K26+273.15,"P",101325,"Water")</f>
        <v>216820.55339604348</v>
      </c>
      <c r="V26">
        <f t="shared" ref="V26:V30" si="12">S26*P26*(T26-U26)</f>
        <v>559.86757663194317</v>
      </c>
      <c r="X26">
        <f t="shared" ref="X26:X30" si="13">(0.15+0.002*ABS(J26))</f>
        <v>0.26580380999999997</v>
      </c>
      <c r="Y26">
        <f t="shared" ref="Y26:Y30" si="14">(0.15+0.002*ABS(K26))</f>
        <v>0.2535403</v>
      </c>
      <c r="Z26">
        <f t="shared" ref="Z26:Z30" si="15">SQRT((X26)^2 + (Y26)^2)</f>
        <v>0.36733411104144154</v>
      </c>
      <c r="AA26">
        <f t="shared" ref="AA26:AA30" si="16">J26-K26</f>
        <v>6.1317549999999983</v>
      </c>
      <c r="AB26">
        <f t="shared" ref="AB26:AB30" si="17">SQRT((0.01)^2 + (Z26/ABS(AA26))^2)</f>
        <v>6.0735742068977368E-2</v>
      </c>
      <c r="AC26">
        <f t="shared" ref="AC26:AC30" si="18">ABS(V26*AB26)</f>
        <v>34.003972727101122</v>
      </c>
    </row>
    <row r="27" spans="1:29" x14ac:dyDescent="0.2">
      <c r="A27">
        <v>46137.030688495368</v>
      </c>
      <c r="B27">
        <v>17.879297999999999</v>
      </c>
      <c r="C27">
        <v>18.184798000000001</v>
      </c>
      <c r="D27">
        <v>19.530156000000002</v>
      </c>
      <c r="E27">
        <v>19.636319</v>
      </c>
      <c r="F27">
        <v>35.528168000000001</v>
      </c>
      <c r="G27">
        <v>35.626480999999998</v>
      </c>
      <c r="H27">
        <v>31.21134</v>
      </c>
      <c r="I27">
        <v>29.928647000000002</v>
      </c>
      <c r="J27">
        <v>57.914008000000003</v>
      </c>
      <c r="K27">
        <v>51.765380999999998</v>
      </c>
      <c r="L27">
        <v>109.64252500000001</v>
      </c>
      <c r="M27">
        <v>-622.46938899999998</v>
      </c>
      <c r="N27">
        <v>1.3244339999999999</v>
      </c>
      <c r="O27">
        <v>2.7937319999999999</v>
      </c>
      <c r="P27">
        <f t="shared" si="10"/>
        <v>2.2073899999999999E-5</v>
      </c>
      <c r="Q27" cm="1">
        <f t="array" ref="Q27">[1]!PropsSI("D","T",J27+273.15,"P",101325,"Water")</f>
        <v>984.25604757648159</v>
      </c>
      <c r="R27" cm="1">
        <f t="array" ref="R27">[1]!PropsSI("D","T",K27+273.15,"P",101325,"Water")</f>
        <v>987.22641606556897</v>
      </c>
      <c r="S27">
        <f t="shared" si="11"/>
        <v>985.74123182102528</v>
      </c>
      <c r="T27" cm="1">
        <f t="array" ref="T27">[1]!PropsSI("H","T",J27+273.15,"P",101325,"Water")</f>
        <v>242519.84196252876</v>
      </c>
      <c r="U27" cm="1">
        <f t="array" ref="U27">[1]!PropsSI("H","T",K27+273.15,"P",101325,"Water")</f>
        <v>216800.61006835118</v>
      </c>
      <c r="V27">
        <f t="shared" si="12"/>
        <v>559.6287115264613</v>
      </c>
      <c r="X27">
        <f t="shared" si="13"/>
        <v>0.265828016</v>
      </c>
      <c r="Y27">
        <f t="shared" si="14"/>
        <v>0.25353076200000002</v>
      </c>
      <c r="Z27">
        <f t="shared" si="15"/>
        <v>0.36734504402645329</v>
      </c>
      <c r="AA27">
        <f t="shared" si="16"/>
        <v>6.1486270000000047</v>
      </c>
      <c r="AB27">
        <f t="shared" si="17"/>
        <v>6.0575359283390084E-2</v>
      </c>
      <c r="AC27">
        <f t="shared" si="18"/>
        <v>33.899710266016058</v>
      </c>
    </row>
    <row r="28" spans="1:29" x14ac:dyDescent="0.2">
      <c r="A28">
        <v>46137.030723796299</v>
      </c>
      <c r="B28">
        <v>17.608454999999999</v>
      </c>
      <c r="C28">
        <v>17.946144</v>
      </c>
      <c r="D28">
        <v>19.457433000000002</v>
      </c>
      <c r="E28">
        <v>19.600079000000001</v>
      </c>
      <c r="F28">
        <v>35.288530999999999</v>
      </c>
      <c r="G28">
        <v>34.020215</v>
      </c>
      <c r="H28">
        <v>30.811306999999999</v>
      </c>
      <c r="I28">
        <v>29.201357999999999</v>
      </c>
      <c r="J28">
        <v>57.922767</v>
      </c>
      <c r="K28">
        <v>51.780481999999999</v>
      </c>
      <c r="L28">
        <v>112.29545299999999</v>
      </c>
      <c r="M28">
        <v>-622.512652</v>
      </c>
      <c r="N28">
        <v>1.3298639999999999</v>
      </c>
      <c r="O28">
        <v>3.1699730000000002</v>
      </c>
      <c r="P28">
        <f t="shared" si="10"/>
        <v>2.2164400000000001E-5</v>
      </c>
      <c r="Q28" cm="1">
        <f t="array" ref="Q28">[1]!PropsSI("D","T",J28+273.15,"P",101325,"Water")</f>
        <v>984.25165019103247</v>
      </c>
      <c r="R28" cm="1">
        <f t="array" ref="R28">[1]!PropsSI("D","T",K28+273.15,"P",101325,"Water")</f>
        <v>987.21941207342888</v>
      </c>
      <c r="S28">
        <f t="shared" si="11"/>
        <v>985.73553113223068</v>
      </c>
      <c r="T28" cm="1">
        <f t="array" ref="T28">[1]!PropsSI("H","T",J28+273.15,"P",101325,"Water")</f>
        <v>242556.49028919882</v>
      </c>
      <c r="U28" cm="1">
        <f t="array" ref="U28">[1]!PropsSI("H","T",K28+273.15,"P",101325,"Water")</f>
        <v>216863.76047893922</v>
      </c>
      <c r="V28">
        <f t="shared" si="12"/>
        <v>561.34083995441893</v>
      </c>
      <c r="X28">
        <f t="shared" si="13"/>
        <v>0.26584553399999999</v>
      </c>
      <c r="Y28">
        <f t="shared" si="14"/>
        <v>0.253560964</v>
      </c>
      <c r="Z28">
        <f t="shared" si="15"/>
        <v>0.36737856553200604</v>
      </c>
      <c r="AA28">
        <f t="shared" si="16"/>
        <v>6.1422850000000011</v>
      </c>
      <c r="AB28">
        <f t="shared" si="17"/>
        <v>6.0641583355298755E-2</v>
      </c>
      <c r="AC28">
        <f t="shared" si="18"/>
        <v>34.040597336829315</v>
      </c>
    </row>
    <row r="29" spans="1:29" x14ac:dyDescent="0.2">
      <c r="A29">
        <v>46137.030759097222</v>
      </c>
      <c r="B29">
        <v>17.462008000000001</v>
      </c>
      <c r="C29">
        <v>17.950972</v>
      </c>
      <c r="D29">
        <v>19.366596999999999</v>
      </c>
      <c r="E29">
        <v>19.58615</v>
      </c>
      <c r="F29">
        <v>35.534244999999999</v>
      </c>
      <c r="G29">
        <v>34.344607000000003</v>
      </c>
      <c r="H29">
        <v>30.593907000000002</v>
      </c>
      <c r="I29">
        <v>29.399242000000001</v>
      </c>
      <c r="J29">
        <v>57.928023000000003</v>
      </c>
      <c r="K29">
        <v>51.787953999999999</v>
      </c>
      <c r="L29">
        <v>103.38692</v>
      </c>
      <c r="M29">
        <v>-622.51061200000004</v>
      </c>
      <c r="N29">
        <v>1.319402</v>
      </c>
      <c r="O29">
        <v>3.206826</v>
      </c>
      <c r="P29">
        <f t="shared" si="10"/>
        <v>2.1990033333333331E-5</v>
      </c>
      <c r="Q29" cm="1">
        <f t="array" ref="Q29">[1]!PropsSI("D","T",J29+273.15,"P",101325,"Water")</f>
        <v>984.24901123657298</v>
      </c>
      <c r="R29" cm="1">
        <f t="array" ref="R29">[1]!PropsSI("D","T",K29+273.15,"P",101325,"Water")</f>
        <v>987.21594594432793</v>
      </c>
      <c r="S29">
        <f t="shared" si="11"/>
        <v>985.73247859045046</v>
      </c>
      <c r="T29" cm="1">
        <f t="array" ref="T29">[1]!PropsSI("H","T",J29+273.15,"P",101325,"Water")</f>
        <v>242578.4818105759</v>
      </c>
      <c r="U29" cm="1">
        <f t="array" ref="U29">[1]!PropsSI("H","T",K29+273.15,"P",101325,"Water")</f>
        <v>216895.00743377171</v>
      </c>
      <c r="V29">
        <f t="shared" si="12"/>
        <v>556.72244039035274</v>
      </c>
      <c r="X29">
        <f t="shared" si="13"/>
        <v>0.26585604600000001</v>
      </c>
      <c r="Y29">
        <f t="shared" si="14"/>
        <v>0.25357590799999996</v>
      </c>
      <c r="Z29">
        <f t="shared" si="15"/>
        <v>0.36739648652753687</v>
      </c>
      <c r="AA29">
        <f t="shared" si="16"/>
        <v>6.140069000000004</v>
      </c>
      <c r="AB29">
        <f t="shared" si="17"/>
        <v>6.0665753111245078E-2</v>
      </c>
      <c r="AC29">
        <f t="shared" si="18"/>
        <v>33.773986120210992</v>
      </c>
    </row>
    <row r="30" spans="1:29" x14ac:dyDescent="0.2">
      <c r="A30">
        <v>46137.030794398146</v>
      </c>
      <c r="B30">
        <v>17.576944999999998</v>
      </c>
      <c r="C30">
        <v>18.127210999999999</v>
      </c>
      <c r="D30">
        <v>19.365538999999998</v>
      </c>
      <c r="E30">
        <v>19.587015999999998</v>
      </c>
      <c r="F30">
        <v>35.092528000000001</v>
      </c>
      <c r="G30">
        <v>34.293872999999998</v>
      </c>
      <c r="H30">
        <v>30.319844</v>
      </c>
      <c r="I30">
        <v>28.969277999999999</v>
      </c>
      <c r="J30">
        <v>57.928818999999997</v>
      </c>
      <c r="K30">
        <v>51.778257000000004</v>
      </c>
      <c r="L30">
        <v>102.69185299999999</v>
      </c>
      <c r="M30">
        <v>-622.49795900000004</v>
      </c>
      <c r="N30">
        <v>1.316468</v>
      </c>
      <c r="O30">
        <v>3.4050549999999999</v>
      </c>
      <c r="P30">
        <f t="shared" si="10"/>
        <v>2.1941133333333332E-5</v>
      </c>
      <c r="Q30" cm="1">
        <f t="array" ref="Q30">[1]!PropsSI("D","T",J30+273.15,"P",101325,"Water")</f>
        <v>984.24861156306088</v>
      </c>
      <c r="R30" cm="1">
        <f t="array" ref="R30">[1]!PropsSI("D","T",K30+273.15,"P",101325,"Water")</f>
        <v>987.22044414237405</v>
      </c>
      <c r="S30">
        <f t="shared" si="11"/>
        <v>985.73452785271752</v>
      </c>
      <c r="T30" cm="1">
        <f t="array" ref="T30">[1]!PropsSI("H","T",J30+273.15,"P",101325,"Water")</f>
        <v>242581.81233876341</v>
      </c>
      <c r="U30" cm="1">
        <f t="array" ref="U30">[1]!PropsSI("H","T",K30+273.15,"P",101325,"Water")</f>
        <v>216854.4558149041</v>
      </c>
      <c r="V30">
        <f t="shared" si="12"/>
        <v>556.43468109542061</v>
      </c>
      <c r="X30">
        <f t="shared" si="13"/>
        <v>0.26585763800000001</v>
      </c>
      <c r="Y30">
        <f t="shared" si="14"/>
        <v>0.25355651400000001</v>
      </c>
      <c r="Z30">
        <f t="shared" si="15"/>
        <v>0.36738425316658752</v>
      </c>
      <c r="AA30">
        <f t="shared" si="16"/>
        <v>6.1505619999999936</v>
      </c>
      <c r="AB30">
        <f t="shared" si="17"/>
        <v>6.0563108766356677E-2</v>
      </c>
      <c r="AC30">
        <f t="shared" si="18"/>
        <v>33.699414112554948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D400-A600-9345-A054-AEEAD789A5CD}">
  <dimension ref="A1:AC51"/>
  <sheetViews>
    <sheetView topLeftCell="P1" workbookViewId="0">
      <selection activeCell="W4" sqref="W4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44675.026558289399</v>
      </c>
      <c r="B2">
        <v>17.189836</v>
      </c>
      <c r="C2">
        <v>17.276624999999999</v>
      </c>
      <c r="D2">
        <v>18.780145000000001</v>
      </c>
      <c r="E2">
        <v>19.020637000000001</v>
      </c>
      <c r="F2">
        <v>32.518292000000002</v>
      </c>
      <c r="G2">
        <v>32.120089</v>
      </c>
      <c r="H2">
        <v>29.112485</v>
      </c>
      <c r="I2">
        <v>26.970085000000001</v>
      </c>
      <c r="J2">
        <v>57.461118999999997</v>
      </c>
      <c r="K2">
        <v>50.314236000000001</v>
      </c>
      <c r="L2">
        <v>149.15891400000001</v>
      </c>
      <c r="M2">
        <v>-622.50040799999999</v>
      </c>
      <c r="N2">
        <v>1.318341</v>
      </c>
      <c r="O2">
        <v>2.91283</v>
      </c>
      <c r="P2">
        <f t="shared" ref="P2:P25" si="0" xml:space="preserve"> N2*0.001/60</f>
        <v>2.197235E-5</v>
      </c>
      <c r="Q2" cm="1">
        <f t="array" ref="Q2">[1]!PropsSI("D","T",J2+273.15,"P",101325,"Water")</f>
        <v>984.48278593275609</v>
      </c>
      <c r="R2" cm="1">
        <f t="array" ref="R2">[1]!PropsSI("D","T",K2+273.15,"P",101325,"Water")</f>
        <v>987.89259463300164</v>
      </c>
      <c r="S2">
        <f t="shared" ref="S2:S25" si="1">(Q2+R2)/2</f>
        <v>986.18769028287886</v>
      </c>
      <c r="T2" cm="1">
        <f t="array" ref="T2">[1]!PropsSI("H","T",J2+273.15,"P",101325,"Water")</f>
        <v>240624.9618804199</v>
      </c>
      <c r="U2" cm="1">
        <f t="array" ref="U2">[1]!PropsSI("H","T",K2+273.15,"P",101325,"Water")</f>
        <v>210732.43432806546</v>
      </c>
      <c r="V2">
        <f t="shared" ref="V2:V25" si="2">S2*P2*(T2-U2)</f>
        <v>647.73702735786856</v>
      </c>
      <c r="W2" s="3">
        <f>AVERAGE(V2:V51)</f>
        <v>642.69325129250433</v>
      </c>
      <c r="X2">
        <f>(0.15+0.002*ABS(J2))</f>
        <v>0.26492223799999998</v>
      </c>
      <c r="Y2">
        <f>(0.15+0.002*ABS(K2))</f>
        <v>0.25062847199999999</v>
      </c>
      <c r="Z2">
        <f>SQRT((X2)^2 + (Y2)^2)</f>
        <v>0.36468948869412648</v>
      </c>
      <c r="AA2">
        <f>J2-K2</f>
        <v>7.1468829999999954</v>
      </c>
      <c r="AB2">
        <f>SQRT((0.01)^2 + (Z2/ABS(AA2))^2)</f>
        <v>5.1998395379208105E-2</v>
      </c>
      <c r="AC2">
        <f>ABS(V2*AB2)</f>
        <v>33.681286050307385</v>
      </c>
    </row>
    <row r="3" spans="1:29" x14ac:dyDescent="0.2">
      <c r="A3">
        <v>44675.026593590301</v>
      </c>
      <c r="B3">
        <v>17.109755</v>
      </c>
      <c r="C3">
        <v>17.205926999999999</v>
      </c>
      <c r="D3">
        <v>18.801905000000001</v>
      </c>
      <c r="E3">
        <v>19.046726</v>
      </c>
      <c r="F3">
        <v>32.198264000000002</v>
      </c>
      <c r="G3">
        <v>30.190940999999999</v>
      </c>
      <c r="H3">
        <v>29.183012999999999</v>
      </c>
      <c r="I3">
        <v>26.727667</v>
      </c>
      <c r="J3">
        <v>57.461756000000001</v>
      </c>
      <c r="K3">
        <v>50.322975</v>
      </c>
      <c r="L3">
        <v>154.47946400000001</v>
      </c>
      <c r="M3">
        <v>-622.49469399999998</v>
      </c>
      <c r="N3">
        <v>1.323221</v>
      </c>
      <c r="O3">
        <v>2.8372950000000001</v>
      </c>
      <c r="P3">
        <f t="shared" si="0"/>
        <v>2.2053683333333335E-5</v>
      </c>
      <c r="Q3" cm="1">
        <f t="array" ref="Q3">[1]!PropsSI("D","T",J3+273.15,"P",101325,"Water")</f>
        <v>984.48246789009011</v>
      </c>
      <c r="R3" cm="1">
        <f t="array" ref="R3">[1]!PropsSI("D","T",K3+273.15,"P",101325,"Water")</f>
        <v>987.88862377574708</v>
      </c>
      <c r="S3">
        <f t="shared" si="1"/>
        <v>986.18554583291859</v>
      </c>
      <c r="T3" cm="1">
        <f t="array" ref="T3">[1]!PropsSI("H","T",J3+273.15,"P",101325,"Water")</f>
        <v>240627.62702010735</v>
      </c>
      <c r="U3" cm="1">
        <f t="array" ref="U3">[1]!PropsSI("H","T",K3+273.15,"P",101325,"Water")</f>
        <v>210768.97587346748</v>
      </c>
      <c r="V3">
        <f t="shared" si="2"/>
        <v>649.3965125045454</v>
      </c>
      <c r="W3" s="3" t="s">
        <v>33</v>
      </c>
      <c r="X3">
        <f t="shared" ref="X3:Y25" si="3">(0.15+0.002*ABS(J3))</f>
        <v>0.26492351199999997</v>
      </c>
      <c r="Y3">
        <f t="shared" si="3"/>
        <v>0.25064595000000001</v>
      </c>
      <c r="Z3">
        <f t="shared" ref="Z3:Z7" si="4">SQRT((X3)^2 + (Y3)^2)</f>
        <v>0.36470242590613056</v>
      </c>
      <c r="AA3">
        <f>J3-K3</f>
        <v>7.1387810000000016</v>
      </c>
      <c r="AB3">
        <f t="shared" ref="AB3:AB25" si="5">SQRT((0.01)^2 + (Z3/ABS(AA3))^2)</f>
        <v>5.2057006858519529E-2</v>
      </c>
      <c r="AC3">
        <f t="shared" ref="AC3:AC25" si="6">ABS(V3*AB3)</f>
        <v>33.805638705347782</v>
      </c>
    </row>
    <row r="4" spans="1:29" x14ac:dyDescent="0.2">
      <c r="A4">
        <v>44675.026628891203</v>
      </c>
      <c r="B4">
        <v>17.122076</v>
      </c>
      <c r="C4">
        <v>17.253546</v>
      </c>
      <c r="D4">
        <v>18.798743000000002</v>
      </c>
      <c r="E4">
        <v>19.008229</v>
      </c>
      <c r="F4">
        <v>32.256962999999999</v>
      </c>
      <c r="G4">
        <v>32.396909999999998</v>
      </c>
      <c r="H4">
        <v>28.664563000000001</v>
      </c>
      <c r="I4">
        <v>26.894786</v>
      </c>
      <c r="J4">
        <v>57.465418</v>
      </c>
      <c r="K4">
        <v>50.325040000000001</v>
      </c>
      <c r="L4">
        <v>157.18626699999999</v>
      </c>
      <c r="M4">
        <v>-622.46367499999997</v>
      </c>
      <c r="N4">
        <v>1.323607</v>
      </c>
      <c r="O4">
        <v>2.9524020000000002</v>
      </c>
      <c r="P4">
        <f t="shared" si="0"/>
        <v>2.2060116666666669E-5</v>
      </c>
      <c r="Q4" cm="1">
        <f t="array" ref="Q4">[1]!PropsSI("D","T",J4+273.15,"P",101325,"Water")</f>
        <v>984.48063947170067</v>
      </c>
      <c r="R4" cm="1">
        <f t="array" ref="R4">[1]!PropsSI("D","T",K4+273.15,"P",101325,"Water")</f>
        <v>987.88768540095771</v>
      </c>
      <c r="S4">
        <f t="shared" si="1"/>
        <v>986.18416243632919</v>
      </c>
      <c r="T4" cm="1">
        <f t="array" ref="T4">[1]!PropsSI("H","T",J4+273.15,"P",101325,"Water")</f>
        <v>240642.94843849403</v>
      </c>
      <c r="U4" cm="1">
        <f t="array" ref="U4">[1]!PropsSI("H","T",K4+273.15,"P",101325,"Water")</f>
        <v>210777.6105363855</v>
      </c>
      <c r="V4">
        <f t="shared" si="2"/>
        <v>649.73051093285221</v>
      </c>
      <c r="W4" s="3">
        <f>SQRT((AVERAGE(AC2:AC51))^2 + (_xlfn.STDEV.S(V2:V51)/SQRT(COUNT(V2:V51)))^2)</f>
        <v>33.907863563608871</v>
      </c>
      <c r="X4">
        <f t="shared" si="3"/>
        <v>0.264930836</v>
      </c>
      <c r="Y4">
        <f t="shared" si="3"/>
        <v>0.25065008</v>
      </c>
      <c r="Z4">
        <f t="shared" si="4"/>
        <v>0.36471058452924737</v>
      </c>
      <c r="AA4">
        <f t="shared" ref="AA4:AA5" si="7">J4-K4</f>
        <v>7.1403779999999983</v>
      </c>
      <c r="AB4">
        <f t="shared" si="5"/>
        <v>5.2046914913065373E-2</v>
      </c>
      <c r="AC4">
        <f t="shared" si="6"/>
        <v>33.816468618944647</v>
      </c>
    </row>
    <row r="5" spans="1:29" x14ac:dyDescent="0.2">
      <c r="A5">
        <v>44675.026663613498</v>
      </c>
      <c r="B5">
        <v>17.084288999999998</v>
      </c>
      <c r="C5">
        <v>17.367637999999999</v>
      </c>
      <c r="D5">
        <v>18.846406999999999</v>
      </c>
      <c r="E5">
        <v>19.074507000000001</v>
      </c>
      <c r="F5">
        <v>32.637740000000001</v>
      </c>
      <c r="G5">
        <v>31.014247000000001</v>
      </c>
      <c r="H5">
        <v>28.489826000000001</v>
      </c>
      <c r="I5">
        <v>26.587441999999999</v>
      </c>
      <c r="J5">
        <v>57.466692000000002</v>
      </c>
      <c r="K5">
        <v>50.342041000000002</v>
      </c>
      <c r="L5">
        <v>150.171108</v>
      </c>
      <c r="M5">
        <v>-622.48775599999999</v>
      </c>
      <c r="N5">
        <v>1.3190090000000001</v>
      </c>
      <c r="O5">
        <v>2.9257409999999999</v>
      </c>
      <c r="P5">
        <f t="shared" si="0"/>
        <v>2.1983483333333334E-5</v>
      </c>
      <c r="Q5" cm="1">
        <f t="array" ref="Q5">[1]!PropsSI("D","T",J5+273.15,"P",101325,"Water")</f>
        <v>984.48000335081895</v>
      </c>
      <c r="R5" cm="1">
        <f t="array" ref="R5">[1]!PropsSI("D","T",K5+273.15,"P",101325,"Water")</f>
        <v>987.87995876812067</v>
      </c>
      <c r="S5">
        <f t="shared" si="1"/>
        <v>986.17998105946981</v>
      </c>
      <c r="T5" cm="1">
        <f t="array" ref="T5">[1]!PropsSI("H","T",J5+273.15,"P",101325,"Water")</f>
        <v>240648.27872020271</v>
      </c>
      <c r="U5" cm="1">
        <f t="array" ref="U5">[1]!PropsSI("H","T",K5+273.15,"P",101325,"Water")</f>
        <v>210848.69915667488</v>
      </c>
      <c r="V5">
        <f t="shared" si="2"/>
        <v>646.04508615871009</v>
      </c>
      <c r="W5" s="3"/>
      <c r="X5">
        <f t="shared" si="3"/>
        <v>0.26493338399999999</v>
      </c>
      <c r="Y5">
        <f t="shared" si="3"/>
        <v>0.25068408200000003</v>
      </c>
      <c r="Z5">
        <f t="shared" si="4"/>
        <v>0.36473580428287294</v>
      </c>
      <c r="AA5">
        <f t="shared" si="7"/>
        <v>7.1246510000000001</v>
      </c>
      <c r="AB5">
        <f t="shared" si="5"/>
        <v>5.2161041040838539E-2</v>
      </c>
      <c r="AC5">
        <f t="shared" si="6"/>
        <v>33.698384253356544</v>
      </c>
    </row>
    <row r="6" spans="1:29" x14ac:dyDescent="0.2">
      <c r="A6">
        <v>46137.026698912035</v>
      </c>
      <c r="B6">
        <v>17.312743999999999</v>
      </c>
      <c r="C6">
        <v>17.53809</v>
      </c>
      <c r="D6">
        <v>18.871983</v>
      </c>
      <c r="E6">
        <v>19.042069000000001</v>
      </c>
      <c r="F6">
        <v>32.427275999999999</v>
      </c>
      <c r="G6">
        <v>30.116561000000001</v>
      </c>
      <c r="H6">
        <v>27.895612</v>
      </c>
      <c r="I6">
        <v>26.414472</v>
      </c>
      <c r="J6">
        <v>57.467647999999997</v>
      </c>
      <c r="K6">
        <v>50.353957999999999</v>
      </c>
      <c r="L6">
        <v>151.08085800000001</v>
      </c>
      <c r="M6">
        <v>-622.50081599999999</v>
      </c>
      <c r="N6">
        <v>1.3281670000000001</v>
      </c>
      <c r="O6">
        <v>2.8438140000000001</v>
      </c>
      <c r="P6">
        <f t="shared" si="0"/>
        <v>2.213611666666667E-5</v>
      </c>
      <c r="Q6" cm="1">
        <f t="array" ref="Q6">[1]!PropsSI("D","T",J6+273.15,"P",101325,"Water")</f>
        <v>984.47952600404687</v>
      </c>
      <c r="R6" cm="1">
        <f t="array" ref="R6">[1]!PropsSI("D","T",K6+273.15,"P",101325,"Water")</f>
        <v>987.87454159131357</v>
      </c>
      <c r="S6">
        <f t="shared" si="1"/>
        <v>986.17703379768022</v>
      </c>
      <c r="T6" cm="1">
        <f t="array" ref="T6">[1]!PropsSI("H","T",J6+273.15,"P",101325,"Water")</f>
        <v>240652.27852387837</v>
      </c>
      <c r="U6" cm="1">
        <f t="array" ref="U6">[1]!PropsSI("H","T",K6+273.15,"P",101325,"Water")</f>
        <v>210898.52939798342</v>
      </c>
      <c r="V6">
        <f t="shared" si="2"/>
        <v>649.52820766064974</v>
      </c>
      <c r="W6" s="3"/>
      <c r="X6">
        <f t="shared" si="3"/>
        <v>0.26493529599999999</v>
      </c>
      <c r="Y6">
        <f t="shared" si="3"/>
        <v>0.25070791599999998</v>
      </c>
      <c r="Z6">
        <f t="shared" si="4"/>
        <v>0.36475357463864649</v>
      </c>
      <c r="AA6">
        <f>J6-K6</f>
        <v>7.1136899999999983</v>
      </c>
      <c r="AB6">
        <f t="shared" si="5"/>
        <v>5.2240912486749252E-2</v>
      </c>
      <c r="AC6">
        <f t="shared" si="6"/>
        <v>33.9319462540751</v>
      </c>
    </row>
    <row r="7" spans="1:29" x14ac:dyDescent="0.2">
      <c r="A7">
        <v>46137.026734212966</v>
      </c>
      <c r="B7">
        <v>17.206212000000001</v>
      </c>
      <c r="C7">
        <v>17.533947000000001</v>
      </c>
      <c r="D7">
        <v>18.847932</v>
      </c>
      <c r="E7">
        <v>19.080400000000001</v>
      </c>
      <c r="F7">
        <v>32.262287999999998</v>
      </c>
      <c r="G7">
        <v>32.785044999999997</v>
      </c>
      <c r="H7">
        <v>29.285354000000002</v>
      </c>
      <c r="I7">
        <v>26.393775000000002</v>
      </c>
      <c r="J7">
        <v>57.470672999999998</v>
      </c>
      <c r="K7">
        <v>50.365875000000003</v>
      </c>
      <c r="L7">
        <v>136.888508</v>
      </c>
      <c r="M7">
        <v>-622.49550999999997</v>
      </c>
      <c r="N7">
        <v>1.3194189999999999</v>
      </c>
      <c r="O7">
        <v>2.9323489999999999</v>
      </c>
      <c r="P7">
        <f t="shared" si="0"/>
        <v>2.1990316666666665E-5</v>
      </c>
      <c r="Q7" cm="1">
        <f t="array" ref="Q7">[1]!PropsSI("D","T",J7+273.15,"P",101325,"Water")</f>
        <v>984.47801553452894</v>
      </c>
      <c r="R7" cm="1">
        <f t="array" ref="R7">[1]!PropsSI("D","T",K7+273.15,"P",101325,"Water")</f>
        <v>987.86912348672161</v>
      </c>
      <c r="S7">
        <f t="shared" si="1"/>
        <v>986.17356951062527</v>
      </c>
      <c r="T7" cm="1">
        <f t="array" ref="T7">[1]!PropsSI("H","T",J7+273.15,"P",101325,"Water")</f>
        <v>240664.93480874741</v>
      </c>
      <c r="U7" cm="1">
        <f t="array" ref="U7">[1]!PropsSI("H","T",K7+273.15,"P",101325,"Water")</f>
        <v>210948.35968037919</v>
      </c>
      <c r="V7">
        <f t="shared" si="2"/>
        <v>644.4416444243783</v>
      </c>
      <c r="W7" s="3"/>
      <c r="X7">
        <f t="shared" si="3"/>
        <v>0.26494134599999997</v>
      </c>
      <c r="Y7">
        <f t="shared" si="3"/>
        <v>0.25073175000000003</v>
      </c>
      <c r="Z7">
        <f t="shared" si="4"/>
        <v>0.36477435117940271</v>
      </c>
      <c r="AA7">
        <f t="shared" ref="AA7:AA25" si="8">J7-K7</f>
        <v>7.1047979999999953</v>
      </c>
      <c r="AB7">
        <f t="shared" si="5"/>
        <v>5.2306770600823192E-2</v>
      </c>
      <c r="AC7">
        <f t="shared" si="6"/>
        <v>33.708661260523222</v>
      </c>
    </row>
    <row r="8" spans="1:29" x14ac:dyDescent="0.2">
      <c r="A8">
        <v>46137.026768935182</v>
      </c>
      <c r="B8">
        <v>17.311689000000001</v>
      </c>
      <c r="C8">
        <v>17.730007000000001</v>
      </c>
      <c r="D8">
        <v>18.839780999999999</v>
      </c>
      <c r="E8">
        <v>19.058143000000001</v>
      </c>
      <c r="F8">
        <v>32.514009999999999</v>
      </c>
      <c r="G8">
        <v>32.385404999999999</v>
      </c>
      <c r="H8">
        <v>28.251353999999999</v>
      </c>
      <c r="I8">
        <v>26.495332999999999</v>
      </c>
      <c r="J8">
        <v>57.473221000000002</v>
      </c>
      <c r="K8">
        <v>50.367781000000001</v>
      </c>
      <c r="L8">
        <v>149.58542299999999</v>
      </c>
      <c r="M8">
        <v>-622.49347</v>
      </c>
      <c r="N8">
        <v>1.3241970000000001</v>
      </c>
      <c r="O8">
        <v>2.8117519999999998</v>
      </c>
      <c r="P8">
        <f t="shared" si="0"/>
        <v>2.206995E-5</v>
      </c>
      <c r="Q8" cm="1">
        <f t="array" ref="Q8">[1]!PropsSI("D","T",J8+273.15,"P",101325,"Water")</f>
        <v>984.47674320186297</v>
      </c>
      <c r="R8" cm="1">
        <f t="array" ref="R8">[1]!PropsSI("D","T",K8+273.15,"P",101325,"Water")</f>
        <v>987.86825683129632</v>
      </c>
      <c r="S8">
        <f t="shared" si="1"/>
        <v>986.17250001657965</v>
      </c>
      <c r="T8" cm="1">
        <f t="array" ref="T8">[1]!PropsSI("H","T",J8+273.15,"P",101325,"Water")</f>
        <v>240675.59537815835</v>
      </c>
      <c r="U8" cm="1">
        <f t="array" ref="U8">[1]!PropsSI("H","T",K8+273.15,"P",101325,"Water")</f>
        <v>210956.32951870406</v>
      </c>
      <c r="V8">
        <f t="shared" si="2"/>
        <v>646.83321682171299</v>
      </c>
      <c r="W8" s="3"/>
      <c r="X8">
        <f t="shared" si="3"/>
        <v>0.264946442</v>
      </c>
      <c r="Y8">
        <f t="shared" si="3"/>
        <v>0.25073556200000002</v>
      </c>
      <c r="Z8">
        <f>SQRT((X8)^2 + (Y8)^2)</f>
        <v>0.36478067270610054</v>
      </c>
      <c r="AA8">
        <f t="shared" si="8"/>
        <v>7.1054400000000015</v>
      </c>
      <c r="AB8">
        <f t="shared" si="5"/>
        <v>5.2303090517540951E-2</v>
      </c>
      <c r="AC8">
        <f t="shared" si="6"/>
        <v>33.831376289178245</v>
      </c>
    </row>
    <row r="9" spans="1:29" x14ac:dyDescent="0.2">
      <c r="A9">
        <v>46137.026804236113</v>
      </c>
      <c r="B9">
        <v>17.387951000000001</v>
      </c>
      <c r="C9">
        <v>17.927894999999999</v>
      </c>
      <c r="D9">
        <v>18.850263999999999</v>
      </c>
      <c r="E9">
        <v>19.154565000000002</v>
      </c>
      <c r="F9">
        <v>32.322560000000003</v>
      </c>
      <c r="G9">
        <v>29.983926</v>
      </c>
      <c r="H9">
        <v>29.083922000000001</v>
      </c>
      <c r="I9">
        <v>26.699310000000001</v>
      </c>
      <c r="J9">
        <v>57.474812999999997</v>
      </c>
      <c r="K9">
        <v>50.374296000000001</v>
      </c>
      <c r="L9">
        <v>154.75659300000001</v>
      </c>
      <c r="M9">
        <v>-622.49510199999997</v>
      </c>
      <c r="N9">
        <v>1.3226929999999999</v>
      </c>
      <c r="O9">
        <v>2.853993</v>
      </c>
      <c r="P9">
        <f t="shared" si="0"/>
        <v>2.2044883333333333E-5</v>
      </c>
      <c r="Q9" cm="1">
        <f t="array" ref="Q9">[1]!PropsSI("D","T",J9+273.15,"P",101325,"Water")</f>
        <v>984.47594822365215</v>
      </c>
      <c r="R9" cm="1">
        <f t="array" ref="R9">[1]!PropsSI("D","T",K9+273.15,"P",101325,"Water")</f>
        <v>987.86529429109783</v>
      </c>
      <c r="S9">
        <f t="shared" si="1"/>
        <v>986.17062125737493</v>
      </c>
      <c r="T9" cm="1">
        <f t="array" ref="T9">[1]!PropsSI("H","T",J9+273.15,"P",101325,"Water")</f>
        <v>240682.25614344818</v>
      </c>
      <c r="U9" cm="1">
        <f t="array" ref="U9">[1]!PropsSI("H","T",K9+273.15,"P",101325,"Water")</f>
        <v>210983.57165499948</v>
      </c>
      <c r="V9">
        <f t="shared" si="2"/>
        <v>645.64988464111843</v>
      </c>
      <c r="W9" s="3"/>
      <c r="X9">
        <f t="shared" si="3"/>
        <v>0.26494962599999999</v>
      </c>
      <c r="Y9">
        <f t="shared" si="3"/>
        <v>0.25074859199999999</v>
      </c>
      <c r="Z9">
        <f t="shared" ref="Z9:Z25" si="9">SQRT((X9)^2 + (Y9)^2)</f>
        <v>0.36479194167021062</v>
      </c>
      <c r="AA9">
        <f t="shared" si="8"/>
        <v>7.1005169999999964</v>
      </c>
      <c r="AB9">
        <f t="shared" si="5"/>
        <v>5.2339586476303553E-2</v>
      </c>
      <c r="AC9">
        <f t="shared" si="6"/>
        <v>33.793047970589228</v>
      </c>
    </row>
    <row r="10" spans="1:29" x14ac:dyDescent="0.2">
      <c r="A10">
        <v>44675.026838960701</v>
      </c>
      <c r="B10">
        <v>17.212712</v>
      </c>
      <c r="C10">
        <v>17.619978</v>
      </c>
      <c r="D10">
        <v>18.777276000000001</v>
      </c>
      <c r="E10">
        <v>19.141777000000001</v>
      </c>
      <c r="F10">
        <v>32.389262000000002</v>
      </c>
      <c r="G10">
        <v>32.394255000000001</v>
      </c>
      <c r="H10">
        <v>28.868375</v>
      </c>
      <c r="I10">
        <v>26.765657999999998</v>
      </c>
      <c r="J10">
        <v>57.476723999999997</v>
      </c>
      <c r="K10">
        <v>50.387484000000001</v>
      </c>
      <c r="L10">
        <v>149.611952</v>
      </c>
      <c r="M10">
        <v>-622.487348</v>
      </c>
      <c r="N10">
        <v>1.3267659999999999</v>
      </c>
      <c r="O10">
        <v>2.8715290000000002</v>
      </c>
      <c r="P10">
        <f t="shared" si="0"/>
        <v>2.2112766666666663E-5</v>
      </c>
      <c r="Q10" cm="1">
        <f t="array" ref="Q10">[1]!PropsSI("D","T",J10+273.15,"P",101325,"Water")</f>
        <v>984.47499392997088</v>
      </c>
      <c r="R10" cm="1">
        <f t="array" ref="R10">[1]!PropsSI("D","T",K10+273.15,"P",101325,"Water")</f>
        <v>987.85929651546849</v>
      </c>
      <c r="S10">
        <f t="shared" si="1"/>
        <v>986.16714522271968</v>
      </c>
      <c r="T10" cm="1">
        <f t="array" ref="T10">[1]!PropsSI("H","T",J10+273.15,"P",101325,"Water")</f>
        <v>240690.25157336332</v>
      </c>
      <c r="U10" cm="1">
        <f t="array" ref="U10">[1]!PropsSI("H","T",K10+273.15,"P",101325,"Water")</f>
        <v>211038.71663416916</v>
      </c>
      <c r="V10">
        <f t="shared" si="2"/>
        <v>646.60758214837654</v>
      </c>
      <c r="X10">
        <f t="shared" si="3"/>
        <v>0.26495344799999998</v>
      </c>
      <c r="Y10">
        <f t="shared" si="3"/>
        <v>0.25077496799999999</v>
      </c>
      <c r="Z10">
        <f t="shared" si="9"/>
        <v>0.36481284815983345</v>
      </c>
      <c r="AA10">
        <f t="shared" si="8"/>
        <v>7.0892399999999967</v>
      </c>
      <c r="AB10">
        <f t="shared" si="5"/>
        <v>5.242270211882108E-2</v>
      </c>
      <c r="AC10">
        <f t="shared" si="6"/>
        <v>33.896916666735471</v>
      </c>
    </row>
    <row r="11" spans="1:29" x14ac:dyDescent="0.2">
      <c r="A11">
        <v>44675.026873682902</v>
      </c>
      <c r="B11">
        <v>17.124487999999999</v>
      </c>
      <c r="C11">
        <v>17.505458999999998</v>
      </c>
      <c r="D11">
        <v>18.719819999999999</v>
      </c>
      <c r="E11">
        <v>19.079397</v>
      </c>
      <c r="F11">
        <v>32.467728000000001</v>
      </c>
      <c r="G11">
        <v>31.834932999999999</v>
      </c>
      <c r="H11">
        <v>28.457433999999999</v>
      </c>
      <c r="I11">
        <v>26.721291000000001</v>
      </c>
      <c r="J11">
        <v>57.476405</v>
      </c>
      <c r="K11">
        <v>50.396222999999999</v>
      </c>
      <c r="L11">
        <v>151.56777299999999</v>
      </c>
      <c r="M11">
        <v>-622.49673499999994</v>
      </c>
      <c r="N11">
        <v>1.3314539999999999</v>
      </c>
      <c r="O11">
        <v>2.434329</v>
      </c>
      <c r="P11">
        <f t="shared" si="0"/>
        <v>2.2190899999999998E-5</v>
      </c>
      <c r="Q11" cm="1">
        <f t="array" ref="Q11">[1]!PropsSI("D","T",J11+273.15,"P",101325,"Water")</f>
        <v>984.47515323014807</v>
      </c>
      <c r="R11" cm="1">
        <f t="array" ref="R11">[1]!PropsSI("D","T",K11+273.15,"P",101325,"Water")</f>
        <v>987.85532147658398</v>
      </c>
      <c r="S11">
        <f t="shared" si="1"/>
        <v>986.16523735336602</v>
      </c>
      <c r="T11" cm="1">
        <f t="array" ref="T11">[1]!PropsSI("H","T",J11+273.15,"P",101325,"Water")</f>
        <v>240688.91690967078</v>
      </c>
      <c r="U11" cm="1">
        <f t="array" ref="U11">[1]!PropsSI("H","T",K11+273.15,"P",101325,"Water")</f>
        <v>211075.25836436875</v>
      </c>
      <c r="V11">
        <f t="shared" si="2"/>
        <v>648.06216946115558</v>
      </c>
      <c r="X11">
        <f t="shared" si="3"/>
        <v>0.26495280999999998</v>
      </c>
      <c r="Y11">
        <f t="shared" si="3"/>
        <v>0.250792446</v>
      </c>
      <c r="Z11">
        <f t="shared" si="9"/>
        <v>0.36482439953703616</v>
      </c>
      <c r="AA11">
        <f t="shared" si="8"/>
        <v>7.0801820000000006</v>
      </c>
      <c r="AB11">
        <f t="shared" si="5"/>
        <v>5.2488931559757063E-2</v>
      </c>
      <c r="AC11">
        <f t="shared" si="6"/>
        <v>34.016090859314282</v>
      </c>
    </row>
    <row r="12" spans="1:29" x14ac:dyDescent="0.2">
      <c r="A12">
        <v>44675.026908983797</v>
      </c>
      <c r="B12">
        <v>17.147423</v>
      </c>
      <c r="C12">
        <v>17.482997000000001</v>
      </c>
      <c r="D12">
        <v>18.717489</v>
      </c>
      <c r="E12">
        <v>19.079219999999999</v>
      </c>
      <c r="F12">
        <v>32.036838000000003</v>
      </c>
      <c r="G12">
        <v>31.031442999999999</v>
      </c>
      <c r="H12">
        <v>28.660587</v>
      </c>
      <c r="I12">
        <v>26.855134</v>
      </c>
      <c r="J12">
        <v>57.482297000000003</v>
      </c>
      <c r="K12">
        <v>50.400036</v>
      </c>
      <c r="L12">
        <v>141.34134599999999</v>
      </c>
      <c r="M12">
        <v>-622.47796000000005</v>
      </c>
      <c r="N12">
        <v>1.3251599999999999</v>
      </c>
      <c r="O12">
        <v>2.9667870000000001</v>
      </c>
      <c r="P12">
        <f t="shared" si="0"/>
        <v>2.2085999999999998E-5</v>
      </c>
      <c r="Q12" cm="1">
        <f t="array" ref="Q12">[1]!PropsSI("D","T",J12+273.15,"P",101325,"Water")</f>
        <v>984.47221082163514</v>
      </c>
      <c r="R12" cm="1">
        <f t="array" ref="R12">[1]!PropsSI("D","T",K12+273.15,"P",101325,"Water")</f>
        <v>987.85358693158685</v>
      </c>
      <c r="S12">
        <f t="shared" si="1"/>
        <v>986.16289887661105</v>
      </c>
      <c r="T12" cm="1">
        <f t="array" ref="T12">[1]!PropsSI("H","T",J12+273.15,"P",101325,"Water")</f>
        <v>240713.56844786817</v>
      </c>
      <c r="U12" cm="1">
        <f t="array" ref="U12">[1]!PropsSI("H","T",K12+273.15,"P",101325,"Water")</f>
        <v>211091.20225700628</v>
      </c>
      <c r="V12">
        <f t="shared" si="2"/>
        <v>645.18680046826239</v>
      </c>
      <c r="X12">
        <f t="shared" si="3"/>
        <v>0.264964594</v>
      </c>
      <c r="Y12">
        <f t="shared" si="3"/>
        <v>0.25080007199999999</v>
      </c>
      <c r="Z12">
        <f t="shared" si="9"/>
        <v>0.36483820001308798</v>
      </c>
      <c r="AA12">
        <f t="shared" si="8"/>
        <v>7.0822610000000026</v>
      </c>
      <c r="AB12">
        <f t="shared" si="5"/>
        <v>5.2475995645431525E-2</v>
      </c>
      <c r="AC12">
        <f t="shared" si="6"/>
        <v>33.856819731862437</v>
      </c>
    </row>
    <row r="13" spans="1:29" x14ac:dyDescent="0.2">
      <c r="A13">
        <v>44675.0269437061</v>
      </c>
      <c r="B13">
        <v>17.105951000000001</v>
      </c>
      <c r="C13">
        <v>17.257795000000002</v>
      </c>
      <c r="D13">
        <v>18.767122000000001</v>
      </c>
      <c r="E13">
        <v>19.082923999999998</v>
      </c>
      <c r="F13">
        <v>32.304347</v>
      </c>
      <c r="G13">
        <v>30.235782</v>
      </c>
      <c r="H13">
        <v>28.880155999999999</v>
      </c>
      <c r="I13">
        <v>26.556290000000001</v>
      </c>
      <c r="J13">
        <v>57.485799999999998</v>
      </c>
      <c r="K13">
        <v>50.401308</v>
      </c>
      <c r="L13">
        <v>148.63281799999999</v>
      </c>
      <c r="M13">
        <v>-622.48367399999995</v>
      </c>
      <c r="N13">
        <v>1.3318680000000001</v>
      </c>
      <c r="O13">
        <v>2.705908</v>
      </c>
      <c r="P13">
        <f t="shared" si="0"/>
        <v>2.2197800000000003E-5</v>
      </c>
      <c r="Q13" cm="1">
        <f t="array" ref="Q13">[1]!PropsSI("D","T",J13+273.15,"P",101325,"Water")</f>
        <v>984.47046135731944</v>
      </c>
      <c r="R13" cm="1">
        <f t="array" ref="R13">[1]!PropsSI("D","T",K13+273.15,"P",101325,"Water")</f>
        <v>987.85300827392177</v>
      </c>
      <c r="S13">
        <f t="shared" si="1"/>
        <v>986.16173481562055</v>
      </c>
      <c r="T13" cm="1">
        <f t="array" ref="T13">[1]!PropsSI("H","T",J13+273.15,"P",101325,"Water")</f>
        <v>240728.22465581063</v>
      </c>
      <c r="U13" cm="1">
        <f t="array" ref="U13">[1]!PropsSI("H","T",K13+273.15,"P",101325,"Water")</f>
        <v>211096.52107029225</v>
      </c>
      <c r="V13">
        <f t="shared" si="2"/>
        <v>648.65639150343293</v>
      </c>
      <c r="X13">
        <f t="shared" si="3"/>
        <v>0.26497159999999997</v>
      </c>
      <c r="Y13">
        <f t="shared" si="3"/>
        <v>0.25080261599999998</v>
      </c>
      <c r="Z13">
        <f t="shared" si="9"/>
        <v>0.36484503696638582</v>
      </c>
      <c r="AA13">
        <f t="shared" si="8"/>
        <v>7.0844919999999973</v>
      </c>
      <c r="AB13">
        <f t="shared" si="5"/>
        <v>5.2461017825948406E-2</v>
      </c>
      <c r="AC13">
        <f t="shared" si="6"/>
        <v>34.029174517576962</v>
      </c>
    </row>
    <row r="14" spans="1:29" x14ac:dyDescent="0.2">
      <c r="A14">
        <v>44675.026979007002</v>
      </c>
      <c r="B14">
        <v>17.054834</v>
      </c>
      <c r="C14">
        <v>17.205621000000001</v>
      </c>
      <c r="D14">
        <v>18.751801</v>
      </c>
      <c r="E14">
        <v>19.087035</v>
      </c>
      <c r="F14">
        <v>32.262614999999997</v>
      </c>
      <c r="G14">
        <v>31.336023000000001</v>
      </c>
      <c r="H14">
        <v>29.180205999999998</v>
      </c>
      <c r="I14">
        <v>26.508483999999999</v>
      </c>
      <c r="J14">
        <v>57.489462000000003</v>
      </c>
      <c r="K14">
        <v>50.411158999999998</v>
      </c>
      <c r="L14">
        <v>158.625787</v>
      </c>
      <c r="M14">
        <v>-622.50693799999999</v>
      </c>
      <c r="N14">
        <v>1.323971</v>
      </c>
      <c r="O14">
        <v>2.5464500000000001</v>
      </c>
      <c r="P14">
        <f t="shared" si="0"/>
        <v>2.2066183333333332E-5</v>
      </c>
      <c r="Q14" cm="1">
        <f t="array" ref="Q14">[1]!PropsSI("D","T",J14+273.15,"P",101325,"Water")</f>
        <v>984.46863240598725</v>
      </c>
      <c r="R14" cm="1">
        <f t="array" ref="R14">[1]!PropsSI("D","T",K14+273.15,"P",101325,"Water")</f>
        <v>987.84852650358528</v>
      </c>
      <c r="S14">
        <f t="shared" si="1"/>
        <v>986.15857945478626</v>
      </c>
      <c r="T14" cm="1">
        <f t="array" ref="T14">[1]!PropsSI("H","T",J14+273.15,"P",101325,"Water")</f>
        <v>240743.54610931201</v>
      </c>
      <c r="U14" cm="1">
        <f t="array" ref="U14">[1]!PropsSI("H","T",K14+273.15,"P",101325,"Water")</f>
        <v>211137.71261879694</v>
      </c>
      <c r="V14">
        <f t="shared" si="2"/>
        <v>644.24531905945582</v>
      </c>
      <c r="X14">
        <f t="shared" si="3"/>
        <v>0.264978924</v>
      </c>
      <c r="Y14">
        <f t="shared" si="3"/>
        <v>0.25082231799999999</v>
      </c>
      <c r="Z14">
        <f t="shared" si="9"/>
        <v>0.36486389979153994</v>
      </c>
      <c r="AA14">
        <f t="shared" si="8"/>
        <v>7.0783030000000053</v>
      </c>
      <c r="AB14">
        <f t="shared" si="5"/>
        <v>5.2507837867689783E-2</v>
      </c>
      <c r="AC14">
        <f t="shared" si="6"/>
        <v>33.82792876019198</v>
      </c>
    </row>
    <row r="15" spans="1:29" x14ac:dyDescent="0.2">
      <c r="A15">
        <v>46137.027014305553</v>
      </c>
      <c r="B15">
        <v>16.993124999999999</v>
      </c>
      <c r="C15">
        <v>17.144107000000002</v>
      </c>
      <c r="D15">
        <v>18.658342999999999</v>
      </c>
      <c r="E15">
        <v>19.025047000000001</v>
      </c>
      <c r="F15">
        <v>32.481383999999998</v>
      </c>
      <c r="G15">
        <v>32.410457000000001</v>
      </c>
      <c r="H15">
        <v>28.617175</v>
      </c>
      <c r="I15">
        <v>26.359017999999999</v>
      </c>
      <c r="J15">
        <v>57.494717000000001</v>
      </c>
      <c r="K15">
        <v>50.414337000000003</v>
      </c>
      <c r="L15">
        <v>146.409255</v>
      </c>
      <c r="M15">
        <v>-622.49510199999997</v>
      </c>
      <c r="N15">
        <v>1.3336380000000001</v>
      </c>
      <c r="O15">
        <v>2.975708</v>
      </c>
      <c r="P15">
        <f t="shared" si="0"/>
        <v>2.22273E-5</v>
      </c>
      <c r="Q15" cm="1">
        <f t="array" ref="Q15">[1]!PropsSI("D","T",J15+273.15,"P",101325,"Water")</f>
        <v>984.46600770405826</v>
      </c>
      <c r="R15" cm="1">
        <f t="array" ref="R15">[1]!PropsSI("D","T",K15+273.15,"P",101325,"Water")</f>
        <v>987.84708051864982</v>
      </c>
      <c r="S15">
        <f t="shared" si="1"/>
        <v>986.15654411135404</v>
      </c>
      <c r="T15" cm="1">
        <f t="array" ref="T15">[1]!PropsSI("H","T",J15+273.15,"P",101325,"Water")</f>
        <v>240765.53253000116</v>
      </c>
      <c r="U15" cm="1">
        <f t="array" ref="U15">[1]!PropsSI("H","T",K15+273.15,"P",101325,"Water")</f>
        <v>211151.00130018991</v>
      </c>
      <c r="V15">
        <f t="shared" si="2"/>
        <v>649.13860035312393</v>
      </c>
      <c r="X15">
        <f t="shared" si="3"/>
        <v>0.26498943399999997</v>
      </c>
      <c r="Y15">
        <f t="shared" si="3"/>
        <v>0.25082867399999997</v>
      </c>
      <c r="Z15">
        <f t="shared" si="9"/>
        <v>0.36487590196152803</v>
      </c>
      <c r="AA15">
        <f t="shared" si="8"/>
        <v>7.0803799999999981</v>
      </c>
      <c r="AB15">
        <f t="shared" si="5"/>
        <v>5.2494657750217021E-2</v>
      </c>
      <c r="AC15">
        <f t="shared" si="6"/>
        <v>34.076308657992143</v>
      </c>
    </row>
    <row r="16" spans="1:29" x14ac:dyDescent="0.2">
      <c r="A16">
        <v>46137.027049606484</v>
      </c>
      <c r="B16">
        <v>16.803124</v>
      </c>
      <c r="C16">
        <v>16.942755999999999</v>
      </c>
      <c r="D16">
        <v>18.442872999999999</v>
      </c>
      <c r="E16">
        <v>18.934878000000001</v>
      </c>
      <c r="F16">
        <v>32.256205000000001</v>
      </c>
      <c r="G16">
        <v>32.113796000000001</v>
      </c>
      <c r="H16">
        <v>28.921890999999999</v>
      </c>
      <c r="I16">
        <v>26.658472</v>
      </c>
      <c r="J16">
        <v>57.497106000000002</v>
      </c>
      <c r="K16">
        <v>50.404961999999998</v>
      </c>
      <c r="L16">
        <v>153.38645700000001</v>
      </c>
      <c r="M16">
        <v>-622.47877700000004</v>
      </c>
      <c r="N16">
        <v>1.322074</v>
      </c>
      <c r="O16">
        <v>2.9881489999999999</v>
      </c>
      <c r="P16">
        <f t="shared" si="0"/>
        <v>2.2034566666666664E-5</v>
      </c>
      <c r="Q16" cm="1">
        <f t="array" ref="Q16">[1]!PropsSI("D","T",J16+273.15,"P",101325,"Water")</f>
        <v>984.46481442084098</v>
      </c>
      <c r="R16" cm="1">
        <f t="array" ref="R16">[1]!PropsSI("D","T",K16+273.15,"P",101325,"Water")</f>
        <v>987.85134593906128</v>
      </c>
      <c r="S16">
        <f t="shared" si="1"/>
        <v>986.15808017995118</v>
      </c>
      <c r="T16" cm="1">
        <f t="array" ref="T16">[1]!PropsSI("H","T",J16+273.15,"P",101325,"Water")</f>
        <v>240775.52788264459</v>
      </c>
      <c r="U16" cm="1">
        <f t="array" ref="U16">[1]!PropsSI("H","T",K16+273.15,"P",101325,"Water")</f>
        <v>211111.80011664733</v>
      </c>
      <c r="V16">
        <f t="shared" si="2"/>
        <v>644.57992915809814</v>
      </c>
      <c r="X16">
        <f t="shared" si="3"/>
        <v>0.26499421200000001</v>
      </c>
      <c r="Y16">
        <f t="shared" si="3"/>
        <v>0.25080992400000002</v>
      </c>
      <c r="Z16">
        <f t="shared" si="9"/>
        <v>0.36486648293641161</v>
      </c>
      <c r="AA16">
        <f t="shared" si="8"/>
        <v>7.0921440000000047</v>
      </c>
      <c r="AB16">
        <f t="shared" si="5"/>
        <v>5.2409441587620793E-2</v>
      </c>
      <c r="AC16">
        <f t="shared" si="6"/>
        <v>33.782074145764092</v>
      </c>
    </row>
    <row r="17" spans="1:29" x14ac:dyDescent="0.2">
      <c r="A17">
        <v>46137.027084907408</v>
      </c>
      <c r="B17">
        <v>16.896826000000001</v>
      </c>
      <c r="C17">
        <v>17.022781999999999</v>
      </c>
      <c r="D17">
        <v>18.652471999999999</v>
      </c>
      <c r="E17">
        <v>18.964227000000001</v>
      </c>
      <c r="F17">
        <v>31.952539999999999</v>
      </c>
      <c r="G17">
        <v>30.461237000000001</v>
      </c>
      <c r="H17">
        <v>29.373141</v>
      </c>
      <c r="I17">
        <v>26.363931999999998</v>
      </c>
      <c r="J17">
        <v>57.501882999999999</v>
      </c>
      <c r="K17">
        <v>50.394475</v>
      </c>
      <c r="L17">
        <v>150.78699499999999</v>
      </c>
      <c r="M17">
        <v>-622.50408100000004</v>
      </c>
      <c r="N17">
        <v>1.3378049999999999</v>
      </c>
      <c r="O17">
        <v>2.915842</v>
      </c>
      <c r="P17">
        <f t="shared" si="0"/>
        <v>2.2296749999999996E-5</v>
      </c>
      <c r="Q17" cm="1">
        <f t="array" ref="Q17">[1]!PropsSI("D","T",J17+273.15,"P",101325,"Water")</f>
        <v>984.46242825033255</v>
      </c>
      <c r="R17" cm="1">
        <f t="array" ref="R17">[1]!PropsSI("D","T",K17+273.15,"P",101325,"Water")</f>
        <v>987.85611661523296</v>
      </c>
      <c r="S17">
        <f t="shared" si="1"/>
        <v>986.1592724327827</v>
      </c>
      <c r="T17" cm="1">
        <f t="array" ref="T17">[1]!PropsSI("H","T",J17+273.15,"P",101325,"Water")</f>
        <v>240795.51441089206</v>
      </c>
      <c r="U17" cm="1">
        <f t="array" ref="U17">[1]!PropsSI("H","T",K17+273.15,"P",101325,"Water")</f>
        <v>211067.94918024293</v>
      </c>
      <c r="V17">
        <f t="shared" si="2"/>
        <v>653.65406703810538</v>
      </c>
      <c r="X17">
        <f t="shared" si="3"/>
        <v>0.26500376599999997</v>
      </c>
      <c r="Y17">
        <f t="shared" si="3"/>
        <v>0.25078895000000001</v>
      </c>
      <c r="Z17">
        <f t="shared" si="9"/>
        <v>0.36485900487213579</v>
      </c>
      <c r="AA17">
        <f t="shared" si="8"/>
        <v>7.1074079999999995</v>
      </c>
      <c r="AB17">
        <f t="shared" si="5"/>
        <v>5.229995538771548E-2</v>
      </c>
      <c r="AC17">
        <f t="shared" si="6"/>
        <v>34.186078545091696</v>
      </c>
    </row>
    <row r="18" spans="1:29" x14ac:dyDescent="0.2">
      <c r="A18">
        <v>46137.027119629631</v>
      </c>
      <c r="B18">
        <v>17.049147999999999</v>
      </c>
      <c r="C18">
        <v>17.216445</v>
      </c>
      <c r="D18">
        <v>18.764164000000001</v>
      </c>
      <c r="E18">
        <v>18.980798</v>
      </c>
      <c r="F18">
        <v>32.021174999999999</v>
      </c>
      <c r="G18">
        <v>31.506716999999998</v>
      </c>
      <c r="H18">
        <v>28.671315</v>
      </c>
      <c r="I18">
        <v>26.804587000000001</v>
      </c>
      <c r="J18">
        <v>57.506500000000003</v>
      </c>
      <c r="K18">
        <v>50.394952000000004</v>
      </c>
      <c r="L18">
        <v>141.017281</v>
      </c>
      <c r="M18">
        <v>-622.50367300000005</v>
      </c>
      <c r="N18">
        <v>1.3275319999999999</v>
      </c>
      <c r="O18">
        <v>2.8544119999999999</v>
      </c>
      <c r="P18">
        <f t="shared" si="0"/>
        <v>2.2125533333333334E-5</v>
      </c>
      <c r="Q18" cm="1">
        <f t="array" ref="Q18">[1]!PropsSI("D","T",J18+273.15,"P",101325,"Water")</f>
        <v>984.46012187057977</v>
      </c>
      <c r="R18" cm="1">
        <f t="array" ref="R18">[1]!PropsSI("D","T",K18+273.15,"P",101325,"Water")</f>
        <v>987.85589963716495</v>
      </c>
      <c r="S18">
        <f t="shared" si="1"/>
        <v>986.1580107538723</v>
      </c>
      <c r="T18" cm="1">
        <f t="array" ref="T18">[1]!PropsSI("H","T",J18+273.15,"P",101325,"Water")</f>
        <v>240814.83152250625</v>
      </c>
      <c r="U18" cm="1">
        <f t="array" ref="U18">[1]!PropsSI("H","T",K18+273.15,"P",101325,"Water")</f>
        <v>211069.94373439366</v>
      </c>
      <c r="V18">
        <f t="shared" si="2"/>
        <v>649.01179543995727</v>
      </c>
      <c r="X18">
        <f t="shared" si="3"/>
        <v>0.265013</v>
      </c>
      <c r="Y18">
        <f t="shared" si="3"/>
        <v>0.25078990400000001</v>
      </c>
      <c r="Z18">
        <f t="shared" si="9"/>
        <v>0.36486636747901174</v>
      </c>
      <c r="AA18">
        <f t="shared" si="8"/>
        <v>7.1115479999999991</v>
      </c>
      <c r="AB18">
        <f t="shared" si="5"/>
        <v>5.2271638472656277E-2</v>
      </c>
      <c r="AC18">
        <f t="shared" si="6"/>
        <v>33.924909935726994</v>
      </c>
    </row>
    <row r="19" spans="1:29" x14ac:dyDescent="0.2">
      <c r="A19">
        <v>46137.027154930554</v>
      </c>
      <c r="B19">
        <v>17.279748000000001</v>
      </c>
      <c r="C19">
        <v>17.483937000000001</v>
      </c>
      <c r="D19">
        <v>18.812044</v>
      </c>
      <c r="E19">
        <v>19.020696999999998</v>
      </c>
      <c r="F19">
        <v>32.558937999999998</v>
      </c>
      <c r="G19">
        <v>33.169539</v>
      </c>
      <c r="H19">
        <v>29.057969</v>
      </c>
      <c r="I19">
        <v>26.897428999999999</v>
      </c>
      <c r="J19">
        <v>57.506659999999997</v>
      </c>
      <c r="K19">
        <v>50.406391999999997</v>
      </c>
      <c r="L19">
        <v>156.76588000000001</v>
      </c>
      <c r="M19">
        <v>-622.48489900000004</v>
      </c>
      <c r="N19">
        <v>1.330884</v>
      </c>
      <c r="O19">
        <v>2.8156150000000002</v>
      </c>
      <c r="P19">
        <f t="shared" si="0"/>
        <v>2.2181400000000001E-5</v>
      </c>
      <c r="Q19" cm="1">
        <f t="array" ref="Q19">[1]!PropsSI("D","T",J19+273.15,"P",101325,"Water")</f>
        <v>984.46004194173986</v>
      </c>
      <c r="R19" cm="1">
        <f t="array" ref="R19">[1]!PropsSI("D","T",K19+273.15,"P",101325,"Water")</f>
        <v>987.85069535733533</v>
      </c>
      <c r="S19">
        <f t="shared" si="1"/>
        <v>986.15536864953765</v>
      </c>
      <c r="T19" cm="1">
        <f t="array" ref="T19">[1]!PropsSI("H","T",J19+273.15,"P",101325,"Water")</f>
        <v>240815.50094824392</v>
      </c>
      <c r="U19" cm="1">
        <f t="array" ref="U19">[1]!PropsSI("H","T",K19+273.15,"P",101325,"Water")</f>
        <v>211117.77960221245</v>
      </c>
      <c r="V19">
        <f t="shared" si="2"/>
        <v>649.61706484087927</v>
      </c>
      <c r="X19">
        <f t="shared" si="3"/>
        <v>0.26501332</v>
      </c>
      <c r="Y19">
        <f t="shared" si="3"/>
        <v>0.25081278400000001</v>
      </c>
      <c r="Z19">
        <f t="shared" si="9"/>
        <v>0.36488232677844656</v>
      </c>
      <c r="AA19">
        <f t="shared" si="8"/>
        <v>7.1002679999999998</v>
      </c>
      <c r="AB19">
        <f t="shared" si="5"/>
        <v>5.2353850361436208E-2</v>
      </c>
      <c r="AC19">
        <f t="shared" si="6"/>
        <v>34.009954604914796</v>
      </c>
    </row>
    <row r="20" spans="1:29" x14ac:dyDescent="0.2">
      <c r="A20">
        <v>46137.027189652777</v>
      </c>
      <c r="B20">
        <v>17.136937</v>
      </c>
      <c r="C20">
        <v>17.336469999999998</v>
      </c>
      <c r="D20">
        <v>18.870480000000001</v>
      </c>
      <c r="E20">
        <v>19.069807999999998</v>
      </c>
      <c r="F20">
        <v>32.386845000000001</v>
      </c>
      <c r="G20">
        <v>32.681387000000001</v>
      </c>
      <c r="H20">
        <v>28.760193999999998</v>
      </c>
      <c r="I20">
        <v>26.703530000000001</v>
      </c>
      <c r="J20">
        <v>57.509207000000004</v>
      </c>
      <c r="K20">
        <v>50.417831999999997</v>
      </c>
      <c r="L20">
        <v>142.431904</v>
      </c>
      <c r="M20">
        <v>-622.50449000000003</v>
      </c>
      <c r="N20">
        <v>1.3347850000000001</v>
      </c>
      <c r="O20">
        <v>2.8618209999999999</v>
      </c>
      <c r="P20">
        <f t="shared" si="0"/>
        <v>2.2246416666666671E-5</v>
      </c>
      <c r="Q20" cm="1">
        <f t="array" ref="Q20">[1]!PropsSI("D","T",J20+273.15,"P",101325,"Water")</f>
        <v>984.458769553715</v>
      </c>
      <c r="R20" cm="1">
        <f t="array" ref="R20">[1]!PropsSI("D","T",K20+273.15,"P",101325,"Water")</f>
        <v>987.84549022308715</v>
      </c>
      <c r="S20">
        <f t="shared" si="1"/>
        <v>986.15212988840108</v>
      </c>
      <c r="T20" cm="1">
        <f t="array" ref="T20">[1]!PropsSI("H","T",J20+273.15,"P",101325,"Water")</f>
        <v>240826.15737033784</v>
      </c>
      <c r="U20" cm="1">
        <f t="array" ref="U20">[1]!PropsSI("H","T",K20+273.15,"P",101325,"Water")</f>
        <v>211165.61550789111</v>
      </c>
      <c r="V20">
        <f t="shared" si="2"/>
        <v>650.70338351459725</v>
      </c>
      <c r="X20">
        <f t="shared" si="3"/>
        <v>0.26501841400000004</v>
      </c>
      <c r="Y20">
        <f t="shared" si="3"/>
        <v>0.25083566400000001</v>
      </c>
      <c r="Z20">
        <f t="shared" si="9"/>
        <v>0.36490175402893904</v>
      </c>
      <c r="AA20">
        <f t="shared" si="8"/>
        <v>7.0913750000000064</v>
      </c>
      <c r="AB20">
        <f t="shared" si="5"/>
        <v>5.2419800499734492E-2</v>
      </c>
      <c r="AC20">
        <f t="shared" si="6"/>
        <v>34.109741548337411</v>
      </c>
    </row>
    <row r="21" spans="1:29" x14ac:dyDescent="0.2">
      <c r="A21">
        <v>46137.027224375001</v>
      </c>
      <c r="B21">
        <v>17.122330999999999</v>
      </c>
      <c r="C21">
        <v>17.289615000000001</v>
      </c>
      <c r="D21">
        <v>18.898349</v>
      </c>
      <c r="E21">
        <v>19.137609999999999</v>
      </c>
      <c r="F21">
        <v>32.347025000000002</v>
      </c>
      <c r="G21">
        <v>33.583306999999998</v>
      </c>
      <c r="H21">
        <v>28.849822</v>
      </c>
      <c r="I21">
        <v>27.110872000000001</v>
      </c>
      <c r="J21">
        <v>57.511437000000001</v>
      </c>
      <c r="K21">
        <v>50.434992999999999</v>
      </c>
      <c r="L21">
        <v>160.627319</v>
      </c>
      <c r="M21">
        <v>-622.5</v>
      </c>
      <c r="N21">
        <v>1.328921</v>
      </c>
      <c r="O21">
        <v>2.8150559999999998</v>
      </c>
      <c r="P21">
        <f t="shared" si="0"/>
        <v>2.2148683333333334E-5</v>
      </c>
      <c r="Q21" cm="1">
        <f t="array" ref="Q21">[1]!PropsSI("D","T",J21+273.15,"P",101325,"Water")</f>
        <v>984.45765549506314</v>
      </c>
      <c r="R21" cm="1">
        <f t="array" ref="R21">[1]!PropsSI("D","T",K21+273.15,"P",101325,"Water")</f>
        <v>987.83768046472926</v>
      </c>
      <c r="S21">
        <f t="shared" si="1"/>
        <v>986.14766797989614</v>
      </c>
      <c r="T21" cm="1">
        <f t="array" ref="T21">[1]!PropsSI("H","T",J21+273.15,"P",101325,"Water")</f>
        <v>240835.48749467934</v>
      </c>
      <c r="U21" cm="1">
        <f t="array" ref="U21">[1]!PropsSI("H","T",K21+273.15,"P",101325,"Water")</f>
        <v>211237.3736190488</v>
      </c>
      <c r="V21">
        <f t="shared" si="2"/>
        <v>646.47822708471688</v>
      </c>
      <c r="X21">
        <f t="shared" si="3"/>
        <v>0.26502287400000002</v>
      </c>
      <c r="Y21">
        <f t="shared" si="3"/>
        <v>0.25086998599999999</v>
      </c>
      <c r="Z21">
        <f t="shared" si="9"/>
        <v>0.36492858701239078</v>
      </c>
      <c r="AA21">
        <f t="shared" si="8"/>
        <v>7.0764440000000022</v>
      </c>
      <c r="AB21">
        <f t="shared" si="5"/>
        <v>5.2530105573876731E-2</v>
      </c>
      <c r="AC21">
        <f t="shared" si="6"/>
        <v>33.959569519972831</v>
      </c>
    </row>
    <row r="22" spans="1:29" x14ac:dyDescent="0.2">
      <c r="A22">
        <v>46137.027259675924</v>
      </c>
      <c r="B22">
        <v>17.037455000000001</v>
      </c>
      <c r="C22">
        <v>17.318635</v>
      </c>
      <c r="D22">
        <v>18.861333999999999</v>
      </c>
      <c r="E22">
        <v>19.122226000000001</v>
      </c>
      <c r="F22">
        <v>32.433515</v>
      </c>
      <c r="G22">
        <v>34.396577999999998</v>
      </c>
      <c r="H22">
        <v>28.544737000000001</v>
      </c>
      <c r="I22">
        <v>26.926904</v>
      </c>
      <c r="J22">
        <v>57.516531999999998</v>
      </c>
      <c r="K22">
        <v>50.445480000000003</v>
      </c>
      <c r="L22">
        <v>146.750463</v>
      </c>
      <c r="M22">
        <v>-622.50285699999995</v>
      </c>
      <c r="N22">
        <v>1.3270569999999999</v>
      </c>
      <c r="O22">
        <v>2.7875429999999999</v>
      </c>
      <c r="P22">
        <f t="shared" si="0"/>
        <v>2.2117616666666666E-5</v>
      </c>
      <c r="Q22" cm="1">
        <f t="array" ref="Q22">[1]!PropsSI("D","T",J22+273.15,"P",101325,"Water")</f>
        <v>984.45511003288618</v>
      </c>
      <c r="R22" cm="1">
        <f t="array" ref="R22">[1]!PropsSI("D","T",K22+273.15,"P",101325,"Water")</f>
        <v>987.83290701481053</v>
      </c>
      <c r="S22">
        <f t="shared" si="1"/>
        <v>986.14400852384836</v>
      </c>
      <c r="T22" cm="1">
        <f t="array" ref="T22">[1]!PropsSI("H","T",J22+273.15,"P",101325,"Water")</f>
        <v>240856.80453519139</v>
      </c>
      <c r="U22" cm="1">
        <f t="array" ref="U22">[1]!PropsSI("H","T",K22+273.15,"P",101325,"Water")</f>
        <v>211281.22467858938</v>
      </c>
      <c r="V22">
        <f t="shared" si="2"/>
        <v>645.07756115970187</v>
      </c>
      <c r="X22">
        <f t="shared" si="3"/>
        <v>0.26503306399999998</v>
      </c>
      <c r="Y22">
        <f t="shared" si="3"/>
        <v>0.25089096</v>
      </c>
      <c r="Z22">
        <f t="shared" si="9"/>
        <v>0.36495040597723644</v>
      </c>
      <c r="AA22">
        <f t="shared" si="8"/>
        <v>7.0710519999999946</v>
      </c>
      <c r="AB22">
        <f t="shared" si="5"/>
        <v>5.2571740408957311E-2</v>
      </c>
      <c r="AC22">
        <f t="shared" si="6"/>
        <v>33.91285008893113</v>
      </c>
    </row>
    <row r="23" spans="1:29" x14ac:dyDescent="0.2">
      <c r="A23">
        <v>46137.027294398147</v>
      </c>
      <c r="B23">
        <v>17.104016000000001</v>
      </c>
      <c r="C23">
        <v>17.461424999999998</v>
      </c>
      <c r="D23">
        <v>18.832885999999998</v>
      </c>
      <c r="E23">
        <v>19.086963000000001</v>
      </c>
      <c r="F23">
        <v>32.641258000000001</v>
      </c>
      <c r="G23">
        <v>32.887405999999999</v>
      </c>
      <c r="H23">
        <v>28.665389999999999</v>
      </c>
      <c r="I23">
        <v>27.084244000000002</v>
      </c>
      <c r="J23">
        <v>57.519238999999999</v>
      </c>
      <c r="K23">
        <v>50.447546000000003</v>
      </c>
      <c r="L23">
        <v>150.641288</v>
      </c>
      <c r="M23">
        <v>-622.49469399999998</v>
      </c>
      <c r="N23">
        <v>1.326479</v>
      </c>
      <c r="O23">
        <v>2.8459099999999999</v>
      </c>
      <c r="P23">
        <f t="shared" si="0"/>
        <v>2.2107983333333332E-5</v>
      </c>
      <c r="Q23" cm="1">
        <f t="array" ref="Q23">[1]!PropsSI("D","T",J23+273.15,"P",101325,"Water")</f>
        <v>984.45375755170755</v>
      </c>
      <c r="R23" cm="1">
        <f t="array" ref="R23">[1]!PropsSI("D","T",K23+273.15,"P",101325,"Water")</f>
        <v>987.83196653280129</v>
      </c>
      <c r="S23">
        <f t="shared" si="1"/>
        <v>986.14286204225436</v>
      </c>
      <c r="T23" cm="1">
        <f t="array" ref="T23">[1]!PropsSI("H","T",J23+273.15,"P",101325,"Water")</f>
        <v>240868.13039384177</v>
      </c>
      <c r="U23" cm="1">
        <f t="array" ref="U23">[1]!PropsSI("H","T",K23+273.15,"P",101325,"Water")</f>
        <v>211289.86359612251</v>
      </c>
      <c r="V23">
        <f t="shared" si="2"/>
        <v>644.85442753221355</v>
      </c>
      <c r="X23">
        <f t="shared" si="3"/>
        <v>0.26503847800000002</v>
      </c>
      <c r="Y23">
        <f t="shared" si="3"/>
        <v>0.25089509199999999</v>
      </c>
      <c r="Z23">
        <f t="shared" si="9"/>
        <v>0.36495717832403979</v>
      </c>
      <c r="AA23">
        <f t="shared" si="8"/>
        <v>7.0716929999999962</v>
      </c>
      <c r="AB23">
        <f t="shared" si="5"/>
        <v>5.256808775224165E-2</v>
      </c>
      <c r="AC23">
        <f t="shared" si="6"/>
        <v>33.898764133934954</v>
      </c>
    </row>
    <row r="24" spans="1:29" x14ac:dyDescent="0.2">
      <c r="A24">
        <v>46137.027329699071</v>
      </c>
      <c r="B24">
        <v>17.060122</v>
      </c>
      <c r="C24">
        <v>17.133438999999999</v>
      </c>
      <c r="D24">
        <v>18.794809999999998</v>
      </c>
      <c r="E24">
        <v>19.064464999999998</v>
      </c>
      <c r="F24">
        <v>32.320371999999999</v>
      </c>
      <c r="G24">
        <v>31.667680000000001</v>
      </c>
      <c r="H24">
        <v>28.708093000000002</v>
      </c>
      <c r="I24">
        <v>26.674461999999998</v>
      </c>
      <c r="J24">
        <v>57.524971999999998</v>
      </c>
      <c r="K24">
        <v>50.460416000000002</v>
      </c>
      <c r="L24">
        <v>147.47165100000001</v>
      </c>
      <c r="M24">
        <v>-622.49959200000001</v>
      </c>
      <c r="N24">
        <v>1.3201270000000001</v>
      </c>
      <c r="O24">
        <v>2.9331499999999999</v>
      </c>
      <c r="P24">
        <f t="shared" si="0"/>
        <v>2.2002116666666671E-5</v>
      </c>
      <c r="Q24" cm="1">
        <f t="array" ref="Q24">[1]!PropsSI("D","T",J24+273.15,"P",101325,"Water")</f>
        <v>984.45089306306306</v>
      </c>
      <c r="R24" cm="1">
        <f t="array" ref="R24">[1]!PropsSI("D","T",K24+273.15,"P",101325,"Water")</f>
        <v>987.82610723976859</v>
      </c>
      <c r="S24">
        <f t="shared" si="1"/>
        <v>986.13850015141588</v>
      </c>
      <c r="T24" cm="1">
        <f t="array" ref="T24">[1]!PropsSI("H","T",J24+273.15,"P",101325,"Water")</f>
        <v>240892.11678987893</v>
      </c>
      <c r="U24" cm="1">
        <f t="array" ref="U24">[1]!PropsSI("H","T",K24+273.15,"P",101325,"Water")</f>
        <v>211343.67914635991</v>
      </c>
      <c r="V24">
        <f t="shared" si="2"/>
        <v>641.11642078783495</v>
      </c>
      <c r="X24">
        <f t="shared" si="3"/>
        <v>0.26504994399999998</v>
      </c>
      <c r="Y24">
        <f t="shared" si="3"/>
        <v>0.25092083199999998</v>
      </c>
      <c r="Z24">
        <f t="shared" si="9"/>
        <v>0.36498320063528311</v>
      </c>
      <c r="AA24">
        <f t="shared" si="8"/>
        <v>7.0645559999999961</v>
      </c>
      <c r="AB24">
        <f t="shared" si="5"/>
        <v>5.2622890413290969E-2</v>
      </c>
      <c r="AC24">
        <f t="shared" si="6"/>
        <v>33.737399153279583</v>
      </c>
    </row>
    <row r="25" spans="1:29" x14ac:dyDescent="0.2">
      <c r="A25">
        <v>46137.027365000002</v>
      </c>
      <c r="B25">
        <v>16.964638999999998</v>
      </c>
      <c r="C25">
        <v>17.185130000000001</v>
      </c>
      <c r="D25">
        <v>18.734469000000001</v>
      </c>
      <c r="E25">
        <v>19.056715000000001</v>
      </c>
      <c r="F25">
        <v>32.159319000000004</v>
      </c>
      <c r="G25">
        <v>32.367908999999997</v>
      </c>
      <c r="H25">
        <v>28.698944999999998</v>
      </c>
      <c r="I25">
        <v>26.807323</v>
      </c>
      <c r="J25">
        <v>57.524971999999998</v>
      </c>
      <c r="K25">
        <v>50.465183000000003</v>
      </c>
      <c r="L25">
        <v>154.08846299999999</v>
      </c>
      <c r="M25">
        <v>-622.49755100000004</v>
      </c>
      <c r="N25">
        <v>1.326926</v>
      </c>
      <c r="O25">
        <v>2.8907820000000002</v>
      </c>
      <c r="P25">
        <f t="shared" si="0"/>
        <v>2.2115433333333332E-5</v>
      </c>
      <c r="Q25" cm="1">
        <f t="array" ref="Q25">[1]!PropsSI("D","T",J25+273.15,"P",101325,"Water")</f>
        <v>984.45089306306306</v>
      </c>
      <c r="R25" cm="1">
        <f t="array" ref="R25">[1]!PropsSI("D","T",K25+273.15,"P",101325,"Water")</f>
        <v>987.82393670517251</v>
      </c>
      <c r="S25">
        <f t="shared" si="1"/>
        <v>986.13741488411779</v>
      </c>
      <c r="T25" cm="1">
        <f t="array" ref="T25">[1]!PropsSI("H","T",J25+273.15,"P",101325,"Water")</f>
        <v>240892.11678987893</v>
      </c>
      <c r="U25" cm="1">
        <f t="array" ref="U25">[1]!PropsSI("H","T",K25+273.15,"P",101325,"Water")</f>
        <v>211363.61223762238</v>
      </c>
      <c r="V25">
        <f t="shared" si="2"/>
        <v>643.98291124588911</v>
      </c>
      <c r="X25">
        <f t="shared" si="3"/>
        <v>0.26504994399999998</v>
      </c>
      <c r="Y25">
        <f t="shared" si="3"/>
        <v>0.25093036600000002</v>
      </c>
      <c r="Z25">
        <f t="shared" si="9"/>
        <v>0.36498975519224791</v>
      </c>
      <c r="AA25">
        <f t="shared" si="8"/>
        <v>7.059788999999995</v>
      </c>
      <c r="AB25">
        <f t="shared" si="5"/>
        <v>5.2658051910041831E-2</v>
      </c>
      <c r="AC25">
        <f t="shared" si="6"/>
        <v>33.910885569565892</v>
      </c>
    </row>
    <row r="26" spans="1:29" x14ac:dyDescent="0.2">
      <c r="A26">
        <v>46137.027399722225</v>
      </c>
      <c r="B26">
        <v>16.948851000000001</v>
      </c>
      <c r="C26">
        <v>17.113592000000001</v>
      </c>
      <c r="D26">
        <v>18.566005000000001</v>
      </c>
      <c r="E26">
        <v>18.981120000000001</v>
      </c>
      <c r="F26">
        <v>32.165754999999997</v>
      </c>
      <c r="G26">
        <v>33.255083999999997</v>
      </c>
      <c r="H26">
        <v>28.615881999999999</v>
      </c>
      <c r="I26">
        <v>26.680251999999999</v>
      </c>
      <c r="J26">
        <v>57.531500000000001</v>
      </c>
      <c r="K26">
        <v>50.459940000000003</v>
      </c>
      <c r="L26">
        <v>152.597925</v>
      </c>
      <c r="M26">
        <v>-622.48571500000003</v>
      </c>
      <c r="N26">
        <v>1.32148</v>
      </c>
      <c r="O26">
        <v>2.9953799999999999</v>
      </c>
      <c r="P26">
        <f t="shared" ref="P26:P51" si="10" xml:space="preserve"> N26*0.001/60</f>
        <v>2.2024666666666669E-5</v>
      </c>
      <c r="Q26" cm="1">
        <f t="array" ref="Q26">[1]!PropsSI("D","T",J26+273.15,"P",101325,"Water")</f>
        <v>984.4476311111971</v>
      </c>
      <c r="R26" cm="1">
        <f t="array" ref="R26">[1]!PropsSI("D","T",K26+273.15,"P",101325,"Water")</f>
        <v>987.82632396636427</v>
      </c>
      <c r="S26">
        <f t="shared" ref="S26:S51" si="11">(Q26+R26)/2</f>
        <v>986.13697753878068</v>
      </c>
      <c r="T26" cm="1">
        <f t="array" ref="T26">[1]!PropsSI("H","T",J26+273.15,"P",101325,"Water")</f>
        <v>240919.42941588594</v>
      </c>
      <c r="U26" cm="1">
        <f t="array" ref="U26">[1]!PropsSI("H","T",K26+273.15,"P",101325,"Water")</f>
        <v>211341.68876457692</v>
      </c>
      <c r="V26">
        <f t="shared" ref="V26:V51" si="12">S26*P26*(T26-U26)</f>
        <v>642.40895292905668</v>
      </c>
      <c r="X26">
        <f t="shared" ref="X26:X51" si="13">(0.15+0.002*ABS(J26))</f>
        <v>0.26506299999999999</v>
      </c>
      <c r="Y26">
        <f t="shared" ref="Y26:Y51" si="14">(0.15+0.002*ABS(K26))</f>
        <v>0.25091987999999998</v>
      </c>
      <c r="Z26">
        <f t="shared" ref="Z26:Z51" si="15">SQRT((X26)^2 + (Y26)^2)</f>
        <v>0.3649920275132244</v>
      </c>
      <c r="AA26">
        <f t="shared" ref="AA26:AA51" si="16">J26-K26</f>
        <v>7.0715599999999981</v>
      </c>
      <c r="AB26">
        <f t="shared" ref="AB26:AB51" si="17">SQRT((0.01)^2 + (Z26/ABS(AA26))^2)</f>
        <v>5.2573878761017177E-2</v>
      </c>
      <c r="AC26">
        <f t="shared" ref="AC26:AC51" si="18">ABS(V26*AB26)</f>
        <v>33.773930406284215</v>
      </c>
    </row>
    <row r="27" spans="1:29" x14ac:dyDescent="0.2">
      <c r="A27">
        <v>46137.027435023148</v>
      </c>
      <c r="B27">
        <v>16.820824000000002</v>
      </c>
      <c r="C27">
        <v>16.952912000000001</v>
      </c>
      <c r="D27">
        <v>18.530707</v>
      </c>
      <c r="E27">
        <v>18.971347000000002</v>
      </c>
      <c r="F27">
        <v>32.148420000000002</v>
      </c>
      <c r="G27">
        <v>32.694305</v>
      </c>
      <c r="H27">
        <v>28.729998999999999</v>
      </c>
      <c r="I27">
        <v>26.211656000000001</v>
      </c>
      <c r="J27">
        <v>57.535162999999997</v>
      </c>
      <c r="K27">
        <v>50.460256999999999</v>
      </c>
      <c r="L27">
        <v>159.94123099999999</v>
      </c>
      <c r="M27">
        <v>-622.48163399999999</v>
      </c>
      <c r="N27">
        <v>1.319701</v>
      </c>
      <c r="O27">
        <v>2.9468109999999998</v>
      </c>
      <c r="P27">
        <f t="shared" si="10"/>
        <v>2.1995016666666665E-5</v>
      </c>
      <c r="Q27" cm="1">
        <f t="array" ref="Q27">[1]!PropsSI("D","T",J27+273.15,"P",101325,"Water")</f>
        <v>984.44580064753575</v>
      </c>
      <c r="R27" cm="1">
        <f t="array" ref="R27">[1]!PropsSI("D","T",K27+273.15,"P",101325,"Water")</f>
        <v>987.82617963390555</v>
      </c>
      <c r="S27">
        <f t="shared" si="11"/>
        <v>986.13599014072065</v>
      </c>
      <c r="T27" cm="1">
        <f t="array" ref="T27">[1]!PropsSI("H","T",J27+273.15,"P",101325,"Water")</f>
        <v>240934.75512023526</v>
      </c>
      <c r="U27" cm="1">
        <f t="array" ref="U27">[1]!PropsSI("H","T",K27+273.15,"P",101325,"Water")</f>
        <v>211343.01429188056</v>
      </c>
      <c r="V27">
        <f t="shared" si="12"/>
        <v>641.84715307345914</v>
      </c>
      <c r="X27">
        <f t="shared" si="13"/>
        <v>0.26507032600000002</v>
      </c>
      <c r="Y27">
        <f t="shared" si="14"/>
        <v>0.25092051399999998</v>
      </c>
      <c r="Z27">
        <f t="shared" si="15"/>
        <v>0.36499778365323055</v>
      </c>
      <c r="AA27">
        <f t="shared" si="16"/>
        <v>7.0749059999999986</v>
      </c>
      <c r="AB27">
        <f t="shared" si="17"/>
        <v>5.2550713024152443E-2</v>
      </c>
      <c r="AC27">
        <f t="shared" si="18"/>
        <v>33.729525546532599</v>
      </c>
    </row>
    <row r="28" spans="1:29" x14ac:dyDescent="0.2">
      <c r="A28">
        <v>46137.027470324072</v>
      </c>
      <c r="B28">
        <v>16.716611</v>
      </c>
      <c r="C28">
        <v>16.911076000000001</v>
      </c>
      <c r="D28">
        <v>18.543789</v>
      </c>
      <c r="E28">
        <v>18.943207999999998</v>
      </c>
      <c r="F28">
        <v>32.037860999999999</v>
      </c>
      <c r="G28">
        <v>31.080532000000002</v>
      </c>
      <c r="H28">
        <v>27.895876999999999</v>
      </c>
      <c r="I28">
        <v>26.844045000000001</v>
      </c>
      <c r="J28">
        <v>57.535162999999997</v>
      </c>
      <c r="K28">
        <v>50.455967000000001</v>
      </c>
      <c r="L28">
        <v>140.16507799999999</v>
      </c>
      <c r="M28">
        <v>-622.48489900000004</v>
      </c>
      <c r="N28">
        <v>1.313731</v>
      </c>
      <c r="O28">
        <v>2.7320609999999999</v>
      </c>
      <c r="P28">
        <f t="shared" si="10"/>
        <v>2.1895516666666667E-5</v>
      </c>
      <c r="Q28" cm="1">
        <f t="array" ref="Q28">[1]!PropsSI("D","T",J28+273.15,"P",101325,"Water")</f>
        <v>984.44580064753575</v>
      </c>
      <c r="R28" cm="1">
        <f t="array" ref="R28">[1]!PropsSI("D","T",K28+273.15,"P",101325,"Water")</f>
        <v>987.82813284722317</v>
      </c>
      <c r="S28">
        <f t="shared" si="11"/>
        <v>986.13696674737946</v>
      </c>
      <c r="T28" cm="1">
        <f t="array" ref="T28">[1]!PropsSI("H","T",J28+273.15,"P",101325,"Water")</f>
        <v>240934.75512023526</v>
      </c>
      <c r="U28" cm="1">
        <f t="array" ref="U28">[1]!PropsSI("H","T",K28+273.15,"P",101325,"Water")</f>
        <v>211325.07577004333</v>
      </c>
      <c r="V28">
        <f t="shared" si="12"/>
        <v>639.33155669477082</v>
      </c>
      <c r="X28">
        <f t="shared" si="13"/>
        <v>0.26507032600000002</v>
      </c>
      <c r="Y28">
        <f t="shared" si="14"/>
        <v>0.250911934</v>
      </c>
      <c r="Z28">
        <f t="shared" si="15"/>
        <v>0.36499188531988852</v>
      </c>
      <c r="AA28">
        <f t="shared" si="16"/>
        <v>7.079195999999996</v>
      </c>
      <c r="AB28">
        <f t="shared" si="17"/>
        <v>5.2519202799326065E-2</v>
      </c>
      <c r="AC28">
        <f t="shared" si="18"/>
        <v>33.577183682061495</v>
      </c>
    </row>
    <row r="29" spans="1:29" x14ac:dyDescent="0.2">
      <c r="A29">
        <v>46137.027505046295</v>
      </c>
      <c r="B29">
        <v>16.789921</v>
      </c>
      <c r="C29">
        <v>16.843941999999998</v>
      </c>
      <c r="D29">
        <v>18.523197</v>
      </c>
      <c r="E29">
        <v>18.941514999999999</v>
      </c>
      <c r="F29">
        <v>32.277174000000002</v>
      </c>
      <c r="G29">
        <v>33.412871000000003</v>
      </c>
      <c r="H29">
        <v>28.88317</v>
      </c>
      <c r="I29">
        <v>26.588585999999999</v>
      </c>
      <c r="J29">
        <v>57.543762000000001</v>
      </c>
      <c r="K29">
        <v>50.445957</v>
      </c>
      <c r="L29">
        <v>138.32190499999999</v>
      </c>
      <c r="M29">
        <v>-622.48571500000003</v>
      </c>
      <c r="N29">
        <v>1.3228200000000001</v>
      </c>
      <c r="O29">
        <v>2.8315760000000001</v>
      </c>
      <c r="P29">
        <f t="shared" si="10"/>
        <v>2.2047000000000004E-5</v>
      </c>
      <c r="Q29" cm="1">
        <f t="array" ref="Q29">[1]!PropsSI("D","T",J29+273.15,"P",101325,"Water")</f>
        <v>984.44150326146655</v>
      </c>
      <c r="R29" cm="1">
        <f t="array" ref="R29">[1]!PropsSI("D","T",K29+273.15,"P",101325,"Water")</f>
        <v>987.83268987791098</v>
      </c>
      <c r="S29">
        <f t="shared" si="11"/>
        <v>986.13709656968877</v>
      </c>
      <c r="T29" cm="1">
        <f t="array" ref="T29">[1]!PropsSI("H","T",J29+273.15,"P",101325,"Water")</f>
        <v>240970.73268197436</v>
      </c>
      <c r="U29" cm="1">
        <f t="array" ref="U29">[1]!PropsSI("H","T",K29+273.15,"P",101325,"Water")</f>
        <v>211283.21923981534</v>
      </c>
      <c r="V29">
        <f t="shared" si="12"/>
        <v>645.44705286551527</v>
      </c>
      <c r="X29">
        <f t="shared" si="13"/>
        <v>0.26508752400000002</v>
      </c>
      <c r="Y29">
        <f t="shared" si="14"/>
        <v>0.25089191399999999</v>
      </c>
      <c r="Z29">
        <f t="shared" si="15"/>
        <v>0.36499061342866612</v>
      </c>
      <c r="AA29">
        <f t="shared" si="16"/>
        <v>7.097805000000001</v>
      </c>
      <c r="AB29">
        <f t="shared" si="17"/>
        <v>5.2386330634510564E-2</v>
      </c>
      <c r="AC29">
        <f t="shared" si="18"/>
        <v>33.812602718483305</v>
      </c>
    </row>
    <row r="30" spans="1:29" x14ac:dyDescent="0.2">
      <c r="A30">
        <v>46137.027540347219</v>
      </c>
      <c r="B30">
        <v>16.738620000000001</v>
      </c>
      <c r="C30">
        <v>16.835464999999999</v>
      </c>
      <c r="D30">
        <v>18.570910000000001</v>
      </c>
      <c r="E30">
        <v>18.935051000000001</v>
      </c>
      <c r="F30">
        <v>32.100760999999999</v>
      </c>
      <c r="G30">
        <v>33.140399000000002</v>
      </c>
      <c r="H30">
        <v>28.436882000000001</v>
      </c>
      <c r="I30">
        <v>26.500810999999999</v>
      </c>
      <c r="J30">
        <v>57.545354000000003</v>
      </c>
      <c r="K30">
        <v>50.443097000000002</v>
      </c>
      <c r="L30">
        <v>142.680463</v>
      </c>
      <c r="M30">
        <v>-622.46571600000004</v>
      </c>
      <c r="N30">
        <v>1.323242</v>
      </c>
      <c r="O30">
        <v>2.8302290000000001</v>
      </c>
      <c r="P30">
        <f t="shared" si="10"/>
        <v>2.2054033333333336E-5</v>
      </c>
      <c r="Q30" cm="1">
        <f t="array" ref="Q30">[1]!PropsSI("D","T",J30+273.15,"P",101325,"Water")</f>
        <v>984.4407076037603</v>
      </c>
      <c r="R30" cm="1">
        <f t="array" ref="R30">[1]!PropsSI("D","T",K30+273.15,"P",101325,"Water")</f>
        <v>987.83399176660612</v>
      </c>
      <c r="S30">
        <f t="shared" si="11"/>
        <v>986.13734968518315</v>
      </c>
      <c r="T30" cm="1">
        <f t="array" ref="T30">[1]!PropsSI("H","T",J30+273.15,"P",101325,"Water")</f>
        <v>240977.39349210262</v>
      </c>
      <c r="U30" cm="1">
        <f t="array" ref="U30">[1]!PropsSI("H","T",K30+273.15,"P",101325,"Water")</f>
        <v>211271.26023643254</v>
      </c>
      <c r="V30">
        <f t="shared" si="12"/>
        <v>646.05807556267393</v>
      </c>
      <c r="X30">
        <f t="shared" si="13"/>
        <v>0.26509070800000001</v>
      </c>
      <c r="Y30">
        <f t="shared" si="14"/>
        <v>0.25088619400000001</v>
      </c>
      <c r="Z30">
        <f t="shared" si="15"/>
        <v>0.36498899409125596</v>
      </c>
      <c r="AA30">
        <f t="shared" si="16"/>
        <v>7.1022570000000016</v>
      </c>
      <c r="AB30">
        <f t="shared" si="17"/>
        <v>5.2354465764009372E-2</v>
      </c>
      <c r="AC30">
        <f t="shared" si="18"/>
        <v>33.824025398607795</v>
      </c>
    </row>
    <row r="31" spans="1:29" x14ac:dyDescent="0.2">
      <c r="A31">
        <v>46137.027575069442</v>
      </c>
      <c r="B31">
        <v>16.777744999999999</v>
      </c>
      <c r="C31">
        <v>16.786258</v>
      </c>
      <c r="D31">
        <v>18.605526999999999</v>
      </c>
      <c r="E31">
        <v>18.945830999999998</v>
      </c>
      <c r="F31">
        <v>31.779624999999999</v>
      </c>
      <c r="G31">
        <v>32.723298</v>
      </c>
      <c r="H31">
        <v>28.473341000000001</v>
      </c>
      <c r="I31">
        <v>26.49248</v>
      </c>
      <c r="J31">
        <v>57.551882999999997</v>
      </c>
      <c r="K31">
        <v>50.444209000000001</v>
      </c>
      <c r="L31">
        <v>145.390939</v>
      </c>
      <c r="M31">
        <v>-622.48979599999996</v>
      </c>
      <c r="N31">
        <v>1.3259829999999999</v>
      </c>
      <c r="O31">
        <v>2.9937529999999999</v>
      </c>
      <c r="P31">
        <f t="shared" si="10"/>
        <v>2.2099716666666668E-5</v>
      </c>
      <c r="Q31" cm="1">
        <f t="array" ref="Q31">[1]!PropsSI("D","T",J31+273.15,"P",101325,"Water")</f>
        <v>984.43744434723487</v>
      </c>
      <c r="R31" cm="1">
        <f t="array" ref="R31">[1]!PropsSI("D","T",K31+273.15,"P",101325,"Water")</f>
        <v>987.83348558405396</v>
      </c>
      <c r="S31">
        <f t="shared" si="11"/>
        <v>986.13546496564436</v>
      </c>
      <c r="T31" cm="1">
        <f t="array" ref="T31">[1]!PropsSI("H","T",J31+273.15,"P",101325,"Water")</f>
        <v>241004.71035527464</v>
      </c>
      <c r="U31" cm="1">
        <f t="array" ref="U31">[1]!PropsSI("H","T",K31+273.15,"P",101325,"Water")</f>
        <v>211275.91003050641</v>
      </c>
      <c r="V31">
        <f t="shared" si="12"/>
        <v>647.88909134121457</v>
      </c>
      <c r="X31">
        <f t="shared" si="13"/>
        <v>0.26510376599999996</v>
      </c>
      <c r="Y31">
        <f t="shared" si="14"/>
        <v>0.250888418</v>
      </c>
      <c r="Z31">
        <f t="shared" si="15"/>
        <v>0.36500000689578821</v>
      </c>
      <c r="AA31">
        <f t="shared" si="16"/>
        <v>7.1076739999999958</v>
      </c>
      <c r="AB31">
        <f t="shared" si="17"/>
        <v>5.231754175626168E-2</v>
      </c>
      <c r="AC31">
        <f t="shared" si="18"/>
        <v>33.895964589670434</v>
      </c>
    </row>
    <row r="32" spans="1:29" x14ac:dyDescent="0.2">
      <c r="A32">
        <v>46137.027609791665</v>
      </c>
      <c r="B32">
        <v>16.820802</v>
      </c>
      <c r="C32">
        <v>17.147148999999999</v>
      </c>
      <c r="D32">
        <v>18.639147999999999</v>
      </c>
      <c r="E32">
        <v>18.948834999999999</v>
      </c>
      <c r="F32">
        <v>32.380428999999999</v>
      </c>
      <c r="G32">
        <v>33.103571000000002</v>
      </c>
      <c r="H32">
        <v>28.757158</v>
      </c>
      <c r="I32">
        <v>26.729536</v>
      </c>
      <c r="J32">
        <v>57.554589999999997</v>
      </c>
      <c r="K32">
        <v>50.449770000000001</v>
      </c>
      <c r="L32">
        <v>154.008059</v>
      </c>
      <c r="M32">
        <v>-622.49918400000001</v>
      </c>
      <c r="N32">
        <v>1.326586</v>
      </c>
      <c r="O32">
        <v>2.9436079999999998</v>
      </c>
      <c r="P32">
        <f t="shared" si="10"/>
        <v>2.2109766666666666E-5</v>
      </c>
      <c r="Q32" cm="1">
        <f t="array" ref="Q32">[1]!PropsSI("D","T",J32+273.15,"P",101325,"Water")</f>
        <v>984.4360912871864</v>
      </c>
      <c r="R32" cm="1">
        <f t="array" ref="R32">[1]!PropsSI("D","T",K32+273.15,"P",101325,"Water")</f>
        <v>987.83095409507791</v>
      </c>
      <c r="S32">
        <f t="shared" si="11"/>
        <v>986.13352269113216</v>
      </c>
      <c r="T32" cm="1">
        <f t="array" ref="T32">[1]!PropsSI("H","T",J32+273.15,"P",101325,"Water")</f>
        <v>241016.03625223518</v>
      </c>
      <c r="U32" cm="1">
        <f t="array" ref="U32">[1]!PropsSI("H","T",K32+273.15,"P",101325,"Water")</f>
        <v>211299.16318736909</v>
      </c>
      <c r="V32">
        <f t="shared" si="12"/>
        <v>647.92239454537821</v>
      </c>
      <c r="X32">
        <f t="shared" si="13"/>
        <v>0.26510918</v>
      </c>
      <c r="Y32">
        <f t="shared" si="14"/>
        <v>0.25089954000000003</v>
      </c>
      <c r="Z32">
        <f t="shared" si="15"/>
        <v>0.36501158405245721</v>
      </c>
      <c r="AA32">
        <f t="shared" si="16"/>
        <v>7.1048199999999966</v>
      </c>
      <c r="AB32">
        <f t="shared" si="17"/>
        <v>5.2339389466469377E-2</v>
      </c>
      <c r="AC32">
        <f t="shared" si="18"/>
        <v>33.911862552157984</v>
      </c>
    </row>
    <row r="33" spans="1:29" x14ac:dyDescent="0.2">
      <c r="A33">
        <v>46137.027645092596</v>
      </c>
      <c r="B33">
        <v>17.240019</v>
      </c>
      <c r="C33">
        <v>17.861550000000001</v>
      </c>
      <c r="D33">
        <v>18.657571999999998</v>
      </c>
      <c r="E33">
        <v>18.927060000000001</v>
      </c>
      <c r="F33">
        <v>32.420558999999997</v>
      </c>
      <c r="G33">
        <v>31.687885999999999</v>
      </c>
      <c r="H33">
        <v>28.319884999999999</v>
      </c>
      <c r="I33">
        <v>26.415474</v>
      </c>
      <c r="J33">
        <v>57.557456000000002</v>
      </c>
      <c r="K33">
        <v>50.453743000000003</v>
      </c>
      <c r="L33">
        <v>155.35533799999999</v>
      </c>
      <c r="M33">
        <v>-622.48326599999996</v>
      </c>
      <c r="N33">
        <v>1.322316</v>
      </c>
      <c r="O33">
        <v>2.8555679999999999</v>
      </c>
      <c r="P33">
        <f t="shared" si="10"/>
        <v>2.2038599999999999E-5</v>
      </c>
      <c r="Q33" cm="1">
        <f t="array" ref="Q33">[1]!PropsSI("D","T",J33+273.15,"P",101325,"Water")</f>
        <v>984.43465870466116</v>
      </c>
      <c r="R33" cm="1">
        <f t="array" ref="R33">[1]!PropsSI("D","T",K33+273.15,"P",101325,"Water")</f>
        <v>987.8291453748684</v>
      </c>
      <c r="S33">
        <f t="shared" si="11"/>
        <v>986.13190203976478</v>
      </c>
      <c r="T33" cm="1">
        <f t="array" ref="T33">[1]!PropsSI("H","T",J33+273.15,"P",101325,"Water")</f>
        <v>241028.02739722247</v>
      </c>
      <c r="U33" cm="1">
        <f t="array" ref="U33">[1]!PropsSI("H","T",K33+273.15,"P",101325,"Water")</f>
        <v>211315.77617480152</v>
      </c>
      <c r="V33">
        <f t="shared" si="12"/>
        <v>645.73536153482189</v>
      </c>
      <c r="X33">
        <f t="shared" si="13"/>
        <v>0.26511491199999998</v>
      </c>
      <c r="Y33">
        <f t="shared" si="14"/>
        <v>0.25090748600000001</v>
      </c>
      <c r="Z33">
        <f t="shared" si="15"/>
        <v>0.36502120910381075</v>
      </c>
      <c r="AA33">
        <f t="shared" si="16"/>
        <v>7.1037129999999991</v>
      </c>
      <c r="AB33">
        <f t="shared" si="17"/>
        <v>5.2348577988039928E-2</v>
      </c>
      <c r="AC33">
        <f t="shared" si="18"/>
        <v>33.803327932940782</v>
      </c>
    </row>
    <row r="34" spans="1:29" x14ac:dyDescent="0.2">
      <c r="A34">
        <v>46137.027680393519</v>
      </c>
      <c r="B34">
        <v>17.799866000000002</v>
      </c>
      <c r="C34">
        <v>18.139175999999999</v>
      </c>
      <c r="D34">
        <v>18.586299</v>
      </c>
      <c r="E34">
        <v>18.846367000000001</v>
      </c>
      <c r="F34">
        <v>32.670738999999998</v>
      </c>
      <c r="G34">
        <v>32.841479999999997</v>
      </c>
      <c r="H34">
        <v>28.693034999999998</v>
      </c>
      <c r="I34">
        <v>26.416691</v>
      </c>
      <c r="J34">
        <v>57.561914999999999</v>
      </c>
      <c r="K34">
        <v>50.465501000000003</v>
      </c>
      <c r="L34">
        <v>150.01478900000001</v>
      </c>
      <c r="M34">
        <v>-622.47632799999997</v>
      </c>
      <c r="N34">
        <v>1.3285940000000001</v>
      </c>
      <c r="O34">
        <v>2.834295</v>
      </c>
      <c r="P34">
        <f t="shared" si="10"/>
        <v>2.2143233333333332E-5</v>
      </c>
      <c r="Q34" cm="1">
        <f t="array" ref="Q34">[1]!PropsSI("D","T",J34+273.15,"P",101325,"Water")</f>
        <v>984.43242975542796</v>
      </c>
      <c r="R34" cm="1">
        <f t="array" ref="R34">[1]!PropsSI("D","T",K34+273.15,"P",101325,"Water")</f>
        <v>987.82379190653558</v>
      </c>
      <c r="S34">
        <f t="shared" si="11"/>
        <v>986.12811083098177</v>
      </c>
      <c r="T34" cm="1">
        <f t="array" ref="T34">[1]!PropsSI("H","T",J34+273.15,"P",101325,"Water")</f>
        <v>241046.68355002836</v>
      </c>
      <c r="U34" cm="1">
        <f t="array" ref="U34">[1]!PropsSI("H","T",K34+273.15,"P",101325,"Water")</f>
        <v>211364.94194688843</v>
      </c>
      <c r="V34">
        <f t="shared" si="12"/>
        <v>648.13243464630261</v>
      </c>
      <c r="X34">
        <f t="shared" si="13"/>
        <v>0.26512383</v>
      </c>
      <c r="Y34">
        <f t="shared" si="14"/>
        <v>0.25093100200000001</v>
      </c>
      <c r="Z34">
        <f t="shared" si="15"/>
        <v>0.36504385078863189</v>
      </c>
      <c r="AA34">
        <f t="shared" si="16"/>
        <v>7.0964139999999958</v>
      </c>
      <c r="AB34">
        <f t="shared" si="17"/>
        <v>5.2403589109325174E-2</v>
      </c>
      <c r="AC34">
        <f t="shared" si="18"/>
        <v>33.964465793631391</v>
      </c>
    </row>
    <row r="35" spans="1:29" x14ac:dyDescent="0.2">
      <c r="A35">
        <v>46137.027715694443</v>
      </c>
      <c r="B35">
        <v>18.009978</v>
      </c>
      <c r="C35">
        <v>18.250024</v>
      </c>
      <c r="D35">
        <v>18.680330999999999</v>
      </c>
      <c r="E35">
        <v>18.930218</v>
      </c>
      <c r="F35">
        <v>32.833002999999998</v>
      </c>
      <c r="G35">
        <v>32.547814000000002</v>
      </c>
      <c r="H35">
        <v>28.108740999999998</v>
      </c>
      <c r="I35">
        <v>27.036864999999999</v>
      </c>
      <c r="J35">
        <v>57.563187999999997</v>
      </c>
      <c r="K35">
        <v>50.490606999999997</v>
      </c>
      <c r="L35">
        <v>154.376204</v>
      </c>
      <c r="M35">
        <v>-622.51428499999997</v>
      </c>
      <c r="N35">
        <v>1.3242620000000001</v>
      </c>
      <c r="O35">
        <v>3.1706460000000001</v>
      </c>
      <c r="P35">
        <f t="shared" si="10"/>
        <v>2.2071033333333336E-5</v>
      </c>
      <c r="Q35" cm="1">
        <f t="array" ref="Q35">[1]!PropsSI("D","T",J35+273.15,"P",101325,"Water")</f>
        <v>984.43179339061192</v>
      </c>
      <c r="R35" cm="1">
        <f t="array" ref="R35">[1]!PropsSI("D","T",K35+273.15,"P",101325,"Water")</f>
        <v>987.81235801700598</v>
      </c>
      <c r="S35">
        <f t="shared" si="11"/>
        <v>986.12207570380895</v>
      </c>
      <c r="T35" cm="1">
        <f t="array" ref="T35">[1]!PropsSI("H","T",J35+273.15,"P",101325,"Water")</f>
        <v>241052.00969692983</v>
      </c>
      <c r="U35" cm="1">
        <f t="array" ref="U35">[1]!PropsSI("H","T",K35+273.15,"P",101325,"Water")</f>
        <v>211469.92216932061</v>
      </c>
      <c r="V35">
        <f t="shared" si="12"/>
        <v>643.84624264379897</v>
      </c>
      <c r="X35">
        <f t="shared" si="13"/>
        <v>0.265126376</v>
      </c>
      <c r="Y35">
        <f t="shared" si="14"/>
        <v>0.25098121400000001</v>
      </c>
      <c r="Z35">
        <f t="shared" si="15"/>
        <v>0.36508021725616296</v>
      </c>
      <c r="AA35">
        <f t="shared" si="16"/>
        <v>7.0725809999999996</v>
      </c>
      <c r="AB35">
        <f t="shared" si="17"/>
        <v>5.257880537631214E-2</v>
      </c>
      <c r="AC35">
        <f t="shared" si="18"/>
        <v>33.852666284238147</v>
      </c>
    </row>
    <row r="36" spans="1:29" x14ac:dyDescent="0.2">
      <c r="A36">
        <v>46137.027750995374</v>
      </c>
      <c r="B36">
        <v>18.270513000000001</v>
      </c>
      <c r="C36">
        <v>18.382511000000001</v>
      </c>
      <c r="D36">
        <v>18.892939999999999</v>
      </c>
      <c r="E36">
        <v>19.072184</v>
      </c>
      <c r="F36">
        <v>32.983992999999998</v>
      </c>
      <c r="G36">
        <v>32.373818999999997</v>
      </c>
      <c r="H36">
        <v>28.558223999999999</v>
      </c>
      <c r="I36">
        <v>27.150514000000001</v>
      </c>
      <c r="J36">
        <v>57.564461999999999</v>
      </c>
      <c r="K36">
        <v>50.504589000000003</v>
      </c>
      <c r="L36">
        <v>160.79629</v>
      </c>
      <c r="M36">
        <v>-622.48653100000001</v>
      </c>
      <c r="N36">
        <v>1.3270770000000001</v>
      </c>
      <c r="O36">
        <v>2.9074930000000001</v>
      </c>
      <c r="P36">
        <f t="shared" si="10"/>
        <v>2.2117950000000001E-5</v>
      </c>
      <c r="Q36" cm="1">
        <f t="array" ref="Q36">[1]!PropsSI("D","T",J36+273.15,"P",101325,"Water")</f>
        <v>984.43115651607388</v>
      </c>
      <c r="R36" cm="1">
        <f t="array" ref="R36">[1]!PropsSI("D","T",K36+273.15,"P",101325,"Water")</f>
        <v>987.80598848806301</v>
      </c>
      <c r="S36">
        <f t="shared" si="11"/>
        <v>986.11857250206845</v>
      </c>
      <c r="T36" cm="1">
        <f t="array" ref="T36">[1]!PropsSI("H","T",J36+273.15,"P",101325,"Water")</f>
        <v>241057.34002843834</v>
      </c>
      <c r="U36" cm="1">
        <f t="array" ref="U36">[1]!PropsSI("H","T",K36+273.15,"P",101325,"Water")</f>
        <v>211528.38769419791</v>
      </c>
      <c r="V36">
        <f t="shared" si="12"/>
        <v>644.05365486283733</v>
      </c>
      <c r="X36">
        <f t="shared" si="13"/>
        <v>0.26512892399999999</v>
      </c>
      <c r="Y36">
        <f t="shared" si="14"/>
        <v>0.251009178</v>
      </c>
      <c r="Z36">
        <f t="shared" si="15"/>
        <v>0.36510129249515599</v>
      </c>
      <c r="AA36">
        <f t="shared" si="16"/>
        <v>7.0598729999999961</v>
      </c>
      <c r="AB36">
        <f t="shared" si="17"/>
        <v>5.2672959318622245E-2</v>
      </c>
      <c r="AC36">
        <f t="shared" si="18"/>
        <v>33.9242119616002</v>
      </c>
    </row>
    <row r="37" spans="1:29" x14ac:dyDescent="0.2">
      <c r="A37">
        <v>46137.02778571759</v>
      </c>
      <c r="B37">
        <v>18.3139</v>
      </c>
      <c r="C37">
        <v>18.471613999999999</v>
      </c>
      <c r="D37">
        <v>18.968833</v>
      </c>
      <c r="E37">
        <v>19.139655000000001</v>
      </c>
      <c r="F37">
        <v>32.967911999999998</v>
      </c>
      <c r="G37">
        <v>32.570141</v>
      </c>
      <c r="H37">
        <v>28.599128</v>
      </c>
      <c r="I37">
        <v>26.706475999999999</v>
      </c>
      <c r="J37">
        <v>57.569240000000001</v>
      </c>
      <c r="K37">
        <v>50.520955999999998</v>
      </c>
      <c r="L37">
        <v>153.00157799999999</v>
      </c>
      <c r="M37">
        <v>-622.48938799999996</v>
      </c>
      <c r="N37">
        <v>1.3293969999999999</v>
      </c>
      <c r="O37">
        <v>2.4640149999999998</v>
      </c>
      <c r="P37">
        <f t="shared" si="10"/>
        <v>2.2156616666666667E-5</v>
      </c>
      <c r="Q37" cm="1">
        <f t="array" ref="Q37">[1]!PropsSI("D","T",J37+273.15,"P",101325,"Water")</f>
        <v>984.42876789920501</v>
      </c>
      <c r="R37" cm="1">
        <f t="array" ref="R37">[1]!PropsSI("D","T",K37+273.15,"P",101325,"Water")</f>
        <v>987.79853084779313</v>
      </c>
      <c r="S37">
        <f t="shared" si="11"/>
        <v>986.11364937349913</v>
      </c>
      <c r="T37" cm="1">
        <f t="array" ref="T37">[1]!PropsSI("H","T",J37+273.15,"P",101325,"Water")</f>
        <v>241077.33086924872</v>
      </c>
      <c r="U37" cm="1">
        <f t="array" ref="U37">[1]!PropsSI("H","T",K37+273.15,"P",101325,"Water")</f>
        <v>211596.82613326135</v>
      </c>
      <c r="V37">
        <f t="shared" si="12"/>
        <v>644.11784161361732</v>
      </c>
      <c r="X37">
        <f t="shared" si="13"/>
        <v>0.26513848000000001</v>
      </c>
      <c r="Y37">
        <f t="shared" si="14"/>
        <v>0.25104191199999998</v>
      </c>
      <c r="Z37">
        <f t="shared" si="15"/>
        <v>0.36513073707553867</v>
      </c>
      <c r="AA37">
        <f t="shared" si="16"/>
        <v>7.0482840000000024</v>
      </c>
      <c r="AB37">
        <f t="shared" si="17"/>
        <v>5.2760548489868497E-2</v>
      </c>
      <c r="AC37">
        <f t="shared" si="18"/>
        <v>33.984010615644692</v>
      </c>
    </row>
    <row r="38" spans="1:29" x14ac:dyDescent="0.2">
      <c r="A38">
        <v>44675.027820442199</v>
      </c>
      <c r="B38">
        <v>18.470890000000001</v>
      </c>
      <c r="C38">
        <v>18.642495</v>
      </c>
      <c r="D38">
        <v>19.080435000000001</v>
      </c>
      <c r="E38">
        <v>19.241021</v>
      </c>
      <c r="F38">
        <v>33.085377000000001</v>
      </c>
      <c r="G38">
        <v>31.039922000000001</v>
      </c>
      <c r="H38">
        <v>28.537051000000002</v>
      </c>
      <c r="I38">
        <v>27.293230000000001</v>
      </c>
      <c r="J38">
        <v>57.570354000000002</v>
      </c>
      <c r="K38">
        <v>50.540976999999998</v>
      </c>
      <c r="L38">
        <v>151.718377</v>
      </c>
      <c r="M38">
        <v>-622.49183700000003</v>
      </c>
      <c r="N38">
        <v>1.3228439999999999</v>
      </c>
      <c r="O38">
        <v>2.905116</v>
      </c>
      <c r="P38">
        <f t="shared" si="10"/>
        <v>2.2047399999999998E-5</v>
      </c>
      <c r="Q38" cm="1">
        <f t="array" ref="Q38">[1]!PropsSI("D","T",J38+273.15,"P",101325,"Water")</f>
        <v>984.42821096867999</v>
      </c>
      <c r="R38" cm="1">
        <f t="array" ref="R38">[1]!PropsSI("D","T",K38+273.15,"P",101325,"Water")</f>
        <v>987.78940588364833</v>
      </c>
      <c r="S38">
        <f t="shared" si="11"/>
        <v>986.10880842616416</v>
      </c>
      <c r="T38" cm="1">
        <f t="array" ref="T38">[1]!PropsSI("H","T",J38+273.15,"P",101325,"Water")</f>
        <v>241081.99177404636</v>
      </c>
      <c r="U38" cm="1">
        <f t="array" ref="U38">[1]!PropsSI("H","T",K38+273.15,"P",101325,"Water")</f>
        <v>211680.54384131805</v>
      </c>
      <c r="V38">
        <f t="shared" si="12"/>
        <v>639.22085878252676</v>
      </c>
      <c r="X38">
        <f t="shared" si="13"/>
        <v>0.265140708</v>
      </c>
      <c r="Y38">
        <f t="shared" si="14"/>
        <v>0.251081954</v>
      </c>
      <c r="Z38">
        <f t="shared" si="15"/>
        <v>0.36515988643770741</v>
      </c>
      <c r="AA38">
        <f t="shared" si="16"/>
        <v>7.0293770000000038</v>
      </c>
      <c r="AB38">
        <f t="shared" si="17"/>
        <v>5.2901439828706362E-2</v>
      </c>
      <c r="AC38">
        <f t="shared" si="18"/>
        <v>33.815703798137847</v>
      </c>
    </row>
    <row r="39" spans="1:29" x14ac:dyDescent="0.2">
      <c r="A39">
        <v>44675.027855743101</v>
      </c>
      <c r="B39">
        <v>18.666240999999999</v>
      </c>
      <c r="C39">
        <v>18.833162000000002</v>
      </c>
      <c r="D39">
        <v>19.189784</v>
      </c>
      <c r="E39">
        <v>19.405141</v>
      </c>
      <c r="F39">
        <v>33.118442000000002</v>
      </c>
      <c r="G39">
        <v>31.825917</v>
      </c>
      <c r="H39">
        <v>29.415527000000001</v>
      </c>
      <c r="I39">
        <v>27.45617</v>
      </c>
      <c r="J39">
        <v>57.574494000000001</v>
      </c>
      <c r="K39">
        <v>50.560363000000002</v>
      </c>
      <c r="L39">
        <v>144.970144</v>
      </c>
      <c r="M39">
        <v>-622.48326599999996</v>
      </c>
      <c r="N39">
        <v>1.3326089999999999</v>
      </c>
      <c r="O39">
        <v>2.5544180000000001</v>
      </c>
      <c r="P39">
        <f t="shared" si="10"/>
        <v>2.2210149999999999E-5</v>
      </c>
      <c r="Q39" cm="1">
        <f t="array" ref="Q39">[1]!PropsSI("D","T",J39+273.15,"P",101325,"Water")</f>
        <v>984.42614116113236</v>
      </c>
      <c r="R39" cm="1">
        <f t="array" ref="R39">[1]!PropsSI("D","T",K39+273.15,"P",101325,"Water")</f>
        <v>987.78056784326577</v>
      </c>
      <c r="S39">
        <f t="shared" si="11"/>
        <v>986.10335450219907</v>
      </c>
      <c r="T39" cm="1">
        <f t="array" ref="T39">[1]!PropsSI("H","T",J39+273.15,"P",101325,"Water")</f>
        <v>241099.3132736629</v>
      </c>
      <c r="U39" cm="1">
        <f t="array" ref="U39">[1]!PropsSI("H","T",K39+273.15,"P",101325,"Water")</f>
        <v>211761.60641156716</v>
      </c>
      <c r="V39">
        <f t="shared" si="12"/>
        <v>642.53988714572222</v>
      </c>
      <c r="X39">
        <f t="shared" si="13"/>
        <v>0.26514898799999997</v>
      </c>
      <c r="Y39">
        <f t="shared" si="14"/>
        <v>0.25112072600000002</v>
      </c>
      <c r="Z39">
        <f t="shared" si="15"/>
        <v>0.36519255861009986</v>
      </c>
      <c r="AA39">
        <f t="shared" si="16"/>
        <v>7.014130999999999</v>
      </c>
      <c r="AB39">
        <f t="shared" si="17"/>
        <v>5.3016896971640644E-2</v>
      </c>
      <c r="AC39">
        <f t="shared" si="18"/>
        <v>34.065470996974362</v>
      </c>
    </row>
    <row r="40" spans="1:29" x14ac:dyDescent="0.2">
      <c r="A40">
        <v>44675.027891044003</v>
      </c>
      <c r="B40">
        <v>18.885482</v>
      </c>
      <c r="C40">
        <v>19.044080000000001</v>
      </c>
      <c r="D40">
        <v>19.261944</v>
      </c>
      <c r="E40">
        <v>19.462316000000001</v>
      </c>
      <c r="F40">
        <v>33.557903000000003</v>
      </c>
      <c r="G40">
        <v>33.297215000000001</v>
      </c>
      <c r="H40">
        <v>29.368853000000001</v>
      </c>
      <c r="I40">
        <v>27.377441000000001</v>
      </c>
      <c r="J40">
        <v>57.579908000000003</v>
      </c>
      <c r="K40">
        <v>50.584516000000001</v>
      </c>
      <c r="L40">
        <v>155.57042899999999</v>
      </c>
      <c r="M40">
        <v>-622.49959200000001</v>
      </c>
      <c r="N40">
        <v>1.3290690000000001</v>
      </c>
      <c r="O40">
        <v>2.7956129999999999</v>
      </c>
      <c r="P40">
        <f t="shared" si="10"/>
        <v>2.2151149999999999E-5</v>
      </c>
      <c r="Q40" cm="1">
        <f t="array" ref="Q40">[1]!PropsSI("D","T",J40+273.15,"P",101325,"Water")</f>
        <v>984.42343425641513</v>
      </c>
      <c r="R40" cm="1">
        <f t="array" ref="R40">[1]!PropsSI("D","T",K40+273.15,"P",101325,"Water")</f>
        <v>987.76955310997369</v>
      </c>
      <c r="S40">
        <f t="shared" si="11"/>
        <v>986.09649368319447</v>
      </c>
      <c r="T40" cm="1">
        <f t="array" ref="T40">[1]!PropsSI("H","T",J40+273.15,"P",101325,"Water")</f>
        <v>241121.96511954098</v>
      </c>
      <c r="U40" cm="1">
        <f t="array" ref="U40">[1]!PropsSI("H","T",K40+273.15,"P",101325,"Water")</f>
        <v>211862.60234866379</v>
      </c>
      <c r="V40">
        <f t="shared" si="12"/>
        <v>639.11727448052125</v>
      </c>
      <c r="X40">
        <f t="shared" si="13"/>
        <v>0.26515981599999999</v>
      </c>
      <c r="Y40">
        <f t="shared" si="14"/>
        <v>0.25116903200000001</v>
      </c>
      <c r="Z40">
        <f t="shared" si="15"/>
        <v>0.36523363845211587</v>
      </c>
      <c r="AA40">
        <f t="shared" si="16"/>
        <v>6.9953920000000025</v>
      </c>
      <c r="AB40">
        <f t="shared" si="17"/>
        <v>5.3159638110128013E-2</v>
      </c>
      <c r="AC40">
        <f t="shared" si="18"/>
        <v>33.975243021315862</v>
      </c>
    </row>
    <row r="41" spans="1:29" x14ac:dyDescent="0.2">
      <c r="A41">
        <v>44675.027925766197</v>
      </c>
      <c r="B41">
        <v>18.979486000000001</v>
      </c>
      <c r="C41">
        <v>19.100282</v>
      </c>
      <c r="D41">
        <v>19.316580999999999</v>
      </c>
      <c r="E41">
        <v>19.494057999999999</v>
      </c>
      <c r="F41">
        <v>33.736696000000002</v>
      </c>
      <c r="G41">
        <v>33.29956</v>
      </c>
      <c r="H41">
        <v>29.379197999999999</v>
      </c>
      <c r="I41">
        <v>27.375685000000001</v>
      </c>
      <c r="J41">
        <v>57.578634999999998</v>
      </c>
      <c r="K41">
        <v>50.599930000000001</v>
      </c>
      <c r="L41">
        <v>144.70199400000001</v>
      </c>
      <c r="M41">
        <v>-622.48244999999997</v>
      </c>
      <c r="N41">
        <v>1.3365929999999999</v>
      </c>
      <c r="O41">
        <v>3.0960770000000002</v>
      </c>
      <c r="P41">
        <f t="shared" si="10"/>
        <v>2.2276549999999996E-5</v>
      </c>
      <c r="Q41" cm="1">
        <f t="array" ref="Q41">[1]!PropsSI("D","T",J41+273.15,"P",101325,"Water")</f>
        <v>984.42407074995367</v>
      </c>
      <c r="R41" cm="1">
        <f t="array" ref="R41">[1]!PropsSI("D","T",K41+273.15,"P",101325,"Water")</f>
        <v>987.76252172302145</v>
      </c>
      <c r="S41">
        <f t="shared" si="11"/>
        <v>986.0932962364875</v>
      </c>
      <c r="T41" cm="1">
        <f t="array" ref="T41">[1]!PropsSI("H","T",J41+273.15,"P",101325,"Water")</f>
        <v>241116.63896408447</v>
      </c>
      <c r="U41" cm="1">
        <f t="array" ref="U41">[1]!PropsSI("H","T",K41+273.15,"P",101325,"Water")</f>
        <v>211927.0561857943</v>
      </c>
      <c r="V41">
        <f t="shared" si="12"/>
        <v>641.20046067974783</v>
      </c>
      <c r="X41">
        <f t="shared" si="13"/>
        <v>0.26515727</v>
      </c>
      <c r="Y41">
        <f t="shared" si="14"/>
        <v>0.25119986</v>
      </c>
      <c r="Z41">
        <f t="shared" si="15"/>
        <v>0.3652529910868253</v>
      </c>
      <c r="AA41">
        <f t="shared" si="16"/>
        <v>6.9787049999999979</v>
      </c>
      <c r="AB41">
        <f t="shared" si="17"/>
        <v>5.328498076379632E-2</v>
      </c>
      <c r="AC41">
        <f t="shared" si="18"/>
        <v>34.166354213057701</v>
      </c>
    </row>
    <row r="42" spans="1:29" x14ac:dyDescent="0.2">
      <c r="A42">
        <v>46137.027960486113</v>
      </c>
      <c r="B42">
        <v>19.075787999999999</v>
      </c>
      <c r="C42">
        <v>19.182979</v>
      </c>
      <c r="D42">
        <v>19.347501000000001</v>
      </c>
      <c r="E42">
        <v>19.509578999999999</v>
      </c>
      <c r="F42">
        <v>33.598799</v>
      </c>
      <c r="G42">
        <v>32.711886</v>
      </c>
      <c r="H42">
        <v>29.154146000000001</v>
      </c>
      <c r="I42">
        <v>27.522915999999999</v>
      </c>
      <c r="J42">
        <v>57.579590000000003</v>
      </c>
      <c r="K42">
        <v>50.622017</v>
      </c>
      <c r="L42">
        <v>148.90260000000001</v>
      </c>
      <c r="M42">
        <v>-622.47102199999995</v>
      </c>
      <c r="N42">
        <v>1.3270360000000001</v>
      </c>
      <c r="O42">
        <v>2.5342889999999998</v>
      </c>
      <c r="P42">
        <f t="shared" si="10"/>
        <v>2.2117266666666669E-5</v>
      </c>
      <c r="Q42" cm="1">
        <f t="array" ref="Q42">[1]!PropsSI("D","T",J42+273.15,"P",101325,"Water")</f>
        <v>984.42359325570635</v>
      </c>
      <c r="R42" cm="1">
        <f t="array" ref="R42">[1]!PropsSI("D","T",K42+273.15,"P",101325,"Water")</f>
        <v>987.75244362341732</v>
      </c>
      <c r="S42">
        <f t="shared" si="11"/>
        <v>986.08801843956189</v>
      </c>
      <c r="T42" cm="1">
        <f t="array" ref="T42">[1]!PropsSI("H","T",J42+273.15,"P",101325,"Water")</f>
        <v>241120.63462665511</v>
      </c>
      <c r="U42" cm="1">
        <f t="array" ref="U42">[1]!PropsSI("H","T",K42+273.15,"P",101325,"Water")</f>
        <v>212019.41337856883</v>
      </c>
      <c r="V42">
        <f t="shared" si="12"/>
        <v>634.68517022206504</v>
      </c>
      <c r="X42">
        <f t="shared" si="13"/>
        <v>0.26515917999999999</v>
      </c>
      <c r="Y42">
        <f t="shared" si="14"/>
        <v>0.251244034</v>
      </c>
      <c r="Z42">
        <f t="shared" si="15"/>
        <v>0.36528475927537074</v>
      </c>
      <c r="AA42">
        <f t="shared" si="16"/>
        <v>6.9575730000000036</v>
      </c>
      <c r="AB42">
        <f t="shared" si="17"/>
        <v>5.3445615053957993E-2</v>
      </c>
      <c r="AC42">
        <f t="shared" si="18"/>
        <v>33.921139288144289</v>
      </c>
    </row>
    <row r="43" spans="1:29" x14ac:dyDescent="0.2">
      <c r="A43">
        <v>46137.027995208337</v>
      </c>
      <c r="B43">
        <v>19.120533999999999</v>
      </c>
      <c r="C43">
        <v>19.223471</v>
      </c>
      <c r="D43">
        <v>19.403016000000001</v>
      </c>
      <c r="E43">
        <v>19.481300000000001</v>
      </c>
      <c r="F43">
        <v>33.489609000000002</v>
      </c>
      <c r="G43">
        <v>33.943114999999999</v>
      </c>
      <c r="H43">
        <v>28.263318000000002</v>
      </c>
      <c r="I43">
        <v>27.042898999999998</v>
      </c>
      <c r="J43">
        <v>57.581023000000002</v>
      </c>
      <c r="K43">
        <v>50.637272000000003</v>
      </c>
      <c r="L43">
        <v>152.04325900000001</v>
      </c>
      <c r="M43">
        <v>-622.50163299999997</v>
      </c>
      <c r="N43">
        <v>1.3356170000000001</v>
      </c>
      <c r="O43">
        <v>2.6533229999999999</v>
      </c>
      <c r="P43">
        <f t="shared" si="10"/>
        <v>2.2260283333333334E-5</v>
      </c>
      <c r="Q43" cm="1">
        <f t="array" ref="Q43">[1]!PropsSI("D","T",J43+273.15,"P",101325,"Water")</f>
        <v>984.42287675402338</v>
      </c>
      <c r="R43" cm="1">
        <f t="array" ref="R43">[1]!PropsSI("D","T",K43+273.15,"P",101325,"Water")</f>
        <v>987.74548104895155</v>
      </c>
      <c r="S43">
        <f t="shared" si="11"/>
        <v>986.08417890148746</v>
      </c>
      <c r="T43" cm="1">
        <f t="array" ref="T43">[1]!PropsSI("H","T",J43+273.15,"P",101325,"Water")</f>
        <v>241126.63021302081</v>
      </c>
      <c r="U43" cm="1">
        <f t="array" ref="U43">[1]!PropsSI("H","T",K43+273.15,"P",101325,"Water")</f>
        <v>212083.2025224471</v>
      </c>
      <c r="V43">
        <f t="shared" si="12"/>
        <v>637.51814326881185</v>
      </c>
      <c r="X43">
        <f t="shared" si="13"/>
        <v>0.26516204599999998</v>
      </c>
      <c r="Y43">
        <f t="shared" si="14"/>
        <v>0.25127454399999999</v>
      </c>
      <c r="Z43">
        <f t="shared" si="15"/>
        <v>0.36530782513014148</v>
      </c>
      <c r="AA43">
        <f t="shared" si="16"/>
        <v>6.9437509999999989</v>
      </c>
      <c r="AB43">
        <f t="shared" si="17"/>
        <v>5.3551544598857692E-2</v>
      </c>
      <c r="AC43">
        <f t="shared" si="18"/>
        <v>34.140081281840729</v>
      </c>
    </row>
    <row r="44" spans="1:29" x14ac:dyDescent="0.2">
      <c r="A44">
        <v>46137.02803050926</v>
      </c>
      <c r="B44">
        <v>19.207369</v>
      </c>
      <c r="C44">
        <v>19.269559000000001</v>
      </c>
      <c r="D44">
        <v>19.470882</v>
      </c>
      <c r="E44">
        <v>19.582243999999999</v>
      </c>
      <c r="F44">
        <v>33.453505</v>
      </c>
      <c r="G44">
        <v>33.727210999999997</v>
      </c>
      <c r="H44">
        <v>29.216850000000001</v>
      </c>
      <c r="I44">
        <v>27.152553000000001</v>
      </c>
      <c r="J44">
        <v>57.583252000000002</v>
      </c>
      <c r="K44">
        <v>50.650143</v>
      </c>
      <c r="L44">
        <v>146.53088199999999</v>
      </c>
      <c r="M44">
        <v>-622.50244899999996</v>
      </c>
      <c r="N44">
        <v>1.325143</v>
      </c>
      <c r="O44">
        <v>2.6961740000000001</v>
      </c>
      <c r="P44">
        <f t="shared" si="10"/>
        <v>2.2085716666666668E-5</v>
      </c>
      <c r="Q44" cm="1">
        <f t="array" ref="Q44">[1]!PropsSI("D","T",J44+273.15,"P",101325,"Water")</f>
        <v>984.42176222672401</v>
      </c>
      <c r="R44" cm="1">
        <f t="array" ref="R44">[1]!PropsSI("D","T",K44+273.15,"P",101325,"Water")</f>
        <v>987.73960538354618</v>
      </c>
      <c r="S44">
        <f t="shared" si="11"/>
        <v>986.0806838051351</v>
      </c>
      <c r="T44" cm="1">
        <f t="array" ref="T44">[1]!PropsSI("H","T",J44+273.15,"P",101325,"Water")</f>
        <v>241135.9562175232</v>
      </c>
      <c r="U44" cm="1">
        <f t="array" ref="U44">[1]!PropsSI("H","T",K44+273.15,"P",101325,"Water")</f>
        <v>212137.02296690285</v>
      </c>
      <c r="V44">
        <f t="shared" si="12"/>
        <v>631.54742721028697</v>
      </c>
      <c r="X44">
        <f t="shared" si="13"/>
        <v>0.26516650399999997</v>
      </c>
      <c r="Y44">
        <f t="shared" si="14"/>
        <v>0.25130028599999998</v>
      </c>
      <c r="Z44">
        <f t="shared" si="15"/>
        <v>0.3653287678068397</v>
      </c>
      <c r="AA44">
        <f t="shared" si="16"/>
        <v>6.9331090000000017</v>
      </c>
      <c r="AB44">
        <f t="shared" si="17"/>
        <v>5.3633847244053297E-2</v>
      </c>
      <c r="AC44">
        <f t="shared" si="18"/>
        <v>33.872318238371399</v>
      </c>
    </row>
    <row r="45" spans="1:29" x14ac:dyDescent="0.2">
      <c r="A45">
        <v>46137.028065810184</v>
      </c>
      <c r="B45">
        <v>19.270800000000001</v>
      </c>
      <c r="C45">
        <v>19.329277000000001</v>
      </c>
      <c r="D45">
        <v>19.475480000000001</v>
      </c>
      <c r="E45">
        <v>19.580120999999998</v>
      </c>
      <c r="F45">
        <v>33.731501999999999</v>
      </c>
      <c r="G45">
        <v>33.533664000000002</v>
      </c>
      <c r="H45">
        <v>28.437854000000002</v>
      </c>
      <c r="I45">
        <v>27.715513999999999</v>
      </c>
      <c r="J45">
        <v>57.588825999999997</v>
      </c>
      <c r="K45">
        <v>50.659041999999999</v>
      </c>
      <c r="L45">
        <v>143.958766</v>
      </c>
      <c r="M45">
        <v>-622.493878</v>
      </c>
      <c r="N45">
        <v>1.3306629999999999</v>
      </c>
      <c r="O45">
        <v>2.71577</v>
      </c>
      <c r="P45">
        <f t="shared" si="10"/>
        <v>2.2177716666666666E-5</v>
      </c>
      <c r="Q45" cm="1">
        <f t="array" ref="Q45">[1]!PropsSI("D","T",J45+273.15,"P",101325,"Water")</f>
        <v>984.41897502693905</v>
      </c>
      <c r="R45" cm="1">
        <f t="array" ref="R45">[1]!PropsSI("D","T",K45+273.15,"P",101325,"Water")</f>
        <v>987.7355423221037</v>
      </c>
      <c r="S45">
        <f t="shared" si="11"/>
        <v>986.07725867452132</v>
      </c>
      <c r="T45" cm="1">
        <f t="array" ref="T45">[1]!PropsSI("H","T",J45+273.15,"P",101325,"Water")</f>
        <v>241159.27751338755</v>
      </c>
      <c r="U45" cm="1">
        <f t="array" ref="U45">[1]!PropsSI("H","T",K45+273.15,"P",101325,"Water")</f>
        <v>212174.23441130717</v>
      </c>
      <c r="V45">
        <f t="shared" si="12"/>
        <v>633.87222804156374</v>
      </c>
      <c r="X45">
        <f t="shared" si="13"/>
        <v>0.26517765199999999</v>
      </c>
      <c r="Y45">
        <f t="shared" si="14"/>
        <v>0.251318084</v>
      </c>
      <c r="Z45">
        <f t="shared" si="15"/>
        <v>0.36534910218264416</v>
      </c>
      <c r="AA45">
        <f t="shared" si="16"/>
        <v>6.9297839999999979</v>
      </c>
      <c r="AB45">
        <f t="shared" si="17"/>
        <v>5.366156999695533E-2</v>
      </c>
      <c r="AC45">
        <f t="shared" si="18"/>
        <v>34.014578934178402</v>
      </c>
    </row>
    <row r="46" spans="1:29" x14ac:dyDescent="0.2">
      <c r="A46">
        <v>46137.028101111115</v>
      </c>
      <c r="B46">
        <v>19.399944000000001</v>
      </c>
      <c r="C46">
        <v>19.415523</v>
      </c>
      <c r="D46">
        <v>19.582011999999999</v>
      </c>
      <c r="E46">
        <v>19.682763999999999</v>
      </c>
      <c r="F46">
        <v>33.742207999999998</v>
      </c>
      <c r="G46">
        <v>34.541077999999999</v>
      </c>
      <c r="H46">
        <v>28.623193000000001</v>
      </c>
      <c r="I46">
        <v>27.303533999999999</v>
      </c>
      <c r="J46">
        <v>57.591374000000002</v>
      </c>
      <c r="K46">
        <v>50.668894000000002</v>
      </c>
      <c r="L46">
        <v>150.662104</v>
      </c>
      <c r="M46">
        <v>-622.49510199999997</v>
      </c>
      <c r="N46">
        <v>1.3176159999999999</v>
      </c>
      <c r="O46">
        <v>2.7576290000000001</v>
      </c>
      <c r="P46">
        <f t="shared" si="10"/>
        <v>2.1960266666666667E-5</v>
      </c>
      <c r="Q46" cm="1">
        <f t="array" ref="Q46">[1]!PropsSI("D","T",J46+273.15,"P",101325,"Water")</f>
        <v>984.41770087307407</v>
      </c>
      <c r="R46" cm="1">
        <f t="array" ref="R46">[1]!PropsSI("D","T",K46+273.15,"P",101325,"Water")</f>
        <v>987.73104354335157</v>
      </c>
      <c r="S46">
        <f t="shared" si="11"/>
        <v>986.07437220821282</v>
      </c>
      <c r="T46" cm="1">
        <f t="array" ref="T46">[1]!PropsSI("H","T",J46+273.15,"P",101325,"Water")</f>
        <v>241169.93820315634</v>
      </c>
      <c r="U46" cm="1">
        <f t="array" ref="U46">[1]!PropsSI("H","T",K46+273.15,"P",101325,"Water")</f>
        <v>212215.43088188715</v>
      </c>
      <c r="V46">
        <f t="shared" si="12"/>
        <v>626.99410962140075</v>
      </c>
      <c r="X46">
        <f t="shared" si="13"/>
        <v>0.26518274799999997</v>
      </c>
      <c r="Y46">
        <f t="shared" si="14"/>
        <v>0.25133778800000001</v>
      </c>
      <c r="Z46">
        <f t="shared" si="15"/>
        <v>0.36536635520195954</v>
      </c>
      <c r="AA46">
        <f t="shared" si="16"/>
        <v>6.9224800000000002</v>
      </c>
      <c r="AB46">
        <f t="shared" si="17"/>
        <v>5.3718672542626446E-2</v>
      </c>
      <c r="AC46">
        <f t="shared" si="18"/>
        <v>33.681291260907656</v>
      </c>
    </row>
    <row r="47" spans="1:29" x14ac:dyDescent="0.2">
      <c r="A47">
        <v>46137.028136412038</v>
      </c>
      <c r="B47">
        <v>19.459869999999999</v>
      </c>
      <c r="C47">
        <v>19.546493000000002</v>
      </c>
      <c r="D47">
        <v>19.635892999999999</v>
      </c>
      <c r="E47">
        <v>19.712692000000001</v>
      </c>
      <c r="F47">
        <v>33.898072999999997</v>
      </c>
      <c r="G47">
        <v>32.230854999999998</v>
      </c>
      <c r="H47">
        <v>28.615704000000001</v>
      </c>
      <c r="I47">
        <v>27.023999</v>
      </c>
      <c r="J47">
        <v>57.591692000000002</v>
      </c>
      <c r="K47">
        <v>50.684784999999998</v>
      </c>
      <c r="L47">
        <v>155.22799800000001</v>
      </c>
      <c r="M47">
        <v>-622.45428800000002</v>
      </c>
      <c r="N47">
        <v>1.328503</v>
      </c>
      <c r="O47">
        <v>2.5587390000000001</v>
      </c>
      <c r="P47">
        <f t="shared" si="10"/>
        <v>2.2141716666666665E-5</v>
      </c>
      <c r="Q47" cm="1">
        <f t="array" ref="Q47">[1]!PropsSI("D","T",J47+273.15,"P",101325,"Water")</f>
        <v>984.41754185111472</v>
      </c>
      <c r="R47" cm="1">
        <f t="array" ref="R47">[1]!PropsSI("D","T",K47+273.15,"P",101325,"Water")</f>
        <v>987.72378580786756</v>
      </c>
      <c r="S47">
        <f t="shared" si="11"/>
        <v>986.0706638294912</v>
      </c>
      <c r="T47" cm="1">
        <f t="array" ref="T47">[1]!PropsSI("H","T",J47+273.15,"P",101325,"Water")</f>
        <v>241171.2686976004</v>
      </c>
      <c r="U47" cm="1">
        <f t="array" ref="U47">[1]!PropsSI("H","T",K47+273.15,"P",101325,"Water")</f>
        <v>212281.87969493793</v>
      </c>
      <c r="V47">
        <f t="shared" si="12"/>
        <v>630.75061751871965</v>
      </c>
      <c r="X47">
        <f t="shared" si="13"/>
        <v>0.26518338399999997</v>
      </c>
      <c r="Y47">
        <f t="shared" si="14"/>
        <v>0.25136956999999999</v>
      </c>
      <c r="Z47">
        <f t="shared" si="15"/>
        <v>0.36538868054672458</v>
      </c>
      <c r="AA47">
        <f t="shared" si="16"/>
        <v>6.9069070000000039</v>
      </c>
      <c r="AB47">
        <f t="shared" si="17"/>
        <v>5.3838775402907192E-2</v>
      </c>
      <c r="AC47">
        <f t="shared" si="18"/>
        <v>33.958840831835367</v>
      </c>
    </row>
    <row r="48" spans="1:29" x14ac:dyDescent="0.2">
      <c r="A48">
        <v>46137.028171134261</v>
      </c>
      <c r="B48">
        <v>19.539631</v>
      </c>
      <c r="C48">
        <v>19.568123</v>
      </c>
      <c r="D48">
        <v>19.684003000000001</v>
      </c>
      <c r="E48">
        <v>19.742885999999999</v>
      </c>
      <c r="F48">
        <v>33.821838</v>
      </c>
      <c r="G48">
        <v>33.809697999999997</v>
      </c>
      <c r="H48">
        <v>29.027581999999999</v>
      </c>
      <c r="I48">
        <v>27.735358999999999</v>
      </c>
      <c r="J48">
        <v>57.593603000000002</v>
      </c>
      <c r="K48">
        <v>50.698132999999999</v>
      </c>
      <c r="L48">
        <v>156.14591100000001</v>
      </c>
      <c r="M48">
        <v>-622.51142800000002</v>
      </c>
      <c r="N48">
        <v>1.3300810000000001</v>
      </c>
      <c r="O48">
        <v>2.7768820000000001</v>
      </c>
      <c r="P48">
        <f t="shared" si="10"/>
        <v>2.2168016666666669E-5</v>
      </c>
      <c r="Q48" cm="1">
        <f t="array" ref="Q48">[1]!PropsSI("D","T",J48+273.15,"P",101325,"Water")</f>
        <v>984.41658620626697</v>
      </c>
      <c r="R48" cm="1">
        <f t="array" ref="R48">[1]!PropsSI("D","T",K48+273.15,"P",101325,"Water")</f>
        <v>987.71768824098478</v>
      </c>
      <c r="S48">
        <f t="shared" si="11"/>
        <v>986.06713722362588</v>
      </c>
      <c r="T48" cm="1">
        <f t="array" ref="T48">[1]!PropsSI("H","T",J48+273.15,"P",101325,"Water")</f>
        <v>241179.2642169125</v>
      </c>
      <c r="U48" cm="1">
        <f t="array" ref="U48">[1]!PropsSI("H","T",K48+273.15,"P",101325,"Water")</f>
        <v>212337.69491549153</v>
      </c>
      <c r="V48">
        <f t="shared" si="12"/>
        <v>630.4522684025992</v>
      </c>
      <c r="X48">
        <f t="shared" si="13"/>
        <v>0.26518720600000001</v>
      </c>
      <c r="Y48">
        <f t="shared" si="14"/>
        <v>0.25139626599999998</v>
      </c>
      <c r="Z48">
        <f t="shared" si="15"/>
        <v>0.36540982031799474</v>
      </c>
      <c r="AA48">
        <f t="shared" si="16"/>
        <v>6.8954700000000031</v>
      </c>
      <c r="AB48">
        <f t="shared" si="17"/>
        <v>5.3928008062425051E-2</v>
      </c>
      <c r="AC48">
        <f t="shared" si="18"/>
        <v>33.99903501338953</v>
      </c>
    </row>
    <row r="49" spans="1:29" x14ac:dyDescent="0.2">
      <c r="A49">
        <v>44675.028205858798</v>
      </c>
      <c r="B49">
        <v>19.631955000000001</v>
      </c>
      <c r="C49">
        <v>19.675953</v>
      </c>
      <c r="D49">
        <v>19.703351000000001</v>
      </c>
      <c r="E49">
        <v>19.785247999999999</v>
      </c>
      <c r="F49">
        <v>34.018926999999998</v>
      </c>
      <c r="G49">
        <v>34.265408000000001</v>
      </c>
      <c r="H49">
        <v>29.090221</v>
      </c>
      <c r="I49">
        <v>27.431051</v>
      </c>
      <c r="J49">
        <v>57.595194999999997</v>
      </c>
      <c r="K49">
        <v>50.709892000000004</v>
      </c>
      <c r="L49">
        <v>152.43793299999999</v>
      </c>
      <c r="M49">
        <v>-622.46449199999995</v>
      </c>
      <c r="N49">
        <v>1.3228120000000001</v>
      </c>
      <c r="O49">
        <v>2.769409</v>
      </c>
      <c r="P49">
        <f t="shared" si="10"/>
        <v>2.2046866666666667E-5</v>
      </c>
      <c r="Q49" cm="1">
        <f t="array" ref="Q49">[1]!PropsSI("D","T",J49+273.15,"P",101325,"Water")</f>
        <v>984.41579006875088</v>
      </c>
      <c r="R49" cm="1">
        <f t="array" ref="R49">[1]!PropsSI("D","T",K49+273.15,"P",101325,"Water")</f>
        <v>987.71231559265857</v>
      </c>
      <c r="S49">
        <f t="shared" si="11"/>
        <v>986.06405283070467</v>
      </c>
      <c r="T49" cm="1">
        <f t="array" ref="T49">[1]!PropsSI("H","T",J49+273.15,"P",101325,"Water")</f>
        <v>241185.92505878862</v>
      </c>
      <c r="U49" cm="1">
        <f t="array" ref="U49">[1]!PropsSI("H","T",K49+273.15,"P",101325,"Water")</f>
        <v>212386.86570943799</v>
      </c>
      <c r="V49">
        <f t="shared" si="12"/>
        <v>626.08068429927584</v>
      </c>
      <c r="X49">
        <f t="shared" si="13"/>
        <v>0.26519039</v>
      </c>
      <c r="Y49">
        <f t="shared" si="14"/>
        <v>0.25141978399999998</v>
      </c>
      <c r="Z49">
        <f t="shared" si="15"/>
        <v>0.3654283113484213</v>
      </c>
      <c r="AA49">
        <f t="shared" si="16"/>
        <v>6.8853029999999933</v>
      </c>
      <c r="AB49">
        <f t="shared" si="17"/>
        <v>5.4007542375533249E-2</v>
      </c>
      <c r="AC49">
        <f t="shared" si="18"/>
        <v>33.813079087795991</v>
      </c>
    </row>
    <row r="50" spans="1:29" x14ac:dyDescent="0.2">
      <c r="A50" t="s">
        <v>34</v>
      </c>
      <c r="B50">
        <v>19.728781999999999</v>
      </c>
      <c r="C50">
        <v>19.766583000000001</v>
      </c>
      <c r="D50">
        <v>19.721270000000001</v>
      </c>
      <c r="E50">
        <v>19.824815000000001</v>
      </c>
      <c r="F50">
        <v>33.892606000000001</v>
      </c>
      <c r="G50">
        <v>34.108514999999997</v>
      </c>
      <c r="H50">
        <v>28.991613000000001</v>
      </c>
      <c r="I50">
        <v>27.534842999999999</v>
      </c>
      <c r="J50">
        <v>57.597425000000001</v>
      </c>
      <c r="K50">
        <v>50.719268</v>
      </c>
      <c r="L50">
        <v>152.282431</v>
      </c>
      <c r="M50">
        <v>-622.48122499999999</v>
      </c>
      <c r="N50">
        <v>1.3272820000000001</v>
      </c>
      <c r="O50">
        <v>3.0235530000000002</v>
      </c>
      <c r="P50">
        <f t="shared" si="10"/>
        <v>2.2121366666666668E-5</v>
      </c>
      <c r="Q50" cm="1">
        <f t="array" ref="Q50">[1]!PropsSI("D","T",J50+273.15,"P",101325,"Water")</f>
        <v>984.41467485034298</v>
      </c>
      <c r="R50" cm="1">
        <f t="array" ref="R50">[1]!PropsSI("D","T",K50+273.15,"P",101325,"Water")</f>
        <v>987.70803108452606</v>
      </c>
      <c r="S50">
        <f t="shared" si="11"/>
        <v>986.06135296743446</v>
      </c>
      <c r="T50" cm="1">
        <f t="array" ref="T50">[1]!PropsSI("H","T",J50+273.15,"P",101325,"Water")</f>
        <v>241195.255259912</v>
      </c>
      <c r="U50" cm="1">
        <f t="array" ref="U50">[1]!PropsSI("H","T",K50+273.15,"P",101325,"Water")</f>
        <v>212426.07190955451</v>
      </c>
      <c r="V50">
        <f t="shared" si="12"/>
        <v>627.54290830967022</v>
      </c>
      <c r="X50">
        <f t="shared" si="13"/>
        <v>0.26519484999999998</v>
      </c>
      <c r="Y50">
        <f t="shared" si="14"/>
        <v>0.25143853599999999</v>
      </c>
      <c r="Z50">
        <f t="shared" si="15"/>
        <v>0.36544444974899509</v>
      </c>
      <c r="AA50">
        <f t="shared" si="16"/>
        <v>6.8781570000000016</v>
      </c>
      <c r="AB50">
        <f t="shared" si="17"/>
        <v>5.4064036137354131E-2</v>
      </c>
      <c r="AC50">
        <f t="shared" si="18"/>
        <v>33.92750247259432</v>
      </c>
    </row>
    <row r="51" spans="1:29" x14ac:dyDescent="0.2">
      <c r="A51">
        <v>46137.028276458332</v>
      </c>
      <c r="B51">
        <v>19.768604</v>
      </c>
      <c r="C51">
        <v>19.771694</v>
      </c>
      <c r="D51">
        <v>19.783733999999999</v>
      </c>
      <c r="E51">
        <v>19.857448999999999</v>
      </c>
      <c r="F51">
        <v>33.965525</v>
      </c>
      <c r="G51">
        <v>34.881262999999997</v>
      </c>
      <c r="H51">
        <v>29.335234</v>
      </c>
      <c r="I51">
        <v>27.517932999999999</v>
      </c>
      <c r="J51">
        <v>57.599176</v>
      </c>
      <c r="K51">
        <v>50.724035000000001</v>
      </c>
      <c r="L51">
        <v>159.83470600000001</v>
      </c>
      <c r="M51">
        <v>-622.50734699999998</v>
      </c>
      <c r="N51">
        <v>1.324635</v>
      </c>
      <c r="O51">
        <v>2.931765</v>
      </c>
      <c r="P51">
        <f t="shared" si="10"/>
        <v>2.2077249999999999E-5</v>
      </c>
      <c r="Q51" cm="1">
        <f t="array" ref="Q51">[1]!PropsSI("D","T",J51+273.15,"P",101325,"Water")</f>
        <v>984.4137991577968</v>
      </c>
      <c r="R51" cm="1">
        <f t="array" ref="R51">[1]!PropsSI("D","T",K51+273.15,"P",101325,"Water")</f>
        <v>987.70585251086936</v>
      </c>
      <c r="S51">
        <f t="shared" si="11"/>
        <v>986.05982583433308</v>
      </c>
      <c r="T51" cm="1">
        <f t="array" ref="T51">[1]!PropsSI("H","T",J51+273.15,"P",101325,"Water")</f>
        <v>241202.58135196334</v>
      </c>
      <c r="U51" cm="1">
        <f t="array" ref="U51">[1]!PropsSI("H","T",K51+273.15,"P",101325,"Water")</f>
        <v>212446.00536183993</v>
      </c>
      <c r="V51">
        <f t="shared" si="12"/>
        <v>626.01597303121673</v>
      </c>
      <c r="X51">
        <f t="shared" si="13"/>
        <v>0.26519835199999997</v>
      </c>
      <c r="Y51">
        <f t="shared" si="14"/>
        <v>0.25144807000000002</v>
      </c>
      <c r="Z51">
        <f t="shared" si="15"/>
        <v>0.36545355082450737</v>
      </c>
      <c r="AA51">
        <f t="shared" si="16"/>
        <v>6.8751409999999993</v>
      </c>
      <c r="AB51">
        <f t="shared" si="17"/>
        <v>5.4088242756299143E-2</v>
      </c>
      <c r="AC51">
        <f t="shared" si="18"/>
        <v>33.860103918633271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B67C-0253-8449-A887-3FC0E9E90E0F}">
  <dimension ref="A1:AC48"/>
  <sheetViews>
    <sheetView topLeftCell="O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44675.023891044002</v>
      </c>
      <c r="B2">
        <v>16.947945000000001</v>
      </c>
      <c r="C2">
        <v>17.027757000000001</v>
      </c>
      <c r="D2">
        <v>19.055109999999999</v>
      </c>
      <c r="E2">
        <v>19.266452000000001</v>
      </c>
      <c r="F2">
        <v>30.160454000000001</v>
      </c>
      <c r="G2">
        <v>31.360863999999999</v>
      </c>
      <c r="H2">
        <v>27.858820999999999</v>
      </c>
      <c r="I2">
        <v>24.766324999999998</v>
      </c>
      <c r="J2">
        <v>57.370835999999997</v>
      </c>
      <c r="K2">
        <v>49.627915000000002</v>
      </c>
      <c r="L2">
        <v>202.66113300000001</v>
      </c>
      <c r="M2">
        <v>-622.48122499999999</v>
      </c>
      <c r="N2">
        <v>1.3319700000000001</v>
      </c>
      <c r="O2">
        <v>2.4843090000000001</v>
      </c>
      <c r="P2">
        <f t="shared" ref="P2:P25" si="0" xml:space="preserve"> N2*0.001/60</f>
        <v>2.21995E-5</v>
      </c>
      <c r="Q2" cm="1">
        <f t="array" ref="Q2">[1]!PropsSI("D","T",J2+273.15,"P",101325,"Water")</f>
        <v>984.52783775735884</v>
      </c>
      <c r="R2" cm="1">
        <f t="array" ref="R2">[1]!PropsSI("D","T",K2+273.15,"P",101325,"Water")</f>
        <v>988.20288461837856</v>
      </c>
      <c r="S2">
        <f t="shared" ref="S2:S25" si="1">(Q2+R2)/2</f>
        <v>986.36536118786876</v>
      </c>
      <c r="T2" cm="1">
        <f t="array" ref="T2">[1]!PropsSI("H","T",J2+273.15,"P",101325,"Water")</f>
        <v>240247.22912646583</v>
      </c>
      <c r="U2" cm="1">
        <f t="array" ref="U2">[1]!PropsSI("H","T",K2+273.15,"P",101325,"Water")</f>
        <v>207862.69668664515</v>
      </c>
      <c r="V2">
        <f t="shared" ref="V2:V25" si="2">S2*P2*(T2-U2)</f>
        <v>709.11820752874974</v>
      </c>
      <c r="W2" s="3">
        <f>AVERAGE(V2:V48)</f>
        <v>704.8668809865685</v>
      </c>
      <c r="X2">
        <f>(0.15+0.002*ABS(J2))</f>
        <v>0.26474167199999998</v>
      </c>
      <c r="Y2">
        <f>(0.15+0.002*ABS(K2))</f>
        <v>0.24925583000000001</v>
      </c>
      <c r="Z2">
        <f>SQRT((X2)^2 + (Y2)^2)</f>
        <v>0.36361603606324144</v>
      </c>
      <c r="AA2">
        <f>J2-K2</f>
        <v>7.7429209999999955</v>
      </c>
      <c r="AB2">
        <f>SQRT((0.01)^2 + (Z2/ABS(AA2))^2)</f>
        <v>4.8014000987396332E-2</v>
      </c>
      <c r="AC2">
        <f>ABS(V2*AB2)</f>
        <v>34.047602316466104</v>
      </c>
    </row>
    <row r="3" spans="1:29" x14ac:dyDescent="0.2">
      <c r="A3">
        <v>44675.023925766203</v>
      </c>
      <c r="B3">
        <v>16.798745</v>
      </c>
      <c r="C3">
        <v>16.834879000000001</v>
      </c>
      <c r="D3">
        <v>18.792255999999998</v>
      </c>
      <c r="E3">
        <v>19.137080999999998</v>
      </c>
      <c r="F3">
        <v>30.077701000000001</v>
      </c>
      <c r="G3">
        <v>29.290579000000001</v>
      </c>
      <c r="H3">
        <v>27.622852999999999</v>
      </c>
      <c r="I3">
        <v>24.557120000000001</v>
      </c>
      <c r="J3">
        <v>57.370199</v>
      </c>
      <c r="K3">
        <v>49.627597000000002</v>
      </c>
      <c r="L3">
        <v>209.22855899999999</v>
      </c>
      <c r="M3">
        <v>-622.51346899999999</v>
      </c>
      <c r="N3">
        <v>1.3221560000000001</v>
      </c>
      <c r="O3">
        <v>2.4881850000000001</v>
      </c>
      <c r="P3">
        <f t="shared" si="0"/>
        <v>2.2035933333333334E-5</v>
      </c>
      <c r="Q3" cm="1">
        <f t="array" ref="Q3">[1]!PropsSI("D","T",J3+273.15,"P",101325,"Water")</f>
        <v>984.52815544924499</v>
      </c>
      <c r="R3" cm="1">
        <f t="array" ref="R3">[1]!PropsSI("D","T",K3+273.15,"P",101325,"Water")</f>
        <v>988.2030276708299</v>
      </c>
      <c r="S3">
        <f t="shared" si="1"/>
        <v>986.3655915600375</v>
      </c>
      <c r="T3" cm="1">
        <f t="array" ref="T3">[1]!PropsSI("H","T",J3+273.15,"P",101325,"Water")</f>
        <v>240244.56400978076</v>
      </c>
      <c r="U3" cm="1">
        <f t="array" ref="U3">[1]!PropsSI("H","T",K3+273.15,"P",101325,"Water")</f>
        <v>207861.36705287467</v>
      </c>
      <c r="V3">
        <f t="shared" si="2"/>
        <v>703.8645376253653</v>
      </c>
      <c r="W3" s="3" t="s">
        <v>33</v>
      </c>
      <c r="X3">
        <f t="shared" ref="X3:Y25" si="3">(0.15+0.002*ABS(J3))</f>
        <v>0.26474039799999999</v>
      </c>
      <c r="Y3">
        <f t="shared" si="3"/>
        <v>0.24925519400000001</v>
      </c>
      <c r="Z3">
        <f t="shared" ref="Z3:Z7" si="4">SQRT((X3)^2 + (Y3)^2)</f>
        <v>0.36361467251635493</v>
      </c>
      <c r="AA3">
        <f>J3-K3</f>
        <v>7.742601999999998</v>
      </c>
      <c r="AB3">
        <f t="shared" ref="AB3:AB25" si="5">SQRT((0.01)^2 + (Z3/ABS(AA3))^2)</f>
        <v>4.8015721138085998E-2</v>
      </c>
      <c r="AC3">
        <f t="shared" ref="AC3:AC25" si="6">ABS(V3*AB3)</f>
        <v>33.796563357607383</v>
      </c>
    </row>
    <row r="4" spans="1:29" x14ac:dyDescent="0.2">
      <c r="A4">
        <v>44675.023960488499</v>
      </c>
      <c r="B4">
        <v>16.786814</v>
      </c>
      <c r="C4">
        <v>16.937570000000001</v>
      </c>
      <c r="D4">
        <v>18.936817000000001</v>
      </c>
      <c r="E4">
        <v>19.162441999999999</v>
      </c>
      <c r="F4">
        <v>30.003578000000001</v>
      </c>
      <c r="G4">
        <v>28.909324999999999</v>
      </c>
      <c r="H4">
        <v>27.349325</v>
      </c>
      <c r="I4">
        <v>24.491823</v>
      </c>
      <c r="J4">
        <v>57.371631999999998</v>
      </c>
      <c r="K4">
        <v>49.616318999999997</v>
      </c>
      <c r="L4">
        <v>205.90137899999999</v>
      </c>
      <c r="M4">
        <v>-622.47387900000001</v>
      </c>
      <c r="N4">
        <v>1.333466</v>
      </c>
      <c r="O4">
        <v>3.261787</v>
      </c>
      <c r="P4">
        <f t="shared" si="0"/>
        <v>2.2224433333333337E-5</v>
      </c>
      <c r="Q4" cm="1">
        <f t="array" ref="Q4">[1]!PropsSI("D","T",J4+273.15,"P",101325,"Water")</f>
        <v>984.52744076373699</v>
      </c>
      <c r="R4" cm="1">
        <f t="array" ref="R4">[1]!PropsSI("D","T",K4+273.15,"P",101325,"Water")</f>
        <v>988.20810065382318</v>
      </c>
      <c r="S4">
        <f t="shared" si="1"/>
        <v>986.36777070878009</v>
      </c>
      <c r="T4" cm="1">
        <f t="array" ref="T4">[1]!PropsSI("H","T",J4+273.15,"P",101325,"Water")</f>
        <v>240250.5594764456</v>
      </c>
      <c r="U4" cm="1">
        <f t="array" ref="U4">[1]!PropsSI("H","T",K4+273.15,"P",101325,"Water")</f>
        <v>207814.21106730035</v>
      </c>
      <c r="V4">
        <f t="shared" si="2"/>
        <v>711.05226866765747</v>
      </c>
      <c r="W4" s="3">
        <f>SQRT((AVERAGE(AC2:AC48))^2 + (_xlfn.STDEV.S(V2:V48)/SQRT(COUNT(V2:V48)))^2)</f>
        <v>34.013696320605227</v>
      </c>
      <c r="X4">
        <f t="shared" si="3"/>
        <v>0.26474326399999998</v>
      </c>
      <c r="Y4">
        <f t="shared" si="3"/>
        <v>0.24923263800000001</v>
      </c>
      <c r="Z4">
        <f t="shared" si="4"/>
        <v>0.36360129768444549</v>
      </c>
      <c r="AA4">
        <f t="shared" ref="AA4:AA5" si="7">J4-K4</f>
        <v>7.755313000000001</v>
      </c>
      <c r="AB4">
        <f t="shared" si="5"/>
        <v>4.7938752603448841E-2</v>
      </c>
      <c r="AC4">
        <f t="shared" si="6"/>
        <v>34.086958795779871</v>
      </c>
    </row>
    <row r="5" spans="1:29" x14ac:dyDescent="0.2">
      <c r="A5">
        <v>44675.023995789401</v>
      </c>
      <c r="B5">
        <v>17.141033</v>
      </c>
      <c r="C5">
        <v>17.331382999999999</v>
      </c>
      <c r="D5">
        <v>19.088667999999998</v>
      </c>
      <c r="E5">
        <v>19.258766999999999</v>
      </c>
      <c r="F5">
        <v>30.309127</v>
      </c>
      <c r="G5">
        <v>30.675722</v>
      </c>
      <c r="H5">
        <v>27.797602000000001</v>
      </c>
      <c r="I5">
        <v>25.350695999999999</v>
      </c>
      <c r="J5">
        <v>57.375611999999997</v>
      </c>
      <c r="K5">
        <v>49.608853000000003</v>
      </c>
      <c r="L5">
        <v>204.63491200000001</v>
      </c>
      <c r="M5">
        <v>-622.49224500000003</v>
      </c>
      <c r="N5">
        <v>1.334978</v>
      </c>
      <c r="O5">
        <v>1.823477</v>
      </c>
      <c r="P5">
        <f t="shared" si="0"/>
        <v>2.2249633333333335E-5</v>
      </c>
      <c r="Q5" cm="1">
        <f t="array" ref="Q5">[1]!PropsSI("D","T",J5+273.15,"P",101325,"Water")</f>
        <v>984.52545573803127</v>
      </c>
      <c r="R5" cm="1">
        <f t="array" ref="R5">[1]!PropsSI("D","T",K5+273.15,"P",101325,"Water")</f>
        <v>988.2114584913827</v>
      </c>
      <c r="S5">
        <f t="shared" si="1"/>
        <v>986.36845711470698</v>
      </c>
      <c r="T5" cm="1">
        <f t="array" ref="T5">[1]!PropsSI("H","T",J5+273.15,"P",101325,"Water")</f>
        <v>240267.21123043937</v>
      </c>
      <c r="U5" cm="1">
        <f t="array" ref="U5">[1]!PropsSI("H","T",K5+273.15,"P",101325,"Water")</f>
        <v>207782.9939747446</v>
      </c>
      <c r="V5">
        <f t="shared" si="2"/>
        <v>712.90956290950498</v>
      </c>
      <c r="W5" s="3"/>
      <c r="X5">
        <f t="shared" si="3"/>
        <v>0.26475122400000001</v>
      </c>
      <c r="Y5">
        <f t="shared" si="3"/>
        <v>0.24921770599999998</v>
      </c>
      <c r="Z5">
        <f t="shared" si="4"/>
        <v>0.36359685861321822</v>
      </c>
      <c r="AA5">
        <f t="shared" si="7"/>
        <v>7.7667589999999933</v>
      </c>
      <c r="AB5">
        <f t="shared" si="5"/>
        <v>4.787062187503606E-2</v>
      </c>
      <c r="AC5">
        <f t="shared" si="6"/>
        <v>34.127424117138148</v>
      </c>
    </row>
    <row r="6" spans="1:29" x14ac:dyDescent="0.2">
      <c r="A6">
        <v>46137.02403108796</v>
      </c>
      <c r="B6">
        <v>17.214934</v>
      </c>
      <c r="C6">
        <v>17.248529999999999</v>
      </c>
      <c r="D6">
        <v>19.105333999999999</v>
      </c>
      <c r="E6">
        <v>19.336521000000001</v>
      </c>
      <c r="F6">
        <v>30.398571</v>
      </c>
      <c r="G6">
        <v>29.572126999999998</v>
      </c>
      <c r="H6">
        <v>27.038929</v>
      </c>
      <c r="I6">
        <v>24.531237000000001</v>
      </c>
      <c r="J6">
        <v>57.376409000000002</v>
      </c>
      <c r="K6">
        <v>49.617272</v>
      </c>
      <c r="L6">
        <v>202.47093799999999</v>
      </c>
      <c r="M6">
        <v>-622.49224500000003</v>
      </c>
      <c r="N6">
        <v>1.328503</v>
      </c>
      <c r="O6">
        <v>3.8409339999999998</v>
      </c>
      <c r="P6">
        <f t="shared" si="0"/>
        <v>2.2141716666666665E-5</v>
      </c>
      <c r="Q6" cm="1">
        <f t="array" ref="Q6">[1]!PropsSI("D","T",J6+273.15,"P",101325,"Water")</f>
        <v>984.52505822262253</v>
      </c>
      <c r="R6" cm="1">
        <f t="array" ref="R6">[1]!PropsSI("D","T",K6+273.15,"P",101325,"Water")</f>
        <v>988.20767201515116</v>
      </c>
      <c r="S6">
        <f t="shared" si="1"/>
        <v>986.36636511888685</v>
      </c>
      <c r="T6" cm="1">
        <f t="array" ref="T6">[1]!PropsSI("H","T",J6+273.15,"P",101325,"Water")</f>
        <v>240270.54576583751</v>
      </c>
      <c r="U6" cm="1">
        <f t="array" ref="U6">[1]!PropsSI("H","T",K6+273.15,"P",101325,"Water")</f>
        <v>207818.19578436864</v>
      </c>
      <c r="V6">
        <f t="shared" si="2"/>
        <v>708.75428004550929</v>
      </c>
      <c r="W6" s="3"/>
      <c r="X6">
        <f t="shared" si="3"/>
        <v>0.264752818</v>
      </c>
      <c r="Y6">
        <f t="shared" si="3"/>
        <v>0.249234544</v>
      </c>
      <c r="Z6">
        <f t="shared" si="4"/>
        <v>0.36360956060289323</v>
      </c>
      <c r="AA6">
        <f>J6-K6</f>
        <v>7.7591370000000026</v>
      </c>
      <c r="AB6">
        <f t="shared" si="5"/>
        <v>4.7917196328617656E-2</v>
      </c>
      <c r="AC6">
        <f t="shared" si="6"/>
        <v>33.961517985688729</v>
      </c>
    </row>
    <row r="7" spans="1:29" x14ac:dyDescent="0.2">
      <c r="A7">
        <v>46137.024066388891</v>
      </c>
      <c r="B7">
        <v>17.112974999999999</v>
      </c>
      <c r="C7">
        <v>17.328724000000001</v>
      </c>
      <c r="D7">
        <v>19.052237999999999</v>
      </c>
      <c r="E7">
        <v>19.267901999999999</v>
      </c>
      <c r="F7">
        <v>30.604445999999999</v>
      </c>
      <c r="G7">
        <v>30.428184000000002</v>
      </c>
      <c r="H7">
        <v>26.932348000000001</v>
      </c>
      <c r="I7">
        <v>24.835059000000001</v>
      </c>
      <c r="J7">
        <v>57.378478999999999</v>
      </c>
      <c r="K7">
        <v>49.621402000000003</v>
      </c>
      <c r="L7">
        <v>205.54507000000001</v>
      </c>
      <c r="M7">
        <v>-622.48367399999995</v>
      </c>
      <c r="N7">
        <v>1.340924</v>
      </c>
      <c r="O7">
        <v>3.0344570000000002</v>
      </c>
      <c r="P7">
        <f t="shared" si="0"/>
        <v>2.2348733333333335E-5</v>
      </c>
      <c r="Q7" cm="1">
        <f t="array" ref="Q7">[1]!PropsSI("D","T",J7+273.15,"P",101325,"Water")</f>
        <v>984.52402576183863</v>
      </c>
      <c r="R7" cm="1">
        <f t="array" ref="R7">[1]!PropsSI("D","T",K7+273.15,"P",101325,"Water")</f>
        <v>988.2058143616955</v>
      </c>
      <c r="S7">
        <f t="shared" si="1"/>
        <v>986.36492006176707</v>
      </c>
      <c r="T7" cm="1">
        <f t="array" ref="T7">[1]!PropsSI("H","T",J7+273.15,"P",101325,"Water")</f>
        <v>240279.20635458361</v>
      </c>
      <c r="U7" cm="1">
        <f t="array" ref="U7">[1]!PropsSI("H","T",K7+273.15,"P",101325,"Water")</f>
        <v>207835.46428823771</v>
      </c>
      <c r="V7">
        <f t="shared" si="2"/>
        <v>715.19006319502773</v>
      </c>
      <c r="W7" s="3"/>
      <c r="X7">
        <f t="shared" si="3"/>
        <v>0.26475695799999999</v>
      </c>
      <c r="Y7">
        <f t="shared" si="3"/>
        <v>0.24924280399999998</v>
      </c>
      <c r="Z7">
        <f t="shared" si="4"/>
        <v>0.36361823682977751</v>
      </c>
      <c r="AA7">
        <f t="shared" ref="AA7:AA25" si="8">J7-K7</f>
        <v>7.7570769999999953</v>
      </c>
      <c r="AB7">
        <f t="shared" si="5"/>
        <v>4.79304611416436E-2</v>
      </c>
      <c r="AC7">
        <f t="shared" si="6"/>
        <v>34.279389532858907</v>
      </c>
    </row>
    <row r="8" spans="1:29" x14ac:dyDescent="0.2">
      <c r="A8">
        <v>46137.024101111114</v>
      </c>
      <c r="B8">
        <v>17.070138</v>
      </c>
      <c r="C8">
        <v>17.294450999999999</v>
      </c>
      <c r="D8">
        <v>18.958044999999998</v>
      </c>
      <c r="E8">
        <v>19.24916</v>
      </c>
      <c r="F8">
        <v>30.054876</v>
      </c>
      <c r="G8">
        <v>29.639915999999999</v>
      </c>
      <c r="H8">
        <v>27.303965999999999</v>
      </c>
      <c r="I8">
        <v>24.677585000000001</v>
      </c>
      <c r="J8">
        <v>57.379911999999997</v>
      </c>
      <c r="K8">
        <v>49.628709000000001</v>
      </c>
      <c r="L8">
        <v>196.69000299999999</v>
      </c>
      <c r="M8">
        <v>-622.48938799999996</v>
      </c>
      <c r="N8">
        <v>1.326819</v>
      </c>
      <c r="O8">
        <v>1.8998379999999999</v>
      </c>
      <c r="P8">
        <f t="shared" si="0"/>
        <v>2.2113649999999998E-5</v>
      </c>
      <c r="Q8" cm="1">
        <f t="array" ref="Q8">[1]!PropsSI("D","T",J8+273.15,"P",101325,"Water")</f>
        <v>984.52331100444212</v>
      </c>
      <c r="R8" cm="1">
        <f t="array" ref="R8">[1]!PropsSI("D","T",K8+273.15,"P",101325,"Water")</f>
        <v>988.20252743418155</v>
      </c>
      <c r="S8">
        <f t="shared" si="1"/>
        <v>986.36291921931183</v>
      </c>
      <c r="T8" cm="1">
        <f t="array" ref="T8">[1]!PropsSI("H","T",J8+273.15,"P",101325,"Water")</f>
        <v>240285.20182596205</v>
      </c>
      <c r="U8" cm="1">
        <f t="array" ref="U8">[1]!PropsSI("H","T",K8+273.15,"P",101325,"Water")</f>
        <v>207866.01658978802</v>
      </c>
      <c r="V8">
        <f t="shared" si="2"/>
        <v>707.13000353250925</v>
      </c>
      <c r="W8" s="3"/>
      <c r="X8">
        <f t="shared" si="3"/>
        <v>0.26475982399999998</v>
      </c>
      <c r="Y8">
        <f t="shared" si="3"/>
        <v>0.24925741800000001</v>
      </c>
      <c r="Z8">
        <f>SQRT((X8)^2 + (Y8)^2)</f>
        <v>0.36363034091304547</v>
      </c>
      <c r="AA8">
        <f t="shared" si="8"/>
        <v>7.7512029999999967</v>
      </c>
      <c r="AB8">
        <f t="shared" si="5"/>
        <v>4.7966730456911771E-2</v>
      </c>
      <c r="AC8">
        <f t="shared" si="6"/>
        <v>33.918714277438937</v>
      </c>
    </row>
    <row r="9" spans="1:29" x14ac:dyDescent="0.2">
      <c r="A9">
        <v>46137.024136412037</v>
      </c>
      <c r="B9">
        <v>17.187208999999999</v>
      </c>
      <c r="C9">
        <v>17.503499000000001</v>
      </c>
      <c r="D9">
        <v>19.079295999999999</v>
      </c>
      <c r="E9">
        <v>19.368238999999999</v>
      </c>
      <c r="F9">
        <v>30.724171999999999</v>
      </c>
      <c r="G9">
        <v>29.73236</v>
      </c>
      <c r="H9">
        <v>26.961874999999999</v>
      </c>
      <c r="I9">
        <v>24.779626</v>
      </c>
      <c r="J9">
        <v>57.380229999999997</v>
      </c>
      <c r="K9">
        <v>49.629185999999997</v>
      </c>
      <c r="L9">
        <v>201.656285</v>
      </c>
      <c r="M9">
        <v>-622.50816299999997</v>
      </c>
      <c r="N9">
        <v>1.340293</v>
      </c>
      <c r="O9">
        <v>2.8783150000000002</v>
      </c>
      <c r="P9">
        <f t="shared" si="0"/>
        <v>2.2338216666666666E-5</v>
      </c>
      <c r="Q9" cm="1">
        <f t="array" ref="Q9">[1]!PropsSI("D","T",J9+273.15,"P",101325,"Water")</f>
        <v>984.52315238947267</v>
      </c>
      <c r="R9" cm="1">
        <f t="array" ref="R9">[1]!PropsSI("D","T",K9+273.15,"P",101325,"Water")</f>
        <v>988.20231285175453</v>
      </c>
      <c r="S9">
        <f t="shared" si="1"/>
        <v>986.36273262061354</v>
      </c>
      <c r="T9" cm="1">
        <f t="array" ref="T9">[1]!PropsSI("H","T",J9+273.15,"P",101325,"Water")</f>
        <v>240286.5322935328</v>
      </c>
      <c r="U9" cm="1">
        <f t="array" ref="U9">[1]!PropsSI("H","T",K9+273.15,"P",101325,"Water")</f>
        <v>207868.01104061538</v>
      </c>
      <c r="V9">
        <f t="shared" si="2"/>
        <v>714.29622522579575</v>
      </c>
      <c r="W9" s="3"/>
      <c r="X9">
        <f t="shared" si="3"/>
        <v>0.26476045999999998</v>
      </c>
      <c r="Y9">
        <f t="shared" si="3"/>
        <v>0.24925837200000001</v>
      </c>
      <c r="Z9">
        <f t="shared" ref="Z9:Z25" si="9">SQRT((X9)^2 + (Y9)^2)</f>
        <v>0.36363145792340629</v>
      </c>
      <c r="AA9">
        <f t="shared" si="8"/>
        <v>7.7510440000000003</v>
      </c>
      <c r="AB9">
        <f t="shared" si="5"/>
        <v>4.7967812595147985E-2</v>
      </c>
      <c r="AC9">
        <f t="shared" si="6"/>
        <v>34.263227469052588</v>
      </c>
    </row>
    <row r="10" spans="1:29" x14ac:dyDescent="0.2">
      <c r="A10">
        <v>44675.024171136603</v>
      </c>
      <c r="B10">
        <v>17.296102000000001</v>
      </c>
      <c r="C10">
        <v>17.400489</v>
      </c>
      <c r="D10">
        <v>19.091640999999999</v>
      </c>
      <c r="E10">
        <v>19.416967</v>
      </c>
      <c r="F10">
        <v>30.445782999999999</v>
      </c>
      <c r="G10">
        <v>30.587630000000001</v>
      </c>
      <c r="H10">
        <v>26.903891999999999</v>
      </c>
      <c r="I10">
        <v>24.844595999999999</v>
      </c>
      <c r="J10">
        <v>57.382618999999998</v>
      </c>
      <c r="K10">
        <v>49.630774000000002</v>
      </c>
      <c r="L10">
        <v>225.34489500000001</v>
      </c>
      <c r="M10">
        <v>-622.49061300000005</v>
      </c>
      <c r="N10">
        <v>1.3263069999999999</v>
      </c>
      <c r="O10">
        <v>3.4951409999999998</v>
      </c>
      <c r="P10">
        <f t="shared" si="0"/>
        <v>2.2105116666666666E-5</v>
      </c>
      <c r="Q10" cm="1">
        <f t="array" ref="Q10">[1]!PropsSI("D","T",J10+273.15,"P",101325,"Water")</f>
        <v>984.52196076235214</v>
      </c>
      <c r="R10" cm="1">
        <f t="array" ref="R10">[1]!PropsSI("D","T",K10+273.15,"P",101325,"Water")</f>
        <v>988.20159846592276</v>
      </c>
      <c r="S10">
        <f t="shared" si="1"/>
        <v>986.3617796141375</v>
      </c>
      <c r="T10" cm="1">
        <f t="array" ref="T10">[1]!PropsSI("H","T",J10+273.15,"P",101325,"Water")</f>
        <v>240296.5275371992</v>
      </c>
      <c r="U10" cm="1">
        <f t="array" ref="U10">[1]!PropsSI("H","T",K10+273.15,"P",101325,"Water")</f>
        <v>207874.65084770418</v>
      </c>
      <c r="V10">
        <f t="shared" si="2"/>
        <v>706.91499924130574</v>
      </c>
      <c r="X10">
        <f t="shared" si="3"/>
        <v>0.26476523800000001</v>
      </c>
      <c r="Y10">
        <f t="shared" si="3"/>
        <v>0.249261548</v>
      </c>
      <c r="Z10">
        <f t="shared" si="9"/>
        <v>0.36363711384366826</v>
      </c>
      <c r="AA10">
        <f t="shared" si="8"/>
        <v>7.7518449999999959</v>
      </c>
      <c r="AB10">
        <f t="shared" si="5"/>
        <v>4.7963785084323571E-2</v>
      </c>
      <c r="AC10">
        <f t="shared" si="6"/>
        <v>33.906319096494748</v>
      </c>
    </row>
    <row r="11" spans="1:29" x14ac:dyDescent="0.2">
      <c r="A11">
        <v>44675.024206437498</v>
      </c>
      <c r="B11">
        <v>17.235251000000002</v>
      </c>
      <c r="C11">
        <v>17.298819000000002</v>
      </c>
      <c r="D11">
        <v>19.148426000000001</v>
      </c>
      <c r="E11">
        <v>19.409537</v>
      </c>
      <c r="F11">
        <v>30.284739999999999</v>
      </c>
      <c r="G11">
        <v>28.831855999999998</v>
      </c>
      <c r="H11">
        <v>26.570297</v>
      </c>
      <c r="I11">
        <v>24.608384999999998</v>
      </c>
      <c r="J11">
        <v>57.383574000000003</v>
      </c>
      <c r="K11">
        <v>49.643641000000002</v>
      </c>
      <c r="L11">
        <v>199.035192</v>
      </c>
      <c r="M11">
        <v>-622.50938699999995</v>
      </c>
      <c r="N11">
        <v>1.332433</v>
      </c>
      <c r="O11">
        <v>2.7481360000000001</v>
      </c>
      <c r="P11">
        <f t="shared" si="0"/>
        <v>2.2207216666666666E-5</v>
      </c>
      <c r="Q11" cm="1">
        <f t="array" ref="Q11">[1]!PropsSI("D","T",J11+273.15,"P",101325,"Water")</f>
        <v>984.52148440112978</v>
      </c>
      <c r="R11" cm="1">
        <f t="array" ref="R11">[1]!PropsSI("D","T",K11+273.15,"P",101325,"Water")</f>
        <v>988.19580943858944</v>
      </c>
      <c r="S11">
        <f t="shared" si="1"/>
        <v>986.35864691985967</v>
      </c>
      <c r="T11" cm="1">
        <f t="array" ref="T11">[1]!PropsSI("H","T",J11+273.15,"P",101325,"Water")</f>
        <v>240300.52312499506</v>
      </c>
      <c r="U11" cm="1">
        <f t="array" ref="U11">[1]!PropsSI("H","T",K11+273.15,"P",101325,"Water")</f>
        <v>207928.45087249082</v>
      </c>
      <c r="V11">
        <f t="shared" si="2"/>
        <v>709.08694072930689</v>
      </c>
      <c r="X11">
        <f t="shared" si="3"/>
        <v>0.26476714800000001</v>
      </c>
      <c r="Y11">
        <f t="shared" si="3"/>
        <v>0.249287282</v>
      </c>
      <c r="Z11">
        <f t="shared" si="9"/>
        <v>0.3636561447672807</v>
      </c>
      <c r="AA11">
        <f t="shared" si="8"/>
        <v>7.7399330000000006</v>
      </c>
      <c r="AB11">
        <f t="shared" si="5"/>
        <v>4.8036801404700256E-2</v>
      </c>
      <c r="AC11">
        <f t="shared" si="6"/>
        <v>34.062268550480177</v>
      </c>
    </row>
    <row r="12" spans="1:29" x14ac:dyDescent="0.2">
      <c r="A12">
        <v>44675.024241738502</v>
      </c>
      <c r="B12">
        <v>17.202428999999999</v>
      </c>
      <c r="C12">
        <v>17.357243</v>
      </c>
      <c r="D12">
        <v>19.16048</v>
      </c>
      <c r="E12">
        <v>19.380134999999999</v>
      </c>
      <c r="F12">
        <v>30.298458</v>
      </c>
      <c r="G12">
        <v>29.623925</v>
      </c>
      <c r="H12">
        <v>27.203503999999999</v>
      </c>
      <c r="I12">
        <v>24.881167999999999</v>
      </c>
      <c r="J12">
        <v>57.381822</v>
      </c>
      <c r="K12">
        <v>49.652537000000002</v>
      </c>
      <c r="L12">
        <v>206.59930299999999</v>
      </c>
      <c r="M12">
        <v>-622.47877700000004</v>
      </c>
      <c r="N12">
        <v>1.326274</v>
      </c>
      <c r="O12">
        <v>2.914253</v>
      </c>
      <c r="P12">
        <f t="shared" si="0"/>
        <v>2.2104566666666665E-5</v>
      </c>
      <c r="Q12" cm="1">
        <f t="array" ref="Q12">[1]!PropsSI("D","T",J12+273.15,"P",101325,"Water")</f>
        <v>984.52235830775624</v>
      </c>
      <c r="R12" cm="1">
        <f t="array" ref="R12">[1]!PropsSI("D","T",K12+273.15,"P",101325,"Water")</f>
        <v>988.19180637718955</v>
      </c>
      <c r="S12">
        <f t="shared" si="1"/>
        <v>986.35708234247295</v>
      </c>
      <c r="T12" cm="1">
        <f t="array" ref="T12">[1]!PropsSI("H","T",J12+273.15,"P",101325,"Water")</f>
        <v>240293.19299984525</v>
      </c>
      <c r="U12" cm="1">
        <f t="array" ref="U12">[1]!PropsSI("H","T",K12+273.15,"P",101325,"Water")</f>
        <v>207965.64721703168</v>
      </c>
      <c r="V12">
        <f t="shared" si="2"/>
        <v>704.83734763532959</v>
      </c>
      <c r="X12">
        <f t="shared" si="3"/>
        <v>0.26476364399999996</v>
      </c>
      <c r="Y12">
        <f t="shared" si="3"/>
        <v>0.24930507400000002</v>
      </c>
      <c r="Z12">
        <f t="shared" si="9"/>
        <v>0.36366579039869035</v>
      </c>
      <c r="AA12">
        <f t="shared" si="8"/>
        <v>7.7292849999999973</v>
      </c>
      <c r="AB12">
        <f t="shared" si="5"/>
        <v>4.8101332469539716E-2</v>
      </c>
      <c r="AC12">
        <f t="shared" si="6"/>
        <v>33.903615595555529</v>
      </c>
    </row>
    <row r="13" spans="1:29" x14ac:dyDescent="0.2">
      <c r="A13">
        <v>44675.024276460703</v>
      </c>
      <c r="B13">
        <v>17.300167999999999</v>
      </c>
      <c r="C13">
        <v>17.622047999999999</v>
      </c>
      <c r="D13">
        <v>19.189627000000002</v>
      </c>
      <c r="E13">
        <v>19.427705</v>
      </c>
      <c r="F13">
        <v>30.323179</v>
      </c>
      <c r="G13">
        <v>29.292437</v>
      </c>
      <c r="H13">
        <v>27.120647999999999</v>
      </c>
      <c r="I13">
        <v>24.838507</v>
      </c>
      <c r="J13">
        <v>57.383574000000003</v>
      </c>
      <c r="K13">
        <v>49.661115000000002</v>
      </c>
      <c r="L13">
        <v>215.46212499999999</v>
      </c>
      <c r="M13">
        <v>-622.47510299999999</v>
      </c>
      <c r="N13">
        <v>1.321812</v>
      </c>
      <c r="O13">
        <v>3.0592109999999999</v>
      </c>
      <c r="P13">
        <f t="shared" si="0"/>
        <v>2.2030200000000001E-5</v>
      </c>
      <c r="Q13" cm="1">
        <f t="array" ref="Q13">[1]!PropsSI("D","T",J13+273.15,"P",101325,"Water")</f>
        <v>984.52148440112978</v>
      </c>
      <c r="R13" cm="1">
        <f t="array" ref="R13">[1]!PropsSI("D","T",K13+273.15,"P",101325,"Water")</f>
        <v>988.18794591723724</v>
      </c>
      <c r="S13">
        <f t="shared" si="1"/>
        <v>986.35471515918357</v>
      </c>
      <c r="T13" cm="1">
        <f t="array" ref="T13">[1]!PropsSI("H","T",J13+273.15,"P",101325,"Water")</f>
        <v>240300.52312499506</v>
      </c>
      <c r="U13" cm="1">
        <f t="array" ref="U13">[1]!PropsSI("H","T",K13+273.15,"P",101325,"Water")</f>
        <v>208001.51394679878</v>
      </c>
      <c r="V13">
        <f t="shared" si="2"/>
        <v>701.84428000937646</v>
      </c>
      <c r="X13">
        <f t="shared" si="3"/>
        <v>0.26476714800000001</v>
      </c>
      <c r="Y13">
        <f t="shared" si="3"/>
        <v>0.24932223000000001</v>
      </c>
      <c r="Z13">
        <f t="shared" si="9"/>
        <v>0.36368010260698458</v>
      </c>
      <c r="AA13">
        <f t="shared" si="8"/>
        <v>7.7224590000000006</v>
      </c>
      <c r="AB13">
        <f t="shared" si="5"/>
        <v>4.8143826041428722E-2</v>
      </c>
      <c r="AC13">
        <f t="shared" si="6"/>
        <v>33.789468924943208</v>
      </c>
    </row>
    <row r="14" spans="1:29" x14ac:dyDescent="0.2">
      <c r="A14">
        <v>44675.024311761597</v>
      </c>
      <c r="B14">
        <v>17.234366999999999</v>
      </c>
      <c r="C14">
        <v>17.466757999999999</v>
      </c>
      <c r="D14">
        <v>19.115687999999999</v>
      </c>
      <c r="E14">
        <v>19.390491999999998</v>
      </c>
      <c r="F14">
        <v>30.339552000000001</v>
      </c>
      <c r="G14">
        <v>30.329059000000001</v>
      </c>
      <c r="H14">
        <v>27.059806999999999</v>
      </c>
      <c r="I14">
        <v>24.291549</v>
      </c>
      <c r="J14">
        <v>57.383414999999999</v>
      </c>
      <c r="K14">
        <v>49.664451</v>
      </c>
      <c r="L14">
        <v>207.84454700000001</v>
      </c>
      <c r="M14">
        <v>-622.51224400000001</v>
      </c>
      <c r="N14">
        <v>1.3254459999999999</v>
      </c>
      <c r="O14">
        <v>2.4558439999999999</v>
      </c>
      <c r="P14">
        <f t="shared" si="0"/>
        <v>2.2090766666666665E-5</v>
      </c>
      <c r="Q14" cm="1">
        <f t="array" ref="Q14">[1]!PropsSI("D","T",J14+273.15,"P",101325,"Water")</f>
        <v>984.52156371191154</v>
      </c>
      <c r="R14" cm="1">
        <f t="array" ref="R14">[1]!PropsSI("D","T",K14+273.15,"P",101325,"Water")</f>
        <v>988.18644444636629</v>
      </c>
      <c r="S14">
        <f t="shared" si="1"/>
        <v>986.35400407913892</v>
      </c>
      <c r="T14" cm="1">
        <f t="array" ref="T14">[1]!PropsSI("H","T",J14+273.15,"P",101325,"Water")</f>
        <v>240299.85789097933</v>
      </c>
      <c r="U14" cm="1">
        <f t="array" ref="U14">[1]!PropsSI("H","T",K14+273.15,"P",101325,"Water")</f>
        <v>208015.46258959398</v>
      </c>
      <c r="V14">
        <f t="shared" si="2"/>
        <v>703.454896089866</v>
      </c>
      <c r="X14">
        <f t="shared" si="3"/>
        <v>0.26476683000000001</v>
      </c>
      <c r="Y14">
        <f t="shared" si="3"/>
        <v>0.24932890199999999</v>
      </c>
      <c r="Z14">
        <f t="shared" si="9"/>
        <v>0.36368444514547843</v>
      </c>
      <c r="AA14">
        <f t="shared" si="8"/>
        <v>7.7189639999999997</v>
      </c>
      <c r="AB14">
        <f t="shared" si="5"/>
        <v>4.8165234699237669E-2</v>
      </c>
      <c r="AC14">
        <f t="shared" si="6"/>
        <v>33.882070170496242</v>
      </c>
    </row>
    <row r="15" spans="1:29" x14ac:dyDescent="0.2">
      <c r="A15">
        <v>46137.024346481485</v>
      </c>
      <c r="B15">
        <v>17.248971999999998</v>
      </c>
      <c r="C15">
        <v>17.721772000000001</v>
      </c>
      <c r="D15">
        <v>19.021764999999998</v>
      </c>
      <c r="E15">
        <v>19.314724999999999</v>
      </c>
      <c r="F15">
        <v>30.432390000000002</v>
      </c>
      <c r="G15">
        <v>31.356238000000001</v>
      </c>
      <c r="H15">
        <v>27.357762999999998</v>
      </c>
      <c r="I15">
        <v>24.865455999999998</v>
      </c>
      <c r="J15">
        <v>57.38644</v>
      </c>
      <c r="K15">
        <v>49.66874</v>
      </c>
      <c r="L15">
        <v>203.47701000000001</v>
      </c>
      <c r="M15">
        <v>-622.51102000000003</v>
      </c>
      <c r="N15">
        <v>1.3283149999999999</v>
      </c>
      <c r="O15">
        <v>3.1659440000000001</v>
      </c>
      <c r="P15">
        <f t="shared" si="0"/>
        <v>2.2138583333333332E-5</v>
      </c>
      <c r="Q15" cm="1">
        <f t="array" ref="Q15">[1]!PropsSI("D","T",J15+273.15,"P",101325,"Water")</f>
        <v>984.52005478543765</v>
      </c>
      <c r="R15" cm="1">
        <f t="array" ref="R15">[1]!PropsSI("D","T",K15+273.15,"P",101325,"Water")</f>
        <v>988.18451394046713</v>
      </c>
      <c r="S15">
        <f t="shared" si="1"/>
        <v>986.35228436295233</v>
      </c>
      <c r="T15" cm="1">
        <f t="array" ref="T15">[1]!PropsSI("H","T",J15+273.15,"P",101325,"Water")</f>
        <v>240312.51407436302</v>
      </c>
      <c r="U15" cm="1">
        <f t="array" ref="U15">[1]!PropsSI("H","T",K15+273.15,"P",101325,"Water")</f>
        <v>208033.39596611407</v>
      </c>
      <c r="V15">
        <f t="shared" si="2"/>
        <v>704.86109823843651</v>
      </c>
      <c r="X15">
        <f t="shared" si="3"/>
        <v>0.26477287999999999</v>
      </c>
      <c r="Y15">
        <f t="shared" si="3"/>
        <v>0.24933748</v>
      </c>
      <c r="Z15">
        <f t="shared" si="9"/>
        <v>0.36369473039383565</v>
      </c>
      <c r="AA15">
        <f t="shared" si="8"/>
        <v>7.7177000000000007</v>
      </c>
      <c r="AB15">
        <f t="shared" si="5"/>
        <v>4.8174086814655528E-2</v>
      </c>
      <c r="AC15">
        <f t="shared" si="6"/>
        <v>33.956039738811882</v>
      </c>
    </row>
    <row r="16" spans="1:29" x14ac:dyDescent="0.2">
      <c r="A16">
        <v>46137.024381203701</v>
      </c>
      <c r="B16">
        <v>17.607782</v>
      </c>
      <c r="C16">
        <v>17.960867</v>
      </c>
      <c r="D16">
        <v>19.097308999999999</v>
      </c>
      <c r="E16">
        <v>19.431878000000001</v>
      </c>
      <c r="F16">
        <v>30.619966000000002</v>
      </c>
      <c r="G16">
        <v>30.262319000000002</v>
      </c>
      <c r="H16">
        <v>27.2193</v>
      </c>
      <c r="I16">
        <v>25.241484</v>
      </c>
      <c r="J16">
        <v>57.385165999999998</v>
      </c>
      <c r="K16">
        <v>49.679225000000002</v>
      </c>
      <c r="L16">
        <v>206.99642600000001</v>
      </c>
      <c r="M16">
        <v>-622.49836700000003</v>
      </c>
      <c r="N16">
        <v>1.324549</v>
      </c>
      <c r="O16">
        <v>2.2604229999999998</v>
      </c>
      <c r="P16">
        <f t="shared" si="0"/>
        <v>2.2075816666666666E-5</v>
      </c>
      <c r="Q16" cm="1">
        <f t="array" ref="Q16">[1]!PropsSI("D","T",J16+273.15,"P",101325,"Water")</f>
        <v>984.52069028717688</v>
      </c>
      <c r="R16" cm="1">
        <f t="array" ref="R16">[1]!PropsSI("D","T",K16+273.15,"P",101325,"Water")</f>
        <v>988.17979406596578</v>
      </c>
      <c r="S16">
        <f t="shared" si="1"/>
        <v>986.35024217657133</v>
      </c>
      <c r="T16" cm="1">
        <f t="array" ref="T16">[1]!PropsSI("H","T",J16+273.15,"P",101325,"Water")</f>
        <v>240307.18383338579</v>
      </c>
      <c r="U16" cm="1">
        <f t="array" ref="U16">[1]!PropsSI("H","T",K16+273.15,"P",101325,"Water")</f>
        <v>208077.23638228618</v>
      </c>
      <c r="V16">
        <f t="shared" si="2"/>
        <v>701.79057550438245</v>
      </c>
      <c r="X16">
        <f t="shared" si="3"/>
        <v>0.264770332</v>
      </c>
      <c r="Y16">
        <f t="shared" si="3"/>
        <v>0.24935845000000001</v>
      </c>
      <c r="Z16">
        <f t="shared" si="9"/>
        <v>0.36370725218751515</v>
      </c>
      <c r="AA16">
        <f t="shared" si="8"/>
        <v>7.7059409999999957</v>
      </c>
      <c r="AB16">
        <f t="shared" si="5"/>
        <v>4.8246023175159899E-2</v>
      </c>
      <c r="AC16">
        <f t="shared" si="6"/>
        <v>33.858604369893236</v>
      </c>
    </row>
    <row r="17" spans="1:29" x14ac:dyDescent="0.2">
      <c r="A17">
        <v>46137.024416504632</v>
      </c>
      <c r="B17">
        <v>17.436599000000001</v>
      </c>
      <c r="C17">
        <v>17.731728</v>
      </c>
      <c r="D17">
        <v>19.188103000000002</v>
      </c>
      <c r="E17">
        <v>19.456623</v>
      </c>
      <c r="F17">
        <v>30.444431999999999</v>
      </c>
      <c r="G17">
        <v>31.682504000000002</v>
      </c>
      <c r="H17">
        <v>27.560381</v>
      </c>
      <c r="I17">
        <v>25.239736000000001</v>
      </c>
      <c r="J17">
        <v>57.384687999999997</v>
      </c>
      <c r="K17">
        <v>49.689709000000001</v>
      </c>
      <c r="L17">
        <v>217.15959100000001</v>
      </c>
      <c r="M17">
        <v>-622.50122399999998</v>
      </c>
      <c r="N17">
        <v>1.330438</v>
      </c>
      <c r="O17">
        <v>2.8977840000000001</v>
      </c>
      <c r="P17">
        <f t="shared" si="0"/>
        <v>2.2173966666666665E-5</v>
      </c>
      <c r="Q17" cm="1">
        <f t="array" ref="Q17">[1]!PropsSI("D","T",J17+273.15,"P",101325,"Water")</f>
        <v>984.52092872250103</v>
      </c>
      <c r="R17" cm="1">
        <f t="array" ref="R17">[1]!PropsSI("D","T",K17+273.15,"P",101325,"Water")</f>
        <v>988.17507391793606</v>
      </c>
      <c r="S17">
        <f t="shared" si="1"/>
        <v>986.3480013202186</v>
      </c>
      <c r="T17" cm="1">
        <f t="array" ref="T17">[1]!PropsSI("H","T",J17+273.15,"P",101325,"Water")</f>
        <v>240305.18394722178</v>
      </c>
      <c r="U17" cm="1">
        <f t="array" ref="U17">[1]!PropsSI("H","T",K17+273.15,"P",101325,"Water")</f>
        <v>208121.07264776345</v>
      </c>
      <c r="V17">
        <f t="shared" si="2"/>
        <v>703.90667033162606</v>
      </c>
      <c r="X17">
        <f t="shared" si="3"/>
        <v>0.264769376</v>
      </c>
      <c r="Y17">
        <f t="shared" si="3"/>
        <v>0.24937941799999999</v>
      </c>
      <c r="Z17">
        <f t="shared" si="9"/>
        <v>0.36372093229486824</v>
      </c>
      <c r="AA17">
        <f t="shared" si="8"/>
        <v>7.6949789999999965</v>
      </c>
      <c r="AB17">
        <f t="shared" si="5"/>
        <v>4.8313541381804187E-2</v>
      </c>
      <c r="AC17">
        <f t="shared" si="6"/>
        <v>34.008224045995014</v>
      </c>
    </row>
    <row r="18" spans="1:29" x14ac:dyDescent="0.2">
      <c r="A18">
        <v>46137.024451226855</v>
      </c>
      <c r="B18">
        <v>17.271757000000001</v>
      </c>
      <c r="C18">
        <v>17.644159999999999</v>
      </c>
      <c r="D18">
        <v>19.159775</v>
      </c>
      <c r="E18">
        <v>19.410848000000001</v>
      </c>
      <c r="F18">
        <v>30.569531999999999</v>
      </c>
      <c r="G18">
        <v>31.590903000000001</v>
      </c>
      <c r="H18">
        <v>27.112244</v>
      </c>
      <c r="I18">
        <v>24.797557000000001</v>
      </c>
      <c r="J18">
        <v>57.385325000000002</v>
      </c>
      <c r="K18">
        <v>49.699241000000001</v>
      </c>
      <c r="L18">
        <v>208.727768</v>
      </c>
      <c r="M18">
        <v>-622.47306300000002</v>
      </c>
      <c r="N18">
        <v>1.3204180000000001</v>
      </c>
      <c r="O18">
        <v>3.0786539999999998</v>
      </c>
      <c r="P18">
        <f t="shared" si="0"/>
        <v>2.2006966666666668E-5</v>
      </c>
      <c r="Q18" cm="1">
        <f t="array" ref="Q18">[1]!PropsSI("D","T",J18+273.15,"P",101325,"Water")</f>
        <v>984.52061097470403</v>
      </c>
      <c r="R18" cm="1">
        <f t="array" ref="R18">[1]!PropsSI("D","T",K18+273.15,"P",101325,"Water")</f>
        <v>988.17078175511494</v>
      </c>
      <c r="S18">
        <f t="shared" si="1"/>
        <v>986.34569636490949</v>
      </c>
      <c r="T18" cm="1">
        <f t="array" ref="T18">[1]!PropsSI("H","T",J18+273.15,"P",101325,"Water")</f>
        <v>240307.84906750868</v>
      </c>
      <c r="U18" cm="1">
        <f t="array" ref="U18">[1]!PropsSI("H","T",K18+273.15,"P",101325,"Water")</f>
        <v>208160.92838605176</v>
      </c>
      <c r="V18">
        <f t="shared" si="2"/>
        <v>697.79638994735762</v>
      </c>
      <c r="X18">
        <f t="shared" si="3"/>
        <v>0.26477065</v>
      </c>
      <c r="Y18">
        <f t="shared" si="3"/>
        <v>0.249398482</v>
      </c>
      <c r="Z18">
        <f t="shared" si="9"/>
        <v>0.36373493085669795</v>
      </c>
      <c r="AA18">
        <f t="shared" si="8"/>
        <v>7.686084000000001</v>
      </c>
      <c r="AB18">
        <f t="shared" si="5"/>
        <v>4.8368841878079979E-2</v>
      </c>
      <c r="AC18">
        <f t="shared" si="6"/>
        <v>33.751603248458778</v>
      </c>
    </row>
    <row r="19" spans="1:29" x14ac:dyDescent="0.2">
      <c r="A19">
        <v>46137.024486527778</v>
      </c>
      <c r="B19">
        <v>17.237511000000001</v>
      </c>
      <c r="C19">
        <v>17.445530000000002</v>
      </c>
      <c r="D19">
        <v>19.093302999999999</v>
      </c>
      <c r="E19">
        <v>19.387947</v>
      </c>
      <c r="F19">
        <v>30.033306</v>
      </c>
      <c r="G19">
        <v>29.94023</v>
      </c>
      <c r="H19">
        <v>27.210439000000001</v>
      </c>
      <c r="I19">
        <v>24.914228999999999</v>
      </c>
      <c r="J19">
        <v>57.389147000000001</v>
      </c>
      <c r="K19">
        <v>49.708454000000003</v>
      </c>
      <c r="L19">
        <v>200.289007</v>
      </c>
      <c r="M19">
        <v>-622.52285600000005</v>
      </c>
      <c r="N19">
        <v>1.33138</v>
      </c>
      <c r="O19">
        <v>2.6744690000000002</v>
      </c>
      <c r="P19">
        <f t="shared" si="0"/>
        <v>2.2189666666666669E-5</v>
      </c>
      <c r="Q19" cm="1">
        <f t="array" ref="Q19">[1]!PropsSI("D","T",J19+273.15,"P",101325,"Water")</f>
        <v>984.51870443628582</v>
      </c>
      <c r="R19" cm="1">
        <f t="array" ref="R19">[1]!PropsSI("D","T",K19+273.15,"P",101325,"Water")</f>
        <v>988.1666326663659</v>
      </c>
      <c r="S19">
        <f t="shared" si="1"/>
        <v>986.34266855132591</v>
      </c>
      <c r="T19" cm="1">
        <f t="array" ref="T19">[1]!PropsSI("H","T",J19+273.15,"P",101325,"Water")</f>
        <v>240323.83979264501</v>
      </c>
      <c r="U19" cm="1">
        <f t="array" ref="U19">[1]!PropsSI("H","T",K19+273.15,"P",101325,"Water")</f>
        <v>208199.45032740457</v>
      </c>
      <c r="V19">
        <f t="shared" si="2"/>
        <v>703.09414543649655</v>
      </c>
      <c r="X19">
        <f t="shared" si="3"/>
        <v>0.26477829399999997</v>
      </c>
      <c r="Y19">
        <f t="shared" si="3"/>
        <v>0.24941690799999999</v>
      </c>
      <c r="Z19">
        <f t="shared" si="9"/>
        <v>0.36375312915469316</v>
      </c>
      <c r="AA19">
        <f t="shared" si="8"/>
        <v>7.680692999999998</v>
      </c>
      <c r="AB19">
        <f t="shared" si="5"/>
        <v>4.8403659079946884E-2</v>
      </c>
      <c r="AC19">
        <f t="shared" si="6"/>
        <v>34.032329316814774</v>
      </c>
    </row>
    <row r="20" spans="1:29" x14ac:dyDescent="0.2">
      <c r="A20">
        <v>46137.024521828702</v>
      </c>
      <c r="B20">
        <v>17.116672999999999</v>
      </c>
      <c r="C20">
        <v>17.272483000000001</v>
      </c>
      <c r="D20">
        <v>18.998584999999999</v>
      </c>
      <c r="E20">
        <v>19.275842000000001</v>
      </c>
      <c r="F20">
        <v>30.343582000000001</v>
      </c>
      <c r="G20">
        <v>30.928536000000001</v>
      </c>
      <c r="H20">
        <v>27.593802</v>
      </c>
      <c r="I20">
        <v>25.12228</v>
      </c>
      <c r="J20">
        <v>57.392491</v>
      </c>
      <c r="K20">
        <v>49.706865999999998</v>
      </c>
      <c r="L20">
        <v>214.17974000000001</v>
      </c>
      <c r="M20">
        <v>-622.47796000000005</v>
      </c>
      <c r="N20">
        <v>1.330077</v>
      </c>
      <c r="O20">
        <v>2.9553120000000002</v>
      </c>
      <c r="P20">
        <f t="shared" si="0"/>
        <v>2.2167950000000002E-5</v>
      </c>
      <c r="Q20" cm="1">
        <f t="array" ref="Q20">[1]!PropsSI("D","T",J20+273.15,"P",101325,"Water")</f>
        <v>984.51703626731285</v>
      </c>
      <c r="R20" cm="1">
        <f t="array" ref="R20">[1]!PropsSI("D","T",K20+273.15,"P",101325,"Water")</f>
        <v>988.16734786447341</v>
      </c>
      <c r="S20">
        <f t="shared" si="1"/>
        <v>986.34219206589319</v>
      </c>
      <c r="T20" cm="1">
        <f t="array" ref="T20">[1]!PropsSI("H","T",J20+273.15,"P",101325,"Water")</f>
        <v>240337.83063594086</v>
      </c>
      <c r="U20" cm="1">
        <f t="array" ref="U20">[1]!PropsSI("H","T",K20+273.15,"P",101325,"Water")</f>
        <v>208192.81048608437</v>
      </c>
      <c r="V20">
        <f t="shared" si="2"/>
        <v>702.85679300926347</v>
      </c>
      <c r="X20">
        <f t="shared" si="3"/>
        <v>0.264784982</v>
      </c>
      <c r="Y20">
        <f t="shared" si="3"/>
        <v>0.249413732</v>
      </c>
      <c r="Z20">
        <f t="shared" si="9"/>
        <v>0.36375581975125587</v>
      </c>
      <c r="AA20">
        <f t="shared" si="8"/>
        <v>7.6856250000000017</v>
      </c>
      <c r="AB20">
        <f t="shared" si="5"/>
        <v>4.8374266294878697E-2</v>
      </c>
      <c r="AC20">
        <f t="shared" si="6"/>
        <v>34.00018167219455</v>
      </c>
    </row>
    <row r="21" spans="1:29" x14ac:dyDescent="0.2">
      <c r="A21">
        <v>46137.024557129633</v>
      </c>
      <c r="B21">
        <v>17.070875000000001</v>
      </c>
      <c r="C21">
        <v>17.215040999999999</v>
      </c>
      <c r="D21">
        <v>18.971008000000001</v>
      </c>
      <c r="E21">
        <v>19.257659</v>
      </c>
      <c r="F21">
        <v>30.255818999999999</v>
      </c>
      <c r="G21">
        <v>30.678778999999999</v>
      </c>
      <c r="H21">
        <v>27.227834999999999</v>
      </c>
      <c r="I21">
        <v>24.945854000000001</v>
      </c>
      <c r="J21">
        <v>57.39058</v>
      </c>
      <c r="K21">
        <v>49.699558000000003</v>
      </c>
      <c r="L21">
        <v>222.249132</v>
      </c>
      <c r="M21">
        <v>-622.48938799999996</v>
      </c>
      <c r="N21">
        <v>1.3278110000000001</v>
      </c>
      <c r="O21">
        <v>2.3118129999999999</v>
      </c>
      <c r="P21">
        <f t="shared" si="0"/>
        <v>2.2130183333333337E-5</v>
      </c>
      <c r="Q21" cm="1">
        <f t="array" ref="Q21">[1]!PropsSI("D","T",J21+273.15,"P",101325,"Water")</f>
        <v>984.51798958628501</v>
      </c>
      <c r="R21" cm="1">
        <f t="array" ref="R21">[1]!PropsSI("D","T",K21+273.15,"P",101325,"Water")</f>
        <v>988.17063900296</v>
      </c>
      <c r="S21">
        <f t="shared" si="1"/>
        <v>986.34431429462256</v>
      </c>
      <c r="T21" cm="1">
        <f t="array" ref="T21">[1]!PropsSI("H","T",J21+273.15,"P",101325,"Water")</f>
        <v>240329.83527010994</v>
      </c>
      <c r="U21" cm="1">
        <f t="array" ref="U21">[1]!PropsSI("H","T",K21+273.15,"P",101325,"Water")</f>
        <v>208162.25384479223</v>
      </c>
      <c r="V21">
        <f t="shared" si="2"/>
        <v>702.15334024904757</v>
      </c>
      <c r="X21">
        <f t="shared" si="3"/>
        <v>0.26478116000000002</v>
      </c>
      <c r="Y21">
        <f t="shared" si="3"/>
        <v>0.249399116</v>
      </c>
      <c r="Z21">
        <f t="shared" si="9"/>
        <v>0.36374301608763165</v>
      </c>
      <c r="AA21">
        <f t="shared" si="8"/>
        <v>7.6910219999999967</v>
      </c>
      <c r="AB21">
        <f t="shared" si="5"/>
        <v>4.8340143115417206E-2</v>
      </c>
      <c r="AC21">
        <f t="shared" si="6"/>
        <v>33.942192956607194</v>
      </c>
    </row>
    <row r="22" spans="1:29" x14ac:dyDescent="0.2">
      <c r="A22">
        <v>46137.024592430556</v>
      </c>
      <c r="B22">
        <v>17.106869</v>
      </c>
      <c r="C22">
        <v>17.357617000000001</v>
      </c>
      <c r="D22">
        <v>19.021802000000001</v>
      </c>
      <c r="E22">
        <v>19.284786</v>
      </c>
      <c r="F22">
        <v>30.056322999999999</v>
      </c>
      <c r="G22">
        <v>29.613807999999999</v>
      </c>
      <c r="H22">
        <v>26.762983999999999</v>
      </c>
      <c r="I22">
        <v>24.333742999999998</v>
      </c>
      <c r="J22">
        <v>57.391058000000001</v>
      </c>
      <c r="K22">
        <v>49.691139</v>
      </c>
      <c r="L22">
        <v>205.585476</v>
      </c>
      <c r="M22">
        <v>-622.49755100000004</v>
      </c>
      <c r="N22">
        <v>1.340133</v>
      </c>
      <c r="O22">
        <v>2.8880880000000002</v>
      </c>
      <c r="P22">
        <f t="shared" si="0"/>
        <v>2.233555E-5</v>
      </c>
      <c r="Q22" cm="1">
        <f t="array" ref="Q22">[1]!PropsSI("D","T",J22+273.15,"P",101325,"Water")</f>
        <v>984.51775113391295</v>
      </c>
      <c r="R22" cm="1">
        <f t="array" ref="R22">[1]!PropsSI("D","T",K22+273.15,"P",101325,"Water")</f>
        <v>988.17443004158736</v>
      </c>
      <c r="S22">
        <f t="shared" si="1"/>
        <v>986.34609058775015</v>
      </c>
      <c r="T22" cm="1">
        <f t="array" ref="T22">[1]!PropsSI("H","T",J22+273.15,"P",101325,"Water")</f>
        <v>240331.83515736964</v>
      </c>
      <c r="U22" cm="1">
        <f t="array" ref="U22">[1]!PropsSI("H","T",K22+273.15,"P",101325,"Water")</f>
        <v>208127.05184313789</v>
      </c>
      <c r="V22">
        <f t="shared" si="2"/>
        <v>709.49013323923737</v>
      </c>
      <c r="X22">
        <f t="shared" si="3"/>
        <v>0.26478211600000001</v>
      </c>
      <c r="Y22">
        <f t="shared" si="3"/>
        <v>0.24938227800000001</v>
      </c>
      <c r="Z22">
        <f t="shared" si="9"/>
        <v>0.36373216730708152</v>
      </c>
      <c r="AA22">
        <f t="shared" si="8"/>
        <v>7.6999190000000013</v>
      </c>
      <c r="AB22">
        <f t="shared" si="5"/>
        <v>4.8285300895811255E-2</v>
      </c>
      <c r="AC22">
        <f t="shared" si="6"/>
        <v>34.257944566065795</v>
      </c>
    </row>
    <row r="23" spans="1:29" x14ac:dyDescent="0.2">
      <c r="A23">
        <v>46137.02462773148</v>
      </c>
      <c r="B23">
        <v>17.151253000000001</v>
      </c>
      <c r="C23">
        <v>17.386821999999999</v>
      </c>
      <c r="D23">
        <v>19.007479</v>
      </c>
      <c r="E23">
        <v>19.307065999999999</v>
      </c>
      <c r="F23">
        <v>30.021581999999999</v>
      </c>
      <c r="G23">
        <v>30.097650999999999</v>
      </c>
      <c r="H23">
        <v>27.766233</v>
      </c>
      <c r="I23">
        <v>24.941814999999998</v>
      </c>
      <c r="J23">
        <v>57.394879000000003</v>
      </c>
      <c r="K23">
        <v>49.691616000000003</v>
      </c>
      <c r="L23">
        <v>215.35192599999999</v>
      </c>
      <c r="M23">
        <v>-622.480817</v>
      </c>
      <c r="N23">
        <v>1.325569</v>
      </c>
      <c r="O23">
        <v>2.65096</v>
      </c>
      <c r="P23">
        <f t="shared" si="0"/>
        <v>2.2092816666666666E-5</v>
      </c>
      <c r="Q23" cm="1">
        <f t="array" ref="Q23">[1]!PropsSI("D","T",J23+273.15,"P",101325,"Water")</f>
        <v>984.51584496162684</v>
      </c>
      <c r="R23" cm="1">
        <f t="array" ref="R23">[1]!PropsSI("D","T",K23+273.15,"P",101325,"Water")</f>
        <v>988.1742152630535</v>
      </c>
      <c r="S23">
        <f t="shared" si="1"/>
        <v>986.34503011234017</v>
      </c>
      <c r="T23" cm="1">
        <f t="array" ref="T23">[1]!PropsSI("H","T",J23+273.15,"P",101325,"Water")</f>
        <v>240347.82170738484</v>
      </c>
      <c r="U23" cm="1">
        <f t="array" ref="U23">[1]!PropsSI("H","T",K23+273.15,"P",101325,"Water")</f>
        <v>208129.04630211537</v>
      </c>
      <c r="V23">
        <f t="shared" si="2"/>
        <v>702.08384291854998</v>
      </c>
      <c r="X23">
        <f t="shared" si="3"/>
        <v>0.26478975799999999</v>
      </c>
      <c r="Y23">
        <f t="shared" si="3"/>
        <v>0.24938323200000001</v>
      </c>
      <c r="Z23">
        <f t="shared" si="9"/>
        <v>0.36373838448047296</v>
      </c>
      <c r="AA23">
        <f t="shared" si="8"/>
        <v>7.7032629999999997</v>
      </c>
      <c r="AB23">
        <f t="shared" si="5"/>
        <v>4.8266028954257557E-2</v>
      </c>
      <c r="AC23">
        <f t="shared" si="6"/>
        <v>33.88679909062315</v>
      </c>
    </row>
    <row r="24" spans="1:29" x14ac:dyDescent="0.2">
      <c r="A24">
        <v>46137.024662453703</v>
      </c>
      <c r="B24">
        <v>17.116046000000001</v>
      </c>
      <c r="C24">
        <v>17.324493</v>
      </c>
      <c r="D24">
        <v>19.03576</v>
      </c>
      <c r="E24">
        <v>19.223455999999999</v>
      </c>
      <c r="F24">
        <v>30.214124000000002</v>
      </c>
      <c r="G24">
        <v>30.110910000000001</v>
      </c>
      <c r="H24">
        <v>26.990956000000001</v>
      </c>
      <c r="I24">
        <v>24.845632999999999</v>
      </c>
      <c r="J24">
        <v>57.39472</v>
      </c>
      <c r="K24">
        <v>49.693998000000001</v>
      </c>
      <c r="L24">
        <v>206.66052400000001</v>
      </c>
      <c r="M24">
        <v>-622.49224500000003</v>
      </c>
      <c r="N24">
        <v>1.3333680000000001</v>
      </c>
      <c r="O24">
        <v>2.7961589999999998</v>
      </c>
      <c r="P24">
        <f t="shared" si="0"/>
        <v>2.2222800000000003E-5</v>
      </c>
      <c r="Q24" cm="1">
        <f t="array" ref="Q24">[1]!PropsSI("D","T",J24+273.15,"P",101325,"Water")</f>
        <v>984.51592428331287</v>
      </c>
      <c r="R24" cm="1">
        <f t="array" ref="R24">[1]!PropsSI("D","T",K24+273.15,"P",101325,"Water")</f>
        <v>988.1731426987933</v>
      </c>
      <c r="S24">
        <f t="shared" si="1"/>
        <v>986.34453349105308</v>
      </c>
      <c r="T24" cm="1">
        <f t="array" ref="T24">[1]!PropsSI("H","T",J24+273.15,"P",101325,"Water")</f>
        <v>240347.15647267524</v>
      </c>
      <c r="U24" cm="1">
        <f t="array" ref="U24">[1]!PropsSI("H","T",K24+273.15,"P",101325,"Water")</f>
        <v>208139.00605432907</v>
      </c>
      <c r="V24">
        <f t="shared" si="2"/>
        <v>705.98131279230881</v>
      </c>
      <c r="X24">
        <f t="shared" si="3"/>
        <v>0.26478943999999999</v>
      </c>
      <c r="Y24">
        <f t="shared" si="3"/>
        <v>0.249387996</v>
      </c>
      <c r="Z24">
        <f t="shared" si="9"/>
        <v>0.36374141925880482</v>
      </c>
      <c r="AA24">
        <f t="shared" si="8"/>
        <v>7.700721999999999</v>
      </c>
      <c r="AB24">
        <f t="shared" si="5"/>
        <v>4.8281657256364179E-2</v>
      </c>
      <c r="AC24">
        <f t="shared" si="6"/>
        <v>34.085947773636285</v>
      </c>
    </row>
    <row r="25" spans="1:29" x14ac:dyDescent="0.2">
      <c r="A25">
        <v>46137.024697754627</v>
      </c>
      <c r="B25">
        <v>17.110039</v>
      </c>
      <c r="C25">
        <v>17.218547999999998</v>
      </c>
      <c r="D25">
        <v>19.093744000000001</v>
      </c>
      <c r="E25">
        <v>19.253015000000001</v>
      </c>
      <c r="F25">
        <v>30.487086000000001</v>
      </c>
      <c r="G25">
        <v>30.932085000000001</v>
      </c>
      <c r="H25">
        <v>27.301209</v>
      </c>
      <c r="I25">
        <v>25.139361000000001</v>
      </c>
      <c r="J25">
        <v>57.396630999999999</v>
      </c>
      <c r="K25">
        <v>49.698445999999997</v>
      </c>
      <c r="L25">
        <v>213.994035</v>
      </c>
      <c r="M25">
        <v>-622.49183700000003</v>
      </c>
      <c r="N25">
        <v>1.3327770000000001</v>
      </c>
      <c r="O25">
        <v>2.8564069999999999</v>
      </c>
      <c r="P25">
        <f t="shared" si="0"/>
        <v>2.2212950000000002E-5</v>
      </c>
      <c r="Q25" cm="1">
        <f t="array" ref="Q25">[1]!PropsSI("D","T",J25+273.15,"P",101325,"Water")</f>
        <v>984.51497091640306</v>
      </c>
      <c r="R25" cm="1">
        <f t="array" ref="R25">[1]!PropsSI("D","T",K25+273.15,"P",101325,"Water")</f>
        <v>988.17113975842778</v>
      </c>
      <c r="S25">
        <f t="shared" si="1"/>
        <v>986.34305533741542</v>
      </c>
      <c r="T25" cm="1">
        <f t="array" ref="T25">[1]!PropsSI("H","T",J25+273.15,"P",101325,"Water")</f>
        <v>240355.15184160342</v>
      </c>
      <c r="U25" cm="1">
        <f t="array" ref="U25">[1]!PropsSI("H","T",K25+273.15,"P",101325,"Water")</f>
        <v>208157.60428599769</v>
      </c>
      <c r="V25">
        <f t="shared" si="2"/>
        <v>705.43503281939059</v>
      </c>
      <c r="X25">
        <f t="shared" si="3"/>
        <v>0.26479326199999997</v>
      </c>
      <c r="Y25">
        <f t="shared" si="3"/>
        <v>0.24939689199999998</v>
      </c>
      <c r="Z25">
        <f t="shared" si="9"/>
        <v>0.36375030081068016</v>
      </c>
      <c r="AA25">
        <f t="shared" si="8"/>
        <v>7.6981850000000023</v>
      </c>
      <c r="AB25">
        <f t="shared" si="5"/>
        <v>4.8298015125232678E-2</v>
      </c>
      <c r="AC25">
        <f t="shared" si="6"/>
        <v>34.071111884979935</v>
      </c>
    </row>
    <row r="26" spans="1:29" x14ac:dyDescent="0.2">
      <c r="A26">
        <v>46137.02473247685</v>
      </c>
      <c r="B26">
        <v>17.086905999999999</v>
      </c>
      <c r="C26">
        <v>17.310064000000001</v>
      </c>
      <c r="D26">
        <v>19.092282999999998</v>
      </c>
      <c r="E26">
        <v>19.288284999999998</v>
      </c>
      <c r="F26">
        <v>30.997909</v>
      </c>
      <c r="G26">
        <v>30.270980000000002</v>
      </c>
      <c r="H26">
        <v>27.324286000000001</v>
      </c>
      <c r="I26">
        <v>24.633879</v>
      </c>
      <c r="J26">
        <v>57.398701000000003</v>
      </c>
      <c r="K26">
        <v>49.701940999999998</v>
      </c>
      <c r="L26">
        <v>202.518283</v>
      </c>
      <c r="M26">
        <v>-622.493878</v>
      </c>
      <c r="N26">
        <v>1.3322000000000001</v>
      </c>
      <c r="O26">
        <v>2.2973129999999999</v>
      </c>
      <c r="P26">
        <f t="shared" ref="P26:P48" si="10" xml:space="preserve"> N26*0.001/60</f>
        <v>2.2203333333333335E-5</v>
      </c>
      <c r="Q26" cm="1">
        <f t="array" ref="Q26">[1]!PropsSI("D","T",J26+273.15,"P",101325,"Water")</f>
        <v>984.51393820201974</v>
      </c>
      <c r="R26" cm="1">
        <f t="array" ref="R26">[1]!PropsSI("D","T",K26+273.15,"P",101325,"Water")</f>
        <v>988.16956586381229</v>
      </c>
      <c r="S26">
        <f t="shared" ref="S26:S48" si="11">(Q26+R26)/2</f>
        <v>986.34175203291602</v>
      </c>
      <c r="T26" cm="1">
        <f t="array" ref="T26">[1]!PropsSI("H","T",J26+273.15,"P",101325,"Water")</f>
        <v>240363.81244703653</v>
      </c>
      <c r="U26" cm="1">
        <f t="array" ref="U26">[1]!PropsSI("H","T",K26+273.15,"P",101325,"Water")</f>
        <v>208172.21778353967</v>
      </c>
      <c r="V26">
        <f t="shared" ref="V26:V48" si="12">S26*P26*(T26-U26)</f>
        <v>704.99832787395565</v>
      </c>
      <c r="X26">
        <f t="shared" ref="X26:X48" si="13">(0.15+0.002*ABS(J26))</f>
        <v>0.26479740200000002</v>
      </c>
      <c r="Y26">
        <f t="shared" ref="Y26:Y48" si="14">(0.15+0.002*ABS(K26))</f>
        <v>0.24940388199999999</v>
      </c>
      <c r="Z26">
        <f t="shared" ref="Z26:Z48" si="15">SQRT((X26)^2 + (Y26)^2)</f>
        <v>0.36375810707476958</v>
      </c>
      <c r="AA26">
        <f t="shared" ref="AA26:AA48" si="16">J26-K26</f>
        <v>7.6967600000000047</v>
      </c>
      <c r="AB26">
        <f t="shared" ref="AB26:AB48" si="17">SQRT((0.01)^2 + (Z26/ABS(AA26))^2)</f>
        <v>4.8307566114734787E-2</v>
      </c>
      <c r="AC26">
        <f t="shared" ref="AC26:AC48" si="18">ABS(V26*AB26)</f>
        <v>34.056753334548588</v>
      </c>
    </row>
    <row r="27" spans="1:29" x14ac:dyDescent="0.2">
      <c r="A27">
        <v>46137.024767777781</v>
      </c>
      <c r="B27">
        <v>17.155024000000001</v>
      </c>
      <c r="C27">
        <v>17.457048</v>
      </c>
      <c r="D27">
        <v>19.160215000000001</v>
      </c>
      <c r="E27">
        <v>19.325959999999998</v>
      </c>
      <c r="F27">
        <v>30.910440000000001</v>
      </c>
      <c r="G27">
        <v>30.052088000000001</v>
      </c>
      <c r="H27">
        <v>27.141259999999999</v>
      </c>
      <c r="I27">
        <v>24.574033</v>
      </c>
      <c r="J27">
        <v>57.398541000000002</v>
      </c>
      <c r="K27">
        <v>49.70496</v>
      </c>
      <c r="L27">
        <v>212.62879699999999</v>
      </c>
      <c r="M27">
        <v>-622.47551099999998</v>
      </c>
      <c r="N27">
        <v>1.334085</v>
      </c>
      <c r="O27">
        <v>2.9747300000000001</v>
      </c>
      <c r="P27">
        <f t="shared" si="10"/>
        <v>2.2234749999999999E-5</v>
      </c>
      <c r="Q27" cm="1">
        <f t="array" ref="Q27">[1]!PropsSI("D","T",J27+273.15,"P",101325,"Water")</f>
        <v>984.51401802627026</v>
      </c>
      <c r="R27" cm="1">
        <f t="array" ref="R27">[1]!PropsSI("D","T",K27+273.15,"P",101325,"Water")</f>
        <v>988.16820626041658</v>
      </c>
      <c r="S27">
        <f t="shared" si="11"/>
        <v>986.34111214334348</v>
      </c>
      <c r="T27" cm="1">
        <f t="array" ref="T27">[1]!PropsSI("H","T",J27+273.15,"P",101325,"Water")</f>
        <v>240363.14302820939</v>
      </c>
      <c r="U27" cm="1">
        <f t="array" ref="U27">[1]!PropsSI("H","T",K27+273.15,"P",101325,"Water")</f>
        <v>208184.84100480843</v>
      </c>
      <c r="V27">
        <f t="shared" si="12"/>
        <v>705.70388762474602</v>
      </c>
      <c r="X27">
        <f t="shared" si="13"/>
        <v>0.26479708200000002</v>
      </c>
      <c r="Y27">
        <f t="shared" si="14"/>
        <v>0.24940992000000001</v>
      </c>
      <c r="Z27">
        <f t="shared" si="15"/>
        <v>0.36376201400107888</v>
      </c>
      <c r="AA27">
        <f t="shared" si="16"/>
        <v>7.6935810000000018</v>
      </c>
      <c r="AB27">
        <f t="shared" si="17"/>
        <v>4.8327168517385902E-2</v>
      </c>
      <c r="AC27">
        <f t="shared" si="18"/>
        <v>34.104670700615465</v>
      </c>
    </row>
    <row r="28" spans="1:29" x14ac:dyDescent="0.2">
      <c r="A28">
        <v>46137.024802499996</v>
      </c>
      <c r="B28">
        <v>17.275895999999999</v>
      </c>
      <c r="C28">
        <v>17.487373999999999</v>
      </c>
      <c r="D28">
        <v>19.180772000000001</v>
      </c>
      <c r="E28">
        <v>19.41441</v>
      </c>
      <c r="F28">
        <v>30.608547000000002</v>
      </c>
      <c r="G28">
        <v>28.683954</v>
      </c>
      <c r="H28">
        <v>27.148555999999999</v>
      </c>
      <c r="I28">
        <v>24.840568999999999</v>
      </c>
      <c r="J28">
        <v>57.399814999999997</v>
      </c>
      <c r="K28">
        <v>49.704006</v>
      </c>
      <c r="L28">
        <v>205.60016899999999</v>
      </c>
      <c r="M28">
        <v>-622.49918400000001</v>
      </c>
      <c r="N28">
        <v>1.3303469999999999</v>
      </c>
      <c r="O28">
        <v>3.129143</v>
      </c>
      <c r="P28">
        <f t="shared" si="10"/>
        <v>2.2172449999999998E-5</v>
      </c>
      <c r="Q28" cm="1">
        <f t="array" ref="Q28">[1]!PropsSI("D","T",J28+273.15,"P",101325,"Water")</f>
        <v>984.51338242129134</v>
      </c>
      <c r="R28" cm="1">
        <f t="array" ref="R28">[1]!PropsSI("D","T",K28+273.15,"P",101325,"Water")</f>
        <v>988.16863589975969</v>
      </c>
      <c r="S28">
        <f t="shared" si="11"/>
        <v>986.34100916052557</v>
      </c>
      <c r="T28" cm="1">
        <f t="array" ref="T28">[1]!PropsSI("H","T",J28+273.15,"P",101325,"Water")</f>
        <v>240368.47327597858</v>
      </c>
      <c r="U28" cm="1">
        <f t="array" ref="U28">[1]!PropsSI("H","T",K28+273.15,"P",101325,"Water")</f>
        <v>208180.85208334858</v>
      </c>
      <c r="V28">
        <f t="shared" si="12"/>
        <v>703.93029449075891</v>
      </c>
      <c r="X28">
        <f t="shared" si="13"/>
        <v>0.26479963000000001</v>
      </c>
      <c r="Y28">
        <f t="shared" si="14"/>
        <v>0.24940801200000001</v>
      </c>
      <c r="Z28">
        <f t="shared" si="15"/>
        <v>0.36376256060503132</v>
      </c>
      <c r="AA28">
        <f t="shared" si="16"/>
        <v>7.695808999999997</v>
      </c>
      <c r="AB28">
        <f t="shared" si="17"/>
        <v>4.8313846034722788E-2</v>
      </c>
      <c r="AC28">
        <f t="shared" si="18"/>
        <v>34.009579867203598</v>
      </c>
    </row>
    <row r="29" spans="1:29" x14ac:dyDescent="0.2">
      <c r="A29">
        <v>46137.02483722222</v>
      </c>
      <c r="B29">
        <v>17.426417000000001</v>
      </c>
      <c r="C29">
        <v>17.815261</v>
      </c>
      <c r="D29">
        <v>19.178139000000002</v>
      </c>
      <c r="E29">
        <v>19.381050999999999</v>
      </c>
      <c r="F29">
        <v>30.617179</v>
      </c>
      <c r="G29">
        <v>28.527332999999999</v>
      </c>
      <c r="H29">
        <v>27.337948999999998</v>
      </c>
      <c r="I29">
        <v>24.473607999999999</v>
      </c>
      <c r="J29">
        <v>57.403477000000002</v>
      </c>
      <c r="K29">
        <v>49.707025000000002</v>
      </c>
      <c r="L29">
        <v>221.831602</v>
      </c>
      <c r="M29">
        <v>-622.49755100000004</v>
      </c>
      <c r="N29">
        <v>1.3283229999999999</v>
      </c>
      <c r="O29">
        <v>2.5901019999999999</v>
      </c>
      <c r="P29">
        <f t="shared" si="10"/>
        <v>2.2138716666666665E-5</v>
      </c>
      <c r="Q29" cm="1">
        <f t="array" ref="Q29">[1]!PropsSI("D","T",J29+273.15,"P",101325,"Water")</f>
        <v>984.51155537646378</v>
      </c>
      <c r="R29" cm="1">
        <f t="array" ref="R29">[1]!PropsSI("D","T",K29+273.15,"P",101325,"Water")</f>
        <v>988.16727625533292</v>
      </c>
      <c r="S29">
        <f t="shared" si="11"/>
        <v>986.33941581589829</v>
      </c>
      <c r="T29" cm="1">
        <f t="array" ref="T29">[1]!PropsSI("H","T",J29+273.15,"P",101325,"Water")</f>
        <v>240383.7946039424</v>
      </c>
      <c r="U29" cm="1">
        <f t="array" ref="U29">[1]!PropsSI("H","T",K29+273.15,"P",101325,"Water")</f>
        <v>208193.47530639355</v>
      </c>
      <c r="V29">
        <f t="shared" si="12"/>
        <v>702.9171108028919</v>
      </c>
      <c r="X29">
        <f t="shared" si="13"/>
        <v>0.26480695399999998</v>
      </c>
      <c r="Y29">
        <f t="shared" si="14"/>
        <v>0.24941405</v>
      </c>
      <c r="Z29">
        <f t="shared" si="15"/>
        <v>0.3637720319433046</v>
      </c>
      <c r="AA29">
        <f t="shared" si="16"/>
        <v>7.6964520000000007</v>
      </c>
      <c r="AB29">
        <f t="shared" si="17"/>
        <v>4.8311186541974832E-2</v>
      </c>
      <c r="AC29">
        <f t="shared" si="18"/>
        <v>33.958759663544505</v>
      </c>
    </row>
    <row r="30" spans="1:29" x14ac:dyDescent="0.2">
      <c r="A30">
        <v>46137.02487252315</v>
      </c>
      <c r="B30">
        <v>17.411826999999999</v>
      </c>
      <c r="C30">
        <v>17.472073999999999</v>
      </c>
      <c r="D30">
        <v>19.136610000000001</v>
      </c>
      <c r="E30">
        <v>19.419599999999999</v>
      </c>
      <c r="F30">
        <v>30.505286000000002</v>
      </c>
      <c r="G30">
        <v>31.060585</v>
      </c>
      <c r="H30">
        <v>27.051210000000001</v>
      </c>
      <c r="I30">
        <v>24.513597000000001</v>
      </c>
      <c r="J30">
        <v>57.403317999999999</v>
      </c>
      <c r="K30">
        <v>49.714013999999999</v>
      </c>
      <c r="L30">
        <v>195.60964899999999</v>
      </c>
      <c r="M30">
        <v>-622.48938799999996</v>
      </c>
      <c r="N30">
        <v>1.3245450000000001</v>
      </c>
      <c r="O30">
        <v>2.8075960000000002</v>
      </c>
      <c r="P30">
        <f t="shared" si="10"/>
        <v>2.2075750000000003E-5</v>
      </c>
      <c r="Q30" cm="1">
        <f t="array" ref="Q30">[1]!PropsSI("D","T",J30+273.15,"P",101325,"Water")</f>
        <v>984.51163470643166</v>
      </c>
      <c r="R30" cm="1">
        <f t="array" ref="R30">[1]!PropsSI("D","T",K30+273.15,"P",101325,"Water")</f>
        <v>988.16412844151068</v>
      </c>
      <c r="S30">
        <f t="shared" si="11"/>
        <v>986.33788157397112</v>
      </c>
      <c r="T30" cm="1">
        <f t="array" ref="T30">[1]!PropsSI("H","T",J30+273.15,"P",101325,"Water")</f>
        <v>240383.12936867517</v>
      </c>
      <c r="U30" cm="1">
        <f t="array" ref="U30">[1]!PropsSI("H","T",K30+273.15,"P",101325,"Water")</f>
        <v>208222.69814022549</v>
      </c>
      <c r="V30">
        <f t="shared" si="12"/>
        <v>700.26600504357236</v>
      </c>
      <c r="X30">
        <f t="shared" si="13"/>
        <v>0.26480663599999998</v>
      </c>
      <c r="Y30">
        <f t="shared" si="14"/>
        <v>0.249428028</v>
      </c>
      <c r="Z30">
        <f t="shared" si="15"/>
        <v>0.36378138438024188</v>
      </c>
      <c r="AA30">
        <f t="shared" si="16"/>
        <v>7.6893039999999999</v>
      </c>
      <c r="AB30">
        <f t="shared" si="17"/>
        <v>4.835536342077755E-2</v>
      </c>
      <c r="AC30">
        <f t="shared" si="18"/>
        <v>33.861617165097989</v>
      </c>
    </row>
    <row r="31" spans="1:29" x14ac:dyDescent="0.2">
      <c r="A31">
        <v>46137.024907824074</v>
      </c>
      <c r="B31">
        <v>17.115862</v>
      </c>
      <c r="C31">
        <v>17.094968999999999</v>
      </c>
      <c r="D31">
        <v>19.068601000000001</v>
      </c>
      <c r="E31">
        <v>19.357921000000001</v>
      </c>
      <c r="F31">
        <v>30.238942999999999</v>
      </c>
      <c r="G31">
        <v>29.653556999999999</v>
      </c>
      <c r="H31">
        <v>27.554134000000001</v>
      </c>
      <c r="I31">
        <v>24.833997</v>
      </c>
      <c r="J31">
        <v>57.405070000000002</v>
      </c>
      <c r="K31">
        <v>49.720050999999998</v>
      </c>
      <c r="L31">
        <v>208.782051</v>
      </c>
      <c r="M31">
        <v>-622.48489900000004</v>
      </c>
      <c r="N31">
        <v>1.323102</v>
      </c>
      <c r="O31">
        <v>2.7972009999999998</v>
      </c>
      <c r="P31">
        <f t="shared" si="10"/>
        <v>2.2051700000000001E-5</v>
      </c>
      <c r="Q31" cm="1">
        <f t="array" ref="Q31">[1]!PropsSI("D","T",J31+273.15,"P",101325,"Water")</f>
        <v>984.51076057162982</v>
      </c>
      <c r="R31" cm="1">
        <f t="array" ref="R31">[1]!PropsSI("D","T",K31+273.15,"P",101325,"Water")</f>
        <v>988.16140914539005</v>
      </c>
      <c r="S31">
        <f t="shared" si="11"/>
        <v>986.33608485850993</v>
      </c>
      <c r="T31" cm="1">
        <f t="array" ref="T31">[1]!PropsSI("H","T",J31+273.15,"P",101325,"Water")</f>
        <v>240390.45950886267</v>
      </c>
      <c r="U31" cm="1">
        <f t="array" ref="U31">[1]!PropsSI("H","T",K31+273.15,"P",101325,"Water")</f>
        <v>208247.94042438027</v>
      </c>
      <c r="V31">
        <f t="shared" si="12"/>
        <v>699.11224346461972</v>
      </c>
      <c r="X31">
        <f t="shared" si="13"/>
        <v>0.26481014000000003</v>
      </c>
      <c r="Y31">
        <f t="shared" si="14"/>
        <v>0.249440102</v>
      </c>
      <c r="Z31">
        <f t="shared" si="15"/>
        <v>0.36379221367779441</v>
      </c>
      <c r="AA31">
        <f t="shared" si="16"/>
        <v>7.685019000000004</v>
      </c>
      <c r="AB31">
        <f t="shared" si="17"/>
        <v>4.8382551261789315E-2</v>
      </c>
      <c r="AC31">
        <f t="shared" si="18"/>
        <v>33.824833957171499</v>
      </c>
    </row>
    <row r="32" spans="1:29" x14ac:dyDescent="0.2">
      <c r="A32">
        <v>46137.024943124998</v>
      </c>
      <c r="B32">
        <v>17.114239999999999</v>
      </c>
      <c r="C32">
        <v>17.207401000000001</v>
      </c>
      <c r="D32">
        <v>19.062629999999999</v>
      </c>
      <c r="E32">
        <v>19.304749999999999</v>
      </c>
      <c r="F32">
        <v>30.009176</v>
      </c>
      <c r="G32">
        <v>29.377041999999999</v>
      </c>
      <c r="H32">
        <v>27.488288000000001</v>
      </c>
      <c r="I32">
        <v>24.903883</v>
      </c>
      <c r="J32">
        <v>57.406025</v>
      </c>
      <c r="K32">
        <v>49.722593000000003</v>
      </c>
      <c r="L32">
        <v>199.845764</v>
      </c>
      <c r="M32">
        <v>-622.48897999999997</v>
      </c>
      <c r="N32">
        <v>1.33104</v>
      </c>
      <c r="O32">
        <v>2.9516520000000002</v>
      </c>
      <c r="P32">
        <f t="shared" si="10"/>
        <v>2.2184000000000003E-5</v>
      </c>
      <c r="Q32" cm="1">
        <f t="array" ref="Q32">[1]!PropsSI("D","T",J32+273.15,"P",101325,"Water")</f>
        <v>984.51028408050809</v>
      </c>
      <c r="R32" cm="1">
        <f t="array" ref="R32">[1]!PropsSI("D","T",K32+273.15,"P",101325,"Water")</f>
        <v>988.16026405943603</v>
      </c>
      <c r="S32">
        <f t="shared" si="11"/>
        <v>986.335274069972</v>
      </c>
      <c r="T32" cm="1">
        <f t="array" ref="T32">[1]!PropsSI("H","T",J32+273.15,"P",101325,"Water")</f>
        <v>240394.45510514453</v>
      </c>
      <c r="U32" cm="1">
        <f t="array" ref="U32">[1]!PropsSI("H","T",K32+273.15,"P",101325,"Water")</f>
        <v>208258.56919776759</v>
      </c>
      <c r="V32">
        <f t="shared" si="12"/>
        <v>703.1608757879917</v>
      </c>
      <c r="X32">
        <f t="shared" si="13"/>
        <v>0.26481204999999997</v>
      </c>
      <c r="Y32">
        <f t="shared" si="14"/>
        <v>0.24944518599999999</v>
      </c>
      <c r="Z32">
        <f t="shared" si="15"/>
        <v>0.36379708993307941</v>
      </c>
      <c r="AA32">
        <f t="shared" si="16"/>
        <v>7.6834319999999963</v>
      </c>
      <c r="AB32">
        <f t="shared" si="17"/>
        <v>4.8392738679624993E-2</v>
      </c>
      <c r="AC32">
        <f t="shared" si="18"/>
        <v>34.027880511744534</v>
      </c>
    </row>
    <row r="33" spans="1:29" x14ac:dyDescent="0.2">
      <c r="A33">
        <v>46137.024978425929</v>
      </c>
      <c r="B33">
        <v>17.274742</v>
      </c>
      <c r="C33">
        <v>17.586970999999998</v>
      </c>
      <c r="D33">
        <v>19.046517999999999</v>
      </c>
      <c r="E33">
        <v>19.290168999999999</v>
      </c>
      <c r="F33">
        <v>30.658536000000002</v>
      </c>
      <c r="G33">
        <v>29.388133</v>
      </c>
      <c r="H33">
        <v>27.253333000000001</v>
      </c>
      <c r="I33">
        <v>24.531061000000001</v>
      </c>
      <c r="J33">
        <v>57.408572999999997</v>
      </c>
      <c r="K33">
        <v>49.721957000000003</v>
      </c>
      <c r="L33">
        <v>222.86053000000001</v>
      </c>
      <c r="M33">
        <v>-622.49591899999996</v>
      </c>
      <c r="N33">
        <v>1.331974</v>
      </c>
      <c r="O33">
        <v>2.9016600000000001</v>
      </c>
      <c r="P33">
        <f t="shared" si="10"/>
        <v>2.2199566666666667E-5</v>
      </c>
      <c r="Q33" cm="1">
        <f t="array" ref="Q33">[1]!PropsSI("D","T",J33+273.15,"P",101325,"Water")</f>
        <v>984.50901274525768</v>
      </c>
      <c r="R33" cm="1">
        <f t="array" ref="R33">[1]!PropsSI("D","T",K33+273.15,"P",101325,"Water")</f>
        <v>988.16055056015807</v>
      </c>
      <c r="S33">
        <f t="shared" si="11"/>
        <v>986.33478165270787</v>
      </c>
      <c r="T33" cm="1">
        <f t="array" ref="T33">[1]!PropsSI("H","T",J33+273.15,"P",101325,"Water")</f>
        <v>240405.1156088862</v>
      </c>
      <c r="U33" cm="1">
        <f t="array" ref="U33">[1]!PropsSI("H","T",K33+273.15,"P",101325,"Water")</f>
        <v>208255.90991356978</v>
      </c>
      <c r="V33">
        <f t="shared" si="12"/>
        <v>703.94559016360938</v>
      </c>
      <c r="X33">
        <f t="shared" si="13"/>
        <v>0.264817146</v>
      </c>
      <c r="Y33">
        <f t="shared" si="14"/>
        <v>0.24944391399999999</v>
      </c>
      <c r="Z33">
        <f t="shared" si="15"/>
        <v>0.36379992722267651</v>
      </c>
      <c r="AA33">
        <f t="shared" si="16"/>
        <v>7.6866159999999937</v>
      </c>
      <c r="AB33">
        <f t="shared" si="17"/>
        <v>4.8373910410704442E-2</v>
      </c>
      <c r="AC33">
        <f t="shared" si="18"/>
        <v>34.052600912584907</v>
      </c>
    </row>
    <row r="34" spans="1:29" x14ac:dyDescent="0.2">
      <c r="A34">
        <v>46137.025013148152</v>
      </c>
      <c r="B34">
        <v>17.386035</v>
      </c>
      <c r="C34">
        <v>17.519372000000001</v>
      </c>
      <c r="D34">
        <v>19.127628999999999</v>
      </c>
      <c r="E34">
        <v>19.39385</v>
      </c>
      <c r="F34">
        <v>30.380655999999998</v>
      </c>
      <c r="G34">
        <v>30.122273</v>
      </c>
      <c r="H34">
        <v>26.821829999999999</v>
      </c>
      <c r="I34">
        <v>24.385767999999999</v>
      </c>
      <c r="J34">
        <v>57.409368999999998</v>
      </c>
      <c r="K34">
        <v>49.719098000000002</v>
      </c>
      <c r="L34">
        <v>214.54870099999999</v>
      </c>
      <c r="M34">
        <v>-622.50367300000005</v>
      </c>
      <c r="N34">
        <v>1.3264910000000001</v>
      </c>
      <c r="O34">
        <v>3.0826829999999998</v>
      </c>
      <c r="P34">
        <f t="shared" si="10"/>
        <v>2.2108183333333336E-5</v>
      </c>
      <c r="Q34" cm="1">
        <f t="array" ref="Q34">[1]!PropsSI("D","T",J34+273.15,"P",101325,"Water")</f>
        <v>984.50861556964799</v>
      </c>
      <c r="R34" cm="1">
        <f t="array" ref="R34">[1]!PropsSI("D","T",K34+273.15,"P",101325,"Water")</f>
        <v>988.16183842904775</v>
      </c>
      <c r="S34">
        <f t="shared" si="11"/>
        <v>986.33522699934792</v>
      </c>
      <c r="T34" cm="1">
        <f t="array" ref="T34">[1]!PropsSI("H","T",J34+273.15,"P",101325,"Water")</f>
        <v>240408.44597089716</v>
      </c>
      <c r="U34" cm="1">
        <f t="array" ref="U34">[1]!PropsSI("H","T",K34+273.15,"P",101325,"Water")</f>
        <v>208243.95568019702</v>
      </c>
      <c r="V34">
        <f t="shared" si="12"/>
        <v>701.38144929465943</v>
      </c>
      <c r="X34">
        <f t="shared" si="13"/>
        <v>0.264818738</v>
      </c>
      <c r="Y34">
        <f t="shared" si="14"/>
        <v>0.249438196</v>
      </c>
      <c r="Z34">
        <f t="shared" si="15"/>
        <v>0.36379716549149621</v>
      </c>
      <c r="AA34">
        <f t="shared" si="16"/>
        <v>7.6902709999999956</v>
      </c>
      <c r="AB34">
        <f t="shared" si="17"/>
        <v>4.8351550832178708E-2</v>
      </c>
      <c r="AC34">
        <f t="shared" si="18"/>
        <v>33.9128807983179</v>
      </c>
    </row>
    <row r="35" spans="1:29" x14ac:dyDescent="0.2">
      <c r="A35">
        <v>46137.025047870367</v>
      </c>
      <c r="B35">
        <v>17.300032000000002</v>
      </c>
      <c r="C35">
        <v>17.438154000000001</v>
      </c>
      <c r="D35">
        <v>19.073651999999999</v>
      </c>
      <c r="E35">
        <v>19.365197999999999</v>
      </c>
      <c r="F35">
        <v>30.203287</v>
      </c>
      <c r="G35">
        <v>29.217573999999999</v>
      </c>
      <c r="H35">
        <v>26.938863000000001</v>
      </c>
      <c r="I35">
        <v>24.678533999999999</v>
      </c>
      <c r="J35">
        <v>57.409528000000002</v>
      </c>
      <c r="K35">
        <v>49.726723</v>
      </c>
      <c r="L35">
        <v>198.88948500000001</v>
      </c>
      <c r="M35">
        <v>-622.51102000000003</v>
      </c>
      <c r="N35">
        <v>1.3358920000000001</v>
      </c>
      <c r="O35">
        <v>2.9609800000000002</v>
      </c>
      <c r="P35">
        <f t="shared" si="10"/>
        <v>2.2264866666666671E-5</v>
      </c>
      <c r="Q35" cm="1">
        <f t="array" ref="Q35">[1]!PropsSI("D","T",J35+273.15,"P",101325,"Water")</f>
        <v>984.50853623386354</v>
      </c>
      <c r="R35" cm="1">
        <f t="array" ref="R35">[1]!PropsSI("D","T",K35+273.15,"P",101325,"Water")</f>
        <v>988.15840354194529</v>
      </c>
      <c r="S35">
        <f t="shared" si="11"/>
        <v>986.33346988790436</v>
      </c>
      <c r="T35" cm="1">
        <f t="array" ref="T35">[1]!PropsSI("H","T",J35+273.15,"P",101325,"Water")</f>
        <v>240409.11120652096</v>
      </c>
      <c r="U35" cm="1">
        <f t="array" ref="U35">[1]!PropsSI("H","T",K35+273.15,"P",101325,"Water")</f>
        <v>208275.83782232972</v>
      </c>
      <c r="V35">
        <f t="shared" si="12"/>
        <v>705.66542351093028</v>
      </c>
      <c r="X35">
        <f t="shared" si="13"/>
        <v>0.264819056</v>
      </c>
      <c r="Y35">
        <f t="shared" si="14"/>
        <v>0.249453446</v>
      </c>
      <c r="Z35">
        <f t="shared" si="15"/>
        <v>0.36380785332645865</v>
      </c>
      <c r="AA35">
        <f t="shared" si="16"/>
        <v>7.6828050000000019</v>
      </c>
      <c r="AB35">
        <f t="shared" si="17"/>
        <v>4.839789015410019E-2</v>
      </c>
      <c r="AC35">
        <f t="shared" si="18"/>
        <v>34.152717652628596</v>
      </c>
    </row>
    <row r="36" spans="1:29" x14ac:dyDescent="0.2">
      <c r="A36">
        <v>46137.025083171298</v>
      </c>
      <c r="B36">
        <v>17.513615000000001</v>
      </c>
      <c r="C36">
        <v>17.949352000000001</v>
      </c>
      <c r="D36">
        <v>19.00957</v>
      </c>
      <c r="E36">
        <v>19.329243000000002</v>
      </c>
      <c r="F36">
        <v>30.578942000000001</v>
      </c>
      <c r="G36">
        <v>31.581664</v>
      </c>
      <c r="H36">
        <v>27.650941</v>
      </c>
      <c r="I36">
        <v>24.942442</v>
      </c>
      <c r="J36">
        <v>57.412712999999997</v>
      </c>
      <c r="K36">
        <v>49.731489000000003</v>
      </c>
      <c r="L36">
        <v>209.976685</v>
      </c>
      <c r="M36">
        <v>-622.487348</v>
      </c>
      <c r="N36">
        <v>1.332999</v>
      </c>
      <c r="O36">
        <v>2.7575910000000001</v>
      </c>
      <c r="P36">
        <f t="shared" si="10"/>
        <v>2.221665E-5</v>
      </c>
      <c r="Q36" cm="1">
        <f t="array" ref="Q36">[1]!PropsSI("D","T",J36+273.15,"P",101325,"Water")</f>
        <v>984.50694699105929</v>
      </c>
      <c r="R36" cm="1">
        <f t="array" ref="R36">[1]!PropsSI("D","T",K36+273.15,"P",101325,"Water")</f>
        <v>988.15625637427434</v>
      </c>
      <c r="S36">
        <f t="shared" si="11"/>
        <v>986.33160168266681</v>
      </c>
      <c r="T36" cm="1">
        <f t="array" ref="T36">[1]!PropsSI("H","T",J36+273.15,"P",101325,"Water")</f>
        <v>240422.43684111931</v>
      </c>
      <c r="U36" cm="1">
        <f t="array" ref="U36">[1]!PropsSI("H","T",K36+273.15,"P",101325,"Water")</f>
        <v>208295.76573732952</v>
      </c>
      <c r="V36">
        <f t="shared" si="12"/>
        <v>703.99122918063063</v>
      </c>
      <c r="X36">
        <f t="shared" si="13"/>
        <v>0.26482542599999997</v>
      </c>
      <c r="Y36">
        <f t="shared" si="14"/>
        <v>0.249462978</v>
      </c>
      <c r="Z36">
        <f t="shared" si="15"/>
        <v>0.36381902595756305</v>
      </c>
      <c r="AA36">
        <f t="shared" si="16"/>
        <v>7.6812239999999932</v>
      </c>
      <c r="AB36">
        <f t="shared" si="17"/>
        <v>4.8408849651764431E-2</v>
      </c>
      <c r="AC36">
        <f t="shared" si="18"/>
        <v>34.079405569565985</v>
      </c>
    </row>
    <row r="37" spans="1:29" x14ac:dyDescent="0.2">
      <c r="A37">
        <v>46137.025117893521</v>
      </c>
      <c r="B37">
        <v>17.565943000000001</v>
      </c>
      <c r="C37">
        <v>18.103473999999999</v>
      </c>
      <c r="D37">
        <v>19.068034000000001</v>
      </c>
      <c r="E37">
        <v>19.425757999999998</v>
      </c>
      <c r="F37">
        <v>30.560600000000001</v>
      </c>
      <c r="G37">
        <v>30.452798999999999</v>
      </c>
      <c r="H37">
        <v>27.495052000000001</v>
      </c>
      <c r="I37">
        <v>24.861176</v>
      </c>
      <c r="J37">
        <v>57.410961</v>
      </c>
      <c r="K37">
        <v>49.732283000000002</v>
      </c>
      <c r="L37">
        <v>232.79513399999999</v>
      </c>
      <c r="M37">
        <v>-622.50979500000005</v>
      </c>
      <c r="N37">
        <v>1.336638</v>
      </c>
      <c r="O37">
        <v>2.8807930000000002</v>
      </c>
      <c r="P37">
        <f t="shared" si="10"/>
        <v>2.2277300000000001E-5</v>
      </c>
      <c r="Q37" cm="1">
        <f t="array" ref="Q37">[1]!PropsSI("D","T",J37+273.15,"P",101325,"Water")</f>
        <v>984.50782120695499</v>
      </c>
      <c r="R37" cm="1">
        <f t="array" ref="R37">[1]!PropsSI("D","T",K37+273.15,"P",101325,"Water")</f>
        <v>988.15589864864035</v>
      </c>
      <c r="S37">
        <f t="shared" si="11"/>
        <v>986.33185992779772</v>
      </c>
      <c r="T37" cm="1">
        <f t="array" ref="T37">[1]!PropsSI("H","T",J37+273.15,"P",101325,"Water")</f>
        <v>240415.10669562352</v>
      </c>
      <c r="U37" cm="1">
        <f t="array" ref="U37">[1]!PropsSI("H","T",K37+273.15,"P",101325,"Water")</f>
        <v>208299.08566343418</v>
      </c>
      <c r="V37">
        <f t="shared" si="12"/>
        <v>705.67925196394845</v>
      </c>
      <c r="X37">
        <f t="shared" si="13"/>
        <v>0.26482192199999999</v>
      </c>
      <c r="Y37">
        <f t="shared" si="14"/>
        <v>0.249464566</v>
      </c>
      <c r="Z37">
        <f t="shared" si="15"/>
        <v>0.36381756425623879</v>
      </c>
      <c r="AA37">
        <f t="shared" si="16"/>
        <v>7.6786779999999979</v>
      </c>
      <c r="AB37">
        <f t="shared" si="17"/>
        <v>4.8424029374458964E-2</v>
      </c>
      <c r="AC37">
        <f t="shared" si="18"/>
        <v>34.171832826048465</v>
      </c>
    </row>
    <row r="38" spans="1:29" x14ac:dyDescent="0.2">
      <c r="A38">
        <v>44675.025152618102</v>
      </c>
      <c r="B38">
        <v>17.382669</v>
      </c>
      <c r="C38">
        <v>17.671012000000001</v>
      </c>
      <c r="D38">
        <v>19.086601999999999</v>
      </c>
      <c r="E38">
        <v>19.384079</v>
      </c>
      <c r="F38">
        <v>30.383967999999999</v>
      </c>
      <c r="G38">
        <v>30.402104999999999</v>
      </c>
      <c r="H38">
        <v>26.998602000000002</v>
      </c>
      <c r="I38">
        <v>24.922705000000001</v>
      </c>
      <c r="J38">
        <v>57.413030999999997</v>
      </c>
      <c r="K38">
        <v>49.740226</v>
      </c>
      <c r="L38">
        <v>197.763419</v>
      </c>
      <c r="M38">
        <v>-622.49510199999997</v>
      </c>
      <c r="N38">
        <v>1.339264</v>
      </c>
      <c r="O38">
        <v>2.8118409999999998</v>
      </c>
      <c r="P38">
        <f t="shared" si="10"/>
        <v>2.2321066666666665E-5</v>
      </c>
      <c r="Q38" cm="1">
        <f t="array" ref="Q38">[1]!PropsSI("D","T",J38+273.15,"P",101325,"Water")</f>
        <v>984.5067883128936</v>
      </c>
      <c r="R38" cm="1">
        <f t="array" ref="R38">[1]!PropsSI("D","T",K38+273.15,"P",101325,"Water")</f>
        <v>988.15231981243426</v>
      </c>
      <c r="S38">
        <f t="shared" si="11"/>
        <v>986.32955406266387</v>
      </c>
      <c r="T38" cm="1">
        <f t="array" ref="T38">[1]!PropsSI("H","T",J38+273.15,"P",101325,"Water")</f>
        <v>240423.76731284842</v>
      </c>
      <c r="U38" cm="1">
        <f t="array" ref="U38">[1]!PropsSI("H","T",K38+273.15,"P",101325,"Water")</f>
        <v>208332.29747720616</v>
      </c>
      <c r="V38">
        <f t="shared" si="12"/>
        <v>706.52348070027779</v>
      </c>
      <c r="X38">
        <f t="shared" si="13"/>
        <v>0.26482606199999997</v>
      </c>
      <c r="Y38">
        <f t="shared" si="14"/>
        <v>0.24948045199999999</v>
      </c>
      <c r="Z38">
        <f t="shared" si="15"/>
        <v>0.36383147066265736</v>
      </c>
      <c r="AA38">
        <f t="shared" si="16"/>
        <v>7.6728049999999968</v>
      </c>
      <c r="AB38">
        <f t="shared" si="17"/>
        <v>4.8461287925032744E-2</v>
      </c>
      <c r="AC38">
        <f t="shared" si="18"/>
        <v>34.239037824012478</v>
      </c>
    </row>
    <row r="39" spans="1:29" x14ac:dyDescent="0.2">
      <c r="A39">
        <v>44675.025187340303</v>
      </c>
      <c r="B39">
        <v>17.276890999999999</v>
      </c>
      <c r="C39">
        <v>17.440961999999999</v>
      </c>
      <c r="D39">
        <v>19.085103</v>
      </c>
      <c r="E39">
        <v>19.321162999999999</v>
      </c>
      <c r="F39">
        <v>30.238931000000001</v>
      </c>
      <c r="G39">
        <v>31.318352000000001</v>
      </c>
      <c r="H39">
        <v>27.039494000000001</v>
      </c>
      <c r="I39">
        <v>24.926538999999998</v>
      </c>
      <c r="J39">
        <v>57.414304999999999</v>
      </c>
      <c r="K39">
        <v>49.745786000000003</v>
      </c>
      <c r="L39">
        <v>216.72614300000001</v>
      </c>
      <c r="M39">
        <v>-622.49469399999998</v>
      </c>
      <c r="N39">
        <v>1.3297939999999999</v>
      </c>
      <c r="O39">
        <v>2.2013569999999998</v>
      </c>
      <c r="P39">
        <f t="shared" si="10"/>
        <v>2.2163233333333335E-5</v>
      </c>
      <c r="Q39" cm="1">
        <f t="array" ref="Q39">[1]!PropsSI("D","T",J39+273.15,"P",101325,"Water")</f>
        <v>984.50615259611368</v>
      </c>
      <c r="R39" cm="1">
        <f t="array" ref="R39">[1]!PropsSI("D","T",K39+273.15,"P",101325,"Water")</f>
        <v>988.14981442516626</v>
      </c>
      <c r="S39">
        <f t="shared" si="11"/>
        <v>986.32798351064002</v>
      </c>
      <c r="T39" cm="1">
        <f t="array" ref="T39">[1]!PropsSI("H","T",J39+273.15,"P",101325,"Water")</f>
        <v>240429.09756795625</v>
      </c>
      <c r="U39" cm="1">
        <f t="array" ref="U39">[1]!PropsSI("H","T",K39+273.15,"P",101325,"Water")</f>
        <v>208355.54533918932</v>
      </c>
      <c r="V39">
        <f t="shared" si="12"/>
        <v>701.13481943521845</v>
      </c>
      <c r="X39">
        <f t="shared" si="13"/>
        <v>0.26482861000000002</v>
      </c>
      <c r="Y39">
        <f t="shared" si="14"/>
        <v>0.24949157199999999</v>
      </c>
      <c r="Z39">
        <f t="shared" si="15"/>
        <v>0.36384095038019471</v>
      </c>
      <c r="AA39">
        <f t="shared" si="16"/>
        <v>7.6685189999999963</v>
      </c>
      <c r="AB39">
        <f t="shared" si="17"/>
        <v>4.8488429957924385E-2</v>
      </c>
      <c r="AC39">
        <f t="shared" si="18"/>
        <v>33.996926583246548</v>
      </c>
    </row>
    <row r="40" spans="1:29" x14ac:dyDescent="0.2">
      <c r="A40">
        <v>44675.025222641198</v>
      </c>
      <c r="B40">
        <v>17.026501</v>
      </c>
      <c r="C40">
        <v>17.206240999999999</v>
      </c>
      <c r="D40">
        <v>18.952313</v>
      </c>
      <c r="E40">
        <v>19.264161000000001</v>
      </c>
      <c r="F40">
        <v>30.332602999999999</v>
      </c>
      <c r="G40">
        <v>29.675685000000001</v>
      </c>
      <c r="H40">
        <v>27.108632</v>
      </c>
      <c r="I40">
        <v>24.270046000000001</v>
      </c>
      <c r="J40">
        <v>57.415419999999997</v>
      </c>
      <c r="K40">
        <v>49.741815000000003</v>
      </c>
      <c r="L40">
        <v>204.422269</v>
      </c>
      <c r="M40">
        <v>-622.5</v>
      </c>
      <c r="N40">
        <v>1.3295729999999999</v>
      </c>
      <c r="O40">
        <v>2.7711380000000001</v>
      </c>
      <c r="P40">
        <f t="shared" si="10"/>
        <v>2.2159549999999997E-5</v>
      </c>
      <c r="Q40" cm="1">
        <f t="array" ref="Q40">[1]!PropsSI("D","T",J40+273.15,"P",101325,"Water")</f>
        <v>984.5055962111129</v>
      </c>
      <c r="R40" cm="1">
        <f t="array" ref="R40">[1]!PropsSI("D","T",K40+273.15,"P",101325,"Water")</f>
        <v>988.15160381513101</v>
      </c>
      <c r="S40">
        <f t="shared" si="11"/>
        <v>986.32860001312201</v>
      </c>
      <c r="T40" cm="1">
        <f t="array" ref="T40">[1]!PropsSI("H","T",J40+273.15,"P",101325,"Water")</f>
        <v>240433.76258769105</v>
      </c>
      <c r="U40" cm="1">
        <f t="array" ref="U40">[1]!PropsSI("H","T",K40+273.15,"P",101325,"Water")</f>
        <v>208338.94151454302</v>
      </c>
      <c r="V40">
        <f t="shared" si="12"/>
        <v>701.48359978040253</v>
      </c>
      <c r="X40">
        <f t="shared" si="13"/>
        <v>0.26483084000000001</v>
      </c>
      <c r="Y40">
        <f t="shared" si="14"/>
        <v>0.24948363000000001</v>
      </c>
      <c r="Z40">
        <f t="shared" si="15"/>
        <v>0.36383712764516285</v>
      </c>
      <c r="AA40">
        <f t="shared" si="16"/>
        <v>7.6736049999999949</v>
      </c>
      <c r="AB40">
        <f t="shared" si="17"/>
        <v>4.8457172136624309E-2</v>
      </c>
      <c r="AC40">
        <f t="shared" si="18"/>
        <v>33.991911545577842</v>
      </c>
    </row>
    <row r="41" spans="1:29" x14ac:dyDescent="0.2">
      <c r="A41">
        <v>44675.025257942201</v>
      </c>
      <c r="B41">
        <v>16.980872000000002</v>
      </c>
      <c r="C41">
        <v>17.080425999999999</v>
      </c>
      <c r="D41">
        <v>18.917490999999998</v>
      </c>
      <c r="E41">
        <v>19.180637999999998</v>
      </c>
      <c r="F41">
        <v>30.55198</v>
      </c>
      <c r="G41">
        <v>31.922044</v>
      </c>
      <c r="H41">
        <v>27.477913000000001</v>
      </c>
      <c r="I41">
        <v>24.695046000000001</v>
      </c>
      <c r="J41">
        <v>57.416853000000003</v>
      </c>
      <c r="K41">
        <v>49.736255</v>
      </c>
      <c r="L41">
        <v>197.72750199999999</v>
      </c>
      <c r="M41">
        <v>-622.48000100000002</v>
      </c>
      <c r="N41">
        <v>1.3290360000000001</v>
      </c>
      <c r="O41">
        <v>2.4592109999999998</v>
      </c>
      <c r="P41">
        <f t="shared" si="10"/>
        <v>2.2150600000000004E-5</v>
      </c>
      <c r="Q41" cm="1">
        <f t="array" ref="Q41">[1]!PropsSI("D","T",J41+273.15,"P",101325,"Water")</f>
        <v>984.50488113307279</v>
      </c>
      <c r="R41" cm="1">
        <f t="array" ref="R41">[1]!PropsSI("D","T",K41+273.15,"P",101325,"Water")</f>
        <v>988.15410905714577</v>
      </c>
      <c r="S41">
        <f t="shared" si="11"/>
        <v>986.32949509510922</v>
      </c>
      <c r="T41" cm="1">
        <f t="array" ref="T41">[1]!PropsSI("H","T",J41+273.15,"P",101325,"Water")</f>
        <v>240439.7580800615</v>
      </c>
      <c r="U41" cm="1">
        <f t="array" ref="U41">[1]!PropsSI("H","T",K41+273.15,"P",101325,"Water")</f>
        <v>208315.69365874393</v>
      </c>
      <c r="V41">
        <f t="shared" si="12"/>
        <v>701.8398170872872</v>
      </c>
      <c r="X41">
        <f t="shared" si="13"/>
        <v>0.264833706</v>
      </c>
      <c r="Y41">
        <f t="shared" si="14"/>
        <v>0.24947250999999998</v>
      </c>
      <c r="Z41">
        <f t="shared" si="15"/>
        <v>0.36383158889710848</v>
      </c>
      <c r="AA41">
        <f t="shared" si="16"/>
        <v>7.6805980000000034</v>
      </c>
      <c r="AB41">
        <f t="shared" si="17"/>
        <v>4.8414227209596018E-2</v>
      </c>
      <c r="AC41">
        <f t="shared" si="18"/>
        <v>33.979032369205235</v>
      </c>
    </row>
    <row r="42" spans="1:29" x14ac:dyDescent="0.2">
      <c r="A42">
        <v>46137.025293240738</v>
      </c>
      <c r="B42">
        <v>17.007162999999998</v>
      </c>
      <c r="C42">
        <v>17.07939</v>
      </c>
      <c r="D42">
        <v>18.989691000000001</v>
      </c>
      <c r="E42">
        <v>19.185385</v>
      </c>
      <c r="F42">
        <v>30.229243</v>
      </c>
      <c r="G42">
        <v>28.516760999999999</v>
      </c>
      <c r="H42">
        <v>26.309522000000001</v>
      </c>
      <c r="I42">
        <v>24.756630000000001</v>
      </c>
      <c r="J42">
        <v>57.418922999999999</v>
      </c>
      <c r="K42">
        <v>49.728788000000002</v>
      </c>
      <c r="L42">
        <v>207.711084</v>
      </c>
      <c r="M42">
        <v>-622.493878</v>
      </c>
      <c r="N42">
        <v>1.321504</v>
      </c>
      <c r="O42">
        <v>2.720675</v>
      </c>
      <c r="P42">
        <f t="shared" si="10"/>
        <v>2.2025066666666667E-5</v>
      </c>
      <c r="Q42" cm="1">
        <f t="array" ref="Q42">[1]!PropsSI("D","T",J42+273.15,"P",101325,"Water")</f>
        <v>984.50384816513792</v>
      </c>
      <c r="R42" cm="1">
        <f t="array" ref="R42">[1]!PropsSI("D","T",K42+273.15,"P",101325,"Water")</f>
        <v>988.15747324109657</v>
      </c>
      <c r="S42">
        <f t="shared" si="11"/>
        <v>986.33066070311725</v>
      </c>
      <c r="T42" cm="1">
        <f t="array" ref="T42">[1]!PropsSI("H","T",J42+273.15,"P",101325,"Water")</f>
        <v>240448.41870218693</v>
      </c>
      <c r="U42" cm="1">
        <f t="array" ref="U42">[1]!PropsSI("H","T",K42+273.15,"P",101325,"Water")</f>
        <v>208284.47213638414</v>
      </c>
      <c r="V42">
        <f t="shared" si="12"/>
        <v>698.72952879461775</v>
      </c>
      <c r="X42">
        <f t="shared" si="13"/>
        <v>0.26483784599999999</v>
      </c>
      <c r="Y42">
        <f t="shared" si="14"/>
        <v>0.24945757600000001</v>
      </c>
      <c r="Z42">
        <f t="shared" si="15"/>
        <v>0.36382436270502211</v>
      </c>
      <c r="AA42">
        <f t="shared" si="16"/>
        <v>7.6901349999999979</v>
      </c>
      <c r="AB42">
        <f t="shared" si="17"/>
        <v>4.8355829533862402E-2</v>
      </c>
      <c r="AC42">
        <f t="shared" si="18"/>
        <v>33.787645984668536</v>
      </c>
    </row>
    <row r="43" spans="1:29" x14ac:dyDescent="0.2">
      <c r="A43">
        <v>46137.025328541669</v>
      </c>
      <c r="B43">
        <v>17.119866999999999</v>
      </c>
      <c r="C43">
        <v>17.175884</v>
      </c>
      <c r="D43">
        <v>19.031300999999999</v>
      </c>
      <c r="E43">
        <v>19.248930999999999</v>
      </c>
      <c r="F43">
        <v>30.254660000000001</v>
      </c>
      <c r="G43">
        <v>31.073796000000002</v>
      </c>
      <c r="H43">
        <v>26.736595999999999</v>
      </c>
      <c r="I43">
        <v>24.911010000000001</v>
      </c>
      <c r="J43">
        <v>57.417012</v>
      </c>
      <c r="K43">
        <v>49.724657999999998</v>
      </c>
      <c r="L43">
        <v>208.23799600000001</v>
      </c>
      <c r="M43">
        <v>-622.50081599999999</v>
      </c>
      <c r="N43">
        <v>1.330093</v>
      </c>
      <c r="O43">
        <v>2.9572180000000001</v>
      </c>
      <c r="P43">
        <f t="shared" si="10"/>
        <v>2.2168216666666669E-5</v>
      </c>
      <c r="Q43" cm="1">
        <f t="array" ref="Q43">[1]!PropsSI("D","T",J43+273.15,"P",101325,"Water")</f>
        <v>984.50480179007036</v>
      </c>
      <c r="R43" cm="1">
        <f t="array" ref="R43">[1]!PropsSI("D","T",K43+273.15,"P",101325,"Water")</f>
        <v>988.15933381473474</v>
      </c>
      <c r="S43">
        <f t="shared" si="11"/>
        <v>986.33206780240255</v>
      </c>
      <c r="T43" cm="1">
        <f t="array" ref="T43">[1]!PropsSI("H","T",J43+273.15,"P",101325,"Water")</f>
        <v>240440.42331623414</v>
      </c>
      <c r="U43" cm="1">
        <f t="array" ref="U43">[1]!PropsSI("H","T",K43+273.15,"P",101325,"Water")</f>
        <v>208267.2035094513</v>
      </c>
      <c r="V43">
        <f t="shared" si="12"/>
        <v>703.47462519900921</v>
      </c>
      <c r="X43">
        <f t="shared" si="13"/>
        <v>0.264834024</v>
      </c>
      <c r="Y43">
        <f t="shared" si="14"/>
        <v>0.24944931599999998</v>
      </c>
      <c r="Z43">
        <f t="shared" si="15"/>
        <v>0.36381591708019101</v>
      </c>
      <c r="AA43">
        <f t="shared" si="16"/>
        <v>7.6923540000000017</v>
      </c>
      <c r="AB43">
        <f t="shared" si="17"/>
        <v>4.8341402870124936E-2</v>
      </c>
      <c r="AC43">
        <f t="shared" si="18"/>
        <v>34.006950265655448</v>
      </c>
    </row>
    <row r="44" spans="1:29" x14ac:dyDescent="0.2">
      <c r="A44">
        <v>46137.025363842593</v>
      </c>
      <c r="B44">
        <v>17.113098000000001</v>
      </c>
      <c r="C44">
        <v>17.394535999999999</v>
      </c>
      <c r="D44">
        <v>19.060023000000001</v>
      </c>
      <c r="E44">
        <v>19.194776000000001</v>
      </c>
      <c r="F44">
        <v>30.306698999999998</v>
      </c>
      <c r="G44">
        <v>29.944095000000001</v>
      </c>
      <c r="H44">
        <v>27.113436</v>
      </c>
      <c r="I44">
        <v>25.084873000000002</v>
      </c>
      <c r="J44">
        <v>57.416057000000002</v>
      </c>
      <c r="K44">
        <v>49.724975999999998</v>
      </c>
      <c r="L44">
        <v>195.414557</v>
      </c>
      <c r="M44">
        <v>-622.50122399999998</v>
      </c>
      <c r="N44">
        <v>1.3274220000000001</v>
      </c>
      <c r="O44">
        <v>2.8665229999999999</v>
      </c>
      <c r="P44">
        <f t="shared" si="10"/>
        <v>2.2123700000000003E-5</v>
      </c>
      <c r="Q44" cm="1">
        <f t="array" ref="Q44">[1]!PropsSI("D","T",J44+273.15,"P",101325,"Water")</f>
        <v>984.50527834474394</v>
      </c>
      <c r="R44" cm="1">
        <f t="array" ref="R44">[1]!PropsSI("D","T",K44+273.15,"P",101325,"Water")</f>
        <v>988.15919055904521</v>
      </c>
      <c r="S44">
        <f t="shared" si="11"/>
        <v>986.33223445189458</v>
      </c>
      <c r="T44" cm="1">
        <f t="array" ref="T44">[1]!PropsSI("H","T",J44+273.15,"P",101325,"Water")</f>
        <v>240436.42771573408</v>
      </c>
      <c r="U44" cm="1">
        <f t="array" ref="U44">[1]!PropsSI("H","T",K44+273.15,"P",101325,"Water")</f>
        <v>208268.53315173334</v>
      </c>
      <c r="V44">
        <f t="shared" si="12"/>
        <v>701.94587131896958</v>
      </c>
      <c r="X44">
        <f t="shared" si="13"/>
        <v>0.26483211400000001</v>
      </c>
      <c r="Y44">
        <f t="shared" si="14"/>
        <v>0.24944995199999997</v>
      </c>
      <c r="Z44">
        <f t="shared" si="15"/>
        <v>0.36381496280184972</v>
      </c>
      <c r="AA44">
        <f t="shared" si="16"/>
        <v>7.6910810000000041</v>
      </c>
      <c r="AB44">
        <f t="shared" si="17"/>
        <v>4.8348940408345573E-2</v>
      </c>
      <c r="AC44">
        <f t="shared" si="18"/>
        <v>33.93833910228507</v>
      </c>
    </row>
    <row r="45" spans="1:29" x14ac:dyDescent="0.2">
      <c r="A45">
        <v>46137.025399143517</v>
      </c>
      <c r="B45">
        <v>17.109843000000001</v>
      </c>
      <c r="C45">
        <v>17.512871000000001</v>
      </c>
      <c r="D45">
        <v>18.998283000000001</v>
      </c>
      <c r="E45">
        <v>19.212921000000001</v>
      </c>
      <c r="F45">
        <v>30.391013000000001</v>
      </c>
      <c r="G45">
        <v>30.639575000000001</v>
      </c>
      <c r="H45">
        <v>27.093316999999999</v>
      </c>
      <c r="I45">
        <v>24.4678</v>
      </c>
      <c r="J45">
        <v>57.420993000000003</v>
      </c>
      <c r="K45">
        <v>49.721957000000003</v>
      </c>
      <c r="L45">
        <v>200.57021700000001</v>
      </c>
      <c r="M45">
        <v>-622.52163199999995</v>
      </c>
      <c r="N45">
        <v>1.3305769999999999</v>
      </c>
      <c r="O45">
        <v>2.9472809999999998</v>
      </c>
      <c r="P45">
        <f t="shared" si="10"/>
        <v>2.2176283333333333E-5</v>
      </c>
      <c r="Q45" cm="1">
        <f t="array" ref="Q45">[1]!PropsSI("D","T",J45+273.15,"P",101325,"Water")</f>
        <v>984.50281517125484</v>
      </c>
      <c r="R45" cm="1">
        <f t="array" ref="R45">[1]!PropsSI("D","T",K45+273.15,"P",101325,"Water")</f>
        <v>988.16055056015807</v>
      </c>
      <c r="S45">
        <f t="shared" si="11"/>
        <v>986.3316828657064</v>
      </c>
      <c r="T45" cm="1">
        <f t="array" ref="T45">[1]!PropsSI("H","T",J45+273.15,"P",101325,"Water")</f>
        <v>240457.07932597926</v>
      </c>
      <c r="U45" cm="1">
        <f t="array" ref="U45">[1]!PropsSI("H","T",K45+273.15,"P",101325,"Water")</f>
        <v>208255.90991356978</v>
      </c>
      <c r="V45">
        <f t="shared" si="12"/>
        <v>704.34168044536125</v>
      </c>
      <c r="X45">
        <f t="shared" si="13"/>
        <v>0.26484198599999997</v>
      </c>
      <c r="Y45">
        <f t="shared" si="14"/>
        <v>0.24944391399999999</v>
      </c>
      <c r="Z45">
        <f t="shared" si="15"/>
        <v>0.36381800914751811</v>
      </c>
      <c r="AA45">
        <f t="shared" si="16"/>
        <v>7.6990359999999995</v>
      </c>
      <c r="AB45">
        <f t="shared" si="17"/>
        <v>4.830150927208994E-2</v>
      </c>
      <c r="AC45">
        <f t="shared" si="18"/>
        <v>34.020766208751027</v>
      </c>
    </row>
    <row r="46" spans="1:29" x14ac:dyDescent="0.2">
      <c r="A46">
        <v>46137.025434444447</v>
      </c>
      <c r="B46">
        <v>17.163869999999999</v>
      </c>
      <c r="C46">
        <v>17.255696</v>
      </c>
      <c r="D46">
        <v>18.998636000000001</v>
      </c>
      <c r="E46">
        <v>19.240839000000001</v>
      </c>
      <c r="F46">
        <v>30.369534999999999</v>
      </c>
      <c r="G46">
        <v>31.752473999999999</v>
      </c>
      <c r="H46">
        <v>27.060482</v>
      </c>
      <c r="I46">
        <v>24.562616999999999</v>
      </c>
      <c r="J46">
        <v>57.422426000000002</v>
      </c>
      <c r="K46">
        <v>49.721322000000001</v>
      </c>
      <c r="L46">
        <v>206.82092499999999</v>
      </c>
      <c r="M46">
        <v>-622.49428599999999</v>
      </c>
      <c r="N46">
        <v>1.337588</v>
      </c>
      <c r="O46">
        <v>2.9419050000000002</v>
      </c>
      <c r="P46">
        <f t="shared" si="10"/>
        <v>2.2293133333333335E-5</v>
      </c>
      <c r="Q46" cm="1">
        <f t="array" ref="Q46">[1]!PropsSI("D","T",J46+273.15,"P",101325,"Water")</f>
        <v>984.50210004484131</v>
      </c>
      <c r="R46" cm="1">
        <f t="array" ref="R46">[1]!PropsSI("D","T",K46+273.15,"P",101325,"Water")</f>
        <v>988.16083660773381</v>
      </c>
      <c r="S46">
        <f t="shared" si="11"/>
        <v>986.33146832628756</v>
      </c>
      <c r="T46" cm="1">
        <f t="array" ref="T46">[1]!PropsSI("H","T",J46+273.15,"P",101325,"Water")</f>
        <v>240463.07482159502</v>
      </c>
      <c r="U46" cm="1">
        <f t="array" ref="U46">[1]!PropsSI("H","T",K46+273.15,"P",101325,"Water")</f>
        <v>208253.25481082086</v>
      </c>
      <c r="V46">
        <f t="shared" si="12"/>
        <v>708.24301619402513</v>
      </c>
      <c r="X46">
        <f t="shared" si="13"/>
        <v>0.26484485200000002</v>
      </c>
      <c r="Y46">
        <f t="shared" si="14"/>
        <v>0.24944264399999999</v>
      </c>
      <c r="Z46">
        <f t="shared" si="15"/>
        <v>0.36381922472103184</v>
      </c>
      <c r="AA46">
        <f t="shared" si="16"/>
        <v>7.7011040000000008</v>
      </c>
      <c r="AB46">
        <f t="shared" si="17"/>
        <v>4.8289249171741815E-2</v>
      </c>
      <c r="AC46">
        <f t="shared" si="18"/>
        <v>34.20052348313925</v>
      </c>
    </row>
    <row r="47" spans="1:29" x14ac:dyDescent="0.2">
      <c r="A47">
        <v>46137.025469745371</v>
      </c>
      <c r="B47">
        <v>17.182504999999999</v>
      </c>
      <c r="C47">
        <v>17.302613999999998</v>
      </c>
      <c r="D47">
        <v>19.099841999999999</v>
      </c>
      <c r="E47">
        <v>19.250713000000001</v>
      </c>
      <c r="F47">
        <v>30.420396</v>
      </c>
      <c r="G47">
        <v>30.310777000000002</v>
      </c>
      <c r="H47">
        <v>27.644576000000001</v>
      </c>
      <c r="I47">
        <v>25.508389999999999</v>
      </c>
      <c r="J47">
        <v>57.422106999999997</v>
      </c>
      <c r="K47">
        <v>49.717668000000003</v>
      </c>
      <c r="L47">
        <v>220.84920199999999</v>
      </c>
      <c r="M47">
        <v>-622.49020499999995</v>
      </c>
      <c r="N47">
        <v>1.3363879999999999</v>
      </c>
      <c r="O47">
        <v>2.902066</v>
      </c>
      <c r="P47">
        <f t="shared" si="10"/>
        <v>2.2273133333333332E-5</v>
      </c>
      <c r="Q47" cm="1">
        <f t="array" ref="Q47">[1]!PropsSI("D","T",J47+273.15,"P",101325,"Water")</f>
        <v>984.50225924014262</v>
      </c>
      <c r="R47" cm="1">
        <f t="array" ref="R47">[1]!PropsSI("D","T",K47+273.15,"P",101325,"Water")</f>
        <v>988.16248256855533</v>
      </c>
      <c r="S47">
        <f t="shared" si="11"/>
        <v>986.33237090434898</v>
      </c>
      <c r="T47" cm="1">
        <f t="array" ref="T47">[1]!PropsSI("H","T",J47+273.15,"P",101325,"Water")</f>
        <v>240461.74016480852</v>
      </c>
      <c r="U47" cm="1">
        <f t="array" ref="U47">[1]!PropsSI("H","T",K47+273.15,"P",101325,"Water")</f>
        <v>208237.97647367592</v>
      </c>
      <c r="V47">
        <f t="shared" si="12"/>
        <v>707.91459723820606</v>
      </c>
      <c r="X47">
        <f t="shared" si="13"/>
        <v>0.26484421400000002</v>
      </c>
      <c r="Y47">
        <f t="shared" si="14"/>
        <v>0.24943533600000001</v>
      </c>
      <c r="Z47">
        <f t="shared" si="15"/>
        <v>0.36381374978786979</v>
      </c>
      <c r="AA47">
        <f t="shared" si="16"/>
        <v>7.7044389999999936</v>
      </c>
      <c r="AB47">
        <f t="shared" si="17"/>
        <v>4.82685477207127E-2</v>
      </c>
      <c r="AC47">
        <f t="shared" si="18"/>
        <v>34.170009518981459</v>
      </c>
    </row>
    <row r="48" spans="1:29" x14ac:dyDescent="0.2">
      <c r="A48">
        <v>46137.025504467594</v>
      </c>
      <c r="B48">
        <v>17.156426</v>
      </c>
      <c r="C48">
        <v>17.181726999999999</v>
      </c>
      <c r="D48">
        <v>19.113547000000001</v>
      </c>
      <c r="E48">
        <v>19.252469000000001</v>
      </c>
      <c r="F48">
        <v>30.329339000000001</v>
      </c>
      <c r="G48">
        <v>29.634606999999999</v>
      </c>
      <c r="H48">
        <v>27.256091000000001</v>
      </c>
      <c r="I48">
        <v>25.241448999999999</v>
      </c>
      <c r="J48">
        <v>57.423540000000003</v>
      </c>
      <c r="K48">
        <v>49.721004000000001</v>
      </c>
      <c r="L48">
        <v>219.87455700000001</v>
      </c>
      <c r="M48">
        <v>-622.48775599999999</v>
      </c>
      <c r="N48">
        <v>1.330192</v>
      </c>
      <c r="O48">
        <v>2.9580190000000002</v>
      </c>
      <c r="P48">
        <f t="shared" si="10"/>
        <v>2.2169866666666666E-5</v>
      </c>
      <c r="Q48" cm="1">
        <f t="array" ref="Q48">[1]!PropsSI("D","T",J48+273.15,"P",101325,"Water")</f>
        <v>984.50154410405582</v>
      </c>
      <c r="R48" cm="1">
        <f t="array" ref="R48">[1]!PropsSI("D","T",K48+273.15,"P",101325,"Water")</f>
        <v>988.16097985576516</v>
      </c>
      <c r="S48">
        <f t="shared" si="11"/>
        <v>986.33126197991055</v>
      </c>
      <c r="T48" cm="1">
        <f t="array" ref="T48">[1]!PropsSI("H","T",J48+273.15,"P",101325,"Water")</f>
        <v>240467.73566106916</v>
      </c>
      <c r="U48" cm="1">
        <f t="array" ref="U48">[1]!PropsSI("H","T",K48+273.15,"P",101325,"Water")</f>
        <v>208251.92516886396</v>
      </c>
      <c r="V48">
        <f t="shared" si="12"/>
        <v>704.45773405161901</v>
      </c>
      <c r="X48">
        <f t="shared" si="13"/>
        <v>0.26484708000000001</v>
      </c>
      <c r="Y48">
        <f t="shared" si="14"/>
        <v>0.24944200799999999</v>
      </c>
      <c r="Z48">
        <f t="shared" si="15"/>
        <v>0.36382041055938363</v>
      </c>
      <c r="AA48">
        <f t="shared" si="16"/>
        <v>7.702536000000002</v>
      </c>
      <c r="AB48">
        <f t="shared" si="17"/>
        <v>4.8280807230808256E-2</v>
      </c>
      <c r="AC48">
        <f t="shared" si="18"/>
        <v>34.01178805999821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4D73-CFE7-124E-9CC1-3F081A4D7AF8}">
  <dimension ref="A1:AC49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44675.021365002402</v>
      </c>
      <c r="B2">
        <v>17.738029999999998</v>
      </c>
      <c r="C2">
        <v>18.428974</v>
      </c>
      <c r="D2">
        <v>19.038972999999999</v>
      </c>
      <c r="E2">
        <v>19.501798999999998</v>
      </c>
      <c r="F2">
        <v>29.090074000000001</v>
      </c>
      <c r="G2">
        <v>30.588075</v>
      </c>
      <c r="H2">
        <v>26.690839</v>
      </c>
      <c r="I2">
        <v>24.108136999999999</v>
      </c>
      <c r="J2">
        <v>57.39472</v>
      </c>
      <c r="K2">
        <v>49.249867000000002</v>
      </c>
      <c r="L2">
        <v>272.86904600000003</v>
      </c>
      <c r="M2">
        <v>-622.51959099999999</v>
      </c>
      <c r="N2">
        <v>1.322697</v>
      </c>
      <c r="O2">
        <v>2.4133990000000001</v>
      </c>
      <c r="P2">
        <f t="shared" ref="P2:P25" si="0" xml:space="preserve"> N2*0.001/60</f>
        <v>2.204495E-5</v>
      </c>
      <c r="Q2" cm="1">
        <f t="array" ref="Q2">[1]!PropsSI("D","T",J2+273.15,"P",101325,"Water")</f>
        <v>984.51592428331287</v>
      </c>
      <c r="R2" cm="1">
        <f t="array" ref="R2">[1]!PropsSI("D","T",K2+273.15,"P",101325,"Water")</f>
        <v>988.37247863576351</v>
      </c>
      <c r="S2">
        <f t="shared" ref="S2:S25" si="1">(Q2+R2)/2</f>
        <v>986.44420145953814</v>
      </c>
      <c r="T2" cm="1">
        <f t="array" ref="T2">[1]!PropsSI("H","T",J2+273.15,"P",101325,"Water")</f>
        <v>240347.15647267524</v>
      </c>
      <c r="U2" cm="1">
        <f t="array" ref="U2">[1]!PropsSI("H","T",K2+273.15,"P",101325,"Water")</f>
        <v>206282.007583253</v>
      </c>
      <c r="V2">
        <f t="shared" ref="V2:V25" si="2">S2*P2*(T2-U2)</f>
        <v>740.78458048247319</v>
      </c>
      <c r="W2" s="3">
        <f>AVERAGE(V2:V49)</f>
        <v>742.01326706829752</v>
      </c>
      <c r="X2">
        <f>(0.15+0.002*ABS(J2))</f>
        <v>0.26478943999999999</v>
      </c>
      <c r="Y2">
        <f>(0.15+0.002*ABS(K2))</f>
        <v>0.248499734</v>
      </c>
      <c r="Z2">
        <f>SQRT((X2)^2 + (Y2)^2)</f>
        <v>0.36313298574156594</v>
      </c>
      <c r="AA2">
        <f>J2-K2</f>
        <v>8.1448529999999977</v>
      </c>
      <c r="AB2">
        <f>SQRT((0.01)^2 + (Z2/ABS(AA2))^2)</f>
        <v>4.5692060166511297E-2</v>
      </c>
      <c r="AC2">
        <f>ABS(V2*AB2)</f>
        <v>33.847973621828999</v>
      </c>
    </row>
    <row r="3" spans="1:29" x14ac:dyDescent="0.2">
      <c r="A3">
        <v>44675.021399724603</v>
      </c>
      <c r="B3">
        <v>17.782931999999999</v>
      </c>
      <c r="C3">
        <v>18.332885000000001</v>
      </c>
      <c r="D3">
        <v>19.045549000000001</v>
      </c>
      <c r="E3">
        <v>19.553879999999999</v>
      </c>
      <c r="F3">
        <v>29.665258000000001</v>
      </c>
      <c r="G3">
        <v>29.803287000000001</v>
      </c>
      <c r="H3">
        <v>27.187673</v>
      </c>
      <c r="I3">
        <v>24.089728999999998</v>
      </c>
      <c r="J3">
        <v>57.394083000000002</v>
      </c>
      <c r="K3">
        <v>49.239384000000001</v>
      </c>
      <c r="L3">
        <v>269.01903499999997</v>
      </c>
      <c r="M3">
        <v>-622.49265300000002</v>
      </c>
      <c r="N3">
        <v>1.3250740000000001</v>
      </c>
      <c r="O3">
        <v>2.4811450000000002</v>
      </c>
      <c r="P3">
        <f t="shared" si="0"/>
        <v>2.2084566666666669E-5</v>
      </c>
      <c r="Q3" cm="1">
        <f t="array" ref="Q3">[1]!PropsSI("D","T",J3+273.15,"P",101325,"Water")</f>
        <v>984.51624206736642</v>
      </c>
      <c r="R3" cm="1">
        <f t="array" ref="R3">[1]!PropsSI("D","T",K3+273.15,"P",101325,"Water")</f>
        <v>988.3771679002781</v>
      </c>
      <c r="S3">
        <f t="shared" si="1"/>
        <v>986.4467049838222</v>
      </c>
      <c r="T3" cm="1">
        <f t="array" ref="T3">[1]!PropsSI("H","T",J3+273.15,"P",101325,"Water")</f>
        <v>240344.49134995838</v>
      </c>
      <c r="U3" cm="1">
        <f t="array" ref="U3">[1]!PropsSI("H","T",K3+273.15,"P",101325,"Water")</f>
        <v>206238.17676265805</v>
      </c>
      <c r="V3">
        <f t="shared" si="2"/>
        <v>743.01452230959239</v>
      </c>
      <c r="W3" s="3" t="s">
        <v>33</v>
      </c>
      <c r="X3">
        <f t="shared" ref="X3:Y25" si="3">(0.15+0.002*ABS(J3))</f>
        <v>0.26478816599999999</v>
      </c>
      <c r="Y3">
        <f t="shared" si="3"/>
        <v>0.24847876800000002</v>
      </c>
      <c r="Z3">
        <f t="shared" ref="Z3:Z7" si="4">SQRT((X3)^2 + (Y3)^2)</f>
        <v>0.36311770956597722</v>
      </c>
      <c r="AA3">
        <f>J3-K3</f>
        <v>8.1546990000000008</v>
      </c>
      <c r="AB3">
        <f t="shared" ref="AB3:AB25" si="5">SQRT((0.01)^2 + (Z3/ABS(AA3))^2)</f>
        <v>4.5637707702904595E-2</v>
      </c>
      <c r="AC3">
        <f t="shared" ref="AC3:AC25" si="6">ABS(V3*AB3)</f>
        <v>33.909479588178463</v>
      </c>
    </row>
    <row r="4" spans="1:29" x14ac:dyDescent="0.2">
      <c r="A4">
        <v>44675.021434446797</v>
      </c>
      <c r="B4">
        <v>17.733941000000002</v>
      </c>
      <c r="C4">
        <v>18.257529999999999</v>
      </c>
      <c r="D4">
        <v>19.103708999999998</v>
      </c>
      <c r="E4">
        <v>19.625420999999999</v>
      </c>
      <c r="F4">
        <v>29.231406</v>
      </c>
      <c r="G4">
        <v>31.043849999999999</v>
      </c>
      <c r="H4">
        <v>26.663484</v>
      </c>
      <c r="I4">
        <v>24.165233000000001</v>
      </c>
      <c r="J4">
        <v>57.394083000000002</v>
      </c>
      <c r="K4">
        <v>49.239226000000002</v>
      </c>
      <c r="L4">
        <v>282.74569400000001</v>
      </c>
      <c r="M4">
        <v>-622.48285799999996</v>
      </c>
      <c r="N4">
        <v>1.3239259999999999</v>
      </c>
      <c r="O4">
        <v>3.3080940000000001</v>
      </c>
      <c r="P4">
        <f t="shared" si="0"/>
        <v>2.2065433333333334E-5</v>
      </c>
      <c r="Q4" cm="1">
        <f t="array" ref="Q4">[1]!PropsSI("D","T",J4+273.15,"P",101325,"Water")</f>
        <v>984.51624206736642</v>
      </c>
      <c r="R4" cm="1">
        <f t="array" ref="R4">[1]!PropsSI("D","T",K4+273.15,"P",101325,"Water")</f>
        <v>988.37723857142737</v>
      </c>
      <c r="S4">
        <f t="shared" si="1"/>
        <v>986.44674031939689</v>
      </c>
      <c r="T4" cm="1">
        <f t="array" ref="T4">[1]!PropsSI("H","T",J4+273.15,"P",101325,"Water")</f>
        <v>240344.49134995838</v>
      </c>
      <c r="U4" cm="1">
        <f t="array" ref="U4">[1]!PropsSI("H","T",K4+273.15,"P",101325,"Water")</f>
        <v>206237.51614379365</v>
      </c>
      <c r="V4">
        <f t="shared" si="2"/>
        <v>742.38520513378262</v>
      </c>
      <c r="W4" s="3">
        <f>SQRT((AVERAGE(AC2:AC49))^2 + (_xlfn.STDEV.S(V2:V49)/SQRT(COUNT(V2:V49)))^2)</f>
        <v>33.95392682135715</v>
      </c>
      <c r="X4">
        <f t="shared" si="3"/>
        <v>0.26478816599999999</v>
      </c>
      <c r="Y4">
        <f t="shared" si="3"/>
        <v>0.24847845200000002</v>
      </c>
      <c r="Z4">
        <f t="shared" si="4"/>
        <v>0.36311749332958315</v>
      </c>
      <c r="AA4">
        <f t="shared" ref="AA4:AA5" si="7">J4-K4</f>
        <v>8.1548569999999998</v>
      </c>
      <c r="AB4">
        <f t="shared" si="5"/>
        <v>4.5636840056663325E-2</v>
      </c>
      <c r="AC4">
        <f t="shared" si="6"/>
        <v>33.880114867123631</v>
      </c>
    </row>
    <row r="5" spans="1:29" x14ac:dyDescent="0.2">
      <c r="A5">
        <v>44675.021469747699</v>
      </c>
      <c r="B5">
        <v>17.646415000000001</v>
      </c>
      <c r="C5">
        <v>18.246590999999999</v>
      </c>
      <c r="D5">
        <v>19.160153000000001</v>
      </c>
      <c r="E5">
        <v>19.567135</v>
      </c>
      <c r="F5">
        <v>29.288815</v>
      </c>
      <c r="G5">
        <v>29.797322000000001</v>
      </c>
      <c r="H5">
        <v>26.623854000000001</v>
      </c>
      <c r="I5">
        <v>23.373812000000001</v>
      </c>
      <c r="J5">
        <v>57.392330999999999</v>
      </c>
      <c r="K5">
        <v>49.239542999999998</v>
      </c>
      <c r="L5">
        <v>273.98001099999999</v>
      </c>
      <c r="M5">
        <v>-622.48938799999996</v>
      </c>
      <c r="N5">
        <v>1.329007</v>
      </c>
      <c r="O5">
        <v>3.181079</v>
      </c>
      <c r="P5">
        <f t="shared" si="0"/>
        <v>2.215011666666667E-5</v>
      </c>
      <c r="Q5" cm="1">
        <f t="array" ref="Q5">[1]!PropsSI("D","T",J5+273.15,"P",101325,"Water")</f>
        <v>984.51711608555911</v>
      </c>
      <c r="R5" cm="1">
        <f t="array" ref="R5">[1]!PropsSI("D","T",K5+273.15,"P",101325,"Water")</f>
        <v>988.3770967816863</v>
      </c>
      <c r="S5">
        <f t="shared" si="1"/>
        <v>986.44710643362271</v>
      </c>
      <c r="T5" cm="1">
        <f t="array" ref="T5">[1]!PropsSI("H","T",J5+273.15,"P",101325,"Water")</f>
        <v>240337.16121749702</v>
      </c>
      <c r="U5" cm="1">
        <f t="array" ref="U5">[1]!PropsSI("H","T",K5+273.15,"P",101325,"Water")</f>
        <v>206238.84156258777</v>
      </c>
      <c r="V5">
        <f t="shared" si="2"/>
        <v>745.04550520804401</v>
      </c>
      <c r="W5" s="3"/>
      <c r="X5">
        <f t="shared" si="3"/>
        <v>0.264784662</v>
      </c>
      <c r="Y5">
        <f t="shared" si="3"/>
        <v>0.24847908599999999</v>
      </c>
      <c r="Z5">
        <f t="shared" si="4"/>
        <v>0.36311537203738653</v>
      </c>
      <c r="AA5">
        <f t="shared" si="7"/>
        <v>8.152788000000001</v>
      </c>
      <c r="AB5">
        <f t="shared" si="5"/>
        <v>4.564761180577085E-2</v>
      </c>
      <c r="AC5">
        <f t="shared" si="6"/>
        <v>34.009547999371215</v>
      </c>
    </row>
    <row r="6" spans="1:29" x14ac:dyDescent="0.2">
      <c r="A6">
        <v>46137.021505046294</v>
      </c>
      <c r="B6">
        <v>17.941680999999999</v>
      </c>
      <c r="C6">
        <v>18.406701000000002</v>
      </c>
      <c r="D6">
        <v>19.148351000000002</v>
      </c>
      <c r="E6">
        <v>19.72935</v>
      </c>
      <c r="F6">
        <v>29.255557</v>
      </c>
      <c r="G6">
        <v>30.354696000000001</v>
      </c>
      <c r="H6">
        <v>26.759035000000001</v>
      </c>
      <c r="I6">
        <v>23.913895</v>
      </c>
      <c r="J6">
        <v>57.391854000000002</v>
      </c>
      <c r="K6">
        <v>49.244785</v>
      </c>
      <c r="L6">
        <v>281.74125500000002</v>
      </c>
      <c r="M6">
        <v>-622.46938899999998</v>
      </c>
      <c r="N6">
        <v>1.32711</v>
      </c>
      <c r="O6">
        <v>3.460143</v>
      </c>
      <c r="P6">
        <f t="shared" si="0"/>
        <v>2.2118500000000002E-5</v>
      </c>
      <c r="Q6" cm="1">
        <f t="array" ref="Q6">[1]!PropsSI("D","T",J6+273.15,"P",101325,"Water")</f>
        <v>984.51735404275098</v>
      </c>
      <c r="R6" cm="1">
        <f t="array" ref="R6">[1]!PropsSI("D","T",K6+273.15,"P",101325,"Water")</f>
        <v>988.37475201114114</v>
      </c>
      <c r="S6">
        <f t="shared" si="1"/>
        <v>986.44605302694606</v>
      </c>
      <c r="T6" cm="1">
        <f t="array" ref="T6">[1]!PropsSI("H","T",J6+273.15,"P",101325,"Water")</f>
        <v>240335.16551382918</v>
      </c>
      <c r="U6" cm="1">
        <f t="array" ref="U6">[1]!PropsSI("H","T",K6+273.15,"P",101325,"Water")</f>
        <v>206260.75905998627</v>
      </c>
      <c r="V6">
        <f t="shared" si="2"/>
        <v>743.45949142888526</v>
      </c>
      <c r="W6" s="3"/>
      <c r="X6">
        <f t="shared" si="3"/>
        <v>0.26478370800000001</v>
      </c>
      <c r="Y6">
        <f t="shared" si="3"/>
        <v>0.24848956999999999</v>
      </c>
      <c r="Z6">
        <f t="shared" si="4"/>
        <v>0.36312185065211122</v>
      </c>
      <c r="AA6">
        <f>J6-K6</f>
        <v>8.1470690000000019</v>
      </c>
      <c r="AB6">
        <f t="shared" si="5"/>
        <v>4.5678893699895154E-2</v>
      </c>
      <c r="AC6">
        <f t="shared" si="6"/>
        <v>33.960407079158159</v>
      </c>
    </row>
    <row r="7" spans="1:29" x14ac:dyDescent="0.2">
      <c r="A7">
        <v>46137.021539768517</v>
      </c>
      <c r="B7">
        <v>17.790175999999999</v>
      </c>
      <c r="C7">
        <v>18.493307999999999</v>
      </c>
      <c r="D7">
        <v>19.177674</v>
      </c>
      <c r="E7">
        <v>19.749925999999999</v>
      </c>
      <c r="F7">
        <v>29.150623</v>
      </c>
      <c r="G7">
        <v>31.182573000000001</v>
      </c>
      <c r="H7">
        <v>26.782495999999998</v>
      </c>
      <c r="I7">
        <v>23.486713000000002</v>
      </c>
      <c r="J7">
        <v>57.391854000000002</v>
      </c>
      <c r="K7">
        <v>49.24812</v>
      </c>
      <c r="L7">
        <v>262.39650899999998</v>
      </c>
      <c r="M7">
        <v>-622.49632699999995</v>
      </c>
      <c r="N7">
        <v>1.3226230000000001</v>
      </c>
      <c r="O7">
        <v>2.8124509999999998</v>
      </c>
      <c r="P7">
        <f t="shared" si="0"/>
        <v>2.204371666666667E-5</v>
      </c>
      <c r="Q7" cm="1">
        <f t="array" ref="Q7">[1]!PropsSI("D","T",J7+273.15,"P",101325,"Water")</f>
        <v>984.51735404275098</v>
      </c>
      <c r="R7" cm="1">
        <f t="array" ref="R7">[1]!PropsSI("D","T",K7+273.15,"P",101325,"Water")</f>
        <v>988.3732601557839</v>
      </c>
      <c r="S7">
        <f t="shared" si="1"/>
        <v>986.44530709926744</v>
      </c>
      <c r="T7" cm="1">
        <f t="array" ref="T7">[1]!PropsSI("H","T",J7+273.15,"P",101325,"Water")</f>
        <v>240335.16551382918</v>
      </c>
      <c r="U7" cm="1">
        <f t="array" ref="U7">[1]!PropsSI("H","T",K7+273.15,"P",101325,"Water")</f>
        <v>206274.70314127783</v>
      </c>
      <c r="V7">
        <f t="shared" si="2"/>
        <v>740.64205863916141</v>
      </c>
      <c r="W7" s="3"/>
      <c r="X7">
        <f t="shared" si="3"/>
        <v>0.26478370800000001</v>
      </c>
      <c r="Y7">
        <f t="shared" si="3"/>
        <v>0.24849623999999998</v>
      </c>
      <c r="Z7">
        <f t="shared" si="4"/>
        <v>0.36312641506280818</v>
      </c>
      <c r="AA7">
        <f t="shared" ref="AA7:AA25" si="8">J7-K7</f>
        <v>8.143734000000002</v>
      </c>
      <c r="AB7">
        <f t="shared" si="5"/>
        <v>4.5697250555419171E-2</v>
      </c>
      <c r="AC7">
        <f t="shared" si="6"/>
        <v>33.845305725515217</v>
      </c>
    </row>
    <row r="8" spans="1:29" x14ac:dyDescent="0.2">
      <c r="A8">
        <v>46137.021575069448</v>
      </c>
      <c r="B8">
        <v>17.741406000000001</v>
      </c>
      <c r="C8">
        <v>18.321273000000001</v>
      </c>
      <c r="D8">
        <v>19.231508000000002</v>
      </c>
      <c r="E8">
        <v>19.720955</v>
      </c>
      <c r="F8">
        <v>29.558641999999999</v>
      </c>
      <c r="G8">
        <v>30.632847000000002</v>
      </c>
      <c r="H8">
        <v>27.276423000000001</v>
      </c>
      <c r="I8">
        <v>24.213191999999999</v>
      </c>
      <c r="J8">
        <v>57.391854000000002</v>
      </c>
      <c r="K8">
        <v>49.257333000000003</v>
      </c>
      <c r="L8">
        <v>273.65308800000003</v>
      </c>
      <c r="M8">
        <v>-622.47183800000005</v>
      </c>
      <c r="N8">
        <v>1.3356790000000001</v>
      </c>
      <c r="O8">
        <v>2.8987370000000001</v>
      </c>
      <c r="P8">
        <f t="shared" si="0"/>
        <v>2.2261316666666666E-5</v>
      </c>
      <c r="Q8" cm="1">
        <f t="array" ref="Q8">[1]!PropsSI("D","T",J8+273.15,"P",101325,"Water")</f>
        <v>984.51735404275098</v>
      </c>
      <c r="R8" cm="1">
        <f t="array" ref="R8">[1]!PropsSI("D","T",K8+273.15,"P",101325,"Water")</f>
        <v>988.36913849488417</v>
      </c>
      <c r="S8">
        <f t="shared" si="1"/>
        <v>986.44324626881757</v>
      </c>
      <c r="T8" cm="1">
        <f t="array" ref="T8">[1]!PropsSI("H","T",J8+273.15,"P",101325,"Water")</f>
        <v>240335.16551382918</v>
      </c>
      <c r="U8" cm="1">
        <f t="array" ref="U8">[1]!PropsSI("H","T",K8+273.15,"P",101325,"Water")</f>
        <v>206313.22394272388</v>
      </c>
      <c r="V8">
        <f t="shared" si="2"/>
        <v>747.10569277181685</v>
      </c>
      <c r="W8" s="3"/>
      <c r="X8">
        <f t="shared" si="3"/>
        <v>0.26478370800000001</v>
      </c>
      <c r="Y8">
        <f t="shared" si="3"/>
        <v>0.248514666</v>
      </c>
      <c r="Z8">
        <f>SQRT((X8)^2 + (Y8)^2)</f>
        <v>0.36313902467143466</v>
      </c>
      <c r="AA8">
        <f t="shared" si="8"/>
        <v>8.1345209999999994</v>
      </c>
      <c r="AB8">
        <f t="shared" si="5"/>
        <v>4.5748041909837701E-2</v>
      </c>
      <c r="AC8">
        <f t="shared" si="6"/>
        <v>34.17862254400341</v>
      </c>
    </row>
    <row r="9" spans="1:29" x14ac:dyDescent="0.2">
      <c r="A9">
        <v>46137.021609791664</v>
      </c>
      <c r="B9">
        <v>17.746416</v>
      </c>
      <c r="C9">
        <v>18.23584</v>
      </c>
      <c r="D9">
        <v>19.158629000000001</v>
      </c>
      <c r="E9">
        <v>19.747264000000001</v>
      </c>
      <c r="F9">
        <v>29.133323000000001</v>
      </c>
      <c r="G9">
        <v>30.370412000000002</v>
      </c>
      <c r="H9">
        <v>26.984635000000001</v>
      </c>
      <c r="I9">
        <v>24.065622000000001</v>
      </c>
      <c r="J9">
        <v>57.389147000000001</v>
      </c>
      <c r="K9">
        <v>49.253044000000003</v>
      </c>
      <c r="L9">
        <v>261.29003399999999</v>
      </c>
      <c r="M9">
        <v>-622.474287</v>
      </c>
      <c r="N9">
        <v>1.32904</v>
      </c>
      <c r="O9">
        <v>2.3066279999999999</v>
      </c>
      <c r="P9">
        <f t="shared" si="0"/>
        <v>2.2150666666666668E-5</v>
      </c>
      <c r="Q9" cm="1">
        <f t="array" ref="Q9">[1]!PropsSI("D","T",J9+273.15,"P",101325,"Water")</f>
        <v>984.51870443628582</v>
      </c>
      <c r="R9" cm="1">
        <f t="array" ref="R9">[1]!PropsSI("D","T",K9+273.15,"P",101325,"Water")</f>
        <v>988.37105735381806</v>
      </c>
      <c r="S9">
        <f t="shared" si="1"/>
        <v>986.44488089505194</v>
      </c>
      <c r="T9" cm="1">
        <f t="array" ref="T9">[1]!PropsSI("H","T",J9+273.15,"P",101325,"Water")</f>
        <v>240323.83979264501</v>
      </c>
      <c r="U9" cm="1">
        <f t="array" ref="U9">[1]!PropsSI("H","T",K9+273.15,"P",101325,"Water")</f>
        <v>206295.29104965593</v>
      </c>
      <c r="V9">
        <f t="shared" si="2"/>
        <v>743.53780100838458</v>
      </c>
      <c r="W9" s="3"/>
      <c r="X9">
        <f t="shared" si="3"/>
        <v>0.26477829399999997</v>
      </c>
      <c r="Y9">
        <f t="shared" si="3"/>
        <v>0.24850608800000001</v>
      </c>
      <c r="Z9">
        <f t="shared" ref="Z9:Z25" si="9">SQRT((X9)^2 + (Y9)^2)</f>
        <v>0.36312920668353593</v>
      </c>
      <c r="AA9">
        <f t="shared" si="8"/>
        <v>8.1361029999999985</v>
      </c>
      <c r="AB9">
        <f t="shared" si="5"/>
        <v>4.5738394112121904E-2</v>
      </c>
      <c r="AC9">
        <f t="shared" si="6"/>
        <v>34.008224979781964</v>
      </c>
    </row>
    <row r="10" spans="1:29" x14ac:dyDescent="0.2">
      <c r="A10">
        <v>44675.021645094901</v>
      </c>
      <c r="B10">
        <v>18.053187000000001</v>
      </c>
      <c r="C10">
        <v>18.587727000000001</v>
      </c>
      <c r="D10">
        <v>19.187612000000001</v>
      </c>
      <c r="E10">
        <v>19.706607999999999</v>
      </c>
      <c r="F10">
        <v>29.089628000000001</v>
      </c>
      <c r="G10">
        <v>28.210958999999999</v>
      </c>
      <c r="H10">
        <v>26.727695000000001</v>
      </c>
      <c r="I10">
        <v>23.475434</v>
      </c>
      <c r="J10">
        <v>57.386758</v>
      </c>
      <c r="K10">
        <v>49.250661999999998</v>
      </c>
      <c r="L10">
        <v>271.261371</v>
      </c>
      <c r="M10">
        <v>-622.47306300000002</v>
      </c>
      <c r="N10">
        <v>1.327393</v>
      </c>
      <c r="O10">
        <v>3.5517159999999999</v>
      </c>
      <c r="P10">
        <f t="shared" si="0"/>
        <v>2.2123216666666669E-5</v>
      </c>
      <c r="Q10" cm="1">
        <f t="array" ref="Q10">[1]!PropsSI("D","T",J10+273.15,"P",101325,"Water")</f>
        <v>984.51989615788546</v>
      </c>
      <c r="R10" cm="1">
        <f t="array" ref="R10">[1]!PropsSI("D","T",K10+273.15,"P",101325,"Water")</f>
        <v>988.37212298601537</v>
      </c>
      <c r="S10">
        <f t="shared" si="1"/>
        <v>986.44600957195041</v>
      </c>
      <c r="T10" cm="1">
        <f t="array" ref="T10">[1]!PropsSI("H","T",J10+273.15,"P",101325,"Water")</f>
        <v>240313.84454278229</v>
      </c>
      <c r="U10" cm="1">
        <f t="array" ref="U10">[1]!PropsSI("H","T",K10+273.15,"P",101325,"Water")</f>
        <v>206285.33158541474</v>
      </c>
      <c r="V10">
        <f t="shared" si="2"/>
        <v>742.61644768985957</v>
      </c>
      <c r="X10">
        <f t="shared" si="3"/>
        <v>0.26477351599999999</v>
      </c>
      <c r="Y10">
        <f t="shared" si="3"/>
        <v>0.248501324</v>
      </c>
      <c r="Z10">
        <f t="shared" si="9"/>
        <v>0.36312246254501418</v>
      </c>
      <c r="AA10">
        <f t="shared" si="8"/>
        <v>8.136096000000002</v>
      </c>
      <c r="AB10">
        <f t="shared" si="5"/>
        <v>4.5737622721384014E-2</v>
      </c>
      <c r="AC10">
        <f t="shared" si="6"/>
        <v>33.965510911133201</v>
      </c>
    </row>
    <row r="11" spans="1:29" x14ac:dyDescent="0.2">
      <c r="A11">
        <v>44675.021680395897</v>
      </c>
      <c r="B11">
        <v>17.953085999999999</v>
      </c>
      <c r="C11">
        <v>18.337012000000001</v>
      </c>
      <c r="D11">
        <v>19.338097999999999</v>
      </c>
      <c r="E11">
        <v>19.777819000000001</v>
      </c>
      <c r="F11">
        <v>29.232875</v>
      </c>
      <c r="G11">
        <v>29.731999999999999</v>
      </c>
      <c r="H11">
        <v>27.123260999999999</v>
      </c>
      <c r="I11">
        <v>23.916719000000001</v>
      </c>
      <c r="J11">
        <v>57.385643999999999</v>
      </c>
      <c r="K11">
        <v>49.257809000000002</v>
      </c>
      <c r="L11">
        <v>256.30212</v>
      </c>
      <c r="M11">
        <v>-622.52081499999997</v>
      </c>
      <c r="N11">
        <v>1.3262499999999999</v>
      </c>
      <c r="O11">
        <v>2.848007</v>
      </c>
      <c r="P11">
        <f t="shared" si="0"/>
        <v>2.2104166666666667E-5</v>
      </c>
      <c r="Q11" cm="1">
        <f t="array" ref="Q11">[1]!PropsSI("D","T",J11+273.15,"P",101325,"Water")</f>
        <v>984.52045185046768</v>
      </c>
      <c r="R11" cm="1">
        <f t="array" ref="R11">[1]!PropsSI("D","T",K11+273.15,"P",101325,"Water")</f>
        <v>988.36892552939184</v>
      </c>
      <c r="S11">
        <f t="shared" si="1"/>
        <v>986.44468868992976</v>
      </c>
      <c r="T11" cm="1">
        <f t="array" ref="T11">[1]!PropsSI("H","T",J11+273.15,"P",101325,"Water")</f>
        <v>240309.18371961941</v>
      </c>
      <c r="U11" cm="1">
        <f t="array" ref="U11">[1]!PropsSI("H","T",K11+273.15,"P",101325,"Water")</f>
        <v>206315.2141638443</v>
      </c>
      <c r="V11">
        <f t="shared" si="2"/>
        <v>741.22279436342092</v>
      </c>
      <c r="X11">
        <f t="shared" si="3"/>
        <v>0.26477128799999999</v>
      </c>
      <c r="Y11">
        <f t="shared" si="3"/>
        <v>0.24851561799999999</v>
      </c>
      <c r="Z11">
        <f t="shared" si="9"/>
        <v>0.3631306202168868</v>
      </c>
      <c r="AA11">
        <f t="shared" si="8"/>
        <v>8.1278349999999975</v>
      </c>
      <c r="AB11">
        <f t="shared" si="5"/>
        <v>4.5782868006393258E-2</v>
      </c>
      <c r="AC11">
        <f t="shared" si="6"/>
        <v>33.935305357670472</v>
      </c>
    </row>
    <row r="12" spans="1:29" x14ac:dyDescent="0.2">
      <c r="A12">
        <v>44675.021715118099</v>
      </c>
      <c r="B12">
        <v>17.879203</v>
      </c>
      <c r="C12">
        <v>18.413609999999998</v>
      </c>
      <c r="D12">
        <v>19.28049</v>
      </c>
      <c r="E12">
        <v>19.725019</v>
      </c>
      <c r="F12">
        <v>29.305942999999999</v>
      </c>
      <c r="G12">
        <v>30.101922999999999</v>
      </c>
      <c r="H12">
        <v>26.192771</v>
      </c>
      <c r="I12">
        <v>23.594476</v>
      </c>
      <c r="J12">
        <v>57.38644</v>
      </c>
      <c r="K12">
        <v>49.268928000000002</v>
      </c>
      <c r="L12">
        <v>261.43900600000001</v>
      </c>
      <c r="M12">
        <v>-622.47755199999995</v>
      </c>
      <c r="N12">
        <v>1.316964</v>
      </c>
      <c r="O12">
        <v>2.979711</v>
      </c>
      <c r="P12">
        <f t="shared" si="0"/>
        <v>2.19494E-5</v>
      </c>
      <c r="Q12" cm="1">
        <f t="array" ref="Q12">[1]!PropsSI("D","T",J12+273.15,"P",101325,"Water")</f>
        <v>984.52005478543765</v>
      </c>
      <c r="R12" cm="1">
        <f t="array" ref="R12">[1]!PropsSI("D","T",K12+273.15,"P",101325,"Water")</f>
        <v>988.36395038987303</v>
      </c>
      <c r="S12">
        <f t="shared" si="1"/>
        <v>986.44200258765534</v>
      </c>
      <c r="T12" cm="1">
        <f t="array" ref="T12">[1]!PropsSI("H","T",J12+273.15,"P",101325,"Water")</f>
        <v>240312.51407436302</v>
      </c>
      <c r="U12" cm="1">
        <f t="array" ref="U12">[1]!PropsSI("H","T",K12+273.15,"P",101325,"Water")</f>
        <v>206361.70424164043</v>
      </c>
      <c r="V12">
        <f t="shared" si="2"/>
        <v>735.09648695405008</v>
      </c>
      <c r="X12">
        <f t="shared" si="3"/>
        <v>0.26477287999999999</v>
      </c>
      <c r="Y12">
        <f t="shared" si="3"/>
        <v>0.248537856</v>
      </c>
      <c r="Z12">
        <f t="shared" si="9"/>
        <v>0.3631470003298542</v>
      </c>
      <c r="AA12">
        <f t="shared" si="8"/>
        <v>8.1175119999999978</v>
      </c>
      <c r="AB12">
        <f t="shared" si="5"/>
        <v>4.5840283140097589E-2</v>
      </c>
      <c r="AC12">
        <f t="shared" si="6"/>
        <v>33.697031097264706</v>
      </c>
    </row>
    <row r="13" spans="1:29" x14ac:dyDescent="0.2">
      <c r="A13">
        <v>44675.021750419</v>
      </c>
      <c r="B13">
        <v>18.048324999999998</v>
      </c>
      <c r="C13">
        <v>18.596056000000001</v>
      </c>
      <c r="D13">
        <v>19.330995000000001</v>
      </c>
      <c r="E13">
        <v>19.751002</v>
      </c>
      <c r="F13">
        <v>29.791027</v>
      </c>
      <c r="G13">
        <v>28.729258000000002</v>
      </c>
      <c r="H13">
        <v>27.070716000000001</v>
      </c>
      <c r="I13">
        <v>24.336105</v>
      </c>
      <c r="J13">
        <v>57.38644</v>
      </c>
      <c r="K13">
        <v>49.27957</v>
      </c>
      <c r="L13">
        <v>287.70748700000001</v>
      </c>
      <c r="M13">
        <v>-622.49306200000001</v>
      </c>
      <c r="N13">
        <v>1.3250820000000001</v>
      </c>
      <c r="O13">
        <v>3.0349390000000001</v>
      </c>
      <c r="P13">
        <f t="shared" si="0"/>
        <v>2.2084700000000002E-5</v>
      </c>
      <c r="Q13" cm="1">
        <f t="array" ref="Q13">[1]!PropsSI("D","T",J13+273.15,"P",101325,"Water")</f>
        <v>984.52005478543765</v>
      </c>
      <c r="R13" cm="1">
        <f t="array" ref="R13">[1]!PropsSI("D","T",K13+273.15,"P",101325,"Water")</f>
        <v>988.35918791555935</v>
      </c>
      <c r="S13">
        <f t="shared" si="1"/>
        <v>986.43962135049856</v>
      </c>
      <c r="T13" cm="1">
        <f t="array" ref="T13">[1]!PropsSI("H","T",J13+273.15,"P",101325,"Water")</f>
        <v>240312.51407436302</v>
      </c>
      <c r="U13" cm="1">
        <f t="array" ref="U13">[1]!PropsSI("H","T",K13+273.15,"P",101325,"Water")</f>
        <v>206406.19994774851</v>
      </c>
      <c r="V13">
        <f t="shared" si="2"/>
        <v>738.65661793818856</v>
      </c>
      <c r="X13">
        <f t="shared" si="3"/>
        <v>0.26477287999999999</v>
      </c>
      <c r="Y13">
        <f t="shared" si="3"/>
        <v>0.24855914000000001</v>
      </c>
      <c r="Z13">
        <f t="shared" si="9"/>
        <v>0.363161567433882</v>
      </c>
      <c r="AA13">
        <f t="shared" si="8"/>
        <v>8.1068700000000007</v>
      </c>
      <c r="AB13">
        <f t="shared" si="5"/>
        <v>4.5899350148901896E-2</v>
      </c>
      <c r="AC13">
        <f t="shared" si="6"/>
        <v>33.903858746548565</v>
      </c>
    </row>
    <row r="14" spans="1:29" x14ac:dyDescent="0.2">
      <c r="A14">
        <v>44675.021785141202</v>
      </c>
      <c r="B14">
        <v>17.733425</v>
      </c>
      <c r="C14">
        <v>18.403445999999999</v>
      </c>
      <c r="D14">
        <v>19.052199999999999</v>
      </c>
      <c r="E14">
        <v>19.715389999999999</v>
      </c>
      <c r="F14">
        <v>29.242801</v>
      </c>
      <c r="G14">
        <v>29.049495</v>
      </c>
      <c r="H14">
        <v>26.111052000000001</v>
      </c>
      <c r="I14">
        <v>23.281372000000001</v>
      </c>
      <c r="J14">
        <v>57.389305999999998</v>
      </c>
      <c r="K14">
        <v>49.282111</v>
      </c>
      <c r="L14">
        <v>283.72401300000001</v>
      </c>
      <c r="M14">
        <v>-622.48775599999999</v>
      </c>
      <c r="N14">
        <v>1.329061</v>
      </c>
      <c r="O14">
        <v>2.361272</v>
      </c>
      <c r="P14">
        <f t="shared" si="0"/>
        <v>2.2151016666666669E-5</v>
      </c>
      <c r="Q14" cm="1">
        <f t="array" ref="Q14">[1]!PropsSI("D","T",J14+273.15,"P",101325,"Water")</f>
        <v>984.51862511997899</v>
      </c>
      <c r="R14" cm="1">
        <f t="array" ref="R14">[1]!PropsSI("D","T",K14+273.15,"P",101325,"Water")</f>
        <v>988.35805066444584</v>
      </c>
      <c r="S14">
        <f t="shared" si="1"/>
        <v>986.43833789221242</v>
      </c>
      <c r="T14" cm="1">
        <f t="array" ref="T14">[1]!PropsSI("H","T",J14+273.15,"P",101325,"Water")</f>
        <v>240324.50502699215</v>
      </c>
      <c r="U14" cm="1">
        <f t="array" ref="U14">[1]!PropsSI("H","T",K14+273.15,"P",101325,"Water")</f>
        <v>206416.82423241797</v>
      </c>
      <c r="V14">
        <f t="shared" si="2"/>
        <v>740.9035790080876</v>
      </c>
      <c r="X14">
        <f t="shared" si="3"/>
        <v>0.26477861199999997</v>
      </c>
      <c r="Y14">
        <f t="shared" si="3"/>
        <v>0.248564222</v>
      </c>
      <c r="Z14">
        <f t="shared" si="9"/>
        <v>0.3631692247852395</v>
      </c>
      <c r="AA14">
        <f t="shared" si="8"/>
        <v>8.1071949999999973</v>
      </c>
      <c r="AB14">
        <f t="shared" si="5"/>
        <v>4.5898519305878051E-2</v>
      </c>
      <c r="AC14">
        <f t="shared" si="6"/>
        <v>34.006377224896852</v>
      </c>
    </row>
    <row r="15" spans="1:29" x14ac:dyDescent="0.2">
      <c r="A15">
        <v>46137.021820439812</v>
      </c>
      <c r="B15">
        <v>17.984686</v>
      </c>
      <c r="C15">
        <v>18.506775000000001</v>
      </c>
      <c r="D15">
        <v>19.114692999999999</v>
      </c>
      <c r="E15">
        <v>19.732652000000002</v>
      </c>
      <c r="F15">
        <v>29.354278000000001</v>
      </c>
      <c r="G15">
        <v>28.973859000000001</v>
      </c>
      <c r="H15">
        <v>26.552914000000001</v>
      </c>
      <c r="I15">
        <v>23.421104</v>
      </c>
      <c r="J15">
        <v>57.389943000000002</v>
      </c>
      <c r="K15">
        <v>49.287829000000002</v>
      </c>
      <c r="L15">
        <v>288.112773</v>
      </c>
      <c r="M15">
        <v>-622.48244999999997</v>
      </c>
      <c r="N15">
        <v>1.3237129999999999</v>
      </c>
      <c r="O15">
        <v>3.4122349999999999</v>
      </c>
      <c r="P15">
        <f t="shared" si="0"/>
        <v>2.2061883333333333E-5</v>
      </c>
      <c r="Q15" cm="1">
        <f t="array" ref="Q15">[1]!PropsSI("D","T",J15+273.15,"P",101325,"Water")</f>
        <v>984.51830735436226</v>
      </c>
      <c r="R15" cm="1">
        <f t="array" ref="R15">[1]!PropsSI("D","T",K15+273.15,"P",101325,"Water")</f>
        <v>988.35549135761687</v>
      </c>
      <c r="S15">
        <f t="shared" si="1"/>
        <v>986.43689935598957</v>
      </c>
      <c r="T15" cm="1">
        <f t="array" ref="T15">[1]!PropsSI("H","T",J15+273.15,"P",101325,"Water")</f>
        <v>240327.17014849413</v>
      </c>
      <c r="U15" cm="1">
        <f t="array" ref="U15">[1]!PropsSI("H","T",K15+273.15,"P",101325,"Water")</f>
        <v>206440.7320152155</v>
      </c>
      <c r="V15">
        <f t="shared" si="2"/>
        <v>737.45888901950912</v>
      </c>
      <c r="X15">
        <f t="shared" si="3"/>
        <v>0.26477988600000002</v>
      </c>
      <c r="Y15">
        <f t="shared" si="3"/>
        <v>0.248575658</v>
      </c>
      <c r="Z15">
        <f t="shared" si="9"/>
        <v>0.36317798085829212</v>
      </c>
      <c r="AA15">
        <f t="shared" si="8"/>
        <v>8.1021140000000003</v>
      </c>
      <c r="AB15">
        <f t="shared" si="5"/>
        <v>4.5926992071779832E-2</v>
      </c>
      <c r="AC15">
        <f t="shared" si="6"/>
        <v>33.869268549262557</v>
      </c>
    </row>
    <row r="16" spans="1:29" x14ac:dyDescent="0.2">
      <c r="A16">
        <v>46137.021855740742</v>
      </c>
      <c r="B16">
        <v>18.316105</v>
      </c>
      <c r="C16">
        <v>18.649173000000001</v>
      </c>
      <c r="D16">
        <v>19.298261</v>
      </c>
      <c r="E16">
        <v>19.783225999999999</v>
      </c>
      <c r="F16">
        <v>29.278769</v>
      </c>
      <c r="G16">
        <v>30.930622</v>
      </c>
      <c r="H16">
        <v>26.707640999999999</v>
      </c>
      <c r="I16">
        <v>23.923255999999999</v>
      </c>
      <c r="J16">
        <v>57.392012999999999</v>
      </c>
      <c r="K16">
        <v>49.288941000000001</v>
      </c>
      <c r="L16">
        <v>277.85940799999997</v>
      </c>
      <c r="M16">
        <v>-622.48612300000002</v>
      </c>
      <c r="N16">
        <v>1.331421</v>
      </c>
      <c r="O16">
        <v>3.2755999999999998</v>
      </c>
      <c r="P16">
        <f t="shared" si="0"/>
        <v>2.219035E-5</v>
      </c>
      <c r="Q16" cm="1">
        <f t="array" ref="Q16">[1]!PropsSI("D","T",J16+273.15,"P",101325,"Water")</f>
        <v>984.51727472384187</v>
      </c>
      <c r="R16" cm="1">
        <f t="array" ref="R16">[1]!PropsSI("D","T",K16+273.15,"P",101325,"Water")</f>
        <v>988.35499361489701</v>
      </c>
      <c r="S16">
        <f t="shared" si="1"/>
        <v>986.43613416936944</v>
      </c>
      <c r="T16" cm="1">
        <f t="array" ref="T16">[1]!PropsSI("H","T",J16+273.15,"P",101325,"Water")</f>
        <v>240335.83074838133</v>
      </c>
      <c r="U16" cm="1">
        <f t="array" ref="U16">[1]!PropsSI("H","T",K16+273.15,"P",101325,"Water")</f>
        <v>206445.38144859596</v>
      </c>
      <c r="V16">
        <f t="shared" si="2"/>
        <v>741.84034932386305</v>
      </c>
      <c r="X16">
        <f t="shared" si="3"/>
        <v>0.26478402600000001</v>
      </c>
      <c r="Y16">
        <f t="shared" si="3"/>
        <v>0.248577882</v>
      </c>
      <c r="Z16">
        <f t="shared" si="9"/>
        <v>0.36318252139162011</v>
      </c>
      <c r="AA16">
        <f t="shared" si="8"/>
        <v>8.1030719999999974</v>
      </c>
      <c r="AB16">
        <f t="shared" si="5"/>
        <v>4.5922366609913515E-2</v>
      </c>
      <c r="AC16">
        <f t="shared" si="6"/>
        <v>34.067064487676745</v>
      </c>
    </row>
    <row r="17" spans="1:29" x14ac:dyDescent="0.2">
      <c r="A17">
        <v>46137.021891041666</v>
      </c>
      <c r="B17">
        <v>17.907526000000001</v>
      </c>
      <c r="C17">
        <v>18.236937000000001</v>
      </c>
      <c r="D17">
        <v>19.25666</v>
      </c>
      <c r="E17">
        <v>19.768324</v>
      </c>
      <c r="F17">
        <v>28.992460000000001</v>
      </c>
      <c r="G17">
        <v>29.281980999999998</v>
      </c>
      <c r="H17">
        <v>26.530303</v>
      </c>
      <c r="I17">
        <v>23.781748</v>
      </c>
      <c r="J17">
        <v>57.390101999999999</v>
      </c>
      <c r="K17">
        <v>49.280045999999999</v>
      </c>
      <c r="L17">
        <v>268.46600100000001</v>
      </c>
      <c r="M17">
        <v>-622.49265300000002</v>
      </c>
      <c r="N17">
        <v>1.322303</v>
      </c>
      <c r="O17">
        <v>2.1821549999999998</v>
      </c>
      <c r="P17">
        <f t="shared" si="0"/>
        <v>2.2038383333333332E-5</v>
      </c>
      <c r="Q17" cm="1">
        <f t="array" ref="Q17">[1]!PropsSI("D","T",J17+273.15,"P",101325,"Water")</f>
        <v>984.51822803729647</v>
      </c>
      <c r="R17" cm="1">
        <f t="array" ref="R17">[1]!PropsSI("D","T",K17+273.15,"P",101325,"Water")</f>
        <v>988.35897488003809</v>
      </c>
      <c r="S17">
        <f t="shared" si="1"/>
        <v>986.43860145866734</v>
      </c>
      <c r="T17" cm="1">
        <f t="array" ref="T17">[1]!PropsSI("H","T",J17+273.15,"P",101325,"Water")</f>
        <v>240327.83538287377</v>
      </c>
      <c r="U17" cm="1">
        <f t="array" ref="U17">[1]!PropsSI("H","T",K17+273.15,"P",101325,"Water")</f>
        <v>206408.19017176857</v>
      </c>
      <c r="V17">
        <f t="shared" si="2"/>
        <v>737.39653524712617</v>
      </c>
      <c r="X17">
        <f t="shared" si="3"/>
        <v>0.26478020400000002</v>
      </c>
      <c r="Y17">
        <f t="shared" si="3"/>
        <v>0.24856009200000001</v>
      </c>
      <c r="Z17">
        <f t="shared" si="9"/>
        <v>0.36316755880079665</v>
      </c>
      <c r="AA17">
        <f t="shared" si="8"/>
        <v>8.1100560000000002</v>
      </c>
      <c r="AB17">
        <f t="shared" si="5"/>
        <v>4.588289583358178E-2</v>
      </c>
      <c r="AC17">
        <f t="shared" si="6"/>
        <v>33.833888414788007</v>
      </c>
    </row>
    <row r="18" spans="1:29" x14ac:dyDescent="0.2">
      <c r="A18">
        <v>46137.021925763889</v>
      </c>
      <c r="B18">
        <v>17.402467999999999</v>
      </c>
      <c r="C18">
        <v>17.616444999999999</v>
      </c>
      <c r="D18">
        <v>19.181100000000001</v>
      </c>
      <c r="E18">
        <v>19.542850000000001</v>
      </c>
      <c r="F18">
        <v>28.763113000000001</v>
      </c>
      <c r="G18">
        <v>28.323568999999999</v>
      </c>
      <c r="H18">
        <v>26.490078</v>
      </c>
      <c r="I18">
        <v>24.140626999999999</v>
      </c>
      <c r="J18">
        <v>57.388987999999998</v>
      </c>
      <c r="K18">
        <v>49.273057000000001</v>
      </c>
      <c r="L18">
        <v>272.793948</v>
      </c>
      <c r="M18">
        <v>-622.48897999999997</v>
      </c>
      <c r="N18">
        <v>1.3232539999999999</v>
      </c>
      <c r="O18">
        <v>3.1552319999999998</v>
      </c>
      <c r="P18">
        <f t="shared" si="0"/>
        <v>2.2054233333333333E-5</v>
      </c>
      <c r="Q18" cm="1">
        <f t="array" ref="Q18">[1]!PropsSI("D","T",J18+273.15,"P",101325,"Water")</f>
        <v>984.51878375245656</v>
      </c>
      <c r="R18" cm="1">
        <f t="array" ref="R18">[1]!PropsSI("D","T",K18+273.15,"P",101325,"Water")</f>
        <v>988.36210268174852</v>
      </c>
      <c r="S18">
        <f t="shared" si="1"/>
        <v>986.44044321710248</v>
      </c>
      <c r="T18" cm="1">
        <f t="array" ref="T18">[1]!PropsSI("H","T",J18+273.15,"P",101325,"Water")</f>
        <v>240323.17455825015</v>
      </c>
      <c r="U18" cm="1">
        <f t="array" ref="U18">[1]!PropsSI("H","T",K18+273.15,"P",101325,"Water")</f>
        <v>206378.96817060685</v>
      </c>
      <c r="V18">
        <f t="shared" si="2"/>
        <v>738.46258143147622</v>
      </c>
      <c r="X18">
        <f t="shared" si="3"/>
        <v>0.26477797599999997</v>
      </c>
      <c r="Y18">
        <f t="shared" si="3"/>
        <v>0.24854611399999998</v>
      </c>
      <c r="Z18">
        <f t="shared" si="9"/>
        <v>0.3631563676423113</v>
      </c>
      <c r="AA18">
        <f t="shared" si="8"/>
        <v>8.1159309999999962</v>
      </c>
      <c r="AB18">
        <f t="shared" si="5"/>
        <v>4.5849914403844463E-2</v>
      </c>
      <c r="AC18">
        <f t="shared" si="6"/>
        <v>33.858446149075206</v>
      </c>
    </row>
    <row r="19" spans="1:29" x14ac:dyDescent="0.2">
      <c r="A19">
        <v>46137.021961064813</v>
      </c>
      <c r="B19">
        <v>17.539687000000001</v>
      </c>
      <c r="C19">
        <v>17.839777999999999</v>
      </c>
      <c r="D19">
        <v>19.210070000000002</v>
      </c>
      <c r="E19">
        <v>19.543346</v>
      </c>
      <c r="F19">
        <v>29.240428000000001</v>
      </c>
      <c r="G19">
        <v>28.726907000000001</v>
      </c>
      <c r="H19">
        <v>26.262540999999999</v>
      </c>
      <c r="I19">
        <v>23.942603999999999</v>
      </c>
      <c r="J19">
        <v>57.387076999999998</v>
      </c>
      <c r="K19">
        <v>49.260986000000003</v>
      </c>
      <c r="L19">
        <v>283.44402700000001</v>
      </c>
      <c r="M19">
        <v>-622.51591800000006</v>
      </c>
      <c r="N19">
        <v>1.3243240000000001</v>
      </c>
      <c r="O19">
        <v>2.5956299999999999</v>
      </c>
      <c r="P19">
        <f t="shared" si="0"/>
        <v>2.2072066666666665E-5</v>
      </c>
      <c r="Q19" cm="1">
        <f t="array" ref="Q19">[1]!PropsSI("D","T",J19+273.15,"P",101325,"Water")</f>
        <v>984.51973703087231</v>
      </c>
      <c r="R19" cm="1">
        <f t="array" ref="R19">[1]!PropsSI("D","T",K19+273.15,"P",101325,"Water")</f>
        <v>988.36750408050943</v>
      </c>
      <c r="S19">
        <f t="shared" si="1"/>
        <v>986.44362055569081</v>
      </c>
      <c r="T19" cm="1">
        <f t="array" ref="T19">[1]!PropsSI("H","T",J19+273.15,"P",101325,"Water")</f>
        <v>240315.17919511482</v>
      </c>
      <c r="U19" cm="1">
        <f t="array" ref="U19">[1]!PropsSI("H","T",K19+273.15,"P",101325,"Water")</f>
        <v>206328.49763710148</v>
      </c>
      <c r="V19">
        <f t="shared" si="2"/>
        <v>739.98689766662062</v>
      </c>
      <c r="X19">
        <f t="shared" si="3"/>
        <v>0.26477415399999998</v>
      </c>
      <c r="Y19">
        <f t="shared" si="3"/>
        <v>0.24852197200000001</v>
      </c>
      <c r="Z19">
        <f t="shared" si="9"/>
        <v>0.36313705841346527</v>
      </c>
      <c r="AA19">
        <f t="shared" si="8"/>
        <v>8.1260909999999953</v>
      </c>
      <c r="AB19">
        <f t="shared" si="5"/>
        <v>4.579299824427286E-2</v>
      </c>
      <c r="AC19">
        <f t="shared" si="6"/>
        <v>33.88621870563248</v>
      </c>
    </row>
    <row r="20" spans="1:29" x14ac:dyDescent="0.2">
      <c r="A20">
        <v>46137.021995787036</v>
      </c>
      <c r="B20">
        <v>17.557998000000001</v>
      </c>
      <c r="C20">
        <v>17.965993999999998</v>
      </c>
      <c r="D20">
        <v>19.218081000000002</v>
      </c>
      <c r="E20">
        <v>19.662614000000001</v>
      </c>
      <c r="F20">
        <v>29.303016</v>
      </c>
      <c r="G20">
        <v>30.286169999999998</v>
      </c>
      <c r="H20">
        <v>26.589306000000001</v>
      </c>
      <c r="I20">
        <v>23.834185999999999</v>
      </c>
      <c r="J20">
        <v>57.386598999999997</v>
      </c>
      <c r="K20">
        <v>49.253202999999999</v>
      </c>
      <c r="L20">
        <v>270.85037199999999</v>
      </c>
      <c r="M20">
        <v>-622.50081599999999</v>
      </c>
      <c r="N20">
        <v>1.3291839999999999</v>
      </c>
      <c r="O20">
        <v>3.5485899999999999</v>
      </c>
      <c r="P20">
        <f t="shared" si="0"/>
        <v>2.2153066666666666E-5</v>
      </c>
      <c r="Q20" cm="1">
        <f t="array" ref="Q20">[1]!PropsSI("D","T",J20+273.15,"P",101325,"Water")</f>
        <v>984.51997547173607</v>
      </c>
      <c r="R20" cm="1">
        <f t="array" ref="R20">[1]!PropsSI("D","T",K20+273.15,"P",101325,"Water")</f>
        <v>988.37098622086819</v>
      </c>
      <c r="S20">
        <f t="shared" si="1"/>
        <v>986.44548084630219</v>
      </c>
      <c r="T20" cm="1">
        <f t="array" ref="T20">[1]!PropsSI("H","T",J20+273.15,"P",101325,"Water")</f>
        <v>240313.17930858405</v>
      </c>
      <c r="U20" cm="1">
        <f t="array" ref="U20">[1]!PropsSI("H","T",K20+273.15,"P",101325,"Water")</f>
        <v>206295.95585021813</v>
      </c>
      <c r="V20">
        <f t="shared" si="2"/>
        <v>743.3713256692929</v>
      </c>
      <c r="X20">
        <f t="shared" si="3"/>
        <v>0.26477319799999999</v>
      </c>
      <c r="Y20">
        <f t="shared" si="3"/>
        <v>0.24850640600000001</v>
      </c>
      <c r="Z20">
        <f t="shared" si="9"/>
        <v>0.36312570853932119</v>
      </c>
      <c r="AA20">
        <f t="shared" si="8"/>
        <v>8.1333959999999976</v>
      </c>
      <c r="AB20">
        <f t="shared" si="5"/>
        <v>4.5752469753191367E-2</v>
      </c>
      <c r="AC20">
        <f t="shared" si="6"/>
        <v>34.011074093074093</v>
      </c>
    </row>
    <row r="21" spans="1:29" x14ac:dyDescent="0.2">
      <c r="A21">
        <v>46137.022030509259</v>
      </c>
      <c r="B21">
        <v>17.686236000000001</v>
      </c>
      <c r="C21">
        <v>17.985105999999998</v>
      </c>
      <c r="D21">
        <v>19.268007999999998</v>
      </c>
      <c r="E21">
        <v>19.676026</v>
      </c>
      <c r="F21">
        <v>29.259219000000002</v>
      </c>
      <c r="G21">
        <v>30.485066</v>
      </c>
      <c r="H21">
        <v>26.195481999999998</v>
      </c>
      <c r="I21">
        <v>23.750495999999998</v>
      </c>
      <c r="J21">
        <v>57.386122</v>
      </c>
      <c r="K21">
        <v>49.248913999999999</v>
      </c>
      <c r="L21">
        <v>283.69095299999998</v>
      </c>
      <c r="M21">
        <v>-622.49836700000003</v>
      </c>
      <c r="N21">
        <v>1.326139</v>
      </c>
      <c r="O21">
        <v>2.5965959999999999</v>
      </c>
      <c r="P21">
        <f t="shared" si="0"/>
        <v>2.2102316666666667E-5</v>
      </c>
      <c r="Q21" cm="1">
        <f t="array" ref="Q21">[1]!PropsSI("D","T",J21+273.15,"P",101325,"Water")</f>
        <v>984.5202134123889</v>
      </c>
      <c r="R21" cm="1">
        <f t="array" ref="R21">[1]!PropsSI("D","T",K21+273.15,"P",101325,"Water")</f>
        <v>988.37290496258561</v>
      </c>
      <c r="S21">
        <f t="shared" si="1"/>
        <v>986.44655918748731</v>
      </c>
      <c r="T21" cm="1">
        <f t="array" ref="T21">[1]!PropsSI("H","T",J21+273.15,"P",101325,"Water")</f>
        <v>240311.18360596764</v>
      </c>
      <c r="U21" cm="1">
        <f t="array" ref="U21">[1]!PropsSI("H","T",K21+273.15,"P",101325,"Water")</f>
        <v>206278.02296193168</v>
      </c>
      <c r="V21">
        <f t="shared" si="2"/>
        <v>742.01663705267879</v>
      </c>
      <c r="X21">
        <f t="shared" si="3"/>
        <v>0.26477224399999999</v>
      </c>
      <c r="Y21">
        <f t="shared" si="3"/>
        <v>0.24849782799999998</v>
      </c>
      <c r="Z21">
        <f t="shared" si="9"/>
        <v>0.36311914258754402</v>
      </c>
      <c r="AA21">
        <f t="shared" si="8"/>
        <v>8.1372080000000011</v>
      </c>
      <c r="AB21">
        <f t="shared" si="5"/>
        <v>4.5731273070275323E-2</v>
      </c>
      <c r="AC21">
        <f t="shared" si="6"/>
        <v>33.933365451743427</v>
      </c>
    </row>
    <row r="22" spans="1:29" x14ac:dyDescent="0.2">
      <c r="A22">
        <v>46137.022065231482</v>
      </c>
      <c r="B22">
        <v>17.922810999999999</v>
      </c>
      <c r="C22">
        <v>18.465250000000001</v>
      </c>
      <c r="D22">
        <v>19.244342</v>
      </c>
      <c r="E22">
        <v>19.743162999999999</v>
      </c>
      <c r="F22">
        <v>29.773951</v>
      </c>
      <c r="G22">
        <v>29.461845</v>
      </c>
      <c r="H22">
        <v>26.758828999999999</v>
      </c>
      <c r="I22">
        <v>23.753371000000001</v>
      </c>
      <c r="J22">
        <v>57.385165999999998</v>
      </c>
      <c r="K22">
        <v>49.246214000000002</v>
      </c>
      <c r="L22">
        <v>270.18999700000001</v>
      </c>
      <c r="M22">
        <v>-622.48408199999994</v>
      </c>
      <c r="N22">
        <v>1.3260369999999999</v>
      </c>
      <c r="O22">
        <v>2.8587199999999999</v>
      </c>
      <c r="P22">
        <f t="shared" si="0"/>
        <v>2.2100616666666666E-5</v>
      </c>
      <c r="Q22" cm="1">
        <f t="array" ref="Q22">[1]!PropsSI("D","T",J22+273.15,"P",101325,"Water")</f>
        <v>984.52069028717688</v>
      </c>
      <c r="R22" cm="1">
        <f t="array" ref="R22">[1]!PropsSI("D","T",K22+273.15,"P",101325,"Water")</f>
        <v>988.3741127813712</v>
      </c>
      <c r="S22">
        <f t="shared" si="1"/>
        <v>986.44740153427404</v>
      </c>
      <c r="T22" cm="1">
        <f t="array" ref="T22">[1]!PropsSI("H","T",J22+273.15,"P",101325,"Water")</f>
        <v>240307.18383338579</v>
      </c>
      <c r="U22" cm="1">
        <f t="array" ref="U22">[1]!PropsSI("H","T",K22+273.15,"P",101325,"Water")</f>
        <v>206266.73389984842</v>
      </c>
      <c r="V22">
        <f t="shared" si="2"/>
        <v>742.11911290622049</v>
      </c>
      <c r="X22">
        <f t="shared" si="3"/>
        <v>0.264770332</v>
      </c>
      <c r="Y22">
        <f t="shared" si="3"/>
        <v>0.24849242799999999</v>
      </c>
      <c r="Z22">
        <f t="shared" si="9"/>
        <v>0.36311405299261745</v>
      </c>
      <c r="AA22">
        <f t="shared" si="8"/>
        <v>8.1389519999999962</v>
      </c>
      <c r="AB22">
        <f t="shared" si="5"/>
        <v>4.5721332264866285E-2</v>
      </c>
      <c r="AC22">
        <f t="shared" si="6"/>
        <v>33.930674541293122</v>
      </c>
    </row>
    <row r="23" spans="1:29" x14ac:dyDescent="0.2">
      <c r="A23">
        <v>46137.022100532406</v>
      </c>
      <c r="B23">
        <v>17.865746000000001</v>
      </c>
      <c r="C23">
        <v>18.272458</v>
      </c>
      <c r="D23">
        <v>19.389203999999999</v>
      </c>
      <c r="E23">
        <v>19.746466000000002</v>
      </c>
      <c r="F23">
        <v>29.006858000000001</v>
      </c>
      <c r="G23">
        <v>29.782990000000002</v>
      </c>
      <c r="H23">
        <v>26.589787999999999</v>
      </c>
      <c r="I23">
        <v>24.343764</v>
      </c>
      <c r="J23">
        <v>57.384847999999998</v>
      </c>
      <c r="K23">
        <v>49.252727</v>
      </c>
      <c r="L23">
        <v>264.24539600000003</v>
      </c>
      <c r="M23">
        <v>-622.47591999999997</v>
      </c>
      <c r="N23">
        <v>1.3332200000000001</v>
      </c>
      <c r="O23">
        <v>2.6542129999999999</v>
      </c>
      <c r="P23">
        <f t="shared" si="0"/>
        <v>2.2220333333333338E-5</v>
      </c>
      <c r="Q23" cm="1">
        <f t="array" ref="Q23">[1]!PropsSI("D","T",J23+273.15,"P",101325,"Water")</f>
        <v>984.52084891167624</v>
      </c>
      <c r="R23" cm="1">
        <f t="array" ref="R23">[1]!PropsSI("D","T",K23+273.15,"P",101325,"Water")</f>
        <v>988.37119917184896</v>
      </c>
      <c r="S23">
        <f t="shared" si="1"/>
        <v>986.4460240417626</v>
      </c>
      <c r="T23" cm="1">
        <f t="array" ref="T23">[1]!PropsSI("H","T",J23+273.15,"P",101325,"Water")</f>
        <v>240305.8533651671</v>
      </c>
      <c r="U23" cm="1">
        <f t="array" ref="U23">[1]!PropsSI("H","T",K23+273.15,"P",101325,"Water")</f>
        <v>206293.96562966553</v>
      </c>
      <c r="V23">
        <f t="shared" si="2"/>
        <v>745.51199113486757</v>
      </c>
      <c r="X23">
        <f t="shared" si="3"/>
        <v>0.264769696</v>
      </c>
      <c r="Y23">
        <f t="shared" si="3"/>
        <v>0.24850545400000001</v>
      </c>
      <c r="Z23">
        <f t="shared" si="9"/>
        <v>0.36312250355448711</v>
      </c>
      <c r="AA23">
        <f t="shared" si="8"/>
        <v>8.1321209999999979</v>
      </c>
      <c r="AB23">
        <f t="shared" si="5"/>
        <v>4.5758915839660262E-2</v>
      </c>
      <c r="AC23">
        <f t="shared" si="6"/>
        <v>34.11382045979795</v>
      </c>
    </row>
    <row r="24" spans="1:29" x14ac:dyDescent="0.2">
      <c r="A24">
        <v>46137.022135254629</v>
      </c>
      <c r="B24">
        <v>17.552422</v>
      </c>
      <c r="C24">
        <v>18.042576</v>
      </c>
      <c r="D24">
        <v>19.271471999999999</v>
      </c>
      <c r="E24">
        <v>19.682110999999999</v>
      </c>
      <c r="F24">
        <v>29.101855</v>
      </c>
      <c r="G24">
        <v>29.402473000000001</v>
      </c>
      <c r="H24">
        <v>26.729393000000002</v>
      </c>
      <c r="I24">
        <v>23.428256000000001</v>
      </c>
      <c r="J24">
        <v>57.388190999999999</v>
      </c>
      <c r="K24">
        <v>49.253362000000003</v>
      </c>
      <c r="L24">
        <v>259.72276599999998</v>
      </c>
      <c r="M24">
        <v>-622.50489800000003</v>
      </c>
      <c r="N24">
        <v>1.3256509999999999</v>
      </c>
      <c r="O24">
        <v>2.8022339999999999</v>
      </c>
      <c r="P24">
        <f t="shared" si="0"/>
        <v>2.2094183333333333E-5</v>
      </c>
      <c r="Q24" cm="1">
        <f t="array" ref="Q24">[1]!PropsSI("D","T",J24+273.15,"P",101325,"Water")</f>
        <v>984.51918132860885</v>
      </c>
      <c r="R24" cm="1">
        <f t="array" ref="R24">[1]!PropsSI("D","T",K24+273.15,"P",101325,"Water")</f>
        <v>988.37091508775302</v>
      </c>
      <c r="S24">
        <f t="shared" si="1"/>
        <v>986.44504820818088</v>
      </c>
      <c r="T24" cm="1">
        <f t="array" ref="T24">[1]!PropsSI("H","T",J24+273.15,"P",101325,"Water")</f>
        <v>240319.84001886781</v>
      </c>
      <c r="U24" cm="1">
        <f t="array" ref="U24">[1]!PropsSI("H","T",K24+273.15,"P",101325,"Water")</f>
        <v>206296.62065078609</v>
      </c>
      <c r="V24">
        <f t="shared" si="2"/>
        <v>741.5257823837261</v>
      </c>
      <c r="X24">
        <f t="shared" si="3"/>
        <v>0.26477638199999998</v>
      </c>
      <c r="Y24">
        <f t="shared" si="3"/>
        <v>0.24850672400000001</v>
      </c>
      <c r="Z24">
        <f t="shared" si="9"/>
        <v>0.3631282477833721</v>
      </c>
      <c r="AA24">
        <f t="shared" si="8"/>
        <v>8.1348289999999963</v>
      </c>
      <c r="AB24">
        <f t="shared" si="5"/>
        <v>4.5745099822527509E-2</v>
      </c>
      <c r="AC24">
        <f t="shared" si="6"/>
        <v>33.921170936121364</v>
      </c>
    </row>
    <row r="25" spans="1:29" x14ac:dyDescent="0.2">
      <c r="A25">
        <v>46137.022170555552</v>
      </c>
      <c r="B25">
        <v>17.494136999999998</v>
      </c>
      <c r="C25">
        <v>17.806539999999998</v>
      </c>
      <c r="D25">
        <v>19.140377000000001</v>
      </c>
      <c r="E25">
        <v>19.558522</v>
      </c>
      <c r="F25">
        <v>28.566828000000001</v>
      </c>
      <c r="G25">
        <v>29.307293999999999</v>
      </c>
      <c r="H25">
        <v>26.412671</v>
      </c>
      <c r="I25">
        <v>23.424029999999998</v>
      </c>
      <c r="J25">
        <v>57.384687999999997</v>
      </c>
      <c r="K25">
        <v>49.256220999999996</v>
      </c>
      <c r="L25">
        <v>273.38452999999998</v>
      </c>
      <c r="M25">
        <v>-622.50163299999997</v>
      </c>
      <c r="N25">
        <v>1.333388</v>
      </c>
      <c r="O25">
        <v>2.1327090000000002</v>
      </c>
      <c r="P25">
        <f t="shared" si="0"/>
        <v>2.2223133333333334E-5</v>
      </c>
      <c r="Q25" cm="1">
        <f t="array" ref="Q25">[1]!PropsSI("D","T",J25+273.15,"P",101325,"Water")</f>
        <v>984.52092872250103</v>
      </c>
      <c r="R25" cm="1">
        <f t="array" ref="R25">[1]!PropsSI("D","T",K25+273.15,"P",101325,"Water")</f>
        <v>988.36963600511319</v>
      </c>
      <c r="S25">
        <f t="shared" si="1"/>
        <v>986.44528236380711</v>
      </c>
      <c r="T25" cm="1">
        <f t="array" ref="T25">[1]!PropsSI("H","T",J25+273.15,"P",101325,"Water")</f>
        <v>240305.18394722178</v>
      </c>
      <c r="U25" cm="1">
        <f t="array" ref="U25">[1]!PropsSI("H","T",K25+273.15,"P",101325,"Water")</f>
        <v>206308.57451879195</v>
      </c>
      <c r="V25">
        <f t="shared" si="2"/>
        <v>745.2704434363111</v>
      </c>
      <c r="X25">
        <f t="shared" si="3"/>
        <v>0.264769376</v>
      </c>
      <c r="Y25">
        <f t="shared" si="3"/>
        <v>0.248512442</v>
      </c>
      <c r="Z25">
        <f t="shared" si="9"/>
        <v>0.3631270525535556</v>
      </c>
      <c r="AA25">
        <f t="shared" si="8"/>
        <v>8.1284670000000006</v>
      </c>
      <c r="AB25">
        <f t="shared" si="5"/>
        <v>4.5779049845052877E-2</v>
      </c>
      <c r="AC25">
        <f t="shared" si="6"/>
        <v>34.117772778115544</v>
      </c>
    </row>
    <row r="26" spans="1:29" x14ac:dyDescent="0.2">
      <c r="A26">
        <v>46137.022205856483</v>
      </c>
      <c r="B26">
        <v>17.643761999999999</v>
      </c>
      <c r="C26">
        <v>18.310959</v>
      </c>
      <c r="D26">
        <v>19.178253000000002</v>
      </c>
      <c r="E26">
        <v>19.603299</v>
      </c>
      <c r="F26">
        <v>29.026653</v>
      </c>
      <c r="G26">
        <v>30.480951999999998</v>
      </c>
      <c r="H26">
        <v>26.194783000000001</v>
      </c>
      <c r="I26">
        <v>23.483011000000001</v>
      </c>
      <c r="J26">
        <v>57.382458999999997</v>
      </c>
      <c r="K26">
        <v>49.246532000000002</v>
      </c>
      <c r="L26">
        <v>275.776656</v>
      </c>
      <c r="M26">
        <v>-622.49224500000003</v>
      </c>
      <c r="N26">
        <v>1.32175</v>
      </c>
      <c r="O26">
        <v>3.5446</v>
      </c>
      <c r="P26">
        <f t="shared" ref="P26:P49" si="10" xml:space="preserve"> N26*0.001/60</f>
        <v>2.2029166666666666E-5</v>
      </c>
      <c r="Q26" cm="1">
        <f t="array" ref="Q26">[1]!PropsSI("D","T",J26+273.15,"P",101325,"Water")</f>
        <v>984.5220405710312</v>
      </c>
      <c r="R26" cm="1">
        <f t="array" ref="R26">[1]!PropsSI("D","T",K26+273.15,"P",101325,"Water")</f>
        <v>988.37397052970346</v>
      </c>
      <c r="S26">
        <f t="shared" ref="S26:S49" si="11">(Q26+R26)/2</f>
        <v>986.44800555036727</v>
      </c>
      <c r="T26" cm="1">
        <f t="array" ref="T26">[1]!PropsSI("H","T",J26+273.15,"P",101325,"Water")</f>
        <v>240295.85811941404</v>
      </c>
      <c r="U26" cm="1">
        <f t="array" ref="U26">[1]!PropsSI("H","T",K26+273.15,"P",101325,"Water")</f>
        <v>206268.06350035305</v>
      </c>
      <c r="V26">
        <f t="shared" ref="V26:V49" si="12">S26*P26*(T26-U26)</f>
        <v>739.44533027111675</v>
      </c>
      <c r="X26">
        <f t="shared" ref="X26:X49" si="13">(0.15+0.002*ABS(J26))</f>
        <v>0.26476491800000002</v>
      </c>
      <c r="Y26">
        <f t="shared" ref="Y26:Y49" si="14">(0.15+0.002*ABS(K26))</f>
        <v>0.24849306399999999</v>
      </c>
      <c r="Z26">
        <f t="shared" ref="Z26:Z49" si="15">SQRT((X26)^2 + (Y26)^2)</f>
        <v>0.36311054055157199</v>
      </c>
      <c r="AA26">
        <f t="shared" ref="AA26:AA49" si="16">J26-K26</f>
        <v>8.1359269999999952</v>
      </c>
      <c r="AB26">
        <f t="shared" ref="AB26:AB49" si="17">SQRT((0.01)^2 + (Z26/ABS(AA26))^2)</f>
        <v>4.5737097471887256E-2</v>
      </c>
      <c r="AC26">
        <f t="shared" ref="AC26:AC49" si="18">ABS(V26*AB26)</f>
        <v>33.820083145741933</v>
      </c>
    </row>
    <row r="27" spans="1:29" x14ac:dyDescent="0.2">
      <c r="A27">
        <v>46137.022241157407</v>
      </c>
      <c r="B27">
        <v>17.798217999999999</v>
      </c>
      <c r="C27">
        <v>18.291540000000001</v>
      </c>
      <c r="D27">
        <v>19.079422000000001</v>
      </c>
      <c r="E27">
        <v>19.648508</v>
      </c>
      <c r="F27">
        <v>29.174993000000001</v>
      </c>
      <c r="G27">
        <v>29.783338000000001</v>
      </c>
      <c r="H27">
        <v>26.111221</v>
      </c>
      <c r="I27">
        <v>23.192439</v>
      </c>
      <c r="J27">
        <v>57.381663000000003</v>
      </c>
      <c r="K27">
        <v>49.245420000000003</v>
      </c>
      <c r="L27">
        <v>271.260963</v>
      </c>
      <c r="M27">
        <v>-622.46775700000001</v>
      </c>
      <c r="N27">
        <v>1.3285769999999999</v>
      </c>
      <c r="O27">
        <v>3.0758709999999998</v>
      </c>
      <c r="P27">
        <f t="shared" si="10"/>
        <v>2.2142949999999998E-5</v>
      </c>
      <c r="Q27" cm="1">
        <f t="array" ref="Q27">[1]!PropsSI("D","T",J27+273.15,"P",101325,"Water")</f>
        <v>984.52243761687896</v>
      </c>
      <c r="R27" cm="1">
        <f t="array" ref="R27">[1]!PropsSI("D","T",K27+273.15,"P",101325,"Water")</f>
        <v>988.37446796043344</v>
      </c>
      <c r="S27">
        <f t="shared" si="11"/>
        <v>986.44845278865614</v>
      </c>
      <c r="T27" cm="1">
        <f t="array" ref="T27">[1]!PropsSI("H","T",J27+273.15,"P",101325,"Water")</f>
        <v>240292.52776594597</v>
      </c>
      <c r="U27" cm="1">
        <f t="array" ref="U27">[1]!PropsSI("H","T",K27+273.15,"P",101325,"Water")</f>
        <v>206263.41407972496</v>
      </c>
      <c r="V27">
        <f t="shared" si="12"/>
        <v>743.29380481960914</v>
      </c>
      <c r="X27">
        <f t="shared" si="13"/>
        <v>0.26476332600000002</v>
      </c>
      <c r="Y27">
        <f t="shared" si="14"/>
        <v>0.24849083999999999</v>
      </c>
      <c r="Z27">
        <f t="shared" si="15"/>
        <v>0.36310785774820115</v>
      </c>
      <c r="AA27">
        <f t="shared" si="16"/>
        <v>8.1362430000000003</v>
      </c>
      <c r="AB27">
        <f t="shared" si="17"/>
        <v>4.5735084270774974E-2</v>
      </c>
      <c r="AC27">
        <f t="shared" si="18"/>
        <v>33.994604801369789</v>
      </c>
    </row>
    <row r="28" spans="1:29" x14ac:dyDescent="0.2">
      <c r="A28">
        <v>46137.02227645833</v>
      </c>
      <c r="B28">
        <v>17.853469</v>
      </c>
      <c r="C28">
        <v>18.478218999999999</v>
      </c>
      <c r="D28">
        <v>19.067655999999999</v>
      </c>
      <c r="E28">
        <v>19.565570000000001</v>
      </c>
      <c r="F28">
        <v>29.188231999999999</v>
      </c>
      <c r="G28">
        <v>29.877486000000001</v>
      </c>
      <c r="H28">
        <v>26.278326</v>
      </c>
      <c r="I28">
        <v>23.255846999999999</v>
      </c>
      <c r="J28">
        <v>57.383096000000002</v>
      </c>
      <c r="K28">
        <v>49.243513999999998</v>
      </c>
      <c r="L28">
        <v>268.34355799999997</v>
      </c>
      <c r="M28">
        <v>-622.49020499999995</v>
      </c>
      <c r="N28">
        <v>1.328614</v>
      </c>
      <c r="O28">
        <v>3.1519279999999998</v>
      </c>
      <c r="P28">
        <f t="shared" si="10"/>
        <v>2.2143566666666669E-5</v>
      </c>
      <c r="Q28" cm="1">
        <f t="array" ref="Q28">[1]!PropsSI("D","T",J28+273.15,"P",101325,"Water")</f>
        <v>984.52172283184939</v>
      </c>
      <c r="R28" cm="1">
        <f t="array" ref="R28">[1]!PropsSI("D","T",K28+273.15,"P",101325,"Water")</f>
        <v>988.37532055196584</v>
      </c>
      <c r="S28">
        <f t="shared" si="11"/>
        <v>986.44852169190767</v>
      </c>
      <c r="T28" cm="1">
        <f t="array" ref="T28">[1]!PropsSI("H","T",J28+273.15,"P",101325,"Water")</f>
        <v>240298.52323910009</v>
      </c>
      <c r="U28" cm="1">
        <f t="array" ref="U28">[1]!PropsSI("H","T",K28+273.15,"P",101325,"Water")</f>
        <v>206255.444839709</v>
      </c>
      <c r="V28">
        <f t="shared" si="12"/>
        <v>743.61959503901278</v>
      </c>
      <c r="X28">
        <f t="shared" si="13"/>
        <v>0.26476619200000001</v>
      </c>
      <c r="Y28">
        <f t="shared" si="14"/>
        <v>0.248487028</v>
      </c>
      <c r="Z28">
        <f t="shared" si="15"/>
        <v>0.36310733882758922</v>
      </c>
      <c r="AA28">
        <f t="shared" si="16"/>
        <v>8.1395820000000043</v>
      </c>
      <c r="AB28">
        <f t="shared" si="17"/>
        <v>4.5717157842423937E-2</v>
      </c>
      <c r="AC28">
        <f t="shared" si="18"/>
        <v>33.996174401117912</v>
      </c>
    </row>
    <row r="29" spans="1:29" x14ac:dyDescent="0.2">
      <c r="A29">
        <v>46137.022311180554</v>
      </c>
      <c r="B29">
        <v>17.789156999999999</v>
      </c>
      <c r="C29">
        <v>18.558374000000001</v>
      </c>
      <c r="D29">
        <v>19.104111</v>
      </c>
      <c r="E29">
        <v>19.641779</v>
      </c>
      <c r="F29">
        <v>29.482147000000001</v>
      </c>
      <c r="G29">
        <v>30.464362000000001</v>
      </c>
      <c r="H29">
        <v>26.509834999999999</v>
      </c>
      <c r="I29">
        <v>23.540313999999999</v>
      </c>
      <c r="J29">
        <v>57.383414999999999</v>
      </c>
      <c r="K29">
        <v>49.247802999999998</v>
      </c>
      <c r="L29">
        <v>261.87694299999998</v>
      </c>
      <c r="M29">
        <v>-622.50449000000003</v>
      </c>
      <c r="N29">
        <v>1.3258639999999999</v>
      </c>
      <c r="O29">
        <v>3.323966</v>
      </c>
      <c r="P29">
        <f t="shared" si="10"/>
        <v>2.2097733333333334E-5</v>
      </c>
      <c r="Q29" cm="1">
        <f t="array" ref="Q29">[1]!PropsSI("D","T",J29+273.15,"P",101325,"Water")</f>
        <v>984.52156371191154</v>
      </c>
      <c r="R29" cm="1">
        <f t="array" ref="R29">[1]!PropsSI("D","T",K29+273.15,"P",101325,"Water")</f>
        <v>988.37340196348896</v>
      </c>
      <c r="S29">
        <f t="shared" si="11"/>
        <v>986.44748283770025</v>
      </c>
      <c r="T29" cm="1">
        <f t="array" ref="T29">[1]!PropsSI("H","T",J29+273.15,"P",101325,"Water")</f>
        <v>240299.85789097933</v>
      </c>
      <c r="U29" cm="1">
        <f t="array" ref="U29">[1]!PropsSI("H","T",K29+273.15,"P",101325,"Water")</f>
        <v>206273.37772175227</v>
      </c>
      <c r="V29">
        <f t="shared" si="12"/>
        <v>741.7178378244015</v>
      </c>
      <c r="X29">
        <f t="shared" si="13"/>
        <v>0.26476683000000001</v>
      </c>
      <c r="Y29">
        <f t="shared" si="14"/>
        <v>0.24849560599999998</v>
      </c>
      <c r="Z29">
        <f t="shared" si="15"/>
        <v>0.36311367430813746</v>
      </c>
      <c r="AA29">
        <f t="shared" si="16"/>
        <v>8.1356120000000018</v>
      </c>
      <c r="AB29">
        <f t="shared" si="17"/>
        <v>4.5739159569048594E-2</v>
      </c>
      <c r="AC29">
        <f t="shared" si="18"/>
        <v>33.925550539460005</v>
      </c>
    </row>
    <row r="30" spans="1:29" x14ac:dyDescent="0.2">
      <c r="A30">
        <v>46137.022346481484</v>
      </c>
      <c r="B30">
        <v>17.820540000000001</v>
      </c>
      <c r="C30">
        <v>18.369425</v>
      </c>
      <c r="D30">
        <v>19.151624999999999</v>
      </c>
      <c r="E30">
        <v>19.583175000000001</v>
      </c>
      <c r="F30">
        <v>29.012170999999999</v>
      </c>
      <c r="G30">
        <v>29.508444999999998</v>
      </c>
      <c r="H30">
        <v>26.133588</v>
      </c>
      <c r="I30">
        <v>23.234424000000001</v>
      </c>
      <c r="J30">
        <v>57.383892000000003</v>
      </c>
      <c r="K30">
        <v>49.251615000000001</v>
      </c>
      <c r="L30">
        <v>299.35465900000003</v>
      </c>
      <c r="M30">
        <v>-622.51346899999999</v>
      </c>
      <c r="N30">
        <v>1.3269500000000001</v>
      </c>
      <c r="O30">
        <v>2.6110699999999998</v>
      </c>
      <c r="P30">
        <f t="shared" si="10"/>
        <v>2.2115833333333336E-5</v>
      </c>
      <c r="Q30" cm="1">
        <f t="array" ref="Q30">[1]!PropsSI("D","T",J30+273.15,"P",101325,"Water")</f>
        <v>984.52132577909242</v>
      </c>
      <c r="R30" cm="1">
        <f t="array" ref="R30">[1]!PropsSI("D","T",K30+273.15,"P",101325,"Water")</f>
        <v>988.37169664816884</v>
      </c>
      <c r="S30">
        <f t="shared" si="11"/>
        <v>986.44651121363063</v>
      </c>
      <c r="T30" cm="1">
        <f t="array" ref="T30">[1]!PropsSI("H","T",J30+273.15,"P",101325,"Water")</f>
        <v>240301.85359306357</v>
      </c>
      <c r="U30" cm="1">
        <f t="array" ref="U30">[1]!PropsSI("H","T",K30+273.15,"P",101325,"Water")</f>
        <v>206289.31620714263</v>
      </c>
      <c r="V30">
        <f t="shared" si="12"/>
        <v>742.0204622618769</v>
      </c>
      <c r="X30">
        <f t="shared" si="13"/>
        <v>0.26476778400000001</v>
      </c>
      <c r="Y30">
        <f t="shared" si="14"/>
        <v>0.24850322999999999</v>
      </c>
      <c r="Z30">
        <f t="shared" si="15"/>
        <v>0.36311958741536315</v>
      </c>
      <c r="AA30">
        <f t="shared" si="16"/>
        <v>8.132277000000002</v>
      </c>
      <c r="AB30">
        <f t="shared" si="17"/>
        <v>4.5757730056169336E-2</v>
      </c>
      <c r="AC30">
        <f t="shared" si="18"/>
        <v>33.953172008332949</v>
      </c>
    </row>
    <row r="31" spans="1:29" x14ac:dyDescent="0.2">
      <c r="A31">
        <v>46137.022381782408</v>
      </c>
      <c r="B31">
        <v>17.748576</v>
      </c>
      <c r="C31">
        <v>18.459114</v>
      </c>
      <c r="D31">
        <v>19.188846000000002</v>
      </c>
      <c r="E31">
        <v>19.626806999999999</v>
      </c>
      <c r="F31">
        <v>29.171835999999999</v>
      </c>
      <c r="G31">
        <v>29.553436999999999</v>
      </c>
      <c r="H31">
        <v>26.205145999999999</v>
      </c>
      <c r="I31">
        <v>23.407285999999999</v>
      </c>
      <c r="J31">
        <v>57.382778000000002</v>
      </c>
      <c r="K31">
        <v>49.252567999999997</v>
      </c>
      <c r="L31">
        <v>266.177953</v>
      </c>
      <c r="M31">
        <v>-622.49918400000001</v>
      </c>
      <c r="N31">
        <v>1.3207260000000001</v>
      </c>
      <c r="O31">
        <v>3.1603910000000002</v>
      </c>
      <c r="P31">
        <f t="shared" si="10"/>
        <v>2.2012100000000002E-5</v>
      </c>
      <c r="Q31" cm="1">
        <f t="array" ref="Q31">[1]!PropsSI("D","T",J31+273.15,"P",101325,"Water")</f>
        <v>984.52188145233811</v>
      </c>
      <c r="R31" cm="1">
        <f t="array" ref="R31">[1]!PropsSI("D","T",K31+273.15,"P",101325,"Water")</f>
        <v>988.37127030432055</v>
      </c>
      <c r="S31">
        <f t="shared" si="11"/>
        <v>986.44657587832933</v>
      </c>
      <c r="T31" cm="1">
        <f t="array" ref="T31">[1]!PropsSI("H","T",J31+273.15,"P",101325,"Water")</f>
        <v>240297.19277116688</v>
      </c>
      <c r="U31" cm="1">
        <f t="array" ref="U31">[1]!PropsSI("H","T",K31+273.15,"P",101325,"Water")</f>
        <v>206293.30082916707</v>
      </c>
      <c r="V31">
        <f t="shared" si="12"/>
        <v>738.3523715754435</v>
      </c>
      <c r="X31">
        <f t="shared" si="13"/>
        <v>0.26476555600000001</v>
      </c>
      <c r="Y31">
        <f t="shared" si="14"/>
        <v>0.24850513599999999</v>
      </c>
      <c r="Z31">
        <f t="shared" si="15"/>
        <v>0.36311926726954002</v>
      </c>
      <c r="AA31">
        <f t="shared" si="16"/>
        <v>8.1302100000000053</v>
      </c>
      <c r="AB31">
        <f t="shared" si="17"/>
        <v>4.5768769389013822E-2</v>
      </c>
      <c r="AC31">
        <f t="shared" si="18"/>
        <v>33.793479422467918</v>
      </c>
    </row>
    <row r="32" spans="1:29" x14ac:dyDescent="0.2">
      <c r="A32">
        <v>46137.022417083332</v>
      </c>
      <c r="B32">
        <v>17.690816000000002</v>
      </c>
      <c r="C32">
        <v>18.057071000000001</v>
      </c>
      <c r="D32">
        <v>19.121217000000001</v>
      </c>
      <c r="E32">
        <v>19.612649000000001</v>
      </c>
      <c r="F32">
        <v>28.952179999999998</v>
      </c>
      <c r="G32">
        <v>30.817671000000001</v>
      </c>
      <c r="H32">
        <v>26.307811000000001</v>
      </c>
      <c r="I32">
        <v>23.490062999999999</v>
      </c>
      <c r="J32">
        <v>57.384369999999997</v>
      </c>
      <c r="K32">
        <v>49.257649999999998</v>
      </c>
      <c r="L32">
        <v>287.80666500000001</v>
      </c>
      <c r="M32">
        <v>-622.48816399999998</v>
      </c>
      <c r="N32">
        <v>1.321758</v>
      </c>
      <c r="O32">
        <v>1.9788680000000001</v>
      </c>
      <c r="P32">
        <f t="shared" si="10"/>
        <v>2.2029299999999999E-5</v>
      </c>
      <c r="Q32" cm="1">
        <f t="array" ref="Q32">[1]!PropsSI("D","T",J32+273.15,"P",101325,"Water")</f>
        <v>984.5210873460602</v>
      </c>
      <c r="R32" cm="1">
        <f t="array" ref="R32">[1]!PropsSI("D","T",K32+273.15,"P",101325,"Water")</f>
        <v>988.36899666718659</v>
      </c>
      <c r="S32">
        <f t="shared" si="11"/>
        <v>986.44504200662345</v>
      </c>
      <c r="T32" cm="1">
        <f t="array" ref="T32">[1]!PropsSI("H","T",J32+273.15,"P",101325,"Water")</f>
        <v>240303.85347906288</v>
      </c>
      <c r="U32" cm="1">
        <f t="array" ref="U32">[1]!PropsSI("H","T",K32+273.15,"P",101325,"Water")</f>
        <v>206314.54936308612</v>
      </c>
      <c r="V32">
        <f t="shared" si="12"/>
        <v>738.61115899155834</v>
      </c>
      <c r="X32">
        <f t="shared" si="13"/>
        <v>0.26476874</v>
      </c>
      <c r="Y32">
        <f t="shared" si="14"/>
        <v>0.24851529999999999</v>
      </c>
      <c r="Z32">
        <f t="shared" si="15"/>
        <v>0.36312854475416495</v>
      </c>
      <c r="AA32">
        <f t="shared" si="16"/>
        <v>8.1267199999999988</v>
      </c>
      <c r="AB32">
        <f t="shared" si="17"/>
        <v>4.5788600612637342E-2</v>
      </c>
      <c r="AC32">
        <f t="shared" si="18"/>
        <v>33.819971367101644</v>
      </c>
    </row>
    <row r="33" spans="1:29" x14ac:dyDescent="0.2">
      <c r="A33">
        <v>46137.022451805555</v>
      </c>
      <c r="B33">
        <v>17.634354999999999</v>
      </c>
      <c r="C33">
        <v>17.886413000000001</v>
      </c>
      <c r="D33">
        <v>19.113558999999999</v>
      </c>
      <c r="E33">
        <v>19.544491000000001</v>
      </c>
      <c r="F33">
        <v>29.471958000000001</v>
      </c>
      <c r="G33">
        <v>28.838538</v>
      </c>
      <c r="H33">
        <v>26.314450000000001</v>
      </c>
      <c r="I33">
        <v>23.352028000000001</v>
      </c>
      <c r="J33">
        <v>57.385961999999999</v>
      </c>
      <c r="K33">
        <v>49.247326000000001</v>
      </c>
      <c r="L33">
        <v>272.37478499999997</v>
      </c>
      <c r="M33">
        <v>-622.50734699999998</v>
      </c>
      <c r="N33">
        <v>1.3205039999999999</v>
      </c>
      <c r="O33">
        <v>3.473665</v>
      </c>
      <c r="P33">
        <f t="shared" si="10"/>
        <v>2.2008399999999998E-5</v>
      </c>
      <c r="Q33" cm="1">
        <f t="array" ref="Q33">[1]!PropsSI("D","T",J33+273.15,"P",101325,"Water")</f>
        <v>984.5202932244423</v>
      </c>
      <c r="R33" cm="1">
        <f t="array" ref="R33">[1]!PropsSI("D","T",K33+273.15,"P",101325,"Water")</f>
        <v>988.37361534482307</v>
      </c>
      <c r="S33">
        <f t="shared" si="11"/>
        <v>986.44695428463274</v>
      </c>
      <c r="T33" cm="1">
        <f t="array" ref="T33">[1]!PropsSI("H","T",J33+273.15,"P",101325,"Water")</f>
        <v>240310.51418794115</v>
      </c>
      <c r="U33" cm="1">
        <f t="array" ref="U33">[1]!PropsSI("H","T",K33+273.15,"P",101325,"Water")</f>
        <v>206271.38332073475</v>
      </c>
      <c r="V33">
        <f t="shared" si="12"/>
        <v>738.99358684449112</v>
      </c>
      <c r="X33">
        <f t="shared" si="13"/>
        <v>0.26477192399999999</v>
      </c>
      <c r="Y33">
        <f t="shared" si="14"/>
        <v>0.24849465199999998</v>
      </c>
      <c r="Z33">
        <f t="shared" si="15"/>
        <v>0.36311673579065845</v>
      </c>
      <c r="AA33">
        <f t="shared" si="16"/>
        <v>8.1386359999999982</v>
      </c>
      <c r="AB33">
        <f t="shared" si="17"/>
        <v>4.5723344230887648E-2</v>
      </c>
      <c r="AC33">
        <f t="shared" si="18"/>
        <v>33.789258155709035</v>
      </c>
    </row>
    <row r="34" spans="1:29" x14ac:dyDescent="0.2">
      <c r="A34">
        <v>46137.022486527778</v>
      </c>
      <c r="B34">
        <v>17.752223000000001</v>
      </c>
      <c r="C34">
        <v>18.314962000000001</v>
      </c>
      <c r="D34">
        <v>19.206227999999999</v>
      </c>
      <c r="E34">
        <v>19.606415999999999</v>
      </c>
      <c r="F34">
        <v>29.138334</v>
      </c>
      <c r="G34">
        <v>28.861149999999999</v>
      </c>
      <c r="H34">
        <v>25.833855</v>
      </c>
      <c r="I34">
        <v>23.699867000000001</v>
      </c>
      <c r="J34">
        <v>57.384369999999997</v>
      </c>
      <c r="K34">
        <v>49.245102000000003</v>
      </c>
      <c r="L34">
        <v>273.52085</v>
      </c>
      <c r="M34">
        <v>-622.47796000000005</v>
      </c>
      <c r="N34">
        <v>1.322316</v>
      </c>
      <c r="O34">
        <v>2.8817970000000002</v>
      </c>
      <c r="P34">
        <f t="shared" si="10"/>
        <v>2.2038599999999999E-5</v>
      </c>
      <c r="Q34" cm="1">
        <f t="array" ref="Q34">[1]!PropsSI("D","T",J34+273.15,"P",101325,"Water")</f>
        <v>984.5210873460602</v>
      </c>
      <c r="R34" cm="1">
        <f t="array" ref="R34">[1]!PropsSI("D","T",K34+273.15,"P",101325,"Water")</f>
        <v>988.37461020980277</v>
      </c>
      <c r="S34">
        <f t="shared" si="11"/>
        <v>986.44784877793154</v>
      </c>
      <c r="T34" cm="1">
        <f t="array" ref="T34">[1]!PropsSI("H","T",J34+273.15,"P",101325,"Water")</f>
        <v>240303.85347906288</v>
      </c>
      <c r="U34" cm="1">
        <f t="array" ref="U34">[1]!PropsSI("H","T",K34+273.15,"P",101325,"Water")</f>
        <v>206262.08447921561</v>
      </c>
      <c r="V34">
        <f t="shared" si="12"/>
        <v>740.06566015710337</v>
      </c>
      <c r="X34">
        <f t="shared" si="13"/>
        <v>0.26476874</v>
      </c>
      <c r="Y34">
        <f t="shared" si="14"/>
        <v>0.24849020399999999</v>
      </c>
      <c r="Z34">
        <f t="shared" si="15"/>
        <v>0.36311137019535644</v>
      </c>
      <c r="AA34">
        <f t="shared" si="16"/>
        <v>8.1392679999999942</v>
      </c>
      <c r="AB34">
        <f t="shared" si="17"/>
        <v>4.5719320459611662E-2</v>
      </c>
      <c r="AC34">
        <f t="shared" si="18"/>
        <v>33.83529907787667</v>
      </c>
    </row>
    <row r="35" spans="1:29" x14ac:dyDescent="0.2">
      <c r="A35">
        <v>46137.022521828701</v>
      </c>
      <c r="B35">
        <v>17.640912</v>
      </c>
      <c r="C35">
        <v>17.901133999999999</v>
      </c>
      <c r="D35">
        <v>19.219843999999998</v>
      </c>
      <c r="E35">
        <v>19.644335000000002</v>
      </c>
      <c r="F35">
        <v>29.523693999999999</v>
      </c>
      <c r="G35">
        <v>29.426452000000001</v>
      </c>
      <c r="H35">
        <v>26.864006</v>
      </c>
      <c r="I35">
        <v>24.149387000000001</v>
      </c>
      <c r="J35">
        <v>57.385643999999999</v>
      </c>
      <c r="K35">
        <v>49.247960999999997</v>
      </c>
      <c r="L35">
        <v>266.729353</v>
      </c>
      <c r="M35">
        <v>-622.531835</v>
      </c>
      <c r="N35">
        <v>1.3292980000000001</v>
      </c>
      <c r="O35">
        <v>2.8679199999999998</v>
      </c>
      <c r="P35">
        <f t="shared" si="10"/>
        <v>2.2154966666666667E-5</v>
      </c>
      <c r="Q35" cm="1">
        <f t="array" ref="Q35">[1]!PropsSI("D","T",J35+273.15,"P",101325,"Water")</f>
        <v>984.52045185046768</v>
      </c>
      <c r="R35" cm="1">
        <f t="array" ref="R35">[1]!PropsSI("D","T",K35+273.15,"P",101325,"Water")</f>
        <v>988.37333128337616</v>
      </c>
      <c r="S35">
        <f t="shared" si="11"/>
        <v>986.44689156692198</v>
      </c>
      <c r="T35" cm="1">
        <f t="array" ref="T35">[1]!PropsSI("H","T",J35+273.15,"P",101325,"Water")</f>
        <v>240309.18371961941</v>
      </c>
      <c r="U35" cm="1">
        <f t="array" ref="U35">[1]!PropsSI("H","T",K35+273.15,"P",101325,"Water")</f>
        <v>206274.03834093796</v>
      </c>
      <c r="V35">
        <f t="shared" si="12"/>
        <v>743.82782367468906</v>
      </c>
      <c r="X35">
        <f t="shared" si="13"/>
        <v>0.26477128799999999</v>
      </c>
      <c r="Y35">
        <f t="shared" si="14"/>
        <v>0.24849592199999998</v>
      </c>
      <c r="Z35">
        <f t="shared" si="15"/>
        <v>0.36311714115393812</v>
      </c>
      <c r="AA35">
        <f t="shared" si="16"/>
        <v>8.1376830000000027</v>
      </c>
      <c r="AB35">
        <f t="shared" si="17"/>
        <v>4.5728491364375103E-2</v>
      </c>
      <c r="AC35">
        <f t="shared" si="18"/>
        <v>34.014124211489943</v>
      </c>
    </row>
    <row r="36" spans="1:29" x14ac:dyDescent="0.2">
      <c r="A36">
        <v>46137.022557129632</v>
      </c>
      <c r="B36">
        <v>17.717510999999998</v>
      </c>
      <c r="C36">
        <v>18.245816999999999</v>
      </c>
      <c r="D36">
        <v>19.057175000000001</v>
      </c>
      <c r="E36">
        <v>19.576497</v>
      </c>
      <c r="F36">
        <v>29.006989999999998</v>
      </c>
      <c r="G36">
        <v>29.976040999999999</v>
      </c>
      <c r="H36">
        <v>26.204881</v>
      </c>
      <c r="I36">
        <v>24.034302</v>
      </c>
      <c r="J36">
        <v>57.385961999999999</v>
      </c>
      <c r="K36">
        <v>49.250025999999998</v>
      </c>
      <c r="L36">
        <v>277.42636900000002</v>
      </c>
      <c r="M36">
        <v>-622.51510099999996</v>
      </c>
      <c r="N36">
        <v>1.321361</v>
      </c>
      <c r="O36">
        <v>2.2661669999999998</v>
      </c>
      <c r="P36">
        <f t="shared" si="10"/>
        <v>2.2022683333333335E-5</v>
      </c>
      <c r="Q36" cm="1">
        <f t="array" ref="Q36">[1]!PropsSI("D","T",J36+273.15,"P",101325,"Water")</f>
        <v>984.5202932244423</v>
      </c>
      <c r="R36" cm="1">
        <f t="array" ref="R36">[1]!PropsSI("D","T",K36+273.15,"P",101325,"Water")</f>
        <v>988.37240750612091</v>
      </c>
      <c r="S36">
        <f t="shared" si="11"/>
        <v>986.44635036528166</v>
      </c>
      <c r="T36" cm="1">
        <f t="array" ref="T36">[1]!PropsSI("H","T",J36+273.15,"P",101325,"Water")</f>
        <v>240310.51418794115</v>
      </c>
      <c r="U36" cm="1">
        <f t="array" ref="U36">[1]!PropsSI("H","T",K36+273.15,"P",101325,"Water")</f>
        <v>206282.67238367474</v>
      </c>
      <c r="V36">
        <f t="shared" si="12"/>
        <v>739.22749118190166</v>
      </c>
      <c r="X36">
        <f t="shared" si="13"/>
        <v>0.26477192399999999</v>
      </c>
      <c r="Y36">
        <f t="shared" si="14"/>
        <v>0.248500052</v>
      </c>
      <c r="Z36">
        <f t="shared" si="15"/>
        <v>0.36312043123826632</v>
      </c>
      <c r="AA36">
        <f t="shared" si="16"/>
        <v>8.1359360000000009</v>
      </c>
      <c r="AB36">
        <f t="shared" si="17"/>
        <v>4.5738235562817371E-2</v>
      </c>
      <c r="AC36">
        <f t="shared" si="18"/>
        <v>33.810961126188317</v>
      </c>
    </row>
    <row r="37" spans="1:29" x14ac:dyDescent="0.2">
      <c r="A37">
        <v>46137.022591851855</v>
      </c>
      <c r="B37">
        <v>17.610520000000001</v>
      </c>
      <c r="C37">
        <v>17.61375</v>
      </c>
      <c r="D37">
        <v>19.119983000000001</v>
      </c>
      <c r="E37">
        <v>19.547595000000001</v>
      </c>
      <c r="F37">
        <v>28.883233000000001</v>
      </c>
      <c r="G37">
        <v>29.680586999999999</v>
      </c>
      <c r="H37">
        <v>26.151629</v>
      </c>
      <c r="I37">
        <v>23.474820999999999</v>
      </c>
      <c r="J37">
        <v>57.383574000000003</v>
      </c>
      <c r="K37">
        <v>49.252727</v>
      </c>
      <c r="L37">
        <v>287.92053700000002</v>
      </c>
      <c r="M37">
        <v>-622.49347</v>
      </c>
      <c r="N37">
        <v>1.3283309999999999</v>
      </c>
      <c r="O37">
        <v>2.5350130000000002</v>
      </c>
      <c r="P37">
        <f t="shared" si="10"/>
        <v>2.2138849999999999E-5</v>
      </c>
      <c r="Q37" cm="1">
        <f t="array" ref="Q37">[1]!PropsSI("D","T",J37+273.15,"P",101325,"Water")</f>
        <v>984.52148440112978</v>
      </c>
      <c r="R37" cm="1">
        <f t="array" ref="R37">[1]!PropsSI("D","T",K37+273.15,"P",101325,"Water")</f>
        <v>988.37119917184896</v>
      </c>
      <c r="S37">
        <f t="shared" si="11"/>
        <v>986.44634178648937</v>
      </c>
      <c r="T37" cm="1">
        <f t="array" ref="T37">[1]!PropsSI("H","T",J37+273.15,"P",101325,"Water")</f>
        <v>240300.52312499506</v>
      </c>
      <c r="U37" cm="1">
        <f t="array" ref="U37">[1]!PropsSI("H","T",K37+273.15,"P",101325,"Water")</f>
        <v>206293.96562966553</v>
      </c>
      <c r="V37">
        <f t="shared" si="12"/>
        <v>742.66198593888328</v>
      </c>
      <c r="X37">
        <f t="shared" si="13"/>
        <v>0.26476714800000001</v>
      </c>
      <c r="Y37">
        <f t="shared" si="14"/>
        <v>0.24850545400000001</v>
      </c>
      <c r="Z37">
        <f t="shared" si="15"/>
        <v>0.36312064569203445</v>
      </c>
      <c r="AA37">
        <f t="shared" si="16"/>
        <v>8.1308470000000028</v>
      </c>
      <c r="AB37">
        <f t="shared" si="17"/>
        <v>4.5765520310345489E-2</v>
      </c>
      <c r="AC37">
        <f t="shared" si="18"/>
        <v>33.988312201207478</v>
      </c>
    </row>
    <row r="38" spans="1:29" x14ac:dyDescent="0.2">
      <c r="A38">
        <v>44675.0226271551</v>
      </c>
      <c r="B38">
        <v>17.817003</v>
      </c>
      <c r="C38">
        <v>18.085961000000001</v>
      </c>
      <c r="D38">
        <v>19.133398</v>
      </c>
      <c r="E38">
        <v>19.571294000000002</v>
      </c>
      <c r="F38">
        <v>28.994736</v>
      </c>
      <c r="G38">
        <v>29.240957999999999</v>
      </c>
      <c r="H38">
        <v>26.111799000000001</v>
      </c>
      <c r="I38">
        <v>23.891694999999999</v>
      </c>
      <c r="J38">
        <v>57.384211000000001</v>
      </c>
      <c r="K38">
        <v>49.246690999999998</v>
      </c>
      <c r="L38">
        <v>268.39865800000001</v>
      </c>
      <c r="M38">
        <v>-622.49877600000002</v>
      </c>
      <c r="N38">
        <v>1.335162</v>
      </c>
      <c r="O38">
        <v>2.7375250000000002</v>
      </c>
      <c r="P38">
        <f t="shared" si="10"/>
        <v>2.2252700000000001E-5</v>
      </c>
      <c r="Q38" cm="1">
        <f t="array" ref="Q38">[1]!PropsSI("D","T",J38+273.15,"P",101325,"Water")</f>
        <v>984.52116665763424</v>
      </c>
      <c r="R38" cm="1">
        <f t="array" ref="R38">[1]!PropsSI("D","T",K38+273.15,"P",101325,"Water")</f>
        <v>988.37389940360163</v>
      </c>
      <c r="S38">
        <f t="shared" si="11"/>
        <v>986.44753303061793</v>
      </c>
      <c r="T38" cm="1">
        <f t="array" ref="T38">[1]!PropsSI("H","T",J38+273.15,"P",101325,"Water")</f>
        <v>240303.18824498876</v>
      </c>
      <c r="U38" cm="1">
        <f t="array" ref="U38">[1]!PropsSI("H","T",K38+273.15,"P",101325,"Water")</f>
        <v>206268.72830063698</v>
      </c>
      <c r="V38">
        <f t="shared" si="12"/>
        <v>747.09454902994355</v>
      </c>
      <c r="X38">
        <f t="shared" si="13"/>
        <v>0.264768422</v>
      </c>
      <c r="Y38">
        <f t="shared" si="14"/>
        <v>0.24849338199999998</v>
      </c>
      <c r="Z38">
        <f t="shared" si="15"/>
        <v>0.36311331314917111</v>
      </c>
      <c r="AA38">
        <f t="shared" si="16"/>
        <v>8.1375200000000021</v>
      </c>
      <c r="AB38">
        <f t="shared" si="17"/>
        <v>4.572890450507839E-2</v>
      </c>
      <c r="AC38">
        <f t="shared" si="18"/>
        <v>34.163815288854892</v>
      </c>
    </row>
    <row r="39" spans="1:29" x14ac:dyDescent="0.2">
      <c r="A39">
        <v>44675.022661877301</v>
      </c>
      <c r="B39">
        <v>17.913726</v>
      </c>
      <c r="C39">
        <v>18.309587000000001</v>
      </c>
      <c r="D39">
        <v>19.230953</v>
      </c>
      <c r="E39">
        <v>19.681118999999999</v>
      </c>
      <c r="F39">
        <v>29.148478000000001</v>
      </c>
      <c r="G39">
        <v>29.555475000000001</v>
      </c>
      <c r="H39">
        <v>25.971342</v>
      </c>
      <c r="I39">
        <v>23.171802</v>
      </c>
      <c r="J39">
        <v>57.380071000000001</v>
      </c>
      <c r="K39">
        <v>49.242561000000002</v>
      </c>
      <c r="L39">
        <v>288.01645100000002</v>
      </c>
      <c r="M39">
        <v>-622.48122499999999</v>
      </c>
      <c r="N39">
        <v>1.326614</v>
      </c>
      <c r="O39">
        <v>2.9434179999999999</v>
      </c>
      <c r="P39">
        <f t="shared" si="10"/>
        <v>2.2110233333333334E-5</v>
      </c>
      <c r="Q39" cm="1">
        <f t="array" ref="Q39">[1]!PropsSI("D","T",J39+273.15,"P",101325,"Water")</f>
        <v>984.52323169702936</v>
      </c>
      <c r="R39" cm="1">
        <f t="array" ref="R39">[1]!PropsSI("D","T",K39+273.15,"P",101325,"Water")</f>
        <v>988.37574683872242</v>
      </c>
      <c r="S39">
        <f t="shared" si="11"/>
        <v>986.44948926787583</v>
      </c>
      <c r="T39" cm="1">
        <f t="array" ref="T39">[1]!PropsSI("H","T",J39+273.15,"P",101325,"Water")</f>
        <v>240285.86705975587</v>
      </c>
      <c r="U39" cm="1">
        <f t="array" ref="U39">[1]!PropsSI("H","T",K39+273.15,"P",101325,"Water")</f>
        <v>206251.46022008712</v>
      </c>
      <c r="V39">
        <f t="shared" si="12"/>
        <v>742.3117996885677</v>
      </c>
      <c r="X39">
        <f t="shared" si="13"/>
        <v>0.26476014199999998</v>
      </c>
      <c r="Y39">
        <f t="shared" si="14"/>
        <v>0.248485122</v>
      </c>
      <c r="Z39">
        <f t="shared" si="15"/>
        <v>0.36310162303026827</v>
      </c>
      <c r="AA39">
        <f t="shared" si="16"/>
        <v>8.1375099999999989</v>
      </c>
      <c r="AB39">
        <f t="shared" si="17"/>
        <v>4.5727556211896142E-2</v>
      </c>
      <c r="AC39">
        <f t="shared" si="18"/>
        <v>33.94410454701277</v>
      </c>
    </row>
    <row r="40" spans="1:29" x14ac:dyDescent="0.2">
      <c r="A40">
        <v>44675.022696599597</v>
      </c>
      <c r="B40">
        <v>17.814093</v>
      </c>
      <c r="C40">
        <v>18.408608999999998</v>
      </c>
      <c r="D40">
        <v>19.093554999999999</v>
      </c>
      <c r="E40">
        <v>19.696724</v>
      </c>
      <c r="F40">
        <v>29.115722000000002</v>
      </c>
      <c r="G40">
        <v>29.834661000000001</v>
      </c>
      <c r="H40">
        <v>25.998569</v>
      </c>
      <c r="I40">
        <v>23.854534999999998</v>
      </c>
      <c r="J40">
        <v>57.380071000000001</v>
      </c>
      <c r="K40">
        <v>49.252727</v>
      </c>
      <c r="L40">
        <v>286.09409799999997</v>
      </c>
      <c r="M40">
        <v>-622.50938699999995</v>
      </c>
      <c r="N40">
        <v>1.3328390000000001</v>
      </c>
      <c r="O40">
        <v>1.6928019999999999</v>
      </c>
      <c r="P40">
        <f t="shared" si="10"/>
        <v>2.2213983333333334E-5</v>
      </c>
      <c r="Q40" cm="1">
        <f t="array" ref="Q40">[1]!PropsSI("D","T",J40+273.15,"P",101325,"Water")</f>
        <v>984.52323169702936</v>
      </c>
      <c r="R40" cm="1">
        <f t="array" ref="R40">[1]!PropsSI("D","T",K40+273.15,"P",101325,"Water")</f>
        <v>988.37119917184896</v>
      </c>
      <c r="S40">
        <f t="shared" si="11"/>
        <v>986.44721543443916</v>
      </c>
      <c r="T40" cm="1">
        <f t="array" ref="T40">[1]!PropsSI("H","T",J40+273.15,"P",101325,"Water")</f>
        <v>240285.86705975587</v>
      </c>
      <c r="U40" cm="1">
        <f t="array" ref="U40">[1]!PropsSI("H","T",K40+273.15,"P",101325,"Water")</f>
        <v>206293.96562966553</v>
      </c>
      <c r="V40">
        <f t="shared" si="12"/>
        <v>744.86188476694088</v>
      </c>
      <c r="X40">
        <f t="shared" si="13"/>
        <v>0.26476014199999998</v>
      </c>
      <c r="Y40">
        <f t="shared" si="14"/>
        <v>0.24850545400000001</v>
      </c>
      <c r="Z40">
        <f t="shared" si="15"/>
        <v>0.36311553734260155</v>
      </c>
      <c r="AA40">
        <f t="shared" si="16"/>
        <v>8.1273440000000008</v>
      </c>
      <c r="AB40">
        <f t="shared" si="17"/>
        <v>4.5783690938129611E-2</v>
      </c>
      <c r="AC40">
        <f t="shared" si="18"/>
        <v>34.102526323762334</v>
      </c>
    </row>
    <row r="41" spans="1:29" x14ac:dyDescent="0.2">
      <c r="A41">
        <v>44675.022731321798</v>
      </c>
      <c r="B41">
        <v>17.983592999999999</v>
      </c>
      <c r="C41">
        <v>18.503769999999999</v>
      </c>
      <c r="D41">
        <v>19.054214999999999</v>
      </c>
      <c r="E41">
        <v>19.692502000000001</v>
      </c>
      <c r="F41">
        <v>29.344739000000001</v>
      </c>
      <c r="G41">
        <v>28.756948000000001</v>
      </c>
      <c r="H41">
        <v>26.326595999999999</v>
      </c>
      <c r="I41">
        <v>24.037538999999999</v>
      </c>
      <c r="J41">
        <v>57.379434000000003</v>
      </c>
      <c r="K41">
        <v>49.255903000000004</v>
      </c>
      <c r="L41">
        <v>279.53034500000001</v>
      </c>
      <c r="M41">
        <v>-622.47836800000005</v>
      </c>
      <c r="N41">
        <v>1.32734</v>
      </c>
      <c r="O41">
        <v>3.603742</v>
      </c>
      <c r="P41">
        <f t="shared" si="10"/>
        <v>2.2122333333333333E-5</v>
      </c>
      <c r="Q41" cm="1">
        <f t="array" ref="Q41">[1]!PropsSI("D","T",J41+273.15,"P",101325,"Water")</f>
        <v>984.52354942455838</v>
      </c>
      <c r="R41" cm="1">
        <f t="array" ref="R41">[1]!PropsSI("D","T",K41+273.15,"P",101325,"Water")</f>
        <v>988.36977827719306</v>
      </c>
      <c r="S41">
        <f t="shared" si="11"/>
        <v>986.44666385087567</v>
      </c>
      <c r="T41" cm="1">
        <f t="array" ref="T41">[1]!PropsSI("H","T",J41+273.15,"P",101325,"Water")</f>
        <v>240283.20194076881</v>
      </c>
      <c r="U41" cm="1">
        <f t="array" ref="U41">[1]!PropsSI("H","T",K41+273.15,"P",101325,"Water")</f>
        <v>206307.24491746491</v>
      </c>
      <c r="V41">
        <f t="shared" si="12"/>
        <v>741.44038714601413</v>
      </c>
      <c r="X41">
        <f t="shared" si="13"/>
        <v>0.26475886800000004</v>
      </c>
      <c r="Y41">
        <f t="shared" si="14"/>
        <v>0.248511806</v>
      </c>
      <c r="Z41">
        <f t="shared" si="15"/>
        <v>0.36311895558621432</v>
      </c>
      <c r="AA41">
        <f t="shared" si="16"/>
        <v>8.1235309999999998</v>
      </c>
      <c r="AB41">
        <f t="shared" si="17"/>
        <v>4.5804566412985054E-2</v>
      </c>
      <c r="AC41">
        <f t="shared" si="18"/>
        <v>33.961355454298953</v>
      </c>
    </row>
    <row r="42" spans="1:29" x14ac:dyDescent="0.2">
      <c r="A42">
        <v>46137.022766620372</v>
      </c>
      <c r="B42">
        <v>17.610261999999999</v>
      </c>
      <c r="C42">
        <v>18.070754999999998</v>
      </c>
      <c r="D42">
        <v>18.972759</v>
      </c>
      <c r="E42">
        <v>19.535</v>
      </c>
      <c r="F42">
        <v>28.872676999999999</v>
      </c>
      <c r="G42">
        <v>29.926176000000002</v>
      </c>
      <c r="H42">
        <v>26.549479999999999</v>
      </c>
      <c r="I42">
        <v>23.586924</v>
      </c>
      <c r="J42">
        <v>57.377522999999997</v>
      </c>
      <c r="K42">
        <v>49.258127000000002</v>
      </c>
      <c r="L42">
        <v>273.73267600000003</v>
      </c>
      <c r="M42">
        <v>-622.47836800000005</v>
      </c>
      <c r="N42">
        <v>1.332052</v>
      </c>
      <c r="O42">
        <v>3.3003930000000001</v>
      </c>
      <c r="P42">
        <f t="shared" si="10"/>
        <v>2.2200866666666666E-5</v>
      </c>
      <c r="Q42" cm="1">
        <f t="array" ref="Q42">[1]!PropsSI("D","T",J42+273.15,"P",101325,"Water")</f>
        <v>984.52450259234604</v>
      </c>
      <c r="R42" cm="1">
        <f t="array" ref="R42">[1]!PropsSI("D","T",K42+273.15,"P",101325,"Water")</f>
        <v>988.36878325327405</v>
      </c>
      <c r="S42">
        <f t="shared" si="11"/>
        <v>986.44664292281004</v>
      </c>
      <c r="T42" cm="1">
        <f t="array" ref="T42">[1]!PropsSI("H","T",J42+273.15,"P",101325,"Water")</f>
        <v>240275.20658486447</v>
      </c>
      <c r="U42" cm="1">
        <f t="array" ref="U42">[1]!PropsSI("H","T",K42+273.15,"P",101325,"Water")</f>
        <v>206316.54376544934</v>
      </c>
      <c r="V42">
        <f t="shared" si="12"/>
        <v>743.6937103415969</v>
      </c>
      <c r="X42">
        <f t="shared" si="13"/>
        <v>0.26475504599999999</v>
      </c>
      <c r="Y42">
        <f t="shared" si="14"/>
        <v>0.24851625399999999</v>
      </c>
      <c r="Z42">
        <f t="shared" si="15"/>
        <v>0.36311921304807682</v>
      </c>
      <c r="AA42">
        <f t="shared" si="16"/>
        <v>8.1193959999999947</v>
      </c>
      <c r="AB42">
        <f t="shared" si="17"/>
        <v>4.5826812876065728E-2</v>
      </c>
      <c r="AC42">
        <f t="shared" si="18"/>
        <v>34.08111250093139</v>
      </c>
    </row>
    <row r="43" spans="1:29" x14ac:dyDescent="0.2">
      <c r="A43">
        <v>46137.022801342595</v>
      </c>
      <c r="B43">
        <v>17.470901000000001</v>
      </c>
      <c r="C43">
        <v>17.790282999999999</v>
      </c>
      <c r="D43">
        <v>18.906870000000001</v>
      </c>
      <c r="E43">
        <v>19.355096</v>
      </c>
      <c r="F43">
        <v>28.885438000000001</v>
      </c>
      <c r="G43">
        <v>29.825095000000001</v>
      </c>
      <c r="H43">
        <v>26.461983</v>
      </c>
      <c r="I43">
        <v>23.355466</v>
      </c>
      <c r="J43">
        <v>57.376409000000002</v>
      </c>
      <c r="K43">
        <v>49.254950000000001</v>
      </c>
      <c r="L43">
        <v>288.48091699999998</v>
      </c>
      <c r="M43">
        <v>-622.52163199999995</v>
      </c>
      <c r="N43">
        <v>1.334552</v>
      </c>
      <c r="O43">
        <v>2.9560369999999998</v>
      </c>
      <c r="P43">
        <f t="shared" si="10"/>
        <v>2.2242533333333333E-5</v>
      </c>
      <c r="Q43" cm="1">
        <f t="array" ref="Q43">[1]!PropsSI("D","T",J43+273.15,"P",101325,"Water")</f>
        <v>984.52505822262253</v>
      </c>
      <c r="R43" cm="1">
        <f t="array" ref="R43">[1]!PropsSI("D","T",K43+273.15,"P",101325,"Water")</f>
        <v>988.37020464208524</v>
      </c>
      <c r="S43">
        <f t="shared" si="11"/>
        <v>986.44763143235389</v>
      </c>
      <c r="T43" cm="1">
        <f t="array" ref="T43">[1]!PropsSI("H","T",J43+273.15,"P",101325,"Water")</f>
        <v>240270.54576583751</v>
      </c>
      <c r="U43" cm="1">
        <f t="array" ref="U43">[1]!PropsSI("H","T",K43+273.15,"P",101325,"Water")</f>
        <v>206303.26029461171</v>
      </c>
      <c r="V43">
        <f t="shared" si="12"/>
        <v>745.27941444495184</v>
      </c>
      <c r="X43">
        <f t="shared" si="13"/>
        <v>0.264752818</v>
      </c>
      <c r="Y43">
        <f t="shared" si="14"/>
        <v>0.24850990000000001</v>
      </c>
      <c r="Z43">
        <f t="shared" si="15"/>
        <v>0.36311323996372141</v>
      </c>
      <c r="AA43">
        <f t="shared" si="16"/>
        <v>8.1214590000000015</v>
      </c>
      <c r="AB43">
        <f t="shared" si="17"/>
        <v>4.5815008653904699E-2</v>
      </c>
      <c r="AC43">
        <f t="shared" si="18"/>
        <v>34.144982822372498</v>
      </c>
    </row>
    <row r="44" spans="1:29" x14ac:dyDescent="0.2">
      <c r="A44">
        <v>46137.022836643519</v>
      </c>
      <c r="B44">
        <v>17.553552</v>
      </c>
      <c r="C44">
        <v>17.759277999999998</v>
      </c>
      <c r="D44">
        <v>19.017984999999999</v>
      </c>
      <c r="E44">
        <v>19.410504</v>
      </c>
      <c r="F44">
        <v>28.842901000000001</v>
      </c>
      <c r="G44">
        <v>29.512917000000002</v>
      </c>
      <c r="H44">
        <v>25.949850999999999</v>
      </c>
      <c r="I44">
        <v>23.513981999999999</v>
      </c>
      <c r="J44">
        <v>57.374816000000003</v>
      </c>
      <c r="K44">
        <v>49.247008000000001</v>
      </c>
      <c r="L44">
        <v>262.80261100000001</v>
      </c>
      <c r="M44">
        <v>-622.47510299999999</v>
      </c>
      <c r="N44">
        <v>1.3290729999999999</v>
      </c>
      <c r="O44">
        <v>2.8251330000000001</v>
      </c>
      <c r="P44">
        <f t="shared" si="10"/>
        <v>2.2151216666666669E-5</v>
      </c>
      <c r="Q44" cm="1">
        <f t="array" ref="Q44">[1]!PropsSI("D","T",J44+273.15,"P",101325,"Water")</f>
        <v>984.52585275088472</v>
      </c>
      <c r="R44" cm="1">
        <f t="array" ref="R44">[1]!PropsSI("D","T",K44+273.15,"P",101325,"Water")</f>
        <v>988.3737575982035</v>
      </c>
      <c r="S44">
        <f t="shared" si="11"/>
        <v>986.44980517454405</v>
      </c>
      <c r="T44" cm="1">
        <f t="array" ref="T44">[1]!PropsSI("H","T",J44+273.15,"P",101325,"Water")</f>
        <v>240263.88087911342</v>
      </c>
      <c r="U44" cm="1">
        <f t="array" ref="U44">[1]!PropsSI("H","T",K44+273.15,"P",101325,"Water")</f>
        <v>206270.0537201181</v>
      </c>
      <c r="V44">
        <f t="shared" si="12"/>
        <v>742.80127127728656</v>
      </c>
      <c r="X44">
        <f t="shared" si="13"/>
        <v>0.26474963200000001</v>
      </c>
      <c r="Y44">
        <f t="shared" si="14"/>
        <v>0.24849401599999998</v>
      </c>
      <c r="Z44">
        <f t="shared" si="15"/>
        <v>0.36310004631223014</v>
      </c>
      <c r="AA44">
        <f t="shared" si="16"/>
        <v>8.1278080000000017</v>
      </c>
      <c r="AB44">
        <f t="shared" si="17"/>
        <v>4.5779342030036432E-2</v>
      </c>
      <c r="AC44">
        <f t="shared" si="18"/>
        <v>34.004953458148776</v>
      </c>
    </row>
    <row r="45" spans="1:29" x14ac:dyDescent="0.2">
      <c r="A45">
        <v>46137.022871365742</v>
      </c>
      <c r="B45">
        <v>17.49803</v>
      </c>
      <c r="C45">
        <v>18.045394999999999</v>
      </c>
      <c r="D45">
        <v>19.032359</v>
      </c>
      <c r="E45">
        <v>19.501885999999999</v>
      </c>
      <c r="F45">
        <v>28.955096000000001</v>
      </c>
      <c r="G45">
        <v>30.222114000000001</v>
      </c>
      <c r="H45">
        <v>26.296074999999998</v>
      </c>
      <c r="I45">
        <v>23.540838999999998</v>
      </c>
      <c r="J45">
        <v>57.377204999999996</v>
      </c>
      <c r="K45">
        <v>49.233030999999997</v>
      </c>
      <c r="L45">
        <v>266.621196</v>
      </c>
      <c r="M45">
        <v>-622.49469399999998</v>
      </c>
      <c r="N45">
        <v>1.33161</v>
      </c>
      <c r="O45">
        <v>2.1645799999999999</v>
      </c>
      <c r="P45">
        <f t="shared" si="10"/>
        <v>2.21935E-5</v>
      </c>
      <c r="Q45" cm="1">
        <f t="array" ref="Q45">[1]!PropsSI("D","T",J45+273.15,"P",101325,"Water")</f>
        <v>984.52466120212182</v>
      </c>
      <c r="R45" cm="1">
        <f t="array" ref="R45">[1]!PropsSI("D","T",K45+273.15,"P",101325,"Water")</f>
        <v>988.38000937574861</v>
      </c>
      <c r="S45">
        <f t="shared" si="11"/>
        <v>986.45233528893527</v>
      </c>
      <c r="T45" cm="1">
        <f t="array" ref="T45">[1]!PropsSI("H","T",J45+273.15,"P",101325,"Water")</f>
        <v>240273.87611763476</v>
      </c>
      <c r="U45" cm="1">
        <f t="array" ref="U45">[1]!PropsSI("H","T",K45+273.15,"P",101325,"Water")</f>
        <v>206211.61403705835</v>
      </c>
      <c r="V45">
        <f t="shared" si="12"/>
        <v>745.71930984947051</v>
      </c>
      <c r="X45">
        <f t="shared" si="13"/>
        <v>0.26475441</v>
      </c>
      <c r="Y45">
        <f t="shared" si="14"/>
        <v>0.24846606199999999</v>
      </c>
      <c r="Z45">
        <f t="shared" si="15"/>
        <v>0.36308440007832332</v>
      </c>
      <c r="AA45">
        <f t="shared" si="16"/>
        <v>8.1441739999999996</v>
      </c>
      <c r="AB45">
        <f t="shared" si="17"/>
        <v>4.5689866093874647E-2</v>
      </c>
      <c r="AC45">
        <f t="shared" si="18"/>
        <v>34.071815410638926</v>
      </c>
    </row>
    <row r="46" spans="1:29" x14ac:dyDescent="0.2">
      <c r="A46">
        <v>46137.022906087965</v>
      </c>
      <c r="B46">
        <v>17.601617000000001</v>
      </c>
      <c r="C46">
        <v>17.779665000000001</v>
      </c>
      <c r="D46">
        <v>19.015830999999999</v>
      </c>
      <c r="E46">
        <v>19.54804</v>
      </c>
      <c r="F46">
        <v>28.635674999999999</v>
      </c>
      <c r="G46">
        <v>30.086455000000001</v>
      </c>
      <c r="H46">
        <v>25.589093999999999</v>
      </c>
      <c r="I46">
        <v>23.783346999999999</v>
      </c>
      <c r="J46">
        <v>57.376727000000002</v>
      </c>
      <c r="K46">
        <v>49.233825000000003</v>
      </c>
      <c r="L46">
        <v>287.24179600000002</v>
      </c>
      <c r="M46">
        <v>-622.49591899999996</v>
      </c>
      <c r="N46">
        <v>1.3310439999999999</v>
      </c>
      <c r="O46">
        <v>2.9388559999999999</v>
      </c>
      <c r="P46">
        <f t="shared" si="10"/>
        <v>2.2184066666666667E-5</v>
      </c>
      <c r="Q46" cm="1">
        <f t="array" ref="Q46">[1]!PropsSI("D","T",J46+273.15,"P",101325,"Water")</f>
        <v>984.52489961437993</v>
      </c>
      <c r="R46" cm="1">
        <f t="array" ref="R46">[1]!PropsSI("D","T",K46+273.15,"P",101325,"Water")</f>
        <v>988.37965426186804</v>
      </c>
      <c r="S46">
        <f t="shared" si="11"/>
        <v>986.45227693812399</v>
      </c>
      <c r="T46" cm="1">
        <f t="array" ref="T46">[1]!PropsSI("H","T",J46+273.15,"P",101325,"Water")</f>
        <v>240271.87623296268</v>
      </c>
      <c r="U46" cm="1">
        <f t="array" ref="U46">[1]!PropsSI("H","T",K46+273.15,"P",101325,"Water")</f>
        <v>206214.93385452061</v>
      </c>
      <c r="V46">
        <f t="shared" si="12"/>
        <v>745.28588440532292</v>
      </c>
      <c r="X46">
        <f t="shared" si="13"/>
        <v>0.264753454</v>
      </c>
      <c r="Y46">
        <f t="shared" si="14"/>
        <v>0.24846764999999998</v>
      </c>
      <c r="Z46">
        <f t="shared" si="15"/>
        <v>0.36308478968617314</v>
      </c>
      <c r="AA46">
        <f t="shared" si="16"/>
        <v>8.1429019999999994</v>
      </c>
      <c r="AB46">
        <f t="shared" si="17"/>
        <v>4.5696708113350214E-2</v>
      </c>
      <c r="AC46">
        <f t="shared" si="18"/>
        <v>34.057111520670112</v>
      </c>
    </row>
    <row r="47" spans="1:29" x14ac:dyDescent="0.2">
      <c r="A47">
        <v>46137.022941388888</v>
      </c>
      <c r="B47">
        <v>17.843204</v>
      </c>
      <c r="C47">
        <v>18.213538</v>
      </c>
      <c r="D47">
        <v>18.986995</v>
      </c>
      <c r="E47">
        <v>19.440605000000001</v>
      </c>
      <c r="F47">
        <v>29.122081999999999</v>
      </c>
      <c r="G47">
        <v>28.956873999999999</v>
      </c>
      <c r="H47">
        <v>26.209869999999999</v>
      </c>
      <c r="I47">
        <v>24.299458000000001</v>
      </c>
      <c r="J47">
        <v>57.378318999999998</v>
      </c>
      <c r="K47">
        <v>49.230331</v>
      </c>
      <c r="L47">
        <v>276.32397500000002</v>
      </c>
      <c r="M47">
        <v>-622.487348</v>
      </c>
      <c r="N47">
        <v>1.3218030000000001</v>
      </c>
      <c r="O47">
        <v>2.6613419999999999</v>
      </c>
      <c r="P47">
        <f t="shared" si="10"/>
        <v>2.2030050000000001E-5</v>
      </c>
      <c r="Q47" cm="1">
        <f t="array" ref="Q47">[1]!PropsSI("D","T",J47+273.15,"P",101325,"Water")</f>
        <v>984.52410556649863</v>
      </c>
      <c r="R47" cm="1">
        <f t="array" ref="R47">[1]!PropsSI("D","T",K47+273.15,"P",101325,"Water")</f>
        <v>988.38121691078891</v>
      </c>
      <c r="S47">
        <f t="shared" si="11"/>
        <v>986.45266123864371</v>
      </c>
      <c r="T47" cm="1">
        <f t="array" ref="T47">[1]!PropsSI("H","T",J47+273.15,"P",101325,"Water")</f>
        <v>240278.53693703684</v>
      </c>
      <c r="U47" cm="1">
        <f t="array" ref="U47">[1]!PropsSI("H","T",K47+273.15,"P",101325,"Water")</f>
        <v>206200.32498655783</v>
      </c>
      <c r="V47">
        <f t="shared" si="12"/>
        <v>740.57412022690824</v>
      </c>
      <c r="X47">
        <f t="shared" si="13"/>
        <v>0.26475663799999999</v>
      </c>
      <c r="Y47">
        <f t="shared" si="14"/>
        <v>0.248460662</v>
      </c>
      <c r="Z47">
        <f t="shared" si="15"/>
        <v>0.36308232940552382</v>
      </c>
      <c r="AA47">
        <f t="shared" si="16"/>
        <v>8.147987999999998</v>
      </c>
      <c r="AB47">
        <f t="shared" si="17"/>
        <v>4.566925583679432E-2</v>
      </c>
      <c r="AC47">
        <f t="shared" si="18"/>
        <v>33.821468962751545</v>
      </c>
    </row>
    <row r="48" spans="1:29" x14ac:dyDescent="0.2">
      <c r="A48">
        <v>46137.022976111111</v>
      </c>
      <c r="B48">
        <v>17.948395999999999</v>
      </c>
      <c r="C48">
        <v>18.361867</v>
      </c>
      <c r="D48">
        <v>18.982434000000001</v>
      </c>
      <c r="E48">
        <v>19.535827000000001</v>
      </c>
      <c r="F48">
        <v>29.256195000000002</v>
      </c>
      <c r="G48">
        <v>30.703783999999999</v>
      </c>
      <c r="H48">
        <v>26.981852</v>
      </c>
      <c r="I48">
        <v>24.267871</v>
      </c>
      <c r="J48">
        <v>57.378796999999999</v>
      </c>
      <c r="K48">
        <v>49.232712999999997</v>
      </c>
      <c r="L48">
        <v>297.00375600000001</v>
      </c>
      <c r="M48">
        <v>-622.49265300000002</v>
      </c>
      <c r="N48">
        <v>1.324217</v>
      </c>
      <c r="O48">
        <v>3.3566889999999998</v>
      </c>
      <c r="P48">
        <f t="shared" si="10"/>
        <v>2.2070283333333331E-5</v>
      </c>
      <c r="Q48" cm="1">
        <f t="array" ref="Q48">[1]!PropsSI("D","T",J48+273.15,"P",101325,"Water")</f>
        <v>984.52386714961949</v>
      </c>
      <c r="R48" cm="1">
        <f t="array" ref="R48">[1]!PropsSI("D","T",K48+273.15,"P",101325,"Water")</f>
        <v>988.38015159907263</v>
      </c>
      <c r="S48">
        <f t="shared" si="11"/>
        <v>986.45200937434606</v>
      </c>
      <c r="T48" cm="1">
        <f t="array" ref="T48">[1]!PropsSI("H","T",J48+273.15,"P",101325,"Water")</f>
        <v>240280.53682201062</v>
      </c>
      <c r="U48" cm="1">
        <f t="array" ref="U48">[1]!PropsSI("H","T",K48+273.15,"P",101325,"Water")</f>
        <v>206210.28443770757</v>
      </c>
      <c r="V48">
        <f t="shared" si="12"/>
        <v>741.75284561741296</v>
      </c>
      <c r="X48">
        <f t="shared" si="13"/>
        <v>0.26475759399999999</v>
      </c>
      <c r="Y48">
        <f t="shared" si="14"/>
        <v>0.24846542599999999</v>
      </c>
      <c r="Z48">
        <f t="shared" si="15"/>
        <v>0.36308628657390835</v>
      </c>
      <c r="AA48">
        <f t="shared" si="16"/>
        <v>8.1460840000000019</v>
      </c>
      <c r="AB48">
        <f t="shared" si="17"/>
        <v>4.5679892457100094E-2</v>
      </c>
      <c r="AC48">
        <f t="shared" si="18"/>
        <v>33.883190217551395</v>
      </c>
    </row>
    <row r="49" spans="1:29" x14ac:dyDescent="0.2">
      <c r="A49">
        <v>44675.0230114144</v>
      </c>
      <c r="B49">
        <v>17.980266</v>
      </c>
      <c r="C49">
        <v>18.506312999999999</v>
      </c>
      <c r="D49">
        <v>19.085744999999999</v>
      </c>
      <c r="E49">
        <v>19.581903000000001</v>
      </c>
      <c r="F49">
        <v>29.305316000000001</v>
      </c>
      <c r="G49">
        <v>29.705663000000001</v>
      </c>
      <c r="H49">
        <v>26.730295999999999</v>
      </c>
      <c r="I49">
        <v>23.863647</v>
      </c>
      <c r="J49">
        <v>57.378318999999998</v>
      </c>
      <c r="K49">
        <v>49.233665999999999</v>
      </c>
      <c r="L49">
        <v>283.27668799999998</v>
      </c>
      <c r="M49">
        <v>-622.50693799999999</v>
      </c>
      <c r="N49">
        <v>1.32945</v>
      </c>
      <c r="O49">
        <v>2.971705</v>
      </c>
      <c r="P49">
        <f t="shared" si="10"/>
        <v>2.2157499999999999E-5</v>
      </c>
      <c r="Q49" cm="1">
        <f t="array" ref="Q49">[1]!PropsSI("D","T",J49+273.15,"P",101325,"Water")</f>
        <v>984.52410556649863</v>
      </c>
      <c r="R49" cm="1">
        <f t="array" ref="R49">[1]!PropsSI("D","T",K49+273.15,"P",101325,"Water")</f>
        <v>988.37972537441578</v>
      </c>
      <c r="S49">
        <f t="shared" si="11"/>
        <v>986.45191547045715</v>
      </c>
      <c r="T49" cm="1">
        <f t="array" ref="T49">[1]!PropsSI("H","T",J49+273.15,"P",101325,"Water")</f>
        <v>240278.53693703684</v>
      </c>
      <c r="U49" cm="1">
        <f t="array" ref="U49">[1]!PropsSI("H","T",K49+273.15,"P",101325,"Water")</f>
        <v>206214.26905479247</v>
      </c>
      <c r="V49">
        <f t="shared" si="12"/>
        <v>744.55320569634443</v>
      </c>
      <c r="X49">
        <f t="shared" si="13"/>
        <v>0.26475663799999999</v>
      </c>
      <c r="Y49">
        <f t="shared" si="14"/>
        <v>0.24846733199999999</v>
      </c>
      <c r="Z49">
        <f t="shared" si="15"/>
        <v>0.36308689378199988</v>
      </c>
      <c r="AA49">
        <f t="shared" si="16"/>
        <v>8.1446529999999981</v>
      </c>
      <c r="AB49">
        <f t="shared" si="17"/>
        <v>4.5687606475532494E-2</v>
      </c>
      <c r="AC49">
        <f t="shared" si="18"/>
        <v>34.016853861950786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F03D-84CA-F940-9485-E2F2ED1E4E4E}">
  <dimension ref="A1:AC47"/>
  <sheetViews>
    <sheetView tabSelected="1"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44675.017927502297</v>
      </c>
      <c r="B2">
        <v>17.28388</v>
      </c>
      <c r="C2">
        <v>17.660506000000002</v>
      </c>
      <c r="D2">
        <v>18.570644999999999</v>
      </c>
      <c r="E2">
        <v>19.058589000000001</v>
      </c>
      <c r="F2">
        <v>27.934552</v>
      </c>
      <c r="G2">
        <v>28.849489999999999</v>
      </c>
      <c r="H2">
        <v>25.448737000000001</v>
      </c>
      <c r="I2">
        <v>22.52657</v>
      </c>
      <c r="J2">
        <v>57.611279000000003</v>
      </c>
      <c r="K2">
        <v>49.185699</v>
      </c>
      <c r="L2">
        <v>341.96517799999998</v>
      </c>
      <c r="M2">
        <v>-622.48979599999996</v>
      </c>
      <c r="N2">
        <v>1.3359939999999999</v>
      </c>
      <c r="O2">
        <v>2.718019</v>
      </c>
      <c r="P2">
        <f t="shared" ref="P2:P25" si="0" xml:space="preserve"> N2*0.001/60</f>
        <v>2.2266566666666664E-5</v>
      </c>
      <c r="Q2" cm="1">
        <f t="array" ref="Q2">[1]!PropsSI("D","T",J2+273.15,"P",101325,"Water")</f>
        <v>984.40774582001438</v>
      </c>
      <c r="R2" cm="1">
        <f t="array" ref="R2">[1]!PropsSI("D","T",K2+273.15,"P",101325,"Water")</f>
        <v>988.40117091985485</v>
      </c>
      <c r="S2">
        <f t="shared" ref="S2:S25" si="1">(Q2+R2)/2</f>
        <v>986.40445836993467</v>
      </c>
      <c r="T2" cm="1">
        <f t="array" ref="T2">[1]!PropsSI("H","T",J2+273.15,"P",101325,"Water")</f>
        <v>241253.21970193036</v>
      </c>
      <c r="U2" cm="1">
        <f t="array" ref="U2">[1]!PropsSI("H","T",K2+273.15,"P",101325,"Water")</f>
        <v>206013.71308544098</v>
      </c>
      <c r="V2">
        <f t="shared" ref="V2:V25" si="2">S2*P2*(T2-U2)</f>
        <v>773.99490729572199</v>
      </c>
      <c r="W2" s="3">
        <f>AVERAGE(V14:V47)</f>
        <v>784.24289575818739</v>
      </c>
      <c r="X2">
        <f>(0.15+0.002*ABS(J2))</f>
        <v>0.265222558</v>
      </c>
      <c r="Y2">
        <f>(0.15+0.002*ABS(K2))</f>
        <v>0.24837139799999999</v>
      </c>
      <c r="Z2">
        <f>SQRT((X2)^2 + (Y2)^2)</f>
        <v>0.3633611930525022</v>
      </c>
      <c r="AA2">
        <f>J2-K2</f>
        <v>8.4255800000000036</v>
      </c>
      <c r="AB2">
        <f>SQRT((0.01)^2 + (Z2/ABS(AA2))^2)</f>
        <v>4.4270171538627737E-2</v>
      </c>
      <c r="AC2">
        <f>ABS(V2*AB2)</f>
        <v>34.264887316005883</v>
      </c>
    </row>
    <row r="3" spans="1:29" x14ac:dyDescent="0.2">
      <c r="A3">
        <v>44675.017985951403</v>
      </c>
      <c r="B3">
        <v>17.547891</v>
      </c>
      <c r="C3">
        <v>17.925861000000001</v>
      </c>
      <c r="D3">
        <v>18.720372000000001</v>
      </c>
      <c r="E3">
        <v>19.237593</v>
      </c>
      <c r="F3">
        <v>27.931657000000001</v>
      </c>
      <c r="G3">
        <v>28.227834999999999</v>
      </c>
      <c r="H3">
        <v>25.221281000000001</v>
      </c>
      <c r="I3">
        <v>22.466977</v>
      </c>
      <c r="J3">
        <v>57.615737000000003</v>
      </c>
      <c r="K3">
        <v>49.167909999999999</v>
      </c>
      <c r="L3">
        <v>376.66384900000003</v>
      </c>
      <c r="M3">
        <v>-622.47591999999997</v>
      </c>
      <c r="N3">
        <v>1.3311630000000001</v>
      </c>
      <c r="O3">
        <v>2.973001</v>
      </c>
      <c r="P3">
        <f t="shared" si="0"/>
        <v>2.2186050000000004E-5</v>
      </c>
      <c r="Q3" cm="1">
        <f t="array" ref="Q3">[1]!PropsSI("D","T",J3+273.15,"P",101325,"Water")</f>
        <v>984.4055159199628</v>
      </c>
      <c r="R3" cm="1">
        <f t="array" ref="R3">[1]!PropsSI("D","T",K3+273.15,"P",101325,"Water")</f>
        <v>988.4091203237499</v>
      </c>
      <c r="S3">
        <f t="shared" si="1"/>
        <v>986.40731812185641</v>
      </c>
      <c r="T3" cm="1">
        <f t="array" ref="T3">[1]!PropsSI("H","T",J3+273.15,"P",101325,"Water")</f>
        <v>241271.87176695542</v>
      </c>
      <c r="U3" cm="1">
        <f t="array" ref="U3">[1]!PropsSI("H","T",K3+273.15,"P",101325,"Water")</f>
        <v>205939.33523023312</v>
      </c>
      <c r="V3">
        <f t="shared" si="2"/>
        <v>773.23426268652622</v>
      </c>
      <c r="W3" s="3" t="s">
        <v>33</v>
      </c>
      <c r="X3">
        <f t="shared" ref="X3:Y25" si="3">(0.15+0.002*ABS(J3))</f>
        <v>0.26523147400000002</v>
      </c>
      <c r="Y3">
        <f t="shared" si="3"/>
        <v>0.24833581999999998</v>
      </c>
      <c r="Z3">
        <f t="shared" ref="Z3:Z7" si="4">SQRT((X3)^2 + (Y3)^2)</f>
        <v>0.36334338344778633</v>
      </c>
      <c r="AA3">
        <f>J3-K3</f>
        <v>8.4478270000000037</v>
      </c>
      <c r="AB3">
        <f t="shared" ref="AB3:AB25" si="5">SQRT((0.01)^2 + (Z3/ABS(AA3))^2)</f>
        <v>4.4157490527290434E-2</v>
      </c>
      <c r="AC3">
        <f t="shared" ref="AC3:AC25" si="6">ABS(V3*AB3)</f>
        <v>34.144084629956687</v>
      </c>
    </row>
    <row r="4" spans="1:29" x14ac:dyDescent="0.2">
      <c r="A4">
        <v>44675.018043821801</v>
      </c>
      <c r="B4">
        <v>17.896182</v>
      </c>
      <c r="C4">
        <v>18.526814000000002</v>
      </c>
      <c r="D4">
        <v>18.970744</v>
      </c>
      <c r="E4">
        <v>19.451750000000001</v>
      </c>
      <c r="F4">
        <v>28.393279</v>
      </c>
      <c r="G4">
        <v>29.078818999999999</v>
      </c>
      <c r="H4">
        <v>25.066099000000001</v>
      </c>
      <c r="I4">
        <v>22.583932999999998</v>
      </c>
      <c r="J4">
        <v>57.613667</v>
      </c>
      <c r="K4">
        <v>49.160286999999997</v>
      </c>
      <c r="L4">
        <v>381.43871200000001</v>
      </c>
      <c r="M4">
        <v>-622.48612300000002</v>
      </c>
      <c r="N4">
        <v>1.3284009999999999</v>
      </c>
      <c r="O4">
        <v>2.4953270000000001</v>
      </c>
      <c r="P4">
        <f t="shared" si="0"/>
        <v>2.2140016666666665E-5</v>
      </c>
      <c r="Q4" cm="1">
        <f t="array" ref="Q4">[1]!PropsSI("D","T",J4+273.15,"P",101325,"Water")</f>
        <v>984.40655135282873</v>
      </c>
      <c r="R4" cm="1">
        <f t="array" ref="R4">[1]!PropsSI("D","T",K4+273.15,"P",101325,"Water")</f>
        <v>988.41252618659496</v>
      </c>
      <c r="S4">
        <f t="shared" si="1"/>
        <v>986.40953876971184</v>
      </c>
      <c r="T4" cm="1">
        <f t="array" ref="T4">[1]!PropsSI("H","T",J4+273.15,"P",101325,"Water")</f>
        <v>241263.21098207301</v>
      </c>
      <c r="U4" cm="1">
        <f t="array" ref="U4">[1]!PropsSI("H","T",K4+273.15,"P",101325,"Water")</f>
        <v>205907.46261650787</v>
      </c>
      <c r="V4">
        <f t="shared" si="2"/>
        <v>772.13855953443522</v>
      </c>
      <c r="W4" s="3">
        <f>SQRT((AVERAGE(AC14:AC47))^2 + (_xlfn.STDEV.S(V14:V47)/SQRT(COUNT(V14:V47)))^2)</f>
        <v>34.144047867722676</v>
      </c>
      <c r="X4">
        <f t="shared" si="3"/>
        <v>0.26522733399999998</v>
      </c>
      <c r="Y4">
        <f t="shared" si="3"/>
        <v>0.24832057399999999</v>
      </c>
      <c r="Z4">
        <f t="shared" si="4"/>
        <v>0.36332994120005718</v>
      </c>
      <c r="AA4">
        <f t="shared" ref="AA4:AA5" si="7">J4-K4</f>
        <v>8.4533800000000028</v>
      </c>
      <c r="AB4">
        <f t="shared" si="5"/>
        <v>4.412842289460752E-2</v>
      </c>
      <c r="AC4">
        <f t="shared" si="6"/>
        <v>34.07325688836864</v>
      </c>
    </row>
    <row r="5" spans="1:29" x14ac:dyDescent="0.2">
      <c r="A5">
        <v>44675.0181022709</v>
      </c>
      <c r="B5">
        <v>17.463963</v>
      </c>
      <c r="C5">
        <v>17.846526999999998</v>
      </c>
      <c r="D5">
        <v>19.094828</v>
      </c>
      <c r="E5">
        <v>19.51784</v>
      </c>
      <c r="F5">
        <v>28.061882000000001</v>
      </c>
      <c r="G5">
        <v>29.219048999999998</v>
      </c>
      <c r="H5">
        <v>25.498154</v>
      </c>
      <c r="I5">
        <v>22.882853000000001</v>
      </c>
      <c r="J5">
        <v>57.613985999999997</v>
      </c>
      <c r="K5">
        <v>49.159968999999997</v>
      </c>
      <c r="L5">
        <v>368.95648</v>
      </c>
      <c r="M5">
        <v>-622.51102000000003</v>
      </c>
      <c r="N5">
        <v>1.328757</v>
      </c>
      <c r="O5">
        <v>3.0938530000000002</v>
      </c>
      <c r="P5">
        <f t="shared" si="0"/>
        <v>2.2145950000000001E-5</v>
      </c>
      <c r="Q5" cm="1">
        <f t="array" ref="Q5">[1]!PropsSI("D","T",J5+273.15,"P",101325,"Water")</f>
        <v>984.40639178780748</v>
      </c>
      <c r="R5" cm="1">
        <f t="array" ref="R5">[1]!PropsSI("D","T",K5+273.15,"P",101325,"Water")</f>
        <v>988.41266825673654</v>
      </c>
      <c r="S5">
        <f t="shared" si="1"/>
        <v>986.40953002227207</v>
      </c>
      <c r="T5" cm="1">
        <f t="array" ref="T5">[1]!PropsSI("H","T",J5+273.15,"P",101325,"Water")</f>
        <v>241264.54566330509</v>
      </c>
      <c r="U5" cm="1">
        <f t="array" ref="U5">[1]!PropsSI("H","T",K5+273.15,"P",101325,"Water")</f>
        <v>205906.13302333458</v>
      </c>
      <c r="V5">
        <f t="shared" si="2"/>
        <v>772.40368016423247</v>
      </c>
      <c r="W5" s="3"/>
      <c r="X5">
        <f t="shared" si="3"/>
        <v>0.26522797199999998</v>
      </c>
      <c r="Y5">
        <f t="shared" si="3"/>
        <v>0.24831993799999999</v>
      </c>
      <c r="Z5">
        <f t="shared" si="4"/>
        <v>0.36332997225601499</v>
      </c>
      <c r="AA5">
        <f t="shared" si="7"/>
        <v>8.4540170000000003</v>
      </c>
      <c r="AB5">
        <f t="shared" si="5"/>
        <v>4.4125272204021529E-2</v>
      </c>
      <c r="AC5">
        <f t="shared" si="6"/>
        <v>34.082522638634742</v>
      </c>
    </row>
    <row r="6" spans="1:29" x14ac:dyDescent="0.2">
      <c r="A6">
        <v>46137.01816013889</v>
      </c>
      <c r="B6">
        <v>17.368115</v>
      </c>
      <c r="C6">
        <v>17.731615999999999</v>
      </c>
      <c r="D6">
        <v>18.677177</v>
      </c>
      <c r="E6">
        <v>19.086866000000001</v>
      </c>
      <c r="F6">
        <v>27.860979</v>
      </c>
      <c r="G6">
        <v>28.768332999999998</v>
      </c>
      <c r="H6">
        <v>25.297723999999999</v>
      </c>
      <c r="I6">
        <v>22.256184999999999</v>
      </c>
      <c r="J6">
        <v>57.610481999999998</v>
      </c>
      <c r="K6">
        <v>49.150280000000002</v>
      </c>
      <c r="L6">
        <v>353.76009800000003</v>
      </c>
      <c r="M6">
        <v>-622.487348</v>
      </c>
      <c r="N6">
        <v>1.3326089999999999</v>
      </c>
      <c r="O6">
        <v>3.0375570000000001</v>
      </c>
      <c r="P6">
        <f t="shared" si="0"/>
        <v>2.2210149999999999E-5</v>
      </c>
      <c r="Q6" cm="1">
        <f t="array" ref="Q6">[1]!PropsSI("D","T",J6+273.15,"P",101325,"Water")</f>
        <v>984.40814446827119</v>
      </c>
      <c r="R6" cm="1">
        <f t="array" ref="R6">[1]!PropsSI("D","T",K6+273.15,"P",101325,"Water")</f>
        <v>988.41699660709617</v>
      </c>
      <c r="S6">
        <f t="shared" si="1"/>
        <v>986.41257053768368</v>
      </c>
      <c r="T6" cm="1">
        <f t="array" ref="T6">[1]!PropsSI("H","T",J6+273.15,"P",101325,"Water")</f>
        <v>241249.88509174428</v>
      </c>
      <c r="U6" cm="1">
        <f t="array" ref="U6">[1]!PropsSI("H","T",K6+273.15,"P",101325,"Water")</f>
        <v>205865.62225635734</v>
      </c>
      <c r="V6">
        <f t="shared" si="2"/>
        <v>775.21156319162753</v>
      </c>
      <c r="W6" s="3"/>
      <c r="X6">
        <f t="shared" si="3"/>
        <v>0.265220964</v>
      </c>
      <c r="Y6">
        <f t="shared" si="3"/>
        <v>0.24830056</v>
      </c>
      <c r="Z6">
        <f t="shared" si="4"/>
        <v>0.36331161258815126</v>
      </c>
      <c r="AA6">
        <f>J6-K6</f>
        <v>8.4602019999999953</v>
      </c>
      <c r="AB6">
        <f t="shared" si="5"/>
        <v>4.4092557345012828E-2</v>
      </c>
      <c r="AC6">
        <f t="shared" si="6"/>
        <v>34.18106030454387</v>
      </c>
    </row>
    <row r="7" spans="1:29" x14ac:dyDescent="0.2">
      <c r="A7">
        <v>46137.01821800926</v>
      </c>
      <c r="B7">
        <v>17.359272000000001</v>
      </c>
      <c r="C7">
        <v>17.795173999999999</v>
      </c>
      <c r="D7">
        <v>18.904388999999998</v>
      </c>
      <c r="E7">
        <v>19.303273999999998</v>
      </c>
      <c r="F7">
        <v>28.024618</v>
      </c>
      <c r="G7">
        <v>28.972346999999999</v>
      </c>
      <c r="H7">
        <v>25.358930999999998</v>
      </c>
      <c r="I7">
        <v>22.700614999999999</v>
      </c>
      <c r="J7">
        <v>57.605387</v>
      </c>
      <c r="K7">
        <v>49.126297000000001</v>
      </c>
      <c r="L7">
        <v>388.01226000000003</v>
      </c>
      <c r="M7">
        <v>-622.493878</v>
      </c>
      <c r="N7">
        <v>1.3374569999999999</v>
      </c>
      <c r="O7">
        <v>2.987806</v>
      </c>
      <c r="P7">
        <f t="shared" si="0"/>
        <v>2.229095E-5</v>
      </c>
      <c r="Q7" cm="1">
        <f t="array" ref="Q7">[1]!PropsSI("D","T",J7+273.15,"P",101325,"Water")</f>
        <v>984.41069282529975</v>
      </c>
      <c r="R7" cm="1">
        <f t="array" ref="R7">[1]!PropsSI("D","T",K7+273.15,"P",101325,"Water")</f>
        <v>988.42770781651097</v>
      </c>
      <c r="S7">
        <f t="shared" si="1"/>
        <v>986.41920032090536</v>
      </c>
      <c r="T7" cm="1">
        <f t="array" ref="T7">[1]!PropsSI("H","T",J7+273.15,"P",101325,"Water")</f>
        <v>241228.56785965987</v>
      </c>
      <c r="U7" cm="1">
        <f t="array" ref="U7">[1]!PropsSI("H","T",K7+273.15,"P",101325,"Water")</f>
        <v>205765.34682314098</v>
      </c>
      <c r="V7">
        <f t="shared" si="2"/>
        <v>779.77314412558883</v>
      </c>
      <c r="W7" s="3"/>
      <c r="X7">
        <f t="shared" si="3"/>
        <v>0.26521077399999998</v>
      </c>
      <c r="Y7">
        <f t="shared" si="3"/>
        <v>0.24825259399999999</v>
      </c>
      <c r="Z7">
        <f t="shared" si="4"/>
        <v>0.36327139313935508</v>
      </c>
      <c r="AA7">
        <f t="shared" ref="AA7:AA25" si="8">J7-K7</f>
        <v>8.4790899999999993</v>
      </c>
      <c r="AB7">
        <f t="shared" si="5"/>
        <v>4.3994775092597173E-2</v>
      </c>
      <c r="AC7">
        <f t="shared" si="6"/>
        <v>34.305944099052638</v>
      </c>
    </row>
    <row r="8" spans="1:29" x14ac:dyDescent="0.2">
      <c r="A8">
        <v>46137.018275879629</v>
      </c>
      <c r="B8">
        <v>17.09413</v>
      </c>
      <c r="C8">
        <v>17.220171000000001</v>
      </c>
      <c r="D8">
        <v>18.897673999999999</v>
      </c>
      <c r="E8">
        <v>19.167874999999999</v>
      </c>
      <c r="F8">
        <v>27.510991000000001</v>
      </c>
      <c r="G8">
        <v>28.843108000000001</v>
      </c>
      <c r="H8">
        <v>25.220279999999999</v>
      </c>
      <c r="I8">
        <v>22.484960000000001</v>
      </c>
      <c r="J8">
        <v>57.603954000000002</v>
      </c>
      <c r="K8">
        <v>49.104855999999998</v>
      </c>
      <c r="L8">
        <v>381.26525099999998</v>
      </c>
      <c r="M8">
        <v>-622.49469399999998</v>
      </c>
      <c r="N8">
        <v>1.3237829999999999</v>
      </c>
      <c r="O8">
        <v>2.9794700000000001</v>
      </c>
      <c r="P8">
        <f t="shared" si="0"/>
        <v>2.2063050000000002E-5</v>
      </c>
      <c r="Q8" cm="1">
        <f t="array" ref="Q8">[1]!PropsSI("D","T",J8+273.15,"P",101325,"Water")</f>
        <v>984.41140953806985</v>
      </c>
      <c r="R8" cm="1">
        <f t="array" ref="R8">[1]!PropsSI("D","T",K8+273.15,"P",101325,"Water")</f>
        <v>988.43728049926665</v>
      </c>
      <c r="S8">
        <f t="shared" si="1"/>
        <v>986.42434501866819</v>
      </c>
      <c r="T8" cm="1">
        <f t="array" ref="T8">[1]!PropsSI("H","T",J8+273.15,"P",101325,"Water")</f>
        <v>241222.57225924905</v>
      </c>
      <c r="U8" cm="1">
        <f t="array" ref="U8">[1]!PropsSI("H","T",K8+273.15,"P",101325,"Water")</f>
        <v>205675.69988877827</v>
      </c>
      <c r="V8">
        <f t="shared" si="2"/>
        <v>773.62541063471599</v>
      </c>
      <c r="W8" s="3"/>
      <c r="X8">
        <f t="shared" si="3"/>
        <v>0.26520790799999999</v>
      </c>
      <c r="Y8">
        <f t="shared" si="3"/>
        <v>0.248209712</v>
      </c>
      <c r="Z8">
        <f>SQRT((X8)^2 + (Y8)^2)</f>
        <v>0.36323999724267619</v>
      </c>
      <c r="AA8">
        <f t="shared" si="8"/>
        <v>8.4990980000000036</v>
      </c>
      <c r="AB8">
        <f t="shared" si="5"/>
        <v>4.3892965611359712E-2</v>
      </c>
      <c r="AC8">
        <f t="shared" si="6"/>
        <v>33.956713545063621</v>
      </c>
    </row>
    <row r="9" spans="1:29" x14ac:dyDescent="0.2">
      <c r="A9">
        <v>46137.018334328706</v>
      </c>
      <c r="B9">
        <v>17.528549000000002</v>
      </c>
      <c r="C9">
        <v>17.931574999999999</v>
      </c>
      <c r="D9">
        <v>18.944942999999999</v>
      </c>
      <c r="E9">
        <v>19.347373999999999</v>
      </c>
      <c r="F9">
        <v>28.039379</v>
      </c>
      <c r="G9">
        <v>28.275979</v>
      </c>
      <c r="H9">
        <v>25.479319</v>
      </c>
      <c r="I9">
        <v>22.965042</v>
      </c>
      <c r="J9">
        <v>57.605387</v>
      </c>
      <c r="K9">
        <v>49.077379000000001</v>
      </c>
      <c r="L9">
        <v>365.47257300000001</v>
      </c>
      <c r="M9">
        <v>-622.50204099999996</v>
      </c>
      <c r="N9">
        <v>1.328999</v>
      </c>
      <c r="O9">
        <v>1.8222179999999999</v>
      </c>
      <c r="P9">
        <f t="shared" si="0"/>
        <v>2.2149983333333333E-5</v>
      </c>
      <c r="Q9" cm="1">
        <f t="array" ref="Q9">[1]!PropsSI("D","T",J9+273.15,"P",101325,"Water")</f>
        <v>984.41069282529975</v>
      </c>
      <c r="R9" cm="1">
        <f t="array" ref="R9">[1]!PropsSI("D","T",K9+273.15,"P",101325,"Water")</f>
        <v>988.44954359761016</v>
      </c>
      <c r="S9">
        <f t="shared" si="1"/>
        <v>986.43011821145501</v>
      </c>
      <c r="T9" cm="1">
        <f t="array" ref="T9">[1]!PropsSI("H","T",J9+273.15,"P",101325,"Water")</f>
        <v>241228.56785965987</v>
      </c>
      <c r="U9" cm="1">
        <f t="array" ref="U9">[1]!PropsSI("H","T",K9+273.15,"P",101325,"Water")</f>
        <v>205560.81602350474</v>
      </c>
      <c r="V9">
        <f t="shared" si="2"/>
        <v>779.31935782492462</v>
      </c>
      <c r="W9" s="3"/>
      <c r="X9">
        <f t="shared" si="3"/>
        <v>0.26521077399999998</v>
      </c>
      <c r="Y9">
        <f t="shared" si="3"/>
        <v>0.248154758</v>
      </c>
      <c r="Z9">
        <f t="shared" ref="Z9:Z25" si="9">SQRT((X9)^2 + (Y9)^2)</f>
        <v>0.36320454094589405</v>
      </c>
      <c r="AA9">
        <f t="shared" si="8"/>
        <v>8.5280079999999998</v>
      </c>
      <c r="AB9">
        <f t="shared" si="5"/>
        <v>4.3747856420280951E-2</v>
      </c>
      <c r="AC9">
        <f t="shared" si="6"/>
        <v>34.093551371670358</v>
      </c>
    </row>
    <row r="10" spans="1:29" x14ac:dyDescent="0.2">
      <c r="A10">
        <v>44675.018392201397</v>
      </c>
      <c r="B10">
        <v>17.609746999999999</v>
      </c>
      <c r="C10">
        <v>18.289681999999999</v>
      </c>
      <c r="D10">
        <v>18.925076000000001</v>
      </c>
      <c r="E10">
        <v>19.388952</v>
      </c>
      <c r="F10">
        <v>28.035941999999999</v>
      </c>
      <c r="G10">
        <v>28.207106</v>
      </c>
      <c r="H10">
        <v>25.487795999999999</v>
      </c>
      <c r="I10">
        <v>22.568529000000002</v>
      </c>
      <c r="J10">
        <v>57.601246000000003</v>
      </c>
      <c r="K10">
        <v>49.083891000000001</v>
      </c>
      <c r="L10">
        <v>369.15606200000002</v>
      </c>
      <c r="M10">
        <v>-622.48204199999998</v>
      </c>
      <c r="N10">
        <v>1.331458</v>
      </c>
      <c r="O10">
        <v>1.8512690000000001</v>
      </c>
      <c r="P10">
        <f t="shared" si="0"/>
        <v>2.2190966666666668E-5</v>
      </c>
      <c r="Q10" cm="1">
        <f t="array" ref="Q10">[1]!PropsSI("D","T",J10+273.15,"P",101325,"Water")</f>
        <v>984.4127639062566</v>
      </c>
      <c r="R10" cm="1">
        <f t="array" ref="R10">[1]!PropsSI("D","T",K10+273.15,"P",101325,"Water")</f>
        <v>988.44663771774378</v>
      </c>
      <c r="S10">
        <f t="shared" si="1"/>
        <v>986.42970081200019</v>
      </c>
      <c r="T10" cm="1">
        <f t="array" ref="T10">[1]!PropsSI("H","T",J10+273.15,"P",101325,"Water")</f>
        <v>241211.24212477118</v>
      </c>
      <c r="U10" cm="1">
        <f t="array" ref="U10">[1]!PropsSI("H","T",K10+273.15,"P",101325,"Water")</f>
        <v>205588.04327640063</v>
      </c>
      <c r="V10">
        <f t="shared" si="2"/>
        <v>779.78571732112925</v>
      </c>
      <c r="X10">
        <f t="shared" si="3"/>
        <v>0.26520249200000001</v>
      </c>
      <c r="Y10">
        <f t="shared" si="3"/>
        <v>0.248167782</v>
      </c>
      <c r="Z10">
        <f t="shared" si="9"/>
        <v>0.36320739225105203</v>
      </c>
      <c r="AA10">
        <f t="shared" si="8"/>
        <v>8.517355000000002</v>
      </c>
      <c r="AB10">
        <f t="shared" si="5"/>
        <v>4.3800042271374823E-2</v>
      </c>
      <c r="AC10">
        <f t="shared" si="6"/>
        <v>34.154647381279801</v>
      </c>
    </row>
    <row r="11" spans="1:29" x14ac:dyDescent="0.2">
      <c r="A11">
        <v>44675.018450650503</v>
      </c>
      <c r="B11">
        <v>17.37998</v>
      </c>
      <c r="C11">
        <v>18.000624999999999</v>
      </c>
      <c r="D11">
        <v>18.85669</v>
      </c>
      <c r="E11">
        <v>19.310704999999999</v>
      </c>
      <c r="F11">
        <v>27.890734999999999</v>
      </c>
      <c r="G11">
        <v>28.118912999999999</v>
      </c>
      <c r="H11">
        <v>25.662437000000001</v>
      </c>
      <c r="I11">
        <v>22.719570999999998</v>
      </c>
      <c r="J11">
        <v>57.598379999999999</v>
      </c>
      <c r="K11">
        <v>49.080238000000001</v>
      </c>
      <c r="L11">
        <v>376.40345400000001</v>
      </c>
      <c r="M11">
        <v>-622.49347</v>
      </c>
      <c r="N11">
        <v>1.329475</v>
      </c>
      <c r="O11">
        <v>2.6152000000000002</v>
      </c>
      <c r="P11">
        <f t="shared" si="0"/>
        <v>2.2157916666666663E-5</v>
      </c>
      <c r="Q11" cm="1">
        <f t="array" ref="Q11">[1]!PropsSI("D","T",J11+273.15,"P",101325,"Water")</f>
        <v>984.41419724763932</v>
      </c>
      <c r="R11" cm="1">
        <f t="array" ref="R11">[1]!PropsSI("D","T",K11+273.15,"P",101325,"Water")</f>
        <v>988.44826784746965</v>
      </c>
      <c r="S11">
        <f t="shared" si="1"/>
        <v>986.43123254755449</v>
      </c>
      <c r="T11" cm="1">
        <f t="array" ref="T11">[1]!PropsSI("H","T",J11+273.15,"P",101325,"Water")</f>
        <v>241199.25092959078</v>
      </c>
      <c r="U11" cm="1">
        <f t="array" ref="U11">[1]!PropsSI("H","T",K11+273.15,"P",101325,"Water")</f>
        <v>205572.76975611394</v>
      </c>
      <c r="V11">
        <f t="shared" si="2"/>
        <v>778.69729923696718</v>
      </c>
      <c r="X11">
        <f t="shared" si="3"/>
        <v>0.26519675999999998</v>
      </c>
      <c r="Y11">
        <f t="shared" si="3"/>
        <v>0.24816047600000002</v>
      </c>
      <c r="Z11">
        <f t="shared" si="9"/>
        <v>0.36319821497777788</v>
      </c>
      <c r="AA11">
        <f t="shared" si="8"/>
        <v>8.5181419999999974</v>
      </c>
      <c r="AB11">
        <f t="shared" si="5"/>
        <v>4.3795157568731063E-2</v>
      </c>
      <c r="AC11">
        <f t="shared" si="6"/>
        <v>34.103170918428305</v>
      </c>
    </row>
    <row r="12" spans="1:29" x14ac:dyDescent="0.2">
      <c r="A12">
        <v>44675.018508520901</v>
      </c>
      <c r="B12">
        <v>17.522200000000002</v>
      </c>
      <c r="C12">
        <v>18.310010999999999</v>
      </c>
      <c r="D12">
        <v>18.780677000000001</v>
      </c>
      <c r="E12">
        <v>19.371013000000001</v>
      </c>
      <c r="F12">
        <v>28.043226000000001</v>
      </c>
      <c r="G12">
        <v>28.977409000000002</v>
      </c>
      <c r="H12">
        <v>25.398161000000002</v>
      </c>
      <c r="I12">
        <v>22.369934000000001</v>
      </c>
      <c r="J12">
        <v>57.593443999999998</v>
      </c>
      <c r="K12">
        <v>49.076585000000001</v>
      </c>
      <c r="L12">
        <v>365.533794</v>
      </c>
      <c r="M12">
        <v>-622.47347100000002</v>
      </c>
      <c r="N12">
        <v>1.3312330000000001</v>
      </c>
      <c r="O12">
        <v>2.5683590000000001</v>
      </c>
      <c r="P12">
        <f t="shared" si="0"/>
        <v>2.218721666666667E-5</v>
      </c>
      <c r="Q12" cm="1">
        <f t="array" ref="Q12">[1]!PropsSI("D","T",J12+273.15,"P",101325,"Water")</f>
        <v>984.41666571916812</v>
      </c>
      <c r="R12" cm="1">
        <f t="array" ref="R12">[1]!PropsSI("D","T",K12+273.15,"P",101325,"Water")</f>
        <v>988.44989788869259</v>
      </c>
      <c r="S12">
        <f t="shared" si="1"/>
        <v>986.43328180393041</v>
      </c>
      <c r="T12" cm="1">
        <f t="array" ref="T12">[1]!PropsSI("H","T",J12+273.15,"P",101325,"Water")</f>
        <v>241178.5989695618</v>
      </c>
      <c r="U12" cm="1">
        <f t="array" ref="U12">[1]!PropsSI("H","T",K12+273.15,"P",101325,"Water")</f>
        <v>205557.49623942736</v>
      </c>
      <c r="V12">
        <f t="shared" si="2"/>
        <v>779.61089740232762</v>
      </c>
      <c r="X12">
        <f t="shared" si="3"/>
        <v>0.26518688800000001</v>
      </c>
      <c r="Y12">
        <f t="shared" si="3"/>
        <v>0.24815317000000001</v>
      </c>
      <c r="Z12">
        <f t="shared" si="9"/>
        <v>0.36318601480257118</v>
      </c>
      <c r="AA12">
        <f t="shared" si="8"/>
        <v>8.5168589999999966</v>
      </c>
      <c r="AB12">
        <f t="shared" si="5"/>
        <v>4.3800016389255882E-2</v>
      </c>
      <c r="AC12">
        <f t="shared" si="6"/>
        <v>34.146970083464439</v>
      </c>
    </row>
    <row r="13" spans="1:29" x14ac:dyDescent="0.2">
      <c r="A13">
        <v>44675.018566969899</v>
      </c>
      <c r="B13">
        <v>17.374797000000001</v>
      </c>
      <c r="C13">
        <v>18.167190000000002</v>
      </c>
      <c r="D13">
        <v>18.629684000000001</v>
      </c>
      <c r="E13">
        <v>19.327335000000001</v>
      </c>
      <c r="F13">
        <v>28.016261</v>
      </c>
      <c r="G13">
        <v>28.927343</v>
      </c>
      <c r="H13">
        <v>25.761574</v>
      </c>
      <c r="I13">
        <v>22.025625000000002</v>
      </c>
      <c r="J13">
        <v>57.591532999999998</v>
      </c>
      <c r="K13">
        <v>49.068485000000003</v>
      </c>
      <c r="L13">
        <v>378.19275199999998</v>
      </c>
      <c r="M13">
        <v>-622.50081599999999</v>
      </c>
      <c r="N13">
        <v>1.3235330000000001</v>
      </c>
      <c r="O13">
        <v>2.706734</v>
      </c>
      <c r="P13">
        <f t="shared" si="0"/>
        <v>2.2058883333333333E-5</v>
      </c>
      <c r="Q13" cm="1">
        <f t="array" ref="Q13">[1]!PropsSI("D","T",J13+273.15,"P",101325,"Water")</f>
        <v>984.41762136216676</v>
      </c>
      <c r="R13" cm="1">
        <f t="array" ref="R13">[1]!PropsSI("D","T",K13+273.15,"P",101325,"Water")</f>
        <v>988.45351195417948</v>
      </c>
      <c r="S13">
        <f t="shared" si="1"/>
        <v>986.43556665817312</v>
      </c>
      <c r="T13" cm="1">
        <f t="array" ref="T13">[1]!PropsSI("H","T",J13+273.15,"P",101325,"Water")</f>
        <v>241170.60345039738</v>
      </c>
      <c r="U13" cm="1">
        <f t="array" ref="U13">[1]!PropsSI("H","T",K13+273.15,"P",101325,"Water")</f>
        <v>205523.62943437955</v>
      </c>
      <c r="V13">
        <f t="shared" si="2"/>
        <v>775.66628702516437</v>
      </c>
      <c r="X13">
        <f t="shared" si="3"/>
        <v>0.26518306599999997</v>
      </c>
      <c r="Y13">
        <f t="shared" si="3"/>
        <v>0.24813697000000001</v>
      </c>
      <c r="Z13">
        <f t="shared" si="9"/>
        <v>0.36317215528443425</v>
      </c>
      <c r="AA13">
        <f t="shared" si="8"/>
        <v>8.5230479999999957</v>
      </c>
      <c r="AB13">
        <f t="shared" si="5"/>
        <v>4.3768286397267014E-2</v>
      </c>
      <c r="AC13">
        <f t="shared" si="6"/>
        <v>33.949584199222116</v>
      </c>
    </row>
    <row r="14" spans="1:29" x14ac:dyDescent="0.2">
      <c r="A14">
        <v>44675.018625418998</v>
      </c>
      <c r="B14">
        <v>17.608089</v>
      </c>
      <c r="C14">
        <v>18.420694000000001</v>
      </c>
      <c r="D14">
        <v>18.952577999999999</v>
      </c>
      <c r="E14">
        <v>19.390861000000001</v>
      </c>
      <c r="F14">
        <v>28.155518000000001</v>
      </c>
      <c r="G14">
        <v>29.034179000000002</v>
      </c>
      <c r="H14">
        <v>25.652491000000001</v>
      </c>
      <c r="I14">
        <v>21.968485999999999</v>
      </c>
      <c r="J14">
        <v>57.589303999999998</v>
      </c>
      <c r="K14">
        <v>49.057048999999999</v>
      </c>
      <c r="L14">
        <v>363.03065400000003</v>
      </c>
      <c r="M14">
        <v>-622.50693799999999</v>
      </c>
      <c r="N14">
        <v>1.331351</v>
      </c>
      <c r="O14">
        <v>2.7966549999999999</v>
      </c>
      <c r="P14">
        <f t="shared" si="0"/>
        <v>2.2189183333333331E-5</v>
      </c>
      <c r="Q14" cm="1">
        <f t="array" ref="Q14">[1]!PropsSI("D","T",J14+273.15,"P",101325,"Water")</f>
        <v>984.41873600107124</v>
      </c>
      <c r="R14" cm="1">
        <f t="array" ref="R14">[1]!PropsSI("D","T",K14+273.15,"P",101325,"Water")</f>
        <v>988.45861373845082</v>
      </c>
      <c r="S14">
        <f t="shared" si="1"/>
        <v>986.43867486976103</v>
      </c>
      <c r="T14" cm="1">
        <f t="array" ref="T14">[1]!PropsSI("H","T",J14+273.15,"P",101325,"Water")</f>
        <v>241161.27743846149</v>
      </c>
      <c r="U14" cm="1">
        <f t="array" ref="U14">[1]!PropsSI("H","T",K14+273.15,"P",101325,"Water")</f>
        <v>205475.81455285972</v>
      </c>
      <c r="V14">
        <f t="shared" si="2"/>
        <v>781.09299689011368</v>
      </c>
      <c r="X14">
        <f t="shared" si="3"/>
        <v>0.26517860799999998</v>
      </c>
      <c r="Y14">
        <f t="shared" si="3"/>
        <v>0.24811409800000001</v>
      </c>
      <c r="Z14">
        <f t="shared" si="9"/>
        <v>0.36315327310540829</v>
      </c>
      <c r="AA14">
        <f t="shared" si="8"/>
        <v>8.5322549999999993</v>
      </c>
      <c r="AB14">
        <f t="shared" si="5"/>
        <v>4.3721369170732702E-2</v>
      </c>
      <c r="AC14">
        <f t="shared" si="6"/>
        <v>34.150455273706633</v>
      </c>
    </row>
    <row r="15" spans="1:29" x14ac:dyDescent="0.2">
      <c r="A15">
        <v>46137.018683865739</v>
      </c>
      <c r="B15">
        <v>17.439485999999999</v>
      </c>
      <c r="C15">
        <v>18.248525000000001</v>
      </c>
      <c r="D15">
        <v>18.701082</v>
      </c>
      <c r="E15">
        <v>19.387336999999999</v>
      </c>
      <c r="F15">
        <v>27.860256</v>
      </c>
      <c r="G15">
        <v>28.202389</v>
      </c>
      <c r="H15">
        <v>25.711459000000001</v>
      </c>
      <c r="I15">
        <v>22.316552999999999</v>
      </c>
      <c r="J15">
        <v>57.581501000000003</v>
      </c>
      <c r="K15">
        <v>49.048631999999998</v>
      </c>
      <c r="L15">
        <v>381.09668799999997</v>
      </c>
      <c r="M15">
        <v>-622.49550999999997</v>
      </c>
      <c r="N15">
        <v>1.337129</v>
      </c>
      <c r="O15">
        <v>2.6933660000000001</v>
      </c>
      <c r="P15">
        <f t="shared" si="0"/>
        <v>2.2285483333333335E-5</v>
      </c>
      <c r="Q15" cm="1">
        <f t="array" ref="Q15">[1]!PropsSI("D","T",J15+273.15,"P",101325,"Water")</f>
        <v>984.42263775069341</v>
      </c>
      <c r="R15" cm="1">
        <f t="array" ref="R15">[1]!PropsSI("D","T",K15+273.15,"P",101325,"Water")</f>
        <v>988.46236814397162</v>
      </c>
      <c r="S15">
        <f t="shared" si="1"/>
        <v>986.44250294733251</v>
      </c>
      <c r="T15" cm="1">
        <f t="array" ref="T15">[1]!PropsSI("H","T",J15+273.15,"P",101325,"Water")</f>
        <v>241128.6301366484</v>
      </c>
      <c r="U15" cm="1">
        <f t="array" ref="U15">[1]!PropsSI("H","T",K15+273.15,"P",101325,"Water")</f>
        <v>205440.62238757577</v>
      </c>
      <c r="V15">
        <f t="shared" si="2"/>
        <v>784.54189230151621</v>
      </c>
      <c r="X15">
        <f t="shared" si="3"/>
        <v>0.26516300199999998</v>
      </c>
      <c r="Y15">
        <f t="shared" si="3"/>
        <v>0.24809726399999998</v>
      </c>
      <c r="Z15">
        <f t="shared" si="9"/>
        <v>0.36313037608266496</v>
      </c>
      <c r="AA15">
        <f t="shared" si="8"/>
        <v>8.5328690000000051</v>
      </c>
      <c r="AB15">
        <f t="shared" si="5"/>
        <v>4.3715775451581979E-2</v>
      </c>
      <c r="AC15">
        <f t="shared" si="6"/>
        <v>34.296857196212294</v>
      </c>
    </row>
    <row r="16" spans="1:29" x14ac:dyDescent="0.2">
      <c r="A16">
        <v>46137.018742314816</v>
      </c>
      <c r="B16">
        <v>17.610569999999999</v>
      </c>
      <c r="C16">
        <v>18.366819</v>
      </c>
      <c r="D16">
        <v>18.823944999999998</v>
      </c>
      <c r="E16">
        <v>19.351852999999998</v>
      </c>
      <c r="F16">
        <v>27.932261</v>
      </c>
      <c r="G16">
        <v>28.780882999999999</v>
      </c>
      <c r="H16">
        <v>25.360064999999999</v>
      </c>
      <c r="I16">
        <v>22.811143000000001</v>
      </c>
      <c r="J16">
        <v>57.573061000000003</v>
      </c>
      <c r="K16">
        <v>49.034337000000001</v>
      </c>
      <c r="L16">
        <v>386.20133099999998</v>
      </c>
      <c r="M16">
        <v>-622.47755199999995</v>
      </c>
      <c r="N16">
        <v>1.3274630000000001</v>
      </c>
      <c r="O16">
        <v>3.2042079999999999</v>
      </c>
      <c r="P16">
        <f t="shared" si="0"/>
        <v>2.2124383333333334E-5</v>
      </c>
      <c r="Q16" cm="1">
        <f t="array" ref="Q16">[1]!PropsSI("D","T",J16+273.15,"P",101325,"Water")</f>
        <v>984.42685760625557</v>
      </c>
      <c r="R16" cm="1">
        <f t="array" ref="R16">[1]!PropsSI("D","T",K16+273.15,"P",101325,"Water")</f>
        <v>988.46874335654149</v>
      </c>
      <c r="S16">
        <f t="shared" si="1"/>
        <v>986.44780048139853</v>
      </c>
      <c r="T16" cm="1">
        <f t="array" ref="T16">[1]!PropsSI("H","T",J16+273.15,"P",101325,"Water")</f>
        <v>241093.31769099584</v>
      </c>
      <c r="U16" cm="1">
        <f t="array" ref="U16">[1]!PropsSI("H","T",K16+273.15,"P",101325,"Water")</f>
        <v>205380.85386692293</v>
      </c>
      <c r="V16">
        <f t="shared" si="2"/>
        <v>779.40842650205991</v>
      </c>
      <c r="X16">
        <f t="shared" si="3"/>
        <v>0.26514612199999998</v>
      </c>
      <c r="Y16">
        <f t="shared" si="3"/>
        <v>0.24806867399999999</v>
      </c>
      <c r="Z16">
        <f t="shared" si="9"/>
        <v>0.36309851697818479</v>
      </c>
      <c r="AA16">
        <f t="shared" si="8"/>
        <v>8.538724000000002</v>
      </c>
      <c r="AB16">
        <f t="shared" si="5"/>
        <v>4.3683736547975638E-2</v>
      </c>
      <c r="AC16">
        <f t="shared" si="6"/>
        <v>34.047472366588217</v>
      </c>
    </row>
    <row r="17" spans="1:29" x14ac:dyDescent="0.2">
      <c r="A17">
        <v>46137.018800763886</v>
      </c>
      <c r="B17">
        <v>17.890867</v>
      </c>
      <c r="C17">
        <v>18.685829999999999</v>
      </c>
      <c r="D17">
        <v>19.055047999999999</v>
      </c>
      <c r="E17">
        <v>19.383635000000002</v>
      </c>
      <c r="F17">
        <v>28.126674999999999</v>
      </c>
      <c r="G17">
        <v>28.511986</v>
      </c>
      <c r="H17">
        <v>25.483671999999999</v>
      </c>
      <c r="I17">
        <v>22.453448999999999</v>
      </c>
      <c r="J17">
        <v>57.568603000000003</v>
      </c>
      <c r="K17">
        <v>49.025284999999997</v>
      </c>
      <c r="L17">
        <v>358.10273799999999</v>
      </c>
      <c r="M17">
        <v>-622.48897999999997</v>
      </c>
      <c r="N17">
        <v>1.328249</v>
      </c>
      <c r="O17">
        <v>3.2341220000000002</v>
      </c>
      <c r="P17">
        <f t="shared" si="0"/>
        <v>2.2137483333333336E-5</v>
      </c>
      <c r="Q17" cm="1">
        <f t="array" ref="Q17">[1]!PropsSI("D","T",J17+273.15,"P",101325,"Water")</f>
        <v>984.42908635609217</v>
      </c>
      <c r="R17" cm="1">
        <f t="array" ref="R17">[1]!PropsSI("D","T",K17+273.15,"P",101325,"Water")</f>
        <v>988.47277962122587</v>
      </c>
      <c r="S17">
        <f t="shared" si="1"/>
        <v>986.45093298865902</v>
      </c>
      <c r="T17" cm="1">
        <f t="array" ref="T17">[1]!PropsSI("H","T",J17+273.15,"P",101325,"Water")</f>
        <v>241074.66570223644</v>
      </c>
      <c r="U17" cm="1">
        <f t="array" ref="U17">[1]!PropsSI("H","T",K17+273.15,"P",101325,"Water")</f>
        <v>205343.00677037085</v>
      </c>
      <c r="V17">
        <f t="shared" si="2"/>
        <v>780.29157007371884</v>
      </c>
      <c r="X17">
        <f t="shared" si="3"/>
        <v>0.26513720600000001</v>
      </c>
      <c r="Y17">
        <f t="shared" si="3"/>
        <v>0.24805056999999997</v>
      </c>
      <c r="Z17">
        <f t="shared" si="9"/>
        <v>0.36307963765930379</v>
      </c>
      <c r="AA17">
        <f t="shared" si="8"/>
        <v>8.5433180000000064</v>
      </c>
      <c r="AB17">
        <f t="shared" si="5"/>
        <v>4.3659326669598091E-2</v>
      </c>
      <c r="AC17">
        <f t="shared" si="6"/>
        <v>34.067004555382077</v>
      </c>
    </row>
    <row r="18" spans="1:29" x14ac:dyDescent="0.2">
      <c r="A18">
        <v>46137.018858634263</v>
      </c>
      <c r="B18">
        <v>17.561412000000001</v>
      </c>
      <c r="C18">
        <v>18.421392000000001</v>
      </c>
      <c r="D18">
        <v>18.848198</v>
      </c>
      <c r="E18">
        <v>19.329688999999998</v>
      </c>
      <c r="F18">
        <v>28.051029</v>
      </c>
      <c r="G18">
        <v>29.125316999999999</v>
      </c>
      <c r="H18">
        <v>25.048234000000001</v>
      </c>
      <c r="I18">
        <v>22.293372999999999</v>
      </c>
      <c r="J18">
        <v>57.565258999999998</v>
      </c>
      <c r="K18">
        <v>49.019725999999999</v>
      </c>
      <c r="L18">
        <v>355.54123299999998</v>
      </c>
      <c r="M18">
        <v>-622.50204099999996</v>
      </c>
      <c r="N18">
        <v>1.3339289999999999</v>
      </c>
      <c r="O18">
        <v>2.9969809999999999</v>
      </c>
      <c r="P18">
        <f t="shared" si="0"/>
        <v>2.223215E-5</v>
      </c>
      <c r="Q18" cm="1">
        <f t="array" ref="Q18">[1]!PropsSI("D","T",J18+273.15,"P",101325,"Water")</f>
        <v>984.43075808958736</v>
      </c>
      <c r="R18" cm="1">
        <f t="array" ref="R18">[1]!PropsSI("D","T",K18+273.15,"P",101325,"Water")</f>
        <v>988.47525809634726</v>
      </c>
      <c r="S18">
        <f t="shared" si="1"/>
        <v>986.45300809296737</v>
      </c>
      <c r="T18" cm="1">
        <f t="array" ref="T18">[1]!PropsSI("H","T",J18+273.15,"P",101325,"Water")</f>
        <v>241060.67462384258</v>
      </c>
      <c r="U18" cm="1">
        <f t="array" ref="U18">[1]!PropsSI("H","T",K18+273.15,"P",101325,"Water")</f>
        <v>205319.7641817758</v>
      </c>
      <c r="V18">
        <f t="shared" si="2"/>
        <v>783.83287913484492</v>
      </c>
      <c r="X18">
        <f t="shared" si="3"/>
        <v>0.26513051799999998</v>
      </c>
      <c r="Y18">
        <f t="shared" si="3"/>
        <v>0.24803945199999999</v>
      </c>
      <c r="Z18">
        <f t="shared" si="9"/>
        <v>0.36306715814489282</v>
      </c>
      <c r="AA18">
        <f t="shared" si="8"/>
        <v>8.5455329999999989</v>
      </c>
      <c r="AB18">
        <f t="shared" si="5"/>
        <v>4.3647182431089428E-2</v>
      </c>
      <c r="AC18">
        <f t="shared" si="6"/>
        <v>34.212096671084645</v>
      </c>
    </row>
    <row r="19" spans="1:29" x14ac:dyDescent="0.2">
      <c r="A19">
        <v>46137.018917083333</v>
      </c>
      <c r="B19">
        <v>17.759578999999999</v>
      </c>
      <c r="C19">
        <v>18.251816999999999</v>
      </c>
      <c r="D19">
        <v>18.992626999999999</v>
      </c>
      <c r="E19">
        <v>19.565698000000001</v>
      </c>
      <c r="F19">
        <v>28.273803000000001</v>
      </c>
      <c r="G19">
        <v>29.513840999999999</v>
      </c>
      <c r="H19">
        <v>25.521294000000001</v>
      </c>
      <c r="I19">
        <v>22.176926000000002</v>
      </c>
      <c r="J19">
        <v>57.561596000000002</v>
      </c>
      <c r="K19">
        <v>49.006543999999998</v>
      </c>
      <c r="L19">
        <v>367.92795999999998</v>
      </c>
      <c r="M19">
        <v>-622.49306200000001</v>
      </c>
      <c r="N19">
        <v>1.3347770000000001</v>
      </c>
      <c r="O19">
        <v>3.5761280000000002</v>
      </c>
      <c r="P19">
        <f t="shared" si="0"/>
        <v>2.2246283333333334E-5</v>
      </c>
      <c r="Q19" cm="1">
        <f t="array" ref="Q19">[1]!PropsSI("D","T",J19+273.15,"P",101325,"Water")</f>
        <v>984.43258922002076</v>
      </c>
      <c r="R19" cm="1">
        <f t="array" ref="R19">[1]!PropsSI("D","T",K19+273.15,"P",101325,"Water")</f>
        <v>988.48113445951628</v>
      </c>
      <c r="S19">
        <f t="shared" si="1"/>
        <v>986.45686183976852</v>
      </c>
      <c r="T19" cm="1">
        <f t="array" ref="T19">[1]!PropsSI("H","T",J19+273.15,"P",101325,"Water")</f>
        <v>241045.34887546094</v>
      </c>
      <c r="U19" cm="1">
        <f t="array" ref="U19">[1]!PropsSI("H","T",K19+273.15,"P",101325,"Water")</f>
        <v>205264.64930140963</v>
      </c>
      <c r="V19">
        <f t="shared" si="2"/>
        <v>785.20741081147651</v>
      </c>
      <c r="X19">
        <f t="shared" si="3"/>
        <v>0.26512319200000001</v>
      </c>
      <c r="Y19">
        <f t="shared" si="3"/>
        <v>0.24801308799999999</v>
      </c>
      <c r="Z19">
        <f t="shared" si="9"/>
        <v>0.36304379729664105</v>
      </c>
      <c r="AA19">
        <f t="shared" si="8"/>
        <v>8.5550520000000034</v>
      </c>
      <c r="AB19">
        <f t="shared" si="5"/>
        <v>4.3598510003664902E-2</v>
      </c>
      <c r="AC19">
        <f t="shared" si="6"/>
        <v>34.233873155215974</v>
      </c>
    </row>
    <row r="20" spans="1:29" x14ac:dyDescent="0.2">
      <c r="A20">
        <v>46137.018974953702</v>
      </c>
      <c r="B20">
        <v>17.689074000000002</v>
      </c>
      <c r="C20">
        <v>18.076158</v>
      </c>
      <c r="D20">
        <v>18.967205</v>
      </c>
      <c r="E20">
        <v>19.575073</v>
      </c>
      <c r="F20">
        <v>28.084976000000001</v>
      </c>
      <c r="G20">
        <v>29.120567999999999</v>
      </c>
      <c r="H20">
        <v>26.004549000000001</v>
      </c>
      <c r="I20">
        <v>21.902854000000001</v>
      </c>
      <c r="J20">
        <v>57.555864</v>
      </c>
      <c r="K20">
        <v>49.001460999999999</v>
      </c>
      <c r="L20">
        <v>374.29988600000001</v>
      </c>
      <c r="M20">
        <v>-622.50693799999999</v>
      </c>
      <c r="N20">
        <v>1.3270690000000001</v>
      </c>
      <c r="O20">
        <v>3.329774</v>
      </c>
      <c r="P20">
        <f t="shared" si="0"/>
        <v>2.211781666666667E-5</v>
      </c>
      <c r="Q20" cm="1">
        <f t="array" ref="Q20">[1]!PropsSI("D","T",J20+273.15,"P",101325,"Water")</f>
        <v>984.43545447888926</v>
      </c>
      <c r="R20" cm="1">
        <f t="array" ref="R20">[1]!PropsSI("D","T",K20+273.15,"P",101325,"Water")</f>
        <v>988.48340008636762</v>
      </c>
      <c r="S20">
        <f t="shared" si="1"/>
        <v>986.45942728262844</v>
      </c>
      <c r="T20" cm="1">
        <f t="array" ref="T20">[1]!PropsSI("H","T",J20+273.15,"P",101325,"Water")</f>
        <v>241021.36657934263</v>
      </c>
      <c r="U20" cm="1">
        <f t="array" ref="U20">[1]!PropsSI("H","T",K20+273.15,"P",101325,"Water")</f>
        <v>205243.39692899134</v>
      </c>
      <c r="V20">
        <f t="shared" si="2"/>
        <v>780.61550425899839</v>
      </c>
      <c r="X20">
        <f t="shared" si="3"/>
        <v>0.26511172799999999</v>
      </c>
      <c r="Y20">
        <f t="shared" si="3"/>
        <v>0.24800292200000001</v>
      </c>
      <c r="Z20">
        <f t="shared" si="9"/>
        <v>0.36302848048560055</v>
      </c>
      <c r="AA20">
        <f t="shared" si="8"/>
        <v>8.5544030000000006</v>
      </c>
      <c r="AB20">
        <f t="shared" si="5"/>
        <v>4.3599900912017514E-2</v>
      </c>
      <c r="AC20">
        <f t="shared" si="6"/>
        <v>34.034758636076916</v>
      </c>
    </row>
    <row r="21" spans="1:29" x14ac:dyDescent="0.2">
      <c r="A21">
        <v>46137.019033402779</v>
      </c>
      <c r="B21">
        <v>17.622911999999999</v>
      </c>
      <c r="C21">
        <v>17.918876000000001</v>
      </c>
      <c r="D21">
        <v>19.248525000000001</v>
      </c>
      <c r="E21">
        <v>19.617712999999998</v>
      </c>
      <c r="F21">
        <v>28.010376000000001</v>
      </c>
      <c r="G21">
        <v>28.400812999999999</v>
      </c>
      <c r="H21">
        <v>25.797378999999999</v>
      </c>
      <c r="I21">
        <v>22.241904000000002</v>
      </c>
      <c r="J21">
        <v>57.555067000000001</v>
      </c>
      <c r="K21">
        <v>48.998603000000003</v>
      </c>
      <c r="L21">
        <v>365.91908100000001</v>
      </c>
      <c r="M21">
        <v>-622.49510199999997</v>
      </c>
      <c r="N21">
        <v>1.3262050000000001</v>
      </c>
      <c r="O21">
        <v>2.4926710000000001</v>
      </c>
      <c r="P21">
        <f t="shared" si="0"/>
        <v>2.2103416666666666E-5</v>
      </c>
      <c r="Q21" cm="1">
        <f t="array" ref="Q21">[1]!PropsSI("D","T",J21+273.15,"P",101325,"Water")</f>
        <v>984.43585286010182</v>
      </c>
      <c r="R21" cm="1">
        <f t="array" ref="R21">[1]!PropsSI("D","T",K21+273.15,"P",101325,"Water")</f>
        <v>988.48467389688494</v>
      </c>
      <c r="S21">
        <f t="shared" si="1"/>
        <v>986.46026337849344</v>
      </c>
      <c r="T21" cm="1">
        <f t="array" ref="T21">[1]!PropsSI("H","T",J21+273.15,"P",101325,"Water")</f>
        <v>241018.03198688955</v>
      </c>
      <c r="U21" cm="1">
        <f t="array" ref="U21">[1]!PropsSI("H","T",K21+273.15,"P",101325,"Water")</f>
        <v>205231.44743751845</v>
      </c>
      <c r="V21">
        <f t="shared" si="2"/>
        <v>780.29577931746587</v>
      </c>
      <c r="X21">
        <f t="shared" si="3"/>
        <v>0.265110134</v>
      </c>
      <c r="Y21">
        <f t="shared" si="3"/>
        <v>0.247997206</v>
      </c>
      <c r="Z21">
        <f t="shared" si="9"/>
        <v>0.36302341154986739</v>
      </c>
      <c r="AA21">
        <f t="shared" si="8"/>
        <v>8.5564639999999983</v>
      </c>
      <c r="AB21">
        <f t="shared" si="5"/>
        <v>4.358937489036635E-2</v>
      </c>
      <c r="AC21">
        <f t="shared" si="6"/>
        <v>34.012605250039591</v>
      </c>
    </row>
    <row r="22" spans="1:29" x14ac:dyDescent="0.2">
      <c r="A22">
        <v>46137.019091273149</v>
      </c>
      <c r="B22">
        <v>17.430852999999999</v>
      </c>
      <c r="C22">
        <v>17.760265</v>
      </c>
      <c r="D22">
        <v>19.201834000000002</v>
      </c>
      <c r="E22">
        <v>19.550255</v>
      </c>
      <c r="F22">
        <v>28.215638999999999</v>
      </c>
      <c r="G22">
        <v>27.92548</v>
      </c>
      <c r="H22">
        <v>25.697486000000001</v>
      </c>
      <c r="I22">
        <v>22.543403000000001</v>
      </c>
      <c r="J22">
        <v>57.554430000000004</v>
      </c>
      <c r="K22">
        <v>48.994472999999999</v>
      </c>
      <c r="L22">
        <v>374.99128000000002</v>
      </c>
      <c r="M22">
        <v>-622.49714300000005</v>
      </c>
      <c r="N22">
        <v>1.332335</v>
      </c>
      <c r="O22">
        <v>2.1993490000000002</v>
      </c>
      <c r="P22">
        <f t="shared" si="0"/>
        <v>2.2205583333333333E-5</v>
      </c>
      <c r="Q22" cm="1">
        <f t="array" ref="Q22">[1]!PropsSI("D","T",J22+273.15,"P",101325,"Water")</f>
        <v>984.43617126240349</v>
      </c>
      <c r="R22" cm="1">
        <f t="array" ref="R22">[1]!PropsSI("D","T",K22+273.15,"P",101325,"Water")</f>
        <v>988.48651454197943</v>
      </c>
      <c r="S22">
        <f t="shared" si="1"/>
        <v>986.46134290219152</v>
      </c>
      <c r="T22" cm="1">
        <f t="array" ref="T22">[1]!PropsSI("H","T",J22+273.15,"P",101325,"Water")</f>
        <v>241015.36682346574</v>
      </c>
      <c r="U22" cm="1">
        <f t="array" ref="U22">[1]!PropsSI("H","T",K22+273.15,"P",101325,"Water")</f>
        <v>205214.17963178211</v>
      </c>
      <c r="V22">
        <f t="shared" si="2"/>
        <v>784.2231994403113</v>
      </c>
      <c r="X22">
        <f t="shared" si="3"/>
        <v>0.26510886</v>
      </c>
      <c r="Y22">
        <f t="shared" si="3"/>
        <v>0.24798894599999999</v>
      </c>
      <c r="Z22">
        <f t="shared" si="9"/>
        <v>0.36301683843685612</v>
      </c>
      <c r="AA22">
        <f t="shared" si="8"/>
        <v>8.5599570000000043</v>
      </c>
      <c r="AB22">
        <f t="shared" si="5"/>
        <v>4.3571776627051993E-2</v>
      </c>
      <c r="AC22">
        <f t="shared" si="6"/>
        <v>34.169998071765292</v>
      </c>
    </row>
    <row r="23" spans="1:29" x14ac:dyDescent="0.2">
      <c r="A23">
        <v>46137.019149722226</v>
      </c>
      <c r="B23">
        <v>17.651375999999999</v>
      </c>
      <c r="C23">
        <v>18.275091</v>
      </c>
      <c r="D23">
        <v>19.285616999999998</v>
      </c>
      <c r="E23">
        <v>19.62013</v>
      </c>
      <c r="F23">
        <v>28.107526</v>
      </c>
      <c r="G23">
        <v>28.984162999999999</v>
      </c>
      <c r="H23">
        <v>25.849599999999999</v>
      </c>
      <c r="I23">
        <v>23.13008</v>
      </c>
      <c r="J23">
        <v>57.55236</v>
      </c>
      <c r="K23">
        <v>48.984625999999999</v>
      </c>
      <c r="L23">
        <v>372.76934999999997</v>
      </c>
      <c r="M23">
        <v>-622.47959300000002</v>
      </c>
      <c r="N23">
        <v>1.3333680000000001</v>
      </c>
      <c r="O23">
        <v>2.8855080000000002</v>
      </c>
      <c r="P23">
        <f t="shared" si="0"/>
        <v>2.2222800000000003E-5</v>
      </c>
      <c r="Q23" cm="1">
        <f t="array" ref="Q23">[1]!PropsSI("D","T",J23+273.15,"P",101325,"Water")</f>
        <v>984.43720592797251</v>
      </c>
      <c r="R23" cm="1">
        <f t="array" ref="R23">[1]!PropsSI("D","T",K23+273.15,"P",101325,"Water")</f>
        <v>988.49090266454073</v>
      </c>
      <c r="S23">
        <f t="shared" si="1"/>
        <v>986.46405429625656</v>
      </c>
      <c r="T23" cm="1">
        <f t="array" ref="T23">[1]!PropsSI("H","T",J23+273.15,"P",101325,"Water")</f>
        <v>241006.70608939693</v>
      </c>
      <c r="U23" cm="1">
        <f t="array" ref="U23">[1]!PropsSI("H","T",K23+273.15,"P",101325,"Water")</f>
        <v>205173.00868569757</v>
      </c>
      <c r="V23">
        <f t="shared" si="2"/>
        <v>785.54607747318835</v>
      </c>
      <c r="X23">
        <f t="shared" si="3"/>
        <v>0.26510472000000002</v>
      </c>
      <c r="Y23">
        <f t="shared" si="3"/>
        <v>0.24796925199999997</v>
      </c>
      <c r="Z23">
        <f t="shared" si="9"/>
        <v>0.36300036157518895</v>
      </c>
      <c r="AA23">
        <f t="shared" si="8"/>
        <v>8.5677340000000015</v>
      </c>
      <c r="AB23">
        <f t="shared" si="5"/>
        <v>4.3532438620431033E-2</v>
      </c>
      <c r="AC23">
        <f t="shared" si="6"/>
        <v>34.196736401121932</v>
      </c>
    </row>
    <row r="24" spans="1:29" x14ac:dyDescent="0.2">
      <c r="A24">
        <v>46137.019207592595</v>
      </c>
      <c r="B24">
        <v>17.714725000000001</v>
      </c>
      <c r="C24">
        <v>18.392983999999998</v>
      </c>
      <c r="D24">
        <v>19.178291999999999</v>
      </c>
      <c r="E24">
        <v>19.679269999999999</v>
      </c>
      <c r="F24">
        <v>27.956648000000001</v>
      </c>
      <c r="G24">
        <v>28.681591999999998</v>
      </c>
      <c r="H24">
        <v>25.61608</v>
      </c>
      <c r="I24">
        <v>23.020645999999999</v>
      </c>
      <c r="J24">
        <v>57.548220000000001</v>
      </c>
      <c r="K24">
        <v>48.981926000000001</v>
      </c>
      <c r="L24">
        <v>374.63823600000001</v>
      </c>
      <c r="M24">
        <v>-622.50244899999996</v>
      </c>
      <c r="N24">
        <v>1.327569</v>
      </c>
      <c r="O24">
        <v>3.116778</v>
      </c>
      <c r="P24">
        <f t="shared" si="0"/>
        <v>2.2126150000000002E-5</v>
      </c>
      <c r="Q24" cm="1">
        <f t="array" ref="Q24">[1]!PropsSI("D","T",J24+273.15,"P",101325,"Water")</f>
        <v>984.43927518135047</v>
      </c>
      <c r="R24" cm="1">
        <f t="array" ref="R24">[1]!PropsSI("D","T",K24+273.15,"P",101325,"Water")</f>
        <v>988.49210575413747</v>
      </c>
      <c r="S24">
        <f t="shared" si="1"/>
        <v>986.46569046774403</v>
      </c>
      <c r="T24" cm="1">
        <f t="array" ref="T24">[1]!PropsSI("H","T",J24+273.15,"P",101325,"Water")</f>
        <v>240989.38462641489</v>
      </c>
      <c r="U24" cm="1">
        <f t="array" ref="U24">[1]!PropsSI("H","T",K24+273.15,"P",101325,"Water")</f>
        <v>205161.71981502775</v>
      </c>
      <c r="V24">
        <f t="shared" si="2"/>
        <v>781.9992557719354</v>
      </c>
      <c r="X24">
        <f t="shared" si="3"/>
        <v>0.26509643999999999</v>
      </c>
      <c r="Y24">
        <f t="shared" si="3"/>
        <v>0.24796385199999998</v>
      </c>
      <c r="Z24">
        <f t="shared" si="9"/>
        <v>0.36299062577338204</v>
      </c>
      <c r="AA24">
        <f t="shared" si="8"/>
        <v>8.5662939999999992</v>
      </c>
      <c r="AB24">
        <f t="shared" si="5"/>
        <v>4.3538264193337541E-2</v>
      </c>
      <c r="AC24">
        <f t="shared" si="6"/>
        <v>34.046890196791857</v>
      </c>
    </row>
    <row r="25" spans="1:29" x14ac:dyDescent="0.2">
      <c r="A25">
        <v>46137.019266041665</v>
      </c>
      <c r="B25">
        <v>17.759604</v>
      </c>
      <c r="C25">
        <v>18.328620000000001</v>
      </c>
      <c r="D25">
        <v>19.105864</v>
      </c>
      <c r="E25">
        <v>19.71452</v>
      </c>
      <c r="F25">
        <v>28.128581000000001</v>
      </c>
      <c r="G25">
        <v>28.703789</v>
      </c>
      <c r="H25">
        <v>25.546061999999999</v>
      </c>
      <c r="I25">
        <v>22.148173</v>
      </c>
      <c r="J25">
        <v>57.548378999999997</v>
      </c>
      <c r="K25">
        <v>48.977797000000002</v>
      </c>
      <c r="L25">
        <v>368.959745</v>
      </c>
      <c r="M25">
        <v>-622.46898099999999</v>
      </c>
      <c r="N25">
        <v>1.3277000000000001</v>
      </c>
      <c r="O25">
        <v>1.8610409999999999</v>
      </c>
      <c r="P25">
        <f t="shared" si="0"/>
        <v>2.2128333333333336E-5</v>
      </c>
      <c r="Q25" cm="1">
        <f t="array" ref="Q25">[1]!PropsSI("D","T",J25+273.15,"P",101325,"Water")</f>
        <v>984.43919571194658</v>
      </c>
      <c r="R25" cm="1">
        <f t="array" ref="R25">[1]!PropsSI("D","T",K25+273.15,"P",101325,"Water")</f>
        <v>988.49394549655028</v>
      </c>
      <c r="S25">
        <f t="shared" si="1"/>
        <v>986.46657060424843</v>
      </c>
      <c r="T25" cm="1">
        <f t="array" ref="T25">[1]!PropsSI("H","T",J25+273.15,"P",101325,"Water")</f>
        <v>240990.0498709353</v>
      </c>
      <c r="U25" cm="1">
        <f t="array" ref="U25">[1]!PropsSI("H","T",K25+273.15,"P",101325,"Water")</f>
        <v>205144.45620872587</v>
      </c>
      <c r="V25">
        <f t="shared" si="2"/>
        <v>782.46848497470364</v>
      </c>
      <c r="X25">
        <f t="shared" si="3"/>
        <v>0.26509675799999999</v>
      </c>
      <c r="Y25">
        <f t="shared" si="3"/>
        <v>0.247955594</v>
      </c>
      <c r="Z25">
        <f t="shared" si="9"/>
        <v>0.36298521691386193</v>
      </c>
      <c r="AA25">
        <f t="shared" si="8"/>
        <v>8.5705819999999946</v>
      </c>
      <c r="AB25">
        <f t="shared" si="5"/>
        <v>4.3517016505693354E-2</v>
      </c>
      <c r="AC25">
        <f t="shared" si="6"/>
        <v>34.050693975829049</v>
      </c>
    </row>
    <row r="26" spans="1:29" x14ac:dyDescent="0.2">
      <c r="A26">
        <v>46137.019323912034</v>
      </c>
      <c r="B26">
        <v>17.525455000000001</v>
      </c>
      <c r="C26">
        <v>18.62228</v>
      </c>
      <c r="D26">
        <v>19.023869999999999</v>
      </c>
      <c r="E26">
        <v>19.615614999999998</v>
      </c>
      <c r="F26">
        <v>27.980432</v>
      </c>
      <c r="G26">
        <v>28.000399000000002</v>
      </c>
      <c r="H26">
        <v>25.550052999999998</v>
      </c>
      <c r="I26">
        <v>22.538034</v>
      </c>
      <c r="J26">
        <v>57.545513</v>
      </c>
      <c r="K26">
        <v>48.987485</v>
      </c>
      <c r="L26">
        <v>343.92222299999997</v>
      </c>
      <c r="M26">
        <v>-622.49142900000004</v>
      </c>
      <c r="N26">
        <v>1.3348629999999999</v>
      </c>
      <c r="O26">
        <v>3.1496400000000002</v>
      </c>
      <c r="P26">
        <f t="shared" ref="P26:P47" si="10" xml:space="preserve"> N26*0.001/60</f>
        <v>2.2247716666666667E-5</v>
      </c>
      <c r="Q26" cm="1">
        <f t="array" ref="Q26">[1]!PropsSI("D","T",J26+273.15,"P",101325,"Water")</f>
        <v>984.44062813712321</v>
      </c>
      <c r="R26" cm="1">
        <f t="array" ref="R26">[1]!PropsSI("D","T",K26+273.15,"P",101325,"Water")</f>
        <v>988.48962867352543</v>
      </c>
      <c r="S26">
        <f t="shared" ref="S26:S47" si="11">(Q26+R26)/2</f>
        <v>986.46512840532432</v>
      </c>
      <c r="T26" cm="1">
        <f t="array" ref="T26">[1]!PropsSI("H","T",J26+273.15,"P",101325,"Water")</f>
        <v>240978.05873637742</v>
      </c>
      <c r="U26" cm="1">
        <f t="array" ref="U26">[1]!PropsSI("H","T",K26+273.15,"P",101325,"Water")</f>
        <v>205184.96234758987</v>
      </c>
      <c r="V26">
        <f t="shared" ref="V26:V47" si="12">S26*P26*(T26-U26)</f>
        <v>785.53665031254479</v>
      </c>
      <c r="X26">
        <f t="shared" ref="X26:X47" si="13">(0.15+0.002*ABS(J26))</f>
        <v>0.26509102600000001</v>
      </c>
      <c r="Y26">
        <f t="shared" ref="Y26:Y47" si="14">(0.15+0.002*ABS(K26))</f>
        <v>0.24797496999999999</v>
      </c>
      <c r="Z26">
        <f t="shared" ref="Z26:Z47" si="15">SQRT((X26)^2 + (Y26)^2)</f>
        <v>0.36299426691372633</v>
      </c>
      <c r="AA26">
        <f t="shared" ref="AA26:AA47" si="16">J26-K26</f>
        <v>8.5580280000000002</v>
      </c>
      <c r="AB26">
        <f t="shared" ref="AB26:AB47" si="17">SQRT((0.01)^2 + (Z26/ABS(AA26))^2)</f>
        <v>4.3578513459655736E-2</v>
      </c>
      <c r="AC26">
        <f t="shared" ref="AC26:AC47" si="18">ABS(V26*AB26)</f>
        <v>34.232519488698117</v>
      </c>
    </row>
    <row r="27" spans="1:29" x14ac:dyDescent="0.2">
      <c r="A27">
        <v>46137.019382361112</v>
      </c>
      <c r="B27">
        <v>17.764724999999999</v>
      </c>
      <c r="C27">
        <v>18.441158999999999</v>
      </c>
      <c r="D27">
        <v>18.918198</v>
      </c>
      <c r="E27">
        <v>19.541540999999999</v>
      </c>
      <c r="F27">
        <v>28.044481999999999</v>
      </c>
      <c r="G27">
        <v>29.400413</v>
      </c>
      <c r="H27">
        <v>25.701598000000001</v>
      </c>
      <c r="I27">
        <v>22.429734</v>
      </c>
      <c r="J27">
        <v>57.540418000000003</v>
      </c>
      <c r="K27">
        <v>48.972873999999997</v>
      </c>
      <c r="L27">
        <v>344.94584500000002</v>
      </c>
      <c r="M27">
        <v>-622.48857199999998</v>
      </c>
      <c r="N27">
        <v>1.33456</v>
      </c>
      <c r="O27">
        <v>2.0907979999999999</v>
      </c>
      <c r="P27">
        <f t="shared" si="10"/>
        <v>2.2242666666666666E-5</v>
      </c>
      <c r="Q27" cm="1">
        <f t="array" ref="Q27">[1]!PropsSI("D","T",J27+273.15,"P",101325,"Water")</f>
        <v>984.44317449253822</v>
      </c>
      <c r="R27" cm="1">
        <f t="array" ref="R27">[1]!PropsSI("D","T",K27+273.15,"P",101325,"Water")</f>
        <v>988.49613887053215</v>
      </c>
      <c r="S27">
        <f t="shared" si="11"/>
        <v>986.46965668153518</v>
      </c>
      <c r="T27" cm="1">
        <f t="array" ref="T27">[1]!PropsSI("H","T",J27+273.15,"P",101325,"Water")</f>
        <v>240956.74163691566</v>
      </c>
      <c r="U27" cm="1">
        <f t="array" ref="U27">[1]!PropsSI("H","T",K27+273.15,"P",101325,"Water")</f>
        <v>205123.87284476619</v>
      </c>
      <c r="V27">
        <f t="shared" si="12"/>
        <v>786.23462155687696</v>
      </c>
      <c r="X27">
        <f t="shared" si="13"/>
        <v>0.26508083599999999</v>
      </c>
      <c r="Y27">
        <f t="shared" si="14"/>
        <v>0.24794574799999999</v>
      </c>
      <c r="Z27">
        <f t="shared" si="15"/>
        <v>0.36296686290312841</v>
      </c>
      <c r="AA27">
        <f t="shared" si="16"/>
        <v>8.5675440000000052</v>
      </c>
      <c r="AB27">
        <f t="shared" si="17"/>
        <v>4.3529547697969018E-2</v>
      </c>
      <c r="AC27">
        <f t="shared" si="18"/>
        <v>34.224437460854695</v>
      </c>
    </row>
    <row r="28" spans="1:29" x14ac:dyDescent="0.2">
      <c r="A28">
        <v>46137.019440231481</v>
      </c>
      <c r="B28">
        <v>17.734715999999999</v>
      </c>
      <c r="C28">
        <v>18.617754000000001</v>
      </c>
      <c r="D28">
        <v>19.098521000000002</v>
      </c>
      <c r="E28">
        <v>19.720338999999999</v>
      </c>
      <c r="F28">
        <v>27.917850000000001</v>
      </c>
      <c r="G28">
        <v>28.509623000000001</v>
      </c>
      <c r="H28">
        <v>25.947213000000001</v>
      </c>
      <c r="I28">
        <v>22.347545</v>
      </c>
      <c r="J28">
        <v>57.533729999999998</v>
      </c>
      <c r="K28">
        <v>48.971921000000002</v>
      </c>
      <c r="L28">
        <v>366.90923500000002</v>
      </c>
      <c r="M28">
        <v>-622.49183700000003</v>
      </c>
      <c r="N28">
        <v>1.331974</v>
      </c>
      <c r="O28">
        <v>2.3989379999999998</v>
      </c>
      <c r="P28">
        <f t="shared" si="10"/>
        <v>2.2199566666666667E-5</v>
      </c>
      <c r="Q28" cm="1">
        <f t="array" ref="Q28">[1]!PropsSI("D","T",J28+273.15,"P",101325,"Water")</f>
        <v>984.44651675177795</v>
      </c>
      <c r="R28" cm="1">
        <f t="array" ref="R28">[1]!PropsSI("D","T",K28+273.15,"P",101325,"Water")</f>
        <v>988.49656344778748</v>
      </c>
      <c r="S28">
        <f t="shared" si="11"/>
        <v>986.47154009978271</v>
      </c>
      <c r="T28" cm="1">
        <f t="array" ref="T28">[1]!PropsSI("H","T",J28+273.15,"P",101325,"Water")</f>
        <v>240928.75956013243</v>
      </c>
      <c r="U28" cm="1">
        <f t="array" ref="U28">[1]!PropsSI("H","T",K28+273.15,"P",101325,"Water")</f>
        <v>205119.88829430565</v>
      </c>
      <c r="V28">
        <f t="shared" si="12"/>
        <v>784.18709173370257</v>
      </c>
      <c r="X28">
        <f t="shared" si="13"/>
        <v>0.26506745999999998</v>
      </c>
      <c r="Y28">
        <f t="shared" si="14"/>
        <v>0.247943842</v>
      </c>
      <c r="Z28">
        <f t="shared" si="15"/>
        <v>0.36295579226205021</v>
      </c>
      <c r="AA28">
        <f t="shared" si="16"/>
        <v>8.5618089999999967</v>
      </c>
      <c r="AB28">
        <f t="shared" si="17"/>
        <v>4.3555908511391239E-2</v>
      </c>
      <c r="AC28">
        <f t="shared" si="18"/>
        <v>34.155981223367121</v>
      </c>
    </row>
    <row r="29" spans="1:29" x14ac:dyDescent="0.2">
      <c r="A29">
        <v>46137.01949810185</v>
      </c>
      <c r="B29">
        <v>17.767316000000001</v>
      </c>
      <c r="C29">
        <v>18.561779999999999</v>
      </c>
      <c r="D29">
        <v>18.78369</v>
      </c>
      <c r="E29">
        <v>19.511596000000001</v>
      </c>
      <c r="F29">
        <v>28.26399</v>
      </c>
      <c r="G29">
        <v>29.048189000000001</v>
      </c>
      <c r="H29">
        <v>25.679172999999999</v>
      </c>
      <c r="I29">
        <v>22.519401999999999</v>
      </c>
      <c r="J29">
        <v>57.530226999999996</v>
      </c>
      <c r="K29">
        <v>48.965885999999998</v>
      </c>
      <c r="L29">
        <v>363.85469399999999</v>
      </c>
      <c r="M29">
        <v>-622.49469399999998</v>
      </c>
      <c r="N29">
        <v>1.323234</v>
      </c>
      <c r="O29">
        <v>2.9429470000000002</v>
      </c>
      <c r="P29">
        <f t="shared" si="10"/>
        <v>2.2053899999999999E-5</v>
      </c>
      <c r="Q29" cm="1">
        <f t="array" ref="Q29">[1]!PropsSI("D","T",J29+273.15,"P",101325,"Water")</f>
        <v>984.44826723203596</v>
      </c>
      <c r="R29" cm="1">
        <f t="array" ref="R29">[1]!PropsSI("D","T",K29+273.15,"P",101325,"Water")</f>
        <v>988.49925200016855</v>
      </c>
      <c r="S29">
        <f t="shared" si="11"/>
        <v>986.47375961610226</v>
      </c>
      <c r="T29" cm="1">
        <f t="array" ref="T29">[1]!PropsSI("H","T",J29+273.15,"P",101325,"Water")</f>
        <v>240914.10328511868</v>
      </c>
      <c r="U29" cm="1">
        <f t="array" ref="U29">[1]!PropsSI("H","T",K29+273.15,"P",101325,"Water")</f>
        <v>205094.65560071377</v>
      </c>
      <c r="V29">
        <f t="shared" si="12"/>
        <v>779.27334848896453</v>
      </c>
      <c r="X29">
        <f t="shared" si="13"/>
        <v>0.265060454</v>
      </c>
      <c r="Y29">
        <f t="shared" si="14"/>
        <v>0.24793177199999999</v>
      </c>
      <c r="Z29">
        <f t="shared" si="15"/>
        <v>0.36294243047864505</v>
      </c>
      <c r="AA29">
        <f t="shared" si="16"/>
        <v>8.5643409999999989</v>
      </c>
      <c r="AB29">
        <f t="shared" si="17"/>
        <v>4.3542191849654042E-2</v>
      </c>
      <c r="AC29">
        <f t="shared" si="18"/>
        <v>33.931269643228809</v>
      </c>
    </row>
    <row r="30" spans="1:29" x14ac:dyDescent="0.2">
      <c r="A30">
        <v>46137.01955597222</v>
      </c>
      <c r="B30">
        <v>17.675470000000001</v>
      </c>
      <c r="C30">
        <v>18.778616</v>
      </c>
      <c r="D30">
        <v>19.216999999999999</v>
      </c>
      <c r="E30">
        <v>19.669326999999999</v>
      </c>
      <c r="F30">
        <v>28.429676000000001</v>
      </c>
      <c r="G30">
        <v>29.319635000000002</v>
      </c>
      <c r="H30">
        <v>25.659317000000001</v>
      </c>
      <c r="I30">
        <v>22.540638000000001</v>
      </c>
      <c r="J30">
        <v>57.527042000000002</v>
      </c>
      <c r="K30">
        <v>48.958103000000001</v>
      </c>
      <c r="L30">
        <v>353.45317399999999</v>
      </c>
      <c r="M30">
        <v>-622.49673499999994</v>
      </c>
      <c r="N30">
        <v>1.3370679999999999</v>
      </c>
      <c r="O30">
        <v>2.9546890000000001</v>
      </c>
      <c r="P30">
        <f t="shared" si="10"/>
        <v>2.2284466666666663E-5</v>
      </c>
      <c r="Q30" cm="1">
        <f t="array" ref="Q30">[1]!PropsSI("D","T",J30+273.15,"P",101325,"Water")</f>
        <v>984.44985874042709</v>
      </c>
      <c r="R30" cm="1">
        <f t="array" ref="R30">[1]!PropsSI("D","T",K30+273.15,"P",101325,"Water")</f>
        <v>988.50271891789339</v>
      </c>
      <c r="S30">
        <f t="shared" si="11"/>
        <v>986.47628882916024</v>
      </c>
      <c r="T30" cm="1">
        <f t="array" ref="T30">[1]!PropsSI("H","T",J30+273.15,"P",101325,"Water")</f>
        <v>240900.77750125996</v>
      </c>
      <c r="U30" cm="1">
        <f t="array" ref="U30">[1]!PropsSI("H","T",K30+273.15,"P",101325,"Water")</f>
        <v>205062.11442961957</v>
      </c>
      <c r="V30">
        <f t="shared" si="12"/>
        <v>787.8448416280811</v>
      </c>
      <c r="X30">
        <f t="shared" si="13"/>
        <v>0.26505408399999997</v>
      </c>
      <c r="Y30">
        <f t="shared" si="14"/>
        <v>0.247916206</v>
      </c>
      <c r="Z30">
        <f t="shared" si="15"/>
        <v>0.36292714508908464</v>
      </c>
      <c r="AA30">
        <f t="shared" si="16"/>
        <v>8.5689390000000003</v>
      </c>
      <c r="AB30">
        <f t="shared" si="17"/>
        <v>4.3518324155023373E-2</v>
      </c>
      <c r="AC30">
        <f t="shared" si="18"/>
        <v>34.285687201833888</v>
      </c>
    </row>
    <row r="31" spans="1:29" x14ac:dyDescent="0.2">
      <c r="A31">
        <v>46137.019613842589</v>
      </c>
      <c r="B31">
        <v>17.906545999999999</v>
      </c>
      <c r="C31">
        <v>18.398260000000001</v>
      </c>
      <c r="D31">
        <v>19.276713999999998</v>
      </c>
      <c r="E31">
        <v>19.698177999999999</v>
      </c>
      <c r="F31">
        <v>28.215617000000002</v>
      </c>
      <c r="G31">
        <v>28.860817000000001</v>
      </c>
      <c r="H31">
        <v>25.934978999999998</v>
      </c>
      <c r="I31">
        <v>22.791101999999999</v>
      </c>
      <c r="J31">
        <v>57.524016000000003</v>
      </c>
      <c r="K31">
        <v>48.960962000000002</v>
      </c>
      <c r="L31">
        <v>369.46584200000001</v>
      </c>
      <c r="M31">
        <v>-622.51428499999997</v>
      </c>
      <c r="N31">
        <v>1.3367150000000001</v>
      </c>
      <c r="O31">
        <v>1.956858</v>
      </c>
      <c r="P31">
        <f t="shared" si="10"/>
        <v>2.2278583333333334E-5</v>
      </c>
      <c r="Q31" cm="1">
        <f t="array" ref="Q31">[1]!PropsSI("D","T",J31+273.15,"P",101325,"Water")</f>
        <v>984.45137074147419</v>
      </c>
      <c r="R31" cm="1">
        <f t="array" ref="R31">[1]!PropsSI("D","T",K31+273.15,"P",101325,"Water")</f>
        <v>988.50144543027716</v>
      </c>
      <c r="S31">
        <f t="shared" si="11"/>
        <v>986.47640808587562</v>
      </c>
      <c r="T31" cm="1">
        <f t="array" ref="T31">[1]!PropsSI("H","T",J31+273.15,"P",101325,"Water")</f>
        <v>240888.11696432458</v>
      </c>
      <c r="U31" cm="1">
        <f t="array" ref="U31">[1]!PropsSI("H","T",K31+273.15,"P",101325,"Water")</f>
        <v>205074.06807136326</v>
      </c>
      <c r="V31">
        <f t="shared" si="12"/>
        <v>787.09598441914522</v>
      </c>
      <c r="X31">
        <f t="shared" si="13"/>
        <v>0.26504803199999999</v>
      </c>
      <c r="Y31">
        <f t="shared" si="14"/>
        <v>0.24792192400000002</v>
      </c>
      <c r="Z31">
        <f t="shared" si="15"/>
        <v>0.36292663124512481</v>
      </c>
      <c r="AA31">
        <f t="shared" si="16"/>
        <v>8.5630540000000011</v>
      </c>
      <c r="AB31">
        <f t="shared" si="17"/>
        <v>4.3546595211733805E-2</v>
      </c>
      <c r="AC31">
        <f t="shared" si="18"/>
        <v>34.275350226281653</v>
      </c>
    </row>
    <row r="32" spans="1:29" x14ac:dyDescent="0.2">
      <c r="A32">
        <v>46137.019672291666</v>
      </c>
      <c r="B32">
        <v>17.664307999999998</v>
      </c>
      <c r="C32">
        <v>18.081098999999998</v>
      </c>
      <c r="D32">
        <v>19.143087000000001</v>
      </c>
      <c r="E32">
        <v>19.679936000000001</v>
      </c>
      <c r="F32">
        <v>28.158256999999999</v>
      </c>
      <c r="G32">
        <v>29.340174999999999</v>
      </c>
      <c r="H32">
        <v>25.540455999999999</v>
      </c>
      <c r="I32">
        <v>22.805277</v>
      </c>
      <c r="J32">
        <v>57.519238999999999</v>
      </c>
      <c r="K32">
        <v>48.957151000000003</v>
      </c>
      <c r="L32">
        <v>380.10082</v>
      </c>
      <c r="M32">
        <v>-622.50530600000002</v>
      </c>
      <c r="N32">
        <v>1.326225</v>
      </c>
      <c r="O32">
        <v>2.9521220000000001</v>
      </c>
      <c r="P32">
        <f t="shared" si="10"/>
        <v>2.2103750000000003E-5</v>
      </c>
      <c r="Q32" cm="1">
        <f t="array" ref="Q32">[1]!PropsSI("D","T",J32+273.15,"P",101325,"Water")</f>
        <v>984.45375755170755</v>
      </c>
      <c r="R32" cm="1">
        <f t="array" ref="R32">[1]!PropsSI("D","T",K32+273.15,"P",101325,"Water")</f>
        <v>988.50314295628561</v>
      </c>
      <c r="S32">
        <f t="shared" si="11"/>
        <v>986.47845025399658</v>
      </c>
      <c r="T32" cm="1">
        <f t="array" ref="T32">[1]!PropsSI("H","T",J32+273.15,"P",101325,"Water")</f>
        <v>240868.13039384177</v>
      </c>
      <c r="U32" cm="1">
        <f t="array" ref="U32">[1]!PropsSI("H","T",K32+273.15,"P",101325,"Water")</f>
        <v>205058.13406388747</v>
      </c>
      <c r="V32">
        <f t="shared" si="12"/>
        <v>780.83242370947119</v>
      </c>
      <c r="X32">
        <f t="shared" si="13"/>
        <v>0.26503847800000002</v>
      </c>
      <c r="Y32">
        <f t="shared" si="14"/>
        <v>0.247914302</v>
      </c>
      <c r="Z32">
        <f t="shared" si="15"/>
        <v>0.36291444715897397</v>
      </c>
      <c r="AA32">
        <f t="shared" si="16"/>
        <v>8.5620879999999957</v>
      </c>
      <c r="AB32">
        <f t="shared" si="17"/>
        <v>4.3549864189939412E-2</v>
      </c>
      <c r="AC32">
        <f t="shared" si="18"/>
        <v>34.005146007648698</v>
      </c>
    </row>
    <row r="33" spans="1:29" x14ac:dyDescent="0.2">
      <c r="A33">
        <v>46137.019730740743</v>
      </c>
      <c r="B33">
        <v>17.705197999999999</v>
      </c>
      <c r="C33">
        <v>18.241603999999999</v>
      </c>
      <c r="D33">
        <v>19.287697000000001</v>
      </c>
      <c r="E33">
        <v>19.745041000000001</v>
      </c>
      <c r="F33">
        <v>28.074003999999999</v>
      </c>
      <c r="G33">
        <v>29.132442999999999</v>
      </c>
      <c r="H33">
        <v>25.414275</v>
      </c>
      <c r="I33">
        <v>22.561423999999999</v>
      </c>
      <c r="J33">
        <v>57.516213999999998</v>
      </c>
      <c r="K33">
        <v>48.949368</v>
      </c>
      <c r="L33">
        <v>372.51997499999999</v>
      </c>
      <c r="M33">
        <v>-622.49959200000001</v>
      </c>
      <c r="N33">
        <v>1.328131</v>
      </c>
      <c r="O33">
        <v>2.289371</v>
      </c>
      <c r="P33">
        <f t="shared" si="10"/>
        <v>2.2135516666666665E-5</v>
      </c>
      <c r="Q33" cm="1">
        <f t="array" ref="Q33">[1]!PropsSI("D","T",J33+273.15,"P",101325,"Water")</f>
        <v>984.45526891030545</v>
      </c>
      <c r="R33" cm="1">
        <f t="array" ref="R33">[1]!PropsSI("D","T",K33+273.15,"P",101325,"Water")</f>
        <v>988.50660942262891</v>
      </c>
      <c r="S33">
        <f t="shared" si="11"/>
        <v>986.48093916646712</v>
      </c>
      <c r="T33" cm="1">
        <f t="array" ref="T33">[1]!PropsSI("H","T",J33+273.15,"P",101325,"Water")</f>
        <v>240855.47405028244</v>
      </c>
      <c r="U33" cm="1">
        <f t="array" ref="U33">[1]!PropsSI("H","T",K33+273.15,"P",101325,"Water")</f>
        <v>205025.59291086558</v>
      </c>
      <c r="V33">
        <f t="shared" si="12"/>
        <v>782.39078916249025</v>
      </c>
      <c r="X33">
        <f t="shared" si="13"/>
        <v>0.26503242799999999</v>
      </c>
      <c r="Y33">
        <f t="shared" si="14"/>
        <v>0.24789873600000001</v>
      </c>
      <c r="Z33">
        <f t="shared" si="15"/>
        <v>0.36289939542795174</v>
      </c>
      <c r="AA33">
        <f t="shared" si="16"/>
        <v>8.5668459999999982</v>
      </c>
      <c r="AB33">
        <f t="shared" si="17"/>
        <v>4.3525242401086156E-2</v>
      </c>
      <c r="AC33">
        <f t="shared" si="18"/>
        <v>34.05374875067448</v>
      </c>
    </row>
    <row r="34" spans="1:29" x14ac:dyDescent="0.2">
      <c r="A34">
        <v>46137.019788611113</v>
      </c>
      <c r="B34">
        <v>17.787341999999999</v>
      </c>
      <c r="C34">
        <v>18.455127000000001</v>
      </c>
      <c r="D34">
        <v>19.326488000000001</v>
      </c>
      <c r="E34">
        <v>19.680481</v>
      </c>
      <c r="F34">
        <v>28.047906999999999</v>
      </c>
      <c r="G34">
        <v>28.654754000000001</v>
      </c>
      <c r="H34">
        <v>25.707999999999998</v>
      </c>
      <c r="I34">
        <v>22.935623</v>
      </c>
      <c r="J34">
        <v>57.510800000000003</v>
      </c>
      <c r="K34">
        <v>48.949527000000003</v>
      </c>
      <c r="L34">
        <v>369.37482599999998</v>
      </c>
      <c r="M34">
        <v>-622.52326400000004</v>
      </c>
      <c r="N34">
        <v>1.3330029999999999</v>
      </c>
      <c r="O34">
        <v>2.1225550000000002</v>
      </c>
      <c r="P34">
        <f t="shared" si="10"/>
        <v>2.2216716666666667E-5</v>
      </c>
      <c r="Q34" cm="1">
        <f t="array" ref="Q34">[1]!PropsSI("D","T",J34+273.15,"P",101325,"Water")</f>
        <v>984.45797372924312</v>
      </c>
      <c r="R34" cm="1">
        <f t="array" ref="R34">[1]!PropsSI("D","T",K34+273.15,"P",101325,"Water")</f>
        <v>988.50653860973148</v>
      </c>
      <c r="S34">
        <f t="shared" si="11"/>
        <v>986.4822561694873</v>
      </c>
      <c r="T34" cm="1">
        <f t="array" ref="T34">[1]!PropsSI("H","T",J34+273.15,"P",101325,"Water")</f>
        <v>240832.82234236723</v>
      </c>
      <c r="U34" cm="1">
        <f t="array" ref="U34">[1]!PropsSI("H","T",K34+273.15,"P",101325,"Water")</f>
        <v>205026.2576985312</v>
      </c>
      <c r="V34">
        <f t="shared" si="12"/>
        <v>784.75087813505775</v>
      </c>
      <c r="X34">
        <f t="shared" si="13"/>
        <v>0.26502160000000002</v>
      </c>
      <c r="Y34">
        <f t="shared" si="14"/>
        <v>0.24789905400000001</v>
      </c>
      <c r="Z34">
        <f t="shared" si="15"/>
        <v>0.36289170483858529</v>
      </c>
      <c r="AA34">
        <f t="shared" si="16"/>
        <v>8.5612729999999999</v>
      </c>
      <c r="AB34">
        <f t="shared" si="17"/>
        <v>4.3551205939852476E-2</v>
      </c>
      <c r="AC34">
        <f t="shared" si="18"/>
        <v>34.176847105139977</v>
      </c>
    </row>
    <row r="35" spans="1:29" x14ac:dyDescent="0.2">
      <c r="A35">
        <v>46137.019847060183</v>
      </c>
      <c r="B35">
        <v>17.670423</v>
      </c>
      <c r="C35">
        <v>18.101293999999999</v>
      </c>
      <c r="D35">
        <v>19.367847999999999</v>
      </c>
      <c r="E35">
        <v>19.706416000000001</v>
      </c>
      <c r="F35">
        <v>27.853781000000001</v>
      </c>
      <c r="G35">
        <v>27.863140999999999</v>
      </c>
      <c r="H35">
        <v>25.708421999999999</v>
      </c>
      <c r="I35">
        <v>22.429209</v>
      </c>
      <c r="J35">
        <v>57.505864000000003</v>
      </c>
      <c r="K35">
        <v>48.950004</v>
      </c>
      <c r="L35">
        <v>360.93973799999998</v>
      </c>
      <c r="M35">
        <v>-622.50122399999998</v>
      </c>
      <c r="N35">
        <v>1.330835</v>
      </c>
      <c r="O35">
        <v>2.285177</v>
      </c>
      <c r="P35">
        <f t="shared" si="10"/>
        <v>2.2180583333333336E-5</v>
      </c>
      <c r="Q35" cm="1">
        <f t="array" ref="Q35">[1]!PropsSI("D","T",J35+273.15,"P",101325,"Water")</f>
        <v>984.46043958616531</v>
      </c>
      <c r="R35" cm="1">
        <f t="array" ref="R35">[1]!PropsSI("D","T",K35+273.15,"P",101325,"Water")</f>
        <v>988.50632617001224</v>
      </c>
      <c r="S35">
        <f t="shared" si="11"/>
        <v>986.48338287808883</v>
      </c>
      <c r="T35" cm="1">
        <f t="array" ref="T35">[1]!PropsSI("H","T",J35+273.15,"P",101325,"Water")</f>
        <v>240812.17055532848</v>
      </c>
      <c r="U35" cm="1">
        <f t="array" ref="U35">[1]!PropsSI("H","T",K35+273.15,"P",101325,"Water")</f>
        <v>205028.252061404</v>
      </c>
      <c r="V35">
        <f t="shared" si="12"/>
        <v>782.97993648901502</v>
      </c>
      <c r="X35">
        <f t="shared" si="13"/>
        <v>0.265011728</v>
      </c>
      <c r="Y35">
        <f t="shared" si="14"/>
        <v>0.24790000800000001</v>
      </c>
      <c r="Z35">
        <f t="shared" si="15"/>
        <v>0.36288514704234737</v>
      </c>
      <c r="AA35">
        <f t="shared" si="16"/>
        <v>8.5558600000000027</v>
      </c>
      <c r="AB35">
        <f t="shared" si="17"/>
        <v>4.3576561025206559E-2</v>
      </c>
      <c r="AC35">
        <f t="shared" si="18"/>
        <v>34.11957298392592</v>
      </c>
    </row>
    <row r="36" spans="1:29" x14ac:dyDescent="0.2">
      <c r="A36">
        <v>46137.01990550926</v>
      </c>
      <c r="B36">
        <v>17.531510999999998</v>
      </c>
      <c r="C36">
        <v>18.122774</v>
      </c>
      <c r="D36">
        <v>19.285442</v>
      </c>
      <c r="E36">
        <v>19.669097000000001</v>
      </c>
      <c r="F36">
        <v>27.964608999999999</v>
      </c>
      <c r="G36">
        <v>27.891573999999999</v>
      </c>
      <c r="H36">
        <v>25.413491</v>
      </c>
      <c r="I36">
        <v>22.993490999999999</v>
      </c>
      <c r="J36">
        <v>57.501246000000002</v>
      </c>
      <c r="K36">
        <v>48.938885999999997</v>
      </c>
      <c r="L36">
        <v>364.47384699999998</v>
      </c>
      <c r="M36">
        <v>-622.47959300000002</v>
      </c>
      <c r="N36">
        <v>1.342649</v>
      </c>
      <c r="O36">
        <v>3.2092019999999999</v>
      </c>
      <c r="P36">
        <f t="shared" si="10"/>
        <v>2.2377483333333334E-5</v>
      </c>
      <c r="Q36" cm="1">
        <f t="array" ref="Q36">[1]!PropsSI("D","T",J36+273.15,"P",101325,"Water")</f>
        <v>984.46274644768164</v>
      </c>
      <c r="R36" cm="1">
        <f t="array" ref="R36">[1]!PropsSI("D","T",K36+273.15,"P",101325,"Water")</f>
        <v>988.51127735950377</v>
      </c>
      <c r="S36">
        <f t="shared" si="11"/>
        <v>986.4870119035927</v>
      </c>
      <c r="T36" cm="1">
        <f t="array" ref="T36">[1]!PropsSI("H","T",J36+273.15,"P",101325,"Water")</f>
        <v>240792.84926100876</v>
      </c>
      <c r="U36" cm="1">
        <f t="array" ref="U36">[1]!PropsSI("H","T",K36+273.15,"P",101325,"Water")</f>
        <v>204981.76711509377</v>
      </c>
      <c r="V36">
        <f t="shared" si="12"/>
        <v>790.53310013607938</v>
      </c>
      <c r="X36">
        <f t="shared" si="13"/>
        <v>0.26500249200000003</v>
      </c>
      <c r="Y36">
        <f t="shared" si="14"/>
        <v>0.247877772</v>
      </c>
      <c r="Z36">
        <f t="shared" si="15"/>
        <v>0.36286321199302368</v>
      </c>
      <c r="AA36">
        <f t="shared" si="16"/>
        <v>8.5623600000000053</v>
      </c>
      <c r="AB36">
        <f t="shared" si="17"/>
        <v>4.3542729840121412E-2</v>
      </c>
      <c r="AC36">
        <f t="shared" si="18"/>
        <v>34.42196920889895</v>
      </c>
    </row>
    <row r="37" spans="1:29" x14ac:dyDescent="0.2">
      <c r="A37">
        <v>46137.019963379629</v>
      </c>
      <c r="B37">
        <v>18.090247999999999</v>
      </c>
      <c r="C37">
        <v>18.641007999999999</v>
      </c>
      <c r="D37">
        <v>19.370656</v>
      </c>
      <c r="E37">
        <v>19.609344</v>
      </c>
      <c r="F37">
        <v>28.483295999999999</v>
      </c>
      <c r="G37">
        <v>29.030737999999999</v>
      </c>
      <c r="H37">
        <v>25.308111</v>
      </c>
      <c r="I37">
        <v>22.806453000000001</v>
      </c>
      <c r="J37">
        <v>57.497424000000002</v>
      </c>
      <c r="K37">
        <v>48.932057</v>
      </c>
      <c r="L37">
        <v>390.31908399999998</v>
      </c>
      <c r="M37">
        <v>-622.47102199999995</v>
      </c>
      <c r="N37">
        <v>1.3300069999999999</v>
      </c>
      <c r="O37">
        <v>1.9783850000000001</v>
      </c>
      <c r="P37">
        <f t="shared" si="10"/>
        <v>2.2166783333333333E-5</v>
      </c>
      <c r="Q37" cm="1">
        <f t="array" ref="Q37">[1]!PropsSI("D","T",J37+273.15,"P",101325,"Water")</f>
        <v>984.46465558021214</v>
      </c>
      <c r="R37" cm="1">
        <f t="array" ref="R37">[1]!PropsSI("D","T",K37+273.15,"P",101325,"Water")</f>
        <v>988.5143181175988</v>
      </c>
      <c r="S37">
        <f t="shared" si="11"/>
        <v>986.48948684890547</v>
      </c>
      <c r="T37" cm="1">
        <f t="array" ref="T37">[1]!PropsSI("H","T",J37+273.15,"P",101325,"Water")</f>
        <v>240776.85836511868</v>
      </c>
      <c r="U37" cm="1">
        <f t="array" ref="U37">[1]!PropsSI("H","T",K37+273.15,"P",101325,"Water")</f>
        <v>204953.21472096734</v>
      </c>
      <c r="V37">
        <f t="shared" si="12"/>
        <v>783.36631664753543</v>
      </c>
      <c r="X37">
        <f t="shared" si="13"/>
        <v>0.26499484800000001</v>
      </c>
      <c r="Y37">
        <f t="shared" si="14"/>
        <v>0.247864114</v>
      </c>
      <c r="Z37">
        <f t="shared" si="15"/>
        <v>0.36284829953514747</v>
      </c>
      <c r="AA37">
        <f t="shared" si="16"/>
        <v>8.565367000000002</v>
      </c>
      <c r="AB37">
        <f t="shared" si="17"/>
        <v>4.3526555453342226E-2</v>
      </c>
      <c r="AC37">
        <f t="shared" si="18"/>
        <v>34.097237421839395</v>
      </c>
    </row>
    <row r="38" spans="1:29" x14ac:dyDescent="0.2">
      <c r="A38">
        <v>44675.020021830998</v>
      </c>
      <c r="B38">
        <v>17.930916</v>
      </c>
      <c r="C38">
        <v>18.766772</v>
      </c>
      <c r="D38">
        <v>19.524242999999998</v>
      </c>
      <c r="E38">
        <v>19.717364</v>
      </c>
      <c r="F38">
        <v>28.227867</v>
      </c>
      <c r="G38">
        <v>28.134737000000001</v>
      </c>
      <c r="H38">
        <v>25.785301</v>
      </c>
      <c r="I38">
        <v>22.479769000000001</v>
      </c>
      <c r="J38">
        <v>57.492966000000003</v>
      </c>
      <c r="K38">
        <v>48.934440000000002</v>
      </c>
      <c r="L38">
        <v>368.743021</v>
      </c>
      <c r="M38">
        <v>-622.48897999999997</v>
      </c>
      <c r="N38">
        <v>1.3333839999999999</v>
      </c>
      <c r="O38">
        <v>2.3574980000000001</v>
      </c>
      <c r="P38">
        <f t="shared" si="10"/>
        <v>2.2223066666666667E-5</v>
      </c>
      <c r="Q38" cm="1">
        <f t="array" ref="Q38">[1]!PropsSI("D","T",J38+273.15,"P",101325,"Water")</f>
        <v>984.46688229027075</v>
      </c>
      <c r="R38" cm="1">
        <f t="array" ref="R38">[1]!PropsSI("D","T",K38+273.15,"P",101325,"Water")</f>
        <v>988.51325707115132</v>
      </c>
      <c r="S38">
        <f t="shared" si="11"/>
        <v>986.49006968071103</v>
      </c>
      <c r="T38" cm="1">
        <f t="array" ref="T38">[1]!PropsSI("H","T",J38+273.15,"P",101325,"Water")</f>
        <v>240758.20651112555</v>
      </c>
      <c r="U38" cm="1">
        <f t="array" ref="U38">[1]!PropsSI("H","T",K38+273.15,"P",101325,"Water")</f>
        <v>204963.17816300283</v>
      </c>
      <c r="V38">
        <f t="shared" si="12"/>
        <v>784.72848542406598</v>
      </c>
      <c r="X38">
        <f t="shared" si="13"/>
        <v>0.26498593199999998</v>
      </c>
      <c r="Y38">
        <f t="shared" si="14"/>
        <v>0.24786888000000001</v>
      </c>
      <c r="Z38">
        <f t="shared" si="15"/>
        <v>0.36284504382775168</v>
      </c>
      <c r="AA38">
        <f t="shared" si="16"/>
        <v>8.5585260000000005</v>
      </c>
      <c r="AB38">
        <f t="shared" si="17"/>
        <v>4.3559141148136679E-2</v>
      </c>
      <c r="AC38">
        <f t="shared" si="18"/>
        <v>34.182098859550408</v>
      </c>
    </row>
    <row r="39" spans="1:29" x14ac:dyDescent="0.2">
      <c r="A39">
        <v>44675.020079701397</v>
      </c>
      <c r="B39">
        <v>17.333407000000001</v>
      </c>
      <c r="C39">
        <v>17.546754</v>
      </c>
      <c r="D39">
        <v>19.380215</v>
      </c>
      <c r="E39">
        <v>19.670487999999999</v>
      </c>
      <c r="F39">
        <v>27.750805</v>
      </c>
      <c r="G39">
        <v>28.439193</v>
      </c>
      <c r="H39">
        <v>25.702852</v>
      </c>
      <c r="I39">
        <v>23.078824000000001</v>
      </c>
      <c r="J39">
        <v>57.487552000000001</v>
      </c>
      <c r="K39">
        <v>48.924433999999998</v>
      </c>
      <c r="L39">
        <v>363.74041399999999</v>
      </c>
      <c r="M39">
        <v>-622.51061200000004</v>
      </c>
      <c r="N39">
        <v>1.32484</v>
      </c>
      <c r="O39">
        <v>2.5361699999999998</v>
      </c>
      <c r="P39">
        <f t="shared" si="10"/>
        <v>2.2080666666666667E-5</v>
      </c>
      <c r="Q39" cm="1">
        <f t="array" ref="Q39">[1]!PropsSI("D","T",J39+273.15,"P",101325,"Water")</f>
        <v>984.46958634757289</v>
      </c>
      <c r="R39" cm="1">
        <f t="array" ref="R39">[1]!PropsSI("D","T",K39+273.15,"P",101325,"Water")</f>
        <v>988.51771205530224</v>
      </c>
      <c r="S39">
        <f t="shared" si="11"/>
        <v>986.49364920143762</v>
      </c>
      <c r="T39" cm="1">
        <f t="array" ref="T39">[1]!PropsSI("H","T",J39+273.15,"P",101325,"Water")</f>
        <v>240735.55485349428</v>
      </c>
      <c r="U39" cm="1">
        <f t="array" ref="U39">[1]!PropsSI("H","T",K39+273.15,"P",101325,"Water")</f>
        <v>204921.34258734316</v>
      </c>
      <c r="V39">
        <f t="shared" si="12"/>
        <v>780.12083803573159</v>
      </c>
      <c r="X39">
        <f t="shared" si="13"/>
        <v>0.26497510400000002</v>
      </c>
      <c r="Y39">
        <f t="shared" si="14"/>
        <v>0.247848868</v>
      </c>
      <c r="Z39">
        <f t="shared" si="15"/>
        <v>0.36282346548795907</v>
      </c>
      <c r="AA39">
        <f t="shared" si="16"/>
        <v>8.5631180000000029</v>
      </c>
      <c r="AB39">
        <f t="shared" si="17"/>
        <v>4.3534561281930832E-2</v>
      </c>
      <c r="AC39">
        <f t="shared" si="18"/>
        <v>33.962218430777796</v>
      </c>
    </row>
    <row r="40" spans="1:29" x14ac:dyDescent="0.2">
      <c r="A40">
        <v>44675.020137571802</v>
      </c>
      <c r="B40">
        <v>17.752312</v>
      </c>
      <c r="C40">
        <v>18.061002999999999</v>
      </c>
      <c r="D40">
        <v>19.317118000000001</v>
      </c>
      <c r="E40">
        <v>19.733767</v>
      </c>
      <c r="F40">
        <v>28.305152</v>
      </c>
      <c r="G40">
        <v>29.195775000000001</v>
      </c>
      <c r="H40">
        <v>25.740949000000001</v>
      </c>
      <c r="I40">
        <v>22.484137</v>
      </c>
      <c r="J40">
        <v>57.485799999999998</v>
      </c>
      <c r="K40">
        <v>48.898547000000001</v>
      </c>
      <c r="L40">
        <v>368.17284599999999</v>
      </c>
      <c r="M40">
        <v>-622.50081599999999</v>
      </c>
      <c r="N40">
        <v>1.335486</v>
      </c>
      <c r="O40">
        <v>2.9987979999999999</v>
      </c>
      <c r="P40">
        <f t="shared" si="10"/>
        <v>2.22581E-5</v>
      </c>
      <c r="Q40" cm="1">
        <f t="array" ref="Q40">[1]!PropsSI("D","T",J40+273.15,"P",101325,"Water")</f>
        <v>984.47046135731944</v>
      </c>
      <c r="R40" cm="1">
        <f t="array" ref="R40">[1]!PropsSI("D","T",K40+273.15,"P",101325,"Water")</f>
        <v>988.52923467125731</v>
      </c>
      <c r="S40">
        <f t="shared" si="11"/>
        <v>986.49984801428832</v>
      </c>
      <c r="T40" cm="1">
        <f t="array" ref="T40">[1]!PropsSI("H","T",J40+273.15,"P",101325,"Water")</f>
        <v>240728.22465581063</v>
      </c>
      <c r="U40" cm="1">
        <f t="array" ref="U40">[1]!PropsSI("H","T",K40+273.15,"P",101325,"Water")</f>
        <v>204813.1078965776</v>
      </c>
      <c r="V40">
        <f t="shared" si="12"/>
        <v>788.61020832639099</v>
      </c>
      <c r="X40">
        <f t="shared" si="13"/>
        <v>0.26497159999999997</v>
      </c>
      <c r="Y40">
        <f t="shared" si="14"/>
        <v>0.247797094</v>
      </c>
      <c r="Z40">
        <f t="shared" si="15"/>
        <v>0.36278554078326331</v>
      </c>
      <c r="AA40">
        <f t="shared" si="16"/>
        <v>8.5872529999999969</v>
      </c>
      <c r="AB40">
        <f t="shared" si="17"/>
        <v>4.3414371628170231E-2</v>
      </c>
      <c r="AC40">
        <f t="shared" si="18"/>
        <v>34.237016654050684</v>
      </c>
    </row>
    <row r="41" spans="1:29" x14ac:dyDescent="0.2">
      <c r="A41">
        <v>44675.020196020901</v>
      </c>
      <c r="B41">
        <v>17.552804999999999</v>
      </c>
      <c r="C41">
        <v>18.074961999999999</v>
      </c>
      <c r="D41">
        <v>19.268515000000001</v>
      </c>
      <c r="E41">
        <v>19.732823</v>
      </c>
      <c r="F41">
        <v>27.945650000000001</v>
      </c>
      <c r="G41">
        <v>29.188003999999999</v>
      </c>
      <c r="H41">
        <v>25.863921999999999</v>
      </c>
      <c r="I41">
        <v>22.502182000000001</v>
      </c>
      <c r="J41">
        <v>57.480226999999999</v>
      </c>
      <c r="K41">
        <v>48.888858999999997</v>
      </c>
      <c r="L41">
        <v>368.54670399999998</v>
      </c>
      <c r="M41">
        <v>-622.48163399999999</v>
      </c>
      <c r="N41">
        <v>1.333634</v>
      </c>
      <c r="O41">
        <v>3.2978010000000002</v>
      </c>
      <c r="P41">
        <f t="shared" si="10"/>
        <v>2.2227233333333333E-5</v>
      </c>
      <c r="Q41" cm="1">
        <f t="array" ref="Q41">[1]!PropsSI("D","T",J41+273.15,"P",101325,"Water")</f>
        <v>984.4732445837833</v>
      </c>
      <c r="R41" cm="1">
        <f t="array" ref="R41">[1]!PropsSI("D","T",K41+273.15,"P",101325,"Water")</f>
        <v>988.53354577201912</v>
      </c>
      <c r="S41">
        <f t="shared" si="11"/>
        <v>986.50339517790121</v>
      </c>
      <c r="T41" cm="1">
        <f t="array" ref="T41">[1]!PropsSI("H","T",J41+273.15,"P",101325,"Water")</f>
        <v>240704.90777352615</v>
      </c>
      <c r="U41" cm="1">
        <f t="array" ref="U41">[1]!PropsSI("H","T",K41+273.15,"P",101325,"Water")</f>
        <v>204772.60198618553</v>
      </c>
      <c r="V41">
        <f t="shared" si="12"/>
        <v>787.89633402945447</v>
      </c>
      <c r="X41">
        <f t="shared" si="13"/>
        <v>0.26496045400000001</v>
      </c>
      <c r="Y41">
        <f t="shared" si="14"/>
        <v>0.24777771799999998</v>
      </c>
      <c r="Z41">
        <f t="shared" si="15"/>
        <v>0.36276416543144618</v>
      </c>
      <c r="AA41">
        <f t="shared" si="16"/>
        <v>8.5913680000000028</v>
      </c>
      <c r="AB41">
        <f t="shared" si="17"/>
        <v>4.3392259948161753E-2</v>
      </c>
      <c r="AC41">
        <f t="shared" si="18"/>
        <v>34.188602538409768</v>
      </c>
    </row>
    <row r="42" spans="1:29" x14ac:dyDescent="0.2">
      <c r="A42">
        <v>46137.020254467592</v>
      </c>
      <c r="B42">
        <v>17.411387000000001</v>
      </c>
      <c r="C42">
        <v>17.912115</v>
      </c>
      <c r="D42">
        <v>19.280705999999999</v>
      </c>
      <c r="E42">
        <v>19.649006</v>
      </c>
      <c r="F42">
        <v>27.917223</v>
      </c>
      <c r="G42">
        <v>28.088711</v>
      </c>
      <c r="H42">
        <v>25.435763999999999</v>
      </c>
      <c r="I42">
        <v>22.512394</v>
      </c>
      <c r="J42">
        <v>57.475928000000003</v>
      </c>
      <c r="K42">
        <v>48.882348</v>
      </c>
      <c r="L42">
        <v>392.59243900000001</v>
      </c>
      <c r="M42">
        <v>-622.50857099999996</v>
      </c>
      <c r="N42">
        <v>1.3287659999999999</v>
      </c>
      <c r="O42">
        <v>2.1350220000000002</v>
      </c>
      <c r="P42">
        <f t="shared" si="10"/>
        <v>2.2146099999999998E-5</v>
      </c>
      <c r="Q42" cm="1">
        <f t="array" ref="Q42">[1]!PropsSI("D","T",J42+273.15,"P",101325,"Water")</f>
        <v>984.47539143019367</v>
      </c>
      <c r="R42" cm="1">
        <f t="array" ref="R42">[1]!PropsSI("D","T",K42+273.15,"P",101325,"Water")</f>
        <v>988.53644277676096</v>
      </c>
      <c r="S42">
        <f t="shared" si="11"/>
        <v>986.50591710347726</v>
      </c>
      <c r="T42" cm="1">
        <f t="array" ref="T42">[1]!PropsSI("H","T",J42+273.15,"P",101325,"Water")</f>
        <v>240686.92119001065</v>
      </c>
      <c r="U42" cm="1">
        <f t="array" ref="U42">[1]!PropsSI("H","T",K42+273.15,"P",101325,"Water")</f>
        <v>204745.37925209204</v>
      </c>
      <c r="V42">
        <f t="shared" si="12"/>
        <v>785.22416446269824</v>
      </c>
      <c r="X42">
        <f t="shared" si="13"/>
        <v>0.26495185599999999</v>
      </c>
      <c r="Y42">
        <f t="shared" si="14"/>
        <v>0.24776469600000001</v>
      </c>
      <c r="Z42">
        <f t="shared" si="15"/>
        <v>0.36274899115203219</v>
      </c>
      <c r="AA42">
        <f t="shared" si="16"/>
        <v>8.5935800000000029</v>
      </c>
      <c r="AB42">
        <f t="shared" si="17"/>
        <v>4.3379965772044282E-2</v>
      </c>
      <c r="AC42">
        <f t="shared" si="18"/>
        <v>34.062997377773918</v>
      </c>
    </row>
    <row r="43" spans="1:29" x14ac:dyDescent="0.2">
      <c r="A43">
        <v>46137.020312337962</v>
      </c>
      <c r="B43">
        <v>17.68479</v>
      </c>
      <c r="C43">
        <v>17.924378999999998</v>
      </c>
      <c r="D43">
        <v>19.381385999999999</v>
      </c>
      <c r="E43">
        <v>19.769064</v>
      </c>
      <c r="F43">
        <v>28.004238999999998</v>
      </c>
      <c r="G43">
        <v>28.781592</v>
      </c>
      <c r="H43">
        <v>25.898204</v>
      </c>
      <c r="I43">
        <v>22.494498</v>
      </c>
      <c r="J43">
        <v>57.470832000000001</v>
      </c>
      <c r="K43">
        <v>48.869484</v>
      </c>
      <c r="L43">
        <v>370.02458999999999</v>
      </c>
      <c r="M43">
        <v>-622.50204099999996</v>
      </c>
      <c r="N43">
        <v>1.331134</v>
      </c>
      <c r="O43">
        <v>2.9950619999999999</v>
      </c>
      <c r="P43">
        <f t="shared" si="10"/>
        <v>2.218556666666667E-5</v>
      </c>
      <c r="Q43" cm="1">
        <f t="array" ref="Q43">[1]!PropsSI("D","T",J43+273.15,"P",101325,"Water")</f>
        <v>984.47793613971169</v>
      </c>
      <c r="R43" cm="1">
        <f t="array" ref="R43">[1]!PropsSI("D","T",K43+273.15,"P",101325,"Water")</f>
        <v>988.54216565751312</v>
      </c>
      <c r="S43">
        <f t="shared" si="11"/>
        <v>986.51005089861246</v>
      </c>
      <c r="T43" cm="1">
        <f t="array" ref="T43">[1]!PropsSI("H","T",J43+273.15,"P",101325,"Water")</f>
        <v>240665.60004831935</v>
      </c>
      <c r="U43" cm="1">
        <f t="array" ref="U43">[1]!PropsSI("H","T",K43+273.15,"P",101325,"Water")</f>
        <v>204691.59442077662</v>
      </c>
      <c r="V43">
        <f t="shared" si="12"/>
        <v>787.33732182468532</v>
      </c>
      <c r="X43">
        <f t="shared" si="13"/>
        <v>0.26494166399999997</v>
      </c>
      <c r="Y43">
        <f t="shared" si="14"/>
        <v>0.247738968</v>
      </c>
      <c r="Z43">
        <f t="shared" si="15"/>
        <v>0.36272397437830589</v>
      </c>
      <c r="AA43">
        <f t="shared" si="16"/>
        <v>8.6013480000000015</v>
      </c>
      <c r="AB43">
        <f t="shared" si="17"/>
        <v>4.3340041469718475E-2</v>
      </c>
      <c r="AC43">
        <f t="shared" si="18"/>
        <v>34.123232178538942</v>
      </c>
    </row>
    <row r="44" spans="1:29" x14ac:dyDescent="0.2">
      <c r="A44">
        <v>46137.020370787039</v>
      </c>
      <c r="B44">
        <v>17.902421</v>
      </c>
      <c r="C44">
        <v>18.623652</v>
      </c>
      <c r="D44">
        <v>19.306463000000001</v>
      </c>
      <c r="E44">
        <v>19.674807000000001</v>
      </c>
      <c r="F44">
        <v>28.241804999999999</v>
      </c>
      <c r="G44">
        <v>28.947952000000001</v>
      </c>
      <c r="H44">
        <v>25.920165000000001</v>
      </c>
      <c r="I44">
        <v>22.670175</v>
      </c>
      <c r="J44">
        <v>57.465896000000001</v>
      </c>
      <c r="K44">
        <v>48.869484</v>
      </c>
      <c r="L44">
        <v>367.84918800000003</v>
      </c>
      <c r="M44">
        <v>-622.5</v>
      </c>
      <c r="N44">
        <v>1.334576</v>
      </c>
      <c r="O44">
        <v>2.5458660000000002</v>
      </c>
      <c r="P44">
        <f t="shared" si="10"/>
        <v>2.2242933333333334E-5</v>
      </c>
      <c r="Q44" cm="1">
        <f t="array" ref="Q44">[1]!PropsSI("D","T",J44+273.15,"P",101325,"Water")</f>
        <v>984.48040080270027</v>
      </c>
      <c r="R44" cm="1">
        <f t="array" ref="R44">[1]!PropsSI("D","T",K44+273.15,"P",101325,"Water")</f>
        <v>988.54216565751312</v>
      </c>
      <c r="S44">
        <f t="shared" si="11"/>
        <v>986.51128323010676</v>
      </c>
      <c r="T44" cm="1">
        <f t="array" ref="T44">[1]!PropsSI("H","T",J44+273.15,"P",101325,"Water")</f>
        <v>240644.94834005903</v>
      </c>
      <c r="U44" cm="1">
        <f t="array" ref="U44">[1]!PropsSI("H","T",K44+273.15,"P",101325,"Water")</f>
        <v>204691.59442077662</v>
      </c>
      <c r="V44">
        <f t="shared" si="12"/>
        <v>788.92101889279218</v>
      </c>
      <c r="X44">
        <f t="shared" si="13"/>
        <v>0.264931792</v>
      </c>
      <c r="Y44">
        <f t="shared" si="14"/>
        <v>0.247738968</v>
      </c>
      <c r="Z44">
        <f t="shared" si="15"/>
        <v>0.36271676371245415</v>
      </c>
      <c r="AA44">
        <f t="shared" si="16"/>
        <v>8.5964120000000008</v>
      </c>
      <c r="AB44">
        <f t="shared" si="17"/>
        <v>4.3362786333691186E-2</v>
      </c>
      <c r="AC44">
        <f t="shared" si="18"/>
        <v>34.209813576406091</v>
      </c>
    </row>
    <row r="45" spans="1:29" x14ac:dyDescent="0.2">
      <c r="A45">
        <v>46137.020429236109</v>
      </c>
      <c r="B45">
        <v>17.905773</v>
      </c>
      <c r="C45">
        <v>18.380177</v>
      </c>
      <c r="D45">
        <v>19.182587999999999</v>
      </c>
      <c r="E45">
        <v>19.53396</v>
      </c>
      <c r="F45">
        <v>28.224250000000001</v>
      </c>
      <c r="G45">
        <v>28.346651000000001</v>
      </c>
      <c r="H45">
        <v>25.479984000000002</v>
      </c>
      <c r="I45">
        <v>22.294101000000001</v>
      </c>
      <c r="J45">
        <v>57.461596999999998</v>
      </c>
      <c r="K45">
        <v>48.876154</v>
      </c>
      <c r="L45">
        <v>386.40825899999999</v>
      </c>
      <c r="M45">
        <v>-622.48979599999996</v>
      </c>
      <c r="N45">
        <v>1.3254220000000001</v>
      </c>
      <c r="O45">
        <v>3.2893370000000002</v>
      </c>
      <c r="P45">
        <f t="shared" si="10"/>
        <v>2.2090366666666668E-5</v>
      </c>
      <c r="Q45" cm="1">
        <f t="array" ref="Q45">[1]!PropsSI("D","T",J45+273.15,"P",101325,"Water")</f>
        <v>984.48254727615415</v>
      </c>
      <c r="R45" cm="1">
        <f t="array" ref="R45">[1]!PropsSI("D","T",K45+273.15,"P",101325,"Water")</f>
        <v>988.53919847399743</v>
      </c>
      <c r="S45">
        <f t="shared" si="11"/>
        <v>986.51087287507585</v>
      </c>
      <c r="T45" cm="1">
        <f t="array" ref="T45">[1]!PropsSI("H","T",J45+273.15,"P",101325,"Water")</f>
        <v>240626.96178114077</v>
      </c>
      <c r="U45" cm="1">
        <f t="array" ref="U45">[1]!PropsSI("H","T",K45+273.15,"P",101325,"Water")</f>
        <v>204719.48191729112</v>
      </c>
      <c r="V45">
        <f t="shared" si="12"/>
        <v>782.50969388544002</v>
      </c>
      <c r="X45">
        <f t="shared" si="13"/>
        <v>0.26492319399999997</v>
      </c>
      <c r="Y45">
        <f t="shared" si="14"/>
        <v>0.24775230799999998</v>
      </c>
      <c r="Z45">
        <f t="shared" si="15"/>
        <v>0.36271959533293546</v>
      </c>
      <c r="AA45">
        <f t="shared" si="16"/>
        <v>8.5854429999999979</v>
      </c>
      <c r="AB45">
        <f t="shared" si="17"/>
        <v>4.3415564190882903E-2</v>
      </c>
      <c r="AC45">
        <f t="shared" si="18"/>
        <v>33.973099844871449</v>
      </c>
    </row>
    <row r="46" spans="1:29" x14ac:dyDescent="0.2">
      <c r="A46">
        <v>46137.020487685186</v>
      </c>
      <c r="B46">
        <v>17.816428999999999</v>
      </c>
      <c r="C46">
        <v>18.634874</v>
      </c>
      <c r="D46">
        <v>19.202691000000002</v>
      </c>
      <c r="E46">
        <v>19.736718</v>
      </c>
      <c r="F46">
        <v>28.313133000000001</v>
      </c>
      <c r="G46">
        <v>29.578686000000001</v>
      </c>
      <c r="H46">
        <v>25.484794999999998</v>
      </c>
      <c r="I46">
        <v>22.524996000000002</v>
      </c>
      <c r="J46">
        <v>57.460641000000003</v>
      </c>
      <c r="K46">
        <v>48.868054000000001</v>
      </c>
      <c r="L46">
        <v>375.21616599999999</v>
      </c>
      <c r="M46">
        <v>-622.48408199999994</v>
      </c>
      <c r="N46">
        <v>1.333888</v>
      </c>
      <c r="O46">
        <v>2.6005859999999998</v>
      </c>
      <c r="P46">
        <f t="shared" si="10"/>
        <v>2.2231466666666669E-5</v>
      </c>
      <c r="Q46" cm="1">
        <f t="array" ref="Q46">[1]!PropsSI("D","T",J46+273.15,"P",101325,"Water")</f>
        <v>984.48302458791079</v>
      </c>
      <c r="R46" cm="1">
        <f t="array" ref="R46">[1]!PropsSI("D","T",K46+273.15,"P",101325,"Water")</f>
        <v>988.54280176182726</v>
      </c>
      <c r="S46">
        <f t="shared" si="11"/>
        <v>986.51291317486903</v>
      </c>
      <c r="T46" cm="1">
        <f t="array" ref="T46">[1]!PropsSI("H","T",J46+273.15,"P",101325,"Water")</f>
        <v>240622.96197980779</v>
      </c>
      <c r="U46" cm="1">
        <f t="array" ref="U46">[1]!PropsSI("H","T",K46+273.15,"P",101325,"Water")</f>
        <v>204685.61554375046</v>
      </c>
      <c r="V46">
        <f t="shared" si="12"/>
        <v>788.16454732089699</v>
      </c>
      <c r="X46">
        <f t="shared" si="13"/>
        <v>0.26492128199999998</v>
      </c>
      <c r="Y46">
        <f t="shared" si="14"/>
        <v>0.24773610800000001</v>
      </c>
      <c r="Z46">
        <f t="shared" si="15"/>
        <v>0.36270713373672592</v>
      </c>
      <c r="AA46">
        <f t="shared" si="16"/>
        <v>8.5925870000000018</v>
      </c>
      <c r="AB46">
        <f t="shared" si="17"/>
        <v>4.3379972422924851E-2</v>
      </c>
      <c r="AC46">
        <f t="shared" si="18"/>
        <v>34.190556327507558</v>
      </c>
    </row>
    <row r="47" spans="1:29" x14ac:dyDescent="0.2">
      <c r="A47">
        <v>46137.020545555555</v>
      </c>
      <c r="B47">
        <v>17.908829999999998</v>
      </c>
      <c r="C47">
        <v>18.592255000000002</v>
      </c>
      <c r="D47">
        <v>19.308250999999998</v>
      </c>
      <c r="E47">
        <v>19.789832000000001</v>
      </c>
      <c r="F47">
        <v>28.183495000000001</v>
      </c>
      <c r="G47">
        <v>29.956914000000001</v>
      </c>
      <c r="H47">
        <v>25.890272</v>
      </c>
      <c r="I47">
        <v>22.603957000000001</v>
      </c>
      <c r="J47">
        <v>57.458570999999999</v>
      </c>
      <c r="K47">
        <v>48.873772000000002</v>
      </c>
      <c r="L47">
        <v>370.40579500000001</v>
      </c>
      <c r="M47">
        <v>-622.47265400000003</v>
      </c>
      <c r="N47">
        <v>1.3317650000000001</v>
      </c>
      <c r="O47">
        <v>2.2653910000000002</v>
      </c>
      <c r="P47">
        <f t="shared" si="10"/>
        <v>2.2196083333333336E-5</v>
      </c>
      <c r="Q47" cm="1">
        <f t="array" ref="Q47">[1]!PropsSI("D","T",J47+273.15,"P",101325,"Water")</f>
        <v>984.48405807873667</v>
      </c>
      <c r="R47" cm="1">
        <f t="array" ref="R47">[1]!PropsSI("D","T",K47+273.15,"P",101325,"Water")</f>
        <v>988.54025815280215</v>
      </c>
      <c r="S47">
        <f t="shared" si="11"/>
        <v>986.51215811576935</v>
      </c>
      <c r="T47" cm="1">
        <f t="array" ref="T47">[1]!PropsSI("H","T",J47+273.15,"P",101325,"Water")</f>
        <v>240614.30132332389</v>
      </c>
      <c r="U47" cm="1">
        <f t="array" ref="U47">[1]!PropsSI("H","T",K47+273.15,"P",101325,"Water")</f>
        <v>204709.52269306578</v>
      </c>
      <c r="V47">
        <f t="shared" si="12"/>
        <v>786.19638420692354</v>
      </c>
      <c r="X47">
        <f t="shared" si="13"/>
        <v>0.26491714199999999</v>
      </c>
      <c r="Y47">
        <f t="shared" si="14"/>
        <v>0.24774754399999999</v>
      </c>
      <c r="Z47">
        <f t="shared" si="15"/>
        <v>0.36271192106612665</v>
      </c>
      <c r="AA47">
        <f t="shared" si="16"/>
        <v>8.5847989999999967</v>
      </c>
      <c r="AB47">
        <f t="shared" si="17"/>
        <v>4.3417778382480628E-2</v>
      </c>
      <c r="AC47">
        <f t="shared" si="18"/>
        <v>34.134900374603802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4E33C-7FC3-DD4F-98D0-3D8B105352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2026-04-26T20:03:30Z</dcterms:created>
  <dcterms:modified xsi:type="dcterms:W3CDTF">2026-04-26T20:21:11Z</dcterms:modified>
</cp:coreProperties>
</file>