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Redo_front_4_24_26/30gps/"/>
    </mc:Choice>
  </mc:AlternateContent>
  <xr:revisionPtr revIDLastSave="0" documentId="13_ncr:1_{43B29E4C-8941-C747-8984-D9F0B14B0697}" xr6:coauthVersionLast="47" xr6:coauthVersionMax="47" xr10:uidLastSave="{00000000-0000-0000-0000-000000000000}"/>
  <bookViews>
    <workbookView xWindow="2600" yWindow="1680" windowWidth="27640" windowHeight="16680" xr2:uid="{36A853B1-0F1F-4249-9960-5D7E4FEC98CA}"/>
  </bookViews>
  <sheets>
    <sheet name="Results" sheetId="1" r:id="rId1"/>
    <sheet name="1mps" sheetId="3" r:id="rId2"/>
    <sheet name="2mps" sheetId="4" r:id="rId3"/>
    <sheet name="3mps" sheetId="5" r:id="rId4"/>
    <sheet name="4mps" sheetId="6" r:id="rId5"/>
    <sheet name="5mps" sheetId="7" r:id="rId6"/>
    <sheet name="6mps" sheetId="8" r:id="rId7"/>
    <sheet name="7mps" sheetId="9" r:id="rId8"/>
  </sheets>
  <externalReferences>
    <externalReference r:id="rId9"/>
  </externalReferences>
  <definedNames>
    <definedName name="ExternalData_1" localSheetId="1" hidden="1">'1mps'!$A$1:$O$14</definedName>
    <definedName name="ExternalData_1" localSheetId="2" hidden="1">'2mps'!$A$1:$O$21</definedName>
    <definedName name="ExternalData_1" localSheetId="3" hidden="1">'3mps'!$A$1:$O$33</definedName>
    <definedName name="ExternalData_1" localSheetId="4" hidden="1">'4mps'!$A$1:$O$28</definedName>
    <definedName name="ExternalData_1" localSheetId="5" hidden="1">'5mps'!$A$1:$O$23</definedName>
    <definedName name="ExternalData_1" localSheetId="6" hidden="1">'6mps'!$A$1:$O$29</definedName>
    <definedName name="ExternalData_1" localSheetId="7" hidden="1">'7mps'!$A$1:$O$82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" i="9" l="1"/>
  <c r="W2" i="9"/>
  <c r="X82" i="9"/>
  <c r="Z82" i="9" s="1"/>
  <c r="AB82" i="9" s="1"/>
  <c r="AC82" i="9" s="1"/>
  <c r="Y82" i="9"/>
  <c r="AA82" i="9"/>
  <c r="X46" i="9"/>
  <c r="Z46" i="9" s="1"/>
  <c r="AB46" i="9" s="1"/>
  <c r="AC46" i="9" s="1"/>
  <c r="Y46" i="9"/>
  <c r="AA46" i="9"/>
  <c r="X47" i="9"/>
  <c r="Y47" i="9"/>
  <c r="Z47" i="9"/>
  <c r="AA47" i="9"/>
  <c r="AB47" i="9"/>
  <c r="AC47" i="9"/>
  <c r="X48" i="9"/>
  <c r="Z48" i="9" s="1"/>
  <c r="AB48" i="9" s="1"/>
  <c r="AC48" i="9" s="1"/>
  <c r="Y48" i="9"/>
  <c r="AA48" i="9"/>
  <c r="X49" i="9"/>
  <c r="Y49" i="9"/>
  <c r="Z49" i="9"/>
  <c r="AA49" i="9"/>
  <c r="AB49" i="9"/>
  <c r="AC49" i="9"/>
  <c r="X50" i="9"/>
  <c r="Z50" i="9" s="1"/>
  <c r="AB50" i="9" s="1"/>
  <c r="AC50" i="9" s="1"/>
  <c r="Y50" i="9"/>
  <c r="AA50" i="9"/>
  <c r="X51" i="9"/>
  <c r="Y51" i="9"/>
  <c r="Z51" i="9"/>
  <c r="AA51" i="9"/>
  <c r="AB51" i="9"/>
  <c r="AC51" i="9"/>
  <c r="X52" i="9"/>
  <c r="Z52" i="9" s="1"/>
  <c r="AB52" i="9" s="1"/>
  <c r="AC52" i="9" s="1"/>
  <c r="Y52" i="9"/>
  <c r="AA52" i="9"/>
  <c r="X53" i="9"/>
  <c r="Y53" i="9"/>
  <c r="Z53" i="9"/>
  <c r="AA53" i="9"/>
  <c r="AB53" i="9"/>
  <c r="AC53" i="9"/>
  <c r="X54" i="9"/>
  <c r="Z54" i="9" s="1"/>
  <c r="AB54" i="9" s="1"/>
  <c r="AC54" i="9" s="1"/>
  <c r="Y54" i="9"/>
  <c r="AA54" i="9"/>
  <c r="X55" i="9"/>
  <c r="Y55" i="9"/>
  <c r="Z55" i="9"/>
  <c r="AA55" i="9"/>
  <c r="AB55" i="9"/>
  <c r="AC55" i="9"/>
  <c r="X56" i="9"/>
  <c r="Z56" i="9" s="1"/>
  <c r="AB56" i="9" s="1"/>
  <c r="AC56" i="9" s="1"/>
  <c r="Y56" i="9"/>
  <c r="AA56" i="9"/>
  <c r="X57" i="9"/>
  <c r="Y57" i="9"/>
  <c r="Z57" i="9"/>
  <c r="AA57" i="9"/>
  <c r="AB57" i="9"/>
  <c r="AC57" i="9"/>
  <c r="X58" i="9"/>
  <c r="Z58" i="9" s="1"/>
  <c r="AB58" i="9" s="1"/>
  <c r="AC58" i="9" s="1"/>
  <c r="Y58" i="9"/>
  <c r="AA58" i="9"/>
  <c r="X59" i="9"/>
  <c r="Y59" i="9"/>
  <c r="Z59" i="9"/>
  <c r="AA59" i="9"/>
  <c r="AB59" i="9"/>
  <c r="AC59" i="9"/>
  <c r="X60" i="9"/>
  <c r="Z60" i="9" s="1"/>
  <c r="AB60" i="9" s="1"/>
  <c r="AC60" i="9" s="1"/>
  <c r="Y60" i="9"/>
  <c r="AA60" i="9"/>
  <c r="X61" i="9"/>
  <c r="Y61" i="9"/>
  <c r="Z61" i="9"/>
  <c r="AA61" i="9"/>
  <c r="AB61" i="9"/>
  <c r="AC61" i="9"/>
  <c r="X62" i="9"/>
  <c r="Z62" i="9" s="1"/>
  <c r="AB62" i="9" s="1"/>
  <c r="AC62" i="9" s="1"/>
  <c r="Y62" i="9"/>
  <c r="AA62" i="9"/>
  <c r="X63" i="9"/>
  <c r="Y63" i="9"/>
  <c r="Z63" i="9"/>
  <c r="AA63" i="9"/>
  <c r="AB63" i="9"/>
  <c r="AC63" i="9"/>
  <c r="X64" i="9"/>
  <c r="Z64" i="9" s="1"/>
  <c r="AB64" i="9" s="1"/>
  <c r="AC64" i="9" s="1"/>
  <c r="Y64" i="9"/>
  <c r="AA64" i="9"/>
  <c r="X65" i="9"/>
  <c r="Y65" i="9"/>
  <c r="Z65" i="9"/>
  <c r="AA65" i="9"/>
  <c r="AB65" i="9"/>
  <c r="AC65" i="9"/>
  <c r="X66" i="9"/>
  <c r="Z66" i="9" s="1"/>
  <c r="AB66" i="9" s="1"/>
  <c r="AC66" i="9" s="1"/>
  <c r="Y66" i="9"/>
  <c r="AA66" i="9"/>
  <c r="X67" i="9"/>
  <c r="Y67" i="9"/>
  <c r="Z67" i="9"/>
  <c r="AA67" i="9"/>
  <c r="AB67" i="9"/>
  <c r="AC67" i="9"/>
  <c r="X68" i="9"/>
  <c r="Z68" i="9" s="1"/>
  <c r="AB68" i="9" s="1"/>
  <c r="AC68" i="9" s="1"/>
  <c r="Y68" i="9"/>
  <c r="AA68" i="9"/>
  <c r="X69" i="9"/>
  <c r="Y69" i="9"/>
  <c r="Z69" i="9"/>
  <c r="AA69" i="9"/>
  <c r="AB69" i="9"/>
  <c r="AC69" i="9"/>
  <c r="X70" i="9"/>
  <c r="Z70" i="9" s="1"/>
  <c r="AB70" i="9" s="1"/>
  <c r="AC70" i="9" s="1"/>
  <c r="Y70" i="9"/>
  <c r="AA70" i="9"/>
  <c r="X71" i="9"/>
  <c r="Y71" i="9"/>
  <c r="Z71" i="9"/>
  <c r="AA71" i="9"/>
  <c r="AB71" i="9"/>
  <c r="AC71" i="9"/>
  <c r="X72" i="9"/>
  <c r="Z72" i="9" s="1"/>
  <c r="AB72" i="9" s="1"/>
  <c r="AC72" i="9" s="1"/>
  <c r="Y72" i="9"/>
  <c r="AA72" i="9"/>
  <c r="X73" i="9"/>
  <c r="Y73" i="9"/>
  <c r="Z73" i="9"/>
  <c r="AA73" i="9"/>
  <c r="AB73" i="9"/>
  <c r="AC73" i="9"/>
  <c r="X74" i="9"/>
  <c r="Z74" i="9" s="1"/>
  <c r="AB74" i="9" s="1"/>
  <c r="AC74" i="9" s="1"/>
  <c r="Y74" i="9"/>
  <c r="AA74" i="9"/>
  <c r="X75" i="9"/>
  <c r="Y75" i="9"/>
  <c r="Z75" i="9"/>
  <c r="AA75" i="9"/>
  <c r="AB75" i="9"/>
  <c r="AC75" i="9"/>
  <c r="X76" i="9"/>
  <c r="Z76" i="9" s="1"/>
  <c r="AB76" i="9" s="1"/>
  <c r="AC76" i="9" s="1"/>
  <c r="Y76" i="9"/>
  <c r="AA76" i="9"/>
  <c r="X77" i="9"/>
  <c r="Y77" i="9"/>
  <c r="Z77" i="9"/>
  <c r="AA77" i="9"/>
  <c r="AB77" i="9"/>
  <c r="AC77" i="9"/>
  <c r="X78" i="9"/>
  <c r="Z78" i="9" s="1"/>
  <c r="AB78" i="9" s="1"/>
  <c r="AC78" i="9" s="1"/>
  <c r="Y78" i="9"/>
  <c r="AA78" i="9"/>
  <c r="X79" i="9"/>
  <c r="Y79" i="9"/>
  <c r="Z79" i="9"/>
  <c r="AA79" i="9"/>
  <c r="AB79" i="9"/>
  <c r="AC79" i="9"/>
  <c r="X80" i="9"/>
  <c r="Z80" i="9" s="1"/>
  <c r="AB80" i="9" s="1"/>
  <c r="AC80" i="9" s="1"/>
  <c r="Y80" i="9"/>
  <c r="AA80" i="9"/>
  <c r="X81" i="9"/>
  <c r="Y81" i="9"/>
  <c r="Z81" i="9"/>
  <c r="AA81" i="9"/>
  <c r="AB81" i="9"/>
  <c r="AC81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W4" i="8"/>
  <c r="W2" i="8"/>
  <c r="W2" i="7"/>
  <c r="W4" i="7"/>
  <c r="W4" i="6"/>
  <c r="W2" i="6"/>
  <c r="W4" i="5"/>
  <c r="W2" i="5"/>
  <c r="W4" i="4"/>
  <c r="W2" i="4"/>
  <c r="W4" i="3"/>
  <c r="W2" i="3"/>
  <c r="AA45" i="9"/>
  <c r="Y45" i="9"/>
  <c r="X45" i="9"/>
  <c r="Z45" i="9" s="1"/>
  <c r="AB45" i="9" s="1"/>
  <c r="P45" i="9"/>
  <c r="AA44" i="9"/>
  <c r="Y44" i="9"/>
  <c r="X44" i="9"/>
  <c r="Z44" i="9" s="1"/>
  <c r="AB44" i="9" s="1"/>
  <c r="P44" i="9"/>
  <c r="AA43" i="9"/>
  <c r="Y43" i="9"/>
  <c r="X43" i="9"/>
  <c r="Z43" i="9" s="1"/>
  <c r="AB43" i="9" s="1"/>
  <c r="P43" i="9"/>
  <c r="AA42" i="9"/>
  <c r="Y42" i="9"/>
  <c r="X42" i="9"/>
  <c r="Z42" i="9" s="1"/>
  <c r="AB42" i="9" s="1"/>
  <c r="P42" i="9"/>
  <c r="AA41" i="9"/>
  <c r="Z41" i="9"/>
  <c r="AB41" i="9" s="1"/>
  <c r="Y41" i="9"/>
  <c r="X41" i="9"/>
  <c r="P41" i="9"/>
  <c r="AA40" i="9"/>
  <c r="Z40" i="9"/>
  <c r="AB40" i="9" s="1"/>
  <c r="Y40" i="9"/>
  <c r="X40" i="9"/>
  <c r="P40" i="9"/>
  <c r="AA39" i="9"/>
  <c r="Y39" i="9"/>
  <c r="X39" i="9"/>
  <c r="Z39" i="9" s="1"/>
  <c r="AB39" i="9" s="1"/>
  <c r="P39" i="9"/>
  <c r="AA38" i="9"/>
  <c r="Y38" i="9"/>
  <c r="X38" i="9"/>
  <c r="Z38" i="9" s="1"/>
  <c r="AB38" i="9" s="1"/>
  <c r="P38" i="9"/>
  <c r="AA37" i="9"/>
  <c r="Y37" i="9"/>
  <c r="X37" i="9"/>
  <c r="Z37" i="9" s="1"/>
  <c r="AB37" i="9" s="1"/>
  <c r="P37" i="9"/>
  <c r="AA36" i="9"/>
  <c r="Y36" i="9"/>
  <c r="X36" i="9"/>
  <c r="Z36" i="9" s="1"/>
  <c r="AB36" i="9" s="1"/>
  <c r="P36" i="9"/>
  <c r="AA35" i="9"/>
  <c r="Z35" i="9"/>
  <c r="AB35" i="9" s="1"/>
  <c r="Y35" i="9"/>
  <c r="X35" i="9"/>
  <c r="P35" i="9"/>
  <c r="AA34" i="9"/>
  <c r="Z34" i="9"/>
  <c r="AB34" i="9" s="1"/>
  <c r="Y34" i="9"/>
  <c r="X34" i="9"/>
  <c r="P34" i="9"/>
  <c r="AA33" i="9"/>
  <c r="Y33" i="9"/>
  <c r="X33" i="9"/>
  <c r="Z33" i="9" s="1"/>
  <c r="AB33" i="9" s="1"/>
  <c r="P33" i="9"/>
  <c r="AA32" i="9"/>
  <c r="Y32" i="9"/>
  <c r="X32" i="9"/>
  <c r="Z32" i="9" s="1"/>
  <c r="AB32" i="9" s="1"/>
  <c r="P32" i="9"/>
  <c r="AA31" i="9"/>
  <c r="Y31" i="9"/>
  <c r="X31" i="9"/>
  <c r="Z31" i="9" s="1"/>
  <c r="AB31" i="9" s="1"/>
  <c r="P31" i="9"/>
  <c r="AA30" i="9"/>
  <c r="Y30" i="9"/>
  <c r="X30" i="9"/>
  <c r="Z30" i="9" s="1"/>
  <c r="AB30" i="9" s="1"/>
  <c r="P30" i="9"/>
  <c r="AA29" i="9"/>
  <c r="Z29" i="9"/>
  <c r="AB29" i="9" s="1"/>
  <c r="Y29" i="9"/>
  <c r="X29" i="9"/>
  <c r="P29" i="9"/>
  <c r="AA28" i="9"/>
  <c r="Z28" i="9"/>
  <c r="AB28" i="9" s="1"/>
  <c r="Y28" i="9"/>
  <c r="X28" i="9"/>
  <c r="P28" i="9"/>
  <c r="AA27" i="9"/>
  <c r="Y27" i="9"/>
  <c r="X27" i="9"/>
  <c r="Z27" i="9" s="1"/>
  <c r="AB27" i="9" s="1"/>
  <c r="P27" i="9"/>
  <c r="AA26" i="9"/>
  <c r="Y26" i="9"/>
  <c r="X26" i="9"/>
  <c r="Z26" i="9" s="1"/>
  <c r="AB26" i="9" s="1"/>
  <c r="P26" i="9"/>
  <c r="AA25" i="9"/>
  <c r="Y25" i="9"/>
  <c r="X25" i="9"/>
  <c r="Z25" i="9" s="1"/>
  <c r="AB25" i="9" s="1"/>
  <c r="P25" i="9"/>
  <c r="AA24" i="9"/>
  <c r="Y24" i="9"/>
  <c r="X24" i="9"/>
  <c r="Z24" i="9" s="1"/>
  <c r="AB24" i="9" s="1"/>
  <c r="P24" i="9"/>
  <c r="AA23" i="9"/>
  <c r="Z23" i="9"/>
  <c r="AB23" i="9" s="1"/>
  <c r="Y23" i="9"/>
  <c r="X23" i="9"/>
  <c r="P23" i="9"/>
  <c r="AA22" i="9"/>
  <c r="Z22" i="9"/>
  <c r="AB22" i="9" s="1"/>
  <c r="Y22" i="9"/>
  <c r="X22" i="9"/>
  <c r="P22" i="9"/>
  <c r="AA21" i="9"/>
  <c r="Y21" i="9"/>
  <c r="X21" i="9"/>
  <c r="Z21" i="9" s="1"/>
  <c r="AB21" i="9" s="1"/>
  <c r="P21" i="9"/>
  <c r="AA20" i="9"/>
  <c r="Y20" i="9"/>
  <c r="X20" i="9"/>
  <c r="Z20" i="9" s="1"/>
  <c r="AB20" i="9" s="1"/>
  <c r="P20" i="9"/>
  <c r="AA19" i="9"/>
  <c r="Y19" i="9"/>
  <c r="X19" i="9"/>
  <c r="Z19" i="9" s="1"/>
  <c r="AB19" i="9" s="1"/>
  <c r="P19" i="9"/>
  <c r="AA18" i="9"/>
  <c r="Y18" i="9"/>
  <c r="X18" i="9"/>
  <c r="Z18" i="9" s="1"/>
  <c r="AB18" i="9" s="1"/>
  <c r="P18" i="9"/>
  <c r="AA17" i="9"/>
  <c r="Z17" i="9"/>
  <c r="AB17" i="9" s="1"/>
  <c r="Y17" i="9"/>
  <c r="X17" i="9"/>
  <c r="P17" i="9"/>
  <c r="AA16" i="9"/>
  <c r="Z16" i="9"/>
  <c r="AB16" i="9" s="1"/>
  <c r="Y16" i="9"/>
  <c r="X16" i="9"/>
  <c r="P16" i="9"/>
  <c r="AA15" i="9"/>
  <c r="Y15" i="9"/>
  <c r="X15" i="9"/>
  <c r="Z15" i="9" s="1"/>
  <c r="AB15" i="9" s="1"/>
  <c r="P15" i="9"/>
  <c r="AA14" i="9"/>
  <c r="Y14" i="9"/>
  <c r="X14" i="9"/>
  <c r="Z14" i="9" s="1"/>
  <c r="AB14" i="9" s="1"/>
  <c r="P14" i="9"/>
  <c r="AA13" i="9"/>
  <c r="Y13" i="9"/>
  <c r="X13" i="9"/>
  <c r="Z13" i="9" s="1"/>
  <c r="AB13" i="9" s="1"/>
  <c r="P13" i="9"/>
  <c r="AA12" i="9"/>
  <c r="Y12" i="9"/>
  <c r="X12" i="9"/>
  <c r="Z12" i="9" s="1"/>
  <c r="AB12" i="9" s="1"/>
  <c r="P12" i="9"/>
  <c r="AA11" i="9"/>
  <c r="Z11" i="9"/>
  <c r="AB11" i="9" s="1"/>
  <c r="Y11" i="9"/>
  <c r="X11" i="9"/>
  <c r="P11" i="9"/>
  <c r="AA10" i="9"/>
  <c r="Y10" i="9"/>
  <c r="Z10" i="9" s="1"/>
  <c r="AB10" i="9" s="1"/>
  <c r="X10" i="9"/>
  <c r="P10" i="9"/>
  <c r="AA9" i="9"/>
  <c r="Y9" i="9"/>
  <c r="X9" i="9"/>
  <c r="Z9" i="9" s="1"/>
  <c r="AB9" i="9" s="1"/>
  <c r="P9" i="9"/>
  <c r="AA8" i="9"/>
  <c r="Y8" i="9"/>
  <c r="X8" i="9"/>
  <c r="Z8" i="9" s="1"/>
  <c r="AB8" i="9" s="1"/>
  <c r="P8" i="9"/>
  <c r="AA7" i="9"/>
  <c r="Y7" i="9"/>
  <c r="X7" i="9"/>
  <c r="Z7" i="9" s="1"/>
  <c r="AB7" i="9" s="1"/>
  <c r="P7" i="9"/>
  <c r="AA6" i="9"/>
  <c r="Y6" i="9"/>
  <c r="X6" i="9"/>
  <c r="Z6" i="9" s="1"/>
  <c r="AB6" i="9" s="1"/>
  <c r="P6" i="9"/>
  <c r="AA5" i="9"/>
  <c r="Z5" i="9"/>
  <c r="AB5" i="9" s="1"/>
  <c r="Y5" i="9"/>
  <c r="X5" i="9"/>
  <c r="P5" i="9"/>
  <c r="AA4" i="9"/>
  <c r="Y4" i="9"/>
  <c r="Z4" i="9" s="1"/>
  <c r="AB4" i="9" s="1"/>
  <c r="X4" i="9"/>
  <c r="P4" i="9"/>
  <c r="AA3" i="9"/>
  <c r="Y3" i="9"/>
  <c r="Z3" i="9" s="1"/>
  <c r="AB3" i="9" s="1"/>
  <c r="X3" i="9"/>
  <c r="P3" i="9"/>
  <c r="AA2" i="9"/>
  <c r="Y2" i="9"/>
  <c r="X2" i="9"/>
  <c r="Z2" i="9" s="1"/>
  <c r="AB2" i="9" s="1"/>
  <c r="P2" i="9"/>
  <c r="AA29" i="8"/>
  <c r="Y29" i="8"/>
  <c r="Z29" i="8" s="1"/>
  <c r="AB29" i="8" s="1"/>
  <c r="X29" i="8"/>
  <c r="P29" i="8"/>
  <c r="AA28" i="8"/>
  <c r="Z28" i="8"/>
  <c r="AB28" i="8" s="1"/>
  <c r="Y28" i="8"/>
  <c r="X28" i="8"/>
  <c r="P28" i="8"/>
  <c r="AA27" i="8"/>
  <c r="Y27" i="8"/>
  <c r="X27" i="8"/>
  <c r="Z27" i="8" s="1"/>
  <c r="AB27" i="8" s="1"/>
  <c r="P27" i="8"/>
  <c r="AA26" i="8"/>
  <c r="Y26" i="8"/>
  <c r="X26" i="8"/>
  <c r="Z26" i="8" s="1"/>
  <c r="AB26" i="8" s="1"/>
  <c r="P26" i="8"/>
  <c r="AA25" i="8"/>
  <c r="Z25" i="8"/>
  <c r="AB25" i="8" s="1"/>
  <c r="Y25" i="8"/>
  <c r="X25" i="8"/>
  <c r="P25" i="8"/>
  <c r="AA24" i="8"/>
  <c r="Z24" i="8"/>
  <c r="AB24" i="8" s="1"/>
  <c r="Y24" i="8"/>
  <c r="X24" i="8"/>
  <c r="P24" i="8"/>
  <c r="AA23" i="8"/>
  <c r="Y23" i="8"/>
  <c r="X23" i="8"/>
  <c r="Z23" i="8" s="1"/>
  <c r="AB23" i="8" s="1"/>
  <c r="P23" i="8"/>
  <c r="AA22" i="8"/>
  <c r="Y22" i="8"/>
  <c r="X22" i="8"/>
  <c r="Z22" i="8" s="1"/>
  <c r="AB22" i="8" s="1"/>
  <c r="P22" i="8"/>
  <c r="AA21" i="8"/>
  <c r="Y21" i="8"/>
  <c r="X21" i="8"/>
  <c r="Z21" i="8" s="1"/>
  <c r="AB21" i="8" s="1"/>
  <c r="P21" i="8"/>
  <c r="AA20" i="8"/>
  <c r="Y20" i="8"/>
  <c r="X20" i="8"/>
  <c r="Z20" i="8" s="1"/>
  <c r="AB20" i="8" s="1"/>
  <c r="P20" i="8"/>
  <c r="AA19" i="8"/>
  <c r="Y19" i="8"/>
  <c r="X19" i="8"/>
  <c r="Z19" i="8" s="1"/>
  <c r="AB19" i="8" s="1"/>
  <c r="P19" i="8"/>
  <c r="AA18" i="8"/>
  <c r="Y18" i="8"/>
  <c r="X18" i="8"/>
  <c r="Z18" i="8" s="1"/>
  <c r="AB18" i="8" s="1"/>
  <c r="P18" i="8"/>
  <c r="AA17" i="8"/>
  <c r="Y17" i="8"/>
  <c r="X17" i="8"/>
  <c r="Z17" i="8" s="1"/>
  <c r="AB17" i="8" s="1"/>
  <c r="P17" i="8"/>
  <c r="AA16" i="8"/>
  <c r="Z16" i="8"/>
  <c r="AB16" i="8" s="1"/>
  <c r="Y16" i="8"/>
  <c r="X16" i="8"/>
  <c r="P16" i="8"/>
  <c r="AA15" i="8"/>
  <c r="Y15" i="8"/>
  <c r="X15" i="8"/>
  <c r="Z15" i="8" s="1"/>
  <c r="AB15" i="8" s="1"/>
  <c r="P15" i="8"/>
  <c r="AA14" i="8"/>
  <c r="Y14" i="8"/>
  <c r="X14" i="8"/>
  <c r="Z14" i="8" s="1"/>
  <c r="AB14" i="8" s="1"/>
  <c r="P14" i="8"/>
  <c r="AA13" i="8"/>
  <c r="Z13" i="8"/>
  <c r="AB13" i="8" s="1"/>
  <c r="Y13" i="8"/>
  <c r="X13" i="8"/>
  <c r="P13" i="8"/>
  <c r="AA12" i="8"/>
  <c r="Z12" i="8"/>
  <c r="AB12" i="8" s="1"/>
  <c r="Y12" i="8"/>
  <c r="X12" i="8"/>
  <c r="P12" i="8"/>
  <c r="AA11" i="8"/>
  <c r="Y11" i="8"/>
  <c r="X11" i="8"/>
  <c r="Z11" i="8" s="1"/>
  <c r="AB11" i="8" s="1"/>
  <c r="P11" i="8"/>
  <c r="AA10" i="8"/>
  <c r="Y10" i="8"/>
  <c r="X10" i="8"/>
  <c r="Z10" i="8" s="1"/>
  <c r="AB10" i="8" s="1"/>
  <c r="P10" i="8"/>
  <c r="AA9" i="8"/>
  <c r="Y9" i="8"/>
  <c r="X9" i="8"/>
  <c r="Z9" i="8" s="1"/>
  <c r="AB9" i="8" s="1"/>
  <c r="P9" i="8"/>
  <c r="AA8" i="8"/>
  <c r="Y8" i="8"/>
  <c r="X8" i="8"/>
  <c r="Z8" i="8" s="1"/>
  <c r="AB8" i="8" s="1"/>
  <c r="P8" i="8"/>
  <c r="AA7" i="8"/>
  <c r="Z7" i="8"/>
  <c r="AB7" i="8" s="1"/>
  <c r="Y7" i="8"/>
  <c r="X7" i="8"/>
  <c r="P7" i="8"/>
  <c r="AA6" i="8"/>
  <c r="Y6" i="8"/>
  <c r="X6" i="8"/>
  <c r="Z6" i="8" s="1"/>
  <c r="AB6" i="8" s="1"/>
  <c r="P6" i="8"/>
  <c r="AA5" i="8"/>
  <c r="Y5" i="8"/>
  <c r="X5" i="8"/>
  <c r="Z5" i="8" s="1"/>
  <c r="AB5" i="8" s="1"/>
  <c r="P5" i="8"/>
  <c r="AA4" i="8"/>
  <c r="Z4" i="8"/>
  <c r="AB4" i="8" s="1"/>
  <c r="Y4" i="8"/>
  <c r="X4" i="8"/>
  <c r="P4" i="8"/>
  <c r="AA3" i="8"/>
  <c r="Y3" i="8"/>
  <c r="X3" i="8"/>
  <c r="Z3" i="8" s="1"/>
  <c r="AB3" i="8" s="1"/>
  <c r="P3" i="8"/>
  <c r="AA2" i="8"/>
  <c r="Y2" i="8"/>
  <c r="Z2" i="8" s="1"/>
  <c r="AB2" i="8" s="1"/>
  <c r="X2" i="8"/>
  <c r="P2" i="8"/>
  <c r="AA23" i="7"/>
  <c r="Y23" i="7"/>
  <c r="X23" i="7"/>
  <c r="Z23" i="7" s="1"/>
  <c r="AB23" i="7" s="1"/>
  <c r="P23" i="7"/>
  <c r="AA22" i="7"/>
  <c r="Z22" i="7"/>
  <c r="Y22" i="7"/>
  <c r="X22" i="7"/>
  <c r="P22" i="7"/>
  <c r="AA21" i="7"/>
  <c r="Y21" i="7"/>
  <c r="X21" i="7"/>
  <c r="Z21" i="7" s="1"/>
  <c r="AB21" i="7" s="1"/>
  <c r="P21" i="7"/>
  <c r="AA20" i="7"/>
  <c r="Y20" i="7"/>
  <c r="X20" i="7"/>
  <c r="Z20" i="7" s="1"/>
  <c r="AB20" i="7" s="1"/>
  <c r="P20" i="7"/>
  <c r="AA19" i="7"/>
  <c r="Y19" i="7"/>
  <c r="X19" i="7"/>
  <c r="Z19" i="7" s="1"/>
  <c r="AB19" i="7" s="1"/>
  <c r="P19" i="7"/>
  <c r="AA18" i="7"/>
  <c r="Y18" i="7"/>
  <c r="Z18" i="7" s="1"/>
  <c r="AB18" i="7" s="1"/>
  <c r="X18" i="7"/>
  <c r="P18" i="7"/>
  <c r="AA17" i="7"/>
  <c r="AB17" i="7" s="1"/>
  <c r="Z17" i="7"/>
  <c r="Y17" i="7"/>
  <c r="X17" i="7"/>
  <c r="P17" i="7"/>
  <c r="AA16" i="7"/>
  <c r="Y16" i="7"/>
  <c r="X16" i="7"/>
  <c r="Z16" i="7" s="1"/>
  <c r="AB16" i="7" s="1"/>
  <c r="P16" i="7"/>
  <c r="AA15" i="7"/>
  <c r="Y15" i="7"/>
  <c r="Z15" i="7" s="1"/>
  <c r="AB15" i="7" s="1"/>
  <c r="X15" i="7"/>
  <c r="P15" i="7"/>
  <c r="AA14" i="7"/>
  <c r="Y14" i="7"/>
  <c r="X14" i="7"/>
  <c r="Z14" i="7" s="1"/>
  <c r="AB14" i="7" s="1"/>
  <c r="P14" i="7"/>
  <c r="AA13" i="7"/>
  <c r="Y13" i="7"/>
  <c r="X13" i="7"/>
  <c r="Z13" i="7" s="1"/>
  <c r="AB13" i="7" s="1"/>
  <c r="P13" i="7"/>
  <c r="AA12" i="7"/>
  <c r="Y12" i="7"/>
  <c r="X12" i="7"/>
  <c r="Z12" i="7" s="1"/>
  <c r="AB12" i="7" s="1"/>
  <c r="P12" i="7"/>
  <c r="AA11" i="7"/>
  <c r="Y11" i="7"/>
  <c r="X11" i="7"/>
  <c r="Z11" i="7" s="1"/>
  <c r="AB11" i="7" s="1"/>
  <c r="P11" i="7"/>
  <c r="AA10" i="7"/>
  <c r="Z10" i="7"/>
  <c r="AB10" i="7" s="1"/>
  <c r="Y10" i="7"/>
  <c r="X10" i="7"/>
  <c r="P10" i="7"/>
  <c r="AA9" i="7"/>
  <c r="Y9" i="7"/>
  <c r="X9" i="7"/>
  <c r="Z9" i="7" s="1"/>
  <c r="AB9" i="7" s="1"/>
  <c r="P9" i="7"/>
  <c r="AA8" i="7"/>
  <c r="Y8" i="7"/>
  <c r="X8" i="7"/>
  <c r="Z8" i="7" s="1"/>
  <c r="AB8" i="7" s="1"/>
  <c r="P8" i="7"/>
  <c r="AA7" i="7"/>
  <c r="Y7" i="7"/>
  <c r="X7" i="7"/>
  <c r="Z7" i="7" s="1"/>
  <c r="AB7" i="7" s="1"/>
  <c r="P7" i="7"/>
  <c r="AA6" i="7"/>
  <c r="Y6" i="7"/>
  <c r="Z6" i="7" s="1"/>
  <c r="AB6" i="7" s="1"/>
  <c r="X6" i="7"/>
  <c r="P6" i="7"/>
  <c r="AA5" i="7"/>
  <c r="AB5" i="7" s="1"/>
  <c r="Z5" i="7"/>
  <c r="Y5" i="7"/>
  <c r="X5" i="7"/>
  <c r="P5" i="7"/>
  <c r="AA4" i="7"/>
  <c r="Y4" i="7"/>
  <c r="X4" i="7"/>
  <c r="Z4" i="7" s="1"/>
  <c r="AB4" i="7" s="1"/>
  <c r="P4" i="7"/>
  <c r="AA3" i="7"/>
  <c r="Z3" i="7"/>
  <c r="AB3" i="7" s="1"/>
  <c r="Y3" i="7"/>
  <c r="X3" i="7"/>
  <c r="P3" i="7"/>
  <c r="AA2" i="7"/>
  <c r="Y2" i="7"/>
  <c r="X2" i="7"/>
  <c r="Z2" i="7" s="1"/>
  <c r="AB2" i="7" s="1"/>
  <c r="P2" i="7"/>
  <c r="AA28" i="6"/>
  <c r="Y28" i="6"/>
  <c r="X28" i="6"/>
  <c r="Z28" i="6" s="1"/>
  <c r="AB28" i="6" s="1"/>
  <c r="P28" i="6"/>
  <c r="AA27" i="6"/>
  <c r="Y27" i="6"/>
  <c r="X27" i="6"/>
  <c r="Z27" i="6" s="1"/>
  <c r="AB27" i="6" s="1"/>
  <c r="P27" i="6"/>
  <c r="AA26" i="6"/>
  <c r="Y26" i="6"/>
  <c r="X26" i="6"/>
  <c r="Z26" i="6" s="1"/>
  <c r="AB26" i="6" s="1"/>
  <c r="P26" i="6"/>
  <c r="AA25" i="6"/>
  <c r="Y25" i="6"/>
  <c r="X25" i="6"/>
  <c r="Z25" i="6" s="1"/>
  <c r="AB25" i="6" s="1"/>
  <c r="P25" i="6"/>
  <c r="AA24" i="6"/>
  <c r="Y24" i="6"/>
  <c r="X24" i="6"/>
  <c r="Z24" i="6" s="1"/>
  <c r="AB24" i="6" s="1"/>
  <c r="P24" i="6"/>
  <c r="AA23" i="6"/>
  <c r="Y23" i="6"/>
  <c r="Z23" i="6" s="1"/>
  <c r="AB23" i="6" s="1"/>
  <c r="X23" i="6"/>
  <c r="P23" i="6"/>
  <c r="AA22" i="6"/>
  <c r="Y22" i="6"/>
  <c r="Z22" i="6" s="1"/>
  <c r="AB22" i="6" s="1"/>
  <c r="X22" i="6"/>
  <c r="P22" i="6"/>
  <c r="AA21" i="6"/>
  <c r="Y21" i="6"/>
  <c r="X21" i="6"/>
  <c r="Z21" i="6" s="1"/>
  <c r="AB21" i="6" s="1"/>
  <c r="P21" i="6"/>
  <c r="AA20" i="6"/>
  <c r="Y20" i="6"/>
  <c r="Z20" i="6" s="1"/>
  <c r="AB20" i="6" s="1"/>
  <c r="X20" i="6"/>
  <c r="P20" i="6"/>
  <c r="AA19" i="6"/>
  <c r="Y19" i="6"/>
  <c r="X19" i="6"/>
  <c r="Z19" i="6" s="1"/>
  <c r="AB19" i="6" s="1"/>
  <c r="P19" i="6"/>
  <c r="AA18" i="6"/>
  <c r="Z18" i="6"/>
  <c r="AB18" i="6" s="1"/>
  <c r="Y18" i="6"/>
  <c r="X18" i="6"/>
  <c r="P18" i="6"/>
  <c r="AA17" i="6"/>
  <c r="Z17" i="6"/>
  <c r="AB17" i="6" s="1"/>
  <c r="Y17" i="6"/>
  <c r="X17" i="6"/>
  <c r="P17" i="6"/>
  <c r="AA16" i="6"/>
  <c r="Y16" i="6"/>
  <c r="X16" i="6"/>
  <c r="Z16" i="6" s="1"/>
  <c r="AB16" i="6" s="1"/>
  <c r="P16" i="6"/>
  <c r="AA15" i="6"/>
  <c r="Y15" i="6"/>
  <c r="X15" i="6"/>
  <c r="Z15" i="6" s="1"/>
  <c r="AB15" i="6" s="1"/>
  <c r="P15" i="6"/>
  <c r="AA14" i="6"/>
  <c r="Y14" i="6"/>
  <c r="X14" i="6"/>
  <c r="Z14" i="6" s="1"/>
  <c r="AB14" i="6" s="1"/>
  <c r="P14" i="6"/>
  <c r="AA13" i="6"/>
  <c r="Y13" i="6"/>
  <c r="X13" i="6"/>
  <c r="Z13" i="6" s="1"/>
  <c r="P13" i="6"/>
  <c r="AA12" i="6"/>
  <c r="Y12" i="6"/>
  <c r="X12" i="6"/>
  <c r="Z12" i="6" s="1"/>
  <c r="AB12" i="6" s="1"/>
  <c r="P12" i="6"/>
  <c r="AA11" i="6"/>
  <c r="Y11" i="6"/>
  <c r="X11" i="6"/>
  <c r="P11" i="6"/>
  <c r="AA10" i="6"/>
  <c r="Y10" i="6"/>
  <c r="Z10" i="6" s="1"/>
  <c r="AB10" i="6" s="1"/>
  <c r="X10" i="6"/>
  <c r="P10" i="6"/>
  <c r="AA9" i="6"/>
  <c r="Y9" i="6"/>
  <c r="X9" i="6"/>
  <c r="Z9" i="6" s="1"/>
  <c r="AB9" i="6" s="1"/>
  <c r="P9" i="6"/>
  <c r="AA8" i="6"/>
  <c r="Y8" i="6"/>
  <c r="Z8" i="6" s="1"/>
  <c r="AB8" i="6" s="1"/>
  <c r="X8" i="6"/>
  <c r="P8" i="6"/>
  <c r="AA7" i="6"/>
  <c r="Y7" i="6"/>
  <c r="X7" i="6"/>
  <c r="Z7" i="6" s="1"/>
  <c r="AB7" i="6" s="1"/>
  <c r="P7" i="6"/>
  <c r="AA6" i="6"/>
  <c r="Y6" i="6"/>
  <c r="Z6" i="6" s="1"/>
  <c r="AB6" i="6" s="1"/>
  <c r="X6" i="6"/>
  <c r="P6" i="6"/>
  <c r="AA5" i="6"/>
  <c r="Z5" i="6"/>
  <c r="AB5" i="6" s="1"/>
  <c r="Y5" i="6"/>
  <c r="X5" i="6"/>
  <c r="P5" i="6"/>
  <c r="AA4" i="6"/>
  <c r="Y4" i="6"/>
  <c r="X4" i="6"/>
  <c r="Z4" i="6" s="1"/>
  <c r="AB4" i="6" s="1"/>
  <c r="P4" i="6"/>
  <c r="AA3" i="6"/>
  <c r="Y3" i="6"/>
  <c r="Z3" i="6" s="1"/>
  <c r="AB3" i="6" s="1"/>
  <c r="X3" i="6"/>
  <c r="P3" i="6"/>
  <c r="AA2" i="6"/>
  <c r="Y2" i="6"/>
  <c r="X2" i="6"/>
  <c r="Z2" i="6" s="1"/>
  <c r="AB2" i="6" s="1"/>
  <c r="P2" i="6"/>
  <c r="AA33" i="5"/>
  <c r="Y33" i="5"/>
  <c r="X33" i="5"/>
  <c r="P33" i="5"/>
  <c r="AA32" i="5"/>
  <c r="Z32" i="5"/>
  <c r="Y32" i="5"/>
  <c r="X32" i="5"/>
  <c r="P32" i="5"/>
  <c r="AA31" i="5"/>
  <c r="Z31" i="5"/>
  <c r="AB31" i="5" s="1"/>
  <c r="Y31" i="5"/>
  <c r="X31" i="5"/>
  <c r="P31" i="5"/>
  <c r="AA30" i="5"/>
  <c r="Y30" i="5"/>
  <c r="X30" i="5"/>
  <c r="Z30" i="5" s="1"/>
  <c r="AB30" i="5" s="1"/>
  <c r="P30" i="5"/>
  <c r="AA29" i="5"/>
  <c r="Y29" i="5"/>
  <c r="X29" i="5"/>
  <c r="Z29" i="5" s="1"/>
  <c r="AB29" i="5" s="1"/>
  <c r="P29" i="5"/>
  <c r="AA28" i="5"/>
  <c r="Y28" i="5"/>
  <c r="Z28" i="5" s="1"/>
  <c r="AB28" i="5" s="1"/>
  <c r="X28" i="5"/>
  <c r="P28" i="5"/>
  <c r="AA27" i="5"/>
  <c r="AB27" i="5" s="1"/>
  <c r="Y27" i="5"/>
  <c r="X27" i="5"/>
  <c r="Z27" i="5" s="1"/>
  <c r="P27" i="5"/>
  <c r="AA26" i="5"/>
  <c r="Y26" i="5"/>
  <c r="X26" i="5"/>
  <c r="Z26" i="5" s="1"/>
  <c r="AB26" i="5" s="1"/>
  <c r="P26" i="5"/>
  <c r="AA25" i="5"/>
  <c r="Y25" i="5"/>
  <c r="Z25" i="5" s="1"/>
  <c r="AB25" i="5" s="1"/>
  <c r="X25" i="5"/>
  <c r="P25" i="5"/>
  <c r="AA24" i="5"/>
  <c r="Y24" i="5"/>
  <c r="Z24" i="5" s="1"/>
  <c r="AB24" i="5" s="1"/>
  <c r="X24" i="5"/>
  <c r="P24" i="5"/>
  <c r="AA23" i="5"/>
  <c r="Z23" i="5"/>
  <c r="AB23" i="5" s="1"/>
  <c r="Y23" i="5"/>
  <c r="X23" i="5"/>
  <c r="P23" i="5"/>
  <c r="AA22" i="5"/>
  <c r="Y22" i="5"/>
  <c r="X22" i="5"/>
  <c r="Z22" i="5" s="1"/>
  <c r="AB22" i="5" s="1"/>
  <c r="P22" i="5"/>
  <c r="AA21" i="5"/>
  <c r="Y21" i="5"/>
  <c r="X21" i="5"/>
  <c r="Z21" i="5" s="1"/>
  <c r="AB21" i="5" s="1"/>
  <c r="P21" i="5"/>
  <c r="AA20" i="5"/>
  <c r="Z20" i="5"/>
  <c r="Y20" i="5"/>
  <c r="X20" i="5"/>
  <c r="P20" i="5"/>
  <c r="AA19" i="5"/>
  <c r="Z19" i="5"/>
  <c r="AB19" i="5" s="1"/>
  <c r="Y19" i="5"/>
  <c r="X19" i="5"/>
  <c r="P19" i="5"/>
  <c r="AA18" i="5"/>
  <c r="Y18" i="5"/>
  <c r="X18" i="5"/>
  <c r="P18" i="5"/>
  <c r="AA17" i="5"/>
  <c r="Y17" i="5"/>
  <c r="X17" i="5"/>
  <c r="Z17" i="5" s="1"/>
  <c r="AB17" i="5" s="1"/>
  <c r="P17" i="5"/>
  <c r="AA16" i="5"/>
  <c r="Z16" i="5"/>
  <c r="AB16" i="5" s="1"/>
  <c r="Y16" i="5"/>
  <c r="X16" i="5"/>
  <c r="P16" i="5"/>
  <c r="AA15" i="5"/>
  <c r="Y15" i="5"/>
  <c r="X15" i="5"/>
  <c r="Z15" i="5" s="1"/>
  <c r="AB15" i="5" s="1"/>
  <c r="P15" i="5"/>
  <c r="AA14" i="5"/>
  <c r="Y14" i="5"/>
  <c r="X14" i="5"/>
  <c r="Z14" i="5" s="1"/>
  <c r="AB14" i="5" s="1"/>
  <c r="P14" i="5"/>
  <c r="AA13" i="5"/>
  <c r="Y13" i="5"/>
  <c r="Z13" i="5" s="1"/>
  <c r="AB13" i="5" s="1"/>
  <c r="X13" i="5"/>
  <c r="P13" i="5"/>
  <c r="AA12" i="5"/>
  <c r="Y12" i="5"/>
  <c r="Z12" i="5" s="1"/>
  <c r="AB12" i="5" s="1"/>
  <c r="X12" i="5"/>
  <c r="P12" i="5"/>
  <c r="AA11" i="5"/>
  <c r="Z11" i="5"/>
  <c r="AB11" i="5" s="1"/>
  <c r="Y11" i="5"/>
  <c r="X11" i="5"/>
  <c r="P11" i="5"/>
  <c r="AA10" i="5"/>
  <c r="Y10" i="5"/>
  <c r="X10" i="5"/>
  <c r="Z10" i="5" s="1"/>
  <c r="AB10" i="5" s="1"/>
  <c r="P10" i="5"/>
  <c r="AA9" i="5"/>
  <c r="Y9" i="5"/>
  <c r="X9" i="5"/>
  <c r="Z9" i="5" s="1"/>
  <c r="AB9" i="5" s="1"/>
  <c r="P9" i="5"/>
  <c r="AA8" i="5"/>
  <c r="Z8" i="5"/>
  <c r="Y8" i="5"/>
  <c r="X8" i="5"/>
  <c r="P8" i="5"/>
  <c r="AA7" i="5"/>
  <c r="Z7" i="5"/>
  <c r="AB7" i="5" s="1"/>
  <c r="Y7" i="5"/>
  <c r="X7" i="5"/>
  <c r="P7" i="5"/>
  <c r="AA6" i="5"/>
  <c r="Y6" i="5"/>
  <c r="X6" i="5"/>
  <c r="P6" i="5"/>
  <c r="AA5" i="5"/>
  <c r="Y5" i="5"/>
  <c r="X5" i="5"/>
  <c r="Z5" i="5" s="1"/>
  <c r="AB5" i="5" s="1"/>
  <c r="P5" i="5"/>
  <c r="AA4" i="5"/>
  <c r="Z4" i="5"/>
  <c r="AB4" i="5" s="1"/>
  <c r="Y4" i="5"/>
  <c r="X4" i="5"/>
  <c r="P4" i="5"/>
  <c r="AB3" i="5"/>
  <c r="AA3" i="5"/>
  <c r="Y3" i="5"/>
  <c r="X3" i="5"/>
  <c r="Z3" i="5" s="1"/>
  <c r="P3" i="5"/>
  <c r="AA2" i="5"/>
  <c r="Y2" i="5"/>
  <c r="X2" i="5"/>
  <c r="P2" i="5"/>
  <c r="AA21" i="4"/>
  <c r="Y21" i="4"/>
  <c r="X21" i="4"/>
  <c r="Z21" i="4" s="1"/>
  <c r="AB21" i="4" s="1"/>
  <c r="P21" i="4"/>
  <c r="AA20" i="4"/>
  <c r="Y20" i="4"/>
  <c r="X20" i="4"/>
  <c r="Z20" i="4" s="1"/>
  <c r="AB20" i="4" s="1"/>
  <c r="P20" i="4"/>
  <c r="AB19" i="4"/>
  <c r="AA19" i="4"/>
  <c r="Y19" i="4"/>
  <c r="X19" i="4"/>
  <c r="Z19" i="4" s="1"/>
  <c r="P19" i="4"/>
  <c r="AA18" i="4"/>
  <c r="AB18" i="4" s="1"/>
  <c r="Y18" i="4"/>
  <c r="X18" i="4"/>
  <c r="Z18" i="4" s="1"/>
  <c r="P18" i="4"/>
  <c r="AA17" i="4"/>
  <c r="Z17" i="4"/>
  <c r="AB17" i="4" s="1"/>
  <c r="Y17" i="4"/>
  <c r="X17" i="4"/>
  <c r="P17" i="4"/>
  <c r="AA16" i="4"/>
  <c r="Y16" i="4"/>
  <c r="Z16" i="4" s="1"/>
  <c r="AB16" i="4" s="1"/>
  <c r="X16" i="4"/>
  <c r="P16" i="4"/>
  <c r="AA15" i="4"/>
  <c r="Y15" i="4"/>
  <c r="X15" i="4"/>
  <c r="Z15" i="4" s="1"/>
  <c r="AB15" i="4" s="1"/>
  <c r="P15" i="4"/>
  <c r="AA14" i="4"/>
  <c r="Y14" i="4"/>
  <c r="X14" i="4"/>
  <c r="P14" i="4"/>
  <c r="AA13" i="4"/>
  <c r="Y13" i="4"/>
  <c r="X13" i="4"/>
  <c r="Z13" i="4" s="1"/>
  <c r="AB13" i="4" s="1"/>
  <c r="P13" i="4"/>
  <c r="AA12" i="4"/>
  <c r="Y12" i="4"/>
  <c r="X12" i="4"/>
  <c r="Z12" i="4" s="1"/>
  <c r="AB12" i="4" s="1"/>
  <c r="P12" i="4"/>
  <c r="AA11" i="4"/>
  <c r="AB11" i="4" s="1"/>
  <c r="Z11" i="4"/>
  <c r="Y11" i="4"/>
  <c r="X11" i="4"/>
  <c r="P11" i="4"/>
  <c r="AA10" i="4"/>
  <c r="Y10" i="4"/>
  <c r="X10" i="4"/>
  <c r="Z10" i="4" s="1"/>
  <c r="AB10" i="4" s="1"/>
  <c r="P10" i="4"/>
  <c r="AA9" i="4"/>
  <c r="Z9" i="4"/>
  <c r="AB9" i="4" s="1"/>
  <c r="Y9" i="4"/>
  <c r="X9" i="4"/>
  <c r="P9" i="4"/>
  <c r="AA8" i="4"/>
  <c r="Y8" i="4"/>
  <c r="X8" i="4"/>
  <c r="Z8" i="4" s="1"/>
  <c r="AB8" i="4" s="1"/>
  <c r="P8" i="4"/>
  <c r="AA7" i="4"/>
  <c r="Y7" i="4"/>
  <c r="X7" i="4"/>
  <c r="Z7" i="4" s="1"/>
  <c r="AB7" i="4" s="1"/>
  <c r="P7" i="4"/>
  <c r="AA6" i="4"/>
  <c r="Y6" i="4"/>
  <c r="X6" i="4"/>
  <c r="Z6" i="4" s="1"/>
  <c r="AB6" i="4" s="1"/>
  <c r="P6" i="4"/>
  <c r="AA5" i="4"/>
  <c r="Y5" i="4"/>
  <c r="Z5" i="4" s="1"/>
  <c r="AB5" i="4" s="1"/>
  <c r="X5" i="4"/>
  <c r="P5" i="4"/>
  <c r="AA4" i="4"/>
  <c r="Y4" i="4"/>
  <c r="Z4" i="4" s="1"/>
  <c r="AB4" i="4" s="1"/>
  <c r="X4" i="4"/>
  <c r="P4" i="4"/>
  <c r="AA3" i="4"/>
  <c r="Y3" i="4"/>
  <c r="X3" i="4"/>
  <c r="Z3" i="4" s="1"/>
  <c r="AB3" i="4" s="1"/>
  <c r="P3" i="4"/>
  <c r="AA2" i="4"/>
  <c r="Y2" i="4"/>
  <c r="X2" i="4"/>
  <c r="Z2" i="4" s="1"/>
  <c r="AB2" i="4" s="1"/>
  <c r="P2" i="4"/>
  <c r="AA14" i="3"/>
  <c r="Y14" i="3"/>
  <c r="X14" i="3"/>
  <c r="Z14" i="3" s="1"/>
  <c r="AB14" i="3" s="1"/>
  <c r="P14" i="3"/>
  <c r="AA13" i="3"/>
  <c r="Y13" i="3"/>
  <c r="X13" i="3"/>
  <c r="Z13" i="3" s="1"/>
  <c r="AB13" i="3" s="1"/>
  <c r="P13" i="3"/>
  <c r="AA12" i="3"/>
  <c r="Y12" i="3"/>
  <c r="Z12" i="3" s="1"/>
  <c r="AB12" i="3" s="1"/>
  <c r="X12" i="3"/>
  <c r="P12" i="3"/>
  <c r="AA11" i="3"/>
  <c r="Y11" i="3"/>
  <c r="X11" i="3"/>
  <c r="Z11" i="3" s="1"/>
  <c r="AB11" i="3" s="1"/>
  <c r="P11" i="3"/>
  <c r="AA10" i="3"/>
  <c r="Y10" i="3"/>
  <c r="X10" i="3"/>
  <c r="Z10" i="3" s="1"/>
  <c r="AB10" i="3" s="1"/>
  <c r="P10" i="3"/>
  <c r="AB9" i="3"/>
  <c r="AA9" i="3"/>
  <c r="Z9" i="3"/>
  <c r="Y9" i="3"/>
  <c r="X9" i="3"/>
  <c r="P9" i="3"/>
  <c r="AA8" i="3"/>
  <c r="Y8" i="3"/>
  <c r="X8" i="3"/>
  <c r="Z8" i="3" s="1"/>
  <c r="AB8" i="3" s="1"/>
  <c r="P8" i="3"/>
  <c r="AA7" i="3"/>
  <c r="Z7" i="3"/>
  <c r="AB7" i="3" s="1"/>
  <c r="Y7" i="3"/>
  <c r="X7" i="3"/>
  <c r="P7" i="3"/>
  <c r="AA6" i="3"/>
  <c r="Y6" i="3"/>
  <c r="Z6" i="3" s="1"/>
  <c r="AB6" i="3" s="1"/>
  <c r="X6" i="3"/>
  <c r="P6" i="3"/>
  <c r="AA5" i="3"/>
  <c r="Y5" i="3"/>
  <c r="X5" i="3"/>
  <c r="Z5" i="3" s="1"/>
  <c r="AB5" i="3" s="1"/>
  <c r="P5" i="3"/>
  <c r="AA4" i="3"/>
  <c r="Y4" i="3"/>
  <c r="X4" i="3"/>
  <c r="Z4" i="3" s="1"/>
  <c r="AB4" i="3" s="1"/>
  <c r="P4" i="3"/>
  <c r="AA3" i="3"/>
  <c r="Y3" i="3"/>
  <c r="X3" i="3"/>
  <c r="Z3" i="3" s="1"/>
  <c r="AB3" i="3" s="1"/>
  <c r="P3" i="3"/>
  <c r="AA2" i="3"/>
  <c r="Y2" i="3"/>
  <c r="Z2" i="3" s="1"/>
  <c r="AB2" i="3" s="1"/>
  <c r="X2" i="3"/>
  <c r="P2" i="3"/>
  <c r="Q47" i="9" a="1"/>
  <c r="R49" i="9" a="1"/>
  <c r="T52" i="9" a="1"/>
  <c r="U54" i="9" a="1"/>
  <c r="Q59" i="9" a="1"/>
  <c r="R61" i="9" a="1"/>
  <c r="T64" i="9" a="1"/>
  <c r="U66" i="9" a="1"/>
  <c r="Q71" i="9" a="1"/>
  <c r="R73" i="9" a="1"/>
  <c r="Q46" i="9" a="1"/>
  <c r="R48" i="9" a="1"/>
  <c r="T51" i="9" a="1"/>
  <c r="U53" i="9" a="1"/>
  <c r="Q58" i="9" a="1"/>
  <c r="R60" i="9" a="1"/>
  <c r="T63" i="9" a="1"/>
  <c r="U65" i="9" a="1"/>
  <c r="Q70" i="9" a="1"/>
  <c r="R72" i="9" a="1"/>
  <c r="T75" i="9" a="1"/>
  <c r="U77" i="9" a="1"/>
  <c r="Q82" i="9" a="1"/>
  <c r="R59" i="9" a="1"/>
  <c r="U64" i="9" a="1"/>
  <c r="Q69" i="9" a="1"/>
  <c r="Q81" i="9" a="1"/>
  <c r="R82" i="9" a="1"/>
  <c r="R68" i="9" a="1"/>
  <c r="R47" i="9" a="1"/>
  <c r="T50" i="9" a="1"/>
  <c r="U52" i="9" a="1"/>
  <c r="Q57" i="9" a="1"/>
  <c r="T62" i="9" a="1"/>
  <c r="R71" i="9" a="1"/>
  <c r="T74" i="9" a="1"/>
  <c r="U76" i="9" a="1"/>
  <c r="Q77" i="9" a="1"/>
  <c r="R46" i="9" a="1"/>
  <c r="T49" i="9" a="1"/>
  <c r="U51" i="9" a="1"/>
  <c r="Q56" i="9" a="1"/>
  <c r="R58" i="9" a="1"/>
  <c r="T61" i="9" a="1"/>
  <c r="U63" i="9" a="1"/>
  <c r="Q68" i="9" a="1"/>
  <c r="R70" i="9" a="1"/>
  <c r="T73" i="9" a="1"/>
  <c r="U75" i="9" a="1"/>
  <c r="Q80" i="9" a="1"/>
  <c r="U73" i="9" a="1"/>
  <c r="T70" i="9" a="1"/>
  <c r="R79" i="9" a="1"/>
  <c r="T82" i="9" a="1"/>
  <c r="T48" i="9" a="1"/>
  <c r="U50" i="9" a="1"/>
  <c r="Q55" i="9" a="1"/>
  <c r="R57" i="9" a="1"/>
  <c r="T60" i="9" a="1"/>
  <c r="U62" i="9" a="1"/>
  <c r="Q67" i="9" a="1"/>
  <c r="R69" i="9" a="1"/>
  <c r="T72" i="9" a="1"/>
  <c r="U74" i="9" a="1"/>
  <c r="Q79" i="9" a="1"/>
  <c r="R81" i="9" a="1"/>
  <c r="T59" i="9" a="1"/>
  <c r="U61" i="9" a="1"/>
  <c r="T71" i="9" a="1"/>
  <c r="Q78" i="9" a="1"/>
  <c r="R80" i="9" a="1"/>
  <c r="T47" i="9" a="1"/>
  <c r="U49" i="9" a="1"/>
  <c r="Q54" i="9" a="1"/>
  <c r="R56" i="9" a="1"/>
  <c r="Q66" i="9" a="1"/>
  <c r="T46" i="9" a="1"/>
  <c r="U48" i="9" a="1"/>
  <c r="Q53" i="9" a="1"/>
  <c r="R55" i="9" a="1"/>
  <c r="T58" i="9" a="1"/>
  <c r="U60" i="9" a="1"/>
  <c r="Q65" i="9" a="1"/>
  <c r="R67" i="9" a="1"/>
  <c r="U72" i="9" a="1"/>
  <c r="U47" i="9" a="1"/>
  <c r="Q52" i="9" a="1"/>
  <c r="R54" i="9" a="1"/>
  <c r="T57" i="9" a="1"/>
  <c r="U59" i="9" a="1"/>
  <c r="Q64" i="9" a="1"/>
  <c r="R66" i="9" a="1"/>
  <c r="T69" i="9" a="1"/>
  <c r="U71" i="9" a="1"/>
  <c r="Q76" i="9" a="1"/>
  <c r="R78" i="9" a="1"/>
  <c r="U46" i="9" a="1"/>
  <c r="Q51" i="9" a="1"/>
  <c r="R53" i="9" a="1"/>
  <c r="T56" i="9" a="1"/>
  <c r="U58" i="9" a="1"/>
  <c r="Q63" i="9" a="1"/>
  <c r="R65" i="9" a="1"/>
  <c r="T68" i="9" a="1"/>
  <c r="U70" i="9" a="1"/>
  <c r="Q75" i="9" a="1"/>
  <c r="R77" i="9" a="1"/>
  <c r="T80" i="9" a="1"/>
  <c r="U82" i="9" a="1"/>
  <c r="R63" i="9" a="1"/>
  <c r="U68" i="9" a="1"/>
  <c r="Q73" i="9" a="1"/>
  <c r="R75" i="9" a="1"/>
  <c r="T78" i="9" a="1"/>
  <c r="U80" i="9" a="1"/>
  <c r="Q50" i="9" a="1"/>
  <c r="R52" i="9" a="1"/>
  <c r="T55" i="9" a="1"/>
  <c r="U57" i="9" a="1"/>
  <c r="Q62" i="9" a="1"/>
  <c r="R64" i="9" a="1"/>
  <c r="T67" i="9" a="1"/>
  <c r="U69" i="9" a="1"/>
  <c r="Q74" i="9" a="1"/>
  <c r="R76" i="9" a="1"/>
  <c r="T79" i="9" a="1"/>
  <c r="U81" i="9" a="1"/>
  <c r="T66" i="9" a="1"/>
  <c r="U78" i="9" a="1"/>
  <c r="T81" i="9" a="1"/>
  <c r="Q49" i="9" a="1"/>
  <c r="R51" i="9" a="1"/>
  <c r="T54" i="9" a="1"/>
  <c r="U56" i="9" a="1"/>
  <c r="Q61" i="9" a="1"/>
  <c r="Q48" i="9" a="1"/>
  <c r="R50" i="9" a="1"/>
  <c r="T53" i="9" a="1"/>
  <c r="U55" i="9" a="1"/>
  <c r="Q60" i="9" a="1"/>
  <c r="R62" i="9" a="1"/>
  <c r="T65" i="9" a="1"/>
  <c r="U67" i="9" a="1"/>
  <c r="Q72" i="9" a="1"/>
  <c r="R74" i="9" a="1"/>
  <c r="T77" i="9" a="1"/>
  <c r="U79" i="9" a="1"/>
  <c r="T76" i="9" a="1"/>
  <c r="R38" i="9" a="1"/>
  <c r="U37" i="9" a="1"/>
  <c r="Q36" i="9" a="1"/>
  <c r="T35" i="9" a="1"/>
  <c r="R26" i="9" a="1"/>
  <c r="U25" i="9" a="1"/>
  <c r="Q24" i="9" a="1"/>
  <c r="T23" i="9" a="1"/>
  <c r="R14" i="9" a="1"/>
  <c r="U13" i="9" a="1"/>
  <c r="Q12" i="9" a="1"/>
  <c r="T11" i="9" a="1"/>
  <c r="T4" i="9" a="1"/>
  <c r="R9" i="9" a="1"/>
  <c r="Q7" i="9" a="1"/>
  <c r="T20" i="9" a="1"/>
  <c r="R11" i="9" a="1"/>
  <c r="U10" i="9" a="1"/>
  <c r="Q9" i="9" a="1"/>
  <c r="R4" i="9" a="1"/>
  <c r="R45" i="9" a="1"/>
  <c r="U44" i="9" a="1"/>
  <c r="Q43" i="9" a="1"/>
  <c r="T42" i="9" a="1"/>
  <c r="R33" i="9" a="1"/>
  <c r="U32" i="9" a="1"/>
  <c r="Q31" i="9" a="1"/>
  <c r="T30" i="9" a="1"/>
  <c r="R21" i="9" a="1"/>
  <c r="U20" i="9" a="1"/>
  <c r="Q19" i="9" a="1"/>
  <c r="T18" i="9" a="1"/>
  <c r="U8" i="9" a="1"/>
  <c r="T6" i="9" a="1"/>
  <c r="Q2" i="9" a="1"/>
  <c r="Q22" i="9" a="1"/>
  <c r="R40" i="9" a="1"/>
  <c r="U39" i="9" a="1"/>
  <c r="Q38" i="9" a="1"/>
  <c r="T37" i="9" a="1"/>
  <c r="R28" i="9" a="1"/>
  <c r="U27" i="9" a="1"/>
  <c r="Q26" i="9" a="1"/>
  <c r="T25" i="9" a="1"/>
  <c r="R16" i="9" a="1"/>
  <c r="U15" i="9" a="1"/>
  <c r="Q14" i="9" a="1"/>
  <c r="T13" i="9" a="1"/>
  <c r="R2" i="9" a="1"/>
  <c r="Q33" i="9" a="1"/>
  <c r="R23" i="9" a="1"/>
  <c r="Q21" i="9" a="1"/>
  <c r="U3" i="9" a="1"/>
  <c r="T10" i="9" a="1"/>
  <c r="Q4" i="9" a="1"/>
  <c r="U4" i="9" a="1"/>
  <c r="Q45" i="9" a="1"/>
  <c r="T44" i="9" a="1"/>
  <c r="R35" i="9" a="1"/>
  <c r="U34" i="9" a="1"/>
  <c r="T32" i="9" a="1"/>
  <c r="U22" i="9" a="1"/>
  <c r="T8" i="9" a="1"/>
  <c r="T3" i="9" a="1"/>
  <c r="U23" i="9" a="1"/>
  <c r="Q10" i="9" a="1"/>
  <c r="R42" i="9" a="1"/>
  <c r="U41" i="9" a="1"/>
  <c r="Q40" i="9" a="1"/>
  <c r="T39" i="9" a="1"/>
  <c r="R30" i="9" a="1"/>
  <c r="U29" i="9" a="1"/>
  <c r="Q28" i="9" a="1"/>
  <c r="T27" i="9" a="1"/>
  <c r="R18" i="9" a="1"/>
  <c r="U17" i="9" a="1"/>
  <c r="Q16" i="9" a="1"/>
  <c r="T15" i="9" a="1"/>
  <c r="R6" i="9" a="1"/>
  <c r="U5" i="9" a="1"/>
  <c r="Q3" i="9" a="1"/>
  <c r="R37" i="9" a="1"/>
  <c r="U36" i="9" a="1"/>
  <c r="Q35" i="9" a="1"/>
  <c r="T34" i="9" a="1"/>
  <c r="R25" i="9" a="1"/>
  <c r="U24" i="9" a="1"/>
  <c r="Q23" i="9" a="1"/>
  <c r="T22" i="9" a="1"/>
  <c r="R13" i="9" a="1"/>
  <c r="U12" i="9" a="1"/>
  <c r="Q11" i="9" a="1"/>
  <c r="R44" i="9" a="1"/>
  <c r="U43" i="9" a="1"/>
  <c r="Q42" i="9" a="1"/>
  <c r="T41" i="9" a="1"/>
  <c r="R32" i="9" a="1"/>
  <c r="U31" i="9" a="1"/>
  <c r="Q30" i="9" a="1"/>
  <c r="T29" i="9" a="1"/>
  <c r="R20" i="9" a="1"/>
  <c r="U19" i="9" a="1"/>
  <c r="Q18" i="9" a="1"/>
  <c r="T17" i="9" a="1"/>
  <c r="R8" i="9" a="1"/>
  <c r="U7" i="9" a="1"/>
  <c r="Q6" i="9" a="1"/>
  <c r="T5" i="9" a="1"/>
  <c r="R29" i="9" a="1"/>
  <c r="U28" i="9" a="1"/>
  <c r="Q27" i="9" a="1"/>
  <c r="T26" i="9" a="1"/>
  <c r="R17" i="9" a="1"/>
  <c r="Q15" i="9" a="1"/>
  <c r="R5" i="9" a="1"/>
  <c r="R39" i="9" a="1"/>
  <c r="U38" i="9" a="1"/>
  <c r="Q37" i="9" a="1"/>
  <c r="T36" i="9" a="1"/>
  <c r="R27" i="9" a="1"/>
  <c r="U26" i="9" a="1"/>
  <c r="Q25" i="9" a="1"/>
  <c r="T24" i="9" a="1"/>
  <c r="R15" i="9" a="1"/>
  <c r="U14" i="9" a="1"/>
  <c r="Q13" i="9" a="1"/>
  <c r="T12" i="9" a="1"/>
  <c r="U21" i="9" a="1"/>
  <c r="U9" i="9" a="1"/>
  <c r="Q8" i="9" a="1"/>
  <c r="T7" i="9" a="1"/>
  <c r="R3" i="9" a="1"/>
  <c r="T21" i="9" a="1"/>
  <c r="T9" i="9" a="1"/>
  <c r="U45" i="9" a="1"/>
  <c r="Q44" i="9" a="1"/>
  <c r="T43" i="9" a="1"/>
  <c r="R34" i="9" a="1"/>
  <c r="U33" i="9" a="1"/>
  <c r="Q32" i="9" a="1"/>
  <c r="T31" i="9" a="1"/>
  <c r="R22" i="9" a="1"/>
  <c r="Q20" i="9" a="1"/>
  <c r="T19" i="9" a="1"/>
  <c r="R10" i="9" a="1"/>
  <c r="U16" i="9" a="1"/>
  <c r="R41" i="9" a="1"/>
  <c r="U40" i="9" a="1"/>
  <c r="Q39" i="9" a="1"/>
  <c r="T38" i="9" a="1"/>
  <c r="T14" i="9" a="1"/>
  <c r="U2" i="9" a="1"/>
  <c r="U11" i="9" a="1"/>
  <c r="T45" i="9" a="1"/>
  <c r="R36" i="9" a="1"/>
  <c r="U35" i="9" a="1"/>
  <c r="Q34" i="9" a="1"/>
  <c r="T33" i="9" a="1"/>
  <c r="R24" i="9" a="1"/>
  <c r="R12" i="9" a="1"/>
  <c r="R43" i="9" a="1"/>
  <c r="U42" i="9" a="1"/>
  <c r="Q41" i="9" a="1"/>
  <c r="T40" i="9" a="1"/>
  <c r="R31" i="9" a="1"/>
  <c r="U30" i="9" a="1"/>
  <c r="Q29" i="9" a="1"/>
  <c r="T28" i="9" a="1"/>
  <c r="R19" i="9" a="1"/>
  <c r="U18" i="9" a="1"/>
  <c r="Q17" i="9" a="1"/>
  <c r="T16" i="9" a="1"/>
  <c r="R7" i="9" a="1"/>
  <c r="U6" i="9" a="1"/>
  <c r="Q5" i="9" a="1"/>
  <c r="T2" i="9" a="1"/>
  <c r="R26" i="8" a="1"/>
  <c r="U25" i="8" a="1"/>
  <c r="Q24" i="8" a="1"/>
  <c r="T23" i="8" a="1"/>
  <c r="R14" i="8" a="1"/>
  <c r="U13" i="8" a="1"/>
  <c r="Q12" i="8" a="1"/>
  <c r="R21" i="8" a="1"/>
  <c r="U20" i="8" a="1"/>
  <c r="Q19" i="8" a="1"/>
  <c r="T18" i="8" a="1"/>
  <c r="R9" i="8" a="1"/>
  <c r="U8" i="8" a="1"/>
  <c r="Q7" i="8" a="1"/>
  <c r="T6" i="8" a="1"/>
  <c r="R28" i="8" a="1"/>
  <c r="U27" i="8" a="1"/>
  <c r="Q26" i="8" a="1"/>
  <c r="T25" i="8" a="1"/>
  <c r="R16" i="8" a="1"/>
  <c r="U15" i="8" a="1"/>
  <c r="Q14" i="8" a="1"/>
  <c r="T13" i="8" a="1"/>
  <c r="R2" i="8" a="1"/>
  <c r="U10" i="8" a="1"/>
  <c r="T8" i="8" a="1"/>
  <c r="R23" i="8" a="1"/>
  <c r="U22" i="8" a="1"/>
  <c r="Q21" i="8" a="1"/>
  <c r="T20" i="8" a="1"/>
  <c r="R11" i="8" a="1"/>
  <c r="Q9" i="8" a="1"/>
  <c r="R4" i="8" a="1"/>
  <c r="U3" i="8" a="1"/>
  <c r="Q16" i="8" a="1"/>
  <c r="T15" i="8" a="1"/>
  <c r="R6" i="8" a="1"/>
  <c r="U5" i="8" a="1"/>
  <c r="T12" i="8" a="1"/>
  <c r="U29" i="8" a="1"/>
  <c r="Q28" i="8" a="1"/>
  <c r="T27" i="8" a="1"/>
  <c r="R18" i="8" a="1"/>
  <c r="U17" i="8" a="1"/>
  <c r="Q2" i="8" a="1"/>
  <c r="Q25" i="8" a="1"/>
  <c r="R15" i="8" a="1"/>
  <c r="U14" i="8" a="1"/>
  <c r="Q13" i="8" a="1"/>
  <c r="R25" i="8" a="1"/>
  <c r="U24" i="8" a="1"/>
  <c r="Q23" i="8" a="1"/>
  <c r="T22" i="8" a="1"/>
  <c r="R13" i="8" a="1"/>
  <c r="U12" i="8" a="1"/>
  <c r="Q11" i="8" a="1"/>
  <c r="T10" i="8" a="1"/>
  <c r="Q4" i="8" a="1"/>
  <c r="T3" i="8" a="1"/>
  <c r="R27" i="8" a="1"/>
  <c r="T29" i="8" a="1"/>
  <c r="R20" i="8" a="1"/>
  <c r="U19" i="8" a="1"/>
  <c r="Q18" i="8" a="1"/>
  <c r="T17" i="8" a="1"/>
  <c r="R8" i="8" a="1"/>
  <c r="U7" i="8" a="1"/>
  <c r="Q6" i="8" a="1"/>
  <c r="T5" i="8" a="1"/>
  <c r="U26" i="8" a="1"/>
  <c r="T24" i="8" a="1"/>
  <c r="R22" i="8" a="1"/>
  <c r="U21" i="8" a="1"/>
  <c r="Q20" i="8" a="1"/>
  <c r="T19" i="8" a="1"/>
  <c r="R10" i="8" a="1"/>
  <c r="U9" i="8" a="1"/>
  <c r="Q8" i="8" a="1"/>
  <c r="T7" i="8" a="1"/>
  <c r="R3" i="8" a="1"/>
  <c r="T11" i="8" a="1"/>
  <c r="T4" i="8" a="1"/>
  <c r="R29" i="8" a="1"/>
  <c r="U28" i="8" a="1"/>
  <c r="Q27" i="8" a="1"/>
  <c r="T26" i="8" a="1"/>
  <c r="R17" i="8" a="1"/>
  <c r="U16" i="8" a="1"/>
  <c r="Q15" i="8" a="1"/>
  <c r="T14" i="8" a="1"/>
  <c r="R5" i="8" a="1"/>
  <c r="U2" i="8" a="1"/>
  <c r="U23" i="8" a="1"/>
  <c r="Q22" i="8" a="1"/>
  <c r="T21" i="8" a="1"/>
  <c r="R12" i="8" a="1"/>
  <c r="T9" i="8" a="1"/>
  <c r="U4" i="8" a="1"/>
  <c r="Q3" i="8" a="1"/>
  <c r="R24" i="8" a="1"/>
  <c r="U11" i="8" a="1"/>
  <c r="Q10" i="8" a="1"/>
  <c r="Q29" i="8" a="1"/>
  <c r="T28" i="8" a="1"/>
  <c r="R19" i="8" a="1"/>
  <c r="U18" i="8" a="1"/>
  <c r="Q17" i="8" a="1"/>
  <c r="T16" i="8" a="1"/>
  <c r="R7" i="8" a="1"/>
  <c r="U6" i="8" a="1"/>
  <c r="Q5" i="8" a="1"/>
  <c r="T2" i="8" a="1"/>
  <c r="T23" i="7" a="1"/>
  <c r="R14" i="7" a="1"/>
  <c r="U13" i="7" a="1"/>
  <c r="Q12" i="7" a="1"/>
  <c r="T11" i="7" a="1"/>
  <c r="T4" i="7" a="1"/>
  <c r="R23" i="7" a="1"/>
  <c r="T20" i="7" a="1"/>
  <c r="R11" i="7" a="1"/>
  <c r="R4" i="7" a="1"/>
  <c r="Q23" i="7" a="1"/>
  <c r="T22" i="7" a="1"/>
  <c r="R13" i="7" a="1"/>
  <c r="Q11" i="7" a="1"/>
  <c r="R21" i="7" a="1"/>
  <c r="U20" i="7" a="1"/>
  <c r="Q19" i="7" a="1"/>
  <c r="T18" i="7" a="1"/>
  <c r="R9" i="7" a="1"/>
  <c r="U8" i="7" a="1"/>
  <c r="Q7" i="7" a="1"/>
  <c r="T6" i="7" a="1"/>
  <c r="Q21" i="7" a="1"/>
  <c r="U10" i="7" a="1"/>
  <c r="Q9" i="7" a="1"/>
  <c r="T8" i="7" a="1"/>
  <c r="U12" i="7" a="1"/>
  <c r="T10" i="7" a="1"/>
  <c r="Q4" i="7" a="1"/>
  <c r="U19" i="7" a="1"/>
  <c r="T17" i="7" a="1"/>
  <c r="R16" i="7" a="1"/>
  <c r="U15" i="7" a="1"/>
  <c r="Q14" i="7" a="1"/>
  <c r="T13" i="7" a="1"/>
  <c r="R2" i="7" a="1"/>
  <c r="U22" i="7" a="1"/>
  <c r="U3" i="7" a="1"/>
  <c r="R18" i="7" a="1"/>
  <c r="U17" i="7" a="1"/>
  <c r="Q16" i="7" a="1"/>
  <c r="T15" i="7" a="1"/>
  <c r="R6" i="7" a="1"/>
  <c r="U5" i="7" a="1"/>
  <c r="Q2" i="7" a="1"/>
  <c r="T3" i="7" a="1"/>
  <c r="R20" i="7" a="1"/>
  <c r="Q18" i="7" a="1"/>
  <c r="R22" i="7" a="1"/>
  <c r="U21" i="7" a="1"/>
  <c r="Q20" i="7" a="1"/>
  <c r="T19" i="7" a="1"/>
  <c r="R10" i="7" a="1"/>
  <c r="U9" i="7" a="1"/>
  <c r="Q8" i="7" a="1"/>
  <c r="T7" i="7" a="1"/>
  <c r="R3" i="7" a="1"/>
  <c r="R19" i="7" a="1"/>
  <c r="U18" i="7" a="1"/>
  <c r="Q17" i="7" a="1"/>
  <c r="T16" i="7" a="1"/>
  <c r="R7" i="7" a="1"/>
  <c r="U6" i="7" a="1"/>
  <c r="Q5" i="7" a="1"/>
  <c r="T2" i="7" a="1"/>
  <c r="Q13" i="7" a="1"/>
  <c r="Q10" i="7" a="1"/>
  <c r="R8" i="7" a="1"/>
  <c r="R5" i="7" a="1"/>
  <c r="R15" i="7" a="1"/>
  <c r="U23" i="7" a="1"/>
  <c r="U16" i="7" a="1"/>
  <c r="T5" i="7" a="1"/>
  <c r="U2" i="7" a="1"/>
  <c r="Q22" i="7" a="1"/>
  <c r="Q15" i="7" a="1"/>
  <c r="U4" i="7" a="1"/>
  <c r="T12" i="7" a="1"/>
  <c r="R12" i="7" a="1"/>
  <c r="T21" i="7" a="1"/>
  <c r="U14" i="7" a="1"/>
  <c r="U11" i="7" a="1"/>
  <c r="T14" i="7" a="1"/>
  <c r="R17" i="7" a="1"/>
  <c r="Q6" i="7" a="1"/>
  <c r="U7" i="7" a="1"/>
  <c r="T9" i="7" a="1"/>
  <c r="Q3" i="7" a="1"/>
  <c r="R26" i="6" a="1"/>
  <c r="U25" i="6" a="1"/>
  <c r="Q24" i="6" a="1"/>
  <c r="T23" i="6" a="1"/>
  <c r="R14" i="6" a="1"/>
  <c r="U13" i="6" a="1"/>
  <c r="Q12" i="6" a="1"/>
  <c r="T11" i="6" a="1"/>
  <c r="T4" i="6" a="1"/>
  <c r="Q19" i="6" a="1"/>
  <c r="U8" i="6" a="1"/>
  <c r="Q7" i="6" a="1"/>
  <c r="T6" i="6" a="1"/>
  <c r="U15" i="6" a="1"/>
  <c r="Q14" i="6" a="1"/>
  <c r="U22" i="6" a="1"/>
  <c r="U10" i="6" a="1"/>
  <c r="R4" i="6" a="1"/>
  <c r="U3" i="6" a="1"/>
  <c r="T22" i="6" a="1"/>
  <c r="U12" i="6" a="1"/>
  <c r="R21" i="6" a="1"/>
  <c r="U20" i="6" a="1"/>
  <c r="T18" i="6" a="1"/>
  <c r="R9" i="6" a="1"/>
  <c r="T8" i="6" a="1"/>
  <c r="R28" i="6" a="1"/>
  <c r="U27" i="6" a="1"/>
  <c r="Q26" i="6" a="1"/>
  <c r="T25" i="6" a="1"/>
  <c r="R16" i="6" a="1"/>
  <c r="T13" i="6" a="1"/>
  <c r="R2" i="6" a="1"/>
  <c r="T20" i="6" a="1"/>
  <c r="Q11" i="6" a="1"/>
  <c r="T10" i="6" a="1"/>
  <c r="R23" i="6" a="1"/>
  <c r="Q21" i="6" a="1"/>
  <c r="R11" i="6" a="1"/>
  <c r="Q9" i="6" a="1"/>
  <c r="Q28" i="6" a="1"/>
  <c r="T27" i="6" a="1"/>
  <c r="R18" i="6" a="1"/>
  <c r="U17" i="6" a="1"/>
  <c r="Q16" i="6" a="1"/>
  <c r="T15" i="6" a="1"/>
  <c r="R6" i="6" a="1"/>
  <c r="U5" i="6" a="1"/>
  <c r="Q2" i="6" a="1"/>
  <c r="R25" i="6" a="1"/>
  <c r="U24" i="6" a="1"/>
  <c r="Q23" i="6" a="1"/>
  <c r="R13" i="6" a="1"/>
  <c r="Q4" i="6" a="1"/>
  <c r="T3" i="6" a="1"/>
  <c r="R27" i="6" a="1"/>
  <c r="U26" i="6" a="1"/>
  <c r="Q25" i="6" a="1"/>
  <c r="T24" i="6" a="1"/>
  <c r="R15" i="6" a="1"/>
  <c r="U14" i="6" a="1"/>
  <c r="Q13" i="6" a="1"/>
  <c r="T12" i="6" a="1"/>
  <c r="R22" i="6" a="1"/>
  <c r="U21" i="6" a="1"/>
  <c r="Q20" i="6" a="1"/>
  <c r="T19" i="6" a="1"/>
  <c r="R10" i="6" a="1"/>
  <c r="U9" i="6" a="1"/>
  <c r="Q8" i="6" a="1"/>
  <c r="T7" i="6" a="1"/>
  <c r="R3" i="6" a="1"/>
  <c r="Q17" i="6" a="1"/>
  <c r="U28" i="6" a="1"/>
  <c r="Q27" i="6" a="1"/>
  <c r="T26" i="6" a="1"/>
  <c r="R17" i="6" a="1"/>
  <c r="U16" i="6" a="1"/>
  <c r="Q15" i="6" a="1"/>
  <c r="T14" i="6" a="1"/>
  <c r="R5" i="6" a="1"/>
  <c r="U2" i="6" a="1"/>
  <c r="U18" i="6" a="1"/>
  <c r="T16" i="6" a="1"/>
  <c r="R24" i="6" a="1"/>
  <c r="U23" i="6" a="1"/>
  <c r="Q22" i="6" a="1"/>
  <c r="T21" i="6" a="1"/>
  <c r="R12" i="6" a="1"/>
  <c r="U11" i="6" a="1"/>
  <c r="Q10" i="6" a="1"/>
  <c r="T9" i="6" a="1"/>
  <c r="U4" i="6" a="1"/>
  <c r="Q3" i="6" a="1"/>
  <c r="T28" i="6" a="1"/>
  <c r="R19" i="6" a="1"/>
  <c r="R20" i="6" a="1"/>
  <c r="U6" i="6" a="1"/>
  <c r="T5" i="6" a="1"/>
  <c r="Q6" i="6" a="1"/>
  <c r="Q5" i="6" a="1"/>
  <c r="U7" i="6" a="1"/>
  <c r="U19" i="6" a="1"/>
  <c r="T17" i="6" a="1"/>
  <c r="T2" i="6" a="1"/>
  <c r="R7" i="6" a="1"/>
  <c r="R8" i="6" a="1"/>
  <c r="Q18" i="6" a="1"/>
  <c r="R26" i="5" a="1"/>
  <c r="U25" i="5" a="1"/>
  <c r="R33" i="5" a="1"/>
  <c r="U32" i="5" a="1"/>
  <c r="R28" i="5" a="1"/>
  <c r="U27" i="5" a="1"/>
  <c r="Q26" i="5" a="1"/>
  <c r="T25" i="5" a="1"/>
  <c r="R16" i="5" a="1"/>
  <c r="U15" i="5" a="1"/>
  <c r="Q14" i="5" a="1"/>
  <c r="T13" i="5" a="1"/>
  <c r="R2" i="5" a="1"/>
  <c r="Q33" i="5" a="1"/>
  <c r="T32" i="5" a="1"/>
  <c r="R23" i="5" a="1"/>
  <c r="U22" i="5" a="1"/>
  <c r="Q21" i="5" a="1"/>
  <c r="T20" i="5" a="1"/>
  <c r="R11" i="5" a="1"/>
  <c r="U10" i="5" a="1"/>
  <c r="Q9" i="5" a="1"/>
  <c r="T8" i="5" a="1"/>
  <c r="R4" i="5" a="1"/>
  <c r="U3" i="5" a="1"/>
  <c r="R32" i="5" a="1"/>
  <c r="U31" i="5" a="1"/>
  <c r="Q30" i="5" a="1"/>
  <c r="T29" i="5" a="1"/>
  <c r="R20" i="5" a="1"/>
  <c r="U19" i="5" a="1"/>
  <c r="Q18" i="5" a="1"/>
  <c r="T17" i="5" a="1"/>
  <c r="R8" i="5" a="1"/>
  <c r="U7" i="5" a="1"/>
  <c r="Q6" i="5" a="1"/>
  <c r="T5" i="5" a="1"/>
  <c r="R29" i="5" a="1"/>
  <c r="U28" i="5" a="1"/>
  <c r="Q27" i="5" a="1"/>
  <c r="T26" i="5" a="1"/>
  <c r="R17" i="5" a="1"/>
  <c r="U16" i="5" a="1"/>
  <c r="Q15" i="5" a="1"/>
  <c r="T14" i="5" a="1"/>
  <c r="R5" i="5" a="1"/>
  <c r="U2" i="5" a="1"/>
  <c r="T33" i="5" a="1"/>
  <c r="R24" i="5" a="1"/>
  <c r="U23" i="5" a="1"/>
  <c r="Q22" i="5" a="1"/>
  <c r="T21" i="5" a="1"/>
  <c r="R12" i="5" a="1"/>
  <c r="U11" i="5" a="1"/>
  <c r="Q10" i="5" a="1"/>
  <c r="T9" i="5" a="1"/>
  <c r="U4" i="5" a="1"/>
  <c r="Q3" i="5" a="1"/>
  <c r="R31" i="5" a="1"/>
  <c r="U30" i="5" a="1"/>
  <c r="Q29" i="5" a="1"/>
  <c r="T28" i="5" a="1"/>
  <c r="R19" i="5" a="1"/>
  <c r="U18" i="5" a="1"/>
  <c r="Q17" i="5" a="1"/>
  <c r="T16" i="5" a="1"/>
  <c r="R7" i="5" a="1"/>
  <c r="U6" i="5" a="1"/>
  <c r="Q5" i="5" a="1"/>
  <c r="T2" i="5" a="1"/>
  <c r="Q24" i="5" a="1"/>
  <c r="T23" i="5" a="1"/>
  <c r="Q25" i="5" a="1"/>
  <c r="U21" i="5" a="1"/>
  <c r="U14" i="5" a="1"/>
  <c r="R3" i="5" a="1"/>
  <c r="Q4" i="5" a="1"/>
  <c r="Q13" i="5" a="1"/>
  <c r="R27" i="5" a="1"/>
  <c r="U17" i="5" a="1"/>
  <c r="Q11" i="5" a="1"/>
  <c r="Q19" i="5" a="1"/>
  <c r="Q12" i="5" a="1"/>
  <c r="T27" i="5" a="1"/>
  <c r="T22" i="5" a="1"/>
  <c r="R21" i="5" a="1"/>
  <c r="Q20" i="5" a="1"/>
  <c r="T15" i="5" a="1"/>
  <c r="R14" i="5" a="1"/>
  <c r="R13" i="5" a="1"/>
  <c r="T6" i="5" a="1"/>
  <c r="T31" i="5" a="1"/>
  <c r="R6" i="5" a="1"/>
  <c r="Q31" i="5" a="1"/>
  <c r="R22" i="5" a="1"/>
  <c r="R15" i="5" a="1"/>
  <c r="U8" i="5" a="1"/>
  <c r="Q23" i="5" a="1"/>
  <c r="T7" i="5" a="1"/>
  <c r="U13" i="5" a="1"/>
  <c r="Q2" i="5" a="1"/>
  <c r="Q32" i="5" a="1"/>
  <c r="U29" i="5" a="1"/>
  <c r="U24" i="5" a="1"/>
  <c r="Q16" i="5" a="1"/>
  <c r="U9" i="5" a="1"/>
  <c r="T18" i="5" a="1"/>
  <c r="T10" i="5" a="1"/>
  <c r="Q8" i="5" a="1"/>
  <c r="T30" i="5" a="1"/>
  <c r="U20" i="5" a="1"/>
  <c r="U12" i="5" a="1"/>
  <c r="T4" i="5" a="1"/>
  <c r="U26" i="5" a="1"/>
  <c r="Q28" i="5" a="1"/>
  <c r="T24" i="5" a="1"/>
  <c r="Q7" i="5" a="1"/>
  <c r="U33" i="5" a="1"/>
  <c r="T11" i="5" a="1"/>
  <c r="R9" i="5" a="1"/>
  <c r="R18" i="5" a="1"/>
  <c r="R10" i="5" a="1"/>
  <c r="U5" i="5" a="1"/>
  <c r="T3" i="5" a="1"/>
  <c r="R30" i="5" a="1"/>
  <c r="R25" i="5" a="1"/>
  <c r="T19" i="5" a="1"/>
  <c r="T12" i="5" a="1"/>
  <c r="R14" i="4" a="1"/>
  <c r="U13" i="4" a="1"/>
  <c r="Q12" i="4" a="1"/>
  <c r="R21" i="4" a="1"/>
  <c r="U20" i="4" a="1"/>
  <c r="Q19" i="4" a="1"/>
  <c r="T18" i="4" a="1"/>
  <c r="R9" i="4" a="1"/>
  <c r="U8" i="4" a="1"/>
  <c r="Q7" i="4" a="1"/>
  <c r="T6" i="4" a="1"/>
  <c r="R16" i="4" a="1"/>
  <c r="U15" i="4" a="1"/>
  <c r="Q14" i="4" a="1"/>
  <c r="T13" i="4" a="1"/>
  <c r="R2" i="4" a="1"/>
  <c r="R20" i="4" a="1"/>
  <c r="U19" i="4" a="1"/>
  <c r="Q18" i="4" a="1"/>
  <c r="T17" i="4" a="1"/>
  <c r="R8" i="4" a="1"/>
  <c r="U7" i="4" a="1"/>
  <c r="Q6" i="4" a="1"/>
  <c r="T5" i="4" a="1"/>
  <c r="R17" i="4" a="1"/>
  <c r="R15" i="4" a="1"/>
  <c r="U14" i="4" a="1"/>
  <c r="Q13" i="4" a="1"/>
  <c r="T12" i="4" a="1"/>
  <c r="U9" i="4" a="1"/>
  <c r="Q8" i="4" a="1"/>
  <c r="Q15" i="4" a="1"/>
  <c r="T14" i="4" a="1"/>
  <c r="U21" i="4" a="1"/>
  <c r="Q20" i="4" a="1"/>
  <c r="T19" i="4" a="1"/>
  <c r="R10" i="4" a="1"/>
  <c r="T7" i="4" a="1"/>
  <c r="R3" i="4" a="1"/>
  <c r="U16" i="4" a="1"/>
  <c r="U17" i="4" a="1"/>
  <c r="Q16" i="4" a="1"/>
  <c r="T11" i="4" a="1"/>
  <c r="Q9" i="4" a="1"/>
  <c r="Q10" i="4" a="1"/>
  <c r="U18" i="4" a="1"/>
  <c r="U2" i="4" a="1"/>
  <c r="U3" i="4" a="1"/>
  <c r="R7" i="4" a="1"/>
  <c r="R4" i="4" a="1"/>
  <c r="Q3" i="4" a="1"/>
  <c r="T16" i="4" a="1"/>
  <c r="Q21" i="4" a="1"/>
  <c r="T10" i="4" a="1"/>
  <c r="R12" i="4" a="1"/>
  <c r="R11" i="4" a="1"/>
  <c r="R13" i="4" a="1"/>
  <c r="Q11" i="4" a="1"/>
  <c r="R18" i="4" a="1"/>
  <c r="T4" i="4" a="1"/>
  <c r="U10" i="4" a="1"/>
  <c r="Q17" i="4" a="1"/>
  <c r="T20" i="4" a="1"/>
  <c r="R19" i="4" a="1"/>
  <c r="T15" i="4" a="1"/>
  <c r="U4" i="4" a="1"/>
  <c r="T2" i="4" a="1"/>
  <c r="U6" i="4" a="1"/>
  <c r="U5" i="4" a="1"/>
  <c r="T3" i="4" a="1"/>
  <c r="T8" i="4" a="1"/>
  <c r="T21" i="4" a="1"/>
  <c r="T9" i="4" a="1"/>
  <c r="R5" i="4" a="1"/>
  <c r="Q2" i="4" a="1"/>
  <c r="U11" i="4" a="1"/>
  <c r="Q5" i="4" a="1"/>
  <c r="R6" i="4" a="1"/>
  <c r="U12" i="4" a="1"/>
  <c r="Q4" i="4" a="1"/>
  <c r="R14" i="3" a="1"/>
  <c r="U13" i="3" a="1"/>
  <c r="U8" i="3" a="1"/>
  <c r="Q14" i="3" a="1"/>
  <c r="T13" i="3" a="1"/>
  <c r="R2" i="3" a="1"/>
  <c r="R11" i="3" a="1"/>
  <c r="Q9" i="3" a="1"/>
  <c r="T8" i="3" a="1"/>
  <c r="R4" i="3" a="1"/>
  <c r="U3" i="3" a="1"/>
  <c r="U14" i="3" a="1"/>
  <c r="R5" i="3" a="1"/>
  <c r="U10" i="3" a="1"/>
  <c r="Q2" i="3" a="1"/>
  <c r="Q6" i="3" a="1"/>
  <c r="R7" i="3" a="1"/>
  <c r="Q12" i="3" a="1"/>
  <c r="R6" i="3" a="1"/>
  <c r="U5" i="3" a="1"/>
  <c r="U2" i="3" a="1"/>
  <c r="R13" i="3" a="1"/>
  <c r="U12" i="3" a="1"/>
  <c r="Q11" i="3" a="1"/>
  <c r="T10" i="3" a="1"/>
  <c r="Q4" i="3" a="1"/>
  <c r="T3" i="3" a="1"/>
  <c r="U7" i="3" a="1"/>
  <c r="T14" i="3" a="1"/>
  <c r="R8" i="3" a="1"/>
  <c r="T5" i="3" a="1"/>
  <c r="Q13" i="3" a="1"/>
  <c r="Q5" i="3" a="1"/>
  <c r="T11" i="3" a="1"/>
  <c r="Q7" i="3" a="1"/>
  <c r="T12" i="3" a="1"/>
  <c r="R9" i="3" a="1"/>
  <c r="R10" i="3" a="1"/>
  <c r="U9" i="3" a="1"/>
  <c r="Q8" i="3" a="1"/>
  <c r="T7" i="3" a="1"/>
  <c r="R3" i="3" a="1"/>
  <c r="Q3" i="3" a="1"/>
  <c r="T4" i="3" a="1"/>
  <c r="T6" i="3" a="1"/>
  <c r="T2" i="3" a="1"/>
  <c r="R12" i="3" a="1"/>
  <c r="U11" i="3" a="1"/>
  <c r="Q10" i="3" a="1"/>
  <c r="T9" i="3" a="1"/>
  <c r="U4" i="3" a="1"/>
  <c r="U6" i="3" a="1"/>
  <c r="T76" i="9" l="1"/>
  <c r="U79" i="9"/>
  <c r="T77" i="9"/>
  <c r="R74" i="9"/>
  <c r="Q72" i="9"/>
  <c r="U67" i="9"/>
  <c r="T65" i="9"/>
  <c r="R62" i="9"/>
  <c r="Q60" i="9"/>
  <c r="S60" i="9" s="1"/>
  <c r="U55" i="9"/>
  <c r="T53" i="9"/>
  <c r="R50" i="9"/>
  <c r="Q48" i="9"/>
  <c r="Q61" i="9"/>
  <c r="U56" i="9"/>
  <c r="T54" i="9"/>
  <c r="R51" i="9"/>
  <c r="Q49" i="9"/>
  <c r="S49" i="9" s="1"/>
  <c r="V49" i="9" s="1"/>
  <c r="T81" i="9"/>
  <c r="U78" i="9"/>
  <c r="T66" i="9"/>
  <c r="U81" i="9"/>
  <c r="T79" i="9"/>
  <c r="R76" i="9"/>
  <c r="Q74" i="9"/>
  <c r="U69" i="9"/>
  <c r="T67" i="9"/>
  <c r="R64" i="9"/>
  <c r="Q62" i="9"/>
  <c r="S62" i="9" s="1"/>
  <c r="U57" i="9"/>
  <c r="T55" i="9"/>
  <c r="R52" i="9"/>
  <c r="Q50" i="9"/>
  <c r="U80" i="9"/>
  <c r="T78" i="9"/>
  <c r="R75" i="9"/>
  <c r="Q73" i="9"/>
  <c r="U68" i="9"/>
  <c r="R63" i="9"/>
  <c r="U82" i="9"/>
  <c r="T80" i="9"/>
  <c r="R77" i="9"/>
  <c r="Q75" i="9"/>
  <c r="U70" i="9"/>
  <c r="T68" i="9"/>
  <c r="R65" i="9"/>
  <c r="Q63" i="9"/>
  <c r="S63" i="9" s="1"/>
  <c r="U58" i="9"/>
  <c r="T56" i="9"/>
  <c r="R53" i="9"/>
  <c r="Q51" i="9"/>
  <c r="U46" i="9"/>
  <c r="R78" i="9"/>
  <c r="Q76" i="9"/>
  <c r="U71" i="9"/>
  <c r="T69" i="9"/>
  <c r="R66" i="9"/>
  <c r="Q64" i="9"/>
  <c r="S64" i="9" s="1"/>
  <c r="U59" i="9"/>
  <c r="T57" i="9"/>
  <c r="R54" i="9"/>
  <c r="Q52" i="9"/>
  <c r="U47" i="9"/>
  <c r="U72" i="9"/>
  <c r="R67" i="9"/>
  <c r="Q65" i="9"/>
  <c r="U60" i="9"/>
  <c r="T58" i="9"/>
  <c r="R55" i="9"/>
  <c r="Q53" i="9"/>
  <c r="S53" i="9" s="1"/>
  <c r="U48" i="9"/>
  <c r="T46" i="9"/>
  <c r="Q66" i="9"/>
  <c r="R56" i="9"/>
  <c r="Q54" i="9"/>
  <c r="U49" i="9"/>
  <c r="T47" i="9"/>
  <c r="R80" i="9"/>
  <c r="Q78" i="9"/>
  <c r="S78" i="9" s="1"/>
  <c r="T71" i="9"/>
  <c r="U61" i="9"/>
  <c r="T59" i="9"/>
  <c r="R81" i="9"/>
  <c r="Q79" i="9"/>
  <c r="U74" i="9"/>
  <c r="T72" i="9"/>
  <c r="R69" i="9"/>
  <c r="Q67" i="9"/>
  <c r="U62" i="9"/>
  <c r="T60" i="9"/>
  <c r="R57" i="9"/>
  <c r="Q55" i="9"/>
  <c r="U50" i="9"/>
  <c r="T48" i="9"/>
  <c r="T82" i="9"/>
  <c r="R79" i="9"/>
  <c r="T70" i="9"/>
  <c r="U73" i="9"/>
  <c r="Q80" i="9"/>
  <c r="U75" i="9"/>
  <c r="T73" i="9"/>
  <c r="R70" i="9"/>
  <c r="Q68" i="9"/>
  <c r="U63" i="9"/>
  <c r="T61" i="9"/>
  <c r="R58" i="9"/>
  <c r="Q56" i="9"/>
  <c r="S56" i="9" s="1"/>
  <c r="V56" i="9" s="1"/>
  <c r="U51" i="9"/>
  <c r="T49" i="9"/>
  <c r="R46" i="9"/>
  <c r="Q77" i="9"/>
  <c r="U76" i="9"/>
  <c r="T74" i="9"/>
  <c r="R71" i="9"/>
  <c r="T62" i="9"/>
  <c r="Q57" i="9"/>
  <c r="U52" i="9"/>
  <c r="T50" i="9"/>
  <c r="R47" i="9"/>
  <c r="R68" i="9"/>
  <c r="R82" i="9"/>
  <c r="Q81" i="9"/>
  <c r="Q69" i="9"/>
  <c r="S69" i="9" s="1"/>
  <c r="U64" i="9"/>
  <c r="R59" i="9"/>
  <c r="Q82" i="9"/>
  <c r="S82" i="9" s="1"/>
  <c r="U77" i="9"/>
  <c r="T75" i="9"/>
  <c r="R72" i="9"/>
  <c r="Q70" i="9"/>
  <c r="S70" i="9" s="1"/>
  <c r="V70" i="9" s="1"/>
  <c r="U65" i="9"/>
  <c r="T63" i="9"/>
  <c r="R60" i="9"/>
  <c r="Q58" i="9"/>
  <c r="U53" i="9"/>
  <c r="T51" i="9"/>
  <c r="R48" i="9"/>
  <c r="Q46" i="9"/>
  <c r="S46" i="9" s="1"/>
  <c r="R73" i="9"/>
  <c r="Q71" i="9"/>
  <c r="U66" i="9"/>
  <c r="T64" i="9"/>
  <c r="R61" i="9"/>
  <c r="Q59" i="9"/>
  <c r="S59" i="9" s="1"/>
  <c r="V59" i="9" s="1"/>
  <c r="U54" i="9"/>
  <c r="T52" i="9"/>
  <c r="R49" i="9"/>
  <c r="Q47" i="9"/>
  <c r="T2" i="9"/>
  <c r="Q5" i="9"/>
  <c r="U6" i="9"/>
  <c r="R7" i="9"/>
  <c r="T16" i="9"/>
  <c r="Q17" i="9"/>
  <c r="U18" i="9"/>
  <c r="R19" i="9"/>
  <c r="T28" i="9"/>
  <c r="Q29" i="9"/>
  <c r="S29" i="9" s="1"/>
  <c r="V29" i="9" s="1"/>
  <c r="AC29" i="9" s="1"/>
  <c r="U30" i="9"/>
  <c r="R31" i="9"/>
  <c r="T40" i="9"/>
  <c r="Q41" i="9"/>
  <c r="U42" i="9"/>
  <c r="R43" i="9"/>
  <c r="R12" i="9"/>
  <c r="R24" i="9"/>
  <c r="T33" i="9"/>
  <c r="Q34" i="9"/>
  <c r="S34" i="9" s="1"/>
  <c r="U35" i="9"/>
  <c r="R36" i="9"/>
  <c r="T45" i="9"/>
  <c r="U11" i="9"/>
  <c r="U2" i="9"/>
  <c r="T14" i="9"/>
  <c r="T38" i="9"/>
  <c r="Q39" i="9"/>
  <c r="S39" i="9" s="1"/>
  <c r="U40" i="9"/>
  <c r="R41" i="9"/>
  <c r="U16" i="9"/>
  <c r="R10" i="9"/>
  <c r="T19" i="9"/>
  <c r="Q20" i="9"/>
  <c r="S20" i="9" s="1"/>
  <c r="V20" i="9" s="1"/>
  <c r="AC20" i="9" s="1"/>
  <c r="R22" i="9"/>
  <c r="T31" i="9"/>
  <c r="Q32" i="9"/>
  <c r="U33" i="9"/>
  <c r="R34" i="9"/>
  <c r="T43" i="9"/>
  <c r="Q44" i="9"/>
  <c r="U45" i="9"/>
  <c r="T9" i="9"/>
  <c r="T21" i="9"/>
  <c r="R3" i="9"/>
  <c r="T7" i="9"/>
  <c r="Q8" i="9"/>
  <c r="U9" i="9"/>
  <c r="U21" i="9"/>
  <c r="T12" i="9"/>
  <c r="Q13" i="9"/>
  <c r="U14" i="9"/>
  <c r="R15" i="9"/>
  <c r="T24" i="9"/>
  <c r="Q25" i="9"/>
  <c r="U26" i="9"/>
  <c r="R27" i="9"/>
  <c r="T36" i="9"/>
  <c r="Q37" i="9"/>
  <c r="U38" i="9"/>
  <c r="R39" i="9"/>
  <c r="R5" i="9"/>
  <c r="Q15" i="9"/>
  <c r="R17" i="9"/>
  <c r="T26" i="9"/>
  <c r="Q27" i="9"/>
  <c r="U28" i="9"/>
  <c r="R29" i="9"/>
  <c r="T5" i="9"/>
  <c r="Q6" i="9"/>
  <c r="S6" i="9" s="1"/>
  <c r="U7" i="9"/>
  <c r="R8" i="9"/>
  <c r="T17" i="9"/>
  <c r="Q18" i="9"/>
  <c r="U19" i="9"/>
  <c r="R20" i="9"/>
  <c r="T29" i="9"/>
  <c r="Q30" i="9"/>
  <c r="U31" i="9"/>
  <c r="R32" i="9"/>
  <c r="T41" i="9"/>
  <c r="Q42" i="9"/>
  <c r="S42" i="9" s="1"/>
  <c r="V42" i="9" s="1"/>
  <c r="AC42" i="9" s="1"/>
  <c r="U43" i="9"/>
  <c r="R44" i="9"/>
  <c r="Q11" i="9"/>
  <c r="U12" i="9"/>
  <c r="R13" i="9"/>
  <c r="T22" i="9"/>
  <c r="Q23" i="9"/>
  <c r="U24" i="9"/>
  <c r="R25" i="9"/>
  <c r="T34" i="9"/>
  <c r="Q35" i="9"/>
  <c r="U36" i="9"/>
  <c r="R37" i="9"/>
  <c r="Q3" i="9"/>
  <c r="S3" i="9" s="1"/>
  <c r="V3" i="9" s="1"/>
  <c r="AC3" i="9" s="1"/>
  <c r="U5" i="9"/>
  <c r="R6" i="9"/>
  <c r="T15" i="9"/>
  <c r="Q16" i="9"/>
  <c r="U17" i="9"/>
  <c r="R18" i="9"/>
  <c r="T27" i="9"/>
  <c r="Q28" i="9"/>
  <c r="S28" i="9" s="1"/>
  <c r="U29" i="9"/>
  <c r="R30" i="9"/>
  <c r="T39" i="9"/>
  <c r="Q40" i="9"/>
  <c r="S40" i="9" s="1"/>
  <c r="V40" i="9" s="1"/>
  <c r="AC40" i="9" s="1"/>
  <c r="U41" i="9"/>
  <c r="R42" i="9"/>
  <c r="Q10" i="9"/>
  <c r="U23" i="9"/>
  <c r="T3" i="9"/>
  <c r="T8" i="9"/>
  <c r="U22" i="9"/>
  <c r="T32" i="9"/>
  <c r="U34" i="9"/>
  <c r="R35" i="9"/>
  <c r="T44" i="9"/>
  <c r="Q45" i="9"/>
  <c r="U4" i="9"/>
  <c r="Q4" i="9"/>
  <c r="T10" i="9"/>
  <c r="U3" i="9"/>
  <c r="Q21" i="9"/>
  <c r="R23" i="9"/>
  <c r="Q33" i="9"/>
  <c r="R2" i="9"/>
  <c r="T13" i="9"/>
  <c r="Q14" i="9"/>
  <c r="U15" i="9"/>
  <c r="R16" i="9"/>
  <c r="T25" i="9"/>
  <c r="Q26" i="9"/>
  <c r="U27" i="9"/>
  <c r="R28" i="9"/>
  <c r="T37" i="9"/>
  <c r="Q38" i="9"/>
  <c r="U39" i="9"/>
  <c r="R40" i="9"/>
  <c r="Q22" i="9"/>
  <c r="Q2" i="9"/>
  <c r="S2" i="9" s="1"/>
  <c r="V2" i="9" s="1"/>
  <c r="T6" i="9"/>
  <c r="U8" i="9"/>
  <c r="T18" i="9"/>
  <c r="Q19" i="9"/>
  <c r="U20" i="9"/>
  <c r="R21" i="9"/>
  <c r="T30" i="9"/>
  <c r="Q31" i="9"/>
  <c r="U32" i="9"/>
  <c r="R33" i="9"/>
  <c r="T42" i="9"/>
  <c r="Q43" i="9"/>
  <c r="S43" i="9" s="1"/>
  <c r="U44" i="9"/>
  <c r="R45" i="9"/>
  <c r="R4" i="9"/>
  <c r="Q9" i="9"/>
  <c r="U10" i="9"/>
  <c r="R11" i="9"/>
  <c r="T20" i="9"/>
  <c r="Q7" i="9"/>
  <c r="S7" i="9" s="1"/>
  <c r="R9" i="9"/>
  <c r="T4" i="9"/>
  <c r="T11" i="9"/>
  <c r="Q12" i="9"/>
  <c r="S12" i="9" s="1"/>
  <c r="V12" i="9" s="1"/>
  <c r="AC12" i="9" s="1"/>
  <c r="U13" i="9"/>
  <c r="R14" i="9"/>
  <c r="T23" i="9"/>
  <c r="Q24" i="9"/>
  <c r="U25" i="9"/>
  <c r="R26" i="9"/>
  <c r="T35" i="9"/>
  <c r="Q36" i="9"/>
  <c r="U37" i="9"/>
  <c r="R38" i="9"/>
  <c r="T2" i="8"/>
  <c r="Q5" i="8"/>
  <c r="U6" i="8"/>
  <c r="R7" i="8"/>
  <c r="T16" i="8"/>
  <c r="Q17" i="8"/>
  <c r="S17" i="8" s="1"/>
  <c r="U18" i="8"/>
  <c r="R19" i="8"/>
  <c r="T28" i="8"/>
  <c r="Q29" i="8"/>
  <c r="S29" i="8" s="1"/>
  <c r="V29" i="8" s="1"/>
  <c r="AC29" i="8" s="1"/>
  <c r="Q10" i="8"/>
  <c r="S10" i="8" s="1"/>
  <c r="V10" i="8" s="1"/>
  <c r="AC10" i="8" s="1"/>
  <c r="U11" i="8"/>
  <c r="R24" i="8"/>
  <c r="Q3" i="8"/>
  <c r="U4" i="8"/>
  <c r="T9" i="8"/>
  <c r="R12" i="8"/>
  <c r="T21" i="8"/>
  <c r="Q22" i="8"/>
  <c r="S22" i="8" s="1"/>
  <c r="U23" i="8"/>
  <c r="U2" i="8"/>
  <c r="R5" i="8"/>
  <c r="T14" i="8"/>
  <c r="Q15" i="8"/>
  <c r="S15" i="8" s="1"/>
  <c r="U16" i="8"/>
  <c r="R17" i="8"/>
  <c r="T26" i="8"/>
  <c r="Q27" i="8"/>
  <c r="S27" i="8" s="1"/>
  <c r="U28" i="8"/>
  <c r="R29" i="8"/>
  <c r="T4" i="8"/>
  <c r="T11" i="8"/>
  <c r="R3" i="8"/>
  <c r="T7" i="8"/>
  <c r="Q8" i="8"/>
  <c r="U9" i="8"/>
  <c r="R10" i="8"/>
  <c r="T19" i="8"/>
  <c r="Q20" i="8"/>
  <c r="S20" i="8" s="1"/>
  <c r="U21" i="8"/>
  <c r="R22" i="8"/>
  <c r="T24" i="8"/>
  <c r="U26" i="8"/>
  <c r="T5" i="8"/>
  <c r="Q6" i="8"/>
  <c r="U7" i="8"/>
  <c r="R8" i="8"/>
  <c r="T17" i="8"/>
  <c r="Q18" i="8"/>
  <c r="U19" i="8"/>
  <c r="R20" i="8"/>
  <c r="T29" i="8"/>
  <c r="R27" i="8"/>
  <c r="T3" i="8"/>
  <c r="Q4" i="8"/>
  <c r="S4" i="8" s="1"/>
  <c r="T10" i="8"/>
  <c r="Q11" i="8"/>
  <c r="S11" i="8" s="1"/>
  <c r="U12" i="8"/>
  <c r="R13" i="8"/>
  <c r="T22" i="8"/>
  <c r="Q23" i="8"/>
  <c r="S23" i="8" s="1"/>
  <c r="V23" i="8" s="1"/>
  <c r="AC23" i="8" s="1"/>
  <c r="U24" i="8"/>
  <c r="R25" i="8"/>
  <c r="Q13" i="8"/>
  <c r="S13" i="8" s="1"/>
  <c r="U14" i="8"/>
  <c r="R15" i="8"/>
  <c r="Q25" i="8"/>
  <c r="Q2" i="8"/>
  <c r="S2" i="8" s="1"/>
  <c r="V2" i="8" s="1"/>
  <c r="U17" i="8"/>
  <c r="R18" i="8"/>
  <c r="T27" i="8"/>
  <c r="Q28" i="8"/>
  <c r="U29" i="8"/>
  <c r="T12" i="8"/>
  <c r="U5" i="8"/>
  <c r="R6" i="8"/>
  <c r="T15" i="8"/>
  <c r="Q16" i="8"/>
  <c r="S16" i="8" s="1"/>
  <c r="V16" i="8" s="1"/>
  <c r="AC16" i="8" s="1"/>
  <c r="U3" i="8"/>
  <c r="R4" i="8"/>
  <c r="Q9" i="8"/>
  <c r="R11" i="8"/>
  <c r="T20" i="8"/>
  <c r="Q21" i="8"/>
  <c r="S21" i="8" s="1"/>
  <c r="U22" i="8"/>
  <c r="R23" i="8"/>
  <c r="T8" i="8"/>
  <c r="U10" i="8"/>
  <c r="R2" i="8"/>
  <c r="T13" i="8"/>
  <c r="Q14" i="8"/>
  <c r="U15" i="8"/>
  <c r="R16" i="8"/>
  <c r="T25" i="8"/>
  <c r="Q26" i="8"/>
  <c r="S26" i="8" s="1"/>
  <c r="V26" i="8" s="1"/>
  <c r="AC26" i="8" s="1"/>
  <c r="U27" i="8"/>
  <c r="R28" i="8"/>
  <c r="T6" i="8"/>
  <c r="Q7" i="8"/>
  <c r="S7" i="8" s="1"/>
  <c r="U8" i="8"/>
  <c r="R9" i="8"/>
  <c r="T18" i="8"/>
  <c r="Q19" i="8"/>
  <c r="S19" i="8" s="1"/>
  <c r="V19" i="8" s="1"/>
  <c r="AC19" i="8" s="1"/>
  <c r="U20" i="8"/>
  <c r="R21" i="8"/>
  <c r="Q12" i="8"/>
  <c r="S12" i="8" s="1"/>
  <c r="V12" i="8" s="1"/>
  <c r="AC12" i="8" s="1"/>
  <c r="U13" i="8"/>
  <c r="R14" i="8"/>
  <c r="T23" i="8"/>
  <c r="Q24" i="8"/>
  <c r="U25" i="8"/>
  <c r="R26" i="8"/>
  <c r="Q3" i="7"/>
  <c r="T9" i="7"/>
  <c r="U7" i="7"/>
  <c r="Q6" i="7"/>
  <c r="R17" i="7"/>
  <c r="T14" i="7"/>
  <c r="U11" i="7"/>
  <c r="U14" i="7"/>
  <c r="T21" i="7"/>
  <c r="R12" i="7"/>
  <c r="T12" i="7"/>
  <c r="U4" i="7"/>
  <c r="Q15" i="7"/>
  <c r="S15" i="7" s="1"/>
  <c r="Q22" i="7"/>
  <c r="S22" i="7" s="1"/>
  <c r="U2" i="7"/>
  <c r="T5" i="7"/>
  <c r="U16" i="7"/>
  <c r="U23" i="7"/>
  <c r="R15" i="7"/>
  <c r="R5" i="7"/>
  <c r="R8" i="7"/>
  <c r="Q10" i="7"/>
  <c r="S10" i="7" s="1"/>
  <c r="Q13" i="7"/>
  <c r="S13" i="7" s="1"/>
  <c r="V13" i="7" s="1"/>
  <c r="AC13" i="7" s="1"/>
  <c r="T2" i="7"/>
  <c r="Q5" i="7"/>
  <c r="S5" i="7" s="1"/>
  <c r="U6" i="7"/>
  <c r="R7" i="7"/>
  <c r="T16" i="7"/>
  <c r="Q17" i="7"/>
  <c r="U18" i="7"/>
  <c r="R19" i="7"/>
  <c r="R3" i="7"/>
  <c r="T7" i="7"/>
  <c r="Q8" i="7"/>
  <c r="S8" i="7" s="1"/>
  <c r="U9" i="7"/>
  <c r="R10" i="7"/>
  <c r="T19" i="7"/>
  <c r="Q20" i="7"/>
  <c r="U21" i="7"/>
  <c r="R22" i="7"/>
  <c r="Q18" i="7"/>
  <c r="S18" i="7" s="1"/>
  <c r="R20" i="7"/>
  <c r="T3" i="7"/>
  <c r="Q2" i="7"/>
  <c r="S2" i="7" s="1"/>
  <c r="V2" i="7" s="1"/>
  <c r="U5" i="7"/>
  <c r="R6" i="7"/>
  <c r="T15" i="7"/>
  <c r="Q16" i="7"/>
  <c r="S16" i="7" s="1"/>
  <c r="U17" i="7"/>
  <c r="R18" i="7"/>
  <c r="U3" i="7"/>
  <c r="U22" i="7"/>
  <c r="R2" i="7"/>
  <c r="T13" i="7"/>
  <c r="Q14" i="7"/>
  <c r="U15" i="7"/>
  <c r="R16" i="7"/>
  <c r="T17" i="7"/>
  <c r="U19" i="7"/>
  <c r="Q4" i="7"/>
  <c r="S4" i="7" s="1"/>
  <c r="V4" i="7" s="1"/>
  <c r="AC4" i="7" s="1"/>
  <c r="T10" i="7"/>
  <c r="U12" i="7"/>
  <c r="T8" i="7"/>
  <c r="Q9" i="7"/>
  <c r="S9" i="7" s="1"/>
  <c r="U10" i="7"/>
  <c r="Q21" i="7"/>
  <c r="T6" i="7"/>
  <c r="Q7" i="7"/>
  <c r="U8" i="7"/>
  <c r="R9" i="7"/>
  <c r="T18" i="7"/>
  <c r="Q19" i="7"/>
  <c r="S19" i="7" s="1"/>
  <c r="V19" i="7" s="1"/>
  <c r="AC19" i="7" s="1"/>
  <c r="U20" i="7"/>
  <c r="R21" i="7"/>
  <c r="Q11" i="7"/>
  <c r="S11" i="7" s="1"/>
  <c r="R13" i="7"/>
  <c r="T22" i="7"/>
  <c r="Q23" i="7"/>
  <c r="S23" i="7" s="1"/>
  <c r="V23" i="7" s="1"/>
  <c r="AC23" i="7" s="1"/>
  <c r="R4" i="7"/>
  <c r="R11" i="7"/>
  <c r="T20" i="7"/>
  <c r="R23" i="7"/>
  <c r="T4" i="7"/>
  <c r="T11" i="7"/>
  <c r="Q12" i="7"/>
  <c r="S12" i="7" s="1"/>
  <c r="V12" i="7" s="1"/>
  <c r="AC12" i="7" s="1"/>
  <c r="U13" i="7"/>
  <c r="R14" i="7"/>
  <c r="T23" i="7"/>
  <c r="AB22" i="7"/>
  <c r="Q18" i="6"/>
  <c r="R8" i="6"/>
  <c r="R7" i="6"/>
  <c r="T2" i="6"/>
  <c r="T17" i="6"/>
  <c r="U19" i="6"/>
  <c r="U7" i="6"/>
  <c r="Q5" i="6"/>
  <c r="S5" i="6" s="1"/>
  <c r="V5" i="6" s="1"/>
  <c r="AC5" i="6" s="1"/>
  <c r="Q6" i="6"/>
  <c r="S6" i="6" s="1"/>
  <c r="V6" i="6" s="1"/>
  <c r="AC6" i="6" s="1"/>
  <c r="T5" i="6"/>
  <c r="U6" i="6"/>
  <c r="R20" i="6"/>
  <c r="R19" i="6"/>
  <c r="T28" i="6"/>
  <c r="Q3" i="6"/>
  <c r="S3" i="6" s="1"/>
  <c r="U4" i="6"/>
  <c r="T9" i="6"/>
  <c r="Q10" i="6"/>
  <c r="U11" i="6"/>
  <c r="R12" i="6"/>
  <c r="T21" i="6"/>
  <c r="Q22" i="6"/>
  <c r="S22" i="6" s="1"/>
  <c r="U23" i="6"/>
  <c r="R24" i="6"/>
  <c r="T16" i="6"/>
  <c r="U18" i="6"/>
  <c r="U2" i="6"/>
  <c r="R5" i="6"/>
  <c r="T14" i="6"/>
  <c r="Q15" i="6"/>
  <c r="S15" i="6" s="1"/>
  <c r="U16" i="6"/>
  <c r="R17" i="6"/>
  <c r="T26" i="6"/>
  <c r="Q27" i="6"/>
  <c r="S27" i="6" s="1"/>
  <c r="U28" i="6"/>
  <c r="Q17" i="6"/>
  <c r="R3" i="6"/>
  <c r="T7" i="6"/>
  <c r="Q8" i="6"/>
  <c r="S8" i="6" s="1"/>
  <c r="V8" i="6" s="1"/>
  <c r="AC8" i="6" s="1"/>
  <c r="U9" i="6"/>
  <c r="R10" i="6"/>
  <c r="T19" i="6"/>
  <c r="Q20" i="6"/>
  <c r="S20" i="6" s="1"/>
  <c r="V20" i="6" s="1"/>
  <c r="AC20" i="6" s="1"/>
  <c r="U21" i="6"/>
  <c r="R22" i="6"/>
  <c r="T12" i="6"/>
  <c r="Q13" i="6"/>
  <c r="U14" i="6"/>
  <c r="R15" i="6"/>
  <c r="T24" i="6"/>
  <c r="Q25" i="6"/>
  <c r="S25" i="6" s="1"/>
  <c r="U26" i="6"/>
  <c r="R27" i="6"/>
  <c r="T3" i="6"/>
  <c r="Q4" i="6"/>
  <c r="R13" i="6"/>
  <c r="Q23" i="6"/>
  <c r="S23" i="6" s="1"/>
  <c r="V23" i="6" s="1"/>
  <c r="AC23" i="6" s="1"/>
  <c r="U24" i="6"/>
  <c r="R25" i="6"/>
  <c r="Q2" i="6"/>
  <c r="U5" i="6"/>
  <c r="R6" i="6"/>
  <c r="T15" i="6"/>
  <c r="Q16" i="6"/>
  <c r="U17" i="6"/>
  <c r="R18" i="6"/>
  <c r="T27" i="6"/>
  <c r="Q28" i="6"/>
  <c r="S28" i="6" s="1"/>
  <c r="V28" i="6" s="1"/>
  <c r="AC28" i="6" s="1"/>
  <c r="Q9" i="6"/>
  <c r="R11" i="6"/>
  <c r="Q21" i="6"/>
  <c r="R23" i="6"/>
  <c r="T10" i="6"/>
  <c r="Q11" i="6"/>
  <c r="S11" i="6" s="1"/>
  <c r="T20" i="6"/>
  <c r="R2" i="6"/>
  <c r="T13" i="6"/>
  <c r="R16" i="6"/>
  <c r="T25" i="6"/>
  <c r="Q26" i="6"/>
  <c r="S26" i="6" s="1"/>
  <c r="V26" i="6" s="1"/>
  <c r="AC26" i="6" s="1"/>
  <c r="U27" i="6"/>
  <c r="R28" i="6"/>
  <c r="T8" i="6"/>
  <c r="R9" i="6"/>
  <c r="T18" i="6"/>
  <c r="U20" i="6"/>
  <c r="R21" i="6"/>
  <c r="U12" i="6"/>
  <c r="T22" i="6"/>
  <c r="U3" i="6"/>
  <c r="R4" i="6"/>
  <c r="U10" i="6"/>
  <c r="U22" i="6"/>
  <c r="Q14" i="6"/>
  <c r="U15" i="6"/>
  <c r="T6" i="6"/>
  <c r="Q7" i="6"/>
  <c r="S7" i="6" s="1"/>
  <c r="V7" i="6" s="1"/>
  <c r="AC7" i="6" s="1"/>
  <c r="U8" i="6"/>
  <c r="Q19" i="6"/>
  <c r="S19" i="6" s="1"/>
  <c r="T4" i="6"/>
  <c r="T11" i="6"/>
  <c r="Q12" i="6"/>
  <c r="S12" i="6" s="1"/>
  <c r="V12" i="6" s="1"/>
  <c r="AC12" i="6" s="1"/>
  <c r="U13" i="6"/>
  <c r="R14" i="6"/>
  <c r="T23" i="6"/>
  <c r="Q24" i="6"/>
  <c r="U25" i="6"/>
  <c r="R26" i="6"/>
  <c r="Z11" i="6"/>
  <c r="AB11" i="6" s="1"/>
  <c r="AB13" i="6"/>
  <c r="T12" i="5"/>
  <c r="T19" i="5"/>
  <c r="R25" i="5"/>
  <c r="R30" i="5"/>
  <c r="T3" i="5"/>
  <c r="U5" i="5"/>
  <c r="R10" i="5"/>
  <c r="R18" i="5"/>
  <c r="R9" i="5"/>
  <c r="T11" i="5"/>
  <c r="U33" i="5"/>
  <c r="Q7" i="5"/>
  <c r="T24" i="5"/>
  <c r="Q28" i="5"/>
  <c r="U26" i="5"/>
  <c r="T4" i="5"/>
  <c r="U12" i="5"/>
  <c r="U20" i="5"/>
  <c r="T30" i="5"/>
  <c r="Q8" i="5"/>
  <c r="S8" i="5" s="1"/>
  <c r="V8" i="5" s="1"/>
  <c r="AC8" i="5" s="1"/>
  <c r="T10" i="5"/>
  <c r="T18" i="5"/>
  <c r="U9" i="5"/>
  <c r="Q16" i="5"/>
  <c r="U24" i="5"/>
  <c r="U29" i="5"/>
  <c r="Q32" i="5"/>
  <c r="Q2" i="5"/>
  <c r="U13" i="5"/>
  <c r="T7" i="5"/>
  <c r="Q23" i="5"/>
  <c r="S23" i="5" s="1"/>
  <c r="V23" i="5" s="1"/>
  <c r="AC23" i="5" s="1"/>
  <c r="U8" i="5"/>
  <c r="R15" i="5"/>
  <c r="R22" i="5"/>
  <c r="Q31" i="5"/>
  <c r="S31" i="5" s="1"/>
  <c r="R6" i="5"/>
  <c r="T31" i="5"/>
  <c r="T6" i="5"/>
  <c r="R13" i="5"/>
  <c r="R14" i="5"/>
  <c r="T15" i="5"/>
  <c r="Q20" i="5"/>
  <c r="S20" i="5" s="1"/>
  <c r="V20" i="5" s="1"/>
  <c r="AC20" i="5" s="1"/>
  <c r="R21" i="5"/>
  <c r="T22" i="5"/>
  <c r="T27" i="5"/>
  <c r="Q12" i="5"/>
  <c r="Q19" i="5"/>
  <c r="S19" i="5" s="1"/>
  <c r="Q11" i="5"/>
  <c r="S11" i="5" s="1"/>
  <c r="V11" i="5" s="1"/>
  <c r="AC11" i="5" s="1"/>
  <c r="U17" i="5"/>
  <c r="R27" i="5"/>
  <c r="Q13" i="5"/>
  <c r="S13" i="5" s="1"/>
  <c r="V13" i="5" s="1"/>
  <c r="AC13" i="5" s="1"/>
  <c r="Q4" i="5"/>
  <c r="R3" i="5"/>
  <c r="U14" i="5"/>
  <c r="U21" i="5"/>
  <c r="Q25" i="5"/>
  <c r="S25" i="5" s="1"/>
  <c r="V25" i="5" s="1"/>
  <c r="AC25" i="5" s="1"/>
  <c r="T23" i="5"/>
  <c r="Q24" i="5"/>
  <c r="S24" i="5" s="1"/>
  <c r="T2" i="5"/>
  <c r="Q5" i="5"/>
  <c r="S5" i="5" s="1"/>
  <c r="U6" i="5"/>
  <c r="R7" i="5"/>
  <c r="T16" i="5"/>
  <c r="Q17" i="5"/>
  <c r="U18" i="5"/>
  <c r="R19" i="5"/>
  <c r="T28" i="5"/>
  <c r="Q29" i="5"/>
  <c r="S29" i="5" s="1"/>
  <c r="V29" i="5" s="1"/>
  <c r="AC29" i="5" s="1"/>
  <c r="U30" i="5"/>
  <c r="R31" i="5"/>
  <c r="Q3" i="5"/>
  <c r="S3" i="5" s="1"/>
  <c r="U4" i="5"/>
  <c r="T9" i="5"/>
  <c r="Q10" i="5"/>
  <c r="S10" i="5" s="1"/>
  <c r="U11" i="5"/>
  <c r="R12" i="5"/>
  <c r="T21" i="5"/>
  <c r="Q22" i="5"/>
  <c r="S22" i="5" s="1"/>
  <c r="U23" i="5"/>
  <c r="R24" i="5"/>
  <c r="T33" i="5"/>
  <c r="U2" i="5"/>
  <c r="R5" i="5"/>
  <c r="T14" i="5"/>
  <c r="Q15" i="5"/>
  <c r="S15" i="5" s="1"/>
  <c r="U16" i="5"/>
  <c r="R17" i="5"/>
  <c r="T26" i="5"/>
  <c r="Q27" i="5"/>
  <c r="S27" i="5" s="1"/>
  <c r="V27" i="5" s="1"/>
  <c r="AC27" i="5" s="1"/>
  <c r="U28" i="5"/>
  <c r="R29" i="5"/>
  <c r="T5" i="5"/>
  <c r="Q6" i="5"/>
  <c r="U7" i="5"/>
  <c r="R8" i="5"/>
  <c r="T17" i="5"/>
  <c r="Q18" i="5"/>
  <c r="U19" i="5"/>
  <c r="R20" i="5"/>
  <c r="T29" i="5"/>
  <c r="Q30" i="5"/>
  <c r="S30" i="5" s="1"/>
  <c r="U31" i="5"/>
  <c r="R32" i="5"/>
  <c r="U3" i="5"/>
  <c r="R4" i="5"/>
  <c r="T8" i="5"/>
  <c r="Q9" i="5"/>
  <c r="S9" i="5" s="1"/>
  <c r="V9" i="5" s="1"/>
  <c r="AC9" i="5" s="1"/>
  <c r="U10" i="5"/>
  <c r="R11" i="5"/>
  <c r="T20" i="5"/>
  <c r="Q21" i="5"/>
  <c r="U22" i="5"/>
  <c r="R23" i="5"/>
  <c r="T32" i="5"/>
  <c r="Q33" i="5"/>
  <c r="R2" i="5"/>
  <c r="T13" i="5"/>
  <c r="Q14" i="5"/>
  <c r="S14" i="5" s="1"/>
  <c r="V14" i="5" s="1"/>
  <c r="AC14" i="5" s="1"/>
  <c r="U15" i="5"/>
  <c r="R16" i="5"/>
  <c r="T25" i="5"/>
  <c r="Q26" i="5"/>
  <c r="U27" i="5"/>
  <c r="R28" i="5"/>
  <c r="U32" i="5"/>
  <c r="R33" i="5"/>
  <c r="U25" i="5"/>
  <c r="R26" i="5"/>
  <c r="Z2" i="5"/>
  <c r="AB2" i="5" s="1"/>
  <c r="Z18" i="5"/>
  <c r="AB18" i="5" s="1"/>
  <c r="AB20" i="5"/>
  <c r="Z33" i="5"/>
  <c r="AB33" i="5" s="1"/>
  <c r="Z6" i="5"/>
  <c r="AB6" i="5" s="1"/>
  <c r="AB8" i="5"/>
  <c r="AB32" i="5"/>
  <c r="Q4" i="4"/>
  <c r="U12" i="4"/>
  <c r="R6" i="4"/>
  <c r="Q5" i="4"/>
  <c r="S5" i="4" s="1"/>
  <c r="U11" i="4"/>
  <c r="Q2" i="4"/>
  <c r="R5" i="4"/>
  <c r="T9" i="4"/>
  <c r="T21" i="4"/>
  <c r="T8" i="4"/>
  <c r="T3" i="4"/>
  <c r="U5" i="4"/>
  <c r="U6" i="4"/>
  <c r="T2" i="4"/>
  <c r="U4" i="4"/>
  <c r="T15" i="4"/>
  <c r="R19" i="4"/>
  <c r="T20" i="4"/>
  <c r="Q17" i="4"/>
  <c r="U10" i="4"/>
  <c r="T4" i="4"/>
  <c r="R18" i="4"/>
  <c r="Q11" i="4"/>
  <c r="S11" i="4" s="1"/>
  <c r="V11" i="4" s="1"/>
  <c r="AC11" i="4" s="1"/>
  <c r="R13" i="4"/>
  <c r="R11" i="4"/>
  <c r="R12" i="4"/>
  <c r="T10" i="4"/>
  <c r="Q21" i="4"/>
  <c r="S21" i="4" s="1"/>
  <c r="V21" i="4" s="1"/>
  <c r="AC21" i="4" s="1"/>
  <c r="T16" i="4"/>
  <c r="Q3" i="4"/>
  <c r="R4" i="4"/>
  <c r="R7" i="4"/>
  <c r="U3" i="4"/>
  <c r="U2" i="4"/>
  <c r="U18" i="4"/>
  <c r="Q10" i="4"/>
  <c r="S10" i="4" s="1"/>
  <c r="Q9" i="4"/>
  <c r="T11" i="4"/>
  <c r="Q16" i="4"/>
  <c r="U17" i="4"/>
  <c r="U16" i="4"/>
  <c r="R3" i="4"/>
  <c r="T7" i="4"/>
  <c r="R10" i="4"/>
  <c r="T19" i="4"/>
  <c r="Q20" i="4"/>
  <c r="U21" i="4"/>
  <c r="T14" i="4"/>
  <c r="Q15" i="4"/>
  <c r="Q8" i="4"/>
  <c r="S8" i="4" s="1"/>
  <c r="U9" i="4"/>
  <c r="T12" i="4"/>
  <c r="Q13" i="4"/>
  <c r="S13" i="4" s="1"/>
  <c r="U14" i="4"/>
  <c r="R15" i="4"/>
  <c r="R17" i="4"/>
  <c r="T5" i="4"/>
  <c r="Q6" i="4"/>
  <c r="S6" i="4" s="1"/>
  <c r="U7" i="4"/>
  <c r="R8" i="4"/>
  <c r="T17" i="4"/>
  <c r="Q18" i="4"/>
  <c r="U19" i="4"/>
  <c r="R20" i="4"/>
  <c r="R2" i="4"/>
  <c r="T13" i="4"/>
  <c r="Q14" i="4"/>
  <c r="U15" i="4"/>
  <c r="R16" i="4"/>
  <c r="T6" i="4"/>
  <c r="Q7" i="4"/>
  <c r="S7" i="4" s="1"/>
  <c r="V7" i="4" s="1"/>
  <c r="AC7" i="4" s="1"/>
  <c r="U8" i="4"/>
  <c r="R9" i="4"/>
  <c r="T18" i="4"/>
  <c r="Q19" i="4"/>
  <c r="S19" i="4" s="1"/>
  <c r="V19" i="4" s="1"/>
  <c r="AC19" i="4" s="1"/>
  <c r="U20" i="4"/>
  <c r="R21" i="4"/>
  <c r="Q12" i="4"/>
  <c r="S12" i="4" s="1"/>
  <c r="V12" i="4" s="1"/>
  <c r="AC12" i="4" s="1"/>
  <c r="U13" i="4"/>
  <c r="R14" i="4"/>
  <c r="Z14" i="4"/>
  <c r="AB14" i="4" s="1"/>
  <c r="U6" i="3"/>
  <c r="U4" i="3"/>
  <c r="T9" i="3"/>
  <c r="Q10" i="3"/>
  <c r="U11" i="3"/>
  <c r="R12" i="3"/>
  <c r="T2" i="3"/>
  <c r="T6" i="3"/>
  <c r="T4" i="3"/>
  <c r="Q3" i="3"/>
  <c r="R3" i="3"/>
  <c r="T7" i="3"/>
  <c r="Q8" i="3"/>
  <c r="S8" i="3" s="1"/>
  <c r="V8" i="3" s="1"/>
  <c r="AC8" i="3" s="1"/>
  <c r="U9" i="3"/>
  <c r="R10" i="3"/>
  <c r="R9" i="3"/>
  <c r="T12" i="3"/>
  <c r="Q7" i="3"/>
  <c r="T11" i="3"/>
  <c r="Q5" i="3"/>
  <c r="S5" i="3" s="1"/>
  <c r="Q13" i="3"/>
  <c r="S13" i="3" s="1"/>
  <c r="T5" i="3"/>
  <c r="R8" i="3"/>
  <c r="T14" i="3"/>
  <c r="U7" i="3"/>
  <c r="T3" i="3"/>
  <c r="Q4" i="3"/>
  <c r="S4" i="3" s="1"/>
  <c r="V4" i="3" s="1"/>
  <c r="AC4" i="3" s="1"/>
  <c r="T10" i="3"/>
  <c r="Q11" i="3"/>
  <c r="U12" i="3"/>
  <c r="R13" i="3"/>
  <c r="U2" i="3"/>
  <c r="U5" i="3"/>
  <c r="R6" i="3"/>
  <c r="Q12" i="3"/>
  <c r="S12" i="3" s="1"/>
  <c r="V12" i="3" s="1"/>
  <c r="AC12" i="3" s="1"/>
  <c r="R7" i="3"/>
  <c r="Q6" i="3"/>
  <c r="S6" i="3" s="1"/>
  <c r="V6" i="3" s="1"/>
  <c r="AC6" i="3" s="1"/>
  <c r="Q2" i="3"/>
  <c r="U10" i="3"/>
  <c r="R5" i="3"/>
  <c r="U14" i="3"/>
  <c r="U3" i="3"/>
  <c r="R4" i="3"/>
  <c r="T8" i="3"/>
  <c r="Q9" i="3"/>
  <c r="S9" i="3" s="1"/>
  <c r="V9" i="3" s="1"/>
  <c r="AC9" i="3" s="1"/>
  <c r="R11" i="3"/>
  <c r="R2" i="3"/>
  <c r="T13" i="3"/>
  <c r="Q14" i="3"/>
  <c r="U8" i="3"/>
  <c r="U13" i="3"/>
  <c r="R14" i="3"/>
  <c r="V53" i="9" l="1"/>
  <c r="V64" i="9"/>
  <c r="S50" i="9"/>
  <c r="V50" i="9" s="1"/>
  <c r="V60" i="9"/>
  <c r="S71" i="9"/>
  <c r="V71" i="9" s="1"/>
  <c r="S57" i="9"/>
  <c r="V57" i="9" s="1"/>
  <c r="S55" i="9"/>
  <c r="V55" i="9" s="1"/>
  <c r="V63" i="9"/>
  <c r="V69" i="9"/>
  <c r="S77" i="9"/>
  <c r="V77" i="9" s="1"/>
  <c r="S80" i="9"/>
  <c r="V80" i="9" s="1"/>
  <c r="S54" i="9"/>
  <c r="V54" i="9" s="1"/>
  <c r="S51" i="9"/>
  <c r="V51" i="9" s="1"/>
  <c r="S79" i="9"/>
  <c r="V79" i="9" s="1"/>
  <c r="S68" i="9"/>
  <c r="V68" i="9" s="1"/>
  <c r="S75" i="9"/>
  <c r="V75" i="9" s="1"/>
  <c r="V82" i="9"/>
  <c r="V62" i="9"/>
  <c r="S58" i="9"/>
  <c r="V58" i="9" s="1"/>
  <c r="S81" i="9"/>
  <c r="V81" i="9" s="1"/>
  <c r="S52" i="9"/>
  <c r="V52" i="9" s="1"/>
  <c r="S61" i="9"/>
  <c r="V61" i="9" s="1"/>
  <c r="V78" i="9"/>
  <c r="V46" i="9"/>
  <c r="S65" i="9"/>
  <c r="V65" i="9" s="1"/>
  <c r="S76" i="9"/>
  <c r="V76" i="9" s="1"/>
  <c r="S72" i="9"/>
  <c r="V72" i="9" s="1"/>
  <c r="S47" i="9"/>
  <c r="V47" i="9" s="1"/>
  <c r="S67" i="9"/>
  <c r="V67" i="9" s="1"/>
  <c r="S66" i="9"/>
  <c r="V66" i="9" s="1"/>
  <c r="S73" i="9"/>
  <c r="V73" i="9" s="1"/>
  <c r="S74" i="9"/>
  <c r="V74" i="9" s="1"/>
  <c r="S48" i="9"/>
  <c r="V48" i="9" s="1"/>
  <c r="S36" i="9"/>
  <c r="V36" i="9" s="1"/>
  <c r="AC36" i="9" s="1"/>
  <c r="S38" i="9"/>
  <c r="V38" i="9" s="1"/>
  <c r="AC38" i="9" s="1"/>
  <c r="S30" i="9"/>
  <c r="V30" i="9" s="1"/>
  <c r="AC30" i="9" s="1"/>
  <c r="S27" i="9"/>
  <c r="V27" i="9" s="1"/>
  <c r="AC27" i="9" s="1"/>
  <c r="S17" i="9"/>
  <c r="V17" i="9" s="1"/>
  <c r="AC17" i="9" s="1"/>
  <c r="V43" i="9"/>
  <c r="AC43" i="9" s="1"/>
  <c r="V34" i="9"/>
  <c r="AC34" i="9" s="1"/>
  <c r="S21" i="9"/>
  <c r="V21" i="9" s="1"/>
  <c r="AC21" i="9" s="1"/>
  <c r="S23" i="9"/>
  <c r="V23" i="9" s="1"/>
  <c r="AC23" i="9" s="1"/>
  <c r="S44" i="9"/>
  <c r="V44" i="9" s="1"/>
  <c r="AC44" i="9" s="1"/>
  <c r="V39" i="9"/>
  <c r="AC39" i="9" s="1"/>
  <c r="S8" i="9"/>
  <c r="V8" i="9" s="1"/>
  <c r="AC8" i="9" s="1"/>
  <c r="S22" i="9"/>
  <c r="V22" i="9" s="1"/>
  <c r="AC22" i="9" s="1"/>
  <c r="S16" i="9"/>
  <c r="V16" i="9" s="1"/>
  <c r="AC16" i="9" s="1"/>
  <c r="S10" i="9"/>
  <c r="V10" i="9" s="1"/>
  <c r="AC10" i="9" s="1"/>
  <c r="S15" i="9"/>
  <c r="V15" i="9" s="1"/>
  <c r="AC15" i="9" s="1"/>
  <c r="S13" i="9"/>
  <c r="V13" i="9" s="1"/>
  <c r="AC13" i="9" s="1"/>
  <c r="S45" i="9"/>
  <c r="V45" i="9" s="1"/>
  <c r="AC45" i="9" s="1"/>
  <c r="S37" i="9"/>
  <c r="V37" i="9" s="1"/>
  <c r="AC37" i="9" s="1"/>
  <c r="S31" i="9"/>
  <c r="V31" i="9" s="1"/>
  <c r="AC31" i="9" s="1"/>
  <c r="S24" i="9"/>
  <c r="V24" i="9" s="1"/>
  <c r="AC24" i="9" s="1"/>
  <c r="S9" i="9"/>
  <c r="V9" i="9" s="1"/>
  <c r="AC9" i="9" s="1"/>
  <c r="S19" i="9"/>
  <c r="V19" i="9" s="1"/>
  <c r="AC19" i="9" s="1"/>
  <c r="S26" i="9"/>
  <c r="V26" i="9" s="1"/>
  <c r="AC26" i="9" s="1"/>
  <c r="S4" i="9"/>
  <c r="V4" i="9" s="1"/>
  <c r="AC4" i="9" s="1"/>
  <c r="S18" i="9"/>
  <c r="V18" i="9" s="1"/>
  <c r="AC18" i="9" s="1"/>
  <c r="S41" i="9"/>
  <c r="V41" i="9" s="1"/>
  <c r="AC41" i="9" s="1"/>
  <c r="S5" i="9"/>
  <c r="V5" i="9" s="1"/>
  <c r="AC5" i="9" s="1"/>
  <c r="AC2" i="9"/>
  <c r="S14" i="9"/>
  <c r="V14" i="9" s="1"/>
  <c r="AC14" i="9" s="1"/>
  <c r="V6" i="9"/>
  <c r="AC6" i="9" s="1"/>
  <c r="S35" i="9"/>
  <c r="V35" i="9" s="1"/>
  <c r="AC35" i="9" s="1"/>
  <c r="V28" i="9"/>
  <c r="AC28" i="9" s="1"/>
  <c r="S33" i="9"/>
  <c r="V33" i="9" s="1"/>
  <c r="AC33" i="9" s="1"/>
  <c r="S25" i="9"/>
  <c r="V25" i="9" s="1"/>
  <c r="AC25" i="9" s="1"/>
  <c r="V7" i="9"/>
  <c r="AC7" i="9" s="1"/>
  <c r="S11" i="9"/>
  <c r="V11" i="9" s="1"/>
  <c r="AC11" i="9" s="1"/>
  <c r="S32" i="9"/>
  <c r="V32" i="9" s="1"/>
  <c r="AC32" i="9" s="1"/>
  <c r="V15" i="8"/>
  <c r="AC15" i="8" s="1"/>
  <c r="S3" i="8"/>
  <c r="V3" i="8" s="1"/>
  <c r="AC3" i="8" s="1"/>
  <c r="S6" i="8"/>
  <c r="V6" i="8" s="1"/>
  <c r="AC6" i="8" s="1"/>
  <c r="AC2" i="8"/>
  <c r="S25" i="8"/>
  <c r="V25" i="8" s="1"/>
  <c r="AC25" i="8" s="1"/>
  <c r="V11" i="8"/>
  <c r="AC11" i="8" s="1"/>
  <c r="V17" i="8"/>
  <c r="AC17" i="8" s="1"/>
  <c r="V22" i="8"/>
  <c r="AC22" i="8" s="1"/>
  <c r="S9" i="8"/>
  <c r="V9" i="8" s="1"/>
  <c r="AC9" i="8" s="1"/>
  <c r="V27" i="8"/>
  <c r="AC27" i="8" s="1"/>
  <c r="S24" i="8"/>
  <c r="V24" i="8" s="1"/>
  <c r="AC24" i="8" s="1"/>
  <c r="S18" i="8"/>
  <c r="V18" i="8" s="1"/>
  <c r="AC18" i="8" s="1"/>
  <c r="S8" i="8"/>
  <c r="V8" i="8" s="1"/>
  <c r="AC8" i="8" s="1"/>
  <c r="S5" i="8"/>
  <c r="V5" i="8" s="1"/>
  <c r="AC5" i="8" s="1"/>
  <c r="V7" i="8"/>
  <c r="AC7" i="8" s="1"/>
  <c r="S14" i="8"/>
  <c r="V14" i="8" s="1"/>
  <c r="AC14" i="8" s="1"/>
  <c r="V21" i="8"/>
  <c r="AC21" i="8" s="1"/>
  <c r="V20" i="8"/>
  <c r="AC20" i="8" s="1"/>
  <c r="V13" i="8"/>
  <c r="AC13" i="8" s="1"/>
  <c r="V4" i="8"/>
  <c r="AC4" i="8" s="1"/>
  <c r="S28" i="8"/>
  <c r="V28" i="8" s="1"/>
  <c r="AC28" i="8" s="1"/>
  <c r="V9" i="7"/>
  <c r="AC9" i="7" s="1"/>
  <c r="V8" i="7"/>
  <c r="AC8" i="7" s="1"/>
  <c r="V5" i="7"/>
  <c r="AC5" i="7" s="1"/>
  <c r="V11" i="7"/>
  <c r="AC11" i="7" s="1"/>
  <c r="V22" i="7"/>
  <c r="AC22" i="7" s="1"/>
  <c r="V18" i="7"/>
  <c r="AC18" i="7" s="1"/>
  <c r="V15" i="7"/>
  <c r="AC15" i="7" s="1"/>
  <c r="S20" i="7"/>
  <c r="V20" i="7" s="1"/>
  <c r="AC20" i="7" s="1"/>
  <c r="S7" i="7"/>
  <c r="V7" i="7" s="1"/>
  <c r="AC7" i="7" s="1"/>
  <c r="V10" i="7"/>
  <c r="AC10" i="7" s="1"/>
  <c r="S6" i="7"/>
  <c r="V6" i="7" s="1"/>
  <c r="AC6" i="7" s="1"/>
  <c r="S17" i="7"/>
  <c r="V17" i="7" s="1"/>
  <c r="AC17" i="7" s="1"/>
  <c r="V16" i="7"/>
  <c r="AC16" i="7" s="1"/>
  <c r="AC2" i="7"/>
  <c r="S14" i="7"/>
  <c r="V14" i="7" s="1"/>
  <c r="AC14" i="7" s="1"/>
  <c r="S21" i="7"/>
  <c r="V21" i="7" s="1"/>
  <c r="AC21" i="7" s="1"/>
  <c r="S3" i="7"/>
  <c r="V3" i="7" s="1"/>
  <c r="AC3" i="7" s="1"/>
  <c r="S13" i="6"/>
  <c r="V13" i="6" s="1"/>
  <c r="AC13" i="6" s="1"/>
  <c r="V19" i="6"/>
  <c r="AC19" i="6" s="1"/>
  <c r="S16" i="6"/>
  <c r="V16" i="6" s="1"/>
  <c r="AC16" i="6" s="1"/>
  <c r="S21" i="6"/>
  <c r="V21" i="6" s="1"/>
  <c r="AC21" i="6" s="1"/>
  <c r="V11" i="6"/>
  <c r="AC11" i="6" s="1"/>
  <c r="S9" i="6"/>
  <c r="V9" i="6" s="1"/>
  <c r="AC9" i="6" s="1"/>
  <c r="V15" i="6"/>
  <c r="AC15" i="6" s="1"/>
  <c r="S4" i="6"/>
  <c r="V4" i="6" s="1"/>
  <c r="AC4" i="6" s="1"/>
  <c r="V27" i="6"/>
  <c r="AC27" i="6" s="1"/>
  <c r="V3" i="6"/>
  <c r="AC3" i="6" s="1"/>
  <c r="V22" i="6"/>
  <c r="AC22" i="6" s="1"/>
  <c r="S17" i="6"/>
  <c r="V17" i="6" s="1"/>
  <c r="AC17" i="6" s="1"/>
  <c r="S2" i="6"/>
  <c r="V2" i="6" s="1"/>
  <c r="V25" i="6"/>
  <c r="AC25" i="6" s="1"/>
  <c r="S24" i="6"/>
  <c r="V24" i="6" s="1"/>
  <c r="AC24" i="6" s="1"/>
  <c r="S14" i="6"/>
  <c r="V14" i="6" s="1"/>
  <c r="AC14" i="6" s="1"/>
  <c r="S10" i="6"/>
  <c r="V10" i="6" s="1"/>
  <c r="AC10" i="6" s="1"/>
  <c r="S18" i="6"/>
  <c r="V18" i="6" s="1"/>
  <c r="AC18" i="6" s="1"/>
  <c r="V30" i="5"/>
  <c r="AC30" i="5" s="1"/>
  <c r="V10" i="5"/>
  <c r="AC10" i="5" s="1"/>
  <c r="V24" i="5"/>
  <c r="AC24" i="5" s="1"/>
  <c r="S2" i="5"/>
  <c r="V2" i="5" s="1"/>
  <c r="S32" i="5"/>
  <c r="V32" i="5" s="1"/>
  <c r="AC32" i="5" s="1"/>
  <c r="V22" i="5"/>
  <c r="AC22" i="5" s="1"/>
  <c r="S18" i="5"/>
  <c r="V18" i="5" s="1"/>
  <c r="AC18" i="5" s="1"/>
  <c r="V19" i="5"/>
  <c r="AC19" i="5" s="1"/>
  <c r="V31" i="5"/>
  <c r="AC31" i="5" s="1"/>
  <c r="S33" i="5"/>
  <c r="V33" i="5" s="1"/>
  <c r="AC33" i="5" s="1"/>
  <c r="S28" i="5"/>
  <c r="V28" i="5" s="1"/>
  <c r="AC28" i="5" s="1"/>
  <c r="V5" i="5"/>
  <c r="AC5" i="5" s="1"/>
  <c r="V15" i="5"/>
  <c r="AC15" i="5" s="1"/>
  <c r="V3" i="5"/>
  <c r="AC3" i="5" s="1"/>
  <c r="S12" i="5"/>
  <c r="V12" i="5" s="1"/>
  <c r="AC12" i="5" s="1"/>
  <c r="S26" i="5"/>
  <c r="V26" i="5" s="1"/>
  <c r="AC26" i="5" s="1"/>
  <c r="S17" i="5"/>
  <c r="V17" i="5" s="1"/>
  <c r="AC17" i="5" s="1"/>
  <c r="S21" i="5"/>
  <c r="V21" i="5" s="1"/>
  <c r="AC21" i="5" s="1"/>
  <c r="S16" i="5"/>
  <c r="V16" i="5" s="1"/>
  <c r="AC16" i="5" s="1"/>
  <c r="S6" i="5"/>
  <c r="V6" i="5" s="1"/>
  <c r="AC6" i="5" s="1"/>
  <c r="S4" i="5"/>
  <c r="V4" i="5" s="1"/>
  <c r="AC4" i="5" s="1"/>
  <c r="S7" i="5"/>
  <c r="V7" i="5" s="1"/>
  <c r="AC7" i="5" s="1"/>
  <c r="V10" i="4"/>
  <c r="AC10" i="4" s="1"/>
  <c r="S14" i="4"/>
  <c r="V14" i="4" s="1"/>
  <c r="AC14" i="4" s="1"/>
  <c r="S15" i="4"/>
  <c r="V15" i="4" s="1"/>
  <c r="AC15" i="4" s="1"/>
  <c r="S16" i="4"/>
  <c r="V16" i="4" s="1"/>
  <c r="AC16" i="4" s="1"/>
  <c r="S17" i="4"/>
  <c r="V17" i="4" s="1"/>
  <c r="AC17" i="4" s="1"/>
  <c r="V13" i="4"/>
  <c r="AC13" i="4" s="1"/>
  <c r="S2" i="4"/>
  <c r="V2" i="4" s="1"/>
  <c r="V5" i="4"/>
  <c r="AC5" i="4" s="1"/>
  <c r="S18" i="4"/>
  <c r="V18" i="4" s="1"/>
  <c r="AC18" i="4" s="1"/>
  <c r="V8" i="4"/>
  <c r="AC8" i="4" s="1"/>
  <c r="S20" i="4"/>
  <c r="V20" i="4" s="1"/>
  <c r="AC20" i="4" s="1"/>
  <c r="V6" i="4"/>
  <c r="AC6" i="4" s="1"/>
  <c r="S9" i="4"/>
  <c r="V9" i="4" s="1"/>
  <c r="AC9" i="4" s="1"/>
  <c r="S3" i="4"/>
  <c r="V3" i="4" s="1"/>
  <c r="AC3" i="4" s="1"/>
  <c r="S4" i="4"/>
  <c r="V4" i="4" s="1"/>
  <c r="AC4" i="4" s="1"/>
  <c r="S3" i="3"/>
  <c r="V3" i="3" s="1"/>
  <c r="AC3" i="3" s="1"/>
  <c r="S2" i="3"/>
  <c r="V2" i="3" s="1"/>
  <c r="S14" i="3"/>
  <c r="V14" i="3" s="1"/>
  <c r="AC14" i="3" s="1"/>
  <c r="V5" i="3"/>
  <c r="AC5" i="3" s="1"/>
  <c r="V13" i="3"/>
  <c r="AC13" i="3" s="1"/>
  <c r="S11" i="3"/>
  <c r="V11" i="3" s="1"/>
  <c r="AC11" i="3" s="1"/>
  <c r="S7" i="3"/>
  <c r="V7" i="3" s="1"/>
  <c r="AC7" i="3" s="1"/>
  <c r="S10" i="3"/>
  <c r="V10" i="3" s="1"/>
  <c r="AC10" i="3" s="1"/>
  <c r="AC2" i="6" l="1"/>
  <c r="AC2" i="5"/>
  <c r="AC2" i="4"/>
  <c r="A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A22E54-15E1-BD47-A29C-E2311391377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BDA4B410-69B9-7147-8774-AFF9D7A72FD2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517E07FB-C933-E14A-B165-85126CEE4F0E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56B2449E-E751-314F-9D89-ADA7A38F2CF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98316FE2-9A5E-1749-9168-7298777BBE3C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6" xr16:uid="{E2D84A41-E587-394A-A9E4-58688BD094E8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7" xr16:uid="{07E9ADCB-C99B-9449-82EC-C641B63906BC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<sst xmlns="http://schemas.openxmlformats.org/spreadsheetml/2006/main" count="214" uniqueCount="34">
  <si>
    <t>Velocity (m/s)</t>
  </si>
  <si>
    <t>Q_steady (W)</t>
  </si>
  <si>
    <t>Uncertainty ±</t>
  </si>
  <si>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</si>
  <si>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</si>
  <si>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</si>
  <si>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</si>
  <si>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</si>
  <si>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</si>
  <si>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</si>
  <si>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</si>
  <si>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</si>
  <si>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</si>
  <si>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</si>
  <si>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</si>
  <si>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</si>
  <si>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</si>
  <si>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</si>
  <si>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44675.0606155811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</si>
  <si>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</si>
  <si>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</si>
  <si>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</si>
  <si>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</si>
  <si>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</si>
  <si>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</si>
  <si>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</si>
  <si>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</si>
  <si>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RTD_IN_unc</t>
  </si>
  <si>
    <t>RTD_OUT_unc</t>
  </si>
  <si>
    <t>RTD_unc</t>
  </si>
  <si>
    <t>Delta_RTD</t>
  </si>
  <si>
    <t>Rel_unc</t>
  </si>
  <si>
    <t>ABS_unc</t>
  </si>
  <si>
    <t>uncertainty of average steady state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</si>
</sst>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DE2CA7-F68E-D84F-A1ED-7B68620DD684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6D26D28-F787-B941-806D-1F5A941ECF7E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E29BE7E-EA44-0247-B1DD-60CA1A2501BB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142D7BB-C209-4F4B-9216-DC70109A1789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B3069FE-5D86-9C42-8272-F36A401DA44D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AF8323D-3E79-C94C-A5C6-AB1C134780BE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52D9A49-91E4-4941-8C69-70AF178AEED9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C8E643-C635-F74A-92F7-07A89F3F9318}" name="sheet1" displayName="sheet1" ref="A1:O14" tableType="queryTable" totalsRowShown="0">
  <autoFilter ref="A1:O14" xr:uid="{62C8E643-C635-F74A-92F7-07A89F3F9318}"/>
  <tableColumns count="15">
    <tableColumn id="1" xr3:uid="{B411B01A-DD4E-C643-97F6-AE2BD709C148}" uniqueName="1" name="Time" queryTableFieldId="1"/>
    <tableColumn id="2" xr3:uid="{515E30EA-B169-8B46-8EA7-10DF792EB280}" uniqueName="2" name="T1" queryTableFieldId="2"/>
    <tableColumn id="3" xr3:uid="{1B6E24C8-19B6-5D40-A9C4-D8AEF06ABBC9}" uniqueName="3" name="T2" queryTableFieldId="3"/>
    <tableColumn id="4" xr3:uid="{F901F75C-CC18-284B-8AEF-B2EE7612C809}" uniqueName="4" name="T3" queryTableFieldId="4"/>
    <tableColumn id="5" xr3:uid="{AFCB7346-38A2-954D-871B-2F93154E6BCC}" uniqueName="5" name="T4" queryTableFieldId="5"/>
    <tableColumn id="6" xr3:uid="{845A1EDE-73DA-954E-A473-B7B90422DCE2}" uniqueName="6" name="T5" queryTableFieldId="6"/>
    <tableColumn id="7" xr3:uid="{8DF5B62C-A26E-F04F-A242-073517A1B2B9}" uniqueName="7" name="T6" queryTableFieldId="7"/>
    <tableColumn id="8" xr3:uid="{FF8E6C21-318D-034E-8C17-A9D6BA322529}" uniqueName="8" name="T7" queryTableFieldId="8"/>
    <tableColumn id="9" xr3:uid="{F6142CD2-28EE-B54F-AE71-7A7DA74C1AF7}" uniqueName="9" name="T8" queryTableFieldId="9"/>
    <tableColumn id="10" xr3:uid="{BAAF5926-116B-CC43-B4F5-A45E3A6C0AB6}" uniqueName="10" name="RTD_IN" queryTableFieldId="10"/>
    <tableColumn id="11" xr3:uid="{BD615F3A-F050-6244-9C99-B1EC917FCA5C}" uniqueName="11" name="RTD_OUT" queryTableFieldId="11"/>
    <tableColumn id="12" xr3:uid="{8D4E6CEF-E131-B440-AC49-6A08A76B1A3D}" uniqueName="12" name="DPT_TS" queryTableFieldId="12"/>
    <tableColumn id="13" xr3:uid="{02EF2A26-F9EF-F644-B2E1-EB1867DF2789}" uniqueName="13" name="DPT_nozzle" queryTableFieldId="13"/>
    <tableColumn id="14" xr3:uid="{999BBB5C-4BFE-1744-A675-347477CB54F8}" uniqueName="14" name="Flow_gps" queryTableFieldId="14"/>
    <tableColumn id="15" xr3:uid="{CEBB18A6-1457-5648-BDA1-2EFC878D2D67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5D28CD-DFE4-5B4F-A5A3-6F203FD6DC46}" name="sheet1__2" displayName="sheet1__2" ref="A1:O21" tableType="queryTable" totalsRowShown="0">
  <autoFilter ref="A1:O21" xr:uid="{D15D28CD-DFE4-5B4F-A5A3-6F203FD6DC46}"/>
  <tableColumns count="15">
    <tableColumn id="1" xr3:uid="{980CDA9A-0196-EE44-82F7-D17B27341103}" uniqueName="1" name="Time" queryTableFieldId="1"/>
    <tableColumn id="2" xr3:uid="{A9EAA1FA-685F-7549-8D4B-D18F56373157}" uniqueName="2" name="T1" queryTableFieldId="2"/>
    <tableColumn id="3" xr3:uid="{C2C2D057-2435-E745-B672-684FBC3CC1E8}" uniqueName="3" name="T2" queryTableFieldId="3"/>
    <tableColumn id="4" xr3:uid="{60034504-44EE-EC46-8D06-DF6BF58899BC}" uniqueName="4" name="T3" queryTableFieldId="4"/>
    <tableColumn id="5" xr3:uid="{0C591043-16A5-CD40-9553-4FCADFBB4471}" uniqueName="5" name="T4" queryTableFieldId="5"/>
    <tableColumn id="6" xr3:uid="{DAF71935-3F2E-284A-8511-933F165FA077}" uniqueName="6" name="T5" queryTableFieldId="6"/>
    <tableColumn id="7" xr3:uid="{6EFFB748-59FD-A247-BEC2-9374CE519D96}" uniqueName="7" name="T6" queryTableFieldId="7"/>
    <tableColumn id="8" xr3:uid="{5D346CF5-FB30-E14C-8B5B-8AC8555E5BF5}" uniqueName="8" name="T7" queryTableFieldId="8"/>
    <tableColumn id="9" xr3:uid="{854E996C-342B-1247-83F2-6BCB9410486C}" uniqueName="9" name="T8" queryTableFieldId="9"/>
    <tableColumn id="10" xr3:uid="{B5959F0F-4C7B-484D-8ED7-80BE6787EAB4}" uniqueName="10" name="RTD_IN" queryTableFieldId="10"/>
    <tableColumn id="11" xr3:uid="{F60B0398-2884-464E-96E8-65D8538F5892}" uniqueName="11" name="RTD_OUT" queryTableFieldId="11"/>
    <tableColumn id="12" xr3:uid="{68C62AFF-73BD-8346-B754-7F628F11CD65}" uniqueName="12" name="DPT_TS" queryTableFieldId="12"/>
    <tableColumn id="13" xr3:uid="{02FC8BD8-451B-6345-85EB-1A73CACD33E5}" uniqueName="13" name="DPT_nozzle" queryTableFieldId="13"/>
    <tableColumn id="14" xr3:uid="{8855797A-8D74-7D49-95B8-BCE48EA06D53}" uniqueName="14" name="Flow_gps" queryTableFieldId="14"/>
    <tableColumn id="15" xr3:uid="{7A7E4C6B-7AA0-F141-BE39-7D750562706A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410DA1-5655-4A47-BDD3-5626CB9548EC}" name="sheet1__3" displayName="sheet1__3" ref="A1:O33" tableType="queryTable" totalsRowShown="0">
  <autoFilter ref="A1:O33" xr:uid="{CA410DA1-5655-4A47-BDD3-5626CB9548EC}"/>
  <tableColumns count="15">
    <tableColumn id="1" xr3:uid="{4CCA6D06-5622-524B-BEC9-B2F841742513}" uniqueName="1" name="Time" queryTableFieldId="1"/>
    <tableColumn id="2" xr3:uid="{5D6A2362-1E2E-F34A-BC97-18D6FC49977E}" uniqueName="2" name="T1" queryTableFieldId="2"/>
    <tableColumn id="3" xr3:uid="{22CE97E9-B632-A94B-9DCB-45DCCF8A9D36}" uniqueName="3" name="T2" queryTableFieldId="3"/>
    <tableColumn id="4" xr3:uid="{98DE4F0B-5B53-4545-962E-00DA23BD0A93}" uniqueName="4" name="T3" queryTableFieldId="4"/>
    <tableColumn id="5" xr3:uid="{77DA1114-BAC3-A14E-AAB0-937C77A1F826}" uniqueName="5" name="T4" queryTableFieldId="5"/>
    <tableColumn id="6" xr3:uid="{ADD14CE9-FF26-8F4B-A80F-4AA4CDC4A784}" uniqueName="6" name="T5" queryTableFieldId="6"/>
    <tableColumn id="7" xr3:uid="{24AB84BA-F46B-B44E-8363-BAC3F31C16D8}" uniqueName="7" name="T6" queryTableFieldId="7"/>
    <tableColumn id="8" xr3:uid="{C0694C8F-9861-E64C-A1B6-95AE44178EB2}" uniqueName="8" name="T7" queryTableFieldId="8"/>
    <tableColumn id="9" xr3:uid="{6326E1D3-1A7F-F84E-8C9D-C0AB4CFD5326}" uniqueName="9" name="T8" queryTableFieldId="9"/>
    <tableColumn id="10" xr3:uid="{8BFDA139-C116-E640-A4AC-E77FB9B21DC7}" uniqueName="10" name="RTD_IN" queryTableFieldId="10"/>
    <tableColumn id="11" xr3:uid="{9C4F390E-322C-A940-827D-3897EAC5897F}" uniqueName="11" name="RTD_OUT" queryTableFieldId="11"/>
    <tableColumn id="12" xr3:uid="{BC41BCC4-4C8C-8D43-84C3-6558DAA1B735}" uniqueName="12" name="DPT_TS" queryTableFieldId="12"/>
    <tableColumn id="13" xr3:uid="{CFA652AF-36E3-654E-97BB-CA97A7C54D0D}" uniqueName="13" name="DPT_nozzle" queryTableFieldId="13"/>
    <tableColumn id="14" xr3:uid="{7E858446-6E82-464B-9A58-264E92916349}" uniqueName="14" name="Flow_gps" queryTableFieldId="14"/>
    <tableColumn id="15" xr3:uid="{A929819D-339D-4245-9279-FC9B929078C1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67EDB6-8B94-CD44-9B97-B9DDA9C78A45}" name="sheet1__4" displayName="sheet1__4" ref="A1:O28" tableType="queryTable" totalsRowShown="0">
  <autoFilter ref="A1:O28" xr:uid="{E767EDB6-8B94-CD44-9B97-B9DDA9C78A45}"/>
  <tableColumns count="15">
    <tableColumn id="1" xr3:uid="{2B1942C9-6E11-DC45-8602-312DC393BC76}" uniqueName="1" name="Time" queryTableFieldId="1"/>
    <tableColumn id="2" xr3:uid="{BE397940-61BB-7746-A309-17B8A99D671A}" uniqueName="2" name="T1" queryTableFieldId="2"/>
    <tableColumn id="3" xr3:uid="{79D96804-D26C-1C48-AFB6-F38927A89D77}" uniqueName="3" name="T2" queryTableFieldId="3"/>
    <tableColumn id="4" xr3:uid="{45811B7A-B4CA-B243-9555-83C59E586788}" uniqueName="4" name="T3" queryTableFieldId="4"/>
    <tableColumn id="5" xr3:uid="{3FF098DB-2107-1A4C-971E-3849AEAEF3DD}" uniqueName="5" name="T4" queryTableFieldId="5"/>
    <tableColumn id="6" xr3:uid="{BC048A88-D3D8-6E42-877B-133D901938D7}" uniqueName="6" name="T5" queryTableFieldId="6"/>
    <tableColumn id="7" xr3:uid="{CD06BC2C-76B9-8042-88FB-23B3CAC03CE5}" uniqueName="7" name="T6" queryTableFieldId="7"/>
    <tableColumn id="8" xr3:uid="{8DAFC35D-F3E5-DC40-8885-D7237DC703B8}" uniqueName="8" name="T7" queryTableFieldId="8"/>
    <tableColumn id="9" xr3:uid="{00BCAB58-4F5A-D347-838F-8A430425B2BC}" uniqueName="9" name="T8" queryTableFieldId="9"/>
    <tableColumn id="10" xr3:uid="{53B9BE99-1603-1C48-9555-85256CCFE9AF}" uniqueName="10" name="RTD_IN" queryTableFieldId="10"/>
    <tableColumn id="11" xr3:uid="{44CA35EC-07D6-BC41-9B1A-B45F30B61BA2}" uniqueName="11" name="RTD_OUT" queryTableFieldId="11"/>
    <tableColumn id="12" xr3:uid="{111B1D9D-22F9-4243-B434-F2D654687A33}" uniqueName="12" name="DPT_TS" queryTableFieldId="12"/>
    <tableColumn id="13" xr3:uid="{31CC9AAD-9294-8746-8B8C-A266C7EF3FA8}" uniqueName="13" name="DPT_nozzle" queryTableFieldId="13"/>
    <tableColumn id="14" xr3:uid="{DF8BDB4C-0A65-1E42-B6AF-E1325D7F239C}" uniqueName="14" name="Flow_gps" queryTableFieldId="14"/>
    <tableColumn id="15" xr3:uid="{61F9D709-9C5D-724A-A1AB-31861265AAF7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759652-4DF1-5B47-961A-9F9FE7BCA61B}" name="sheet1__5" displayName="sheet1__5" ref="A1:O23" tableType="queryTable" totalsRowShown="0">
  <autoFilter ref="A1:O23" xr:uid="{2A759652-4DF1-5B47-961A-9F9FE7BCA61B}"/>
  <tableColumns count="15">
    <tableColumn id="1" xr3:uid="{6F5DE8D6-D589-E74E-9561-28E86B3DFD02}" uniqueName="1" name="Time" queryTableFieldId="1"/>
    <tableColumn id="2" xr3:uid="{153A969B-C20D-CA48-828E-95BBB7FE3567}" uniqueName="2" name="T1" queryTableFieldId="2"/>
    <tableColumn id="3" xr3:uid="{79DC5841-2B98-1749-AB99-8C8CD1555802}" uniqueName="3" name="T2" queryTableFieldId="3"/>
    <tableColumn id="4" xr3:uid="{40699522-A078-934E-9E07-FFB6F95859B9}" uniqueName="4" name="T3" queryTableFieldId="4"/>
    <tableColumn id="5" xr3:uid="{C8F9238B-2898-F945-90DA-8CB23380BCCC}" uniqueName="5" name="T4" queryTableFieldId="5"/>
    <tableColumn id="6" xr3:uid="{01CC1102-0379-794F-8270-F41E0EDF26AE}" uniqueName="6" name="T5" queryTableFieldId="6"/>
    <tableColumn id="7" xr3:uid="{09114C65-0CC3-E24F-A5C6-CC5CDD243FFE}" uniqueName="7" name="T6" queryTableFieldId="7"/>
    <tableColumn id="8" xr3:uid="{4F94ED40-A69A-9A47-8F5E-A04E0F78878A}" uniqueName="8" name="T7" queryTableFieldId="8"/>
    <tableColumn id="9" xr3:uid="{1DAEDB7F-6F8F-A540-9DC3-C6EA08C9F351}" uniqueName="9" name="T8" queryTableFieldId="9"/>
    <tableColumn id="10" xr3:uid="{38E95AB1-C13A-E440-91AE-1BAF87D5EEF9}" uniqueName="10" name="RTD_IN" queryTableFieldId="10"/>
    <tableColumn id="11" xr3:uid="{03A5C3AC-9AE2-4640-90D4-39D94F5CA359}" uniqueName="11" name="RTD_OUT" queryTableFieldId="11"/>
    <tableColumn id="12" xr3:uid="{38A375A1-831D-1146-B076-E40592944C62}" uniqueName="12" name="DPT_TS" queryTableFieldId="12"/>
    <tableColumn id="13" xr3:uid="{99487B83-5DB2-2744-AFA1-5101CAD53128}" uniqueName="13" name="DPT_nozzle" queryTableFieldId="13"/>
    <tableColumn id="14" xr3:uid="{2BF6CB8E-BBE3-514B-AF6D-AD03A6C13046}" uniqueName="14" name="Flow_gps" queryTableFieldId="14"/>
    <tableColumn id="15" xr3:uid="{F1AE896E-9633-0D44-BD52-41D8E15703BD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DB8D62-1F7B-0C4B-B770-E47E6B4C241D}" name="sheet1__6" displayName="sheet1__6" ref="A1:O29" tableType="queryTable" totalsRowShown="0">
  <autoFilter ref="A1:O29" xr:uid="{4ADB8D62-1F7B-0C4B-B770-E47E6B4C241D}"/>
  <tableColumns count="15">
    <tableColumn id="1" xr3:uid="{29BCE623-9F9B-C34D-B038-21FF9E09D8E2}" uniqueName="1" name="Time" queryTableFieldId="1"/>
    <tableColumn id="2" xr3:uid="{1A768785-0497-1444-AAC7-AF5A6FFEFF83}" uniqueName="2" name="T1" queryTableFieldId="2"/>
    <tableColumn id="3" xr3:uid="{16447835-8B41-0341-A5C4-341312760782}" uniqueName="3" name="T2" queryTableFieldId="3"/>
    <tableColumn id="4" xr3:uid="{FC6F9C58-D24C-9947-BF07-CE3748C9D7FD}" uniqueName="4" name="T3" queryTableFieldId="4"/>
    <tableColumn id="5" xr3:uid="{AC96D2D2-8DF9-E34A-B350-4ADD01923845}" uniqueName="5" name="T4" queryTableFieldId="5"/>
    <tableColumn id="6" xr3:uid="{2E791873-B2EB-544B-BBDD-6EEA3ED832B6}" uniqueName="6" name="T5" queryTableFieldId="6"/>
    <tableColumn id="7" xr3:uid="{E2AB3663-E4F8-E245-B20B-F32E316AE683}" uniqueName="7" name="T6" queryTableFieldId="7"/>
    <tableColumn id="8" xr3:uid="{FF96C52F-7D7F-5B42-8F76-8CD7457DC08F}" uniqueName="8" name="T7" queryTableFieldId="8"/>
    <tableColumn id="9" xr3:uid="{E707207B-E564-6145-82C2-6DCE84CDBFFB}" uniqueName="9" name="T8" queryTableFieldId="9"/>
    <tableColumn id="10" xr3:uid="{224214D3-1686-9F43-BD21-9FD9A22D160B}" uniqueName="10" name="RTD_IN" queryTableFieldId="10"/>
    <tableColumn id="11" xr3:uid="{CC750650-EA43-3447-B167-71F0D1612925}" uniqueName="11" name="RTD_OUT" queryTableFieldId="11"/>
    <tableColumn id="12" xr3:uid="{0246E6C7-0351-B047-B263-F377432AF140}" uniqueName="12" name="DPT_TS" queryTableFieldId="12"/>
    <tableColumn id="13" xr3:uid="{F3E3B7F6-AF53-A34E-89E8-A13FBAAE2230}" uniqueName="13" name="DPT_nozzle" queryTableFieldId="13"/>
    <tableColumn id="14" xr3:uid="{F27E55C7-6D54-4442-9A86-2BE824652A91}" uniqueName="14" name="Flow_gps" queryTableFieldId="14"/>
    <tableColumn id="15" xr3:uid="{8F975DFE-7C1C-1842-93D1-C44F5793D4F8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B1E0FC-36B1-1944-B8A8-FA32AA4E02DD}" name="sheet1__7" displayName="sheet1__7" ref="A1:O82" tableType="queryTable" totalsRowShown="0">
  <autoFilter ref="A1:O82" xr:uid="{B2B1E0FC-36B1-1944-B8A8-FA32AA4E02DD}"/>
  <tableColumns count="15">
    <tableColumn id="1" xr3:uid="{9AD7ADA2-7438-CC49-8F2B-4683DCCC9816}" uniqueName="1" name="Time" queryTableFieldId="1"/>
    <tableColumn id="2" xr3:uid="{FFC2E168-4A73-5140-ADF1-890DE5C8862E}" uniqueName="2" name="T1" queryTableFieldId="2"/>
    <tableColumn id="3" xr3:uid="{75FF4BD5-9ABE-E145-BBF7-E98B12CDA2CA}" uniqueName="3" name="T2" queryTableFieldId="3"/>
    <tableColumn id="4" xr3:uid="{90707317-3D8F-A549-A65E-D044FFE57B0F}" uniqueName="4" name="T3" queryTableFieldId="4"/>
    <tableColumn id="5" xr3:uid="{F00A7C6C-31EA-BA4F-86AA-ABB9010DAFB5}" uniqueName="5" name="T4" queryTableFieldId="5"/>
    <tableColumn id="6" xr3:uid="{99F828C2-F284-0D4C-87A1-120240A7BF23}" uniqueName="6" name="T5" queryTableFieldId="6"/>
    <tableColumn id="7" xr3:uid="{9D3CAF91-E560-7B40-A509-3DBA405E61FF}" uniqueName="7" name="T6" queryTableFieldId="7"/>
    <tableColumn id="8" xr3:uid="{FDBF41D3-E59C-284D-93A6-BC5DDD28AF9F}" uniqueName="8" name="T7" queryTableFieldId="8"/>
    <tableColumn id="9" xr3:uid="{5D01F61F-D8B6-9645-A092-179D7E6EB503}" uniqueName="9" name="T8" queryTableFieldId="9"/>
    <tableColumn id="10" xr3:uid="{79C51DE8-9C38-F841-B807-BA7B7ED596F7}" uniqueName="10" name="RTD_IN" queryTableFieldId="10"/>
    <tableColumn id="11" xr3:uid="{4CC1A748-E7FB-E240-AB4A-4F3F72F0C93B}" uniqueName="11" name="RTD_OUT" queryTableFieldId="11"/>
    <tableColumn id="12" xr3:uid="{A9106D78-87AA-3940-B7A7-F6917184E81B}" uniqueName="12" name="DPT_TS" queryTableFieldId="12"/>
    <tableColumn id="13" xr3:uid="{9AAB570C-145F-A74A-8AD1-5759B7F5F978}" uniqueName="13" name="DPT_nozzle" queryTableFieldId="13"/>
    <tableColumn id="14" xr3:uid="{BF1EB19C-005F-994E-909E-BB1A402C1926}" uniqueName="14" name="Flow_gps" queryTableFieldId="14"/>
    <tableColumn id="15" xr3:uid="{1AFEABEB-6D23-3944-AD1A-DC3E90A47D4B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9726-49BE-A643-8571-80451F05D1F5}">
  <dimension ref="A1:C9"/>
  <sheetViews>
    <sheetView tabSelected="1" workbookViewId="0">
      <selection activeCell="C2" sqref="C2:C8"/>
    </sheetView>
  </sheetViews>
  <sheetFormatPr baseColWidth="10" defaultRowHeight="16" x14ac:dyDescent="0.2"/>
  <cols>
    <col min="1" max="1" width="16.33203125" customWidth="1"/>
    <col min="2" max="2" width="18" customWidth="1"/>
    <col min="3" max="3" width="17.664062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1</v>
      </c>
      <c r="B2" s="3">
        <v>294.74967147727125</v>
      </c>
      <c r="C2" s="3">
        <v>49.494501260033836</v>
      </c>
    </row>
    <row r="3" spans="1:3" x14ac:dyDescent="0.2">
      <c r="A3" s="3">
        <v>2</v>
      </c>
      <c r="B3" s="3">
        <v>459.75302538082161</v>
      </c>
      <c r="C3" s="3">
        <v>48.713988627884419</v>
      </c>
    </row>
    <row r="4" spans="1:3" x14ac:dyDescent="0.2">
      <c r="A4" s="3">
        <v>3</v>
      </c>
      <c r="B4" s="3">
        <v>594.22534135350543</v>
      </c>
      <c r="C4" s="3">
        <v>48.510581331590423</v>
      </c>
    </row>
    <row r="5" spans="1:3" x14ac:dyDescent="0.2">
      <c r="A5" s="3">
        <v>4</v>
      </c>
      <c r="B5" s="3">
        <v>677.85788140509953</v>
      </c>
      <c r="C5" s="3">
        <v>48.402192304377479</v>
      </c>
    </row>
    <row r="6" spans="1:3" x14ac:dyDescent="0.2">
      <c r="A6" s="3">
        <v>5</v>
      </c>
      <c r="B6" s="3">
        <v>744.7932870688112</v>
      </c>
      <c r="C6">
        <v>48.354979454191771</v>
      </c>
    </row>
    <row r="7" spans="1:3" x14ac:dyDescent="0.2">
      <c r="A7" s="3">
        <v>6</v>
      </c>
      <c r="B7" s="3">
        <v>782.56019477672476</v>
      </c>
      <c r="C7">
        <v>48.403103345049445</v>
      </c>
    </row>
    <row r="8" spans="1:3" x14ac:dyDescent="0.2">
      <c r="A8" s="3">
        <v>7</v>
      </c>
      <c r="B8" s="3">
        <v>845.60716763409812</v>
      </c>
      <c r="C8">
        <v>48.598500217047516</v>
      </c>
    </row>
    <row r="9" spans="1:3" x14ac:dyDescent="0.2">
      <c r="A9" s="3"/>
      <c r="B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BF7A-463A-8A43-82C9-A892FC4AF50C}">
  <dimension ref="A1:AC14"/>
  <sheetViews>
    <sheetView topLeftCell="M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44675.074661877297</v>
      </c>
      <c r="B2">
        <v>17.582315000000001</v>
      </c>
      <c r="C2">
        <v>17.204495999999999</v>
      </c>
      <c r="D2">
        <v>17.092226</v>
      </c>
      <c r="E2">
        <v>17.286701000000001</v>
      </c>
      <c r="F2">
        <v>42.233006000000003</v>
      </c>
      <c r="G2">
        <v>40.926236000000003</v>
      </c>
      <c r="H2">
        <v>37.028168999999998</v>
      </c>
      <c r="I2">
        <v>31.76277</v>
      </c>
      <c r="J2">
        <v>58.945357999999999</v>
      </c>
      <c r="K2">
        <v>56.699503</v>
      </c>
      <c r="L2">
        <v>17.271232000000001</v>
      </c>
      <c r="M2">
        <v>-622.50938699999995</v>
      </c>
      <c r="N2">
        <v>1.908685</v>
      </c>
      <c r="O2">
        <v>4.3249880000000003</v>
      </c>
      <c r="P2">
        <f t="shared" ref="P2:P65" si="0" xml:space="preserve"> N2*0.001/60</f>
        <v>3.1811416666666668E-5</v>
      </c>
      <c r="Q2" cm="1">
        <f t="array" ref="Q2">[1]!PropsSI("D","T",J2+273.15,"P",101325,"Water")</f>
        <v>983.73509950866878</v>
      </c>
      <c r="R2" cm="1">
        <f t="array" ref="R2">[1]!PropsSI("D","T",K2+273.15,"P",101325,"Water")</f>
        <v>984.86128541273615</v>
      </c>
      <c r="S2">
        <f t="shared" ref="S2:S65" si="1">(Q2+R2)/2</f>
        <v>984.29819246070247</v>
      </c>
      <c r="T2" cm="1">
        <f t="array" ref="T2">[1]!PropsSI("H","T",J2+273.15,"P",101325,"Water")</f>
        <v>246835.30594987984</v>
      </c>
      <c r="U2" cm="1">
        <f t="array" ref="U2">[1]!PropsSI("H","T",K2+273.15,"P",101325,"Water")</f>
        <v>237438.55689461896</v>
      </c>
      <c r="V2">
        <f t="shared" ref="V2:V65" si="2">S2*P2*(T2-U2)</f>
        <v>294.23025397002345</v>
      </c>
      <c r="W2" s="3">
        <f>AVERAGE(V2:V14)</f>
        <v>294.74967147727125</v>
      </c>
      <c r="X2">
        <f>(0.15+0.002*ABS(J2))</f>
        <v>0.26789071600000003</v>
      </c>
      <c r="Y2">
        <f>(0.15+0.002*ABS(K2))</f>
        <v>0.26339900599999999</v>
      </c>
      <c r="Z2">
        <f>SQRT((X2)^2 + (Y2)^2)</f>
        <v>0.3756919909723665</v>
      </c>
      <c r="AA2">
        <f>J2-K2</f>
        <v>2.2458549999999988</v>
      </c>
      <c r="AB2">
        <f>SQRT((0.01)^2 + (Z2/ABS(AA2))^2)</f>
        <v>0.16758101877003084</v>
      </c>
      <c r="AC2">
        <f>ABS(V2*AB2)</f>
        <v>49.307405713261446</v>
      </c>
    </row>
    <row r="3" spans="1:29" x14ac:dyDescent="0.2">
      <c r="A3">
        <v>44675.0746965996</v>
      </c>
      <c r="B3">
        <v>17.625551999999999</v>
      </c>
      <c r="C3">
        <v>17.228048000000001</v>
      </c>
      <c r="D3">
        <v>17.157257999999999</v>
      </c>
      <c r="E3">
        <v>17.314377</v>
      </c>
      <c r="F3">
        <v>41.954540000000001</v>
      </c>
      <c r="G3">
        <v>40.751851000000002</v>
      </c>
      <c r="H3">
        <v>37.914757000000002</v>
      </c>
      <c r="I3">
        <v>31.798946999999998</v>
      </c>
      <c r="J3">
        <v>58.945357999999999</v>
      </c>
      <c r="K3">
        <v>56.703324000000002</v>
      </c>
      <c r="L3">
        <v>11.074807</v>
      </c>
      <c r="M3">
        <v>-622.49469399999998</v>
      </c>
      <c r="N3">
        <v>1.925441</v>
      </c>
      <c r="O3">
        <v>4.3072860000000004</v>
      </c>
      <c r="P3">
        <f t="shared" si="0"/>
        <v>3.2090683333333331E-5</v>
      </c>
      <c r="Q3" cm="1">
        <f t="array" ref="Q3">[1]!PropsSI("D","T",J3+273.15,"P",101325,"Water")</f>
        <v>983.73509950866878</v>
      </c>
      <c r="R3" cm="1">
        <f t="array" ref="R3">[1]!PropsSI("D","T",K3+273.15,"P",101325,"Water")</f>
        <v>984.85939530350618</v>
      </c>
      <c r="S3">
        <f t="shared" si="1"/>
        <v>984.29724740608754</v>
      </c>
      <c r="T3" cm="1">
        <f t="array" ref="T3">[1]!PropsSI("H","T",J3+273.15,"P",101325,"Water")</f>
        <v>246835.30594987984</v>
      </c>
      <c r="U3" cm="1">
        <f t="array" ref="U3">[1]!PropsSI("H","T",K3+273.15,"P",101325,"Water")</f>
        <v>237454.54240703833</v>
      </c>
      <c r="V3">
        <f t="shared" si="2"/>
        <v>296.30803238801963</v>
      </c>
      <c r="W3" s="3" t="s">
        <v>33</v>
      </c>
      <c r="X3">
        <f t="shared" ref="X3:Y55" si="3">(0.15+0.002*ABS(J3))</f>
        <v>0.26789071600000003</v>
      </c>
      <c r="Y3">
        <f t="shared" si="3"/>
        <v>0.26340664800000002</v>
      </c>
      <c r="Z3">
        <f t="shared" ref="Z3:Z55" si="4">SQRT((X3)^2 + (Y3)^2)</f>
        <v>0.37569734884556821</v>
      </c>
      <c r="AA3">
        <f>J3-K3</f>
        <v>2.2420339999999968</v>
      </c>
      <c r="AB3">
        <f t="shared" ref="AB3:AB66" si="5">SQRT((0.01)^2 + (Z3/ABS(AA3))^2)</f>
        <v>0.16786798911582956</v>
      </c>
      <c r="AC3">
        <f t="shared" ref="AC3:AC66" si="6">ABS(V3*AB3)</f>
        <v>49.740633555844951</v>
      </c>
    </row>
    <row r="4" spans="1:29" x14ac:dyDescent="0.2">
      <c r="A4">
        <v>44675.074731900502</v>
      </c>
      <c r="B4">
        <v>17.751007999999999</v>
      </c>
      <c r="C4">
        <v>17.290831000000001</v>
      </c>
      <c r="D4">
        <v>17.201775999999999</v>
      </c>
      <c r="E4">
        <v>17.371934</v>
      </c>
      <c r="F4">
        <v>41.813491999999997</v>
      </c>
      <c r="G4">
        <v>40.693102000000003</v>
      </c>
      <c r="H4">
        <v>38.475676999999997</v>
      </c>
      <c r="I4">
        <v>31.895468999999999</v>
      </c>
      <c r="J4">
        <v>58.945677000000003</v>
      </c>
      <c r="K4">
        <v>56.701095000000002</v>
      </c>
      <c r="L4">
        <v>13.737939000000001</v>
      </c>
      <c r="M4">
        <v>-622.47796000000005</v>
      </c>
      <c r="N4">
        <v>1.914946</v>
      </c>
      <c r="O4">
        <v>4.2551199999999998</v>
      </c>
      <c r="P4">
        <f t="shared" si="0"/>
        <v>3.191576666666667E-5</v>
      </c>
      <c r="Q4" cm="1">
        <f t="array" ref="Q4">[1]!PropsSI("D","T",J4+273.15,"P",101325,"Water")</f>
        <v>983.73493739268918</v>
      </c>
      <c r="R4" cm="1">
        <f t="array" ref="R4">[1]!PropsSI("D","T",K4+273.15,"P",101325,"Water")</f>
        <v>984.86049791926848</v>
      </c>
      <c r="S4">
        <f t="shared" si="1"/>
        <v>984.29771765597889</v>
      </c>
      <c r="T4" cm="1">
        <f t="array" ref="T4">[1]!PropsSI("H","T",J4+273.15,"P",101325,"Water")</f>
        <v>246836.64080571913</v>
      </c>
      <c r="U4" cm="1">
        <f t="array" ref="U4">[1]!PropsSI("H","T",K4+273.15,"P",101325,"Water")</f>
        <v>237445.21717548955</v>
      </c>
      <c r="V4">
        <f t="shared" si="2"/>
        <v>295.02796973458788</v>
      </c>
      <c r="W4" s="3">
        <f>SQRT((AVERAGE(AC2:AC14))^2 + (_xlfn.STDEV.S(V2:V14)/SQRT(COUNT(V2:V14)))^2)</f>
        <v>49.494501260033836</v>
      </c>
      <c r="X4">
        <f t="shared" si="3"/>
        <v>0.26789135399999997</v>
      </c>
      <c r="Y4">
        <f t="shared" si="3"/>
        <v>0.26340218999999998</v>
      </c>
      <c r="Z4">
        <f t="shared" si="4"/>
        <v>0.37569467822255531</v>
      </c>
      <c r="AA4">
        <f t="shared" ref="AA4:AA67" si="7">J4-K4</f>
        <v>2.2445820000000012</v>
      </c>
      <c r="AB4">
        <f t="shared" si="5"/>
        <v>0.16767691800017875</v>
      </c>
      <c r="AC4">
        <f t="shared" si="6"/>
        <v>49.469380688945712</v>
      </c>
    </row>
    <row r="5" spans="1:29" x14ac:dyDescent="0.2">
      <c r="A5">
        <v>44675.074767201397</v>
      </c>
      <c r="B5">
        <v>17.990490000000001</v>
      </c>
      <c r="C5">
        <v>17.317775999999999</v>
      </c>
      <c r="D5">
        <v>17.220141000000002</v>
      </c>
      <c r="E5">
        <v>17.452218999999999</v>
      </c>
      <c r="F5">
        <v>41.558276999999997</v>
      </c>
      <c r="G5">
        <v>41.723954999999997</v>
      </c>
      <c r="H5">
        <v>38.112354000000003</v>
      </c>
      <c r="I5">
        <v>31.496811999999998</v>
      </c>
      <c r="J5">
        <v>58.945357999999999</v>
      </c>
      <c r="K5">
        <v>56.701253999999999</v>
      </c>
      <c r="L5">
        <v>13.488564</v>
      </c>
      <c r="M5">
        <v>-622.50530600000002</v>
      </c>
      <c r="N5">
        <v>1.918839</v>
      </c>
      <c r="O5">
        <v>4.3312270000000002</v>
      </c>
      <c r="P5">
        <f t="shared" si="0"/>
        <v>3.198065E-5</v>
      </c>
      <c r="Q5" cm="1">
        <f t="array" ref="Q5">[1]!PropsSI("D","T",J5+273.15,"P",101325,"Water")</f>
        <v>983.73509950866878</v>
      </c>
      <c r="R5" cm="1">
        <f t="array" ref="R5">[1]!PropsSI("D","T",K5+273.15,"P",101325,"Water")</f>
        <v>984.86041926802272</v>
      </c>
      <c r="S5">
        <f t="shared" si="1"/>
        <v>984.29775938834575</v>
      </c>
      <c r="T5" cm="1">
        <f t="array" ref="T5">[1]!PropsSI("H","T",J5+273.15,"P",101325,"Water")</f>
        <v>246835.30594987984</v>
      </c>
      <c r="U5" cm="1">
        <f t="array" ref="U5">[1]!PropsSI("H","T",K5+273.15,"P",101325,"Water")</f>
        <v>237445.88236689518</v>
      </c>
      <c r="V5">
        <f t="shared" si="2"/>
        <v>295.56480255044949</v>
      </c>
      <c r="W5" s="3"/>
      <c r="X5">
        <f t="shared" si="3"/>
        <v>0.26789071600000003</v>
      </c>
      <c r="Y5">
        <f t="shared" si="3"/>
        <v>0.26340250799999998</v>
      </c>
      <c r="Z5">
        <f t="shared" si="4"/>
        <v>0.37569444624545983</v>
      </c>
      <c r="AA5">
        <f t="shared" si="7"/>
        <v>2.2441040000000001</v>
      </c>
      <c r="AB5">
        <f t="shared" si="5"/>
        <v>0.16771240341469434</v>
      </c>
      <c r="AC5">
        <f t="shared" si="6"/>
        <v>49.569883400525462</v>
      </c>
    </row>
    <row r="6" spans="1:29" x14ac:dyDescent="0.2">
      <c r="A6">
        <v>46137.074802499999</v>
      </c>
      <c r="B6">
        <v>18.027673</v>
      </c>
      <c r="C6">
        <v>17.366250000000001</v>
      </c>
      <c r="D6">
        <v>17.197469999999999</v>
      </c>
      <c r="E6">
        <v>17.580137000000001</v>
      </c>
      <c r="F6">
        <v>42.286554000000002</v>
      </c>
      <c r="G6">
        <v>42.034700000000001</v>
      </c>
      <c r="H6">
        <v>37.233393</v>
      </c>
      <c r="I6">
        <v>31.559206</v>
      </c>
      <c r="J6">
        <v>58.942808999999997</v>
      </c>
      <c r="K6">
        <v>56.701413000000002</v>
      </c>
      <c r="L6">
        <v>14.043638</v>
      </c>
      <c r="M6">
        <v>-622.51346899999999</v>
      </c>
      <c r="N6">
        <v>1.918893</v>
      </c>
      <c r="O6">
        <v>4.3192940000000002</v>
      </c>
      <c r="P6">
        <f t="shared" si="0"/>
        <v>3.1981550000000002E-5</v>
      </c>
      <c r="Q6" cm="1">
        <f t="array" ref="Q6">[1]!PropsSI("D","T",J6+273.15,"P",101325,"Water")</f>
        <v>983.73639489005188</v>
      </c>
      <c r="R6" cm="1">
        <f t="array" ref="R6">[1]!PropsSI("D","T",K6+273.15,"P",101325,"Water")</f>
        <v>984.86034061658279</v>
      </c>
      <c r="S6">
        <f t="shared" si="1"/>
        <v>984.29836775331728</v>
      </c>
      <c r="T6" cm="1">
        <f t="array" ref="T6">[1]!PropsSI("H","T",J6+273.15,"P",101325,"Water")</f>
        <v>246824.63965806222</v>
      </c>
      <c r="U6" cm="1">
        <f t="array" ref="U6">[1]!PropsSI("H","T",K6+273.15,"P",101325,"Water")</f>
        <v>237446.54755837348</v>
      </c>
      <c r="V6">
        <f t="shared" si="2"/>
        <v>295.21659487187475</v>
      </c>
      <c r="W6" s="3"/>
      <c r="X6">
        <f t="shared" si="3"/>
        <v>0.26788561799999999</v>
      </c>
      <c r="Y6">
        <f t="shared" si="3"/>
        <v>0.26340282599999998</v>
      </c>
      <c r="Z6">
        <f t="shared" si="4"/>
        <v>0.37569103406393423</v>
      </c>
      <c r="AA6">
        <f>J6-K6</f>
        <v>2.2413959999999946</v>
      </c>
      <c r="AB6">
        <f t="shared" si="5"/>
        <v>0.16791278985476238</v>
      </c>
      <c r="AC6">
        <f t="shared" si="6"/>
        <v>49.570642056359624</v>
      </c>
    </row>
    <row r="7" spans="1:29" x14ac:dyDescent="0.2">
      <c r="A7">
        <v>46137.074837222222</v>
      </c>
      <c r="B7">
        <v>18.071165000000001</v>
      </c>
      <c r="C7">
        <v>17.392683000000002</v>
      </c>
      <c r="D7">
        <v>17.239767000000001</v>
      </c>
      <c r="E7">
        <v>17.737828</v>
      </c>
      <c r="F7">
        <v>42.363678</v>
      </c>
      <c r="G7">
        <v>41.214485000000003</v>
      </c>
      <c r="H7">
        <v>38.409675</v>
      </c>
      <c r="I7">
        <v>32.066158999999999</v>
      </c>
      <c r="J7">
        <v>58.944243</v>
      </c>
      <c r="K7">
        <v>56.700777000000002</v>
      </c>
      <c r="L7">
        <v>17.633662999999999</v>
      </c>
      <c r="M7">
        <v>-622.47551099999998</v>
      </c>
      <c r="N7">
        <v>1.9041159999999999</v>
      </c>
      <c r="O7">
        <v>4.3403770000000002</v>
      </c>
      <c r="P7">
        <f t="shared" si="0"/>
        <v>3.1735266666666667E-5</v>
      </c>
      <c r="Q7" cm="1">
        <f t="array" ref="Q7">[1]!PropsSI("D","T",J7+273.15,"P",101325,"Water")</f>
        <v>983.73566614750257</v>
      </c>
      <c r="R7" cm="1">
        <f t="array" ref="R7">[1]!PropsSI("D","T",K7+273.15,"P",101325,"Water")</f>
        <v>984.86065522133583</v>
      </c>
      <c r="S7">
        <f t="shared" si="1"/>
        <v>984.29816068441914</v>
      </c>
      <c r="T7" cm="1">
        <f t="array" ref="T7">[1]!PropsSI("H","T",J7+273.15,"P",101325,"Water")</f>
        <v>246830.64023147131</v>
      </c>
      <c r="U7" cm="1">
        <f t="array" ref="U7">[1]!PropsSI("H","T",K7+273.15,"P",101325,"Water")</f>
        <v>237443.88679266337</v>
      </c>
      <c r="V7">
        <f t="shared" si="2"/>
        <v>293.21368495985269</v>
      </c>
      <c r="W7" s="3"/>
      <c r="X7">
        <f t="shared" si="3"/>
        <v>0.26788848599999998</v>
      </c>
      <c r="Y7">
        <f t="shared" si="3"/>
        <v>0.26340155399999998</v>
      </c>
      <c r="Z7">
        <f t="shared" si="4"/>
        <v>0.3756921872770142</v>
      </c>
      <c r="AA7">
        <f t="shared" ref="AA7:AA70" si="8">J7-K7</f>
        <v>2.243465999999998</v>
      </c>
      <c r="AB7">
        <f t="shared" si="5"/>
        <v>0.16775892304218307</v>
      </c>
      <c r="AC7">
        <f t="shared" si="6"/>
        <v>49.189212010094835</v>
      </c>
    </row>
    <row r="8" spans="1:29" x14ac:dyDescent="0.2">
      <c r="A8">
        <v>46137.074871944445</v>
      </c>
      <c r="B8">
        <v>18.139316000000001</v>
      </c>
      <c r="C8">
        <v>17.486395000000002</v>
      </c>
      <c r="D8">
        <v>17.205062000000002</v>
      </c>
      <c r="E8">
        <v>18.093869000000002</v>
      </c>
      <c r="F8">
        <v>42.600389999999997</v>
      </c>
      <c r="G8">
        <v>42.197530999999998</v>
      </c>
      <c r="H8">
        <v>36.966703000000003</v>
      </c>
      <c r="I8">
        <v>32.138624</v>
      </c>
      <c r="J8">
        <v>58.942171999999999</v>
      </c>
      <c r="K8">
        <v>56.701253999999999</v>
      </c>
      <c r="L8">
        <v>17.812836999999998</v>
      </c>
      <c r="M8">
        <v>-622.49510199999997</v>
      </c>
      <c r="N8">
        <v>1.913619</v>
      </c>
      <c r="O8">
        <v>4.4417600000000004</v>
      </c>
      <c r="P8">
        <f t="shared" si="0"/>
        <v>3.1893649999999999E-5</v>
      </c>
      <c r="Q8" cm="1">
        <f t="array" ref="Q8">[1]!PropsSI("D","T",J8+273.15,"P",101325,"Water")</f>
        <v>983.73671860229365</v>
      </c>
      <c r="R8" cm="1">
        <f t="array" ref="R8">[1]!PropsSI("D","T",K8+273.15,"P",101325,"Water")</f>
        <v>984.86041926802272</v>
      </c>
      <c r="S8">
        <f t="shared" si="1"/>
        <v>984.29856893515819</v>
      </c>
      <c r="T8" cm="1">
        <f t="array" ref="T8">[1]!PropsSI("H","T",J8+273.15,"P",101325,"Water")</f>
        <v>246821.97413165052</v>
      </c>
      <c r="U8" cm="1">
        <f t="array" ref="U8">[1]!PropsSI("H","T",K8+273.15,"P",101325,"Water")</f>
        <v>237445.88236689518</v>
      </c>
      <c r="V8">
        <f t="shared" si="2"/>
        <v>294.34246788144895</v>
      </c>
      <c r="W8" s="3"/>
      <c r="X8">
        <f t="shared" si="3"/>
        <v>0.267884344</v>
      </c>
      <c r="Y8">
        <f t="shared" si="3"/>
        <v>0.26340250799999998</v>
      </c>
      <c r="Z8">
        <f>SQRT((X8)^2 + (Y8)^2)</f>
        <v>0.37568990268704378</v>
      </c>
      <c r="AA8">
        <f t="shared" si="8"/>
        <v>2.2409180000000006</v>
      </c>
      <c r="AB8">
        <f t="shared" si="5"/>
        <v>0.16794797557000021</v>
      </c>
      <c r="AC8">
        <f t="shared" si="6"/>
        <v>49.434221604967163</v>
      </c>
    </row>
    <row r="9" spans="1:29" x14ac:dyDescent="0.2">
      <c r="A9">
        <v>46137.074907245369</v>
      </c>
      <c r="B9">
        <v>18.113734000000001</v>
      </c>
      <c r="C9">
        <v>17.487655</v>
      </c>
      <c r="D9">
        <v>17.216881999999998</v>
      </c>
      <c r="E9">
        <v>18.208151000000001</v>
      </c>
      <c r="F9">
        <v>42.167966999999997</v>
      </c>
      <c r="G9">
        <v>42.232135</v>
      </c>
      <c r="H9">
        <v>37.258724000000001</v>
      </c>
      <c r="I9">
        <v>32.386820999999998</v>
      </c>
      <c r="J9">
        <v>58.941215999999997</v>
      </c>
      <c r="K9">
        <v>56.701732</v>
      </c>
      <c r="L9">
        <v>16.265160000000002</v>
      </c>
      <c r="M9">
        <v>-622.51795800000002</v>
      </c>
      <c r="N9">
        <v>1.9155530000000001</v>
      </c>
      <c r="O9">
        <v>3.8289119999999999</v>
      </c>
      <c r="P9">
        <f t="shared" si="0"/>
        <v>3.1925883333333335E-5</v>
      </c>
      <c r="Q9" cm="1">
        <f t="array" ref="Q9">[1]!PropsSI("D","T",J9+273.15,"P",101325,"Water")</f>
        <v>983.73720442022648</v>
      </c>
      <c r="R9" cm="1">
        <f t="array" ref="R9">[1]!PropsSI("D","T",K9+273.15,"P",101325,"Water")</f>
        <v>984.86018281863039</v>
      </c>
      <c r="S9">
        <f t="shared" si="1"/>
        <v>984.29869361942838</v>
      </c>
      <c r="T9" cm="1">
        <f t="array" ref="T9">[1]!PropsSI("H","T",J9+273.15,"P",101325,"Water")</f>
        <v>246817.97375007867</v>
      </c>
      <c r="U9" cm="1">
        <f t="array" ref="U9">[1]!PropsSI("H","T",K9+273.15,"P",101325,"Water")</f>
        <v>237447.88212483443</v>
      </c>
      <c r="V9">
        <f t="shared" si="2"/>
        <v>294.45143055127755</v>
      </c>
      <c r="W9" s="3"/>
      <c r="X9">
        <f t="shared" si="3"/>
        <v>0.267882432</v>
      </c>
      <c r="Y9">
        <f t="shared" si="3"/>
        <v>0.26340346399999998</v>
      </c>
      <c r="Z9">
        <f t="shared" ref="Z9:Z72" si="9">SQRT((X9)^2 + (Y9)^2)</f>
        <v>0.3756892096153866</v>
      </c>
      <c r="AA9">
        <f t="shared" si="8"/>
        <v>2.2394839999999974</v>
      </c>
      <c r="AB9">
        <f t="shared" si="5"/>
        <v>0.1680548269651384</v>
      </c>
      <c r="AC9">
        <f t="shared" si="6"/>
        <v>49.48398421093242</v>
      </c>
    </row>
    <row r="10" spans="1:29" x14ac:dyDescent="0.2">
      <c r="A10">
        <v>44675.074942548599</v>
      </c>
      <c r="B10">
        <v>18.056540999999999</v>
      </c>
      <c r="C10">
        <v>17.461994000000001</v>
      </c>
      <c r="D10">
        <v>17.276509000000001</v>
      </c>
      <c r="E10">
        <v>18.054449000000002</v>
      </c>
      <c r="F10">
        <v>41.825875000000003</v>
      </c>
      <c r="G10">
        <v>40.731273000000002</v>
      </c>
      <c r="H10">
        <v>37.454937999999999</v>
      </c>
      <c r="I10">
        <v>31.57518</v>
      </c>
      <c r="J10">
        <v>58.938029999999998</v>
      </c>
      <c r="K10">
        <v>56.699184000000002</v>
      </c>
      <c r="L10">
        <v>16.261078000000001</v>
      </c>
      <c r="M10">
        <v>-622.48489900000004</v>
      </c>
      <c r="N10">
        <v>1.9164540000000001</v>
      </c>
      <c r="O10">
        <v>4.2699239999999996</v>
      </c>
      <c r="P10">
        <f t="shared" si="0"/>
        <v>3.1940900000000004E-5</v>
      </c>
      <c r="Q10" cm="1">
        <f t="array" ref="Q10">[1]!PropsSI("D","T",J10+273.15,"P",101325,"Water")</f>
        <v>983.73882343510479</v>
      </c>
      <c r="R10" cm="1">
        <f t="array" ref="R10">[1]!PropsSI("D","T",K10+273.15,"P",101325,"Water")</f>
        <v>984.86144320636947</v>
      </c>
      <c r="S10">
        <f t="shared" si="1"/>
        <v>984.30013332073713</v>
      </c>
      <c r="T10" cm="1">
        <f t="array" ref="T10">[1]!PropsSI("H","T",J10+273.15,"P",101325,"Water")</f>
        <v>246804.64193748511</v>
      </c>
      <c r="U10" cm="1">
        <f t="array" ref="U10">[1]!PropsSI("H","T",K10+273.15,"P",101325,"Water")</f>
        <v>237437.22232841718</v>
      </c>
      <c r="V10">
        <f t="shared" si="2"/>
        <v>294.50635301738777</v>
      </c>
      <c r="X10">
        <f t="shared" si="3"/>
        <v>0.26787605999999997</v>
      </c>
      <c r="Y10">
        <f t="shared" si="3"/>
        <v>0.26339836799999999</v>
      </c>
      <c r="Z10">
        <f t="shared" si="9"/>
        <v>0.37568109319765747</v>
      </c>
      <c r="AA10">
        <f t="shared" si="8"/>
        <v>2.2388459999999952</v>
      </c>
      <c r="AB10">
        <f t="shared" si="5"/>
        <v>0.16809892886041189</v>
      </c>
      <c r="AC10">
        <f t="shared" si="6"/>
        <v>49.506202484809215</v>
      </c>
    </row>
    <row r="11" spans="1:29" x14ac:dyDescent="0.2">
      <c r="A11">
        <v>44675.074977849603</v>
      </c>
      <c r="B11">
        <v>17.985989</v>
      </c>
      <c r="C11">
        <v>17.399280000000001</v>
      </c>
      <c r="D11">
        <v>17.251228999999999</v>
      </c>
      <c r="E11">
        <v>17.888324000000001</v>
      </c>
      <c r="F11">
        <v>42.027977</v>
      </c>
      <c r="G11">
        <v>41.630699999999997</v>
      </c>
      <c r="H11">
        <v>38.389341999999999</v>
      </c>
      <c r="I11">
        <v>31.461755</v>
      </c>
      <c r="J11">
        <v>58.934843999999998</v>
      </c>
      <c r="K11">
        <v>56.695681999999998</v>
      </c>
      <c r="L11">
        <v>16.028437</v>
      </c>
      <c r="M11">
        <v>-622.49795900000004</v>
      </c>
      <c r="N11">
        <v>1.919184</v>
      </c>
      <c r="O11">
        <v>4.4692470000000002</v>
      </c>
      <c r="P11">
        <f t="shared" si="0"/>
        <v>3.1986400000000003E-5</v>
      </c>
      <c r="Q11" cm="1">
        <f t="array" ref="Q11">[1]!PropsSI("D","T",J11+273.15,"P",101325,"Water")</f>
        <v>983.74044238943384</v>
      </c>
      <c r="R11" cm="1">
        <f t="array" ref="R11">[1]!PropsSI("D","T",K11+273.15,"P",101325,"Water")</f>
        <v>984.86317543290374</v>
      </c>
      <c r="S11">
        <f t="shared" si="1"/>
        <v>984.30180891116879</v>
      </c>
      <c r="T11" cm="1">
        <f t="array" ref="T11">[1]!PropsSI("H","T",J11+273.15,"P",101325,"Water")</f>
        <v>246791.31012907205</v>
      </c>
      <c r="U11" cm="1">
        <f t="array" ref="U11">[1]!PropsSI("H","T",K11+273.15,"P",101325,"Water")</f>
        <v>237422.57138786736</v>
      </c>
      <c r="V11">
        <f t="shared" si="2"/>
        <v>294.96791302161921</v>
      </c>
      <c r="X11">
        <f t="shared" si="3"/>
        <v>0.26786968799999999</v>
      </c>
      <c r="Y11">
        <f t="shared" si="3"/>
        <v>0.26339136399999996</v>
      </c>
      <c r="Z11">
        <f t="shared" si="9"/>
        <v>0.37567163903999706</v>
      </c>
      <c r="AA11">
        <f t="shared" si="8"/>
        <v>2.2391620000000003</v>
      </c>
      <c r="AB11">
        <f t="shared" si="5"/>
        <v>0.16807107528272075</v>
      </c>
      <c r="AC11">
        <f t="shared" si="6"/>
        <v>49.575574315443589</v>
      </c>
    </row>
    <row r="12" spans="1:29" x14ac:dyDescent="0.2">
      <c r="A12">
        <v>44675.075012571797</v>
      </c>
      <c r="B12">
        <v>18.013574999999999</v>
      </c>
      <c r="C12">
        <v>17.385352999999999</v>
      </c>
      <c r="D12">
        <v>17.258963000000001</v>
      </c>
      <c r="E12">
        <v>17.980592000000001</v>
      </c>
      <c r="F12">
        <v>42.312429000000002</v>
      </c>
      <c r="G12">
        <v>41.537337000000001</v>
      </c>
      <c r="H12">
        <v>38.281782</v>
      </c>
      <c r="I12">
        <v>31.236951999999999</v>
      </c>
      <c r="J12">
        <v>58.934047</v>
      </c>
      <c r="K12">
        <v>56.696159000000002</v>
      </c>
      <c r="L12">
        <v>16.140675999999999</v>
      </c>
      <c r="M12">
        <v>-622.48367399999995</v>
      </c>
      <c r="N12">
        <v>1.923384</v>
      </c>
      <c r="O12">
        <v>4.0067830000000004</v>
      </c>
      <c r="P12">
        <f t="shared" si="0"/>
        <v>3.20564E-5</v>
      </c>
      <c r="Q12" cm="1">
        <f t="array" ref="Q12">[1]!PropsSI("D","T",J12+273.15,"P",101325,"Water")</f>
        <v>983.74084737262672</v>
      </c>
      <c r="R12" cm="1">
        <f t="array" ref="R12">[1]!PropsSI("D","T",K12+273.15,"P",101325,"Water")</f>
        <v>984.86293949439357</v>
      </c>
      <c r="S12">
        <f t="shared" si="1"/>
        <v>984.30189343351014</v>
      </c>
      <c r="T12" cm="1">
        <f t="array" ref="T12">[1]!PropsSI("H","T",J12+273.15,"P",101325,"Water")</f>
        <v>246787.97508540816</v>
      </c>
      <c r="U12" cm="1">
        <f t="array" ref="U12">[1]!PropsSI("H","T",K12+273.15,"P",101325,"Water")</f>
        <v>237424.56696117765</v>
      </c>
      <c r="V12">
        <f t="shared" si="2"/>
        <v>295.44525716896158</v>
      </c>
      <c r="X12">
        <f t="shared" si="3"/>
        <v>0.267868094</v>
      </c>
      <c r="Y12">
        <f t="shared" si="3"/>
        <v>0.26339231800000001</v>
      </c>
      <c r="Z12">
        <f t="shared" si="9"/>
        <v>0.37567117132487821</v>
      </c>
      <c r="AA12">
        <f t="shared" si="8"/>
        <v>2.2378879999999981</v>
      </c>
      <c r="AB12">
        <f t="shared" si="5"/>
        <v>0.16816620866951107</v>
      </c>
      <c r="AC12">
        <f t="shared" si="6"/>
        <v>49.683908767492952</v>
      </c>
    </row>
    <row r="13" spans="1:29" x14ac:dyDescent="0.2">
      <c r="A13">
        <v>44675.075047872699</v>
      </c>
      <c r="B13">
        <v>18.087226000000001</v>
      </c>
      <c r="C13">
        <v>17.492716000000001</v>
      </c>
      <c r="D13">
        <v>17.345427999999998</v>
      </c>
      <c r="E13">
        <v>18.031597000000001</v>
      </c>
      <c r="F13">
        <v>41.624436000000003</v>
      </c>
      <c r="G13">
        <v>42.185184999999997</v>
      </c>
      <c r="H13">
        <v>38.280589999999997</v>
      </c>
      <c r="I13">
        <v>31.517973000000001</v>
      </c>
      <c r="J13">
        <v>58.931657999999999</v>
      </c>
      <c r="K13">
        <v>56.691861000000003</v>
      </c>
      <c r="L13">
        <v>15.943543</v>
      </c>
      <c r="M13">
        <v>-622.49428599999999</v>
      </c>
      <c r="N13">
        <v>1.9129879999999999</v>
      </c>
      <c r="O13">
        <v>4.2618419999999997</v>
      </c>
      <c r="P13">
        <f t="shared" si="0"/>
        <v>3.1883133333333333E-5</v>
      </c>
      <c r="Q13" cm="1">
        <f t="array" ref="Q13">[1]!PropsSI("D","T",J13+273.15,"P",101325,"Water")</f>
        <v>983.74206128321282</v>
      </c>
      <c r="R13" cm="1">
        <f t="array" ref="R13">[1]!PropsSI("D","T",K13+273.15,"P",101325,"Water")</f>
        <v>984.86506536398656</v>
      </c>
      <c r="S13">
        <f t="shared" si="1"/>
        <v>984.30356332359975</v>
      </c>
      <c r="T13" cm="1">
        <f t="array" ref="T13">[1]!PropsSI("H","T",J13+273.15,"P",101325,"Water")</f>
        <v>246777.97832496668</v>
      </c>
      <c r="U13" cm="1">
        <f t="array" ref="U13">[1]!PropsSI("H","T",K13+273.15,"P",101325,"Water")</f>
        <v>237406.58588680913</v>
      </c>
      <c r="V13">
        <f t="shared" si="2"/>
        <v>294.09942644031872</v>
      </c>
      <c r="X13">
        <f t="shared" si="3"/>
        <v>0.26786331600000002</v>
      </c>
      <c r="Y13">
        <f t="shared" si="3"/>
        <v>0.26338372199999999</v>
      </c>
      <c r="Z13">
        <f t="shared" si="9"/>
        <v>0.37566173756863924</v>
      </c>
      <c r="AA13">
        <f t="shared" si="8"/>
        <v>2.2397969999999958</v>
      </c>
      <c r="AB13">
        <f t="shared" si="5"/>
        <v>0.16801918165911692</v>
      </c>
      <c r="AC13">
        <f t="shared" si="6"/>
        <v>49.414344956918008</v>
      </c>
    </row>
    <row r="14" spans="1:29" x14ac:dyDescent="0.2">
      <c r="A14">
        <v>44675.0750831736</v>
      </c>
      <c r="B14">
        <v>18.200191</v>
      </c>
      <c r="C14">
        <v>17.773275999999999</v>
      </c>
      <c r="D14">
        <v>17.347193999999998</v>
      </c>
      <c r="E14">
        <v>18.009423000000002</v>
      </c>
      <c r="F14">
        <v>41.858621999999997</v>
      </c>
      <c r="G14">
        <v>40.425947999999998</v>
      </c>
      <c r="H14">
        <v>37.367749000000003</v>
      </c>
      <c r="I14">
        <v>32.415849999999999</v>
      </c>
      <c r="J14">
        <v>58.929268</v>
      </c>
      <c r="K14">
        <v>56.690268000000003</v>
      </c>
      <c r="L14">
        <v>11.762936</v>
      </c>
      <c r="M14">
        <v>-622.50122399999998</v>
      </c>
      <c r="N14">
        <v>1.915438</v>
      </c>
      <c r="O14">
        <v>4.3862009999999998</v>
      </c>
      <c r="P14">
        <f t="shared" si="0"/>
        <v>3.1923966666666668E-5</v>
      </c>
      <c r="Q14" cm="1">
        <f t="array" ref="Q14">[1]!PropsSI("D","T",J14+273.15,"P",101325,"Water")</f>
        <v>983.74327566784359</v>
      </c>
      <c r="R14" cm="1">
        <f t="array" ref="R14">[1]!PropsSI("D","T",K14+273.15,"P",101325,"Water")</f>
        <v>984.86585326236457</v>
      </c>
      <c r="S14">
        <f t="shared" si="1"/>
        <v>984.30456446510402</v>
      </c>
      <c r="T14" cm="1">
        <f t="array" ref="T14">[1]!PropsSI("H","T",J14+273.15,"P",101325,"Water")</f>
        <v>246767.97738246026</v>
      </c>
      <c r="U14" cm="1">
        <f t="array" ref="U14">[1]!PropsSI("H","T",K14+273.15,"P",101325,"Water")</f>
        <v>237399.9214280789</v>
      </c>
      <c r="V14">
        <f t="shared" si="2"/>
        <v>294.37154264870418</v>
      </c>
      <c r="X14">
        <f t="shared" si="3"/>
        <v>0.26785853599999998</v>
      </c>
      <c r="Y14">
        <f t="shared" si="3"/>
        <v>0.263380536</v>
      </c>
      <c r="Z14">
        <f t="shared" si="9"/>
        <v>0.37565609545395451</v>
      </c>
      <c r="AA14">
        <f t="shared" si="8"/>
        <v>2.2389999999999972</v>
      </c>
      <c r="AB14">
        <f t="shared" si="5"/>
        <v>0.16807626290139902</v>
      </c>
      <c r="AC14">
        <f t="shared" si="6"/>
        <v>49.476868792913997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D547-42AB-5047-BF94-E332A05E9EE9}">
  <dimension ref="A1:AC21"/>
  <sheetViews>
    <sheetView topLeftCell="N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44675.069606900499</v>
      </c>
      <c r="B2">
        <v>17.690902000000001</v>
      </c>
      <c r="C2">
        <v>18.113329</v>
      </c>
      <c r="D2">
        <v>19.081097</v>
      </c>
      <c r="E2">
        <v>19.509533000000001</v>
      </c>
      <c r="F2">
        <v>39.328549000000002</v>
      </c>
      <c r="G2">
        <v>36.933025999999998</v>
      </c>
      <c r="H2">
        <v>34.114066000000001</v>
      </c>
      <c r="I2">
        <v>30.685822999999999</v>
      </c>
      <c r="J2">
        <v>57.482137999999999</v>
      </c>
      <c r="K2">
        <v>53.984171000000003</v>
      </c>
      <c r="L2">
        <v>41.590013999999996</v>
      </c>
      <c r="M2">
        <v>-622.48449100000005</v>
      </c>
      <c r="N2">
        <v>1.9080250000000001</v>
      </c>
      <c r="O2">
        <v>4.1100089999999998</v>
      </c>
      <c r="P2">
        <f t="shared" ref="P2:P65" si="0" xml:space="preserve"> N2*0.001/60</f>
        <v>3.1800416666666665E-5</v>
      </c>
      <c r="Q2" cm="1">
        <f t="array" ref="Q2">[1]!PropsSI("D","T",J2+273.15,"P",101325,"Water")</f>
        <v>984.47229022746808</v>
      </c>
      <c r="R2" cm="1">
        <f t="array" ref="R2">[1]!PropsSI("D","T",K2+273.15,"P",101325,"Water")</f>
        <v>986.18173022627786</v>
      </c>
      <c r="S2">
        <f t="shared" ref="S2:S65" si="1">(Q2+R2)/2</f>
        <v>985.32701022687297</v>
      </c>
      <c r="T2" cm="1">
        <f t="array" ref="T2">[1]!PropsSI("H","T",J2+273.15,"P",101325,"Water")</f>
        <v>240712.90320761161</v>
      </c>
      <c r="U2" cm="1">
        <f t="array" ref="U2">[1]!PropsSI("H","T",K2+273.15,"P",101325,"Water")</f>
        <v>226080.0903829532</v>
      </c>
      <c r="V2">
        <f t="shared" ref="V2:V65" si="2">S2*P2*(T2-U2)</f>
        <v>458.50176917706415</v>
      </c>
      <c r="W2" s="3">
        <f>AVERAGE(V2:V21)</f>
        <v>459.75302538082161</v>
      </c>
      <c r="X2">
        <f>(0.15+0.002*ABS(J2))</f>
        <v>0.264964276</v>
      </c>
      <c r="Y2">
        <f>(0.15+0.002*ABS(K2))</f>
        <v>0.25796834200000002</v>
      </c>
      <c r="Z2">
        <f>SQRT((X2)^2 + (Y2)^2)</f>
        <v>0.36980228910923896</v>
      </c>
      <c r="AA2">
        <f>J2-K2</f>
        <v>3.4979669999999956</v>
      </c>
      <c r="AB2">
        <f>SQRT((0.01)^2 + (Z2/ABS(AA2))^2)</f>
        <v>0.10619110240719805</v>
      </c>
      <c r="AC2">
        <f>ABS(V2*AB2)</f>
        <v>48.688808324563098</v>
      </c>
    </row>
    <row r="3" spans="1:29" x14ac:dyDescent="0.2">
      <c r="A3">
        <v>44675.069642201401</v>
      </c>
      <c r="B3">
        <v>17.607562000000001</v>
      </c>
      <c r="C3">
        <v>18.064931999999999</v>
      </c>
      <c r="D3">
        <v>18.877352999999999</v>
      </c>
      <c r="E3">
        <v>19.526160999999998</v>
      </c>
      <c r="F3">
        <v>39.373649999999998</v>
      </c>
      <c r="G3">
        <v>38.800089999999997</v>
      </c>
      <c r="H3">
        <v>34.461581000000002</v>
      </c>
      <c r="I3">
        <v>31.191244000000001</v>
      </c>
      <c r="J3">
        <v>57.492488000000002</v>
      </c>
      <c r="K3">
        <v>53.991329</v>
      </c>
      <c r="L3">
        <v>43.881735999999997</v>
      </c>
      <c r="M3">
        <v>-622.48897999999997</v>
      </c>
      <c r="N3">
        <v>1.911721</v>
      </c>
      <c r="O3">
        <v>4.0164799999999996</v>
      </c>
      <c r="P3">
        <f t="shared" si="0"/>
        <v>3.1862016666666671E-5</v>
      </c>
      <c r="Q3" cm="1">
        <f t="array" ref="Q3">[1]!PropsSI("D","T",J3+273.15,"P",101325,"Water")</f>
        <v>984.46712103761411</v>
      </c>
      <c r="R3" cm="1">
        <f t="array" ref="R3">[1]!PropsSI("D","T",K3+273.15,"P",101325,"Water")</f>
        <v>986.17830959059256</v>
      </c>
      <c r="S3">
        <f t="shared" si="1"/>
        <v>985.32271531410333</v>
      </c>
      <c r="T3" cm="1">
        <f t="array" ref="T3">[1]!PropsSI("H","T",J3+273.15,"P",101325,"Water")</f>
        <v>240756.2066044604</v>
      </c>
      <c r="U3" cm="1">
        <f t="array" ref="U3">[1]!PropsSI("H","T",K3+273.15,"P",101325,"Water")</f>
        <v>226110.02942054407</v>
      </c>
      <c r="V3">
        <f t="shared" si="2"/>
        <v>459.80748769076519</v>
      </c>
      <c r="W3" s="3" t="s">
        <v>33</v>
      </c>
      <c r="X3">
        <f t="shared" ref="X3:Y55" si="3">(0.15+0.002*ABS(J3))</f>
        <v>0.26498497599999998</v>
      </c>
      <c r="Y3">
        <f t="shared" si="3"/>
        <v>0.25798265799999998</v>
      </c>
      <c r="Z3">
        <f t="shared" ref="Z3:Z55" si="4">SQRT((X3)^2 + (Y3)^2)</f>
        <v>0.36982710735486324</v>
      </c>
      <c r="AA3">
        <f>J3-K3</f>
        <v>3.5011590000000012</v>
      </c>
      <c r="AB3">
        <f t="shared" ref="AB3:AB66" si="5">SQRT((0.01)^2 + (Z3/ABS(AA3))^2)</f>
        <v>0.10610220413844801</v>
      </c>
      <c r="AC3">
        <f t="shared" ref="AC3:AC66" si="6">ABS(V3*AB3)</f>
        <v>48.786587923352485</v>
      </c>
    </row>
    <row r="4" spans="1:29" x14ac:dyDescent="0.2">
      <c r="A4">
        <v>44675.069677502303</v>
      </c>
      <c r="B4">
        <v>17.539286000000001</v>
      </c>
      <c r="C4">
        <v>18.104838000000001</v>
      </c>
      <c r="D4">
        <v>18.685687000000001</v>
      </c>
      <c r="E4">
        <v>19.537853999999999</v>
      </c>
      <c r="F4">
        <v>39.653964999999999</v>
      </c>
      <c r="G4">
        <v>38.894539000000002</v>
      </c>
      <c r="H4">
        <v>34.260353000000002</v>
      </c>
      <c r="I4">
        <v>30.810558</v>
      </c>
      <c r="J4">
        <v>57.502679000000001</v>
      </c>
      <c r="K4">
        <v>54.000554999999999</v>
      </c>
      <c r="L4">
        <v>39.318291000000002</v>
      </c>
      <c r="M4">
        <v>-622.51510099999996</v>
      </c>
      <c r="N4">
        <v>1.904013</v>
      </c>
      <c r="O4">
        <v>4.1979730000000002</v>
      </c>
      <c r="P4">
        <f t="shared" si="0"/>
        <v>3.173355E-5</v>
      </c>
      <c r="Q4" cm="1">
        <f t="array" ref="Q4">[1]!PropsSI("D","T",J4+273.15,"P",101325,"Water")</f>
        <v>984.46203062509073</v>
      </c>
      <c r="R4" cm="1">
        <f t="array" ref="R4">[1]!PropsSI("D","T",K4+273.15,"P",101325,"Water")</f>
        <v>986.17390023333485</v>
      </c>
      <c r="S4">
        <f t="shared" si="1"/>
        <v>985.31796542921279</v>
      </c>
      <c r="T4" cm="1">
        <f t="array" ref="T4">[1]!PropsSI("H","T",J4+273.15,"P",101325,"Water")</f>
        <v>240798.8448024714</v>
      </c>
      <c r="U4" cm="1">
        <f t="array" ref="U4">[1]!PropsSI("H","T",K4+273.15,"P",101325,"Water")</f>
        <v>226148.61809725201</v>
      </c>
      <c r="V4">
        <f t="shared" si="2"/>
        <v>458.07796944153506</v>
      </c>
      <c r="W4" s="3">
        <f>SQRT((AVERAGE(AC2:AC21))^2 + (_xlfn.STDEV.S(V2:V21)/SQRT(COUNT(V2:V21)))^2)</f>
        <v>48.713988627884419</v>
      </c>
      <c r="X4">
        <f t="shared" si="3"/>
        <v>0.26500535800000002</v>
      </c>
      <c r="Y4">
        <f t="shared" si="3"/>
        <v>0.25800110999999998</v>
      </c>
      <c r="Z4">
        <f t="shared" si="4"/>
        <v>0.36985458295111107</v>
      </c>
      <c r="AA4">
        <f t="shared" ref="AA4:AA67" si="7">J4-K4</f>
        <v>3.502124000000002</v>
      </c>
      <c r="AB4">
        <f t="shared" si="5"/>
        <v>0.10608103819266056</v>
      </c>
      <c r="AC4">
        <f t="shared" si="6"/>
        <v>48.593386571543874</v>
      </c>
    </row>
    <row r="5" spans="1:29" x14ac:dyDescent="0.2">
      <c r="A5">
        <v>44675.069712803299</v>
      </c>
      <c r="B5">
        <v>17.504852</v>
      </c>
      <c r="C5">
        <v>17.829041</v>
      </c>
      <c r="D5">
        <v>18.602231</v>
      </c>
      <c r="E5">
        <v>19.501218999999999</v>
      </c>
      <c r="F5">
        <v>38.976384000000003</v>
      </c>
      <c r="G5">
        <v>36.705091000000003</v>
      </c>
      <c r="H5">
        <v>35.048997999999997</v>
      </c>
      <c r="I5">
        <v>30.474259</v>
      </c>
      <c r="J5">
        <v>57.512711000000003</v>
      </c>
      <c r="K5">
        <v>54.009782000000001</v>
      </c>
      <c r="L5">
        <v>39.606031999999999</v>
      </c>
      <c r="M5">
        <v>-622.48285799999996</v>
      </c>
      <c r="N5">
        <v>1.913025</v>
      </c>
      <c r="O5">
        <v>4.0636760000000001</v>
      </c>
      <c r="P5">
        <f t="shared" si="0"/>
        <v>3.1883749999999998E-5</v>
      </c>
      <c r="Q5" cm="1">
        <f t="array" ref="Q5">[1]!PropsSI("D","T",J5+273.15,"P",101325,"Water")</f>
        <v>984.45701901933546</v>
      </c>
      <c r="R5" cm="1">
        <f t="array" ref="R5">[1]!PropsSI("D","T",K5+273.15,"P",101325,"Water")</f>
        <v>986.16948986399711</v>
      </c>
      <c r="S5">
        <f t="shared" si="1"/>
        <v>985.31325444166623</v>
      </c>
      <c r="T5" cm="1">
        <f t="array" ref="T5">[1]!PropsSI("H","T",J5+273.15,"P",101325,"Water")</f>
        <v>240840.81779981536</v>
      </c>
      <c r="U5" cm="1">
        <f t="array" ref="U5">[1]!PropsSI("H","T",K5+273.15,"P",101325,"Water")</f>
        <v>226187.21098609795</v>
      </c>
      <c r="V5">
        <f t="shared" si="2"/>
        <v>460.35011341738794</v>
      </c>
      <c r="W5" s="3"/>
      <c r="X5">
        <f t="shared" si="3"/>
        <v>0.26502542200000001</v>
      </c>
      <c r="Y5">
        <f t="shared" si="3"/>
        <v>0.25801956399999998</v>
      </c>
      <c r="Z5">
        <f t="shared" si="4"/>
        <v>0.36988183209374881</v>
      </c>
      <c r="AA5">
        <f t="shared" si="7"/>
        <v>3.5029290000000017</v>
      </c>
      <c r="AB5">
        <f t="shared" si="5"/>
        <v>0.10606462091940895</v>
      </c>
      <c r="AC5">
        <f t="shared" si="6"/>
        <v>48.82686026982217</v>
      </c>
    </row>
    <row r="6" spans="1:29" x14ac:dyDescent="0.2">
      <c r="A6">
        <v>46137.069748101851</v>
      </c>
      <c r="B6">
        <v>17.311119000000001</v>
      </c>
      <c r="C6">
        <v>17.742466</v>
      </c>
      <c r="D6">
        <v>18.419004999999999</v>
      </c>
      <c r="E6">
        <v>19.274183000000001</v>
      </c>
      <c r="F6">
        <v>38.861935000000003</v>
      </c>
      <c r="G6">
        <v>35.050429000000001</v>
      </c>
      <c r="H6">
        <v>33.937044999999998</v>
      </c>
      <c r="I6">
        <v>30.377725000000002</v>
      </c>
      <c r="J6">
        <v>57.523378999999998</v>
      </c>
      <c r="K6">
        <v>54.021554000000002</v>
      </c>
      <c r="L6">
        <v>38.360379999999999</v>
      </c>
      <c r="M6">
        <v>-622.49918400000001</v>
      </c>
      <c r="N6">
        <v>1.9039889999999999</v>
      </c>
      <c r="O6">
        <v>4.1957870000000002</v>
      </c>
      <c r="P6">
        <f t="shared" si="0"/>
        <v>3.173315E-5</v>
      </c>
      <c r="Q6" cm="1">
        <f t="array" ref="Q6">[1]!PropsSI("D","T",J6+273.15,"P",101325,"Water")</f>
        <v>984.45168902412149</v>
      </c>
      <c r="R6" cm="1">
        <f t="array" ref="R6">[1]!PropsSI("D","T",K6+273.15,"P",101325,"Water")</f>
        <v>986.16386224698215</v>
      </c>
      <c r="S6">
        <f t="shared" si="1"/>
        <v>985.30777563555182</v>
      </c>
      <c r="T6" cm="1">
        <f t="array" ref="T6">[1]!PropsSI("H","T",J6+273.15,"P",101325,"Water")</f>
        <v>240885.45180883133</v>
      </c>
      <c r="U6" cm="1">
        <f t="array" ref="U6">[1]!PropsSI("H","T",K6+273.15,"P",101325,"Water")</f>
        <v>226236.44864542404</v>
      </c>
      <c r="V6">
        <f t="shared" si="2"/>
        <v>458.02920179255705</v>
      </c>
      <c r="W6" s="3"/>
      <c r="X6">
        <f t="shared" si="3"/>
        <v>0.26504675799999999</v>
      </c>
      <c r="Y6">
        <f t="shared" si="3"/>
        <v>0.25804310800000002</v>
      </c>
      <c r="Z6">
        <f t="shared" si="4"/>
        <v>0.36991354329438964</v>
      </c>
      <c r="AA6">
        <f>J6-K6</f>
        <v>3.5018249999999966</v>
      </c>
      <c r="AB6">
        <f t="shared" si="5"/>
        <v>0.10610677741588627</v>
      </c>
      <c r="AC6">
        <f t="shared" si="6"/>
        <v>48.600002564578908</v>
      </c>
    </row>
    <row r="7" spans="1:29" x14ac:dyDescent="0.2">
      <c r="A7">
        <v>46137.069783402774</v>
      </c>
      <c r="B7">
        <v>17.328268999999999</v>
      </c>
      <c r="C7">
        <v>17.680232</v>
      </c>
      <c r="D7">
        <v>18.788322999999998</v>
      </c>
      <c r="E7">
        <v>19.373899000000002</v>
      </c>
      <c r="F7">
        <v>39.901758000000001</v>
      </c>
      <c r="G7">
        <v>38.014678000000004</v>
      </c>
      <c r="H7">
        <v>32.734684999999999</v>
      </c>
      <c r="I7">
        <v>31.138652</v>
      </c>
      <c r="J7">
        <v>57.531660000000002</v>
      </c>
      <c r="K7">
        <v>54.025212000000003</v>
      </c>
      <c r="L7">
        <v>37.869383999999997</v>
      </c>
      <c r="M7">
        <v>-622.48163399999999</v>
      </c>
      <c r="N7">
        <v>1.9081649999999999</v>
      </c>
      <c r="O7">
        <v>4.352665</v>
      </c>
      <c r="P7">
        <f t="shared" si="0"/>
        <v>3.1802749999999996E-5</v>
      </c>
      <c r="Q7" cm="1">
        <f t="array" ref="Q7">[1]!PropsSI("D","T",J7+273.15,"P",101325,"Water")</f>
        <v>984.44755115816213</v>
      </c>
      <c r="R7" cm="1">
        <f t="array" ref="R7">[1]!PropsSI("D","T",K7+273.15,"P",101325,"Water")</f>
        <v>986.1621133591957</v>
      </c>
      <c r="S7">
        <f t="shared" si="1"/>
        <v>985.30483225867897</v>
      </c>
      <c r="T7" cm="1">
        <f t="array" ref="T7">[1]!PropsSI("H","T",J7+273.15,"P",101325,"Water")</f>
        <v>240920.09884321</v>
      </c>
      <c r="U7" cm="1">
        <f t="array" ref="U7">[1]!PropsSI("H","T",K7+273.15,"P",101325,"Water")</f>
        <v>226251.74863464513</v>
      </c>
      <c r="V7">
        <f t="shared" si="2"/>
        <v>459.6386688579575</v>
      </c>
      <c r="W7" s="3"/>
      <c r="X7">
        <f t="shared" si="3"/>
        <v>0.26506331999999999</v>
      </c>
      <c r="Y7">
        <f t="shared" si="3"/>
        <v>0.258050424</v>
      </c>
      <c r="Z7">
        <f t="shared" si="4"/>
        <v>0.36993051365898727</v>
      </c>
      <c r="AA7">
        <f t="shared" ref="AA7:AA70" si="8">J7-K7</f>
        <v>3.5064479999999989</v>
      </c>
      <c r="AB7">
        <f t="shared" si="5"/>
        <v>0.10597294476987246</v>
      </c>
      <c r="AC7">
        <f t="shared" si="6"/>
        <v>48.709263268982028</v>
      </c>
    </row>
    <row r="8" spans="1:29" x14ac:dyDescent="0.2">
      <c r="A8">
        <v>46137.069818124997</v>
      </c>
      <c r="B8">
        <v>17.602464999999999</v>
      </c>
      <c r="C8">
        <v>17.889571</v>
      </c>
      <c r="D8">
        <v>19.055714999999999</v>
      </c>
      <c r="E8">
        <v>19.425886999999999</v>
      </c>
      <c r="F8">
        <v>39.493763999999999</v>
      </c>
      <c r="G8">
        <v>37.625897000000002</v>
      </c>
      <c r="H8">
        <v>34.286149000000002</v>
      </c>
      <c r="I8">
        <v>31.220181</v>
      </c>
      <c r="J8">
        <v>57.541213999999997</v>
      </c>
      <c r="K8">
        <v>54.026961999999997</v>
      </c>
      <c r="L8">
        <v>40.237428999999999</v>
      </c>
      <c r="M8">
        <v>-622.50081599999999</v>
      </c>
      <c r="N8">
        <v>1.9079390000000001</v>
      </c>
      <c r="O8">
        <v>4.5112719999999999</v>
      </c>
      <c r="P8">
        <f t="shared" si="0"/>
        <v>3.1798983333333335E-5</v>
      </c>
      <c r="Q8" cm="1">
        <f t="array" ref="Q8">[1]!PropsSI("D","T",J8+273.15,"P",101325,"Water")</f>
        <v>984.44277668172344</v>
      </c>
      <c r="R8" cm="1">
        <f t="array" ref="R8">[1]!PropsSI("D","T",K8+273.15,"P",101325,"Water")</f>
        <v>986.16127665548322</v>
      </c>
      <c r="S8">
        <f t="shared" si="1"/>
        <v>985.30202666860328</v>
      </c>
      <c r="T8" cm="1">
        <f t="array" ref="T8">[1]!PropsSI("H","T",J8+273.15,"P",101325,"Water")</f>
        <v>240960.07204074509</v>
      </c>
      <c r="U8" cm="1">
        <f t="array" ref="U8">[1]!PropsSI("H","T",K8+273.15,"P",101325,"Water")</f>
        <v>226259.06820468971</v>
      </c>
      <c r="V8">
        <f t="shared" si="2"/>
        <v>460.60601184020408</v>
      </c>
      <c r="W8" s="3"/>
      <c r="X8">
        <f t="shared" si="3"/>
        <v>0.26508242799999998</v>
      </c>
      <c r="Y8">
        <f t="shared" si="3"/>
        <v>0.25805392399999999</v>
      </c>
      <c r="Z8">
        <f>SQRT((X8)^2 + (Y8)^2)</f>
        <v>0.36994664659403648</v>
      </c>
      <c r="AA8">
        <f t="shared" si="8"/>
        <v>3.514251999999999</v>
      </c>
      <c r="AB8">
        <f t="shared" si="5"/>
        <v>0.10574428161068695</v>
      </c>
      <c r="AC8">
        <f t="shared" si="6"/>
        <v>48.706451827605953</v>
      </c>
    </row>
    <row r="9" spans="1:29" x14ac:dyDescent="0.2">
      <c r="A9">
        <v>46137.069853425928</v>
      </c>
      <c r="B9">
        <v>17.812425000000001</v>
      </c>
      <c r="C9">
        <v>18.008547</v>
      </c>
      <c r="D9">
        <v>19.224909</v>
      </c>
      <c r="E9">
        <v>19.482437000000001</v>
      </c>
      <c r="F9">
        <v>39.501314000000001</v>
      </c>
      <c r="G9">
        <v>38.014681000000003</v>
      </c>
      <c r="H9">
        <v>34.751258999999997</v>
      </c>
      <c r="I9">
        <v>30.875323000000002</v>
      </c>
      <c r="J9">
        <v>57.550289999999997</v>
      </c>
      <c r="K9">
        <v>54.038893000000002</v>
      </c>
      <c r="L9">
        <v>39.168503000000001</v>
      </c>
      <c r="M9">
        <v>-622.50489800000003</v>
      </c>
      <c r="N9">
        <v>1.897051</v>
      </c>
      <c r="O9">
        <v>4.4909520000000001</v>
      </c>
      <c r="P9">
        <f t="shared" si="0"/>
        <v>3.161751666666667E-5</v>
      </c>
      <c r="Q9" cm="1">
        <f t="array" ref="Q9">[1]!PropsSI("D","T",J9+273.15,"P",101325,"Water")</f>
        <v>984.43824056762219</v>
      </c>
      <c r="R9" cm="1">
        <f t="array" ref="R9">[1]!PropsSI("D","T",K9+273.15,"P",101325,"Water")</f>
        <v>986.15557173669333</v>
      </c>
      <c r="S9">
        <f t="shared" si="1"/>
        <v>985.29690615215782</v>
      </c>
      <c r="T9" cm="1">
        <f t="array" ref="T9">[1]!PropsSI("H","T",J9+273.15,"P",101325,"Water")</f>
        <v>240998.04535706004</v>
      </c>
      <c r="U9" cm="1">
        <f t="array" ref="U9">[1]!PropsSI("H","T",K9+273.15,"P",101325,"Water")</f>
        <v>226308.97097007194</v>
      </c>
      <c r="V9">
        <f t="shared" si="2"/>
        <v>457.60346616894083</v>
      </c>
      <c r="W9" s="3"/>
      <c r="X9">
        <f t="shared" si="3"/>
        <v>0.26510057999999997</v>
      </c>
      <c r="Y9">
        <f t="shared" si="3"/>
        <v>0.25807778599999998</v>
      </c>
      <c r="Z9">
        <f t="shared" ref="Z9:Z72" si="9">SQRT((X9)^2 + (Y9)^2)</f>
        <v>0.36997629808272608</v>
      </c>
      <c r="AA9">
        <f t="shared" si="8"/>
        <v>3.5113969999999952</v>
      </c>
      <c r="AB9">
        <f t="shared" si="5"/>
        <v>0.1058378967529338</v>
      </c>
      <c r="AC9">
        <f t="shared" si="6"/>
        <v>48.431788406172991</v>
      </c>
    </row>
    <row r="10" spans="1:29" x14ac:dyDescent="0.2">
      <c r="A10">
        <v>44675.069888729202</v>
      </c>
      <c r="B10">
        <v>17.842817</v>
      </c>
      <c r="C10">
        <v>18.037292000000001</v>
      </c>
      <c r="D10">
        <v>19.243162999999999</v>
      </c>
      <c r="E10">
        <v>19.446487999999999</v>
      </c>
      <c r="F10">
        <v>39.967683000000001</v>
      </c>
      <c r="G10">
        <v>38.023454999999998</v>
      </c>
      <c r="H10">
        <v>33.943798000000001</v>
      </c>
      <c r="I10">
        <v>30.841052999999999</v>
      </c>
      <c r="J10">
        <v>57.561118</v>
      </c>
      <c r="K10">
        <v>54.049869999999999</v>
      </c>
      <c r="L10">
        <v>40.774545000000003</v>
      </c>
      <c r="M10">
        <v>-622.493878</v>
      </c>
      <c r="N10">
        <v>1.908525</v>
      </c>
      <c r="O10">
        <v>4.3410880000000001</v>
      </c>
      <c r="P10">
        <f t="shared" si="0"/>
        <v>3.1808750000000003E-5</v>
      </c>
      <c r="Q10" cm="1">
        <f t="array" ref="Q10">[1]!PropsSI("D","T",J10+273.15,"P",101325,"Water")</f>
        <v>984.43282816582655</v>
      </c>
      <c r="R10" cm="1">
        <f t="array" ref="R10">[1]!PropsSI("D","T",K10+273.15,"P",101325,"Water")</f>
        <v>986.15032219338332</v>
      </c>
      <c r="S10">
        <f t="shared" si="1"/>
        <v>985.29157517960493</v>
      </c>
      <c r="T10" cm="1">
        <f t="array" ref="T10">[1]!PropsSI("H","T",J10+273.15,"P",101325,"Water")</f>
        <v>241043.34895560413</v>
      </c>
      <c r="U10" cm="1">
        <f t="array" ref="U10">[1]!PropsSI("H","T",K10+273.15,"P",101325,"Water")</f>
        <v>226354.8835655358</v>
      </c>
      <c r="V10">
        <f t="shared" si="2"/>
        <v>460.34962788212897</v>
      </c>
      <c r="X10">
        <f t="shared" si="3"/>
        <v>0.26512223600000001</v>
      </c>
      <c r="Y10">
        <f t="shared" si="3"/>
        <v>0.25809974000000002</v>
      </c>
      <c r="Z10">
        <f t="shared" si="9"/>
        <v>0.37000712940389041</v>
      </c>
      <c r="AA10">
        <f t="shared" si="8"/>
        <v>3.5112480000000019</v>
      </c>
      <c r="AB10">
        <f t="shared" si="5"/>
        <v>0.1058510893512654</v>
      </c>
      <c r="AC10">
        <f t="shared" si="6"/>
        <v>48.728509593773012</v>
      </c>
    </row>
    <row r="11" spans="1:29" x14ac:dyDescent="0.2">
      <c r="A11">
        <v>44675.069924030096</v>
      </c>
      <c r="B11">
        <v>17.580220000000001</v>
      </c>
      <c r="C11">
        <v>18.023883999999999</v>
      </c>
      <c r="D11">
        <v>19.037443</v>
      </c>
      <c r="E11">
        <v>19.427012000000001</v>
      </c>
      <c r="F11">
        <v>39.144413</v>
      </c>
      <c r="G11">
        <v>36.904946000000002</v>
      </c>
      <c r="H11">
        <v>33.876989999999999</v>
      </c>
      <c r="I11">
        <v>31.011673999999999</v>
      </c>
      <c r="J11">
        <v>57.571947000000002</v>
      </c>
      <c r="K11">
        <v>54.067846000000003</v>
      </c>
      <c r="L11">
        <v>43.140549</v>
      </c>
      <c r="M11">
        <v>-622.493878</v>
      </c>
      <c r="N11">
        <v>1.909373</v>
      </c>
      <c r="O11">
        <v>4.630115</v>
      </c>
      <c r="P11">
        <f t="shared" si="0"/>
        <v>3.1822883333333333E-5</v>
      </c>
      <c r="Q11" cm="1">
        <f t="array" ref="Q11">[1]!PropsSI("D","T",J11+273.15,"P",101325,"Water")</f>
        <v>984.42741455499629</v>
      </c>
      <c r="R11" cm="1">
        <f t="array" ref="R11">[1]!PropsSI("D","T",K11+273.15,"P",101325,"Water")</f>
        <v>986.1417238784876</v>
      </c>
      <c r="S11">
        <f t="shared" si="1"/>
        <v>985.28456921674194</v>
      </c>
      <c r="T11" cm="1">
        <f t="array" ref="T11">[1]!PropsSI("H","T",J11+273.15,"P",101325,"Water")</f>
        <v>241088.65678502904</v>
      </c>
      <c r="U11" cm="1">
        <f t="array" ref="U11">[1]!PropsSI("H","T",K11+273.15,"P",101325,"Water")</f>
        <v>226430.07039319689</v>
      </c>
      <c r="V11">
        <f t="shared" si="2"/>
        <v>459.61405272716297</v>
      </c>
      <c r="X11">
        <f t="shared" si="3"/>
        <v>0.26514389399999999</v>
      </c>
      <c r="Y11">
        <f t="shared" si="3"/>
        <v>0.25813569199999997</v>
      </c>
      <c r="Z11">
        <f t="shared" si="9"/>
        <v>0.370047726664821</v>
      </c>
      <c r="AA11">
        <f t="shared" si="8"/>
        <v>3.5041009999999986</v>
      </c>
      <c r="AB11">
        <f t="shared" si="5"/>
        <v>0.10607659342500744</v>
      </c>
      <c r="AC11">
        <f t="shared" si="6"/>
        <v>48.754293003559198</v>
      </c>
    </row>
    <row r="12" spans="1:29" x14ac:dyDescent="0.2">
      <c r="A12">
        <v>44675.069958752298</v>
      </c>
      <c r="B12">
        <v>17.527894</v>
      </c>
      <c r="C12">
        <v>17.826374000000001</v>
      </c>
      <c r="D12">
        <v>18.839663999999999</v>
      </c>
      <c r="E12">
        <v>19.432994000000001</v>
      </c>
      <c r="F12">
        <v>39.566263999999997</v>
      </c>
      <c r="G12">
        <v>36.145660999999997</v>
      </c>
      <c r="H12">
        <v>33.543472000000001</v>
      </c>
      <c r="I12">
        <v>30.289127000000001</v>
      </c>
      <c r="J12">
        <v>57.582934000000002</v>
      </c>
      <c r="K12">
        <v>54.083593999999998</v>
      </c>
      <c r="L12">
        <v>39.711741000000004</v>
      </c>
      <c r="M12">
        <v>-622.47347100000002</v>
      </c>
      <c r="N12">
        <v>1.9092750000000001</v>
      </c>
      <c r="O12">
        <v>4.2778159999999996</v>
      </c>
      <c r="P12">
        <f t="shared" si="0"/>
        <v>3.1821250000000003E-5</v>
      </c>
      <c r="Q12" cm="1">
        <f t="array" ref="Q12">[1]!PropsSI("D","T",J12+273.15,"P",101325,"Water")</f>
        <v>984.42192123244513</v>
      </c>
      <c r="R12" cm="1">
        <f t="array" ref="R12">[1]!PropsSI("D","T",K12+273.15,"P",101325,"Water")</f>
        <v>986.13418959996102</v>
      </c>
      <c r="S12">
        <f t="shared" si="1"/>
        <v>985.27805541620307</v>
      </c>
      <c r="T12" cm="1">
        <f t="array" ref="T12">[1]!PropsSI("H","T",J12+273.15,"P",101325,"Water")</f>
        <v>241134.62572413927</v>
      </c>
      <c r="U12" cm="1">
        <f t="array" ref="U12">[1]!PropsSI("H","T",K12+273.15,"P",101325,"Water")</f>
        <v>226495.93842955574</v>
      </c>
      <c r="V12">
        <f t="shared" si="2"/>
        <v>458.96353229492843</v>
      </c>
      <c r="X12">
        <f t="shared" si="3"/>
        <v>0.26516586799999997</v>
      </c>
      <c r="Y12">
        <f t="shared" si="3"/>
        <v>0.25816718799999999</v>
      </c>
      <c r="Z12">
        <f t="shared" si="9"/>
        <v>0.37008544217791212</v>
      </c>
      <c r="AA12">
        <f t="shared" si="8"/>
        <v>3.4993400000000037</v>
      </c>
      <c r="AB12">
        <f t="shared" si="5"/>
        <v>0.10623036340307687</v>
      </c>
      <c r="AC12">
        <f t="shared" si="6"/>
        <v>48.755862824450055</v>
      </c>
    </row>
    <row r="13" spans="1:29" x14ac:dyDescent="0.2">
      <c r="A13">
        <v>44675.069994053301</v>
      </c>
      <c r="B13">
        <v>17.467950999999999</v>
      </c>
      <c r="C13">
        <v>18.025983</v>
      </c>
      <c r="D13">
        <v>18.711611999999999</v>
      </c>
      <c r="E13">
        <v>19.384675000000001</v>
      </c>
      <c r="F13">
        <v>38.845213000000001</v>
      </c>
      <c r="G13">
        <v>36.468904000000002</v>
      </c>
      <c r="H13">
        <v>34.405740000000002</v>
      </c>
      <c r="I13">
        <v>30.145181000000001</v>
      </c>
      <c r="J13">
        <v>57.592965999999997</v>
      </c>
      <c r="K13">
        <v>54.092343999999997</v>
      </c>
      <c r="L13">
        <v>42.294877</v>
      </c>
      <c r="M13">
        <v>-622.487348</v>
      </c>
      <c r="N13">
        <v>1.9063410000000001</v>
      </c>
      <c r="O13">
        <v>4.231941</v>
      </c>
      <c r="P13">
        <f t="shared" si="0"/>
        <v>3.1772350000000004E-5</v>
      </c>
      <c r="Q13" cm="1">
        <f t="array" ref="Q13">[1]!PropsSI("D","T",J13+273.15,"P",101325,"Water")</f>
        <v>984.4169047570191</v>
      </c>
      <c r="R13" cm="1">
        <f t="array" ref="R13">[1]!PropsSI("D","T",K13+273.15,"P",101325,"Water")</f>
        <v>986.13000268623591</v>
      </c>
      <c r="S13">
        <f t="shared" si="1"/>
        <v>985.27345372162745</v>
      </c>
      <c r="T13" cm="1">
        <f t="array" ref="T13">[1]!PropsSI("H","T",J13+273.15,"P",101325,"Water")</f>
        <v>241176.59904361723</v>
      </c>
      <c r="U13" cm="1">
        <f t="array" ref="U13">[1]!PropsSI("H","T",K13+273.15,"P",101325,"Water")</f>
        <v>226532.53646773988</v>
      </c>
      <c r="V13">
        <f t="shared" si="2"/>
        <v>458.42436888972048</v>
      </c>
      <c r="X13">
        <f t="shared" si="3"/>
        <v>0.26518593199999996</v>
      </c>
      <c r="Y13">
        <f t="shared" si="3"/>
        <v>0.258184688</v>
      </c>
      <c r="Z13">
        <f t="shared" si="9"/>
        <v>0.3701120258088974</v>
      </c>
      <c r="AA13">
        <f t="shared" si="8"/>
        <v>3.5006219999999999</v>
      </c>
      <c r="AB13">
        <f t="shared" si="5"/>
        <v>0.10619936468676103</v>
      </c>
      <c r="AC13">
        <f t="shared" si="6"/>
        <v>48.684376733017693</v>
      </c>
    </row>
    <row r="14" spans="1:29" x14ac:dyDescent="0.2">
      <c r="A14">
        <v>44675.070029354203</v>
      </c>
      <c r="B14">
        <v>17.414773</v>
      </c>
      <c r="C14">
        <v>17.730654000000001</v>
      </c>
      <c r="D14">
        <v>18.484418999999999</v>
      </c>
      <c r="E14">
        <v>19.309761999999999</v>
      </c>
      <c r="F14">
        <v>39.351598000000003</v>
      </c>
      <c r="G14">
        <v>38.453215</v>
      </c>
      <c r="H14">
        <v>33.472279</v>
      </c>
      <c r="I14">
        <v>30.812681000000001</v>
      </c>
      <c r="J14">
        <v>57.603476000000001</v>
      </c>
      <c r="K14">
        <v>54.101889</v>
      </c>
      <c r="L14">
        <v>36.436802999999998</v>
      </c>
      <c r="M14">
        <v>-622.50653</v>
      </c>
      <c r="N14">
        <v>1.9050990000000001</v>
      </c>
      <c r="O14">
        <v>4.0874269999999999</v>
      </c>
      <c r="P14">
        <f t="shared" si="0"/>
        <v>3.1751649999999999E-5</v>
      </c>
      <c r="Q14" cm="1">
        <f t="array" ref="Q14">[1]!PropsSI("D","T",J14+273.15,"P",101325,"Water")</f>
        <v>984.41164860627202</v>
      </c>
      <c r="R14" cm="1">
        <f t="array" ref="R14">[1]!PropsSI("D","T",K14+273.15,"P",101325,"Water")</f>
        <v>986.1254348142096</v>
      </c>
      <c r="S14">
        <f t="shared" si="1"/>
        <v>985.26854171024081</v>
      </c>
      <c r="T14" cm="1">
        <f t="array" ref="T14">[1]!PropsSI("H","T",J14+273.15,"P",101325,"Water")</f>
        <v>241220.5723313521</v>
      </c>
      <c r="U14" cm="1">
        <f t="array" ref="U14">[1]!PropsSI("H","T",K14+273.15,"P",101325,"Water")</f>
        <v>226572.45972939007</v>
      </c>
      <c r="V14">
        <f t="shared" si="2"/>
        <v>458.25011754851982</v>
      </c>
      <c r="X14">
        <f t="shared" si="3"/>
        <v>0.265206952</v>
      </c>
      <c r="Y14">
        <f t="shared" si="3"/>
        <v>0.25820377799999999</v>
      </c>
      <c r="Z14">
        <f t="shared" si="9"/>
        <v>0.37014040358032191</v>
      </c>
      <c r="AA14">
        <f t="shared" si="8"/>
        <v>3.5015870000000007</v>
      </c>
      <c r="AB14">
        <f t="shared" si="5"/>
        <v>0.10617842504725081</v>
      </c>
      <c r="AC14">
        <f t="shared" si="6"/>
        <v>48.656275759019387</v>
      </c>
    </row>
    <row r="15" spans="1:29" x14ac:dyDescent="0.2">
      <c r="A15">
        <v>46137.070064652777</v>
      </c>
      <c r="B15">
        <v>17.283978999999999</v>
      </c>
      <c r="C15">
        <v>17.512422000000001</v>
      </c>
      <c r="D15">
        <v>18.726849999999999</v>
      </c>
      <c r="E15">
        <v>19.222376000000001</v>
      </c>
      <c r="F15">
        <v>39.309092999999997</v>
      </c>
      <c r="G15">
        <v>37.120477000000001</v>
      </c>
      <c r="H15">
        <v>33.888443000000002</v>
      </c>
      <c r="I15">
        <v>30.502165999999999</v>
      </c>
      <c r="J15">
        <v>57.614303999999997</v>
      </c>
      <c r="K15">
        <v>54.108410999999997</v>
      </c>
      <c r="L15">
        <v>37.962440999999998</v>
      </c>
      <c r="M15">
        <v>-622.47143000000005</v>
      </c>
      <c r="N15">
        <v>1.910107</v>
      </c>
      <c r="O15">
        <v>4.365348</v>
      </c>
      <c r="P15">
        <f t="shared" si="0"/>
        <v>3.1835116666666666E-5</v>
      </c>
      <c r="Q15" cm="1">
        <f t="array" ref="Q15">[1]!PropsSI("D","T",J15+273.15,"P",101325,"Water")</f>
        <v>984.40623272238497</v>
      </c>
      <c r="R15" cm="1">
        <f t="array" ref="R15">[1]!PropsSI("D","T",K15+273.15,"P",101325,"Water")</f>
        <v>986.12231330601128</v>
      </c>
      <c r="S15">
        <f t="shared" si="1"/>
        <v>985.26427301419812</v>
      </c>
      <c r="T15" cm="1">
        <f t="array" ref="T15">[1]!PropsSI("H","T",J15+273.15,"P",101325,"Water")</f>
        <v>241265.87616060773</v>
      </c>
      <c r="U15" cm="1">
        <f t="array" ref="U15">[1]!PropsSI("H","T",K15+273.15,"P",101325,"Water")</f>
        <v>226599.73890038524</v>
      </c>
      <c r="V15">
        <f t="shared" si="2"/>
        <v>460.01810645978946</v>
      </c>
      <c r="X15">
        <f t="shared" si="3"/>
        <v>0.26522860799999998</v>
      </c>
      <c r="Y15">
        <f t="shared" si="3"/>
        <v>0.25821682199999996</v>
      </c>
      <c r="Z15">
        <f t="shared" si="9"/>
        <v>0.37016501950535158</v>
      </c>
      <c r="AA15">
        <f t="shared" si="8"/>
        <v>3.5058930000000004</v>
      </c>
      <c r="AB15">
        <f t="shared" si="5"/>
        <v>0.10605616229137146</v>
      </c>
      <c r="AC15">
        <f t="shared" si="6"/>
        <v>48.787754955668824</v>
      </c>
    </row>
    <row r="16" spans="1:29" x14ac:dyDescent="0.2">
      <c r="A16">
        <v>46137.070099375</v>
      </c>
      <c r="B16">
        <v>17.356068</v>
      </c>
      <c r="C16">
        <v>17.717956000000001</v>
      </c>
      <c r="D16">
        <v>18.754358</v>
      </c>
      <c r="E16">
        <v>19.269736999999999</v>
      </c>
      <c r="F16">
        <v>39.517378999999998</v>
      </c>
      <c r="G16">
        <v>35.904024999999997</v>
      </c>
      <c r="H16">
        <v>35.105348999999997</v>
      </c>
      <c r="I16">
        <v>30.439553</v>
      </c>
      <c r="J16">
        <v>57.626565999999997</v>
      </c>
      <c r="K16">
        <v>54.115411000000002</v>
      </c>
      <c r="L16">
        <v>39.803573</v>
      </c>
      <c r="M16">
        <v>-622.50163299999997</v>
      </c>
      <c r="N16">
        <v>1.9080330000000001</v>
      </c>
      <c r="O16">
        <v>3.8586360000000002</v>
      </c>
      <c r="P16">
        <f t="shared" si="0"/>
        <v>3.1800550000000005E-5</v>
      </c>
      <c r="Q16" cm="1">
        <f t="array" ref="Q16">[1]!PropsSI("D","T",J16+273.15,"P",101325,"Water")</f>
        <v>984.4000987333103</v>
      </c>
      <c r="R16" cm="1">
        <f t="array" ref="R16">[1]!PropsSI("D","T",K16+273.15,"P",101325,"Water")</f>
        <v>986.11896272465071</v>
      </c>
      <c r="S16">
        <f t="shared" si="1"/>
        <v>985.25953072898051</v>
      </c>
      <c r="T16" cm="1">
        <f t="array" ref="T16">[1]!PropsSI("H","T",J16+273.15,"P",101325,"Water")</f>
        <v>241317.17983344363</v>
      </c>
      <c r="U16" cm="1">
        <f t="array" ref="U16">[1]!PropsSI("H","T",K16+273.15,"P",101325,"Water")</f>
        <v>226629.01738924396</v>
      </c>
      <c r="V16">
        <f t="shared" si="2"/>
        <v>460.20649418659423</v>
      </c>
      <c r="X16">
        <f t="shared" si="3"/>
        <v>0.265253132</v>
      </c>
      <c r="Y16">
        <f t="shared" si="3"/>
        <v>0.25823082200000003</v>
      </c>
      <c r="Z16">
        <f t="shared" si="9"/>
        <v>0.37019235738546136</v>
      </c>
      <c r="AA16">
        <f t="shared" si="8"/>
        <v>3.5111549999999951</v>
      </c>
      <c r="AB16">
        <f t="shared" si="5"/>
        <v>0.10590638633914812</v>
      </c>
      <c r="AC16">
        <f t="shared" si="6"/>
        <v>48.738806769110369</v>
      </c>
    </row>
    <row r="17" spans="1:29" x14ac:dyDescent="0.2">
      <c r="A17">
        <v>46137.070134675923</v>
      </c>
      <c r="B17">
        <v>17.343222000000001</v>
      </c>
      <c r="C17">
        <v>17.450975</v>
      </c>
      <c r="D17">
        <v>18.579809999999998</v>
      </c>
      <c r="E17">
        <v>19.304779</v>
      </c>
      <c r="F17">
        <v>39.015667000000001</v>
      </c>
      <c r="G17">
        <v>36.792369999999998</v>
      </c>
      <c r="H17">
        <v>33.457619000000001</v>
      </c>
      <c r="I17">
        <v>30.32339</v>
      </c>
      <c r="J17">
        <v>57.635801999999998</v>
      </c>
      <c r="K17">
        <v>54.121296999999998</v>
      </c>
      <c r="L17">
        <v>39.598277000000003</v>
      </c>
      <c r="M17">
        <v>-622.51387699999998</v>
      </c>
      <c r="N17">
        <v>1.909267</v>
      </c>
      <c r="O17">
        <v>4.3735059999999999</v>
      </c>
      <c r="P17">
        <f t="shared" si="0"/>
        <v>3.1821116666666669E-5</v>
      </c>
      <c r="Q17" cm="1">
        <f t="array" ref="Q17">[1]!PropsSI("D","T",J17+273.15,"P",101325,"Water")</f>
        <v>984.39547788187758</v>
      </c>
      <c r="R17" cm="1">
        <f t="array" ref="R17">[1]!PropsSI("D","T",K17+273.15,"P",101325,"Water")</f>
        <v>986.11614512672463</v>
      </c>
      <c r="S17">
        <f t="shared" si="1"/>
        <v>985.25581150430116</v>
      </c>
      <c r="T17" cm="1">
        <f t="array" ref="T17">[1]!PropsSI("H","T",J17+273.15,"P",101325,"Water")</f>
        <v>241355.82289424693</v>
      </c>
      <c r="U17" cm="1">
        <f t="array" ref="U17">[1]!PropsSI("H","T",K17+273.15,"P",101325,"Water")</f>
        <v>226653.6364289216</v>
      </c>
      <c r="V17">
        <f t="shared" si="2"/>
        <v>460.94206975849261</v>
      </c>
      <c r="X17">
        <f t="shared" si="3"/>
        <v>0.26527160399999999</v>
      </c>
      <c r="Y17">
        <f t="shared" si="3"/>
        <v>0.25824259399999999</v>
      </c>
      <c r="Z17">
        <f t="shared" si="9"/>
        <v>0.370213804773109</v>
      </c>
      <c r="AA17">
        <f t="shared" si="8"/>
        <v>3.5145049999999998</v>
      </c>
      <c r="AB17">
        <f t="shared" si="5"/>
        <v>0.10581241283798737</v>
      </c>
      <c r="AC17">
        <f t="shared" si="6"/>
        <v>48.773392579681989</v>
      </c>
    </row>
    <row r="18" spans="1:29" x14ac:dyDescent="0.2">
      <c r="A18">
        <v>46137.070169976854</v>
      </c>
      <c r="B18">
        <v>17.154574</v>
      </c>
      <c r="C18">
        <v>17.278739999999999</v>
      </c>
      <c r="D18">
        <v>18.286155000000001</v>
      </c>
      <c r="E18">
        <v>19.137644000000002</v>
      </c>
      <c r="F18">
        <v>39.409824</v>
      </c>
      <c r="G18">
        <v>36.299774999999997</v>
      </c>
      <c r="H18">
        <v>33.818933999999999</v>
      </c>
      <c r="I18">
        <v>30.228173000000002</v>
      </c>
      <c r="J18">
        <v>57.647266999999999</v>
      </c>
      <c r="K18">
        <v>54.130842000000001</v>
      </c>
      <c r="L18">
        <v>43.936019000000002</v>
      </c>
      <c r="M18">
        <v>-622.48530700000003</v>
      </c>
      <c r="N18">
        <v>1.90855</v>
      </c>
      <c r="O18">
        <v>4.2838010000000004</v>
      </c>
      <c r="P18">
        <f t="shared" si="0"/>
        <v>3.1809166666666667E-5</v>
      </c>
      <c r="Q18" cm="1">
        <f t="array" ref="Q18">[1]!PropsSI("D","T",J18+273.15,"P",101325,"Water")</f>
        <v>984.38974112514427</v>
      </c>
      <c r="R18" cm="1">
        <f t="array" ref="R18">[1]!PropsSI("D","T",K18+273.15,"P",101325,"Water")</f>
        <v>986.11157552288375</v>
      </c>
      <c r="S18">
        <f t="shared" si="1"/>
        <v>985.25065832401401</v>
      </c>
      <c r="T18" cm="1">
        <f t="array" ref="T18">[1]!PropsSI("H","T",J18+273.15,"P",101325,"Water")</f>
        <v>241403.79205098332</v>
      </c>
      <c r="U18" cm="1">
        <f t="array" ref="U18">[1]!PropsSI("H","T",K18+273.15,"P",101325,"Water")</f>
        <v>226693.55978686057</v>
      </c>
      <c r="V18">
        <f t="shared" si="2"/>
        <v>461.01871444850769</v>
      </c>
      <c r="X18">
        <f t="shared" si="3"/>
        <v>0.26529453400000003</v>
      </c>
      <c r="Y18">
        <f t="shared" si="3"/>
        <v>0.25826168399999999</v>
      </c>
      <c r="Z18">
        <f t="shared" si="9"/>
        <v>0.37024355118326235</v>
      </c>
      <c r="AA18">
        <f t="shared" si="8"/>
        <v>3.5164249999999981</v>
      </c>
      <c r="AB18">
        <f t="shared" si="5"/>
        <v>0.10576357583109409</v>
      </c>
      <c r="AC18">
        <f t="shared" si="6"/>
        <v>48.758987765128261</v>
      </c>
    </row>
    <row r="19" spans="1:29" x14ac:dyDescent="0.2">
      <c r="A19">
        <v>46137.070204699077</v>
      </c>
      <c r="B19">
        <v>17.169919</v>
      </c>
      <c r="C19">
        <v>17.197808999999999</v>
      </c>
      <c r="D19">
        <v>18.450612</v>
      </c>
      <c r="E19">
        <v>19.056342000000001</v>
      </c>
      <c r="F19">
        <v>39.392578</v>
      </c>
      <c r="G19">
        <v>37.925401000000001</v>
      </c>
      <c r="H19">
        <v>33.650109</v>
      </c>
      <c r="I19">
        <v>30.597124999999998</v>
      </c>
      <c r="J19">
        <v>57.658732000000001</v>
      </c>
      <c r="K19">
        <v>54.143568000000002</v>
      </c>
      <c r="L19">
        <v>41.030858000000002</v>
      </c>
      <c r="M19">
        <v>-622.50081599999999</v>
      </c>
      <c r="N19">
        <v>1.9073450000000001</v>
      </c>
      <c r="O19">
        <v>4.4278190000000004</v>
      </c>
      <c r="P19">
        <f t="shared" si="0"/>
        <v>3.1789083333333334E-5</v>
      </c>
      <c r="Q19" cm="1">
        <f t="array" ref="Q19">[1]!PropsSI("D","T",J19+273.15,"P",101325,"Water")</f>
        <v>984.38400357415173</v>
      </c>
      <c r="R19" cm="1">
        <f t="array" ref="R19">[1]!PropsSI("D","T",K19+273.15,"P",101325,"Water")</f>
        <v>986.10548214907578</v>
      </c>
      <c r="S19">
        <f t="shared" si="1"/>
        <v>985.24474286161376</v>
      </c>
      <c r="T19" cm="1">
        <f t="array" ref="T19">[1]!PropsSI("H","T",J19+273.15,"P",101325,"Water")</f>
        <v>241451.76126048484</v>
      </c>
      <c r="U19" cm="1">
        <f t="array" ref="U19">[1]!PropsSI("H","T",K19+273.15,"P",101325,"Water")</f>
        <v>226746.7881916608</v>
      </c>
      <c r="V19">
        <f t="shared" si="2"/>
        <v>460.5601569989874</v>
      </c>
      <c r="X19">
        <f t="shared" si="3"/>
        <v>0.265317464</v>
      </c>
      <c r="Y19">
        <f t="shared" si="3"/>
        <v>0.25828713599999997</v>
      </c>
      <c r="Z19">
        <f t="shared" si="9"/>
        <v>0.37027773539125164</v>
      </c>
      <c r="AA19">
        <f t="shared" si="8"/>
        <v>3.5151639999999986</v>
      </c>
      <c r="AB19">
        <f t="shared" si="5"/>
        <v>0.10581085868536708</v>
      </c>
      <c r="AC19">
        <f t="shared" si="6"/>
        <v>48.73226568833033</v>
      </c>
    </row>
    <row r="20" spans="1:29" x14ac:dyDescent="0.2">
      <c r="A20">
        <v>46137.070239421293</v>
      </c>
      <c r="B20">
        <v>17.157364000000001</v>
      </c>
      <c r="C20">
        <v>17.246476000000001</v>
      </c>
      <c r="D20">
        <v>18.412348000000001</v>
      </c>
      <c r="E20">
        <v>19.147787999999998</v>
      </c>
      <c r="F20">
        <v>39.437083000000001</v>
      </c>
      <c r="G20">
        <v>36.748230999999997</v>
      </c>
      <c r="H20">
        <v>33.972016000000004</v>
      </c>
      <c r="I20">
        <v>30.199909999999999</v>
      </c>
      <c r="J20">
        <v>57.668765</v>
      </c>
      <c r="K20">
        <v>54.147067999999997</v>
      </c>
      <c r="L20">
        <v>45.915103999999999</v>
      </c>
      <c r="M20">
        <v>-622.487348</v>
      </c>
      <c r="N20">
        <v>1.9088860000000001</v>
      </c>
      <c r="O20">
        <v>4.4129379999999996</v>
      </c>
      <c r="P20">
        <f t="shared" si="0"/>
        <v>3.1814766666666666E-5</v>
      </c>
      <c r="Q20" cm="1">
        <f t="array" ref="Q20">[1]!PropsSI("D","T",J20+273.15,"P",101325,"Water")</f>
        <v>984.37898200248196</v>
      </c>
      <c r="R20" cm="1">
        <f t="array" ref="R20">[1]!PropsSI("D","T",K20+273.15,"P",101325,"Water")</f>
        <v>986.10380612580457</v>
      </c>
      <c r="S20">
        <f t="shared" si="1"/>
        <v>985.24139406414326</v>
      </c>
      <c r="T20" cm="1">
        <f t="array" ref="T20">[1]!PropsSI("H","T",J20+273.15,"P",101325,"Water")</f>
        <v>241493.73906913548</v>
      </c>
      <c r="U20" cm="1">
        <f t="array" ref="U20">[1]!PropsSI("H","T",K20+273.15,"P",101325,"Water")</f>
        <v>226761.427476843</v>
      </c>
      <c r="V20">
        <f t="shared" si="2"/>
        <v>461.78762255116902</v>
      </c>
      <c r="X20">
        <f t="shared" si="3"/>
        <v>0.26533752999999999</v>
      </c>
      <c r="Y20">
        <f t="shared" si="3"/>
        <v>0.25829413600000001</v>
      </c>
      <c r="Z20">
        <f t="shared" si="9"/>
        <v>0.37029699636708824</v>
      </c>
      <c r="AA20">
        <f t="shared" si="8"/>
        <v>3.5216970000000032</v>
      </c>
      <c r="AB20">
        <f t="shared" si="5"/>
        <v>0.1056217714419013</v>
      </c>
      <c r="AC20">
        <f t="shared" si="6"/>
        <v>48.774826723798562</v>
      </c>
    </row>
    <row r="21" spans="1:29" x14ac:dyDescent="0.2">
      <c r="A21">
        <v>46137.070274722224</v>
      </c>
      <c r="B21">
        <v>17.288761999999998</v>
      </c>
      <c r="C21">
        <v>17.447569999999999</v>
      </c>
      <c r="D21">
        <v>18.431744999999999</v>
      </c>
      <c r="E21">
        <v>19.219352000000001</v>
      </c>
      <c r="F21">
        <v>39.463206999999997</v>
      </c>
      <c r="G21">
        <v>37.428156999999999</v>
      </c>
      <c r="H21">
        <v>34.143227000000003</v>
      </c>
      <c r="I21">
        <v>30.186349</v>
      </c>
      <c r="J21">
        <v>57.677841999999998</v>
      </c>
      <c r="K21">
        <v>54.151840999999997</v>
      </c>
      <c r="L21">
        <v>39.004429000000002</v>
      </c>
      <c r="M21">
        <v>-622.49183700000003</v>
      </c>
      <c r="N21">
        <v>1.908722</v>
      </c>
      <c r="O21">
        <v>4.2824669999999996</v>
      </c>
      <c r="P21">
        <f t="shared" si="0"/>
        <v>3.1812033333333333E-5</v>
      </c>
      <c r="Q21" cm="1">
        <f t="array" ref="Q21">[1]!PropsSI("D","T",J21+273.15,"P",101325,"Water")</f>
        <v>984.37443839007801</v>
      </c>
      <c r="R21" cm="1">
        <f t="array" ref="R21">[1]!PropsSI("D","T",K21+273.15,"P",101325,"Water")</f>
        <v>986.10152038525052</v>
      </c>
      <c r="S21">
        <f t="shared" si="1"/>
        <v>985.23797938766427</v>
      </c>
      <c r="T21" cm="1">
        <f t="array" ref="T21">[1]!PropsSI("H","T",J21+273.15,"P",101325,"Water")</f>
        <v>241531.71703370812</v>
      </c>
      <c r="U21" cm="1">
        <f t="array" ref="U21">[1]!PropsSI("H","T",K21+273.15,"P",101325,"Water")</f>
        <v>226781.39128604438</v>
      </c>
      <c r="V21">
        <f t="shared" si="2"/>
        <v>462.31095548402072</v>
      </c>
      <c r="X21">
        <f t="shared" si="3"/>
        <v>0.26535568399999998</v>
      </c>
      <c r="Y21">
        <f t="shared" si="3"/>
        <v>0.25830368199999998</v>
      </c>
      <c r="Z21">
        <f t="shared" si="9"/>
        <v>0.3703166633651056</v>
      </c>
      <c r="AA21">
        <f t="shared" si="8"/>
        <v>3.5260010000000008</v>
      </c>
      <c r="AB21">
        <f t="shared" si="5"/>
        <v>0.10549955358797047</v>
      </c>
      <c r="AC21">
        <f t="shared" si="6"/>
        <v>48.773599422392273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21D5-BE11-5042-8F6E-9CCFB81A5A85}">
  <dimension ref="A1:AC33"/>
  <sheetViews>
    <sheetView topLeftCell="N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44675.067620789399</v>
      </c>
      <c r="B2">
        <v>16.927091999999998</v>
      </c>
      <c r="C2">
        <v>17.072033999999999</v>
      </c>
      <c r="D2">
        <v>18.400732000000001</v>
      </c>
      <c r="E2">
        <v>18.781077</v>
      </c>
      <c r="F2">
        <v>34.959435999999997</v>
      </c>
      <c r="G2">
        <v>32.263745999999998</v>
      </c>
      <c r="H2">
        <v>31.364249000000001</v>
      </c>
      <c r="I2">
        <v>27.99447</v>
      </c>
      <c r="J2">
        <v>57.150472999999998</v>
      </c>
      <c r="K2">
        <v>52.540100000000002</v>
      </c>
      <c r="L2">
        <v>83.352821000000006</v>
      </c>
      <c r="M2">
        <v>-622.50489800000003</v>
      </c>
      <c r="N2">
        <v>1.9023289999999999</v>
      </c>
      <c r="O2">
        <v>4.627459</v>
      </c>
      <c r="P2">
        <f t="shared" ref="P2:P65" si="0" xml:space="preserve"> N2*0.001/60</f>
        <v>3.1705483333333333E-5</v>
      </c>
      <c r="Q2" cm="1">
        <f t="array" ref="Q2">[1]!PropsSI("D","T",J2+273.15,"P",101325,"Water")</f>
        <v>984.63759289835798</v>
      </c>
      <c r="R2" cm="1">
        <f t="array" ref="R2">[1]!PropsSI("D","T",K2+273.15,"P",101325,"Water")</f>
        <v>986.86520756492735</v>
      </c>
      <c r="S2">
        <f t="shared" ref="S2:S65" si="1">(Q2+R2)/2</f>
        <v>985.75140023164272</v>
      </c>
      <c r="T2" cm="1">
        <f t="array" ref="T2">[1]!PropsSI("H","T",J2+273.15,"P",101325,"Water")</f>
        <v>239325.27154281593</v>
      </c>
      <c r="U2" cm="1">
        <f t="array" ref="U2">[1]!PropsSI("H","T",K2+273.15,"P",101325,"Water")</f>
        <v>220040.47666644459</v>
      </c>
      <c r="V2">
        <f t="shared" ref="V2:V65" si="2">S2*P2*(T2-U2)</f>
        <v>602.72166785722857</v>
      </c>
      <c r="W2" s="3">
        <f>AVERAGE(V2:V33)</f>
        <v>594.22534135350543</v>
      </c>
      <c r="X2">
        <f>(0.15+0.002*ABS(J2))</f>
        <v>0.26430094599999998</v>
      </c>
      <c r="Y2">
        <f>(0.15+0.002*ABS(K2))</f>
        <v>0.25508019999999998</v>
      </c>
      <c r="Z2">
        <f>SQRT((X2)^2 + (Y2)^2)</f>
        <v>0.36731580212200904</v>
      </c>
      <c r="AA2">
        <f>J2-K2</f>
        <v>4.6103729999999956</v>
      </c>
      <c r="AB2">
        <f>SQRT((0.01)^2 + (Z2/ABS(AA2))^2)</f>
        <v>8.0296725613924716E-2</v>
      </c>
      <c r="AC2">
        <f>ABS(V2*AB2)</f>
        <v>48.396576385498953</v>
      </c>
    </row>
    <row r="3" spans="1:29" x14ac:dyDescent="0.2">
      <c r="A3">
        <v>44675.067655511601</v>
      </c>
      <c r="B3">
        <v>17.040355999999999</v>
      </c>
      <c r="C3">
        <v>17.205378</v>
      </c>
      <c r="D3">
        <v>18.39791</v>
      </c>
      <c r="E3">
        <v>18.817163999999998</v>
      </c>
      <c r="F3">
        <v>35.009872999999999</v>
      </c>
      <c r="G3">
        <v>31.987551</v>
      </c>
      <c r="H3">
        <v>31.129418999999999</v>
      </c>
      <c r="I3">
        <v>27.757843000000001</v>
      </c>
      <c r="J3">
        <v>57.153815999999999</v>
      </c>
      <c r="K3">
        <v>52.549163</v>
      </c>
      <c r="L3">
        <v>88.968457999999998</v>
      </c>
      <c r="M3">
        <v>-622.49102100000005</v>
      </c>
      <c r="N3">
        <v>1.908857</v>
      </c>
      <c r="O3">
        <v>4.4137519999999997</v>
      </c>
      <c r="P3">
        <f t="shared" si="0"/>
        <v>3.1814283333333335E-5</v>
      </c>
      <c r="Q3" cm="1">
        <f t="array" ref="Q3">[1]!PropsSI("D","T",J3+273.15,"P",101325,"Water")</f>
        <v>984.63593006754206</v>
      </c>
      <c r="R3" cm="1">
        <f t="array" ref="R3">[1]!PropsSI("D","T",K3+273.15,"P",101325,"Water")</f>
        <v>986.86095928750512</v>
      </c>
      <c r="S3">
        <f t="shared" si="1"/>
        <v>985.74844467752359</v>
      </c>
      <c r="T3" cm="1">
        <f t="array" ref="T3">[1]!PropsSI("H","T",J3+273.15,"P",101325,"Water")</f>
        <v>239339.25788631866</v>
      </c>
      <c r="U3" cm="1">
        <f t="array" ref="U3">[1]!PropsSI("H","T",K3+273.15,"P",101325,"Water")</f>
        <v>220078.37917130426</v>
      </c>
      <c r="V3">
        <f t="shared" si="2"/>
        <v>604.0381121310362</v>
      </c>
      <c r="W3" s="3" t="s">
        <v>33</v>
      </c>
      <c r="X3">
        <f t="shared" ref="X3:Y55" si="3">(0.15+0.002*ABS(J3))</f>
        <v>0.26430763200000001</v>
      </c>
      <c r="Y3">
        <f t="shared" si="3"/>
        <v>0.25509832599999999</v>
      </c>
      <c r="Z3">
        <f t="shared" ref="Z3:Z55" si="4">SQRT((X3)^2 + (Y3)^2)</f>
        <v>0.36733320059783553</v>
      </c>
      <c r="AA3">
        <f>J3-K3</f>
        <v>4.604652999999999</v>
      </c>
      <c r="AB3">
        <f t="shared" ref="AB3:AB66" si="5">SQRT((0.01)^2 + (Z3/ABS(AA3))^2)</f>
        <v>8.0398674969713563E-2</v>
      </c>
      <c r="AC3">
        <f t="shared" ref="AC3:AC66" si="6">ABS(V3*AB3)</f>
        <v>48.563863846542574</v>
      </c>
    </row>
    <row r="4" spans="1:29" x14ac:dyDescent="0.2">
      <c r="A4">
        <v>44675.067690233802</v>
      </c>
      <c r="B4">
        <v>17.057275000000001</v>
      </c>
      <c r="C4">
        <v>17.223752999999999</v>
      </c>
      <c r="D4">
        <v>18.390362</v>
      </c>
      <c r="E4">
        <v>18.814620000000001</v>
      </c>
      <c r="F4">
        <v>34.872391</v>
      </c>
      <c r="G4">
        <v>32.670858000000003</v>
      </c>
      <c r="H4">
        <v>30.73696</v>
      </c>
      <c r="I4">
        <v>27.699918</v>
      </c>
      <c r="J4">
        <v>57.156841</v>
      </c>
      <c r="K4">
        <v>52.563155000000002</v>
      </c>
      <c r="L4">
        <v>91.026722000000007</v>
      </c>
      <c r="M4">
        <v>-622.480817</v>
      </c>
      <c r="N4">
        <v>1.9055299999999999</v>
      </c>
      <c r="O4">
        <v>4.1664070000000004</v>
      </c>
      <c r="P4">
        <f t="shared" si="0"/>
        <v>3.1758833333333332E-5</v>
      </c>
      <c r="Q4" cm="1">
        <f t="array" ref="Q4">[1]!PropsSI("D","T",J4+273.15,"P",101325,"Water")</f>
        <v>984.63442535363015</v>
      </c>
      <c r="R4" cm="1">
        <f t="array" ref="R4">[1]!PropsSI("D","T",K4+273.15,"P",101325,"Water")</f>
        <v>986.85439951542219</v>
      </c>
      <c r="S4">
        <f t="shared" si="1"/>
        <v>985.74441243452611</v>
      </c>
      <c r="T4" cm="1">
        <f t="array" ref="T4">[1]!PropsSI("H","T",J4+273.15,"P",101325,"Water")</f>
        <v>239351.91379465564</v>
      </c>
      <c r="U4" cm="1">
        <f t="array" ref="U4">[1]!PropsSI("H","T",K4+273.15,"P",101325,"Water")</f>
        <v>220136.89537142968</v>
      </c>
      <c r="V4">
        <f t="shared" si="2"/>
        <v>601.5471442192088</v>
      </c>
      <c r="W4" s="3">
        <f>SQRT((AVERAGE(AC2:AC33))^2 + (_xlfn.STDEV.S(V2:V33)/SQRT(COUNT(V2:V33)))^2)</f>
        <v>48.510581331590423</v>
      </c>
      <c r="X4">
        <f t="shared" si="3"/>
        <v>0.26431368199999999</v>
      </c>
      <c r="Y4">
        <f t="shared" si="3"/>
        <v>0.25512630999999997</v>
      </c>
      <c r="Z4">
        <f t="shared" si="4"/>
        <v>0.3673569878831941</v>
      </c>
      <c r="AA4">
        <f t="shared" ref="AA4:AA67" si="7">J4-K4</f>
        <v>4.5936859999999982</v>
      </c>
      <c r="AB4">
        <f t="shared" si="5"/>
        <v>8.0592791619997481E-2</v>
      </c>
      <c r="AC4">
        <f t="shared" si="6"/>
        <v>48.480363643663267</v>
      </c>
    </row>
    <row r="5" spans="1:29" x14ac:dyDescent="0.2">
      <c r="A5">
        <v>44675.067725534798</v>
      </c>
      <c r="B5">
        <v>16.996782</v>
      </c>
      <c r="C5">
        <v>17.08663</v>
      </c>
      <c r="D5">
        <v>18.333569000000001</v>
      </c>
      <c r="E5">
        <v>18.823288000000002</v>
      </c>
      <c r="F5">
        <v>35.006497000000003</v>
      </c>
      <c r="G5">
        <v>33.105808000000003</v>
      </c>
      <c r="H5">
        <v>30.828596999999998</v>
      </c>
      <c r="I5">
        <v>27.242118999999999</v>
      </c>
      <c r="J5">
        <v>57.161777000000001</v>
      </c>
      <c r="K5">
        <v>52.573967000000003</v>
      </c>
      <c r="L5">
        <v>87.261196999999996</v>
      </c>
      <c r="M5">
        <v>-622.48653100000001</v>
      </c>
      <c r="N5">
        <v>1.898469</v>
      </c>
      <c r="O5">
        <v>4.2787559999999996</v>
      </c>
      <c r="P5">
        <f t="shared" si="0"/>
        <v>3.1641150000000001E-5</v>
      </c>
      <c r="Q5" cm="1">
        <f t="array" ref="Q5">[1]!PropsSI("D","T",J5+273.15,"P",101325,"Water")</f>
        <v>984.63196993912482</v>
      </c>
      <c r="R5" cm="1">
        <f t="array" ref="R5">[1]!PropsSI("D","T",K5+273.15,"P",101325,"Water")</f>
        <v>986.8493297461348</v>
      </c>
      <c r="S5">
        <f t="shared" si="1"/>
        <v>985.74064984262986</v>
      </c>
      <c r="T5" cm="1">
        <f t="array" ref="T5">[1]!PropsSI("H","T",J5+273.15,"P",101325,"Water")</f>
        <v>239372.56489782504</v>
      </c>
      <c r="U5" cm="1">
        <f t="array" ref="U5">[1]!PropsSI("H","T",K5+273.15,"P",101325,"Water")</f>
        <v>220182.11247856924</v>
      </c>
      <c r="V5">
        <f t="shared" si="2"/>
        <v>598.54959230952409</v>
      </c>
      <c r="W5" s="3"/>
      <c r="X5">
        <f t="shared" si="3"/>
        <v>0.26432355400000002</v>
      </c>
      <c r="Y5">
        <f t="shared" si="3"/>
        <v>0.25514793400000002</v>
      </c>
      <c r="Z5">
        <f t="shared" si="4"/>
        <v>0.36737910858357109</v>
      </c>
      <c r="AA5">
        <f t="shared" si="7"/>
        <v>4.5878099999999975</v>
      </c>
      <c r="AB5">
        <f t="shared" si="5"/>
        <v>8.0699209945366016E-2</v>
      </c>
      <c r="AC5">
        <f t="shared" si="6"/>
        <v>48.30247921249952</v>
      </c>
    </row>
    <row r="6" spans="1:29" x14ac:dyDescent="0.2">
      <c r="A6">
        <v>46137.067760833335</v>
      </c>
      <c r="B6">
        <v>16.988182999999999</v>
      </c>
      <c r="C6">
        <v>17.110150000000001</v>
      </c>
      <c r="D6">
        <v>18.277808</v>
      </c>
      <c r="E6">
        <v>18.827680999999998</v>
      </c>
      <c r="F6">
        <v>35.001013</v>
      </c>
      <c r="G6">
        <v>32.777518999999998</v>
      </c>
      <c r="H6">
        <v>30.771538</v>
      </c>
      <c r="I6">
        <v>28.092164</v>
      </c>
      <c r="J6">
        <v>57.166713000000001</v>
      </c>
      <c r="K6">
        <v>52.587164999999999</v>
      </c>
      <c r="L6">
        <v>86.100030000000004</v>
      </c>
      <c r="M6">
        <v>-622.49469399999998</v>
      </c>
      <c r="N6">
        <v>1.9097869999999999</v>
      </c>
      <c r="O6">
        <v>4.3200060000000002</v>
      </c>
      <c r="P6">
        <f t="shared" si="0"/>
        <v>3.1829783333333335E-5</v>
      </c>
      <c r="Q6" cm="1">
        <f t="array" ref="Q6">[1]!PropsSI("D","T",J6+273.15,"P",101325,"Water")</f>
        <v>984.62951437670188</v>
      </c>
      <c r="R6" cm="1">
        <f t="array" ref="R6">[1]!PropsSI("D","T",K6+273.15,"P",101325,"Water")</f>
        <v>986.84314016693656</v>
      </c>
      <c r="S6">
        <f t="shared" si="1"/>
        <v>985.73632727181916</v>
      </c>
      <c r="T6" cm="1">
        <f t="array" ref="T6">[1]!PropsSI("H","T",J6+273.15,"P",101325,"Water")</f>
        <v>239393.21601058586</v>
      </c>
      <c r="U6" cm="1">
        <f t="array" ref="U6">[1]!PropsSI("H","T",K6+273.15,"P",101325,"Water")</f>
        <v>220237.30818108225</v>
      </c>
      <c r="V6">
        <f t="shared" si="2"/>
        <v>601.03142947611309</v>
      </c>
      <c r="W6" s="3"/>
      <c r="X6">
        <f t="shared" si="3"/>
        <v>0.26433342599999998</v>
      </c>
      <c r="Y6">
        <f t="shared" si="3"/>
        <v>0.25517433</v>
      </c>
      <c r="Z6">
        <f t="shared" si="4"/>
        <v>0.36740454378225423</v>
      </c>
      <c r="AA6">
        <f>J6-K6</f>
        <v>4.5795480000000026</v>
      </c>
      <c r="AB6">
        <f t="shared" si="5"/>
        <v>8.0848077868877932E-2</v>
      </c>
      <c r="AC6">
        <f t="shared" si="6"/>
        <v>48.592235811927807</v>
      </c>
    </row>
    <row r="7" spans="1:29" x14ac:dyDescent="0.2">
      <c r="A7">
        <v>46137.067795555558</v>
      </c>
      <c r="B7">
        <v>16.859238000000001</v>
      </c>
      <c r="C7">
        <v>17.02017</v>
      </c>
      <c r="D7">
        <v>18.224792999999998</v>
      </c>
      <c r="E7">
        <v>18.819853999999999</v>
      </c>
      <c r="F7">
        <v>34.622027000000003</v>
      </c>
      <c r="G7">
        <v>32.101134999999999</v>
      </c>
      <c r="H7">
        <v>31.179475</v>
      </c>
      <c r="I7">
        <v>27.882842</v>
      </c>
      <c r="J7">
        <v>57.172443999999999</v>
      </c>
      <c r="K7">
        <v>52.582712999999998</v>
      </c>
      <c r="L7">
        <v>86.193903000000006</v>
      </c>
      <c r="M7">
        <v>-622.48571500000003</v>
      </c>
      <c r="N7">
        <v>1.9072100000000001</v>
      </c>
      <c r="O7">
        <v>4.3212770000000003</v>
      </c>
      <c r="P7">
        <f t="shared" si="0"/>
        <v>3.1786833333333332E-5</v>
      </c>
      <c r="Q7" cm="1">
        <f t="array" ref="Q7">[1]!PropsSI("D","T",J7+273.15,"P",101325,"Water")</f>
        <v>984.62666313189982</v>
      </c>
      <c r="R7" cm="1">
        <f t="array" ref="R7">[1]!PropsSI("D","T",K7+273.15,"P",101325,"Water")</f>
        <v>986.84522818358107</v>
      </c>
      <c r="S7">
        <f t="shared" si="1"/>
        <v>985.73594565774044</v>
      </c>
      <c r="T7" cm="1">
        <f t="array" ref="T7">[1]!PropsSI("H","T",J7+273.15,"P",101325,"Water")</f>
        <v>239417.19323643428</v>
      </c>
      <c r="U7" cm="1">
        <f t="array" ref="U7">[1]!PropsSI("H","T",K7+273.15,"P",101325,"Water")</f>
        <v>220218.68934861771</v>
      </c>
      <c r="V7">
        <f t="shared" si="2"/>
        <v>601.55486661601049</v>
      </c>
      <c r="W7" s="3"/>
      <c r="X7">
        <f t="shared" si="3"/>
        <v>0.264344888</v>
      </c>
      <c r="Y7">
        <f t="shared" si="3"/>
        <v>0.25516542599999997</v>
      </c>
      <c r="Z7">
        <f t="shared" si="4"/>
        <v>0.367406606415146</v>
      </c>
      <c r="AA7">
        <f t="shared" ref="AA7:AA70" si="8">J7-K7</f>
        <v>4.5897310000000004</v>
      </c>
      <c r="AB7">
        <f t="shared" si="5"/>
        <v>8.0671897557740221E-2</v>
      </c>
      <c r="AC7">
        <f t="shared" si="6"/>
        <v>48.528572575006883</v>
      </c>
    </row>
    <row r="8" spans="1:29" x14ac:dyDescent="0.2">
      <c r="A8">
        <v>46137.067830856482</v>
      </c>
      <c r="B8">
        <v>16.811821999999999</v>
      </c>
      <c r="C8">
        <v>16.959658999999998</v>
      </c>
      <c r="D8">
        <v>18.242491000000001</v>
      </c>
      <c r="E8">
        <v>18.800481999999999</v>
      </c>
      <c r="F8">
        <v>35.24821</v>
      </c>
      <c r="G8">
        <v>32.877012999999998</v>
      </c>
      <c r="H8">
        <v>31.375897999999999</v>
      </c>
      <c r="I8">
        <v>27.828901999999999</v>
      </c>
      <c r="J8">
        <v>57.176583999999998</v>
      </c>
      <c r="K8">
        <v>52.592730000000003</v>
      </c>
      <c r="L8">
        <v>83.111199999999997</v>
      </c>
      <c r="M8">
        <v>-622.50489800000003</v>
      </c>
      <c r="N8">
        <v>1.9026449999999999</v>
      </c>
      <c r="O8">
        <v>4.5242969999999998</v>
      </c>
      <c r="P8">
        <f t="shared" si="0"/>
        <v>3.1710749999999998E-5</v>
      </c>
      <c r="Q8" cm="1">
        <f t="array" ref="Q8">[1]!PropsSI("D","T",J8+273.15,"P",101325,"Water")</f>
        <v>984.62460330562203</v>
      </c>
      <c r="R8" cm="1">
        <f t="array" ref="R8">[1]!PropsSI("D","T",K8+273.15,"P",101325,"Water")</f>
        <v>986.84052996853723</v>
      </c>
      <c r="S8">
        <f t="shared" si="1"/>
        <v>985.73256663707957</v>
      </c>
      <c r="T8" cm="1">
        <f t="array" ref="T8">[1]!PropsSI("H","T",J8+273.15,"P",101325,"Water")</f>
        <v>239434.51408119287</v>
      </c>
      <c r="U8" cm="1">
        <f t="array" ref="U8">[1]!PropsSI("H","T",K8+273.15,"P",101325,"Water")</f>
        <v>220260.58173075243</v>
      </c>
      <c r="V8">
        <f t="shared" si="2"/>
        <v>599.34489365455931</v>
      </c>
      <c r="W8" s="3"/>
      <c r="X8">
        <f t="shared" si="3"/>
        <v>0.26435316799999997</v>
      </c>
      <c r="Y8">
        <f t="shared" si="3"/>
        <v>0.25518545999999998</v>
      </c>
      <c r="Z8">
        <f>SQRT((X8)^2 + (Y8)^2)</f>
        <v>0.3674264775802743</v>
      </c>
      <c r="AA8">
        <f t="shared" si="8"/>
        <v>4.5838539999999952</v>
      </c>
      <c r="AB8">
        <f t="shared" si="5"/>
        <v>8.0778041115423291E-2</v>
      </c>
      <c r="AC8">
        <f t="shared" si="6"/>
        <v>48.413906461946993</v>
      </c>
    </row>
    <row r="9" spans="1:29" x14ac:dyDescent="0.2">
      <c r="A9">
        <v>46137.067866157406</v>
      </c>
      <c r="B9">
        <v>16.746402</v>
      </c>
      <c r="C9">
        <v>16.952967000000001</v>
      </c>
      <c r="D9">
        <v>18.098255000000002</v>
      </c>
      <c r="E9">
        <v>18.781084</v>
      </c>
      <c r="F9">
        <v>34.447912000000002</v>
      </c>
      <c r="G9">
        <v>31.275399</v>
      </c>
      <c r="H9">
        <v>30.693584000000001</v>
      </c>
      <c r="I9">
        <v>27.101181</v>
      </c>
      <c r="J9">
        <v>57.182156999999997</v>
      </c>
      <c r="K9">
        <v>52.596228000000004</v>
      </c>
      <c r="L9">
        <v>87.572201000000007</v>
      </c>
      <c r="M9">
        <v>-622.48408199999994</v>
      </c>
      <c r="N9">
        <v>1.911656</v>
      </c>
      <c r="O9">
        <v>4.4060509999999997</v>
      </c>
      <c r="P9">
        <f t="shared" si="0"/>
        <v>3.1860933333333332E-5</v>
      </c>
      <c r="Q9" cm="1">
        <f t="array" ref="Q9">[1]!PropsSI("D","T",J9+273.15,"P",101325,"Water")</f>
        <v>984.62183033650092</v>
      </c>
      <c r="R9" cm="1">
        <f t="array" ref="R9">[1]!PropsSI("D","T",K9+273.15,"P",101325,"Water")</f>
        <v>986.83888917142451</v>
      </c>
      <c r="S9">
        <f t="shared" si="1"/>
        <v>985.73035975396272</v>
      </c>
      <c r="T9" cm="1">
        <f t="array" ref="T9">[1]!PropsSI("H","T",J9+273.15,"P",101325,"Water")</f>
        <v>239457.83029179682</v>
      </c>
      <c r="U9" cm="1">
        <f t="array" ref="U9">[1]!PropsSI("H","T",K9+273.15,"P",101325,"Water")</f>
        <v>220275.21082421514</v>
      </c>
      <c r="V9">
        <f t="shared" si="2"/>
        <v>602.45489608494881</v>
      </c>
      <c r="W9" s="3"/>
      <c r="X9">
        <f t="shared" si="3"/>
        <v>0.26436431399999999</v>
      </c>
      <c r="Y9">
        <f t="shared" si="3"/>
        <v>0.25519245600000001</v>
      </c>
      <c r="Z9">
        <f t="shared" ref="Z9:Z72" si="9">SQRT((X9)^2 + (Y9)^2)</f>
        <v>0.3674393556983282</v>
      </c>
      <c r="AA9">
        <f t="shared" si="8"/>
        <v>4.585928999999993</v>
      </c>
      <c r="AB9">
        <f t="shared" si="5"/>
        <v>8.0744838219106399E-2</v>
      </c>
      <c r="AC9">
        <f t="shared" si="6"/>
        <v>48.645123118687749</v>
      </c>
    </row>
    <row r="10" spans="1:29" x14ac:dyDescent="0.2">
      <c r="A10">
        <v>44675.067901460701</v>
      </c>
      <c r="B10">
        <v>16.799610000000001</v>
      </c>
      <c r="C10">
        <v>16.952231999999999</v>
      </c>
      <c r="D10">
        <v>18.243375</v>
      </c>
      <c r="E10">
        <v>18.782993999999999</v>
      </c>
      <c r="F10">
        <v>34.586855999999997</v>
      </c>
      <c r="G10">
        <v>32.892632999999996</v>
      </c>
      <c r="H10">
        <v>30.866672000000001</v>
      </c>
      <c r="I10">
        <v>27.863557</v>
      </c>
      <c r="J10">
        <v>57.187252000000001</v>
      </c>
      <c r="K10">
        <v>52.597817999999997</v>
      </c>
      <c r="L10">
        <v>90.287983999999994</v>
      </c>
      <c r="M10">
        <v>-622.50571400000001</v>
      </c>
      <c r="N10">
        <v>1.9030629999999999</v>
      </c>
      <c r="O10">
        <v>4.4742540000000002</v>
      </c>
      <c r="P10">
        <f t="shared" si="0"/>
        <v>3.1717716666666666E-5</v>
      </c>
      <c r="Q10" cm="1">
        <f t="array" ref="Q10">[1]!PropsSI("D","T",J10+273.15,"P",101325,"Water")</f>
        <v>984.61929504185741</v>
      </c>
      <c r="R10" cm="1">
        <f t="array" ref="R10">[1]!PropsSI("D","T",K10+273.15,"P",101325,"Water")</f>
        <v>986.83814332879876</v>
      </c>
      <c r="S10">
        <f t="shared" si="1"/>
        <v>985.72871918532815</v>
      </c>
      <c r="T10" cm="1">
        <f t="array" ref="T10">[1]!PropsSI("H","T",J10+273.15,"P",101325,"Water")</f>
        <v>239479.14666589414</v>
      </c>
      <c r="U10" cm="1">
        <f t="array" ref="U10">[1]!PropsSI("H","T",K10+273.15,"P",101325,"Water")</f>
        <v>220281.86041347485</v>
      </c>
      <c r="V10">
        <f t="shared" si="2"/>
        <v>600.20438763367395</v>
      </c>
      <c r="X10">
        <f t="shared" si="3"/>
        <v>0.26437450400000001</v>
      </c>
      <c r="Y10">
        <f t="shared" si="3"/>
        <v>0.255195636</v>
      </c>
      <c r="Z10">
        <f t="shared" si="9"/>
        <v>0.3674488957646907</v>
      </c>
      <c r="AA10">
        <f t="shared" si="8"/>
        <v>4.5894340000000042</v>
      </c>
      <c r="AB10">
        <f t="shared" si="5"/>
        <v>8.0686181382910102E-2</v>
      </c>
      <c r="AC10">
        <f t="shared" si="6"/>
        <v>48.428200087429104</v>
      </c>
    </row>
    <row r="11" spans="1:29" x14ac:dyDescent="0.2">
      <c r="A11">
        <v>44675.067936761603</v>
      </c>
      <c r="B11">
        <v>16.767896</v>
      </c>
      <c r="C11">
        <v>16.951084999999999</v>
      </c>
      <c r="D11">
        <v>18.224492999999999</v>
      </c>
      <c r="E11">
        <v>18.778438999999999</v>
      </c>
      <c r="F11">
        <v>34.576028999999998</v>
      </c>
      <c r="G11">
        <v>33.211640000000003</v>
      </c>
      <c r="H11">
        <v>30.741143999999998</v>
      </c>
      <c r="I11">
        <v>27.265332000000001</v>
      </c>
      <c r="J11">
        <v>57.191868999999997</v>
      </c>
      <c r="K11">
        <v>52.602111000000001</v>
      </c>
      <c r="L11">
        <v>78.521225999999999</v>
      </c>
      <c r="M11">
        <v>-622.48693900000001</v>
      </c>
      <c r="N11">
        <v>1.905681</v>
      </c>
      <c r="O11">
        <v>4.1409779999999996</v>
      </c>
      <c r="P11">
        <f t="shared" si="0"/>
        <v>3.176135E-5</v>
      </c>
      <c r="Q11" cm="1">
        <f t="array" ref="Q11">[1]!PropsSI("D","T",J11+273.15,"P",101325,"Water")</f>
        <v>984.61699746604779</v>
      </c>
      <c r="R11" cm="1">
        <f t="array" ref="R11">[1]!PropsSI("D","T",K11+273.15,"P",101325,"Water")</f>
        <v>986.83612947324718</v>
      </c>
      <c r="S11">
        <f t="shared" si="1"/>
        <v>985.72656346964754</v>
      </c>
      <c r="T11" cm="1">
        <f t="array" ref="T11">[1]!PropsSI("H","T",J11+273.15,"P",101325,"Water")</f>
        <v>239498.46320061904</v>
      </c>
      <c r="U11" cm="1">
        <f t="array" ref="U11">[1]!PropsSI("H","T",K11+273.15,"P",101325,"Water")</f>
        <v>220299.81430860641</v>
      </c>
      <c r="V11">
        <f t="shared" si="2"/>
        <v>601.07142212631084</v>
      </c>
      <c r="X11">
        <f t="shared" si="3"/>
        <v>0.26438373799999998</v>
      </c>
      <c r="Y11">
        <f t="shared" si="3"/>
        <v>0.25520422199999998</v>
      </c>
      <c r="Z11">
        <f t="shared" si="9"/>
        <v>0.36746150253526955</v>
      </c>
      <c r="AA11">
        <f t="shared" si="8"/>
        <v>4.5897579999999962</v>
      </c>
      <c r="AB11">
        <f t="shared" si="5"/>
        <v>8.0683298618770438E-2</v>
      </c>
      <c r="AC11">
        <f t="shared" si="6"/>
        <v>48.496425042626157</v>
      </c>
    </row>
    <row r="12" spans="1:29" x14ac:dyDescent="0.2">
      <c r="A12">
        <v>44675.067972062498</v>
      </c>
      <c r="B12">
        <v>17.013338000000001</v>
      </c>
      <c r="C12">
        <v>17.110569000000002</v>
      </c>
      <c r="D12">
        <v>18.311758999999999</v>
      </c>
      <c r="E12">
        <v>18.77853</v>
      </c>
      <c r="F12">
        <v>35.180404000000003</v>
      </c>
      <c r="G12">
        <v>32.794975999999998</v>
      </c>
      <c r="H12">
        <v>31.010083999999999</v>
      </c>
      <c r="I12">
        <v>28.078862999999998</v>
      </c>
      <c r="J12">
        <v>57.195689999999999</v>
      </c>
      <c r="K12">
        <v>52.608947999999998</v>
      </c>
      <c r="L12">
        <v>78.578773999999996</v>
      </c>
      <c r="M12">
        <v>-622.50857099999996</v>
      </c>
      <c r="N12">
        <v>1.9084350000000001</v>
      </c>
      <c r="O12">
        <v>4.3269060000000001</v>
      </c>
      <c r="P12">
        <f t="shared" si="0"/>
        <v>3.1807250000000006E-5</v>
      </c>
      <c r="Q12" cm="1">
        <f t="array" ref="Q12">[1]!PropsSI("D","T",J12+273.15,"P",101325,"Water")</f>
        <v>984.61509590896924</v>
      </c>
      <c r="R12" cm="1">
        <f t="array" ref="R12">[1]!PropsSI("D","T",K12+273.15,"P",101325,"Water")</f>
        <v>986.83292197944843</v>
      </c>
      <c r="S12">
        <f t="shared" si="1"/>
        <v>985.72400894420889</v>
      </c>
      <c r="T12" cm="1">
        <f t="array" ref="T12">[1]!PropsSI("H","T",J12+273.15,"P",101325,"Water")</f>
        <v>239514.44944893234</v>
      </c>
      <c r="U12" cm="1">
        <f t="array" ref="U12">[1]!PropsSI("H","T",K12+273.15,"P",101325,"Water")</f>
        <v>220328.4075613282</v>
      </c>
      <c r="V12">
        <f t="shared" si="2"/>
        <v>601.54323261242507</v>
      </c>
      <c r="X12">
        <f t="shared" si="3"/>
        <v>0.26439138000000001</v>
      </c>
      <c r="Y12">
        <f t="shared" si="3"/>
        <v>0.255217896</v>
      </c>
      <c r="Z12">
        <f t="shared" si="9"/>
        <v>0.36747649755728762</v>
      </c>
      <c r="AA12">
        <f t="shared" si="8"/>
        <v>4.586742000000001</v>
      </c>
      <c r="AB12">
        <f t="shared" si="5"/>
        <v>8.0738781033960427E-2</v>
      </c>
      <c r="AC12">
        <f t="shared" si="6"/>
        <v>48.567867340355313</v>
      </c>
    </row>
    <row r="13" spans="1:29" x14ac:dyDescent="0.2">
      <c r="A13">
        <v>44675.068007363501</v>
      </c>
      <c r="B13">
        <v>17.291284000000001</v>
      </c>
      <c r="C13">
        <v>17.581253</v>
      </c>
      <c r="D13">
        <v>18.455165999999998</v>
      </c>
      <c r="E13">
        <v>18.785264999999999</v>
      </c>
      <c r="F13">
        <v>34.683140999999999</v>
      </c>
      <c r="G13">
        <v>33.523066</v>
      </c>
      <c r="H13">
        <v>30.313434000000001</v>
      </c>
      <c r="I13">
        <v>27.705086999999999</v>
      </c>
      <c r="J13">
        <v>57.201104000000001</v>
      </c>
      <c r="K13">
        <v>52.617534999999997</v>
      </c>
      <c r="L13">
        <v>82.739382000000006</v>
      </c>
      <c r="M13">
        <v>-622.46979699999997</v>
      </c>
      <c r="N13">
        <v>1.9064639999999999</v>
      </c>
      <c r="O13">
        <v>4.3659829999999999</v>
      </c>
      <c r="P13">
        <f t="shared" si="0"/>
        <v>3.1774399999999999E-5</v>
      </c>
      <c r="Q13" cm="1">
        <f t="array" ref="Q13">[1]!PropsSI("D","T",J13+273.15,"P",101325,"Water")</f>
        <v>984.61240142853762</v>
      </c>
      <c r="R13" cm="1">
        <f t="array" ref="R13">[1]!PropsSI("D","T",K13+273.15,"P",101325,"Water")</f>
        <v>986.82889307306061</v>
      </c>
      <c r="S13">
        <f t="shared" si="1"/>
        <v>985.72064725079917</v>
      </c>
      <c r="T13" cm="1">
        <f t="array" ref="T13">[1]!PropsSI("H","T",J13+273.15,"P",101325,"Water")</f>
        <v>239537.10047906594</v>
      </c>
      <c r="U13" cm="1">
        <f t="array" ref="U13">[1]!PropsSI("H","T",K13+273.15,"P",101325,"Water")</f>
        <v>220364.319570666</v>
      </c>
      <c r="V13">
        <f t="shared" si="2"/>
        <v>600.50457645692916</v>
      </c>
      <c r="X13">
        <f t="shared" si="3"/>
        <v>0.26440220800000003</v>
      </c>
      <c r="Y13">
        <f t="shared" si="3"/>
        <v>0.25523507000000001</v>
      </c>
      <c r="Z13">
        <f t="shared" si="9"/>
        <v>0.36749621569912821</v>
      </c>
      <c r="AA13">
        <f t="shared" si="8"/>
        <v>4.5835690000000042</v>
      </c>
      <c r="AB13">
        <f t="shared" si="5"/>
        <v>8.0798084616856197E-2</v>
      </c>
      <c r="AC13">
        <f t="shared" si="6"/>
        <v>48.519619581376354</v>
      </c>
    </row>
    <row r="14" spans="1:29" x14ac:dyDescent="0.2">
      <c r="A14">
        <v>44675.068042085702</v>
      </c>
      <c r="B14">
        <v>17.643747000000001</v>
      </c>
      <c r="C14">
        <v>17.890740000000001</v>
      </c>
      <c r="D14">
        <v>18.655930000000001</v>
      </c>
      <c r="E14">
        <v>18.904605</v>
      </c>
      <c r="F14">
        <v>35.744847</v>
      </c>
      <c r="G14">
        <v>33.713135999999999</v>
      </c>
      <c r="H14">
        <v>30.989688999999998</v>
      </c>
      <c r="I14">
        <v>28.537251000000001</v>
      </c>
      <c r="J14">
        <v>57.205720999999997</v>
      </c>
      <c r="K14">
        <v>52.631686000000002</v>
      </c>
      <c r="L14">
        <v>83.226297000000002</v>
      </c>
      <c r="M14">
        <v>-622.49469399999998</v>
      </c>
      <c r="N14">
        <v>1.9025049999999999</v>
      </c>
      <c r="O14">
        <v>4.3218870000000003</v>
      </c>
      <c r="P14">
        <f t="shared" si="0"/>
        <v>3.1708416666666666E-5</v>
      </c>
      <c r="Q14" cm="1">
        <f t="array" ref="Q14">[1]!PropsSI("D","T",J14+273.15,"P",101325,"Water")</f>
        <v>984.61010346452292</v>
      </c>
      <c r="R14" cm="1">
        <f t="array" ref="R14">[1]!PropsSI("D","T",K14+273.15,"P",101325,"Water")</f>
        <v>986.82225258710992</v>
      </c>
      <c r="S14">
        <f t="shared" si="1"/>
        <v>985.71617802581636</v>
      </c>
      <c r="T14" cm="1">
        <f t="array" ref="T14">[1]!PropsSI("H","T",J14+273.15,"P",101325,"Water")</f>
        <v>239556.4170390653</v>
      </c>
      <c r="U14" cm="1">
        <f t="array" ref="U14">[1]!PropsSI("H","T",K14+273.15,"P",101325,"Water")</f>
        <v>220423.50104189655</v>
      </c>
      <c r="V14">
        <f t="shared" si="2"/>
        <v>598.00884232527892</v>
      </c>
      <c r="X14">
        <f t="shared" si="3"/>
        <v>0.264411442</v>
      </c>
      <c r="Y14">
        <f t="shared" si="3"/>
        <v>0.25526337199999999</v>
      </c>
      <c r="Z14">
        <f t="shared" si="9"/>
        <v>0.36752251597055891</v>
      </c>
      <c r="AA14">
        <f t="shared" si="8"/>
        <v>4.574034999999995</v>
      </c>
      <c r="AB14">
        <f t="shared" si="5"/>
        <v>8.0969626842852513E-2</v>
      </c>
      <c r="AC14">
        <f t="shared" si="6"/>
        <v>48.420552811804058</v>
      </c>
    </row>
    <row r="15" spans="1:29" x14ac:dyDescent="0.2">
      <c r="A15">
        <v>46137.068076805554</v>
      </c>
      <c r="B15">
        <v>17.935972</v>
      </c>
      <c r="C15">
        <v>18.143077999999999</v>
      </c>
      <c r="D15">
        <v>18.761184</v>
      </c>
      <c r="E15">
        <v>18.911289</v>
      </c>
      <c r="F15">
        <v>35.588406999999997</v>
      </c>
      <c r="G15">
        <v>33.870269</v>
      </c>
      <c r="H15">
        <v>31.333428000000001</v>
      </c>
      <c r="I15">
        <v>28.228679</v>
      </c>
      <c r="J15">
        <v>57.210498000000001</v>
      </c>
      <c r="K15">
        <v>52.648063999999998</v>
      </c>
      <c r="L15">
        <v>86.845298999999997</v>
      </c>
      <c r="M15">
        <v>-622.48408199999994</v>
      </c>
      <c r="N15">
        <v>1.9044970000000001</v>
      </c>
      <c r="O15">
        <v>4.3497680000000001</v>
      </c>
      <c r="P15">
        <f t="shared" si="0"/>
        <v>3.1741616666666671E-5</v>
      </c>
      <c r="Q15" cm="1">
        <f t="array" ref="Q15">[1]!PropsSI("D","T",J15+273.15,"P",101325,"Water")</f>
        <v>984.60772572945257</v>
      </c>
      <c r="R15" cm="1">
        <f t="array" ref="R15">[1]!PropsSI("D","T",K15+273.15,"P",101325,"Water")</f>
        <v>986.81456546916604</v>
      </c>
      <c r="S15">
        <f t="shared" si="1"/>
        <v>985.71114559930925</v>
      </c>
      <c r="T15" cm="1">
        <f t="array" ref="T15">[1]!PropsSI("H","T",J15+273.15,"P",101325,"Water")</f>
        <v>239576.40301431384</v>
      </c>
      <c r="U15" cm="1">
        <f t="array" ref="U15">[1]!PropsSI("H","T",K15+273.15,"P",101325,"Water")</f>
        <v>220491.99622156605</v>
      </c>
      <c r="V15">
        <f t="shared" si="2"/>
        <v>597.11416647140084</v>
      </c>
      <c r="X15">
        <f t="shared" si="3"/>
        <v>0.26442099600000002</v>
      </c>
      <c r="Y15">
        <f t="shared" si="3"/>
        <v>0.25529612800000001</v>
      </c>
      <c r="Z15">
        <f t="shared" si="9"/>
        <v>0.36755214065139713</v>
      </c>
      <c r="AA15">
        <f t="shared" si="8"/>
        <v>4.5624340000000032</v>
      </c>
      <c r="AB15">
        <f t="shared" si="5"/>
        <v>8.1178817369848194E-2</v>
      </c>
      <c r="AC15">
        <f t="shared" si="6"/>
        <v>48.473021868930978</v>
      </c>
    </row>
    <row r="16" spans="1:29" x14ac:dyDescent="0.2">
      <c r="A16">
        <v>46137.068112106484</v>
      </c>
      <c r="B16">
        <v>17.859165999999998</v>
      </c>
      <c r="C16">
        <v>18.197997000000001</v>
      </c>
      <c r="D16">
        <v>18.798228000000002</v>
      </c>
      <c r="E16">
        <v>18.970469999999999</v>
      </c>
      <c r="F16">
        <v>35.318579999999997</v>
      </c>
      <c r="G16">
        <v>32.929977999999998</v>
      </c>
      <c r="H16">
        <v>31.126225000000002</v>
      </c>
      <c r="I16">
        <v>27.723331999999999</v>
      </c>
      <c r="J16">
        <v>57.214796999999997</v>
      </c>
      <c r="K16">
        <v>52.666986000000001</v>
      </c>
      <c r="L16">
        <v>81.600256000000002</v>
      </c>
      <c r="M16">
        <v>-622.50081599999999</v>
      </c>
      <c r="N16">
        <v>1.8998170000000001</v>
      </c>
      <c r="O16">
        <v>4.4347580000000004</v>
      </c>
      <c r="P16">
        <f t="shared" si="0"/>
        <v>3.166361666666667E-5</v>
      </c>
      <c r="Q16" cm="1">
        <f t="array" ref="Q16">[1]!PropsSI("D","T",J16+273.15,"P",101325,"Water")</f>
        <v>984.60558579883377</v>
      </c>
      <c r="R16" cm="1">
        <f t="array" ref="R16">[1]!PropsSI("D","T",K16+273.15,"P",101325,"Water")</f>
        <v>986.8056821824506</v>
      </c>
      <c r="S16">
        <f t="shared" si="1"/>
        <v>985.70563399064213</v>
      </c>
      <c r="T16" cm="1">
        <f t="array" ref="T16">[1]!PropsSI("H","T",J16+273.15,"P",101325,"Water")</f>
        <v>239594.38914463337</v>
      </c>
      <c r="U16" cm="1">
        <f t="array" ref="U16">[1]!PropsSI("H","T",K16+273.15,"P",101325,"Water")</f>
        <v>220571.13088809059</v>
      </c>
      <c r="V16">
        <f t="shared" si="2"/>
        <v>593.73501504538922</v>
      </c>
      <c r="X16">
        <f t="shared" si="3"/>
        <v>0.26442959399999999</v>
      </c>
      <c r="Y16">
        <f t="shared" si="3"/>
        <v>0.25533397200000002</v>
      </c>
      <c r="Z16">
        <f t="shared" si="9"/>
        <v>0.36758461262721759</v>
      </c>
      <c r="AA16">
        <f t="shared" si="8"/>
        <v>4.5478109999999958</v>
      </c>
      <c r="AB16">
        <f t="shared" si="5"/>
        <v>8.1442970652449279E-2</v>
      </c>
      <c r="AC16">
        <f t="shared" si="6"/>
        <v>48.355543405673167</v>
      </c>
    </row>
    <row r="17" spans="1:29" x14ac:dyDescent="0.2">
      <c r="A17">
        <v>46137.0681468287</v>
      </c>
      <c r="B17">
        <v>17.914131999999999</v>
      </c>
      <c r="C17">
        <v>18.327059999999999</v>
      </c>
      <c r="D17">
        <v>18.855594</v>
      </c>
      <c r="E17">
        <v>19.065652</v>
      </c>
      <c r="F17">
        <v>35.479030000000002</v>
      </c>
      <c r="G17">
        <v>32.103515999999999</v>
      </c>
      <c r="H17">
        <v>31.337831999999999</v>
      </c>
      <c r="I17">
        <v>28.046733</v>
      </c>
      <c r="J17">
        <v>57.220210000000002</v>
      </c>
      <c r="K17">
        <v>52.679389</v>
      </c>
      <c r="L17">
        <v>79.922380000000004</v>
      </c>
      <c r="M17">
        <v>-622.44081900000003</v>
      </c>
      <c r="N17">
        <v>1.903907</v>
      </c>
      <c r="O17">
        <v>4.3091920000000004</v>
      </c>
      <c r="P17">
        <f t="shared" si="0"/>
        <v>3.1731783333333337E-5</v>
      </c>
      <c r="Q17" cm="1">
        <f t="array" ref="Q17">[1]!PropsSI("D","T",J17+273.15,"P",101325,"Water")</f>
        <v>984.6028911884066</v>
      </c>
      <c r="R17" cm="1">
        <f t="array" ref="R17">[1]!PropsSI("D","T",K17+273.15,"P",101325,"Water")</f>
        <v>986.79985812561233</v>
      </c>
      <c r="S17">
        <f t="shared" si="1"/>
        <v>985.70137465700941</v>
      </c>
      <c r="T17" cm="1">
        <f t="array" ref="T17">[1]!PropsSI("H","T",J17+273.15,"P",101325,"Water")</f>
        <v>239617.03603184212</v>
      </c>
      <c r="U17" cm="1">
        <f t="array" ref="U17">[1]!PropsSI("H","T",K17+273.15,"P",101325,"Water")</f>
        <v>220623.00217367304</v>
      </c>
      <c r="V17">
        <f t="shared" si="2"/>
        <v>594.09657723093085</v>
      </c>
      <c r="X17">
        <f t="shared" si="3"/>
        <v>0.26444042000000001</v>
      </c>
      <c r="Y17">
        <f t="shared" si="3"/>
        <v>0.25535877800000001</v>
      </c>
      <c r="Z17">
        <f t="shared" si="9"/>
        <v>0.36760963158142324</v>
      </c>
      <c r="AA17">
        <f t="shared" si="8"/>
        <v>4.5408210000000011</v>
      </c>
      <c r="AB17">
        <f t="shared" si="5"/>
        <v>8.1571920989490218E-2</v>
      </c>
      <c r="AC17">
        <f t="shared" si="6"/>
        <v>48.461599058008062</v>
      </c>
    </row>
    <row r="18" spans="1:29" x14ac:dyDescent="0.2">
      <c r="A18">
        <v>46137.068181550923</v>
      </c>
      <c r="B18">
        <v>17.930228</v>
      </c>
      <c r="C18">
        <v>18.343886000000001</v>
      </c>
      <c r="D18">
        <v>18.941291</v>
      </c>
      <c r="E18">
        <v>19.140848999999999</v>
      </c>
      <c r="F18">
        <v>35.332987000000003</v>
      </c>
      <c r="G18">
        <v>32.813927999999997</v>
      </c>
      <c r="H18">
        <v>30.651447000000001</v>
      </c>
      <c r="I18">
        <v>28.165959999999998</v>
      </c>
      <c r="J18">
        <v>57.224986999999999</v>
      </c>
      <c r="K18">
        <v>52.691155000000002</v>
      </c>
      <c r="L18">
        <v>80.812539999999998</v>
      </c>
      <c r="M18">
        <v>-622.50816299999997</v>
      </c>
      <c r="N18">
        <v>1.9086110000000001</v>
      </c>
      <c r="O18">
        <v>3.9711249999999998</v>
      </c>
      <c r="P18">
        <f t="shared" si="0"/>
        <v>3.1810183333333339E-5</v>
      </c>
      <c r="Q18" cm="1">
        <f t="array" ref="Q18">[1]!PropsSI("D","T",J18+273.15,"P",101325,"Water")</f>
        <v>984.60051303331363</v>
      </c>
      <c r="R18" cm="1">
        <f t="array" ref="R18">[1]!PropsSI("D","T",K18+273.15,"P",101325,"Water")</f>
        <v>986.79433227891104</v>
      </c>
      <c r="S18">
        <f t="shared" si="1"/>
        <v>985.69742265611239</v>
      </c>
      <c r="T18" cm="1">
        <f t="array" ref="T18">[1]!PropsSI("H","T",J18+273.15,"P",101325,"Water")</f>
        <v>239637.02203446979</v>
      </c>
      <c r="U18" cm="1">
        <f t="array" ref="U18">[1]!PropsSI("H","T",K18+273.15,"P",101325,"Water")</f>
        <v>220672.2094719923</v>
      </c>
      <c r="V18">
        <f t="shared" si="2"/>
        <v>594.64578909745717</v>
      </c>
      <c r="X18">
        <f t="shared" si="3"/>
        <v>0.26444997399999998</v>
      </c>
      <c r="Y18">
        <f t="shared" si="3"/>
        <v>0.25538231</v>
      </c>
      <c r="Z18">
        <f t="shared" si="9"/>
        <v>0.36763285083019548</v>
      </c>
      <c r="AA18">
        <f t="shared" si="8"/>
        <v>4.5338319999999968</v>
      </c>
      <c r="AB18">
        <f t="shared" si="5"/>
        <v>8.1700860351739471E-2</v>
      </c>
      <c r="AC18">
        <f t="shared" si="6"/>
        <v>48.583072573801267</v>
      </c>
    </row>
    <row r="19" spans="1:29" x14ac:dyDescent="0.2">
      <c r="A19">
        <v>46137.068216851854</v>
      </c>
      <c r="B19">
        <v>18.067869000000002</v>
      </c>
      <c r="C19">
        <v>18.320688000000001</v>
      </c>
      <c r="D19">
        <v>18.976262999999999</v>
      </c>
      <c r="E19">
        <v>19.171337999999999</v>
      </c>
      <c r="F19">
        <v>35.797755000000002</v>
      </c>
      <c r="G19">
        <v>34.407507000000003</v>
      </c>
      <c r="H19">
        <v>31.102516999999999</v>
      </c>
      <c r="I19">
        <v>27.944880999999999</v>
      </c>
      <c r="J19">
        <v>57.229922000000002</v>
      </c>
      <c r="K19">
        <v>52.703240000000001</v>
      </c>
      <c r="L19">
        <v>84.540516999999994</v>
      </c>
      <c r="M19">
        <v>-622.49183700000003</v>
      </c>
      <c r="N19">
        <v>1.902719</v>
      </c>
      <c r="O19">
        <v>4.3803169999999998</v>
      </c>
      <c r="P19">
        <f t="shared" si="0"/>
        <v>3.1711983333333334E-5</v>
      </c>
      <c r="Q19" cm="1">
        <f t="array" ref="Q19">[1]!PropsSI("D","T",J19+273.15,"P",101325,"Water")</f>
        <v>984.59805607495196</v>
      </c>
      <c r="R19" cm="1">
        <f t="array" ref="R19">[1]!PropsSI("D","T",K19+273.15,"P",101325,"Water")</f>
        <v>986.7886556982188</v>
      </c>
      <c r="S19">
        <f t="shared" si="1"/>
        <v>985.69335588658532</v>
      </c>
      <c r="T19" cm="1">
        <f t="array" ref="T19">[1]!PropsSI("H","T",J19+273.15,"P",101325,"Water")</f>
        <v>239657.66908662702</v>
      </c>
      <c r="U19" cm="1">
        <f t="array" ref="U19">[1]!PropsSI("H","T",K19+273.15,"P",101325,"Water")</f>
        <v>220722.75092646704</v>
      </c>
      <c r="V19">
        <f t="shared" si="2"/>
        <v>591.87318709305873</v>
      </c>
      <c r="X19">
        <f t="shared" si="3"/>
        <v>0.264459844</v>
      </c>
      <c r="Y19">
        <f t="shared" si="3"/>
        <v>0.25540647999999999</v>
      </c>
      <c r="Z19">
        <f t="shared" si="9"/>
        <v>0.36765674087998812</v>
      </c>
      <c r="AA19">
        <f t="shared" si="8"/>
        <v>4.526682000000001</v>
      </c>
      <c r="AB19">
        <f t="shared" si="5"/>
        <v>8.1833215022558817E-2</v>
      </c>
      <c r="AC19">
        <f t="shared" si="6"/>
        <v>48.434885785473462</v>
      </c>
    </row>
    <row r="20" spans="1:29" x14ac:dyDescent="0.2">
      <c r="A20">
        <v>46137.068252152778</v>
      </c>
      <c r="B20">
        <v>17.997430000000001</v>
      </c>
      <c r="C20">
        <v>18.270925999999999</v>
      </c>
      <c r="D20">
        <v>19.015039000000002</v>
      </c>
      <c r="E20">
        <v>19.143291999999999</v>
      </c>
      <c r="F20">
        <v>35.427770000000002</v>
      </c>
      <c r="G20">
        <v>33.613643000000003</v>
      </c>
      <c r="H20">
        <v>30.668306000000001</v>
      </c>
      <c r="I20">
        <v>28.805962999999998</v>
      </c>
      <c r="J20">
        <v>57.236609999999999</v>
      </c>
      <c r="K20">
        <v>52.715801999999996</v>
      </c>
      <c r="L20">
        <v>85.181708999999998</v>
      </c>
      <c r="M20">
        <v>-622.49142900000004</v>
      </c>
      <c r="N20">
        <v>1.898838</v>
      </c>
      <c r="O20">
        <v>4.1799910000000002</v>
      </c>
      <c r="P20">
        <f t="shared" si="0"/>
        <v>3.1647300000000004E-5</v>
      </c>
      <c r="Q20" cm="1">
        <f t="array" ref="Q20">[1]!PropsSI("D","T",J20+273.15,"P",101325,"Water")</f>
        <v>984.59472612536001</v>
      </c>
      <c r="R20" cm="1">
        <f t="array" ref="R20">[1]!PropsSI("D","T",K20+273.15,"P",101325,"Water")</f>
        <v>986.78275407552894</v>
      </c>
      <c r="S20">
        <f t="shared" si="1"/>
        <v>985.68874010044442</v>
      </c>
      <c r="T20" cm="1">
        <f t="array" ref="T20">[1]!PropsSI("H","T",J20+273.15,"P",101325,"Water")</f>
        <v>239685.65035528605</v>
      </c>
      <c r="U20" cm="1">
        <f t="array" ref="U20">[1]!PropsSI("H","T",K20+273.15,"P",101325,"Water")</f>
        <v>220775.28732376083</v>
      </c>
      <c r="V20">
        <f t="shared" si="2"/>
        <v>589.89718771920991</v>
      </c>
      <c r="X20">
        <f t="shared" si="3"/>
        <v>0.26447322000000001</v>
      </c>
      <c r="Y20">
        <f t="shared" si="3"/>
        <v>0.25543160399999998</v>
      </c>
      <c r="Z20">
        <f t="shared" si="9"/>
        <v>0.36768381582438631</v>
      </c>
      <c r="AA20">
        <f t="shared" si="8"/>
        <v>4.5208080000000024</v>
      </c>
      <c r="AB20">
        <f t="shared" si="5"/>
        <v>8.1943900423351798E-2</v>
      </c>
      <c r="AC20">
        <f t="shared" si="6"/>
        <v>48.338476410478201</v>
      </c>
    </row>
    <row r="21" spans="1:29" x14ac:dyDescent="0.2">
      <c r="A21">
        <v>46137.068287453701</v>
      </c>
      <c r="B21">
        <v>17.950240999999998</v>
      </c>
      <c r="C21">
        <v>18.230803999999999</v>
      </c>
      <c r="D21">
        <v>19.001083000000001</v>
      </c>
      <c r="E21">
        <v>19.166186</v>
      </c>
      <c r="F21">
        <v>35.597414999999998</v>
      </c>
      <c r="G21">
        <v>32.901200000000003</v>
      </c>
      <c r="H21">
        <v>30.470061999999999</v>
      </c>
      <c r="I21">
        <v>27.790603999999998</v>
      </c>
      <c r="J21">
        <v>57.242660000000001</v>
      </c>
      <c r="K21">
        <v>52.726137000000001</v>
      </c>
      <c r="L21">
        <v>86.680001000000004</v>
      </c>
      <c r="M21">
        <v>-622.49755100000004</v>
      </c>
      <c r="N21">
        <v>1.9060710000000001</v>
      </c>
      <c r="O21">
        <v>4.4902150000000001</v>
      </c>
      <c r="P21">
        <f t="shared" si="0"/>
        <v>3.1767850000000001E-5</v>
      </c>
      <c r="Q21" cm="1">
        <f t="array" ref="Q21">[1]!PropsSI("D","T",J21+273.15,"P",101325,"Water")</f>
        <v>984.5917136016227</v>
      </c>
      <c r="R21" cm="1">
        <f t="array" ref="R21">[1]!PropsSI("D","T",K21+273.15,"P",101325,"Water")</f>
        <v>986.77789794378782</v>
      </c>
      <c r="S21">
        <f t="shared" si="1"/>
        <v>985.6848057727052</v>
      </c>
      <c r="T21" cm="1">
        <f t="array" ref="T21">[1]!PropsSI("H","T",J21+273.15,"P",101325,"Water")</f>
        <v>239710.96237344458</v>
      </c>
      <c r="U21" cm="1">
        <f t="array" ref="U21">[1]!PropsSI("H","T",K21+273.15,"P",101325,"Water")</f>
        <v>220818.5100710736</v>
      </c>
      <c r="V21">
        <f t="shared" si="2"/>
        <v>591.58100366561757</v>
      </c>
      <c r="X21">
        <f t="shared" si="3"/>
        <v>0.26448532000000002</v>
      </c>
      <c r="Y21">
        <f t="shared" si="3"/>
        <v>0.25545227399999998</v>
      </c>
      <c r="Z21">
        <f t="shared" si="9"/>
        <v>0.3677068788957768</v>
      </c>
      <c r="AA21">
        <f t="shared" si="8"/>
        <v>4.5165229999999994</v>
      </c>
      <c r="AB21">
        <f t="shared" si="5"/>
        <v>8.2025554805537568E-2</v>
      </c>
      <c r="AC21">
        <f t="shared" si="6"/>
        <v>48.524760038089035</v>
      </c>
    </row>
    <row r="22" spans="1:29" x14ac:dyDescent="0.2">
      <c r="A22">
        <v>46137.068322175925</v>
      </c>
      <c r="B22">
        <v>18.08351</v>
      </c>
      <c r="C22">
        <v>18.330417000000001</v>
      </c>
      <c r="D22">
        <v>19.034680000000002</v>
      </c>
      <c r="E22">
        <v>19.203506999999998</v>
      </c>
      <c r="F22">
        <v>35.812482000000003</v>
      </c>
      <c r="G22">
        <v>33.356630000000003</v>
      </c>
      <c r="H22">
        <v>31.212361999999999</v>
      </c>
      <c r="I22">
        <v>28.049741000000001</v>
      </c>
      <c r="J22">
        <v>57.247914000000002</v>
      </c>
      <c r="K22">
        <v>52.736472999999997</v>
      </c>
      <c r="L22">
        <v>83.443020000000004</v>
      </c>
      <c r="M22">
        <v>-622.49020499999995</v>
      </c>
      <c r="N22">
        <v>1.901932</v>
      </c>
      <c r="O22">
        <v>4.3834309999999999</v>
      </c>
      <c r="P22">
        <f t="shared" si="0"/>
        <v>3.1698866666666669E-5</v>
      </c>
      <c r="Q22" cm="1">
        <f t="array" ref="Q22">[1]!PropsSI("D","T",J22+273.15,"P",101325,"Water")</f>
        <v>984.58909725623755</v>
      </c>
      <c r="R22" cm="1">
        <f t="array" ref="R22">[1]!PropsSI("D","T",K22+273.15,"P",101325,"Water")</f>
        <v>986.7730406626489</v>
      </c>
      <c r="S22">
        <f t="shared" si="1"/>
        <v>985.68106895944322</v>
      </c>
      <c r="T22" cm="1">
        <f t="array" ref="T22">[1]!PropsSI("H","T",J22+273.15,"P",101325,"Water")</f>
        <v>239732.94409479684</v>
      </c>
      <c r="U22" cm="1">
        <f t="array" ref="U22">[1]!PropsSI("H","T",K22+273.15,"P",101325,"Water")</f>
        <v>220861.73703541994</v>
      </c>
      <c r="V22">
        <f t="shared" si="2"/>
        <v>589.63035091112624</v>
      </c>
      <c r="X22">
        <f t="shared" si="3"/>
        <v>0.26449582799999999</v>
      </c>
      <c r="Y22">
        <f t="shared" si="3"/>
        <v>0.25547294599999998</v>
      </c>
      <c r="Z22">
        <f t="shared" si="9"/>
        <v>0.36772879839268025</v>
      </c>
      <c r="AA22">
        <f t="shared" si="8"/>
        <v>4.5114410000000049</v>
      </c>
      <c r="AB22">
        <f t="shared" si="5"/>
        <v>8.2121404012193824E-2</v>
      </c>
      <c r="AC22">
        <f t="shared" si="6"/>
        <v>48.421272265024214</v>
      </c>
    </row>
    <row r="23" spans="1:29" x14ac:dyDescent="0.2">
      <c r="A23">
        <v>46137.068357476855</v>
      </c>
      <c r="B23">
        <v>18.215499000000001</v>
      </c>
      <c r="C23">
        <v>18.382059999999999</v>
      </c>
      <c r="D23">
        <v>19.087081999999999</v>
      </c>
      <c r="E23">
        <v>19.274571000000002</v>
      </c>
      <c r="F23">
        <v>35.487335000000002</v>
      </c>
      <c r="G23">
        <v>33.523656000000003</v>
      </c>
      <c r="H23">
        <v>31.639970000000002</v>
      </c>
      <c r="I23">
        <v>27.990110000000001</v>
      </c>
      <c r="J23">
        <v>57.253008999999999</v>
      </c>
      <c r="K23">
        <v>52.743946999999999</v>
      </c>
      <c r="L23">
        <v>84.966210000000004</v>
      </c>
      <c r="M23">
        <v>-622.46857299999999</v>
      </c>
      <c r="N23">
        <v>1.9053739999999999</v>
      </c>
      <c r="O23">
        <v>4.2881349999999996</v>
      </c>
      <c r="P23">
        <f t="shared" si="0"/>
        <v>3.1756233333333333E-5</v>
      </c>
      <c r="Q23" cm="1">
        <f t="array" ref="Q23">[1]!PropsSI("D","T",J23+273.15,"P",101325,"Water")</f>
        <v>984.58655992846877</v>
      </c>
      <c r="R23" cm="1">
        <f t="array" ref="R23">[1]!PropsSI("D","T",K23+273.15,"P",101325,"Water")</f>
        <v>986.76952792128839</v>
      </c>
      <c r="S23">
        <f t="shared" si="1"/>
        <v>985.67804392487858</v>
      </c>
      <c r="T23" cm="1">
        <f t="array" ref="T23">[1]!PropsSI("H","T",J23+273.15,"P",101325,"Water")</f>
        <v>239754.26060130016</v>
      </c>
      <c r="U23" cm="1">
        <f t="array" ref="U23">[1]!PropsSI("H","T",K23+273.15,"P",101325,"Water")</f>
        <v>220892.99463568637</v>
      </c>
      <c r="V23">
        <f t="shared" si="2"/>
        <v>590.3844445842567</v>
      </c>
      <c r="X23">
        <f t="shared" si="3"/>
        <v>0.26450601800000001</v>
      </c>
      <c r="Y23">
        <f t="shared" si="3"/>
        <v>0.25548789399999999</v>
      </c>
      <c r="Z23">
        <f t="shared" si="9"/>
        <v>0.36774651261265762</v>
      </c>
      <c r="AA23">
        <f t="shared" si="8"/>
        <v>4.5090620000000001</v>
      </c>
      <c r="AB23">
        <f t="shared" si="5"/>
        <v>8.2167988685610122E-2</v>
      </c>
      <c r="AC23">
        <f t="shared" si="6"/>
        <v>48.510702362759417</v>
      </c>
    </row>
    <row r="24" spans="1:29" x14ac:dyDescent="0.2">
      <c r="A24">
        <v>46137.068392199071</v>
      </c>
      <c r="B24">
        <v>18.262201000000001</v>
      </c>
      <c r="C24">
        <v>18.370037</v>
      </c>
      <c r="D24">
        <v>19.114908</v>
      </c>
      <c r="E24">
        <v>19.301952</v>
      </c>
      <c r="F24">
        <v>35.797355000000003</v>
      </c>
      <c r="G24">
        <v>33.472811</v>
      </c>
      <c r="H24">
        <v>31.759805</v>
      </c>
      <c r="I24">
        <v>27.946311000000001</v>
      </c>
      <c r="J24">
        <v>57.258105</v>
      </c>
      <c r="K24">
        <v>52.753010000000003</v>
      </c>
      <c r="L24">
        <v>93.138862000000003</v>
      </c>
      <c r="M24">
        <v>-622.48000100000002</v>
      </c>
      <c r="N24">
        <v>1.906784</v>
      </c>
      <c r="O24">
        <v>4.2711059999999996</v>
      </c>
      <c r="P24">
        <f t="shared" si="0"/>
        <v>3.1779733333333337E-5</v>
      </c>
      <c r="Q24" cm="1">
        <f t="array" ref="Q24">[1]!PropsSI("D","T",J24+273.15,"P",101325,"Water")</f>
        <v>984.58402194516555</v>
      </c>
      <c r="R24" cm="1">
        <f t="array" ref="R24">[1]!PropsSI("D","T",K24+273.15,"P",101325,"Water")</f>
        <v>986.7652678815374</v>
      </c>
      <c r="S24">
        <f t="shared" si="1"/>
        <v>985.67464491335147</v>
      </c>
      <c r="T24" cm="1">
        <f t="array" ref="T24">[1]!PropsSI("H","T",J24+273.15,"P",101325,"Water")</f>
        <v>239775.5813019092</v>
      </c>
      <c r="U24" cm="1">
        <f t="array" ref="U24">[1]!PropsSI("H","T",K24+273.15,"P",101325,"Water")</f>
        <v>220930.89774170093</v>
      </c>
      <c r="V24">
        <f t="shared" si="2"/>
        <v>590.29986370345773</v>
      </c>
      <c r="X24">
        <f t="shared" si="3"/>
        <v>0.26451621000000003</v>
      </c>
      <c r="Y24">
        <f t="shared" si="3"/>
        <v>0.25550602</v>
      </c>
      <c r="Z24">
        <f t="shared" si="9"/>
        <v>0.36776643621870192</v>
      </c>
      <c r="AA24">
        <f t="shared" si="8"/>
        <v>4.5050949999999972</v>
      </c>
      <c r="AB24">
        <f t="shared" si="5"/>
        <v>8.2243660866239382E-2</v>
      </c>
      <c r="AC24">
        <f t="shared" si="6"/>
        <v>48.548421799814506</v>
      </c>
    </row>
    <row r="25" spans="1:29" x14ac:dyDescent="0.2">
      <c r="A25">
        <v>46137.068426921294</v>
      </c>
      <c r="B25">
        <v>18.492360999999999</v>
      </c>
      <c r="C25">
        <v>18.578313999999999</v>
      </c>
      <c r="D25">
        <v>19.197727</v>
      </c>
      <c r="E25">
        <v>19.343302999999999</v>
      </c>
      <c r="F25">
        <v>35.926797999999998</v>
      </c>
      <c r="G25">
        <v>33.623939</v>
      </c>
      <c r="H25">
        <v>31.484563000000001</v>
      </c>
      <c r="I25">
        <v>28.095253</v>
      </c>
      <c r="J25">
        <v>57.26511</v>
      </c>
      <c r="K25">
        <v>52.767480999999997</v>
      </c>
      <c r="L25">
        <v>83.215277</v>
      </c>
      <c r="M25">
        <v>-622.50489800000003</v>
      </c>
      <c r="N25">
        <v>1.9031979999999999</v>
      </c>
      <c r="O25">
        <v>4.6315</v>
      </c>
      <c r="P25">
        <f t="shared" si="0"/>
        <v>3.1719966666666668E-5</v>
      </c>
      <c r="Q25" cm="1">
        <f t="array" ref="Q25">[1]!PropsSI("D","T",J25+273.15,"P",101325,"Water")</f>
        <v>984.58053295712216</v>
      </c>
      <c r="R25" cm="1">
        <f t="array" ref="R25">[1]!PropsSI("D","T",K25+273.15,"P",101325,"Water")</f>
        <v>986.75846474248794</v>
      </c>
      <c r="S25">
        <f t="shared" si="1"/>
        <v>985.669498849805</v>
      </c>
      <c r="T25" cm="1">
        <f t="array" ref="T25">[1]!PropsSI("H","T",J25+273.15,"P",101325,"Water")</f>
        <v>239804.88891436186</v>
      </c>
      <c r="U25" cm="1">
        <f t="array" ref="U25">[1]!PropsSI("H","T",K25+273.15,"P",101325,"Water")</f>
        <v>220991.41813802355</v>
      </c>
      <c r="V25">
        <f t="shared" si="2"/>
        <v>588.21075783954529</v>
      </c>
      <c r="X25">
        <f t="shared" si="3"/>
        <v>0.26453021999999998</v>
      </c>
      <c r="Y25">
        <f t="shared" si="3"/>
        <v>0.25553496199999998</v>
      </c>
      <c r="Z25">
        <f t="shared" si="9"/>
        <v>0.36779662056303591</v>
      </c>
      <c r="AA25">
        <f t="shared" si="8"/>
        <v>4.4976290000000034</v>
      </c>
      <c r="AB25">
        <f t="shared" si="5"/>
        <v>8.2384828984063643E-2</v>
      </c>
      <c r="AC25">
        <f t="shared" si="6"/>
        <v>48.459642691197409</v>
      </c>
    </row>
    <row r="26" spans="1:29" x14ac:dyDescent="0.2">
      <c r="A26">
        <v>46137.068462222225</v>
      </c>
      <c r="B26">
        <v>18.541153000000001</v>
      </c>
      <c r="C26">
        <v>18.65016</v>
      </c>
      <c r="D26">
        <v>19.244935999999999</v>
      </c>
      <c r="E26">
        <v>19.368266999999999</v>
      </c>
      <c r="F26">
        <v>35.970536000000003</v>
      </c>
      <c r="G26">
        <v>33.489474000000001</v>
      </c>
      <c r="H26">
        <v>30.455247</v>
      </c>
      <c r="I26">
        <v>27.990470999999999</v>
      </c>
      <c r="J26">
        <v>57.269886999999997</v>
      </c>
      <c r="K26">
        <v>52.779724999999999</v>
      </c>
      <c r="L26">
        <v>83.754433000000006</v>
      </c>
      <c r="M26">
        <v>-622.47510299999999</v>
      </c>
      <c r="N26">
        <v>1.9084840000000001</v>
      </c>
      <c r="O26">
        <v>4.2152050000000001</v>
      </c>
      <c r="P26">
        <f t="shared" si="0"/>
        <v>3.1808066666666664E-5</v>
      </c>
      <c r="Q26" cm="1">
        <f t="array" ref="Q26">[1]!PropsSI("D","T",J26+273.15,"P",101325,"Water")</f>
        <v>984.57815350075771</v>
      </c>
      <c r="R26" cm="1">
        <f t="array" ref="R26">[1]!PropsSI("D","T",K26+273.15,"P",101325,"Water")</f>
        <v>986.75270752579615</v>
      </c>
      <c r="S26">
        <f t="shared" si="1"/>
        <v>985.66543051327699</v>
      </c>
      <c r="T26" cm="1">
        <f t="array" ref="T26">[1]!PropsSI("H","T",J26+273.15,"P",101325,"Water")</f>
        <v>239824.87500187277</v>
      </c>
      <c r="U26" cm="1">
        <f t="array" ref="U26">[1]!PropsSI("H","T",K26+273.15,"P",101325,"Water")</f>
        <v>221042.62486225824</v>
      </c>
      <c r="V26">
        <f t="shared" si="2"/>
        <v>588.86320482024166</v>
      </c>
      <c r="X26">
        <f t="shared" si="3"/>
        <v>0.26453977400000001</v>
      </c>
      <c r="Y26">
        <f t="shared" si="3"/>
        <v>0.25555945000000002</v>
      </c>
      <c r="Z26">
        <f t="shared" si="9"/>
        <v>0.36782050583439962</v>
      </c>
      <c r="AA26">
        <f t="shared" si="8"/>
        <v>4.490161999999998</v>
      </c>
      <c r="AB26">
        <f t="shared" si="5"/>
        <v>8.2525095776591575E-2</v>
      </c>
      <c r="AC26">
        <f t="shared" si="6"/>
        <v>48.595992377101105</v>
      </c>
    </row>
    <row r="27" spans="1:29" x14ac:dyDescent="0.2">
      <c r="A27">
        <v>46137.068496944441</v>
      </c>
      <c r="B27">
        <v>18.619586000000002</v>
      </c>
      <c r="C27">
        <v>18.780784000000001</v>
      </c>
      <c r="D27">
        <v>19.348413999999998</v>
      </c>
      <c r="E27">
        <v>19.417922999999998</v>
      </c>
      <c r="F27">
        <v>35.888334999999998</v>
      </c>
      <c r="G27">
        <v>34.325308</v>
      </c>
      <c r="H27">
        <v>31.180515</v>
      </c>
      <c r="I27">
        <v>27.700882</v>
      </c>
      <c r="J27">
        <v>57.277369999999998</v>
      </c>
      <c r="K27">
        <v>52.787515999999997</v>
      </c>
      <c r="L27">
        <v>81.065996999999996</v>
      </c>
      <c r="M27">
        <v>-622.51999899999998</v>
      </c>
      <c r="N27">
        <v>1.904968</v>
      </c>
      <c r="O27">
        <v>4.5418589999999996</v>
      </c>
      <c r="P27">
        <f t="shared" si="0"/>
        <v>3.1749466666666665E-5</v>
      </c>
      <c r="Q27" cm="1">
        <f t="array" ref="Q27">[1]!PropsSI("D","T",J27+273.15,"P",101325,"Water")</f>
        <v>984.57442588912545</v>
      </c>
      <c r="R27" cm="1">
        <f t="array" ref="R27">[1]!PropsSI("D","T",K27+273.15,"P",101325,"Water")</f>
        <v>986.74904364548956</v>
      </c>
      <c r="S27">
        <f t="shared" si="1"/>
        <v>985.66173476730751</v>
      </c>
      <c r="T27" cm="1">
        <f t="array" ref="T27">[1]!PropsSI("H","T",J27+273.15,"P",101325,"Water")</f>
        <v>239856.18251273345</v>
      </c>
      <c r="U27" cm="1">
        <f t="array" ref="U27">[1]!PropsSI("H","T",K27+273.15,"P",101325,"Water")</f>
        <v>221075.20832374413</v>
      </c>
      <c r="V27">
        <f t="shared" si="2"/>
        <v>587.73620839166756</v>
      </c>
      <c r="X27">
        <f t="shared" si="3"/>
        <v>0.26455474000000001</v>
      </c>
      <c r="Y27">
        <f t="shared" si="3"/>
        <v>0.25557503199999998</v>
      </c>
      <c r="Z27">
        <f t="shared" si="9"/>
        <v>0.36784209579419891</v>
      </c>
      <c r="AA27">
        <f t="shared" si="8"/>
        <v>4.4898540000000011</v>
      </c>
      <c r="AB27">
        <f t="shared" si="5"/>
        <v>8.2535446986068406E-2</v>
      </c>
      <c r="AC27">
        <f t="shared" si="6"/>
        <v>48.50907066950333</v>
      </c>
    </row>
    <row r="28" spans="1:29" x14ac:dyDescent="0.2">
      <c r="A28">
        <v>46137.068532245372</v>
      </c>
      <c r="B28">
        <v>18.516217999999999</v>
      </c>
      <c r="C28">
        <v>18.756772999999999</v>
      </c>
      <c r="D28">
        <v>19.439014</v>
      </c>
      <c r="E28">
        <v>19.435721999999998</v>
      </c>
      <c r="F28">
        <v>35.870778999999999</v>
      </c>
      <c r="G28">
        <v>32.300272999999997</v>
      </c>
      <c r="H28">
        <v>31.222042999999999</v>
      </c>
      <c r="I28">
        <v>28.350421999999998</v>
      </c>
      <c r="J28">
        <v>57.282305999999998</v>
      </c>
      <c r="K28">
        <v>52.800396999999997</v>
      </c>
      <c r="L28">
        <v>83.631990999999999</v>
      </c>
      <c r="M28">
        <v>-622.47632799999997</v>
      </c>
      <c r="N28">
        <v>1.909705</v>
      </c>
      <c r="O28">
        <v>4.092981</v>
      </c>
      <c r="P28">
        <f t="shared" si="0"/>
        <v>3.1828416666666665E-5</v>
      </c>
      <c r="Q28" cm="1">
        <f t="array" ref="Q28">[1]!PropsSI("D","T",J28+273.15,"P",101325,"Water")</f>
        <v>984.57196686439079</v>
      </c>
      <c r="R28" cm="1">
        <f t="array" ref="R28">[1]!PropsSI("D","T",K28+273.15,"P",101325,"Water")</f>
        <v>986.74298524012795</v>
      </c>
      <c r="S28">
        <f t="shared" si="1"/>
        <v>985.65747605225943</v>
      </c>
      <c r="T28" cm="1">
        <f t="array" ref="T28">[1]!PropsSI("H","T",J28+273.15,"P",101325,"Water")</f>
        <v>239876.83385106039</v>
      </c>
      <c r="U28" cm="1">
        <f t="array" ref="U28">[1]!PropsSI("H","T",K28+273.15,"P",101325,"Water")</f>
        <v>221129.07918841334</v>
      </c>
      <c r="V28">
        <f t="shared" si="2"/>
        <v>588.15300018340804</v>
      </c>
      <c r="X28">
        <f t="shared" si="3"/>
        <v>0.26456461199999998</v>
      </c>
      <c r="Y28">
        <f t="shared" si="3"/>
        <v>0.25560079400000002</v>
      </c>
      <c r="Z28">
        <f t="shared" si="9"/>
        <v>0.36786709531587758</v>
      </c>
      <c r="AA28">
        <f t="shared" si="8"/>
        <v>4.4819090000000017</v>
      </c>
      <c r="AB28">
        <f t="shared" si="5"/>
        <v>8.2685147115544796E-2</v>
      </c>
      <c r="AC28">
        <f t="shared" si="6"/>
        <v>48.631517346614139</v>
      </c>
    </row>
    <row r="29" spans="1:29" x14ac:dyDescent="0.2">
      <c r="A29">
        <v>46137.068567546296</v>
      </c>
      <c r="B29">
        <v>18.668531999999999</v>
      </c>
      <c r="C29">
        <v>18.844491000000001</v>
      </c>
      <c r="D29">
        <v>19.434066000000001</v>
      </c>
      <c r="E29">
        <v>19.473265999999999</v>
      </c>
      <c r="F29">
        <v>35.687381999999999</v>
      </c>
      <c r="G29">
        <v>34.452907000000003</v>
      </c>
      <c r="H29">
        <v>31.097503</v>
      </c>
      <c r="I29">
        <v>28.133541999999998</v>
      </c>
      <c r="J29">
        <v>57.290585999999998</v>
      </c>
      <c r="K29">
        <v>52.811686999999999</v>
      </c>
      <c r="L29">
        <v>83.332821999999993</v>
      </c>
      <c r="M29">
        <v>-622.48979599999996</v>
      </c>
      <c r="N29">
        <v>1.9097459999999999</v>
      </c>
      <c r="O29">
        <v>4.223198</v>
      </c>
      <c r="P29">
        <f t="shared" si="0"/>
        <v>3.1829099999999997E-5</v>
      </c>
      <c r="Q29" cm="1">
        <f t="array" ref="Q29">[1]!PropsSI("D","T",J29+273.15,"P",101325,"Water")</f>
        <v>984.56784158832806</v>
      </c>
      <c r="R29" cm="1">
        <f t="array" ref="R29">[1]!PropsSI("D","T",K29+273.15,"P",101325,"Water")</f>
        <v>986.73767427301209</v>
      </c>
      <c r="S29">
        <f t="shared" si="1"/>
        <v>985.65275793067008</v>
      </c>
      <c r="T29" cm="1">
        <f t="array" ref="T29">[1]!PropsSI("H","T",J29+273.15,"P",101325,"Water")</f>
        <v>239911.47590704178</v>
      </c>
      <c r="U29" cm="1">
        <f t="array" ref="U29">[1]!PropsSI("H","T",K29+273.15,"P",101325,"Water")</f>
        <v>221176.29622424219</v>
      </c>
      <c r="V29">
        <f t="shared" si="2"/>
        <v>587.76830418713064</v>
      </c>
      <c r="X29">
        <f t="shared" si="3"/>
        <v>0.26458117199999998</v>
      </c>
      <c r="Y29">
        <f t="shared" si="3"/>
        <v>0.25562337400000001</v>
      </c>
      <c r="Z29">
        <f t="shared" si="9"/>
        <v>0.36789469405257458</v>
      </c>
      <c r="AA29">
        <f t="shared" si="8"/>
        <v>4.4788989999999984</v>
      </c>
      <c r="AB29">
        <f t="shared" si="5"/>
        <v>8.2746019133593501E-2</v>
      </c>
      <c r="AC29">
        <f t="shared" si="6"/>
        <v>48.635487344388117</v>
      </c>
    </row>
    <row r="30" spans="1:29" x14ac:dyDescent="0.2">
      <c r="A30">
        <v>46137.068602847219</v>
      </c>
      <c r="B30">
        <v>18.770233000000001</v>
      </c>
      <c r="C30">
        <v>18.919401000000001</v>
      </c>
      <c r="D30">
        <v>19.397041999999999</v>
      </c>
      <c r="E30">
        <v>19.498709999999999</v>
      </c>
      <c r="F30">
        <v>35.953901999999999</v>
      </c>
      <c r="G30">
        <v>34.209544000000001</v>
      </c>
      <c r="H30">
        <v>31.632518999999998</v>
      </c>
      <c r="I30">
        <v>28.332287999999998</v>
      </c>
      <c r="J30">
        <v>57.296477000000003</v>
      </c>
      <c r="K30">
        <v>52.826951999999999</v>
      </c>
      <c r="L30">
        <v>85.316804000000005</v>
      </c>
      <c r="M30">
        <v>-622.48530700000003</v>
      </c>
      <c r="N30">
        <v>1.895535</v>
      </c>
      <c r="O30">
        <v>5.167834</v>
      </c>
      <c r="P30">
        <f t="shared" si="0"/>
        <v>3.1592250000000002E-5</v>
      </c>
      <c r="Q30" cm="1">
        <f t="array" ref="Q30">[1]!PropsSI("D","T",J30+273.15,"P",101325,"Water")</f>
        <v>984.56490631090583</v>
      </c>
      <c r="R30" cm="1">
        <f t="array" ref="R30">[1]!PropsSI("D","T",K30+273.15,"P",101325,"Water")</f>
        <v>986.73049212463206</v>
      </c>
      <c r="S30">
        <f t="shared" si="1"/>
        <v>985.64769921776895</v>
      </c>
      <c r="T30" cm="1">
        <f t="array" ref="T30">[1]!PropsSI("H","T",J30+273.15,"P",101325,"Water")</f>
        <v>239936.12282591281</v>
      </c>
      <c r="U30" cm="1">
        <f t="array" ref="U30">[1]!PropsSI("H","T",K30+273.15,"P",101325,"Water")</f>
        <v>221240.13757071691</v>
      </c>
      <c r="V30">
        <f t="shared" si="2"/>
        <v>582.17107897892618</v>
      </c>
      <c r="X30">
        <f t="shared" si="3"/>
        <v>0.26459295399999999</v>
      </c>
      <c r="Y30">
        <f t="shared" si="3"/>
        <v>0.25565390399999999</v>
      </c>
      <c r="Z30">
        <f t="shared" si="9"/>
        <v>0.367924380731812</v>
      </c>
      <c r="AA30">
        <f t="shared" si="8"/>
        <v>4.4695250000000044</v>
      </c>
      <c r="AB30">
        <f t="shared" si="5"/>
        <v>8.2923625083633976E-2</v>
      </c>
      <c r="AC30">
        <f t="shared" si="6"/>
        <v>48.27573628778314</v>
      </c>
    </row>
    <row r="31" spans="1:29" x14ac:dyDescent="0.2">
      <c r="A31">
        <v>46137.06863814815</v>
      </c>
      <c r="B31">
        <v>18.588740000000001</v>
      </c>
      <c r="C31">
        <v>18.789002</v>
      </c>
      <c r="D31">
        <v>19.413186</v>
      </c>
      <c r="E31">
        <v>19.516711000000001</v>
      </c>
      <c r="F31">
        <v>36.061357000000001</v>
      </c>
      <c r="G31">
        <v>34.461928999999998</v>
      </c>
      <c r="H31">
        <v>31.219100000000001</v>
      </c>
      <c r="I31">
        <v>28.208850000000002</v>
      </c>
      <c r="J31">
        <v>57.301094999999997</v>
      </c>
      <c r="K31">
        <v>52.833630999999997</v>
      </c>
      <c r="L31">
        <v>80.807233999999994</v>
      </c>
      <c r="M31">
        <v>-622.49142900000004</v>
      </c>
      <c r="N31">
        <v>1.9155450000000001</v>
      </c>
      <c r="O31">
        <v>4.1130339999999999</v>
      </c>
      <c r="P31">
        <f t="shared" si="0"/>
        <v>3.1925750000000002E-5</v>
      </c>
      <c r="Q31" cm="1">
        <f t="array" ref="Q31">[1]!PropsSI("D","T",J31+273.15,"P",101325,"Water")</f>
        <v>984.56260517731869</v>
      </c>
      <c r="R31" cm="1">
        <f t="array" ref="R31">[1]!PropsSI("D","T",K31+273.15,"P",101325,"Water")</f>
        <v>986.72734920438643</v>
      </c>
      <c r="S31">
        <f t="shared" si="1"/>
        <v>985.64497719085261</v>
      </c>
      <c r="T31" cm="1">
        <f t="array" ref="T31">[1]!PropsSI("H","T",J31+273.15,"P",101325,"Water")</f>
        <v>239955.44374393247</v>
      </c>
      <c r="U31" cm="1">
        <f t="array" ref="U31">[1]!PropsSI("H","T",K31+273.15,"P",101325,"Water")</f>
        <v>221268.07053635945</v>
      </c>
      <c r="V31">
        <f t="shared" si="2"/>
        <v>588.04407791716255</v>
      </c>
      <c r="X31">
        <f t="shared" si="3"/>
        <v>0.26460218999999996</v>
      </c>
      <c r="Y31">
        <f t="shared" si="3"/>
        <v>0.25566726200000001</v>
      </c>
      <c r="Z31">
        <f t="shared" si="9"/>
        <v>0.36794030468456801</v>
      </c>
      <c r="AA31">
        <f t="shared" si="8"/>
        <v>4.4674639999999997</v>
      </c>
      <c r="AB31">
        <f t="shared" si="5"/>
        <v>8.296486292861574E-2</v>
      </c>
      <c r="AC31">
        <f t="shared" si="6"/>
        <v>48.786996320381625</v>
      </c>
    </row>
    <row r="32" spans="1:29" x14ac:dyDescent="0.2">
      <c r="A32">
        <v>46137.068673449074</v>
      </c>
      <c r="B32">
        <v>18.369976000000001</v>
      </c>
      <c r="C32">
        <v>18.634253000000001</v>
      </c>
      <c r="D32">
        <v>19.386324999999999</v>
      </c>
      <c r="E32">
        <v>19.499728999999999</v>
      </c>
      <c r="F32">
        <v>35.631158999999997</v>
      </c>
      <c r="G32">
        <v>33.301257</v>
      </c>
      <c r="H32">
        <v>30.987086000000001</v>
      </c>
      <c r="I32">
        <v>28.239851000000002</v>
      </c>
      <c r="J32">
        <v>57.307782000000003</v>
      </c>
      <c r="K32">
        <v>52.844284999999999</v>
      </c>
      <c r="L32">
        <v>88.370529000000005</v>
      </c>
      <c r="M32">
        <v>-622.50693799999999</v>
      </c>
      <c r="N32">
        <v>1.9036820000000001</v>
      </c>
      <c r="O32">
        <v>4.2962040000000004</v>
      </c>
      <c r="P32">
        <f t="shared" si="0"/>
        <v>3.1728033333333332E-5</v>
      </c>
      <c r="Q32" cm="1">
        <f t="array" ref="Q32">[1]!PropsSI("D","T",J32+273.15,"P",101325,"Water")</f>
        <v>984.55927283894152</v>
      </c>
      <c r="R32" cm="1">
        <f t="array" ref="R32">[1]!PropsSI("D","T",K32+273.15,"P",101325,"Water")</f>
        <v>986.72233519174517</v>
      </c>
      <c r="S32">
        <f t="shared" si="1"/>
        <v>985.64080401534329</v>
      </c>
      <c r="T32" cm="1">
        <f t="array" ref="T32">[1]!PropsSI("H","T",J32+273.15,"P",101325,"Water")</f>
        <v>239983.42101725607</v>
      </c>
      <c r="U32" cm="1">
        <f t="array" ref="U32">[1]!PropsSI("H","T",K32+273.15,"P",101325,"Water")</f>
        <v>221312.62780817918</v>
      </c>
      <c r="V32">
        <f t="shared" si="2"/>
        <v>583.88134037813381</v>
      </c>
      <c r="X32">
        <f t="shared" si="3"/>
        <v>0.26461556399999997</v>
      </c>
      <c r="Y32">
        <f t="shared" si="3"/>
        <v>0.25568857</v>
      </c>
      <c r="Z32">
        <f t="shared" si="9"/>
        <v>0.36796472866252139</v>
      </c>
      <c r="AA32">
        <f t="shared" si="8"/>
        <v>4.4634970000000038</v>
      </c>
      <c r="AB32">
        <f t="shared" si="5"/>
        <v>8.3042960527005286E-2</v>
      </c>
      <c r="AC32">
        <f t="shared" si="6"/>
        <v>48.487235101476301</v>
      </c>
    </row>
    <row r="33" spans="1:29" x14ac:dyDescent="0.2">
      <c r="A33">
        <v>46137.068708171297</v>
      </c>
      <c r="B33">
        <v>18.328002999999999</v>
      </c>
      <c r="C33">
        <v>18.611747000000001</v>
      </c>
      <c r="D33">
        <v>19.420303000000001</v>
      </c>
      <c r="E33">
        <v>19.518823999999999</v>
      </c>
      <c r="F33">
        <v>35.446269000000001</v>
      </c>
      <c r="G33">
        <v>32.101137000000001</v>
      </c>
      <c r="H33">
        <v>30.905662</v>
      </c>
      <c r="I33">
        <v>28.411116</v>
      </c>
      <c r="J33">
        <v>57.312240000000003</v>
      </c>
      <c r="K33">
        <v>52.846670000000003</v>
      </c>
      <c r="L33">
        <v>83.124261000000004</v>
      </c>
      <c r="M33">
        <v>-622.49224500000003</v>
      </c>
      <c r="N33">
        <v>1.904981</v>
      </c>
      <c r="O33">
        <v>4.3234630000000003</v>
      </c>
      <c r="P33">
        <f t="shared" si="0"/>
        <v>3.1749683333333335E-5</v>
      </c>
      <c r="Q33" cm="1">
        <f t="array" ref="Q33">[1]!PropsSI("D","T",J33+273.15,"P",101325,"Water")</f>
        <v>984.55705112940689</v>
      </c>
      <c r="R33" cm="1">
        <f t="array" ref="R33">[1]!PropsSI("D","T",K33+273.15,"P",101325,"Water")</f>
        <v>986.72121265817782</v>
      </c>
      <c r="S33">
        <f t="shared" si="1"/>
        <v>985.63913189379241</v>
      </c>
      <c r="T33" cm="1">
        <f t="array" ref="T33">[1]!PropsSI("H","T",J33+273.15,"P",101325,"Water")</f>
        <v>240002.07254268523</v>
      </c>
      <c r="U33" cm="1">
        <f t="array" ref="U33">[1]!PropsSI("H","T",K33+273.15,"P",101325,"Water")</f>
        <v>221322.60238556119</v>
      </c>
      <c r="V33">
        <f t="shared" si="2"/>
        <v>584.55030159080638</v>
      </c>
      <c r="X33">
        <f t="shared" si="3"/>
        <v>0.26462448</v>
      </c>
      <c r="Y33">
        <f t="shared" si="3"/>
        <v>0.25569333999999999</v>
      </c>
      <c r="Z33">
        <f t="shared" si="9"/>
        <v>0.36797445500418369</v>
      </c>
      <c r="AA33">
        <f t="shared" si="8"/>
        <v>4.4655699999999996</v>
      </c>
      <c r="AB33">
        <f t="shared" si="5"/>
        <v>8.3007131800343664E-2</v>
      </c>
      <c r="AC33">
        <f t="shared" si="6"/>
        <v>48.521843928078702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7FBE-8049-B647-86EB-9E87DC5847AB}">
  <dimension ref="A1:AC28"/>
  <sheetViews>
    <sheetView topLeftCell="N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44675.065990581097</v>
      </c>
      <c r="B2">
        <v>16.797405000000001</v>
      </c>
      <c r="C2">
        <v>16.893533999999999</v>
      </c>
      <c r="D2">
        <v>18.675726999999998</v>
      </c>
      <c r="E2">
        <v>18.925567999999998</v>
      </c>
      <c r="F2">
        <v>32.713025000000002</v>
      </c>
      <c r="G2">
        <v>33.364018999999999</v>
      </c>
      <c r="H2">
        <v>28.867194999999999</v>
      </c>
      <c r="I2">
        <v>26.255973000000001</v>
      </c>
      <c r="J2">
        <v>57.018166999999998</v>
      </c>
      <c r="K2">
        <v>51.785887000000002</v>
      </c>
      <c r="L2">
        <v>130.86023800000001</v>
      </c>
      <c r="M2">
        <v>-622.49714300000005</v>
      </c>
      <c r="N2">
        <v>1.904698</v>
      </c>
      <c r="O2">
        <v>4.759163</v>
      </c>
      <c r="P2">
        <f t="shared" ref="P2:P65" si="0" xml:space="preserve"> N2*0.001/60</f>
        <v>3.1744966666666668E-5</v>
      </c>
      <c r="Q2" cm="1">
        <f t="array" ref="Q2">[1]!PropsSI("D","T",J2+273.15,"P",101325,"Water")</f>
        <v>984.70334828084037</v>
      </c>
      <c r="R2" cm="1">
        <f t="array" ref="R2">[1]!PropsSI("D","T",K2+273.15,"P",101325,"Water")</f>
        <v>987.21690482510792</v>
      </c>
      <c r="S2">
        <f t="shared" ref="S2:S65" si="1">(Q2+R2)/2</f>
        <v>985.96012655297409</v>
      </c>
      <c r="T2" cm="1">
        <f t="array" ref="T2">[1]!PropsSI("H","T",J2+273.15,"P",101325,"Water")</f>
        <v>238771.73718762901</v>
      </c>
      <c r="U2" cm="1">
        <f t="array" ref="U2">[1]!PropsSI("H","T",K2+273.15,"P",101325,"Water")</f>
        <v>216886.36350058779</v>
      </c>
      <c r="V2">
        <f t="shared" ref="V2:V65" si="2">S2*P2*(T2-U2)</f>
        <v>684.99624967251964</v>
      </c>
      <c r="W2" s="3">
        <f>AVERAGE(V2:V28)</f>
        <v>677.85788140509953</v>
      </c>
      <c r="X2">
        <f>(0.15+0.002*ABS(J2))</f>
        <v>0.26403633399999998</v>
      </c>
      <c r="Y2">
        <f>(0.15+0.002*ABS(K2))</f>
        <v>0.25357177399999997</v>
      </c>
      <c r="Z2">
        <f>SQRT((X2)^2 + (Y2)^2)</f>
        <v>0.36607899453760884</v>
      </c>
      <c r="AA2">
        <f>J2-K2</f>
        <v>5.2322799999999958</v>
      </c>
      <c r="AB2">
        <f>SQRT((0.01)^2 + (Z2/ABS(AA2))^2)</f>
        <v>7.067650766065342E-2</v>
      </c>
      <c r="AC2">
        <f>ABS(V2*AB2)</f>
        <v>48.413142687498699</v>
      </c>
    </row>
    <row r="3" spans="1:29" x14ac:dyDescent="0.2">
      <c r="A3">
        <v>44675.066025303298</v>
      </c>
      <c r="B3">
        <v>16.814746</v>
      </c>
      <c r="C3">
        <v>16.900243</v>
      </c>
      <c r="D3">
        <v>18.682019</v>
      </c>
      <c r="E3">
        <v>18.937726000000001</v>
      </c>
      <c r="F3">
        <v>32.729864999999997</v>
      </c>
      <c r="G3">
        <v>33.713810000000002</v>
      </c>
      <c r="H3">
        <v>28.597275</v>
      </c>
      <c r="I3">
        <v>26.175267000000002</v>
      </c>
      <c r="J3">
        <v>57.019917999999997</v>
      </c>
      <c r="K3">
        <v>51.801307000000001</v>
      </c>
      <c r="L3">
        <v>137.46807100000001</v>
      </c>
      <c r="M3">
        <v>-622.480817</v>
      </c>
      <c r="N3">
        <v>1.9000429999999999</v>
      </c>
      <c r="O3">
        <v>4.3203240000000003</v>
      </c>
      <c r="P3">
        <f t="shared" si="0"/>
        <v>3.1667383333333331E-5</v>
      </c>
      <c r="Q3" cm="1">
        <f t="array" ref="Q3">[1]!PropsSI("D","T",J3+273.15,"P",101325,"Water")</f>
        <v>984.70247873782375</v>
      </c>
      <c r="R3" cm="1">
        <f t="array" ref="R3">[1]!PropsSI("D","T",K3+273.15,"P",101325,"Water")</f>
        <v>987.20975082930829</v>
      </c>
      <c r="S3">
        <f t="shared" si="1"/>
        <v>985.95611478356602</v>
      </c>
      <c r="T3" cm="1">
        <f t="array" ref="T3">[1]!PropsSI("H","T",J3+273.15,"P",101325,"Water")</f>
        <v>238779.06287741222</v>
      </c>
      <c r="U3" cm="1">
        <f t="array" ref="U3">[1]!PropsSI("H","T",K3+273.15,"P",101325,"Water")</f>
        <v>216950.84802688399</v>
      </c>
      <c r="V3">
        <f t="shared" si="2"/>
        <v>681.53471756947829</v>
      </c>
      <c r="W3" s="3" t="s">
        <v>33</v>
      </c>
      <c r="X3">
        <f t="shared" ref="X3:Y55" si="3">(0.15+0.002*ABS(J3))</f>
        <v>0.26403983599999997</v>
      </c>
      <c r="Y3">
        <f t="shared" si="3"/>
        <v>0.253602614</v>
      </c>
      <c r="Z3">
        <f t="shared" ref="Z3:Z55" si="4">SQRT((X3)^2 + (Y3)^2)</f>
        <v>0.36610288283833531</v>
      </c>
      <c r="AA3">
        <f>J3-K3</f>
        <v>5.2186109999999957</v>
      </c>
      <c r="AB3">
        <f t="shared" ref="AB3:AB66" si="5">SQRT((0.01)^2 + (Z3/ABS(AA3))^2)</f>
        <v>7.0862459619622772E-2</v>
      </c>
      <c r="AC3">
        <f t="shared" ref="AC3:AC66" si="6">ABS(V3*AB3)</f>
        <v>48.295226403138166</v>
      </c>
    </row>
    <row r="4" spans="1:29" x14ac:dyDescent="0.2">
      <c r="A4">
        <v>44675.0660600255</v>
      </c>
      <c r="B4">
        <v>16.855575999999999</v>
      </c>
      <c r="C4">
        <v>17.089267</v>
      </c>
      <c r="D4">
        <v>18.722214999999998</v>
      </c>
      <c r="E4">
        <v>18.929963000000001</v>
      </c>
      <c r="F4">
        <v>32.800347000000002</v>
      </c>
      <c r="G4">
        <v>33.573135999999998</v>
      </c>
      <c r="H4">
        <v>29.584569999999999</v>
      </c>
      <c r="I4">
        <v>26.789670999999998</v>
      </c>
      <c r="J4">
        <v>57.022942999999998</v>
      </c>
      <c r="K4">
        <v>51.813547</v>
      </c>
      <c r="L4">
        <v>139.66714400000001</v>
      </c>
      <c r="M4">
        <v>-622.49632699999995</v>
      </c>
      <c r="N4">
        <v>1.9057059999999999</v>
      </c>
      <c r="O4">
        <v>4.4351640000000003</v>
      </c>
      <c r="P4">
        <f t="shared" si="0"/>
        <v>3.1761766666666665E-5</v>
      </c>
      <c r="Q4" cm="1">
        <f t="array" ref="Q4">[1]!PropsSI("D","T",J4+273.15,"P",101325,"Water")</f>
        <v>984.70097648503997</v>
      </c>
      <c r="R4" cm="1">
        <f t="array" ref="R4">[1]!PropsSI("D","T",K4+273.15,"P",101325,"Water")</f>
        <v>987.20407108330051</v>
      </c>
      <c r="S4">
        <f t="shared" si="1"/>
        <v>985.95252378417024</v>
      </c>
      <c r="T4" cm="1">
        <f t="array" ref="T4">[1]!PropsSI("H","T",J4+273.15,"P",101325,"Water")</f>
        <v>238791.7186265029</v>
      </c>
      <c r="U4" cm="1">
        <f t="array" ref="U4">[1]!PropsSI("H","T",K4+273.15,"P",101325,"Water")</f>
        <v>217002.0342406565</v>
      </c>
      <c r="V4">
        <f t="shared" si="2"/>
        <v>682.35690972085297</v>
      </c>
      <c r="W4" s="3">
        <f>SQRT((AVERAGE(AC2:AC28))^2 + (_xlfn.STDEV.S(V2:V28)/SQRT(COUNT(V2:V28)))^2)</f>
        <v>48.402192304377479</v>
      </c>
      <c r="X4">
        <f t="shared" si="3"/>
        <v>0.26404588600000001</v>
      </c>
      <c r="Y4">
        <f t="shared" si="3"/>
        <v>0.253627094</v>
      </c>
      <c r="Z4">
        <f t="shared" si="4"/>
        <v>0.36612420395872469</v>
      </c>
      <c r="AA4">
        <f t="shared" ref="AA4:AA67" si="7">J4-K4</f>
        <v>5.2093959999999981</v>
      </c>
      <c r="AB4">
        <f t="shared" si="5"/>
        <v>7.0989367472593601E-2</v>
      </c>
      <c r="AC4">
        <f t="shared" si="6"/>
        <v>48.440085411637007</v>
      </c>
    </row>
    <row r="5" spans="1:29" x14ac:dyDescent="0.2">
      <c r="A5">
        <v>44675.066095326401</v>
      </c>
      <c r="B5">
        <v>16.892251000000002</v>
      </c>
      <c r="C5">
        <v>17.209537000000001</v>
      </c>
      <c r="D5">
        <v>18.693508999999999</v>
      </c>
      <c r="E5">
        <v>18.910399000000002</v>
      </c>
      <c r="F5">
        <v>32.304690999999998</v>
      </c>
      <c r="G5">
        <v>32.441367999999997</v>
      </c>
      <c r="H5">
        <v>29.267765000000001</v>
      </c>
      <c r="I5">
        <v>26.672142999999998</v>
      </c>
      <c r="J5">
        <v>57.026605000000004</v>
      </c>
      <c r="K5">
        <v>51.824196999999998</v>
      </c>
      <c r="L5">
        <v>133.74417500000001</v>
      </c>
      <c r="M5">
        <v>-622.48244999999997</v>
      </c>
      <c r="N5">
        <v>1.9045179999999999</v>
      </c>
      <c r="O5">
        <v>4.8696070000000002</v>
      </c>
      <c r="P5">
        <f t="shared" si="0"/>
        <v>3.1741966666666669E-5</v>
      </c>
      <c r="Q5" cm="1">
        <f t="array" ref="Q5">[1]!PropsSI("D","T",J5+273.15,"P",101325,"Water")</f>
        <v>984.69915781568716</v>
      </c>
      <c r="R5" cm="1">
        <f t="array" ref="R5">[1]!PropsSI("D","T",K5+273.15,"P",101325,"Water")</f>
        <v>987.19912836418564</v>
      </c>
      <c r="S5">
        <f t="shared" si="1"/>
        <v>985.94914308993634</v>
      </c>
      <c r="T5" cm="1">
        <f t="array" ref="T5">[1]!PropsSI("H","T",J5+273.15,"P",101325,"Water")</f>
        <v>238807.03940915622</v>
      </c>
      <c r="U5" cm="1">
        <f t="array" ref="U5">[1]!PropsSI("H","T",K5+273.15,"P",101325,"Water")</f>
        <v>217046.57130295696</v>
      </c>
      <c r="V5">
        <f t="shared" si="2"/>
        <v>681.01484464451869</v>
      </c>
      <c r="W5" s="3"/>
      <c r="X5">
        <f t="shared" si="3"/>
        <v>0.26405321000000004</v>
      </c>
      <c r="Y5">
        <f t="shared" si="3"/>
        <v>0.253648394</v>
      </c>
      <c r="Z5">
        <f t="shared" si="4"/>
        <v>0.36614424137228124</v>
      </c>
      <c r="AA5">
        <f t="shared" si="7"/>
        <v>5.2024080000000055</v>
      </c>
      <c r="AB5">
        <f t="shared" si="5"/>
        <v>7.1086644463479121E-2</v>
      </c>
      <c r="AC5">
        <f t="shared" si="6"/>
        <v>48.411060135596365</v>
      </c>
    </row>
    <row r="6" spans="1:29" x14ac:dyDescent="0.2">
      <c r="A6">
        <v>46137.066130624997</v>
      </c>
      <c r="B6">
        <v>16.985346</v>
      </c>
      <c r="C6">
        <v>17.144742000000001</v>
      </c>
      <c r="D6">
        <v>18.661379</v>
      </c>
      <c r="E6">
        <v>18.951701</v>
      </c>
      <c r="F6">
        <v>32.622577</v>
      </c>
      <c r="G6">
        <v>33.020555999999999</v>
      </c>
      <c r="H6">
        <v>29.497816</v>
      </c>
      <c r="I6">
        <v>26.764492000000001</v>
      </c>
      <c r="J6">
        <v>57.029311</v>
      </c>
      <c r="K6">
        <v>51.832622999999998</v>
      </c>
      <c r="L6">
        <v>126.50249700000001</v>
      </c>
      <c r="M6">
        <v>-622.48326599999996</v>
      </c>
      <c r="N6">
        <v>1.904177</v>
      </c>
      <c r="O6">
        <v>3.4914809999999998</v>
      </c>
      <c r="P6">
        <f t="shared" si="0"/>
        <v>3.1736283333333333E-5</v>
      </c>
      <c r="Q6" cm="1">
        <f t="array" ref="Q6">[1]!PropsSI("D","T",J6+273.15,"P",101325,"Water")</f>
        <v>984.69781387490934</v>
      </c>
      <c r="R6" cm="1">
        <f t="array" ref="R6">[1]!PropsSI("D","T",K6+273.15,"P",101325,"Water")</f>
        <v>987.1952172984287</v>
      </c>
      <c r="S6">
        <f t="shared" si="1"/>
        <v>985.94651558666897</v>
      </c>
      <c r="T6" cm="1">
        <f t="array" ref="T6">[1]!PropsSI("H","T",J6+273.15,"P",101325,"Water")</f>
        <v>238818.36055884435</v>
      </c>
      <c r="U6" cm="1">
        <f t="array" ref="U6">[1]!PropsSI("H","T",K6+273.15,"P",101325,"Water")</f>
        <v>217081.80788079949</v>
      </c>
      <c r="V6">
        <f t="shared" si="2"/>
        <v>680.14277540929436</v>
      </c>
      <c r="W6" s="3"/>
      <c r="X6">
        <f t="shared" si="3"/>
        <v>0.26405862199999997</v>
      </c>
      <c r="Y6">
        <f t="shared" si="3"/>
        <v>0.25366524600000001</v>
      </c>
      <c r="Z6">
        <f t="shared" si="4"/>
        <v>0.36615981876877124</v>
      </c>
      <c r="AA6">
        <f>J6-K6</f>
        <v>5.1966880000000018</v>
      </c>
      <c r="AB6">
        <f t="shared" si="5"/>
        <v>7.1166309869892058E-2</v>
      </c>
      <c r="AC6">
        <f t="shared" si="6"/>
        <v>48.403251510546241</v>
      </c>
    </row>
    <row r="7" spans="1:29" x14ac:dyDescent="0.2">
      <c r="A7">
        <v>46137.06616534722</v>
      </c>
      <c r="B7">
        <v>17.045127999999998</v>
      </c>
      <c r="C7">
        <v>17.297736</v>
      </c>
      <c r="D7">
        <v>18.684626999999999</v>
      </c>
      <c r="E7">
        <v>18.952210000000001</v>
      </c>
      <c r="F7">
        <v>32.689712</v>
      </c>
      <c r="G7">
        <v>32.141938000000003</v>
      </c>
      <c r="H7">
        <v>29.234411000000001</v>
      </c>
      <c r="I7">
        <v>26.786698000000001</v>
      </c>
      <c r="J7">
        <v>57.030267000000002</v>
      </c>
      <c r="K7">
        <v>51.842002000000001</v>
      </c>
      <c r="L7">
        <v>136.713414</v>
      </c>
      <c r="M7">
        <v>-622.49959200000001</v>
      </c>
      <c r="N7">
        <v>1.9102380000000001</v>
      </c>
      <c r="O7">
        <v>4.2505449999999998</v>
      </c>
      <c r="P7">
        <f t="shared" si="0"/>
        <v>3.1837300000000001E-5</v>
      </c>
      <c r="Q7" cm="1">
        <f t="array" ref="Q7">[1]!PropsSI("D","T",J7+273.15,"P",101325,"Water")</f>
        <v>984.69733906479917</v>
      </c>
      <c r="R7" cm="1">
        <f t="array" ref="R7">[1]!PropsSI("D","T",K7+273.15,"P",101325,"Water")</f>
        <v>987.19086334569602</v>
      </c>
      <c r="S7">
        <f t="shared" si="1"/>
        <v>985.94410120524753</v>
      </c>
      <c r="T7" cm="1">
        <f t="array" ref="T7">[1]!PropsSI("H","T",J7+273.15,"P",101325,"Water")</f>
        <v>238822.36019705</v>
      </c>
      <c r="U7" cm="1">
        <f t="array" ref="U7">[1]!PropsSI("H","T",K7+273.15,"P",101325,"Water")</f>
        <v>217121.02982283258</v>
      </c>
      <c r="V7">
        <f t="shared" si="2"/>
        <v>681.20037967077621</v>
      </c>
      <c r="W7" s="3"/>
      <c r="X7">
        <f t="shared" si="3"/>
        <v>0.26406053400000001</v>
      </c>
      <c r="Y7">
        <f t="shared" si="3"/>
        <v>0.25368400400000002</v>
      </c>
      <c r="Z7">
        <f t="shared" si="4"/>
        <v>0.36617419283974284</v>
      </c>
      <c r="AA7">
        <f t="shared" ref="AA7:AA70" si="8">J7-K7</f>
        <v>5.1882650000000012</v>
      </c>
      <c r="AB7">
        <f t="shared" si="5"/>
        <v>7.1282310014896794E-2</v>
      </c>
      <c r="AC7">
        <f t="shared" si="6"/>
        <v>48.557536645957668</v>
      </c>
    </row>
    <row r="8" spans="1:29" x14ac:dyDescent="0.2">
      <c r="A8">
        <v>46137.066200648151</v>
      </c>
      <c r="B8">
        <v>16.926950000000001</v>
      </c>
      <c r="C8">
        <v>17.120512999999999</v>
      </c>
      <c r="D8">
        <v>18.555992</v>
      </c>
      <c r="E8">
        <v>18.955290000000002</v>
      </c>
      <c r="F8">
        <v>32.712778</v>
      </c>
      <c r="G8">
        <v>32.244269000000003</v>
      </c>
      <c r="H8">
        <v>29.69858</v>
      </c>
      <c r="I8">
        <v>26.522929999999999</v>
      </c>
      <c r="J8">
        <v>57.030743999999999</v>
      </c>
      <c r="K8">
        <v>51.846134999999997</v>
      </c>
      <c r="L8">
        <v>137.60316599999999</v>
      </c>
      <c r="M8">
        <v>-622.50040799999999</v>
      </c>
      <c r="N8">
        <v>1.8986289999999999</v>
      </c>
      <c r="O8">
        <v>4.3082890000000003</v>
      </c>
      <c r="P8">
        <f t="shared" si="0"/>
        <v>3.1643816666666667E-5</v>
      </c>
      <c r="Q8" cm="1">
        <f t="array" ref="Q8">[1]!PropsSI("D","T",J8+273.15,"P",101325,"Water")</f>
        <v>984.69710215430553</v>
      </c>
      <c r="R8" cm="1">
        <f t="array" ref="R8">[1]!PropsSI("D","T",K8+273.15,"P",101325,"Water")</f>
        <v>987.18894453039502</v>
      </c>
      <c r="S8">
        <f t="shared" si="1"/>
        <v>985.94302334235022</v>
      </c>
      <c r="T8" cm="1">
        <f t="array" ref="T8">[1]!PropsSI("H","T",J8+273.15,"P",101325,"Water")</f>
        <v>238824.35583259462</v>
      </c>
      <c r="U8" cm="1">
        <f t="array" ref="U8">[1]!PropsSI("H","T",K8+273.15,"P",101325,"Water")</f>
        <v>217138.31358106399</v>
      </c>
      <c r="V8">
        <f t="shared" si="2"/>
        <v>676.58283815668278</v>
      </c>
      <c r="W8" s="3"/>
      <c r="X8">
        <f t="shared" si="3"/>
        <v>0.26406148800000001</v>
      </c>
      <c r="Y8">
        <f t="shared" si="3"/>
        <v>0.25369227</v>
      </c>
      <c r="Z8">
        <f>SQRT((X8)^2 + (Y8)^2)</f>
        <v>0.36618060749106723</v>
      </c>
      <c r="AA8">
        <f t="shared" si="8"/>
        <v>5.1846090000000018</v>
      </c>
      <c r="AB8">
        <f t="shared" si="5"/>
        <v>7.1332811855960743E-2</v>
      </c>
      <c r="AC8">
        <f t="shared" si="6"/>
        <v>48.262556299202593</v>
      </c>
    </row>
    <row r="9" spans="1:29" x14ac:dyDescent="0.2">
      <c r="A9">
        <v>46137.066235949074</v>
      </c>
      <c r="B9">
        <v>16.898800999999999</v>
      </c>
      <c r="C9">
        <v>17.165438000000002</v>
      </c>
      <c r="D9">
        <v>18.600148000000001</v>
      </c>
      <c r="E9">
        <v>18.941849999999999</v>
      </c>
      <c r="F9">
        <v>32.739626000000001</v>
      </c>
      <c r="G9">
        <v>33.571581000000002</v>
      </c>
      <c r="H9">
        <v>29.002008</v>
      </c>
      <c r="I9">
        <v>27.168344000000001</v>
      </c>
      <c r="J9">
        <v>57.032654999999998</v>
      </c>
      <c r="K9">
        <v>51.849632</v>
      </c>
      <c r="L9">
        <v>134.75106400000001</v>
      </c>
      <c r="M9">
        <v>-622.47918500000003</v>
      </c>
      <c r="N9">
        <v>1.8992640000000001</v>
      </c>
      <c r="O9">
        <v>4.3595269999999999</v>
      </c>
      <c r="P9">
        <f t="shared" si="0"/>
        <v>3.16544E-5</v>
      </c>
      <c r="Q9" cm="1">
        <f t="array" ref="Q9">[1]!PropsSI("D","T",J9+273.15,"P",101325,"Water")</f>
        <v>984.69615300853889</v>
      </c>
      <c r="R9" cm="1">
        <f t="array" ref="R9">[1]!PropsSI("D","T",K9+273.15,"P",101325,"Water")</f>
        <v>987.18732090313506</v>
      </c>
      <c r="S9">
        <f t="shared" si="1"/>
        <v>985.94173695583697</v>
      </c>
      <c r="T9" cm="1">
        <f t="array" ref="T9">[1]!PropsSI("H","T",J9+273.15,"P",101325,"Water")</f>
        <v>238832.35092674865</v>
      </c>
      <c r="U9" cm="1">
        <f t="array" ref="U9">[1]!PropsSI("H","T",K9+273.15,"P",101325,"Water")</f>
        <v>217152.93766038827</v>
      </c>
      <c r="V9">
        <f t="shared" si="2"/>
        <v>676.6013528832309</v>
      </c>
      <c r="W9" s="3"/>
      <c r="X9">
        <f t="shared" si="3"/>
        <v>0.26406531</v>
      </c>
      <c r="Y9">
        <f t="shared" si="3"/>
        <v>0.25369926399999998</v>
      </c>
      <c r="Z9">
        <f t="shared" ref="Z9:Z72" si="9">SQRT((X9)^2 + (Y9)^2)</f>
        <v>0.36618820912139949</v>
      </c>
      <c r="AA9">
        <f t="shared" si="8"/>
        <v>5.1830229999999986</v>
      </c>
      <c r="AB9">
        <f t="shared" si="5"/>
        <v>7.1355662883747936E-2</v>
      </c>
      <c r="AC9">
        <f t="shared" si="6"/>
        <v>48.2793380430236</v>
      </c>
    </row>
    <row r="10" spans="1:29" x14ac:dyDescent="0.2">
      <c r="A10">
        <v>44675.066271252297</v>
      </c>
      <c r="B10">
        <v>16.934702999999999</v>
      </c>
      <c r="C10">
        <v>17.333769</v>
      </c>
      <c r="D10">
        <v>18.588127</v>
      </c>
      <c r="E10">
        <v>18.922211999999998</v>
      </c>
      <c r="F10">
        <v>32.644354999999997</v>
      </c>
      <c r="G10">
        <v>33.742629000000001</v>
      </c>
      <c r="H10">
        <v>29.382100999999999</v>
      </c>
      <c r="I10">
        <v>25.584258999999999</v>
      </c>
      <c r="J10">
        <v>57.036476</v>
      </c>
      <c r="K10">
        <v>51.855991000000003</v>
      </c>
      <c r="L10">
        <v>131.812027</v>
      </c>
      <c r="M10">
        <v>-622.51673400000004</v>
      </c>
      <c r="N10">
        <v>1.906566</v>
      </c>
      <c r="O10">
        <v>4.3207940000000002</v>
      </c>
      <c r="P10">
        <f t="shared" si="0"/>
        <v>3.1776100000000002E-5</v>
      </c>
      <c r="Q10" cm="1">
        <f t="array" ref="Q10">[1]!PropsSI("D","T",J10+273.15,"P",101325,"Water")</f>
        <v>984.69425514709894</v>
      </c>
      <c r="R10" cm="1">
        <f t="array" ref="R10">[1]!PropsSI("D","T",K10+273.15,"P",101325,"Water")</f>
        <v>987.18436827248718</v>
      </c>
      <c r="S10">
        <f t="shared" si="1"/>
        <v>985.93931170979306</v>
      </c>
      <c r="T10" cm="1">
        <f t="array" ref="T10">[1]!PropsSI("H","T",J10+273.15,"P",101325,"Water")</f>
        <v>238848.33693554188</v>
      </c>
      <c r="U10" cm="1">
        <f t="array" ref="U10">[1]!PropsSI("H","T",K10+273.15,"P",101325,"Water")</f>
        <v>217179.53032685997</v>
      </c>
      <c r="V10">
        <f t="shared" si="2"/>
        <v>678.86867642636685</v>
      </c>
      <c r="X10">
        <f t="shared" si="3"/>
        <v>0.26407295200000003</v>
      </c>
      <c r="Y10">
        <f t="shared" si="3"/>
        <v>0.253711982</v>
      </c>
      <c r="Z10">
        <f t="shared" si="9"/>
        <v>0.36620253110589313</v>
      </c>
      <c r="AA10">
        <f t="shared" si="8"/>
        <v>5.1804849999999973</v>
      </c>
      <c r="AB10">
        <f t="shared" si="5"/>
        <v>7.1392672059929094E-2</v>
      </c>
      <c r="AC10">
        <f t="shared" si="6"/>
        <v>48.466248787865723</v>
      </c>
    </row>
    <row r="11" spans="1:29" x14ac:dyDescent="0.2">
      <c r="A11">
        <v>44675.0663059746</v>
      </c>
      <c r="B11">
        <v>16.969718</v>
      </c>
      <c r="C11">
        <v>17.093523999999999</v>
      </c>
      <c r="D11">
        <v>18.519886</v>
      </c>
      <c r="E11">
        <v>18.933094000000001</v>
      </c>
      <c r="F11">
        <v>32.798748000000003</v>
      </c>
      <c r="G11">
        <v>32.887101000000001</v>
      </c>
      <c r="H11">
        <v>28.769013000000001</v>
      </c>
      <c r="I11">
        <v>26.300158</v>
      </c>
      <c r="J11">
        <v>57.037430999999998</v>
      </c>
      <c r="K11">
        <v>51.862031000000002</v>
      </c>
      <c r="L11">
        <v>139.352058</v>
      </c>
      <c r="M11">
        <v>-622.50489800000003</v>
      </c>
      <c r="N11">
        <v>1.903821</v>
      </c>
      <c r="O11">
        <v>4.2981490000000004</v>
      </c>
      <c r="P11">
        <f t="shared" si="0"/>
        <v>3.173035E-5</v>
      </c>
      <c r="Q11" cm="1">
        <f t="array" ref="Q11">[1]!PropsSI("D","T",J11+273.15,"P",101325,"Water")</f>
        <v>984.6937807920425</v>
      </c>
      <c r="R11" cm="1">
        <f t="array" ref="R11">[1]!PropsSI("D","T",K11+273.15,"P",101325,"Water")</f>
        <v>987.18156352040808</v>
      </c>
      <c r="S11">
        <f t="shared" si="1"/>
        <v>985.93767215622529</v>
      </c>
      <c r="T11" cm="1">
        <f t="array" ref="T11">[1]!PropsSI("H","T",J11+273.15,"P",101325,"Water")</f>
        <v>238852.33239272542</v>
      </c>
      <c r="U11" cm="1">
        <f t="array" ref="U11">[1]!PropsSI("H","T",K11+273.15,"P",101325,"Water")</f>
        <v>217204.7889806868</v>
      </c>
      <c r="V11">
        <f t="shared" si="2"/>
        <v>677.22493929003099</v>
      </c>
      <c r="X11">
        <f t="shared" si="3"/>
        <v>0.26407486199999997</v>
      </c>
      <c r="Y11">
        <f t="shared" si="3"/>
        <v>0.25372406199999997</v>
      </c>
      <c r="Z11">
        <f t="shared" si="9"/>
        <v>0.36621227775444515</v>
      </c>
      <c r="AA11">
        <f t="shared" si="8"/>
        <v>5.1753999999999962</v>
      </c>
      <c r="AB11">
        <f t="shared" si="5"/>
        <v>7.1463306858160922E-2</v>
      </c>
      <c r="AC11">
        <f t="shared" si="6"/>
        <v>48.396733648482886</v>
      </c>
    </row>
    <row r="12" spans="1:29" x14ac:dyDescent="0.2">
      <c r="A12">
        <v>44675.066341275502</v>
      </c>
      <c r="B12">
        <v>16.821566000000001</v>
      </c>
      <c r="C12">
        <v>16.935876</v>
      </c>
      <c r="D12">
        <v>18.418206999999999</v>
      </c>
      <c r="E12">
        <v>18.871518999999999</v>
      </c>
      <c r="F12">
        <v>32.477099000000003</v>
      </c>
      <c r="G12">
        <v>31.90033</v>
      </c>
      <c r="H12">
        <v>29.103656999999998</v>
      </c>
      <c r="I12">
        <v>26.124288</v>
      </c>
      <c r="J12">
        <v>57.038545999999997</v>
      </c>
      <c r="K12">
        <v>51.860919000000003</v>
      </c>
      <c r="L12">
        <v>134.79555099999999</v>
      </c>
      <c r="M12">
        <v>-622.49877600000002</v>
      </c>
      <c r="N12">
        <v>1.8967639999999999</v>
      </c>
      <c r="O12">
        <v>3.539771</v>
      </c>
      <c r="P12">
        <f t="shared" si="0"/>
        <v>3.1612733333333337E-5</v>
      </c>
      <c r="Q12" cm="1">
        <f t="array" ref="Q12">[1]!PropsSI("D","T",J12+273.15,"P",101325,"Water")</f>
        <v>984.69322695687708</v>
      </c>
      <c r="R12" cm="1">
        <f t="array" ref="R12">[1]!PropsSI("D","T",K12+273.15,"P",101325,"Water")</f>
        <v>987.18207990957558</v>
      </c>
      <c r="S12">
        <f t="shared" si="1"/>
        <v>985.93765343322639</v>
      </c>
      <c r="T12" cm="1">
        <f t="array" ref="T12">[1]!PropsSI("H","T",J12+273.15,"P",101325,"Water")</f>
        <v>238856.99724631471</v>
      </c>
      <c r="U12" cm="1">
        <f t="array" ref="U12">[1]!PropsSI("H","T",K12+273.15,"P",101325,"Water")</f>
        <v>217200.13871106363</v>
      </c>
      <c r="V12">
        <f t="shared" si="2"/>
        <v>675.00495431515526</v>
      </c>
      <c r="X12">
        <f t="shared" si="3"/>
        <v>0.26407709199999996</v>
      </c>
      <c r="Y12">
        <f t="shared" si="3"/>
        <v>0.25372183800000003</v>
      </c>
      <c r="Z12">
        <f t="shared" si="9"/>
        <v>0.36621234495477445</v>
      </c>
      <c r="AA12">
        <f t="shared" si="8"/>
        <v>5.177626999999994</v>
      </c>
      <c r="AB12">
        <f t="shared" si="5"/>
        <v>7.1433183926579588E-2</v>
      </c>
      <c r="AC12">
        <f t="shared" si="6"/>
        <v>48.217753052946939</v>
      </c>
    </row>
    <row r="13" spans="1:29" x14ac:dyDescent="0.2">
      <c r="A13">
        <v>44675.066376576397</v>
      </c>
      <c r="B13">
        <v>16.797028000000001</v>
      </c>
      <c r="C13">
        <v>16.856383000000001</v>
      </c>
      <c r="D13">
        <v>18.37867</v>
      </c>
      <c r="E13">
        <v>18.877538999999999</v>
      </c>
      <c r="F13">
        <v>32.592039999999997</v>
      </c>
      <c r="G13">
        <v>32.416370999999998</v>
      </c>
      <c r="H13">
        <v>29.350431</v>
      </c>
      <c r="I13">
        <v>26.089939000000001</v>
      </c>
      <c r="J13">
        <v>57.042048000000001</v>
      </c>
      <c r="K13">
        <v>51.855513999999999</v>
      </c>
      <c r="L13">
        <v>127.006962</v>
      </c>
      <c r="M13">
        <v>-622.51020400000004</v>
      </c>
      <c r="N13">
        <v>1.903497</v>
      </c>
      <c r="O13">
        <v>4.9179979999999999</v>
      </c>
      <c r="P13">
        <f t="shared" si="0"/>
        <v>3.1724950000000002E-5</v>
      </c>
      <c r="Q13" cm="1">
        <f t="array" ref="Q13">[1]!PropsSI("D","T",J13+273.15,"P",101325,"Water")</f>
        <v>984.69148741825848</v>
      </c>
      <c r="R13" cm="1">
        <f t="array" ref="R13">[1]!PropsSI("D","T",K13+273.15,"P",101325,"Water")</f>
        <v>987.18458976362103</v>
      </c>
      <c r="S13">
        <f t="shared" si="1"/>
        <v>985.93803859093975</v>
      </c>
      <c r="T13" cm="1">
        <f t="array" ref="T13">[1]!PropsSI("H","T",J13+273.15,"P",101325,"Water")</f>
        <v>238871.64865515582</v>
      </c>
      <c r="U13" cm="1">
        <f t="array" ref="U13">[1]!PropsSI("H","T",K13+273.15,"P",101325,"Water")</f>
        <v>217177.53556278555</v>
      </c>
      <c r="V13">
        <f t="shared" si="2"/>
        <v>678.56658339720786</v>
      </c>
      <c r="X13">
        <f t="shared" si="3"/>
        <v>0.26408409599999999</v>
      </c>
      <c r="Y13">
        <f t="shared" si="3"/>
        <v>0.25371102800000001</v>
      </c>
      <c r="Z13">
        <f t="shared" si="9"/>
        <v>0.36620990632280004</v>
      </c>
      <c r="AA13">
        <f t="shared" si="8"/>
        <v>5.1865340000000018</v>
      </c>
      <c r="AB13">
        <f t="shared" si="5"/>
        <v>7.1312450042169628E-2</v>
      </c>
      <c r="AC13">
        <f t="shared" si="6"/>
        <v>48.390245578799117</v>
      </c>
    </row>
    <row r="14" spans="1:29" x14ac:dyDescent="0.2">
      <c r="A14">
        <v>44675.066411298598</v>
      </c>
      <c r="B14">
        <v>16.744644000000001</v>
      </c>
      <c r="C14">
        <v>16.768518</v>
      </c>
      <c r="D14">
        <v>18.405401000000001</v>
      </c>
      <c r="E14">
        <v>18.844560000000001</v>
      </c>
      <c r="F14">
        <v>32.354528999999999</v>
      </c>
      <c r="G14">
        <v>32.156010000000002</v>
      </c>
      <c r="H14">
        <v>29.065873</v>
      </c>
      <c r="I14">
        <v>26.669339999999998</v>
      </c>
      <c r="J14">
        <v>57.044595999999999</v>
      </c>
      <c r="K14">
        <v>51.853447000000003</v>
      </c>
      <c r="L14">
        <v>145.337064</v>
      </c>
      <c r="M14">
        <v>-622.49061300000005</v>
      </c>
      <c r="N14">
        <v>1.901432</v>
      </c>
      <c r="O14">
        <v>4.2174670000000001</v>
      </c>
      <c r="P14">
        <f t="shared" si="0"/>
        <v>3.1690533333333331E-5</v>
      </c>
      <c r="Q14" cm="1">
        <f t="array" ref="Q14">[1]!PropsSI("D","T",J14+273.15,"P",101325,"Water")</f>
        <v>984.69022171052427</v>
      </c>
      <c r="R14" cm="1">
        <f t="array" ref="R14">[1]!PropsSI("D","T",K14+273.15,"P",101325,"Water")</f>
        <v>987.18554954164449</v>
      </c>
      <c r="S14">
        <f t="shared" si="1"/>
        <v>985.93788562608438</v>
      </c>
      <c r="T14" cm="1">
        <f t="array" ref="T14">[1]!PropsSI("H","T",J14+273.15,"P",101325,"Water")</f>
        <v>238882.30879223061</v>
      </c>
      <c r="U14" cm="1">
        <f t="array" ref="U14">[1]!PropsSI("H","T",K14+273.15,"P",101325,"Water")</f>
        <v>217168.89158598741</v>
      </c>
      <c r="V14">
        <f t="shared" si="2"/>
        <v>678.43349344279557</v>
      </c>
      <c r="X14">
        <f t="shared" si="3"/>
        <v>0.26408919200000003</v>
      </c>
      <c r="Y14">
        <f t="shared" si="3"/>
        <v>0.25370689400000002</v>
      </c>
      <c r="Z14">
        <f t="shared" si="9"/>
        <v>0.36621071720300608</v>
      </c>
      <c r="AA14">
        <f t="shared" si="8"/>
        <v>5.1911489999999958</v>
      </c>
      <c r="AB14">
        <f t="shared" si="5"/>
        <v>7.1250454179672004E-2</v>
      </c>
      <c r="AC14">
        <f t="shared" si="6"/>
        <v>48.338694538500711</v>
      </c>
    </row>
    <row r="15" spans="1:29" x14ac:dyDescent="0.2">
      <c r="A15">
        <v>46137.066446597222</v>
      </c>
      <c r="B15">
        <v>16.844776</v>
      </c>
      <c r="C15">
        <v>16.929569999999998</v>
      </c>
      <c r="D15">
        <v>18.549047999999999</v>
      </c>
      <c r="E15">
        <v>18.914180999999999</v>
      </c>
      <c r="F15">
        <v>32.613698999999997</v>
      </c>
      <c r="G15">
        <v>32.495424999999997</v>
      </c>
      <c r="H15">
        <v>29.30284</v>
      </c>
      <c r="I15">
        <v>26.314295000000001</v>
      </c>
      <c r="J15">
        <v>57.046188000000001</v>
      </c>
      <c r="K15">
        <v>51.848519000000003</v>
      </c>
      <c r="L15">
        <v>153.20646600000001</v>
      </c>
      <c r="M15">
        <v>-622.487348</v>
      </c>
      <c r="N15">
        <v>1.9044559999999999</v>
      </c>
      <c r="O15">
        <v>4.1143809999999998</v>
      </c>
      <c r="P15">
        <f t="shared" si="0"/>
        <v>3.1740933333333333E-5</v>
      </c>
      <c r="Q15" cm="1">
        <f t="array" ref="Q15">[1]!PropsSI("D","T",J15+273.15,"P",101325,"Water")</f>
        <v>984.68943087153013</v>
      </c>
      <c r="R15" cm="1">
        <f t="array" ref="R15">[1]!PropsSI("D","T",K15+273.15,"P",101325,"Water")</f>
        <v>987.18783766806337</v>
      </c>
      <c r="S15">
        <f t="shared" si="1"/>
        <v>985.93863426979669</v>
      </c>
      <c r="T15" cm="1">
        <f t="array" ref="T15">[1]!PropsSI("H","T",J15+273.15,"P",101325,"Water")</f>
        <v>238888.96928738389</v>
      </c>
      <c r="U15" cm="1">
        <f t="array" ref="U15">[1]!PropsSI("H","T",K15+273.15,"P",101325,"Water")</f>
        <v>217148.28321325051</v>
      </c>
      <c r="V15">
        <f t="shared" si="2"/>
        <v>680.3663453287711</v>
      </c>
      <c r="X15">
        <f t="shared" si="3"/>
        <v>0.26409237600000002</v>
      </c>
      <c r="Y15">
        <f t="shared" si="3"/>
        <v>0.25369703799999999</v>
      </c>
      <c r="Z15">
        <f t="shared" si="9"/>
        <v>0.36620618529907273</v>
      </c>
      <c r="AA15">
        <f t="shared" si="8"/>
        <v>5.1976689999999977</v>
      </c>
      <c r="AB15">
        <f t="shared" si="5"/>
        <v>7.1161975393429999E-2</v>
      </c>
      <c r="AC15">
        <f t="shared" si="6"/>
        <v>48.41621312480391</v>
      </c>
    </row>
    <row r="16" spans="1:29" x14ac:dyDescent="0.2">
      <c r="A16">
        <v>46137.066481319445</v>
      </c>
      <c r="B16">
        <v>16.933757</v>
      </c>
      <c r="C16">
        <v>17.007648</v>
      </c>
      <c r="D16">
        <v>18.649647000000002</v>
      </c>
      <c r="E16">
        <v>18.980718</v>
      </c>
      <c r="F16">
        <v>32.756115999999999</v>
      </c>
      <c r="G16">
        <v>31.951668999999999</v>
      </c>
      <c r="H16">
        <v>29.306528</v>
      </c>
      <c r="I16">
        <v>26.581064999999999</v>
      </c>
      <c r="J16">
        <v>57.050327000000003</v>
      </c>
      <c r="K16">
        <v>51.851858</v>
      </c>
      <c r="L16">
        <v>134.56290999999999</v>
      </c>
      <c r="M16">
        <v>-622.46612400000004</v>
      </c>
      <c r="N16">
        <v>1.9048860000000001</v>
      </c>
      <c r="O16">
        <v>4.6771469999999997</v>
      </c>
      <c r="P16">
        <f t="shared" si="0"/>
        <v>3.1748100000000002E-5</v>
      </c>
      <c r="Q16" cm="1">
        <f t="array" ref="Q16">[1]!PropsSI("D","T",J16+273.15,"P",101325,"Water")</f>
        <v>984.68737471738245</v>
      </c>
      <c r="R16" cm="1">
        <f t="array" ref="R16">[1]!PropsSI("D","T",K16+273.15,"P",101325,"Water")</f>
        <v>987.18628734945139</v>
      </c>
      <c r="S16">
        <f t="shared" si="1"/>
        <v>985.93683103341687</v>
      </c>
      <c r="T16" cm="1">
        <f t="array" ref="T16">[1]!PropsSI("H","T",J16+273.15,"P",101325,"Water")</f>
        <v>238906.28574266547</v>
      </c>
      <c r="U16" cm="1">
        <f t="array" ref="U16">[1]!PropsSI("H","T",K16+273.15,"P",101325,"Water")</f>
        <v>217162.24655588696</v>
      </c>
      <c r="V16">
        <f t="shared" si="2"/>
        <v>680.62367592403268</v>
      </c>
      <c r="X16">
        <f t="shared" si="3"/>
        <v>0.26410065399999999</v>
      </c>
      <c r="Y16">
        <f t="shared" si="3"/>
        <v>0.25370371599999997</v>
      </c>
      <c r="Z16">
        <f t="shared" si="9"/>
        <v>0.3662167813678619</v>
      </c>
      <c r="AA16">
        <f t="shared" si="8"/>
        <v>5.1984690000000029</v>
      </c>
      <c r="AB16">
        <f t="shared" si="5"/>
        <v>7.1153258518835305E-2</v>
      </c>
      <c r="AC16">
        <f t="shared" si="6"/>
        <v>48.428592367062677</v>
      </c>
    </row>
    <row r="17" spans="1:29" x14ac:dyDescent="0.2">
      <c r="A17">
        <v>46137.066516041668</v>
      </c>
      <c r="B17">
        <v>17.011109999999999</v>
      </c>
      <c r="C17">
        <v>17.137241</v>
      </c>
      <c r="D17">
        <v>18.771117</v>
      </c>
      <c r="E17">
        <v>18.982258999999999</v>
      </c>
      <c r="F17">
        <v>32.627648999999998</v>
      </c>
      <c r="G17">
        <v>32.438904000000001</v>
      </c>
      <c r="H17">
        <v>29.267803000000001</v>
      </c>
      <c r="I17">
        <v>26.014203999999999</v>
      </c>
      <c r="J17">
        <v>57.052714999999999</v>
      </c>
      <c r="K17">
        <v>51.862507999999998</v>
      </c>
      <c r="L17">
        <v>130.36230399999999</v>
      </c>
      <c r="M17">
        <v>-622.49469399999998</v>
      </c>
      <c r="N17">
        <v>1.9027879999999999</v>
      </c>
      <c r="O17">
        <v>4.3065360000000004</v>
      </c>
      <c r="P17">
        <f t="shared" si="0"/>
        <v>3.1713133333333333E-5</v>
      </c>
      <c r="Q17" cm="1">
        <f t="array" ref="Q17">[1]!PropsSI("D","T",J17+273.15,"P",101325,"Water")</f>
        <v>984.68618836992857</v>
      </c>
      <c r="R17" cm="1">
        <f t="array" ref="R17">[1]!PropsSI("D","T",K17+273.15,"P",101325,"Water")</f>
        <v>987.18134200929524</v>
      </c>
      <c r="S17">
        <f t="shared" si="1"/>
        <v>985.9337651896119</v>
      </c>
      <c r="T17" cm="1">
        <f t="array" ref="T17">[1]!PropsSI("H","T",J17+273.15,"P",101325,"Water")</f>
        <v>238916.27649111807</v>
      </c>
      <c r="U17" cm="1">
        <f t="array" ref="U17">[1]!PropsSI("H","T",K17+273.15,"P",101325,"Water")</f>
        <v>217206.78374571202</v>
      </c>
      <c r="V17">
        <f t="shared" si="2"/>
        <v>678.79177242178162</v>
      </c>
      <c r="X17">
        <f t="shared" si="3"/>
        <v>0.26410542999999997</v>
      </c>
      <c r="Y17">
        <f t="shared" si="3"/>
        <v>0.25372501599999997</v>
      </c>
      <c r="Z17">
        <f t="shared" si="9"/>
        <v>0.36623498180769831</v>
      </c>
      <c r="AA17">
        <f t="shared" si="8"/>
        <v>5.1902070000000009</v>
      </c>
      <c r="AB17">
        <f t="shared" si="5"/>
        <v>7.1267759940827569E-2</v>
      </c>
      <c r="AC17">
        <f t="shared" si="6"/>
        <v>48.375969086764393</v>
      </c>
    </row>
    <row r="18" spans="1:29" x14ac:dyDescent="0.2">
      <c r="A18">
        <v>46137.066551342592</v>
      </c>
      <c r="B18">
        <v>17.097425999999999</v>
      </c>
      <c r="C18">
        <v>17.321227</v>
      </c>
      <c r="D18">
        <v>18.795245999999999</v>
      </c>
      <c r="E18">
        <v>19.057409</v>
      </c>
      <c r="F18">
        <v>32.788798</v>
      </c>
      <c r="G18">
        <v>31.036408000000002</v>
      </c>
      <c r="H18">
        <v>29.658982000000002</v>
      </c>
      <c r="I18">
        <v>26.500128</v>
      </c>
      <c r="J18">
        <v>57.05574</v>
      </c>
      <c r="K18">
        <v>51.874271999999998</v>
      </c>
      <c r="L18">
        <v>134.364552</v>
      </c>
      <c r="M18">
        <v>-622.48204199999998</v>
      </c>
      <c r="N18">
        <v>1.9118729999999999</v>
      </c>
      <c r="O18">
        <v>4.1908560000000001</v>
      </c>
      <c r="P18">
        <f t="shared" si="0"/>
        <v>3.1864549999999996E-5</v>
      </c>
      <c r="Q18" cm="1">
        <f t="array" ref="Q18">[1]!PropsSI("D","T",J18+273.15,"P",101325,"Water")</f>
        <v>984.684685514026</v>
      </c>
      <c r="R18" cm="1">
        <f t="array" ref="R18">[1]!PropsSI("D","T",K18+273.15,"P",101325,"Water")</f>
        <v>987.17587853522207</v>
      </c>
      <c r="S18">
        <f t="shared" si="1"/>
        <v>985.93028202462403</v>
      </c>
      <c r="T18" cm="1">
        <f t="array" ref="T18">[1]!PropsSI("H","T",J18+273.15,"P",101325,"Water")</f>
        <v>238928.93227912736</v>
      </c>
      <c r="U18" cm="1">
        <f t="array" ref="U18">[1]!PropsSI("H","T",K18+273.15,"P",101325,"Water")</f>
        <v>217255.97960868684</v>
      </c>
      <c r="V18">
        <f t="shared" si="2"/>
        <v>680.88235248268643</v>
      </c>
      <c r="X18">
        <f t="shared" si="3"/>
        <v>0.26411148000000001</v>
      </c>
      <c r="Y18">
        <f t="shared" si="3"/>
        <v>0.25374854400000002</v>
      </c>
      <c r="Z18">
        <f t="shared" si="9"/>
        <v>0.36625564493931062</v>
      </c>
      <c r="AA18">
        <f t="shared" si="8"/>
        <v>5.1814680000000024</v>
      </c>
      <c r="AB18">
        <f t="shared" si="5"/>
        <v>7.1389543239233466E-2</v>
      </c>
      <c r="AC18">
        <f t="shared" si="6"/>
        <v>48.607880143393743</v>
      </c>
    </row>
    <row r="19" spans="1:29" x14ac:dyDescent="0.2">
      <c r="A19">
        <v>46137.066586064815</v>
      </c>
      <c r="B19">
        <v>17.010901</v>
      </c>
      <c r="C19">
        <v>17.321064</v>
      </c>
      <c r="D19">
        <v>18.733556</v>
      </c>
      <c r="E19">
        <v>19.086984000000001</v>
      </c>
      <c r="F19">
        <v>32.661228999999999</v>
      </c>
      <c r="G19">
        <v>32.305160000000001</v>
      </c>
      <c r="H19">
        <v>29.821453999999999</v>
      </c>
      <c r="I19">
        <v>26.524446999999999</v>
      </c>
      <c r="J19">
        <v>57.057172999999999</v>
      </c>
      <c r="K19">
        <v>51.884763999999997</v>
      </c>
      <c r="L19">
        <v>136.198746</v>
      </c>
      <c r="M19">
        <v>-622.47755199999995</v>
      </c>
      <c r="N19">
        <v>1.9038660000000001</v>
      </c>
      <c r="O19">
        <v>4.2086730000000001</v>
      </c>
      <c r="P19">
        <f t="shared" si="0"/>
        <v>3.1731100000000005E-5</v>
      </c>
      <c r="Q19" cm="1">
        <f t="array" ref="Q19">[1]!PropsSI("D","T",J19+273.15,"P",101325,"Water")</f>
        <v>984.68397356320554</v>
      </c>
      <c r="R19" cm="1">
        <f t="array" ref="R19">[1]!PropsSI("D","T",K19+273.15,"P",101325,"Water")</f>
        <v>987.17100505768826</v>
      </c>
      <c r="S19">
        <f t="shared" si="1"/>
        <v>985.92748931044684</v>
      </c>
      <c r="T19" cm="1">
        <f t="array" ref="T19">[1]!PropsSI("H","T",J19+273.15,"P",101325,"Water")</f>
        <v>238934.92756768569</v>
      </c>
      <c r="U19" cm="1">
        <f t="array" ref="U19">[1]!PropsSI("H","T",K19+273.15,"P",101325,"Water")</f>
        <v>217299.85613243957</v>
      </c>
      <c r="V19">
        <f t="shared" si="2"/>
        <v>676.8437716828422</v>
      </c>
      <c r="X19">
        <f t="shared" si="3"/>
        <v>0.264114346</v>
      </c>
      <c r="Y19">
        <f t="shared" si="3"/>
        <v>0.25376952799999997</v>
      </c>
      <c r="Z19">
        <f t="shared" si="9"/>
        <v>0.36627224997855146</v>
      </c>
      <c r="AA19">
        <f t="shared" si="8"/>
        <v>5.1724090000000018</v>
      </c>
      <c r="AB19">
        <f t="shared" si="5"/>
        <v>7.1515303037026856E-2</v>
      </c>
      <c r="AC19">
        <f t="shared" si="6"/>
        <v>48.404687440622673</v>
      </c>
    </row>
    <row r="20" spans="1:29" x14ac:dyDescent="0.2">
      <c r="A20">
        <v>46137.066621365739</v>
      </c>
      <c r="B20">
        <v>16.985309999999998</v>
      </c>
      <c r="C20">
        <v>17.349132999999998</v>
      </c>
      <c r="D20">
        <v>18.733404</v>
      </c>
      <c r="E20">
        <v>19.016226</v>
      </c>
      <c r="F20">
        <v>32.867840999999999</v>
      </c>
      <c r="G20">
        <v>32.182608000000002</v>
      </c>
      <c r="H20">
        <v>29.101241000000002</v>
      </c>
      <c r="I20">
        <v>26.304228999999999</v>
      </c>
      <c r="J20">
        <v>57.059401999999999</v>
      </c>
      <c r="K20">
        <v>51.892394000000003</v>
      </c>
      <c r="L20">
        <v>129.394597</v>
      </c>
      <c r="M20">
        <v>-622.50734699999998</v>
      </c>
      <c r="N20">
        <v>1.8976740000000001</v>
      </c>
      <c r="O20">
        <v>4.3863279999999998</v>
      </c>
      <c r="P20">
        <f t="shared" si="0"/>
        <v>3.1627900000000003E-5</v>
      </c>
      <c r="Q20" cm="1">
        <f t="array" ref="Q20">[1]!PropsSI("D","T",J20+273.15,"P",101325,"Water")</f>
        <v>984.68286611452857</v>
      </c>
      <c r="R20" cm="1">
        <f t="array" ref="R20">[1]!PropsSI("D","T",K20+273.15,"P",101325,"Water")</f>
        <v>987.16746051985547</v>
      </c>
      <c r="S20">
        <f t="shared" si="1"/>
        <v>985.92516331719207</v>
      </c>
      <c r="T20" cm="1">
        <f t="array" ref="T20">[1]!PropsSI("H","T",J20+273.15,"P",101325,"Water")</f>
        <v>238944.25310895391</v>
      </c>
      <c r="U20" cm="1">
        <f t="array" ref="U20">[1]!PropsSI("H","T",K20+273.15,"P",101325,"Water")</f>
        <v>217331.76407205817</v>
      </c>
      <c r="V20">
        <f t="shared" si="2"/>
        <v>673.93667983545834</v>
      </c>
      <c r="X20">
        <f t="shared" si="3"/>
        <v>0.26411880399999998</v>
      </c>
      <c r="Y20">
        <f t="shared" si="3"/>
        <v>0.25378478799999998</v>
      </c>
      <c r="Z20">
        <f t="shared" si="9"/>
        <v>0.36628603747153038</v>
      </c>
      <c r="AA20">
        <f t="shared" si="8"/>
        <v>5.1670079999999956</v>
      </c>
      <c r="AB20">
        <f t="shared" si="5"/>
        <v>7.1591238299604162E-2</v>
      </c>
      <c r="AC20">
        <f t="shared" si="6"/>
        <v>48.24796144494433</v>
      </c>
    </row>
    <row r="21" spans="1:29" x14ac:dyDescent="0.2">
      <c r="A21">
        <v>46137.066656087962</v>
      </c>
      <c r="B21">
        <v>17.024733000000001</v>
      </c>
      <c r="C21">
        <v>17.369026999999999</v>
      </c>
      <c r="D21">
        <v>18.729547</v>
      </c>
      <c r="E21">
        <v>19.054645000000001</v>
      </c>
      <c r="F21">
        <v>32.763083000000002</v>
      </c>
      <c r="G21">
        <v>33.352155000000003</v>
      </c>
      <c r="H21">
        <v>29.752749000000001</v>
      </c>
      <c r="I21">
        <v>26.403950999999999</v>
      </c>
      <c r="J21">
        <v>57.061790000000002</v>
      </c>
      <c r="K21">
        <v>51.899230000000003</v>
      </c>
      <c r="L21">
        <v>138.25782699999999</v>
      </c>
      <c r="M21">
        <v>-622.46204299999999</v>
      </c>
      <c r="N21">
        <v>1.907484</v>
      </c>
      <c r="O21">
        <v>4.5136609999999999</v>
      </c>
      <c r="P21">
        <f t="shared" si="0"/>
        <v>3.1791400000000002E-5</v>
      </c>
      <c r="Q21" cm="1">
        <f t="array" ref="Q21">[1]!PropsSI("D","T",J21+273.15,"P",101325,"Water")</f>
        <v>984.68167963535836</v>
      </c>
      <c r="R21" cm="1">
        <f t="array" ref="R21">[1]!PropsSI("D","T",K21+273.15,"P",101325,"Water")</f>
        <v>987.16428451950298</v>
      </c>
      <c r="S21">
        <f t="shared" si="1"/>
        <v>985.92298207743067</v>
      </c>
      <c r="T21" cm="1">
        <f t="array" ref="T21">[1]!PropsSI("H","T",J21+273.15,"P",101325,"Water")</f>
        <v>238954.24386588146</v>
      </c>
      <c r="U21" cm="1">
        <f t="array" ref="U21">[1]!PropsSI("H","T",K21+273.15,"P",101325,"Water")</f>
        <v>217360.35159422716</v>
      </c>
      <c r="V21">
        <f t="shared" si="2"/>
        <v>676.83619302137379</v>
      </c>
      <c r="X21">
        <f t="shared" si="3"/>
        <v>0.26412358000000002</v>
      </c>
      <c r="Y21">
        <f t="shared" si="3"/>
        <v>0.25379846</v>
      </c>
      <c r="Z21">
        <f t="shared" si="9"/>
        <v>0.36629895414864078</v>
      </c>
      <c r="AA21">
        <f t="shared" si="8"/>
        <v>5.1625599999999991</v>
      </c>
      <c r="AB21">
        <f t="shared" si="5"/>
        <v>7.1654194985036015E-2</v>
      </c>
      <c r="AC21">
        <f t="shared" si="6"/>
        <v>48.498152547682992</v>
      </c>
    </row>
    <row r="22" spans="1:29" x14ac:dyDescent="0.2">
      <c r="A22">
        <v>46137.066691388885</v>
      </c>
      <c r="B22">
        <v>17.192616000000001</v>
      </c>
      <c r="C22">
        <v>17.375017</v>
      </c>
      <c r="D22">
        <v>18.742059000000001</v>
      </c>
      <c r="E22">
        <v>19.095813</v>
      </c>
      <c r="F22">
        <v>33.408149000000002</v>
      </c>
      <c r="G22">
        <v>32.848432000000003</v>
      </c>
      <c r="H22">
        <v>29.530453000000001</v>
      </c>
      <c r="I22">
        <v>26.363747</v>
      </c>
      <c r="J22">
        <v>57.064019000000002</v>
      </c>
      <c r="K22">
        <v>51.904634999999999</v>
      </c>
      <c r="L22">
        <v>130.65943200000001</v>
      </c>
      <c r="M22">
        <v>-622.46041000000002</v>
      </c>
      <c r="N22">
        <v>1.9068000000000001</v>
      </c>
      <c r="O22">
        <v>3.813701</v>
      </c>
      <c r="P22">
        <f t="shared" si="0"/>
        <v>3.1780000000000004E-5</v>
      </c>
      <c r="Q22" cm="1">
        <f t="array" ref="Q22">[1]!PropsSI("D","T",J22+273.15,"P",101325,"Water")</f>
        <v>984.68057212414726</v>
      </c>
      <c r="R22" cm="1">
        <f t="array" ref="R22">[1]!PropsSI("D","T",K22+273.15,"P",101325,"Water")</f>
        <v>987.16177314828985</v>
      </c>
      <c r="S22">
        <f t="shared" si="1"/>
        <v>985.92117263621856</v>
      </c>
      <c r="T22" cm="1">
        <f t="array" ref="T22">[1]!PropsSI("H","T",J22+273.15,"P",101325,"Water")</f>
        <v>238963.56941114541</v>
      </c>
      <c r="U22" cm="1">
        <f t="array" ref="U22">[1]!PropsSI("H","T",K22+273.15,"P",101325,"Water")</f>
        <v>217382.95481656893</v>
      </c>
      <c r="V22">
        <f t="shared" si="2"/>
        <v>676.17622244703932</v>
      </c>
      <c r="X22">
        <f t="shared" si="3"/>
        <v>0.26412803800000001</v>
      </c>
      <c r="Y22">
        <f t="shared" si="3"/>
        <v>0.25380926999999998</v>
      </c>
      <c r="Z22">
        <f t="shared" si="9"/>
        <v>0.36630965861639841</v>
      </c>
      <c r="AA22">
        <f t="shared" si="8"/>
        <v>5.1593840000000029</v>
      </c>
      <c r="AB22">
        <f t="shared" si="5"/>
        <v>7.1699499327929295E-2</v>
      </c>
      <c r="AC22">
        <f t="shared" si="6"/>
        <v>48.481496606903264</v>
      </c>
    </row>
    <row r="23" spans="1:29" x14ac:dyDescent="0.2">
      <c r="A23">
        <v>46137.066726111108</v>
      </c>
      <c r="B23">
        <v>17.247302000000001</v>
      </c>
      <c r="C23">
        <v>17.443621</v>
      </c>
      <c r="D23">
        <v>18.858001000000002</v>
      </c>
      <c r="E23">
        <v>19.197194</v>
      </c>
      <c r="F23">
        <v>33.003041000000003</v>
      </c>
      <c r="G23">
        <v>32.659751</v>
      </c>
      <c r="H23">
        <v>29.220074</v>
      </c>
      <c r="I23">
        <v>26.273447999999998</v>
      </c>
      <c r="J23">
        <v>57.063541999999998</v>
      </c>
      <c r="K23">
        <v>51.902726999999999</v>
      </c>
      <c r="L23">
        <v>142.398844</v>
      </c>
      <c r="M23">
        <v>-622.493878</v>
      </c>
      <c r="N23">
        <v>1.9007890000000001</v>
      </c>
      <c r="O23">
        <v>4.3224970000000003</v>
      </c>
      <c r="P23">
        <f t="shared" si="0"/>
        <v>3.1679816666666671E-5</v>
      </c>
      <c r="Q23" cm="1">
        <f t="array" ref="Q23">[1]!PropsSI("D","T",J23+273.15,"P",101325,"Water")</f>
        <v>984.68080913108349</v>
      </c>
      <c r="R23" cm="1">
        <f t="array" ref="R23">[1]!PropsSI("D","T",K23+273.15,"P",101325,"Water")</f>
        <v>987.16265969999495</v>
      </c>
      <c r="S23">
        <f t="shared" si="1"/>
        <v>985.92173441553928</v>
      </c>
      <c r="T23" cm="1">
        <f t="array" ref="T23">[1]!PropsSI("H","T",J23+273.15,"P",101325,"Water")</f>
        <v>238961.5737694116</v>
      </c>
      <c r="U23" cm="1">
        <f t="array" ref="U23">[1]!PropsSI("H","T",K23+273.15,"P",101325,"Water")</f>
        <v>217374.97573164973</v>
      </c>
      <c r="V23">
        <f t="shared" si="2"/>
        <v>674.23191307624097</v>
      </c>
      <c r="X23">
        <f t="shared" si="3"/>
        <v>0.26412708400000001</v>
      </c>
      <c r="Y23">
        <f t="shared" si="3"/>
        <v>0.25380545399999999</v>
      </c>
      <c r="Z23">
        <f t="shared" si="9"/>
        <v>0.36630632670278734</v>
      </c>
      <c r="AA23">
        <f t="shared" si="8"/>
        <v>5.1608149999999995</v>
      </c>
      <c r="AB23">
        <f t="shared" si="5"/>
        <v>7.1679365838892214E-2</v>
      </c>
      <c r="AC23">
        <f t="shared" si="6"/>
        <v>48.328515957648051</v>
      </c>
    </row>
    <row r="24" spans="1:29" x14ac:dyDescent="0.2">
      <c r="A24">
        <v>46137.066760833332</v>
      </c>
      <c r="B24">
        <v>17.126341</v>
      </c>
      <c r="C24">
        <v>17.294637999999999</v>
      </c>
      <c r="D24">
        <v>18.787078000000001</v>
      </c>
      <c r="E24">
        <v>19.173435999999999</v>
      </c>
      <c r="F24">
        <v>32.637324</v>
      </c>
      <c r="G24">
        <v>32.639676000000001</v>
      </c>
      <c r="H24">
        <v>29.391914</v>
      </c>
      <c r="I24">
        <v>25.820958999999998</v>
      </c>
      <c r="J24">
        <v>57.068159000000001</v>
      </c>
      <c r="K24">
        <v>51.916398999999998</v>
      </c>
      <c r="L24">
        <v>139.82183000000001</v>
      </c>
      <c r="M24">
        <v>-622.48816399999998</v>
      </c>
      <c r="N24">
        <v>1.9057550000000001</v>
      </c>
      <c r="O24">
        <v>4.6887109999999996</v>
      </c>
      <c r="P24">
        <f t="shared" si="0"/>
        <v>3.1762583333333336E-5</v>
      </c>
      <c r="Q24" cm="1">
        <f t="array" ref="Q24">[1]!PropsSI("D","T",J24+273.15,"P",101325,"Water")</f>
        <v>984.67851502451924</v>
      </c>
      <c r="R24" cm="1">
        <f t="array" ref="R24">[1]!PropsSI("D","T",K24+273.15,"P",101325,"Water")</f>
        <v>987.15630649244758</v>
      </c>
      <c r="S24">
        <f t="shared" si="1"/>
        <v>985.91741075848336</v>
      </c>
      <c r="T24" cm="1">
        <f t="array" ref="T24">[1]!PropsSI("H","T",J24+273.15,"P",101325,"Water")</f>
        <v>238980.89007912343</v>
      </c>
      <c r="U24" cm="1">
        <f t="array" ref="U24">[1]!PropsSI("H","T",K24+273.15,"P",101325,"Water")</f>
        <v>217432.15083491988</v>
      </c>
      <c r="V24">
        <f t="shared" si="2"/>
        <v>674.80488752874373</v>
      </c>
      <c r="X24">
        <f t="shared" si="3"/>
        <v>0.26413631799999998</v>
      </c>
      <c r="Y24">
        <f t="shared" si="3"/>
        <v>0.25383279800000003</v>
      </c>
      <c r="Z24">
        <f t="shared" si="9"/>
        <v>0.36633193121417351</v>
      </c>
      <c r="AA24">
        <f t="shared" si="8"/>
        <v>5.151760000000003</v>
      </c>
      <c r="AB24">
        <f t="shared" si="5"/>
        <v>7.1807824827169214E-2</v>
      </c>
      <c r="AC24">
        <f t="shared" si="6"/>
        <v>48.456271156181657</v>
      </c>
    </row>
    <row r="25" spans="1:29" x14ac:dyDescent="0.2">
      <c r="A25">
        <v>46137.066796134262</v>
      </c>
      <c r="B25">
        <v>17.041784</v>
      </c>
      <c r="C25">
        <v>17.227224</v>
      </c>
      <c r="D25">
        <v>18.698195999999999</v>
      </c>
      <c r="E25">
        <v>19.056107999999998</v>
      </c>
      <c r="F25">
        <v>32.507111999999999</v>
      </c>
      <c r="G25">
        <v>32.291124000000003</v>
      </c>
      <c r="H25">
        <v>28.984770999999999</v>
      </c>
      <c r="I25">
        <v>26.215668999999998</v>
      </c>
      <c r="J25">
        <v>57.070706000000001</v>
      </c>
      <c r="K25">
        <v>51.922122000000002</v>
      </c>
      <c r="L25">
        <v>134.12211600000001</v>
      </c>
      <c r="M25">
        <v>-622.50897899999995</v>
      </c>
      <c r="N25">
        <v>1.9052100000000001</v>
      </c>
      <c r="O25">
        <v>4.2673069999999997</v>
      </c>
      <c r="P25">
        <f t="shared" si="0"/>
        <v>3.17535E-5</v>
      </c>
      <c r="Q25" cm="1">
        <f t="array" ref="Q25">[1]!PropsSI("D","T",J25+273.15,"P",101325,"Water")</f>
        <v>984.67724940931021</v>
      </c>
      <c r="R25" cm="1">
        <f t="array" ref="R25">[1]!PropsSI("D","T",K25+273.15,"P",101325,"Water")</f>
        <v>987.15364672963517</v>
      </c>
      <c r="S25">
        <f t="shared" si="1"/>
        <v>985.91544806947263</v>
      </c>
      <c r="T25" cm="1">
        <f t="array" ref="T25">[1]!PropsSI("H","T",J25+273.15,"P",101325,"Water")</f>
        <v>238991.54605862964</v>
      </c>
      <c r="U25" cm="1">
        <f t="array" ref="U25">[1]!PropsSI("H","T",K25+273.15,"P",101325,"Water")</f>
        <v>217456.08393570202</v>
      </c>
      <c r="V25">
        <f t="shared" si="2"/>
        <v>674.19490953558068</v>
      </c>
      <c r="X25">
        <f t="shared" si="3"/>
        <v>0.26414141200000002</v>
      </c>
      <c r="Y25">
        <f t="shared" si="3"/>
        <v>0.253844244</v>
      </c>
      <c r="Z25">
        <f t="shared" si="9"/>
        <v>0.36634353514875256</v>
      </c>
      <c r="AA25">
        <f t="shared" si="8"/>
        <v>5.1485839999999996</v>
      </c>
      <c r="AB25">
        <f t="shared" si="5"/>
        <v>7.1853493903614341E-2</v>
      </c>
      <c r="AC25">
        <f t="shared" si="6"/>
        <v>48.443259822162666</v>
      </c>
    </row>
    <row r="26" spans="1:29" x14ac:dyDescent="0.2">
      <c r="A26">
        <v>46137.066830856478</v>
      </c>
      <c r="B26">
        <v>17.045691000000001</v>
      </c>
      <c r="C26">
        <v>17.268426999999999</v>
      </c>
      <c r="D26">
        <v>18.679697999999998</v>
      </c>
      <c r="E26">
        <v>19.017115</v>
      </c>
      <c r="F26">
        <v>32.479387000000003</v>
      </c>
      <c r="G26">
        <v>30.636876999999998</v>
      </c>
      <c r="H26">
        <v>29.46461</v>
      </c>
      <c r="I26">
        <v>26.443936000000001</v>
      </c>
      <c r="J26">
        <v>57.073571999999999</v>
      </c>
      <c r="K26">
        <v>51.923234000000001</v>
      </c>
      <c r="L26">
        <v>138.451695</v>
      </c>
      <c r="M26">
        <v>-622.51346899999999</v>
      </c>
      <c r="N26">
        <v>1.902407</v>
      </c>
      <c r="O26">
        <v>3.8550770000000001</v>
      </c>
      <c r="P26">
        <f t="shared" si="0"/>
        <v>3.1706783333333336E-5</v>
      </c>
      <c r="Q26" cm="1">
        <f t="array" ref="Q26">[1]!PropsSI("D","T",J26+273.15,"P",101325,"Water")</f>
        <v>984.67582523448402</v>
      </c>
      <c r="R26" cm="1">
        <f t="array" ref="R26">[1]!PropsSI("D","T",K26+273.15,"P",101325,"Water")</f>
        <v>987.15312990352061</v>
      </c>
      <c r="S26">
        <f t="shared" si="1"/>
        <v>985.91447756900232</v>
      </c>
      <c r="T26" cm="1">
        <f t="array" ref="T26">[1]!PropsSI("H","T",J26+273.15,"P",101325,"Water")</f>
        <v>239003.53665355337</v>
      </c>
      <c r="U26" cm="1">
        <f t="array" ref="U26">[1]!PropsSI("H","T",K26+273.15,"P",101325,"Water")</f>
        <v>217460.73422662925</v>
      </c>
      <c r="V26">
        <f t="shared" si="2"/>
        <v>673.43181102768017</v>
      </c>
      <c r="X26">
        <f t="shared" si="3"/>
        <v>0.264147144</v>
      </c>
      <c r="Y26">
        <f t="shared" si="3"/>
        <v>0.25384646799999999</v>
      </c>
      <c r="Z26">
        <f t="shared" si="9"/>
        <v>0.36634920908803903</v>
      </c>
      <c r="AA26">
        <f t="shared" si="8"/>
        <v>5.1503379999999979</v>
      </c>
      <c r="AB26">
        <f t="shared" si="5"/>
        <v>7.1830588444430327E-2</v>
      </c>
      <c r="AC26">
        <f t="shared" si="6"/>
        <v>48.373003263316669</v>
      </c>
    </row>
    <row r="27" spans="1:29" x14ac:dyDescent="0.2">
      <c r="A27">
        <v>46137.066866157409</v>
      </c>
      <c r="B27">
        <v>16.958105</v>
      </c>
      <c r="C27">
        <v>17.069389999999999</v>
      </c>
      <c r="D27">
        <v>18.626017000000001</v>
      </c>
      <c r="E27">
        <v>19.019480999999999</v>
      </c>
      <c r="F27">
        <v>32.940255000000001</v>
      </c>
      <c r="G27">
        <v>32.695228999999998</v>
      </c>
      <c r="H27">
        <v>29.060703</v>
      </c>
      <c r="I27">
        <v>26.222653000000001</v>
      </c>
      <c r="J27">
        <v>57.076438000000003</v>
      </c>
      <c r="K27">
        <v>51.926572999999998</v>
      </c>
      <c r="L27">
        <v>144.29425900000001</v>
      </c>
      <c r="M27">
        <v>-622.48000100000002</v>
      </c>
      <c r="N27">
        <v>1.9040870000000001</v>
      </c>
      <c r="O27">
        <v>4.7411560000000001</v>
      </c>
      <c r="P27">
        <f t="shared" si="0"/>
        <v>3.1734783333333336E-5</v>
      </c>
      <c r="Q27" cm="1">
        <f t="array" ref="Q27">[1]!PropsSI("D","T",J27+273.15,"P",101325,"Water")</f>
        <v>984.67440100972522</v>
      </c>
      <c r="R27" cm="1">
        <f t="array" ref="R27">[1]!PropsSI("D","T",K27+273.15,"P",101325,"Water")</f>
        <v>987.15157798319115</v>
      </c>
      <c r="S27">
        <f t="shared" si="1"/>
        <v>985.91298949645818</v>
      </c>
      <c r="T27" cm="1">
        <f t="array" ref="T27">[1]!PropsSI("H","T",J27+273.15,"P",101325,"Water")</f>
        <v>239015.52725157904</v>
      </c>
      <c r="U27" cm="1">
        <f t="array" ref="U27">[1]!PropsSI("H","T",K27+273.15,"P",101325,"Water")</f>
        <v>217474.69764744162</v>
      </c>
      <c r="V27">
        <f t="shared" si="2"/>
        <v>673.96377064334774</v>
      </c>
      <c r="X27">
        <f t="shared" si="3"/>
        <v>0.26415287600000004</v>
      </c>
      <c r="Y27">
        <f t="shared" si="3"/>
        <v>0.25385314599999997</v>
      </c>
      <c r="Z27">
        <f t="shared" si="9"/>
        <v>0.36635796925025216</v>
      </c>
      <c r="AA27">
        <f t="shared" si="8"/>
        <v>5.1498650000000055</v>
      </c>
      <c r="AB27">
        <f t="shared" si="5"/>
        <v>7.1838742498395974E-2</v>
      </c>
      <c r="AC27">
        <f t="shared" si="6"/>
        <v>48.416709772495466</v>
      </c>
    </row>
    <row r="28" spans="1:29" x14ac:dyDescent="0.2">
      <c r="A28">
        <v>46137.066901458333</v>
      </c>
      <c r="B28">
        <v>16.810922000000001</v>
      </c>
      <c r="C28">
        <v>16.92174</v>
      </c>
      <c r="D28">
        <v>18.528693000000001</v>
      </c>
      <c r="E28">
        <v>18.977775999999999</v>
      </c>
      <c r="F28">
        <v>32.408478000000002</v>
      </c>
      <c r="G28">
        <v>31.155002</v>
      </c>
      <c r="H28">
        <v>29.412182000000001</v>
      </c>
      <c r="I28">
        <v>25.813358000000001</v>
      </c>
      <c r="J28">
        <v>57.079462999999997</v>
      </c>
      <c r="K28">
        <v>51.924188000000001</v>
      </c>
      <c r="L28">
        <v>137.50806900000001</v>
      </c>
      <c r="M28">
        <v>-622.51673400000004</v>
      </c>
      <c r="N28">
        <v>1.903743</v>
      </c>
      <c r="O28">
        <v>4.3925679999999998</v>
      </c>
      <c r="P28">
        <f t="shared" si="0"/>
        <v>3.1729050000000004E-5</v>
      </c>
      <c r="Q28" cm="1">
        <f t="array" ref="Q28">[1]!PropsSI("D","T",J28+273.15,"P",101325,"Water")</f>
        <v>984.67289771768606</v>
      </c>
      <c r="R28" cm="1">
        <f t="array" ref="R28">[1]!PropsSI("D","T",K28+273.15,"P",101325,"Water")</f>
        <v>987.15268650502367</v>
      </c>
      <c r="S28">
        <f t="shared" si="1"/>
        <v>985.91279211135486</v>
      </c>
      <c r="T28" cm="1">
        <f t="array" ref="T28">[1]!PropsSI("H","T",J28+273.15,"P",101325,"Water")</f>
        <v>239028.18306781221</v>
      </c>
      <c r="U28" cm="1">
        <f t="array" ref="U28">[1]!PropsSI("H","T",K28+273.15,"P",101325,"Water")</f>
        <v>217464.72377502039</v>
      </c>
      <c r="V28">
        <f t="shared" si="2"/>
        <v>674.54977838319576</v>
      </c>
      <c r="X28">
        <f t="shared" si="3"/>
        <v>0.26415892600000002</v>
      </c>
      <c r="Y28">
        <f t="shared" si="3"/>
        <v>0.25384837599999999</v>
      </c>
      <c r="Z28">
        <f t="shared" si="9"/>
        <v>0.36635902634343659</v>
      </c>
      <c r="AA28">
        <f t="shared" si="8"/>
        <v>5.1552749999999961</v>
      </c>
      <c r="AB28">
        <f t="shared" si="5"/>
        <v>7.1765018752835849E-2</v>
      </c>
      <c r="AC28">
        <f t="shared" si="6"/>
        <v>48.409077495391308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35A9-8048-FC47-882A-41E3AC15558B}">
  <dimension ref="A1:AC23"/>
  <sheetViews>
    <sheetView topLeftCell="N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44675.064417085698</v>
      </c>
      <c r="B2">
        <v>17.249966000000001</v>
      </c>
      <c r="C2">
        <v>17.457236000000002</v>
      </c>
      <c r="D2">
        <v>18.967015</v>
      </c>
      <c r="E2">
        <v>19.296416000000001</v>
      </c>
      <c r="F2">
        <v>30.641916999999999</v>
      </c>
      <c r="G2">
        <v>32.512912999999998</v>
      </c>
      <c r="H2">
        <v>27.668823</v>
      </c>
      <c r="I2">
        <v>24.484739999999999</v>
      </c>
      <c r="J2">
        <v>56.986643000000001</v>
      </c>
      <c r="K2">
        <v>51.342888000000002</v>
      </c>
      <c r="L2">
        <v>201.32773</v>
      </c>
      <c r="M2">
        <v>-622.47836800000005</v>
      </c>
      <c r="N2">
        <v>1.9044810000000001</v>
      </c>
      <c r="O2">
        <v>4.0591270000000002</v>
      </c>
      <c r="P2">
        <f t="shared" ref="P2:P65" si="0" xml:space="preserve"> N2*0.001/60</f>
        <v>3.1741350000000004E-5</v>
      </c>
      <c r="Q2" cm="1">
        <f t="array" ref="Q2">[1]!PropsSI("D","T",J2+273.15,"P",101325,"Water")</f>
        <v>984.71899984554943</v>
      </c>
      <c r="R2" cm="1">
        <f t="array" ref="R2">[1]!PropsSI("D","T",K2+273.15,"P",101325,"Water")</f>
        <v>987.42177725276542</v>
      </c>
      <c r="S2">
        <f t="shared" ref="S2:S65" si="1">(Q2+R2)/2</f>
        <v>986.07038854915743</v>
      </c>
      <c r="T2" cm="1">
        <f t="array" ref="T2">[1]!PropsSI("H","T",J2+273.15,"P",101325,"Water")</f>
        <v>238639.84987460173</v>
      </c>
      <c r="U2" cm="1">
        <f t="array" ref="U2">[1]!PropsSI("H","T",K2+273.15,"P",101325,"Water")</f>
        <v>215033.82809015713</v>
      </c>
      <c r="V2">
        <f t="shared" ref="V2:V65" si="2">S2*P2*(T2-U2)</f>
        <v>738.84972279853537</v>
      </c>
      <c r="W2" s="3">
        <f>AVERAGE(V11:V23)</f>
        <v>744.7932870688112</v>
      </c>
      <c r="X2">
        <f>(0.15+0.002*ABS(J2))</f>
        <v>0.26397328600000003</v>
      </c>
      <c r="Y2">
        <f>(0.15+0.002*ABS(K2))</f>
        <v>0.25268577599999997</v>
      </c>
      <c r="Z2">
        <f>SQRT((X2)^2 + (Y2)^2)</f>
        <v>0.36542030200080561</v>
      </c>
      <c r="AA2">
        <f>J2-K2</f>
        <v>5.6437549999999987</v>
      </c>
      <c r="AB2">
        <f>SQRT((0.01)^2 + (Z2/ABS(AA2))^2)</f>
        <v>6.5515402876979364E-2</v>
      </c>
      <c r="AC2">
        <f>ABS(V2*AB2)</f>
        <v>48.406037254690567</v>
      </c>
    </row>
    <row r="3" spans="1:29" x14ac:dyDescent="0.2">
      <c r="A3">
        <v>44675.064451807899</v>
      </c>
      <c r="B3">
        <v>17.150527</v>
      </c>
      <c r="C3">
        <v>17.572693999999998</v>
      </c>
      <c r="D3">
        <v>18.914100999999999</v>
      </c>
      <c r="E3">
        <v>19.247084000000001</v>
      </c>
      <c r="F3">
        <v>30.635542999999998</v>
      </c>
      <c r="G3">
        <v>31.492222000000002</v>
      </c>
      <c r="H3">
        <v>27.253969999999999</v>
      </c>
      <c r="I3">
        <v>24.433454999999999</v>
      </c>
      <c r="J3">
        <v>56.988235000000003</v>
      </c>
      <c r="K3">
        <v>51.342888000000002</v>
      </c>
      <c r="L3">
        <v>195.708012</v>
      </c>
      <c r="M3">
        <v>-622.51142800000002</v>
      </c>
      <c r="N3">
        <v>1.9032020000000001</v>
      </c>
      <c r="O3">
        <v>4.3192310000000003</v>
      </c>
      <c r="P3">
        <f t="shared" si="0"/>
        <v>3.1720033333333335E-5</v>
      </c>
      <c r="Q3" cm="1">
        <f t="array" ref="Q3">[1]!PropsSI("D","T",J3+273.15,"P",101325,"Water")</f>
        <v>984.71820956757199</v>
      </c>
      <c r="R3" cm="1">
        <f t="array" ref="R3">[1]!PropsSI("D","T",K3+273.15,"P",101325,"Water")</f>
        <v>987.42177725276542</v>
      </c>
      <c r="S3">
        <f t="shared" si="1"/>
        <v>986.06999341016876</v>
      </c>
      <c r="T3" cm="1">
        <f t="array" ref="T3">[1]!PropsSI("H","T",J3+273.15,"P",101325,"Water")</f>
        <v>238646.51033350383</v>
      </c>
      <c r="U3" cm="1">
        <f t="array" ref="U3">[1]!PropsSI("H","T",K3+273.15,"P",101325,"Water")</f>
        <v>215033.82809015713</v>
      </c>
      <c r="V3">
        <f t="shared" si="2"/>
        <v>738.56156161748663</v>
      </c>
      <c r="W3" s="3" t="s">
        <v>33</v>
      </c>
      <c r="X3">
        <f t="shared" ref="X3:Y55" si="3">(0.15+0.002*ABS(J3))</f>
        <v>0.26397647000000002</v>
      </c>
      <c r="Y3">
        <f t="shared" si="3"/>
        <v>0.25268577599999997</v>
      </c>
      <c r="Z3">
        <f t="shared" ref="Z3:Z55" si="4">SQRT((X3)^2 + (Y3)^2)</f>
        <v>0.3654226020737949</v>
      </c>
      <c r="AA3">
        <f>J3-K3</f>
        <v>5.645347000000001</v>
      </c>
      <c r="AB3">
        <f t="shared" ref="AB3:AB66" si="5">SQRT((0.01)^2 + (Z3/ABS(AA3))^2)</f>
        <v>6.5497760539561439E-2</v>
      </c>
      <c r="AC3">
        <f t="shared" ref="AC3:AC66" si="6">ABS(V3*AB3)</f>
        <v>48.374128306546687</v>
      </c>
    </row>
    <row r="4" spans="1:29" x14ac:dyDescent="0.2">
      <c r="A4">
        <v>44675.064487108801</v>
      </c>
      <c r="B4">
        <v>17.129493</v>
      </c>
      <c r="C4">
        <v>17.397200999999999</v>
      </c>
      <c r="D4">
        <v>18.915747</v>
      </c>
      <c r="E4">
        <v>19.210549</v>
      </c>
      <c r="F4">
        <v>31.179666000000001</v>
      </c>
      <c r="G4">
        <v>33.406658999999998</v>
      </c>
      <c r="H4">
        <v>28.170535000000001</v>
      </c>
      <c r="I4">
        <v>24.980475999999999</v>
      </c>
      <c r="J4">
        <v>56.988235000000003</v>
      </c>
      <c r="K4">
        <v>51.337961</v>
      </c>
      <c r="L4">
        <v>224.02536900000001</v>
      </c>
      <c r="M4">
        <v>-622.47306300000002</v>
      </c>
      <c r="N4">
        <v>1.9015629999999999</v>
      </c>
      <c r="O4">
        <v>4.2630619999999997</v>
      </c>
      <c r="P4">
        <f t="shared" si="0"/>
        <v>3.1692716666666666E-5</v>
      </c>
      <c r="Q4" cm="1">
        <f t="array" ref="Q4">[1]!PropsSI("D","T",J4+273.15,"P",101325,"Water")</f>
        <v>984.71820956757199</v>
      </c>
      <c r="R4" cm="1">
        <f t="array" ref="R4">[1]!PropsSI("D","T",K4+273.15,"P",101325,"Water")</f>
        <v>987.42404871141798</v>
      </c>
      <c r="S4">
        <f t="shared" si="1"/>
        <v>986.07112913949504</v>
      </c>
      <c r="T4" cm="1">
        <f t="array" ref="T4">[1]!PropsSI("H","T",J4+273.15,"P",101325,"Water")</f>
        <v>238646.51033350383</v>
      </c>
      <c r="U4" cm="1">
        <f t="array" ref="U4">[1]!PropsSI("H","T",K4+273.15,"P",101325,"Water")</f>
        <v>215013.22467600976</v>
      </c>
      <c r="V4">
        <f t="shared" si="2"/>
        <v>738.57025981865763</v>
      </c>
      <c r="W4" s="3">
        <f>SQRT((AVERAGE(AC11:AC23))^2 + (_xlfn.STDEV.S(V11:V23)/SQRT(COUNT(V11:V23)))^2)</f>
        <v>48.354979454191771</v>
      </c>
      <c r="X4">
        <f t="shared" si="3"/>
        <v>0.26397647000000002</v>
      </c>
      <c r="Y4">
        <f t="shared" si="3"/>
        <v>0.252675922</v>
      </c>
      <c r="Z4">
        <f t="shared" si="4"/>
        <v>0.36541578820873488</v>
      </c>
      <c r="AA4">
        <f t="shared" ref="AA4:AA67" si="7">J4-K4</f>
        <v>5.6502740000000031</v>
      </c>
      <c r="AB4">
        <f t="shared" si="5"/>
        <v>6.5440787071133544E-2</v>
      </c>
      <c r="AC4">
        <f t="shared" si="6"/>
        <v>48.332619109864552</v>
      </c>
    </row>
    <row r="5" spans="1:29" x14ac:dyDescent="0.2">
      <c r="A5">
        <v>44675.064521831096</v>
      </c>
      <c r="B5">
        <v>17.221890999999999</v>
      </c>
      <c r="C5">
        <v>17.737410000000001</v>
      </c>
      <c r="D5">
        <v>19.014576000000002</v>
      </c>
      <c r="E5">
        <v>19.279906</v>
      </c>
      <c r="F5">
        <v>30.747931000000001</v>
      </c>
      <c r="G5">
        <v>32.392964999999997</v>
      </c>
      <c r="H5">
        <v>27.847996999999999</v>
      </c>
      <c r="I5">
        <v>25.284614999999999</v>
      </c>
      <c r="J5">
        <v>56.988554000000001</v>
      </c>
      <c r="K5">
        <v>51.333669999999998</v>
      </c>
      <c r="L5">
        <v>206.16952900000001</v>
      </c>
      <c r="M5">
        <v>-622.47061399999996</v>
      </c>
      <c r="N5">
        <v>1.904263</v>
      </c>
      <c r="O5">
        <v>4.3232850000000003</v>
      </c>
      <c r="P5">
        <f t="shared" si="0"/>
        <v>3.1737716666666669E-5</v>
      </c>
      <c r="Q5" cm="1">
        <f t="array" ref="Q5">[1]!PropsSI("D","T",J5+273.15,"P",101325,"Water")</f>
        <v>984.71805121227999</v>
      </c>
      <c r="R5" cm="1">
        <f t="array" ref="R5">[1]!PropsSI("D","T",K5+273.15,"P",101325,"Water")</f>
        <v>987.42602683190842</v>
      </c>
      <c r="S5">
        <f t="shared" si="1"/>
        <v>986.07203902209426</v>
      </c>
      <c r="T5" cm="1">
        <f t="array" ref="T5">[1]!PropsSI("H","T",J5+273.15,"P",101325,"Water")</f>
        <v>238647.84493567864</v>
      </c>
      <c r="U5" cm="1">
        <f t="array" ref="U5">[1]!PropsSI("H","T",K5+273.15,"P",101325,"Water")</f>
        <v>214995.28085205812</v>
      </c>
      <c r="V5">
        <f t="shared" si="2"/>
        <v>740.22295817976885</v>
      </c>
      <c r="W5" s="3"/>
      <c r="X5">
        <f t="shared" si="3"/>
        <v>0.26397710800000002</v>
      </c>
      <c r="Y5">
        <f t="shared" si="3"/>
        <v>0.25266734000000002</v>
      </c>
      <c r="Z5">
        <f t="shared" si="4"/>
        <v>0.36541031492107512</v>
      </c>
      <c r="AA5">
        <f t="shared" si="7"/>
        <v>5.6548840000000027</v>
      </c>
      <c r="AB5">
        <f t="shared" si="5"/>
        <v>6.5387727876881449E-2</v>
      </c>
      <c r="AC5">
        <f t="shared" si="6"/>
        <v>48.40149735767892</v>
      </c>
    </row>
    <row r="6" spans="1:29" x14ac:dyDescent="0.2">
      <c r="A6">
        <v>46137.064557129626</v>
      </c>
      <c r="B6">
        <v>17.081220999999999</v>
      </c>
      <c r="C6">
        <v>17.323259</v>
      </c>
      <c r="D6">
        <v>18.975873</v>
      </c>
      <c r="E6">
        <v>19.289407000000001</v>
      </c>
      <c r="F6">
        <v>30.701208000000001</v>
      </c>
      <c r="G6">
        <v>32.136392000000001</v>
      </c>
      <c r="H6">
        <v>28.258102999999998</v>
      </c>
      <c r="I6">
        <v>25.623792999999999</v>
      </c>
      <c r="J6">
        <v>56.987439000000002</v>
      </c>
      <c r="K6">
        <v>51.333669999999998</v>
      </c>
      <c r="L6">
        <v>208.541247</v>
      </c>
      <c r="M6">
        <v>-622.49714300000005</v>
      </c>
      <c r="N6">
        <v>1.9020379999999999</v>
      </c>
      <c r="O6">
        <v>4.1504200000000004</v>
      </c>
      <c r="P6">
        <f t="shared" si="0"/>
        <v>3.1700633333333333E-5</v>
      </c>
      <c r="Q6" cm="1">
        <f t="array" ref="Q6">[1]!PropsSI("D","T",J6+273.15,"P",101325,"Water")</f>
        <v>984.71860470847184</v>
      </c>
      <c r="R6" cm="1">
        <f t="array" ref="R6">[1]!PropsSI("D","T",K6+273.15,"P",101325,"Water")</f>
        <v>987.42602683190842</v>
      </c>
      <c r="S6">
        <f t="shared" si="1"/>
        <v>986.07231577019013</v>
      </c>
      <c r="T6" cm="1">
        <f t="array" ref="T6">[1]!PropsSI("H","T",J6+273.15,"P",101325,"Water")</f>
        <v>238643.18010392139</v>
      </c>
      <c r="U6" cm="1">
        <f t="array" ref="U6">[1]!PropsSI("H","T",K6+273.15,"P",101325,"Water")</f>
        <v>214995.28085205812</v>
      </c>
      <c r="V6">
        <f t="shared" si="2"/>
        <v>739.21244768269639</v>
      </c>
      <c r="W6" s="3"/>
      <c r="X6">
        <f t="shared" si="3"/>
        <v>0.26397487799999997</v>
      </c>
      <c r="Y6">
        <f t="shared" si="3"/>
        <v>0.25266734000000002</v>
      </c>
      <c r="Z6">
        <f t="shared" si="4"/>
        <v>0.36540870394366698</v>
      </c>
      <c r="AA6">
        <f>J6-K6</f>
        <v>5.653769000000004</v>
      </c>
      <c r="AB6">
        <f t="shared" si="5"/>
        <v>6.5400040059075709E-2</v>
      </c>
      <c r="AC6">
        <f t="shared" si="6"/>
        <v>48.344523690615752</v>
      </c>
    </row>
    <row r="7" spans="1:29" x14ac:dyDescent="0.2">
      <c r="A7">
        <v>46137.064592430557</v>
      </c>
      <c r="B7">
        <v>17.112483999999998</v>
      </c>
      <c r="C7">
        <v>17.207515000000001</v>
      </c>
      <c r="D7">
        <v>18.939475999999999</v>
      </c>
      <c r="E7">
        <v>19.208404000000002</v>
      </c>
      <c r="F7">
        <v>30.395174999999998</v>
      </c>
      <c r="G7">
        <v>32.697360000000003</v>
      </c>
      <c r="H7">
        <v>27.944063</v>
      </c>
      <c r="I7">
        <v>25.121147000000001</v>
      </c>
      <c r="J7">
        <v>56.988394999999997</v>
      </c>
      <c r="K7">
        <v>51.328901000000002</v>
      </c>
      <c r="L7">
        <v>202.65133700000001</v>
      </c>
      <c r="M7">
        <v>-622.48938799999996</v>
      </c>
      <c r="N7">
        <v>1.904177</v>
      </c>
      <c r="O7">
        <v>4.6641849999999998</v>
      </c>
      <c r="P7">
        <f t="shared" si="0"/>
        <v>3.1736283333333333E-5</v>
      </c>
      <c r="Q7" cm="1">
        <f t="array" ref="Q7">[1]!PropsSI("D","T",J7+273.15,"P",101325,"Water")</f>
        <v>984.71813014179918</v>
      </c>
      <c r="R7" cm="1">
        <f t="array" ref="R7">[1]!PropsSI("D","T",K7+273.15,"P",101325,"Water")</f>
        <v>987.42822516741774</v>
      </c>
      <c r="S7">
        <f t="shared" si="1"/>
        <v>986.07317765460846</v>
      </c>
      <c r="T7" cm="1">
        <f t="array" ref="T7">[1]!PropsSI("H","T",J7+273.15,"P",101325,"Water")</f>
        <v>238647.17972646561</v>
      </c>
      <c r="U7" cm="1">
        <f t="array" ref="U7">[1]!PropsSI("H","T",K7+273.15,"P",101325,"Water")</f>
        <v>214975.33816554415</v>
      </c>
      <c r="V7">
        <f t="shared" si="2"/>
        <v>740.79365817989742</v>
      </c>
      <c r="W7" s="3"/>
      <c r="X7">
        <f t="shared" si="3"/>
        <v>0.26397678999999996</v>
      </c>
      <c r="Y7">
        <f t="shared" si="3"/>
        <v>0.25265780199999999</v>
      </c>
      <c r="Z7">
        <f t="shared" si="4"/>
        <v>0.36540349009030454</v>
      </c>
      <c r="AA7">
        <f t="shared" ref="AA7:AA70" si="8">J7-K7</f>
        <v>5.6594939999999951</v>
      </c>
      <c r="AB7">
        <f t="shared" si="5"/>
        <v>6.5334520155025638E-2</v>
      </c>
      <c r="AC7">
        <f t="shared" si="6"/>
        <v>48.399398191069679</v>
      </c>
    </row>
    <row r="8" spans="1:29" x14ac:dyDescent="0.2">
      <c r="A8">
        <v>46137.064627731481</v>
      </c>
      <c r="B8">
        <v>16.926615000000002</v>
      </c>
      <c r="C8">
        <v>17.006558999999999</v>
      </c>
      <c r="D8">
        <v>18.926006999999998</v>
      </c>
      <c r="E8">
        <v>19.142576999999999</v>
      </c>
      <c r="F8">
        <v>30.421471</v>
      </c>
      <c r="G8">
        <v>31.756929</v>
      </c>
      <c r="H8">
        <v>27.642227999999999</v>
      </c>
      <c r="I8">
        <v>25.349875999999998</v>
      </c>
      <c r="J8">
        <v>56.984254999999997</v>
      </c>
      <c r="K8">
        <v>51.320796000000001</v>
      </c>
      <c r="L8">
        <v>199.055599</v>
      </c>
      <c r="M8">
        <v>-622.49591899999996</v>
      </c>
      <c r="N8">
        <v>1.9029769999999999</v>
      </c>
      <c r="O8">
        <v>4.1279019999999997</v>
      </c>
      <c r="P8">
        <f t="shared" si="0"/>
        <v>3.171628333333333E-5</v>
      </c>
      <c r="Q8" cm="1">
        <f t="array" ref="Q8">[1]!PropsSI("D","T",J8+273.15,"P",101325,"Water")</f>
        <v>984.720185233591</v>
      </c>
      <c r="R8" cm="1">
        <f t="array" ref="R8">[1]!PropsSI("D","T",K8+273.15,"P",101325,"Water")</f>
        <v>987.43196094052689</v>
      </c>
      <c r="S8">
        <f t="shared" si="1"/>
        <v>986.07607308705894</v>
      </c>
      <c r="T8" cm="1">
        <f t="array" ref="T8">[1]!PropsSI("H","T",J8+273.15,"P",101325,"Water")</f>
        <v>238629.85918804939</v>
      </c>
      <c r="U8" cm="1">
        <f t="array" ref="U8">[1]!PropsSI("H","T",K8+273.15,"P",101325,"Water")</f>
        <v>214941.44523223798</v>
      </c>
      <c r="V8">
        <f t="shared" si="2"/>
        <v>740.84728481047409</v>
      </c>
      <c r="W8" s="3"/>
      <c r="X8">
        <f t="shared" si="3"/>
        <v>0.26396850999999999</v>
      </c>
      <c r="Y8">
        <f t="shared" si="3"/>
        <v>0.25264159200000003</v>
      </c>
      <c r="Z8">
        <f>SQRT((X8)^2 + (Y8)^2)</f>
        <v>0.36538630007146483</v>
      </c>
      <c r="AA8">
        <f t="shared" si="8"/>
        <v>5.663458999999996</v>
      </c>
      <c r="AB8">
        <f t="shared" si="5"/>
        <v>6.5286851810992669E-2</v>
      </c>
      <c r="AC8">
        <f t="shared" si="6"/>
        <v>48.367586897997704</v>
      </c>
    </row>
    <row r="9" spans="1:29" x14ac:dyDescent="0.2">
      <c r="A9">
        <v>46137.064662453704</v>
      </c>
      <c r="B9">
        <v>16.963473</v>
      </c>
      <c r="C9">
        <v>17.104966999999998</v>
      </c>
      <c r="D9">
        <v>18.854168000000001</v>
      </c>
      <c r="E9">
        <v>19.116437999999999</v>
      </c>
      <c r="F9">
        <v>30.325785</v>
      </c>
      <c r="G9">
        <v>30.612444</v>
      </c>
      <c r="H9">
        <v>27.800415999999998</v>
      </c>
      <c r="I9">
        <v>24.732075999999999</v>
      </c>
      <c r="J9">
        <v>56.987121000000002</v>
      </c>
      <c r="K9">
        <v>51.306809000000001</v>
      </c>
      <c r="L9">
        <v>199.92290299999999</v>
      </c>
      <c r="M9">
        <v>-622.50571400000001</v>
      </c>
      <c r="N9">
        <v>1.898371</v>
      </c>
      <c r="O9">
        <v>4.2517899999999997</v>
      </c>
      <c r="P9">
        <f t="shared" si="0"/>
        <v>3.1639516666666664E-5</v>
      </c>
      <c r="Q9" cm="1">
        <f t="array" ref="Q9">[1]!PropsSI("D","T",J9+273.15,"P",101325,"Water")</f>
        <v>984.71876256519704</v>
      </c>
      <c r="R9" cm="1">
        <f t="array" ref="R9">[1]!PropsSI("D","T",K9+273.15,"P",101325,"Water")</f>
        <v>987.43840685871271</v>
      </c>
      <c r="S9">
        <f t="shared" si="1"/>
        <v>986.07858471195482</v>
      </c>
      <c r="T9" cm="1">
        <f t="array" ref="T9">[1]!PropsSI("H","T",J9+273.15,"P",101325,"Water")</f>
        <v>238641.8496856858</v>
      </c>
      <c r="U9" cm="1">
        <f t="array" ref="U9">[1]!PropsSI("H","T",K9+273.15,"P",101325,"Water")</f>
        <v>214882.9554016426</v>
      </c>
      <c r="V9">
        <f t="shared" si="2"/>
        <v>741.25492633231624</v>
      </c>
      <c r="W9" s="3"/>
      <c r="X9">
        <f t="shared" si="3"/>
        <v>0.26397424199999997</v>
      </c>
      <c r="Y9">
        <f t="shared" si="3"/>
        <v>0.25261361799999998</v>
      </c>
      <c r="Z9">
        <f t="shared" ref="Z9:Z72" si="9">SQRT((X9)^2 + (Y9)^2)</f>
        <v>0.36537109962136372</v>
      </c>
      <c r="AA9">
        <f t="shared" si="8"/>
        <v>5.6803120000000007</v>
      </c>
      <c r="AB9">
        <f t="shared" si="5"/>
        <v>6.5095058110071408E-2</v>
      </c>
      <c r="AC9">
        <f t="shared" si="6"/>
        <v>48.252032503978825</v>
      </c>
    </row>
    <row r="10" spans="1:29" x14ac:dyDescent="0.2">
      <c r="A10">
        <v>44675.064697757</v>
      </c>
      <c r="B10">
        <v>16.947769000000001</v>
      </c>
      <c r="C10">
        <v>17.077863000000001</v>
      </c>
      <c r="D10">
        <v>18.908442000000001</v>
      </c>
      <c r="E10">
        <v>19.163761000000001</v>
      </c>
      <c r="F10">
        <v>30.539300999999998</v>
      </c>
      <c r="G10">
        <v>31.405778999999999</v>
      </c>
      <c r="H10">
        <v>28.285820000000001</v>
      </c>
      <c r="I10">
        <v>25.129244</v>
      </c>
      <c r="J10">
        <v>56.987279999999998</v>
      </c>
      <c r="K10">
        <v>51.305219000000001</v>
      </c>
      <c r="L10">
        <v>219.903943</v>
      </c>
      <c r="M10">
        <v>-622.47551099999998</v>
      </c>
      <c r="N10">
        <v>1.901346</v>
      </c>
      <c r="O10">
        <v>4.3433120000000001</v>
      </c>
      <c r="P10">
        <f t="shared" si="0"/>
        <v>3.1689100000000001E-5</v>
      </c>
      <c r="Q10" cm="1">
        <f t="array" ref="Q10">[1]!PropsSI("D","T",J10+273.15,"P",101325,"Water")</f>
        <v>984.7186836369309</v>
      </c>
      <c r="R10" cm="1">
        <f t="array" ref="R10">[1]!PropsSI("D","T",K10+273.15,"P",101325,"Water")</f>
        <v>987.4391395312291</v>
      </c>
      <c r="S10">
        <f t="shared" si="1"/>
        <v>986.07891158408006</v>
      </c>
      <c r="T10" cm="1">
        <f t="array" ref="T10">[1]!PropsSI("H","T",J10+273.15,"P",101325,"Water")</f>
        <v>238642.51489478798</v>
      </c>
      <c r="U10" cm="1">
        <f t="array" ref="U10">[1]!PropsSI("H","T",K10+273.15,"P",101325,"Water")</f>
        <v>214876.30645781226</v>
      </c>
      <c r="V10">
        <f t="shared" si="2"/>
        <v>742.64536986129144</v>
      </c>
      <c r="X10">
        <f t="shared" si="3"/>
        <v>0.26397455999999997</v>
      </c>
      <c r="Y10">
        <f t="shared" si="3"/>
        <v>0.25261043799999999</v>
      </c>
      <c r="Z10">
        <f t="shared" si="9"/>
        <v>0.36536913076195343</v>
      </c>
      <c r="AA10">
        <f t="shared" si="8"/>
        <v>5.6820609999999974</v>
      </c>
      <c r="AB10">
        <f t="shared" si="5"/>
        <v>6.5075151691049868E-2</v>
      </c>
      <c r="AC10">
        <f t="shared" si="6"/>
        <v>48.327760096379372</v>
      </c>
    </row>
    <row r="11" spans="1:29" x14ac:dyDescent="0.2">
      <c r="A11">
        <v>44675.064732479201</v>
      </c>
      <c r="B11">
        <v>16.957094000000001</v>
      </c>
      <c r="C11">
        <v>17.02045</v>
      </c>
      <c r="D11">
        <v>18.834938999999999</v>
      </c>
      <c r="E11">
        <v>19.091939</v>
      </c>
      <c r="F11">
        <v>30.626753000000001</v>
      </c>
      <c r="G11">
        <v>30.749542999999999</v>
      </c>
      <c r="H11">
        <v>28.170176000000001</v>
      </c>
      <c r="I11">
        <v>25.423280999999999</v>
      </c>
      <c r="J11">
        <v>56.990464000000003</v>
      </c>
      <c r="K11">
        <v>51.306649999999998</v>
      </c>
      <c r="L11">
        <v>202.318701</v>
      </c>
      <c r="M11">
        <v>-622.49306200000001</v>
      </c>
      <c r="N11">
        <v>1.9078329999999999</v>
      </c>
      <c r="O11">
        <v>4.9721339999999996</v>
      </c>
      <c r="P11">
        <f t="shared" si="0"/>
        <v>3.1797216666666664E-5</v>
      </c>
      <c r="Q11" cm="1">
        <f t="array" ref="Q11">[1]!PropsSI("D","T",J11+273.15,"P",101325,"Water")</f>
        <v>984.71710305322256</v>
      </c>
      <c r="R11" cm="1">
        <f t="array" ref="R11">[1]!PropsSI("D","T",K11+273.15,"P",101325,"Water")</f>
        <v>987.43848012669275</v>
      </c>
      <c r="S11">
        <f t="shared" si="1"/>
        <v>986.07779158995766</v>
      </c>
      <c r="T11" cm="1">
        <f t="array" ref="T11">[1]!PropsSI("H","T",J11+273.15,"P",101325,"Water")</f>
        <v>238655.83581449231</v>
      </c>
      <c r="U11" cm="1">
        <f t="array" ref="U11">[1]!PropsSI("H","T",K11+273.15,"P",101325,"Water")</f>
        <v>214882.29050721985</v>
      </c>
      <c r="V11">
        <f t="shared" si="2"/>
        <v>745.40832027178112</v>
      </c>
      <c r="X11">
        <f t="shared" si="3"/>
        <v>0.263980928</v>
      </c>
      <c r="Y11">
        <f t="shared" si="3"/>
        <v>0.25261329999999999</v>
      </c>
      <c r="Z11">
        <f t="shared" si="9"/>
        <v>0.36537571031012883</v>
      </c>
      <c r="AA11">
        <f t="shared" si="8"/>
        <v>5.6838140000000053</v>
      </c>
      <c r="AB11">
        <f t="shared" si="5"/>
        <v>6.5056699086285169E-2</v>
      </c>
      <c r="AC11">
        <f t="shared" si="6"/>
        <v>48.493804788334543</v>
      </c>
    </row>
    <row r="12" spans="1:29" x14ac:dyDescent="0.2">
      <c r="A12">
        <v>44675.064767780103</v>
      </c>
      <c r="B12">
        <v>16.884588999999998</v>
      </c>
      <c r="C12">
        <v>17.078658999999998</v>
      </c>
      <c r="D12">
        <v>18.914511000000001</v>
      </c>
      <c r="E12">
        <v>19.047547999999999</v>
      </c>
      <c r="F12">
        <v>30.168545999999999</v>
      </c>
      <c r="G12">
        <v>31.285625</v>
      </c>
      <c r="H12">
        <v>28.138501999999999</v>
      </c>
      <c r="I12">
        <v>25.119935000000002</v>
      </c>
      <c r="J12">
        <v>56.989986999999999</v>
      </c>
      <c r="K12">
        <v>51.306491000000001</v>
      </c>
      <c r="L12">
        <v>199.17477700000001</v>
      </c>
      <c r="M12">
        <v>-622.50408100000004</v>
      </c>
      <c r="N12">
        <v>1.8966460000000001</v>
      </c>
      <c r="O12">
        <v>4.9950590000000004</v>
      </c>
      <c r="P12">
        <f t="shared" si="0"/>
        <v>3.1610766666666666E-5</v>
      </c>
      <c r="Q12" cm="1">
        <f t="array" ref="Q12">[1]!PropsSI("D","T",J12+273.15,"P",101325,"Water")</f>
        <v>984.71733984685625</v>
      </c>
      <c r="R12" cm="1">
        <f t="array" ref="R12">[1]!PropsSI("D","T",K12+273.15,"P",101325,"Water")</f>
        <v>987.43855339454501</v>
      </c>
      <c r="S12">
        <f t="shared" si="1"/>
        <v>986.07794662070069</v>
      </c>
      <c r="T12" cm="1">
        <f t="array" ref="T12">[1]!PropsSI("H","T",J12+273.15,"P",101325,"Water")</f>
        <v>238653.8401864825</v>
      </c>
      <c r="U12" cm="1">
        <f t="array" ref="U12">[1]!PropsSI("H","T",K12+273.15,"P",101325,"Water")</f>
        <v>214881.62561284381</v>
      </c>
      <c r="V12">
        <f t="shared" si="2"/>
        <v>740.99609065079346</v>
      </c>
      <c r="X12">
        <f t="shared" si="3"/>
        <v>0.26397997400000001</v>
      </c>
      <c r="Y12">
        <f t="shared" si="3"/>
        <v>0.25261298199999999</v>
      </c>
      <c r="Z12">
        <f t="shared" si="9"/>
        <v>0.36537480119457194</v>
      </c>
      <c r="AA12">
        <f t="shared" si="8"/>
        <v>5.6834959999999981</v>
      </c>
      <c r="AB12">
        <f t="shared" si="5"/>
        <v>6.5060095046583874E-2</v>
      </c>
      <c r="AC12">
        <f t="shared" si="6"/>
        <v>48.209276086887705</v>
      </c>
    </row>
    <row r="13" spans="1:29" x14ac:dyDescent="0.2">
      <c r="A13">
        <v>44675.064802502297</v>
      </c>
      <c r="B13">
        <v>16.935749999999999</v>
      </c>
      <c r="C13">
        <v>17.276969000000001</v>
      </c>
      <c r="D13">
        <v>18.949736000000001</v>
      </c>
      <c r="E13">
        <v>19.089175000000001</v>
      </c>
      <c r="F13">
        <v>30.453992</v>
      </c>
      <c r="G13">
        <v>30.111730999999999</v>
      </c>
      <c r="H13">
        <v>28.334837</v>
      </c>
      <c r="I13">
        <v>24.873491999999999</v>
      </c>
      <c r="J13">
        <v>56.989508999999998</v>
      </c>
      <c r="K13">
        <v>51.304901999999998</v>
      </c>
      <c r="L13">
        <v>211.570075</v>
      </c>
      <c r="M13">
        <v>-622.480817</v>
      </c>
      <c r="N13">
        <v>1.8968590000000001</v>
      </c>
      <c r="O13">
        <v>3.8186819999999999</v>
      </c>
      <c r="P13">
        <f t="shared" si="0"/>
        <v>3.161431666666667E-5</v>
      </c>
      <c r="Q13" cm="1">
        <f t="array" ref="Q13">[1]!PropsSI("D","T",J13+273.15,"P",101325,"Water")</f>
        <v>984.71757713551369</v>
      </c>
      <c r="R13" cm="1">
        <f t="array" ref="R13">[1]!PropsSI("D","T",K13+273.15,"P",101325,"Water")</f>
        <v>987.43928560298741</v>
      </c>
      <c r="S13">
        <f t="shared" si="1"/>
        <v>986.07843136925055</v>
      </c>
      <c r="T13" cm="1">
        <f t="array" ref="T13">[1]!PropsSI("H","T",J13+273.15,"P",101325,"Water")</f>
        <v>238651.84037492221</v>
      </c>
      <c r="U13" cm="1">
        <f t="array" ref="U13">[1]!PropsSI("H","T",K13+273.15,"P",101325,"Water")</f>
        <v>214874.9808508514</v>
      </c>
      <c r="V13">
        <f t="shared" si="2"/>
        <v>741.22447401473073</v>
      </c>
      <c r="X13">
        <f t="shared" si="3"/>
        <v>0.26397901800000001</v>
      </c>
      <c r="Y13">
        <f t="shared" si="3"/>
        <v>0.25260980399999999</v>
      </c>
      <c r="Z13">
        <f t="shared" si="9"/>
        <v>0.3653719132899555</v>
      </c>
      <c r="AA13">
        <f t="shared" si="8"/>
        <v>5.6846069999999997</v>
      </c>
      <c r="AB13">
        <f t="shared" si="5"/>
        <v>6.5047178142274883E-2</v>
      </c>
      <c r="AC13">
        <f t="shared" si="6"/>
        <v>48.214560404650193</v>
      </c>
    </row>
    <row r="14" spans="1:29" x14ac:dyDescent="0.2">
      <c r="A14">
        <v>44675.0648378033</v>
      </c>
      <c r="B14">
        <v>17.123616999999999</v>
      </c>
      <c r="C14">
        <v>17.334081000000001</v>
      </c>
      <c r="D14">
        <v>18.948976999999999</v>
      </c>
      <c r="E14">
        <v>19.116213999999999</v>
      </c>
      <c r="F14">
        <v>30.837181000000001</v>
      </c>
      <c r="G14">
        <v>33.105212999999999</v>
      </c>
      <c r="H14">
        <v>28.08342</v>
      </c>
      <c r="I14">
        <v>25.327425000000002</v>
      </c>
      <c r="J14">
        <v>56.989986999999999</v>
      </c>
      <c r="K14">
        <v>51.305537000000001</v>
      </c>
      <c r="L14">
        <v>208.034741</v>
      </c>
      <c r="M14">
        <v>-622.493878</v>
      </c>
      <c r="N14">
        <v>1.903653</v>
      </c>
      <c r="O14">
        <v>4.6060590000000001</v>
      </c>
      <c r="P14">
        <f t="shared" si="0"/>
        <v>3.1727550000000001E-5</v>
      </c>
      <c r="Q14" cm="1">
        <f t="array" ref="Q14">[1]!PropsSI("D","T",J14+273.15,"P",101325,"Water")</f>
        <v>984.71733984685625</v>
      </c>
      <c r="R14" cm="1">
        <f t="array" ref="R14">[1]!PropsSI("D","T",K14+273.15,"P",101325,"Water")</f>
        <v>987.43899299804832</v>
      </c>
      <c r="S14">
        <f t="shared" si="1"/>
        <v>986.07816642245234</v>
      </c>
      <c r="T14" cm="1">
        <f t="array" ref="T14">[1]!PropsSI("H","T",J14+273.15,"P",101325,"Water")</f>
        <v>238653.8401864825</v>
      </c>
      <c r="U14" cm="1">
        <f t="array" ref="U14">[1]!PropsSI("H","T",K14+273.15,"P",101325,"Water")</f>
        <v>214877.63624650217</v>
      </c>
      <c r="V14">
        <f t="shared" si="2"/>
        <v>743.85861520260426</v>
      </c>
      <c r="X14">
        <f t="shared" si="3"/>
        <v>0.26397997400000001</v>
      </c>
      <c r="Y14">
        <f t="shared" si="3"/>
        <v>0.25261107399999999</v>
      </c>
      <c r="Z14">
        <f t="shared" si="9"/>
        <v>0.36537348204333897</v>
      </c>
      <c r="AA14">
        <f t="shared" si="8"/>
        <v>5.6844499999999982</v>
      </c>
      <c r="AB14">
        <f t="shared" si="5"/>
        <v>6.5049204926284618E-2</v>
      </c>
      <c r="AC14">
        <f t="shared" si="6"/>
        <v>48.387411496496497</v>
      </c>
    </row>
    <row r="15" spans="1:29" x14ac:dyDescent="0.2">
      <c r="A15">
        <v>46137.064873101852</v>
      </c>
      <c r="B15">
        <v>16.808085999999999</v>
      </c>
      <c r="C15">
        <v>16.999745999999998</v>
      </c>
      <c r="D15">
        <v>18.934691000000001</v>
      </c>
      <c r="E15">
        <v>19.120884</v>
      </c>
      <c r="F15">
        <v>30.489923000000001</v>
      </c>
      <c r="G15">
        <v>32.576591999999998</v>
      </c>
      <c r="H15">
        <v>27.334485000000001</v>
      </c>
      <c r="I15">
        <v>24.794485000000002</v>
      </c>
      <c r="J15">
        <v>56.989986999999999</v>
      </c>
      <c r="K15">
        <v>51.306491000000001</v>
      </c>
      <c r="L15">
        <v>205.47609399999999</v>
      </c>
      <c r="M15">
        <v>-622.48408199999994</v>
      </c>
      <c r="N15">
        <v>1.898658</v>
      </c>
      <c r="O15">
        <v>4.5634119999999996</v>
      </c>
      <c r="P15">
        <f t="shared" si="0"/>
        <v>3.1644299999999998E-5</v>
      </c>
      <c r="Q15" cm="1">
        <f t="array" ref="Q15">[1]!PropsSI("D","T",J15+273.15,"P",101325,"Water")</f>
        <v>984.71733984685625</v>
      </c>
      <c r="R15" cm="1">
        <f t="array" ref="R15">[1]!PropsSI("D","T",K15+273.15,"P",101325,"Water")</f>
        <v>987.43855339454501</v>
      </c>
      <c r="S15">
        <f t="shared" si="1"/>
        <v>986.07794662070069</v>
      </c>
      <c r="T15" cm="1">
        <f t="array" ref="T15">[1]!PropsSI("H","T",J15+273.15,"P",101325,"Water")</f>
        <v>238653.8401864825</v>
      </c>
      <c r="U15" cm="1">
        <f t="array" ref="U15">[1]!PropsSI("H","T",K15+273.15,"P",101325,"Water")</f>
        <v>214881.62561284381</v>
      </c>
      <c r="V15">
        <f t="shared" si="2"/>
        <v>741.78215411988015</v>
      </c>
      <c r="X15">
        <f t="shared" si="3"/>
        <v>0.26397997400000001</v>
      </c>
      <c r="Y15">
        <f t="shared" si="3"/>
        <v>0.25261298199999999</v>
      </c>
      <c r="Z15">
        <f t="shared" si="9"/>
        <v>0.36537480119457194</v>
      </c>
      <c r="AA15">
        <f t="shared" si="8"/>
        <v>5.6834959999999981</v>
      </c>
      <c r="AB15">
        <f t="shared" si="5"/>
        <v>6.5060095046583874E-2</v>
      </c>
      <c r="AC15">
        <f t="shared" si="6"/>
        <v>48.260417450899133</v>
      </c>
    </row>
    <row r="16" spans="1:29" x14ac:dyDescent="0.2">
      <c r="A16">
        <v>46137.064907824075</v>
      </c>
      <c r="B16">
        <v>16.673628999999998</v>
      </c>
      <c r="C16">
        <v>16.754719999999999</v>
      </c>
      <c r="D16">
        <v>18.905034000000001</v>
      </c>
      <c r="E16">
        <v>19.079805</v>
      </c>
      <c r="F16">
        <v>30.079318000000001</v>
      </c>
      <c r="G16">
        <v>30.754742</v>
      </c>
      <c r="H16">
        <v>28.051974999999999</v>
      </c>
      <c r="I16">
        <v>25.303705000000001</v>
      </c>
      <c r="J16">
        <v>56.990783</v>
      </c>
      <c r="K16">
        <v>51.305695999999998</v>
      </c>
      <c r="L16">
        <v>204.84714600000001</v>
      </c>
      <c r="M16">
        <v>-622.48163399999999</v>
      </c>
      <c r="N16">
        <v>1.903149</v>
      </c>
      <c r="O16">
        <v>4.3208830000000003</v>
      </c>
      <c r="P16">
        <f t="shared" si="0"/>
        <v>3.1719150000000003E-5</v>
      </c>
      <c r="Q16" cm="1">
        <f t="array" ref="Q16">[1]!PropsSI("D","T",J16+273.15,"P",101325,"Water")</f>
        <v>984.71694469359818</v>
      </c>
      <c r="R16" cm="1">
        <f t="array" ref="R16">[1]!PropsSI("D","T",K16+273.15,"P",101325,"Water")</f>
        <v>987.43891973120287</v>
      </c>
      <c r="S16">
        <f t="shared" si="1"/>
        <v>986.07793221240058</v>
      </c>
      <c r="T16" cm="1">
        <f t="array" ref="T16">[1]!PropsSI("H","T",J16+273.15,"P",101325,"Water")</f>
        <v>238657.17041688703</v>
      </c>
      <c r="U16" cm="1">
        <f t="array" ref="U16">[1]!PropsSI("H","T",K16+273.15,"P",101325,"Water")</f>
        <v>214878.30114087131</v>
      </c>
      <c r="V16">
        <f t="shared" si="2"/>
        <v>743.74486411896135</v>
      </c>
      <c r="X16">
        <f t="shared" si="3"/>
        <v>0.263981566</v>
      </c>
      <c r="Y16">
        <f t="shared" si="3"/>
        <v>0.25261139199999999</v>
      </c>
      <c r="Z16">
        <f t="shared" si="9"/>
        <v>0.36537485211216991</v>
      </c>
      <c r="AA16">
        <f t="shared" si="8"/>
        <v>5.6850870000000029</v>
      </c>
      <c r="AB16">
        <f t="shared" si="5"/>
        <v>6.5042326711040252E-2</v>
      </c>
      <c r="AC16">
        <f t="shared" si="6"/>
        <v>48.374896441683724</v>
      </c>
    </row>
    <row r="17" spans="1:29" x14ac:dyDescent="0.2">
      <c r="A17">
        <v>46137.064943124999</v>
      </c>
      <c r="B17">
        <v>16.768837999999999</v>
      </c>
      <c r="C17">
        <v>16.808997000000002</v>
      </c>
      <c r="D17">
        <v>18.798696</v>
      </c>
      <c r="E17">
        <v>18.949905000000001</v>
      </c>
      <c r="F17">
        <v>30.284036</v>
      </c>
      <c r="G17">
        <v>32.079923000000001</v>
      </c>
      <c r="H17">
        <v>27.735779000000001</v>
      </c>
      <c r="I17">
        <v>24.876937000000002</v>
      </c>
      <c r="J17">
        <v>56.992851999999999</v>
      </c>
      <c r="K17">
        <v>51.301723000000003</v>
      </c>
      <c r="L17">
        <v>188.59857199999999</v>
      </c>
      <c r="M17">
        <v>-622.49959200000001</v>
      </c>
      <c r="N17">
        <v>1.907624</v>
      </c>
      <c r="O17">
        <v>4.775239</v>
      </c>
      <c r="P17">
        <f t="shared" si="0"/>
        <v>3.1793733333333334E-5</v>
      </c>
      <c r="Q17" cm="1">
        <f t="array" ref="Q17">[1]!PropsSI("D","T",J17+273.15,"P",101325,"Water")</f>
        <v>984.71591757497026</v>
      </c>
      <c r="R17" cm="1">
        <f t="array" ref="R17">[1]!PropsSI("D","T",K17+273.15,"P",101325,"Water")</f>
        <v>987.44075043174257</v>
      </c>
      <c r="S17">
        <f t="shared" si="1"/>
        <v>986.07833400335642</v>
      </c>
      <c r="T17" cm="1">
        <f t="array" ref="T17">[1]!PropsSI("H","T",J17+273.15,"P",101325,"Water")</f>
        <v>238665.82650686972</v>
      </c>
      <c r="U17" cm="1">
        <f t="array" ref="U17">[1]!PropsSI("H","T",K17+273.15,"P",101325,"Water")</f>
        <v>214861.68714742386</v>
      </c>
      <c r="V17">
        <f t="shared" si="2"/>
        <v>746.2862295304393</v>
      </c>
      <c r="X17">
        <f t="shared" si="3"/>
        <v>0.26398570399999999</v>
      </c>
      <c r="Y17">
        <f t="shared" si="3"/>
        <v>0.25260344600000001</v>
      </c>
      <c r="Z17">
        <f t="shared" si="9"/>
        <v>0.36537234822499981</v>
      </c>
      <c r="AA17">
        <f t="shared" si="8"/>
        <v>5.6911289999999966</v>
      </c>
      <c r="AB17">
        <f t="shared" si="5"/>
        <v>6.497447275139473E-2</v>
      </c>
      <c r="AC17">
        <f t="shared" si="6"/>
        <v>48.489554285366644</v>
      </c>
    </row>
    <row r="18" spans="1:29" x14ac:dyDescent="0.2">
      <c r="A18">
        <v>46137.064977847222</v>
      </c>
      <c r="B18">
        <v>16.644517</v>
      </c>
      <c r="C18">
        <v>16.944338999999999</v>
      </c>
      <c r="D18">
        <v>18.697316000000001</v>
      </c>
      <c r="E18">
        <v>18.906022</v>
      </c>
      <c r="F18">
        <v>30.374822000000002</v>
      </c>
      <c r="G18">
        <v>32.509360000000001</v>
      </c>
      <c r="H18">
        <v>27.664794000000001</v>
      </c>
      <c r="I18">
        <v>24.817032999999999</v>
      </c>
      <c r="J18">
        <v>56.991259999999997</v>
      </c>
      <c r="K18">
        <v>51.292504000000001</v>
      </c>
      <c r="L18">
        <v>198.370735</v>
      </c>
      <c r="M18">
        <v>-622.50163299999997</v>
      </c>
      <c r="N18">
        <v>1.9008910000000001</v>
      </c>
      <c r="O18">
        <v>3.8959709999999999</v>
      </c>
      <c r="P18">
        <f t="shared" si="0"/>
        <v>3.1681516666666668E-5</v>
      </c>
      <c r="Q18" cm="1">
        <f t="array" ref="Q18">[1]!PropsSI("D","T",J18+273.15,"P",101325,"Water")</f>
        <v>984.71670789766563</v>
      </c>
      <c r="R18" cm="1">
        <f t="array" ref="R18">[1]!PropsSI("D","T",K18+273.15,"P",101325,"Water")</f>
        <v>987.4449980197146</v>
      </c>
      <c r="S18">
        <f t="shared" si="1"/>
        <v>986.08085295869012</v>
      </c>
      <c r="T18" cm="1">
        <f t="array" ref="T18">[1]!PropsSI("H","T",J18+273.15,"P",101325,"Water")</f>
        <v>238659.1660450022</v>
      </c>
      <c r="U18" cm="1">
        <f t="array" ref="U18">[1]!PropsSI("H","T",K18+273.15,"P",101325,"Water")</f>
        <v>214823.13584312139</v>
      </c>
      <c r="V18">
        <f t="shared" si="2"/>
        <v>744.65038292323197</v>
      </c>
      <c r="X18">
        <f t="shared" si="3"/>
        <v>0.26398252</v>
      </c>
      <c r="Y18">
        <f t="shared" si="3"/>
        <v>0.252585008</v>
      </c>
      <c r="Z18">
        <f t="shared" si="9"/>
        <v>0.36535730064131805</v>
      </c>
      <c r="AA18">
        <f t="shared" si="8"/>
        <v>5.6987559999999959</v>
      </c>
      <c r="AB18">
        <f t="shared" si="5"/>
        <v>6.4886965585516099E-2</v>
      </c>
      <c r="AC18">
        <f t="shared" si="6"/>
        <v>48.318103769981136</v>
      </c>
    </row>
    <row r="19" spans="1:29" x14ac:dyDescent="0.2">
      <c r="A19">
        <v>46137.065013148145</v>
      </c>
      <c r="B19">
        <v>16.717694999999999</v>
      </c>
      <c r="C19">
        <v>16.881101999999998</v>
      </c>
      <c r="D19">
        <v>18.761576999999999</v>
      </c>
      <c r="E19">
        <v>18.967061000000001</v>
      </c>
      <c r="F19">
        <v>30.373781000000001</v>
      </c>
      <c r="G19">
        <v>31.189094999999998</v>
      </c>
      <c r="H19">
        <v>27.713360999999999</v>
      </c>
      <c r="I19">
        <v>24.887233999999999</v>
      </c>
      <c r="J19">
        <v>56.991579000000002</v>
      </c>
      <c r="K19">
        <v>51.282967999999997</v>
      </c>
      <c r="L19">
        <v>209.75832800000001</v>
      </c>
      <c r="M19">
        <v>-622.50244899999996</v>
      </c>
      <c r="N19">
        <v>1.904784</v>
      </c>
      <c r="O19">
        <v>4.3104120000000004</v>
      </c>
      <c r="P19">
        <f t="shared" si="0"/>
        <v>3.1746399999999998E-5</v>
      </c>
      <c r="Q19" cm="1">
        <f t="array" ref="Q19">[1]!PropsSI("D","T",J19+273.15,"P",101325,"Water")</f>
        <v>984.7165495365042</v>
      </c>
      <c r="R19" cm="1">
        <f t="array" ref="R19">[1]!PropsSI("D","T",K19+273.15,"P",101325,"Water")</f>
        <v>987.44939108517428</v>
      </c>
      <c r="S19">
        <f t="shared" si="1"/>
        <v>986.0829703108393</v>
      </c>
      <c r="T19" cm="1">
        <f t="array" ref="T19">[1]!PropsSI("H","T",J19+273.15,"P",101325,"Water")</f>
        <v>238660.50064755301</v>
      </c>
      <c r="U19" cm="1">
        <f t="array" ref="U19">[1]!PropsSI("H","T",K19+273.15,"P",101325,"Water")</f>
        <v>214783.25895978493</v>
      </c>
      <c r="V19">
        <f t="shared" si="2"/>
        <v>747.4671278610939</v>
      </c>
      <c r="X19">
        <f t="shared" si="3"/>
        <v>0.263983158</v>
      </c>
      <c r="Y19">
        <f t="shared" si="3"/>
        <v>0.25256593599999999</v>
      </c>
      <c r="Z19">
        <f t="shared" si="9"/>
        <v>0.36534457671520054</v>
      </c>
      <c r="AA19">
        <f t="shared" si="8"/>
        <v>5.7086110000000048</v>
      </c>
      <c r="AB19">
        <f t="shared" si="5"/>
        <v>6.4775409259879388E-2</v>
      </c>
      <c r="AC19">
        <f t="shared" si="6"/>
        <v>48.41748911550895</v>
      </c>
    </row>
    <row r="20" spans="1:29" x14ac:dyDescent="0.2">
      <c r="A20">
        <v>46137.065047870368</v>
      </c>
      <c r="B20">
        <v>16.774429000000001</v>
      </c>
      <c r="C20">
        <v>16.827489</v>
      </c>
      <c r="D20">
        <v>18.775462000000001</v>
      </c>
      <c r="E20">
        <v>19.013487999999999</v>
      </c>
      <c r="F20">
        <v>30.283342000000001</v>
      </c>
      <c r="G20">
        <v>32.109493000000001</v>
      </c>
      <c r="H20">
        <v>27.700329</v>
      </c>
      <c r="I20">
        <v>25.157299999999999</v>
      </c>
      <c r="J20">
        <v>56.991259999999997</v>
      </c>
      <c r="K20">
        <v>51.281697000000001</v>
      </c>
      <c r="L20">
        <v>190.28501800000001</v>
      </c>
      <c r="M20">
        <v>-622.493878</v>
      </c>
      <c r="N20">
        <v>1.9059349999999999</v>
      </c>
      <c r="O20">
        <v>4.3277830000000002</v>
      </c>
      <c r="P20">
        <f t="shared" si="0"/>
        <v>3.1765583333333329E-5</v>
      </c>
      <c r="Q20" cm="1">
        <f t="array" ref="Q20">[1]!PropsSI("D","T",J20+273.15,"P",101325,"Water")</f>
        <v>984.71670789766563</v>
      </c>
      <c r="R20" cm="1">
        <f t="array" ref="R20">[1]!PropsSI("D","T",K20+273.15,"P",101325,"Water")</f>
        <v>987.44997656787461</v>
      </c>
      <c r="S20">
        <f t="shared" si="1"/>
        <v>986.08334223277006</v>
      </c>
      <c r="T20" cm="1">
        <f t="array" ref="T20">[1]!PropsSI("H","T",J20+273.15,"P",101325,"Water")</f>
        <v>238659.1660450022</v>
      </c>
      <c r="U20" cm="1">
        <f t="array" ref="U20">[1]!PropsSI("H","T",K20+273.15,"P",101325,"Water")</f>
        <v>214777.94399553741</v>
      </c>
      <c r="V20">
        <f t="shared" si="2"/>
        <v>748.04375932339428</v>
      </c>
      <c r="X20">
        <f t="shared" si="3"/>
        <v>0.26398252</v>
      </c>
      <c r="Y20">
        <f t="shared" si="3"/>
        <v>0.252563394</v>
      </c>
      <c r="Z20">
        <f t="shared" si="9"/>
        <v>0.36534235841789497</v>
      </c>
      <c r="AA20">
        <f t="shared" si="8"/>
        <v>5.7095629999999957</v>
      </c>
      <c r="AB20">
        <f t="shared" si="5"/>
        <v>6.4764482316593902E-2</v>
      </c>
      <c r="AC20">
        <f t="shared" si="6"/>
        <v>48.446666822738393</v>
      </c>
    </row>
    <row r="21" spans="1:29" x14ac:dyDescent="0.2">
      <c r="A21">
        <v>46137.065082592591</v>
      </c>
      <c r="B21">
        <v>16.794837000000001</v>
      </c>
      <c r="C21">
        <v>16.803152000000001</v>
      </c>
      <c r="D21">
        <v>18.873470999999999</v>
      </c>
      <c r="E21">
        <v>19.016248000000001</v>
      </c>
      <c r="F21">
        <v>30.319794000000002</v>
      </c>
      <c r="G21">
        <v>33.072603999999998</v>
      </c>
      <c r="H21">
        <v>27.814506999999999</v>
      </c>
      <c r="I21">
        <v>25.136782</v>
      </c>
      <c r="J21">
        <v>56.991579000000002</v>
      </c>
      <c r="K21">
        <v>51.279947999999997</v>
      </c>
      <c r="L21">
        <v>194.09298999999999</v>
      </c>
      <c r="M21">
        <v>-622.46612400000004</v>
      </c>
      <c r="N21">
        <v>1.9038619999999999</v>
      </c>
      <c r="O21">
        <v>4.7074420000000003</v>
      </c>
      <c r="P21">
        <f t="shared" si="0"/>
        <v>3.1731033333333332E-5</v>
      </c>
      <c r="Q21" cm="1">
        <f t="array" ref="Q21">[1]!PropsSI("D","T",J21+273.15,"P",101325,"Water")</f>
        <v>984.7165495365042</v>
      </c>
      <c r="R21" cm="1">
        <f t="array" ref="R21">[1]!PropsSI("D","T",K21+273.15,"P",101325,"Water")</f>
        <v>987.45078222288384</v>
      </c>
      <c r="S21">
        <f t="shared" si="1"/>
        <v>986.08366587969408</v>
      </c>
      <c r="T21" cm="1">
        <f t="array" ref="T21">[1]!PropsSI("H","T",J21+273.15,"P",101325,"Water")</f>
        <v>238660.50064755301</v>
      </c>
      <c r="U21" cm="1">
        <f t="array" ref="U21">[1]!PropsSI("H","T",K21+273.15,"P",101325,"Water")</f>
        <v>214770.63017067622</v>
      </c>
      <c r="V21">
        <f t="shared" si="2"/>
        <v>747.50099550399216</v>
      </c>
      <c r="X21">
        <f t="shared" si="3"/>
        <v>0.263983158</v>
      </c>
      <c r="Y21">
        <f t="shared" si="3"/>
        <v>0.25255989600000001</v>
      </c>
      <c r="Z21">
        <f t="shared" si="9"/>
        <v>0.36534040123586631</v>
      </c>
      <c r="AA21">
        <f t="shared" si="8"/>
        <v>5.7116310000000041</v>
      </c>
      <c r="AB21">
        <f t="shared" si="5"/>
        <v>6.4741253755342718E-2</v>
      </c>
      <c r="AC21">
        <f t="shared" si="6"/>
        <v>48.394151632295255</v>
      </c>
    </row>
    <row r="22" spans="1:29" x14ac:dyDescent="0.2">
      <c r="A22">
        <v>46137.065117893515</v>
      </c>
      <c r="B22">
        <v>16.974653</v>
      </c>
      <c r="C22">
        <v>17.134114</v>
      </c>
      <c r="D22">
        <v>18.944865</v>
      </c>
      <c r="E22">
        <v>19.038314</v>
      </c>
      <c r="F22">
        <v>30.460729000000001</v>
      </c>
      <c r="G22">
        <v>31.926449999999999</v>
      </c>
      <c r="H22">
        <v>27.732491</v>
      </c>
      <c r="I22">
        <v>25.426307999999999</v>
      </c>
      <c r="J22">
        <v>56.991259999999997</v>
      </c>
      <c r="K22">
        <v>51.278517999999998</v>
      </c>
      <c r="L22">
        <v>200.74367799999999</v>
      </c>
      <c r="M22">
        <v>-622.46612400000004</v>
      </c>
      <c r="N22">
        <v>1.899502</v>
      </c>
      <c r="O22">
        <v>4.3186840000000002</v>
      </c>
      <c r="P22">
        <f t="shared" si="0"/>
        <v>3.1658366666666668E-5</v>
      </c>
      <c r="Q22" cm="1">
        <f t="array" ref="Q22">[1]!PropsSI("D","T",J22+273.15,"P",101325,"Water")</f>
        <v>984.71670789766563</v>
      </c>
      <c r="R22" cm="1">
        <f t="array" ref="R22">[1]!PropsSI("D","T",K22+273.15,"P",101325,"Water")</f>
        <v>987.45144091981945</v>
      </c>
      <c r="S22">
        <f t="shared" si="1"/>
        <v>986.08407440874248</v>
      </c>
      <c r="T22" cm="1">
        <f t="array" ref="T22">[1]!PropsSI("H","T",J22+273.15,"P",101325,"Water")</f>
        <v>238659.1660450022</v>
      </c>
      <c r="U22" cm="1">
        <f t="array" ref="U22">[1]!PropsSI("H","T",K22+273.15,"P",101325,"Water")</f>
        <v>214764.65031463825</v>
      </c>
      <c r="V22">
        <f t="shared" si="2"/>
        <v>745.93448058981994</v>
      </c>
      <c r="X22">
        <f t="shared" si="3"/>
        <v>0.26398252</v>
      </c>
      <c r="Y22">
        <f t="shared" si="3"/>
        <v>0.25255703600000001</v>
      </c>
      <c r="Z22">
        <f t="shared" si="9"/>
        <v>0.36533796312271694</v>
      </c>
      <c r="AA22">
        <f t="shared" si="8"/>
        <v>5.7127419999999987</v>
      </c>
      <c r="AB22">
        <f t="shared" si="5"/>
        <v>6.472854179499421E-2</v>
      </c>
      <c r="AC22">
        <f t="shared" si="6"/>
        <v>48.283251203185458</v>
      </c>
    </row>
    <row r="23" spans="1:29" x14ac:dyDescent="0.2">
      <c r="A23">
        <v>46137.065152615738</v>
      </c>
      <c r="B23">
        <v>16.972859</v>
      </c>
      <c r="C23">
        <v>17.419243999999999</v>
      </c>
      <c r="D23">
        <v>19.050018000000001</v>
      </c>
      <c r="E23">
        <v>19.175723999999999</v>
      </c>
      <c r="F23">
        <v>30.427401</v>
      </c>
      <c r="G23">
        <v>31.669537999999999</v>
      </c>
      <c r="H23">
        <v>27.887561999999999</v>
      </c>
      <c r="I23">
        <v>25.455459000000001</v>
      </c>
      <c r="J23">
        <v>56.990941999999997</v>
      </c>
      <c r="K23">
        <v>51.280265999999997</v>
      </c>
      <c r="L23">
        <v>204.54063099999999</v>
      </c>
      <c r="M23">
        <v>-622.52897800000005</v>
      </c>
      <c r="N23">
        <v>1.8988670000000001</v>
      </c>
      <c r="O23">
        <v>4.3193580000000003</v>
      </c>
      <c r="P23">
        <f t="shared" si="0"/>
        <v>3.1647783333333335E-5</v>
      </c>
      <c r="Q23" cm="1">
        <f t="array" ref="Q23">[1]!PropsSI("D","T",J23+273.15,"P",101325,"Water")</f>
        <v>984.71686576175853</v>
      </c>
      <c r="R23" cm="1">
        <f t="array" ref="R23">[1]!PropsSI("D","T",K23+273.15,"P",101325,"Water")</f>
        <v>987.45063574161259</v>
      </c>
      <c r="S23">
        <f t="shared" si="1"/>
        <v>986.08375075168556</v>
      </c>
      <c r="T23" cm="1">
        <f t="array" ref="T23">[1]!PropsSI("H","T",J23+273.15,"P",101325,"Water")</f>
        <v>238657.8356262859</v>
      </c>
      <c r="U23" cm="1">
        <f t="array" ref="U23">[1]!PropsSI("H","T",K23+273.15,"P",101325,"Water")</f>
        <v>214771.9599569978</v>
      </c>
      <c r="V23">
        <f t="shared" si="2"/>
        <v>745.41523778382339</v>
      </c>
      <c r="X23">
        <f t="shared" si="3"/>
        <v>0.263981884</v>
      </c>
      <c r="Y23">
        <f t="shared" si="3"/>
        <v>0.252560532</v>
      </c>
      <c r="Z23">
        <f t="shared" si="9"/>
        <v>0.36533992035406215</v>
      </c>
      <c r="AA23">
        <f t="shared" si="8"/>
        <v>5.7106759999999994</v>
      </c>
      <c r="AB23">
        <f t="shared" si="5"/>
        <v>6.4751738994290722E-2</v>
      </c>
      <c r="AC23">
        <f t="shared" si="6"/>
        <v>48.266932919345287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3467-1C05-5E45-8EFE-6C526148DDA2}">
  <dimension ref="A1:AC29"/>
  <sheetViews>
    <sheetView topLeftCell="M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44675.062638150499</v>
      </c>
      <c r="B2">
        <v>17.663609000000001</v>
      </c>
      <c r="C2">
        <v>18.363817000000001</v>
      </c>
      <c r="D2">
        <v>19.235226999999998</v>
      </c>
      <c r="E2">
        <v>19.725905000000001</v>
      </c>
      <c r="F2">
        <v>29.488292000000001</v>
      </c>
      <c r="G2">
        <v>32.144502000000003</v>
      </c>
      <c r="H2">
        <v>26.148776000000002</v>
      </c>
      <c r="I2">
        <v>23.838614</v>
      </c>
      <c r="J2">
        <v>57.042844000000002</v>
      </c>
      <c r="K2">
        <v>51.071905999999998</v>
      </c>
      <c r="L2">
        <v>285.063129</v>
      </c>
      <c r="M2">
        <v>-622.50489800000003</v>
      </c>
      <c r="N2">
        <v>1.907427</v>
      </c>
      <c r="O2">
        <v>4.2658959999999997</v>
      </c>
      <c r="P2">
        <f t="shared" ref="P2:P65" si="0" xml:space="preserve"> N2*0.001/60</f>
        <v>3.1790449999999996E-5</v>
      </c>
      <c r="Q2" cm="1">
        <f t="array" ref="Q2">[1]!PropsSI("D","T",J2+273.15,"P",101325,"Water")</f>
        <v>984.69109201301671</v>
      </c>
      <c r="R2" cm="1">
        <f t="array" ref="R2">[1]!PropsSI("D","T",K2+273.15,"P",101325,"Water")</f>
        <v>987.54647299520173</v>
      </c>
      <c r="S2">
        <f t="shared" ref="S2:S65" si="1">(Q2+R2)/2</f>
        <v>986.11878250410928</v>
      </c>
      <c r="T2" cm="1">
        <f t="array" ref="T2">[1]!PropsSI("H","T",J2+273.15,"P",101325,"Water")</f>
        <v>238874.97890179246</v>
      </c>
      <c r="U2" cm="1">
        <f t="array" ref="U2">[1]!PropsSI("H","T",K2+273.15,"P",101325,"Water")</f>
        <v>213900.66378831965</v>
      </c>
      <c r="V2">
        <f t="shared" ref="V2:V65" si="2">S2*P2*(T2-U2)</f>
        <v>782.92379661799293</v>
      </c>
      <c r="W2" s="3">
        <f>AVERAGE(V2:V29)</f>
        <v>782.56019477672476</v>
      </c>
      <c r="X2">
        <f>(0.15+0.002*ABS(J2))</f>
        <v>0.26408568799999999</v>
      </c>
      <c r="Y2">
        <f>(0.15+0.002*ABS(K2))</f>
        <v>0.25214381200000002</v>
      </c>
      <c r="Z2">
        <f>SQRT((X2)^2 + (Y2)^2)</f>
        <v>0.36512703616183323</v>
      </c>
      <c r="AA2">
        <f>J2-K2</f>
        <v>5.9709380000000039</v>
      </c>
      <c r="AB2">
        <f>SQRT((0.01)^2 + (Z2/ABS(AA2))^2)</f>
        <v>6.1962957204567577E-2</v>
      </c>
      <c r="AC2">
        <f>ABS(V2*AB2)</f>
        <v>48.512273704278265</v>
      </c>
    </row>
    <row r="3" spans="1:29" x14ac:dyDescent="0.2">
      <c r="A3">
        <v>44675.062673451401</v>
      </c>
      <c r="B3">
        <v>17.778352000000002</v>
      </c>
      <c r="C3">
        <v>18.543610000000001</v>
      </c>
      <c r="D3">
        <v>18.990345999999999</v>
      </c>
      <c r="E3">
        <v>19.661037</v>
      </c>
      <c r="F3">
        <v>29.546828000000001</v>
      </c>
      <c r="G3">
        <v>31.563151000000001</v>
      </c>
      <c r="H3">
        <v>26.590329000000001</v>
      </c>
      <c r="I3">
        <v>23.382252000000001</v>
      </c>
      <c r="J3">
        <v>57.043002999999999</v>
      </c>
      <c r="K3">
        <v>51.069521999999999</v>
      </c>
      <c r="L3">
        <v>282.72569499999997</v>
      </c>
      <c r="M3">
        <v>-622.45796099999995</v>
      </c>
      <c r="N3">
        <v>1.9006609999999999</v>
      </c>
      <c r="O3">
        <v>4.0706660000000001</v>
      </c>
      <c r="P3">
        <f t="shared" si="0"/>
        <v>3.1677683333333333E-5</v>
      </c>
      <c r="Q3" cm="1">
        <f t="array" ref="Q3">[1]!PropsSI("D","T",J3+273.15,"P",101325,"Water")</f>
        <v>984.69101303085426</v>
      </c>
      <c r="R3" cm="1">
        <f t="array" ref="R3">[1]!PropsSI("D","T",K3+273.15,"P",101325,"Water")</f>
        <v>987.54756791329703</v>
      </c>
      <c r="S3">
        <f t="shared" si="1"/>
        <v>986.11929047207559</v>
      </c>
      <c r="T3" cm="1">
        <f t="array" ref="T3">[1]!PropsSI("H","T",J3+273.15,"P",101325,"Water")</f>
        <v>238875.64411437933</v>
      </c>
      <c r="U3" cm="1">
        <f t="array" ref="U3">[1]!PropsSI("H","T",K3+273.15,"P",101325,"Water")</f>
        <v>213890.69472375864</v>
      </c>
      <c r="V3">
        <f t="shared" si="2"/>
        <v>780.47921475795101</v>
      </c>
      <c r="W3" s="3" t="s">
        <v>33</v>
      </c>
      <c r="X3">
        <f t="shared" ref="X3:Y55" si="3">(0.15+0.002*ABS(J3))</f>
        <v>0.26408600599999998</v>
      </c>
      <c r="Y3">
        <f t="shared" si="3"/>
        <v>0.25213904399999998</v>
      </c>
      <c r="Z3">
        <f t="shared" ref="Z3:Z55" si="4">SQRT((X3)^2 + (Y3)^2)</f>
        <v>0.365123973568247</v>
      </c>
      <c r="AA3">
        <f>J3-K3</f>
        <v>5.9734809999999996</v>
      </c>
      <c r="AB3">
        <f t="shared" ref="AB3:AB66" si="5">SQRT((0.01)^2 + (Z3/ABS(AA3))^2)</f>
        <v>6.1936759867207682E-2</v>
      </c>
      <c r="AC3">
        <f t="shared" ref="AC3:AC66" si="6">ABS(V3*AB3)</f>
        <v>48.340353705810024</v>
      </c>
    </row>
    <row r="4" spans="1:29" x14ac:dyDescent="0.2">
      <c r="A4">
        <v>44675.062708752303</v>
      </c>
      <c r="B4">
        <v>17.786857000000001</v>
      </c>
      <c r="C4">
        <v>18.534479000000001</v>
      </c>
      <c r="D4">
        <v>19.027315999999999</v>
      </c>
      <c r="E4">
        <v>19.738151999999999</v>
      </c>
      <c r="F4">
        <v>29.558373</v>
      </c>
      <c r="G4">
        <v>32.140470999999998</v>
      </c>
      <c r="H4">
        <v>26.538249</v>
      </c>
      <c r="I4">
        <v>23.805907000000001</v>
      </c>
      <c r="J4">
        <v>57.039659999999998</v>
      </c>
      <c r="K4">
        <v>51.067138</v>
      </c>
      <c r="L4">
        <v>282.84691400000003</v>
      </c>
      <c r="M4">
        <v>-622.48693900000001</v>
      </c>
      <c r="N4">
        <v>1.9035219999999999</v>
      </c>
      <c r="O4">
        <v>4.1773100000000003</v>
      </c>
      <c r="P4">
        <f t="shared" si="0"/>
        <v>3.1725366666666666E-5</v>
      </c>
      <c r="Q4" cm="1">
        <f t="array" ref="Q4">[1]!PropsSI("D","T",J4+273.15,"P",101325,"Water")</f>
        <v>984.69267361087157</v>
      </c>
      <c r="R4" cm="1">
        <f t="array" ref="R4">[1]!PropsSI("D","T",K4+273.15,"P",101325,"Water")</f>
        <v>987.54866279453586</v>
      </c>
      <c r="S4">
        <f t="shared" si="1"/>
        <v>986.12066820270365</v>
      </c>
      <c r="T4" cm="1">
        <f t="array" ref="T4">[1]!PropsSI("H","T",J4+273.15,"P",101325,"Water")</f>
        <v>238861.65791669424</v>
      </c>
      <c r="U4" cm="1">
        <f t="array" ref="U4">[1]!PropsSI("H","T",K4+273.15,"P",101325,"Water")</f>
        <v>213880.72566094753</v>
      </c>
      <c r="V4">
        <f t="shared" si="2"/>
        <v>781.52945927031919</v>
      </c>
      <c r="W4" s="3">
        <f>SQRT((AVERAGE(AC2:AC29))^2 + (_xlfn.STDEV.S(V2:V29)/SQRT(COUNT(V2:V29)))^2)</f>
        <v>48.403103345049445</v>
      </c>
      <c r="X4">
        <f t="shared" si="3"/>
        <v>0.26407932000000001</v>
      </c>
      <c r="Y4">
        <f t="shared" si="3"/>
        <v>0.25213427599999999</v>
      </c>
      <c r="Z4">
        <f t="shared" si="4"/>
        <v>0.36511584515836415</v>
      </c>
      <c r="AA4">
        <f t="shared" ref="AA4:AA67" si="7">J4-K4</f>
        <v>5.9725219999999979</v>
      </c>
      <c r="AB4">
        <f t="shared" si="5"/>
        <v>6.1945102628147744E-2</v>
      </c>
      <c r="AC4">
        <f t="shared" si="6"/>
        <v>48.411922561420738</v>
      </c>
    </row>
    <row r="5" spans="1:29" x14ac:dyDescent="0.2">
      <c r="A5">
        <v>44675.062743474598</v>
      </c>
      <c r="B5">
        <v>17.788730000000001</v>
      </c>
      <c r="C5">
        <v>18.234034000000001</v>
      </c>
      <c r="D5">
        <v>19.186959999999999</v>
      </c>
      <c r="E5">
        <v>19.756774</v>
      </c>
      <c r="F5">
        <v>29.86835</v>
      </c>
      <c r="G5">
        <v>30.031967000000002</v>
      </c>
      <c r="H5">
        <v>27.324649999999998</v>
      </c>
      <c r="I5">
        <v>24.255891999999999</v>
      </c>
      <c r="J5">
        <v>57.039023</v>
      </c>
      <c r="K5">
        <v>51.069363000000003</v>
      </c>
      <c r="L5">
        <v>284.13827800000001</v>
      </c>
      <c r="M5">
        <v>-622.48857199999998</v>
      </c>
      <c r="N5">
        <v>1.908533</v>
      </c>
      <c r="O5">
        <v>4.487673</v>
      </c>
      <c r="P5">
        <f t="shared" si="0"/>
        <v>3.1808883333333336E-5</v>
      </c>
      <c r="Q5" cm="1">
        <f t="array" ref="Q5">[1]!PropsSI("D","T",J5+273.15,"P",101325,"Water")</f>
        <v>984.69299002238722</v>
      </c>
      <c r="R5" cm="1">
        <f t="array" ref="R5">[1]!PropsSI("D","T",K5+273.15,"P",101325,"Water")</f>
        <v>987.54764093715278</v>
      </c>
      <c r="S5">
        <f t="shared" si="1"/>
        <v>986.12031547976994</v>
      </c>
      <c r="T5" cm="1">
        <f t="array" ref="T5">[1]!PropsSI("H","T",J5+273.15,"P",101325,"Water")</f>
        <v>238858.99288339342</v>
      </c>
      <c r="U5" cm="1">
        <f t="array" ref="U5">[1]!PropsSI("H","T",K5+273.15,"P",101325,"Water")</f>
        <v>213890.02984075627</v>
      </c>
      <c r="V5">
        <f t="shared" si="2"/>
        <v>783.21110346917885</v>
      </c>
      <c r="W5" s="3"/>
      <c r="X5">
        <f t="shared" si="3"/>
        <v>0.26407804600000001</v>
      </c>
      <c r="Y5">
        <f t="shared" si="3"/>
        <v>0.25213872599999998</v>
      </c>
      <c r="Z5">
        <f t="shared" si="4"/>
        <v>0.36511799671898015</v>
      </c>
      <c r="AA5">
        <f t="shared" si="7"/>
        <v>5.9696599999999975</v>
      </c>
      <c r="AB5">
        <f t="shared" si="5"/>
        <v>6.1974382538316677E-2</v>
      </c>
      <c r="AC5">
        <f t="shared" si="6"/>
        <v>48.539024534656015</v>
      </c>
    </row>
    <row r="6" spans="1:29" x14ac:dyDescent="0.2">
      <c r="A6">
        <v>46137.06277877315</v>
      </c>
      <c r="B6">
        <v>17.704813000000001</v>
      </c>
      <c r="C6">
        <v>18.196660999999999</v>
      </c>
      <c r="D6">
        <v>19.114515000000001</v>
      </c>
      <c r="E6">
        <v>19.630049</v>
      </c>
      <c r="F6">
        <v>29.594826000000001</v>
      </c>
      <c r="G6">
        <v>31.841052000000001</v>
      </c>
      <c r="H6">
        <v>26.503304</v>
      </c>
      <c r="I6">
        <v>23.672025000000001</v>
      </c>
      <c r="J6">
        <v>57.037112999999998</v>
      </c>
      <c r="K6">
        <v>51.065866999999997</v>
      </c>
      <c r="L6">
        <v>281.18291499999998</v>
      </c>
      <c r="M6">
        <v>-622.48408199999994</v>
      </c>
      <c r="N6">
        <v>1.9019239999999999</v>
      </c>
      <c r="O6">
        <v>4.1789620000000003</v>
      </c>
      <c r="P6">
        <f t="shared" si="0"/>
        <v>3.1698733333333335E-5</v>
      </c>
      <c r="Q6" cm="1">
        <f t="array" ref="Q6">[1]!PropsSI("D","T",J6+273.15,"P",101325,"Water")</f>
        <v>984.69393874544153</v>
      </c>
      <c r="R6" cm="1">
        <f t="array" ref="R6">[1]!PropsSI("D","T",K6+273.15,"P",101325,"Water")</f>
        <v>987.54924650186103</v>
      </c>
      <c r="S6">
        <f t="shared" si="1"/>
        <v>986.12159262365128</v>
      </c>
      <c r="T6" cm="1">
        <f t="array" ref="T6">[1]!PropsSI("H","T",J6+273.15,"P",101325,"Water")</f>
        <v>238851.00196819197</v>
      </c>
      <c r="U6" cm="1">
        <f t="array" ref="U6">[1]!PropsSI("H","T",K6+273.15,"P",101325,"Water")</f>
        <v>213875.41077954712</v>
      </c>
      <c r="V6">
        <f t="shared" si="2"/>
        <v>780.7071446863099</v>
      </c>
      <c r="W6" s="3"/>
      <c r="X6">
        <f t="shared" si="3"/>
        <v>0.26407422599999997</v>
      </c>
      <c r="Y6">
        <f t="shared" si="3"/>
        <v>0.252131734</v>
      </c>
      <c r="Z6">
        <f t="shared" si="4"/>
        <v>0.36511040539451328</v>
      </c>
      <c r="AA6">
        <f>J6-K6</f>
        <v>5.9712460000000007</v>
      </c>
      <c r="AB6">
        <f t="shared" si="5"/>
        <v>6.1957095742162432E-2</v>
      </c>
      <c r="AC6">
        <f t="shared" si="6"/>
        <v>48.370347309919964</v>
      </c>
    </row>
    <row r="7" spans="1:29" x14ac:dyDescent="0.2">
      <c r="A7">
        <v>46137.062814074074</v>
      </c>
      <c r="B7">
        <v>17.557880000000001</v>
      </c>
      <c r="C7">
        <v>18.130123000000001</v>
      </c>
      <c r="D7">
        <v>19.166985</v>
      </c>
      <c r="E7">
        <v>19.591194000000002</v>
      </c>
      <c r="F7">
        <v>29.658483</v>
      </c>
      <c r="G7">
        <v>31.135957999999999</v>
      </c>
      <c r="H7">
        <v>26.871357</v>
      </c>
      <c r="I7">
        <v>23.887975999999998</v>
      </c>
      <c r="J7">
        <v>57.036476</v>
      </c>
      <c r="K7">
        <v>51.062052999999999</v>
      </c>
      <c r="L7">
        <v>258.72567299999997</v>
      </c>
      <c r="M7">
        <v>-622.49224500000003</v>
      </c>
      <c r="N7">
        <v>1.9014359999999999</v>
      </c>
      <c r="O7">
        <v>4.6913539999999996</v>
      </c>
      <c r="P7">
        <f t="shared" si="0"/>
        <v>3.1690599999999998E-5</v>
      </c>
      <c r="Q7" cm="1">
        <f t="array" ref="Q7">[1]!PropsSI("D","T",J7+273.15,"P",101325,"Water")</f>
        <v>984.69425514709894</v>
      </c>
      <c r="R7" cm="1">
        <f t="array" ref="R7">[1]!PropsSI("D","T",K7+273.15,"P",101325,"Water")</f>
        <v>987.55099802013547</v>
      </c>
      <c r="S7">
        <f t="shared" si="1"/>
        <v>986.12262658361715</v>
      </c>
      <c r="T7" cm="1">
        <f t="array" ref="T7">[1]!PropsSI("H","T",J7+273.15,"P",101325,"Water")</f>
        <v>238848.33693554188</v>
      </c>
      <c r="U7" cm="1">
        <f t="array" ref="U7">[1]!PropsSI("H","T",K7+273.15,"P",101325,"Water")</f>
        <v>213859.46195673692</v>
      </c>
      <c r="V7">
        <f t="shared" si="2"/>
        <v>780.92277674088314</v>
      </c>
      <c r="W7" s="3"/>
      <c r="X7">
        <f t="shared" si="3"/>
        <v>0.26407295200000003</v>
      </c>
      <c r="Y7">
        <f t="shared" si="3"/>
        <v>0.25212410600000001</v>
      </c>
      <c r="Z7">
        <f t="shared" si="4"/>
        <v>0.36510421636060786</v>
      </c>
      <c r="AA7">
        <f t="shared" ref="AA7:AA70" si="8">J7-K7</f>
        <v>5.9744230000000016</v>
      </c>
      <c r="AB7">
        <f t="shared" si="5"/>
        <v>6.1923985193325537E-2</v>
      </c>
      <c r="AC7">
        <f t="shared" si="6"/>
        <v>48.357850464033113</v>
      </c>
    </row>
    <row r="8" spans="1:29" x14ac:dyDescent="0.2">
      <c r="A8">
        <v>46137.062849374997</v>
      </c>
      <c r="B8">
        <v>17.581797999999999</v>
      </c>
      <c r="C8">
        <v>18.052980999999999</v>
      </c>
      <c r="D8">
        <v>19.182185</v>
      </c>
      <c r="E8">
        <v>19.594460000000002</v>
      </c>
      <c r="F8">
        <v>29.910643</v>
      </c>
      <c r="G8">
        <v>30.963643000000001</v>
      </c>
      <c r="H8">
        <v>26.843101000000001</v>
      </c>
      <c r="I8">
        <v>24.180167000000001</v>
      </c>
      <c r="J8">
        <v>57.033450999999999</v>
      </c>
      <c r="K8">
        <v>51.052835000000002</v>
      </c>
      <c r="L8">
        <v>266.34569900000002</v>
      </c>
      <c r="M8">
        <v>-622.47306300000002</v>
      </c>
      <c r="N8">
        <v>1.907656</v>
      </c>
      <c r="O8">
        <v>3.9520759999999999</v>
      </c>
      <c r="P8">
        <f t="shared" si="0"/>
        <v>3.1794266666666668E-5</v>
      </c>
      <c r="Q8" cm="1">
        <f t="array" ref="Q8">[1]!PropsSI("D","T",J8+273.15,"P",101325,"Water")</f>
        <v>984.69575764873798</v>
      </c>
      <c r="R8" cm="1">
        <f t="array" ref="R8">[1]!PropsSI("D","T",K8+273.15,"P",101325,"Water")</f>
        <v>987.55523084948402</v>
      </c>
      <c r="S8">
        <f t="shared" si="1"/>
        <v>986.12549424911094</v>
      </c>
      <c r="T8" cm="1">
        <f t="array" ref="T8">[1]!PropsSI("H","T",J8+273.15,"P",101325,"Water")</f>
        <v>238835.68117046313</v>
      </c>
      <c r="U8" cm="1">
        <f t="array" ref="U8">[1]!PropsSI("H","T",K8+273.15,"P",101325,"Water")</f>
        <v>213820.91550144204</v>
      </c>
      <c r="V8">
        <f t="shared" si="2"/>
        <v>784.29137331656273</v>
      </c>
      <c r="W8" s="3"/>
      <c r="X8">
        <f t="shared" si="3"/>
        <v>0.26406690199999999</v>
      </c>
      <c r="Y8">
        <f t="shared" si="3"/>
        <v>0.25210567</v>
      </c>
      <c r="Z8">
        <f>SQRT((X8)^2 + (Y8)^2)</f>
        <v>0.3650871095752718</v>
      </c>
      <c r="AA8">
        <f t="shared" si="8"/>
        <v>5.9806159999999977</v>
      </c>
      <c r="AB8">
        <f t="shared" si="5"/>
        <v>6.1858712484579151E-2</v>
      </c>
      <c r="AC8">
        <f t="shared" si="6"/>
        <v>48.515254566124987</v>
      </c>
    </row>
    <row r="9" spans="1:29" x14ac:dyDescent="0.2">
      <c r="A9">
        <v>46137.062884675928</v>
      </c>
      <c r="B9">
        <v>17.472176999999999</v>
      </c>
      <c r="C9">
        <v>17.974575000000002</v>
      </c>
      <c r="D9">
        <v>19.16883</v>
      </c>
      <c r="E9">
        <v>19.647196000000001</v>
      </c>
      <c r="F9">
        <v>29.734269000000001</v>
      </c>
      <c r="G9">
        <v>31.691489000000001</v>
      </c>
      <c r="H9">
        <v>26.658242000000001</v>
      </c>
      <c r="I9">
        <v>24.34806</v>
      </c>
      <c r="J9">
        <v>57.032496000000002</v>
      </c>
      <c r="K9">
        <v>51.047590999999997</v>
      </c>
      <c r="L9">
        <v>285.72676999999999</v>
      </c>
      <c r="M9">
        <v>-622.47877700000004</v>
      </c>
      <c r="N9">
        <v>1.8962399999999999</v>
      </c>
      <c r="O9">
        <v>4.2962680000000004</v>
      </c>
      <c r="P9">
        <f t="shared" si="0"/>
        <v>3.1603999999999998E-5</v>
      </c>
      <c r="Q9" cm="1">
        <f t="array" ref="Q9">[1]!PropsSI("D","T",J9+273.15,"P",101325,"Water")</f>
        <v>984.69623198068552</v>
      </c>
      <c r="R9" cm="1">
        <f t="array" ref="R9">[1]!PropsSI("D","T",K9+273.15,"P",101325,"Water")</f>
        <v>987.55763860514344</v>
      </c>
      <c r="S9">
        <f t="shared" si="1"/>
        <v>986.12693529291448</v>
      </c>
      <c r="T9" cm="1">
        <f t="array" ref="T9">[1]!PropsSI("H","T",J9+273.15,"P",101325,"Water")</f>
        <v>238831.68571473641</v>
      </c>
      <c r="U9" cm="1">
        <f t="array" ref="U9">[1]!PropsSI("H","T",K9+273.15,"P",101325,"Water")</f>
        <v>213798.9869370317</v>
      </c>
      <c r="V9">
        <f t="shared" si="2"/>
        <v>780.15796715159956</v>
      </c>
      <c r="W9" s="3"/>
      <c r="X9">
        <f t="shared" si="3"/>
        <v>0.264064992</v>
      </c>
      <c r="Y9">
        <f t="shared" si="3"/>
        <v>0.25209518199999997</v>
      </c>
      <c r="Z9">
        <f t="shared" ref="Z9:Z72" si="9">SQRT((X9)^2 + (Y9)^2)</f>
        <v>0.36507848579116953</v>
      </c>
      <c r="AA9">
        <f t="shared" si="8"/>
        <v>5.9849050000000048</v>
      </c>
      <c r="AB9">
        <f t="shared" si="5"/>
        <v>6.1814119254563732E-2</v>
      </c>
      <c r="AC9">
        <f t="shared" si="6"/>
        <v>48.224777618906991</v>
      </c>
    </row>
    <row r="10" spans="1:29" x14ac:dyDescent="0.2">
      <c r="A10">
        <v>44675.062919400501</v>
      </c>
      <c r="B10">
        <v>17.678386</v>
      </c>
      <c r="C10">
        <v>18.150383999999999</v>
      </c>
      <c r="D10">
        <v>19.090755000000001</v>
      </c>
      <c r="E10">
        <v>19.616447999999998</v>
      </c>
      <c r="F10">
        <v>29.981560999999999</v>
      </c>
      <c r="G10">
        <v>31.902443000000002</v>
      </c>
      <c r="H10">
        <v>26.687256000000001</v>
      </c>
      <c r="I10">
        <v>23.837744000000001</v>
      </c>
      <c r="J10">
        <v>57.032336000000001</v>
      </c>
      <c r="K10">
        <v>51.043458999999999</v>
      </c>
      <c r="L10">
        <v>262.73608400000001</v>
      </c>
      <c r="M10">
        <v>-622.48693900000001</v>
      </c>
      <c r="N10">
        <v>1.904169</v>
      </c>
      <c r="O10">
        <v>4.490164</v>
      </c>
      <c r="P10">
        <f t="shared" si="0"/>
        <v>3.1736149999999999E-5</v>
      </c>
      <c r="Q10" cm="1">
        <f t="array" ref="Q10">[1]!PropsSI("D","T",J10+273.15,"P",101325,"Water")</f>
        <v>984.69631144937705</v>
      </c>
      <c r="R10" cm="1">
        <f t="array" ref="R10">[1]!PropsSI("D","T",K10+273.15,"P",101325,"Water")</f>
        <v>987.55953566615915</v>
      </c>
      <c r="S10">
        <f t="shared" si="1"/>
        <v>986.1279235577681</v>
      </c>
      <c r="T10" cm="1">
        <f t="array" ref="T10">[1]!PropsSI("H","T",J10+273.15,"P",101325,"Water")</f>
        <v>238831.0163190733</v>
      </c>
      <c r="U10" cm="1">
        <f t="array" ref="U10">[1]!PropsSI("H","T",K10+273.15,"P",101325,"Water")</f>
        <v>213781.70837161591</v>
      </c>
      <c r="V10">
        <f t="shared" si="2"/>
        <v>783.94072930577772</v>
      </c>
      <c r="X10">
        <f t="shared" si="3"/>
        <v>0.264064672</v>
      </c>
      <c r="Y10">
        <f t="shared" si="3"/>
        <v>0.25208691799999999</v>
      </c>
      <c r="Z10">
        <f t="shared" si="9"/>
        <v>0.36507254789316368</v>
      </c>
      <c r="AA10">
        <f t="shared" si="8"/>
        <v>5.9888770000000022</v>
      </c>
      <c r="AB10">
        <f t="shared" si="5"/>
        <v>6.177321718435827E-2</v>
      </c>
      <c r="AC10">
        <f t="shared" si="6"/>
        <v>48.426540931070022</v>
      </c>
    </row>
    <row r="11" spans="1:29" x14ac:dyDescent="0.2">
      <c r="A11">
        <v>44675.062954701403</v>
      </c>
      <c r="B11">
        <v>17.664261</v>
      </c>
      <c r="C11">
        <v>18.247419000000001</v>
      </c>
      <c r="D11">
        <v>19.141124999999999</v>
      </c>
      <c r="E11">
        <v>19.613416999999998</v>
      </c>
      <c r="F11">
        <v>29.929383000000001</v>
      </c>
      <c r="G11">
        <v>32.297127000000003</v>
      </c>
      <c r="H11">
        <v>27.094187999999999</v>
      </c>
      <c r="I11">
        <v>23.625036999999999</v>
      </c>
      <c r="J11">
        <v>57.029629999999997</v>
      </c>
      <c r="K11">
        <v>51.042028000000002</v>
      </c>
      <c r="L11">
        <v>274.34325799999999</v>
      </c>
      <c r="M11">
        <v>-622.49755100000004</v>
      </c>
      <c r="N11">
        <v>1.907259</v>
      </c>
      <c r="O11">
        <v>4.8563150000000004</v>
      </c>
      <c r="P11">
        <f t="shared" si="0"/>
        <v>3.1787650000000004E-5</v>
      </c>
      <c r="Q11" cm="1">
        <f t="array" ref="Q11">[1]!PropsSI("D","T",J11+273.15,"P",101325,"Water")</f>
        <v>984.69765543993617</v>
      </c>
      <c r="R11" cm="1">
        <f t="array" ref="R11">[1]!PropsSI("D","T",K11+273.15,"P",101325,"Water")</f>
        <v>987.56019263319411</v>
      </c>
      <c r="S11">
        <f t="shared" si="1"/>
        <v>986.12892403656519</v>
      </c>
      <c r="T11" cm="1">
        <f t="array" ref="T11">[1]!PropsSI("H","T",J11+273.15,"P",101325,"Water")</f>
        <v>238819.69516613905</v>
      </c>
      <c r="U11" cm="1">
        <f t="array" ref="U11">[1]!PropsSI("H","T",K11+273.15,"P",101325,"Water")</f>
        <v>213775.72443589737</v>
      </c>
      <c r="V11">
        <f t="shared" si="2"/>
        <v>785.04636552087732</v>
      </c>
      <c r="X11">
        <f t="shared" si="3"/>
        <v>0.26405926000000002</v>
      </c>
      <c r="Y11">
        <f t="shared" si="3"/>
        <v>0.252084056</v>
      </c>
      <c r="Z11">
        <f t="shared" si="9"/>
        <v>0.36506665703835345</v>
      </c>
      <c r="AA11">
        <f t="shared" si="8"/>
        <v>5.9876019999999954</v>
      </c>
      <c r="AB11">
        <f t="shared" si="5"/>
        <v>6.1785055626300753E-2</v>
      </c>
      <c r="AC11">
        <f t="shared" si="6"/>
        <v>48.504133362932642</v>
      </c>
    </row>
    <row r="12" spans="1:29" x14ac:dyDescent="0.2">
      <c r="A12">
        <v>44675.062990002298</v>
      </c>
      <c r="B12">
        <v>18.145386999999999</v>
      </c>
      <c r="C12">
        <v>18.425982000000001</v>
      </c>
      <c r="D12">
        <v>19.259962000000002</v>
      </c>
      <c r="E12">
        <v>19.617661999999999</v>
      </c>
      <c r="F12">
        <v>29.537110999999999</v>
      </c>
      <c r="G12">
        <v>30.159880000000001</v>
      </c>
      <c r="H12">
        <v>26.530256000000001</v>
      </c>
      <c r="I12">
        <v>23.19538</v>
      </c>
      <c r="J12">
        <v>57.029789000000001</v>
      </c>
      <c r="K12">
        <v>51.044888999999998</v>
      </c>
      <c r="L12">
        <v>269.71655099999998</v>
      </c>
      <c r="M12">
        <v>-622.47673599999996</v>
      </c>
      <c r="N12">
        <v>1.902936</v>
      </c>
      <c r="O12">
        <v>4.1983410000000001</v>
      </c>
      <c r="P12">
        <f t="shared" si="0"/>
        <v>3.1715599999999998E-5</v>
      </c>
      <c r="Q12" cm="1">
        <f t="array" ref="Q12">[1]!PropsSI("D","T",J12+273.15,"P",101325,"Water")</f>
        <v>984.69757647053882</v>
      </c>
      <c r="R12" cm="1">
        <f t="array" ref="R12">[1]!PropsSI("D","T",K12+273.15,"P",101325,"Water")</f>
        <v>987.55887914499215</v>
      </c>
      <c r="S12">
        <f t="shared" si="1"/>
        <v>986.12822780776548</v>
      </c>
      <c r="T12" cm="1">
        <f t="array" ref="T12">[1]!PropsSI("H","T",J12+273.15,"P",101325,"Water")</f>
        <v>238820.3603779354</v>
      </c>
      <c r="U12" cm="1">
        <f t="array" ref="U12">[1]!PropsSI("H","T",K12+273.15,"P",101325,"Water")</f>
        <v>213787.68812622689</v>
      </c>
      <c r="V12">
        <f t="shared" si="2"/>
        <v>782.91305640408518</v>
      </c>
      <c r="X12">
        <f t="shared" si="3"/>
        <v>0.26405957800000002</v>
      </c>
      <c r="Y12">
        <f t="shared" si="3"/>
        <v>0.25208977799999999</v>
      </c>
      <c r="Z12">
        <f t="shared" si="9"/>
        <v>0.36507083820215958</v>
      </c>
      <c r="AA12">
        <f t="shared" si="8"/>
        <v>5.9849000000000032</v>
      </c>
      <c r="AB12">
        <f t="shared" si="5"/>
        <v>6.1812908562943032E-2</v>
      </c>
      <c r="AC12">
        <f t="shared" si="6"/>
        <v>48.394133168239975</v>
      </c>
    </row>
    <row r="13" spans="1:29" x14ac:dyDescent="0.2">
      <c r="A13">
        <v>44675.063025303301</v>
      </c>
      <c r="B13">
        <v>17.878011000000001</v>
      </c>
      <c r="C13">
        <v>18.202686</v>
      </c>
      <c r="D13">
        <v>19.383599</v>
      </c>
      <c r="E13">
        <v>19.658912000000001</v>
      </c>
      <c r="F13">
        <v>29.848053</v>
      </c>
      <c r="G13">
        <v>31.015506999999999</v>
      </c>
      <c r="H13">
        <v>26.761105000000001</v>
      </c>
      <c r="I13">
        <v>23.855722</v>
      </c>
      <c r="J13">
        <v>57.027242000000001</v>
      </c>
      <c r="K13">
        <v>51.047432000000001</v>
      </c>
      <c r="L13">
        <v>261.48635100000001</v>
      </c>
      <c r="M13">
        <v>-622.47347100000002</v>
      </c>
      <c r="N13">
        <v>1.902641</v>
      </c>
      <c r="O13">
        <v>4.5624589999999996</v>
      </c>
      <c r="P13">
        <f t="shared" si="0"/>
        <v>3.1710683333333331E-5</v>
      </c>
      <c r="Q13" cm="1">
        <f t="array" ref="Q13">[1]!PropsSI("D","T",J13+273.15,"P",101325,"Water")</f>
        <v>984.69884145226581</v>
      </c>
      <c r="R13" cm="1">
        <f t="array" ref="R13">[1]!PropsSI("D","T",K13+273.15,"P",101325,"Water")</f>
        <v>987.55771160638221</v>
      </c>
      <c r="S13">
        <f t="shared" si="1"/>
        <v>986.12827652932401</v>
      </c>
      <c r="T13" cm="1">
        <f t="array" ref="T13">[1]!PropsSI("H","T",J13+273.15,"P",101325,"Water")</f>
        <v>238809.7044393234</v>
      </c>
      <c r="U13" cm="1">
        <f t="array" ref="U13">[1]!PropsSI("H","T",K13+273.15,"P",101325,"Water")</f>
        <v>213798.32205510902</v>
      </c>
      <c r="V13">
        <f t="shared" si="2"/>
        <v>782.12597385407832</v>
      </c>
      <c r="X13">
        <f t="shared" si="3"/>
        <v>0.26405448399999998</v>
      </c>
      <c r="Y13">
        <f t="shared" si="3"/>
        <v>0.25209486400000003</v>
      </c>
      <c r="Z13">
        <f t="shared" si="9"/>
        <v>0.36507066572882124</v>
      </c>
      <c r="AA13">
        <f t="shared" si="8"/>
        <v>5.9798100000000005</v>
      </c>
      <c r="AB13">
        <f t="shared" si="5"/>
        <v>6.186411861535842E-2</v>
      </c>
      <c r="AC13">
        <f t="shared" si="6"/>
        <v>48.385534018661417</v>
      </c>
    </row>
    <row r="14" spans="1:29" x14ac:dyDescent="0.2">
      <c r="A14">
        <v>44675.063060025503</v>
      </c>
      <c r="B14">
        <v>17.549078000000002</v>
      </c>
      <c r="C14">
        <v>17.958829999999999</v>
      </c>
      <c r="D14">
        <v>19.269477999999999</v>
      </c>
      <c r="E14">
        <v>19.660384000000001</v>
      </c>
      <c r="F14">
        <v>29.524245000000001</v>
      </c>
      <c r="G14">
        <v>30.818698999999999</v>
      </c>
      <c r="H14">
        <v>26.755863000000002</v>
      </c>
      <c r="I14">
        <v>23.832944000000001</v>
      </c>
      <c r="J14">
        <v>57.026127000000002</v>
      </c>
      <c r="K14">
        <v>51.049339000000003</v>
      </c>
      <c r="L14">
        <v>270.07449200000002</v>
      </c>
      <c r="M14">
        <v>-622.493878</v>
      </c>
      <c r="N14">
        <v>1.9016900000000001</v>
      </c>
      <c r="O14">
        <v>4.1451719999999996</v>
      </c>
      <c r="P14">
        <f t="shared" si="0"/>
        <v>3.1694833333333334E-5</v>
      </c>
      <c r="Q14" cm="1">
        <f t="array" ref="Q14">[1]!PropsSI("D","T",J14+273.15,"P",101325,"Water")</f>
        <v>984.69939521079687</v>
      </c>
      <c r="R14" cm="1">
        <f t="array" ref="R14">[1]!PropsSI("D","T",K14+273.15,"P",101325,"Water")</f>
        <v>987.55683603972216</v>
      </c>
      <c r="S14">
        <f t="shared" si="1"/>
        <v>986.12811562525951</v>
      </c>
      <c r="T14" cm="1">
        <f t="array" ref="T14">[1]!PropsSI("H","T",J14+273.15,"P",101325,"Water")</f>
        <v>238805.03959068292</v>
      </c>
      <c r="U14" cm="1">
        <f t="array" ref="U14">[1]!PropsSI("H","T",K14+273.15,"P",101325,"Water")</f>
        <v>213806.29645760328</v>
      </c>
      <c r="V14">
        <f t="shared" si="2"/>
        <v>781.33987316684147</v>
      </c>
      <c r="X14">
        <f t="shared" si="3"/>
        <v>0.26405225399999999</v>
      </c>
      <c r="Y14">
        <f t="shared" si="3"/>
        <v>0.25209867800000002</v>
      </c>
      <c r="Z14">
        <f t="shared" si="9"/>
        <v>0.36507168651078409</v>
      </c>
      <c r="AA14">
        <f t="shared" si="8"/>
        <v>5.9767879999999991</v>
      </c>
      <c r="AB14">
        <f t="shared" si="5"/>
        <v>6.1894749957832472E-2</v>
      </c>
      <c r="AC14">
        <f t="shared" si="6"/>
        <v>48.360836081746193</v>
      </c>
    </row>
    <row r="15" spans="1:29" x14ac:dyDescent="0.2">
      <c r="A15">
        <v>46137.063095324076</v>
      </c>
      <c r="B15">
        <v>17.710273000000001</v>
      </c>
      <c r="C15">
        <v>18.168081000000001</v>
      </c>
      <c r="D15">
        <v>19.275193999999999</v>
      </c>
      <c r="E15">
        <v>19.672125000000001</v>
      </c>
      <c r="F15">
        <v>29.795076999999999</v>
      </c>
      <c r="G15">
        <v>31.751232999999999</v>
      </c>
      <c r="H15">
        <v>26.680088000000001</v>
      </c>
      <c r="I15">
        <v>24.185307000000002</v>
      </c>
      <c r="J15">
        <v>57.023738999999999</v>
      </c>
      <c r="K15">
        <v>51.047272999999997</v>
      </c>
      <c r="L15">
        <v>282.348163</v>
      </c>
      <c r="M15">
        <v>-622.48979599999996</v>
      </c>
      <c r="N15">
        <v>1.897187</v>
      </c>
      <c r="O15">
        <v>4.3251270000000002</v>
      </c>
      <c r="P15">
        <f t="shared" si="0"/>
        <v>3.1619783333333335E-5</v>
      </c>
      <c r="Q15" cm="1">
        <f t="array" ref="Q15">[1]!PropsSI("D","T",J15+273.15,"P",101325,"Water")</f>
        <v>984.70058117226745</v>
      </c>
      <c r="R15" cm="1">
        <f t="array" ref="R15">[1]!PropsSI("D","T",K15+273.15,"P",101325,"Water")</f>
        <v>987.55778460745739</v>
      </c>
      <c r="S15">
        <f t="shared" si="1"/>
        <v>986.12918288986248</v>
      </c>
      <c r="T15" cm="1">
        <f t="array" ref="T15">[1]!PropsSI("H","T",J15+273.15,"P",101325,"Water")</f>
        <v>238795.04886717434</v>
      </c>
      <c r="U15" cm="1">
        <f t="array" ref="U15">[1]!PropsSI("H","T",K15+273.15,"P",101325,"Water")</f>
        <v>213797.65717316652</v>
      </c>
      <c r="V15">
        <f t="shared" si="2"/>
        <v>779.44844745376861</v>
      </c>
      <c r="X15">
        <f t="shared" si="3"/>
        <v>0.264047478</v>
      </c>
      <c r="Y15">
        <f t="shared" si="3"/>
        <v>0.25209454599999997</v>
      </c>
      <c r="Z15">
        <f t="shared" si="9"/>
        <v>0.36506537874893941</v>
      </c>
      <c r="AA15">
        <f t="shared" si="8"/>
        <v>5.9764660000000021</v>
      </c>
      <c r="AB15">
        <f t="shared" si="5"/>
        <v>6.1896956108833494E-2</v>
      </c>
      <c r="AC15">
        <f t="shared" si="6"/>
        <v>48.245486341144328</v>
      </c>
    </row>
    <row r="16" spans="1:29" x14ac:dyDescent="0.2">
      <c r="A16">
        <v>46137.063130046299</v>
      </c>
      <c r="B16">
        <v>17.405162000000001</v>
      </c>
      <c r="C16">
        <v>17.482849000000002</v>
      </c>
      <c r="D16">
        <v>19.219521</v>
      </c>
      <c r="E16">
        <v>19.563283999999999</v>
      </c>
      <c r="F16">
        <v>29.651281999999998</v>
      </c>
      <c r="G16">
        <v>31.207364999999999</v>
      </c>
      <c r="H16">
        <v>26.772165999999999</v>
      </c>
      <c r="I16">
        <v>23.221758999999999</v>
      </c>
      <c r="J16">
        <v>57.024535</v>
      </c>
      <c r="K16">
        <v>51.049816</v>
      </c>
      <c r="L16">
        <v>280.06093099999998</v>
      </c>
      <c r="M16">
        <v>-622.51795800000002</v>
      </c>
      <c r="N16">
        <v>1.91109</v>
      </c>
      <c r="O16">
        <v>3.8454830000000002</v>
      </c>
      <c r="P16">
        <f t="shared" si="0"/>
        <v>3.1851499999999998E-5</v>
      </c>
      <c r="Q16" cm="1">
        <f t="array" ref="Q16">[1]!PropsSI("D","T",J16+273.15,"P",101325,"Water")</f>
        <v>984.70018585563616</v>
      </c>
      <c r="R16" cm="1">
        <f t="array" ref="R16">[1]!PropsSI("D","T",K16+273.15,"P",101325,"Water")</f>
        <v>987.55661702959094</v>
      </c>
      <c r="S16">
        <f t="shared" si="1"/>
        <v>986.12840144261349</v>
      </c>
      <c r="T16" cm="1">
        <f t="array" ref="T16">[1]!PropsSI("H","T",J16+273.15,"P",101325,"Water")</f>
        <v>238798.37910808926</v>
      </c>
      <c r="U16" cm="1">
        <f t="array" ref="U16">[1]!PropsSI("H","T",K16+273.15,"P",101325,"Water")</f>
        <v>213808.29110383545</v>
      </c>
      <c r="V16">
        <f t="shared" si="2"/>
        <v>784.93038696041265</v>
      </c>
      <c r="X16">
        <f t="shared" si="3"/>
        <v>0.26404907</v>
      </c>
      <c r="Y16">
        <f t="shared" si="3"/>
        <v>0.25209963199999996</v>
      </c>
      <c r="Z16">
        <f t="shared" si="9"/>
        <v>0.36507004235132784</v>
      </c>
      <c r="AA16">
        <f t="shared" si="8"/>
        <v>5.9747190000000003</v>
      </c>
      <c r="AB16">
        <f t="shared" si="5"/>
        <v>6.1915352676800359E-2</v>
      </c>
      <c r="AC16">
        <f t="shared" si="6"/>
        <v>48.599241735391324</v>
      </c>
    </row>
    <row r="17" spans="1:29" x14ac:dyDescent="0.2">
      <c r="A17">
        <v>46137.063165347223</v>
      </c>
      <c r="B17">
        <v>17.454041</v>
      </c>
      <c r="C17">
        <v>17.611706000000002</v>
      </c>
      <c r="D17">
        <v>19.198812</v>
      </c>
      <c r="E17">
        <v>19.499828000000001</v>
      </c>
      <c r="F17">
        <v>29.659396000000001</v>
      </c>
      <c r="G17">
        <v>31.528320000000001</v>
      </c>
      <c r="H17">
        <v>26.717122</v>
      </c>
      <c r="I17">
        <v>24.633431999999999</v>
      </c>
      <c r="J17">
        <v>57.024217</v>
      </c>
      <c r="K17">
        <v>51.045366000000001</v>
      </c>
      <c r="L17">
        <v>270.54263200000003</v>
      </c>
      <c r="M17">
        <v>-622.50163299999997</v>
      </c>
      <c r="N17">
        <v>1.9026080000000001</v>
      </c>
      <c r="O17">
        <v>4.080768</v>
      </c>
      <c r="P17">
        <f t="shared" si="0"/>
        <v>3.1710133333333333E-5</v>
      </c>
      <c r="Q17" cm="1">
        <f t="array" ref="Q17">[1]!PropsSI("D","T",J17+273.15,"P",101325,"Water")</f>
        <v>984.7003437840857</v>
      </c>
      <c r="R17" cm="1">
        <f t="array" ref="R17">[1]!PropsSI("D","T",K17+273.15,"P",101325,"Water")</f>
        <v>987.55866014861374</v>
      </c>
      <c r="S17">
        <f t="shared" si="1"/>
        <v>986.12950196634972</v>
      </c>
      <c r="T17" cm="1">
        <f t="array" ref="T17">[1]!PropsSI("H","T",J17+273.15,"P",101325,"Water")</f>
        <v>238797.0486851832</v>
      </c>
      <c r="U17" cm="1">
        <f t="array" ref="U17">[1]!PropsSI("H","T",K17+273.15,"P",101325,"Water")</f>
        <v>213789.68277176155</v>
      </c>
      <c r="V17">
        <f t="shared" si="2"/>
        <v>781.98778408983651</v>
      </c>
      <c r="X17">
        <f t="shared" si="3"/>
        <v>0.264048434</v>
      </c>
      <c r="Y17">
        <f t="shared" si="3"/>
        <v>0.25209073199999998</v>
      </c>
      <c r="Z17">
        <f t="shared" si="9"/>
        <v>0.36506343648487749</v>
      </c>
      <c r="AA17">
        <f t="shared" si="8"/>
        <v>5.9788509999999988</v>
      </c>
      <c r="AB17">
        <f t="shared" si="5"/>
        <v>6.1872589045331126E-2</v>
      </c>
      <c r="AC17">
        <f t="shared" si="6"/>
        <v>48.38360880345958</v>
      </c>
    </row>
    <row r="18" spans="1:29" x14ac:dyDescent="0.2">
      <c r="A18">
        <v>46137.063200069446</v>
      </c>
      <c r="B18">
        <v>17.696245000000001</v>
      </c>
      <c r="C18">
        <v>17.907098999999999</v>
      </c>
      <c r="D18">
        <v>19.242857000000001</v>
      </c>
      <c r="E18">
        <v>19.571383999999998</v>
      </c>
      <c r="F18">
        <v>29.500392999999999</v>
      </c>
      <c r="G18">
        <v>30.519227999999998</v>
      </c>
      <c r="H18">
        <v>26.501992999999999</v>
      </c>
      <c r="I18">
        <v>23.788948999999999</v>
      </c>
      <c r="J18">
        <v>57.023420999999999</v>
      </c>
      <c r="K18">
        <v>51.035829999999997</v>
      </c>
      <c r="L18">
        <v>274.728545</v>
      </c>
      <c r="M18">
        <v>-622.48816399999998</v>
      </c>
      <c r="N18">
        <v>1.9010020000000001</v>
      </c>
      <c r="O18">
        <v>4.3424230000000001</v>
      </c>
      <c r="P18">
        <f t="shared" si="0"/>
        <v>3.1683366666666669E-5</v>
      </c>
      <c r="Q18" cm="1">
        <f t="array" ref="Q18">[1]!PropsSI("D","T",J18+273.15,"P",101325,"Water")</f>
        <v>984.70073909919154</v>
      </c>
      <c r="R18" cm="1">
        <f t="array" ref="R18">[1]!PropsSI("D","T",K18+273.15,"P",101325,"Water")</f>
        <v>987.56303795977306</v>
      </c>
      <c r="S18">
        <f t="shared" si="1"/>
        <v>986.13188852948224</v>
      </c>
      <c r="T18" cm="1">
        <f t="array" ref="T18">[1]!PropsSI("H","T",J18+273.15,"P",101325,"Water")</f>
        <v>238793.71844432314</v>
      </c>
      <c r="U18" cm="1">
        <f t="array" ref="U18">[1]!PropsSI("H","T",K18+273.15,"P",101325,"Water")</f>
        <v>213749.80659985277</v>
      </c>
      <c r="V18">
        <f t="shared" si="2"/>
        <v>782.47143586091727</v>
      </c>
      <c r="X18">
        <f t="shared" si="3"/>
        <v>0.264046842</v>
      </c>
      <c r="Y18">
        <f t="shared" si="3"/>
        <v>0.25207165999999998</v>
      </c>
      <c r="Z18">
        <f t="shared" si="9"/>
        <v>0.36504911525071326</v>
      </c>
      <c r="AA18">
        <f t="shared" si="8"/>
        <v>5.9875910000000019</v>
      </c>
      <c r="AB18">
        <f t="shared" si="5"/>
        <v>6.1782275099119884E-2</v>
      </c>
      <c r="AC18">
        <f t="shared" si="6"/>
        <v>48.342865507562529</v>
      </c>
    </row>
    <row r="19" spans="1:29" x14ac:dyDescent="0.2">
      <c r="A19">
        <v>46137.06323537037</v>
      </c>
      <c r="B19">
        <v>17.242705999999998</v>
      </c>
      <c r="C19">
        <v>17.378247000000002</v>
      </c>
      <c r="D19">
        <v>19.144583000000001</v>
      </c>
      <c r="E19">
        <v>19.599266</v>
      </c>
      <c r="F19">
        <v>29.327707</v>
      </c>
      <c r="G19">
        <v>31.077511999999999</v>
      </c>
      <c r="H19">
        <v>26.658169999999998</v>
      </c>
      <c r="I19">
        <v>24.049548999999999</v>
      </c>
      <c r="J19">
        <v>57.024375999999997</v>
      </c>
      <c r="K19">
        <v>51.035193999999997</v>
      </c>
      <c r="L19">
        <v>265.002501</v>
      </c>
      <c r="M19">
        <v>-622.47918500000003</v>
      </c>
      <c r="N19">
        <v>1.9068000000000001</v>
      </c>
      <c r="O19">
        <v>4.2909050000000004</v>
      </c>
      <c r="P19">
        <f t="shared" si="0"/>
        <v>3.1780000000000004E-5</v>
      </c>
      <c r="Q19" cm="1">
        <f t="array" ref="Q19">[1]!PropsSI("D","T",J19+273.15,"P",101325,"Water")</f>
        <v>984.70026481994068</v>
      </c>
      <c r="R19" cm="1">
        <f t="array" ref="R19">[1]!PropsSI("D","T",K19+273.15,"P",101325,"Water")</f>
        <v>987.56332991530644</v>
      </c>
      <c r="S19">
        <f t="shared" si="1"/>
        <v>986.13179736762356</v>
      </c>
      <c r="T19" cm="1">
        <f t="array" ref="T19">[1]!PropsSI("H","T",J19+273.15,"P",101325,"Water")</f>
        <v>238797.71389661645</v>
      </c>
      <c r="U19" cm="1">
        <f t="array" ref="U19">[1]!PropsSI("H","T",K19+273.15,"P",101325,"Water")</f>
        <v>213747.14707424262</v>
      </c>
      <c r="V19">
        <f t="shared" si="2"/>
        <v>785.06644023317097</v>
      </c>
      <c r="X19">
        <f t="shared" si="3"/>
        <v>0.264048752</v>
      </c>
      <c r="Y19">
        <f t="shared" si="3"/>
        <v>0.25207038799999998</v>
      </c>
      <c r="Z19">
        <f t="shared" si="9"/>
        <v>0.36504961846196748</v>
      </c>
      <c r="AA19">
        <f t="shared" si="8"/>
        <v>5.9891819999999996</v>
      </c>
      <c r="AB19">
        <f t="shared" si="5"/>
        <v>6.1766375845792976E-2</v>
      </c>
      <c r="AC19">
        <f t="shared" si="6"/>
        <v>48.490708811360804</v>
      </c>
    </row>
    <row r="20" spans="1:29" x14ac:dyDescent="0.2">
      <c r="A20">
        <v>46137.063270671293</v>
      </c>
      <c r="B20">
        <v>17.373345</v>
      </c>
      <c r="C20">
        <v>17.515726000000001</v>
      </c>
      <c r="D20">
        <v>19.254618000000001</v>
      </c>
      <c r="E20">
        <v>19.525496</v>
      </c>
      <c r="F20">
        <v>29.512553</v>
      </c>
      <c r="G20">
        <v>30.436986999999998</v>
      </c>
      <c r="H20">
        <v>26.568404000000001</v>
      </c>
      <c r="I20">
        <v>23.940501999999999</v>
      </c>
      <c r="J20">
        <v>57.023738999999999</v>
      </c>
      <c r="K20">
        <v>51.029949999999999</v>
      </c>
      <c r="L20">
        <v>281.94287700000001</v>
      </c>
      <c r="M20">
        <v>-622.48367399999995</v>
      </c>
      <c r="N20">
        <v>1.903149</v>
      </c>
      <c r="O20">
        <v>4.4654090000000002</v>
      </c>
      <c r="P20">
        <f t="shared" si="0"/>
        <v>3.1719150000000003E-5</v>
      </c>
      <c r="Q20" cm="1">
        <f t="array" ref="Q20">[1]!PropsSI("D","T",J20+273.15,"P",101325,"Water")</f>
        <v>984.70058117226745</v>
      </c>
      <c r="R20" cm="1">
        <f t="array" ref="R20">[1]!PropsSI("D","T",K20+273.15,"P",101325,"Water")</f>
        <v>987.56573707134532</v>
      </c>
      <c r="S20">
        <f t="shared" si="1"/>
        <v>986.13315912180633</v>
      </c>
      <c r="T20" cm="1">
        <f t="array" ref="T20">[1]!PropsSI("H","T",J20+273.15,"P",101325,"Water")</f>
        <v>238795.04886717434</v>
      </c>
      <c r="U20" cm="1">
        <f t="array" ref="U20">[1]!PropsSI("H","T",K20+273.15,"P",101325,"Water")</f>
        <v>213725.21853761878</v>
      </c>
      <c r="V20">
        <f t="shared" si="2"/>
        <v>784.16688407187007</v>
      </c>
      <c r="X20">
        <f t="shared" si="3"/>
        <v>0.264047478</v>
      </c>
      <c r="Y20">
        <f t="shared" si="3"/>
        <v>0.2520599</v>
      </c>
      <c r="Z20">
        <f t="shared" si="9"/>
        <v>0.36504145494199763</v>
      </c>
      <c r="AA20">
        <f t="shared" si="8"/>
        <v>5.9937889999999996</v>
      </c>
      <c r="AB20">
        <f t="shared" si="5"/>
        <v>6.171880129753677E-2</v>
      </c>
      <c r="AC20">
        <f t="shared" si="6"/>
        <v>48.3978401021403</v>
      </c>
    </row>
    <row r="21" spans="1:29" x14ac:dyDescent="0.2">
      <c r="A21">
        <v>46137.063305393516</v>
      </c>
      <c r="B21">
        <v>17.692261999999999</v>
      </c>
      <c r="C21">
        <v>18.02844</v>
      </c>
      <c r="D21">
        <v>19.300273000000001</v>
      </c>
      <c r="E21">
        <v>19.614146999999999</v>
      </c>
      <c r="F21">
        <v>29.823450000000001</v>
      </c>
      <c r="G21">
        <v>30.756882999999998</v>
      </c>
      <c r="H21">
        <v>26.760368</v>
      </c>
      <c r="I21">
        <v>24.244378000000001</v>
      </c>
      <c r="J21">
        <v>57.021509999999999</v>
      </c>
      <c r="K21">
        <v>51.027566</v>
      </c>
      <c r="L21">
        <v>270.136122</v>
      </c>
      <c r="M21">
        <v>-622.47796000000005</v>
      </c>
      <c r="N21">
        <v>1.9060459999999999</v>
      </c>
      <c r="O21">
        <v>4.6741989999999998</v>
      </c>
      <c r="P21">
        <f t="shared" si="0"/>
        <v>3.176743333333333E-5</v>
      </c>
      <c r="Q21" cm="1">
        <f t="array" ref="Q21">[1]!PropsSI("D","T",J21+273.15,"P",101325,"Water")</f>
        <v>984.70168813767452</v>
      </c>
      <c r="R21" cm="1">
        <f t="array" ref="R21">[1]!PropsSI("D","T",K21+273.15,"P",101325,"Water")</f>
        <v>987.56683134116849</v>
      </c>
      <c r="S21">
        <f t="shared" si="1"/>
        <v>986.13425973942151</v>
      </c>
      <c r="T21" cm="1">
        <f t="array" ref="T21">[1]!PropsSI("H","T",J21+273.15,"P",101325,"Water")</f>
        <v>238785.72335712466</v>
      </c>
      <c r="U21" cm="1">
        <f t="array" ref="U21">[1]!PropsSI("H","T",K21+273.15,"P",101325,"Water")</f>
        <v>213715.24950307998</v>
      </c>
      <c r="V21">
        <f t="shared" si="2"/>
        <v>785.38159005850957</v>
      </c>
      <c r="X21">
        <f t="shared" si="3"/>
        <v>0.26404302000000002</v>
      </c>
      <c r="Y21">
        <f t="shared" si="3"/>
        <v>0.25205513200000002</v>
      </c>
      <c r="Z21">
        <f t="shared" si="9"/>
        <v>0.36503493802409903</v>
      </c>
      <c r="AA21">
        <f t="shared" si="8"/>
        <v>5.9939439999999991</v>
      </c>
      <c r="AB21">
        <f t="shared" si="5"/>
        <v>6.1716174300430408E-2</v>
      </c>
      <c r="AC21">
        <f t="shared" si="6"/>
        <v>48.470747104400161</v>
      </c>
    </row>
    <row r="22" spans="1:29" x14ac:dyDescent="0.2">
      <c r="A22">
        <v>46137.063340115739</v>
      </c>
      <c r="B22">
        <v>17.605074999999999</v>
      </c>
      <c r="C22">
        <v>18.088001999999999</v>
      </c>
      <c r="D22">
        <v>19.267562999999999</v>
      </c>
      <c r="E22">
        <v>19.627272999999999</v>
      </c>
      <c r="F22">
        <v>30.047657000000001</v>
      </c>
      <c r="G22">
        <v>31.040583000000002</v>
      </c>
      <c r="H22">
        <v>26.686979000000001</v>
      </c>
      <c r="I22">
        <v>24.335138000000001</v>
      </c>
      <c r="J22">
        <v>57.021351000000003</v>
      </c>
      <c r="K22">
        <v>51.031061999999999</v>
      </c>
      <c r="L22">
        <v>269.80879099999999</v>
      </c>
      <c r="M22">
        <v>-622.52285600000005</v>
      </c>
      <c r="N22">
        <v>1.9030009999999999</v>
      </c>
      <c r="O22">
        <v>4.069941</v>
      </c>
      <c r="P22">
        <f t="shared" si="0"/>
        <v>3.1716683333333337E-5</v>
      </c>
      <c r="Q22" cm="1">
        <f t="array" ref="Q22">[1]!PropsSI("D","T",J22+273.15,"P",101325,"Water")</f>
        <v>984.70176709905729</v>
      </c>
      <c r="R22" cm="1">
        <f t="array" ref="R22">[1]!PropsSI("D","T",K22+273.15,"P",101325,"Water")</f>
        <v>987.56522664432316</v>
      </c>
      <c r="S22">
        <f t="shared" si="1"/>
        <v>986.13349687169023</v>
      </c>
      <c r="T22" cm="1">
        <f t="array" ref="T22">[1]!PropsSI("H","T",J22+273.15,"P",101325,"Water")</f>
        <v>238785.05814584973</v>
      </c>
      <c r="U22" cm="1">
        <f t="array" ref="U22">[1]!PropsSI("H","T",K22+273.15,"P",101325,"Water")</f>
        <v>213729.86852409333</v>
      </c>
      <c r="V22">
        <f t="shared" si="2"/>
        <v>783.64825550590797</v>
      </c>
      <c r="X22">
        <f t="shared" si="3"/>
        <v>0.26404270200000002</v>
      </c>
      <c r="Y22">
        <f t="shared" si="3"/>
        <v>0.252062124</v>
      </c>
      <c r="Z22">
        <f t="shared" si="9"/>
        <v>0.36503953598870931</v>
      </c>
      <c r="AA22">
        <f t="shared" si="8"/>
        <v>5.9902890000000042</v>
      </c>
      <c r="AB22">
        <f t="shared" si="5"/>
        <v>6.1753599770387073E-2</v>
      </c>
      <c r="AC22">
        <f t="shared" si="6"/>
        <v>48.393100731273869</v>
      </c>
    </row>
    <row r="23" spans="1:29" x14ac:dyDescent="0.2">
      <c r="A23">
        <v>46137.06337541667</v>
      </c>
      <c r="B23">
        <v>17.491686999999999</v>
      </c>
      <c r="C23">
        <v>17.790538999999999</v>
      </c>
      <c r="D23">
        <v>19.366402999999998</v>
      </c>
      <c r="E23">
        <v>19.688939999999999</v>
      </c>
      <c r="F23">
        <v>29.558803999999999</v>
      </c>
      <c r="G23">
        <v>30.538664000000001</v>
      </c>
      <c r="H23">
        <v>27.381565999999999</v>
      </c>
      <c r="I23">
        <v>24.006314</v>
      </c>
      <c r="J23">
        <v>57.015777999999997</v>
      </c>
      <c r="K23">
        <v>51.031857000000002</v>
      </c>
      <c r="L23">
        <v>289.81758500000001</v>
      </c>
      <c r="M23">
        <v>-622.49061300000005</v>
      </c>
      <c r="N23">
        <v>1.9071359999999999</v>
      </c>
      <c r="O23">
        <v>4.4359140000000004</v>
      </c>
      <c r="P23">
        <f t="shared" si="0"/>
        <v>3.1785600000000003E-5</v>
      </c>
      <c r="Q23" cm="1">
        <f t="array" ref="Q23">[1]!PropsSI("D","T",J23+273.15,"P",101325,"Water")</f>
        <v>984.70453462329453</v>
      </c>
      <c r="R23" cm="1">
        <f t="array" ref="R23">[1]!PropsSI("D","T",K23+273.15,"P",101325,"Water")</f>
        <v>987.56486172077427</v>
      </c>
      <c r="S23">
        <f t="shared" si="1"/>
        <v>986.1346981720344</v>
      </c>
      <c r="T23" cm="1">
        <f t="array" ref="T23">[1]!PropsSI("H","T",J23+273.15,"P",101325,"Water")</f>
        <v>238761.74228782926</v>
      </c>
      <c r="U23" cm="1">
        <f t="array" ref="U23">[1]!PropsSI("H","T",K23+273.15,"P",101325,"Water")</f>
        <v>213733.19293010692</v>
      </c>
      <c r="V23">
        <f t="shared" si="2"/>
        <v>784.51695283473362</v>
      </c>
      <c r="X23">
        <f t="shared" si="3"/>
        <v>0.264031556</v>
      </c>
      <c r="Y23">
        <f t="shared" si="3"/>
        <v>0.25206371399999999</v>
      </c>
      <c r="Z23">
        <f t="shared" si="9"/>
        <v>0.36503257180593479</v>
      </c>
      <c r="AA23">
        <f t="shared" si="8"/>
        <v>5.9839209999999952</v>
      </c>
      <c r="AB23">
        <f t="shared" si="5"/>
        <v>6.181644616405349E-2</v>
      </c>
      <c r="AC23">
        <f t="shared" si="6"/>
        <v>48.496049979695599</v>
      </c>
    </row>
    <row r="24" spans="1:29" x14ac:dyDescent="0.2">
      <c r="A24">
        <v>46137.063410717594</v>
      </c>
      <c r="B24">
        <v>17.473054999999999</v>
      </c>
      <c r="C24">
        <v>17.686028</v>
      </c>
      <c r="D24">
        <v>19.236021000000001</v>
      </c>
      <c r="E24">
        <v>19.658981000000001</v>
      </c>
      <c r="F24">
        <v>29.675978000000001</v>
      </c>
      <c r="G24">
        <v>31.278181</v>
      </c>
      <c r="H24">
        <v>26.810369999999999</v>
      </c>
      <c r="I24">
        <v>23.909223999999998</v>
      </c>
      <c r="J24">
        <v>57.015937999999998</v>
      </c>
      <c r="K24">
        <v>51.033605000000001</v>
      </c>
      <c r="L24">
        <v>254.35078999999999</v>
      </c>
      <c r="M24">
        <v>-622.50530600000002</v>
      </c>
      <c r="N24">
        <v>1.8991899999999999</v>
      </c>
      <c r="O24">
        <v>4.0553650000000001</v>
      </c>
      <c r="P24">
        <f t="shared" si="0"/>
        <v>3.165316666666667E-5</v>
      </c>
      <c r="Q24" cm="1">
        <f t="array" ref="Q24">[1]!PropsSI("D","T",J24+273.15,"P",101325,"Water")</f>
        <v>984.70445517072676</v>
      </c>
      <c r="R24" cm="1">
        <f t="array" ref="R24">[1]!PropsSI("D","T",K24+273.15,"P",101325,"Water")</f>
        <v>987.56405933360236</v>
      </c>
      <c r="S24">
        <f t="shared" si="1"/>
        <v>986.13425725216462</v>
      </c>
      <c r="T24" cm="1">
        <f t="array" ref="T24">[1]!PropsSI("H","T",J24+273.15,"P",101325,"Water")</f>
        <v>238762.4116824769</v>
      </c>
      <c r="U24" cm="1">
        <f t="array" ref="U24">[1]!PropsSI("H","T",K24+273.15,"P",101325,"Water")</f>
        <v>213740.50244244147</v>
      </c>
      <c r="V24">
        <f t="shared" si="2"/>
        <v>781.04068099059816</v>
      </c>
      <c r="X24">
        <f t="shared" si="3"/>
        <v>0.264031876</v>
      </c>
      <c r="Y24">
        <f t="shared" si="3"/>
        <v>0.25206720999999999</v>
      </c>
      <c r="Z24">
        <f t="shared" si="9"/>
        <v>0.36503521734383859</v>
      </c>
      <c r="AA24">
        <f t="shared" si="8"/>
        <v>5.982332999999997</v>
      </c>
      <c r="AB24">
        <f t="shared" si="5"/>
        <v>6.1832862278581653E-2</v>
      </c>
      <c r="AC24">
        <f t="shared" si="6"/>
        <v>48.293980861661282</v>
      </c>
    </row>
    <row r="25" spans="1:29" x14ac:dyDescent="0.2">
      <c r="A25">
        <v>46137.063446018517</v>
      </c>
      <c r="B25">
        <v>17.310268000000001</v>
      </c>
      <c r="C25">
        <v>17.670242999999999</v>
      </c>
      <c r="D25">
        <v>19.282786000000002</v>
      </c>
      <c r="E25">
        <v>19.573041</v>
      </c>
      <c r="F25">
        <v>29.336974000000001</v>
      </c>
      <c r="G25">
        <v>31.801020999999999</v>
      </c>
      <c r="H25">
        <v>26.747306999999999</v>
      </c>
      <c r="I25">
        <v>24.241986000000001</v>
      </c>
      <c r="J25">
        <v>57.011957000000002</v>
      </c>
      <c r="K25">
        <v>51.032175000000002</v>
      </c>
      <c r="L25">
        <v>294.22675199999998</v>
      </c>
      <c r="M25">
        <v>-622.47551099999998</v>
      </c>
      <c r="N25">
        <v>1.9068449999999999</v>
      </c>
      <c r="O25">
        <v>4.4396630000000004</v>
      </c>
      <c r="P25">
        <f t="shared" si="0"/>
        <v>3.1780749999999996E-5</v>
      </c>
      <c r="Q25" cm="1">
        <f t="array" ref="Q25">[1]!PropsSI("D","T",J25+273.15,"P",101325,"Water")</f>
        <v>984.706432003891</v>
      </c>
      <c r="R25" cm="1">
        <f t="array" ref="R25">[1]!PropsSI("D","T",K25+273.15,"P",101325,"Water")</f>
        <v>987.56471575020657</v>
      </c>
      <c r="S25">
        <f t="shared" si="1"/>
        <v>986.13557387704873</v>
      </c>
      <c r="T25" cm="1">
        <f t="array" ref="T25">[1]!PropsSI("H","T",J25+273.15,"P",101325,"Water")</f>
        <v>238745.75631001755</v>
      </c>
      <c r="U25" cm="1">
        <f t="array" ref="U25">[1]!PropsSI("H","T",K25+273.15,"P",101325,"Water")</f>
        <v>213734.5226925899</v>
      </c>
      <c r="V25">
        <f t="shared" si="2"/>
        <v>783.85526649697761</v>
      </c>
      <c r="X25">
        <f t="shared" si="3"/>
        <v>0.26402391400000003</v>
      </c>
      <c r="Y25">
        <f t="shared" si="3"/>
        <v>0.25206434999999999</v>
      </c>
      <c r="Z25">
        <f t="shared" si="9"/>
        <v>0.36502748349241032</v>
      </c>
      <c r="AA25">
        <f t="shared" si="8"/>
        <v>5.9797820000000002</v>
      </c>
      <c r="AB25">
        <f t="shared" si="5"/>
        <v>6.1857274326896979E-2</v>
      </c>
      <c r="AC25">
        <f t="shared" si="6"/>
        <v>48.487150252286483</v>
      </c>
    </row>
    <row r="26" spans="1:29" x14ac:dyDescent="0.2">
      <c r="A26">
        <v>46137.06348074074</v>
      </c>
      <c r="B26">
        <v>17.732948</v>
      </c>
      <c r="C26">
        <v>18.080674999999999</v>
      </c>
      <c r="D26">
        <v>19.339849999999998</v>
      </c>
      <c r="E26">
        <v>19.717217999999999</v>
      </c>
      <c r="F26">
        <v>29.887421</v>
      </c>
      <c r="G26">
        <v>31.975923999999999</v>
      </c>
      <c r="H26">
        <v>26.532509000000001</v>
      </c>
      <c r="I26">
        <v>23.759810999999999</v>
      </c>
      <c r="J26">
        <v>57.013230999999998</v>
      </c>
      <c r="K26">
        <v>51.025500000000001</v>
      </c>
      <c r="L26">
        <v>276.10602699999998</v>
      </c>
      <c r="M26">
        <v>-622.49877600000002</v>
      </c>
      <c r="N26">
        <v>1.8967320000000001</v>
      </c>
      <c r="O26">
        <v>4.5118689999999999</v>
      </c>
      <c r="P26">
        <f t="shared" si="0"/>
        <v>3.1612200000000002E-5</v>
      </c>
      <c r="Q26" cm="1">
        <f t="array" ref="Q26">[1]!PropsSI("D","T",J26+273.15,"P",101325,"Water")</f>
        <v>984.70579938803553</v>
      </c>
      <c r="R26" cm="1">
        <f t="array" ref="R26">[1]!PropsSI("D","T",K26+273.15,"P",101325,"Water")</f>
        <v>987.56777961733837</v>
      </c>
      <c r="S26">
        <f t="shared" si="1"/>
        <v>986.13678950268695</v>
      </c>
      <c r="T26" cm="1">
        <f t="array" ref="T26">[1]!PropsSI("H","T",J26+273.15,"P",101325,"Water")</f>
        <v>238751.08636319905</v>
      </c>
      <c r="U26" cm="1">
        <f t="array" ref="U26">[1]!PropsSI("H","T",K26+273.15,"P",101325,"Water")</f>
        <v>213706.61023204282</v>
      </c>
      <c r="V26">
        <f t="shared" si="2"/>
        <v>780.73533226875907</v>
      </c>
      <c r="X26">
        <f t="shared" si="3"/>
        <v>0.26402646200000002</v>
      </c>
      <c r="Y26">
        <f t="shared" si="3"/>
        <v>0.25205100000000003</v>
      </c>
      <c r="Z26">
        <f t="shared" si="9"/>
        <v>0.36502010799028245</v>
      </c>
      <c r="AA26">
        <f t="shared" si="8"/>
        <v>5.9877309999999966</v>
      </c>
      <c r="AB26">
        <f t="shared" si="5"/>
        <v>6.1776087841311909E-2</v>
      </c>
      <c r="AC26">
        <f t="shared" si="6"/>
        <v>48.230774467050701</v>
      </c>
    </row>
    <row r="27" spans="1:29" x14ac:dyDescent="0.2">
      <c r="A27">
        <v>46137.063516041664</v>
      </c>
      <c r="B27">
        <v>17.903402</v>
      </c>
      <c r="C27">
        <v>18.274218000000001</v>
      </c>
      <c r="D27">
        <v>19.329484000000001</v>
      </c>
      <c r="E27">
        <v>19.715306000000002</v>
      </c>
      <c r="F27">
        <v>30.080333</v>
      </c>
      <c r="G27">
        <v>31.915996</v>
      </c>
      <c r="H27">
        <v>26.407913000000001</v>
      </c>
      <c r="I27">
        <v>23.549042</v>
      </c>
      <c r="J27">
        <v>57.011001999999998</v>
      </c>
      <c r="K27">
        <v>51.027088999999997</v>
      </c>
      <c r="L27">
        <v>278.304284</v>
      </c>
      <c r="M27">
        <v>-622.50816299999997</v>
      </c>
      <c r="N27">
        <v>1.8985669999999999</v>
      </c>
      <c r="O27">
        <v>4.3855659999999999</v>
      </c>
      <c r="P27">
        <f t="shared" si="0"/>
        <v>3.1642783333333331E-5</v>
      </c>
      <c r="Q27" cm="1">
        <f t="array" ref="Q27">[1]!PropsSI("D","T",J27+273.15,"P",101325,"Water")</f>
        <v>984.70690621103245</v>
      </c>
      <c r="R27" cm="1">
        <f t="array" ref="R27">[1]!PropsSI("D","T",K27+273.15,"P",101325,"Water")</f>
        <v>987.5670502824928</v>
      </c>
      <c r="S27">
        <f t="shared" si="1"/>
        <v>986.13697824676262</v>
      </c>
      <c r="T27" cm="1">
        <f t="array" ref="T27">[1]!PropsSI("H","T",J27+273.15,"P",101325,"Water")</f>
        <v>238741.76086240949</v>
      </c>
      <c r="U27" cm="1">
        <f t="array" ref="U27">[1]!PropsSI("H","T",K27+273.15,"P",101325,"Water")</f>
        <v>213713.25486006308</v>
      </c>
      <c r="V27">
        <f t="shared" si="2"/>
        <v>780.99247317326876</v>
      </c>
      <c r="X27">
        <f t="shared" si="3"/>
        <v>0.26402200399999998</v>
      </c>
      <c r="Y27">
        <f t="shared" si="3"/>
        <v>0.25205417799999996</v>
      </c>
      <c r="Z27">
        <f t="shared" si="9"/>
        <v>0.365019077917075</v>
      </c>
      <c r="AA27">
        <f t="shared" si="8"/>
        <v>5.9839130000000011</v>
      </c>
      <c r="AB27">
        <f t="shared" si="5"/>
        <v>6.1814301320101385E-2</v>
      </c>
      <c r="AC27">
        <f t="shared" si="6"/>
        <v>48.276504065463634</v>
      </c>
    </row>
    <row r="28" spans="1:29" x14ac:dyDescent="0.2">
      <c r="A28">
        <v>46137.063550763887</v>
      </c>
      <c r="B28">
        <v>17.708511000000001</v>
      </c>
      <c r="C28">
        <v>18.301131000000002</v>
      </c>
      <c r="D28">
        <v>19.347808000000001</v>
      </c>
      <c r="E28">
        <v>19.689236999999999</v>
      </c>
      <c r="F28">
        <v>29.812684999999998</v>
      </c>
      <c r="G28">
        <v>30.294172</v>
      </c>
      <c r="H28">
        <v>26.413080999999998</v>
      </c>
      <c r="I28">
        <v>24.102788</v>
      </c>
      <c r="J28">
        <v>57.008136</v>
      </c>
      <c r="K28">
        <v>51.031539000000002</v>
      </c>
      <c r="L28">
        <v>269.932458</v>
      </c>
      <c r="M28">
        <v>-622.48897999999997</v>
      </c>
      <c r="N28">
        <v>1.904239</v>
      </c>
      <c r="O28">
        <v>4.0044829999999996</v>
      </c>
      <c r="P28">
        <f t="shared" si="0"/>
        <v>3.1737316666666669E-5</v>
      </c>
      <c r="Q28" cm="1">
        <f t="array" ref="Q28">[1]!PropsSI("D","T",J28+273.15,"P",101325,"Water")</f>
        <v>984.70832929567939</v>
      </c>
      <c r="R28" cm="1">
        <f t="array" ref="R28">[1]!PropsSI("D","T",K28+273.15,"P",101325,"Water")</f>
        <v>987.56500769068373</v>
      </c>
      <c r="S28">
        <f t="shared" si="1"/>
        <v>986.13666849318156</v>
      </c>
      <c r="T28" cm="1">
        <f t="array" ref="T28">[1]!PropsSI("H","T",J28+273.15,"P",101325,"Water")</f>
        <v>238729.77033796086</v>
      </c>
      <c r="U28" cm="1">
        <f t="array" ref="U28">[1]!PropsSI("H","T",K28+273.15,"P",101325,"Water")</f>
        <v>213731.86316764675</v>
      </c>
      <c r="V28">
        <f t="shared" si="2"/>
        <v>782.36779312957253</v>
      </c>
      <c r="X28">
        <f t="shared" si="3"/>
        <v>0.264016272</v>
      </c>
      <c r="Y28">
        <f t="shared" si="3"/>
        <v>0.252063078</v>
      </c>
      <c r="Z28">
        <f t="shared" si="9"/>
        <v>0.36502107770868802</v>
      </c>
      <c r="AA28">
        <f t="shared" si="8"/>
        <v>5.9765969999999982</v>
      </c>
      <c r="AB28">
        <f t="shared" si="5"/>
        <v>6.1888319785555423E-2</v>
      </c>
      <c r="AC28">
        <f t="shared" si="6"/>
        <v>48.419428171122256</v>
      </c>
    </row>
    <row r="29" spans="1:29" x14ac:dyDescent="0.2">
      <c r="A29">
        <v>46137.06358548611</v>
      </c>
      <c r="B29">
        <v>17.986599999999999</v>
      </c>
      <c r="C29">
        <v>18.556577999999998</v>
      </c>
      <c r="D29">
        <v>19.326535</v>
      </c>
      <c r="E29">
        <v>19.693856</v>
      </c>
      <c r="F29">
        <v>30.037074</v>
      </c>
      <c r="G29">
        <v>31.087605</v>
      </c>
      <c r="H29">
        <v>26.806305999999999</v>
      </c>
      <c r="I29">
        <v>24.379632999999998</v>
      </c>
      <c r="J29">
        <v>57.006543999999998</v>
      </c>
      <c r="K29">
        <v>51.032651999999999</v>
      </c>
      <c r="L29">
        <v>278.48509100000001</v>
      </c>
      <c r="M29">
        <v>-622.49306200000001</v>
      </c>
      <c r="N29">
        <v>1.9029560000000001</v>
      </c>
      <c r="O29">
        <v>4.3231580000000003</v>
      </c>
      <c r="P29">
        <f t="shared" si="0"/>
        <v>3.1715933333333332E-5</v>
      </c>
      <c r="Q29" cm="1">
        <f t="array" ref="Q29">[1]!PropsSI("D","T",J29+273.15,"P",101325,"Water")</f>
        <v>984.70911976634409</v>
      </c>
      <c r="R29" cm="1">
        <f t="array" ref="R29">[1]!PropsSI("D","T",K29+273.15,"P",101325,"Water")</f>
        <v>987.56449679314369</v>
      </c>
      <c r="S29">
        <f t="shared" si="1"/>
        <v>986.13680827974395</v>
      </c>
      <c r="T29" cm="1">
        <f t="array" ref="T29">[1]!PropsSI("H","T",J29+273.15,"P",101325,"Water")</f>
        <v>238723.1098665889</v>
      </c>
      <c r="U29" cm="1">
        <f t="array" ref="U29">[1]!PropsSI("H","T",K29+273.15,"P",101325,"Water")</f>
        <v>213736.517336344</v>
      </c>
      <c r="V29">
        <f t="shared" si="2"/>
        <v>781.48689635753556</v>
      </c>
      <c r="X29">
        <f t="shared" si="3"/>
        <v>0.26401308800000001</v>
      </c>
      <c r="Y29">
        <f t="shared" si="3"/>
        <v>0.25206530399999999</v>
      </c>
      <c r="Z29">
        <f t="shared" si="9"/>
        <v>0.36502031192237533</v>
      </c>
      <c r="AA29">
        <f t="shared" si="8"/>
        <v>5.9738919999999993</v>
      </c>
      <c r="AB29">
        <f t="shared" si="5"/>
        <v>6.1915485050630693E-2</v>
      </c>
      <c r="AC29">
        <f t="shared" si="6"/>
        <v>48.386140248688768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B7B4-9CC8-8247-87CD-248980F2F4D6}">
  <dimension ref="A1:AC82"/>
  <sheetViews>
    <sheetView topLeftCell="O1" workbookViewId="0">
      <selection activeCell="W4" sqref="W4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44675.058930974599</v>
      </c>
      <c r="B2">
        <v>17.477906000000001</v>
      </c>
      <c r="C2">
        <v>18.078993000000001</v>
      </c>
      <c r="D2">
        <v>19.265884</v>
      </c>
      <c r="E2">
        <v>19.664489</v>
      </c>
      <c r="F2">
        <v>28.319561</v>
      </c>
      <c r="G2">
        <v>30.129501000000001</v>
      </c>
      <c r="H2">
        <v>26.269691000000002</v>
      </c>
      <c r="I2">
        <v>22.526198999999998</v>
      </c>
      <c r="J2">
        <v>57.449336000000002</v>
      </c>
      <c r="K2">
        <v>50.918545999999999</v>
      </c>
      <c r="L2">
        <v>398.288072</v>
      </c>
      <c r="M2">
        <v>-622.49632699999995</v>
      </c>
      <c r="N2">
        <v>1.910898</v>
      </c>
      <c r="O2">
        <v>4.218369</v>
      </c>
      <c r="P2">
        <f t="shared" ref="P2:P65" si="0" xml:space="preserve"> N2*0.001/60</f>
        <v>3.1848299999999998E-5</v>
      </c>
      <c r="Q2" cm="1">
        <f t="array" ref="Q2">[1]!PropsSI("D","T",J2+273.15,"P",101325,"Water")</f>
        <v>984.48866852971184</v>
      </c>
      <c r="R2" cm="1">
        <f t="array" ref="R2">[1]!PropsSI("D","T",K2+273.15,"P",101325,"Water")</f>
        <v>987.61683277005318</v>
      </c>
      <c r="S2">
        <f t="shared" ref="S2:S65" si="1">(Q2+R2)/2</f>
        <v>986.05275064988246</v>
      </c>
      <c r="T2" cm="1">
        <f t="array" ref="T2">[1]!PropsSI("H","T",J2+273.15,"P",101325,"Water")</f>
        <v>240575.66310132967</v>
      </c>
      <c r="U2" cm="1">
        <f t="array" ref="U2">[1]!PropsSI("H","T",K2+273.15,"P",101325,"Water")</f>
        <v>213259.3687084628</v>
      </c>
      <c r="V2">
        <f t="shared" ref="V2:V65" si="2">S2*P2*(T2-U2)</f>
        <v>857.84374505091921</v>
      </c>
      <c r="W2" s="3">
        <f>AVERAGE(V2:V82)</f>
        <v>845.60716763409812</v>
      </c>
      <c r="X2">
        <f>(0.15+0.002*ABS(J2))</f>
        <v>0.264898672</v>
      </c>
      <c r="Y2">
        <f>(0.15+0.002*ABS(K2))</f>
        <v>0.25183709199999998</v>
      </c>
      <c r="Z2">
        <f>SQRT((X2)^2 + (Y2)^2)</f>
        <v>0.3655040729381549</v>
      </c>
      <c r="AA2">
        <f>J2-K2</f>
        <v>6.5307900000000032</v>
      </c>
      <c r="AB2">
        <f>SQRT((0.01)^2 + (Z2/ABS(AA2))^2)</f>
        <v>5.685266373856962E-2</v>
      </c>
      <c r="AC2">
        <f>ABS(V2*AB2)</f>
        <v>48.770701977615154</v>
      </c>
    </row>
    <row r="3" spans="1:29" x14ac:dyDescent="0.2">
      <c r="A3">
        <v>44675.0589656968</v>
      </c>
      <c r="B3">
        <v>17.392866000000001</v>
      </c>
      <c r="C3">
        <v>17.882635000000001</v>
      </c>
      <c r="D3">
        <v>19.035547999999999</v>
      </c>
      <c r="E3">
        <v>19.572301</v>
      </c>
      <c r="F3">
        <v>28.379935</v>
      </c>
      <c r="G3">
        <v>30.609425000000002</v>
      </c>
      <c r="H3">
        <v>25.753426000000001</v>
      </c>
      <c r="I3">
        <v>22.780004000000002</v>
      </c>
      <c r="J3">
        <v>57.445672999999999</v>
      </c>
      <c r="K3">
        <v>50.923631</v>
      </c>
      <c r="L3">
        <v>403.19762200000002</v>
      </c>
      <c r="M3">
        <v>-622.49795900000004</v>
      </c>
      <c r="N3">
        <v>1.9144669999999999</v>
      </c>
      <c r="O3">
        <v>4.3059510000000003</v>
      </c>
      <c r="P3">
        <f t="shared" si="0"/>
        <v>3.1907783333333336E-5</v>
      </c>
      <c r="Q3" cm="1">
        <f t="array" ref="Q3">[1]!PropsSI("D","T",J3+273.15,"P",101325,"Water")</f>
        <v>984.49049709074086</v>
      </c>
      <c r="R3" cm="1">
        <f t="array" ref="R3">[1]!PropsSI("D","T",K3+273.15,"P",101325,"Water")</f>
        <v>987.61450227697594</v>
      </c>
      <c r="S3">
        <f t="shared" si="1"/>
        <v>986.0524996838584</v>
      </c>
      <c r="T3" cm="1">
        <f t="array" ref="T3">[1]!PropsSI("H","T",J3+273.15,"P",101325,"Water")</f>
        <v>240560.33752252848</v>
      </c>
      <c r="U3" cm="1">
        <f t="array" ref="U3">[1]!PropsSI("H","T",K3+273.15,"P",101325,"Water")</f>
        <v>213280.6321943909</v>
      </c>
      <c r="V3">
        <f t="shared" si="2"/>
        <v>858.29453558777675</v>
      </c>
      <c r="W3" s="3" t="s">
        <v>33</v>
      </c>
      <c r="X3">
        <f t="shared" ref="X3:Y55" si="3">(0.15+0.002*ABS(J3))</f>
        <v>0.26489134599999997</v>
      </c>
      <c r="Y3">
        <f t="shared" si="3"/>
        <v>0.25184726200000002</v>
      </c>
      <c r="Z3">
        <f t="shared" ref="Z3:Z55" si="4">SQRT((X3)^2 + (Y3)^2)</f>
        <v>0.36550577090189473</v>
      </c>
      <c r="AA3">
        <f>J3-K3</f>
        <v>6.522041999999999</v>
      </c>
      <c r="AB3">
        <f t="shared" ref="AB3:AB66" si="5">SQRT((0.01)^2 + (Z3/ABS(AA3))^2)</f>
        <v>5.6926818659411349E-2</v>
      </c>
      <c r="AC3">
        <f t="shared" ref="AC3:AC66" si="6">ABS(V3*AB3)</f>
        <v>48.859977383769049</v>
      </c>
    </row>
    <row r="4" spans="1:29" x14ac:dyDescent="0.2">
      <c r="A4">
        <v>44675.059000997702</v>
      </c>
      <c r="B4">
        <v>17.473775</v>
      </c>
      <c r="C4">
        <v>17.904378000000001</v>
      </c>
      <c r="D4">
        <v>19.097472</v>
      </c>
      <c r="E4">
        <v>19.603655</v>
      </c>
      <c r="F4">
        <v>28.351240000000001</v>
      </c>
      <c r="G4">
        <v>29.401094000000001</v>
      </c>
      <c r="H4">
        <v>26.443055000000001</v>
      </c>
      <c r="I4">
        <v>22.548618999999999</v>
      </c>
      <c r="J4">
        <v>57.442807000000002</v>
      </c>
      <c r="K4">
        <v>50.923313</v>
      </c>
      <c r="L4">
        <v>384.17245300000002</v>
      </c>
      <c r="M4">
        <v>-622.49632699999995</v>
      </c>
      <c r="N4">
        <v>1.9076280000000001</v>
      </c>
      <c r="O4">
        <v>4.3201970000000003</v>
      </c>
      <c r="P4">
        <f t="shared" si="0"/>
        <v>3.17938E-5</v>
      </c>
      <c r="Q4" cm="1">
        <f t="array" ref="Q4">[1]!PropsSI("D","T",J4+273.15,"P",101325,"Water")</f>
        <v>984.49192773458697</v>
      </c>
      <c r="R4" cm="1">
        <f t="array" ref="R4">[1]!PropsSI("D","T",K4+273.15,"P",101325,"Water")</f>
        <v>987.61464802363662</v>
      </c>
      <c r="S4">
        <f t="shared" si="1"/>
        <v>986.05328787911185</v>
      </c>
      <c r="T4" cm="1">
        <f t="array" ref="T4">[1]!PropsSI("H","T",J4+273.15,"P",101325,"Water")</f>
        <v>240548.34650557462</v>
      </c>
      <c r="U4" cm="1">
        <f t="array" ref="U4">[1]!PropsSI("H","T",K4+273.15,"P",101325,"Water")</f>
        <v>213279.30244224722</v>
      </c>
      <c r="V4">
        <f t="shared" si="2"/>
        <v>854.89492155021946</v>
      </c>
      <c r="W4" s="3">
        <f>SQRT((AVERAGE(AC2:AC82))^2 + (_xlfn.STDEV.S(V2:V82)/SQRT(COUNT(V2:V82)))^2)</f>
        <v>48.598500217047516</v>
      </c>
      <c r="X4">
        <f t="shared" si="3"/>
        <v>0.26488561399999999</v>
      </c>
      <c r="Y4">
        <f t="shared" si="3"/>
        <v>0.25184662600000002</v>
      </c>
      <c r="Z4">
        <f t="shared" si="4"/>
        <v>0.36550117856409281</v>
      </c>
      <c r="AA4">
        <f t="shared" ref="AA4:AA67" si="7">J4-K4</f>
        <v>6.5194940000000017</v>
      </c>
      <c r="AB4">
        <f t="shared" si="5"/>
        <v>5.6947687376830126E-2</v>
      </c>
      <c r="AC4">
        <f t="shared" si="6"/>
        <v>48.684288732481612</v>
      </c>
    </row>
    <row r="5" spans="1:29" x14ac:dyDescent="0.2">
      <c r="A5">
        <v>44675.059035719903</v>
      </c>
      <c r="B5">
        <v>17.830210000000001</v>
      </c>
      <c r="C5">
        <v>18.256975000000001</v>
      </c>
      <c r="D5">
        <v>19.197922999999999</v>
      </c>
      <c r="E5">
        <v>19.660865999999999</v>
      </c>
      <c r="F5">
        <v>28.754708000000001</v>
      </c>
      <c r="G5">
        <v>30.940809000000002</v>
      </c>
      <c r="H5">
        <v>26.127738000000001</v>
      </c>
      <c r="I5">
        <v>22.814578000000001</v>
      </c>
      <c r="J5">
        <v>57.441215</v>
      </c>
      <c r="K5">
        <v>50.921883000000001</v>
      </c>
      <c r="L5">
        <v>384.68752899999998</v>
      </c>
      <c r="M5">
        <v>-622.47755199999995</v>
      </c>
      <c r="N5">
        <v>1.9044399999999999</v>
      </c>
      <c r="O5">
        <v>4.3222170000000002</v>
      </c>
      <c r="P5">
        <f t="shared" si="0"/>
        <v>3.1740666666666666E-5</v>
      </c>
      <c r="Q5" cm="1">
        <f t="array" ref="Q5">[1]!PropsSI("D","T",J5+273.15,"P",101325,"Water")</f>
        <v>984.49272240432026</v>
      </c>
      <c r="R5" cm="1">
        <f t="array" ref="R5">[1]!PropsSI("D","T",K5+273.15,"P",101325,"Water")</f>
        <v>987.61530341720982</v>
      </c>
      <c r="S5">
        <f t="shared" si="1"/>
        <v>986.0540129107651</v>
      </c>
      <c r="T5" cm="1">
        <f t="array" ref="T5">[1]!PropsSI("H","T",J5+273.15,"P",101325,"Water")</f>
        <v>240541.68576059639</v>
      </c>
      <c r="U5" cm="1">
        <f t="array" ref="U5">[1]!PropsSI("H","T",K5+273.15,"P",101325,"Water")</f>
        <v>213273.32273953193</v>
      </c>
      <c r="V5">
        <f t="shared" si="2"/>
        <v>853.44554594012379</v>
      </c>
      <c r="W5" s="3"/>
      <c r="X5">
        <f t="shared" si="3"/>
        <v>0.26488243</v>
      </c>
      <c r="Y5">
        <f t="shared" si="3"/>
        <v>0.25184376600000002</v>
      </c>
      <c r="Z5">
        <f t="shared" si="4"/>
        <v>0.36549690039146387</v>
      </c>
      <c r="AA5">
        <f t="shared" si="7"/>
        <v>6.5193319999999986</v>
      </c>
      <c r="AB5">
        <f t="shared" si="5"/>
        <v>5.6948412812788222E-2</v>
      </c>
      <c r="AC5">
        <f t="shared" si="6"/>
        <v>48.602369263433587</v>
      </c>
    </row>
    <row r="6" spans="1:29" x14ac:dyDescent="0.2">
      <c r="A6">
        <v>46137.059071018521</v>
      </c>
      <c r="B6">
        <v>17.781231999999999</v>
      </c>
      <c r="C6">
        <v>18.408640999999999</v>
      </c>
      <c r="D6">
        <v>19.033034000000001</v>
      </c>
      <c r="E6">
        <v>19.611091999999999</v>
      </c>
      <c r="F6">
        <v>28.599463</v>
      </c>
      <c r="G6">
        <v>30.997087000000001</v>
      </c>
      <c r="H6">
        <v>26.108287000000001</v>
      </c>
      <c r="I6">
        <v>22.722117999999998</v>
      </c>
      <c r="J6">
        <v>57.438029999999998</v>
      </c>
      <c r="K6">
        <v>50.925856000000003</v>
      </c>
      <c r="L6">
        <v>379.67308600000001</v>
      </c>
      <c r="M6">
        <v>-622.50653</v>
      </c>
      <c r="N6">
        <v>1.9122870000000001</v>
      </c>
      <c r="O6">
        <v>3.9891450000000002</v>
      </c>
      <c r="P6">
        <f t="shared" si="0"/>
        <v>3.1871450000000005E-5</v>
      </c>
      <c r="Q6" cm="1">
        <f t="array" ref="Q6">[1]!PropsSI("D","T",J6+273.15,"P",101325,"Water")</f>
        <v>984.49431219688029</v>
      </c>
      <c r="R6" cm="1">
        <f t="array" ref="R6">[1]!PropsSI("D","T",K6+273.15,"P",101325,"Water")</f>
        <v>987.61348249024513</v>
      </c>
      <c r="S6">
        <f t="shared" si="1"/>
        <v>986.05389734356277</v>
      </c>
      <c r="T6" cm="1">
        <f t="array" ref="T6">[1]!PropsSI("H","T",J6+273.15,"P",101325,"Water")</f>
        <v>240528.36008990635</v>
      </c>
      <c r="U6" cm="1">
        <f t="array" ref="U6">[1]!PropsSI("H","T",K6+273.15,"P",101325,"Water")</f>
        <v>213289.93627868849</v>
      </c>
      <c r="V6">
        <f t="shared" si="2"/>
        <v>856.02105949839222</v>
      </c>
      <c r="W6" s="3"/>
      <c r="X6">
        <f t="shared" si="3"/>
        <v>0.26487605999999997</v>
      </c>
      <c r="Y6">
        <f t="shared" si="3"/>
        <v>0.25185171200000001</v>
      </c>
      <c r="Z6">
        <f t="shared" si="4"/>
        <v>0.36549775922494315</v>
      </c>
      <c r="AA6">
        <f>J6-K6</f>
        <v>6.5121739999999946</v>
      </c>
      <c r="AB6">
        <f t="shared" si="5"/>
        <v>5.7009209664020399E-2</v>
      </c>
      <c r="AC6">
        <f t="shared" si="6"/>
        <v>48.801084057760725</v>
      </c>
    </row>
    <row r="7" spans="1:29" x14ac:dyDescent="0.2">
      <c r="A7">
        <v>46137.059106319444</v>
      </c>
      <c r="B7">
        <v>17.496254</v>
      </c>
      <c r="C7">
        <v>17.968692999999998</v>
      </c>
      <c r="D7">
        <v>19.018809000000001</v>
      </c>
      <c r="E7">
        <v>19.45823</v>
      </c>
      <c r="F7">
        <v>28.297485999999999</v>
      </c>
      <c r="G7">
        <v>30.259816000000001</v>
      </c>
      <c r="H7">
        <v>26.558496000000002</v>
      </c>
      <c r="I7">
        <v>23.288142000000001</v>
      </c>
      <c r="J7">
        <v>57.434527000000003</v>
      </c>
      <c r="K7">
        <v>50.927444999999999</v>
      </c>
      <c r="L7">
        <v>376.08387800000003</v>
      </c>
      <c r="M7">
        <v>-622.53265099999999</v>
      </c>
      <c r="N7">
        <v>1.904509</v>
      </c>
      <c r="O7">
        <v>4.4180720000000004</v>
      </c>
      <c r="P7">
        <f t="shared" si="0"/>
        <v>3.1741816666666665E-5</v>
      </c>
      <c r="Q7" cm="1">
        <f t="array" ref="Q7">[1]!PropsSI("D","T",J7+273.15,"P",101325,"Water")</f>
        <v>984.49606064817601</v>
      </c>
      <c r="R7" cm="1">
        <f t="array" ref="R7">[1]!PropsSI("D","T",K7+273.15,"P",101325,"Water")</f>
        <v>987.61275418245509</v>
      </c>
      <c r="S7">
        <f t="shared" si="1"/>
        <v>986.05440741531561</v>
      </c>
      <c r="T7" cm="1">
        <f t="array" ref="T7">[1]!PropsSI("H","T",J7+273.15,"P",101325,"Water")</f>
        <v>240513.70394874932</v>
      </c>
      <c r="U7" cm="1">
        <f t="array" ref="U7">[1]!PropsSI("H","T",K7+273.15,"P",101325,"Water")</f>
        <v>213296.58085932623</v>
      </c>
      <c r="V7">
        <f t="shared" si="2"/>
        <v>851.87304196529681</v>
      </c>
      <c r="W7" s="3"/>
      <c r="X7">
        <f t="shared" si="3"/>
        <v>0.26486905399999999</v>
      </c>
      <c r="Y7">
        <f t="shared" si="3"/>
        <v>0.25185489</v>
      </c>
      <c r="Z7">
        <f t="shared" si="4"/>
        <v>0.36549487189804319</v>
      </c>
      <c r="AA7">
        <f t="shared" ref="AA7:AA70" si="8">J7-K7</f>
        <v>6.507082000000004</v>
      </c>
      <c r="AB7">
        <f t="shared" si="5"/>
        <v>5.7052012223129611E-2</v>
      </c>
      <c r="AC7">
        <f t="shared" si="6"/>
        <v>48.601071202758718</v>
      </c>
    </row>
    <row r="8" spans="1:29" x14ac:dyDescent="0.2">
      <c r="A8">
        <v>46137.059141041667</v>
      </c>
      <c r="B8">
        <v>17.585041</v>
      </c>
      <c r="C8">
        <v>17.953171999999999</v>
      </c>
      <c r="D8">
        <v>18.989491999999998</v>
      </c>
      <c r="E8">
        <v>19.453036999999998</v>
      </c>
      <c r="F8">
        <v>28.482451999999999</v>
      </c>
      <c r="G8">
        <v>31.23854</v>
      </c>
      <c r="H8">
        <v>26.033885999999999</v>
      </c>
      <c r="I8">
        <v>22.584724000000001</v>
      </c>
      <c r="J8">
        <v>57.428635999999997</v>
      </c>
      <c r="K8">
        <v>50.925379</v>
      </c>
      <c r="L8">
        <v>398.39174100000002</v>
      </c>
      <c r="M8">
        <v>-622.493878</v>
      </c>
      <c r="N8">
        <v>1.9065540000000001</v>
      </c>
      <c r="O8">
        <v>4.3213780000000002</v>
      </c>
      <c r="P8">
        <f t="shared" si="0"/>
        <v>3.1775900000000002E-5</v>
      </c>
      <c r="Q8" cm="1">
        <f t="array" ref="Q8">[1]!PropsSI("D","T",J8+273.15,"P",101325,"Water")</f>
        <v>984.4990008536264</v>
      </c>
      <c r="R8" cm="1">
        <f t="array" ref="R8">[1]!PropsSI("D","T",K8+273.15,"P",101325,"Water")</f>
        <v>987.61370111689405</v>
      </c>
      <c r="S8">
        <f t="shared" si="1"/>
        <v>986.05635098526022</v>
      </c>
      <c r="T8" cm="1">
        <f t="array" ref="T8">[1]!PropsSI("H","T",J8+273.15,"P",101325,"Water")</f>
        <v>240489.05670666372</v>
      </c>
      <c r="U8" cm="1">
        <f t="array" ref="U8">[1]!PropsSI("H","T",K8+273.15,"P",101325,"Water")</f>
        <v>213287.94165014909</v>
      </c>
      <c r="V8">
        <f t="shared" si="2"/>
        <v>852.28785956299953</v>
      </c>
      <c r="W8" s="3"/>
      <c r="X8">
        <f t="shared" si="3"/>
        <v>0.26485727199999998</v>
      </c>
      <c r="Y8">
        <f t="shared" si="3"/>
        <v>0.25185075800000001</v>
      </c>
      <c r="Z8">
        <f>SQRT((X8)^2 + (Y8)^2)</f>
        <v>0.36548348640732942</v>
      </c>
      <c r="AA8">
        <f t="shared" si="8"/>
        <v>6.5032569999999978</v>
      </c>
      <c r="AB8">
        <f t="shared" si="5"/>
        <v>5.7082814023023218E-2</v>
      </c>
      <c r="AC8">
        <f t="shared" si="6"/>
        <v>48.650989381515231</v>
      </c>
    </row>
    <row r="9" spans="1:29" x14ac:dyDescent="0.2">
      <c r="A9">
        <v>46137.059176342591</v>
      </c>
      <c r="B9">
        <v>17.820564000000001</v>
      </c>
      <c r="C9">
        <v>18.265661000000001</v>
      </c>
      <c r="D9">
        <v>19.108809999999998</v>
      </c>
      <c r="E9">
        <v>19.510207000000001</v>
      </c>
      <c r="F9">
        <v>28.541888</v>
      </c>
      <c r="G9">
        <v>30.912253</v>
      </c>
      <c r="H9">
        <v>25.928432000000001</v>
      </c>
      <c r="I9">
        <v>22.33803</v>
      </c>
      <c r="J9">
        <v>57.424177</v>
      </c>
      <c r="K9">
        <v>50.918069000000003</v>
      </c>
      <c r="L9">
        <v>368.37365199999999</v>
      </c>
      <c r="M9">
        <v>-622.50122399999998</v>
      </c>
      <c r="N9">
        <v>1.910517</v>
      </c>
      <c r="O9">
        <v>4.3705579999999999</v>
      </c>
      <c r="P9">
        <f t="shared" si="0"/>
        <v>3.1841950000000001E-5</v>
      </c>
      <c r="Q9" cm="1">
        <f t="array" ref="Q9">[1]!PropsSI("D","T",J9+273.15,"P",101325,"Water")</f>
        <v>984.50122620635307</v>
      </c>
      <c r="R9" cm="1">
        <f t="array" ref="R9">[1]!PropsSI("D","T",K9+273.15,"P",101325,"Water")</f>
        <v>987.61705137406557</v>
      </c>
      <c r="S9">
        <f t="shared" si="1"/>
        <v>986.05913879020932</v>
      </c>
      <c r="T9" cm="1">
        <f t="array" ref="T9">[1]!PropsSI("H","T",J9+273.15,"P",101325,"Water")</f>
        <v>240470.40079117334</v>
      </c>
      <c r="U9" cm="1">
        <f t="array" ref="U9">[1]!PropsSI("H","T",K9+273.15,"P",101325,"Water")</f>
        <v>213257.37408096422</v>
      </c>
      <c r="V9">
        <f t="shared" si="2"/>
        <v>854.43585885140089</v>
      </c>
      <c r="W9" s="3"/>
      <c r="X9">
        <f t="shared" si="3"/>
        <v>0.26484835400000001</v>
      </c>
      <c r="Y9">
        <f t="shared" si="3"/>
        <v>0.25183613799999999</v>
      </c>
      <c r="Z9">
        <f t="shared" ref="Z9:Z72" si="9">SQRT((X9)^2 + (Y9)^2)</f>
        <v>0.36546694928442486</v>
      </c>
      <c r="AA9">
        <f t="shared" si="8"/>
        <v>6.5061079999999976</v>
      </c>
      <c r="AB9">
        <f t="shared" si="5"/>
        <v>5.7056065512079118E-2</v>
      </c>
      <c r="AC9">
        <f t="shared" si="6"/>
        <v>48.750748338495114</v>
      </c>
    </row>
    <row r="10" spans="1:29" x14ac:dyDescent="0.2">
      <c r="A10">
        <v>44675.059211645901</v>
      </c>
      <c r="B10">
        <v>17.735154000000001</v>
      </c>
      <c r="C10">
        <v>18.269425999999999</v>
      </c>
      <c r="D10">
        <v>19.150188</v>
      </c>
      <c r="E10">
        <v>19.551269999999999</v>
      </c>
      <c r="F10">
        <v>28.520105999999998</v>
      </c>
      <c r="G10">
        <v>29.645788</v>
      </c>
      <c r="H10">
        <v>26.031917</v>
      </c>
      <c r="I10">
        <v>22.193171</v>
      </c>
      <c r="J10">
        <v>57.420037000000001</v>
      </c>
      <c r="K10">
        <v>50.915526</v>
      </c>
      <c r="L10">
        <v>402.74907400000001</v>
      </c>
      <c r="M10">
        <v>-622.49142900000004</v>
      </c>
      <c r="N10">
        <v>1.914668</v>
      </c>
      <c r="O10">
        <v>4.5623950000000004</v>
      </c>
      <c r="P10">
        <f t="shared" si="0"/>
        <v>3.1911133333333334E-5</v>
      </c>
      <c r="Q10" cm="1">
        <f t="array" ref="Q10">[1]!PropsSI("D","T",J10+273.15,"P",101325,"Water")</f>
        <v>984.5032922479852</v>
      </c>
      <c r="R10" cm="1">
        <f t="array" ref="R10">[1]!PropsSI("D","T",K10+273.15,"P",101325,"Water")</f>
        <v>987.61821677891351</v>
      </c>
      <c r="S10">
        <f t="shared" si="1"/>
        <v>986.06075451344941</v>
      </c>
      <c r="T10" cm="1">
        <f t="array" ref="T10">[1]!PropsSI("H","T",J10+273.15,"P",101325,"Water")</f>
        <v>240453.07954006759</v>
      </c>
      <c r="U10" cm="1">
        <f t="array" ref="U10">[1]!PropsSI("H","T",K10+273.15,"P",101325,"Water")</f>
        <v>213246.74025042829</v>
      </c>
      <c r="V10">
        <f t="shared" si="2"/>
        <v>856.08327505999955</v>
      </c>
      <c r="X10">
        <f t="shared" si="3"/>
        <v>0.26484007399999998</v>
      </c>
      <c r="Y10">
        <f t="shared" si="3"/>
        <v>0.251831052</v>
      </c>
      <c r="Z10">
        <f t="shared" si="9"/>
        <v>0.36545744423633264</v>
      </c>
      <c r="AA10">
        <f t="shared" si="8"/>
        <v>6.5045110000000008</v>
      </c>
      <c r="AB10">
        <f t="shared" si="5"/>
        <v>5.7068205068963596E-2</v>
      </c>
      <c r="AC10">
        <f t="shared" si="6"/>
        <v>48.855135897234021</v>
      </c>
    </row>
    <row r="11" spans="1:29" x14ac:dyDescent="0.2">
      <c r="A11">
        <v>44675.059246368102</v>
      </c>
      <c r="B11">
        <v>17.781676000000001</v>
      </c>
      <c r="C11">
        <v>18.383738000000001</v>
      </c>
      <c r="D11">
        <v>19.037558000000001</v>
      </c>
      <c r="E11">
        <v>19.559587000000001</v>
      </c>
      <c r="F11">
        <v>28.645012000000001</v>
      </c>
      <c r="G11">
        <v>30.973146</v>
      </c>
      <c r="H11">
        <v>25.924149</v>
      </c>
      <c r="I11">
        <v>22.864246000000001</v>
      </c>
      <c r="J11">
        <v>57.416533999999999</v>
      </c>
      <c r="K11">
        <v>50.918545999999999</v>
      </c>
      <c r="L11">
        <v>385.86624499999999</v>
      </c>
      <c r="M11">
        <v>-622.531835</v>
      </c>
      <c r="N11">
        <v>1.9068529999999999</v>
      </c>
      <c r="O11">
        <v>4.4917020000000001</v>
      </c>
      <c r="P11">
        <f t="shared" si="0"/>
        <v>3.1780883333333336E-5</v>
      </c>
      <c r="Q11" cm="1">
        <f t="array" ref="Q11">[1]!PropsSI("D","T",J11+273.15,"P",101325,"Water")</f>
        <v>984.50504031758385</v>
      </c>
      <c r="R11" cm="1">
        <f t="array" ref="R11">[1]!PropsSI("D","T",K11+273.15,"P",101325,"Water")</f>
        <v>987.61683277005318</v>
      </c>
      <c r="S11">
        <f t="shared" si="1"/>
        <v>986.06093654381857</v>
      </c>
      <c r="T11" cm="1">
        <f t="array" ref="T11">[1]!PropsSI("H","T",J11+273.15,"P",101325,"Water")</f>
        <v>240438.42342402739</v>
      </c>
      <c r="U11" cm="1">
        <f t="array" ref="U11">[1]!PropsSI("H","T",K11+273.15,"P",101325,"Water")</f>
        <v>213259.3687084628</v>
      </c>
      <c r="V11">
        <f t="shared" si="2"/>
        <v>851.7341613118482</v>
      </c>
      <c r="X11">
        <f t="shared" si="3"/>
        <v>0.264833068</v>
      </c>
      <c r="Y11">
        <f t="shared" si="3"/>
        <v>0.25183709199999998</v>
      </c>
      <c r="Z11">
        <f t="shared" si="9"/>
        <v>0.36545652930726119</v>
      </c>
      <c r="AA11">
        <f t="shared" si="8"/>
        <v>6.4979879999999994</v>
      </c>
      <c r="AB11">
        <f t="shared" si="5"/>
        <v>5.712359613369801E-2</v>
      </c>
      <c r="AC11">
        <f t="shared" si="6"/>
        <v>48.654118244052007</v>
      </c>
    </row>
    <row r="12" spans="1:29" x14ac:dyDescent="0.2">
      <c r="A12">
        <v>44675.059281668997</v>
      </c>
      <c r="B12">
        <v>17.870736999999998</v>
      </c>
      <c r="C12">
        <v>18.320418</v>
      </c>
      <c r="D12">
        <v>19.096382999999999</v>
      </c>
      <c r="E12">
        <v>19.537538000000001</v>
      </c>
      <c r="F12">
        <v>28.374020000000002</v>
      </c>
      <c r="G12">
        <v>30.370621</v>
      </c>
      <c r="H12">
        <v>25.766293000000001</v>
      </c>
      <c r="I12">
        <v>22.259808</v>
      </c>
      <c r="J12">
        <v>57.413986999999999</v>
      </c>
      <c r="K12">
        <v>50.916798</v>
      </c>
      <c r="L12">
        <v>372.97423800000001</v>
      </c>
      <c r="M12">
        <v>-622.51346899999999</v>
      </c>
      <c r="N12">
        <v>1.9134709999999999</v>
      </c>
      <c r="O12">
        <v>4.2632779999999997</v>
      </c>
      <c r="P12">
        <f t="shared" si="0"/>
        <v>3.1891183333333334E-5</v>
      </c>
      <c r="Q12" cm="1">
        <f t="array" ref="Q12">[1]!PropsSI("D","T",J12+273.15,"P",101325,"Water")</f>
        <v>984.50631127673728</v>
      </c>
      <c r="R12" cm="1">
        <f t="array" ref="R12">[1]!PropsSI("D","T",K12+273.15,"P",101325,"Water")</f>
        <v>987.6176338525886</v>
      </c>
      <c r="S12">
        <f t="shared" si="1"/>
        <v>986.06197256466294</v>
      </c>
      <c r="T12" cm="1">
        <f t="array" ref="T12">[1]!PropsSI("H","T",J12+273.15,"P",101325,"Water")</f>
        <v>240427.76709606743</v>
      </c>
      <c r="U12" cm="1">
        <f t="array" ref="U12">[1]!PropsSI("H","T",K12+273.15,"P",101325,"Water")</f>
        <v>213252.05925621829</v>
      </c>
      <c r="V12">
        <f t="shared" si="2"/>
        <v>854.58587368321912</v>
      </c>
      <c r="X12">
        <f t="shared" si="3"/>
        <v>0.26482797400000002</v>
      </c>
      <c r="Y12">
        <f t="shared" si="3"/>
        <v>0.25183359599999999</v>
      </c>
      <c r="Z12">
        <f t="shared" si="9"/>
        <v>0.36545042876871264</v>
      </c>
      <c r="AA12">
        <f t="shared" si="8"/>
        <v>6.4971889999999988</v>
      </c>
      <c r="AB12">
        <f t="shared" si="5"/>
        <v>5.7129481257314166E-2</v>
      </c>
      <c r="AC12">
        <f t="shared" si="6"/>
        <v>48.822047653350921</v>
      </c>
    </row>
    <row r="13" spans="1:29" x14ac:dyDescent="0.2">
      <c r="A13">
        <v>44675.059316391198</v>
      </c>
      <c r="B13">
        <v>17.851755000000001</v>
      </c>
      <c r="C13">
        <v>18.34995</v>
      </c>
      <c r="D13">
        <v>19.070684</v>
      </c>
      <c r="E13">
        <v>19.445114</v>
      </c>
      <c r="F13">
        <v>28.345531000000001</v>
      </c>
      <c r="G13">
        <v>29.649846</v>
      </c>
      <c r="H13">
        <v>26.249628000000001</v>
      </c>
      <c r="I13">
        <v>22.431176000000001</v>
      </c>
      <c r="J13">
        <v>57.408253999999999</v>
      </c>
      <c r="K13">
        <v>50.917433000000003</v>
      </c>
      <c r="L13">
        <v>388.23265800000001</v>
      </c>
      <c r="M13">
        <v>-622.47510299999999</v>
      </c>
      <c r="N13">
        <v>1.9018660000000001</v>
      </c>
      <c r="O13">
        <v>4.4670480000000001</v>
      </c>
      <c r="P13">
        <f t="shared" si="0"/>
        <v>3.1697766666666667E-5</v>
      </c>
      <c r="Q13" cm="1">
        <f t="array" ref="Q13">[1]!PropsSI("D","T",J13+273.15,"P",101325,"Water")</f>
        <v>984.50917191379153</v>
      </c>
      <c r="R13" cm="1">
        <f t="array" ref="R13">[1]!PropsSI("D","T",K13+273.15,"P",101325,"Water")</f>
        <v>987.6173428437877</v>
      </c>
      <c r="S13">
        <f t="shared" si="1"/>
        <v>986.06325737878956</v>
      </c>
      <c r="T13" cm="1">
        <f t="array" ref="T13">[1]!PropsSI("H","T",J13+273.15,"P",101325,"Water")</f>
        <v>240403.78095387091</v>
      </c>
      <c r="U13" cm="1">
        <f t="array" ref="U13">[1]!PropsSI("H","T",K13+273.15,"P",101325,"Water")</f>
        <v>213254.71457771241</v>
      </c>
      <c r="V13">
        <f t="shared" si="2"/>
        <v>848.57130148409271</v>
      </c>
      <c r="X13">
        <f t="shared" si="3"/>
        <v>0.26481650800000001</v>
      </c>
      <c r="Y13">
        <f t="shared" si="3"/>
        <v>0.25183486599999999</v>
      </c>
      <c r="Z13">
        <f t="shared" si="9"/>
        <v>0.36544299506564909</v>
      </c>
      <c r="AA13">
        <f t="shared" si="8"/>
        <v>6.4908209999999968</v>
      </c>
      <c r="AB13">
        <f t="shared" si="5"/>
        <v>5.718268563162969E-2</v>
      </c>
      <c r="AC13">
        <f t="shared" si="6"/>
        <v>48.523585968787735</v>
      </c>
    </row>
    <row r="14" spans="1:29" x14ac:dyDescent="0.2">
      <c r="A14">
        <v>44675.059351692202</v>
      </c>
      <c r="B14">
        <v>17.733968000000001</v>
      </c>
      <c r="C14">
        <v>18.280543000000002</v>
      </c>
      <c r="D14">
        <v>19.107565999999998</v>
      </c>
      <c r="E14">
        <v>19.478010999999999</v>
      </c>
      <c r="F14">
        <v>28.787326</v>
      </c>
      <c r="G14">
        <v>30.946835</v>
      </c>
      <c r="H14">
        <v>26.127155999999999</v>
      </c>
      <c r="I14">
        <v>22.405280000000001</v>
      </c>
      <c r="J14">
        <v>57.404592000000001</v>
      </c>
      <c r="K14">
        <v>50.912824999999998</v>
      </c>
      <c r="L14">
        <v>378.94169399999998</v>
      </c>
      <c r="M14">
        <v>-622.47102199999995</v>
      </c>
      <c r="N14">
        <v>1.906067</v>
      </c>
      <c r="O14">
        <v>4.1935120000000001</v>
      </c>
      <c r="P14">
        <f t="shared" si="0"/>
        <v>3.1767783333333334E-5</v>
      </c>
      <c r="Q14" cm="1">
        <f t="array" ref="Q14">[1]!PropsSI("D","T",J14+273.15,"P",101325,"Water")</f>
        <v>984.51099906458444</v>
      </c>
      <c r="R14" cm="1">
        <f t="array" ref="R14">[1]!PropsSI("D","T",K14+273.15,"P",101325,"Water")</f>
        <v>987.61945454598992</v>
      </c>
      <c r="S14">
        <f t="shared" si="1"/>
        <v>986.06522680528724</v>
      </c>
      <c r="T14" cm="1">
        <f t="array" ref="T14">[1]!PropsSI("H","T",J14+273.15,"P",101325,"Water")</f>
        <v>240388.45961892029</v>
      </c>
      <c r="U14" cm="1">
        <f t="array" ref="U14">[1]!PropsSI("H","T",K14+273.15,"P",101325,"Water")</f>
        <v>213235.44572779632</v>
      </c>
      <c r="V14">
        <f t="shared" si="2"/>
        <v>850.57105132950596</v>
      </c>
      <c r="X14">
        <f t="shared" si="3"/>
        <v>0.26480918399999998</v>
      </c>
      <c r="Y14">
        <f t="shared" si="3"/>
        <v>0.25182565000000001</v>
      </c>
      <c r="Z14">
        <f t="shared" si="9"/>
        <v>0.36543133681810641</v>
      </c>
      <c r="AA14">
        <f t="shared" si="8"/>
        <v>6.491767000000003</v>
      </c>
      <c r="AB14">
        <f t="shared" si="5"/>
        <v>5.7172839484185618E-2</v>
      </c>
      <c r="AC14">
        <f t="shared" si="6"/>
        <v>48.62956218755685</v>
      </c>
    </row>
    <row r="15" spans="1:29" x14ac:dyDescent="0.2">
      <c r="A15">
        <v>46137.059386990739</v>
      </c>
      <c r="B15">
        <v>17.716787</v>
      </c>
      <c r="C15">
        <v>18.113790999999999</v>
      </c>
      <c r="D15">
        <v>19.138286000000001</v>
      </c>
      <c r="E15">
        <v>19.478097999999999</v>
      </c>
      <c r="F15">
        <v>28.427866000000002</v>
      </c>
      <c r="G15">
        <v>29.829620999999999</v>
      </c>
      <c r="H15">
        <v>26.147158999999998</v>
      </c>
      <c r="I15">
        <v>22.757482</v>
      </c>
      <c r="J15">
        <v>57.401088999999999</v>
      </c>
      <c r="K15">
        <v>50.913460000000001</v>
      </c>
      <c r="L15">
        <v>393.338932</v>
      </c>
      <c r="M15">
        <v>-622.47632799999997</v>
      </c>
      <c r="N15">
        <v>1.907673</v>
      </c>
      <c r="O15">
        <v>4.1132749999999998</v>
      </c>
      <c r="P15">
        <f t="shared" si="0"/>
        <v>3.1794549999999999E-5</v>
      </c>
      <c r="Q15" cm="1">
        <f t="array" ref="Q15">[1]!PropsSI("D","T",J15+273.15,"P",101325,"Water")</f>
        <v>984.51274680650806</v>
      </c>
      <c r="R15" cm="1">
        <f t="array" ref="R15">[1]!PropsSI("D","T",K15+273.15,"P",101325,"Water")</f>
        <v>987.61916355354413</v>
      </c>
      <c r="S15">
        <f t="shared" si="1"/>
        <v>986.06595518002609</v>
      </c>
      <c r="T15" cm="1">
        <f t="array" ref="T15">[1]!PropsSI("H","T",J15+273.15,"P",101325,"Water")</f>
        <v>240373.8035243589</v>
      </c>
      <c r="U15" cm="1">
        <f t="array" ref="U15">[1]!PropsSI("H","T",K15+273.15,"P",101325,"Water")</f>
        <v>213238.10104852438</v>
      </c>
      <c r="V15">
        <f t="shared" si="2"/>
        <v>850.74560884733125</v>
      </c>
      <c r="X15">
        <f t="shared" si="3"/>
        <v>0.264802178</v>
      </c>
      <c r="Y15">
        <f t="shared" si="3"/>
        <v>0.25182692000000001</v>
      </c>
      <c r="Z15">
        <f t="shared" si="9"/>
        <v>0.36542713515861147</v>
      </c>
      <c r="AA15">
        <f t="shared" si="8"/>
        <v>6.4876289999999983</v>
      </c>
      <c r="AB15">
        <f t="shared" si="5"/>
        <v>5.7207553055785947E-2</v>
      </c>
      <c r="AC15">
        <f t="shared" si="6"/>
        <v>48.669074555110619</v>
      </c>
    </row>
    <row r="16" spans="1:29" x14ac:dyDescent="0.2">
      <c r="A16">
        <v>46137.059421712962</v>
      </c>
      <c r="B16">
        <v>18.112427</v>
      </c>
      <c r="C16">
        <v>18.355294000000001</v>
      </c>
      <c r="D16">
        <v>19.106957000000001</v>
      </c>
      <c r="E16">
        <v>19.615891999999999</v>
      </c>
      <c r="F16">
        <v>28.950444000000001</v>
      </c>
      <c r="G16">
        <v>31.097280000000001</v>
      </c>
      <c r="H16">
        <v>25.885435000000001</v>
      </c>
      <c r="I16">
        <v>22.889431999999999</v>
      </c>
      <c r="J16">
        <v>57.396630999999999</v>
      </c>
      <c r="K16">
        <v>50.909804999999999</v>
      </c>
      <c r="L16">
        <v>388.64406500000001</v>
      </c>
      <c r="M16">
        <v>-622.48979599999996</v>
      </c>
      <c r="N16">
        <v>1.9079839999999999</v>
      </c>
      <c r="O16">
        <v>4.4743300000000001</v>
      </c>
      <c r="P16">
        <f t="shared" si="0"/>
        <v>3.1799733333333333E-5</v>
      </c>
      <c r="Q16" cm="1">
        <f t="array" ref="Q16">[1]!PropsSI("D","T",J16+273.15,"P",101325,"Water")</f>
        <v>984.51497091640306</v>
      </c>
      <c r="R16" cm="1">
        <f t="array" ref="R16">[1]!PropsSI("D","T",K16+273.15,"P",101325,"Water")</f>
        <v>987.62083844270364</v>
      </c>
      <c r="S16">
        <f t="shared" si="1"/>
        <v>986.06790467955329</v>
      </c>
      <c r="T16" cm="1">
        <f t="array" ref="T16">[1]!PropsSI("H","T",J16+273.15,"P",101325,"Water")</f>
        <v>240355.15184160342</v>
      </c>
      <c r="U16" cm="1">
        <f t="array" ref="U16">[1]!PropsSI("H","T",K16+273.15,"P",101325,"Water")</f>
        <v>213222.81727490053</v>
      </c>
      <c r="V16">
        <f t="shared" si="2"/>
        <v>850.78037810257729</v>
      </c>
      <c r="X16">
        <f t="shared" si="3"/>
        <v>0.26479326199999997</v>
      </c>
      <c r="Y16">
        <f t="shared" si="3"/>
        <v>0.25181960999999997</v>
      </c>
      <c r="Z16">
        <f t="shared" si="9"/>
        <v>0.36541563674965077</v>
      </c>
      <c r="AA16">
        <f t="shared" si="8"/>
        <v>6.4868260000000006</v>
      </c>
      <c r="AB16">
        <f t="shared" si="5"/>
        <v>5.7212673075407748E-2</v>
      </c>
      <c r="AC16">
        <f t="shared" si="6"/>
        <v>48.675419631354551</v>
      </c>
    </row>
    <row r="17" spans="1:29" x14ac:dyDescent="0.2">
      <c r="A17">
        <v>46137.059457013886</v>
      </c>
      <c r="B17">
        <v>17.935267</v>
      </c>
      <c r="C17">
        <v>18.362984999999998</v>
      </c>
      <c r="D17">
        <v>19.204232999999999</v>
      </c>
      <c r="E17">
        <v>19.616969000000001</v>
      </c>
      <c r="F17">
        <v>28.666861999999998</v>
      </c>
      <c r="G17">
        <v>31.241326000000001</v>
      </c>
      <c r="H17">
        <v>25.729790000000001</v>
      </c>
      <c r="I17">
        <v>22.620442000000001</v>
      </c>
      <c r="J17">
        <v>57.393763999999997</v>
      </c>
      <c r="K17">
        <v>50.912506999999998</v>
      </c>
      <c r="L17">
        <v>382.32887099999999</v>
      </c>
      <c r="M17">
        <v>-622.48612300000002</v>
      </c>
      <c r="N17">
        <v>1.8997520000000001</v>
      </c>
      <c r="O17">
        <v>4.2724149999999996</v>
      </c>
      <c r="P17">
        <f t="shared" si="0"/>
        <v>3.1662533333333337E-5</v>
      </c>
      <c r="Q17" cm="1">
        <f t="array" ref="Q17">[1]!PropsSI("D","T",J17+273.15,"P",101325,"Water")</f>
        <v>984.51640120792615</v>
      </c>
      <c r="R17" cm="1">
        <f t="array" ref="R17">[1]!PropsSI("D","T",K17+273.15,"P",101325,"Water")</f>
        <v>987.61960027033604</v>
      </c>
      <c r="S17">
        <f t="shared" si="1"/>
        <v>986.06800073913109</v>
      </c>
      <c r="T17" cm="1">
        <f t="array" ref="T17">[1]!PropsSI("H","T",J17+273.15,"P",101325,"Water")</f>
        <v>240343.15669674444</v>
      </c>
      <c r="U17" cm="1">
        <f t="array" ref="U17">[1]!PropsSI("H","T",K17+273.15,"P",101325,"Water")</f>
        <v>213234.11597665754</v>
      </c>
      <c r="V17">
        <f t="shared" si="2"/>
        <v>846.38250057435584</v>
      </c>
      <c r="X17">
        <f t="shared" si="3"/>
        <v>0.26478752799999999</v>
      </c>
      <c r="Y17">
        <f t="shared" si="3"/>
        <v>0.25182501400000001</v>
      </c>
      <c r="Z17">
        <f t="shared" si="9"/>
        <v>0.36541520584186282</v>
      </c>
      <c r="AA17">
        <f t="shared" si="8"/>
        <v>6.4812569999999994</v>
      </c>
      <c r="AB17">
        <f t="shared" si="5"/>
        <v>5.7260266201875597E-2</v>
      </c>
      <c r="AC17">
        <f t="shared" si="6"/>
        <v>48.464087291496739</v>
      </c>
    </row>
    <row r="18" spans="1:29" x14ac:dyDescent="0.2">
      <c r="A18">
        <v>46137.059491736109</v>
      </c>
      <c r="B18">
        <v>17.992781999999998</v>
      </c>
      <c r="C18">
        <v>18.530873</v>
      </c>
      <c r="D18">
        <v>19.364464000000002</v>
      </c>
      <c r="E18">
        <v>19.73948</v>
      </c>
      <c r="F18">
        <v>28.928474000000001</v>
      </c>
      <c r="G18">
        <v>30.768332000000001</v>
      </c>
      <c r="H18">
        <v>26.293491</v>
      </c>
      <c r="I18">
        <v>22.834769000000001</v>
      </c>
      <c r="J18">
        <v>57.388509999999997</v>
      </c>
      <c r="K18">
        <v>50.916162</v>
      </c>
      <c r="L18">
        <v>395.295569</v>
      </c>
      <c r="M18">
        <v>-622.45265500000005</v>
      </c>
      <c r="N18">
        <v>1.911041</v>
      </c>
      <c r="O18">
        <v>4.3764029999999998</v>
      </c>
      <c r="P18">
        <f t="shared" si="0"/>
        <v>3.1850683333333333E-5</v>
      </c>
      <c r="Q18" cm="1">
        <f t="array" ref="Q18">[1]!PropsSI("D","T",J18+273.15,"P",101325,"Water")</f>
        <v>984.51902219883129</v>
      </c>
      <c r="R18" cm="1">
        <f t="array" ref="R18">[1]!PropsSI("D","T",K18+273.15,"P",101325,"Water")</f>
        <v>987.61792531707374</v>
      </c>
      <c r="S18">
        <f t="shared" si="1"/>
        <v>986.06847375795246</v>
      </c>
      <c r="T18" cm="1">
        <f t="array" ref="T18">[1]!PropsSI("H","T",J18+273.15,"P",101325,"Water")</f>
        <v>240321.1746713813</v>
      </c>
      <c r="U18" cm="1">
        <f t="array" ref="U18">[1]!PropsSI("H","T",K18+273.15,"P",101325,"Water")</f>
        <v>213249.39975321988</v>
      </c>
      <c r="V18">
        <f t="shared" si="2"/>
        <v>850.24200857497397</v>
      </c>
      <c r="X18">
        <f t="shared" si="3"/>
        <v>0.26477701999999997</v>
      </c>
      <c r="Y18">
        <f t="shared" si="3"/>
        <v>0.251832324</v>
      </c>
      <c r="Z18">
        <f t="shared" si="9"/>
        <v>0.36541262940861985</v>
      </c>
      <c r="AA18">
        <f t="shared" si="8"/>
        <v>6.4723479999999967</v>
      </c>
      <c r="AB18">
        <f t="shared" si="5"/>
        <v>5.733628905359018E-2</v>
      </c>
      <c r="AC18">
        <f t="shared" si="6"/>
        <v>48.74972156915981</v>
      </c>
    </row>
    <row r="19" spans="1:29" x14ac:dyDescent="0.2">
      <c r="A19">
        <v>46137.05952703704</v>
      </c>
      <c r="B19">
        <v>17.795691999999999</v>
      </c>
      <c r="C19">
        <v>18.162427999999998</v>
      </c>
      <c r="D19">
        <v>19.406359999999999</v>
      </c>
      <c r="E19">
        <v>19.733754999999999</v>
      </c>
      <c r="F19">
        <v>28.609535000000001</v>
      </c>
      <c r="G19">
        <v>30.240534</v>
      </c>
      <c r="H19">
        <v>25.863706000000001</v>
      </c>
      <c r="I19">
        <v>22.710940999999998</v>
      </c>
      <c r="J19">
        <v>57.38644</v>
      </c>
      <c r="K19">
        <v>50.917273999999999</v>
      </c>
      <c r="L19">
        <v>371.89959800000003</v>
      </c>
      <c r="M19">
        <v>-622.49142900000004</v>
      </c>
      <c r="N19">
        <v>1.905591</v>
      </c>
      <c r="O19">
        <v>4.76478</v>
      </c>
      <c r="P19">
        <f t="shared" si="0"/>
        <v>3.1759850000000004E-5</v>
      </c>
      <c r="Q19" cm="1">
        <f t="array" ref="Q19">[1]!PropsSI("D","T",J19+273.15,"P",101325,"Water")</f>
        <v>984.52005478543765</v>
      </c>
      <c r="R19" cm="1">
        <f t="array" ref="R19">[1]!PropsSI("D","T",K19+273.15,"P",101325,"Water")</f>
        <v>987.61741571078971</v>
      </c>
      <c r="S19">
        <f t="shared" si="1"/>
        <v>986.06873524811363</v>
      </c>
      <c r="T19" cm="1">
        <f t="array" ref="T19">[1]!PropsSI("H","T",J19+273.15,"P",101325,"Water")</f>
        <v>240312.51407436302</v>
      </c>
      <c r="U19" cm="1">
        <f t="array" ref="U19">[1]!PropsSI("H","T",K19+273.15,"P",101325,"Water")</f>
        <v>213254.04970193736</v>
      </c>
      <c r="V19">
        <f t="shared" si="2"/>
        <v>847.40062012335045</v>
      </c>
      <c r="X19">
        <f t="shared" si="3"/>
        <v>0.26477287999999999</v>
      </c>
      <c r="Y19">
        <f t="shared" si="3"/>
        <v>0.25183454799999999</v>
      </c>
      <c r="Z19">
        <f t="shared" si="9"/>
        <v>0.36541116232247023</v>
      </c>
      <c r="AA19">
        <f t="shared" si="8"/>
        <v>6.4691660000000013</v>
      </c>
      <c r="AB19">
        <f t="shared" si="5"/>
        <v>5.7363410178429594E-2</v>
      </c>
      <c r="AC19">
        <f t="shared" si="6"/>
        <v>48.609789357591353</v>
      </c>
    </row>
    <row r="20" spans="1:29" x14ac:dyDescent="0.2">
      <c r="A20">
        <v>46137.059561759263</v>
      </c>
      <c r="B20">
        <v>17.697092000000001</v>
      </c>
      <c r="C20">
        <v>18.334555999999999</v>
      </c>
      <c r="D20">
        <v>19.241811999999999</v>
      </c>
      <c r="E20">
        <v>19.735676999999999</v>
      </c>
      <c r="F20">
        <v>28.739685999999999</v>
      </c>
      <c r="G20">
        <v>30.817191999999999</v>
      </c>
      <c r="H20">
        <v>26.207967</v>
      </c>
      <c r="I20">
        <v>22.141763000000001</v>
      </c>
      <c r="J20">
        <v>57.381663000000003</v>
      </c>
      <c r="K20">
        <v>50.917909999999999</v>
      </c>
      <c r="L20">
        <v>390.42193600000002</v>
      </c>
      <c r="M20">
        <v>-622.48449100000005</v>
      </c>
      <c r="N20">
        <v>1.9129670000000001</v>
      </c>
      <c r="O20">
        <v>4.3237800000000002</v>
      </c>
      <c r="P20">
        <f t="shared" si="0"/>
        <v>3.1882783333333336E-5</v>
      </c>
      <c r="Q20" cm="1">
        <f t="array" ref="Q20">[1]!PropsSI("D","T",J20+273.15,"P",101325,"Water")</f>
        <v>984.52243761687896</v>
      </c>
      <c r="R20" cm="1">
        <f t="array" ref="R20">[1]!PropsSI("D","T",K20+273.15,"P",101325,"Water")</f>
        <v>987.6171242417422</v>
      </c>
      <c r="S20">
        <f t="shared" si="1"/>
        <v>986.06978092931058</v>
      </c>
      <c r="T20" cm="1">
        <f t="array" ref="T20">[1]!PropsSI("H","T",J20+273.15,"P",101325,"Water")</f>
        <v>240292.52776594597</v>
      </c>
      <c r="U20" cm="1">
        <f t="array" ref="U20">[1]!PropsSI("H","T",K20+273.15,"P",101325,"Water")</f>
        <v>213256.70920508626</v>
      </c>
      <c r="V20">
        <f t="shared" si="2"/>
        <v>849.96961494564073</v>
      </c>
      <c r="X20">
        <f t="shared" si="3"/>
        <v>0.26476332600000002</v>
      </c>
      <c r="Y20">
        <f t="shared" si="3"/>
        <v>0.25183581999999999</v>
      </c>
      <c r="Z20">
        <f t="shared" si="9"/>
        <v>0.36540511631565137</v>
      </c>
      <c r="AA20">
        <f t="shared" si="8"/>
        <v>6.4637530000000041</v>
      </c>
      <c r="AB20">
        <f t="shared" si="5"/>
        <v>5.7409068182309404E-2</v>
      </c>
      <c r="AC20">
        <f t="shared" si="6"/>
        <v>48.795963577305557</v>
      </c>
    </row>
    <row r="21" spans="1:29" x14ac:dyDescent="0.2">
      <c r="A21">
        <v>46137.059597060186</v>
      </c>
      <c r="B21">
        <v>17.604821000000001</v>
      </c>
      <c r="C21">
        <v>18.215008999999998</v>
      </c>
      <c r="D21">
        <v>19.223507999999999</v>
      </c>
      <c r="E21">
        <v>19.699940999999999</v>
      </c>
      <c r="F21">
        <v>28.407274000000001</v>
      </c>
      <c r="G21">
        <v>30.977692000000001</v>
      </c>
      <c r="H21">
        <v>25.977042000000001</v>
      </c>
      <c r="I21">
        <v>22.670496</v>
      </c>
      <c r="J21">
        <v>57.377682</v>
      </c>
      <c r="K21">
        <v>50.915526</v>
      </c>
      <c r="L21">
        <v>391.83574199999998</v>
      </c>
      <c r="M21">
        <v>-622.48816399999998</v>
      </c>
      <c r="N21">
        <v>1.9088449999999999</v>
      </c>
      <c r="O21">
        <v>4.1650340000000003</v>
      </c>
      <c r="P21">
        <f t="shared" si="0"/>
        <v>3.1814083333333334E-5</v>
      </c>
      <c r="Q21" cm="1">
        <f t="array" ref="Q21">[1]!PropsSI("D","T",J21+273.15,"P",101325,"Water")</f>
        <v>984.52442328725283</v>
      </c>
      <c r="R21" cm="1">
        <f t="array" ref="R21">[1]!PropsSI("D","T",K21+273.15,"P",101325,"Water")</f>
        <v>987.61821677891351</v>
      </c>
      <c r="S21">
        <f t="shared" si="1"/>
        <v>986.07132003308311</v>
      </c>
      <c r="T21" cm="1">
        <f t="array" ref="T21">[1]!PropsSI("H","T",J21+273.15,"P",101325,"Water")</f>
        <v>240275.87181853142</v>
      </c>
      <c r="U21" cm="1">
        <f t="array" ref="U21">[1]!PropsSI("H","T",K21+273.15,"P",101325,"Water")</f>
        <v>213246.74025042829</v>
      </c>
      <c r="V21">
        <f t="shared" si="2"/>
        <v>847.929674116206</v>
      </c>
      <c r="X21">
        <f t="shared" si="3"/>
        <v>0.26475536399999999</v>
      </c>
      <c r="Y21">
        <f t="shared" si="3"/>
        <v>0.251831052</v>
      </c>
      <c r="Z21">
        <f t="shared" si="9"/>
        <v>0.36539606116951945</v>
      </c>
      <c r="AA21">
        <f t="shared" si="8"/>
        <v>6.4621560000000002</v>
      </c>
      <c r="AB21">
        <f t="shared" si="5"/>
        <v>5.742144548287783E-2</v>
      </c>
      <c r="AC21">
        <f t="shared" si="6"/>
        <v>48.689347555578088</v>
      </c>
    </row>
    <row r="22" spans="1:29" x14ac:dyDescent="0.2">
      <c r="A22">
        <v>46137.05963236111</v>
      </c>
      <c r="B22">
        <v>17.558999</v>
      </c>
      <c r="C22">
        <v>18.274635</v>
      </c>
      <c r="D22">
        <v>19.11572</v>
      </c>
      <c r="E22">
        <v>19.666754999999998</v>
      </c>
      <c r="F22">
        <v>28.594532999999998</v>
      </c>
      <c r="G22">
        <v>30.486812</v>
      </c>
      <c r="H22">
        <v>26.215782000000001</v>
      </c>
      <c r="I22">
        <v>22.539642000000001</v>
      </c>
      <c r="J22">
        <v>57.373702000000002</v>
      </c>
      <c r="K22">
        <v>50.912506999999998</v>
      </c>
      <c r="L22">
        <v>380.79792800000001</v>
      </c>
      <c r="M22">
        <v>-622.49918400000001</v>
      </c>
      <c r="N22">
        <v>1.90907</v>
      </c>
      <c r="O22">
        <v>4.3948679999999998</v>
      </c>
      <c r="P22">
        <f t="shared" si="0"/>
        <v>3.1817833333333332E-5</v>
      </c>
      <c r="Q22" cm="1">
        <f t="array" ref="Q22">[1]!PropsSI("D","T",J22+273.15,"P",101325,"Water")</f>
        <v>984.52640836286491</v>
      </c>
      <c r="R22" cm="1">
        <f t="array" ref="R22">[1]!PropsSI("D","T",K22+273.15,"P",101325,"Water")</f>
        <v>987.61960027033604</v>
      </c>
      <c r="S22">
        <f t="shared" si="1"/>
        <v>986.07300431660042</v>
      </c>
      <c r="T22" cm="1">
        <f t="array" ref="T22">[1]!PropsSI("H","T",J22+273.15,"P",101325,"Water")</f>
        <v>240259.22006123787</v>
      </c>
      <c r="U22" cm="1">
        <f t="array" ref="U22">[1]!PropsSI("H","T",K22+273.15,"P",101325,"Water")</f>
        <v>213234.11597665754</v>
      </c>
      <c r="V22">
        <f t="shared" si="2"/>
        <v>847.90470894361692</v>
      </c>
      <c r="X22">
        <f t="shared" si="3"/>
        <v>0.26474740400000002</v>
      </c>
      <c r="Y22">
        <f t="shared" si="3"/>
        <v>0.25182501400000001</v>
      </c>
      <c r="Z22">
        <f t="shared" si="9"/>
        <v>0.3653861321955712</v>
      </c>
      <c r="AA22">
        <f t="shared" si="8"/>
        <v>6.4611950000000036</v>
      </c>
      <c r="AB22">
        <f t="shared" si="5"/>
        <v>5.7428213774192223E-2</v>
      </c>
      <c r="AC22">
        <f t="shared" si="6"/>
        <v>48.693652885358269</v>
      </c>
    </row>
    <row r="23" spans="1:29" x14ac:dyDescent="0.2">
      <c r="A23">
        <v>46137.059667662033</v>
      </c>
      <c r="B23">
        <v>17.755799</v>
      </c>
      <c r="C23">
        <v>18.487062999999999</v>
      </c>
      <c r="D23">
        <v>19.165621999999999</v>
      </c>
      <c r="E23">
        <v>19.725940999999999</v>
      </c>
      <c r="F23">
        <v>28.220379999999999</v>
      </c>
      <c r="G23">
        <v>30.237570000000002</v>
      </c>
      <c r="H23">
        <v>25.946383000000001</v>
      </c>
      <c r="I23">
        <v>22.683600999999999</v>
      </c>
      <c r="J23">
        <v>57.368288</v>
      </c>
      <c r="K23">
        <v>50.909804999999999</v>
      </c>
      <c r="L23">
        <v>378.351111</v>
      </c>
      <c r="M23">
        <v>-622.51877500000001</v>
      </c>
      <c r="N23">
        <v>1.9064110000000001</v>
      </c>
      <c r="O23">
        <v>4.3508100000000001</v>
      </c>
      <c r="P23">
        <f t="shared" si="0"/>
        <v>3.1773516666666673E-5</v>
      </c>
      <c r="Q23" cm="1">
        <f t="array" ref="Q23">[1]!PropsSI("D","T",J23+273.15,"P",101325,"Water")</f>
        <v>984.52910851013155</v>
      </c>
      <c r="R23" cm="1">
        <f t="array" ref="R23">[1]!PropsSI("D","T",K23+273.15,"P",101325,"Water")</f>
        <v>987.62083844270364</v>
      </c>
      <c r="S23">
        <f t="shared" si="1"/>
        <v>986.07497347641765</v>
      </c>
      <c r="T23" cm="1">
        <f t="array" ref="T23">[1]!PropsSI("H","T",J23+273.15,"P",101325,"Water")</f>
        <v>240236.56866087698</v>
      </c>
      <c r="U23" cm="1">
        <f t="array" ref="U23">[1]!PropsSI("H","T",K23+273.15,"P",101325,"Water")</f>
        <v>213222.81727490053</v>
      </c>
      <c r="V23">
        <f t="shared" si="2"/>
        <v>846.36972494825216</v>
      </c>
      <c r="X23">
        <f t="shared" si="3"/>
        <v>0.264736576</v>
      </c>
      <c r="Y23">
        <f t="shared" si="3"/>
        <v>0.25181960999999997</v>
      </c>
      <c r="Z23">
        <f t="shared" si="9"/>
        <v>0.36537456213145963</v>
      </c>
      <c r="AA23">
        <f t="shared" si="8"/>
        <v>6.4584830000000011</v>
      </c>
      <c r="AB23">
        <f t="shared" si="5"/>
        <v>5.7449833466658315E-2</v>
      </c>
      <c r="AC23">
        <f t="shared" si="6"/>
        <v>48.623799749498488</v>
      </c>
    </row>
    <row r="24" spans="1:29" x14ac:dyDescent="0.2">
      <c r="A24">
        <v>46137.059702384257</v>
      </c>
      <c r="B24">
        <v>17.785266</v>
      </c>
      <c r="C24">
        <v>18.701066000000001</v>
      </c>
      <c r="D24">
        <v>18.999354</v>
      </c>
      <c r="E24">
        <v>19.72739</v>
      </c>
      <c r="F24">
        <v>28.771730000000002</v>
      </c>
      <c r="G24">
        <v>31.330134999999999</v>
      </c>
      <c r="H24">
        <v>26.115452000000001</v>
      </c>
      <c r="I24">
        <v>22.568605000000002</v>
      </c>
      <c r="J24">
        <v>57.365262999999999</v>
      </c>
      <c r="K24">
        <v>50.910440999999999</v>
      </c>
      <c r="L24">
        <v>388.97996699999999</v>
      </c>
      <c r="M24">
        <v>-622.48612300000002</v>
      </c>
      <c r="N24">
        <v>1.910377</v>
      </c>
      <c r="O24">
        <v>4.3192940000000002</v>
      </c>
      <c r="P24">
        <f t="shared" si="0"/>
        <v>3.1839616666666669E-5</v>
      </c>
      <c r="Q24" cm="1">
        <f t="array" ref="Q24">[1]!PropsSI("D","T",J24+273.15,"P",101325,"Water")</f>
        <v>984.53061710391546</v>
      </c>
      <c r="R24" cm="1">
        <f t="array" ref="R24">[1]!PropsSI("D","T",K24+273.15,"P",101325,"Water")</f>
        <v>987.62054700446492</v>
      </c>
      <c r="S24">
        <f t="shared" si="1"/>
        <v>986.07558205419014</v>
      </c>
      <c r="T24" cm="1">
        <f t="array" ref="T24">[1]!PropsSI("H","T",J24+273.15,"P",101325,"Water")</f>
        <v>240223.91249931895</v>
      </c>
      <c r="U24" cm="1">
        <f t="array" ref="U24">[1]!PropsSI("H","T",K24+273.15,"P",101325,"Water")</f>
        <v>213225.47677668944</v>
      </c>
      <c r="V24">
        <f t="shared" si="2"/>
        <v>847.65013802568183</v>
      </c>
      <c r="X24">
        <f t="shared" si="3"/>
        <v>0.26473052600000002</v>
      </c>
      <c r="Y24">
        <f t="shared" si="3"/>
        <v>0.25182088199999997</v>
      </c>
      <c r="Z24">
        <f t="shared" si="9"/>
        <v>0.3653710552404153</v>
      </c>
      <c r="AA24">
        <f t="shared" si="8"/>
        <v>6.4548220000000001</v>
      </c>
      <c r="AB24">
        <f t="shared" si="5"/>
        <v>5.7480895463595111E-2</v>
      </c>
      <c r="AC24">
        <f t="shared" si="6"/>
        <v>48.723688973556186</v>
      </c>
    </row>
    <row r="25" spans="1:29" x14ac:dyDescent="0.2">
      <c r="A25">
        <v>46137.059737685187</v>
      </c>
      <c r="B25">
        <v>17.757207000000001</v>
      </c>
      <c r="C25">
        <v>18.573784</v>
      </c>
      <c r="D25">
        <v>18.951656</v>
      </c>
      <c r="E25">
        <v>19.646864999999998</v>
      </c>
      <c r="F25">
        <v>28.642748000000001</v>
      </c>
      <c r="G25">
        <v>30.561229999999998</v>
      </c>
      <c r="H25">
        <v>26.316642000000002</v>
      </c>
      <c r="I25">
        <v>22.751124000000001</v>
      </c>
      <c r="J25">
        <v>57.362077999999997</v>
      </c>
      <c r="K25">
        <v>50.909328000000002</v>
      </c>
      <c r="L25">
        <v>381.63013100000001</v>
      </c>
      <c r="M25">
        <v>-622.49510199999997</v>
      </c>
      <c r="N25">
        <v>1.908787</v>
      </c>
      <c r="O25">
        <v>4.489363</v>
      </c>
      <c r="P25">
        <f t="shared" si="0"/>
        <v>3.1813116666666665E-5</v>
      </c>
      <c r="Q25" cm="1">
        <f t="array" ref="Q25">[1]!PropsSI("D","T",J25+273.15,"P",101325,"Water")</f>
        <v>984.53220543116947</v>
      </c>
      <c r="R25" cm="1">
        <f t="array" ref="R25">[1]!PropsSI("D","T",K25+273.15,"P",101325,"Water")</f>
        <v>987.62105701964481</v>
      </c>
      <c r="S25">
        <f t="shared" si="1"/>
        <v>986.07663122540714</v>
      </c>
      <c r="T25" cm="1">
        <f t="array" ref="T25">[1]!PropsSI("H","T",J25+273.15,"P",101325,"Water")</f>
        <v>240210.5869248989</v>
      </c>
      <c r="U25" cm="1">
        <f t="array" ref="U25">[1]!PropsSI("H","T",K25+273.15,"P",101325,"Water")</f>
        <v>213220.82264866895</v>
      </c>
      <c r="V25">
        <f t="shared" si="2"/>
        <v>846.67351820501415</v>
      </c>
      <c r="X25">
        <f t="shared" si="3"/>
        <v>0.26472415599999999</v>
      </c>
      <c r="Y25">
        <f t="shared" si="3"/>
        <v>0.25181865599999997</v>
      </c>
      <c r="Z25">
        <f t="shared" si="9"/>
        <v>0.36536490564852919</v>
      </c>
      <c r="AA25">
        <f t="shared" si="8"/>
        <v>6.4527499999999947</v>
      </c>
      <c r="AB25">
        <f t="shared" si="5"/>
        <v>5.7497855740637878E-2</v>
      </c>
      <c r="AC25">
        <f t="shared" si="6"/>
        <v>48.681911809170245</v>
      </c>
    </row>
    <row r="26" spans="1:29" x14ac:dyDescent="0.2">
      <c r="A26">
        <v>46137.059772986111</v>
      </c>
      <c r="B26">
        <v>17.911792999999999</v>
      </c>
      <c r="C26">
        <v>18.465668000000001</v>
      </c>
      <c r="D26">
        <v>19.009262</v>
      </c>
      <c r="E26">
        <v>19.635425000000001</v>
      </c>
      <c r="F26">
        <v>28.487397999999999</v>
      </c>
      <c r="G26">
        <v>30.833217999999999</v>
      </c>
      <c r="H26">
        <v>26.276271999999999</v>
      </c>
      <c r="I26">
        <v>21.724112000000002</v>
      </c>
      <c r="J26">
        <v>57.357619999999997</v>
      </c>
      <c r="K26">
        <v>50.905197000000001</v>
      </c>
      <c r="L26">
        <v>389.44239299999998</v>
      </c>
      <c r="M26">
        <v>-622.51550899999995</v>
      </c>
      <c r="N26">
        <v>1.907529</v>
      </c>
      <c r="O26">
        <v>4.3633139999999999</v>
      </c>
      <c r="P26">
        <f t="shared" si="0"/>
        <v>3.179215E-5</v>
      </c>
      <c r="Q26" cm="1">
        <f t="array" ref="Q26">[1]!PropsSI("D","T",J26+273.15,"P",101325,"Water")</f>
        <v>984.53442848739576</v>
      </c>
      <c r="R26" cm="1">
        <f t="array" ref="R26">[1]!PropsSI("D","T",K26+273.15,"P",101325,"Water")</f>
        <v>987.62294991673434</v>
      </c>
      <c r="S26">
        <f t="shared" si="1"/>
        <v>986.07868920206511</v>
      </c>
      <c r="T26" cm="1">
        <f t="array" ref="T26">[1]!PropsSI("H","T",J26+273.15,"P",101325,"Water")</f>
        <v>240191.93531131605</v>
      </c>
      <c r="U26" cm="1">
        <f t="array" ref="U26">[1]!PropsSI("H","T",K26+273.15,"P",101325,"Water")</f>
        <v>213203.54843545373</v>
      </c>
      <c r="V26">
        <f t="shared" si="2"/>
        <v>846.07409682020648</v>
      </c>
      <c r="X26">
        <f t="shared" si="3"/>
        <v>0.26471524000000002</v>
      </c>
      <c r="Y26">
        <f t="shared" si="3"/>
        <v>0.25181039399999999</v>
      </c>
      <c r="Z26">
        <f t="shared" si="9"/>
        <v>0.36535275120723104</v>
      </c>
      <c r="AA26">
        <f t="shared" si="8"/>
        <v>6.452422999999996</v>
      </c>
      <c r="AB26">
        <f t="shared" si="5"/>
        <v>5.7498826519771423E-2</v>
      </c>
      <c r="AC26">
        <f t="shared" si="6"/>
        <v>48.648267715937344</v>
      </c>
    </row>
    <row r="27" spans="1:29" x14ac:dyDescent="0.2">
      <c r="A27">
        <v>46137.059807708334</v>
      </c>
      <c r="B27">
        <v>17.649215999999999</v>
      </c>
      <c r="C27">
        <v>18.213179</v>
      </c>
      <c r="D27">
        <v>19.024211000000001</v>
      </c>
      <c r="E27">
        <v>19.585505999999999</v>
      </c>
      <c r="F27">
        <v>28.431387999999998</v>
      </c>
      <c r="G27">
        <v>29.417247</v>
      </c>
      <c r="H27">
        <v>26.082215000000001</v>
      </c>
      <c r="I27">
        <v>22.633475000000001</v>
      </c>
      <c r="J27">
        <v>57.351728000000001</v>
      </c>
      <c r="K27">
        <v>50.898522</v>
      </c>
      <c r="L27">
        <v>395.65963299999999</v>
      </c>
      <c r="M27">
        <v>-622.49428599999999</v>
      </c>
      <c r="N27">
        <v>1.9068449999999999</v>
      </c>
      <c r="O27">
        <v>4.0645150000000001</v>
      </c>
      <c r="P27">
        <f t="shared" si="0"/>
        <v>3.1780749999999996E-5</v>
      </c>
      <c r="Q27" cm="1">
        <f t="array" ref="Q27">[1]!PropsSI("D","T",J27+273.15,"P",101325,"Water")</f>
        <v>984.53736644694914</v>
      </c>
      <c r="R27" cm="1">
        <f t="array" ref="R27">[1]!PropsSI("D","T",K27+273.15,"P",101325,"Water")</f>
        <v>987.6260082853704</v>
      </c>
      <c r="S27">
        <f t="shared" si="1"/>
        <v>986.08168736615971</v>
      </c>
      <c r="T27" cm="1">
        <f t="array" ref="T27">[1]!PropsSI("H","T",J27+273.15,"P",101325,"Water")</f>
        <v>240167.28406563401</v>
      </c>
      <c r="U27" cm="1">
        <f t="array" ref="U27">[1]!PropsSI("H","T",K27+273.15,"P",101325,"Water")</f>
        <v>213175.636228074</v>
      </c>
      <c r="V27">
        <f t="shared" si="2"/>
        <v>845.87547727799199</v>
      </c>
      <c r="X27">
        <f t="shared" si="3"/>
        <v>0.264703456</v>
      </c>
      <c r="Y27">
        <f t="shared" si="3"/>
        <v>0.25179704400000003</v>
      </c>
      <c r="Z27">
        <f t="shared" si="9"/>
        <v>0.36533501198965573</v>
      </c>
      <c r="AA27">
        <f t="shared" si="8"/>
        <v>6.4532060000000016</v>
      </c>
      <c r="AB27">
        <f t="shared" si="5"/>
        <v>5.7489353935769087E-2</v>
      </c>
      <c r="AC27">
        <f t="shared" si="6"/>
        <v>48.628834698822082</v>
      </c>
    </row>
    <row r="28" spans="1:29" x14ac:dyDescent="0.2">
      <c r="A28">
        <v>46137.059843009258</v>
      </c>
      <c r="B28">
        <v>17.775110000000002</v>
      </c>
      <c r="C28">
        <v>18.658536000000002</v>
      </c>
      <c r="D28">
        <v>18.999466999999999</v>
      </c>
      <c r="E28">
        <v>19.571878999999999</v>
      </c>
      <c r="F28">
        <v>28.474132000000001</v>
      </c>
      <c r="G28">
        <v>29.815937999999999</v>
      </c>
      <c r="H28">
        <v>25.723707000000001</v>
      </c>
      <c r="I28">
        <v>22.565626000000002</v>
      </c>
      <c r="J28">
        <v>57.348224999999999</v>
      </c>
      <c r="K28">
        <v>50.893596000000002</v>
      </c>
      <c r="L28">
        <v>380.237548</v>
      </c>
      <c r="M28">
        <v>-622.48122499999999</v>
      </c>
      <c r="N28">
        <v>1.9036649999999999</v>
      </c>
      <c r="O28">
        <v>4.5062389999999999</v>
      </c>
      <c r="P28">
        <f t="shared" si="0"/>
        <v>3.1727750000000001E-5</v>
      </c>
      <c r="Q28" cm="1">
        <f t="array" ref="Q28">[1]!PropsSI("D","T",J28+273.15,"P",101325,"Water")</f>
        <v>984.53911306686098</v>
      </c>
      <c r="R28" cm="1">
        <f t="array" ref="R28">[1]!PropsSI("D","T",K28+273.15,"P",101325,"Water")</f>
        <v>987.62826510720322</v>
      </c>
      <c r="S28">
        <f t="shared" si="1"/>
        <v>986.0836890870321</v>
      </c>
      <c r="T28" cm="1">
        <f t="array" ref="T28">[1]!PropsSI("H","T",J28+273.15,"P",101325,"Water")</f>
        <v>240152.62804474554</v>
      </c>
      <c r="U28" cm="1">
        <f t="array" ref="U28">[1]!PropsSI("H","T",K28+273.15,"P",101325,"Water")</f>
        <v>213155.03765475858</v>
      </c>
      <c r="V28">
        <f t="shared" si="2"/>
        <v>844.65246511244868</v>
      </c>
      <c r="X28">
        <f t="shared" si="3"/>
        <v>0.26469644999999997</v>
      </c>
      <c r="Y28">
        <f t="shared" si="3"/>
        <v>0.25178719199999999</v>
      </c>
      <c r="Z28">
        <f t="shared" si="9"/>
        <v>0.36532314558189072</v>
      </c>
      <c r="AA28">
        <f t="shared" si="8"/>
        <v>6.4546289999999971</v>
      </c>
      <c r="AB28">
        <f t="shared" si="5"/>
        <v>5.7475252851164171E-2</v>
      </c>
      <c r="AC28">
        <f t="shared" si="6"/>
        <v>48.546614003697108</v>
      </c>
    </row>
    <row r="29" spans="1:29" x14ac:dyDescent="0.2">
      <c r="A29">
        <v>46137.059877731481</v>
      </c>
      <c r="B29">
        <v>17.736097000000001</v>
      </c>
      <c r="C29">
        <v>18.340050999999999</v>
      </c>
      <c r="D29">
        <v>19.077679</v>
      </c>
      <c r="E29">
        <v>19.554905000000002</v>
      </c>
      <c r="F29">
        <v>28.216152999999998</v>
      </c>
      <c r="G29">
        <v>30.009710999999999</v>
      </c>
      <c r="H29">
        <v>25.769237</v>
      </c>
      <c r="I29">
        <v>22.570564000000001</v>
      </c>
      <c r="J29">
        <v>57.342970999999999</v>
      </c>
      <c r="K29">
        <v>50.889623</v>
      </c>
      <c r="L29">
        <v>376.356517</v>
      </c>
      <c r="M29">
        <v>-622.48204199999998</v>
      </c>
      <c r="N29">
        <v>1.902223</v>
      </c>
      <c r="O29">
        <v>4.3274270000000001</v>
      </c>
      <c r="P29">
        <f t="shared" si="0"/>
        <v>3.1703716666666669E-5</v>
      </c>
      <c r="Q29" cm="1">
        <f t="array" ref="Q29">[1]!PropsSI("D","T",J29+273.15,"P",101325,"Water")</f>
        <v>984.54173260803839</v>
      </c>
      <c r="R29" cm="1">
        <f t="array" ref="R29">[1]!PropsSI("D","T",K29+273.15,"P",101325,"Water")</f>
        <v>987.63008520217272</v>
      </c>
      <c r="S29">
        <f t="shared" si="1"/>
        <v>986.0859089051055</v>
      </c>
      <c r="T29" cm="1">
        <f t="array" ref="T29">[1]!PropsSI("H","T",J29+273.15,"P",101325,"Water")</f>
        <v>240130.64611445865</v>
      </c>
      <c r="U29" cm="1">
        <f t="array" ref="U29">[1]!PropsSI("H","T",K29+273.15,"P",101325,"Water")</f>
        <v>213138.42415377658</v>
      </c>
      <c r="V29">
        <f t="shared" si="2"/>
        <v>843.84672151213374</v>
      </c>
      <c r="X29">
        <f t="shared" si="3"/>
        <v>0.26468594200000001</v>
      </c>
      <c r="Y29">
        <f t="shared" si="3"/>
        <v>0.25177924600000001</v>
      </c>
      <c r="Z29">
        <f t="shared" si="9"/>
        <v>0.36531005544435247</v>
      </c>
      <c r="AA29">
        <f t="shared" si="8"/>
        <v>6.4533479999999983</v>
      </c>
      <c r="AB29">
        <f t="shared" si="5"/>
        <v>5.7484318947343134E-2</v>
      </c>
      <c r="AC29">
        <f t="shared" si="6"/>
        <v>48.507954082073333</v>
      </c>
    </row>
    <row r="30" spans="1:29" x14ac:dyDescent="0.2">
      <c r="A30">
        <v>46137.059913032404</v>
      </c>
      <c r="B30">
        <v>17.560912999999999</v>
      </c>
      <c r="C30">
        <v>18.166857</v>
      </c>
      <c r="D30">
        <v>18.865639000000002</v>
      </c>
      <c r="E30">
        <v>19.590228</v>
      </c>
      <c r="F30">
        <v>28.202439999999999</v>
      </c>
      <c r="G30">
        <v>30.357627999999998</v>
      </c>
      <c r="H30">
        <v>26.252918000000001</v>
      </c>
      <c r="I30">
        <v>22.039088</v>
      </c>
      <c r="J30">
        <v>57.337556999999997</v>
      </c>
      <c r="K30">
        <v>50.884855000000002</v>
      </c>
      <c r="L30">
        <v>388.51346000000001</v>
      </c>
      <c r="M30">
        <v>-622.51632600000005</v>
      </c>
      <c r="N30">
        <v>1.9089510000000001</v>
      </c>
      <c r="O30">
        <v>4.4584450000000002</v>
      </c>
      <c r="P30">
        <f t="shared" si="0"/>
        <v>3.1815850000000005E-5</v>
      </c>
      <c r="Q30" cm="1">
        <f t="array" ref="Q30">[1]!PropsSI("D","T",J30+273.15,"P",101325,"Water")</f>
        <v>984.54443174703943</v>
      </c>
      <c r="R30" cm="1">
        <f t="array" ref="R30">[1]!PropsSI("D","T",K30+273.15,"P",101325,"Water")</f>
        <v>987.6322693640318</v>
      </c>
      <c r="S30">
        <f t="shared" si="1"/>
        <v>986.08835055553561</v>
      </c>
      <c r="T30" cm="1">
        <f t="array" ref="T30">[1]!PropsSI("H","T",J30+273.15,"P",101325,"Water")</f>
        <v>240107.9947801872</v>
      </c>
      <c r="U30" cm="1">
        <f t="array" ref="U30">[1]!PropsSI("H","T",K30+273.15,"P",101325,"Water")</f>
        <v>213118.48628614823</v>
      </c>
      <c r="V30">
        <f t="shared" si="2"/>
        <v>846.74830177211436</v>
      </c>
      <c r="X30">
        <f t="shared" si="3"/>
        <v>0.26467511399999999</v>
      </c>
      <c r="Y30">
        <f t="shared" si="3"/>
        <v>0.25176970999999998</v>
      </c>
      <c r="Z30">
        <f t="shared" si="9"/>
        <v>0.36529563759289146</v>
      </c>
      <c r="AA30">
        <f t="shared" si="8"/>
        <v>6.4527019999999951</v>
      </c>
      <c r="AB30">
        <f t="shared" si="5"/>
        <v>5.7487699405346961E-2</v>
      </c>
      <c r="AC30">
        <f t="shared" si="6"/>
        <v>48.677611844263325</v>
      </c>
    </row>
    <row r="31" spans="1:29" x14ac:dyDescent="0.2">
      <c r="A31">
        <v>46137.059947754628</v>
      </c>
      <c r="B31">
        <v>17.722213</v>
      </c>
      <c r="C31">
        <v>18.234479</v>
      </c>
      <c r="D31">
        <v>19.120877</v>
      </c>
      <c r="E31">
        <v>19.622214</v>
      </c>
      <c r="F31">
        <v>28.451746</v>
      </c>
      <c r="G31">
        <v>31.156535999999999</v>
      </c>
      <c r="H31">
        <v>26.048756000000001</v>
      </c>
      <c r="I31">
        <v>22.613239</v>
      </c>
      <c r="J31">
        <v>57.332621000000003</v>
      </c>
      <c r="K31">
        <v>50.879292999999997</v>
      </c>
      <c r="L31">
        <v>392.414897</v>
      </c>
      <c r="M31">
        <v>-622.52285600000005</v>
      </c>
      <c r="N31">
        <v>1.908005</v>
      </c>
      <c r="O31">
        <v>4.5937960000000002</v>
      </c>
      <c r="P31">
        <f t="shared" si="0"/>
        <v>3.1800083333333331E-5</v>
      </c>
      <c r="Q31" cm="1">
        <f t="array" ref="Q31">[1]!PropsSI("D","T",J31+273.15,"P",101325,"Water")</f>
        <v>984.54689242526774</v>
      </c>
      <c r="R31" cm="1">
        <f t="array" ref="R31">[1]!PropsSI("D","T",K31+273.15,"P",101325,"Water")</f>
        <v>987.63481706097639</v>
      </c>
      <c r="S31">
        <f t="shared" si="1"/>
        <v>986.09085474312201</v>
      </c>
      <c r="T31" cm="1">
        <f t="array" ref="T31">[1]!PropsSI("H","T",J31+273.15,"P",101325,"Water")</f>
        <v>240087.3433337567</v>
      </c>
      <c r="U31" cm="1">
        <f t="array" ref="U31">[1]!PropsSI("H","T",K31+273.15,"P",101325,"Water")</f>
        <v>213095.22823692067</v>
      </c>
      <c r="V31">
        <f t="shared" si="2"/>
        <v>846.41257359629515</v>
      </c>
      <c r="X31">
        <f t="shared" si="3"/>
        <v>0.26466524200000002</v>
      </c>
      <c r="Y31">
        <f t="shared" si="3"/>
        <v>0.25175858600000001</v>
      </c>
      <c r="Z31">
        <f t="shared" si="9"/>
        <v>0.36528081793003858</v>
      </c>
      <c r="AA31">
        <f t="shared" si="8"/>
        <v>6.4533280000000062</v>
      </c>
      <c r="AB31">
        <f t="shared" si="5"/>
        <v>5.7480030184595951E-2</v>
      </c>
      <c r="AC31">
        <f t="shared" si="6"/>
        <v>48.65182027893659</v>
      </c>
    </row>
    <row r="32" spans="1:29" x14ac:dyDescent="0.2">
      <c r="A32">
        <v>46137.059982476851</v>
      </c>
      <c r="B32">
        <v>17.299526</v>
      </c>
      <c r="C32">
        <v>18.141940000000002</v>
      </c>
      <c r="D32">
        <v>18.809111000000001</v>
      </c>
      <c r="E32">
        <v>19.366849999999999</v>
      </c>
      <c r="F32">
        <v>28.114889999999999</v>
      </c>
      <c r="G32">
        <v>30.595987000000001</v>
      </c>
      <c r="H32">
        <v>26.020935999999999</v>
      </c>
      <c r="I32">
        <v>22.719868000000002</v>
      </c>
      <c r="J32">
        <v>57.327207999999999</v>
      </c>
      <c r="K32">
        <v>50.871665</v>
      </c>
      <c r="L32">
        <v>396.75018999999998</v>
      </c>
      <c r="M32">
        <v>-622.46571600000004</v>
      </c>
      <c r="N32">
        <v>1.908755</v>
      </c>
      <c r="O32">
        <v>4.1449299999999996</v>
      </c>
      <c r="P32">
        <f t="shared" si="0"/>
        <v>3.1812583333333331E-5</v>
      </c>
      <c r="Q32" cm="1">
        <f t="array" ref="Q32">[1]!PropsSI("D","T",J32+273.15,"P",101325,"Water")</f>
        <v>984.54959072616725</v>
      </c>
      <c r="R32" cm="1">
        <f t="array" ref="R32">[1]!PropsSI("D","T",K32+273.15,"P",101325,"Water")</f>
        <v>987.63831077102725</v>
      </c>
      <c r="S32">
        <f t="shared" si="1"/>
        <v>986.09395074859731</v>
      </c>
      <c r="T32" cm="1">
        <f t="array" ref="T32">[1]!PropsSI("H","T",J32+273.15,"P",101325,"Water")</f>
        <v>240064.69620554577</v>
      </c>
      <c r="U32" cm="1">
        <f t="array" ref="U32">[1]!PropsSI("H","T",K32+273.15,"P",101325,"Water")</f>
        <v>213063.33102063127</v>
      </c>
      <c r="V32">
        <f t="shared" si="2"/>
        <v>847.03811765083276</v>
      </c>
      <c r="X32">
        <f t="shared" si="3"/>
        <v>0.264654416</v>
      </c>
      <c r="Y32">
        <f t="shared" si="3"/>
        <v>0.25174332999999999</v>
      </c>
      <c r="Z32">
        <f t="shared" si="9"/>
        <v>0.36526245920952505</v>
      </c>
      <c r="AA32">
        <f t="shared" si="8"/>
        <v>6.4555429999999987</v>
      </c>
      <c r="AB32">
        <f t="shared" si="5"/>
        <v>5.7458104427461243E-2</v>
      </c>
      <c r="AC32">
        <f t="shared" si="6"/>
        <v>48.669204618021752</v>
      </c>
    </row>
    <row r="33" spans="1:29" x14ac:dyDescent="0.2">
      <c r="A33">
        <v>46137.060017777774</v>
      </c>
      <c r="B33">
        <v>17.616430999999999</v>
      </c>
      <c r="C33">
        <v>18.291969000000002</v>
      </c>
      <c r="D33">
        <v>19.016189000000001</v>
      </c>
      <c r="E33">
        <v>19.508520000000001</v>
      </c>
      <c r="F33">
        <v>28.308494</v>
      </c>
      <c r="G33">
        <v>30.896995</v>
      </c>
      <c r="H33">
        <v>25.852629</v>
      </c>
      <c r="I33">
        <v>22.346121</v>
      </c>
      <c r="J33">
        <v>57.321953000000001</v>
      </c>
      <c r="K33">
        <v>50.858474999999999</v>
      </c>
      <c r="L33">
        <v>404.42450000000002</v>
      </c>
      <c r="M33">
        <v>-622.48000100000002</v>
      </c>
      <c r="N33">
        <v>1.9033659999999999</v>
      </c>
      <c r="O33">
        <v>4.2738129999999996</v>
      </c>
      <c r="P33">
        <f t="shared" si="0"/>
        <v>3.1722766666666667E-5</v>
      </c>
      <c r="Q33" cm="1">
        <f t="array" ref="Q33">[1]!PropsSI("D","T",J33+273.15,"P",101325,"Water")</f>
        <v>984.55221009647471</v>
      </c>
      <c r="R33" cm="1">
        <f t="array" ref="R33">[1]!PropsSI("D","T",K33+273.15,"P",101325,"Water")</f>
        <v>987.64435104816425</v>
      </c>
      <c r="S33">
        <f t="shared" si="1"/>
        <v>986.09828057231948</v>
      </c>
      <c r="T33" cm="1">
        <f t="array" ref="T33">[1]!PropsSI("H","T",J33+273.15,"P",101325,"Water")</f>
        <v>240042.71013521185</v>
      </c>
      <c r="U33" cm="1">
        <f t="array" ref="U33">[1]!PropsSI("H","T",K33+273.15,"P",101325,"Water")</f>
        <v>213008.17580681809</v>
      </c>
      <c r="V33">
        <f t="shared" si="2"/>
        <v>845.6879677231276</v>
      </c>
      <c r="X33">
        <f t="shared" si="3"/>
        <v>0.26464390599999998</v>
      </c>
      <c r="Y33">
        <f t="shared" si="3"/>
        <v>0.25171694999999999</v>
      </c>
      <c r="Z33">
        <f t="shared" si="9"/>
        <v>0.36523666286428491</v>
      </c>
      <c r="AA33">
        <f t="shared" si="8"/>
        <v>6.4634780000000021</v>
      </c>
      <c r="AB33">
        <f t="shared" si="5"/>
        <v>5.7385772866982265E-2</v>
      </c>
      <c r="AC33">
        <f t="shared" si="6"/>
        <v>48.530457632099228</v>
      </c>
    </row>
    <row r="34" spans="1:29" x14ac:dyDescent="0.2">
      <c r="A34">
        <v>46137.060053078705</v>
      </c>
      <c r="B34">
        <v>17.33558</v>
      </c>
      <c r="C34">
        <v>18.120964000000001</v>
      </c>
      <c r="D34">
        <v>18.983255</v>
      </c>
      <c r="E34">
        <v>19.548499</v>
      </c>
      <c r="F34">
        <v>28.209392999999999</v>
      </c>
      <c r="G34">
        <v>30.955406</v>
      </c>
      <c r="H34">
        <v>25.659171000000001</v>
      </c>
      <c r="I34">
        <v>22.201384999999998</v>
      </c>
      <c r="J34">
        <v>57.317973000000002</v>
      </c>
      <c r="K34">
        <v>50.850529000000002</v>
      </c>
      <c r="L34">
        <v>389.68238100000002</v>
      </c>
      <c r="M34">
        <v>-622.49224500000003</v>
      </c>
      <c r="N34">
        <v>1.912234</v>
      </c>
      <c r="O34">
        <v>4.3231320000000002</v>
      </c>
      <c r="P34">
        <f t="shared" si="0"/>
        <v>3.1870566666666666E-5</v>
      </c>
      <c r="Q34" cm="1">
        <f t="array" ref="Q34">[1]!PropsSI("D","T",J34+273.15,"P",101325,"Water")</f>
        <v>984.55419382785374</v>
      </c>
      <c r="R34" cm="1">
        <f t="array" ref="R34">[1]!PropsSI("D","T",K34+273.15,"P",101325,"Water")</f>
        <v>987.64798932325084</v>
      </c>
      <c r="S34">
        <f t="shared" si="1"/>
        <v>986.10109157555235</v>
      </c>
      <c r="T34" cm="1">
        <f t="array" ref="T34">[1]!PropsSI("H","T",J34+273.15,"P",101325,"Water")</f>
        <v>240026.05846609542</v>
      </c>
      <c r="U34" cm="1">
        <f t="array" ref="U34">[1]!PropsSI("H","T",K34+273.15,"P",101325,"Water")</f>
        <v>212974.9488924701</v>
      </c>
      <c r="V34">
        <f t="shared" si="2"/>
        <v>850.15146690221434</v>
      </c>
      <c r="X34">
        <f t="shared" si="3"/>
        <v>0.26463594600000001</v>
      </c>
      <c r="Y34">
        <f t="shared" si="3"/>
        <v>0.25170105799999998</v>
      </c>
      <c r="Z34">
        <f t="shared" si="9"/>
        <v>0.36521994265597585</v>
      </c>
      <c r="AA34">
        <f t="shared" si="8"/>
        <v>6.4674440000000004</v>
      </c>
      <c r="AB34">
        <f t="shared" si="5"/>
        <v>5.7349105697336429E-2</v>
      </c>
      <c r="AC34">
        <f t="shared" si="6"/>
        <v>48.755426334120706</v>
      </c>
    </row>
    <row r="35" spans="1:29" x14ac:dyDescent="0.2">
      <c r="A35">
        <v>46137.060087800928</v>
      </c>
      <c r="B35">
        <v>17.522172000000001</v>
      </c>
      <c r="C35">
        <v>18.183437999999999</v>
      </c>
      <c r="D35">
        <v>18.947737</v>
      </c>
      <c r="E35">
        <v>19.519159999999999</v>
      </c>
      <c r="F35">
        <v>28.477081999999999</v>
      </c>
      <c r="G35">
        <v>30.350097999999999</v>
      </c>
      <c r="H35">
        <v>26.005617000000001</v>
      </c>
      <c r="I35">
        <v>22.595793</v>
      </c>
      <c r="J35">
        <v>57.314309999999999</v>
      </c>
      <c r="K35">
        <v>50.844172999999998</v>
      </c>
      <c r="L35">
        <v>398.79253699999998</v>
      </c>
      <c r="M35">
        <v>-622.49632699999995</v>
      </c>
      <c r="N35">
        <v>1.9020300000000001</v>
      </c>
      <c r="O35">
        <v>4.6112310000000001</v>
      </c>
      <c r="P35">
        <f t="shared" si="0"/>
        <v>3.1700499999999999E-5</v>
      </c>
      <c r="Q35" cm="1">
        <f t="array" ref="Q35">[1]!PropsSI("D","T",J35+273.15,"P",101325,"Water")</f>
        <v>984.55601947365676</v>
      </c>
      <c r="R35" cm="1">
        <f t="array" ref="R35">[1]!PropsSI("D","T",K35+273.15,"P",101325,"Water")</f>
        <v>987.65089928176724</v>
      </c>
      <c r="S35">
        <f t="shared" si="1"/>
        <v>986.10345937771194</v>
      </c>
      <c r="T35" cm="1">
        <f t="array" ref="T35">[1]!PropsSI("H","T",J35+273.15,"P",101325,"Water")</f>
        <v>240010.73307864097</v>
      </c>
      <c r="U35" cm="1">
        <f t="array" ref="U35">[1]!PropsSI("H","T",K35+273.15,"P",101325,"Water")</f>
        <v>212948.37071975</v>
      </c>
      <c r="V35">
        <f t="shared" si="2"/>
        <v>845.96870891539788</v>
      </c>
      <c r="X35">
        <f t="shared" si="3"/>
        <v>0.26462861999999998</v>
      </c>
      <c r="Y35">
        <f t="shared" si="3"/>
        <v>0.25168834600000001</v>
      </c>
      <c r="Z35">
        <f t="shared" si="9"/>
        <v>0.36520587349510153</v>
      </c>
      <c r="AA35">
        <f t="shared" si="8"/>
        <v>6.4701370000000011</v>
      </c>
      <c r="AB35">
        <f t="shared" si="5"/>
        <v>5.7323820632803515E-2</v>
      </c>
      <c r="AC35">
        <f t="shared" si="6"/>
        <v>48.494158530830639</v>
      </c>
    </row>
    <row r="36" spans="1:29" x14ac:dyDescent="0.2">
      <c r="A36">
        <v>46137.060123101852</v>
      </c>
      <c r="B36">
        <v>17.668326</v>
      </c>
      <c r="C36">
        <v>18.136136</v>
      </c>
      <c r="D36">
        <v>18.737893</v>
      </c>
      <c r="E36">
        <v>19.271483</v>
      </c>
      <c r="F36">
        <v>28.312943000000001</v>
      </c>
      <c r="G36">
        <v>30.474408</v>
      </c>
      <c r="H36">
        <v>26.098452000000002</v>
      </c>
      <c r="I36">
        <v>22.602070999999999</v>
      </c>
      <c r="J36">
        <v>57.309851999999999</v>
      </c>
      <c r="K36">
        <v>50.834637999999998</v>
      </c>
      <c r="L36">
        <v>373.841949</v>
      </c>
      <c r="M36">
        <v>-622.49102100000005</v>
      </c>
      <c r="N36">
        <v>1.9108529999999999</v>
      </c>
      <c r="O36">
        <v>4.4053009999999997</v>
      </c>
      <c r="P36">
        <f t="shared" si="0"/>
        <v>3.184755E-5</v>
      </c>
      <c r="Q36" cm="1">
        <f t="array" ref="Q36">[1]!PropsSI("D","T",J36+273.15,"P",101325,"Water")</f>
        <v>984.55824123912157</v>
      </c>
      <c r="R36" cm="1">
        <f t="array" ref="R36">[1]!PropsSI("D","T",K36+273.15,"P",101325,"Water")</f>
        <v>987.65526418520437</v>
      </c>
      <c r="S36">
        <f t="shared" si="1"/>
        <v>986.10675271216292</v>
      </c>
      <c r="T36" cm="1">
        <f t="array" ref="T36">[1]!PropsSI("H","T",J36+273.15,"P",101325,"Water")</f>
        <v>239992.08154960987</v>
      </c>
      <c r="U36" cm="1">
        <f t="array" ref="U36">[1]!PropsSI("H","T",K36+273.15,"P",101325,"Water")</f>
        <v>212908.49930155883</v>
      </c>
      <c r="V36">
        <f t="shared" si="2"/>
        <v>850.56217856347382</v>
      </c>
      <c r="X36">
        <f t="shared" si="3"/>
        <v>0.26461970400000001</v>
      </c>
      <c r="Y36">
        <f t="shared" si="3"/>
        <v>0.251669276</v>
      </c>
      <c r="Z36">
        <f t="shared" si="9"/>
        <v>0.36518627058997138</v>
      </c>
      <c r="AA36">
        <f t="shared" si="8"/>
        <v>6.4752140000000011</v>
      </c>
      <c r="AB36">
        <f t="shared" si="5"/>
        <v>5.7277262354923017E-2</v>
      </c>
      <c r="AC36">
        <f t="shared" si="6"/>
        <v>48.717873050754967</v>
      </c>
    </row>
    <row r="37" spans="1:29" x14ac:dyDescent="0.2">
      <c r="A37">
        <v>46137.060158402775</v>
      </c>
      <c r="B37">
        <v>17.618711000000001</v>
      </c>
      <c r="C37">
        <v>18.144987</v>
      </c>
      <c r="D37">
        <v>18.983103</v>
      </c>
      <c r="E37">
        <v>19.438849999999999</v>
      </c>
      <c r="F37">
        <v>28.383346</v>
      </c>
      <c r="G37">
        <v>30.477449</v>
      </c>
      <c r="H37">
        <v>25.887160000000002</v>
      </c>
      <c r="I37">
        <v>22.816347</v>
      </c>
      <c r="J37">
        <v>57.304119999999998</v>
      </c>
      <c r="K37">
        <v>50.827486999999998</v>
      </c>
      <c r="L37">
        <v>391.35454199999998</v>
      </c>
      <c r="M37">
        <v>-622.51061200000004</v>
      </c>
      <c r="N37">
        <v>1.900903</v>
      </c>
      <c r="O37">
        <v>4.2736099999999997</v>
      </c>
      <c r="P37">
        <f t="shared" si="0"/>
        <v>3.1681716666666669E-5</v>
      </c>
      <c r="Q37" cm="1">
        <f t="array" ref="Q37">[1]!PropsSI("D","T",J37+273.15,"P",101325,"Water")</f>
        <v>984.56109776009805</v>
      </c>
      <c r="R37" cm="1">
        <f t="array" ref="R37">[1]!PropsSI("D","T",K37+273.15,"P",101325,"Water")</f>
        <v>987.65853736073416</v>
      </c>
      <c r="S37">
        <f t="shared" si="1"/>
        <v>986.1098175604161</v>
      </c>
      <c r="T37" cm="1">
        <f t="array" ref="T37">[1]!PropsSI("H","T",J37+273.15,"P",101325,"Water")</f>
        <v>239968.09982843819</v>
      </c>
      <c r="U37" cm="1">
        <f t="array" ref="U37">[1]!PropsSI("H","T",K37+273.15,"P",101325,"Water")</f>
        <v>212878.59680101252</v>
      </c>
      <c r="V37">
        <f t="shared" si="2"/>
        <v>846.32082216017432</v>
      </c>
      <c r="X37">
        <f t="shared" si="3"/>
        <v>0.26460823999999999</v>
      </c>
      <c r="Y37">
        <f t="shared" si="3"/>
        <v>0.25165497399999998</v>
      </c>
      <c r="Z37">
        <f t="shared" si="9"/>
        <v>0.36516810733529054</v>
      </c>
      <c r="AA37">
        <f t="shared" si="8"/>
        <v>6.4766329999999996</v>
      </c>
      <c r="AB37">
        <f t="shared" si="5"/>
        <v>5.7262334396595296E-2</v>
      </c>
      <c r="AC37">
        <f t="shared" si="6"/>
        <v>48.462305925337361</v>
      </c>
    </row>
    <row r="38" spans="1:29" x14ac:dyDescent="0.2">
      <c r="A38">
        <v>44675.060193705998</v>
      </c>
      <c r="B38">
        <v>17.582704</v>
      </c>
      <c r="C38">
        <v>17.958856000000001</v>
      </c>
      <c r="D38">
        <v>19.185984999999999</v>
      </c>
      <c r="E38">
        <v>19.519262000000001</v>
      </c>
      <c r="F38">
        <v>28.299890999999999</v>
      </c>
      <c r="G38">
        <v>30.900513</v>
      </c>
      <c r="H38">
        <v>26.053574999999999</v>
      </c>
      <c r="I38">
        <v>22.676489</v>
      </c>
      <c r="J38">
        <v>57.297432999999998</v>
      </c>
      <c r="K38">
        <v>50.823036999999999</v>
      </c>
      <c r="L38">
        <v>371.74123800000001</v>
      </c>
      <c r="M38">
        <v>-622.50938699999995</v>
      </c>
      <c r="N38">
        <v>1.908288</v>
      </c>
      <c r="O38">
        <v>4.2054960000000001</v>
      </c>
      <c r="P38">
        <f t="shared" si="0"/>
        <v>3.1804799999999997E-5</v>
      </c>
      <c r="Q38" cm="1">
        <f t="array" ref="Q38">[1]!PropsSI("D","T",J38+273.15,"P",101325,"Water")</f>
        <v>984.56442994997406</v>
      </c>
      <c r="R38" cm="1">
        <f t="array" ref="R38">[1]!PropsSI("D","T",K38+273.15,"P",101325,"Water")</f>
        <v>987.66057405936169</v>
      </c>
      <c r="S38">
        <f t="shared" si="1"/>
        <v>986.11250200466793</v>
      </c>
      <c r="T38" cm="1">
        <f t="array" ref="T38">[1]!PropsSI("H","T",J38+273.15,"P",101325,"Water")</f>
        <v>239940.12256484799</v>
      </c>
      <c r="U38" cm="1">
        <f t="array" ref="U38">[1]!PropsSI("H","T",K38+273.15,"P",101325,"Water")</f>
        <v>212859.98876399911</v>
      </c>
      <c r="V38">
        <f t="shared" si="2"/>
        <v>849.31723968463075</v>
      </c>
      <c r="X38">
        <f t="shared" si="3"/>
        <v>0.26459486599999998</v>
      </c>
      <c r="Y38">
        <f t="shared" si="3"/>
        <v>0.251646074</v>
      </c>
      <c r="Z38">
        <f t="shared" si="9"/>
        <v>0.36515228285356699</v>
      </c>
      <c r="AA38">
        <f t="shared" si="8"/>
        <v>6.4743959999999987</v>
      </c>
      <c r="AB38">
        <f t="shared" si="5"/>
        <v>5.7279109467091374E-2</v>
      </c>
      <c r="AC38">
        <f t="shared" si="6"/>
        <v>48.648135144183847</v>
      </c>
    </row>
    <row r="39" spans="1:29" x14ac:dyDescent="0.2">
      <c r="A39">
        <v>44675.060228428301</v>
      </c>
      <c r="B39">
        <v>17.399342999999998</v>
      </c>
      <c r="C39">
        <v>17.541429999999998</v>
      </c>
      <c r="D39">
        <v>19.256868999999998</v>
      </c>
      <c r="E39">
        <v>19.475076999999999</v>
      </c>
      <c r="F39">
        <v>28.137737999999999</v>
      </c>
      <c r="G39">
        <v>30.932224000000001</v>
      </c>
      <c r="H39">
        <v>25.899498000000001</v>
      </c>
      <c r="I39">
        <v>22.928747000000001</v>
      </c>
      <c r="J39">
        <v>57.291701000000003</v>
      </c>
      <c r="K39">
        <v>50.823514000000003</v>
      </c>
      <c r="L39">
        <v>403.13476800000001</v>
      </c>
      <c r="M39">
        <v>-622.50449000000003</v>
      </c>
      <c r="N39">
        <v>1.9062920000000001</v>
      </c>
      <c r="O39">
        <v>4.4625750000000002</v>
      </c>
      <c r="P39">
        <f t="shared" si="0"/>
        <v>3.1771533333333339E-5</v>
      </c>
      <c r="Q39" cm="1">
        <f t="array" ref="Q39">[1]!PropsSI("D","T",J39+273.15,"P",101325,"Water")</f>
        <v>984.5672860393164</v>
      </c>
      <c r="R39" cm="1">
        <f t="array" ref="R39">[1]!PropsSI("D","T",K39+273.15,"P",101325,"Water")</f>
        <v>987.66035574973159</v>
      </c>
      <c r="S39">
        <f t="shared" si="1"/>
        <v>986.113820894524</v>
      </c>
      <c r="T39" cm="1">
        <f t="array" ref="T39">[1]!PropsSI("H","T",J39+273.15,"P",101325,"Water")</f>
        <v>239916.14087191899</v>
      </c>
      <c r="U39" cm="1">
        <f t="array" ref="U39">[1]!PropsSI("H","T",K39+273.15,"P",101325,"Water")</f>
        <v>212861.98337804616</v>
      </c>
      <c r="V39">
        <f t="shared" si="2"/>
        <v>847.61617267423776</v>
      </c>
      <c r="X39">
        <f t="shared" si="3"/>
        <v>0.26458340200000002</v>
      </c>
      <c r="Y39">
        <f t="shared" si="3"/>
        <v>0.25164702799999999</v>
      </c>
      <c r="Z39">
        <f t="shared" si="9"/>
        <v>0.36514463341958947</v>
      </c>
      <c r="AA39">
        <f t="shared" si="8"/>
        <v>6.4681870000000004</v>
      </c>
      <c r="AB39">
        <f t="shared" si="5"/>
        <v>5.7331253746907694E-2</v>
      </c>
      <c r="AC39">
        <f t="shared" si="6"/>
        <v>48.594897875569451</v>
      </c>
    </row>
    <row r="40" spans="1:29" x14ac:dyDescent="0.2">
      <c r="A40">
        <v>44675.060263729203</v>
      </c>
      <c r="B40">
        <v>17.418427000000001</v>
      </c>
      <c r="C40">
        <v>17.33437</v>
      </c>
      <c r="D40">
        <v>19.141943000000001</v>
      </c>
      <c r="E40">
        <v>19.518288999999999</v>
      </c>
      <c r="F40">
        <v>28.092093999999999</v>
      </c>
      <c r="G40">
        <v>30.045852</v>
      </c>
      <c r="H40">
        <v>25.964487999999999</v>
      </c>
      <c r="I40">
        <v>22.625131</v>
      </c>
      <c r="J40">
        <v>57.285969000000001</v>
      </c>
      <c r="K40">
        <v>50.814297000000003</v>
      </c>
      <c r="L40">
        <v>383.13291299999997</v>
      </c>
      <c r="M40">
        <v>-622.47877700000004</v>
      </c>
      <c r="N40">
        <v>1.910013</v>
      </c>
      <c r="O40">
        <v>4.359502</v>
      </c>
      <c r="P40">
        <f t="shared" si="0"/>
        <v>3.1833549999999996E-5</v>
      </c>
      <c r="Q40" cm="1">
        <f t="array" ref="Q40">[1]!PropsSI("D","T",J40+273.15,"P",101325,"Water")</f>
        <v>984.57014192941062</v>
      </c>
      <c r="R40" cm="1">
        <f t="array" ref="R40">[1]!PropsSI("D","T",K40+273.15,"P",101325,"Water")</f>
        <v>987.66457385241529</v>
      </c>
      <c r="S40">
        <f t="shared" si="1"/>
        <v>986.1173578909129</v>
      </c>
      <c r="T40" cm="1">
        <f t="array" ref="T40">[1]!PropsSI("H","T",J40+273.15,"P",101325,"Water")</f>
        <v>239892.15919202313</v>
      </c>
      <c r="U40" cm="1">
        <f t="array" ref="U40">[1]!PropsSI("H","T",K40+273.15,"P",101325,"Water")</f>
        <v>212823.44176010086</v>
      </c>
      <c r="V40">
        <f t="shared" si="2"/>
        <v>849.73078914419341</v>
      </c>
      <c r="X40">
        <f t="shared" si="3"/>
        <v>0.26457193800000001</v>
      </c>
      <c r="Y40">
        <f t="shared" si="3"/>
        <v>0.25162859399999998</v>
      </c>
      <c r="Z40">
        <f t="shared" si="9"/>
        <v>0.36512362248352637</v>
      </c>
      <c r="AA40">
        <f t="shared" si="8"/>
        <v>6.4716719999999981</v>
      </c>
      <c r="AB40">
        <f t="shared" si="5"/>
        <v>5.7298123573784616E-2</v>
      </c>
      <c r="AC40">
        <f t="shared" si="6"/>
        <v>48.687979760833514</v>
      </c>
    </row>
    <row r="41" spans="1:29" x14ac:dyDescent="0.2">
      <c r="A41">
        <v>44675.060298451397</v>
      </c>
      <c r="B41">
        <v>17.386441000000001</v>
      </c>
      <c r="C41">
        <v>17.487538000000001</v>
      </c>
      <c r="D41">
        <v>19.267329</v>
      </c>
      <c r="E41">
        <v>19.560572000000001</v>
      </c>
      <c r="F41">
        <v>28.255428999999999</v>
      </c>
      <c r="G41">
        <v>30.670373999999999</v>
      </c>
      <c r="H41">
        <v>26.078056</v>
      </c>
      <c r="I41">
        <v>22.901582000000001</v>
      </c>
      <c r="J41">
        <v>57.282147000000002</v>
      </c>
      <c r="K41">
        <v>50.805874000000003</v>
      </c>
      <c r="L41">
        <v>389.39137499999998</v>
      </c>
      <c r="M41">
        <v>-622.47183800000005</v>
      </c>
      <c r="N41">
        <v>1.9045460000000001</v>
      </c>
      <c r="O41">
        <v>4.1186889999999998</v>
      </c>
      <c r="P41">
        <f t="shared" si="0"/>
        <v>3.1742433333333336E-5</v>
      </c>
      <c r="Q41" cm="1">
        <f t="array" ref="Q41">[1]!PropsSI("D","T",J41+273.15,"P",101325,"Water")</f>
        <v>984.57204607758399</v>
      </c>
      <c r="R41" cm="1">
        <f t="array" ref="R41">[1]!PropsSI("D","T",K41+273.15,"P",101325,"Water")</f>
        <v>987.66842810321214</v>
      </c>
      <c r="S41">
        <f t="shared" si="1"/>
        <v>986.12023709039806</v>
      </c>
      <c r="T41" cm="1">
        <f t="array" ref="T41">[1]!PropsSI("H","T",J41+273.15,"P",101325,"Water")</f>
        <v>239876.16862342617</v>
      </c>
      <c r="U41" cm="1">
        <f t="array" ref="U41">[1]!PropsSI("H","T",K41+273.15,"P",101325,"Water")</f>
        <v>212788.22033817973</v>
      </c>
      <c r="V41">
        <f t="shared" si="2"/>
        <v>847.90305343137857</v>
      </c>
      <c r="X41">
        <f t="shared" si="3"/>
        <v>0.26456429400000003</v>
      </c>
      <c r="Y41">
        <f t="shared" si="3"/>
        <v>0.25161174799999997</v>
      </c>
      <c r="Z41">
        <f t="shared" si="9"/>
        <v>0.36510647404741259</v>
      </c>
      <c r="AA41">
        <f t="shared" si="8"/>
        <v>6.4762729999999991</v>
      </c>
      <c r="AB41">
        <f t="shared" si="5"/>
        <v>5.7256049862224108E-2</v>
      </c>
      <c r="AC41">
        <f t="shared" si="6"/>
        <v>48.547579505599082</v>
      </c>
    </row>
    <row r="42" spans="1:29" x14ac:dyDescent="0.2">
      <c r="A42">
        <v>46137.06033375</v>
      </c>
      <c r="B42">
        <v>17.558598</v>
      </c>
      <c r="C42">
        <v>17.752077</v>
      </c>
      <c r="D42">
        <v>19.244541999999999</v>
      </c>
      <c r="E42">
        <v>19.649460000000001</v>
      </c>
      <c r="F42">
        <v>28.333262999999999</v>
      </c>
      <c r="G42">
        <v>29.905784000000001</v>
      </c>
      <c r="H42">
        <v>25.663689000000002</v>
      </c>
      <c r="I42">
        <v>22.340920000000001</v>
      </c>
      <c r="J42">
        <v>57.278962999999997</v>
      </c>
      <c r="K42">
        <v>50.801901000000001</v>
      </c>
      <c r="L42">
        <v>391.159042</v>
      </c>
      <c r="M42">
        <v>-622.48408199999994</v>
      </c>
      <c r="N42">
        <v>1.9064970000000001</v>
      </c>
      <c r="O42">
        <v>4.1640810000000004</v>
      </c>
      <c r="P42">
        <f t="shared" si="0"/>
        <v>3.1774950000000003E-5</v>
      </c>
      <c r="Q42" cm="1">
        <f t="array" ref="Q42">[1]!PropsSI("D","T",J42+273.15,"P",101325,"Water")</f>
        <v>984.57363230186468</v>
      </c>
      <c r="R42" cm="1">
        <f t="array" ref="R42">[1]!PropsSI("D","T",K42+273.15,"P",101325,"Water")</f>
        <v>987.67024593419217</v>
      </c>
      <c r="S42">
        <f t="shared" si="1"/>
        <v>986.12193911802842</v>
      </c>
      <c r="T42" cm="1">
        <f t="array" ref="T42">[1]!PropsSI("H","T",J42+273.15,"P",101325,"Water")</f>
        <v>239862.84733785567</v>
      </c>
      <c r="U42" cm="1">
        <f t="array" ref="U42">[1]!PropsSI("H","T",K42+273.15,"P",101325,"Water")</f>
        <v>212771.60694063315</v>
      </c>
      <c r="V42">
        <f t="shared" si="2"/>
        <v>848.87625770700492</v>
      </c>
      <c r="X42">
        <f t="shared" si="3"/>
        <v>0.264557926</v>
      </c>
      <c r="Y42">
        <f t="shared" si="3"/>
        <v>0.25160380199999999</v>
      </c>
      <c r="Z42">
        <f t="shared" si="9"/>
        <v>0.36509638369925917</v>
      </c>
      <c r="AA42">
        <f t="shared" si="8"/>
        <v>6.4770619999999965</v>
      </c>
      <c r="AB42">
        <f t="shared" si="5"/>
        <v>5.7247754104261805E-2</v>
      </c>
      <c r="AC42">
        <f t="shared" si="6"/>
        <v>48.596259266156594</v>
      </c>
    </row>
    <row r="43" spans="1:29" x14ac:dyDescent="0.2">
      <c r="A43">
        <v>46137.060369050923</v>
      </c>
      <c r="B43">
        <v>17.527944000000002</v>
      </c>
      <c r="C43">
        <v>17.765028000000001</v>
      </c>
      <c r="D43">
        <v>19.202573000000001</v>
      </c>
      <c r="E43">
        <v>19.771079</v>
      </c>
      <c r="F43">
        <v>28.248878000000001</v>
      </c>
      <c r="G43">
        <v>30.305363</v>
      </c>
      <c r="H43">
        <v>25.929068000000001</v>
      </c>
      <c r="I43">
        <v>22.486121000000001</v>
      </c>
      <c r="J43">
        <v>57.274344999999997</v>
      </c>
      <c r="K43">
        <v>50.801743000000002</v>
      </c>
      <c r="L43">
        <v>394.19195100000002</v>
      </c>
      <c r="M43">
        <v>-622.48122499999999</v>
      </c>
      <c r="N43">
        <v>1.9094640000000001</v>
      </c>
      <c r="O43">
        <v>4.4674170000000002</v>
      </c>
      <c r="P43">
        <f t="shared" si="0"/>
        <v>3.18244E-5</v>
      </c>
      <c r="Q43" cm="1">
        <f t="array" ref="Q43">[1]!PropsSI("D","T",J43+273.15,"P",101325,"Water")</f>
        <v>984.57593281566085</v>
      </c>
      <c r="R43" cm="1">
        <f t="array" ref="R43">[1]!PropsSI("D","T",K43+273.15,"P",101325,"Water")</f>
        <v>987.67031822436013</v>
      </c>
      <c r="S43">
        <f t="shared" si="1"/>
        <v>986.12312552001049</v>
      </c>
      <c r="T43" cm="1">
        <f t="array" ref="T43">[1]!PropsSI("H","T",J43+273.15,"P",101325,"Water")</f>
        <v>239843.52646029228</v>
      </c>
      <c r="U43" cm="1">
        <f t="array" ref="U43">[1]!PropsSI("H","T",K43+273.15,"P",101325,"Water")</f>
        <v>212770.94625188463</v>
      </c>
      <c r="V43">
        <f t="shared" si="2"/>
        <v>849.61274196682371</v>
      </c>
      <c r="X43">
        <f t="shared" si="3"/>
        <v>0.26454868999999998</v>
      </c>
      <c r="Y43">
        <f t="shared" si="3"/>
        <v>0.25160348599999999</v>
      </c>
      <c r="Z43">
        <f t="shared" si="9"/>
        <v>0.36508947334601183</v>
      </c>
      <c r="AA43">
        <f t="shared" si="8"/>
        <v>6.4726019999999949</v>
      </c>
      <c r="AB43">
        <f t="shared" si="5"/>
        <v>5.7284946663768294E-2</v>
      </c>
      <c r="AC43">
        <f t="shared" si="6"/>
        <v>48.670020608427428</v>
      </c>
    </row>
    <row r="44" spans="1:29" x14ac:dyDescent="0.2">
      <c r="A44">
        <v>46137.060404351854</v>
      </c>
      <c r="B44">
        <v>17.588398000000002</v>
      </c>
      <c r="C44">
        <v>17.594826999999999</v>
      </c>
      <c r="D44">
        <v>19.187279</v>
      </c>
      <c r="E44">
        <v>19.648184000000001</v>
      </c>
      <c r="F44">
        <v>28.604838000000001</v>
      </c>
      <c r="G44">
        <v>30.952318000000002</v>
      </c>
      <c r="H44">
        <v>25.767161999999999</v>
      </c>
      <c r="I44">
        <v>22.773816</v>
      </c>
      <c r="J44">
        <v>57.271478999999999</v>
      </c>
      <c r="K44">
        <v>50.802219000000001</v>
      </c>
      <c r="L44">
        <v>395.945741</v>
      </c>
      <c r="M44">
        <v>-622.50122399999998</v>
      </c>
      <c r="N44">
        <v>1.9062749999999999</v>
      </c>
      <c r="O44">
        <v>4.3700109999999999</v>
      </c>
      <c r="P44">
        <f t="shared" si="0"/>
        <v>3.1771250000000002E-5</v>
      </c>
      <c r="Q44" cm="1">
        <f t="array" ref="Q44">[1]!PropsSI("D","T",J44+273.15,"P",101325,"Water")</f>
        <v>984.57736048394099</v>
      </c>
      <c r="R44" cm="1">
        <f t="array" ref="R44">[1]!PropsSI("D","T",K44+273.15,"P",101325,"Water")</f>
        <v>987.67010043828191</v>
      </c>
      <c r="S44">
        <f t="shared" si="1"/>
        <v>986.12373046111145</v>
      </c>
      <c r="T44" cm="1">
        <f t="array" ref="T44">[1]!PropsSI("H","T",J44+273.15,"P",101325,"Water")</f>
        <v>239831.53563845775</v>
      </c>
      <c r="U44" cm="1">
        <f t="array" ref="U44">[1]!PropsSI("H","T",K44+273.15,"P",101325,"Water")</f>
        <v>212772.93668131859</v>
      </c>
      <c r="V44">
        <f t="shared" si="2"/>
        <v>847.75628423219439</v>
      </c>
      <c r="X44">
        <f t="shared" si="3"/>
        <v>0.26454295799999999</v>
      </c>
      <c r="Y44">
        <f t="shared" si="3"/>
        <v>0.25160443799999999</v>
      </c>
      <c r="Z44">
        <f t="shared" si="9"/>
        <v>0.36508597596824455</v>
      </c>
      <c r="AA44">
        <f t="shared" si="8"/>
        <v>6.4692599999999985</v>
      </c>
      <c r="AB44">
        <f t="shared" si="5"/>
        <v>5.7313105993848944E-2</v>
      </c>
      <c r="AC44">
        <f t="shared" si="6"/>
        <v>48.587545775151291</v>
      </c>
    </row>
    <row r="45" spans="1:29" x14ac:dyDescent="0.2">
      <c r="A45">
        <v>46137.060439652778</v>
      </c>
      <c r="B45">
        <v>17.761769000000001</v>
      </c>
      <c r="C45">
        <v>18.142422</v>
      </c>
      <c r="D45">
        <v>19.355294000000001</v>
      </c>
      <c r="E45">
        <v>19.806056000000002</v>
      </c>
      <c r="F45">
        <v>28.555164999999999</v>
      </c>
      <c r="G45">
        <v>30.572295</v>
      </c>
      <c r="H45">
        <v>25.798563999999999</v>
      </c>
      <c r="I45">
        <v>22.995844999999999</v>
      </c>
      <c r="J45">
        <v>57.267817000000001</v>
      </c>
      <c r="K45">
        <v>50.806032999999999</v>
      </c>
      <c r="L45">
        <v>387.77268099999998</v>
      </c>
      <c r="M45">
        <v>-622.50857099999996</v>
      </c>
      <c r="N45">
        <v>1.9018250000000001</v>
      </c>
      <c r="O45">
        <v>4.3212770000000003</v>
      </c>
      <c r="P45">
        <f t="shared" si="0"/>
        <v>3.1697083333333335E-5</v>
      </c>
      <c r="Q45" cm="1">
        <f t="array" ref="Q45">[1]!PropsSI("D","T",J45+273.15,"P",101325,"Water")</f>
        <v>984.57918459891016</v>
      </c>
      <c r="R45" cm="1">
        <f t="array" ref="R45">[1]!PropsSI("D","T",K45+273.15,"P",101325,"Water")</f>
        <v>987.66835535122755</v>
      </c>
      <c r="S45">
        <f t="shared" si="1"/>
        <v>986.12376997506885</v>
      </c>
      <c r="T45" cm="1">
        <f t="array" ref="T45">[1]!PropsSI("H","T",J45+273.15,"P",101325,"Water")</f>
        <v>239816.21450233727</v>
      </c>
      <c r="U45" cm="1">
        <f t="array" ref="U45">[1]!PropsSI("H","T",K45+273.15,"P",101325,"Water")</f>
        <v>212788.88520874421</v>
      </c>
      <c r="V45">
        <f t="shared" si="2"/>
        <v>844.79991596352806</v>
      </c>
      <c r="X45">
        <f t="shared" si="3"/>
        <v>0.26453563400000002</v>
      </c>
      <c r="Y45">
        <f t="shared" si="3"/>
        <v>0.25161206599999997</v>
      </c>
      <c r="Z45">
        <f t="shared" si="9"/>
        <v>0.36508592606750856</v>
      </c>
      <c r="AA45">
        <f t="shared" si="8"/>
        <v>6.4617840000000015</v>
      </c>
      <c r="AB45">
        <f t="shared" si="5"/>
        <v>5.7377389605670931E-2</v>
      </c>
      <c r="AC45">
        <f t="shared" si="6"/>
        <v>48.472413917077411</v>
      </c>
    </row>
    <row r="46" spans="1:29" x14ac:dyDescent="0.2">
      <c r="A46">
        <v>46137.060474953701</v>
      </c>
      <c r="B46">
        <v>17.789418999999999</v>
      </c>
      <c r="C46">
        <v>18.301321999999999</v>
      </c>
      <c r="D46">
        <v>19.284587999999999</v>
      </c>
      <c r="E46">
        <v>19.663077000000001</v>
      </c>
      <c r="F46">
        <v>28.553681000000001</v>
      </c>
      <c r="G46">
        <v>30.011206999999999</v>
      </c>
      <c r="H46">
        <v>25.922360999999999</v>
      </c>
      <c r="I46">
        <v>23.040887999999999</v>
      </c>
      <c r="J46">
        <v>57.264792</v>
      </c>
      <c r="K46">
        <v>50.810958999999997</v>
      </c>
      <c r="L46">
        <v>383.10515900000001</v>
      </c>
      <c r="M46">
        <v>-622.51020400000004</v>
      </c>
      <c r="N46">
        <v>1.901424</v>
      </c>
      <c r="O46">
        <v>4.6070630000000001</v>
      </c>
      <c r="P46">
        <f t="shared" ref="P46:P82" si="10" xml:space="preserve"> N46*0.001/60</f>
        <v>3.1690400000000004E-5</v>
      </c>
      <c r="Q46" cm="1">
        <f t="array" ref="Q46">[1]!PropsSI("D","T",J46+273.15,"P",101325,"Water")</f>
        <v>984.58069135017183</v>
      </c>
      <c r="R46" cm="1">
        <f t="array" ref="R46">[1]!PropsSI("D","T",K46+273.15,"P",101325,"Water")</f>
        <v>987.6661013312015</v>
      </c>
      <c r="S46">
        <f t="shared" ref="S46:S82" si="11">(Q46+R46)/2</f>
        <v>986.12339634068667</v>
      </c>
      <c r="T46" cm="1">
        <f t="array" ref="T46">[1]!PropsSI("H","T",J46+273.15,"P",101325,"Water")</f>
        <v>239803.55846130874</v>
      </c>
      <c r="U46" cm="1">
        <f t="array" ref="U46">[1]!PropsSI("H","T",K46+273.15,"P",101325,"Water")</f>
        <v>212809.48365399241</v>
      </c>
      <c r="V46">
        <f t="shared" ref="V46:V82" si="12">S46*P46*(T46-U46)</f>
        <v>843.58224565126284</v>
      </c>
      <c r="X46">
        <f t="shared" ref="X46:X81" si="13">(0.15+0.002*ABS(J46))</f>
        <v>0.26452958399999998</v>
      </c>
      <c r="Y46">
        <f t="shared" ref="Y46:Y81" si="14">(0.15+0.002*ABS(K46))</f>
        <v>0.251621918</v>
      </c>
      <c r="Z46">
        <f t="shared" ref="Z46:Z81" si="15">SQRT((X46)^2 + (Y46)^2)</f>
        <v>0.36508833236521238</v>
      </c>
      <c r="AA46">
        <f t="shared" ref="AA46:AA81" si="16">J46-K46</f>
        <v>6.453833000000003</v>
      </c>
      <c r="AB46">
        <f t="shared" ref="AB46:AB81" si="17">SQRT((0.01)^2 + (Z46/ABS(AA46))^2)</f>
        <v>5.7446298744703472E-2</v>
      </c>
      <c r="AC46">
        <f t="shared" ref="AC46:AC81" si="18">ABS(V46*AB46)</f>
        <v>48.460677699410276</v>
      </c>
    </row>
    <row r="47" spans="1:29" x14ac:dyDescent="0.2">
      <c r="A47">
        <v>46137.060510254632</v>
      </c>
      <c r="B47">
        <v>17.8644</v>
      </c>
      <c r="C47">
        <v>18.462548000000002</v>
      </c>
      <c r="D47">
        <v>19.284448000000001</v>
      </c>
      <c r="E47">
        <v>19.720545999999999</v>
      </c>
      <c r="F47">
        <v>28.442468000000002</v>
      </c>
      <c r="G47">
        <v>29.840053999999999</v>
      </c>
      <c r="H47">
        <v>25.796946999999999</v>
      </c>
      <c r="I47">
        <v>22.452625999999999</v>
      </c>
      <c r="J47">
        <v>57.261448000000001</v>
      </c>
      <c r="K47">
        <v>50.815885999999999</v>
      </c>
      <c r="L47">
        <v>410.49766499999998</v>
      </c>
      <c r="M47">
        <v>-622.49347</v>
      </c>
      <c r="N47">
        <v>1.9123319999999999</v>
      </c>
      <c r="O47">
        <v>4.2835729999999996</v>
      </c>
      <c r="P47">
        <f t="shared" si="10"/>
        <v>3.1872199999999996E-5</v>
      </c>
      <c r="Q47" cm="1">
        <f t="array" ref="Q47">[1]!PropsSI("D","T",J47+273.15,"P",101325,"Water")</f>
        <v>984.58235693062352</v>
      </c>
      <c r="R47" cm="1">
        <f t="array" ref="R47">[1]!PropsSI("D","T",K47+273.15,"P",101325,"Water")</f>
        <v>987.66384669586375</v>
      </c>
      <c r="S47">
        <f t="shared" si="11"/>
        <v>986.12310181324369</v>
      </c>
      <c r="T47" cm="1">
        <f t="array" ref="T47">[1]!PropsSI("H","T",J47+273.15,"P",101325,"Water")</f>
        <v>239789.56778748214</v>
      </c>
      <c r="U47" cm="1">
        <f t="array" ref="U47">[1]!PropsSI("H","T",K47+273.15,"P",101325,"Water")</f>
        <v>212830.08628803378</v>
      </c>
      <c r="V47">
        <f t="shared" si="12"/>
        <v>847.33415065541499</v>
      </c>
      <c r="X47">
        <f t="shared" si="13"/>
        <v>0.26452289600000001</v>
      </c>
      <c r="Y47">
        <f t="shared" si="14"/>
        <v>0.25163177199999998</v>
      </c>
      <c r="Z47">
        <f t="shared" si="15"/>
        <v>0.36509027813417161</v>
      </c>
      <c r="AA47">
        <f t="shared" si="16"/>
        <v>6.4455620000000025</v>
      </c>
      <c r="AB47">
        <f t="shared" si="17"/>
        <v>5.7518079238810638E-2</v>
      </c>
      <c r="AC47">
        <f t="shared" si="18"/>
        <v>48.737032819148467</v>
      </c>
    </row>
    <row r="48" spans="1:29" x14ac:dyDescent="0.2">
      <c r="A48">
        <v>46137.060545555556</v>
      </c>
      <c r="B48">
        <v>17.805931999999999</v>
      </c>
      <c r="C48">
        <v>18.384917000000002</v>
      </c>
      <c r="D48">
        <v>19.298414999999999</v>
      </c>
      <c r="E48">
        <v>19.790499000000001</v>
      </c>
      <c r="F48">
        <v>28.492711</v>
      </c>
      <c r="G48">
        <v>30.983163999999999</v>
      </c>
      <c r="H48">
        <v>26.330804000000001</v>
      </c>
      <c r="I48">
        <v>22.876601000000001</v>
      </c>
      <c r="J48">
        <v>57.255875000000003</v>
      </c>
      <c r="K48">
        <v>50.819063999999997</v>
      </c>
      <c r="L48">
        <v>378.93312300000002</v>
      </c>
      <c r="M48">
        <v>-622.50734699999998</v>
      </c>
      <c r="N48">
        <v>1.9057839999999999</v>
      </c>
      <c r="O48">
        <v>4.0833740000000001</v>
      </c>
      <c r="P48">
        <f t="shared" si="10"/>
        <v>3.1763066666666667E-5</v>
      </c>
      <c r="Q48" cm="1">
        <f t="array" ref="Q48">[1]!PropsSI("D","T",J48+273.15,"P",101325,"Water")</f>
        <v>984.58513258126118</v>
      </c>
      <c r="R48" cm="1">
        <f t="array" ref="R48">[1]!PropsSI("D","T",K48+273.15,"P",101325,"Water")</f>
        <v>987.66239233346084</v>
      </c>
      <c r="S48">
        <f t="shared" si="11"/>
        <v>986.12376245736095</v>
      </c>
      <c r="T48" cm="1">
        <f t="array" ref="T48">[1]!PropsSI("H","T",J48+273.15,"P",101325,"Water")</f>
        <v>239766.25140223344</v>
      </c>
      <c r="U48" cm="1">
        <f t="array" ref="U48">[1]!PropsSI("H","T",K48+273.15,"P",101325,"Water")</f>
        <v>212843.37534623776</v>
      </c>
      <c r="V48">
        <f t="shared" si="12"/>
        <v>843.28679937658956</v>
      </c>
      <c r="X48">
        <f t="shared" si="13"/>
        <v>0.26451174999999999</v>
      </c>
      <c r="Y48">
        <f t="shared" si="14"/>
        <v>0.25163812799999996</v>
      </c>
      <c r="Z48">
        <f t="shared" si="15"/>
        <v>0.36508658336264133</v>
      </c>
      <c r="AA48">
        <f t="shared" si="16"/>
        <v>6.4368110000000058</v>
      </c>
      <c r="AB48">
        <f t="shared" si="17"/>
        <v>5.7593349078135285E-2</v>
      </c>
      <c r="AC48">
        <f t="shared" si="18"/>
        <v>48.56771100947936</v>
      </c>
    </row>
    <row r="49" spans="1:29" x14ac:dyDescent="0.2">
      <c r="A49">
        <v>44675.0605802801</v>
      </c>
      <c r="B49">
        <v>17.702517</v>
      </c>
      <c r="C49">
        <v>18.029613999999999</v>
      </c>
      <c r="D49">
        <v>19.302655999999999</v>
      </c>
      <c r="E49">
        <v>19.762854999999998</v>
      </c>
      <c r="F49">
        <v>28.338495999999999</v>
      </c>
      <c r="G49">
        <v>30.353963</v>
      </c>
      <c r="H49">
        <v>26.058962999999999</v>
      </c>
      <c r="I49">
        <v>22.267637000000001</v>
      </c>
      <c r="J49">
        <v>57.251576</v>
      </c>
      <c r="K49">
        <v>50.821129999999997</v>
      </c>
      <c r="L49">
        <v>410.22135200000002</v>
      </c>
      <c r="M49">
        <v>-622.50367300000005</v>
      </c>
      <c r="N49">
        <v>1.912361</v>
      </c>
      <c r="O49">
        <v>4.1486539999999996</v>
      </c>
      <c r="P49">
        <f t="shared" si="10"/>
        <v>3.1872683333333334E-5</v>
      </c>
      <c r="Q49" cm="1">
        <f t="array" ref="Q49">[1]!PropsSI("D","T",J49+273.15,"P",101325,"Water")</f>
        <v>984.58727358337205</v>
      </c>
      <c r="R49" cm="1">
        <f t="array" ref="R49">[1]!PropsSI("D","T",K49+273.15,"P",101325,"Water")</f>
        <v>987.66144682542085</v>
      </c>
      <c r="S49">
        <f t="shared" si="11"/>
        <v>986.12436020439645</v>
      </c>
      <c r="T49" cm="1">
        <f t="array" ref="T49">[1]!PropsSI("H","T",J49+273.15,"P",101325,"Water")</f>
        <v>239748.26520207003</v>
      </c>
      <c r="U49" cm="1">
        <f t="array" ref="U49">[1]!PropsSI("H","T",K49+273.15,"P",101325,"Water")</f>
        <v>212852.01449015393</v>
      </c>
      <c r="V49">
        <f t="shared" si="12"/>
        <v>845.36071074152335</v>
      </c>
      <c r="X49">
        <f t="shared" si="13"/>
        <v>0.26450315199999996</v>
      </c>
      <c r="Y49">
        <f t="shared" si="14"/>
        <v>0.25164226000000001</v>
      </c>
      <c r="Z49">
        <f t="shared" si="15"/>
        <v>0.3650832020729558</v>
      </c>
      <c r="AA49">
        <f t="shared" si="16"/>
        <v>6.4304460000000034</v>
      </c>
      <c r="AB49">
        <f t="shared" si="17"/>
        <v>5.7648120600039529E-2</v>
      </c>
      <c r="AC49">
        <f t="shared" si="18"/>
        <v>48.733456203362472</v>
      </c>
    </row>
    <row r="50" spans="1:29" x14ac:dyDescent="0.2">
      <c r="A50" t="s">
        <v>18</v>
      </c>
      <c r="B50">
        <v>17.858180999999998</v>
      </c>
      <c r="C50">
        <v>18.302686999999999</v>
      </c>
      <c r="D50">
        <v>19.334064000000001</v>
      </c>
      <c r="E50">
        <v>19.827034000000001</v>
      </c>
      <c r="F50">
        <v>28.465221</v>
      </c>
      <c r="G50">
        <v>30.494875</v>
      </c>
      <c r="H50">
        <v>25.780992000000001</v>
      </c>
      <c r="I50">
        <v>22.641966</v>
      </c>
      <c r="J50">
        <v>57.249825000000001</v>
      </c>
      <c r="K50">
        <v>50.817157000000002</v>
      </c>
      <c r="L50">
        <v>377.36748699999998</v>
      </c>
      <c r="M50">
        <v>-622.49224500000003</v>
      </c>
      <c r="N50">
        <v>1.9070210000000001</v>
      </c>
      <c r="O50">
        <v>4.3349250000000001</v>
      </c>
      <c r="P50">
        <f t="shared" si="10"/>
        <v>3.1783683333333335E-5</v>
      </c>
      <c r="Q50" cm="1">
        <f t="array" ref="Q50">[1]!PropsSI("D","T",J50+273.15,"P",101325,"Water")</f>
        <v>984.58814559002212</v>
      </c>
      <c r="R50" cm="1">
        <f t="array" ref="R50">[1]!PropsSI("D","T",K50+273.15,"P",101325,"Water")</f>
        <v>987.66326505028292</v>
      </c>
      <c r="S50">
        <f t="shared" si="11"/>
        <v>986.12570532015252</v>
      </c>
      <c r="T50" cm="1">
        <f t="array" ref="T50">[1]!PropsSI("H","T",J50+273.15,"P",101325,"Water")</f>
        <v>239740.93935247994</v>
      </c>
      <c r="U50" cm="1">
        <f t="array" ref="U50">[1]!PropsSI("H","T",K50+273.15,"P",101325,"Water")</f>
        <v>212835.40107465573</v>
      </c>
      <c r="V50">
        <f t="shared" si="12"/>
        <v>843.29240681385897</v>
      </c>
      <c r="X50">
        <f t="shared" si="13"/>
        <v>0.26449964999999998</v>
      </c>
      <c r="Y50">
        <f t="shared" si="14"/>
        <v>0.25163431400000003</v>
      </c>
      <c r="Z50">
        <f t="shared" si="15"/>
        <v>0.36507518791664423</v>
      </c>
      <c r="AA50">
        <f t="shared" si="16"/>
        <v>6.4326679999999996</v>
      </c>
      <c r="AB50">
        <f t="shared" si="17"/>
        <v>5.7627579879627772E-2</v>
      </c>
      <c r="AC50">
        <f t="shared" si="18"/>
        <v>48.596900535549217</v>
      </c>
    </row>
    <row r="51" spans="1:29" x14ac:dyDescent="0.2">
      <c r="A51">
        <v>46137.060650300926</v>
      </c>
      <c r="B51">
        <v>17.837724000000001</v>
      </c>
      <c r="C51">
        <v>18.033777000000001</v>
      </c>
      <c r="D51">
        <v>19.329113</v>
      </c>
      <c r="E51">
        <v>19.815154</v>
      </c>
      <c r="F51">
        <v>28.365196000000001</v>
      </c>
      <c r="G51">
        <v>30.835833000000001</v>
      </c>
      <c r="H51">
        <v>25.942301</v>
      </c>
      <c r="I51">
        <v>22.325084</v>
      </c>
      <c r="J51">
        <v>57.243614999999998</v>
      </c>
      <c r="K51">
        <v>50.814931999999999</v>
      </c>
      <c r="L51">
        <v>379.78124400000002</v>
      </c>
      <c r="M51">
        <v>-622.48367399999995</v>
      </c>
      <c r="N51">
        <v>1.9096109999999999</v>
      </c>
      <c r="O51">
        <v>4.354762</v>
      </c>
      <c r="P51">
        <f t="shared" si="10"/>
        <v>3.1826850000000002E-5</v>
      </c>
      <c r="Q51" cm="1">
        <f t="array" ref="Q51">[1]!PropsSI("D","T",J51+273.15,"P",101325,"Water")</f>
        <v>984.59123805073796</v>
      </c>
      <c r="R51" cm="1">
        <f t="array" ref="R51">[1]!PropsSI("D","T",K51+273.15,"P",101325,"Water")</f>
        <v>987.66428326635389</v>
      </c>
      <c r="S51">
        <f t="shared" si="11"/>
        <v>986.12776065854587</v>
      </c>
      <c r="T51" cm="1">
        <f t="array" ref="T51">[1]!PropsSI("H","T",J51+273.15,"P",101325,"Water")</f>
        <v>239714.95790817676</v>
      </c>
      <c r="U51" cm="1">
        <f t="array" ref="U51">[1]!PropsSI("H","T",K51+273.15,"P",101325,"Water")</f>
        <v>212826.09706221198</v>
      </c>
      <c r="V51">
        <f t="shared" si="12"/>
        <v>843.91604844932067</v>
      </c>
      <c r="X51">
        <f t="shared" si="13"/>
        <v>0.26448722999999996</v>
      </c>
      <c r="Y51">
        <f t="shared" si="14"/>
        <v>0.25162986399999998</v>
      </c>
      <c r="Z51">
        <f t="shared" si="15"/>
        <v>0.36506312233603022</v>
      </c>
      <c r="AA51">
        <f t="shared" si="16"/>
        <v>6.4286829999999995</v>
      </c>
      <c r="AB51">
        <f t="shared" si="17"/>
        <v>5.7660378221530501E-2</v>
      </c>
      <c r="AC51">
        <f t="shared" si="18"/>
        <v>48.660518540807288</v>
      </c>
    </row>
    <row r="52" spans="1:29" x14ac:dyDescent="0.2">
      <c r="A52">
        <v>46137.060685023149</v>
      </c>
      <c r="B52">
        <v>17.801207000000002</v>
      </c>
      <c r="C52">
        <v>18.298131000000001</v>
      </c>
      <c r="D52">
        <v>19.525908000000001</v>
      </c>
      <c r="E52">
        <v>19.826751999999999</v>
      </c>
      <c r="F52">
        <v>28.758526</v>
      </c>
      <c r="G52">
        <v>30.167275</v>
      </c>
      <c r="H52">
        <v>25.612345999999999</v>
      </c>
      <c r="I52">
        <v>22.819967999999999</v>
      </c>
      <c r="J52">
        <v>57.242500999999997</v>
      </c>
      <c r="K52">
        <v>50.815885999999999</v>
      </c>
      <c r="L52">
        <v>404.77386999999999</v>
      </c>
      <c r="M52">
        <v>-622.48204199999998</v>
      </c>
      <c r="N52">
        <v>1.895187</v>
      </c>
      <c r="O52">
        <v>4.3243270000000003</v>
      </c>
      <c r="P52">
        <f t="shared" si="10"/>
        <v>3.1586450000000003E-5</v>
      </c>
      <c r="Q52" cm="1">
        <f t="array" ref="Q52">[1]!PropsSI("D","T",J52+273.15,"P",101325,"Water")</f>
        <v>984.59179277657609</v>
      </c>
      <c r="R52" cm="1">
        <f t="array" ref="R52">[1]!PropsSI("D","T",K52+273.15,"P",101325,"Water")</f>
        <v>987.66384669586375</v>
      </c>
      <c r="S52">
        <f t="shared" si="11"/>
        <v>986.12781973621986</v>
      </c>
      <c r="T52" cm="1">
        <f t="array" ref="T52">[1]!PropsSI("H","T",J52+273.15,"P",101325,"Water")</f>
        <v>239710.29714830453</v>
      </c>
      <c r="U52" cm="1">
        <f t="array" ref="U52">[1]!PropsSI("H","T",K52+273.15,"P",101325,"Water")</f>
        <v>212830.08628803378</v>
      </c>
      <c r="V52">
        <f t="shared" si="12"/>
        <v>837.27225562162414</v>
      </c>
      <c r="X52">
        <f t="shared" si="13"/>
        <v>0.26448500200000002</v>
      </c>
      <c r="Y52">
        <f t="shared" si="14"/>
        <v>0.25163177199999998</v>
      </c>
      <c r="Z52">
        <f t="shared" si="15"/>
        <v>0.36506282330963258</v>
      </c>
      <c r="AA52">
        <f t="shared" si="16"/>
        <v>6.4266149999999982</v>
      </c>
      <c r="AB52">
        <f t="shared" si="17"/>
        <v>5.7678328760891448E-2</v>
      </c>
      <c r="AC52">
        <f t="shared" si="18"/>
        <v>48.292464422117177</v>
      </c>
    </row>
    <row r="53" spans="1:29" x14ac:dyDescent="0.2">
      <c r="A53">
        <v>46137.060719745372</v>
      </c>
      <c r="B53">
        <v>17.922530999999999</v>
      </c>
      <c r="C53">
        <v>18.479417999999999</v>
      </c>
      <c r="D53">
        <v>19.408928</v>
      </c>
      <c r="E53">
        <v>19.867678999999999</v>
      </c>
      <c r="F53">
        <v>28.72878</v>
      </c>
      <c r="G53">
        <v>30.978570999999999</v>
      </c>
      <c r="H53">
        <v>25.924793999999999</v>
      </c>
      <c r="I53">
        <v>22.010316</v>
      </c>
      <c r="J53">
        <v>57.235495</v>
      </c>
      <c r="K53">
        <v>50.81382</v>
      </c>
      <c r="L53">
        <v>378.55395800000002</v>
      </c>
      <c r="M53">
        <v>-622.47673599999996</v>
      </c>
      <c r="N53">
        <v>1.9027639999999999</v>
      </c>
      <c r="O53">
        <v>4.2050890000000001</v>
      </c>
      <c r="P53">
        <f t="shared" si="10"/>
        <v>3.1712733333333332E-5</v>
      </c>
      <c r="Q53" cm="1">
        <f t="array" ref="Q53">[1]!PropsSI("D","T",J53+273.15,"P",101325,"Water")</f>
        <v>984.59528130176989</v>
      </c>
      <c r="R53" cm="1">
        <f t="array" ref="R53">[1]!PropsSI("D","T",K53+273.15,"P",101325,"Water")</f>
        <v>987.66479213350385</v>
      </c>
      <c r="S53">
        <f t="shared" si="11"/>
        <v>986.13003671763681</v>
      </c>
      <c r="T53" cm="1">
        <f t="array" ref="T53">[1]!PropsSI("H","T",J53+273.15,"P",101325,"Water")</f>
        <v>239680.98541472034</v>
      </c>
      <c r="U53" cm="1">
        <f t="array" ref="U53">[1]!PropsSI("H","T",K53+273.15,"P",101325,"Water")</f>
        <v>212821.4471473289</v>
      </c>
      <c r="V53">
        <f t="shared" si="12"/>
        <v>839.97508718120525</v>
      </c>
      <c r="X53">
        <f t="shared" si="13"/>
        <v>0.26447099000000002</v>
      </c>
      <c r="Y53">
        <f t="shared" si="14"/>
        <v>0.25162763999999999</v>
      </c>
      <c r="Z53">
        <f t="shared" si="15"/>
        <v>0.36504982367281003</v>
      </c>
      <c r="AA53">
        <f t="shared" si="16"/>
        <v>6.4216750000000005</v>
      </c>
      <c r="AB53">
        <f t="shared" si="17"/>
        <v>5.7719371999325572E-2</v>
      </c>
      <c r="AC53">
        <f t="shared" si="18"/>
        <v>48.482834527177914</v>
      </c>
    </row>
    <row r="54" spans="1:29" x14ac:dyDescent="0.2">
      <c r="A54">
        <v>46137.060755046296</v>
      </c>
      <c r="B54">
        <v>17.861056000000001</v>
      </c>
      <c r="C54">
        <v>18.121948</v>
      </c>
      <c r="D54">
        <v>19.473403000000001</v>
      </c>
      <c r="E54">
        <v>19.801829000000001</v>
      </c>
      <c r="F54">
        <v>28.501940999999999</v>
      </c>
      <c r="G54">
        <v>30.517512</v>
      </c>
      <c r="H54">
        <v>25.779693000000002</v>
      </c>
      <c r="I54">
        <v>22.882377000000002</v>
      </c>
      <c r="J54">
        <v>57.231991999999998</v>
      </c>
      <c r="K54">
        <v>50.812866</v>
      </c>
      <c r="L54">
        <v>399.21047499999997</v>
      </c>
      <c r="M54">
        <v>-622.50489800000003</v>
      </c>
      <c r="N54">
        <v>1.9040710000000001</v>
      </c>
      <c r="O54">
        <v>4.3099030000000003</v>
      </c>
      <c r="P54">
        <f t="shared" si="10"/>
        <v>3.1734516666666669E-5</v>
      </c>
      <c r="Q54" cm="1">
        <f t="array" ref="Q54">[1]!PropsSI("D","T",J54+273.15,"P",101325,"Water")</f>
        <v>984.59702545267885</v>
      </c>
      <c r="R54" cm="1">
        <f t="array" ref="R54">[1]!PropsSI("D","T",K54+273.15,"P",101325,"Water")</f>
        <v>987.66522869116898</v>
      </c>
      <c r="S54">
        <f t="shared" si="11"/>
        <v>986.13112707192386</v>
      </c>
      <c r="T54" cm="1">
        <f t="array" ref="T54">[1]!PropsSI("H","T",J54+273.15,"P",101325,"Water")</f>
        <v>239666.32955516124</v>
      </c>
      <c r="U54" cm="1">
        <f t="array" ref="U54">[1]!PropsSI("H","T",K54+273.15,"P",101325,"Water")</f>
        <v>212817.45792210024</v>
      </c>
      <c r="V54">
        <f t="shared" si="12"/>
        <v>840.21918580125566</v>
      </c>
      <c r="X54">
        <f t="shared" si="13"/>
        <v>0.26446398399999999</v>
      </c>
      <c r="Y54">
        <f t="shared" si="14"/>
        <v>0.25162573199999999</v>
      </c>
      <c r="Z54">
        <f t="shared" si="15"/>
        <v>0.36504343280997131</v>
      </c>
      <c r="AA54">
        <f t="shared" si="16"/>
        <v>6.4191259999999986</v>
      </c>
      <c r="AB54">
        <f t="shared" si="17"/>
        <v>5.7740623653208839E-2</v>
      </c>
      <c r="AC54">
        <f t="shared" si="18"/>
        <v>48.514779793555853</v>
      </c>
    </row>
    <row r="55" spans="1:29" x14ac:dyDescent="0.2">
      <c r="A55">
        <v>46137.060790347219</v>
      </c>
      <c r="B55">
        <v>17.465864</v>
      </c>
      <c r="C55">
        <v>17.941379000000001</v>
      </c>
      <c r="D55">
        <v>19.175039000000002</v>
      </c>
      <c r="E55">
        <v>19.523918999999999</v>
      </c>
      <c r="F55">
        <v>28.188614999999999</v>
      </c>
      <c r="G55">
        <v>30.433447999999999</v>
      </c>
      <c r="H55">
        <v>25.673672</v>
      </c>
      <c r="I55">
        <v>22.405501000000001</v>
      </c>
      <c r="J55">
        <v>57.22833</v>
      </c>
      <c r="K55">
        <v>50.806668999999999</v>
      </c>
      <c r="L55">
        <v>385.57197400000001</v>
      </c>
      <c r="M55">
        <v>-622.49306200000001</v>
      </c>
      <c r="N55">
        <v>1.896822</v>
      </c>
      <c r="O55">
        <v>4.2849830000000004</v>
      </c>
      <c r="P55">
        <f t="shared" si="10"/>
        <v>3.1613699999999999E-5</v>
      </c>
      <c r="Q55" cm="1">
        <f t="array" ref="Q55">[1]!PropsSI("D","T",J55+273.15,"P",101325,"Water")</f>
        <v>984.59884869043424</v>
      </c>
      <c r="R55" cm="1">
        <f t="array" ref="R55">[1]!PropsSI("D","T",K55+273.15,"P",101325,"Water")</f>
        <v>987.66806434168518</v>
      </c>
      <c r="S55">
        <f t="shared" si="11"/>
        <v>986.13345651605971</v>
      </c>
      <c r="T55" cm="1">
        <f t="array" ref="T55">[1]!PropsSI("H","T",J55+273.15,"P",101325,"Water")</f>
        <v>239651.00847625459</v>
      </c>
      <c r="U55" cm="1">
        <f t="array" ref="U55">[1]!PropsSI("H","T",K55+273.15,"P",101325,"Water")</f>
        <v>212791.54469089402</v>
      </c>
      <c r="V55">
        <f t="shared" si="12"/>
        <v>837.35257338260794</v>
      </c>
      <c r="X55">
        <f t="shared" si="13"/>
        <v>0.26445666000000001</v>
      </c>
      <c r="Y55">
        <f t="shared" si="14"/>
        <v>0.25161333799999996</v>
      </c>
      <c r="Z55">
        <f t="shared" si="15"/>
        <v>0.36502958356530207</v>
      </c>
      <c r="AA55">
        <f t="shared" si="16"/>
        <v>6.4216610000000003</v>
      </c>
      <c r="AB55">
        <f t="shared" si="17"/>
        <v>5.7716389874357399E-2</v>
      </c>
      <c r="AC55">
        <f t="shared" si="18"/>
        <v>48.328967587647064</v>
      </c>
    </row>
    <row r="56" spans="1:29" x14ac:dyDescent="0.2">
      <c r="A56">
        <v>46137.06082564815</v>
      </c>
      <c r="B56">
        <v>17.395918000000002</v>
      </c>
      <c r="C56">
        <v>17.528466000000002</v>
      </c>
      <c r="D56">
        <v>18.968069</v>
      </c>
      <c r="E56">
        <v>19.528331000000001</v>
      </c>
      <c r="F56">
        <v>28.144686</v>
      </c>
      <c r="G56">
        <v>30.334129999999998</v>
      </c>
      <c r="H56">
        <v>25.872088000000002</v>
      </c>
      <c r="I56">
        <v>22.334935000000002</v>
      </c>
      <c r="J56">
        <v>57.221961</v>
      </c>
      <c r="K56">
        <v>50.792208000000002</v>
      </c>
      <c r="L56">
        <v>415.037846</v>
      </c>
      <c r="M56">
        <v>-622.49061300000005</v>
      </c>
      <c r="N56">
        <v>1.9104509999999999</v>
      </c>
      <c r="O56">
        <v>4.4119089999999996</v>
      </c>
      <c r="P56">
        <f t="shared" si="10"/>
        <v>3.1840849999999999E-5</v>
      </c>
      <c r="Q56" cm="1">
        <f t="array" ref="Q56">[1]!PropsSI("D","T",J56+273.15,"P",101325,"Water")</f>
        <v>984.60201949637212</v>
      </c>
      <c r="R56" cm="1">
        <f t="array" ref="R56">[1]!PropsSI("D","T",K56+273.15,"P",101325,"Water")</f>
        <v>987.67468049886475</v>
      </c>
      <c r="S56">
        <f t="shared" si="11"/>
        <v>986.13834999761843</v>
      </c>
      <c r="T56" cm="1">
        <f t="array" ref="T56">[1]!PropsSI("H","T",J56+273.15,"P",101325,"Water")</f>
        <v>239624.36186094818</v>
      </c>
      <c r="U56" cm="1">
        <f t="array" ref="U56">[1]!PropsSI("H","T",K56+273.15,"P",101325,"Water")</f>
        <v>212731.07495352891</v>
      </c>
      <c r="V56">
        <f t="shared" si="12"/>
        <v>844.43531263467696</v>
      </c>
      <c r="X56">
        <f t="shared" si="13"/>
        <v>0.264443922</v>
      </c>
      <c r="Y56">
        <f t="shared" si="14"/>
        <v>0.25158441600000003</v>
      </c>
      <c r="Z56">
        <f t="shared" si="15"/>
        <v>0.36500041952962625</v>
      </c>
      <c r="AA56">
        <f t="shared" si="16"/>
        <v>6.4297529999999981</v>
      </c>
      <c r="AB56">
        <f t="shared" si="17"/>
        <v>5.7641467243061552E-2</v>
      </c>
      <c r="AC56">
        <f t="shared" si="18"/>
        <v>48.674490412116171</v>
      </c>
    </row>
    <row r="57" spans="1:29" x14ac:dyDescent="0.2">
      <c r="A57">
        <v>46137.060860370373</v>
      </c>
      <c r="B57">
        <v>17.655788999999999</v>
      </c>
      <c r="C57">
        <v>18.006319000000001</v>
      </c>
      <c r="D57">
        <v>19.023056</v>
      </c>
      <c r="E57">
        <v>19.555577</v>
      </c>
      <c r="F57">
        <v>28.111401999999998</v>
      </c>
      <c r="G57">
        <v>29.779347000000001</v>
      </c>
      <c r="H57">
        <v>25.869734999999999</v>
      </c>
      <c r="I57">
        <v>22.671793000000001</v>
      </c>
      <c r="J57">
        <v>57.217663000000002</v>
      </c>
      <c r="K57">
        <v>50.779494999999997</v>
      </c>
      <c r="L57">
        <v>395.86207100000001</v>
      </c>
      <c r="M57">
        <v>-622.47959300000002</v>
      </c>
      <c r="N57">
        <v>1.908677</v>
      </c>
      <c r="O57">
        <v>4.1063489999999998</v>
      </c>
      <c r="P57">
        <f t="shared" si="10"/>
        <v>3.1811283333333335E-5</v>
      </c>
      <c r="Q57" cm="1">
        <f t="array" ref="Q57">[1]!PropsSI("D","T",J57+273.15,"P",101325,"Water")</f>
        <v>984.60415911611221</v>
      </c>
      <c r="R57" cm="1">
        <f t="array" ref="R57">[1]!PropsSI("D","T",K57+273.15,"P",101325,"Water")</f>
        <v>987.68049579309206</v>
      </c>
      <c r="S57">
        <f t="shared" si="11"/>
        <v>986.14232745460208</v>
      </c>
      <c r="T57" cm="1">
        <f t="array" ref="T57">[1]!PropsSI("H","T",J57+273.15,"P",101325,"Water")</f>
        <v>239606.37990224743</v>
      </c>
      <c r="U57" cm="1">
        <f t="array" ref="U57">[1]!PropsSI("H","T",K57+273.15,"P",101325,"Water")</f>
        <v>212677.91465817054</v>
      </c>
      <c r="V57">
        <f t="shared" si="12"/>
        <v>844.75815291505432</v>
      </c>
      <c r="X57">
        <f t="shared" si="13"/>
        <v>0.26443532599999997</v>
      </c>
      <c r="Y57">
        <f t="shared" si="14"/>
        <v>0.25155898999999998</v>
      </c>
      <c r="Z57">
        <f t="shared" si="15"/>
        <v>0.36497666649601912</v>
      </c>
      <c r="AA57">
        <f t="shared" si="16"/>
        <v>6.4381680000000046</v>
      </c>
      <c r="AB57">
        <f t="shared" si="17"/>
        <v>5.7564762702076507E-2</v>
      </c>
      <c r="AC57">
        <f t="shared" si="18"/>
        <v>48.628302613199558</v>
      </c>
    </row>
    <row r="58" spans="1:29" x14ac:dyDescent="0.2">
      <c r="A58">
        <v>46137.060895671297</v>
      </c>
      <c r="B58">
        <v>17.671085999999999</v>
      </c>
      <c r="C58">
        <v>18.116897999999999</v>
      </c>
      <c r="D58">
        <v>19.058374000000001</v>
      </c>
      <c r="E58">
        <v>19.392797000000002</v>
      </c>
      <c r="F58">
        <v>28.578593999999999</v>
      </c>
      <c r="G58">
        <v>30.971316999999999</v>
      </c>
      <c r="H58">
        <v>25.963763</v>
      </c>
      <c r="I58">
        <v>22.435590999999999</v>
      </c>
      <c r="J58">
        <v>57.213523000000002</v>
      </c>
      <c r="K58">
        <v>50.766781999999999</v>
      </c>
      <c r="L58">
        <v>409.75035600000001</v>
      </c>
      <c r="M58">
        <v>-622.49142900000004</v>
      </c>
      <c r="N58">
        <v>1.909173</v>
      </c>
      <c r="O58">
        <v>4.3964939999999997</v>
      </c>
      <c r="P58">
        <f t="shared" si="10"/>
        <v>3.1819549999999999E-5</v>
      </c>
      <c r="Q58" cm="1">
        <f t="array" ref="Q58">[1]!PropsSI("D","T",J58+273.15,"P",101325,"Water")</f>
        <v>984.60621997466944</v>
      </c>
      <c r="R58" cm="1">
        <f t="array" ref="R58">[1]!PropsSI("D","T",K58+273.15,"P",101325,"Water")</f>
        <v>987.68631003662438</v>
      </c>
      <c r="S58">
        <f t="shared" si="11"/>
        <v>986.14626500564691</v>
      </c>
      <c r="T58" cm="1">
        <f t="array" ref="T58">[1]!PropsSI("H","T",J58+273.15,"P",101325,"Water")</f>
        <v>239589.05899034545</v>
      </c>
      <c r="U58" cm="1">
        <f t="array" ref="U58">[1]!PropsSI("H","T",K58+273.15,"P",101325,"Water")</f>
        <v>212624.75441052127</v>
      </c>
      <c r="V58">
        <f t="shared" si="12"/>
        <v>846.10564347409604</v>
      </c>
      <c r="X58">
        <f t="shared" si="13"/>
        <v>0.264427046</v>
      </c>
      <c r="Y58">
        <f t="shared" si="14"/>
        <v>0.25153356399999999</v>
      </c>
      <c r="Z58">
        <f t="shared" si="15"/>
        <v>0.36495314284826785</v>
      </c>
      <c r="AA58">
        <f t="shared" si="16"/>
        <v>6.4467410000000029</v>
      </c>
      <c r="AB58">
        <f t="shared" si="17"/>
        <v>5.7486930300732979E-2</v>
      </c>
      <c r="AC58">
        <f t="shared" si="18"/>
        <v>48.640016153452187</v>
      </c>
    </row>
    <row r="59" spans="1:29" x14ac:dyDescent="0.2">
      <c r="A59">
        <v>46137.06093039352</v>
      </c>
      <c r="B59">
        <v>17.815517</v>
      </c>
      <c r="C59">
        <v>18.421901999999999</v>
      </c>
      <c r="D59">
        <v>19.015553000000001</v>
      </c>
      <c r="E59">
        <v>19.443339999999999</v>
      </c>
      <c r="F59">
        <v>28.417147</v>
      </c>
      <c r="G59">
        <v>30.235514999999999</v>
      </c>
      <c r="H59">
        <v>25.832094999999999</v>
      </c>
      <c r="I59">
        <v>22.719256999999999</v>
      </c>
      <c r="J59">
        <v>57.208269000000001</v>
      </c>
      <c r="K59">
        <v>50.756135</v>
      </c>
      <c r="L59">
        <v>379.43391400000002</v>
      </c>
      <c r="M59">
        <v>-622.48571500000003</v>
      </c>
      <c r="N59">
        <v>1.902366</v>
      </c>
      <c r="O59">
        <v>3.9991840000000001</v>
      </c>
      <c r="P59">
        <f t="shared" si="10"/>
        <v>3.1706099999999998E-5</v>
      </c>
      <c r="Q59" cm="1">
        <f t="array" ref="Q59">[1]!PropsSI("D","T",J59+273.15,"P",101325,"Water")</f>
        <v>984.60883522366817</v>
      </c>
      <c r="R59" cm="1">
        <f t="array" ref="R59">[1]!PropsSI("D","T",K59+273.15,"P",101325,"Water")</f>
        <v>987.69117859414951</v>
      </c>
      <c r="S59">
        <f t="shared" si="11"/>
        <v>986.15000690890884</v>
      </c>
      <c r="T59" cm="1">
        <f t="array" ref="T59">[1]!PropsSI("H","T",J59+273.15,"P",101325,"Water")</f>
        <v>239567.07734044144</v>
      </c>
      <c r="U59" cm="1">
        <f t="array" ref="U59">[1]!PropsSI("H","T",K59+273.15,"P",101325,"Water")</f>
        <v>212580.23331484315</v>
      </c>
      <c r="V59">
        <f t="shared" si="12"/>
        <v>843.79686235287647</v>
      </c>
      <c r="X59">
        <f t="shared" si="13"/>
        <v>0.26441653799999998</v>
      </c>
      <c r="Y59">
        <f t="shared" si="14"/>
        <v>0.25151226999999998</v>
      </c>
      <c r="Z59">
        <f t="shared" si="15"/>
        <v>0.36493085307830347</v>
      </c>
      <c r="AA59">
        <f t="shared" si="16"/>
        <v>6.4521340000000009</v>
      </c>
      <c r="AB59">
        <f t="shared" si="17"/>
        <v>5.7436932685702061E-2</v>
      </c>
      <c r="AC59">
        <f t="shared" si="18"/>
        <v>48.465103583368773</v>
      </c>
    </row>
    <row r="60" spans="1:29" x14ac:dyDescent="0.2">
      <c r="A60">
        <v>46137.060965694443</v>
      </c>
      <c r="B60">
        <v>18.036781000000001</v>
      </c>
      <c r="C60">
        <v>18.570826</v>
      </c>
      <c r="D60">
        <v>19.267461999999998</v>
      </c>
      <c r="E60">
        <v>19.552004</v>
      </c>
      <c r="F60">
        <v>28.764915999999999</v>
      </c>
      <c r="G60">
        <v>30.577755</v>
      </c>
      <c r="H60">
        <v>25.588041</v>
      </c>
      <c r="I60">
        <v>22.945923000000001</v>
      </c>
      <c r="J60">
        <v>57.203333000000001</v>
      </c>
      <c r="K60">
        <v>50.755021999999997</v>
      </c>
      <c r="L60">
        <v>366.40273000000002</v>
      </c>
      <c r="M60">
        <v>-622.48571500000003</v>
      </c>
      <c r="N60">
        <v>1.9062669999999999</v>
      </c>
      <c r="O60">
        <v>4.4422300000000003</v>
      </c>
      <c r="P60">
        <f t="shared" si="10"/>
        <v>3.1771116666666668E-5</v>
      </c>
      <c r="Q60" cm="1">
        <f t="array" ref="Q60">[1]!PropsSI("D","T",J60+273.15,"P",101325,"Water")</f>
        <v>984.61129203125734</v>
      </c>
      <c r="R60" cm="1">
        <f t="array" ref="R60">[1]!PropsSI("D","T",K60+273.15,"P",101325,"Water")</f>
        <v>987.69168749352866</v>
      </c>
      <c r="S60">
        <f t="shared" si="11"/>
        <v>986.151489762393</v>
      </c>
      <c r="T60" cm="1">
        <f t="array" ref="T60">[1]!PropsSI("H","T",J60+273.15,"P",101325,"Water")</f>
        <v>239546.42614663273</v>
      </c>
      <c r="U60" cm="1">
        <f t="array" ref="U60">[1]!PropsSI("H","T",K60+273.15,"P",101325,"Water")</f>
        <v>212575.57923773714</v>
      </c>
      <c r="V60">
        <f t="shared" si="12"/>
        <v>845.02721946585291</v>
      </c>
      <c r="X60">
        <f t="shared" si="13"/>
        <v>0.26440666600000001</v>
      </c>
      <c r="Y60">
        <f t="shared" si="14"/>
        <v>0.25151004399999999</v>
      </c>
      <c r="Z60">
        <f t="shared" si="15"/>
        <v>0.36492216602738381</v>
      </c>
      <c r="AA60">
        <f t="shared" si="16"/>
        <v>6.4483110000000039</v>
      </c>
      <c r="AB60">
        <f t="shared" si="17"/>
        <v>5.7468626687939908E-2</v>
      </c>
      <c r="AC60">
        <f t="shared" si="18"/>
        <v>48.562553816630967</v>
      </c>
    </row>
    <row r="61" spans="1:29" x14ac:dyDescent="0.2">
      <c r="A61">
        <v>46137.061000416667</v>
      </c>
      <c r="B61">
        <v>17.917206</v>
      </c>
      <c r="C61">
        <v>18.637008999999999</v>
      </c>
      <c r="D61">
        <v>19.274965999999999</v>
      </c>
      <c r="E61">
        <v>19.676273999999999</v>
      </c>
      <c r="F61">
        <v>28.468205999999999</v>
      </c>
      <c r="G61">
        <v>30.98066</v>
      </c>
      <c r="H61">
        <v>26.181761000000002</v>
      </c>
      <c r="I61">
        <v>22.653862</v>
      </c>
      <c r="J61">
        <v>57.198238000000003</v>
      </c>
      <c r="K61">
        <v>50.746282000000001</v>
      </c>
      <c r="L61">
        <v>405.31588399999998</v>
      </c>
      <c r="M61">
        <v>-622.49020499999995</v>
      </c>
      <c r="N61">
        <v>1.9020379999999999</v>
      </c>
      <c r="O61">
        <v>4.2547009999999998</v>
      </c>
      <c r="P61">
        <f t="shared" si="10"/>
        <v>3.1700633333333333E-5</v>
      </c>
      <c r="Q61" cm="1">
        <f t="array" ref="Q61">[1]!PropsSI("D","T",J61+273.15,"P",101325,"Water")</f>
        <v>984.61382782324961</v>
      </c>
      <c r="R61" cm="1">
        <f t="array" ref="R61">[1]!PropsSI("D","T",K61+273.15,"P",101325,"Water")</f>
        <v>987.69568342229593</v>
      </c>
      <c r="S61">
        <f t="shared" si="11"/>
        <v>986.15475562277277</v>
      </c>
      <c r="T61" cm="1">
        <f t="array" ref="T61">[1]!PropsSI("H","T",J61+273.15,"P",101325,"Water")</f>
        <v>239525.10974019341</v>
      </c>
      <c r="U61" cm="1">
        <f t="array" ref="U61">[1]!PropsSI("H","T",K61+273.15,"P",101325,"Water")</f>
        <v>212539.03240956238</v>
      </c>
      <c r="V61">
        <f t="shared" si="12"/>
        <v>843.63147184873401</v>
      </c>
      <c r="X61">
        <f t="shared" si="13"/>
        <v>0.26439647599999999</v>
      </c>
      <c r="Y61">
        <f t="shared" si="14"/>
        <v>0.25149256399999997</v>
      </c>
      <c r="Z61">
        <f t="shared" si="15"/>
        <v>0.36490273535356327</v>
      </c>
      <c r="AA61">
        <f t="shared" si="16"/>
        <v>6.4519560000000027</v>
      </c>
      <c r="AB61">
        <f t="shared" si="17"/>
        <v>5.7434177798952012E-2</v>
      </c>
      <c r="AC61">
        <f t="shared" si="18"/>
        <v>48.453279950951767</v>
      </c>
    </row>
    <row r="62" spans="1:29" x14ac:dyDescent="0.2">
      <c r="A62">
        <v>46137.06103571759</v>
      </c>
      <c r="B62">
        <v>17.884104000000001</v>
      </c>
      <c r="C62">
        <v>18.411242999999999</v>
      </c>
      <c r="D62">
        <v>19.225211999999999</v>
      </c>
      <c r="E62">
        <v>19.718126000000002</v>
      </c>
      <c r="F62">
        <v>28.475785999999999</v>
      </c>
      <c r="G62">
        <v>30.229818999999999</v>
      </c>
      <c r="H62">
        <v>26.244288000000001</v>
      </c>
      <c r="I62">
        <v>22.731622000000002</v>
      </c>
      <c r="J62">
        <v>57.196646000000001</v>
      </c>
      <c r="K62">
        <v>50.752161999999998</v>
      </c>
      <c r="L62">
        <v>388.246534</v>
      </c>
      <c r="M62">
        <v>-622.480817</v>
      </c>
      <c r="N62">
        <v>1.9018539999999999</v>
      </c>
      <c r="O62">
        <v>4.501614</v>
      </c>
      <c r="P62">
        <f t="shared" si="10"/>
        <v>3.1697566666666666E-5</v>
      </c>
      <c r="Q62" cm="1">
        <f t="array" ref="Q62">[1]!PropsSI("D","T",J62+273.15,"P",101325,"Water")</f>
        <v>984.61462013259359</v>
      </c>
      <c r="R62" cm="1">
        <f t="array" ref="R62">[1]!PropsSI("D","T",K62+273.15,"P",101325,"Water")</f>
        <v>987.69299514044042</v>
      </c>
      <c r="S62">
        <f t="shared" si="11"/>
        <v>986.15380763651706</v>
      </c>
      <c r="T62" cm="1">
        <f t="array" ref="T62">[1]!PropsSI("H","T",J62+273.15,"P",101325,"Water")</f>
        <v>239518.44914975029</v>
      </c>
      <c r="U62" cm="1">
        <f t="array" ref="U62">[1]!PropsSI("H","T",K62+273.15,"P",101325,"Water")</f>
        <v>212563.61997570985</v>
      </c>
      <c r="V62">
        <f t="shared" si="12"/>
        <v>842.57227343484897</v>
      </c>
      <c r="X62">
        <f t="shared" si="13"/>
        <v>0.264393292</v>
      </c>
      <c r="Y62">
        <f t="shared" si="14"/>
        <v>0.251504324</v>
      </c>
      <c r="Z62">
        <f t="shared" si="15"/>
        <v>0.36490853353312286</v>
      </c>
      <c r="AA62">
        <f t="shared" si="16"/>
        <v>6.4444840000000028</v>
      </c>
      <c r="AB62">
        <f t="shared" si="17"/>
        <v>5.7499637752782322E-2</v>
      </c>
      <c r="AC62">
        <f t="shared" si="18"/>
        <v>48.447600503042068</v>
      </c>
    </row>
    <row r="63" spans="1:29" x14ac:dyDescent="0.2">
      <c r="A63">
        <v>46137.061071018521</v>
      </c>
      <c r="B63">
        <v>17.877656000000002</v>
      </c>
      <c r="C63">
        <v>18.325077</v>
      </c>
      <c r="D63">
        <v>19.348538999999999</v>
      </c>
      <c r="E63">
        <v>19.798418999999999</v>
      </c>
      <c r="F63">
        <v>28.602518</v>
      </c>
      <c r="G63">
        <v>30.525068999999998</v>
      </c>
      <c r="H63">
        <v>26.079055</v>
      </c>
      <c r="I63">
        <v>22.696286000000001</v>
      </c>
      <c r="J63">
        <v>57.193460999999999</v>
      </c>
      <c r="K63">
        <v>50.755021999999997</v>
      </c>
      <c r="L63">
        <v>372.97056500000002</v>
      </c>
      <c r="M63">
        <v>-622.48775599999999</v>
      </c>
      <c r="N63">
        <v>1.9077710000000001</v>
      </c>
      <c r="O63">
        <v>4.3986799999999997</v>
      </c>
      <c r="P63">
        <f t="shared" si="10"/>
        <v>3.1796183333333336E-5</v>
      </c>
      <c r="Q63" cm="1">
        <f t="array" ref="Q63">[1]!PropsSI("D","T",J63+273.15,"P",101325,"Water")</f>
        <v>984.616205202836</v>
      </c>
      <c r="R63" cm="1">
        <f t="array" ref="R63">[1]!PropsSI("D","T",K63+273.15,"P",101325,"Water")</f>
        <v>987.69168749352866</v>
      </c>
      <c r="S63">
        <f t="shared" si="11"/>
        <v>986.15394634818233</v>
      </c>
      <c r="T63" cm="1">
        <f t="array" ref="T63">[1]!PropsSI("H","T",J63+273.15,"P",101325,"Water")</f>
        <v>239505.12378805174</v>
      </c>
      <c r="U63" cm="1">
        <f t="array" ref="U63">[1]!PropsSI("H","T",K63+273.15,"P",101325,"Water")</f>
        <v>212575.57923773714</v>
      </c>
      <c r="V63">
        <f t="shared" si="12"/>
        <v>844.40095890405405</v>
      </c>
      <c r="X63">
        <f t="shared" si="13"/>
        <v>0.26438692200000002</v>
      </c>
      <c r="Y63">
        <f t="shared" si="14"/>
        <v>0.25151004399999999</v>
      </c>
      <c r="Z63">
        <f t="shared" si="15"/>
        <v>0.36490786064089659</v>
      </c>
      <c r="AA63">
        <f t="shared" si="16"/>
        <v>6.4384390000000025</v>
      </c>
      <c r="AB63">
        <f t="shared" si="17"/>
        <v>5.7551888667257252E-2</v>
      </c>
      <c r="AC63">
        <f t="shared" si="18"/>
        <v>48.596869977371384</v>
      </c>
    </row>
    <row r="64" spans="1:29" x14ac:dyDescent="0.2">
      <c r="A64">
        <v>46137.061105740744</v>
      </c>
      <c r="B64">
        <v>17.998691000000001</v>
      </c>
      <c r="C64">
        <v>18.458451</v>
      </c>
      <c r="D64">
        <v>19.406178000000001</v>
      </c>
      <c r="E64">
        <v>19.780466000000001</v>
      </c>
      <c r="F64">
        <v>28.717904999999998</v>
      </c>
      <c r="G64">
        <v>30.368921</v>
      </c>
      <c r="H64">
        <v>26.086127000000001</v>
      </c>
      <c r="I64">
        <v>22.961774999999999</v>
      </c>
      <c r="J64">
        <v>57.189321999999997</v>
      </c>
      <c r="K64">
        <v>50.759948999999999</v>
      </c>
      <c r="L64">
        <v>394.15521799999999</v>
      </c>
      <c r="M64">
        <v>-622.49265300000002</v>
      </c>
      <c r="N64">
        <v>1.8973089999999999</v>
      </c>
      <c r="O64">
        <v>4.2352319999999999</v>
      </c>
      <c r="P64">
        <f t="shared" si="10"/>
        <v>3.1621816666666666E-5</v>
      </c>
      <c r="Q64" cm="1">
        <f t="array" ref="Q64">[1]!PropsSI("D","T",J64+273.15,"P",101325,"Water")</f>
        <v>984.61826495563344</v>
      </c>
      <c r="R64" cm="1">
        <f t="array" ref="R64">[1]!PropsSI("D","T",K64+273.15,"P",101325,"Water")</f>
        <v>987.6894346497395</v>
      </c>
      <c r="S64">
        <f t="shared" si="11"/>
        <v>986.15384980268641</v>
      </c>
      <c r="T64" cm="1">
        <f t="array" ref="T64">[1]!PropsSI("H","T",J64+273.15,"P",101325,"Water")</f>
        <v>239487.8070994865</v>
      </c>
      <c r="U64" cm="1">
        <f t="array" ref="U64">[1]!PropsSI("H","T",K64+273.15,"P",101325,"Water")</f>
        <v>212596.181790298</v>
      </c>
      <c r="V64">
        <f t="shared" si="12"/>
        <v>838.58780479320637</v>
      </c>
      <c r="X64">
        <f t="shared" si="13"/>
        <v>0.264378644</v>
      </c>
      <c r="Y64">
        <f t="shared" si="14"/>
        <v>0.25151989799999996</v>
      </c>
      <c r="Z64">
        <f t="shared" si="15"/>
        <v>0.36490865499904102</v>
      </c>
      <c r="AA64">
        <f t="shared" si="16"/>
        <v>6.4293729999999982</v>
      </c>
      <c r="AB64">
        <f t="shared" si="17"/>
        <v>5.7630715287853601E-2</v>
      </c>
      <c r="AC64">
        <f t="shared" si="18"/>
        <v>48.328415021903432</v>
      </c>
    </row>
    <row r="65" spans="1:29" x14ac:dyDescent="0.2">
      <c r="A65">
        <v>46137.06114046296</v>
      </c>
      <c r="B65">
        <v>17.764963999999999</v>
      </c>
      <c r="C65">
        <v>18.141877000000001</v>
      </c>
      <c r="D65">
        <v>19.506682000000001</v>
      </c>
      <c r="E65">
        <v>19.835173000000001</v>
      </c>
      <c r="F65">
        <v>28.526468000000001</v>
      </c>
      <c r="G65">
        <v>30.498843999999998</v>
      </c>
      <c r="H65">
        <v>26.024539000000001</v>
      </c>
      <c r="I65">
        <v>22.435684999999999</v>
      </c>
      <c r="J65">
        <v>57.185023000000001</v>
      </c>
      <c r="K65">
        <v>50.762332000000001</v>
      </c>
      <c r="L65">
        <v>382.04317099999997</v>
      </c>
      <c r="M65">
        <v>-622.49183700000003</v>
      </c>
      <c r="N65">
        <v>1.9062349999999999</v>
      </c>
      <c r="O65">
        <v>4.1210899999999997</v>
      </c>
      <c r="P65">
        <f t="shared" si="10"/>
        <v>3.1770583333333334E-5</v>
      </c>
      <c r="Q65" cm="1">
        <f t="array" ref="Q65">[1]!PropsSI("D","T",J65+273.15,"P",101325,"Water")</f>
        <v>984.62040422153393</v>
      </c>
      <c r="R65" cm="1">
        <f t="array" ref="R65">[1]!PropsSI("D","T",K65+273.15,"P",101325,"Water")</f>
        <v>987.68834497939417</v>
      </c>
      <c r="S65">
        <f t="shared" si="11"/>
        <v>986.15437460046405</v>
      </c>
      <c r="T65" cm="1">
        <f t="array" ref="T65">[1]!PropsSI("H","T",J65+273.15,"P",101325,"Water")</f>
        <v>239469.82101248266</v>
      </c>
      <c r="U65" cm="1">
        <f t="array" ref="U65">[1]!PropsSI("H","T",K65+273.15,"P",101325,"Water")</f>
        <v>212606.14645342724</v>
      </c>
      <c r="V65">
        <f t="shared" si="12"/>
        <v>841.65772146307756</v>
      </c>
      <c r="X65">
        <f t="shared" si="13"/>
        <v>0.26437004600000003</v>
      </c>
      <c r="Y65">
        <f t="shared" si="14"/>
        <v>0.25152466400000001</v>
      </c>
      <c r="Z65">
        <f t="shared" si="15"/>
        <v>0.36490571086563584</v>
      </c>
      <c r="AA65">
        <f t="shared" si="16"/>
        <v>6.4226910000000004</v>
      </c>
      <c r="AB65">
        <f t="shared" si="17"/>
        <v>5.7688416990883076E-2</v>
      </c>
      <c r="AC65">
        <f t="shared" si="18"/>
        <v>48.553901599358539</v>
      </c>
    </row>
    <row r="66" spans="1:29" x14ac:dyDescent="0.2">
      <c r="A66">
        <v>46137.061175763891</v>
      </c>
      <c r="B66">
        <v>17.605871</v>
      </c>
      <c r="C66">
        <v>17.730647999999999</v>
      </c>
      <c r="D66">
        <v>19.548335000000002</v>
      </c>
      <c r="E66">
        <v>19.829678999999999</v>
      </c>
      <c r="F66">
        <v>28.135698999999999</v>
      </c>
      <c r="G66">
        <v>29.369686000000002</v>
      </c>
      <c r="H66">
        <v>25.988149</v>
      </c>
      <c r="I66">
        <v>22.958005</v>
      </c>
      <c r="J66">
        <v>57.183430000000001</v>
      </c>
      <c r="K66">
        <v>50.764398</v>
      </c>
      <c r="L66">
        <v>386.50498900000002</v>
      </c>
      <c r="M66">
        <v>-622.48367399999995</v>
      </c>
      <c r="N66">
        <v>1.9082060000000001</v>
      </c>
      <c r="O66">
        <v>4.6886089999999996</v>
      </c>
      <c r="P66">
        <f t="shared" si="10"/>
        <v>3.1803433333333335E-5</v>
      </c>
      <c r="Q66" cm="1">
        <f t="array" ref="Q66">[1]!PropsSI("D","T",J66+273.15,"P",101325,"Water")</f>
        <v>984.62119690082466</v>
      </c>
      <c r="R66" cm="1">
        <f t="array" ref="R66">[1]!PropsSI("D","T",K66+273.15,"P",101325,"Water")</f>
        <v>987.68740023321584</v>
      </c>
      <c r="S66">
        <f t="shared" si="11"/>
        <v>986.15429856702031</v>
      </c>
      <c r="T66" cm="1">
        <f t="array" ref="T66">[1]!PropsSI("H","T",J66+273.15,"P",101325,"Water")</f>
        <v>239463.15624653958</v>
      </c>
      <c r="U66" cm="1">
        <f t="array" ref="U66">[1]!PropsSI("H","T",K66+273.15,"P",101325,"Water")</f>
        <v>212614.78556270842</v>
      </c>
      <c r="V66">
        <f t="shared" si="12"/>
        <v>842.04793298579239</v>
      </c>
      <c r="X66">
        <f t="shared" si="13"/>
        <v>0.26436685999999998</v>
      </c>
      <c r="Y66">
        <f t="shared" si="14"/>
        <v>0.251528796</v>
      </c>
      <c r="Z66">
        <f t="shared" si="15"/>
        <v>0.36490625081446493</v>
      </c>
      <c r="AA66">
        <f t="shared" si="16"/>
        <v>6.4190320000000014</v>
      </c>
      <c r="AB66">
        <f t="shared" si="17"/>
        <v>5.7720395762690946E-2</v>
      </c>
      <c r="AC66">
        <f t="shared" si="18"/>
        <v>48.603339943095797</v>
      </c>
    </row>
    <row r="67" spans="1:29" x14ac:dyDescent="0.2">
      <c r="A67">
        <v>46137.061210486114</v>
      </c>
      <c r="B67">
        <v>17.744454999999999</v>
      </c>
      <c r="C67">
        <v>18.124832999999999</v>
      </c>
      <c r="D67">
        <v>19.430855000000001</v>
      </c>
      <c r="E67">
        <v>19.783024000000001</v>
      </c>
      <c r="F67">
        <v>28.594048000000001</v>
      </c>
      <c r="G67">
        <v>29.9269</v>
      </c>
      <c r="H67">
        <v>26.308019999999999</v>
      </c>
      <c r="I67">
        <v>22.794231</v>
      </c>
      <c r="J67">
        <v>57.179290999999999</v>
      </c>
      <c r="K67">
        <v>50.763444999999997</v>
      </c>
      <c r="L67">
        <v>386.26173599999998</v>
      </c>
      <c r="M67">
        <v>-622.48653100000001</v>
      </c>
      <c r="N67">
        <v>1.905845</v>
      </c>
      <c r="O67">
        <v>4.1965880000000002</v>
      </c>
      <c r="P67">
        <f t="shared" si="10"/>
        <v>3.1764083333333333E-5</v>
      </c>
      <c r="Q67" cm="1">
        <f t="array" ref="Q67">[1]!PropsSI("D","T",J67+273.15,"P",101325,"Water")</f>
        <v>984.62325640159224</v>
      </c>
      <c r="R67" cm="1">
        <f t="array" ref="R67">[1]!PropsSI("D","T",K67+273.15,"P",101325,"Water")</f>
        <v>987.68783602712995</v>
      </c>
      <c r="S67">
        <f t="shared" si="11"/>
        <v>986.15554621436104</v>
      </c>
      <c r="T67" cm="1">
        <f t="array" ref="T67">[1]!PropsSI("H","T",J67+273.15,"P",101325,"Water")</f>
        <v>239445.83957438901</v>
      </c>
      <c r="U67" cm="1">
        <f t="array" ref="U67">[1]!PropsSI("H","T",K67+273.15,"P",101325,"Water")</f>
        <v>212610.80053295052</v>
      </c>
      <c r="V67">
        <f t="shared" si="12"/>
        <v>840.58953663881186</v>
      </c>
      <c r="X67">
        <f t="shared" si="13"/>
        <v>0.26435858200000001</v>
      </c>
      <c r="Y67">
        <f t="shared" si="14"/>
        <v>0.25152689</v>
      </c>
      <c r="Z67">
        <f t="shared" si="15"/>
        <v>0.36489893980405425</v>
      </c>
      <c r="AA67">
        <f t="shared" si="16"/>
        <v>6.4158460000000019</v>
      </c>
      <c r="AB67">
        <f t="shared" si="17"/>
        <v>5.7747076303048511E-2</v>
      </c>
      <c r="AC67">
        <f t="shared" si="18"/>
        <v>48.541588111825661</v>
      </c>
    </row>
    <row r="68" spans="1:29" x14ac:dyDescent="0.2">
      <c r="A68">
        <v>46137.061245787037</v>
      </c>
      <c r="B68">
        <v>18.180900000000001</v>
      </c>
      <c r="C68">
        <v>18.601845000000001</v>
      </c>
      <c r="D68">
        <v>19.692070999999999</v>
      </c>
      <c r="E68">
        <v>19.836366000000002</v>
      </c>
      <c r="F68">
        <v>28.481850000000001</v>
      </c>
      <c r="G68">
        <v>29.988717999999999</v>
      </c>
      <c r="H68">
        <v>25.605893999999999</v>
      </c>
      <c r="I68">
        <v>22.442864</v>
      </c>
      <c r="J68">
        <v>57.177698999999997</v>
      </c>
      <c r="K68">
        <v>50.761060999999998</v>
      </c>
      <c r="L68">
        <v>391.92553400000003</v>
      </c>
      <c r="M68">
        <v>-622.49591899999996</v>
      </c>
      <c r="N68">
        <v>1.9030830000000001</v>
      </c>
      <c r="O68">
        <v>4.2952130000000004</v>
      </c>
      <c r="P68">
        <f t="shared" si="10"/>
        <v>3.171805E-5</v>
      </c>
      <c r="Q68" cm="1">
        <f t="array" ref="Q68">[1]!PropsSI("D","T",J68+273.15,"P",101325,"Water")</f>
        <v>984.62404852787233</v>
      </c>
      <c r="R68" cm="1">
        <f t="array" ref="R68">[1]!PropsSI("D","T",K68+273.15,"P",101325,"Water")</f>
        <v>987.68892617198435</v>
      </c>
      <c r="S68">
        <f t="shared" si="11"/>
        <v>986.15648734992828</v>
      </c>
      <c r="T68" cm="1">
        <f t="array" ref="T68">[1]!PropsSI("H","T",J68+273.15,"P",101325,"Water")</f>
        <v>239439.17899582873</v>
      </c>
      <c r="U68" cm="1">
        <f t="array" ref="U68">[1]!PropsSI("H","T",K68+273.15,"P",101325,"Water")</f>
        <v>212600.83168744048</v>
      </c>
      <c r="V68">
        <f t="shared" si="12"/>
        <v>839.4756126870443</v>
      </c>
      <c r="X68">
        <f t="shared" si="13"/>
        <v>0.26435539799999996</v>
      </c>
      <c r="Y68">
        <f t="shared" si="14"/>
        <v>0.25152212200000001</v>
      </c>
      <c r="Z68">
        <f t="shared" si="15"/>
        <v>0.36489334648239513</v>
      </c>
      <c r="AA68">
        <f t="shared" si="16"/>
        <v>6.416637999999999</v>
      </c>
      <c r="AB68">
        <f t="shared" si="17"/>
        <v>5.7739303868143334E-2</v>
      </c>
      <c r="AC68">
        <f t="shared" si="18"/>
        <v>48.470737490833052</v>
      </c>
    </row>
    <row r="69" spans="1:29" x14ac:dyDescent="0.2">
      <c r="A69">
        <v>46137.061281087961</v>
      </c>
      <c r="B69">
        <v>18.091783</v>
      </c>
      <c r="C69">
        <v>18.660807999999999</v>
      </c>
      <c r="D69">
        <v>19.757762</v>
      </c>
      <c r="E69">
        <v>19.802557</v>
      </c>
      <c r="F69">
        <v>28.519157</v>
      </c>
      <c r="G69">
        <v>31.407571000000001</v>
      </c>
      <c r="H69">
        <v>26.09188</v>
      </c>
      <c r="I69">
        <v>22.965606999999999</v>
      </c>
      <c r="J69">
        <v>57.171647999999998</v>
      </c>
      <c r="K69">
        <v>50.762490999999997</v>
      </c>
      <c r="L69">
        <v>393.09323000000001</v>
      </c>
      <c r="M69">
        <v>-622.49265300000002</v>
      </c>
      <c r="N69">
        <v>1.9015470000000001</v>
      </c>
      <c r="O69">
        <v>4.1461379999999997</v>
      </c>
      <c r="P69">
        <f t="shared" si="10"/>
        <v>3.1692450000000005E-5</v>
      </c>
      <c r="Q69" cm="1">
        <f t="array" ref="Q69">[1]!PropsSI("D","T",J69+273.15,"P",101325,"Water")</f>
        <v>984.62705916386574</v>
      </c>
      <c r="R69" cm="1">
        <f t="array" ref="R69">[1]!PropsSI("D","T",K69+273.15,"P",101325,"Water")</f>
        <v>987.68827227241695</v>
      </c>
      <c r="S69">
        <f t="shared" si="11"/>
        <v>986.15766571814129</v>
      </c>
      <c r="T69" cm="1">
        <f t="array" ref="T69">[1]!PropsSI("H","T",J69+273.15,"P",101325,"Water")</f>
        <v>239413.86294917853</v>
      </c>
      <c r="U69" cm="1">
        <f t="array" ref="U69">[1]!PropsSI("H","T",K69+273.15,"P",101325,"Water")</f>
        <v>212606.81132189362</v>
      </c>
      <c r="V69">
        <f t="shared" si="12"/>
        <v>837.82095715939852</v>
      </c>
      <c r="X69">
        <f t="shared" si="13"/>
        <v>0.26434329600000001</v>
      </c>
      <c r="Y69">
        <f t="shared" si="14"/>
        <v>0.25152498200000001</v>
      </c>
      <c r="Z69">
        <f t="shared" si="15"/>
        <v>0.36488655046499585</v>
      </c>
      <c r="AA69">
        <f t="shared" si="16"/>
        <v>6.4091570000000004</v>
      </c>
      <c r="AB69">
        <f t="shared" si="17"/>
        <v>5.7803634481074145E-2</v>
      </c>
      <c r="AC69">
        <f t="shared" si="18"/>
        <v>48.429096368225551</v>
      </c>
    </row>
    <row r="70" spans="1:29" x14ac:dyDescent="0.2">
      <c r="A70">
        <v>46137.061315810184</v>
      </c>
      <c r="B70">
        <v>17.727974</v>
      </c>
      <c r="C70">
        <v>18.203361999999998</v>
      </c>
      <c r="D70">
        <v>19.481905000000001</v>
      </c>
      <c r="E70">
        <v>19.813903</v>
      </c>
      <c r="F70">
        <v>28.490841</v>
      </c>
      <c r="G70">
        <v>30.161595999999999</v>
      </c>
      <c r="H70">
        <v>25.445809000000001</v>
      </c>
      <c r="I70">
        <v>23.286038000000001</v>
      </c>
      <c r="J70">
        <v>57.167827000000003</v>
      </c>
      <c r="K70">
        <v>50.767259000000003</v>
      </c>
      <c r="L70">
        <v>401.083034</v>
      </c>
      <c r="M70">
        <v>-622.48244999999997</v>
      </c>
      <c r="N70">
        <v>1.9082790000000001</v>
      </c>
      <c r="O70">
        <v>4.2250399999999999</v>
      </c>
      <c r="P70">
        <f t="shared" si="10"/>
        <v>3.180465E-5</v>
      </c>
      <c r="Q70" cm="1">
        <f t="array" ref="Q70">[1]!PropsSI("D","T",J70+273.15,"P",101325,"Water")</f>
        <v>984.62896016325999</v>
      </c>
      <c r="R70" cm="1">
        <f t="array" ref="R70">[1]!PropsSI("D","T",K70+273.15,"P",101325,"Water")</f>
        <v>987.68609190142229</v>
      </c>
      <c r="S70">
        <f t="shared" si="11"/>
        <v>986.15752603234114</v>
      </c>
      <c r="T70" cm="1">
        <f t="array" ref="T70">[1]!PropsSI("H","T",J70+273.15,"P",101325,"Water")</f>
        <v>239397.87673712053</v>
      </c>
      <c r="U70" cm="1">
        <f t="array" ref="U70">[1]!PropsSI("H","T",K70+273.15,"P",101325,"Water")</f>
        <v>212626.74901660805</v>
      </c>
      <c r="V70">
        <f t="shared" si="12"/>
        <v>839.66022335944501</v>
      </c>
      <c r="X70">
        <f t="shared" si="13"/>
        <v>0.26433565400000003</v>
      </c>
      <c r="Y70">
        <f t="shared" si="14"/>
        <v>0.25153451799999998</v>
      </c>
      <c r="Z70">
        <f t="shared" si="15"/>
        <v>0.36488758778711566</v>
      </c>
      <c r="AA70">
        <f t="shared" si="16"/>
        <v>6.4005679999999998</v>
      </c>
      <c r="AB70">
        <f t="shared" si="17"/>
        <v>5.7879041518436203E-2</v>
      </c>
      <c r="AC70">
        <f t="shared" si="18"/>
        <v>48.598728929200732</v>
      </c>
    </row>
    <row r="71" spans="1:29" x14ac:dyDescent="0.2">
      <c r="A71">
        <v>46137.061351111108</v>
      </c>
      <c r="B71">
        <v>17.579625</v>
      </c>
      <c r="C71">
        <v>17.740489</v>
      </c>
      <c r="D71">
        <v>19.402743999999998</v>
      </c>
      <c r="E71">
        <v>19.699714</v>
      </c>
      <c r="F71">
        <v>28.315652</v>
      </c>
      <c r="G71">
        <v>30.191724000000001</v>
      </c>
      <c r="H71">
        <v>25.938341000000001</v>
      </c>
      <c r="I71">
        <v>22.993777000000001</v>
      </c>
      <c r="J71">
        <v>57.161935999999997</v>
      </c>
      <c r="K71">
        <v>50.764239000000003</v>
      </c>
      <c r="L71">
        <v>403.51066800000001</v>
      </c>
      <c r="M71">
        <v>-622.50857099999996</v>
      </c>
      <c r="N71">
        <v>1.9056850000000001</v>
      </c>
      <c r="O71">
        <v>4.7827489999999999</v>
      </c>
      <c r="P71">
        <f t="shared" si="10"/>
        <v>3.1761416666666667E-5</v>
      </c>
      <c r="Q71" cm="1">
        <f t="array" ref="Q71">[1]!PropsSI("D","T",J71+273.15,"P",101325,"Water")</f>
        <v>984.63189084206749</v>
      </c>
      <c r="R71" cm="1">
        <f t="array" ref="R71">[1]!PropsSI("D","T",K71+273.15,"P",101325,"Water")</f>
        <v>987.68747294214847</v>
      </c>
      <c r="S71">
        <f t="shared" si="11"/>
        <v>986.15968189210798</v>
      </c>
      <c r="T71" cm="1">
        <f t="array" ref="T71">[1]!PropsSI("H","T",J71+273.15,"P",101325,"Water")</f>
        <v>239373.23011787364</v>
      </c>
      <c r="U71" cm="1">
        <f t="array" ref="U71">[1]!PropsSI("H","T",K71+273.15,"P",101325,"Water")</f>
        <v>212614.1206941166</v>
      </c>
      <c r="V71">
        <f t="shared" si="12"/>
        <v>838.1442376940081</v>
      </c>
      <c r="X71">
        <f t="shared" si="13"/>
        <v>0.26432387199999996</v>
      </c>
      <c r="Y71">
        <f t="shared" si="14"/>
        <v>0.251528478</v>
      </c>
      <c r="Z71">
        <f t="shared" si="15"/>
        <v>0.36487488890586711</v>
      </c>
      <c r="AA71">
        <f t="shared" si="16"/>
        <v>6.3976969999999937</v>
      </c>
      <c r="AB71">
        <f t="shared" si="17"/>
        <v>5.7902284787536194E-2</v>
      </c>
      <c r="AC71">
        <f t="shared" si="18"/>
        <v>48.530466343990888</v>
      </c>
    </row>
    <row r="72" spans="1:29" x14ac:dyDescent="0.2">
      <c r="A72">
        <v>46137.061386412039</v>
      </c>
      <c r="B72">
        <v>17.698861000000001</v>
      </c>
      <c r="C72">
        <v>18.179713</v>
      </c>
      <c r="D72">
        <v>19.397732000000001</v>
      </c>
      <c r="E72">
        <v>19.691451000000001</v>
      </c>
      <c r="F72">
        <v>28.710737999999999</v>
      </c>
      <c r="G72">
        <v>30.787478</v>
      </c>
      <c r="H72">
        <v>25.906977999999999</v>
      </c>
      <c r="I72">
        <v>22.865915999999999</v>
      </c>
      <c r="J72">
        <v>57.159706999999997</v>
      </c>
      <c r="K72">
        <v>50.756135</v>
      </c>
      <c r="L72">
        <v>380.20407999999998</v>
      </c>
      <c r="M72">
        <v>-622.49795900000004</v>
      </c>
      <c r="N72">
        <v>1.9063699999999999</v>
      </c>
      <c r="O72">
        <v>4.3237550000000002</v>
      </c>
      <c r="P72">
        <f t="shared" si="10"/>
        <v>3.1772833333333328E-5</v>
      </c>
      <c r="Q72" cm="1">
        <f t="array" ref="Q72">[1]!PropsSI("D","T",J72+273.15,"P",101325,"Water")</f>
        <v>984.63299967918238</v>
      </c>
      <c r="R72" cm="1">
        <f t="array" ref="R72">[1]!PropsSI("D","T",K72+273.15,"P",101325,"Water")</f>
        <v>987.69117859414951</v>
      </c>
      <c r="S72">
        <f t="shared" si="11"/>
        <v>986.16208913666594</v>
      </c>
      <c r="T72" cm="1">
        <f t="array" ref="T72">[1]!PropsSI("H","T",J72+273.15,"P",101325,"Water")</f>
        <v>239363.90448668142</v>
      </c>
      <c r="U72" cm="1">
        <f t="array" ref="U72">[1]!PropsSI("H","T",K72+273.15,"P",101325,"Water")</f>
        <v>212580.23331484315</v>
      </c>
      <c r="V72">
        <f t="shared" si="12"/>
        <v>839.2171532550168</v>
      </c>
      <c r="X72">
        <f t="shared" si="13"/>
        <v>0.26431941399999997</v>
      </c>
      <c r="Y72">
        <f t="shared" si="14"/>
        <v>0.25151226999999998</v>
      </c>
      <c r="Z72">
        <f t="shared" si="15"/>
        <v>0.36486048645729818</v>
      </c>
      <c r="AA72">
        <f t="shared" si="16"/>
        <v>6.4035719999999969</v>
      </c>
      <c r="AB72">
        <f t="shared" si="17"/>
        <v>5.7848531876799177E-2</v>
      </c>
      <c r="AC72">
        <f t="shared" si="18"/>
        <v>48.547480241629501</v>
      </c>
    </row>
    <row r="73" spans="1:29" x14ac:dyDescent="0.2">
      <c r="A73">
        <v>46137.061421712962</v>
      </c>
      <c r="B73">
        <v>17.540400000000002</v>
      </c>
      <c r="C73">
        <v>18.144836999999999</v>
      </c>
      <c r="D73">
        <v>19.247893999999999</v>
      </c>
      <c r="E73">
        <v>19.445948999999999</v>
      </c>
      <c r="F73">
        <v>28.287908999999999</v>
      </c>
      <c r="G73">
        <v>29.924257000000001</v>
      </c>
      <c r="H73">
        <v>25.826322000000001</v>
      </c>
      <c r="I73">
        <v>22.496198</v>
      </c>
      <c r="J73">
        <v>57.156364000000004</v>
      </c>
      <c r="K73">
        <v>50.752639000000002</v>
      </c>
      <c r="L73">
        <v>379.08005500000002</v>
      </c>
      <c r="M73">
        <v>-622.50979500000005</v>
      </c>
      <c r="N73">
        <v>1.9081239999999999</v>
      </c>
      <c r="O73">
        <v>4.4587760000000003</v>
      </c>
      <c r="P73">
        <f t="shared" si="10"/>
        <v>3.1802066666666665E-5</v>
      </c>
      <c r="Q73" cm="1">
        <f t="array" ref="Q73">[1]!PropsSI("D","T",J73+273.15,"P",101325,"Water")</f>
        <v>984.63466262955683</v>
      </c>
      <c r="R73" cm="1">
        <f t="array" ref="R73">[1]!PropsSI("D","T",K73+273.15,"P",101325,"Water")</f>
        <v>987.6927770505813</v>
      </c>
      <c r="S73">
        <f t="shared" si="11"/>
        <v>986.16371984006901</v>
      </c>
      <c r="T73" cm="1">
        <f t="array" ref="T73">[1]!PropsSI("H","T",J73+273.15,"P",101325,"Water")</f>
        <v>239349.91813547933</v>
      </c>
      <c r="U73" cm="1">
        <f t="array" ref="U73">[1]!PropsSI("H","T",K73+273.15,"P",101325,"Water")</f>
        <v>212565.61457972971</v>
      </c>
      <c r="V73">
        <f t="shared" si="12"/>
        <v>840.01051633681436</v>
      </c>
      <c r="X73">
        <f t="shared" si="13"/>
        <v>0.264312728</v>
      </c>
      <c r="Y73">
        <f t="shared" si="14"/>
        <v>0.251505278</v>
      </c>
      <c r="Z73">
        <f t="shared" si="15"/>
        <v>0.36485082300120858</v>
      </c>
      <c r="AA73">
        <f t="shared" si="16"/>
        <v>6.4037250000000014</v>
      </c>
      <c r="AB73">
        <f t="shared" si="17"/>
        <v>5.7845704724571581E-2</v>
      </c>
      <c r="AC73">
        <f t="shared" si="18"/>
        <v>48.591000293554274</v>
      </c>
    </row>
    <row r="74" spans="1:29" x14ac:dyDescent="0.2">
      <c r="A74">
        <v>46137.061457013886</v>
      </c>
      <c r="B74">
        <v>17.764858</v>
      </c>
      <c r="C74">
        <v>18.369499999999999</v>
      </c>
      <c r="D74">
        <v>19.13758</v>
      </c>
      <c r="E74">
        <v>19.662524999999999</v>
      </c>
      <c r="F74">
        <v>28.425816000000001</v>
      </c>
      <c r="G74">
        <v>30.621117000000002</v>
      </c>
      <c r="H74">
        <v>25.967184</v>
      </c>
      <c r="I74">
        <v>22.460305999999999</v>
      </c>
      <c r="J74">
        <v>57.155886000000002</v>
      </c>
      <c r="K74">
        <v>50.746122999999997</v>
      </c>
      <c r="L74">
        <v>406.503579</v>
      </c>
      <c r="M74">
        <v>-622.50449000000003</v>
      </c>
      <c r="N74">
        <v>1.9058740000000001</v>
      </c>
      <c r="O74">
        <v>4.3136780000000003</v>
      </c>
      <c r="P74">
        <f t="shared" si="10"/>
        <v>3.1764566666666671E-5</v>
      </c>
      <c r="Q74" cm="1">
        <f t="array" ref="Q74">[1]!PropsSI("D","T",J74+273.15,"P",101325,"Water")</f>
        <v>984.63490040154136</v>
      </c>
      <c r="R74" cm="1">
        <f t="array" ref="R74">[1]!PropsSI("D","T",K74+273.15,"P",101325,"Water")</f>
        <v>987.69575611251526</v>
      </c>
      <c r="S74">
        <f t="shared" si="11"/>
        <v>986.16532825702825</v>
      </c>
      <c r="T74" cm="1">
        <f t="array" ref="T74">[1]!PropsSI("H","T",J74+273.15,"P",101325,"Water")</f>
        <v>239347.91829262761</v>
      </c>
      <c r="U74" cm="1">
        <f t="array" ref="U74">[1]!PropsSI("H","T",K74+273.15,"P",101325,"Water")</f>
        <v>212538.36754186868</v>
      </c>
      <c r="V74">
        <f t="shared" si="12"/>
        <v>839.812241968492</v>
      </c>
      <c r="X74">
        <f t="shared" si="13"/>
        <v>0.264311772</v>
      </c>
      <c r="Y74">
        <f t="shared" si="14"/>
        <v>0.25149224599999997</v>
      </c>
      <c r="Z74">
        <f t="shared" si="15"/>
        <v>0.36484114709816451</v>
      </c>
      <c r="AA74">
        <f t="shared" si="16"/>
        <v>6.4097630000000052</v>
      </c>
      <c r="AB74">
        <f t="shared" si="17"/>
        <v>5.7791356470413835E-2</v>
      </c>
      <c r="AC74">
        <f t="shared" si="18"/>
        <v>48.533888643818557</v>
      </c>
    </row>
    <row r="75" spans="1:29" x14ac:dyDescent="0.2">
      <c r="A75">
        <v>46137.061491736109</v>
      </c>
      <c r="B75">
        <v>17.651544999999999</v>
      </c>
      <c r="C75">
        <v>18.106292</v>
      </c>
      <c r="D75">
        <v>19.477696000000002</v>
      </c>
      <c r="E75">
        <v>19.790095000000001</v>
      </c>
      <c r="F75">
        <v>28.323269</v>
      </c>
      <c r="G75">
        <v>30.496759000000001</v>
      </c>
      <c r="H75">
        <v>26.317124</v>
      </c>
      <c r="I75">
        <v>22.969356000000001</v>
      </c>
      <c r="J75">
        <v>57.151268999999999</v>
      </c>
      <c r="K75">
        <v>50.744692999999998</v>
      </c>
      <c r="L75">
        <v>370.093974</v>
      </c>
      <c r="M75">
        <v>-622.48571500000003</v>
      </c>
      <c r="N75">
        <v>1.906685</v>
      </c>
      <c r="O75">
        <v>4.5814320000000004</v>
      </c>
      <c r="P75">
        <f t="shared" si="10"/>
        <v>3.177808333333333E-5</v>
      </c>
      <c r="Q75" cm="1">
        <f t="array" ref="Q75">[1]!PropsSI("D","T",J75+273.15,"P",101325,"Water")</f>
        <v>984.63719696870828</v>
      </c>
      <c r="R75" cm="1">
        <f t="array" ref="R75">[1]!PropsSI("D","T",K75+273.15,"P",101325,"Water")</f>
        <v>987.69640985985461</v>
      </c>
      <c r="S75">
        <f t="shared" si="11"/>
        <v>986.1668034142815</v>
      </c>
      <c r="T75" cm="1">
        <f t="array" ref="T75">[1]!PropsSI("H","T",J75+273.15,"P",101325,"Water")</f>
        <v>239328.60182348205</v>
      </c>
      <c r="U75" cm="1">
        <f t="array" ref="U75">[1]!PropsSI("H","T",K75+273.15,"P",101325,"Water")</f>
        <v>212532.38791430264</v>
      </c>
      <c r="V75">
        <f t="shared" si="12"/>
        <v>839.75290466111426</v>
      </c>
      <c r="X75">
        <f t="shared" si="13"/>
        <v>0.26430253799999998</v>
      </c>
      <c r="Y75">
        <f t="shared" si="14"/>
        <v>0.25148938599999998</v>
      </c>
      <c r="Z75">
        <f t="shared" si="15"/>
        <v>0.36483248603146406</v>
      </c>
      <c r="AA75">
        <f t="shared" si="16"/>
        <v>6.4065760000000012</v>
      </c>
      <c r="AB75">
        <f t="shared" si="17"/>
        <v>5.7817913117072399E-2</v>
      </c>
      <c r="AC75">
        <f t="shared" si="18"/>
        <v>48.552760481505487</v>
      </c>
    </row>
    <row r="76" spans="1:29" x14ac:dyDescent="0.2">
      <c r="A76">
        <v>46137.06152703704</v>
      </c>
      <c r="B76">
        <v>17.703768</v>
      </c>
      <c r="C76">
        <v>18.208634</v>
      </c>
      <c r="D76">
        <v>19.617857999999998</v>
      </c>
      <c r="E76">
        <v>19.688700999999998</v>
      </c>
      <c r="F76">
        <v>28.495934999999999</v>
      </c>
      <c r="G76">
        <v>29.865697000000001</v>
      </c>
      <c r="H76">
        <v>25.799569000000002</v>
      </c>
      <c r="I76">
        <v>22.509322000000001</v>
      </c>
      <c r="J76">
        <v>57.146174000000002</v>
      </c>
      <c r="K76">
        <v>50.743580999999999</v>
      </c>
      <c r="L76">
        <v>387.80369899999999</v>
      </c>
      <c r="M76">
        <v>-622.47183800000005</v>
      </c>
      <c r="N76">
        <v>1.9060619999999999</v>
      </c>
      <c r="O76">
        <v>4.499746</v>
      </c>
      <c r="P76">
        <f t="shared" si="10"/>
        <v>3.1767699999999997E-5</v>
      </c>
      <c r="Q76" cm="1">
        <f t="array" ref="Q76">[1]!PropsSI("D","T",J76+273.15,"P",101325,"Water")</f>
        <v>984.63973115025169</v>
      </c>
      <c r="R76" cm="1">
        <f t="array" ref="R76">[1]!PropsSI("D","T",K76+273.15,"P",101325,"Water")</f>
        <v>987.69691821923823</v>
      </c>
      <c r="S76">
        <f t="shared" si="11"/>
        <v>986.1683246847449</v>
      </c>
      <c r="T76" cm="1">
        <f t="array" ref="T76">[1]!PropsSI("H","T",J76+273.15,"P",101325,"Water")</f>
        <v>239307.28552170811</v>
      </c>
      <c r="U76" cm="1">
        <f t="array" ref="U76">[1]!PropsSI("H","T",K76+273.15,"P",101325,"Water")</f>
        <v>212527.73802250787</v>
      </c>
      <c r="V76">
        <f t="shared" si="12"/>
        <v>838.95768421041168</v>
      </c>
      <c r="X76">
        <f t="shared" si="13"/>
        <v>0.26429234800000001</v>
      </c>
      <c r="Y76">
        <f t="shared" si="14"/>
        <v>0.25148716199999999</v>
      </c>
      <c r="Z76">
        <f t="shared" si="15"/>
        <v>0.36482357086976624</v>
      </c>
      <c r="AA76">
        <f t="shared" si="16"/>
        <v>6.4025930000000031</v>
      </c>
      <c r="AB76">
        <f t="shared" si="17"/>
        <v>5.7851434065820273E-2</v>
      </c>
      <c r="AC76">
        <f t="shared" si="18"/>
        <v>48.534905152111897</v>
      </c>
    </row>
    <row r="77" spans="1:29" x14ac:dyDescent="0.2">
      <c r="A77">
        <v>46137.061561759256</v>
      </c>
      <c r="B77">
        <v>17.766918</v>
      </c>
      <c r="C77">
        <v>18.186520000000002</v>
      </c>
      <c r="D77">
        <v>19.583331999999999</v>
      </c>
      <c r="E77">
        <v>19.693456000000001</v>
      </c>
      <c r="F77">
        <v>28.518767</v>
      </c>
      <c r="G77">
        <v>30.438078000000001</v>
      </c>
      <c r="H77">
        <v>25.837060000000001</v>
      </c>
      <c r="I77">
        <v>22.884150999999999</v>
      </c>
      <c r="J77">
        <v>57.142512000000004</v>
      </c>
      <c r="K77">
        <v>50.742626999999999</v>
      </c>
      <c r="L77">
        <v>398.55009999999999</v>
      </c>
      <c r="M77">
        <v>-622.48367399999995</v>
      </c>
      <c r="N77">
        <v>1.907386</v>
      </c>
      <c r="O77">
        <v>4.1000839999999998</v>
      </c>
      <c r="P77">
        <f t="shared" si="10"/>
        <v>3.1789766666666665E-5</v>
      </c>
      <c r="Q77" cm="1">
        <f t="array" ref="Q77">[1]!PropsSI("D","T",J77+273.15,"P",101325,"Water")</f>
        <v>984.64155248030249</v>
      </c>
      <c r="R77" cm="1">
        <f t="array" ref="R77">[1]!PropsSI("D","T",K77+273.15,"P",101325,"Water")</f>
        <v>987.69735434128586</v>
      </c>
      <c r="S77">
        <f t="shared" si="11"/>
        <v>986.16945341079418</v>
      </c>
      <c r="T77" cm="1">
        <f t="array" ref="T77">[1]!PropsSI("H","T",J77+273.15,"P",101325,"Water")</f>
        <v>239291.96456684143</v>
      </c>
      <c r="U77" cm="1">
        <f t="array" ref="U77">[1]!PropsSI("H","T",K77+273.15,"P",101325,"Water")</f>
        <v>212523.74881712091</v>
      </c>
      <c r="V77">
        <f t="shared" si="12"/>
        <v>839.18615539144525</v>
      </c>
      <c r="X77">
        <f t="shared" si="13"/>
        <v>0.26428502399999998</v>
      </c>
      <c r="Y77">
        <f t="shared" si="14"/>
        <v>0.25148525399999999</v>
      </c>
      <c r="Z77">
        <f t="shared" si="15"/>
        <v>0.36481694983940244</v>
      </c>
      <c r="AA77">
        <f t="shared" si="16"/>
        <v>6.3998850000000047</v>
      </c>
      <c r="AB77">
        <f t="shared" si="17"/>
        <v>5.7874162637258482E-2</v>
      </c>
      <c r="AC77">
        <f t="shared" si="18"/>
        <v>48.567196040060175</v>
      </c>
    </row>
    <row r="78" spans="1:29" x14ac:dyDescent="0.2">
      <c r="A78">
        <v>46137.061596481479</v>
      </c>
      <c r="B78">
        <v>17.729611999999999</v>
      </c>
      <c r="C78">
        <v>18.216401000000001</v>
      </c>
      <c r="D78">
        <v>19.504639999999998</v>
      </c>
      <c r="E78">
        <v>19.598701999999999</v>
      </c>
      <c r="F78">
        <v>28.471149</v>
      </c>
      <c r="G78">
        <v>29.80453</v>
      </c>
      <c r="H78">
        <v>25.980906000000001</v>
      </c>
      <c r="I78">
        <v>23.120653999999998</v>
      </c>
      <c r="J78">
        <v>57.14076</v>
      </c>
      <c r="K78">
        <v>50.741515</v>
      </c>
      <c r="L78">
        <v>416.50511899999998</v>
      </c>
      <c r="M78">
        <v>-622.51224400000001</v>
      </c>
      <c r="N78">
        <v>1.900563</v>
      </c>
      <c r="O78">
        <v>4.0613760000000001</v>
      </c>
      <c r="P78">
        <f t="shared" si="10"/>
        <v>3.1676050000000003E-5</v>
      </c>
      <c r="Q78" cm="1">
        <f t="array" ref="Q78">[1]!PropsSI("D","T",J78+273.15,"P",101325,"Water")</f>
        <v>984.64242382514885</v>
      </c>
      <c r="R78" cm="1">
        <f t="array" ref="R78">[1]!PropsSI("D","T",K78+273.15,"P",101325,"Water")</f>
        <v>987.69786268573057</v>
      </c>
      <c r="S78">
        <f t="shared" si="11"/>
        <v>986.17014325543971</v>
      </c>
      <c r="T78" cm="1">
        <f t="array" ref="T78">[1]!PropsSI("H","T",J78+273.15,"P",101325,"Water")</f>
        <v>239284.63460885925</v>
      </c>
      <c r="U78" cm="1">
        <f t="array" ref="U78">[1]!PropsSI("H","T",K78+273.15,"P",101325,"Water")</f>
        <v>212519.09892598892</v>
      </c>
      <c r="V78">
        <f t="shared" si="12"/>
        <v>836.10112826710849</v>
      </c>
      <c r="X78">
        <f t="shared" si="13"/>
        <v>0.26428151999999999</v>
      </c>
      <c r="Y78">
        <f t="shared" si="14"/>
        <v>0.25148303</v>
      </c>
      <c r="Z78">
        <f t="shared" si="15"/>
        <v>0.36481287832461629</v>
      </c>
      <c r="AA78">
        <f t="shared" si="16"/>
        <v>6.3992450000000005</v>
      </c>
      <c r="AB78">
        <f t="shared" si="17"/>
        <v>5.7879151254523219E-2</v>
      </c>
      <c r="AC78">
        <f t="shared" si="18"/>
        <v>48.392823667049491</v>
      </c>
    </row>
    <row r="79" spans="1:29" x14ac:dyDescent="0.2">
      <c r="A79">
        <v>46137.06163178241</v>
      </c>
      <c r="B79">
        <v>17.840582999999999</v>
      </c>
      <c r="C79">
        <v>18.495932</v>
      </c>
      <c r="D79">
        <v>19.287776000000001</v>
      </c>
      <c r="E79">
        <v>19.638019</v>
      </c>
      <c r="F79">
        <v>28.472678999999999</v>
      </c>
      <c r="G79">
        <v>31.153665</v>
      </c>
      <c r="H79">
        <v>26.048617</v>
      </c>
      <c r="I79">
        <v>22.654461999999999</v>
      </c>
      <c r="J79">
        <v>57.135665000000003</v>
      </c>
      <c r="K79">
        <v>50.736429999999999</v>
      </c>
      <c r="L79">
        <v>399.349244</v>
      </c>
      <c r="M79">
        <v>-622.5</v>
      </c>
      <c r="N79">
        <v>1.9007069999999999</v>
      </c>
      <c r="O79">
        <v>4.2231339999999999</v>
      </c>
      <c r="P79">
        <f t="shared" si="10"/>
        <v>3.1678450000000002E-5</v>
      </c>
      <c r="Q79" cm="1">
        <f t="array" ref="Q79">[1]!PropsSI("D","T",J79+273.15,"P",101325,"Water")</f>
        <v>984.64495768150175</v>
      </c>
      <c r="R79" cm="1">
        <f t="array" ref="R79">[1]!PropsSI("D","T",K79+273.15,"P",101325,"Water")</f>
        <v>987.70018716193704</v>
      </c>
      <c r="S79">
        <f t="shared" si="11"/>
        <v>986.17257242171945</v>
      </c>
      <c r="T79" cm="1">
        <f t="array" ref="T79">[1]!PropsSI("H","T",J79+273.15,"P",101325,"Water")</f>
        <v>239263.31832818635</v>
      </c>
      <c r="U79" cm="1">
        <f t="array" ref="U79">[1]!PropsSI("H","T",K79+273.15,"P",101325,"Water")</f>
        <v>212497.83571455532</v>
      </c>
      <c r="V79">
        <f t="shared" si="12"/>
        <v>836.16487892250052</v>
      </c>
      <c r="X79">
        <f t="shared" si="13"/>
        <v>0.26427133000000003</v>
      </c>
      <c r="Y79">
        <f t="shared" si="14"/>
        <v>0.25147286000000002</v>
      </c>
      <c r="Z79">
        <f t="shared" si="15"/>
        <v>0.36479848571032819</v>
      </c>
      <c r="AA79">
        <f t="shared" si="16"/>
        <v>6.3992350000000044</v>
      </c>
      <c r="AB79">
        <f t="shared" si="17"/>
        <v>5.7877023711217716E-2</v>
      </c>
      <c r="AC79">
        <f t="shared" si="18"/>
        <v>48.394734523885056</v>
      </c>
    </row>
    <row r="80" spans="1:29" x14ac:dyDescent="0.2">
      <c r="A80">
        <v>46137.061666504633</v>
      </c>
      <c r="B80">
        <v>17.75084</v>
      </c>
      <c r="C80">
        <v>18.174925999999999</v>
      </c>
      <c r="D80">
        <v>19.394812000000002</v>
      </c>
      <c r="E80">
        <v>19.764952000000001</v>
      </c>
      <c r="F80">
        <v>28.387315000000001</v>
      </c>
      <c r="G80">
        <v>30.500999</v>
      </c>
      <c r="H80">
        <v>25.877846000000002</v>
      </c>
      <c r="I80">
        <v>22.494762999999999</v>
      </c>
      <c r="J80">
        <v>57.131684999999997</v>
      </c>
      <c r="K80">
        <v>50.735477000000003</v>
      </c>
      <c r="L80">
        <v>389.74482699999999</v>
      </c>
      <c r="M80">
        <v>-622.49265300000002</v>
      </c>
      <c r="N80">
        <v>1.9104719999999999</v>
      </c>
      <c r="O80">
        <v>4.3741539999999999</v>
      </c>
      <c r="P80">
        <f t="shared" si="10"/>
        <v>3.1841200000000003E-5</v>
      </c>
      <c r="Q80" cm="1">
        <f t="array" ref="Q80">[1]!PropsSI("D","T",J80+273.15,"P",101325,"Water")</f>
        <v>984.64693691397713</v>
      </c>
      <c r="R80" cm="1">
        <f t="array" ref="R80">[1]!PropsSI("D","T",K80+273.15,"P",101325,"Water")</f>
        <v>987.7006227825068</v>
      </c>
      <c r="S80">
        <f t="shared" si="11"/>
        <v>986.17377984824202</v>
      </c>
      <c r="T80" cm="1">
        <f t="array" ref="T80">[1]!PropsSI("H","T",J80+273.15,"P",101325,"Water")</f>
        <v>239246.66695215029</v>
      </c>
      <c r="U80" cm="1">
        <f t="array" ref="U80">[1]!PropsSI("H","T",K80+273.15,"P",101325,"Water")</f>
        <v>212493.85069267551</v>
      </c>
      <c r="V80">
        <f t="shared" si="12"/>
        <v>840.06402119210418</v>
      </c>
      <c r="X80">
        <f t="shared" si="13"/>
        <v>0.26426337</v>
      </c>
      <c r="Y80">
        <f t="shared" si="14"/>
        <v>0.25147095399999997</v>
      </c>
      <c r="Z80">
        <f t="shared" si="15"/>
        <v>0.3647914053667205</v>
      </c>
      <c r="AA80">
        <f t="shared" si="16"/>
        <v>6.3962079999999943</v>
      </c>
      <c r="AB80">
        <f t="shared" si="17"/>
        <v>5.7902506144168309E-2</v>
      </c>
      <c r="AC80">
        <f t="shared" si="18"/>
        <v>48.641812148570551</v>
      </c>
    </row>
    <row r="81" spans="1:29" x14ac:dyDescent="0.2">
      <c r="A81">
        <v>46137.061701805556</v>
      </c>
      <c r="B81">
        <v>17.879315999999999</v>
      </c>
      <c r="C81">
        <v>18.184342000000001</v>
      </c>
      <c r="D81">
        <v>19.513665</v>
      </c>
      <c r="E81">
        <v>19.783965999999999</v>
      </c>
      <c r="F81">
        <v>28.459633</v>
      </c>
      <c r="G81">
        <v>30.686889000000001</v>
      </c>
      <c r="H81">
        <v>26.249662000000001</v>
      </c>
      <c r="I81">
        <v>22.810182000000001</v>
      </c>
      <c r="J81">
        <v>57.128182000000002</v>
      </c>
      <c r="K81">
        <v>50.731822000000001</v>
      </c>
      <c r="L81">
        <v>389.96848899999998</v>
      </c>
      <c r="M81">
        <v>-622.47959300000002</v>
      </c>
      <c r="N81">
        <v>1.903821</v>
      </c>
      <c r="O81">
        <v>4.1172649999999997</v>
      </c>
      <c r="P81">
        <f t="shared" si="10"/>
        <v>3.173035E-5</v>
      </c>
      <c r="Q81" cm="1">
        <f t="array" ref="Q81">[1]!PropsSI("D","T",J81+273.15,"P",101325,"Water")</f>
        <v>984.64867885733861</v>
      </c>
      <c r="R81" cm="1">
        <f t="array" ref="R81">[1]!PropsSI("D","T",K81+273.15,"P",101325,"Water")</f>
        <v>987.70229344465668</v>
      </c>
      <c r="S81">
        <f t="shared" si="11"/>
        <v>986.17548615099759</v>
      </c>
      <c r="T81" cm="1">
        <f t="array" ref="T81">[1]!PropsSI("H","T",J81+273.15,"P",101325,"Water")</f>
        <v>239232.01123615191</v>
      </c>
      <c r="U81" cm="1">
        <f t="array" ref="U81">[1]!PropsSI("H","T",K81+273.15,"P",101325,"Water")</f>
        <v>212478.56711186218</v>
      </c>
      <c r="V81">
        <f t="shared" si="12"/>
        <v>837.1605692456061</v>
      </c>
      <c r="X81">
        <f t="shared" si="13"/>
        <v>0.26425636400000002</v>
      </c>
      <c r="Y81">
        <f t="shared" si="14"/>
        <v>0.25146364399999999</v>
      </c>
      <c r="Z81">
        <f t="shared" si="15"/>
        <v>0.36478129086928135</v>
      </c>
      <c r="AA81">
        <f t="shared" si="16"/>
        <v>6.3963600000000014</v>
      </c>
      <c r="AB81">
        <f t="shared" si="17"/>
        <v>5.7899613691115653E-2</v>
      </c>
      <c r="AC81">
        <f t="shared" si="18"/>
        <v>48.471273556755072</v>
      </c>
    </row>
    <row r="82" spans="1:29" x14ac:dyDescent="0.2">
      <c r="A82">
        <v>46137.06173710648</v>
      </c>
      <c r="B82">
        <v>17.655611</v>
      </c>
      <c r="C82">
        <v>18.318728</v>
      </c>
      <c r="D82">
        <v>19.338538</v>
      </c>
      <c r="E82">
        <v>19.645060000000001</v>
      </c>
      <c r="F82">
        <v>28.535005000000002</v>
      </c>
      <c r="G82">
        <v>30.613992</v>
      </c>
      <c r="H82">
        <v>25.81024</v>
      </c>
      <c r="I82">
        <v>22.334925999999999</v>
      </c>
      <c r="J82">
        <v>57.124997999999998</v>
      </c>
      <c r="K82">
        <v>50.725624000000003</v>
      </c>
      <c r="L82">
        <v>422.29625800000002</v>
      </c>
      <c r="M82">
        <v>-622.50775499999997</v>
      </c>
      <c r="N82">
        <v>1.8998459999999999</v>
      </c>
      <c r="O82">
        <v>4.351064</v>
      </c>
      <c r="P82">
        <f t="shared" si="10"/>
        <v>3.1664100000000001E-5</v>
      </c>
      <c r="Q82" cm="1">
        <f t="array" ref="Q82">[1]!PropsSI("D","T",J82+273.15,"P",101325,"Water")</f>
        <v>984.6502621063006</v>
      </c>
      <c r="R82" cm="1">
        <f t="array" ref="R82">[1]!PropsSI("D","T",K82+273.15,"P",101325,"Water")</f>
        <v>987.70512628683048</v>
      </c>
      <c r="S82">
        <f t="shared" si="11"/>
        <v>986.17769419656554</v>
      </c>
      <c r="T82" cm="1">
        <f t="array" ref="T82">[1]!PropsSI("H","T",J82+273.15,"P",101325,"Water")</f>
        <v>239218.69014423736</v>
      </c>
      <c r="U82" cm="1">
        <f t="array" ref="U82">[1]!PropsSI("H","T",K82+273.15,"P",101325,"Water")</f>
        <v>212452.64984746536</v>
      </c>
      <c r="V82">
        <f t="shared" si="12"/>
        <v>835.80786033247728</v>
      </c>
      <c r="X82">
        <f t="shared" ref="X82" si="19">(0.15+0.002*ABS(J82))</f>
        <v>0.26424999599999999</v>
      </c>
      <c r="Y82">
        <f t="shared" ref="Y82" si="20">(0.15+0.002*ABS(K82))</f>
        <v>0.25145124800000002</v>
      </c>
      <c r="Z82">
        <f t="shared" ref="Z82" si="21">SQRT((X82)^2 + (Y82)^2)</f>
        <v>0.36476813252634549</v>
      </c>
      <c r="AA82">
        <f t="shared" ref="AA82" si="22">J82-K82</f>
        <v>6.3993739999999946</v>
      </c>
      <c r="AB82">
        <f t="shared" ref="AB82" si="23">SQRT((0.01)^2 + (Z82/ABS(AA82))^2)</f>
        <v>5.7871132296270882E-2</v>
      </c>
      <c r="AC82">
        <f t="shared" ref="AC82" si="24">ABS(V82*AB82)</f>
        <v>48.369147259563888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0319F1-8ADB-8E4E-B8B5-92B6DB8B95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2026-04-26T20:55:19Z</dcterms:created>
  <dcterms:modified xsi:type="dcterms:W3CDTF">2026-04-26T21:13:20Z</dcterms:modified>
</cp:coreProperties>
</file>