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Redo_front_4_24_26/25gps/"/>
    </mc:Choice>
  </mc:AlternateContent>
  <xr:revisionPtr revIDLastSave="0" documentId="13_ncr:1_{D9808148-436B-C348-A11E-82214ADF0104}" xr6:coauthVersionLast="47" xr6:coauthVersionMax="47" xr10:uidLastSave="{00000000-0000-0000-0000-000000000000}"/>
  <bookViews>
    <workbookView xWindow="3000" yWindow="2180" windowWidth="27240" windowHeight="16180" xr2:uid="{8B471252-31A6-E74A-A847-68914C03A28A}"/>
  </bookViews>
  <sheets>
    <sheet name="Results" sheetId="1" r:id="rId1"/>
    <sheet name="1mps" sheetId="3" r:id="rId2"/>
    <sheet name="2mps" sheetId="4" r:id="rId3"/>
    <sheet name="3mps" sheetId="5" r:id="rId4"/>
    <sheet name="4mps" sheetId="6" r:id="rId5"/>
    <sheet name="5mps" sheetId="7" r:id="rId6"/>
    <sheet name="6mps" sheetId="8" r:id="rId7"/>
    <sheet name="7mps" sheetId="9" r:id="rId8"/>
  </sheets>
  <externalReferences>
    <externalReference r:id="rId9"/>
  </externalReferences>
  <definedNames>
    <definedName name="ExternalData_1" localSheetId="1" hidden="1">'1mps'!$A$1:$O$45</definedName>
    <definedName name="ExternalData_1" localSheetId="2" hidden="1">'2mps'!$A$1:$O$75</definedName>
    <definedName name="ExternalData_1" localSheetId="3" hidden="1">'3mps'!$A$1:$O$50</definedName>
    <definedName name="ExternalData_1" localSheetId="4" hidden="1">'4mps'!$A$1:$O$44</definedName>
    <definedName name="ExternalData_1" localSheetId="5" hidden="1">'5mps'!$A$1:$O$61</definedName>
    <definedName name="ExternalData_1" localSheetId="6" hidden="1">'6mps'!$A$1:$O$45</definedName>
    <definedName name="ExternalData_1" localSheetId="7" hidden="1">'7mps'!$A$1:$O$44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" i="9" l="1"/>
  <c r="W2" i="9"/>
  <c r="W4" i="8"/>
  <c r="W2" i="8"/>
  <c r="W4" i="7"/>
  <c r="W2" i="7"/>
  <c r="W4" i="6"/>
  <c r="W2" i="6"/>
  <c r="W4" i="5"/>
  <c r="W2" i="5"/>
  <c r="W4" i="4"/>
  <c r="W2" i="4"/>
  <c r="W4" i="3"/>
  <c r="W2" i="3"/>
  <c r="AA44" i="9" l="1"/>
  <c r="Z44" i="9"/>
  <c r="AB44" i="9" s="1"/>
  <c r="Y44" i="9"/>
  <c r="X44" i="9"/>
  <c r="P44" i="9"/>
  <c r="AB43" i="9"/>
  <c r="AA43" i="9"/>
  <c r="Z43" i="9"/>
  <c r="Y43" i="9"/>
  <c r="X43" i="9"/>
  <c r="P43" i="9"/>
  <c r="AA42" i="9"/>
  <c r="Y42" i="9"/>
  <c r="X42" i="9"/>
  <c r="Z42" i="9" s="1"/>
  <c r="AB42" i="9" s="1"/>
  <c r="P42" i="9"/>
  <c r="AA41" i="9"/>
  <c r="Y41" i="9"/>
  <c r="X41" i="9"/>
  <c r="Z41" i="9" s="1"/>
  <c r="AB41" i="9" s="1"/>
  <c r="P41" i="9"/>
  <c r="AB40" i="9"/>
  <c r="AA40" i="9"/>
  <c r="Z40" i="9"/>
  <c r="Y40" i="9"/>
  <c r="X40" i="9"/>
  <c r="P40" i="9"/>
  <c r="AA39" i="9"/>
  <c r="Y39" i="9"/>
  <c r="X39" i="9"/>
  <c r="Z39" i="9" s="1"/>
  <c r="AB39" i="9" s="1"/>
  <c r="P39" i="9"/>
  <c r="AA38" i="9"/>
  <c r="Y38" i="9"/>
  <c r="Z38" i="9" s="1"/>
  <c r="AB38" i="9" s="1"/>
  <c r="X38" i="9"/>
  <c r="P38" i="9"/>
  <c r="AA37" i="9"/>
  <c r="Z37" i="9"/>
  <c r="AB37" i="9" s="1"/>
  <c r="Y37" i="9"/>
  <c r="X37" i="9"/>
  <c r="P37" i="9"/>
  <c r="AA36" i="9"/>
  <c r="Y36" i="9"/>
  <c r="X36" i="9"/>
  <c r="Z36" i="9" s="1"/>
  <c r="AB36" i="9" s="1"/>
  <c r="P36" i="9"/>
  <c r="AA35" i="9"/>
  <c r="Y35" i="9"/>
  <c r="X35" i="9"/>
  <c r="Z35" i="9" s="1"/>
  <c r="AB35" i="9" s="1"/>
  <c r="P35" i="9"/>
  <c r="AA34" i="9"/>
  <c r="Y34" i="9"/>
  <c r="X34" i="9"/>
  <c r="P34" i="9"/>
  <c r="AA33" i="9"/>
  <c r="Y33" i="9"/>
  <c r="X33" i="9"/>
  <c r="Z33" i="9" s="1"/>
  <c r="AB33" i="9" s="1"/>
  <c r="P33" i="9"/>
  <c r="AB32" i="9"/>
  <c r="AA32" i="9"/>
  <c r="Z32" i="9"/>
  <c r="Y32" i="9"/>
  <c r="X32" i="9"/>
  <c r="P32" i="9"/>
  <c r="AA31" i="9"/>
  <c r="Y31" i="9"/>
  <c r="X31" i="9"/>
  <c r="Z31" i="9" s="1"/>
  <c r="AB31" i="9" s="1"/>
  <c r="P31" i="9"/>
  <c r="AA30" i="9"/>
  <c r="Y30" i="9"/>
  <c r="X30" i="9"/>
  <c r="Z30" i="9" s="1"/>
  <c r="AB30" i="9" s="1"/>
  <c r="P30" i="9"/>
  <c r="AB29" i="9"/>
  <c r="AA29" i="9"/>
  <c r="Z29" i="9"/>
  <c r="Y29" i="9"/>
  <c r="X29" i="9"/>
  <c r="P29" i="9"/>
  <c r="AA28" i="9"/>
  <c r="Y28" i="9"/>
  <c r="X28" i="9"/>
  <c r="Z28" i="9" s="1"/>
  <c r="AB28" i="9" s="1"/>
  <c r="P28" i="9"/>
  <c r="AA27" i="9"/>
  <c r="Y27" i="9"/>
  <c r="X27" i="9"/>
  <c r="Z27" i="9" s="1"/>
  <c r="P27" i="9"/>
  <c r="AA26" i="9"/>
  <c r="Y26" i="9"/>
  <c r="X26" i="9"/>
  <c r="Z26" i="9" s="1"/>
  <c r="AB26" i="9" s="1"/>
  <c r="P26" i="9"/>
  <c r="AA25" i="9"/>
  <c r="Y25" i="9"/>
  <c r="X25" i="9"/>
  <c r="P25" i="9"/>
  <c r="AA24" i="9"/>
  <c r="Y24" i="9"/>
  <c r="Z24" i="9" s="1"/>
  <c r="AB24" i="9" s="1"/>
  <c r="X24" i="9"/>
  <c r="P24" i="9"/>
  <c r="AA23" i="9"/>
  <c r="Y23" i="9"/>
  <c r="X23" i="9"/>
  <c r="Z23" i="9" s="1"/>
  <c r="AB23" i="9" s="1"/>
  <c r="P23" i="9"/>
  <c r="AA22" i="9"/>
  <c r="Y22" i="9"/>
  <c r="X22" i="9"/>
  <c r="Z22" i="9" s="1"/>
  <c r="AB22" i="9" s="1"/>
  <c r="P22" i="9"/>
  <c r="AA21" i="9"/>
  <c r="Y21" i="9"/>
  <c r="X21" i="9"/>
  <c r="Z21" i="9" s="1"/>
  <c r="AB21" i="9" s="1"/>
  <c r="P21" i="9"/>
  <c r="AA20" i="9"/>
  <c r="Z20" i="9"/>
  <c r="AB20" i="9" s="1"/>
  <c r="Y20" i="9"/>
  <c r="X20" i="9"/>
  <c r="P20" i="9"/>
  <c r="AA19" i="9"/>
  <c r="Y19" i="9"/>
  <c r="X19" i="9"/>
  <c r="Z19" i="9" s="1"/>
  <c r="AB19" i="9" s="1"/>
  <c r="P19" i="9"/>
  <c r="AA18" i="9"/>
  <c r="Y18" i="9"/>
  <c r="X18" i="9"/>
  <c r="Z18" i="9" s="1"/>
  <c r="AB18" i="9" s="1"/>
  <c r="P18" i="9"/>
  <c r="AA17" i="9"/>
  <c r="Z17" i="9"/>
  <c r="AB17" i="9" s="1"/>
  <c r="Y17" i="9"/>
  <c r="X17" i="9"/>
  <c r="P17" i="9"/>
  <c r="AA16" i="9"/>
  <c r="Y16" i="9"/>
  <c r="X16" i="9"/>
  <c r="Z16" i="9" s="1"/>
  <c r="AB16" i="9" s="1"/>
  <c r="P16" i="9"/>
  <c r="AA15" i="9"/>
  <c r="Y15" i="9"/>
  <c r="X15" i="9"/>
  <c r="Z15" i="9" s="1"/>
  <c r="AB15" i="9" s="1"/>
  <c r="P15" i="9"/>
  <c r="AA14" i="9"/>
  <c r="Y14" i="9"/>
  <c r="X14" i="9"/>
  <c r="Z14" i="9" s="1"/>
  <c r="AB14" i="9" s="1"/>
  <c r="P14" i="9"/>
  <c r="AA13" i="9"/>
  <c r="Y13" i="9"/>
  <c r="X13" i="9"/>
  <c r="Z13" i="9" s="1"/>
  <c r="AB13" i="9" s="1"/>
  <c r="P13" i="9"/>
  <c r="AA12" i="9"/>
  <c r="Y12" i="9"/>
  <c r="X12" i="9"/>
  <c r="Z12" i="9" s="1"/>
  <c r="AB12" i="9" s="1"/>
  <c r="P12" i="9"/>
  <c r="AA11" i="9"/>
  <c r="Y11" i="9"/>
  <c r="X11" i="9"/>
  <c r="P11" i="9"/>
  <c r="AB10" i="9"/>
  <c r="AA10" i="9"/>
  <c r="Y10" i="9"/>
  <c r="X10" i="9"/>
  <c r="Z10" i="9" s="1"/>
  <c r="P10" i="9"/>
  <c r="AA9" i="9"/>
  <c r="Y9" i="9"/>
  <c r="X9" i="9"/>
  <c r="P9" i="9"/>
  <c r="AB8" i="9"/>
  <c r="AA8" i="9"/>
  <c r="Z8" i="9"/>
  <c r="Y8" i="9"/>
  <c r="X8" i="9"/>
  <c r="P8" i="9"/>
  <c r="AA7" i="9"/>
  <c r="Y7" i="9"/>
  <c r="X7" i="9"/>
  <c r="Z7" i="9" s="1"/>
  <c r="AB7" i="9" s="1"/>
  <c r="P7" i="9"/>
  <c r="AA6" i="9"/>
  <c r="Z6" i="9"/>
  <c r="AB6" i="9" s="1"/>
  <c r="Y6" i="9"/>
  <c r="X6" i="9"/>
  <c r="P6" i="9"/>
  <c r="AA5" i="9"/>
  <c r="Z5" i="9"/>
  <c r="AB5" i="9" s="1"/>
  <c r="Y5" i="9"/>
  <c r="X5" i="9"/>
  <c r="P5" i="9"/>
  <c r="AA4" i="9"/>
  <c r="Y4" i="9"/>
  <c r="X4" i="9"/>
  <c r="Z4" i="9" s="1"/>
  <c r="AB4" i="9" s="1"/>
  <c r="P4" i="9"/>
  <c r="AA3" i="9"/>
  <c r="Y3" i="9"/>
  <c r="X3" i="9"/>
  <c r="Z3" i="9" s="1"/>
  <c r="AB3" i="9" s="1"/>
  <c r="P3" i="9"/>
  <c r="AA2" i="9"/>
  <c r="Y2" i="9"/>
  <c r="X2" i="9"/>
  <c r="P2" i="9"/>
  <c r="AA45" i="8"/>
  <c r="Y45" i="8"/>
  <c r="Z45" i="8" s="1"/>
  <c r="AB45" i="8" s="1"/>
  <c r="X45" i="8"/>
  <c r="P45" i="8"/>
  <c r="AA44" i="8"/>
  <c r="Y44" i="8"/>
  <c r="X44" i="8"/>
  <c r="Z44" i="8" s="1"/>
  <c r="AB44" i="8" s="1"/>
  <c r="P44" i="8"/>
  <c r="AA43" i="8"/>
  <c r="Y43" i="8"/>
  <c r="X43" i="8"/>
  <c r="Z43" i="8" s="1"/>
  <c r="AB43" i="8" s="1"/>
  <c r="P43" i="8"/>
  <c r="AA42" i="8"/>
  <c r="Z42" i="8"/>
  <c r="AB42" i="8" s="1"/>
  <c r="Y42" i="8"/>
  <c r="X42" i="8"/>
  <c r="P42" i="8"/>
  <c r="AA41" i="8"/>
  <c r="Y41" i="8"/>
  <c r="X41" i="8"/>
  <c r="Z41" i="8" s="1"/>
  <c r="AB41" i="8" s="1"/>
  <c r="P41" i="8"/>
  <c r="AA40" i="8"/>
  <c r="Y40" i="8"/>
  <c r="Z40" i="8" s="1"/>
  <c r="AB40" i="8" s="1"/>
  <c r="X40" i="8"/>
  <c r="P40" i="8"/>
  <c r="AA39" i="8"/>
  <c r="Y39" i="8"/>
  <c r="X39" i="8"/>
  <c r="Z39" i="8" s="1"/>
  <c r="AB39" i="8" s="1"/>
  <c r="P39" i="8"/>
  <c r="AA38" i="8"/>
  <c r="Y38" i="8"/>
  <c r="X38" i="8"/>
  <c r="Z38" i="8" s="1"/>
  <c r="AB38" i="8" s="1"/>
  <c r="P38" i="8"/>
  <c r="AB37" i="8"/>
  <c r="AA37" i="8"/>
  <c r="Z37" i="8"/>
  <c r="Y37" i="8"/>
  <c r="X37" i="8"/>
  <c r="P37" i="8"/>
  <c r="AB36" i="8"/>
  <c r="AA36" i="8"/>
  <c r="Z36" i="8"/>
  <c r="Y36" i="8"/>
  <c r="X36" i="8"/>
  <c r="P36" i="8"/>
  <c r="AB35" i="8"/>
  <c r="AA35" i="8"/>
  <c r="Y35" i="8"/>
  <c r="X35" i="8"/>
  <c r="Z35" i="8" s="1"/>
  <c r="P35" i="8"/>
  <c r="AA34" i="8"/>
  <c r="Z34" i="8"/>
  <c r="AB34" i="8" s="1"/>
  <c r="Y34" i="8"/>
  <c r="X34" i="8"/>
  <c r="P34" i="8"/>
  <c r="AA33" i="8"/>
  <c r="Y33" i="8"/>
  <c r="Z33" i="8" s="1"/>
  <c r="X33" i="8"/>
  <c r="P33" i="8"/>
  <c r="AA32" i="8"/>
  <c r="Z32" i="8"/>
  <c r="AB32" i="8" s="1"/>
  <c r="Y32" i="8"/>
  <c r="X32" i="8"/>
  <c r="P32" i="8"/>
  <c r="AA31" i="8"/>
  <c r="Y31" i="8"/>
  <c r="X31" i="8"/>
  <c r="Z31" i="8" s="1"/>
  <c r="AB31" i="8" s="1"/>
  <c r="P31" i="8"/>
  <c r="AA30" i="8"/>
  <c r="Y30" i="8"/>
  <c r="X30" i="8"/>
  <c r="Z30" i="8" s="1"/>
  <c r="AB30" i="8" s="1"/>
  <c r="P30" i="8"/>
  <c r="AA29" i="8"/>
  <c r="Y29" i="8"/>
  <c r="X29" i="8"/>
  <c r="Z29" i="8" s="1"/>
  <c r="AB29" i="8" s="1"/>
  <c r="P29" i="8"/>
  <c r="AA28" i="8"/>
  <c r="Z28" i="8"/>
  <c r="AB28" i="8" s="1"/>
  <c r="Y28" i="8"/>
  <c r="X28" i="8"/>
  <c r="P28" i="8"/>
  <c r="AA27" i="8"/>
  <c r="Y27" i="8"/>
  <c r="Z27" i="8" s="1"/>
  <c r="AB27" i="8" s="1"/>
  <c r="X27" i="8"/>
  <c r="P27" i="8"/>
  <c r="AA26" i="8"/>
  <c r="Y26" i="8"/>
  <c r="Z26" i="8" s="1"/>
  <c r="AB26" i="8" s="1"/>
  <c r="X26" i="8"/>
  <c r="P26" i="8"/>
  <c r="AA25" i="8"/>
  <c r="Y25" i="8"/>
  <c r="X25" i="8"/>
  <c r="Z25" i="8" s="1"/>
  <c r="P25" i="8"/>
  <c r="AA24" i="8"/>
  <c r="Z24" i="8"/>
  <c r="AB24" i="8" s="1"/>
  <c r="Y24" i="8"/>
  <c r="X24" i="8"/>
  <c r="P24" i="8"/>
  <c r="AA23" i="8"/>
  <c r="Y23" i="8"/>
  <c r="X23" i="8"/>
  <c r="P23" i="8"/>
  <c r="AA22" i="8"/>
  <c r="Y22" i="8"/>
  <c r="X22" i="8"/>
  <c r="Z22" i="8" s="1"/>
  <c r="AB22" i="8" s="1"/>
  <c r="P22" i="8"/>
  <c r="AA21" i="8"/>
  <c r="Y21" i="8"/>
  <c r="Z21" i="8" s="1"/>
  <c r="AB21" i="8" s="1"/>
  <c r="X21" i="8"/>
  <c r="P21" i="8"/>
  <c r="AA20" i="8"/>
  <c r="Y20" i="8"/>
  <c r="X20" i="8"/>
  <c r="Z20" i="8" s="1"/>
  <c r="AB20" i="8" s="1"/>
  <c r="P20" i="8"/>
  <c r="AB19" i="8"/>
  <c r="AA19" i="8"/>
  <c r="Z19" i="8"/>
  <c r="Y19" i="8"/>
  <c r="X19" i="8"/>
  <c r="P19" i="8"/>
  <c r="AA18" i="8"/>
  <c r="Y18" i="8"/>
  <c r="X18" i="8"/>
  <c r="Z18" i="8" s="1"/>
  <c r="AB18" i="8" s="1"/>
  <c r="P18" i="8"/>
  <c r="AB17" i="8"/>
  <c r="AA17" i="8"/>
  <c r="Z17" i="8"/>
  <c r="Y17" i="8"/>
  <c r="X17" i="8"/>
  <c r="P17" i="8"/>
  <c r="AA16" i="8"/>
  <c r="Z16" i="8"/>
  <c r="AB16" i="8" s="1"/>
  <c r="Y16" i="8"/>
  <c r="X16" i="8"/>
  <c r="P16" i="8"/>
  <c r="AA15" i="8"/>
  <c r="Z15" i="8"/>
  <c r="Y15" i="8"/>
  <c r="X15" i="8"/>
  <c r="P15" i="8"/>
  <c r="AA14" i="8"/>
  <c r="Z14" i="8"/>
  <c r="AB14" i="8" s="1"/>
  <c r="Y14" i="8"/>
  <c r="X14" i="8"/>
  <c r="P14" i="8"/>
  <c r="AA13" i="8"/>
  <c r="Y13" i="8"/>
  <c r="X13" i="8"/>
  <c r="Z13" i="8" s="1"/>
  <c r="P13" i="8"/>
  <c r="AA12" i="8"/>
  <c r="Y12" i="8"/>
  <c r="X12" i="8"/>
  <c r="Z12" i="8" s="1"/>
  <c r="AB12" i="8" s="1"/>
  <c r="P12" i="8"/>
  <c r="AA11" i="8"/>
  <c r="AB11" i="8" s="1"/>
  <c r="Y11" i="8"/>
  <c r="X11" i="8"/>
  <c r="Z11" i="8" s="1"/>
  <c r="P11" i="8"/>
  <c r="AA10" i="8"/>
  <c r="AB10" i="8" s="1"/>
  <c r="Z10" i="8"/>
  <c r="Y10" i="8"/>
  <c r="X10" i="8"/>
  <c r="P10" i="8"/>
  <c r="AA9" i="8"/>
  <c r="Z9" i="8"/>
  <c r="AB9" i="8" s="1"/>
  <c r="Y9" i="8"/>
  <c r="X9" i="8"/>
  <c r="P9" i="8"/>
  <c r="AA8" i="8"/>
  <c r="Y8" i="8"/>
  <c r="Z8" i="8" s="1"/>
  <c r="AB8" i="8" s="1"/>
  <c r="X8" i="8"/>
  <c r="P8" i="8"/>
  <c r="AA7" i="8"/>
  <c r="Y7" i="8"/>
  <c r="X7" i="8"/>
  <c r="Z7" i="8" s="1"/>
  <c r="AB7" i="8" s="1"/>
  <c r="P7" i="8"/>
  <c r="AA6" i="8"/>
  <c r="Z6" i="8"/>
  <c r="AB6" i="8" s="1"/>
  <c r="Y6" i="8"/>
  <c r="X6" i="8"/>
  <c r="P6" i="8"/>
  <c r="AB5" i="8"/>
  <c r="AA5" i="8"/>
  <c r="Z5" i="8"/>
  <c r="Y5" i="8"/>
  <c r="X5" i="8"/>
  <c r="P5" i="8"/>
  <c r="AA4" i="8"/>
  <c r="Y4" i="8"/>
  <c r="X4" i="8"/>
  <c r="Z4" i="8" s="1"/>
  <c r="AB4" i="8" s="1"/>
  <c r="P4" i="8"/>
  <c r="AA3" i="8"/>
  <c r="Y3" i="8"/>
  <c r="Z3" i="8" s="1"/>
  <c r="AB3" i="8" s="1"/>
  <c r="X3" i="8"/>
  <c r="P3" i="8"/>
  <c r="AA2" i="8"/>
  <c r="Z2" i="8"/>
  <c r="AB2" i="8" s="1"/>
  <c r="Y2" i="8"/>
  <c r="X2" i="8"/>
  <c r="P2" i="8"/>
  <c r="AA61" i="7"/>
  <c r="Y61" i="7"/>
  <c r="Z61" i="7" s="1"/>
  <c r="AB61" i="7" s="1"/>
  <c r="X61" i="7"/>
  <c r="P61" i="7"/>
  <c r="AA60" i="7"/>
  <c r="Y60" i="7"/>
  <c r="X60" i="7"/>
  <c r="Z60" i="7" s="1"/>
  <c r="AB60" i="7" s="1"/>
  <c r="P60" i="7"/>
  <c r="AB59" i="7"/>
  <c r="AA59" i="7"/>
  <c r="Y59" i="7"/>
  <c r="X59" i="7"/>
  <c r="Z59" i="7" s="1"/>
  <c r="P59" i="7"/>
  <c r="AA58" i="7"/>
  <c r="Z58" i="7"/>
  <c r="AB58" i="7" s="1"/>
  <c r="Y58" i="7"/>
  <c r="X58" i="7"/>
  <c r="P58" i="7"/>
  <c r="AA57" i="7"/>
  <c r="Y57" i="7"/>
  <c r="X57" i="7"/>
  <c r="Z57" i="7" s="1"/>
  <c r="AB57" i="7" s="1"/>
  <c r="P57" i="7"/>
  <c r="AA56" i="7"/>
  <c r="Z56" i="7"/>
  <c r="AB56" i="7" s="1"/>
  <c r="Y56" i="7"/>
  <c r="X56" i="7"/>
  <c r="P56" i="7"/>
  <c r="AA55" i="7"/>
  <c r="Y55" i="7"/>
  <c r="X55" i="7"/>
  <c r="Z55" i="7" s="1"/>
  <c r="AB55" i="7" s="1"/>
  <c r="P55" i="7"/>
  <c r="AA54" i="7"/>
  <c r="Y54" i="7"/>
  <c r="X54" i="7"/>
  <c r="Z54" i="7" s="1"/>
  <c r="AB54" i="7" s="1"/>
  <c r="P54" i="7"/>
  <c r="AA53" i="7"/>
  <c r="Y53" i="7"/>
  <c r="X53" i="7"/>
  <c r="P53" i="7"/>
  <c r="AA52" i="7"/>
  <c r="Y52" i="7"/>
  <c r="X52" i="7"/>
  <c r="P52" i="7"/>
  <c r="AA51" i="7"/>
  <c r="Y51" i="7"/>
  <c r="Z51" i="7" s="1"/>
  <c r="AB51" i="7" s="1"/>
  <c r="X51" i="7"/>
  <c r="P51" i="7"/>
  <c r="AA50" i="7"/>
  <c r="Y50" i="7"/>
  <c r="Z50" i="7" s="1"/>
  <c r="AB50" i="7" s="1"/>
  <c r="X50" i="7"/>
  <c r="P50" i="7"/>
  <c r="AA49" i="7"/>
  <c r="Y49" i="7"/>
  <c r="X49" i="7"/>
  <c r="P49" i="7"/>
  <c r="AA48" i="7"/>
  <c r="Y48" i="7"/>
  <c r="Z48" i="7" s="1"/>
  <c r="AB48" i="7" s="1"/>
  <c r="X48" i="7"/>
  <c r="P48" i="7"/>
  <c r="AA47" i="7"/>
  <c r="Y47" i="7"/>
  <c r="Z47" i="7" s="1"/>
  <c r="AB47" i="7" s="1"/>
  <c r="X47" i="7"/>
  <c r="P47" i="7"/>
  <c r="AA46" i="7"/>
  <c r="Y46" i="7"/>
  <c r="X46" i="7"/>
  <c r="Z46" i="7" s="1"/>
  <c r="AB46" i="7" s="1"/>
  <c r="P46" i="7"/>
  <c r="AA45" i="7"/>
  <c r="Y45" i="7"/>
  <c r="X45" i="7"/>
  <c r="Z45" i="7" s="1"/>
  <c r="AB45" i="7" s="1"/>
  <c r="P45" i="7"/>
  <c r="AB44" i="7"/>
  <c r="AA44" i="7"/>
  <c r="Z44" i="7"/>
  <c r="Y44" i="7"/>
  <c r="X44" i="7"/>
  <c r="P44" i="7"/>
  <c r="AA43" i="7"/>
  <c r="Y43" i="7"/>
  <c r="X43" i="7"/>
  <c r="P43" i="7"/>
  <c r="AA42" i="7"/>
  <c r="Y42" i="7"/>
  <c r="Z42" i="7" s="1"/>
  <c r="X42" i="7"/>
  <c r="P42" i="7"/>
  <c r="AA41" i="7"/>
  <c r="Y41" i="7"/>
  <c r="X41" i="7"/>
  <c r="Z41" i="7" s="1"/>
  <c r="AB41" i="7" s="1"/>
  <c r="P41" i="7"/>
  <c r="AB40" i="7"/>
  <c r="AA40" i="7"/>
  <c r="Y40" i="7"/>
  <c r="X40" i="7"/>
  <c r="Z40" i="7" s="1"/>
  <c r="P40" i="7"/>
  <c r="AB39" i="7"/>
  <c r="AA39" i="7"/>
  <c r="Z39" i="7"/>
  <c r="Y39" i="7"/>
  <c r="X39" i="7"/>
  <c r="P39" i="7"/>
  <c r="AA38" i="7"/>
  <c r="Z38" i="7"/>
  <c r="AB38" i="7" s="1"/>
  <c r="Y38" i="7"/>
  <c r="X38" i="7"/>
  <c r="P38" i="7"/>
  <c r="AA37" i="7"/>
  <c r="Y37" i="7"/>
  <c r="X37" i="7"/>
  <c r="Z37" i="7" s="1"/>
  <c r="AB37" i="7" s="1"/>
  <c r="P37" i="7"/>
  <c r="AA36" i="7"/>
  <c r="Y36" i="7"/>
  <c r="X36" i="7"/>
  <c r="Z36" i="7" s="1"/>
  <c r="AB36" i="7" s="1"/>
  <c r="P36" i="7"/>
  <c r="AB35" i="7"/>
  <c r="AA35" i="7"/>
  <c r="Z35" i="7"/>
  <c r="Y35" i="7"/>
  <c r="X35" i="7"/>
  <c r="P35" i="7"/>
  <c r="AB34" i="7"/>
  <c r="AA34" i="7"/>
  <c r="Y34" i="7"/>
  <c r="X34" i="7"/>
  <c r="Z34" i="7" s="1"/>
  <c r="P34" i="7"/>
  <c r="AA33" i="7"/>
  <c r="Y33" i="7"/>
  <c r="Z33" i="7" s="1"/>
  <c r="AB33" i="7" s="1"/>
  <c r="X33" i="7"/>
  <c r="P33" i="7"/>
  <c r="AA32" i="7"/>
  <c r="Y32" i="7"/>
  <c r="X32" i="7"/>
  <c r="Z32" i="7" s="1"/>
  <c r="AB32" i="7" s="1"/>
  <c r="P32" i="7"/>
  <c r="AA31" i="7"/>
  <c r="Y31" i="7"/>
  <c r="X31" i="7"/>
  <c r="Z31" i="7" s="1"/>
  <c r="AB31" i="7" s="1"/>
  <c r="P31" i="7"/>
  <c r="AA30" i="7"/>
  <c r="Y30" i="7"/>
  <c r="X30" i="7"/>
  <c r="Z30" i="7" s="1"/>
  <c r="P30" i="7"/>
  <c r="AB29" i="7"/>
  <c r="AA29" i="7"/>
  <c r="Y29" i="7"/>
  <c r="X29" i="7"/>
  <c r="Z29" i="7" s="1"/>
  <c r="P29" i="7"/>
  <c r="AB28" i="7"/>
  <c r="AA28" i="7"/>
  <c r="Y28" i="7"/>
  <c r="Z28" i="7" s="1"/>
  <c r="X28" i="7"/>
  <c r="P28" i="7"/>
  <c r="AA27" i="7"/>
  <c r="Y27" i="7"/>
  <c r="Z27" i="7" s="1"/>
  <c r="AB27" i="7" s="1"/>
  <c r="X27" i="7"/>
  <c r="P27" i="7"/>
  <c r="AA26" i="7"/>
  <c r="Y26" i="7"/>
  <c r="Z26" i="7" s="1"/>
  <c r="AB26" i="7" s="1"/>
  <c r="X26" i="7"/>
  <c r="P26" i="7"/>
  <c r="AB25" i="7"/>
  <c r="AA25" i="7"/>
  <c r="Z25" i="7"/>
  <c r="Y25" i="7"/>
  <c r="X25" i="7"/>
  <c r="P25" i="7"/>
  <c r="AB24" i="7"/>
  <c r="AA24" i="7"/>
  <c r="Y24" i="7"/>
  <c r="X24" i="7"/>
  <c r="Z24" i="7" s="1"/>
  <c r="P24" i="7"/>
  <c r="AA23" i="7"/>
  <c r="Y23" i="7"/>
  <c r="X23" i="7"/>
  <c r="Z23" i="7" s="1"/>
  <c r="AB23" i="7" s="1"/>
  <c r="P23" i="7"/>
  <c r="AA22" i="7"/>
  <c r="Y22" i="7"/>
  <c r="X22" i="7"/>
  <c r="Z22" i="7" s="1"/>
  <c r="AB22" i="7" s="1"/>
  <c r="P22" i="7"/>
  <c r="AA21" i="7"/>
  <c r="Y21" i="7"/>
  <c r="X21" i="7"/>
  <c r="Z21" i="7" s="1"/>
  <c r="AB21" i="7" s="1"/>
  <c r="P21" i="7"/>
  <c r="AA20" i="7"/>
  <c r="Y20" i="7"/>
  <c r="X20" i="7"/>
  <c r="Z20" i="7" s="1"/>
  <c r="AB20" i="7" s="1"/>
  <c r="P20" i="7"/>
  <c r="AA19" i="7"/>
  <c r="Z19" i="7"/>
  <c r="AB19" i="7" s="1"/>
  <c r="Y19" i="7"/>
  <c r="X19" i="7"/>
  <c r="P19" i="7"/>
  <c r="AA18" i="7"/>
  <c r="Y18" i="7"/>
  <c r="X18" i="7"/>
  <c r="P18" i="7"/>
  <c r="AB17" i="7"/>
  <c r="AA17" i="7"/>
  <c r="Z17" i="7"/>
  <c r="Y17" i="7"/>
  <c r="X17" i="7"/>
  <c r="P17" i="7"/>
  <c r="AA16" i="7"/>
  <c r="Y16" i="7"/>
  <c r="Z16" i="7" s="1"/>
  <c r="AB16" i="7" s="1"/>
  <c r="X16" i="7"/>
  <c r="P16" i="7"/>
  <c r="AA15" i="7"/>
  <c r="Y15" i="7"/>
  <c r="X15" i="7"/>
  <c r="Z15" i="7" s="1"/>
  <c r="AB15" i="7" s="1"/>
  <c r="P15" i="7"/>
  <c r="AA14" i="7"/>
  <c r="Z14" i="7"/>
  <c r="AB14" i="7" s="1"/>
  <c r="Y14" i="7"/>
  <c r="X14" i="7"/>
  <c r="P14" i="7"/>
  <c r="AA13" i="7"/>
  <c r="Y13" i="7"/>
  <c r="Z13" i="7" s="1"/>
  <c r="AB13" i="7" s="1"/>
  <c r="X13" i="7"/>
  <c r="P13" i="7"/>
  <c r="AA12" i="7"/>
  <c r="Y12" i="7"/>
  <c r="X12" i="7"/>
  <c r="Z12" i="7" s="1"/>
  <c r="AB12" i="7" s="1"/>
  <c r="P12" i="7"/>
  <c r="AA11" i="7"/>
  <c r="Y11" i="7"/>
  <c r="X11" i="7"/>
  <c r="Z11" i="7" s="1"/>
  <c r="AB11" i="7" s="1"/>
  <c r="P11" i="7"/>
  <c r="AA10" i="7"/>
  <c r="Y10" i="7"/>
  <c r="Z10" i="7" s="1"/>
  <c r="AB10" i="7" s="1"/>
  <c r="X10" i="7"/>
  <c r="P10" i="7"/>
  <c r="AB9" i="7"/>
  <c r="AA9" i="7"/>
  <c r="Z9" i="7"/>
  <c r="Y9" i="7"/>
  <c r="X9" i="7"/>
  <c r="P9" i="7"/>
  <c r="AA8" i="7"/>
  <c r="Y8" i="7"/>
  <c r="Z8" i="7" s="1"/>
  <c r="AB8" i="7" s="1"/>
  <c r="X8" i="7"/>
  <c r="P8" i="7"/>
  <c r="AA7" i="7"/>
  <c r="Y7" i="7"/>
  <c r="X7" i="7"/>
  <c r="Z7" i="7" s="1"/>
  <c r="AB7" i="7" s="1"/>
  <c r="P7" i="7"/>
  <c r="AA6" i="7"/>
  <c r="Y6" i="7"/>
  <c r="X6" i="7"/>
  <c r="Z6" i="7" s="1"/>
  <c r="AB6" i="7" s="1"/>
  <c r="P6" i="7"/>
  <c r="AA5" i="7"/>
  <c r="Z5" i="7"/>
  <c r="AB5" i="7" s="1"/>
  <c r="Y5" i="7"/>
  <c r="X5" i="7"/>
  <c r="P5" i="7"/>
  <c r="AA4" i="7"/>
  <c r="AB4" i="7" s="1"/>
  <c r="Y4" i="7"/>
  <c r="Z4" i="7" s="1"/>
  <c r="X4" i="7"/>
  <c r="P4" i="7"/>
  <c r="AA3" i="7"/>
  <c r="Y3" i="7"/>
  <c r="X3" i="7"/>
  <c r="Z3" i="7" s="1"/>
  <c r="AB3" i="7" s="1"/>
  <c r="P3" i="7"/>
  <c r="AA2" i="7"/>
  <c r="Y2" i="7"/>
  <c r="X2" i="7"/>
  <c r="Z2" i="7" s="1"/>
  <c r="AB2" i="7" s="1"/>
  <c r="P2" i="7"/>
  <c r="AA44" i="6"/>
  <c r="Y44" i="6"/>
  <c r="X44" i="6"/>
  <c r="P44" i="6"/>
  <c r="AA43" i="6"/>
  <c r="Y43" i="6"/>
  <c r="Z43" i="6" s="1"/>
  <c r="AB43" i="6" s="1"/>
  <c r="X43" i="6"/>
  <c r="P43" i="6"/>
  <c r="AA42" i="6"/>
  <c r="Z42" i="6"/>
  <c r="AB42" i="6" s="1"/>
  <c r="Y42" i="6"/>
  <c r="X42" i="6"/>
  <c r="P42" i="6"/>
  <c r="AA41" i="6"/>
  <c r="Y41" i="6"/>
  <c r="X41" i="6"/>
  <c r="Z41" i="6" s="1"/>
  <c r="AB41" i="6" s="1"/>
  <c r="P41" i="6"/>
  <c r="AA40" i="6"/>
  <c r="Z40" i="6"/>
  <c r="AB40" i="6" s="1"/>
  <c r="Y40" i="6"/>
  <c r="X40" i="6"/>
  <c r="P40" i="6"/>
  <c r="AA39" i="6"/>
  <c r="Y39" i="6"/>
  <c r="Z39" i="6" s="1"/>
  <c r="AB39" i="6" s="1"/>
  <c r="X39" i="6"/>
  <c r="P39" i="6"/>
  <c r="AA38" i="6"/>
  <c r="Y38" i="6"/>
  <c r="X38" i="6"/>
  <c r="Z38" i="6" s="1"/>
  <c r="AB38" i="6" s="1"/>
  <c r="P38" i="6"/>
  <c r="AA37" i="6"/>
  <c r="Z37" i="6"/>
  <c r="Y37" i="6"/>
  <c r="X37" i="6"/>
  <c r="P37" i="6"/>
  <c r="AA36" i="6"/>
  <c r="Y36" i="6"/>
  <c r="X36" i="6"/>
  <c r="Z36" i="6" s="1"/>
  <c r="AB36" i="6" s="1"/>
  <c r="P36" i="6"/>
  <c r="AA35" i="6"/>
  <c r="Y35" i="6"/>
  <c r="Z35" i="6" s="1"/>
  <c r="AB35" i="6" s="1"/>
  <c r="X35" i="6"/>
  <c r="P35" i="6"/>
  <c r="AA34" i="6"/>
  <c r="Y34" i="6"/>
  <c r="X34" i="6"/>
  <c r="Z34" i="6" s="1"/>
  <c r="AB34" i="6" s="1"/>
  <c r="P34" i="6"/>
  <c r="AA33" i="6"/>
  <c r="Y33" i="6"/>
  <c r="Z33" i="6" s="1"/>
  <c r="AB33" i="6" s="1"/>
  <c r="X33" i="6"/>
  <c r="P33" i="6"/>
  <c r="AA32" i="6"/>
  <c r="Y32" i="6"/>
  <c r="Z32" i="6" s="1"/>
  <c r="AB32" i="6" s="1"/>
  <c r="X32" i="6"/>
  <c r="P32" i="6"/>
  <c r="AA31" i="6"/>
  <c r="Y31" i="6"/>
  <c r="Z31" i="6" s="1"/>
  <c r="AB31" i="6" s="1"/>
  <c r="X31" i="6"/>
  <c r="P31" i="6"/>
  <c r="AA30" i="6"/>
  <c r="Y30" i="6"/>
  <c r="X30" i="6"/>
  <c r="Z30" i="6" s="1"/>
  <c r="AB30" i="6" s="1"/>
  <c r="P30" i="6"/>
  <c r="AA29" i="6"/>
  <c r="Y29" i="6"/>
  <c r="X29" i="6"/>
  <c r="Z29" i="6" s="1"/>
  <c r="AB29" i="6" s="1"/>
  <c r="P29" i="6"/>
  <c r="AA28" i="6"/>
  <c r="Y28" i="6"/>
  <c r="X28" i="6"/>
  <c r="Z28" i="6" s="1"/>
  <c r="AB28" i="6" s="1"/>
  <c r="P28" i="6"/>
  <c r="AA27" i="6"/>
  <c r="Y27" i="6"/>
  <c r="X27" i="6"/>
  <c r="Z27" i="6" s="1"/>
  <c r="AB27" i="6" s="1"/>
  <c r="P27" i="6"/>
  <c r="AA26" i="6"/>
  <c r="Z26" i="6"/>
  <c r="AB26" i="6" s="1"/>
  <c r="Y26" i="6"/>
  <c r="X26" i="6"/>
  <c r="P26" i="6"/>
  <c r="AA25" i="6"/>
  <c r="Y25" i="6"/>
  <c r="X25" i="6"/>
  <c r="Z25" i="6" s="1"/>
  <c r="AB25" i="6" s="1"/>
  <c r="P25" i="6"/>
  <c r="AA24" i="6"/>
  <c r="Y24" i="6"/>
  <c r="X24" i="6"/>
  <c r="Z24" i="6" s="1"/>
  <c r="AB24" i="6" s="1"/>
  <c r="P24" i="6"/>
  <c r="AB23" i="6"/>
  <c r="AA23" i="6"/>
  <c r="Y23" i="6"/>
  <c r="X23" i="6"/>
  <c r="Z23" i="6" s="1"/>
  <c r="P23" i="6"/>
  <c r="AA22" i="6"/>
  <c r="Y22" i="6"/>
  <c r="X22" i="6"/>
  <c r="Z22" i="6" s="1"/>
  <c r="AB22" i="6" s="1"/>
  <c r="P22" i="6"/>
  <c r="AA21" i="6"/>
  <c r="Y21" i="6"/>
  <c r="Z21" i="6" s="1"/>
  <c r="AB21" i="6" s="1"/>
  <c r="X21" i="6"/>
  <c r="P21" i="6"/>
  <c r="AA20" i="6"/>
  <c r="Y20" i="6"/>
  <c r="X20" i="6"/>
  <c r="Z20" i="6" s="1"/>
  <c r="AB20" i="6" s="1"/>
  <c r="P20" i="6"/>
  <c r="AA19" i="6"/>
  <c r="Y19" i="6"/>
  <c r="X19" i="6"/>
  <c r="Z19" i="6" s="1"/>
  <c r="AB19" i="6" s="1"/>
  <c r="P19" i="6"/>
  <c r="AA18" i="6"/>
  <c r="Y18" i="6"/>
  <c r="X18" i="6"/>
  <c r="Z18" i="6" s="1"/>
  <c r="AB18" i="6" s="1"/>
  <c r="P18" i="6"/>
  <c r="AA17" i="6"/>
  <c r="Y17" i="6"/>
  <c r="X17" i="6"/>
  <c r="Z17" i="6" s="1"/>
  <c r="AB17" i="6" s="1"/>
  <c r="P17" i="6"/>
  <c r="AA16" i="6"/>
  <c r="Y16" i="6"/>
  <c r="X16" i="6"/>
  <c r="Z16" i="6" s="1"/>
  <c r="AB16" i="6" s="1"/>
  <c r="P16" i="6"/>
  <c r="AA15" i="6"/>
  <c r="Y15" i="6"/>
  <c r="X15" i="6"/>
  <c r="Z15" i="6" s="1"/>
  <c r="AB15" i="6" s="1"/>
  <c r="P15" i="6"/>
  <c r="AA14" i="6"/>
  <c r="Y14" i="6"/>
  <c r="X14" i="6"/>
  <c r="Z14" i="6" s="1"/>
  <c r="AB14" i="6" s="1"/>
  <c r="P14" i="6"/>
  <c r="AA13" i="6"/>
  <c r="Y13" i="6"/>
  <c r="X13" i="6"/>
  <c r="Z13" i="6" s="1"/>
  <c r="AB13" i="6" s="1"/>
  <c r="P13" i="6"/>
  <c r="AA12" i="6"/>
  <c r="Y12" i="6"/>
  <c r="X12" i="6"/>
  <c r="Z12" i="6" s="1"/>
  <c r="AB12" i="6" s="1"/>
  <c r="P12" i="6"/>
  <c r="AA11" i="6"/>
  <c r="AB11" i="6" s="1"/>
  <c r="Y11" i="6"/>
  <c r="X11" i="6"/>
  <c r="Z11" i="6" s="1"/>
  <c r="P11" i="6"/>
  <c r="AA10" i="6"/>
  <c r="Z10" i="6"/>
  <c r="AB10" i="6" s="1"/>
  <c r="Y10" i="6"/>
  <c r="X10" i="6"/>
  <c r="P10" i="6"/>
  <c r="AA9" i="6"/>
  <c r="Y9" i="6"/>
  <c r="Z9" i="6" s="1"/>
  <c r="AB9" i="6" s="1"/>
  <c r="X9" i="6"/>
  <c r="P9" i="6"/>
  <c r="AA8" i="6"/>
  <c r="Z8" i="6"/>
  <c r="AB8" i="6" s="1"/>
  <c r="Y8" i="6"/>
  <c r="X8" i="6"/>
  <c r="P8" i="6"/>
  <c r="AA7" i="6"/>
  <c r="Y7" i="6"/>
  <c r="X7" i="6"/>
  <c r="Z7" i="6" s="1"/>
  <c r="P7" i="6"/>
  <c r="AA6" i="6"/>
  <c r="Y6" i="6"/>
  <c r="X6" i="6"/>
  <c r="Z6" i="6" s="1"/>
  <c r="AB6" i="6" s="1"/>
  <c r="P6" i="6"/>
  <c r="AA5" i="6"/>
  <c r="Y5" i="6"/>
  <c r="Z5" i="6" s="1"/>
  <c r="AB5" i="6" s="1"/>
  <c r="X5" i="6"/>
  <c r="P5" i="6"/>
  <c r="AA4" i="6"/>
  <c r="Z4" i="6"/>
  <c r="AB4" i="6" s="1"/>
  <c r="Y4" i="6"/>
  <c r="X4" i="6"/>
  <c r="P4" i="6"/>
  <c r="AA3" i="6"/>
  <c r="Y3" i="6"/>
  <c r="X3" i="6"/>
  <c r="Z3" i="6" s="1"/>
  <c r="AB3" i="6" s="1"/>
  <c r="P3" i="6"/>
  <c r="AA2" i="6"/>
  <c r="Z2" i="6"/>
  <c r="AB2" i="6" s="1"/>
  <c r="Y2" i="6"/>
  <c r="X2" i="6"/>
  <c r="P2" i="6"/>
  <c r="AA50" i="5"/>
  <c r="Y50" i="5"/>
  <c r="X50" i="5"/>
  <c r="Z50" i="5" s="1"/>
  <c r="AB50" i="5" s="1"/>
  <c r="P50" i="5"/>
  <c r="AA49" i="5"/>
  <c r="AB49" i="5" s="1"/>
  <c r="Z49" i="5"/>
  <c r="Y49" i="5"/>
  <c r="X49" i="5"/>
  <c r="P49" i="5"/>
  <c r="AA48" i="5"/>
  <c r="Y48" i="5"/>
  <c r="Z48" i="5" s="1"/>
  <c r="AB48" i="5" s="1"/>
  <c r="X48" i="5"/>
  <c r="P48" i="5"/>
  <c r="AB47" i="5"/>
  <c r="AA47" i="5"/>
  <c r="Z47" i="5"/>
  <c r="Y47" i="5"/>
  <c r="X47" i="5"/>
  <c r="P47" i="5"/>
  <c r="AA46" i="5"/>
  <c r="Y46" i="5"/>
  <c r="X46" i="5"/>
  <c r="Z46" i="5" s="1"/>
  <c r="AB46" i="5" s="1"/>
  <c r="P46" i="5"/>
  <c r="AA45" i="5"/>
  <c r="Y45" i="5"/>
  <c r="X45" i="5"/>
  <c r="Z45" i="5" s="1"/>
  <c r="AB45" i="5" s="1"/>
  <c r="P45" i="5"/>
  <c r="AA44" i="5"/>
  <c r="Z44" i="5"/>
  <c r="AB44" i="5" s="1"/>
  <c r="Y44" i="5"/>
  <c r="X44" i="5"/>
  <c r="P44" i="5"/>
  <c r="AA43" i="5"/>
  <c r="Z43" i="5"/>
  <c r="Y43" i="5"/>
  <c r="X43" i="5"/>
  <c r="P43" i="5"/>
  <c r="AA42" i="5"/>
  <c r="Y42" i="5"/>
  <c r="X42" i="5"/>
  <c r="Z42" i="5" s="1"/>
  <c r="AB42" i="5" s="1"/>
  <c r="P42" i="5"/>
  <c r="AA41" i="5"/>
  <c r="Y41" i="5"/>
  <c r="X41" i="5"/>
  <c r="P41" i="5"/>
  <c r="AA40" i="5"/>
  <c r="Y40" i="5"/>
  <c r="X40" i="5"/>
  <c r="Z40" i="5" s="1"/>
  <c r="AB40" i="5" s="1"/>
  <c r="P40" i="5"/>
  <c r="AA39" i="5"/>
  <c r="Y39" i="5"/>
  <c r="Z39" i="5" s="1"/>
  <c r="AB39" i="5" s="1"/>
  <c r="X39" i="5"/>
  <c r="P39" i="5"/>
  <c r="AA38" i="5"/>
  <c r="Y38" i="5"/>
  <c r="X38" i="5"/>
  <c r="Z38" i="5" s="1"/>
  <c r="AB38" i="5" s="1"/>
  <c r="P38" i="5"/>
  <c r="AA37" i="5"/>
  <c r="Y37" i="5"/>
  <c r="X37" i="5"/>
  <c r="Z37" i="5" s="1"/>
  <c r="AB37" i="5" s="1"/>
  <c r="P37" i="5"/>
  <c r="AA36" i="5"/>
  <c r="Y36" i="5"/>
  <c r="X36" i="5"/>
  <c r="Z36" i="5" s="1"/>
  <c r="AB36" i="5" s="1"/>
  <c r="P36" i="5"/>
  <c r="AA35" i="5"/>
  <c r="Y35" i="5"/>
  <c r="X35" i="5"/>
  <c r="Z35" i="5" s="1"/>
  <c r="AB35" i="5" s="1"/>
  <c r="P35" i="5"/>
  <c r="AA34" i="5"/>
  <c r="Y34" i="5"/>
  <c r="X34" i="5"/>
  <c r="Z34" i="5" s="1"/>
  <c r="P34" i="5"/>
  <c r="AB33" i="5"/>
  <c r="AA33" i="5"/>
  <c r="Z33" i="5"/>
  <c r="Y33" i="5"/>
  <c r="X33" i="5"/>
  <c r="P33" i="5"/>
  <c r="AA32" i="5"/>
  <c r="Y32" i="5"/>
  <c r="X32" i="5"/>
  <c r="Z32" i="5" s="1"/>
  <c r="AB32" i="5" s="1"/>
  <c r="P32" i="5"/>
  <c r="AA31" i="5"/>
  <c r="Y31" i="5"/>
  <c r="Z31" i="5" s="1"/>
  <c r="AB31" i="5" s="1"/>
  <c r="X31" i="5"/>
  <c r="P31" i="5"/>
  <c r="AA30" i="5"/>
  <c r="Y30" i="5"/>
  <c r="X30" i="5"/>
  <c r="Z30" i="5" s="1"/>
  <c r="AB30" i="5" s="1"/>
  <c r="P30" i="5"/>
  <c r="AA29" i="5"/>
  <c r="Y29" i="5"/>
  <c r="X29" i="5"/>
  <c r="Z29" i="5" s="1"/>
  <c r="AB29" i="5" s="1"/>
  <c r="P29" i="5"/>
  <c r="AB28" i="5"/>
  <c r="AA28" i="5"/>
  <c r="Z28" i="5"/>
  <c r="Y28" i="5"/>
  <c r="X28" i="5"/>
  <c r="P28" i="5"/>
  <c r="AA27" i="5"/>
  <c r="Y27" i="5"/>
  <c r="X27" i="5"/>
  <c r="Z27" i="5" s="1"/>
  <c r="AB27" i="5" s="1"/>
  <c r="P27" i="5"/>
  <c r="AA26" i="5"/>
  <c r="Z26" i="5"/>
  <c r="AB26" i="5" s="1"/>
  <c r="Y26" i="5"/>
  <c r="X26" i="5"/>
  <c r="P26" i="5"/>
  <c r="AA25" i="5"/>
  <c r="Y25" i="5"/>
  <c r="X25" i="5"/>
  <c r="Z25" i="5" s="1"/>
  <c r="AB25" i="5" s="1"/>
  <c r="P25" i="5"/>
  <c r="AA24" i="5"/>
  <c r="Y24" i="5"/>
  <c r="X24" i="5"/>
  <c r="P24" i="5"/>
  <c r="AA23" i="5"/>
  <c r="Y23" i="5"/>
  <c r="X23" i="5"/>
  <c r="Z23" i="5" s="1"/>
  <c r="AB23" i="5" s="1"/>
  <c r="P23" i="5"/>
  <c r="AA22" i="5"/>
  <c r="Z22" i="5"/>
  <c r="Y22" i="5"/>
  <c r="X22" i="5"/>
  <c r="P22" i="5"/>
  <c r="AA21" i="5"/>
  <c r="Y21" i="5"/>
  <c r="X21" i="5"/>
  <c r="P21" i="5"/>
  <c r="AA20" i="5"/>
  <c r="Y20" i="5"/>
  <c r="X20" i="5"/>
  <c r="Z20" i="5" s="1"/>
  <c r="AB20" i="5" s="1"/>
  <c r="P20" i="5"/>
  <c r="AB19" i="5"/>
  <c r="AA19" i="5"/>
  <c r="Z19" i="5"/>
  <c r="Y19" i="5"/>
  <c r="X19" i="5"/>
  <c r="P19" i="5"/>
  <c r="AA18" i="5"/>
  <c r="Y18" i="5"/>
  <c r="X18" i="5"/>
  <c r="Z18" i="5" s="1"/>
  <c r="AB18" i="5" s="1"/>
  <c r="P18" i="5"/>
  <c r="AA17" i="5"/>
  <c r="Z17" i="5"/>
  <c r="AB17" i="5" s="1"/>
  <c r="Y17" i="5"/>
  <c r="X17" i="5"/>
  <c r="P17" i="5"/>
  <c r="AB16" i="5"/>
  <c r="AA16" i="5"/>
  <c r="Z16" i="5"/>
  <c r="Y16" i="5"/>
  <c r="X16" i="5"/>
  <c r="P16" i="5"/>
  <c r="AA15" i="5"/>
  <c r="Z15" i="5"/>
  <c r="Y15" i="5"/>
  <c r="X15" i="5"/>
  <c r="P15" i="5"/>
  <c r="AA14" i="5"/>
  <c r="Z14" i="5"/>
  <c r="AB14" i="5" s="1"/>
  <c r="Y14" i="5"/>
  <c r="X14" i="5"/>
  <c r="P14" i="5"/>
  <c r="AA13" i="5"/>
  <c r="Y13" i="5"/>
  <c r="X13" i="5"/>
  <c r="P13" i="5"/>
  <c r="AA12" i="5"/>
  <c r="Y12" i="5"/>
  <c r="X12" i="5"/>
  <c r="Z12" i="5" s="1"/>
  <c r="AB12" i="5" s="1"/>
  <c r="P12" i="5"/>
  <c r="AA11" i="5"/>
  <c r="Y11" i="5"/>
  <c r="Z11" i="5" s="1"/>
  <c r="AB11" i="5" s="1"/>
  <c r="X11" i="5"/>
  <c r="P11" i="5"/>
  <c r="AA10" i="5"/>
  <c r="Y10" i="5"/>
  <c r="X10" i="5"/>
  <c r="Z10" i="5" s="1"/>
  <c r="AB10" i="5" s="1"/>
  <c r="P10" i="5"/>
  <c r="AA9" i="5"/>
  <c r="Y9" i="5"/>
  <c r="X9" i="5"/>
  <c r="P9" i="5"/>
  <c r="AA8" i="5"/>
  <c r="Z8" i="5"/>
  <c r="AB8" i="5" s="1"/>
  <c r="Y8" i="5"/>
  <c r="X8" i="5"/>
  <c r="P8" i="5"/>
  <c r="AA7" i="5"/>
  <c r="Y7" i="5"/>
  <c r="Z7" i="5" s="1"/>
  <c r="AB7" i="5" s="1"/>
  <c r="X7" i="5"/>
  <c r="P7" i="5"/>
  <c r="AA6" i="5"/>
  <c r="Z6" i="5"/>
  <c r="AB6" i="5" s="1"/>
  <c r="Y6" i="5"/>
  <c r="X6" i="5"/>
  <c r="P6" i="5"/>
  <c r="AA5" i="5"/>
  <c r="Y5" i="5"/>
  <c r="X5" i="5"/>
  <c r="Z5" i="5" s="1"/>
  <c r="AB5" i="5" s="1"/>
  <c r="P5" i="5"/>
  <c r="AA4" i="5"/>
  <c r="Y4" i="5"/>
  <c r="X4" i="5"/>
  <c r="Z4" i="5" s="1"/>
  <c r="AB4" i="5" s="1"/>
  <c r="P4" i="5"/>
  <c r="AA3" i="5"/>
  <c r="Y3" i="5"/>
  <c r="X3" i="5"/>
  <c r="Z3" i="5" s="1"/>
  <c r="AB3" i="5" s="1"/>
  <c r="P3" i="5"/>
  <c r="AA2" i="5"/>
  <c r="Y2" i="5"/>
  <c r="X2" i="5"/>
  <c r="P2" i="5"/>
  <c r="AA75" i="4"/>
  <c r="Z75" i="4"/>
  <c r="AB75" i="4" s="1"/>
  <c r="Y75" i="4"/>
  <c r="X75" i="4"/>
  <c r="P75" i="4"/>
  <c r="AA74" i="4"/>
  <c r="AB74" i="4" s="1"/>
  <c r="Z74" i="4"/>
  <c r="Y74" i="4"/>
  <c r="X74" i="4"/>
  <c r="P74" i="4"/>
  <c r="AA73" i="4"/>
  <c r="Y73" i="4"/>
  <c r="Z73" i="4" s="1"/>
  <c r="AB73" i="4" s="1"/>
  <c r="X73" i="4"/>
  <c r="P73" i="4"/>
  <c r="AA72" i="4"/>
  <c r="Z72" i="4"/>
  <c r="AB72" i="4" s="1"/>
  <c r="Y72" i="4"/>
  <c r="X72" i="4"/>
  <c r="P72" i="4"/>
  <c r="AA71" i="4"/>
  <c r="Y71" i="4"/>
  <c r="X71" i="4"/>
  <c r="P71" i="4"/>
  <c r="AA70" i="4"/>
  <c r="Z70" i="4"/>
  <c r="AB70" i="4" s="1"/>
  <c r="Y70" i="4"/>
  <c r="X70" i="4"/>
  <c r="P70" i="4"/>
  <c r="AA69" i="4"/>
  <c r="AB69" i="4" s="1"/>
  <c r="Y69" i="4"/>
  <c r="X69" i="4"/>
  <c r="Z69" i="4" s="1"/>
  <c r="P69" i="4"/>
  <c r="AA68" i="4"/>
  <c r="Z68" i="4"/>
  <c r="AB68" i="4" s="1"/>
  <c r="Y68" i="4"/>
  <c r="X68" i="4"/>
  <c r="P68" i="4"/>
  <c r="AA67" i="4"/>
  <c r="Y67" i="4"/>
  <c r="Z67" i="4" s="1"/>
  <c r="AB67" i="4" s="1"/>
  <c r="X67" i="4"/>
  <c r="P67" i="4"/>
  <c r="AA66" i="4"/>
  <c r="Y66" i="4"/>
  <c r="X66" i="4"/>
  <c r="Z66" i="4" s="1"/>
  <c r="AB66" i="4" s="1"/>
  <c r="P66" i="4"/>
  <c r="AA65" i="4"/>
  <c r="Y65" i="4"/>
  <c r="X65" i="4"/>
  <c r="P65" i="4"/>
  <c r="AA64" i="4"/>
  <c r="Y64" i="4"/>
  <c r="X64" i="4"/>
  <c r="Z64" i="4" s="1"/>
  <c r="AB64" i="4" s="1"/>
  <c r="P64" i="4"/>
  <c r="AA63" i="4"/>
  <c r="Y63" i="4"/>
  <c r="Z63" i="4" s="1"/>
  <c r="AB63" i="4" s="1"/>
  <c r="X63" i="4"/>
  <c r="P63" i="4"/>
  <c r="AA62" i="4"/>
  <c r="AB62" i="4" s="1"/>
  <c r="Z62" i="4"/>
  <c r="Y62" i="4"/>
  <c r="X62" i="4"/>
  <c r="P62" i="4"/>
  <c r="AA61" i="4"/>
  <c r="Z61" i="4"/>
  <c r="AB61" i="4" s="1"/>
  <c r="Y61" i="4"/>
  <c r="X61" i="4"/>
  <c r="P61" i="4"/>
  <c r="AA60" i="4"/>
  <c r="Y60" i="4"/>
  <c r="Z60" i="4" s="1"/>
  <c r="AB60" i="4" s="1"/>
  <c r="X60" i="4"/>
  <c r="P60" i="4"/>
  <c r="AA59" i="4"/>
  <c r="Y59" i="4"/>
  <c r="X59" i="4"/>
  <c r="P59" i="4"/>
  <c r="AA58" i="4"/>
  <c r="AB58" i="4" s="1"/>
  <c r="Z58" i="4"/>
  <c r="Y58" i="4"/>
  <c r="X58" i="4"/>
  <c r="P58" i="4"/>
  <c r="AA57" i="4"/>
  <c r="Y57" i="4"/>
  <c r="X57" i="4"/>
  <c r="P57" i="4"/>
  <c r="AA56" i="4"/>
  <c r="Y56" i="4"/>
  <c r="X56" i="4"/>
  <c r="Z56" i="4" s="1"/>
  <c r="AB56" i="4" s="1"/>
  <c r="P56" i="4"/>
  <c r="AA55" i="4"/>
  <c r="Z55" i="4"/>
  <c r="AB55" i="4" s="1"/>
  <c r="Y55" i="4"/>
  <c r="X55" i="4"/>
  <c r="P55" i="4"/>
  <c r="AA54" i="4"/>
  <c r="Y54" i="4"/>
  <c r="X54" i="4"/>
  <c r="Z54" i="4" s="1"/>
  <c r="AB54" i="4" s="1"/>
  <c r="P54" i="4"/>
  <c r="AA53" i="4"/>
  <c r="Y53" i="4"/>
  <c r="X53" i="4"/>
  <c r="Z53" i="4" s="1"/>
  <c r="P53" i="4"/>
  <c r="AA52" i="4"/>
  <c r="Y52" i="4"/>
  <c r="Z52" i="4" s="1"/>
  <c r="AB52" i="4" s="1"/>
  <c r="X52" i="4"/>
  <c r="P52" i="4"/>
  <c r="AB51" i="4"/>
  <c r="AA51" i="4"/>
  <c r="Y51" i="4"/>
  <c r="Z51" i="4" s="1"/>
  <c r="X51" i="4"/>
  <c r="P51" i="4"/>
  <c r="AA50" i="4"/>
  <c r="Z50" i="4"/>
  <c r="AB50" i="4" s="1"/>
  <c r="Y50" i="4"/>
  <c r="X50" i="4"/>
  <c r="P50" i="4"/>
  <c r="AA49" i="4"/>
  <c r="Y49" i="4"/>
  <c r="X49" i="4"/>
  <c r="Z49" i="4" s="1"/>
  <c r="AB49" i="4" s="1"/>
  <c r="P49" i="4"/>
  <c r="AA48" i="4"/>
  <c r="Z48" i="4"/>
  <c r="AB48" i="4" s="1"/>
  <c r="Y48" i="4"/>
  <c r="X48" i="4"/>
  <c r="P48" i="4"/>
  <c r="AA47" i="4"/>
  <c r="Y47" i="4"/>
  <c r="X47" i="4"/>
  <c r="Z47" i="4" s="1"/>
  <c r="AB47" i="4" s="1"/>
  <c r="P47" i="4"/>
  <c r="AB46" i="4"/>
  <c r="AA46" i="4"/>
  <c r="Z46" i="4"/>
  <c r="Y46" i="4"/>
  <c r="X46" i="4"/>
  <c r="P46" i="4"/>
  <c r="AA45" i="4"/>
  <c r="Z45" i="4"/>
  <c r="Y45" i="4"/>
  <c r="X45" i="4"/>
  <c r="P45" i="4"/>
  <c r="AA44" i="4"/>
  <c r="Y44" i="4"/>
  <c r="X44" i="4"/>
  <c r="P44" i="4"/>
  <c r="AA43" i="4"/>
  <c r="Y43" i="4"/>
  <c r="X43" i="4"/>
  <c r="P43" i="4"/>
  <c r="AA42" i="4"/>
  <c r="Z42" i="4"/>
  <c r="AB42" i="4" s="1"/>
  <c r="Y42" i="4"/>
  <c r="X42" i="4"/>
  <c r="P42" i="4"/>
  <c r="AA41" i="4"/>
  <c r="Y41" i="4"/>
  <c r="X41" i="4"/>
  <c r="P41" i="4"/>
  <c r="AA40" i="4"/>
  <c r="Y40" i="4"/>
  <c r="X40" i="4"/>
  <c r="Z40" i="4" s="1"/>
  <c r="AB40" i="4" s="1"/>
  <c r="P40" i="4"/>
  <c r="AA39" i="4"/>
  <c r="Z39" i="4"/>
  <c r="AB39" i="4" s="1"/>
  <c r="Y39" i="4"/>
  <c r="X39" i="4"/>
  <c r="P39" i="4"/>
  <c r="AA38" i="4"/>
  <c r="Z38" i="4"/>
  <c r="AB38" i="4" s="1"/>
  <c r="Y38" i="4"/>
  <c r="X38" i="4"/>
  <c r="P38" i="4"/>
  <c r="AA37" i="4"/>
  <c r="Z37" i="4"/>
  <c r="Y37" i="4"/>
  <c r="X37" i="4"/>
  <c r="P37" i="4"/>
  <c r="AA36" i="4"/>
  <c r="Y36" i="4"/>
  <c r="X36" i="4"/>
  <c r="Z36" i="4" s="1"/>
  <c r="AB36" i="4" s="1"/>
  <c r="P36" i="4"/>
  <c r="AA35" i="4"/>
  <c r="Y35" i="4"/>
  <c r="Z35" i="4" s="1"/>
  <c r="AB35" i="4" s="1"/>
  <c r="X35" i="4"/>
  <c r="P35" i="4"/>
  <c r="AA34" i="4"/>
  <c r="Y34" i="4"/>
  <c r="X34" i="4"/>
  <c r="Z34" i="4" s="1"/>
  <c r="AB34" i="4" s="1"/>
  <c r="P34" i="4"/>
  <c r="AA33" i="4"/>
  <c r="Y33" i="4"/>
  <c r="Z33" i="4" s="1"/>
  <c r="AB33" i="4" s="1"/>
  <c r="X33" i="4"/>
  <c r="P33" i="4"/>
  <c r="AA32" i="4"/>
  <c r="Y32" i="4"/>
  <c r="X32" i="4"/>
  <c r="Z32" i="4" s="1"/>
  <c r="AB32" i="4" s="1"/>
  <c r="P32" i="4"/>
  <c r="AB31" i="4"/>
  <c r="AA31" i="4"/>
  <c r="Z31" i="4"/>
  <c r="Y31" i="4"/>
  <c r="X31" i="4"/>
  <c r="P31" i="4"/>
  <c r="AA30" i="4"/>
  <c r="Y30" i="4"/>
  <c r="X30" i="4"/>
  <c r="Z30" i="4" s="1"/>
  <c r="AB30" i="4" s="1"/>
  <c r="P30" i="4"/>
  <c r="AA29" i="4"/>
  <c r="Y29" i="4"/>
  <c r="X29" i="4"/>
  <c r="Z29" i="4" s="1"/>
  <c r="AB29" i="4" s="1"/>
  <c r="P29" i="4"/>
  <c r="AB28" i="4"/>
  <c r="AA28" i="4"/>
  <c r="Z28" i="4"/>
  <c r="Y28" i="4"/>
  <c r="X28" i="4"/>
  <c r="P28" i="4"/>
  <c r="AA27" i="4"/>
  <c r="Y27" i="4"/>
  <c r="X27" i="4"/>
  <c r="P27" i="4"/>
  <c r="AB26" i="4"/>
  <c r="AA26" i="4"/>
  <c r="Z26" i="4"/>
  <c r="Y26" i="4"/>
  <c r="X26" i="4"/>
  <c r="P26" i="4"/>
  <c r="AA25" i="4"/>
  <c r="Y25" i="4"/>
  <c r="Z25" i="4" s="1"/>
  <c r="AB25" i="4" s="1"/>
  <c r="X25" i="4"/>
  <c r="P25" i="4"/>
  <c r="AB24" i="4"/>
  <c r="AA24" i="4"/>
  <c r="Z24" i="4"/>
  <c r="Y24" i="4"/>
  <c r="X24" i="4"/>
  <c r="P24" i="4"/>
  <c r="AA23" i="4"/>
  <c r="Y23" i="4"/>
  <c r="Z23" i="4" s="1"/>
  <c r="AB23" i="4" s="1"/>
  <c r="X23" i="4"/>
  <c r="P23" i="4"/>
  <c r="AA22" i="4"/>
  <c r="Y22" i="4"/>
  <c r="X22" i="4"/>
  <c r="Z22" i="4" s="1"/>
  <c r="AB22" i="4" s="1"/>
  <c r="P22" i="4"/>
  <c r="AB21" i="4"/>
  <c r="AA21" i="4"/>
  <c r="Z21" i="4"/>
  <c r="Y21" i="4"/>
  <c r="X21" i="4"/>
  <c r="P21" i="4"/>
  <c r="AA20" i="4"/>
  <c r="AB20" i="4" s="1"/>
  <c r="Z20" i="4"/>
  <c r="Y20" i="4"/>
  <c r="X20" i="4"/>
  <c r="P20" i="4"/>
  <c r="AA19" i="4"/>
  <c r="Y19" i="4"/>
  <c r="X19" i="4"/>
  <c r="Z19" i="4" s="1"/>
  <c r="AB19" i="4" s="1"/>
  <c r="P19" i="4"/>
  <c r="AA18" i="4"/>
  <c r="Y18" i="4"/>
  <c r="X18" i="4"/>
  <c r="Z18" i="4" s="1"/>
  <c r="AB18" i="4" s="1"/>
  <c r="P18" i="4"/>
  <c r="AA17" i="4"/>
  <c r="Y17" i="4"/>
  <c r="Z17" i="4" s="1"/>
  <c r="AB17" i="4" s="1"/>
  <c r="X17" i="4"/>
  <c r="P17" i="4"/>
  <c r="AA16" i="4"/>
  <c r="Y16" i="4"/>
  <c r="X16" i="4"/>
  <c r="Z16" i="4" s="1"/>
  <c r="AB16" i="4" s="1"/>
  <c r="P16" i="4"/>
  <c r="AA15" i="4"/>
  <c r="Y15" i="4"/>
  <c r="X15" i="4"/>
  <c r="P15" i="4"/>
  <c r="AA14" i="4"/>
  <c r="Z14" i="4"/>
  <c r="AB14" i="4" s="1"/>
  <c r="Y14" i="4"/>
  <c r="X14" i="4"/>
  <c r="P14" i="4"/>
  <c r="AA13" i="4"/>
  <c r="Y13" i="4"/>
  <c r="Z13" i="4" s="1"/>
  <c r="AB13" i="4" s="1"/>
  <c r="X13" i="4"/>
  <c r="P13" i="4"/>
  <c r="AA12" i="4"/>
  <c r="Y12" i="4"/>
  <c r="Z12" i="4" s="1"/>
  <c r="AB12" i="4" s="1"/>
  <c r="X12" i="4"/>
  <c r="P12" i="4"/>
  <c r="AA11" i="4"/>
  <c r="Y11" i="4"/>
  <c r="Z11" i="4" s="1"/>
  <c r="AB11" i="4" s="1"/>
  <c r="X11" i="4"/>
  <c r="P11" i="4"/>
  <c r="AA10" i="4"/>
  <c r="Y10" i="4"/>
  <c r="X10" i="4"/>
  <c r="Z10" i="4" s="1"/>
  <c r="AB10" i="4" s="1"/>
  <c r="P10" i="4"/>
  <c r="AA9" i="4"/>
  <c r="Y9" i="4"/>
  <c r="Z9" i="4" s="1"/>
  <c r="AB9" i="4" s="1"/>
  <c r="X9" i="4"/>
  <c r="P9" i="4"/>
  <c r="AA8" i="4"/>
  <c r="Y8" i="4"/>
  <c r="X8" i="4"/>
  <c r="Z8" i="4" s="1"/>
  <c r="AB8" i="4" s="1"/>
  <c r="P8" i="4"/>
  <c r="AB7" i="4"/>
  <c r="AA7" i="4"/>
  <c r="Z7" i="4"/>
  <c r="Y7" i="4"/>
  <c r="X7" i="4"/>
  <c r="P7" i="4"/>
  <c r="AB6" i="4"/>
  <c r="AA6" i="4"/>
  <c r="Z6" i="4"/>
  <c r="Y6" i="4"/>
  <c r="X6" i="4"/>
  <c r="P6" i="4"/>
  <c r="AA5" i="4"/>
  <c r="Z5" i="4"/>
  <c r="AB5" i="4" s="1"/>
  <c r="Y5" i="4"/>
  <c r="X5" i="4"/>
  <c r="P5" i="4"/>
  <c r="AA4" i="4"/>
  <c r="Z4" i="4"/>
  <c r="AB4" i="4" s="1"/>
  <c r="Y4" i="4"/>
  <c r="X4" i="4"/>
  <c r="P4" i="4"/>
  <c r="AA3" i="4"/>
  <c r="Y3" i="4"/>
  <c r="X3" i="4"/>
  <c r="Z3" i="4" s="1"/>
  <c r="AB3" i="4" s="1"/>
  <c r="P3" i="4"/>
  <c r="AA2" i="4"/>
  <c r="Y2" i="4"/>
  <c r="Z2" i="4" s="1"/>
  <c r="AB2" i="4" s="1"/>
  <c r="X2" i="4"/>
  <c r="P2" i="4"/>
  <c r="AA45" i="3"/>
  <c r="Z45" i="3"/>
  <c r="AB45" i="3" s="1"/>
  <c r="Y45" i="3"/>
  <c r="X45" i="3"/>
  <c r="P45" i="3"/>
  <c r="AA44" i="3"/>
  <c r="Z44" i="3"/>
  <c r="AB44" i="3" s="1"/>
  <c r="Y44" i="3"/>
  <c r="X44" i="3"/>
  <c r="P44" i="3"/>
  <c r="AA43" i="3"/>
  <c r="Y43" i="3"/>
  <c r="X43" i="3"/>
  <c r="P43" i="3"/>
  <c r="AA42" i="3"/>
  <c r="Y42" i="3"/>
  <c r="Z42" i="3" s="1"/>
  <c r="AB42" i="3" s="1"/>
  <c r="X42" i="3"/>
  <c r="P42" i="3"/>
  <c r="AA41" i="3"/>
  <c r="Z41" i="3"/>
  <c r="AB41" i="3" s="1"/>
  <c r="Y41" i="3"/>
  <c r="X41" i="3"/>
  <c r="P41" i="3"/>
  <c r="AA40" i="3"/>
  <c r="AB40" i="3" s="1"/>
  <c r="Z40" i="3"/>
  <c r="Y40" i="3"/>
  <c r="X40" i="3"/>
  <c r="P40" i="3"/>
  <c r="AA39" i="3"/>
  <c r="Y39" i="3"/>
  <c r="Z39" i="3" s="1"/>
  <c r="AB39" i="3" s="1"/>
  <c r="X39" i="3"/>
  <c r="P39" i="3"/>
  <c r="AA38" i="3"/>
  <c r="Y38" i="3"/>
  <c r="X38" i="3"/>
  <c r="Z38" i="3" s="1"/>
  <c r="AB38" i="3" s="1"/>
  <c r="P38" i="3"/>
  <c r="AA37" i="3"/>
  <c r="Y37" i="3"/>
  <c r="Z37" i="3" s="1"/>
  <c r="AB37" i="3" s="1"/>
  <c r="X37" i="3"/>
  <c r="P37" i="3"/>
  <c r="AA36" i="3"/>
  <c r="Z36" i="3"/>
  <c r="AB36" i="3" s="1"/>
  <c r="Y36" i="3"/>
  <c r="X36" i="3"/>
  <c r="P36" i="3"/>
  <c r="AA35" i="3"/>
  <c r="Z35" i="3"/>
  <c r="AB35" i="3" s="1"/>
  <c r="Y35" i="3"/>
  <c r="X35" i="3"/>
  <c r="P35" i="3"/>
  <c r="AB34" i="3"/>
  <c r="AA34" i="3"/>
  <c r="Z34" i="3"/>
  <c r="Y34" i="3"/>
  <c r="X34" i="3"/>
  <c r="P34" i="3"/>
  <c r="AA33" i="3"/>
  <c r="Z33" i="3"/>
  <c r="Y33" i="3"/>
  <c r="X33" i="3"/>
  <c r="P33" i="3"/>
  <c r="AA32" i="3"/>
  <c r="Y32" i="3"/>
  <c r="X32" i="3"/>
  <c r="Z32" i="3" s="1"/>
  <c r="AB32" i="3" s="1"/>
  <c r="P32" i="3"/>
  <c r="AA31" i="3"/>
  <c r="Y31" i="3"/>
  <c r="X31" i="3"/>
  <c r="Z31" i="3" s="1"/>
  <c r="AB31" i="3" s="1"/>
  <c r="P31" i="3"/>
  <c r="AA30" i="3"/>
  <c r="Y30" i="3"/>
  <c r="X30" i="3"/>
  <c r="Z30" i="3" s="1"/>
  <c r="AB30" i="3" s="1"/>
  <c r="P30" i="3"/>
  <c r="AB29" i="3"/>
  <c r="AA29" i="3"/>
  <c r="Z29" i="3"/>
  <c r="Y29" i="3"/>
  <c r="X29" i="3"/>
  <c r="P29" i="3"/>
  <c r="AA28" i="3"/>
  <c r="Y28" i="3"/>
  <c r="X28" i="3"/>
  <c r="Z28" i="3" s="1"/>
  <c r="AB28" i="3" s="1"/>
  <c r="P28" i="3"/>
  <c r="AA27" i="3"/>
  <c r="Y27" i="3"/>
  <c r="Z27" i="3" s="1"/>
  <c r="AB27" i="3" s="1"/>
  <c r="X27" i="3"/>
  <c r="P27" i="3"/>
  <c r="AB26" i="3"/>
  <c r="AA26" i="3"/>
  <c r="Z26" i="3"/>
  <c r="Y26" i="3"/>
  <c r="X26" i="3"/>
  <c r="P26" i="3"/>
  <c r="AA25" i="3"/>
  <c r="Z25" i="3"/>
  <c r="Y25" i="3"/>
  <c r="X25" i="3"/>
  <c r="P25" i="3"/>
  <c r="AA24" i="3"/>
  <c r="Y24" i="3"/>
  <c r="X24" i="3"/>
  <c r="Z24" i="3" s="1"/>
  <c r="AB24" i="3" s="1"/>
  <c r="P24" i="3"/>
  <c r="AA23" i="3"/>
  <c r="Y23" i="3"/>
  <c r="X23" i="3"/>
  <c r="Z23" i="3" s="1"/>
  <c r="AB23" i="3" s="1"/>
  <c r="P23" i="3"/>
  <c r="AA22" i="3"/>
  <c r="Y22" i="3"/>
  <c r="X22" i="3"/>
  <c r="Z22" i="3" s="1"/>
  <c r="AB22" i="3" s="1"/>
  <c r="P22" i="3"/>
  <c r="AA21" i="3"/>
  <c r="Z21" i="3"/>
  <c r="Y21" i="3"/>
  <c r="X21" i="3"/>
  <c r="P21" i="3"/>
  <c r="AA20" i="3"/>
  <c r="Y20" i="3"/>
  <c r="X20" i="3"/>
  <c r="Z20" i="3" s="1"/>
  <c r="AB20" i="3" s="1"/>
  <c r="P20" i="3"/>
  <c r="AA19" i="3"/>
  <c r="Y19" i="3"/>
  <c r="X19" i="3"/>
  <c r="P19" i="3"/>
  <c r="AA18" i="3"/>
  <c r="Z18" i="3"/>
  <c r="AB18" i="3" s="1"/>
  <c r="Y18" i="3"/>
  <c r="X18" i="3"/>
  <c r="P18" i="3"/>
  <c r="AA17" i="3"/>
  <c r="Y17" i="3"/>
  <c r="Z17" i="3" s="1"/>
  <c r="AB17" i="3" s="1"/>
  <c r="X17" i="3"/>
  <c r="P17" i="3"/>
  <c r="AA16" i="3"/>
  <c r="Y16" i="3"/>
  <c r="Z16" i="3" s="1"/>
  <c r="AB16" i="3" s="1"/>
  <c r="X16" i="3"/>
  <c r="P16" i="3"/>
  <c r="AA15" i="3"/>
  <c r="Z15" i="3"/>
  <c r="AB15" i="3" s="1"/>
  <c r="Y15" i="3"/>
  <c r="X15" i="3"/>
  <c r="P15" i="3"/>
  <c r="AA14" i="3"/>
  <c r="Y14" i="3"/>
  <c r="Z14" i="3" s="1"/>
  <c r="AB14" i="3" s="1"/>
  <c r="X14" i="3"/>
  <c r="P14" i="3"/>
  <c r="AA13" i="3"/>
  <c r="Y13" i="3"/>
  <c r="Z13" i="3" s="1"/>
  <c r="AB13" i="3" s="1"/>
  <c r="X13" i="3"/>
  <c r="P13" i="3"/>
  <c r="AA12" i="3"/>
  <c r="Y12" i="3"/>
  <c r="X12" i="3"/>
  <c r="Z12" i="3" s="1"/>
  <c r="AB12" i="3" s="1"/>
  <c r="P12" i="3"/>
  <c r="AA11" i="3"/>
  <c r="Z11" i="3"/>
  <c r="AB11" i="3" s="1"/>
  <c r="Y11" i="3"/>
  <c r="X11" i="3"/>
  <c r="P11" i="3"/>
  <c r="AA10" i="3"/>
  <c r="Y10" i="3"/>
  <c r="Z10" i="3" s="1"/>
  <c r="AB10" i="3" s="1"/>
  <c r="X10" i="3"/>
  <c r="P10" i="3"/>
  <c r="AA9" i="3"/>
  <c r="Z9" i="3"/>
  <c r="AB9" i="3" s="1"/>
  <c r="Y9" i="3"/>
  <c r="X9" i="3"/>
  <c r="P9" i="3"/>
  <c r="AA8" i="3"/>
  <c r="Y8" i="3"/>
  <c r="Z8" i="3" s="1"/>
  <c r="AB8" i="3" s="1"/>
  <c r="X8" i="3"/>
  <c r="P8" i="3"/>
  <c r="AA7" i="3"/>
  <c r="Y7" i="3"/>
  <c r="X7" i="3"/>
  <c r="Z7" i="3" s="1"/>
  <c r="AB7" i="3" s="1"/>
  <c r="P7" i="3"/>
  <c r="AA6" i="3"/>
  <c r="Y6" i="3"/>
  <c r="X6" i="3"/>
  <c r="Z6" i="3" s="1"/>
  <c r="AB6" i="3" s="1"/>
  <c r="P6" i="3"/>
  <c r="AA5" i="3"/>
  <c r="Y5" i="3"/>
  <c r="X5" i="3"/>
  <c r="Z5" i="3" s="1"/>
  <c r="AB5" i="3" s="1"/>
  <c r="P5" i="3"/>
  <c r="AA4" i="3"/>
  <c r="Y4" i="3"/>
  <c r="Z4" i="3" s="1"/>
  <c r="AB4" i="3" s="1"/>
  <c r="X4" i="3"/>
  <c r="P4" i="3"/>
  <c r="AA3" i="3"/>
  <c r="Z3" i="3"/>
  <c r="AB3" i="3" s="1"/>
  <c r="Y3" i="3"/>
  <c r="X3" i="3"/>
  <c r="P3" i="3"/>
  <c r="AA2" i="3"/>
  <c r="Y2" i="3"/>
  <c r="X2" i="3"/>
  <c r="Z2" i="3" s="1"/>
  <c r="AB2" i="3" s="1"/>
  <c r="P2" i="3"/>
  <c r="R36" i="9" a="1"/>
  <c r="U35" i="9" a="1"/>
  <c r="R39" i="9" a="1"/>
  <c r="U38" i="9" a="1"/>
  <c r="T35" i="9" a="1"/>
  <c r="R33" i="9" a="1"/>
  <c r="U32" i="9" a="1"/>
  <c r="Q31" i="9" a="1"/>
  <c r="T30" i="9" a="1"/>
  <c r="R21" i="9" a="1"/>
  <c r="U20" i="9" a="1"/>
  <c r="Q19" i="9" a="1"/>
  <c r="T18" i="9" a="1"/>
  <c r="R9" i="9" a="1"/>
  <c r="U8" i="9" a="1"/>
  <c r="Q7" i="9" a="1"/>
  <c r="T6" i="9" a="1"/>
  <c r="Q16" i="9" a="1"/>
  <c r="T44" i="9" a="1"/>
  <c r="Q42" i="9" a="1"/>
  <c r="T41" i="9" a="1"/>
  <c r="Q36" i="9" a="1"/>
  <c r="R28" i="9" a="1"/>
  <c r="U27" i="9" a="1"/>
  <c r="Q26" i="9" a="1"/>
  <c r="T25" i="9" a="1"/>
  <c r="R16" i="9" a="1"/>
  <c r="U15" i="9" a="1"/>
  <c r="Q14" i="9" a="1"/>
  <c r="T13" i="9" a="1"/>
  <c r="R2" i="9" a="1"/>
  <c r="T15" i="9" a="1"/>
  <c r="Q39" i="9" a="1"/>
  <c r="T38" i="9" a="1"/>
  <c r="U34" i="9" a="1"/>
  <c r="Q33" i="9" a="1"/>
  <c r="T32" i="9" a="1"/>
  <c r="R23" i="9" a="1"/>
  <c r="U22" i="9" a="1"/>
  <c r="Q21" i="9" a="1"/>
  <c r="T20" i="9" a="1"/>
  <c r="R11" i="9" a="1"/>
  <c r="U10" i="9" a="1"/>
  <c r="Q9" i="9" a="1"/>
  <c r="T8" i="9" a="1"/>
  <c r="R4" i="9" a="1"/>
  <c r="U3" i="9" a="1"/>
  <c r="U17" i="9" a="1"/>
  <c r="U43" i="9" a="1"/>
  <c r="U40" i="9" a="1"/>
  <c r="U37" i="9" a="1"/>
  <c r="R35" i="9" a="1"/>
  <c r="R30" i="9" a="1"/>
  <c r="U29" i="9" a="1"/>
  <c r="Q28" i="9" a="1"/>
  <c r="T27" i="9" a="1"/>
  <c r="R18" i="9" a="1"/>
  <c r="R44" i="9" a="1"/>
  <c r="R41" i="9" a="1"/>
  <c r="T40" i="9" a="1"/>
  <c r="R38" i="9" a="1"/>
  <c r="T34" i="9" a="1"/>
  <c r="R25" i="9" a="1"/>
  <c r="U24" i="9" a="1"/>
  <c r="Q23" i="9" a="1"/>
  <c r="T22" i="9" a="1"/>
  <c r="R13" i="9" a="1"/>
  <c r="U12" i="9" a="1"/>
  <c r="Q11" i="9" a="1"/>
  <c r="T10" i="9" a="1"/>
  <c r="Q4" i="9" a="1"/>
  <c r="T3" i="9" a="1"/>
  <c r="T43" i="9" a="1"/>
  <c r="Q41" i="9" a="1"/>
  <c r="T37" i="9" a="1"/>
  <c r="Q35" i="9" a="1"/>
  <c r="Q44" i="9" a="1"/>
  <c r="U42" i="9" a="1"/>
  <c r="Q38" i="9" a="1"/>
  <c r="R27" i="9" a="1"/>
  <c r="U26" i="9" a="1"/>
  <c r="Q25" i="9" a="1"/>
  <c r="T24" i="9" a="1"/>
  <c r="R15" i="9" a="1"/>
  <c r="U14" i="9" a="1"/>
  <c r="Q13" i="9" a="1"/>
  <c r="T12" i="9" a="1"/>
  <c r="R43" i="9" a="1"/>
  <c r="R40" i="9" a="1"/>
  <c r="U39" i="9" a="1"/>
  <c r="U36" i="9" a="1"/>
  <c r="R34" i="9" a="1"/>
  <c r="T42" i="9" a="1"/>
  <c r="R37" i="9" a="1"/>
  <c r="R29" i="9" a="1"/>
  <c r="U28" i="9" a="1"/>
  <c r="Q27" i="9" a="1"/>
  <c r="T26" i="9" a="1"/>
  <c r="R17" i="9" a="1"/>
  <c r="U16" i="9" a="1"/>
  <c r="Q15" i="9" a="1"/>
  <c r="T14" i="9" a="1"/>
  <c r="R5" i="9" a="1"/>
  <c r="U2" i="9" a="1"/>
  <c r="Q43" i="9" a="1"/>
  <c r="Q40" i="9" a="1"/>
  <c r="T39" i="9" a="1"/>
  <c r="T36" i="9" a="1"/>
  <c r="Q34" i="9" a="1"/>
  <c r="T33" i="9" a="1"/>
  <c r="R24" i="9" a="1"/>
  <c r="U23" i="9" a="1"/>
  <c r="Q22" i="9" a="1"/>
  <c r="T21" i="9" a="1"/>
  <c r="R12" i="9" a="1"/>
  <c r="U11" i="9" a="1"/>
  <c r="Q10" i="9" a="1"/>
  <c r="T9" i="9" a="1"/>
  <c r="U4" i="9" a="1"/>
  <c r="Q3" i="9" a="1"/>
  <c r="Q37" i="9" a="1"/>
  <c r="R31" i="9" a="1"/>
  <c r="U30" i="9" a="1"/>
  <c r="Q29" i="9" a="1"/>
  <c r="T28" i="9" a="1"/>
  <c r="R19" i="9" a="1"/>
  <c r="U18" i="9" a="1"/>
  <c r="Q17" i="9" a="1"/>
  <c r="T16" i="9" a="1"/>
  <c r="R7" i="9" a="1"/>
  <c r="U6" i="9" a="1"/>
  <c r="Q5" i="9" a="1"/>
  <c r="T2" i="9" a="1"/>
  <c r="U44" i="9" a="1"/>
  <c r="R42" i="9" a="1"/>
  <c r="U41" i="9" a="1"/>
  <c r="R26" i="9" a="1"/>
  <c r="U25" i="9" a="1"/>
  <c r="Q24" i="9" a="1"/>
  <c r="T23" i="9" a="1"/>
  <c r="R14" i="9" a="1"/>
  <c r="U13" i="9" a="1"/>
  <c r="Q12" i="9" a="1"/>
  <c r="T11" i="9" a="1"/>
  <c r="T4" i="9" a="1"/>
  <c r="U7" i="9" a="1"/>
  <c r="U33" i="9" a="1"/>
  <c r="U9" i="9" a="1"/>
  <c r="R3" i="9" a="1"/>
  <c r="T31" i="9" a="1"/>
  <c r="T29" i="9" a="1"/>
  <c r="U21" i="9" a="1"/>
  <c r="T7" i="9" a="1"/>
  <c r="Q20" i="9" a="1"/>
  <c r="U19" i="9" a="1"/>
  <c r="Q18" i="9" a="1"/>
  <c r="Q6" i="9" a="1"/>
  <c r="U31" i="9" a="1"/>
  <c r="T19" i="9" a="1"/>
  <c r="R10" i="9" a="1"/>
  <c r="R32" i="9" a="1"/>
  <c r="T17" i="9" a="1"/>
  <c r="U5" i="9" a="1"/>
  <c r="Q32" i="9" a="1"/>
  <c r="Q30" i="9" a="1"/>
  <c r="R8" i="9" a="1"/>
  <c r="T5" i="9" a="1"/>
  <c r="Q8" i="9" a="1"/>
  <c r="Q2" i="9" a="1"/>
  <c r="R22" i="9" a="1"/>
  <c r="R20" i="9" a="1"/>
  <c r="R6" i="9" a="1"/>
  <c r="R41" i="8" a="1"/>
  <c r="U40" i="8" a="1"/>
  <c r="Q39" i="8" a="1"/>
  <c r="T38" i="8" a="1"/>
  <c r="R44" i="8" a="1"/>
  <c r="U43" i="8" a="1"/>
  <c r="T40" i="8" a="1"/>
  <c r="Q38" i="8" a="1"/>
  <c r="T37" i="8" a="1"/>
  <c r="Q35" i="8" a="1"/>
  <c r="T34" i="8" a="1"/>
  <c r="R25" i="8" a="1"/>
  <c r="U24" i="8" a="1"/>
  <c r="Q23" i="8" a="1"/>
  <c r="T22" i="8" a="1"/>
  <c r="R13" i="8" a="1"/>
  <c r="U12" i="8" a="1"/>
  <c r="Q11" i="8" a="1"/>
  <c r="T10" i="8" a="1"/>
  <c r="Q41" i="8" a="1"/>
  <c r="R32" i="8" a="1"/>
  <c r="Q44" i="8" a="1"/>
  <c r="T43" i="8" a="1"/>
  <c r="U39" i="8" a="1"/>
  <c r="U36" i="8" a="1"/>
  <c r="R27" i="8" a="1"/>
  <c r="U26" i="8" a="1"/>
  <c r="Q25" i="8" a="1"/>
  <c r="T24" i="8" a="1"/>
  <c r="R15" i="8" a="1"/>
  <c r="U14" i="8" a="1"/>
  <c r="Q13" i="8" a="1"/>
  <c r="T12" i="8" a="1"/>
  <c r="R42" i="8" a="1"/>
  <c r="Q36" i="8" a="1"/>
  <c r="R33" i="8" a="1"/>
  <c r="U32" i="8" a="1"/>
  <c r="Q42" i="8" a="1"/>
  <c r="R38" i="8" a="1"/>
  <c r="U37" i="8" a="1"/>
  <c r="R35" i="8" a="1"/>
  <c r="U34" i="8" a="1"/>
  <c r="Q33" i="8" a="1"/>
  <c r="U45" i="8" a="1"/>
  <c r="T42" i="8" a="1"/>
  <c r="Q40" i="8" a="1"/>
  <c r="U31" i="8" a="1"/>
  <c r="T28" i="8" a="1"/>
  <c r="R24" i="8" a="1"/>
  <c r="R20" i="8" a="1"/>
  <c r="U15" i="8" a="1"/>
  <c r="Q12" i="8" a="1"/>
  <c r="U10" i="8" a="1"/>
  <c r="Q4" i="8" a="1"/>
  <c r="T3" i="8" a="1"/>
  <c r="Q6" i="8" a="1"/>
  <c r="T5" i="8" a="1"/>
  <c r="T18" i="8" a="1"/>
  <c r="U13" i="8" a="1"/>
  <c r="R5" i="8" a="1"/>
  <c r="T45" i="8" a="1"/>
  <c r="U44" i="8" a="1"/>
  <c r="R43" i="8" a="1"/>
  <c r="T33" i="8" a="1"/>
  <c r="T32" i="8" a="1"/>
  <c r="T31" i="8" a="1"/>
  <c r="Q29" i="8" a="1"/>
  <c r="T23" i="8" a="1"/>
  <c r="Q20" i="8" a="1"/>
  <c r="R16" i="8" a="1"/>
  <c r="R8" i="8" a="1"/>
  <c r="U7" i="8" a="1"/>
  <c r="T44" i="8" a="1"/>
  <c r="U35" i="8" a="1"/>
  <c r="U27" i="8" a="1"/>
  <c r="Q24" i="8" a="1"/>
  <c r="U22" i="8" a="1"/>
  <c r="R19" i="8" a="1"/>
  <c r="U18" i="8" a="1"/>
  <c r="T15" i="8" a="1"/>
  <c r="R11" i="8" a="1"/>
  <c r="T14" i="8" a="1"/>
  <c r="R10" i="8" a="1"/>
  <c r="U9" i="8" a="1"/>
  <c r="Q8" i="8" a="1"/>
  <c r="T7" i="8" a="1"/>
  <c r="R3" i="8" a="1"/>
  <c r="Q19" i="8" a="1"/>
  <c r="U2" i="8" a="1"/>
  <c r="Q43" i="8" a="1"/>
  <c r="R34" i="8" a="1"/>
  <c r="Q32" i="8" a="1"/>
  <c r="R28" i="8" a="1"/>
  <c r="Q16" i="8" a="1"/>
  <c r="R45" i="8" a="1"/>
  <c r="T36" i="8" a="1"/>
  <c r="T35" i="8" a="1"/>
  <c r="R31" i="8" a="1"/>
  <c r="U30" i="8" a="1"/>
  <c r="T27" i="8" a="1"/>
  <c r="Q45" i="8" a="1"/>
  <c r="Q34" i="8" a="1"/>
  <c r="Q28" i="8" a="1"/>
  <c r="T26" i="8" a="1"/>
  <c r="R22" i="8" a="1"/>
  <c r="Q15" i="8" a="1"/>
  <c r="Q10" i="8" a="1"/>
  <c r="T9" i="8" a="1"/>
  <c r="U4" i="8" a="1"/>
  <c r="Q3" i="8" a="1"/>
  <c r="U38" i="8" a="1"/>
  <c r="R37" i="8" a="1"/>
  <c r="R36" i="8" a="1"/>
  <c r="Q31" i="8" a="1"/>
  <c r="T30" i="8" a="1"/>
  <c r="U25" i="8" a="1"/>
  <c r="T21" i="8" a="1"/>
  <c r="U17" i="8" a="1"/>
  <c r="R14" i="8" a="1"/>
  <c r="T13" i="8" a="1"/>
  <c r="R7" i="8" a="1"/>
  <c r="U6" i="8" a="1"/>
  <c r="Q5" i="8" a="1"/>
  <c r="T2" i="8" a="1"/>
  <c r="U21" i="8" a="1"/>
  <c r="T39" i="8" a="1"/>
  <c r="Q27" i="8" a="1"/>
  <c r="Q22" i="8" a="1"/>
  <c r="R18" i="8" a="1"/>
  <c r="T17" i="8" a="1"/>
  <c r="T4" i="8" a="1"/>
  <c r="Q37" i="8" a="1"/>
  <c r="U29" i="8" a="1"/>
  <c r="R26" i="8" a="1"/>
  <c r="T25" i="8" a="1"/>
  <c r="U20" i="8" a="1"/>
  <c r="Q18" i="8" a="1"/>
  <c r="U16" i="8" a="1"/>
  <c r="Q14" i="8" a="1"/>
  <c r="R9" i="8" a="1"/>
  <c r="U8" i="8" a="1"/>
  <c r="Q7" i="8" a="1"/>
  <c r="T6" i="8" a="1"/>
  <c r="R30" i="8" a="1"/>
  <c r="T29" i="8" a="1"/>
  <c r="R21" i="8" a="1"/>
  <c r="R17" i="8" a="1"/>
  <c r="U11" i="8" a="1"/>
  <c r="R2" i="8" a="1"/>
  <c r="R39" i="8" a="1"/>
  <c r="Q30" i="8" a="1"/>
  <c r="U28" i="8" a="1"/>
  <c r="Q26" i="8" a="1"/>
  <c r="T20" i="8" a="1"/>
  <c r="U19" i="8" a="1"/>
  <c r="T16" i="8" a="1"/>
  <c r="R12" i="8" a="1"/>
  <c r="Q9" i="8" a="1"/>
  <c r="T8" i="8" a="1"/>
  <c r="R4" i="8" a="1"/>
  <c r="U3" i="8" a="1"/>
  <c r="R23" i="8" a="1"/>
  <c r="U42" i="8" a="1"/>
  <c r="U41" i="8" a="1"/>
  <c r="R40" i="8" a="1"/>
  <c r="T41" i="8" a="1"/>
  <c r="U33" i="8" a="1"/>
  <c r="R29" i="8" a="1"/>
  <c r="U23" i="8" a="1"/>
  <c r="Q21" i="8" a="1"/>
  <c r="T19" i="8" a="1"/>
  <c r="Q17" i="8" a="1"/>
  <c r="T11" i="8" a="1"/>
  <c r="R6" i="8" a="1"/>
  <c r="U5" i="8" a="1"/>
  <c r="Q2" i="8" a="1"/>
  <c r="R55" i="7" a="1"/>
  <c r="U54" i="7" a="1"/>
  <c r="Q53" i="7" a="1"/>
  <c r="T52" i="7" a="1"/>
  <c r="R43" i="7" a="1"/>
  <c r="U42" i="7" a="1"/>
  <c r="Q41" i="7" a="1"/>
  <c r="T40" i="7" a="1"/>
  <c r="U61" i="7" a="1"/>
  <c r="Q60" i="7" a="1"/>
  <c r="R56" i="7" a="1"/>
  <c r="U55" i="7" a="1"/>
  <c r="Q54" i="7" a="1"/>
  <c r="T53" i="7" a="1"/>
  <c r="R58" i="7" a="1"/>
  <c r="R53" i="7" a="1"/>
  <c r="T49" i="7" a="1"/>
  <c r="R44" i="7" a="1"/>
  <c r="Q38" i="7" a="1"/>
  <c r="Q35" i="7" a="1"/>
  <c r="T34" i="7" a="1"/>
  <c r="R32" i="7" a="1"/>
  <c r="U31" i="7" a="1"/>
  <c r="Q30" i="7" a="1"/>
  <c r="T29" i="7" a="1"/>
  <c r="R20" i="7" a="1"/>
  <c r="U19" i="7" a="1"/>
  <c r="Q18" i="7" a="1"/>
  <c r="T17" i="7" a="1"/>
  <c r="R8" i="7" a="1"/>
  <c r="U7" i="7" a="1"/>
  <c r="Q6" i="7" a="1"/>
  <c r="T5" i="7" a="1"/>
  <c r="T61" i="7" a="1"/>
  <c r="T57" i="7" a="1"/>
  <c r="U56" i="7" a="1"/>
  <c r="Q50" i="7" a="1"/>
  <c r="U60" i="7" a="1"/>
  <c r="Q58" i="7" a="1"/>
  <c r="Q44" i="7" a="1"/>
  <c r="R40" i="7" a="1"/>
  <c r="U39" i="7" a="1"/>
  <c r="R37" i="7" a="1"/>
  <c r="U36" i="7" a="1"/>
  <c r="Q32" i="7" a="1"/>
  <c r="T31" i="7" a="1"/>
  <c r="R22" i="7" a="1"/>
  <c r="U21" i="7" a="1"/>
  <c r="Q20" i="7" a="1"/>
  <c r="T60" i="7" a="1"/>
  <c r="R57" i="7" a="1"/>
  <c r="R61" i="7" a="1"/>
  <c r="U59" i="7" a="1"/>
  <c r="R46" i="7" a="1"/>
  <c r="U45" i="7" a="1"/>
  <c r="T42" i="7" a="1"/>
  <c r="Q40" i="7" a="1"/>
  <c r="T39" i="7" a="1"/>
  <c r="Q37" i="7" a="1"/>
  <c r="Q61" i="7" a="1"/>
  <c r="T59" i="7" a="1"/>
  <c r="Q57" i="7" a="1"/>
  <c r="T55" i="7" a="1"/>
  <c r="Q52" i="7" a="1"/>
  <c r="T51" i="7" a="1"/>
  <c r="Q49" i="7" a="1"/>
  <c r="T48" i="7" a="1"/>
  <c r="Q43" i="7" a="1"/>
  <c r="Q34" i="7" a="1"/>
  <c r="T33" i="7" a="1"/>
  <c r="R31" i="7" a="1"/>
  <c r="U30" i="7" a="1"/>
  <c r="Q29" i="7" a="1"/>
  <c r="T28" i="7" a="1"/>
  <c r="R60" i="7" a="1"/>
  <c r="Q46" i="7" a="1"/>
  <c r="T45" i="7" a="1"/>
  <c r="U41" i="7" a="1"/>
  <c r="U38" i="7" a="1"/>
  <c r="U35" i="7" a="1"/>
  <c r="R26" i="7" a="1"/>
  <c r="U25" i="7" a="1"/>
  <c r="Q24" i="7" a="1"/>
  <c r="T23" i="7" a="1"/>
  <c r="Q56" i="7" a="1"/>
  <c r="T54" i="7" a="1"/>
  <c r="R59" i="7" a="1"/>
  <c r="U58" i="7" a="1"/>
  <c r="U53" i="7" a="1"/>
  <c r="R51" i="7" a="1"/>
  <c r="R48" i="7" a="1"/>
  <c r="T47" i="7" a="1"/>
  <c r="R45" i="7" a="1"/>
  <c r="T41" i="7" a="1"/>
  <c r="T38" i="7" a="1"/>
  <c r="Q36" i="7" a="1"/>
  <c r="Q59" i="7" a="1"/>
  <c r="T58" i="7" a="1"/>
  <c r="R54" i="7" a="1"/>
  <c r="Q51" i="7" a="1"/>
  <c r="U49" i="7" a="1"/>
  <c r="Q45" i="7" a="1"/>
  <c r="U40" i="7" a="1"/>
  <c r="R38" i="7" a="1"/>
  <c r="R35" i="7" a="1"/>
  <c r="U34" i="7" a="1"/>
  <c r="R30" i="7" a="1"/>
  <c r="U29" i="7" a="1"/>
  <c r="Q28" i="7" a="1"/>
  <c r="T27" i="7" a="1"/>
  <c r="R18" i="7" a="1"/>
  <c r="U17" i="7" a="1"/>
  <c r="Q16" i="7" a="1"/>
  <c r="T15" i="7" a="1"/>
  <c r="R6" i="7" a="1"/>
  <c r="U5" i="7" a="1"/>
  <c r="Q2" i="7" a="1"/>
  <c r="U57" i="7" a="1"/>
  <c r="U52" i="7" a="1"/>
  <c r="R50" i="7" a="1"/>
  <c r="R47" i="7" a="1"/>
  <c r="U47" i="7" a="1"/>
  <c r="U43" i="7" a="1"/>
  <c r="Q33" i="7" a="1"/>
  <c r="R21" i="7" a="1"/>
  <c r="T20" i="7" a="1"/>
  <c r="T19" i="7" a="1"/>
  <c r="R15" i="7" a="1"/>
  <c r="Q8" i="7" a="1"/>
  <c r="R3" i="7" a="1"/>
  <c r="U2" i="7" a="1"/>
  <c r="T56" i="7" a="1"/>
  <c r="T43" i="7" a="1"/>
  <c r="R39" i="7" a="1"/>
  <c r="R34" i="7" a="1"/>
  <c r="U18" i="7" a="1"/>
  <c r="T14" i="7" a="1"/>
  <c r="U10" i="7" a="1"/>
  <c r="R7" i="7" a="1"/>
  <c r="T6" i="7" a="1"/>
  <c r="R52" i="7" a="1"/>
  <c r="Q47" i="7" a="1"/>
  <c r="Q39" i="7" a="1"/>
  <c r="T35" i="7" a="1"/>
  <c r="U28" i="7" a="1"/>
  <c r="U27" i="7" a="1"/>
  <c r="U26" i="7" a="1"/>
  <c r="Q21" i="7" a="1"/>
  <c r="Q15" i="7" a="1"/>
  <c r="R11" i="7" a="1"/>
  <c r="T10" i="7" a="1"/>
  <c r="Q3" i="7" a="1"/>
  <c r="T2" i="7" a="1"/>
  <c r="U50" i="7" a="1"/>
  <c r="U44" i="7" a="1"/>
  <c r="T26" i="7" a="1"/>
  <c r="R19" i="7" a="1"/>
  <c r="T18" i="7" a="1"/>
  <c r="U13" i="7" a="1"/>
  <c r="Q11" i="7" a="1"/>
  <c r="U9" i="7" a="1"/>
  <c r="Q7" i="7" a="1"/>
  <c r="T8" i="7" a="1"/>
  <c r="T50" i="7" a="1"/>
  <c r="T44" i="7" a="1"/>
  <c r="T30" i="7" a="1"/>
  <c r="U24" i="7" a="1"/>
  <c r="R14" i="7" a="1"/>
  <c r="R10" i="7" a="1"/>
  <c r="U48" i="7" a="1"/>
  <c r="U37" i="7" a="1"/>
  <c r="T36" i="7" a="1"/>
  <c r="R29" i="7" a="1"/>
  <c r="R28" i="7" a="1"/>
  <c r="R27" i="7" a="1"/>
  <c r="T25" i="7" a="1"/>
  <c r="T24" i="7" a="1"/>
  <c r="U23" i="7" a="1"/>
  <c r="Q19" i="7" a="1"/>
  <c r="T13" i="7" a="1"/>
  <c r="U12" i="7" a="1"/>
  <c r="T9" i="7" a="1"/>
  <c r="R5" i="7" a="1"/>
  <c r="U4" i="7" a="1"/>
  <c r="R2" i="7" a="1"/>
  <c r="T37" i="7" a="1"/>
  <c r="R36" i="7" a="1"/>
  <c r="U32" i="7" a="1"/>
  <c r="Q27" i="7" a="1"/>
  <c r="U16" i="7" a="1"/>
  <c r="Q14" i="7" a="1"/>
  <c r="T12" i="7" a="1"/>
  <c r="Q10" i="7" a="1"/>
  <c r="R17" i="7" a="1"/>
  <c r="R13" i="7" a="1"/>
  <c r="U8" i="7" a="1"/>
  <c r="Q5" i="7" a="1"/>
  <c r="T4" i="7" a="1"/>
  <c r="U11" i="7" a="1"/>
  <c r="U3" i="7" a="1"/>
  <c r="Q48" i="7" a="1"/>
  <c r="R41" i="7" a="1"/>
  <c r="T32" i="7" a="1"/>
  <c r="Q26" i="7" a="1"/>
  <c r="R25" i="7" a="1"/>
  <c r="R24" i="7" a="1"/>
  <c r="U22" i="7" a="1"/>
  <c r="Q55" i="7" a="1"/>
  <c r="U51" i="7" a="1"/>
  <c r="Q31" i="7" a="1"/>
  <c r="Q25" i="7" a="1"/>
  <c r="T22" i="7" a="1"/>
  <c r="T16" i="7" a="1"/>
  <c r="Q13" i="7" a="1"/>
  <c r="R9" i="7" a="1"/>
  <c r="U46" i="7" a="1"/>
  <c r="U33" i="7" a="1"/>
  <c r="R23" i="7" a="1"/>
  <c r="T21" i="7" a="1"/>
  <c r="Q17" i="7" a="1"/>
  <c r="U15" i="7" a="1"/>
  <c r="T46" i="7" a="1"/>
  <c r="R42" i="7" a="1"/>
  <c r="Q23" i="7" a="1"/>
  <c r="U20" i="7" a="1"/>
  <c r="Q9" i="7" a="1"/>
  <c r="T7" i="7" a="1"/>
  <c r="R4" i="7" a="1"/>
  <c r="T3" i="7" a="1"/>
  <c r="R12" i="7" a="1"/>
  <c r="R49" i="7" a="1"/>
  <c r="Q42" i="7" a="1"/>
  <c r="R33" i="7" a="1"/>
  <c r="Q22" i="7" a="1"/>
  <c r="R16" i="7" a="1"/>
  <c r="U14" i="7" a="1"/>
  <c r="Q12" i="7" a="1"/>
  <c r="T11" i="7" a="1"/>
  <c r="U6" i="7" a="1"/>
  <c r="Q4" i="7" a="1"/>
  <c r="R43" i="6" a="1"/>
  <c r="T44" i="6" a="1"/>
  <c r="R35" i="6" a="1"/>
  <c r="U34" i="6" a="1"/>
  <c r="U43" i="6" a="1"/>
  <c r="R38" i="6" a="1"/>
  <c r="U37" i="6" a="1"/>
  <c r="T34" i="6" a="1"/>
  <c r="R25" i="6" a="1"/>
  <c r="U24" i="6" a="1"/>
  <c r="Q23" i="6" a="1"/>
  <c r="T22" i="6" a="1"/>
  <c r="R13" i="6" a="1"/>
  <c r="U12" i="6" a="1"/>
  <c r="Q11" i="6" a="1"/>
  <c r="T10" i="6" a="1"/>
  <c r="T42" i="6" a="1"/>
  <c r="Q40" i="6" a="1"/>
  <c r="T36" i="6" a="1"/>
  <c r="Q34" i="6" a="1"/>
  <c r="T33" i="6" a="1"/>
  <c r="R24" i="6" a="1"/>
  <c r="U23" i="6" a="1"/>
  <c r="Q22" i="6" a="1"/>
  <c r="T21" i="6" a="1"/>
  <c r="U44" i="6" a="1"/>
  <c r="T32" i="6" a="1"/>
  <c r="U31" i="6" a="1"/>
  <c r="Q29" i="6" a="1"/>
  <c r="R20" i="6" a="1"/>
  <c r="R17" i="6" a="1"/>
  <c r="U16" i="6" a="1"/>
  <c r="U13" i="6" a="1"/>
  <c r="R11" i="6" a="1"/>
  <c r="R8" i="6" a="1"/>
  <c r="U7" i="6" a="1"/>
  <c r="Q6" i="6" a="1"/>
  <c r="T5" i="6" a="1"/>
  <c r="Q39" i="6" a="1"/>
  <c r="T37" i="6" a="1"/>
  <c r="U36" i="6" a="1"/>
  <c r="Q33" i="6" a="1"/>
  <c r="Q25" i="6" a="1"/>
  <c r="T23" i="6" a="1"/>
  <c r="T19" i="6" a="1"/>
  <c r="R14" i="6" a="1"/>
  <c r="Q8" i="6" a="1"/>
  <c r="T7" i="6" a="1"/>
  <c r="R3" i="6" a="1"/>
  <c r="Q19" i="6" a="1"/>
  <c r="T43" i="6" a="1"/>
  <c r="U42" i="6" a="1"/>
  <c r="U41" i="6" a="1"/>
  <c r="U35" i="6" a="1"/>
  <c r="R32" i="6" a="1"/>
  <c r="T31" i="6" a="1"/>
  <c r="R28" i="6" a="1"/>
  <c r="U27" i="6" a="1"/>
  <c r="U22" i="6" a="1"/>
  <c r="Q20" i="6" a="1"/>
  <c r="Q17" i="6" a="1"/>
  <c r="T16" i="6" a="1"/>
  <c r="T13" i="6" a="1"/>
  <c r="R44" i="6" a="1"/>
  <c r="Q38" i="6" a="1"/>
  <c r="R37" i="6" a="1"/>
  <c r="U30" i="6" a="1"/>
  <c r="Q24" i="6" a="1"/>
  <c r="Q14" i="6" a="1"/>
  <c r="R10" i="6" a="1"/>
  <c r="U9" i="6" a="1"/>
  <c r="R5" i="6" a="1"/>
  <c r="U2" i="6" a="1"/>
  <c r="Q5" i="6" a="1"/>
  <c r="T2" i="6" a="1"/>
  <c r="R27" i="6" a="1"/>
  <c r="Q13" i="6" a="1"/>
  <c r="T41" i="6" a="1"/>
  <c r="Q37" i="6" a="1"/>
  <c r="T35" i="6" a="1"/>
  <c r="Q32" i="6" a="1"/>
  <c r="R31" i="6" a="1"/>
  <c r="Q28" i="6" a="1"/>
  <c r="T27" i="6" a="1"/>
  <c r="R23" i="6" a="1"/>
  <c r="R19" i="6" a="1"/>
  <c r="U18" i="6" a="1"/>
  <c r="U4" i="6" a="1"/>
  <c r="Q3" i="6" a="1"/>
  <c r="Q44" i="6" a="1"/>
  <c r="Q43" i="6" a="1"/>
  <c r="R42" i="6" a="1"/>
  <c r="R36" i="6" a="1"/>
  <c r="T30" i="6" a="1"/>
  <c r="U26" i="6" a="1"/>
  <c r="U21" i="6" a="1"/>
  <c r="R16" i="6" a="1"/>
  <c r="U15" i="6" a="1"/>
  <c r="T12" i="6" a="1"/>
  <c r="Q10" i="6" a="1"/>
  <c r="T9" i="6" a="1"/>
  <c r="R7" i="6" a="1"/>
  <c r="U6" i="6" a="1"/>
  <c r="Q42" i="6" a="1"/>
  <c r="R41" i="6" a="1"/>
  <c r="T40" i="6" a="1"/>
  <c r="Q36" i="6" a="1"/>
  <c r="Q35" i="6" a="1"/>
  <c r="U33" i="6" a="1"/>
  <c r="U29" i="6" a="1"/>
  <c r="T26" i="6" a="1"/>
  <c r="U25" i="6" a="1"/>
  <c r="Q16" i="6" a="1"/>
  <c r="T15" i="6" a="1"/>
  <c r="U11" i="6" a="1"/>
  <c r="U8" i="6" a="1"/>
  <c r="Q7" i="6" a="1"/>
  <c r="T6" i="6" a="1"/>
  <c r="Q41" i="6" a="1"/>
  <c r="U39" i="6" a="1"/>
  <c r="R34" i="6" a="1"/>
  <c r="R30" i="6" a="1"/>
  <c r="T29" i="6" a="1"/>
  <c r="Q27" i="6" a="1"/>
  <c r="U20" i="6" a="1"/>
  <c r="U17" i="6" a="1"/>
  <c r="U14" i="6" a="1"/>
  <c r="R12" i="6" a="1"/>
  <c r="R9" i="6" a="1"/>
  <c r="R2" i="6" a="1"/>
  <c r="R18" i="6" a="1"/>
  <c r="T17" i="6" a="1"/>
  <c r="R15" i="6" a="1"/>
  <c r="T11" i="6" a="1"/>
  <c r="T8" i="6" a="1"/>
  <c r="R4" i="6" a="1"/>
  <c r="U3" i="6" a="1"/>
  <c r="Q31" i="6" a="1"/>
  <c r="R22" i="6" a="1"/>
  <c r="T39" i="6" a="1"/>
  <c r="U38" i="6" a="1"/>
  <c r="Q30" i="6" a="1"/>
  <c r="R26" i="6" a="1"/>
  <c r="T25" i="6" a="1"/>
  <c r="R21" i="6" a="1"/>
  <c r="R40" i="6" a="1"/>
  <c r="U32" i="6" a="1"/>
  <c r="U28" i="6" a="1"/>
  <c r="T20" i="6" a="1"/>
  <c r="Q18" i="6" a="1"/>
  <c r="T14" i="6" a="1"/>
  <c r="Q12" i="6" a="1"/>
  <c r="Q9" i="6" a="1"/>
  <c r="R6" i="6" a="1"/>
  <c r="U5" i="6" a="1"/>
  <c r="Q2" i="6" a="1"/>
  <c r="R39" i="6" a="1"/>
  <c r="T38" i="6" a="1"/>
  <c r="R33" i="6" a="1"/>
  <c r="R29" i="6" a="1"/>
  <c r="T28" i="6" a="1"/>
  <c r="Q26" i="6" a="1"/>
  <c r="T24" i="6" a="1"/>
  <c r="Q21" i="6" a="1"/>
  <c r="U19" i="6" a="1"/>
  <c r="Q15" i="6" a="1"/>
  <c r="U10" i="6" a="1"/>
  <c r="Q4" i="6" a="1"/>
  <c r="T3" i="6" a="1"/>
  <c r="U40" i="6" a="1"/>
  <c r="T18" i="6" a="1"/>
  <c r="T4" i="6" a="1"/>
  <c r="T50" i="5" a="1"/>
  <c r="R41" i="5" a="1"/>
  <c r="U40" i="5" a="1"/>
  <c r="R43" i="5" a="1"/>
  <c r="U42" i="5" a="1"/>
  <c r="Q41" i="5" a="1"/>
  <c r="T40" i="5" a="1"/>
  <c r="Q50" i="5" a="1"/>
  <c r="R46" i="5" a="1"/>
  <c r="T45" i="5" a="1"/>
  <c r="T37" i="5" a="1"/>
  <c r="R25" i="5" a="1"/>
  <c r="U24" i="5" a="1"/>
  <c r="Q23" i="5" a="1"/>
  <c r="T22" i="5" a="1"/>
  <c r="R13" i="5" a="1"/>
  <c r="U12" i="5" a="1"/>
  <c r="Q11" i="5" a="1"/>
  <c r="U48" i="5" a="1"/>
  <c r="Q46" i="5" a="1"/>
  <c r="U44" i="5" a="1"/>
  <c r="Q42" i="5" a="1"/>
  <c r="Q38" i="5" a="1"/>
  <c r="Q35" i="5" a="1"/>
  <c r="T34" i="5" a="1"/>
  <c r="R32" i="5" a="1"/>
  <c r="U31" i="5" a="1"/>
  <c r="Q30" i="5" a="1"/>
  <c r="T29" i="5" a="1"/>
  <c r="R20" i="5" a="1"/>
  <c r="U19" i="5" a="1"/>
  <c r="Q18" i="5" a="1"/>
  <c r="T17" i="5" a="1"/>
  <c r="R8" i="5" a="1"/>
  <c r="R49" i="5" a="1"/>
  <c r="R45" i="5" a="1"/>
  <c r="R27" i="5" a="1"/>
  <c r="U26" i="5" a="1"/>
  <c r="Q25" i="5" a="1"/>
  <c r="T24" i="5" a="1"/>
  <c r="R15" i="5" a="1"/>
  <c r="U14" i="5" a="1"/>
  <c r="Q13" i="5" a="1"/>
  <c r="T12" i="5" a="1"/>
  <c r="T48" i="5" a="1"/>
  <c r="U47" i="5" a="1"/>
  <c r="T44" i="5" a="1"/>
  <c r="R40" i="5" a="1"/>
  <c r="U39" i="5" a="1"/>
  <c r="R37" i="5" a="1"/>
  <c r="U36" i="5" a="1"/>
  <c r="Q32" i="5" a="1"/>
  <c r="T31" i="5" a="1"/>
  <c r="R22" i="5" a="1"/>
  <c r="U21" i="5" a="1"/>
  <c r="Q20" i="5" a="1"/>
  <c r="T19" i="5" a="1"/>
  <c r="Q49" i="5" a="1"/>
  <c r="T47" i="5" a="1"/>
  <c r="Q45" i="5" a="1"/>
  <c r="R34" i="5" a="1"/>
  <c r="U33" i="5" a="1"/>
  <c r="R29" i="5" a="1"/>
  <c r="U28" i="5" a="1"/>
  <c r="Q27" i="5" a="1"/>
  <c r="R48" i="5" a="1"/>
  <c r="U43" i="5" a="1"/>
  <c r="Q40" i="5" a="1"/>
  <c r="T39" i="5" a="1"/>
  <c r="Q48" i="5" a="1"/>
  <c r="R44" i="5" a="1"/>
  <c r="Q34" i="5" a="1"/>
  <c r="T33" i="5" a="1"/>
  <c r="U50" i="5" a="1"/>
  <c r="R47" i="5" a="1"/>
  <c r="U46" i="5" a="1"/>
  <c r="T43" i="5" a="1"/>
  <c r="U38" i="5" a="1"/>
  <c r="U35" i="5" a="1"/>
  <c r="R26" i="5" a="1"/>
  <c r="U25" i="5" a="1"/>
  <c r="Q24" i="5" a="1"/>
  <c r="T23" i="5" a="1"/>
  <c r="R14" i="5" a="1"/>
  <c r="U13" i="5" a="1"/>
  <c r="Q12" i="5" a="1"/>
  <c r="Q44" i="5" a="1"/>
  <c r="T42" i="5" a="1"/>
  <c r="R39" i="5" a="1"/>
  <c r="R36" i="5" a="1"/>
  <c r="T35" i="5" a="1"/>
  <c r="R33" i="5" a="1"/>
  <c r="U32" i="5" a="1"/>
  <c r="Q31" i="5" a="1"/>
  <c r="U49" i="5" a="1"/>
  <c r="Q47" i="5" a="1"/>
  <c r="R50" i="5" a="1"/>
  <c r="Q43" i="5" a="1"/>
  <c r="Q39" i="5" a="1"/>
  <c r="U37" i="5" a="1"/>
  <c r="Q33" i="5" a="1"/>
  <c r="T32" i="5" a="1"/>
  <c r="R23" i="5" a="1"/>
  <c r="U22" i="5" a="1"/>
  <c r="Q21" i="5" a="1"/>
  <c r="T20" i="5" a="1"/>
  <c r="R11" i="5" a="1"/>
  <c r="U10" i="5" a="1"/>
  <c r="Q9" i="5" a="1"/>
  <c r="T8" i="5" a="1"/>
  <c r="R4" i="5" a="1"/>
  <c r="U3" i="5" a="1"/>
  <c r="T49" i="5" a="1"/>
  <c r="U45" i="5" a="1"/>
  <c r="R42" i="5" a="1"/>
  <c r="T41" i="5" a="1"/>
  <c r="R38" i="5" a="1"/>
  <c r="R35" i="5" a="1"/>
  <c r="U34" i="5" a="1"/>
  <c r="R30" i="5" a="1"/>
  <c r="U29" i="5" a="1"/>
  <c r="Q28" i="5" a="1"/>
  <c r="T27" i="5" a="1"/>
  <c r="Q29" i="5" a="1"/>
  <c r="T26" i="5" a="1"/>
  <c r="T25" i="5" a="1"/>
  <c r="R19" i="5" a="1"/>
  <c r="R18" i="5" a="1"/>
  <c r="T16" i="5" a="1"/>
  <c r="Q10" i="5" a="1"/>
  <c r="R9" i="5" a="1"/>
  <c r="U7" i="5" a="1"/>
  <c r="Q5" i="5" a="1"/>
  <c r="T4" i="5" a="1"/>
  <c r="Q36" i="5" a="1"/>
  <c r="U16" i="5" a="1"/>
  <c r="U4" i="5" a="1"/>
  <c r="T15" i="5" a="1"/>
  <c r="Q19" i="5" a="1"/>
  <c r="Q17" i="5" a="1"/>
  <c r="Q15" i="5" a="1"/>
  <c r="Q14" i="5" a="1"/>
  <c r="T7" i="5" a="1"/>
  <c r="U15" i="5" a="1"/>
  <c r="U30" i="5" a="1"/>
  <c r="T21" i="5" a="1"/>
  <c r="R16" i="5" a="1"/>
  <c r="Q8" i="5" a="1"/>
  <c r="T3" i="5" a="1"/>
  <c r="T13" i="5" a="1"/>
  <c r="R5" i="5" a="1"/>
  <c r="R28" i="5" a="1"/>
  <c r="T30" i="5" a="1"/>
  <c r="Q16" i="5" a="1"/>
  <c r="U6" i="5" a="1"/>
  <c r="U2" i="5" a="1"/>
  <c r="U8" i="5" a="1"/>
  <c r="Q37" i="5" a="1"/>
  <c r="Q26" i="5" a="1"/>
  <c r="R21" i="5" a="1"/>
  <c r="R7" i="5" a="1"/>
  <c r="Q4" i="5" a="1"/>
  <c r="R3" i="5" a="1"/>
  <c r="R17" i="5" a="1"/>
  <c r="U27" i="5" a="1"/>
  <c r="U23" i="5" a="1"/>
  <c r="T6" i="5" a="1"/>
  <c r="T2" i="5" a="1"/>
  <c r="T46" i="5" a="1"/>
  <c r="U11" i="5" a="1"/>
  <c r="Q7" i="5" a="1"/>
  <c r="U5" i="5" a="1"/>
  <c r="Q3" i="5" a="1"/>
  <c r="R10" i="5" a="1"/>
  <c r="Q22" i="5" a="1"/>
  <c r="U9" i="5" a="1"/>
  <c r="R6" i="5" a="1"/>
  <c r="U41" i="5" a="1"/>
  <c r="R31" i="5" a="1"/>
  <c r="T11" i="5" a="1"/>
  <c r="T5" i="5" a="1"/>
  <c r="R2" i="5" a="1"/>
  <c r="T36" i="5" a="1"/>
  <c r="T28" i="5" a="1"/>
  <c r="R24" i="5" a="1"/>
  <c r="U18" i="5" a="1"/>
  <c r="U17" i="5" a="1"/>
  <c r="T14" i="5" a="1"/>
  <c r="R12" i="5" a="1"/>
  <c r="T10" i="5" a="1"/>
  <c r="T9" i="5" a="1"/>
  <c r="Q6" i="5" a="1"/>
  <c r="Q2" i="5" a="1"/>
  <c r="T38" i="5" a="1"/>
  <c r="T18" i="5" a="1"/>
  <c r="U20" i="5" a="1"/>
  <c r="R67" i="4" a="1"/>
  <c r="U66" i="4" a="1"/>
  <c r="Q65" i="4" a="1"/>
  <c r="T64" i="4" a="1"/>
  <c r="R55" i="4" a="1"/>
  <c r="U54" i="4" a="1"/>
  <c r="Q53" i="4" a="1"/>
  <c r="T52" i="4" a="1"/>
  <c r="R43" i="4" a="1"/>
  <c r="U42" i="4" a="1"/>
  <c r="Q41" i="4" a="1"/>
  <c r="T40" i="4" a="1"/>
  <c r="R71" i="4" a="1"/>
  <c r="U70" i="4" a="1"/>
  <c r="Q69" i="4" a="1"/>
  <c r="T68" i="4" a="1"/>
  <c r="R59" i="4" a="1"/>
  <c r="U58" i="4" a="1"/>
  <c r="Q57" i="4" a="1"/>
  <c r="T56" i="4" a="1"/>
  <c r="T75" i="4" a="1"/>
  <c r="R66" i="4" a="1"/>
  <c r="U65" i="4" a="1"/>
  <c r="Q64" i="4" a="1"/>
  <c r="T63" i="4" a="1"/>
  <c r="R73" i="4" a="1"/>
  <c r="U72" i="4" a="1"/>
  <c r="Q71" i="4" a="1"/>
  <c r="Q75" i="4" a="1"/>
  <c r="R74" i="4" a="1"/>
  <c r="R64" i="4" a="1"/>
  <c r="U62" i="4" a="1"/>
  <c r="Q60" i="4" a="1"/>
  <c r="T54" i="4" a="1"/>
  <c r="Q73" i="4" a="1"/>
  <c r="R72" i="4" a="1"/>
  <c r="U69" i="4" a="1"/>
  <c r="R63" i="4" a="1"/>
  <c r="T58" i="4" a="1"/>
  <c r="Q51" i="4" a="1"/>
  <c r="U49" i="4" a="1"/>
  <c r="R44" i="4" a="1"/>
  <c r="Q38" i="4" a="1"/>
  <c r="Q35" i="4" a="1"/>
  <c r="T34" i="4" a="1"/>
  <c r="R32" i="4" a="1"/>
  <c r="U31" i="4" a="1"/>
  <c r="Q30" i="4" a="1"/>
  <c r="T29" i="4" a="1"/>
  <c r="Q74" i="4" a="1"/>
  <c r="Q72" i="4" a="1"/>
  <c r="R70" i="4" a="1"/>
  <c r="T62" i="4" a="1"/>
  <c r="Q59" i="4" a="1"/>
  <c r="Q55" i="4" a="1"/>
  <c r="R54" i="4" a="1"/>
  <c r="T53" i="4" a="1"/>
  <c r="R50" i="4" a="1"/>
  <c r="Q47" i="4" a="1"/>
  <c r="T46" i="4" a="1"/>
  <c r="Q70" i="4" a="1"/>
  <c r="U67" i="4" a="1"/>
  <c r="R62" i="4" a="1"/>
  <c r="R58" i="4" a="1"/>
  <c r="Q54" i="4" a="1"/>
  <c r="U52" i="4" a="1"/>
  <c r="Q50" i="4" a="1"/>
  <c r="U48" i="4" a="1"/>
  <c r="R34" i="4" a="1"/>
  <c r="U33" i="4" a="1"/>
  <c r="R29" i="4" a="1"/>
  <c r="U28" i="4" a="1"/>
  <c r="Q27" i="4" a="1"/>
  <c r="T26" i="4" a="1"/>
  <c r="R17" i="4" a="1"/>
  <c r="U16" i="4" a="1"/>
  <c r="Q15" i="4" a="1"/>
  <c r="T14" i="4" a="1"/>
  <c r="T66" i="4" a="1"/>
  <c r="T65" i="4" a="1"/>
  <c r="R61" i="4" a="1"/>
  <c r="R57" i="4" a="1"/>
  <c r="U51" i="4" a="1"/>
  <c r="Q49" i="4" a="1"/>
  <c r="Q46" i="4" a="1"/>
  <c r="T45" i="4" a="1"/>
  <c r="U41" i="4" a="1"/>
  <c r="U38" i="4" a="1"/>
  <c r="U35" i="4" a="1"/>
  <c r="U73" i="4" a="1"/>
  <c r="Q61" i="4" a="1"/>
  <c r="U59" i="4" a="1"/>
  <c r="R56" i="4" a="1"/>
  <c r="Q52" i="4" a="1"/>
  <c r="R48" i="4" a="1"/>
  <c r="T47" i="4" a="1"/>
  <c r="R45" i="4" a="1"/>
  <c r="T41" i="4" a="1"/>
  <c r="R75" i="4" a="1"/>
  <c r="T74" i="4" a="1"/>
  <c r="T72" i="4" a="1"/>
  <c r="U71" i="4" a="1"/>
  <c r="Q67" i="4" a="1"/>
  <c r="Q66" i="4" a="1"/>
  <c r="R65" i="4" a="1"/>
  <c r="U63" i="4" a="1"/>
  <c r="T59" i="4" a="1"/>
  <c r="T55" i="4" a="1"/>
  <c r="U50" i="4" a="1"/>
  <c r="Q48" i="4" a="1"/>
  <c r="T73" i="4" a="1"/>
  <c r="T71" i="4" a="1"/>
  <c r="T70" i="4" a="1"/>
  <c r="R60" i="4" a="1"/>
  <c r="Q56" i="4" a="1"/>
  <c r="R51" i="4" a="1"/>
  <c r="U74" i="4" a="1"/>
  <c r="U56" i="4" a="1"/>
  <c r="R49" i="4" a="1"/>
  <c r="U44" i="4" a="1"/>
  <c r="Q34" i="4" a="1"/>
  <c r="U32" i="4" a="1"/>
  <c r="T28" i="4" a="1"/>
  <c r="R25" i="4" a="1"/>
  <c r="R22" i="4" a="1"/>
  <c r="T21" i="4" a="1"/>
  <c r="R19" i="4" a="1"/>
  <c r="T15" i="4" a="1"/>
  <c r="T12" i="4" a="1"/>
  <c r="T67" i="4" a="1"/>
  <c r="T44" i="4" a="1"/>
  <c r="U43" i="4" a="1"/>
  <c r="U40" i="4" a="1"/>
  <c r="U39" i="4" a="1"/>
  <c r="R33" i="4" a="1"/>
  <c r="Q29" i="4" a="1"/>
  <c r="U27" i="4" a="1"/>
  <c r="T24" i="4" a="1"/>
  <c r="Q22" i="4" a="1"/>
  <c r="T18" i="4" a="1"/>
  <c r="Q16" i="4" a="1"/>
  <c r="Q13" i="4" a="1"/>
  <c r="R10" i="4" a="1"/>
  <c r="U9" i="4" a="1"/>
  <c r="Q8" i="4" a="1"/>
  <c r="T7" i="4" a="1"/>
  <c r="R3" i="4" a="1"/>
  <c r="Q3" i="4" a="1"/>
  <c r="U45" i="4" a="1"/>
  <c r="T43" i="4" a="1"/>
  <c r="T42" i="4" a="1"/>
  <c r="T39" i="4" a="1"/>
  <c r="T32" i="4" a="1"/>
  <c r="Q25" i="4" a="1"/>
  <c r="U23" i="4" a="1"/>
  <c r="Q19" i="4" a="1"/>
  <c r="U14" i="4" a="1"/>
  <c r="R5" i="4" a="1"/>
  <c r="U2" i="4" a="1"/>
  <c r="U46" i="4" a="1"/>
  <c r="R42" i="4" a="1"/>
  <c r="R41" i="4" a="1"/>
  <c r="R40" i="4" a="1"/>
  <c r="R39" i="4" a="1"/>
  <c r="T38" i="4" a="1"/>
  <c r="U36" i="4" a="1"/>
  <c r="T23" i="4" a="1"/>
  <c r="R18" i="4" a="1"/>
  <c r="R7" i="4" a="1"/>
  <c r="Q5" i="4" a="1"/>
  <c r="T2" i="4" a="1"/>
  <c r="U68" i="4" a="1"/>
  <c r="Q62" i="4" a="1"/>
  <c r="T50" i="4" a="1"/>
  <c r="U37" i="4" a="1"/>
  <c r="Q33" i="4" a="1"/>
  <c r="R28" i="4" a="1"/>
  <c r="T27" i="4" a="1"/>
  <c r="U26" i="4" a="1"/>
  <c r="R24" i="4" a="1"/>
  <c r="R21" i="4" a="1"/>
  <c r="U20" i="4" a="1"/>
  <c r="U17" i="4" a="1"/>
  <c r="R15" i="4" a="1"/>
  <c r="R12" i="4" a="1"/>
  <c r="U11" i="4" a="1"/>
  <c r="Q10" i="4" a="1"/>
  <c r="T9" i="4" a="1"/>
  <c r="U4" i="4" a="1"/>
  <c r="U6" i="4" a="1"/>
  <c r="U57" i="4" a="1"/>
  <c r="R68" i="4" a="1"/>
  <c r="T57" i="4" a="1"/>
  <c r="T51" i="4" a="1"/>
  <c r="Q44" i="4" a="1"/>
  <c r="Q43" i="4" a="1"/>
  <c r="Q42" i="4" a="1"/>
  <c r="Q40" i="4" a="1"/>
  <c r="T37" i="4" a="1"/>
  <c r="T36" i="4" a="1"/>
  <c r="T31" i="4" a="1"/>
  <c r="U30" i="4" a="1"/>
  <c r="Q28" i="4" a="1"/>
  <c r="R27" i="4" a="1"/>
  <c r="Q24" i="4" a="1"/>
  <c r="Q21" i="4" a="1"/>
  <c r="T20" i="4" a="1"/>
  <c r="T17" i="4" a="1"/>
  <c r="Q12" i="4" a="1"/>
  <c r="T11" i="4" a="1"/>
  <c r="T4" i="4" a="1"/>
  <c r="U75" i="4" a="1"/>
  <c r="T69" i="4" a="1"/>
  <c r="Q68" i="4" a="1"/>
  <c r="Q63" i="4" a="1"/>
  <c r="U47" i="4" a="1"/>
  <c r="R46" i="4" a="1"/>
  <c r="Q45" i="4" a="1"/>
  <c r="Q39" i="4" a="1"/>
  <c r="R38" i="4" a="1"/>
  <c r="T35" i="4" a="1"/>
  <c r="Q32" i="4" a="1"/>
  <c r="Q18" i="4" a="1"/>
  <c r="R14" i="4" a="1"/>
  <c r="U13" i="4" a="1"/>
  <c r="R9" i="4" a="1"/>
  <c r="U8" i="4" a="1"/>
  <c r="Q7" i="4" a="1"/>
  <c r="T6" i="4" a="1"/>
  <c r="R69" i="4" a="1"/>
  <c r="U60" i="4" a="1"/>
  <c r="R37" i="4" a="1"/>
  <c r="R36" i="4" a="1"/>
  <c r="U34" i="4" a="1"/>
  <c r="R31" i="4" a="1"/>
  <c r="T30" i="4" a="1"/>
  <c r="R26" i="4" a="1"/>
  <c r="U25" i="4" a="1"/>
  <c r="R23" i="4" a="1"/>
  <c r="U22" i="4" a="1"/>
  <c r="R2" i="4" a="1"/>
  <c r="U3" i="4" a="1"/>
  <c r="U53" i="4" a="1"/>
  <c r="T48" i="4" a="1"/>
  <c r="R35" i="4" a="1"/>
  <c r="Q31" i="4" a="1"/>
  <c r="Q26" i="4" a="1"/>
  <c r="Q23" i="4" a="1"/>
  <c r="Q17" i="4" a="1"/>
  <c r="R6" i="4" a="1"/>
  <c r="T60" i="4" a="1"/>
  <c r="R47" i="4" a="1"/>
  <c r="Q37" i="4" a="1"/>
  <c r="Q36" i="4" a="1"/>
  <c r="U29" i="4" a="1"/>
  <c r="R20" i="4" a="1"/>
  <c r="U19" i="4" a="1"/>
  <c r="T16" i="4" a="1"/>
  <c r="Q14" i="4" a="1"/>
  <c r="T13" i="4" a="1"/>
  <c r="R11" i="4" a="1"/>
  <c r="U10" i="4" a="1"/>
  <c r="Q9" i="4" a="1"/>
  <c r="T8" i="4" a="1"/>
  <c r="R4" i="4" a="1"/>
  <c r="R52" i="4" a="1"/>
  <c r="T25" i="4" a="1"/>
  <c r="T22" i="4" a="1"/>
  <c r="U5" i="4" a="1"/>
  <c r="Q2" i="4" a="1"/>
  <c r="U55" i="4" a="1"/>
  <c r="U64" i="4" a="1"/>
  <c r="U61" i="4" a="1"/>
  <c r="Q58" i="4" a="1"/>
  <c r="R30" i="4" a="1"/>
  <c r="Q20" i="4" a="1"/>
  <c r="T19" i="4" a="1"/>
  <c r="U15" i="4" a="1"/>
  <c r="U12" i="4" a="1"/>
  <c r="Q11" i="4" a="1"/>
  <c r="T10" i="4" a="1"/>
  <c r="Q4" i="4" a="1"/>
  <c r="T3" i="4" a="1"/>
  <c r="U24" i="4" a="1"/>
  <c r="U21" i="4" a="1"/>
  <c r="U18" i="4" a="1"/>
  <c r="R16" i="4" a="1"/>
  <c r="R13" i="4" a="1"/>
  <c r="R8" i="4" a="1"/>
  <c r="U7" i="4" a="1"/>
  <c r="Q6" i="4" a="1"/>
  <c r="T5" i="4" a="1"/>
  <c r="T61" i="4" a="1"/>
  <c r="R53" i="4" a="1"/>
  <c r="T49" i="4" a="1"/>
  <c r="T33" i="4" a="1"/>
  <c r="R45" i="3" a="1"/>
  <c r="U44" i="3" a="1"/>
  <c r="Q43" i="3" a="1"/>
  <c r="T42" i="3" a="1"/>
  <c r="R44" i="3" a="1"/>
  <c r="R41" i="3" a="1"/>
  <c r="R38" i="3" a="1"/>
  <c r="T37" i="3" a="1"/>
  <c r="R35" i="3" a="1"/>
  <c r="R25" i="3" a="1"/>
  <c r="U24" i="3" a="1"/>
  <c r="Q23" i="3" a="1"/>
  <c r="T43" i="3" a="1"/>
  <c r="R36" i="3" a="1"/>
  <c r="U35" i="3" a="1"/>
  <c r="R33" i="3" a="1"/>
  <c r="U32" i="3" a="1"/>
  <c r="Q31" i="3" a="1"/>
  <c r="T30" i="3" a="1"/>
  <c r="R21" i="3" a="1"/>
  <c r="U20" i="3" a="1"/>
  <c r="Q19" i="3" a="1"/>
  <c r="T18" i="3" a="1"/>
  <c r="R9" i="3" a="1"/>
  <c r="U8" i="3" a="1"/>
  <c r="T44" i="3" a="1"/>
  <c r="Q42" i="3" a="1"/>
  <c r="T41" i="3" a="1"/>
  <c r="Q39" i="3" a="1"/>
  <c r="T38" i="3" a="1"/>
  <c r="T36" i="3" a="1"/>
  <c r="Q32" i="3" a="1"/>
  <c r="U30" i="3" a="1"/>
  <c r="Q28" i="3" a="1"/>
  <c r="U26" i="3" a="1"/>
  <c r="Q24" i="3" a="1"/>
  <c r="T19" i="3" a="1"/>
  <c r="T16" i="3" a="1"/>
  <c r="Q14" i="3" a="1"/>
  <c r="T10" i="3" a="1"/>
  <c r="Q8" i="3" a="1"/>
  <c r="T7" i="3" a="1"/>
  <c r="R3" i="3" a="1"/>
  <c r="Q37" i="3" a="1"/>
  <c r="R31" i="3" a="1"/>
  <c r="R27" i="3" a="1"/>
  <c r="R23" i="3" a="1"/>
  <c r="T22" i="3" a="1"/>
  <c r="Q20" i="3" a="1"/>
  <c r="Q17" i="3" a="1"/>
  <c r="U15" i="3" a="1"/>
  <c r="Q11" i="3" a="1"/>
  <c r="R5" i="3" a="1"/>
  <c r="U2" i="3" a="1"/>
  <c r="R13" i="3" a="1"/>
  <c r="U12" i="3" a="1"/>
  <c r="U9" i="3" a="1"/>
  <c r="U4" i="3" a="1"/>
  <c r="Q3" i="3" a="1"/>
  <c r="R4" i="3" a="1"/>
  <c r="U43" i="3" a="1"/>
  <c r="T35" i="3" a="1"/>
  <c r="U34" i="3" a="1"/>
  <c r="T26" i="3" a="1"/>
  <c r="U18" i="3" a="1"/>
  <c r="R16" i="3" a="1"/>
  <c r="U42" i="3" a="1"/>
  <c r="T34" i="3" a="1"/>
  <c r="U29" i="3" a="1"/>
  <c r="Q27" i="3" a="1"/>
  <c r="U25" i="3" a="1"/>
  <c r="U21" i="3" a="1"/>
  <c r="R19" i="3" a="1"/>
  <c r="T15" i="3" a="1"/>
  <c r="R10" i="3" a="1"/>
  <c r="R7" i="3" a="1"/>
  <c r="U6" i="3" a="1"/>
  <c r="Q5" i="3" a="1"/>
  <c r="T2" i="3" a="1"/>
  <c r="U45" i="3" a="1"/>
  <c r="U41" i="3" a="1"/>
  <c r="U40" i="3" a="1"/>
  <c r="Q36" i="3" a="1"/>
  <c r="U33" i="3" a="1"/>
  <c r="R30" i="3" a="1"/>
  <c r="T29" i="3" a="1"/>
  <c r="T25" i="3" a="1"/>
  <c r="R22" i="3" a="1"/>
  <c r="Q16" i="3" a="1"/>
  <c r="Q13" i="3" a="1"/>
  <c r="T12" i="3" a="1"/>
  <c r="T9" i="3" a="1"/>
  <c r="T4" i="3" a="1"/>
  <c r="R43" i="3" a="1"/>
  <c r="T40" i="3" a="1"/>
  <c r="U39" i="3" a="1"/>
  <c r="Q35" i="3" a="1"/>
  <c r="Q30" i="3" a="1"/>
  <c r="R26" i="3" a="1"/>
  <c r="T21" i="3" a="1"/>
  <c r="Q10" i="3" a="1"/>
  <c r="Q7" i="3" a="1"/>
  <c r="T6" i="3" a="1"/>
  <c r="T33" i="3" a="1"/>
  <c r="U28" i="3" a="1"/>
  <c r="Q26" i="3" a="1"/>
  <c r="Q22" i="3" a="1"/>
  <c r="R18" i="3" a="1"/>
  <c r="U17" i="3" a="1"/>
  <c r="R15" i="3" a="1"/>
  <c r="U14" i="3" a="1"/>
  <c r="R2" i="3" a="1"/>
  <c r="T45" i="3" a="1"/>
  <c r="Q44" i="3" a="1"/>
  <c r="R34" i="3" a="1"/>
  <c r="R42" i="3" a="1"/>
  <c r="R40" i="3" a="1"/>
  <c r="T39" i="3" a="1"/>
  <c r="U38" i="3" a="1"/>
  <c r="R29" i="3" a="1"/>
  <c r="T24" i="3" a="1"/>
  <c r="R12" i="3" a="1"/>
  <c r="U11" i="3" a="1"/>
  <c r="Q45" i="3" a="1"/>
  <c r="Q41" i="3" a="1"/>
  <c r="U37" i="3" a="1"/>
  <c r="Q34" i="3" a="1"/>
  <c r="T32" i="3" a="1"/>
  <c r="U31" i="3" a="1"/>
  <c r="T28" i="3" a="1"/>
  <c r="Q25" i="3" a="1"/>
  <c r="T20" i="3" a="1"/>
  <c r="Q18" i="3" a="1"/>
  <c r="T17" i="3" a="1"/>
  <c r="Q15" i="3" a="1"/>
  <c r="T14" i="3" a="1"/>
  <c r="Q9" i="3" a="1"/>
  <c r="R6" i="3" a="1"/>
  <c r="U5" i="3" a="1"/>
  <c r="Q2" i="3" a="1"/>
  <c r="T11" i="3" a="1"/>
  <c r="Q4" i="3" a="1"/>
  <c r="T3" i="3" a="1"/>
  <c r="Q40" i="3" a="1"/>
  <c r="Q29" i="3" a="1"/>
  <c r="U27" i="3" a="1"/>
  <c r="U23" i="3" a="1"/>
  <c r="Q21" i="3" a="1"/>
  <c r="Q12" i="3" a="1"/>
  <c r="R39" i="3" a="1"/>
  <c r="Q38" i="3" a="1"/>
  <c r="U36" i="3" a="1"/>
  <c r="Q33" i="3" a="1"/>
  <c r="R32" i="3" a="1"/>
  <c r="T31" i="3" a="1"/>
  <c r="R28" i="3" a="1"/>
  <c r="R24" i="3" a="1"/>
  <c r="U19" i="3" a="1"/>
  <c r="U16" i="3" a="1"/>
  <c r="U13" i="3" a="1"/>
  <c r="U10" i="3" a="1"/>
  <c r="R8" i="3" a="1"/>
  <c r="U7" i="3" a="1"/>
  <c r="Q6" i="3" a="1"/>
  <c r="T5" i="3" a="1"/>
  <c r="T8" i="3" a="1"/>
  <c r="R37" i="3" a="1"/>
  <c r="T27" i="3" a="1"/>
  <c r="T23" i="3" a="1"/>
  <c r="U22" i="3" a="1"/>
  <c r="R20" i="3" a="1"/>
  <c r="R17" i="3" a="1"/>
  <c r="R14" i="3" a="1"/>
  <c r="T13" i="3" a="1"/>
  <c r="R11" i="3" a="1"/>
  <c r="U3" i="3" a="1"/>
  <c r="R6" i="9" l="1"/>
  <c r="R20" i="9"/>
  <c r="R22" i="9"/>
  <c r="Q2" i="9"/>
  <c r="Q8" i="9"/>
  <c r="S8" i="9" s="1"/>
  <c r="T5" i="9"/>
  <c r="R8" i="9"/>
  <c r="Q30" i="9"/>
  <c r="S30" i="9" s="1"/>
  <c r="Q32" i="9"/>
  <c r="U5" i="9"/>
  <c r="T17" i="9"/>
  <c r="R32" i="9"/>
  <c r="R10" i="9"/>
  <c r="T19" i="9"/>
  <c r="U31" i="9"/>
  <c r="Q6" i="9"/>
  <c r="S6" i="9" s="1"/>
  <c r="Q18" i="9"/>
  <c r="U19" i="9"/>
  <c r="Q20" i="9"/>
  <c r="S20" i="9" s="1"/>
  <c r="T7" i="9"/>
  <c r="U21" i="9"/>
  <c r="T29" i="9"/>
  <c r="T31" i="9"/>
  <c r="R3" i="9"/>
  <c r="U9" i="9"/>
  <c r="U33" i="9"/>
  <c r="U7" i="9"/>
  <c r="T4" i="9"/>
  <c r="T11" i="9"/>
  <c r="Q12" i="9"/>
  <c r="S12" i="9" s="1"/>
  <c r="U13" i="9"/>
  <c r="R14" i="9"/>
  <c r="T23" i="9"/>
  <c r="Q24" i="9"/>
  <c r="S24" i="9" s="1"/>
  <c r="V24" i="9" s="1"/>
  <c r="AC24" i="9" s="1"/>
  <c r="U25" i="9"/>
  <c r="R26" i="9"/>
  <c r="U41" i="9"/>
  <c r="R42" i="9"/>
  <c r="U44" i="9"/>
  <c r="T2" i="9"/>
  <c r="Q5" i="9"/>
  <c r="U6" i="9"/>
  <c r="R7" i="9"/>
  <c r="T16" i="9"/>
  <c r="Q17" i="9"/>
  <c r="S17" i="9" s="1"/>
  <c r="V17" i="9" s="1"/>
  <c r="AC17" i="9" s="1"/>
  <c r="U18" i="9"/>
  <c r="R19" i="9"/>
  <c r="T28" i="9"/>
  <c r="Q29" i="9"/>
  <c r="U30" i="9"/>
  <c r="R31" i="9"/>
  <c r="Q37" i="9"/>
  <c r="S37" i="9" s="1"/>
  <c r="Q3" i="9"/>
  <c r="U4" i="9"/>
  <c r="T9" i="9"/>
  <c r="Q10" i="9"/>
  <c r="S10" i="9" s="1"/>
  <c r="V10" i="9" s="1"/>
  <c r="AC10" i="9" s="1"/>
  <c r="U11" i="9"/>
  <c r="R12" i="9"/>
  <c r="T21" i="9"/>
  <c r="Q22" i="9"/>
  <c r="S22" i="9" s="1"/>
  <c r="U23" i="9"/>
  <c r="R24" i="9"/>
  <c r="T33" i="9"/>
  <c r="Q34" i="9"/>
  <c r="T36" i="9"/>
  <c r="T39" i="9"/>
  <c r="Q40" i="9"/>
  <c r="S40" i="9" s="1"/>
  <c r="V40" i="9" s="1"/>
  <c r="AC40" i="9" s="1"/>
  <c r="Q43" i="9"/>
  <c r="S43" i="9" s="1"/>
  <c r="U2" i="9"/>
  <c r="R5" i="9"/>
  <c r="T14" i="9"/>
  <c r="Q15" i="9"/>
  <c r="S15" i="9" s="1"/>
  <c r="U16" i="9"/>
  <c r="R17" i="9"/>
  <c r="T26" i="9"/>
  <c r="Q27" i="9"/>
  <c r="U28" i="9"/>
  <c r="R29" i="9"/>
  <c r="R37" i="9"/>
  <c r="T42" i="9"/>
  <c r="R34" i="9"/>
  <c r="U36" i="9"/>
  <c r="U39" i="9"/>
  <c r="R40" i="9"/>
  <c r="R43" i="9"/>
  <c r="T12" i="9"/>
  <c r="Q13" i="9"/>
  <c r="S13" i="9" s="1"/>
  <c r="V13" i="9" s="1"/>
  <c r="AC13" i="9" s="1"/>
  <c r="U14" i="9"/>
  <c r="R15" i="9"/>
  <c r="T24" i="9"/>
  <c r="Q25" i="9"/>
  <c r="U26" i="9"/>
  <c r="R27" i="9"/>
  <c r="Q38" i="9"/>
  <c r="U42" i="9"/>
  <c r="Q44" i="9"/>
  <c r="S44" i="9" s="1"/>
  <c r="Q35" i="9"/>
  <c r="S35" i="9" s="1"/>
  <c r="T37" i="9"/>
  <c r="Q41" i="9"/>
  <c r="S41" i="9" s="1"/>
  <c r="V41" i="9" s="1"/>
  <c r="AC41" i="9" s="1"/>
  <c r="T43" i="9"/>
  <c r="T3" i="9"/>
  <c r="Q4" i="9"/>
  <c r="T10" i="9"/>
  <c r="Q11" i="9"/>
  <c r="U12" i="9"/>
  <c r="R13" i="9"/>
  <c r="T22" i="9"/>
  <c r="Q23" i="9"/>
  <c r="S23" i="9" s="1"/>
  <c r="V23" i="9" s="1"/>
  <c r="AC23" i="9" s="1"/>
  <c r="U24" i="9"/>
  <c r="R25" i="9"/>
  <c r="T34" i="9"/>
  <c r="R38" i="9"/>
  <c r="T40" i="9"/>
  <c r="R41" i="9"/>
  <c r="R44" i="9"/>
  <c r="R18" i="9"/>
  <c r="T27" i="9"/>
  <c r="Q28" i="9"/>
  <c r="S28" i="9" s="1"/>
  <c r="V28" i="9" s="1"/>
  <c r="AC28" i="9" s="1"/>
  <c r="U29" i="9"/>
  <c r="R30" i="9"/>
  <c r="R35" i="9"/>
  <c r="U37" i="9"/>
  <c r="U40" i="9"/>
  <c r="U43" i="9"/>
  <c r="U17" i="9"/>
  <c r="U3" i="9"/>
  <c r="R4" i="9"/>
  <c r="T8" i="9"/>
  <c r="Q9" i="9"/>
  <c r="U10" i="9"/>
  <c r="R11" i="9"/>
  <c r="T20" i="9"/>
  <c r="Q21" i="9"/>
  <c r="S21" i="9" s="1"/>
  <c r="V21" i="9" s="1"/>
  <c r="AC21" i="9" s="1"/>
  <c r="U22" i="9"/>
  <c r="R23" i="9"/>
  <c r="T32" i="9"/>
  <c r="Q33" i="9"/>
  <c r="S33" i="9" s="1"/>
  <c r="U34" i="9"/>
  <c r="T38" i="9"/>
  <c r="Q39" i="9"/>
  <c r="T15" i="9"/>
  <c r="R2" i="9"/>
  <c r="T13" i="9"/>
  <c r="Q14" i="9"/>
  <c r="S14" i="9" s="1"/>
  <c r="U15" i="9"/>
  <c r="R16" i="9"/>
  <c r="T25" i="9"/>
  <c r="Q26" i="9"/>
  <c r="U27" i="9"/>
  <c r="R28" i="9"/>
  <c r="Q36" i="9"/>
  <c r="T41" i="9"/>
  <c r="Q42" i="9"/>
  <c r="S42" i="9" s="1"/>
  <c r="V42" i="9" s="1"/>
  <c r="AC42" i="9" s="1"/>
  <c r="T44" i="9"/>
  <c r="Q16" i="9"/>
  <c r="S16" i="9" s="1"/>
  <c r="T6" i="9"/>
  <c r="Q7" i="9"/>
  <c r="U8" i="9"/>
  <c r="R9" i="9"/>
  <c r="T18" i="9"/>
  <c r="Q19" i="9"/>
  <c r="S19" i="9" s="1"/>
  <c r="V19" i="9" s="1"/>
  <c r="AC19" i="9" s="1"/>
  <c r="U20" i="9"/>
  <c r="R21" i="9"/>
  <c r="T30" i="9"/>
  <c r="Q31" i="9"/>
  <c r="S31" i="9" s="1"/>
  <c r="V31" i="9" s="1"/>
  <c r="AC31" i="9" s="1"/>
  <c r="U32" i="9"/>
  <c r="R33" i="9"/>
  <c r="T35" i="9"/>
  <c r="U38" i="9"/>
  <c r="R39" i="9"/>
  <c r="U35" i="9"/>
  <c r="R36" i="9"/>
  <c r="Z9" i="9"/>
  <c r="AB9" i="9" s="1"/>
  <c r="Z11" i="9"/>
  <c r="AB11" i="9" s="1"/>
  <c r="Z2" i="9"/>
  <c r="AB2" i="9" s="1"/>
  <c r="Z25" i="9"/>
  <c r="AB25" i="9" s="1"/>
  <c r="AB27" i="9"/>
  <c r="Z34" i="9"/>
  <c r="AB34" i="9" s="1"/>
  <c r="Q2" i="8"/>
  <c r="U5" i="8"/>
  <c r="R6" i="8"/>
  <c r="T11" i="8"/>
  <c r="Q17" i="8"/>
  <c r="S17" i="8" s="1"/>
  <c r="T19" i="8"/>
  <c r="Q21" i="8"/>
  <c r="U23" i="8"/>
  <c r="R29" i="8"/>
  <c r="U33" i="8"/>
  <c r="T41" i="8"/>
  <c r="R40" i="8"/>
  <c r="U41" i="8"/>
  <c r="U42" i="8"/>
  <c r="R23" i="8"/>
  <c r="U3" i="8"/>
  <c r="R4" i="8"/>
  <c r="T8" i="8"/>
  <c r="Q9" i="8"/>
  <c r="R12" i="8"/>
  <c r="T16" i="8"/>
  <c r="U19" i="8"/>
  <c r="T20" i="8"/>
  <c r="Q26" i="8"/>
  <c r="S26" i="8" s="1"/>
  <c r="V26" i="8" s="1"/>
  <c r="AC26" i="8" s="1"/>
  <c r="U28" i="8"/>
  <c r="Q30" i="8"/>
  <c r="R39" i="8"/>
  <c r="R2" i="8"/>
  <c r="U11" i="8"/>
  <c r="R17" i="8"/>
  <c r="R21" i="8"/>
  <c r="T29" i="8"/>
  <c r="R30" i="8"/>
  <c r="T6" i="8"/>
  <c r="Q7" i="8"/>
  <c r="U8" i="8"/>
  <c r="R9" i="8"/>
  <c r="Q14" i="8"/>
  <c r="U16" i="8"/>
  <c r="Q18" i="8"/>
  <c r="S18" i="8" s="1"/>
  <c r="V18" i="8" s="1"/>
  <c r="AC18" i="8" s="1"/>
  <c r="U20" i="8"/>
  <c r="T25" i="8"/>
  <c r="R26" i="8"/>
  <c r="U29" i="8"/>
  <c r="Q37" i="8"/>
  <c r="S37" i="8" s="1"/>
  <c r="T4" i="8"/>
  <c r="T17" i="8"/>
  <c r="R18" i="8"/>
  <c r="Q22" i="8"/>
  <c r="Q27" i="8"/>
  <c r="S27" i="8" s="1"/>
  <c r="T39" i="8"/>
  <c r="U21" i="8"/>
  <c r="T2" i="8"/>
  <c r="Q5" i="8"/>
  <c r="U6" i="8"/>
  <c r="R7" i="8"/>
  <c r="T13" i="8"/>
  <c r="R14" i="8"/>
  <c r="U17" i="8"/>
  <c r="T21" i="8"/>
  <c r="U25" i="8"/>
  <c r="T30" i="8"/>
  <c r="Q31" i="8"/>
  <c r="S31" i="8" s="1"/>
  <c r="V31" i="8" s="1"/>
  <c r="AC31" i="8" s="1"/>
  <c r="R36" i="8"/>
  <c r="R37" i="8"/>
  <c r="U38" i="8"/>
  <c r="Q3" i="8"/>
  <c r="U4" i="8"/>
  <c r="T9" i="8"/>
  <c r="Q10" i="8"/>
  <c r="S10" i="8" s="1"/>
  <c r="V10" i="8" s="1"/>
  <c r="AC10" i="8" s="1"/>
  <c r="Q15" i="8"/>
  <c r="R22" i="8"/>
  <c r="T26" i="8"/>
  <c r="Q28" i="8"/>
  <c r="Q34" i="8"/>
  <c r="S34" i="8" s="1"/>
  <c r="Q45" i="8"/>
  <c r="S45" i="8" s="1"/>
  <c r="V45" i="8" s="1"/>
  <c r="AC45" i="8" s="1"/>
  <c r="T27" i="8"/>
  <c r="U30" i="8"/>
  <c r="R31" i="8"/>
  <c r="T35" i="8"/>
  <c r="T36" i="8"/>
  <c r="R45" i="8"/>
  <c r="Q16" i="8"/>
  <c r="R28" i="8"/>
  <c r="Q32" i="8"/>
  <c r="S32" i="8" s="1"/>
  <c r="V32" i="8" s="1"/>
  <c r="AC32" i="8" s="1"/>
  <c r="R34" i="8"/>
  <c r="Q43" i="8"/>
  <c r="U2" i="8"/>
  <c r="Q19" i="8"/>
  <c r="S19" i="8" s="1"/>
  <c r="V19" i="8" s="1"/>
  <c r="AC19" i="8" s="1"/>
  <c r="R3" i="8"/>
  <c r="T7" i="8"/>
  <c r="Q8" i="8"/>
  <c r="U9" i="8"/>
  <c r="R10" i="8"/>
  <c r="T14" i="8"/>
  <c r="R11" i="8"/>
  <c r="T15" i="8"/>
  <c r="U18" i="8"/>
  <c r="R19" i="8"/>
  <c r="U22" i="8"/>
  <c r="Q24" i="8"/>
  <c r="U27" i="8"/>
  <c r="U35" i="8"/>
  <c r="T44" i="8"/>
  <c r="U7" i="8"/>
  <c r="R8" i="8"/>
  <c r="R16" i="8"/>
  <c r="Q20" i="8"/>
  <c r="S20" i="8" s="1"/>
  <c r="T23" i="8"/>
  <c r="Q29" i="8"/>
  <c r="T31" i="8"/>
  <c r="T32" i="8"/>
  <c r="T33" i="8"/>
  <c r="R43" i="8"/>
  <c r="U44" i="8"/>
  <c r="T45" i="8"/>
  <c r="R5" i="8"/>
  <c r="U13" i="8"/>
  <c r="T18" i="8"/>
  <c r="T5" i="8"/>
  <c r="Q6" i="8"/>
  <c r="S6" i="8" s="1"/>
  <c r="V6" i="8" s="1"/>
  <c r="AC6" i="8" s="1"/>
  <c r="T3" i="8"/>
  <c r="Q4" i="8"/>
  <c r="S4" i="8" s="1"/>
  <c r="V4" i="8" s="1"/>
  <c r="AC4" i="8" s="1"/>
  <c r="U10" i="8"/>
  <c r="Q12" i="8"/>
  <c r="S12" i="8" s="1"/>
  <c r="U15" i="8"/>
  <c r="R20" i="8"/>
  <c r="R24" i="8"/>
  <c r="T28" i="8"/>
  <c r="U31" i="8"/>
  <c r="Q40" i="8"/>
  <c r="T42" i="8"/>
  <c r="U45" i="8"/>
  <c r="Q33" i="8"/>
  <c r="U34" i="8"/>
  <c r="R35" i="8"/>
  <c r="U37" i="8"/>
  <c r="R38" i="8"/>
  <c r="Q42" i="8"/>
  <c r="U32" i="8"/>
  <c r="R33" i="8"/>
  <c r="Q36" i="8"/>
  <c r="S36" i="8" s="1"/>
  <c r="V36" i="8" s="1"/>
  <c r="AC36" i="8" s="1"/>
  <c r="R42" i="8"/>
  <c r="T12" i="8"/>
  <c r="Q13" i="8"/>
  <c r="U14" i="8"/>
  <c r="R15" i="8"/>
  <c r="T24" i="8"/>
  <c r="Q25" i="8"/>
  <c r="S25" i="8" s="1"/>
  <c r="V25" i="8" s="1"/>
  <c r="U26" i="8"/>
  <c r="R27" i="8"/>
  <c r="U36" i="8"/>
  <c r="U39" i="8"/>
  <c r="T43" i="8"/>
  <c r="Q44" i="8"/>
  <c r="R32" i="8"/>
  <c r="Q41" i="8"/>
  <c r="S41" i="8" s="1"/>
  <c r="T10" i="8"/>
  <c r="Q11" i="8"/>
  <c r="S11" i="8" s="1"/>
  <c r="V11" i="8" s="1"/>
  <c r="AC11" i="8" s="1"/>
  <c r="U12" i="8"/>
  <c r="R13" i="8"/>
  <c r="T22" i="8"/>
  <c r="Q23" i="8"/>
  <c r="S23" i="8" s="1"/>
  <c r="V23" i="8" s="1"/>
  <c r="AC23" i="8" s="1"/>
  <c r="U24" i="8"/>
  <c r="R25" i="8"/>
  <c r="T34" i="8"/>
  <c r="Q35" i="8"/>
  <c r="T37" i="8"/>
  <c r="Q38" i="8"/>
  <c r="S38" i="8" s="1"/>
  <c r="T40" i="8"/>
  <c r="U43" i="8"/>
  <c r="R44" i="8"/>
  <c r="T38" i="8"/>
  <c r="Q39" i="8"/>
  <c r="S39" i="8" s="1"/>
  <c r="V39" i="8" s="1"/>
  <c r="AC39" i="8" s="1"/>
  <c r="U40" i="8"/>
  <c r="R41" i="8"/>
  <c r="AB33" i="8"/>
  <c r="Z23" i="8"/>
  <c r="AB23" i="8" s="1"/>
  <c r="AB15" i="8"/>
  <c r="AB25" i="8"/>
  <c r="AB13" i="8"/>
  <c r="Q4" i="7"/>
  <c r="U6" i="7"/>
  <c r="T11" i="7"/>
  <c r="Q12" i="7"/>
  <c r="U14" i="7"/>
  <c r="R16" i="7"/>
  <c r="Q22" i="7"/>
  <c r="S22" i="7" s="1"/>
  <c r="R33" i="7"/>
  <c r="Q42" i="7"/>
  <c r="S42" i="7" s="1"/>
  <c r="R49" i="7"/>
  <c r="R12" i="7"/>
  <c r="T3" i="7"/>
  <c r="R4" i="7"/>
  <c r="T7" i="7"/>
  <c r="Q9" i="7"/>
  <c r="S9" i="7" s="1"/>
  <c r="U20" i="7"/>
  <c r="Q23" i="7"/>
  <c r="R42" i="7"/>
  <c r="T46" i="7"/>
  <c r="U15" i="7"/>
  <c r="Q17" i="7"/>
  <c r="T21" i="7"/>
  <c r="R23" i="7"/>
  <c r="U33" i="7"/>
  <c r="U46" i="7"/>
  <c r="R9" i="7"/>
  <c r="Q13" i="7"/>
  <c r="T16" i="7"/>
  <c r="T22" i="7"/>
  <c r="Q25" i="7"/>
  <c r="S25" i="7" s="1"/>
  <c r="Q31" i="7"/>
  <c r="U51" i="7"/>
  <c r="Q55" i="7"/>
  <c r="U22" i="7"/>
  <c r="R24" i="7"/>
  <c r="R25" i="7"/>
  <c r="Q26" i="7"/>
  <c r="T32" i="7"/>
  <c r="R41" i="7"/>
  <c r="Q48" i="7"/>
  <c r="S48" i="7" s="1"/>
  <c r="U3" i="7"/>
  <c r="U11" i="7"/>
  <c r="T4" i="7"/>
  <c r="Q5" i="7"/>
  <c r="U8" i="7"/>
  <c r="R13" i="7"/>
  <c r="R17" i="7"/>
  <c r="Q10" i="7"/>
  <c r="T12" i="7"/>
  <c r="Q14" i="7"/>
  <c r="S14" i="7" s="1"/>
  <c r="U16" i="7"/>
  <c r="Q27" i="7"/>
  <c r="U32" i="7"/>
  <c r="R36" i="7"/>
  <c r="T37" i="7"/>
  <c r="R2" i="7"/>
  <c r="U4" i="7"/>
  <c r="R5" i="7"/>
  <c r="T9" i="7"/>
  <c r="U12" i="7"/>
  <c r="T13" i="7"/>
  <c r="Q19" i="7"/>
  <c r="S19" i="7" s="1"/>
  <c r="U23" i="7"/>
  <c r="T24" i="7"/>
  <c r="T25" i="7"/>
  <c r="R27" i="7"/>
  <c r="R28" i="7"/>
  <c r="R29" i="7"/>
  <c r="T36" i="7"/>
  <c r="U37" i="7"/>
  <c r="U48" i="7"/>
  <c r="R10" i="7"/>
  <c r="R14" i="7"/>
  <c r="U24" i="7"/>
  <c r="T30" i="7"/>
  <c r="T44" i="7"/>
  <c r="T50" i="7"/>
  <c r="T8" i="7"/>
  <c r="Q7" i="7"/>
  <c r="U9" i="7"/>
  <c r="Q11" i="7"/>
  <c r="S11" i="7" s="1"/>
  <c r="V11" i="7" s="1"/>
  <c r="AC11" i="7" s="1"/>
  <c r="U13" i="7"/>
  <c r="T18" i="7"/>
  <c r="R19" i="7"/>
  <c r="T26" i="7"/>
  <c r="U44" i="7"/>
  <c r="U50" i="7"/>
  <c r="T2" i="7"/>
  <c r="Q3" i="7"/>
  <c r="S3" i="7" s="1"/>
  <c r="T10" i="7"/>
  <c r="R11" i="7"/>
  <c r="Q15" i="7"/>
  <c r="Q21" i="7"/>
  <c r="S21" i="7" s="1"/>
  <c r="U26" i="7"/>
  <c r="U27" i="7"/>
  <c r="U28" i="7"/>
  <c r="T35" i="7"/>
  <c r="Q39" i="7"/>
  <c r="S39" i="7" s="1"/>
  <c r="Q47" i="7"/>
  <c r="S47" i="7" s="1"/>
  <c r="R52" i="7"/>
  <c r="T6" i="7"/>
  <c r="R7" i="7"/>
  <c r="U10" i="7"/>
  <c r="T14" i="7"/>
  <c r="U18" i="7"/>
  <c r="R34" i="7"/>
  <c r="R39" i="7"/>
  <c r="T43" i="7"/>
  <c r="T56" i="7"/>
  <c r="U2" i="7"/>
  <c r="R3" i="7"/>
  <c r="Q8" i="7"/>
  <c r="S8" i="7" s="1"/>
  <c r="R15" i="7"/>
  <c r="T19" i="7"/>
  <c r="T20" i="7"/>
  <c r="R21" i="7"/>
  <c r="Q33" i="7"/>
  <c r="U43" i="7"/>
  <c r="U47" i="7"/>
  <c r="R47" i="7"/>
  <c r="R50" i="7"/>
  <c r="U52" i="7"/>
  <c r="U57" i="7"/>
  <c r="Q2" i="7"/>
  <c r="U5" i="7"/>
  <c r="R6" i="7"/>
  <c r="T15" i="7"/>
  <c r="Q16" i="7"/>
  <c r="S16" i="7" s="1"/>
  <c r="V16" i="7" s="1"/>
  <c r="AC16" i="7" s="1"/>
  <c r="U17" i="7"/>
  <c r="R18" i="7"/>
  <c r="T27" i="7"/>
  <c r="Q28" i="7"/>
  <c r="U29" i="7"/>
  <c r="R30" i="7"/>
  <c r="U34" i="7"/>
  <c r="R35" i="7"/>
  <c r="R38" i="7"/>
  <c r="U40" i="7"/>
  <c r="Q45" i="7"/>
  <c r="U49" i="7"/>
  <c r="Q51" i="7"/>
  <c r="S51" i="7" s="1"/>
  <c r="V51" i="7" s="1"/>
  <c r="AC51" i="7" s="1"/>
  <c r="R54" i="7"/>
  <c r="T58" i="7"/>
  <c r="Q59" i="7"/>
  <c r="Q36" i="7"/>
  <c r="T38" i="7"/>
  <c r="T41" i="7"/>
  <c r="R45" i="7"/>
  <c r="T47" i="7"/>
  <c r="R48" i="7"/>
  <c r="R51" i="7"/>
  <c r="U53" i="7"/>
  <c r="U58" i="7"/>
  <c r="R59" i="7"/>
  <c r="T54" i="7"/>
  <c r="Q56" i="7"/>
  <c r="S56" i="7" s="1"/>
  <c r="T23" i="7"/>
  <c r="Q24" i="7"/>
  <c r="U25" i="7"/>
  <c r="R26" i="7"/>
  <c r="U35" i="7"/>
  <c r="U38" i="7"/>
  <c r="U41" i="7"/>
  <c r="T45" i="7"/>
  <c r="Q46" i="7"/>
  <c r="R60" i="7"/>
  <c r="T28" i="7"/>
  <c r="Q29" i="7"/>
  <c r="U30" i="7"/>
  <c r="R31" i="7"/>
  <c r="T33" i="7"/>
  <c r="Q34" i="7"/>
  <c r="S34" i="7" s="1"/>
  <c r="V34" i="7" s="1"/>
  <c r="AC34" i="7" s="1"/>
  <c r="Q43" i="7"/>
  <c r="T48" i="7"/>
  <c r="Q49" i="7"/>
  <c r="T51" i="7"/>
  <c r="Q52" i="7"/>
  <c r="S52" i="7" s="1"/>
  <c r="V52" i="7" s="1"/>
  <c r="AC52" i="7" s="1"/>
  <c r="T55" i="7"/>
  <c r="Q57" i="7"/>
  <c r="S57" i="7" s="1"/>
  <c r="V57" i="7" s="1"/>
  <c r="AC57" i="7" s="1"/>
  <c r="T59" i="7"/>
  <c r="Q61" i="7"/>
  <c r="S61" i="7" s="1"/>
  <c r="V61" i="7" s="1"/>
  <c r="AC61" i="7" s="1"/>
  <c r="Q37" i="7"/>
  <c r="S37" i="7" s="1"/>
  <c r="T39" i="7"/>
  <c r="Q40" i="7"/>
  <c r="T42" i="7"/>
  <c r="U45" i="7"/>
  <c r="R46" i="7"/>
  <c r="U59" i="7"/>
  <c r="R61" i="7"/>
  <c r="R57" i="7"/>
  <c r="T60" i="7"/>
  <c r="Q20" i="7"/>
  <c r="S20" i="7" s="1"/>
  <c r="U21" i="7"/>
  <c r="R22" i="7"/>
  <c r="T31" i="7"/>
  <c r="Q32" i="7"/>
  <c r="U36" i="7"/>
  <c r="R37" i="7"/>
  <c r="U39" i="7"/>
  <c r="R40" i="7"/>
  <c r="Q44" i="7"/>
  <c r="S44" i="7" s="1"/>
  <c r="Q58" i="7"/>
  <c r="U60" i="7"/>
  <c r="Q50" i="7"/>
  <c r="S50" i="7" s="1"/>
  <c r="V50" i="7" s="1"/>
  <c r="AC50" i="7" s="1"/>
  <c r="U56" i="7"/>
  <c r="T57" i="7"/>
  <c r="T61" i="7"/>
  <c r="T5" i="7"/>
  <c r="Q6" i="7"/>
  <c r="S6" i="7" s="1"/>
  <c r="V6" i="7" s="1"/>
  <c r="AC6" i="7" s="1"/>
  <c r="U7" i="7"/>
  <c r="R8" i="7"/>
  <c r="T17" i="7"/>
  <c r="Q18" i="7"/>
  <c r="U19" i="7"/>
  <c r="R20" i="7"/>
  <c r="T29" i="7"/>
  <c r="Q30" i="7"/>
  <c r="S30" i="7" s="1"/>
  <c r="U31" i="7"/>
  <c r="R32" i="7"/>
  <c r="T34" i="7"/>
  <c r="Q35" i="7"/>
  <c r="S35" i="7" s="1"/>
  <c r="V35" i="7" s="1"/>
  <c r="AC35" i="7" s="1"/>
  <c r="Q38" i="7"/>
  <c r="R44" i="7"/>
  <c r="T49" i="7"/>
  <c r="R53" i="7"/>
  <c r="R58" i="7"/>
  <c r="T53" i="7"/>
  <c r="Q54" i="7"/>
  <c r="S54" i="7" s="1"/>
  <c r="V54" i="7" s="1"/>
  <c r="AC54" i="7" s="1"/>
  <c r="U55" i="7"/>
  <c r="R56" i="7"/>
  <c r="Q60" i="7"/>
  <c r="S60" i="7" s="1"/>
  <c r="V60" i="7" s="1"/>
  <c r="AC60" i="7" s="1"/>
  <c r="U61" i="7"/>
  <c r="T40" i="7"/>
  <c r="Q41" i="7"/>
  <c r="S41" i="7" s="1"/>
  <c r="U42" i="7"/>
  <c r="R43" i="7"/>
  <c r="T52" i="7"/>
  <c r="Q53" i="7"/>
  <c r="S53" i="7" s="1"/>
  <c r="U54" i="7"/>
  <c r="R55" i="7"/>
  <c r="Z18" i="7"/>
  <c r="AB18" i="7" s="1"/>
  <c r="Z43" i="7"/>
  <c r="AB43" i="7" s="1"/>
  <c r="Z49" i="7"/>
  <c r="AB49" i="7" s="1"/>
  <c r="AB42" i="7"/>
  <c r="AB30" i="7"/>
  <c r="Z52" i="7"/>
  <c r="AB52" i="7" s="1"/>
  <c r="Z53" i="7"/>
  <c r="AB53" i="7" s="1"/>
  <c r="T4" i="6"/>
  <c r="T18" i="6"/>
  <c r="U40" i="6"/>
  <c r="T3" i="6"/>
  <c r="Q4" i="6"/>
  <c r="U10" i="6"/>
  <c r="Q15" i="6"/>
  <c r="U19" i="6"/>
  <c r="Q21" i="6"/>
  <c r="S21" i="6" s="1"/>
  <c r="V21" i="6" s="1"/>
  <c r="AC21" i="6" s="1"/>
  <c r="T24" i="6"/>
  <c r="Q26" i="6"/>
  <c r="S26" i="6" s="1"/>
  <c r="V26" i="6" s="1"/>
  <c r="AC26" i="6" s="1"/>
  <c r="T28" i="6"/>
  <c r="R29" i="6"/>
  <c r="R33" i="6"/>
  <c r="T38" i="6"/>
  <c r="R39" i="6"/>
  <c r="Q2" i="6"/>
  <c r="U5" i="6"/>
  <c r="R6" i="6"/>
  <c r="Q9" i="6"/>
  <c r="S9" i="6" s="1"/>
  <c r="V9" i="6" s="1"/>
  <c r="AC9" i="6" s="1"/>
  <c r="Q12" i="6"/>
  <c r="S12" i="6" s="1"/>
  <c r="T14" i="6"/>
  <c r="Q18" i="6"/>
  <c r="T20" i="6"/>
  <c r="U28" i="6"/>
  <c r="U32" i="6"/>
  <c r="R40" i="6"/>
  <c r="R21" i="6"/>
  <c r="T25" i="6"/>
  <c r="R26" i="6"/>
  <c r="Q30" i="6"/>
  <c r="S30" i="6" s="1"/>
  <c r="U38" i="6"/>
  <c r="T39" i="6"/>
  <c r="R22" i="6"/>
  <c r="Q31" i="6"/>
  <c r="S31" i="6" s="1"/>
  <c r="U3" i="6"/>
  <c r="R4" i="6"/>
  <c r="T8" i="6"/>
  <c r="T11" i="6"/>
  <c r="R15" i="6"/>
  <c r="T17" i="6"/>
  <c r="R18" i="6"/>
  <c r="R2" i="6"/>
  <c r="R9" i="6"/>
  <c r="R12" i="6"/>
  <c r="U14" i="6"/>
  <c r="U17" i="6"/>
  <c r="U20" i="6"/>
  <c r="Q27" i="6"/>
  <c r="S27" i="6" s="1"/>
  <c r="T29" i="6"/>
  <c r="R30" i="6"/>
  <c r="R34" i="6"/>
  <c r="U39" i="6"/>
  <c r="Q41" i="6"/>
  <c r="S41" i="6" s="1"/>
  <c r="T6" i="6"/>
  <c r="Q7" i="6"/>
  <c r="U8" i="6"/>
  <c r="U11" i="6"/>
  <c r="T15" i="6"/>
  <c r="Q16" i="6"/>
  <c r="S16" i="6" s="1"/>
  <c r="U25" i="6"/>
  <c r="T26" i="6"/>
  <c r="U29" i="6"/>
  <c r="U33" i="6"/>
  <c r="Q35" i="6"/>
  <c r="Q36" i="6"/>
  <c r="S36" i="6" s="1"/>
  <c r="V36" i="6" s="1"/>
  <c r="AC36" i="6" s="1"/>
  <c r="T40" i="6"/>
  <c r="R41" i="6"/>
  <c r="Q42" i="6"/>
  <c r="U6" i="6"/>
  <c r="R7" i="6"/>
  <c r="T9" i="6"/>
  <c r="Q10" i="6"/>
  <c r="T12" i="6"/>
  <c r="U15" i="6"/>
  <c r="R16" i="6"/>
  <c r="U21" i="6"/>
  <c r="U26" i="6"/>
  <c r="T30" i="6"/>
  <c r="R36" i="6"/>
  <c r="R42" i="6"/>
  <c r="Q43" i="6"/>
  <c r="Q44" i="6"/>
  <c r="Q3" i="6"/>
  <c r="U4" i="6"/>
  <c r="U18" i="6"/>
  <c r="R19" i="6"/>
  <c r="R23" i="6"/>
  <c r="T27" i="6"/>
  <c r="Q28" i="6"/>
  <c r="R31" i="6"/>
  <c r="Q32" i="6"/>
  <c r="T35" i="6"/>
  <c r="Q37" i="6"/>
  <c r="T41" i="6"/>
  <c r="Q13" i="6"/>
  <c r="R27" i="6"/>
  <c r="T2" i="6"/>
  <c r="Q5" i="6"/>
  <c r="S5" i="6" s="1"/>
  <c r="U2" i="6"/>
  <c r="R5" i="6"/>
  <c r="U9" i="6"/>
  <c r="R10" i="6"/>
  <c r="Q14" i="6"/>
  <c r="S14" i="6" s="1"/>
  <c r="V14" i="6" s="1"/>
  <c r="AC14" i="6" s="1"/>
  <c r="Q24" i="6"/>
  <c r="S24" i="6" s="1"/>
  <c r="V24" i="6" s="1"/>
  <c r="AC24" i="6" s="1"/>
  <c r="U30" i="6"/>
  <c r="R37" i="6"/>
  <c r="Q38" i="6"/>
  <c r="R44" i="6"/>
  <c r="T13" i="6"/>
  <c r="T16" i="6"/>
  <c r="Q17" i="6"/>
  <c r="Q20" i="6"/>
  <c r="U22" i="6"/>
  <c r="U27" i="6"/>
  <c r="R28" i="6"/>
  <c r="T31" i="6"/>
  <c r="R32" i="6"/>
  <c r="U35" i="6"/>
  <c r="U41" i="6"/>
  <c r="U42" i="6"/>
  <c r="T43" i="6"/>
  <c r="Q19" i="6"/>
  <c r="R3" i="6"/>
  <c r="T7" i="6"/>
  <c r="Q8" i="6"/>
  <c r="S8" i="6" s="1"/>
  <c r="V8" i="6" s="1"/>
  <c r="AC8" i="6" s="1"/>
  <c r="R14" i="6"/>
  <c r="T19" i="6"/>
  <c r="T23" i="6"/>
  <c r="Q25" i="6"/>
  <c r="Q33" i="6"/>
  <c r="S33" i="6" s="1"/>
  <c r="U36" i="6"/>
  <c r="T37" i="6"/>
  <c r="Q39" i="6"/>
  <c r="S39" i="6" s="1"/>
  <c r="T5" i="6"/>
  <c r="Q6" i="6"/>
  <c r="S6" i="6" s="1"/>
  <c r="V6" i="6" s="1"/>
  <c r="AC6" i="6" s="1"/>
  <c r="U7" i="6"/>
  <c r="R8" i="6"/>
  <c r="R11" i="6"/>
  <c r="U13" i="6"/>
  <c r="U16" i="6"/>
  <c r="R17" i="6"/>
  <c r="R20" i="6"/>
  <c r="Q29" i="6"/>
  <c r="S29" i="6" s="1"/>
  <c r="U31" i="6"/>
  <c r="T32" i="6"/>
  <c r="U44" i="6"/>
  <c r="T21" i="6"/>
  <c r="Q22" i="6"/>
  <c r="S22" i="6" s="1"/>
  <c r="U23" i="6"/>
  <c r="R24" i="6"/>
  <c r="T33" i="6"/>
  <c r="Q34" i="6"/>
  <c r="T36" i="6"/>
  <c r="Q40" i="6"/>
  <c r="T42" i="6"/>
  <c r="T10" i="6"/>
  <c r="Q11" i="6"/>
  <c r="S11" i="6" s="1"/>
  <c r="V11" i="6" s="1"/>
  <c r="AC11" i="6" s="1"/>
  <c r="U12" i="6"/>
  <c r="R13" i="6"/>
  <c r="T22" i="6"/>
  <c r="Q23" i="6"/>
  <c r="U24" i="6"/>
  <c r="R25" i="6"/>
  <c r="T34" i="6"/>
  <c r="U37" i="6"/>
  <c r="R38" i="6"/>
  <c r="U43" i="6"/>
  <c r="U34" i="6"/>
  <c r="R35" i="6"/>
  <c r="T44" i="6"/>
  <c r="R43" i="6"/>
  <c r="AB7" i="6"/>
  <c r="Z44" i="6"/>
  <c r="AB44" i="6" s="1"/>
  <c r="AB37" i="6"/>
  <c r="U20" i="5"/>
  <c r="T18" i="5"/>
  <c r="T38" i="5"/>
  <c r="Q2" i="5"/>
  <c r="S2" i="5" s="1"/>
  <c r="Q6" i="5"/>
  <c r="S6" i="5" s="1"/>
  <c r="V6" i="5" s="1"/>
  <c r="AC6" i="5" s="1"/>
  <c r="T9" i="5"/>
  <c r="T10" i="5"/>
  <c r="R12" i="5"/>
  <c r="T14" i="5"/>
  <c r="U17" i="5"/>
  <c r="U18" i="5"/>
  <c r="R24" i="5"/>
  <c r="T28" i="5"/>
  <c r="T36" i="5"/>
  <c r="R2" i="5"/>
  <c r="T5" i="5"/>
  <c r="T11" i="5"/>
  <c r="R31" i="5"/>
  <c r="U41" i="5"/>
  <c r="R6" i="5"/>
  <c r="U9" i="5"/>
  <c r="Q22" i="5"/>
  <c r="S22" i="5" s="1"/>
  <c r="V22" i="5" s="1"/>
  <c r="AC22" i="5" s="1"/>
  <c r="R10" i="5"/>
  <c r="Q3" i="5"/>
  <c r="S3" i="5" s="1"/>
  <c r="U5" i="5"/>
  <c r="Q7" i="5"/>
  <c r="U11" i="5"/>
  <c r="T46" i="5"/>
  <c r="T2" i="5"/>
  <c r="T6" i="5"/>
  <c r="U23" i="5"/>
  <c r="U27" i="5"/>
  <c r="R17" i="5"/>
  <c r="R3" i="5"/>
  <c r="Q4" i="5"/>
  <c r="S4" i="5" s="1"/>
  <c r="R7" i="5"/>
  <c r="R21" i="5"/>
  <c r="Q26" i="5"/>
  <c r="Q37" i="5"/>
  <c r="U8" i="5"/>
  <c r="U2" i="5"/>
  <c r="U6" i="5"/>
  <c r="Q16" i="5"/>
  <c r="S16" i="5" s="1"/>
  <c r="V16" i="5" s="1"/>
  <c r="AC16" i="5" s="1"/>
  <c r="T30" i="5"/>
  <c r="R28" i="5"/>
  <c r="R5" i="5"/>
  <c r="T13" i="5"/>
  <c r="T3" i="5"/>
  <c r="Q8" i="5"/>
  <c r="R16" i="5"/>
  <c r="T21" i="5"/>
  <c r="U30" i="5"/>
  <c r="U15" i="5"/>
  <c r="T7" i="5"/>
  <c r="Q14" i="5"/>
  <c r="S14" i="5" s="1"/>
  <c r="V14" i="5" s="1"/>
  <c r="AC14" i="5" s="1"/>
  <c r="Q15" i="5"/>
  <c r="S15" i="5" s="1"/>
  <c r="Q17" i="5"/>
  <c r="S17" i="5" s="1"/>
  <c r="Q19" i="5"/>
  <c r="T15" i="5"/>
  <c r="U4" i="5"/>
  <c r="U16" i="5"/>
  <c r="Q36" i="5"/>
  <c r="T4" i="5"/>
  <c r="Q5" i="5"/>
  <c r="U7" i="5"/>
  <c r="R9" i="5"/>
  <c r="Q10" i="5"/>
  <c r="T16" i="5"/>
  <c r="R18" i="5"/>
  <c r="R19" i="5"/>
  <c r="T25" i="5"/>
  <c r="T26" i="5"/>
  <c r="Q29" i="5"/>
  <c r="T27" i="5"/>
  <c r="Q28" i="5"/>
  <c r="U29" i="5"/>
  <c r="R30" i="5"/>
  <c r="U34" i="5"/>
  <c r="R35" i="5"/>
  <c r="R38" i="5"/>
  <c r="T41" i="5"/>
  <c r="R42" i="5"/>
  <c r="U45" i="5"/>
  <c r="T49" i="5"/>
  <c r="U3" i="5"/>
  <c r="R4" i="5"/>
  <c r="T8" i="5"/>
  <c r="Q9" i="5"/>
  <c r="S9" i="5" s="1"/>
  <c r="V9" i="5" s="1"/>
  <c r="U10" i="5"/>
  <c r="R11" i="5"/>
  <c r="T20" i="5"/>
  <c r="Q21" i="5"/>
  <c r="S21" i="5" s="1"/>
  <c r="U22" i="5"/>
  <c r="R23" i="5"/>
  <c r="T32" i="5"/>
  <c r="Q33" i="5"/>
  <c r="U37" i="5"/>
  <c r="Q39" i="5"/>
  <c r="Q43" i="5"/>
  <c r="R50" i="5"/>
  <c r="Q47" i="5"/>
  <c r="S47" i="5" s="1"/>
  <c r="U49" i="5"/>
  <c r="Q31" i="5"/>
  <c r="U32" i="5"/>
  <c r="R33" i="5"/>
  <c r="T35" i="5"/>
  <c r="R36" i="5"/>
  <c r="R39" i="5"/>
  <c r="T42" i="5"/>
  <c r="Q44" i="5"/>
  <c r="S44" i="5" s="1"/>
  <c r="Q12" i="5"/>
  <c r="S12" i="5" s="1"/>
  <c r="U13" i="5"/>
  <c r="R14" i="5"/>
  <c r="T23" i="5"/>
  <c r="Q24" i="5"/>
  <c r="U25" i="5"/>
  <c r="R26" i="5"/>
  <c r="U35" i="5"/>
  <c r="U38" i="5"/>
  <c r="T43" i="5"/>
  <c r="U46" i="5"/>
  <c r="R47" i="5"/>
  <c r="U50" i="5"/>
  <c r="T33" i="5"/>
  <c r="Q34" i="5"/>
  <c r="R44" i="5"/>
  <c r="Q48" i="5"/>
  <c r="S48" i="5" s="1"/>
  <c r="T39" i="5"/>
  <c r="Q40" i="5"/>
  <c r="S40" i="5" s="1"/>
  <c r="U43" i="5"/>
  <c r="R48" i="5"/>
  <c r="Q27" i="5"/>
  <c r="U28" i="5"/>
  <c r="R29" i="5"/>
  <c r="U33" i="5"/>
  <c r="R34" i="5"/>
  <c r="Q45" i="5"/>
  <c r="T47" i="5"/>
  <c r="Q49" i="5"/>
  <c r="S49" i="5" s="1"/>
  <c r="T19" i="5"/>
  <c r="Q20" i="5"/>
  <c r="U21" i="5"/>
  <c r="R22" i="5"/>
  <c r="T31" i="5"/>
  <c r="Q32" i="5"/>
  <c r="S32" i="5" s="1"/>
  <c r="V32" i="5" s="1"/>
  <c r="AC32" i="5" s="1"/>
  <c r="U36" i="5"/>
  <c r="R37" i="5"/>
  <c r="U39" i="5"/>
  <c r="R40" i="5"/>
  <c r="T44" i="5"/>
  <c r="U47" i="5"/>
  <c r="T48" i="5"/>
  <c r="T12" i="5"/>
  <c r="Q13" i="5"/>
  <c r="S13" i="5" s="1"/>
  <c r="V13" i="5" s="1"/>
  <c r="AC13" i="5" s="1"/>
  <c r="U14" i="5"/>
  <c r="R15" i="5"/>
  <c r="T24" i="5"/>
  <c r="Q25" i="5"/>
  <c r="U26" i="5"/>
  <c r="R27" i="5"/>
  <c r="R45" i="5"/>
  <c r="R49" i="5"/>
  <c r="R8" i="5"/>
  <c r="T17" i="5"/>
  <c r="Q18" i="5"/>
  <c r="U19" i="5"/>
  <c r="R20" i="5"/>
  <c r="T29" i="5"/>
  <c r="Q30" i="5"/>
  <c r="S30" i="5" s="1"/>
  <c r="V30" i="5" s="1"/>
  <c r="AC30" i="5" s="1"/>
  <c r="U31" i="5"/>
  <c r="R32" i="5"/>
  <c r="T34" i="5"/>
  <c r="Q35" i="5"/>
  <c r="S35" i="5" s="1"/>
  <c r="V35" i="5" s="1"/>
  <c r="AC35" i="5" s="1"/>
  <c r="Q38" i="5"/>
  <c r="S38" i="5" s="1"/>
  <c r="V38" i="5" s="1"/>
  <c r="AC38" i="5" s="1"/>
  <c r="Q42" i="5"/>
  <c r="U44" i="5"/>
  <c r="Q46" i="5"/>
  <c r="U48" i="5"/>
  <c r="Q11" i="5"/>
  <c r="U12" i="5"/>
  <c r="R13" i="5"/>
  <c r="T22" i="5"/>
  <c r="Q23" i="5"/>
  <c r="U24" i="5"/>
  <c r="R25" i="5"/>
  <c r="T37" i="5"/>
  <c r="T45" i="5"/>
  <c r="R46" i="5"/>
  <c r="Q50" i="5"/>
  <c r="T40" i="5"/>
  <c r="Q41" i="5"/>
  <c r="S41" i="5" s="1"/>
  <c r="V41" i="5" s="1"/>
  <c r="U42" i="5"/>
  <c r="R43" i="5"/>
  <c r="U40" i="5"/>
  <c r="R41" i="5"/>
  <c r="T50" i="5"/>
  <c r="AB34" i="5"/>
  <c r="Z9" i="5"/>
  <c r="AB9" i="5" s="1"/>
  <c r="Z13" i="5"/>
  <c r="AB13" i="5" s="1"/>
  <c r="AB15" i="5"/>
  <c r="Z24" i="5"/>
  <c r="AB24" i="5" s="1"/>
  <c r="Z2" i="5"/>
  <c r="AB2" i="5" s="1"/>
  <c r="Z21" i="5"/>
  <c r="AB21" i="5" s="1"/>
  <c r="AB22" i="5"/>
  <c r="Z41" i="5"/>
  <c r="AB41" i="5" s="1"/>
  <c r="AB43" i="5"/>
  <c r="T33" i="4"/>
  <c r="T49" i="4"/>
  <c r="R53" i="4"/>
  <c r="T61" i="4"/>
  <c r="T5" i="4"/>
  <c r="Q6" i="4"/>
  <c r="S6" i="4" s="1"/>
  <c r="U7" i="4"/>
  <c r="R8" i="4"/>
  <c r="R13" i="4"/>
  <c r="R16" i="4"/>
  <c r="U18" i="4"/>
  <c r="U21" i="4"/>
  <c r="U24" i="4"/>
  <c r="T3" i="4"/>
  <c r="Q4" i="4"/>
  <c r="T10" i="4"/>
  <c r="Q11" i="4"/>
  <c r="S11" i="4" s="1"/>
  <c r="U12" i="4"/>
  <c r="U15" i="4"/>
  <c r="T19" i="4"/>
  <c r="Q20" i="4"/>
  <c r="R30" i="4"/>
  <c r="Q58" i="4"/>
  <c r="S58" i="4" s="1"/>
  <c r="V58" i="4" s="1"/>
  <c r="AC58" i="4" s="1"/>
  <c r="U61" i="4"/>
  <c r="U64" i="4"/>
  <c r="U55" i="4"/>
  <c r="Q2" i="4"/>
  <c r="U5" i="4"/>
  <c r="T22" i="4"/>
  <c r="T25" i="4"/>
  <c r="R52" i="4"/>
  <c r="R4" i="4"/>
  <c r="T8" i="4"/>
  <c r="Q9" i="4"/>
  <c r="S9" i="4" s="1"/>
  <c r="V9" i="4" s="1"/>
  <c r="AC9" i="4" s="1"/>
  <c r="U10" i="4"/>
  <c r="R11" i="4"/>
  <c r="T13" i="4"/>
  <c r="Q14" i="4"/>
  <c r="T16" i="4"/>
  <c r="U19" i="4"/>
  <c r="R20" i="4"/>
  <c r="U29" i="4"/>
  <c r="Q36" i="4"/>
  <c r="Q37" i="4"/>
  <c r="R47" i="4"/>
  <c r="T60" i="4"/>
  <c r="R6" i="4"/>
  <c r="Q17" i="4"/>
  <c r="Q23" i="4"/>
  <c r="Q26" i="4"/>
  <c r="S26" i="4" s="1"/>
  <c r="Q31" i="4"/>
  <c r="S31" i="4" s="1"/>
  <c r="R35" i="4"/>
  <c r="T48" i="4"/>
  <c r="U53" i="4"/>
  <c r="U3" i="4"/>
  <c r="R2" i="4"/>
  <c r="U22" i="4"/>
  <c r="R23" i="4"/>
  <c r="U25" i="4"/>
  <c r="R26" i="4"/>
  <c r="T30" i="4"/>
  <c r="R31" i="4"/>
  <c r="U34" i="4"/>
  <c r="R36" i="4"/>
  <c r="R37" i="4"/>
  <c r="U60" i="4"/>
  <c r="R69" i="4"/>
  <c r="T6" i="4"/>
  <c r="Q7" i="4"/>
  <c r="S7" i="4" s="1"/>
  <c r="V7" i="4" s="1"/>
  <c r="AC7" i="4" s="1"/>
  <c r="U8" i="4"/>
  <c r="R9" i="4"/>
  <c r="U13" i="4"/>
  <c r="R14" i="4"/>
  <c r="Q18" i="4"/>
  <c r="S18" i="4" s="1"/>
  <c r="Q32" i="4"/>
  <c r="T35" i="4"/>
  <c r="R38" i="4"/>
  <c r="Q39" i="4"/>
  <c r="S39" i="4" s="1"/>
  <c r="V39" i="4" s="1"/>
  <c r="AC39" i="4" s="1"/>
  <c r="Q45" i="4"/>
  <c r="S45" i="4" s="1"/>
  <c r="R46" i="4"/>
  <c r="U47" i="4"/>
  <c r="Q63" i="4"/>
  <c r="Q68" i="4"/>
  <c r="S68" i="4" s="1"/>
  <c r="T69" i="4"/>
  <c r="U75" i="4"/>
  <c r="T4" i="4"/>
  <c r="T11" i="4"/>
  <c r="Q12" i="4"/>
  <c r="T17" i="4"/>
  <c r="T20" i="4"/>
  <c r="Q21" i="4"/>
  <c r="S21" i="4" s="1"/>
  <c r="Q24" i="4"/>
  <c r="S24" i="4" s="1"/>
  <c r="R27" i="4"/>
  <c r="Q28" i="4"/>
  <c r="U30" i="4"/>
  <c r="T31" i="4"/>
  <c r="T36" i="4"/>
  <c r="T37" i="4"/>
  <c r="Q40" i="4"/>
  <c r="S40" i="4" s="1"/>
  <c r="Q42" i="4"/>
  <c r="Q43" i="4"/>
  <c r="Q44" i="4"/>
  <c r="T51" i="4"/>
  <c r="T57" i="4"/>
  <c r="R68" i="4"/>
  <c r="U57" i="4"/>
  <c r="U6" i="4"/>
  <c r="U4" i="4"/>
  <c r="T9" i="4"/>
  <c r="Q10" i="4"/>
  <c r="U11" i="4"/>
  <c r="R12" i="4"/>
  <c r="R15" i="4"/>
  <c r="U17" i="4"/>
  <c r="U20" i="4"/>
  <c r="R21" i="4"/>
  <c r="R24" i="4"/>
  <c r="U26" i="4"/>
  <c r="T27" i="4"/>
  <c r="R28" i="4"/>
  <c r="Q33" i="4"/>
  <c r="S33" i="4" s="1"/>
  <c r="V33" i="4" s="1"/>
  <c r="AC33" i="4" s="1"/>
  <c r="U37" i="4"/>
  <c r="T50" i="4"/>
  <c r="Q62" i="4"/>
  <c r="S62" i="4" s="1"/>
  <c r="V62" i="4" s="1"/>
  <c r="AC62" i="4" s="1"/>
  <c r="U68" i="4"/>
  <c r="T2" i="4"/>
  <c r="Q5" i="4"/>
  <c r="R7" i="4"/>
  <c r="R18" i="4"/>
  <c r="T23" i="4"/>
  <c r="U36" i="4"/>
  <c r="T38" i="4"/>
  <c r="R39" i="4"/>
  <c r="R40" i="4"/>
  <c r="R41" i="4"/>
  <c r="R42" i="4"/>
  <c r="U46" i="4"/>
  <c r="U2" i="4"/>
  <c r="R5" i="4"/>
  <c r="U14" i="4"/>
  <c r="Q19" i="4"/>
  <c r="U23" i="4"/>
  <c r="Q25" i="4"/>
  <c r="S25" i="4" s="1"/>
  <c r="V25" i="4" s="1"/>
  <c r="AC25" i="4" s="1"/>
  <c r="T32" i="4"/>
  <c r="T39" i="4"/>
  <c r="T42" i="4"/>
  <c r="T43" i="4"/>
  <c r="U45" i="4"/>
  <c r="Q3" i="4"/>
  <c r="S3" i="4" s="1"/>
  <c r="R3" i="4"/>
  <c r="T7" i="4"/>
  <c r="Q8" i="4"/>
  <c r="S8" i="4" s="1"/>
  <c r="U9" i="4"/>
  <c r="R10" i="4"/>
  <c r="Q13" i="4"/>
  <c r="Q16" i="4"/>
  <c r="T18" i="4"/>
  <c r="Q22" i="4"/>
  <c r="S22" i="4" s="1"/>
  <c r="V22" i="4" s="1"/>
  <c r="AC22" i="4" s="1"/>
  <c r="T24" i="4"/>
  <c r="U27" i="4"/>
  <c r="Q29" i="4"/>
  <c r="R33" i="4"/>
  <c r="U39" i="4"/>
  <c r="U40" i="4"/>
  <c r="U43" i="4"/>
  <c r="T44" i="4"/>
  <c r="T67" i="4"/>
  <c r="T12" i="4"/>
  <c r="T15" i="4"/>
  <c r="R19" i="4"/>
  <c r="T21" i="4"/>
  <c r="R22" i="4"/>
  <c r="R25" i="4"/>
  <c r="T28" i="4"/>
  <c r="U32" i="4"/>
  <c r="Q34" i="4"/>
  <c r="S34" i="4" s="1"/>
  <c r="U44" i="4"/>
  <c r="R49" i="4"/>
  <c r="U56" i="4"/>
  <c r="U74" i="4"/>
  <c r="R51" i="4"/>
  <c r="Q56" i="4"/>
  <c r="R60" i="4"/>
  <c r="T70" i="4"/>
  <c r="T71" i="4"/>
  <c r="T73" i="4"/>
  <c r="Q48" i="4"/>
  <c r="S48" i="4" s="1"/>
  <c r="V48" i="4" s="1"/>
  <c r="AC48" i="4" s="1"/>
  <c r="U50" i="4"/>
  <c r="T55" i="4"/>
  <c r="T59" i="4"/>
  <c r="U63" i="4"/>
  <c r="R65" i="4"/>
  <c r="Q66" i="4"/>
  <c r="Q67" i="4"/>
  <c r="S67" i="4" s="1"/>
  <c r="U71" i="4"/>
  <c r="T72" i="4"/>
  <c r="T74" i="4"/>
  <c r="R75" i="4"/>
  <c r="T41" i="4"/>
  <c r="R45" i="4"/>
  <c r="T47" i="4"/>
  <c r="R48" i="4"/>
  <c r="Q52" i="4"/>
  <c r="S52" i="4" s="1"/>
  <c r="R56" i="4"/>
  <c r="U59" i="4"/>
  <c r="Q61" i="4"/>
  <c r="S61" i="4" s="1"/>
  <c r="V61" i="4" s="1"/>
  <c r="AC61" i="4" s="1"/>
  <c r="U73" i="4"/>
  <c r="U35" i="4"/>
  <c r="U38" i="4"/>
  <c r="U41" i="4"/>
  <c r="T45" i="4"/>
  <c r="Q46" i="4"/>
  <c r="Q49" i="4"/>
  <c r="S49" i="4" s="1"/>
  <c r="U51" i="4"/>
  <c r="R57" i="4"/>
  <c r="R61" i="4"/>
  <c r="T65" i="4"/>
  <c r="T66" i="4"/>
  <c r="T14" i="4"/>
  <c r="Q15" i="4"/>
  <c r="U16" i="4"/>
  <c r="R17" i="4"/>
  <c r="T26" i="4"/>
  <c r="Q27" i="4"/>
  <c r="S27" i="4" s="1"/>
  <c r="V27" i="4" s="1"/>
  <c r="AC27" i="4" s="1"/>
  <c r="U28" i="4"/>
  <c r="R29" i="4"/>
  <c r="U33" i="4"/>
  <c r="R34" i="4"/>
  <c r="U48" i="4"/>
  <c r="Q50" i="4"/>
  <c r="S50" i="4" s="1"/>
  <c r="U52" i="4"/>
  <c r="Q54" i="4"/>
  <c r="R58" i="4"/>
  <c r="R62" i="4"/>
  <c r="U67" i="4"/>
  <c r="Q70" i="4"/>
  <c r="S70" i="4" s="1"/>
  <c r="V70" i="4" s="1"/>
  <c r="AC70" i="4" s="1"/>
  <c r="T46" i="4"/>
  <c r="Q47" i="4"/>
  <c r="R50" i="4"/>
  <c r="T53" i="4"/>
  <c r="R54" i="4"/>
  <c r="Q55" i="4"/>
  <c r="S55" i="4" s="1"/>
  <c r="V55" i="4" s="1"/>
  <c r="AC55" i="4" s="1"/>
  <c r="Q59" i="4"/>
  <c r="S59" i="4" s="1"/>
  <c r="V59" i="4" s="1"/>
  <c r="AC59" i="4" s="1"/>
  <c r="T62" i="4"/>
  <c r="R70" i="4"/>
  <c r="Q72" i="4"/>
  <c r="Q74" i="4"/>
  <c r="S74" i="4" s="1"/>
  <c r="T29" i="4"/>
  <c r="Q30" i="4"/>
  <c r="U31" i="4"/>
  <c r="R32" i="4"/>
  <c r="T34" i="4"/>
  <c r="Q35" i="4"/>
  <c r="Q38" i="4"/>
  <c r="S38" i="4" s="1"/>
  <c r="V38" i="4" s="1"/>
  <c r="AC38" i="4" s="1"/>
  <c r="R44" i="4"/>
  <c r="U49" i="4"/>
  <c r="Q51" i="4"/>
  <c r="T58" i="4"/>
  <c r="R63" i="4"/>
  <c r="U69" i="4"/>
  <c r="R72" i="4"/>
  <c r="Q73" i="4"/>
  <c r="T54" i="4"/>
  <c r="Q60" i="4"/>
  <c r="S60" i="4" s="1"/>
  <c r="V60" i="4" s="1"/>
  <c r="AC60" i="4" s="1"/>
  <c r="U62" i="4"/>
  <c r="R64" i="4"/>
  <c r="R74" i="4"/>
  <c r="Q75" i="4"/>
  <c r="Q71" i="4"/>
  <c r="U72" i="4"/>
  <c r="R73" i="4"/>
  <c r="T63" i="4"/>
  <c r="Q64" i="4"/>
  <c r="S64" i="4" s="1"/>
  <c r="U65" i="4"/>
  <c r="R66" i="4"/>
  <c r="T75" i="4"/>
  <c r="T56" i="4"/>
  <c r="Q57" i="4"/>
  <c r="S57" i="4" s="1"/>
  <c r="V57" i="4" s="1"/>
  <c r="AC57" i="4" s="1"/>
  <c r="U58" i="4"/>
  <c r="R59" i="4"/>
  <c r="T68" i="4"/>
  <c r="Q69" i="4"/>
  <c r="S69" i="4" s="1"/>
  <c r="V69" i="4" s="1"/>
  <c r="AC69" i="4" s="1"/>
  <c r="U70" i="4"/>
  <c r="R71" i="4"/>
  <c r="T40" i="4"/>
  <c r="Q41" i="4"/>
  <c r="U42" i="4"/>
  <c r="R43" i="4"/>
  <c r="T52" i="4"/>
  <c r="Q53" i="4"/>
  <c r="S53" i="4" s="1"/>
  <c r="U54" i="4"/>
  <c r="R55" i="4"/>
  <c r="T64" i="4"/>
  <c r="Q65" i="4"/>
  <c r="S65" i="4" s="1"/>
  <c r="U66" i="4"/>
  <c r="R67" i="4"/>
  <c r="AB37" i="4"/>
  <c r="Z44" i="4"/>
  <c r="AB44" i="4" s="1"/>
  <c r="Z27" i="4"/>
  <c r="AB27" i="4" s="1"/>
  <c r="Z43" i="4"/>
  <c r="AB43" i="4" s="1"/>
  <c r="AB45" i="4"/>
  <c r="AB53" i="4"/>
  <c r="Z15" i="4"/>
  <c r="AB15" i="4" s="1"/>
  <c r="Z59" i="4"/>
  <c r="AB59" i="4" s="1"/>
  <c r="Z71" i="4"/>
  <c r="AB71" i="4" s="1"/>
  <c r="Z41" i="4"/>
  <c r="AB41" i="4" s="1"/>
  <c r="Z65" i="4"/>
  <c r="AB65" i="4" s="1"/>
  <c r="Z57" i="4"/>
  <c r="AB57" i="4" s="1"/>
  <c r="U3" i="3"/>
  <c r="R11" i="3"/>
  <c r="T13" i="3"/>
  <c r="R14" i="3"/>
  <c r="R17" i="3"/>
  <c r="R20" i="3"/>
  <c r="U22" i="3"/>
  <c r="T23" i="3"/>
  <c r="T27" i="3"/>
  <c r="R37" i="3"/>
  <c r="T8" i="3"/>
  <c r="T5" i="3"/>
  <c r="Q6" i="3"/>
  <c r="U7" i="3"/>
  <c r="R8" i="3"/>
  <c r="U10" i="3"/>
  <c r="U13" i="3"/>
  <c r="U16" i="3"/>
  <c r="U19" i="3"/>
  <c r="R24" i="3"/>
  <c r="R28" i="3"/>
  <c r="T31" i="3"/>
  <c r="R32" i="3"/>
  <c r="Q33" i="3"/>
  <c r="U36" i="3"/>
  <c r="Q38" i="3"/>
  <c r="R39" i="3"/>
  <c r="Q12" i="3"/>
  <c r="S12" i="3" s="1"/>
  <c r="Q21" i="3"/>
  <c r="S21" i="3" s="1"/>
  <c r="U23" i="3"/>
  <c r="U27" i="3"/>
  <c r="Q29" i="3"/>
  <c r="Q40" i="3"/>
  <c r="T3" i="3"/>
  <c r="Q4" i="3"/>
  <c r="T11" i="3"/>
  <c r="Q2" i="3"/>
  <c r="S2" i="3" s="1"/>
  <c r="V2" i="3" s="1"/>
  <c r="U5" i="3"/>
  <c r="R6" i="3"/>
  <c r="Q9" i="3"/>
  <c r="T14" i="3"/>
  <c r="Q15" i="3"/>
  <c r="T17" i="3"/>
  <c r="Q18" i="3"/>
  <c r="T20" i="3"/>
  <c r="Q25" i="3"/>
  <c r="T28" i="3"/>
  <c r="U31" i="3"/>
  <c r="T32" i="3"/>
  <c r="Q34" i="3"/>
  <c r="S34" i="3" s="1"/>
  <c r="U37" i="3"/>
  <c r="Q41" i="3"/>
  <c r="Q45" i="3"/>
  <c r="U11" i="3"/>
  <c r="R12" i="3"/>
  <c r="T24" i="3"/>
  <c r="R29" i="3"/>
  <c r="U38" i="3"/>
  <c r="T39" i="3"/>
  <c r="R40" i="3"/>
  <c r="R42" i="3"/>
  <c r="R34" i="3"/>
  <c r="Q44" i="3"/>
  <c r="T45" i="3"/>
  <c r="R2" i="3"/>
  <c r="U14" i="3"/>
  <c r="R15" i="3"/>
  <c r="U17" i="3"/>
  <c r="R18" i="3"/>
  <c r="Q22" i="3"/>
  <c r="S22" i="3" s="1"/>
  <c r="V22" i="3" s="1"/>
  <c r="AC22" i="3" s="1"/>
  <c r="Q26" i="3"/>
  <c r="S26" i="3" s="1"/>
  <c r="U28" i="3"/>
  <c r="T33" i="3"/>
  <c r="T6" i="3"/>
  <c r="Q7" i="3"/>
  <c r="S7" i="3" s="1"/>
  <c r="V7" i="3" s="1"/>
  <c r="AC7" i="3" s="1"/>
  <c r="Q10" i="3"/>
  <c r="T21" i="3"/>
  <c r="R26" i="3"/>
  <c r="Q30" i="3"/>
  <c r="Q35" i="3"/>
  <c r="U39" i="3"/>
  <c r="T40" i="3"/>
  <c r="R43" i="3"/>
  <c r="T4" i="3"/>
  <c r="T9" i="3"/>
  <c r="T12" i="3"/>
  <c r="Q13" i="3"/>
  <c r="Q16" i="3"/>
  <c r="R22" i="3"/>
  <c r="T25" i="3"/>
  <c r="T29" i="3"/>
  <c r="R30" i="3"/>
  <c r="U33" i="3"/>
  <c r="Q36" i="3"/>
  <c r="U40" i="3"/>
  <c r="U41" i="3"/>
  <c r="U45" i="3"/>
  <c r="T2" i="3"/>
  <c r="Q5" i="3"/>
  <c r="S5" i="3" s="1"/>
  <c r="U6" i="3"/>
  <c r="R7" i="3"/>
  <c r="R10" i="3"/>
  <c r="T15" i="3"/>
  <c r="R19" i="3"/>
  <c r="U21" i="3"/>
  <c r="U25" i="3"/>
  <c r="Q27" i="3"/>
  <c r="U29" i="3"/>
  <c r="T34" i="3"/>
  <c r="U42" i="3"/>
  <c r="R16" i="3"/>
  <c r="U18" i="3"/>
  <c r="T26" i="3"/>
  <c r="U34" i="3"/>
  <c r="T35" i="3"/>
  <c r="U43" i="3"/>
  <c r="R4" i="3"/>
  <c r="Q3" i="3"/>
  <c r="S3" i="3" s="1"/>
  <c r="V3" i="3" s="1"/>
  <c r="AC3" i="3" s="1"/>
  <c r="U4" i="3"/>
  <c r="U9" i="3"/>
  <c r="U12" i="3"/>
  <c r="R13" i="3"/>
  <c r="U2" i="3"/>
  <c r="R5" i="3"/>
  <c r="Q11" i="3"/>
  <c r="S11" i="3" s="1"/>
  <c r="U15" i="3"/>
  <c r="Q17" i="3"/>
  <c r="S17" i="3" s="1"/>
  <c r="V17" i="3" s="1"/>
  <c r="AC17" i="3" s="1"/>
  <c r="Q20" i="3"/>
  <c r="S20" i="3" s="1"/>
  <c r="T22" i="3"/>
  <c r="R23" i="3"/>
  <c r="R27" i="3"/>
  <c r="R31" i="3"/>
  <c r="Q37" i="3"/>
  <c r="S37" i="3" s="1"/>
  <c r="R3" i="3"/>
  <c r="T7" i="3"/>
  <c r="Q8" i="3"/>
  <c r="S8" i="3" s="1"/>
  <c r="T10" i="3"/>
  <c r="Q14" i="3"/>
  <c r="S14" i="3" s="1"/>
  <c r="V14" i="3" s="1"/>
  <c r="AC14" i="3" s="1"/>
  <c r="T16" i="3"/>
  <c r="T19" i="3"/>
  <c r="Q24" i="3"/>
  <c r="S24" i="3" s="1"/>
  <c r="U26" i="3"/>
  <c r="Q28" i="3"/>
  <c r="S28" i="3" s="1"/>
  <c r="V28" i="3" s="1"/>
  <c r="AC28" i="3" s="1"/>
  <c r="U30" i="3"/>
  <c r="Q32" i="3"/>
  <c r="T36" i="3"/>
  <c r="T38" i="3"/>
  <c r="Q39" i="3"/>
  <c r="T41" i="3"/>
  <c r="Q42" i="3"/>
  <c r="S42" i="3" s="1"/>
  <c r="T44" i="3"/>
  <c r="U8" i="3"/>
  <c r="R9" i="3"/>
  <c r="T18" i="3"/>
  <c r="Q19" i="3"/>
  <c r="U20" i="3"/>
  <c r="R21" i="3"/>
  <c r="T30" i="3"/>
  <c r="Q31" i="3"/>
  <c r="U32" i="3"/>
  <c r="R33" i="3"/>
  <c r="U35" i="3"/>
  <c r="R36" i="3"/>
  <c r="T43" i="3"/>
  <c r="Q23" i="3"/>
  <c r="S23" i="3" s="1"/>
  <c r="U24" i="3"/>
  <c r="R25" i="3"/>
  <c r="R35" i="3"/>
  <c r="T37" i="3"/>
  <c r="R38" i="3"/>
  <c r="R41" i="3"/>
  <c r="R44" i="3"/>
  <c r="T42" i="3"/>
  <c r="Q43" i="3"/>
  <c r="S43" i="3" s="1"/>
  <c r="V43" i="3" s="1"/>
  <c r="AC43" i="3" s="1"/>
  <c r="U44" i="3"/>
  <c r="R45" i="3"/>
  <c r="AB33" i="3"/>
  <c r="AB21" i="3"/>
  <c r="AB25" i="3"/>
  <c r="Z19" i="3"/>
  <c r="AB19" i="3" s="1"/>
  <c r="Z43" i="3"/>
  <c r="AB43" i="3" s="1"/>
  <c r="V35" i="9" l="1"/>
  <c r="AC35" i="9" s="1"/>
  <c r="S32" i="9"/>
  <c r="V32" i="9" s="1"/>
  <c r="AC32" i="9" s="1"/>
  <c r="S9" i="9"/>
  <c r="V9" i="9" s="1"/>
  <c r="AC9" i="9" s="1"/>
  <c r="V44" i="9"/>
  <c r="AC44" i="9" s="1"/>
  <c r="S3" i="9"/>
  <c r="V3" i="9" s="1"/>
  <c r="AC3" i="9" s="1"/>
  <c r="V30" i="9"/>
  <c r="AC30" i="9" s="1"/>
  <c r="S39" i="9"/>
  <c r="V39" i="9" s="1"/>
  <c r="AC39" i="9" s="1"/>
  <c r="S34" i="9"/>
  <c r="V34" i="9" s="1"/>
  <c r="AC34" i="9" s="1"/>
  <c r="S5" i="9"/>
  <c r="V5" i="9" s="1"/>
  <c r="AC5" i="9" s="1"/>
  <c r="V20" i="9"/>
  <c r="AC20" i="9" s="1"/>
  <c r="S36" i="9"/>
  <c r="V36" i="9" s="1"/>
  <c r="AC36" i="9" s="1"/>
  <c r="S38" i="9"/>
  <c r="V38" i="9" s="1"/>
  <c r="AC38" i="9" s="1"/>
  <c r="V37" i="9"/>
  <c r="AC37" i="9" s="1"/>
  <c r="V12" i="9"/>
  <c r="AC12" i="9" s="1"/>
  <c r="S18" i="9"/>
  <c r="V18" i="9" s="1"/>
  <c r="AC18" i="9" s="1"/>
  <c r="V8" i="9"/>
  <c r="AC8" i="9" s="1"/>
  <c r="S27" i="9"/>
  <c r="V27" i="9" s="1"/>
  <c r="AC27" i="9" s="1"/>
  <c r="V6" i="9"/>
  <c r="AC6" i="9" s="1"/>
  <c r="S2" i="9"/>
  <c r="V2" i="9" s="1"/>
  <c r="V33" i="9"/>
  <c r="AC33" i="9" s="1"/>
  <c r="S11" i="9"/>
  <c r="V11" i="9" s="1"/>
  <c r="AC11" i="9" s="1"/>
  <c r="S7" i="9"/>
  <c r="V7" i="9" s="1"/>
  <c r="AC7" i="9" s="1"/>
  <c r="S26" i="9"/>
  <c r="V26" i="9" s="1"/>
  <c r="AC26" i="9" s="1"/>
  <c r="S25" i="9"/>
  <c r="V25" i="9" s="1"/>
  <c r="AC25" i="9" s="1"/>
  <c r="V22" i="9"/>
  <c r="AC22" i="9" s="1"/>
  <c r="S29" i="9"/>
  <c r="V29" i="9" s="1"/>
  <c r="AC29" i="9" s="1"/>
  <c r="V43" i="9"/>
  <c r="AC43" i="9" s="1"/>
  <c r="S4" i="9"/>
  <c r="V4" i="9" s="1"/>
  <c r="AC4" i="9" s="1"/>
  <c r="V15" i="9"/>
  <c r="AC15" i="9" s="1"/>
  <c r="V14" i="9"/>
  <c r="AC14" i="9" s="1"/>
  <c r="V16" i="9"/>
  <c r="AC16" i="9" s="1"/>
  <c r="V20" i="8"/>
  <c r="AC20" i="8" s="1"/>
  <c r="S15" i="8"/>
  <c r="V15" i="8" s="1"/>
  <c r="AC15" i="8" s="1"/>
  <c r="S24" i="8"/>
  <c r="V24" i="8" s="1"/>
  <c r="AC24" i="8" s="1"/>
  <c r="S16" i="8"/>
  <c r="V16" i="8" s="1"/>
  <c r="AC16" i="8" s="1"/>
  <c r="S14" i="8"/>
  <c r="V14" i="8" s="1"/>
  <c r="AC14" i="8" s="1"/>
  <c r="V41" i="8"/>
  <c r="AC41" i="8" s="1"/>
  <c r="S13" i="8"/>
  <c r="V13" i="8" s="1"/>
  <c r="AC13" i="8" s="1"/>
  <c r="S33" i="8"/>
  <c r="V33" i="8" s="1"/>
  <c r="AC33" i="8" s="1"/>
  <c r="V12" i="8"/>
  <c r="AC12" i="8" s="1"/>
  <c r="S44" i="8"/>
  <c r="V44" i="8" s="1"/>
  <c r="AC44" i="8" s="1"/>
  <c r="S3" i="8"/>
  <c r="V3" i="8" s="1"/>
  <c r="AC3" i="8" s="1"/>
  <c r="S5" i="8"/>
  <c r="V5" i="8" s="1"/>
  <c r="AC5" i="8" s="1"/>
  <c r="V27" i="8"/>
  <c r="AC27" i="8" s="1"/>
  <c r="S7" i="8"/>
  <c r="V7" i="8" s="1"/>
  <c r="AC7" i="8" s="1"/>
  <c r="S9" i="8"/>
  <c r="V9" i="8" s="1"/>
  <c r="AC9" i="8" s="1"/>
  <c r="S21" i="8"/>
  <c r="V21" i="8" s="1"/>
  <c r="AC21" i="8" s="1"/>
  <c r="V38" i="8"/>
  <c r="AC38" i="8" s="1"/>
  <c r="S22" i="8"/>
  <c r="V22" i="8" s="1"/>
  <c r="AC22" i="8" s="1"/>
  <c r="V37" i="8"/>
  <c r="AC37" i="8" s="1"/>
  <c r="V17" i="8"/>
  <c r="AC17" i="8" s="1"/>
  <c r="V34" i="8"/>
  <c r="AC34" i="8" s="1"/>
  <c r="S35" i="8"/>
  <c r="V35" i="8" s="1"/>
  <c r="AC35" i="8" s="1"/>
  <c r="S42" i="8"/>
  <c r="V42" i="8" s="1"/>
  <c r="AC42" i="8" s="1"/>
  <c r="S40" i="8"/>
  <c r="V40" i="8" s="1"/>
  <c r="AC40" i="8" s="1"/>
  <c r="S43" i="8"/>
  <c r="V43" i="8" s="1"/>
  <c r="AC43" i="8" s="1"/>
  <c r="S28" i="8"/>
  <c r="V28" i="8" s="1"/>
  <c r="AC28" i="8" s="1"/>
  <c r="S30" i="8"/>
  <c r="V30" i="8" s="1"/>
  <c r="AC30" i="8" s="1"/>
  <c r="AC25" i="8"/>
  <c r="S29" i="8"/>
  <c r="V29" i="8" s="1"/>
  <c r="AC29" i="8" s="1"/>
  <c r="S8" i="8"/>
  <c r="V8" i="8" s="1"/>
  <c r="AC8" i="8" s="1"/>
  <c r="S2" i="8"/>
  <c r="V2" i="8" s="1"/>
  <c r="V20" i="7"/>
  <c r="AC20" i="7" s="1"/>
  <c r="V21" i="7"/>
  <c r="AC21" i="7" s="1"/>
  <c r="V53" i="7"/>
  <c r="AC53" i="7" s="1"/>
  <c r="S58" i="7"/>
  <c r="V58" i="7" s="1"/>
  <c r="AC58" i="7" s="1"/>
  <c r="S40" i="7"/>
  <c r="V40" i="7" s="1"/>
  <c r="AC40" i="7" s="1"/>
  <c r="S46" i="7"/>
  <c r="V46" i="7" s="1"/>
  <c r="AC46" i="7" s="1"/>
  <c r="V56" i="7"/>
  <c r="AC56" i="7" s="1"/>
  <c r="V8" i="7"/>
  <c r="AC8" i="7" s="1"/>
  <c r="S15" i="7"/>
  <c r="V15" i="7" s="1"/>
  <c r="AC15" i="7" s="1"/>
  <c r="S5" i="7"/>
  <c r="V5" i="7" s="1"/>
  <c r="AC5" i="7" s="1"/>
  <c r="S55" i="7"/>
  <c r="V55" i="7" s="1"/>
  <c r="AC55" i="7" s="1"/>
  <c r="S17" i="7"/>
  <c r="V17" i="7" s="1"/>
  <c r="AC17" i="7" s="1"/>
  <c r="V42" i="7"/>
  <c r="AC42" i="7" s="1"/>
  <c r="V30" i="7"/>
  <c r="AC30" i="7" s="1"/>
  <c r="V44" i="7"/>
  <c r="AC44" i="7" s="1"/>
  <c r="S29" i="7"/>
  <c r="V29" i="7" s="1"/>
  <c r="AC29" i="7" s="1"/>
  <c r="S45" i="7"/>
  <c r="V45" i="7" s="1"/>
  <c r="AC45" i="7" s="1"/>
  <c r="S7" i="7"/>
  <c r="V7" i="7" s="1"/>
  <c r="AC7" i="7" s="1"/>
  <c r="V37" i="7"/>
  <c r="AC37" i="7" s="1"/>
  <c r="S31" i="7"/>
  <c r="V31" i="7" s="1"/>
  <c r="AC31" i="7" s="1"/>
  <c r="V22" i="7"/>
  <c r="AC22" i="7" s="1"/>
  <c r="V3" i="7"/>
  <c r="AC3" i="7" s="1"/>
  <c r="V25" i="7"/>
  <c r="AC25" i="7" s="1"/>
  <c r="S2" i="7"/>
  <c r="V2" i="7" s="1"/>
  <c r="S27" i="7"/>
  <c r="V27" i="7" s="1"/>
  <c r="AC27" i="7" s="1"/>
  <c r="V48" i="7"/>
  <c r="AC48" i="7" s="1"/>
  <c r="S23" i="7"/>
  <c r="V23" i="7" s="1"/>
  <c r="AC23" i="7" s="1"/>
  <c r="V47" i="7"/>
  <c r="AC47" i="7" s="1"/>
  <c r="S18" i="7"/>
  <c r="V18" i="7" s="1"/>
  <c r="AC18" i="7" s="1"/>
  <c r="S12" i="7"/>
  <c r="V12" i="7" s="1"/>
  <c r="AC12" i="7" s="1"/>
  <c r="S32" i="7"/>
  <c r="V32" i="7" s="1"/>
  <c r="AC32" i="7" s="1"/>
  <c r="S49" i="7"/>
  <c r="V49" i="7" s="1"/>
  <c r="AC49" i="7" s="1"/>
  <c r="S36" i="7"/>
  <c r="V36" i="7" s="1"/>
  <c r="AC36" i="7" s="1"/>
  <c r="V39" i="7"/>
  <c r="AC39" i="7" s="1"/>
  <c r="V19" i="7"/>
  <c r="AC19" i="7" s="1"/>
  <c r="V14" i="7"/>
  <c r="AC14" i="7" s="1"/>
  <c r="S13" i="7"/>
  <c r="V13" i="7" s="1"/>
  <c r="AC13" i="7" s="1"/>
  <c r="V9" i="7"/>
  <c r="AC9" i="7" s="1"/>
  <c r="S24" i="7"/>
  <c r="V24" i="7" s="1"/>
  <c r="AC24" i="7" s="1"/>
  <c r="S33" i="7"/>
  <c r="V33" i="7" s="1"/>
  <c r="AC33" i="7" s="1"/>
  <c r="S26" i="7"/>
  <c r="V26" i="7" s="1"/>
  <c r="AC26" i="7" s="1"/>
  <c r="V41" i="7"/>
  <c r="AC41" i="7" s="1"/>
  <c r="S38" i="7"/>
  <c r="V38" i="7" s="1"/>
  <c r="AC38" i="7" s="1"/>
  <c r="S43" i="7"/>
  <c r="V43" i="7" s="1"/>
  <c r="AC43" i="7" s="1"/>
  <c r="S59" i="7"/>
  <c r="V59" i="7" s="1"/>
  <c r="AC59" i="7" s="1"/>
  <c r="S28" i="7"/>
  <c r="V28" i="7" s="1"/>
  <c r="AC28" i="7" s="1"/>
  <c r="S10" i="7"/>
  <c r="V10" i="7" s="1"/>
  <c r="AC10" i="7" s="1"/>
  <c r="S4" i="7"/>
  <c r="V4" i="7" s="1"/>
  <c r="AC4" i="7" s="1"/>
  <c r="S40" i="6"/>
  <c r="V40" i="6" s="1"/>
  <c r="AC40" i="6" s="1"/>
  <c r="S19" i="6"/>
  <c r="V19" i="6" s="1"/>
  <c r="AC19" i="6" s="1"/>
  <c r="V39" i="6"/>
  <c r="AC39" i="6" s="1"/>
  <c r="S34" i="6"/>
  <c r="V34" i="6" s="1"/>
  <c r="AC34" i="6" s="1"/>
  <c r="S3" i="6"/>
  <c r="V3" i="6" s="1"/>
  <c r="AC3" i="6" s="1"/>
  <c r="S18" i="6"/>
  <c r="V18" i="6" s="1"/>
  <c r="AC18" i="6" s="1"/>
  <c r="S15" i="6"/>
  <c r="V15" i="6" s="1"/>
  <c r="AC15" i="6" s="1"/>
  <c r="V16" i="6"/>
  <c r="AC16" i="6" s="1"/>
  <c r="V27" i="6"/>
  <c r="AC27" i="6" s="1"/>
  <c r="S37" i="6"/>
  <c r="V37" i="6" s="1"/>
  <c r="AC37" i="6" s="1"/>
  <c r="V12" i="6"/>
  <c r="AC12" i="6" s="1"/>
  <c r="S4" i="6"/>
  <c r="V4" i="6" s="1"/>
  <c r="AC4" i="6" s="1"/>
  <c r="S25" i="6"/>
  <c r="V25" i="6" s="1"/>
  <c r="AC25" i="6" s="1"/>
  <c r="S20" i="6"/>
  <c r="V20" i="6" s="1"/>
  <c r="AC20" i="6" s="1"/>
  <c r="V5" i="6"/>
  <c r="AC5" i="6" s="1"/>
  <c r="S10" i="6"/>
  <c r="V10" i="6" s="1"/>
  <c r="AC10" i="6" s="1"/>
  <c r="V31" i="6"/>
  <c r="AC31" i="6" s="1"/>
  <c r="V30" i="6"/>
  <c r="AC30" i="6" s="1"/>
  <c r="S23" i="6"/>
  <c r="V23" i="6" s="1"/>
  <c r="AC23" i="6" s="1"/>
  <c r="V22" i="6"/>
  <c r="AC22" i="6" s="1"/>
  <c r="S17" i="6"/>
  <c r="V17" i="6" s="1"/>
  <c r="AC17" i="6" s="1"/>
  <c r="S32" i="6"/>
  <c r="V32" i="6" s="1"/>
  <c r="AC32" i="6" s="1"/>
  <c r="S42" i="6"/>
  <c r="V42" i="6" s="1"/>
  <c r="AC42" i="6" s="1"/>
  <c r="S35" i="6"/>
  <c r="V35" i="6" s="1"/>
  <c r="AC35" i="6" s="1"/>
  <c r="V41" i="6"/>
  <c r="AC41" i="6" s="1"/>
  <c r="V33" i="6"/>
  <c r="AC33" i="6" s="1"/>
  <c r="S44" i="6"/>
  <c r="V44" i="6" s="1"/>
  <c r="AC44" i="6" s="1"/>
  <c r="S7" i="6"/>
  <c r="V7" i="6" s="1"/>
  <c r="AC7" i="6" s="1"/>
  <c r="V29" i="6"/>
  <c r="AC29" i="6" s="1"/>
  <c r="S38" i="6"/>
  <c r="V38" i="6" s="1"/>
  <c r="AC38" i="6" s="1"/>
  <c r="S13" i="6"/>
  <c r="V13" i="6" s="1"/>
  <c r="AC13" i="6" s="1"/>
  <c r="S28" i="6"/>
  <c r="V28" i="6" s="1"/>
  <c r="AC28" i="6" s="1"/>
  <c r="S43" i="6"/>
  <c r="V43" i="6" s="1"/>
  <c r="AC43" i="6" s="1"/>
  <c r="S2" i="6"/>
  <c r="V2" i="6" s="1"/>
  <c r="V3" i="5"/>
  <c r="AC3" i="5" s="1"/>
  <c r="V4" i="5"/>
  <c r="AC4" i="5" s="1"/>
  <c r="V44" i="5"/>
  <c r="AC44" i="5" s="1"/>
  <c r="AC9" i="5"/>
  <c r="S19" i="5"/>
  <c r="V19" i="5" s="1"/>
  <c r="AC19" i="5" s="1"/>
  <c r="AC41" i="5"/>
  <c r="S50" i="5"/>
  <c r="V50" i="5" s="1"/>
  <c r="AC50" i="5" s="1"/>
  <c r="V49" i="5"/>
  <c r="AC49" i="5" s="1"/>
  <c r="S43" i="5"/>
  <c r="V43" i="5" s="1"/>
  <c r="AC43" i="5" s="1"/>
  <c r="V17" i="5"/>
  <c r="AC17" i="5" s="1"/>
  <c r="S39" i="5"/>
  <c r="V39" i="5" s="1"/>
  <c r="AC39" i="5" s="1"/>
  <c r="V15" i="5"/>
  <c r="AC15" i="5" s="1"/>
  <c r="S45" i="5"/>
  <c r="V45" i="5" s="1"/>
  <c r="AC45" i="5" s="1"/>
  <c r="V40" i="5"/>
  <c r="AC40" i="5" s="1"/>
  <c r="S10" i="5"/>
  <c r="V10" i="5" s="1"/>
  <c r="AC10" i="5" s="1"/>
  <c r="S33" i="5"/>
  <c r="V33" i="5" s="1"/>
  <c r="AC33" i="5" s="1"/>
  <c r="S5" i="5"/>
  <c r="V5" i="5" s="1"/>
  <c r="AC5" i="5" s="1"/>
  <c r="V2" i="5"/>
  <c r="V48" i="5"/>
  <c r="AC48" i="5" s="1"/>
  <c r="S23" i="5"/>
  <c r="V23" i="5" s="1"/>
  <c r="AC23" i="5" s="1"/>
  <c r="S46" i="5"/>
  <c r="V46" i="5" s="1"/>
  <c r="AC46" i="5" s="1"/>
  <c r="S18" i="5"/>
  <c r="V18" i="5" s="1"/>
  <c r="AC18" i="5" s="1"/>
  <c r="S24" i="5"/>
  <c r="V24" i="5" s="1"/>
  <c r="AC24" i="5" s="1"/>
  <c r="S31" i="5"/>
  <c r="V31" i="5" s="1"/>
  <c r="AC31" i="5" s="1"/>
  <c r="S28" i="5"/>
  <c r="V28" i="5" s="1"/>
  <c r="AC28" i="5" s="1"/>
  <c r="S37" i="5"/>
  <c r="V37" i="5" s="1"/>
  <c r="AC37" i="5" s="1"/>
  <c r="S27" i="5"/>
  <c r="V27" i="5" s="1"/>
  <c r="AC27" i="5" s="1"/>
  <c r="S34" i="5"/>
  <c r="V34" i="5" s="1"/>
  <c r="AC34" i="5" s="1"/>
  <c r="V21" i="5"/>
  <c r="AC21" i="5" s="1"/>
  <c r="S36" i="5"/>
  <c r="V36" i="5" s="1"/>
  <c r="AC36" i="5" s="1"/>
  <c r="S26" i="5"/>
  <c r="V26" i="5" s="1"/>
  <c r="AC26" i="5" s="1"/>
  <c r="S7" i="5"/>
  <c r="V7" i="5" s="1"/>
  <c r="AC7" i="5" s="1"/>
  <c r="S11" i="5"/>
  <c r="V11" i="5" s="1"/>
  <c r="AC11" i="5" s="1"/>
  <c r="V12" i="5"/>
  <c r="AC12" i="5" s="1"/>
  <c r="V47" i="5"/>
  <c r="AC47" i="5" s="1"/>
  <c r="S25" i="5"/>
  <c r="V25" i="5" s="1"/>
  <c r="AC25" i="5" s="1"/>
  <c r="S42" i="5"/>
  <c r="V42" i="5" s="1"/>
  <c r="AC42" i="5" s="1"/>
  <c r="S20" i="5"/>
  <c r="V20" i="5" s="1"/>
  <c r="AC20" i="5" s="1"/>
  <c r="S29" i="5"/>
  <c r="V29" i="5" s="1"/>
  <c r="AC29" i="5" s="1"/>
  <c r="S8" i="5"/>
  <c r="V8" i="5" s="1"/>
  <c r="AC8" i="5" s="1"/>
  <c r="V21" i="4"/>
  <c r="AC21" i="4" s="1"/>
  <c r="S44" i="4"/>
  <c r="V44" i="4" s="1"/>
  <c r="AC44" i="4" s="1"/>
  <c r="V45" i="4"/>
  <c r="AC45" i="4" s="1"/>
  <c r="S41" i="4"/>
  <c r="V41" i="4" s="1"/>
  <c r="AC41" i="4" s="1"/>
  <c r="S71" i="4"/>
  <c r="V71" i="4" s="1"/>
  <c r="AC71" i="4" s="1"/>
  <c r="S35" i="4"/>
  <c r="V35" i="4" s="1"/>
  <c r="AC35" i="4" s="1"/>
  <c r="V52" i="4"/>
  <c r="AC52" i="4" s="1"/>
  <c r="S16" i="4"/>
  <c r="V16" i="4" s="1"/>
  <c r="AC16" i="4" s="1"/>
  <c r="S10" i="4"/>
  <c r="V10" i="4" s="1"/>
  <c r="AC10" i="4" s="1"/>
  <c r="S43" i="4"/>
  <c r="V43" i="4" s="1"/>
  <c r="AC43" i="4" s="1"/>
  <c r="S37" i="4"/>
  <c r="V37" i="4" s="1"/>
  <c r="AC37" i="4" s="1"/>
  <c r="S20" i="4"/>
  <c r="V20" i="4" s="1"/>
  <c r="AC20" i="4" s="1"/>
  <c r="S54" i="4"/>
  <c r="V54" i="4" s="1"/>
  <c r="AC54" i="4" s="1"/>
  <c r="S15" i="4"/>
  <c r="V15" i="4" s="1"/>
  <c r="AC15" i="4" s="1"/>
  <c r="V49" i="4"/>
  <c r="AC49" i="4" s="1"/>
  <c r="S13" i="4"/>
  <c r="V13" i="4" s="1"/>
  <c r="AC13" i="4" s="1"/>
  <c r="S42" i="4"/>
  <c r="V42" i="4" s="1"/>
  <c r="AC42" i="4" s="1"/>
  <c r="S12" i="4"/>
  <c r="V12" i="4" s="1"/>
  <c r="AC12" i="4" s="1"/>
  <c r="S36" i="4"/>
  <c r="V36" i="4" s="1"/>
  <c r="AC36" i="4" s="1"/>
  <c r="S47" i="4"/>
  <c r="V47" i="4" s="1"/>
  <c r="AC47" i="4" s="1"/>
  <c r="S46" i="4"/>
  <c r="V46" i="4" s="1"/>
  <c r="AC46" i="4" s="1"/>
  <c r="V40" i="4"/>
  <c r="AC40" i="4" s="1"/>
  <c r="V67" i="4"/>
  <c r="AC67" i="4" s="1"/>
  <c r="V34" i="4"/>
  <c r="AC34" i="4" s="1"/>
  <c r="S32" i="4"/>
  <c r="V32" i="4" s="1"/>
  <c r="AC32" i="4" s="1"/>
  <c r="V6" i="4"/>
  <c r="AC6" i="4" s="1"/>
  <c r="S66" i="4"/>
  <c r="V66" i="4" s="1"/>
  <c r="AC66" i="4" s="1"/>
  <c r="V8" i="4"/>
  <c r="AC8" i="4" s="1"/>
  <c r="V18" i="4"/>
  <c r="AC18" i="4" s="1"/>
  <c r="V31" i="4"/>
  <c r="AC31" i="4" s="1"/>
  <c r="V11" i="4"/>
  <c r="AC11" i="4" s="1"/>
  <c r="V50" i="4"/>
  <c r="AC50" i="4" s="1"/>
  <c r="S19" i="4"/>
  <c r="V19" i="4" s="1"/>
  <c r="AC19" i="4" s="1"/>
  <c r="V26" i="4"/>
  <c r="AC26" i="4" s="1"/>
  <c r="S2" i="4"/>
  <c r="V2" i="4" s="1"/>
  <c r="S72" i="4"/>
  <c r="V72" i="4" s="1"/>
  <c r="AC72" i="4" s="1"/>
  <c r="S23" i="4"/>
  <c r="V23" i="4" s="1"/>
  <c r="AC23" i="4" s="1"/>
  <c r="S14" i="4"/>
  <c r="V14" i="4" s="1"/>
  <c r="AC14" i="4" s="1"/>
  <c r="S4" i="4"/>
  <c r="V4" i="4" s="1"/>
  <c r="AC4" i="4" s="1"/>
  <c r="V24" i="4"/>
  <c r="AC24" i="4" s="1"/>
  <c r="V65" i="4"/>
  <c r="AC65" i="4" s="1"/>
  <c r="V64" i="4"/>
  <c r="AC64" i="4" s="1"/>
  <c r="S75" i="4"/>
  <c r="V75" i="4" s="1"/>
  <c r="AC75" i="4" s="1"/>
  <c r="V74" i="4"/>
  <c r="AC74" i="4" s="1"/>
  <c r="S29" i="4"/>
  <c r="V29" i="4" s="1"/>
  <c r="AC29" i="4" s="1"/>
  <c r="V3" i="4"/>
  <c r="AC3" i="4" s="1"/>
  <c r="S5" i="4"/>
  <c r="V5" i="4" s="1"/>
  <c r="AC5" i="4" s="1"/>
  <c r="S28" i="4"/>
  <c r="V28" i="4" s="1"/>
  <c r="AC28" i="4" s="1"/>
  <c r="V68" i="4"/>
  <c r="AC68" i="4" s="1"/>
  <c r="S17" i="4"/>
  <c r="V17" i="4" s="1"/>
  <c r="AC17" i="4" s="1"/>
  <c r="S73" i="4"/>
  <c r="V73" i="4" s="1"/>
  <c r="AC73" i="4" s="1"/>
  <c r="S30" i="4"/>
  <c r="V30" i="4" s="1"/>
  <c r="AC30" i="4" s="1"/>
  <c r="V53" i="4"/>
  <c r="AC53" i="4" s="1"/>
  <c r="S51" i="4"/>
  <c r="V51" i="4" s="1"/>
  <c r="AC51" i="4" s="1"/>
  <c r="S56" i="4"/>
  <c r="V56" i="4" s="1"/>
  <c r="AC56" i="4" s="1"/>
  <c r="S63" i="4"/>
  <c r="V63" i="4" s="1"/>
  <c r="AC63" i="4" s="1"/>
  <c r="V21" i="3"/>
  <c r="AC21" i="3" s="1"/>
  <c r="V24" i="3"/>
  <c r="AC24" i="3" s="1"/>
  <c r="S36" i="3"/>
  <c r="V36" i="3" s="1"/>
  <c r="AC36" i="3" s="1"/>
  <c r="S4" i="3"/>
  <c r="V4" i="3" s="1"/>
  <c r="AC4" i="3" s="1"/>
  <c r="V12" i="3"/>
  <c r="AC12" i="3" s="1"/>
  <c r="V23" i="3"/>
  <c r="AC23" i="3" s="1"/>
  <c r="V26" i="3"/>
  <c r="AC26" i="3" s="1"/>
  <c r="S25" i="3"/>
  <c r="V25" i="3" s="1"/>
  <c r="AC25" i="3" s="1"/>
  <c r="V20" i="3"/>
  <c r="AC20" i="3" s="1"/>
  <c r="S18" i="3"/>
  <c r="V18" i="3" s="1"/>
  <c r="AC18" i="3" s="1"/>
  <c r="S31" i="3"/>
  <c r="V31" i="3" s="1"/>
  <c r="AC31" i="3" s="1"/>
  <c r="V5" i="3"/>
  <c r="AC5" i="3" s="1"/>
  <c r="S35" i="3"/>
  <c r="V35" i="3" s="1"/>
  <c r="AC35" i="3" s="1"/>
  <c r="V8" i="3"/>
  <c r="AC8" i="3" s="1"/>
  <c r="S30" i="3"/>
  <c r="V30" i="3" s="1"/>
  <c r="AC30" i="3" s="1"/>
  <c r="S15" i="3"/>
  <c r="V15" i="3" s="1"/>
  <c r="AC15" i="3" s="1"/>
  <c r="V37" i="3"/>
  <c r="AC37" i="3" s="1"/>
  <c r="V11" i="3"/>
  <c r="AC11" i="3" s="1"/>
  <c r="S16" i="3"/>
  <c r="V16" i="3" s="1"/>
  <c r="AC16" i="3" s="1"/>
  <c r="S44" i="3"/>
  <c r="V44" i="3" s="1"/>
  <c r="AC44" i="3" s="1"/>
  <c r="S45" i="3"/>
  <c r="V45" i="3" s="1"/>
  <c r="AC45" i="3" s="1"/>
  <c r="S38" i="3"/>
  <c r="V38" i="3" s="1"/>
  <c r="AC38" i="3" s="1"/>
  <c r="V34" i="3"/>
  <c r="AC34" i="3" s="1"/>
  <c r="S39" i="3"/>
  <c r="V39" i="3" s="1"/>
  <c r="AC39" i="3" s="1"/>
  <c r="S13" i="3"/>
  <c r="V13" i="3" s="1"/>
  <c r="AC13" i="3" s="1"/>
  <c r="S41" i="3"/>
  <c r="V41" i="3" s="1"/>
  <c r="AC41" i="3" s="1"/>
  <c r="S9" i="3"/>
  <c r="V9" i="3" s="1"/>
  <c r="AC9" i="3" s="1"/>
  <c r="S40" i="3"/>
  <c r="V40" i="3" s="1"/>
  <c r="AC40" i="3" s="1"/>
  <c r="S6" i="3"/>
  <c r="V6" i="3" s="1"/>
  <c r="AC6" i="3" s="1"/>
  <c r="AC2" i="3"/>
  <c r="V42" i="3"/>
  <c r="AC42" i="3" s="1"/>
  <c r="S19" i="3"/>
  <c r="V19" i="3" s="1"/>
  <c r="AC19" i="3" s="1"/>
  <c r="S32" i="3"/>
  <c r="V32" i="3" s="1"/>
  <c r="AC32" i="3" s="1"/>
  <c r="S27" i="3"/>
  <c r="V27" i="3" s="1"/>
  <c r="AC27" i="3" s="1"/>
  <c r="S10" i="3"/>
  <c r="V10" i="3" s="1"/>
  <c r="AC10" i="3" s="1"/>
  <c r="S29" i="3"/>
  <c r="V29" i="3" s="1"/>
  <c r="AC29" i="3" s="1"/>
  <c r="S33" i="3"/>
  <c r="V33" i="3" s="1"/>
  <c r="AC33" i="3" s="1"/>
  <c r="AC2" i="9" l="1"/>
  <c r="AC2" i="8"/>
  <c r="AC2" i="7"/>
  <c r="AC2" i="6"/>
  <c r="AC2" i="5"/>
  <c r="AC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2D1524-E58A-AF48-903D-121D2315B488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3C69F7B8-DF21-B84C-B28E-27A5A740D395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268A4D83-8FD9-1049-8F5F-5CD31665A256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492A8631-DAF5-2149-B892-1A8B589DF94D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5" xr16:uid="{B0D14AB6-A1E1-8F4D-BCF7-64738F7608BB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6" xr16:uid="{5373A16F-CA63-534D-A374-9CB527C1E3AB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7" xr16:uid="{550AE254-2874-1C48-BAF3-6124B2DFE816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<sst xmlns="http://schemas.openxmlformats.org/spreadsheetml/2006/main" count="216" uniqueCount="36">
  <si>
    <t>Velocity (m/s)</t>
  </si>
  <si>
    <t>Q_steady (W)</t>
  </si>
  <si>
    <t>Uncertainty ±</t>
  </si>
  <si>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</si>
  <si>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</si>
  <si>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</si>
  <si>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</si>
  <si>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</si>
  <si>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</si>
  <si>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</si>
  <si>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</si>
  <si>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</si>
  <si>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</si>
  <si>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</si>
  <si>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</si>
  <si>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</si>
  <si>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</si>
  <si>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</si>
  <si>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44675.0440027338</t>
  </si>
  <si>
    <t>44675.0483482199</t>
  </si>
  <si>
    <t>44675.0532446320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</si>
  <si>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</si>
  <si>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</si>
  <si>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</si>
  <si>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</si>
  <si>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</si>
  <si>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</si>
  <si>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</si>
  <si>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</si>
  <si>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RTD_IN_unc</t>
  </si>
  <si>
    <t>RTD_OUT_unc</t>
  </si>
  <si>
    <t>RTD_unc</t>
  </si>
  <si>
    <t>Delta_RTD</t>
  </si>
  <si>
    <t>Rel_unc</t>
  </si>
  <si>
    <t>ABS_unc</t>
  </si>
  <si>
    <t>uncertainty of average steady state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</si>
</sst>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145091-4770-2D41-9744-3CB6EBB9B118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17C85EF-614D-9042-8DEB-DF64A7B7F297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7C42434-CEEF-BF44-8223-CFAAE55E12B5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E619A65-0D5A-0B4B-B9D6-A4E7BAB3C2BB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D563EC9-70D1-4A46-902E-7D9F1D88F529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E2BF6EE-D82B-9F42-AD72-D1314037C9DD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D27AD94-69BD-0B4F-8757-F31D01B68FD7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09267-A2A4-9848-B2F6-6B6E599A6EEA}" name="sheet1" displayName="sheet1" ref="A1:O45" tableType="queryTable" totalsRowShown="0">
  <autoFilter ref="A1:O45" xr:uid="{B4109267-A2A4-9848-B2F6-6B6E599A6EEA}"/>
  <tableColumns count="15">
    <tableColumn id="1" xr3:uid="{CFF67338-4287-FC46-A9F3-7CBA1123E974}" uniqueName="1" name="Time" queryTableFieldId="1"/>
    <tableColumn id="2" xr3:uid="{80A0E5C0-905F-4A45-BE85-145012FC5ABF}" uniqueName="2" name="T1" queryTableFieldId="2"/>
    <tableColumn id="3" xr3:uid="{7A8BCB48-6842-6F4F-9918-5FC9F02B7AC6}" uniqueName="3" name="T2" queryTableFieldId="3"/>
    <tableColumn id="4" xr3:uid="{7B9024D7-F8AA-E143-ACE2-97E869AFE1A2}" uniqueName="4" name="T3" queryTableFieldId="4"/>
    <tableColumn id="5" xr3:uid="{C2B02BA8-6577-1346-83D7-FE05C9CBB460}" uniqueName="5" name="T4" queryTableFieldId="5"/>
    <tableColumn id="6" xr3:uid="{169E07B9-2C9E-A84C-944B-3ABED1C4148E}" uniqueName="6" name="T5" queryTableFieldId="6"/>
    <tableColumn id="7" xr3:uid="{FAE859F5-1C4B-0B43-BF9C-3A65C269A67A}" uniqueName="7" name="T6" queryTableFieldId="7"/>
    <tableColumn id="8" xr3:uid="{47709A93-8B48-D748-8ADE-DB6942A67A5B}" uniqueName="8" name="T7" queryTableFieldId="8"/>
    <tableColumn id="9" xr3:uid="{62DDE657-13FE-AE41-A2B3-F758DB2E59C1}" uniqueName="9" name="T8" queryTableFieldId="9"/>
    <tableColumn id="10" xr3:uid="{89646224-2964-B54A-9DD2-E84E817F4873}" uniqueName="10" name="RTD_IN" queryTableFieldId="10"/>
    <tableColumn id="11" xr3:uid="{DC4A701B-D5C4-FD4E-8CE9-8341C53FD0AE}" uniqueName="11" name="RTD_OUT" queryTableFieldId="11"/>
    <tableColumn id="12" xr3:uid="{E66E0846-27AB-5948-86F5-E5F87FD768B5}" uniqueName="12" name="DPT_TS" queryTableFieldId="12"/>
    <tableColumn id="13" xr3:uid="{10F95E2F-635D-C843-B1FB-AA3190ED97B5}" uniqueName="13" name="DPT_nozzle" queryTableFieldId="13"/>
    <tableColumn id="14" xr3:uid="{B4F0CE8B-3F13-9748-A784-8F9BB7468287}" uniqueName="14" name="Flow_gps" queryTableFieldId="14"/>
    <tableColumn id="15" xr3:uid="{916E334D-0084-094E-86FB-6A6BE2A38919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992AFD-3719-C443-9294-DC97645CC69B}" name="sheet1__2" displayName="sheet1__2" ref="A1:O75" tableType="queryTable" totalsRowShown="0">
  <autoFilter ref="A1:O75" xr:uid="{3F992AFD-3719-C443-9294-DC97645CC69B}"/>
  <tableColumns count="15">
    <tableColumn id="1" xr3:uid="{6AF1B529-55D7-BD42-A7E8-48E82A639EC5}" uniqueName="1" name="Time" queryTableFieldId="1"/>
    <tableColumn id="2" xr3:uid="{9993065F-CE13-9B46-AE9B-0547EF25F7F5}" uniqueName="2" name="T1" queryTableFieldId="2"/>
    <tableColumn id="3" xr3:uid="{B82517DC-5913-9F40-84AD-D9F4C829E7C0}" uniqueName="3" name="T2" queryTableFieldId="3"/>
    <tableColumn id="4" xr3:uid="{DF063B5A-5FC2-814E-9F4B-87980A346CA4}" uniqueName="4" name="T3" queryTableFieldId="4"/>
    <tableColumn id="5" xr3:uid="{757C5822-4045-4B46-9991-D1E49640A42F}" uniqueName="5" name="T4" queryTableFieldId="5"/>
    <tableColumn id="6" xr3:uid="{05541B69-FB1C-734C-8724-60553AAA0048}" uniqueName="6" name="T5" queryTableFieldId="6"/>
    <tableColumn id="7" xr3:uid="{7C266C33-1324-3E48-8827-864CBB5207D0}" uniqueName="7" name="T6" queryTableFieldId="7"/>
    <tableColumn id="8" xr3:uid="{84D46C7B-B35A-CD42-B91F-25256285392E}" uniqueName="8" name="T7" queryTableFieldId="8"/>
    <tableColumn id="9" xr3:uid="{13AF3A77-8A1F-0843-A5FB-24AF21CDDE1E}" uniqueName="9" name="T8" queryTableFieldId="9"/>
    <tableColumn id="10" xr3:uid="{90BD1C03-1007-C947-8B77-31B0EC0A2039}" uniqueName="10" name="RTD_IN" queryTableFieldId="10"/>
    <tableColumn id="11" xr3:uid="{9E6C538C-C638-594E-8550-A26B7959AA95}" uniqueName="11" name="RTD_OUT" queryTableFieldId="11"/>
    <tableColumn id="12" xr3:uid="{22F74A3A-29E9-FB4F-9834-7753BAA8CFAB}" uniqueName="12" name="DPT_TS" queryTableFieldId="12"/>
    <tableColumn id="13" xr3:uid="{2412B7B2-C3B1-284B-9525-59C1EC70F4CF}" uniqueName="13" name="DPT_nozzle" queryTableFieldId="13"/>
    <tableColumn id="14" xr3:uid="{32DC2222-8D5F-AC4C-A015-A8E818EF312A}" uniqueName="14" name="Flow_gps" queryTableFieldId="14"/>
    <tableColumn id="15" xr3:uid="{7A56DA8D-96A7-3A45-836B-21C1D2DE5A4E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680B8C-5835-BC41-BF6F-C85DF2BD7040}" name="sheet1__3" displayName="sheet1__3" ref="A1:O50" tableType="queryTable" totalsRowShown="0">
  <autoFilter ref="A1:O50" xr:uid="{02680B8C-5835-BC41-BF6F-C85DF2BD7040}"/>
  <tableColumns count="15">
    <tableColumn id="1" xr3:uid="{7C39C560-0A74-094A-B69B-87CF7E9B43BE}" uniqueName="1" name="Time" queryTableFieldId="1"/>
    <tableColumn id="2" xr3:uid="{599E0D0A-25C9-A544-8304-AF9322ADDB53}" uniqueName="2" name="T1" queryTableFieldId="2"/>
    <tableColumn id="3" xr3:uid="{BDA473FC-5B5F-B442-AAF4-3C6165DCB0C0}" uniqueName="3" name="T2" queryTableFieldId="3"/>
    <tableColumn id="4" xr3:uid="{C3433A5E-A819-8844-9A75-C291E0E7A91B}" uniqueName="4" name="T3" queryTableFieldId="4"/>
    <tableColumn id="5" xr3:uid="{8C178650-2722-124D-9192-4CCC11FF1742}" uniqueName="5" name="T4" queryTableFieldId="5"/>
    <tableColumn id="6" xr3:uid="{8F23F847-ECDD-9948-9CDE-BD051B701828}" uniqueName="6" name="T5" queryTableFieldId="6"/>
    <tableColumn id="7" xr3:uid="{8EB94F56-B25E-EC48-8CD0-2465BA5A30BD}" uniqueName="7" name="T6" queryTableFieldId="7"/>
    <tableColumn id="8" xr3:uid="{91740087-771C-7C4B-9E90-79EEAB74361C}" uniqueName="8" name="T7" queryTableFieldId="8"/>
    <tableColumn id="9" xr3:uid="{DC2F895D-89AF-9743-B0CF-BE15169AD1B0}" uniqueName="9" name="T8" queryTableFieldId="9"/>
    <tableColumn id="10" xr3:uid="{AF1BBD73-7D62-7147-9676-C7C0CBCF51AB}" uniqueName="10" name="RTD_IN" queryTableFieldId="10"/>
    <tableColumn id="11" xr3:uid="{05F5B2F6-85AA-D444-8435-60C591CCEC4F}" uniqueName="11" name="RTD_OUT" queryTableFieldId="11"/>
    <tableColumn id="12" xr3:uid="{0EAAC39F-AA6F-6D42-8689-AC9A3BB2C9CB}" uniqueName="12" name="DPT_TS" queryTableFieldId="12"/>
    <tableColumn id="13" xr3:uid="{5047230A-4897-6F41-A80E-007CBC244C8C}" uniqueName="13" name="DPT_nozzle" queryTableFieldId="13"/>
    <tableColumn id="14" xr3:uid="{2013B40B-0B84-454D-BBCB-D5575DCB44E4}" uniqueName="14" name="Flow_gps" queryTableFieldId="14"/>
    <tableColumn id="15" xr3:uid="{5127CCE3-33F0-F542-BD0E-5F7E946AF01E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FC184C-9E19-D840-81A9-120135B0CACF}" name="sheet1__4" displayName="sheet1__4" ref="A1:O44" tableType="queryTable" totalsRowShown="0">
  <autoFilter ref="A1:O44" xr:uid="{06FC184C-9E19-D840-81A9-120135B0CACF}"/>
  <tableColumns count="15">
    <tableColumn id="1" xr3:uid="{A2FD27E9-603A-7F4F-9AEA-90823151F9BD}" uniqueName="1" name="Time" queryTableFieldId="1"/>
    <tableColumn id="2" xr3:uid="{B81448C6-DF24-FA4E-81F8-DD9CBB144223}" uniqueName="2" name="T1" queryTableFieldId="2"/>
    <tableColumn id="3" xr3:uid="{D93E31B4-055E-9340-85D7-AA66947C59AF}" uniqueName="3" name="T2" queryTableFieldId="3"/>
    <tableColumn id="4" xr3:uid="{3F9EB793-3C08-7745-9655-80E6257E7072}" uniqueName="4" name="T3" queryTableFieldId="4"/>
    <tableColumn id="5" xr3:uid="{A8B94675-F8BB-524C-9E71-50F83AD6AA79}" uniqueName="5" name="T4" queryTableFieldId="5"/>
    <tableColumn id="6" xr3:uid="{FC451AC5-D1A2-A744-A8DB-D0FA9B2AE1CA}" uniqueName="6" name="T5" queryTableFieldId="6"/>
    <tableColumn id="7" xr3:uid="{1B8754DE-7890-8248-B044-1157AC40A48C}" uniqueName="7" name="T6" queryTableFieldId="7"/>
    <tableColumn id="8" xr3:uid="{6C091DCF-7E9E-034E-954F-13849E791DB1}" uniqueName="8" name="T7" queryTableFieldId="8"/>
    <tableColumn id="9" xr3:uid="{B6F63710-4FB9-E148-B80A-C6750C25FAA8}" uniqueName="9" name="T8" queryTableFieldId="9"/>
    <tableColumn id="10" xr3:uid="{1B2F6E98-E4F2-274B-A0CF-F6CD8C760DD9}" uniqueName="10" name="RTD_IN" queryTableFieldId="10"/>
    <tableColumn id="11" xr3:uid="{3E22CB90-8295-CE40-B46F-8052A3E496D4}" uniqueName="11" name="RTD_OUT" queryTableFieldId="11"/>
    <tableColumn id="12" xr3:uid="{6B6E9015-71A1-B849-8627-7BA84BC3D06B}" uniqueName="12" name="DPT_TS" queryTableFieldId="12"/>
    <tableColumn id="13" xr3:uid="{9B5E08E2-9002-2047-8B27-AB7505469C95}" uniqueName="13" name="DPT_nozzle" queryTableFieldId="13"/>
    <tableColumn id="14" xr3:uid="{AB7E1B2F-3A2C-684F-A4A4-9C7357E89EB7}" uniqueName="14" name="Flow_gps" queryTableFieldId="14"/>
    <tableColumn id="15" xr3:uid="{CE7BCF96-F62D-F246-A744-812148BB97AE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4F6DB1-A5BC-674E-B336-C6978F134372}" name="sheet1__5" displayName="sheet1__5" ref="A1:O61" tableType="queryTable" totalsRowShown="0">
  <autoFilter ref="A1:O61" xr:uid="{814F6DB1-A5BC-674E-B336-C6978F134372}"/>
  <tableColumns count="15">
    <tableColumn id="1" xr3:uid="{858C03C0-4B59-C649-B7DD-A065A1E4ED9A}" uniqueName="1" name="Time" queryTableFieldId="1"/>
    <tableColumn id="2" xr3:uid="{0EF9D13A-A041-BC42-9352-EBC8F35CCE33}" uniqueName="2" name="T1" queryTableFieldId="2"/>
    <tableColumn id="3" xr3:uid="{CEF281F1-0BE1-AF46-B320-C7D92DD76B60}" uniqueName="3" name="T2" queryTableFieldId="3"/>
    <tableColumn id="4" xr3:uid="{EC8ACF18-9C40-1B42-ACFC-7D6D281754D2}" uniqueName="4" name="T3" queryTableFieldId="4"/>
    <tableColumn id="5" xr3:uid="{BDEF0B50-09A0-4E4B-B155-E9D71F77E31C}" uniqueName="5" name="T4" queryTableFieldId="5"/>
    <tableColumn id="6" xr3:uid="{E446C61D-7604-1E46-B77F-74ECA9A5D60B}" uniqueName="6" name="T5" queryTableFieldId="6"/>
    <tableColumn id="7" xr3:uid="{D8A43EF6-12C0-7F48-BE68-0B44562DAA80}" uniqueName="7" name="T6" queryTableFieldId="7"/>
    <tableColumn id="8" xr3:uid="{5439B845-BAAF-094C-94A3-417800E72953}" uniqueName="8" name="T7" queryTableFieldId="8"/>
    <tableColumn id="9" xr3:uid="{34C0B568-9965-8C4C-92FA-4BFE2D1E2316}" uniqueName="9" name="T8" queryTableFieldId="9"/>
    <tableColumn id="10" xr3:uid="{4DA637ED-0C39-D04E-9799-776613CB856A}" uniqueName="10" name="RTD_IN" queryTableFieldId="10"/>
    <tableColumn id="11" xr3:uid="{CF11BD57-F7EA-A94B-95F9-E99A855C3487}" uniqueName="11" name="RTD_OUT" queryTableFieldId="11"/>
    <tableColumn id="12" xr3:uid="{1E70211D-C3AB-124C-832C-46CFA4896E96}" uniqueName="12" name="DPT_TS" queryTableFieldId="12"/>
    <tableColumn id="13" xr3:uid="{4FE43157-3752-314E-A0E5-CD35044F3B90}" uniqueName="13" name="DPT_nozzle" queryTableFieldId="13"/>
    <tableColumn id="14" xr3:uid="{67204EAA-8065-D24D-BF73-C4B71B5765C3}" uniqueName="14" name="Flow_gps" queryTableFieldId="14"/>
    <tableColumn id="15" xr3:uid="{B40C40A4-2A37-EF41-988E-81A9078D36CD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D35A79-31ED-504B-9901-A04471DFEF7F}" name="sheet1__6" displayName="sheet1__6" ref="A1:O45" tableType="queryTable" totalsRowShown="0">
  <autoFilter ref="A1:O45" xr:uid="{4BD35A79-31ED-504B-9901-A04471DFEF7F}"/>
  <tableColumns count="15">
    <tableColumn id="1" xr3:uid="{DE6A4B67-3183-6C4B-9478-3A965A1F334E}" uniqueName="1" name="Time" queryTableFieldId="1"/>
    <tableColumn id="2" xr3:uid="{70A4891A-A1A8-D04C-BF92-414A35246005}" uniqueName="2" name="T1" queryTableFieldId="2"/>
    <tableColumn id="3" xr3:uid="{1CD442DE-295E-1441-8EC5-68DD189DF9BE}" uniqueName="3" name="T2" queryTableFieldId="3"/>
    <tableColumn id="4" xr3:uid="{DDC1FB43-0FD9-B247-AAF3-26FEF3280E1C}" uniqueName="4" name="T3" queryTableFieldId="4"/>
    <tableColumn id="5" xr3:uid="{1BEF6AE4-A3D6-D042-A64D-65963A45018D}" uniqueName="5" name="T4" queryTableFieldId="5"/>
    <tableColumn id="6" xr3:uid="{23BC87B1-10B7-CC4D-B96D-A82AF95F86DD}" uniqueName="6" name="T5" queryTableFieldId="6"/>
    <tableColumn id="7" xr3:uid="{7830D158-73FD-9540-8215-75D5F6FA2FF0}" uniqueName="7" name="T6" queryTableFieldId="7"/>
    <tableColumn id="8" xr3:uid="{3BAF9FB4-5C3F-B645-8B8E-D89F45326E38}" uniqueName="8" name="T7" queryTableFieldId="8"/>
    <tableColumn id="9" xr3:uid="{3CE77492-6EDD-4D45-98A9-1BDAC5E1150B}" uniqueName="9" name="T8" queryTableFieldId="9"/>
    <tableColumn id="10" xr3:uid="{3871C4D9-29B1-E443-ABA3-84B06734E7F1}" uniqueName="10" name="RTD_IN" queryTableFieldId="10"/>
    <tableColumn id="11" xr3:uid="{3564C3B9-AE3D-7641-B14E-E1BF55032173}" uniqueName="11" name="RTD_OUT" queryTableFieldId="11"/>
    <tableColumn id="12" xr3:uid="{5598C9E6-67CF-1C4E-A0EB-3523017EF98C}" uniqueName="12" name="DPT_TS" queryTableFieldId="12"/>
    <tableColumn id="13" xr3:uid="{251A9FB9-2AB4-D74F-9F4E-DCA947F01061}" uniqueName="13" name="DPT_nozzle" queryTableFieldId="13"/>
    <tableColumn id="14" xr3:uid="{28A61F36-0A4B-7A44-B7D5-6E690306C899}" uniqueName="14" name="Flow_gps" queryTableFieldId="14"/>
    <tableColumn id="15" xr3:uid="{C1365E67-FC7A-BB42-9A84-F9B880ABA787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B1902F-2D25-4C4C-B407-0F20A8A42DB6}" name="sheet1__7" displayName="sheet1__7" ref="A1:O44" tableType="queryTable" totalsRowShown="0">
  <autoFilter ref="A1:O44" xr:uid="{28B1902F-2D25-4C4C-B407-0F20A8A42DB6}"/>
  <tableColumns count="15">
    <tableColumn id="1" xr3:uid="{3141974C-D7A2-B64A-995A-B5BB1F36EA5F}" uniqueName="1" name="Time" queryTableFieldId="1"/>
    <tableColumn id="2" xr3:uid="{EE711344-086A-774F-B3F5-FD7B59439AE4}" uniqueName="2" name="T1" queryTableFieldId="2"/>
    <tableColumn id="3" xr3:uid="{09ADA61C-D669-EA4C-BC16-26745DC0AEC0}" uniqueName="3" name="T2" queryTableFieldId="3"/>
    <tableColumn id="4" xr3:uid="{6F8F6E8A-772B-E44E-B76E-BAB17508185F}" uniqueName="4" name="T3" queryTableFieldId="4"/>
    <tableColumn id="5" xr3:uid="{21305B2B-AAEF-B84F-AD4B-7977576F132D}" uniqueName="5" name="T4" queryTableFieldId="5"/>
    <tableColumn id="6" xr3:uid="{B6FE302F-D270-8C4B-A9EA-4CE593202AC3}" uniqueName="6" name="T5" queryTableFieldId="6"/>
    <tableColumn id="7" xr3:uid="{20D453D7-5CBE-F348-ADAD-93945C065338}" uniqueName="7" name="T6" queryTableFieldId="7"/>
    <tableColumn id="8" xr3:uid="{51223145-0A6F-A946-85AD-8024D2AECFF3}" uniqueName="8" name="T7" queryTableFieldId="8"/>
    <tableColumn id="9" xr3:uid="{695460A8-B626-D54E-BE0D-235B173CE82B}" uniqueName="9" name="T8" queryTableFieldId="9"/>
    <tableColumn id="10" xr3:uid="{D4DCA85D-65E1-5C4D-B7F2-E268DF68F7C8}" uniqueName="10" name="RTD_IN" queryTableFieldId="10"/>
    <tableColumn id="11" xr3:uid="{EF36102B-29F2-234D-9335-04DEF06CFB45}" uniqueName="11" name="RTD_OUT" queryTableFieldId="11"/>
    <tableColumn id="12" xr3:uid="{18D5F66D-CBC3-3543-B188-448F8F830F69}" uniqueName="12" name="DPT_TS" queryTableFieldId="12"/>
    <tableColumn id="13" xr3:uid="{98DFA655-241F-9E4C-AEE2-E63E58D51A2B}" uniqueName="13" name="DPT_nozzle" queryTableFieldId="13"/>
    <tableColumn id="14" xr3:uid="{CD980EC0-A402-204A-9FFB-E097E86F1631}" uniqueName="14" name="Flow_gps" queryTableFieldId="14"/>
    <tableColumn id="15" xr3:uid="{14BB0ABD-8313-254F-B84C-920A519C9674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526A-1537-B04C-91F8-273979E52992}">
  <dimension ref="A1:C9"/>
  <sheetViews>
    <sheetView tabSelected="1" workbookViewId="0">
      <selection activeCell="C2" sqref="C2:C8"/>
    </sheetView>
  </sheetViews>
  <sheetFormatPr baseColWidth="10" defaultRowHeight="16" x14ac:dyDescent="0.2"/>
  <cols>
    <col min="1" max="1" width="16.33203125" customWidth="1"/>
    <col min="2" max="2" width="18" customWidth="1"/>
    <col min="3" max="3" width="17.664062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1</v>
      </c>
      <c r="B2" s="3">
        <v>273.68919774424063</v>
      </c>
      <c r="C2" s="3">
        <v>41.561647546965006</v>
      </c>
    </row>
    <row r="3" spans="1:3" x14ac:dyDescent="0.2">
      <c r="A3" s="3">
        <v>2</v>
      </c>
      <c r="B3" s="3">
        <v>424.68347685766292</v>
      </c>
      <c r="C3" s="3">
        <v>40.77997291087231</v>
      </c>
    </row>
    <row r="4" spans="1:3" x14ac:dyDescent="0.2">
      <c r="A4" s="3">
        <v>3</v>
      </c>
      <c r="B4" s="3">
        <v>562.82614324046438</v>
      </c>
      <c r="C4" s="3">
        <v>40.827065105492153</v>
      </c>
    </row>
    <row r="5" spans="1:3" x14ac:dyDescent="0.2">
      <c r="A5" s="3">
        <v>4</v>
      </c>
      <c r="B5" s="3">
        <v>665.40858922290363</v>
      </c>
      <c r="C5" s="3">
        <v>41.020117905504577</v>
      </c>
    </row>
    <row r="6" spans="1:3" x14ac:dyDescent="0.2">
      <c r="A6" s="3">
        <v>5</v>
      </c>
      <c r="B6" s="3">
        <v>734.82958520774218</v>
      </c>
      <c r="C6">
        <v>41.041848985069038</v>
      </c>
    </row>
    <row r="7" spans="1:3" x14ac:dyDescent="0.2">
      <c r="A7" s="3">
        <v>6</v>
      </c>
      <c r="B7" s="3">
        <v>773.99637559620339</v>
      </c>
      <c r="C7">
        <v>41.051534920322091</v>
      </c>
    </row>
    <row r="8" spans="1:3" x14ac:dyDescent="0.2">
      <c r="A8" s="3">
        <v>7</v>
      </c>
      <c r="B8" s="3">
        <v>818.42070730447369</v>
      </c>
      <c r="C8">
        <v>40.989862622878931</v>
      </c>
    </row>
    <row r="9" spans="1:3" x14ac:dyDescent="0.2">
      <c r="A9" s="3">
        <v>8</v>
      </c>
      <c r="B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04BF-7BCC-024A-93D7-8614D39F0E22}">
  <dimension ref="A1:AC45"/>
  <sheetViews>
    <sheetView topLeftCell="L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>
        <v>44675.039768937502</v>
      </c>
      <c r="B2">
        <v>18.536279</v>
      </c>
      <c r="C2">
        <v>18.208762</v>
      </c>
      <c r="D2">
        <v>18.080905999999999</v>
      </c>
      <c r="E2">
        <v>18.690283000000001</v>
      </c>
      <c r="F2">
        <v>41.928736000000001</v>
      </c>
      <c r="G2">
        <v>40.352525999999997</v>
      </c>
      <c r="H2">
        <v>38.889859000000001</v>
      </c>
      <c r="I2">
        <v>32.149755999999996</v>
      </c>
      <c r="J2">
        <v>58.809629999999999</v>
      </c>
      <c r="K2">
        <v>56.279204999999997</v>
      </c>
      <c r="L2">
        <v>10.672378</v>
      </c>
      <c r="M2">
        <v>-622.47387900000001</v>
      </c>
      <c r="N2">
        <v>1.618207</v>
      </c>
      <c r="O2">
        <v>3.3046000000000002</v>
      </c>
      <c r="P2">
        <f t="shared" ref="P2:P65" si="0" xml:space="preserve"> N2*0.001/60</f>
        <v>2.6970116666666668E-5</v>
      </c>
      <c r="Q2" cm="1">
        <f t="array" ref="Q2">[1]!PropsSI("D","T",J2+273.15,"P",101325,"Water")</f>
        <v>983.80402144663572</v>
      </c>
      <c r="R2" cm="1">
        <f t="array" ref="R2">[1]!PropsSI("D","T",K2+273.15,"P",101325,"Water")</f>
        <v>985.06864702111181</v>
      </c>
      <c r="S2">
        <f t="shared" ref="S2:S65" si="1">(Q2+R2)/2</f>
        <v>984.43633423387382</v>
      </c>
      <c r="T2" cm="1">
        <f t="array" ref="T2">[1]!PropsSI("H","T",J2+273.15,"P",101325,"Water")</f>
        <v>246267.35586272128</v>
      </c>
      <c r="U2" cm="1">
        <f t="array" ref="U2">[1]!PropsSI("H","T",K2+273.15,"P",101325,"Water")</f>
        <v>235680.2350797317</v>
      </c>
      <c r="V2">
        <f t="shared" ref="V2:V65" si="2">S2*P2*(T2-U2)</f>
        <v>281.09189763903225</v>
      </c>
      <c r="W2" s="3">
        <f>AVERAGE(V2:V45)</f>
        <v>273.68919774424063</v>
      </c>
      <c r="X2">
        <f>(0.15+0.002*ABS(J2))</f>
        <v>0.26761926000000003</v>
      </c>
      <c r="Y2">
        <f>(0.15+0.002*ABS(K2))</f>
        <v>0.26255841000000002</v>
      </c>
      <c r="Z2">
        <f>SQRT((X2)^2 + (Y2)^2)</f>
        <v>0.37490930501212655</v>
      </c>
      <c r="AA2">
        <f>J2-K2</f>
        <v>2.530425000000001</v>
      </c>
      <c r="AB2">
        <f>SQRT((0.01)^2 + (Z2/ABS(AA2))^2)</f>
        <v>0.14849769556758133</v>
      </c>
      <c r="AC2">
        <f>ABS(V2*AB2)</f>
        <v>41.741499042114746</v>
      </c>
    </row>
    <row r="3" spans="1:29" x14ac:dyDescent="0.2">
      <c r="A3">
        <v>44675.039803659798</v>
      </c>
      <c r="B3">
        <v>18.297145</v>
      </c>
      <c r="C3">
        <v>18.452220000000001</v>
      </c>
      <c r="D3">
        <v>18.160049999999998</v>
      </c>
      <c r="E3">
        <v>18.762460000000001</v>
      </c>
      <c r="F3">
        <v>42.091040999999997</v>
      </c>
      <c r="G3">
        <v>41.430241000000002</v>
      </c>
      <c r="H3">
        <v>38.271951000000001</v>
      </c>
      <c r="I3">
        <v>32.852339000000001</v>
      </c>
      <c r="J3">
        <v>58.811700999999999</v>
      </c>
      <c r="K3">
        <v>56.282865999999999</v>
      </c>
      <c r="L3">
        <v>24.826771999999998</v>
      </c>
      <c r="M3">
        <v>-622.47918500000003</v>
      </c>
      <c r="N3">
        <v>1.619326</v>
      </c>
      <c r="O3">
        <v>3.3060860000000001</v>
      </c>
      <c r="P3">
        <f t="shared" si="0"/>
        <v>2.6988766666666668E-5</v>
      </c>
      <c r="Q3" cm="1">
        <f t="array" ref="Q3">[1]!PropsSI("D","T",J3+273.15,"P",101325,"Water")</f>
        <v>983.80297063054468</v>
      </c>
      <c r="R3" cm="1">
        <f t="array" ref="R3">[1]!PropsSI("D","T",K3+273.15,"P",101325,"Water")</f>
        <v>985.06684546623467</v>
      </c>
      <c r="S3">
        <f t="shared" si="1"/>
        <v>984.43490804838962</v>
      </c>
      <c r="T3" cm="1">
        <f t="array" ref="T3">[1]!PropsSI("H","T",J3+273.15,"P",101325,"Water")</f>
        <v>246276.02184725896</v>
      </c>
      <c r="U3" cm="1">
        <f t="array" ref="U3">[1]!PropsSI("H","T",K3+273.15,"P",101325,"Water")</f>
        <v>235695.55062568761</v>
      </c>
      <c r="V3">
        <f t="shared" si="2"/>
        <v>281.10919679389951</v>
      </c>
      <c r="W3" s="3" t="s">
        <v>35</v>
      </c>
      <c r="X3">
        <f t="shared" ref="X3:Y55" si="3">(0.15+0.002*ABS(J3))</f>
        <v>0.26762340200000001</v>
      </c>
      <c r="Y3">
        <f t="shared" si="3"/>
        <v>0.262565732</v>
      </c>
      <c r="Z3">
        <f t="shared" ref="Z3:Z55" si="4">SQRT((X3)^2 + (Y3)^2)</f>
        <v>0.37491738945899727</v>
      </c>
      <c r="AA3">
        <f>J3-K3</f>
        <v>2.5288350000000008</v>
      </c>
      <c r="AB3">
        <f t="shared" ref="AB3:AB66" si="5">SQRT((0.01)^2 + (Z3/ABS(AA3))^2)</f>
        <v>0.14859382958414347</v>
      </c>
      <c r="AC3">
        <f t="shared" ref="AC3:AC66" si="6">ABS(V3*AB3)</f>
        <v>41.771092082928156</v>
      </c>
    </row>
    <row r="4" spans="1:29" x14ac:dyDescent="0.2">
      <c r="A4">
        <v>44675.0398389607</v>
      </c>
      <c r="B4">
        <v>18.404744000000001</v>
      </c>
      <c r="C4">
        <v>18.253043999999999</v>
      </c>
      <c r="D4">
        <v>18.253081000000002</v>
      </c>
      <c r="E4">
        <v>18.750955999999999</v>
      </c>
      <c r="F4">
        <v>42.830283999999999</v>
      </c>
      <c r="G4">
        <v>41.476944000000003</v>
      </c>
      <c r="H4">
        <v>38.205692999999997</v>
      </c>
      <c r="I4">
        <v>31.951861000000001</v>
      </c>
      <c r="J4">
        <v>58.814250000000001</v>
      </c>
      <c r="K4">
        <v>56.285732000000003</v>
      </c>
      <c r="L4">
        <v>19.913547999999999</v>
      </c>
      <c r="M4">
        <v>-622.47224600000004</v>
      </c>
      <c r="N4">
        <v>1.61799</v>
      </c>
      <c r="O4">
        <v>3.130261</v>
      </c>
      <c r="P4">
        <f t="shared" si="0"/>
        <v>2.6966500000000003E-5</v>
      </c>
      <c r="Q4" cm="1">
        <f t="array" ref="Q4">[1]!PropsSI("D","T",J4+273.15,"P",101325,"Water")</f>
        <v>983.80167724423814</v>
      </c>
      <c r="R4" cm="1">
        <f t="array" ref="R4">[1]!PropsSI("D","T",K4+273.15,"P",101325,"Water")</f>
        <v>985.06543506852472</v>
      </c>
      <c r="S4">
        <f t="shared" si="1"/>
        <v>984.43355615638143</v>
      </c>
      <c r="T4" cm="1">
        <f t="array" ref="T4">[1]!PropsSI("H","T",J4+273.15,"P",101325,"Water")</f>
        <v>246286.68799870013</v>
      </c>
      <c r="U4" cm="1">
        <f t="array" ref="U4">[1]!PropsSI("H","T",K4+273.15,"P",101325,"Water")</f>
        <v>235707.54034637345</v>
      </c>
      <c r="V4">
        <f t="shared" si="2"/>
        <v>280.84174982491118</v>
      </c>
      <c r="W4" s="3">
        <f>SQRT((AVERAGE(AC2:AC45))^2 + (_xlfn.STDEV.S(V2:V45)/SQRT(COUNT(V2:V45)))^2)</f>
        <v>41.561647546965006</v>
      </c>
      <c r="X4">
        <f t="shared" si="3"/>
        <v>0.26762849999999999</v>
      </c>
      <c r="Y4">
        <f t="shared" si="3"/>
        <v>0.26257146399999998</v>
      </c>
      <c r="Z4">
        <f t="shared" si="4"/>
        <v>0.37492504280102879</v>
      </c>
      <c r="AA4">
        <f t="shared" ref="AA4:AA67" si="7">J4-K4</f>
        <v>2.5285179999999983</v>
      </c>
      <c r="AB4">
        <f t="shared" si="5"/>
        <v>0.14861539435856214</v>
      </c>
      <c r="AC4">
        <f t="shared" si="6"/>
        <v>41.737407402577823</v>
      </c>
    </row>
    <row r="5" spans="1:29" x14ac:dyDescent="0.2">
      <c r="A5">
        <v>44675.039873682901</v>
      </c>
      <c r="B5">
        <v>18.320066000000001</v>
      </c>
      <c r="C5">
        <v>18.155135999999999</v>
      </c>
      <c r="D5">
        <v>18.361533999999999</v>
      </c>
      <c r="E5">
        <v>18.795905000000001</v>
      </c>
      <c r="F5">
        <v>42.108727000000002</v>
      </c>
      <c r="G5">
        <v>43.503852000000002</v>
      </c>
      <c r="H5">
        <v>38.231884000000001</v>
      </c>
      <c r="I5">
        <v>32.256618000000003</v>
      </c>
      <c r="J5">
        <v>58.814090999999998</v>
      </c>
      <c r="K5">
        <v>56.290826000000003</v>
      </c>
      <c r="L5">
        <v>13.083278</v>
      </c>
      <c r="M5">
        <v>-622.48897999999997</v>
      </c>
      <c r="N5">
        <v>1.6202890000000001</v>
      </c>
      <c r="O5">
        <v>3.3371439999999999</v>
      </c>
      <c r="P5">
        <f t="shared" si="0"/>
        <v>2.7004816666666666E-5</v>
      </c>
      <c r="Q5" cm="1">
        <f t="array" ref="Q5">[1]!PropsSI("D","T",J5+273.15,"P",101325,"Water")</f>
        <v>983.80175792344482</v>
      </c>
      <c r="R5" cm="1">
        <f t="array" ref="R5">[1]!PropsSI("D","T",K5+273.15,"P",101325,"Water")</f>
        <v>985.06292811739149</v>
      </c>
      <c r="S5">
        <f t="shared" si="1"/>
        <v>984.4323430204181</v>
      </c>
      <c r="T5" cm="1">
        <f t="array" ref="T5">[1]!PropsSI("H","T",J5+273.15,"P",101325,"Water")</f>
        <v>246286.02267179024</v>
      </c>
      <c r="U5" cm="1">
        <f t="array" ref="U5">[1]!PropsSI("H","T",K5+273.15,"P",101325,"Water")</f>
        <v>235728.85076496008</v>
      </c>
      <c r="V5">
        <f t="shared" si="2"/>
        <v>280.65623860634969</v>
      </c>
      <c r="W5" s="3"/>
      <c r="X5">
        <f t="shared" si="3"/>
        <v>0.26762818199999999</v>
      </c>
      <c r="Y5">
        <f t="shared" si="3"/>
        <v>0.262581652</v>
      </c>
      <c r="Z5">
        <f t="shared" si="4"/>
        <v>0.37493195084931641</v>
      </c>
      <c r="AA5">
        <f t="shared" si="7"/>
        <v>2.523264999999995</v>
      </c>
      <c r="AB5">
        <f t="shared" si="5"/>
        <v>0.14892611802471545</v>
      </c>
      <c r="AC5">
        <f t="shared" si="6"/>
        <v>41.797044115061937</v>
      </c>
    </row>
    <row r="6" spans="1:29" x14ac:dyDescent="0.2">
      <c r="A6">
        <v>46137.039908981482</v>
      </c>
      <c r="B6">
        <v>18.592390999999999</v>
      </c>
      <c r="C6">
        <v>18.148727000000001</v>
      </c>
      <c r="D6">
        <v>18.262136999999999</v>
      </c>
      <c r="E6">
        <v>18.678111000000001</v>
      </c>
      <c r="F6">
        <v>42.707872999999999</v>
      </c>
      <c r="G6">
        <v>43.100951999999999</v>
      </c>
      <c r="H6">
        <v>39.699671000000002</v>
      </c>
      <c r="I6">
        <v>31.93309</v>
      </c>
      <c r="J6">
        <v>58.811542000000003</v>
      </c>
      <c r="K6">
        <v>56.293850999999997</v>
      </c>
      <c r="L6">
        <v>23.381945999999999</v>
      </c>
      <c r="M6">
        <v>-622.48244999999997</v>
      </c>
      <c r="N6">
        <v>1.620752</v>
      </c>
      <c r="O6">
        <v>3.2721819999999999</v>
      </c>
      <c r="P6">
        <f t="shared" si="0"/>
        <v>2.7012533333333333E-5</v>
      </c>
      <c r="Q6" cm="1">
        <f t="array" ref="Q6">[1]!PropsSI("D","T",J6+273.15,"P",101325,"Water")</f>
        <v>983.8030513073378</v>
      </c>
      <c r="R6" cm="1">
        <f t="array" ref="R6">[1]!PropsSI("D","T",K6+273.15,"P",101325,"Water")</f>
        <v>985.06143932461248</v>
      </c>
      <c r="S6">
        <f t="shared" si="1"/>
        <v>984.43224531597514</v>
      </c>
      <c r="T6" cm="1">
        <f t="array" ref="T6">[1]!PropsSI("H","T",J6+273.15,"P",101325,"Water")</f>
        <v>246275.35652049063</v>
      </c>
      <c r="U6" cm="1">
        <f t="array" ref="U6">[1]!PropsSI("H","T",K6+273.15,"P",101325,"Water")</f>
        <v>235741.50566093726</v>
      </c>
      <c r="V6">
        <f t="shared" si="2"/>
        <v>280.11625518708161</v>
      </c>
      <c r="W6" s="3"/>
      <c r="X6">
        <f t="shared" si="3"/>
        <v>0.26762308400000001</v>
      </c>
      <c r="Y6">
        <f t="shared" si="3"/>
        <v>0.26258770199999998</v>
      </c>
      <c r="Z6">
        <f t="shared" si="4"/>
        <v>0.37493254904224022</v>
      </c>
      <c r="AA6">
        <f>J6-K6</f>
        <v>2.5176910000000063</v>
      </c>
      <c r="AB6">
        <f t="shared" si="5"/>
        <v>0.1492545826180986</v>
      </c>
      <c r="AC6">
        <f t="shared" si="6"/>
        <v>41.808634752492658</v>
      </c>
    </row>
    <row r="7" spans="1:29" x14ac:dyDescent="0.2">
      <c r="A7">
        <v>46137.039943703705</v>
      </c>
      <c r="B7">
        <v>18.393547999999999</v>
      </c>
      <c r="C7">
        <v>18.261571</v>
      </c>
      <c r="D7">
        <v>18.309836000000001</v>
      </c>
      <c r="E7">
        <v>18.741036000000001</v>
      </c>
      <c r="F7">
        <v>42.301431000000001</v>
      </c>
      <c r="G7">
        <v>42.275042999999997</v>
      </c>
      <c r="H7">
        <v>39.201318999999998</v>
      </c>
      <c r="I7">
        <v>32.497979000000001</v>
      </c>
      <c r="J7">
        <v>58.808036999999999</v>
      </c>
      <c r="K7">
        <v>56.293213999999999</v>
      </c>
      <c r="L7">
        <v>15.877015999999999</v>
      </c>
      <c r="M7">
        <v>-622.48653100000001</v>
      </c>
      <c r="N7">
        <v>1.6184940000000001</v>
      </c>
      <c r="O7">
        <v>3.6425770000000002</v>
      </c>
      <c r="P7">
        <f t="shared" si="0"/>
        <v>2.6974900000000002E-5</v>
      </c>
      <c r="Q7" cm="1">
        <f t="array" ref="Q7">[1]!PropsSI("D","T",J7+273.15,"P",101325,"Water")</f>
        <v>983.80482971024696</v>
      </c>
      <c r="R7" cm="1">
        <f t="array" ref="R7">[1]!PropsSI("D","T",K7+273.15,"P",101325,"Water")</f>
        <v>985.06175283702635</v>
      </c>
      <c r="S7">
        <f t="shared" si="1"/>
        <v>984.43329127363666</v>
      </c>
      <c r="T7" cm="1">
        <f t="array" ref="T7">[1]!PropsSI("H","T",J7+273.15,"P",101325,"Water")</f>
        <v>246260.69004387077</v>
      </c>
      <c r="U7" cm="1">
        <f t="array" ref="U7">[1]!PropsSI("H","T",K7+273.15,"P",101325,"Water")</f>
        <v>235738.84081148691</v>
      </c>
      <c r="V7">
        <f t="shared" si="2"/>
        <v>279.40759682063697</v>
      </c>
      <c r="W7" s="3"/>
      <c r="X7">
        <f t="shared" si="3"/>
        <v>0.26761607399999998</v>
      </c>
      <c r="Y7">
        <f t="shared" si="3"/>
        <v>0.26258642799999998</v>
      </c>
      <c r="Z7">
        <f t="shared" si="4"/>
        <v>0.37492665313761392</v>
      </c>
      <c r="AA7">
        <f t="shared" ref="AA7:AA70" si="8">J7-K7</f>
        <v>2.5148229999999998</v>
      </c>
      <c r="AB7">
        <f t="shared" si="5"/>
        <v>0.14942169537198444</v>
      </c>
      <c r="AC7">
        <f t="shared" si="6"/>
        <v>41.749556816751465</v>
      </c>
    </row>
    <row r="8" spans="1:29" x14ac:dyDescent="0.2">
      <c r="A8">
        <v>46137.039979004629</v>
      </c>
      <c r="B8">
        <v>18.572973000000001</v>
      </c>
      <c r="C8">
        <v>18.327338999999998</v>
      </c>
      <c r="D8">
        <v>18.305175999999999</v>
      </c>
      <c r="E8">
        <v>18.835728</v>
      </c>
      <c r="F8">
        <v>43.151617000000002</v>
      </c>
      <c r="G8">
        <v>42.363534000000001</v>
      </c>
      <c r="H8">
        <v>39.152000999999998</v>
      </c>
      <c r="I8">
        <v>31.193113</v>
      </c>
      <c r="J8">
        <v>58.798957000000001</v>
      </c>
      <c r="K8">
        <v>56.288597000000003</v>
      </c>
      <c r="L8">
        <v>16.881454999999999</v>
      </c>
      <c r="M8">
        <v>-622.50081599999999</v>
      </c>
      <c r="N8">
        <v>1.6175390000000001</v>
      </c>
      <c r="O8">
        <v>3.67225</v>
      </c>
      <c r="P8">
        <f t="shared" si="0"/>
        <v>2.6958983333333334E-5</v>
      </c>
      <c r="Q8" cm="1">
        <f t="array" ref="Q8">[1]!PropsSI("D","T",J8+273.15,"P",101325,"Water")</f>
        <v>983.80943647255344</v>
      </c>
      <c r="R8" cm="1">
        <f t="array" ref="R8">[1]!PropsSI("D","T",K8+273.15,"P",101325,"Water")</f>
        <v>985.06402511261081</v>
      </c>
      <c r="S8">
        <f t="shared" si="1"/>
        <v>984.43673079258213</v>
      </c>
      <c r="T8" cm="1">
        <f t="array" ref="T8">[1]!PropsSI("H","T",J8+273.15,"P",101325,"Water")</f>
        <v>246222.69531523262</v>
      </c>
      <c r="U8" cm="1">
        <f t="array" ref="U8">[1]!PropsSI("H","T",K8+273.15,"P",101325,"Water")</f>
        <v>235719.52588684298</v>
      </c>
      <c r="V8">
        <f t="shared" si="2"/>
        <v>278.74795566099471</v>
      </c>
      <c r="W8" s="3"/>
      <c r="X8">
        <f t="shared" si="3"/>
        <v>0.26759791399999999</v>
      </c>
      <c r="Y8">
        <f t="shared" si="3"/>
        <v>0.26257719400000001</v>
      </c>
      <c r="Z8">
        <f>SQRT((X8)^2 + (Y8)^2)</f>
        <v>0.37490722370483215</v>
      </c>
      <c r="AA8">
        <f t="shared" si="8"/>
        <v>2.5103599999999986</v>
      </c>
      <c r="AB8">
        <f t="shared" si="5"/>
        <v>0.1496784309764112</v>
      </c>
      <c r="AC8">
        <f t="shared" si="6"/>
        <v>41.722556641219924</v>
      </c>
    </row>
    <row r="9" spans="1:29" x14ac:dyDescent="0.2">
      <c r="A9">
        <v>46137.040014305552</v>
      </c>
      <c r="B9">
        <v>18.464227999999999</v>
      </c>
      <c r="C9">
        <v>18.147613</v>
      </c>
      <c r="D9">
        <v>18.346986999999999</v>
      </c>
      <c r="E9">
        <v>18.891249999999999</v>
      </c>
      <c r="F9">
        <v>42.598205</v>
      </c>
      <c r="G9">
        <v>42.248947999999999</v>
      </c>
      <c r="H9">
        <v>39.316400000000002</v>
      </c>
      <c r="I9">
        <v>32.22081</v>
      </c>
      <c r="J9">
        <v>58.787168999999999</v>
      </c>
      <c r="K9">
        <v>56.280797</v>
      </c>
      <c r="L9">
        <v>24.115787000000001</v>
      </c>
      <c r="M9">
        <v>-622.47755199999995</v>
      </c>
      <c r="N9">
        <v>1.6180060000000001</v>
      </c>
      <c r="O9">
        <v>3.8206899999999999</v>
      </c>
      <c r="P9">
        <f t="shared" si="0"/>
        <v>2.6966766666666671E-5</v>
      </c>
      <c r="Q9" cm="1">
        <f t="array" ref="Q9">[1]!PropsSI("D","T",J9+273.15,"P",101325,"Water")</f>
        <v>983.81541641108117</v>
      </c>
      <c r="R9" cm="1">
        <f t="array" ref="R9">[1]!PropsSI("D","T",K9+273.15,"P",101325,"Water")</f>
        <v>985.06786361808383</v>
      </c>
      <c r="S9">
        <f t="shared" si="1"/>
        <v>984.4416400145825</v>
      </c>
      <c r="T9" cm="1">
        <f t="array" ref="T9">[1]!PropsSI("H","T",J9+273.15,"P",101325,"Water")</f>
        <v>246173.36917058358</v>
      </c>
      <c r="U9" cm="1">
        <f t="array" ref="U9">[1]!PropsSI("H","T",K9+273.15,"P",101325,"Water")</f>
        <v>235686.89510347889</v>
      </c>
      <c r="V9">
        <f t="shared" si="2"/>
        <v>278.38660827984165</v>
      </c>
      <c r="W9" s="3"/>
      <c r="X9">
        <f t="shared" si="3"/>
        <v>0.26757433799999997</v>
      </c>
      <c r="Y9">
        <f t="shared" si="3"/>
        <v>0.26256159400000001</v>
      </c>
      <c r="Z9">
        <f t="shared" ref="Z9:Z72" si="9">SQRT((X9)^2 + (Y9)^2)</f>
        <v>0.37487946996329241</v>
      </c>
      <c r="AA9">
        <f t="shared" si="8"/>
        <v>2.5063719999999989</v>
      </c>
      <c r="AB9">
        <f t="shared" si="5"/>
        <v>0.14990448017719096</v>
      </c>
      <c r="AC9">
        <f t="shared" si="6"/>
        <v>41.731399802480951</v>
      </c>
    </row>
    <row r="10" spans="1:29" x14ac:dyDescent="0.2">
      <c r="A10">
        <v>44675.040049608797</v>
      </c>
      <c r="B10">
        <v>18.352186</v>
      </c>
      <c r="C10">
        <v>18.129716999999999</v>
      </c>
      <c r="D10">
        <v>18.487190999999999</v>
      </c>
      <c r="E10">
        <v>18.904668999999998</v>
      </c>
      <c r="F10">
        <v>43.178266999999998</v>
      </c>
      <c r="G10">
        <v>41.837111999999998</v>
      </c>
      <c r="H10">
        <v>39.045608999999999</v>
      </c>
      <c r="I10">
        <v>32.355131</v>
      </c>
      <c r="J10">
        <v>58.774903000000002</v>
      </c>
      <c r="K10">
        <v>56.272677999999999</v>
      </c>
      <c r="L10">
        <v>17.195316999999999</v>
      </c>
      <c r="M10">
        <v>-622.49795900000004</v>
      </c>
      <c r="N10">
        <v>1.6188830000000001</v>
      </c>
      <c r="O10">
        <v>3.5840960000000002</v>
      </c>
      <c r="P10">
        <f t="shared" si="0"/>
        <v>2.6981383333333332E-5</v>
      </c>
      <c r="Q10" cm="1">
        <f t="array" ref="Q10">[1]!PropsSI("D","T",J10+273.15,"P",101325,"Water")</f>
        <v>983.82163795295378</v>
      </c>
      <c r="R10" cm="1">
        <f t="array" ref="R10">[1]!PropsSI("D","T",K10+273.15,"P",101325,"Water")</f>
        <v>985.07185871271088</v>
      </c>
      <c r="S10">
        <f t="shared" si="1"/>
        <v>984.44674833283239</v>
      </c>
      <c r="T10" cm="1">
        <f t="array" ref="T10">[1]!PropsSI("H","T",J10+273.15,"P",101325,"Water")</f>
        <v>246122.04292672276</v>
      </c>
      <c r="U10" cm="1">
        <f t="array" ref="U10">[1]!PropsSI("H","T",K10+273.15,"P",101325,"Water")</f>
        <v>235652.92982929898</v>
      </c>
      <c r="V10">
        <f t="shared" si="2"/>
        <v>278.07780870030837</v>
      </c>
      <c r="X10">
        <f t="shared" si="3"/>
        <v>0.267549806</v>
      </c>
      <c r="Y10">
        <f t="shared" si="3"/>
        <v>0.26254535600000001</v>
      </c>
      <c r="Z10">
        <f t="shared" si="9"/>
        <v>0.37485058709811886</v>
      </c>
      <c r="AA10">
        <f t="shared" si="8"/>
        <v>2.5022250000000028</v>
      </c>
      <c r="AB10">
        <f t="shared" si="5"/>
        <v>0.15014029869662859</v>
      </c>
      <c r="AC10">
        <f t="shared" si="6"/>
        <v>41.750685259168243</v>
      </c>
    </row>
    <row r="11" spans="1:29" x14ac:dyDescent="0.2">
      <c r="A11">
        <v>44675.040084330998</v>
      </c>
      <c r="B11">
        <v>18.324956</v>
      </c>
      <c r="C11">
        <v>18.279070000000001</v>
      </c>
      <c r="D11">
        <v>18.423788999999999</v>
      </c>
      <c r="E11">
        <v>18.919232999999998</v>
      </c>
      <c r="F11">
        <v>42.180554000000001</v>
      </c>
      <c r="G11">
        <v>42.453780999999999</v>
      </c>
      <c r="H11">
        <v>39.245939</v>
      </c>
      <c r="I11">
        <v>32.000332999999998</v>
      </c>
      <c r="J11">
        <v>58.760247</v>
      </c>
      <c r="K11">
        <v>56.264400000000002</v>
      </c>
      <c r="L11">
        <v>21.153486000000001</v>
      </c>
      <c r="M11">
        <v>-622.50938699999995</v>
      </c>
      <c r="N11">
        <v>1.6182270000000001</v>
      </c>
      <c r="O11">
        <v>3.4579960000000001</v>
      </c>
      <c r="P11">
        <f t="shared" si="0"/>
        <v>2.6970450000000002E-5</v>
      </c>
      <c r="Q11" cm="1">
        <f t="array" ref="Q11">[1]!PropsSI("D","T",J11+273.15,"P",101325,"Water")</f>
        <v>983.82907056802469</v>
      </c>
      <c r="R11" cm="1">
        <f t="array" ref="R11">[1]!PropsSI("D","T",K11+273.15,"P",101325,"Water")</f>
        <v>985.0759316302358</v>
      </c>
      <c r="S11">
        <f t="shared" si="1"/>
        <v>984.45250109913025</v>
      </c>
      <c r="T11" cm="1">
        <f t="array" ref="T11">[1]!PropsSI("H","T",J11+273.15,"P",101325,"Water")</f>
        <v>246060.71597278002</v>
      </c>
      <c r="U11" cm="1">
        <f t="array" ref="U11">[1]!PropsSI("H","T",K11+273.15,"P",101325,"Water")</f>
        <v>235618.2994155651</v>
      </c>
      <c r="V11">
        <f t="shared" si="2"/>
        <v>277.25792776174404</v>
      </c>
      <c r="X11">
        <f t="shared" si="3"/>
        <v>0.267520494</v>
      </c>
      <c r="Y11">
        <f t="shared" si="3"/>
        <v>0.26252880000000001</v>
      </c>
      <c r="Z11">
        <f t="shared" si="9"/>
        <v>0.37481806992118727</v>
      </c>
      <c r="AA11">
        <f t="shared" si="8"/>
        <v>2.4958469999999977</v>
      </c>
      <c r="AB11">
        <f t="shared" si="5"/>
        <v>0.15050927438176831</v>
      </c>
      <c r="AC11">
        <f t="shared" si="6"/>
        <v>41.729889524012833</v>
      </c>
    </row>
    <row r="12" spans="1:29" x14ac:dyDescent="0.2">
      <c r="A12">
        <v>44675.040119053301</v>
      </c>
      <c r="B12">
        <v>18.460630999999999</v>
      </c>
      <c r="C12">
        <v>18.244675000000001</v>
      </c>
      <c r="D12">
        <v>18.266656999999999</v>
      </c>
      <c r="E12">
        <v>18.768777</v>
      </c>
      <c r="F12">
        <v>42.661783</v>
      </c>
      <c r="G12">
        <v>41.495739999999998</v>
      </c>
      <c r="H12">
        <v>39.032184000000001</v>
      </c>
      <c r="I12">
        <v>32.032339</v>
      </c>
      <c r="J12">
        <v>58.748618999999998</v>
      </c>
      <c r="K12">
        <v>56.254370999999999</v>
      </c>
      <c r="L12">
        <v>31.691326</v>
      </c>
      <c r="M12">
        <v>-622.5</v>
      </c>
      <c r="N12">
        <v>1.618547</v>
      </c>
      <c r="O12">
        <v>3.53817</v>
      </c>
      <c r="P12">
        <f t="shared" si="0"/>
        <v>2.6975783333333333E-5</v>
      </c>
      <c r="Q12" cm="1">
        <f t="array" ref="Q12">[1]!PropsSI("D","T",J12+273.15,"P",101325,"Water")</f>
        <v>983.83496665579798</v>
      </c>
      <c r="R12" cm="1">
        <f t="array" ref="R12">[1]!PropsSI("D","T",K12+273.15,"P",101325,"Water")</f>
        <v>985.08086550719497</v>
      </c>
      <c r="S12">
        <f t="shared" si="1"/>
        <v>984.45791608149648</v>
      </c>
      <c r="T12" cm="1">
        <f t="array" ref="T12">[1]!PropsSI("H","T",J12+273.15,"P",101325,"Water")</f>
        <v>246012.05952600203</v>
      </c>
      <c r="U12" cm="1">
        <f t="array" ref="U12">[1]!PropsSI("H","T",K12+273.15,"P",101325,"Water")</f>
        <v>235576.34385505036</v>
      </c>
      <c r="V12">
        <f t="shared" si="2"/>
        <v>277.13632788097459</v>
      </c>
      <c r="X12">
        <f t="shared" si="3"/>
        <v>0.26749723800000003</v>
      </c>
      <c r="Y12">
        <f t="shared" si="3"/>
        <v>0.26250874199999996</v>
      </c>
      <c r="Z12">
        <f t="shared" si="9"/>
        <v>0.37478742236640122</v>
      </c>
      <c r="AA12">
        <f t="shared" si="8"/>
        <v>2.4942479999999989</v>
      </c>
      <c r="AB12">
        <f t="shared" si="5"/>
        <v>0.15059307613692691</v>
      </c>
      <c r="AC12">
        <f t="shared" si="6"/>
        <v>41.734812124887945</v>
      </c>
    </row>
    <row r="13" spans="1:29" x14ac:dyDescent="0.2">
      <c r="A13">
        <v>44675.040154354203</v>
      </c>
      <c r="B13">
        <v>18.557234999999999</v>
      </c>
      <c r="C13">
        <v>18.534068000000001</v>
      </c>
      <c r="D13">
        <v>18.111775000000002</v>
      </c>
      <c r="E13">
        <v>18.591811</v>
      </c>
      <c r="F13">
        <v>42.624827000000003</v>
      </c>
      <c r="G13">
        <v>41.179338000000001</v>
      </c>
      <c r="H13">
        <v>39.002408000000003</v>
      </c>
      <c r="I13">
        <v>32.265452000000003</v>
      </c>
      <c r="J13">
        <v>58.732529999999997</v>
      </c>
      <c r="K13">
        <v>56.240203000000001</v>
      </c>
      <c r="L13">
        <v>19.336026</v>
      </c>
      <c r="M13">
        <v>-622.48897999999997</v>
      </c>
      <c r="N13">
        <v>1.613515</v>
      </c>
      <c r="O13">
        <v>3.3451759999999999</v>
      </c>
      <c r="P13">
        <f t="shared" si="0"/>
        <v>2.6891916666666666E-5</v>
      </c>
      <c r="Q13" cm="1">
        <f t="array" ref="Q13">[1]!PropsSI("D","T",J13+273.15,"P",101325,"Water")</f>
        <v>983.84312340319082</v>
      </c>
      <c r="R13" cm="1">
        <f t="array" ref="R13">[1]!PropsSI("D","T",K13+273.15,"P",101325,"Water")</f>
        <v>985.08783456032904</v>
      </c>
      <c r="S13">
        <f t="shared" si="1"/>
        <v>984.46547898175993</v>
      </c>
      <c r="T13" cm="1">
        <f t="array" ref="T13">[1]!PropsSI("H","T",J13+273.15,"P",101325,"Water")</f>
        <v>245944.73647057806</v>
      </c>
      <c r="U13" cm="1">
        <f t="array" ref="U13">[1]!PropsSI("H","T",K13+273.15,"P",101325,"Water")</f>
        <v>235517.07316733254</v>
      </c>
      <c r="V13">
        <f t="shared" si="2"/>
        <v>276.0636644851175</v>
      </c>
      <c r="X13">
        <f t="shared" si="3"/>
        <v>0.26746505999999998</v>
      </c>
      <c r="Y13">
        <f t="shared" si="3"/>
        <v>0.262480406</v>
      </c>
      <c r="Z13">
        <f t="shared" si="9"/>
        <v>0.37474460884011185</v>
      </c>
      <c r="AA13">
        <f t="shared" si="8"/>
        <v>2.492326999999996</v>
      </c>
      <c r="AB13">
        <f t="shared" si="5"/>
        <v>0.15069149620870928</v>
      </c>
      <c r="AC13">
        <f t="shared" si="6"/>
        <v>41.600446650121476</v>
      </c>
    </row>
    <row r="14" spans="1:29" x14ac:dyDescent="0.2">
      <c r="A14">
        <v>44675.040189076397</v>
      </c>
      <c r="B14">
        <v>18.796876000000001</v>
      </c>
      <c r="C14">
        <v>18.237635000000001</v>
      </c>
      <c r="D14">
        <v>18.017869999999998</v>
      </c>
      <c r="E14">
        <v>18.377718000000002</v>
      </c>
      <c r="F14">
        <v>42.425871999999998</v>
      </c>
      <c r="G14">
        <v>41.022195000000004</v>
      </c>
      <c r="H14">
        <v>39.086027000000001</v>
      </c>
      <c r="I14">
        <v>32.156713000000003</v>
      </c>
      <c r="J14">
        <v>58.719467000000002</v>
      </c>
      <c r="K14">
        <v>56.229695999999997</v>
      </c>
      <c r="L14">
        <v>15.714575</v>
      </c>
      <c r="M14">
        <v>-622.49265300000002</v>
      </c>
      <c r="N14">
        <v>1.612552</v>
      </c>
      <c r="O14">
        <v>3.6251549999999999</v>
      </c>
      <c r="P14">
        <f t="shared" si="0"/>
        <v>2.6875866666666665E-5</v>
      </c>
      <c r="Q14" cm="1">
        <f t="array" ref="Q14">[1]!PropsSI("D","T",J14+273.15,"P",101325,"Water")</f>
        <v>983.8497449009451</v>
      </c>
      <c r="R14" cm="1">
        <f t="array" ref="R14">[1]!PropsSI("D","T",K14+273.15,"P",101325,"Water")</f>
        <v>985.09300202118368</v>
      </c>
      <c r="S14">
        <f t="shared" si="1"/>
        <v>984.47137346106433</v>
      </c>
      <c r="T14" cm="1">
        <f t="array" ref="T14">[1]!PropsSI("H","T",J14+273.15,"P",101325,"Water")</f>
        <v>245890.0755349691</v>
      </c>
      <c r="U14" cm="1">
        <f t="array" ref="U14">[1]!PropsSI("H","T",K14+273.15,"P",101325,"Water")</f>
        <v>235473.11802778434</v>
      </c>
      <c r="V14">
        <f t="shared" si="2"/>
        <v>275.61729281724854</v>
      </c>
      <c r="X14">
        <f t="shared" si="3"/>
        <v>0.26743893400000002</v>
      </c>
      <c r="Y14">
        <f t="shared" si="3"/>
        <v>0.26245939200000001</v>
      </c>
      <c r="Z14">
        <f t="shared" si="9"/>
        <v>0.37471124331685862</v>
      </c>
      <c r="AA14">
        <f t="shared" si="8"/>
        <v>2.4897710000000046</v>
      </c>
      <c r="AB14">
        <f t="shared" si="5"/>
        <v>0.15083214369408776</v>
      </c>
      <c r="AC14">
        <f t="shared" si="6"/>
        <v>41.571947114786695</v>
      </c>
    </row>
    <row r="15" spans="1:29" x14ac:dyDescent="0.2">
      <c r="A15">
        <v>46137.040224375</v>
      </c>
      <c r="B15">
        <v>18.784046</v>
      </c>
      <c r="C15">
        <v>18.030491999999999</v>
      </c>
      <c r="D15">
        <v>17.876525999999998</v>
      </c>
      <c r="E15">
        <v>18.056155</v>
      </c>
      <c r="F15">
        <v>42.477128</v>
      </c>
      <c r="G15">
        <v>42.241410999999999</v>
      </c>
      <c r="H15">
        <v>39.289706000000002</v>
      </c>
      <c r="I15">
        <v>31.898143999999998</v>
      </c>
      <c r="J15">
        <v>58.700989</v>
      </c>
      <c r="K15">
        <v>56.212026000000002</v>
      </c>
      <c r="L15">
        <v>19.736414</v>
      </c>
      <c r="M15">
        <v>-622.50571400000001</v>
      </c>
      <c r="N15">
        <v>1.6144080000000001</v>
      </c>
      <c r="O15">
        <v>3.536124</v>
      </c>
      <c r="P15">
        <f t="shared" si="0"/>
        <v>2.6906800000000001E-5</v>
      </c>
      <c r="Q15" cm="1">
        <f t="array" ref="Q15">[1]!PropsSI("D","T",J15+273.15,"P",101325,"Water")</f>
        <v>983.85910946304193</v>
      </c>
      <c r="R15" cm="1">
        <f t="array" ref="R15">[1]!PropsSI("D","T",K15+273.15,"P",101325,"Water")</f>
        <v>985.10169080011713</v>
      </c>
      <c r="S15">
        <f t="shared" si="1"/>
        <v>984.48040013157947</v>
      </c>
      <c r="T15" cm="1">
        <f t="array" ref="T15">[1]!PropsSI("H","T",J15+273.15,"P",101325,"Water")</f>
        <v>245812.7561460142</v>
      </c>
      <c r="U15" cm="1">
        <f t="array" ref="U15">[1]!PropsSI("H","T",K15+273.15,"P",101325,"Water")</f>
        <v>235399.19718257597</v>
      </c>
      <c r="V15">
        <f t="shared" si="2"/>
        <v>275.84702552264054</v>
      </c>
      <c r="X15">
        <f t="shared" si="3"/>
        <v>0.26740197799999998</v>
      </c>
      <c r="Y15">
        <f t="shared" si="3"/>
        <v>0.26242405200000002</v>
      </c>
      <c r="Z15">
        <f t="shared" si="9"/>
        <v>0.3746601138450838</v>
      </c>
      <c r="AA15">
        <f t="shared" si="8"/>
        <v>2.4889629999999983</v>
      </c>
      <c r="AB15">
        <f t="shared" si="5"/>
        <v>0.15086039631541298</v>
      </c>
      <c r="AC15">
        <f t="shared" si="6"/>
        <v>41.614391592773394</v>
      </c>
    </row>
    <row r="16" spans="1:29" x14ac:dyDescent="0.2">
      <c r="A16">
        <v>46137.040259097223</v>
      </c>
      <c r="B16">
        <v>18.493275000000001</v>
      </c>
      <c r="C16">
        <v>17.685531000000001</v>
      </c>
      <c r="D16">
        <v>17.734876</v>
      </c>
      <c r="E16">
        <v>17.733737000000001</v>
      </c>
      <c r="F16">
        <v>41.731152999999999</v>
      </c>
      <c r="G16">
        <v>39.937984999999998</v>
      </c>
      <c r="H16">
        <v>39.262082999999997</v>
      </c>
      <c r="I16">
        <v>31.978190000000001</v>
      </c>
      <c r="J16">
        <v>58.684103999999998</v>
      </c>
      <c r="K16">
        <v>56.195152</v>
      </c>
      <c r="L16">
        <v>15.631722</v>
      </c>
      <c r="M16">
        <v>-622.512652</v>
      </c>
      <c r="N16">
        <v>1.617523</v>
      </c>
      <c r="O16">
        <v>3.4499900000000001</v>
      </c>
      <c r="P16">
        <f t="shared" si="0"/>
        <v>2.6958716666666667E-5</v>
      </c>
      <c r="Q16" cm="1">
        <f t="array" ref="Q16">[1]!PropsSI("D","T",J16+273.15,"P",101325,"Water")</f>
        <v>983.86766491501601</v>
      </c>
      <c r="R16" cm="1">
        <f t="array" ref="R16">[1]!PropsSI("D","T",K16+273.15,"P",101325,"Water")</f>
        <v>985.10998637930948</v>
      </c>
      <c r="S16">
        <f t="shared" si="1"/>
        <v>984.48882564716268</v>
      </c>
      <c r="T16" cm="1">
        <f t="array" ref="T16">[1]!PropsSI("H","T",J16+273.15,"P",101325,"Water")</f>
        <v>245742.10263476407</v>
      </c>
      <c r="U16" cm="1">
        <f t="array" ref="U16">[1]!PropsSI("H","T",K16+273.15,"P",101325,"Water")</f>
        <v>235328.60644208474</v>
      </c>
      <c r="V16">
        <f t="shared" si="2"/>
        <v>276.37997169437</v>
      </c>
      <c r="X16">
        <f t="shared" si="3"/>
        <v>0.267368208</v>
      </c>
      <c r="Y16">
        <f t="shared" si="3"/>
        <v>0.26239030399999996</v>
      </c>
      <c r="Z16">
        <f t="shared" si="9"/>
        <v>0.37461237337058645</v>
      </c>
      <c r="AA16">
        <f t="shared" si="8"/>
        <v>2.4889519999999976</v>
      </c>
      <c r="AB16">
        <f t="shared" si="5"/>
        <v>0.15084192135467553</v>
      </c>
      <c r="AC16">
        <f t="shared" si="6"/>
        <v>41.689685954329612</v>
      </c>
    </row>
    <row r="17" spans="1:29" x14ac:dyDescent="0.2">
      <c r="A17">
        <v>46137.040293819446</v>
      </c>
      <c r="B17">
        <v>18.449173999999999</v>
      </c>
      <c r="C17">
        <v>17.672457000000001</v>
      </c>
      <c r="D17">
        <v>17.776050000000001</v>
      </c>
      <c r="E17">
        <v>17.778721000000001</v>
      </c>
      <c r="F17">
        <v>41.786256000000002</v>
      </c>
      <c r="G17">
        <v>40.964103999999999</v>
      </c>
      <c r="H17">
        <v>39.04195</v>
      </c>
      <c r="I17">
        <v>31.579166000000001</v>
      </c>
      <c r="J17">
        <v>58.667537000000003</v>
      </c>
      <c r="K17">
        <v>56.176685999999997</v>
      </c>
      <c r="L17">
        <v>22.781976</v>
      </c>
      <c r="M17">
        <v>-622.51306099999999</v>
      </c>
      <c r="N17">
        <v>1.614285</v>
      </c>
      <c r="O17">
        <v>3.4477150000000001</v>
      </c>
      <c r="P17">
        <f t="shared" si="0"/>
        <v>2.690475E-5</v>
      </c>
      <c r="Q17" cm="1">
        <f t="array" ref="Q17">[1]!PropsSI("D","T",J17+273.15,"P",101325,"Water")</f>
        <v>983.87605758234508</v>
      </c>
      <c r="R17" cm="1">
        <f t="array" ref="R17">[1]!PropsSI("D","T",K17+273.15,"P",101325,"Water")</f>
        <v>985.11906261519255</v>
      </c>
      <c r="S17">
        <f t="shared" si="1"/>
        <v>984.49756009876887</v>
      </c>
      <c r="T17" cm="1">
        <f t="array" ref="T17">[1]!PropsSI("H","T",J17+273.15,"P",101325,"Water")</f>
        <v>245672.77987669437</v>
      </c>
      <c r="U17" cm="1">
        <f t="array" ref="U17">[1]!PropsSI("H","T",K17+273.15,"P",101325,"Water")</f>
        <v>235251.3558481216</v>
      </c>
      <c r="V17">
        <f t="shared" si="2"/>
        <v>276.03914399300731</v>
      </c>
      <c r="X17">
        <f t="shared" si="3"/>
        <v>0.26733507400000001</v>
      </c>
      <c r="Y17">
        <f t="shared" si="3"/>
        <v>0.26235337199999997</v>
      </c>
      <c r="Z17">
        <f t="shared" si="9"/>
        <v>0.37456285666140982</v>
      </c>
      <c r="AA17">
        <f t="shared" si="8"/>
        <v>2.4908510000000064</v>
      </c>
      <c r="AB17">
        <f t="shared" si="5"/>
        <v>0.15070759096169734</v>
      </c>
      <c r="AC17">
        <f t="shared" si="6"/>
        <v>41.601194402315215</v>
      </c>
    </row>
    <row r="18" spans="1:29" x14ac:dyDescent="0.2">
      <c r="A18">
        <v>46137.040328541669</v>
      </c>
      <c r="B18">
        <v>18.342932999999999</v>
      </c>
      <c r="C18">
        <v>17.636035</v>
      </c>
      <c r="D18">
        <v>17.796983999999998</v>
      </c>
      <c r="E18">
        <v>17.628018000000001</v>
      </c>
      <c r="F18">
        <v>41.738663000000003</v>
      </c>
      <c r="G18">
        <v>40.739697</v>
      </c>
      <c r="H18">
        <v>37.710264000000002</v>
      </c>
      <c r="I18">
        <v>32.507888000000001</v>
      </c>
      <c r="J18">
        <v>58.649217999999998</v>
      </c>
      <c r="K18">
        <v>56.163314999999997</v>
      </c>
      <c r="L18">
        <v>17.378164999999999</v>
      </c>
      <c r="M18">
        <v>-622.46285899999998</v>
      </c>
      <c r="N18">
        <v>1.6177189999999999</v>
      </c>
      <c r="O18">
        <v>3.5723790000000002</v>
      </c>
      <c r="P18">
        <f t="shared" si="0"/>
        <v>2.696198333333333E-5</v>
      </c>
      <c r="Q18" cm="1">
        <f t="array" ref="Q18">[1]!PropsSI("D","T",J18+273.15,"P",101325,"Water")</f>
        <v>983.88533588287055</v>
      </c>
      <c r="R18" cm="1">
        <f t="array" ref="R18">[1]!PropsSI("D","T",K18+273.15,"P",101325,"Water")</f>
        <v>985.12563329893874</v>
      </c>
      <c r="S18">
        <f t="shared" si="1"/>
        <v>984.50548459090464</v>
      </c>
      <c r="T18" cm="1">
        <f t="array" ref="T18">[1]!PropsSI("H","T",J18+273.15,"P",101325,"Water")</f>
        <v>245596.12620390055</v>
      </c>
      <c r="U18" cm="1">
        <f t="array" ref="U18">[1]!PropsSI("H","T",K18+273.15,"P",101325,"Water")</f>
        <v>235195.41973850169</v>
      </c>
      <c r="V18">
        <f t="shared" si="2"/>
        <v>276.07864543129818</v>
      </c>
      <c r="X18">
        <f t="shared" si="3"/>
        <v>0.26729843599999997</v>
      </c>
      <c r="Y18">
        <f t="shared" si="3"/>
        <v>0.26232663000000001</v>
      </c>
      <c r="Z18">
        <f t="shared" si="9"/>
        <v>0.37451797646468588</v>
      </c>
      <c r="AA18">
        <f t="shared" si="8"/>
        <v>2.4859030000000004</v>
      </c>
      <c r="AB18">
        <f t="shared" si="5"/>
        <v>0.15098822924883243</v>
      </c>
      <c r="AC18">
        <f t="shared" si="6"/>
        <v>41.684625807087976</v>
      </c>
    </row>
    <row r="19" spans="1:29" x14ac:dyDescent="0.2">
      <c r="A19">
        <v>46137.040363842592</v>
      </c>
      <c r="B19">
        <v>18.346433999999999</v>
      </c>
      <c r="C19">
        <v>17.622525</v>
      </c>
      <c r="D19">
        <v>17.786206</v>
      </c>
      <c r="E19">
        <v>17.815844999999999</v>
      </c>
      <c r="F19">
        <v>42.655517000000003</v>
      </c>
      <c r="G19">
        <v>40.526085000000002</v>
      </c>
      <c r="H19">
        <v>38.723889999999997</v>
      </c>
      <c r="I19">
        <v>31.707227</v>
      </c>
      <c r="J19">
        <v>58.626438999999998</v>
      </c>
      <c r="K19">
        <v>56.147236999999997</v>
      </c>
      <c r="L19">
        <v>25.078188000000001</v>
      </c>
      <c r="M19">
        <v>-622.48204199999998</v>
      </c>
      <c r="N19">
        <v>1.613359</v>
      </c>
      <c r="O19">
        <v>3.527406</v>
      </c>
      <c r="P19">
        <f t="shared" si="0"/>
        <v>2.6889316666666667E-5</v>
      </c>
      <c r="Q19" cm="1">
        <f t="array" ref="Q19">[1]!PropsSI("D","T",J19+273.15,"P",101325,"Water")</f>
        <v>983.89687030629932</v>
      </c>
      <c r="R19" cm="1">
        <f t="array" ref="R19">[1]!PropsSI("D","T",K19+273.15,"P",101325,"Water")</f>
        <v>985.13353278570958</v>
      </c>
      <c r="S19">
        <f t="shared" si="1"/>
        <v>984.51520154600439</v>
      </c>
      <c r="T19" cm="1">
        <f t="array" ref="T19">[1]!PropsSI("H","T",J19+273.15,"P",101325,"Water")</f>
        <v>245500.81038743682</v>
      </c>
      <c r="U19" cm="1">
        <f t="array" ref="U19">[1]!PropsSI("H","T",K19+273.15,"P",101325,"Water")</f>
        <v>235128.15928159025</v>
      </c>
      <c r="V19">
        <f t="shared" si="2"/>
        <v>274.59458092036562</v>
      </c>
      <c r="X19">
        <f t="shared" si="3"/>
        <v>0.26725287799999997</v>
      </c>
      <c r="Y19">
        <f t="shared" si="3"/>
        <v>0.262294474</v>
      </c>
      <c r="Z19">
        <f t="shared" si="9"/>
        <v>0.37446293793941682</v>
      </c>
      <c r="AA19">
        <f t="shared" si="8"/>
        <v>2.4792020000000008</v>
      </c>
      <c r="AB19">
        <f t="shared" si="5"/>
        <v>0.15137239386065093</v>
      </c>
      <c r="AC19">
        <f t="shared" si="6"/>
        <v>41.566039055077965</v>
      </c>
    </row>
    <row r="20" spans="1:29" x14ac:dyDescent="0.2">
      <c r="A20">
        <v>46137.040399143516</v>
      </c>
      <c r="B20">
        <v>18.487113000000001</v>
      </c>
      <c r="C20">
        <v>17.664092</v>
      </c>
      <c r="D20">
        <v>17.8675</v>
      </c>
      <c r="E20">
        <v>18.287063</v>
      </c>
      <c r="F20">
        <v>41.777380000000001</v>
      </c>
      <c r="G20">
        <v>42.120390999999998</v>
      </c>
      <c r="H20">
        <v>37.784714000000001</v>
      </c>
      <c r="I20">
        <v>31.909499</v>
      </c>
      <c r="J20">
        <v>58.607165000000002</v>
      </c>
      <c r="K20">
        <v>56.121130000000001</v>
      </c>
      <c r="L20">
        <v>15.96191</v>
      </c>
      <c r="M20">
        <v>-622.49550999999997</v>
      </c>
      <c r="N20">
        <v>1.6142479999999999</v>
      </c>
      <c r="O20">
        <v>3.1018330000000001</v>
      </c>
      <c r="P20">
        <f t="shared" si="0"/>
        <v>2.6904133333333332E-5</v>
      </c>
      <c r="Q20" cm="1">
        <f t="array" ref="Q20">[1]!PropsSI("D","T",J20+273.15,"P",101325,"Water")</f>
        <v>983.9066275051274</v>
      </c>
      <c r="R20" cm="1">
        <f t="array" ref="R20">[1]!PropsSI("D","T",K20+273.15,"P",101325,"Water")</f>
        <v>985.14635636980177</v>
      </c>
      <c r="S20">
        <f t="shared" si="1"/>
        <v>984.52649193746458</v>
      </c>
      <c r="T20" cm="1">
        <f t="array" ref="T20">[1]!PropsSI("H","T",J20+273.15,"P",101325,"Water")</f>
        <v>245420.16096453418</v>
      </c>
      <c r="U20" cm="1">
        <f t="array" ref="U20">[1]!PropsSI("H","T",K20+273.15,"P",101325,"Water")</f>
        <v>235018.94386973718</v>
      </c>
      <c r="V20">
        <f t="shared" si="2"/>
        <v>275.50569109908082</v>
      </c>
      <c r="X20">
        <f t="shared" si="3"/>
        <v>0.26721433</v>
      </c>
      <c r="Y20">
        <f t="shared" si="3"/>
        <v>0.26224226</v>
      </c>
      <c r="Z20">
        <f t="shared" si="9"/>
        <v>0.37439885294596786</v>
      </c>
      <c r="AA20">
        <f t="shared" si="8"/>
        <v>2.4860350000000011</v>
      </c>
      <c r="AB20">
        <f t="shared" si="5"/>
        <v>0.1509324356353885</v>
      </c>
      <c r="AC20">
        <f t="shared" si="6"/>
        <v>41.582744988995238</v>
      </c>
    </row>
    <row r="21" spans="1:29" x14ac:dyDescent="0.2">
      <c r="A21">
        <v>46137.040433865739</v>
      </c>
      <c r="B21">
        <v>18.539992000000002</v>
      </c>
      <c r="C21">
        <v>17.730663</v>
      </c>
      <c r="D21">
        <v>17.898354999999999</v>
      </c>
      <c r="E21">
        <v>18.454910000000002</v>
      </c>
      <c r="F21">
        <v>42.661642000000001</v>
      </c>
      <c r="G21">
        <v>41.425125999999999</v>
      </c>
      <c r="H21">
        <v>38.070472000000002</v>
      </c>
      <c r="I21">
        <v>31.807231999999999</v>
      </c>
      <c r="J21">
        <v>58.591873</v>
      </c>
      <c r="K21">
        <v>56.106803999999997</v>
      </c>
      <c r="L21">
        <v>21.846105000000001</v>
      </c>
      <c r="M21">
        <v>-622.48204199999998</v>
      </c>
      <c r="N21">
        <v>1.6116010000000001</v>
      </c>
      <c r="O21">
        <v>3.4232649999999998</v>
      </c>
      <c r="P21">
        <f t="shared" si="0"/>
        <v>2.6860016666666667E-5</v>
      </c>
      <c r="Q21" cm="1">
        <f t="array" ref="Q21">[1]!PropsSI("D","T",J21+273.15,"P",101325,"Water")</f>
        <v>983.91436728900067</v>
      </c>
      <c r="R21" cm="1">
        <f t="array" ref="R21">[1]!PropsSI("D","T",K21+273.15,"P",101325,"Water")</f>
        <v>985.15339142825314</v>
      </c>
      <c r="S21">
        <f t="shared" si="1"/>
        <v>984.5338793586269</v>
      </c>
      <c r="T21" cm="1">
        <f t="array" ref="T21">[1]!PropsSI("H","T",J21+273.15,"P",101325,"Water")</f>
        <v>245356.1737872443</v>
      </c>
      <c r="U21" cm="1">
        <f t="array" ref="U21">[1]!PropsSI("H","T",K21+273.15,"P",101325,"Water")</f>
        <v>234959.01292682972</v>
      </c>
      <c r="V21">
        <f t="shared" si="2"/>
        <v>274.94872274761184</v>
      </c>
      <c r="X21">
        <f t="shared" si="3"/>
        <v>0.267183746</v>
      </c>
      <c r="Y21">
        <f t="shared" si="3"/>
        <v>0.26221360799999999</v>
      </c>
      <c r="Z21">
        <f t="shared" si="9"/>
        <v>0.37435695578814904</v>
      </c>
      <c r="AA21">
        <f t="shared" si="8"/>
        <v>2.4850690000000029</v>
      </c>
      <c r="AB21">
        <f t="shared" si="5"/>
        <v>0.15097402630164947</v>
      </c>
      <c r="AC21">
        <f t="shared" si="6"/>
        <v>41.51011569970288</v>
      </c>
    </row>
    <row r="22" spans="1:29" x14ac:dyDescent="0.2">
      <c r="A22">
        <v>46137.04046916667</v>
      </c>
      <c r="B22">
        <v>18.673570000000002</v>
      </c>
      <c r="C22">
        <v>17.825240999999998</v>
      </c>
      <c r="D22">
        <v>17.923020999999999</v>
      </c>
      <c r="E22">
        <v>18.225552</v>
      </c>
      <c r="F22">
        <v>42.351128000000003</v>
      </c>
      <c r="G22">
        <v>40.726300000000002</v>
      </c>
      <c r="H22">
        <v>37.989725</v>
      </c>
      <c r="I22">
        <v>32.244700999999999</v>
      </c>
      <c r="J22">
        <v>58.569094999999997</v>
      </c>
      <c r="K22">
        <v>56.090407999999996</v>
      </c>
      <c r="L22">
        <v>12.108632999999999</v>
      </c>
      <c r="M22">
        <v>-622.51877500000001</v>
      </c>
      <c r="N22">
        <v>1.611253</v>
      </c>
      <c r="O22">
        <v>3.2390140000000001</v>
      </c>
      <c r="P22">
        <f t="shared" si="0"/>
        <v>2.6854216666666668E-5</v>
      </c>
      <c r="Q22" cm="1">
        <f t="array" ref="Q22">[1]!PropsSI("D","T",J22+273.15,"P",101325,"Water")</f>
        <v>983.92589338788537</v>
      </c>
      <c r="R22" cm="1">
        <f t="array" ref="R22">[1]!PropsSI("D","T",K22+273.15,"P",101325,"Water")</f>
        <v>985.16144145432702</v>
      </c>
      <c r="S22">
        <f t="shared" si="1"/>
        <v>984.54366742110619</v>
      </c>
      <c r="T22" cm="1">
        <f t="array" ref="T22">[1]!PropsSI("H","T",J22+273.15,"P",101325,"Water")</f>
        <v>245260.86269850816</v>
      </c>
      <c r="U22" cm="1">
        <f t="array" ref="U22">[1]!PropsSI("H","T",K22+273.15,"P",101325,"Water")</f>
        <v>234890.4225056016</v>
      </c>
      <c r="V22">
        <f t="shared" si="2"/>
        <v>274.18561306924573</v>
      </c>
      <c r="X22">
        <f t="shared" si="3"/>
        <v>0.26713819</v>
      </c>
      <c r="Y22">
        <f t="shared" si="3"/>
        <v>0.26218081599999998</v>
      </c>
      <c r="Z22">
        <f t="shared" si="9"/>
        <v>0.37430147319360357</v>
      </c>
      <c r="AA22">
        <f t="shared" si="8"/>
        <v>2.4786870000000008</v>
      </c>
      <c r="AB22">
        <f t="shared" si="5"/>
        <v>0.15133870851687781</v>
      </c>
      <c r="AC22">
        <f t="shared" si="6"/>
        <v>41.494896575808021</v>
      </c>
    </row>
    <row r="23" spans="1:29" x14ac:dyDescent="0.2">
      <c r="A23">
        <v>46137.040503888886</v>
      </c>
      <c r="B23">
        <v>18.804483999999999</v>
      </c>
      <c r="C23">
        <v>17.960968000000001</v>
      </c>
      <c r="D23">
        <v>17.793078000000001</v>
      </c>
      <c r="E23">
        <v>18.470526</v>
      </c>
      <c r="F23">
        <v>42.245784999999998</v>
      </c>
      <c r="G23">
        <v>42.133650000000003</v>
      </c>
      <c r="H23">
        <v>38.552399000000001</v>
      </c>
      <c r="I23">
        <v>31.406268000000001</v>
      </c>
      <c r="J23">
        <v>58.553165999999997</v>
      </c>
      <c r="K23">
        <v>56.078946999999999</v>
      </c>
      <c r="L23">
        <v>11.858440999999999</v>
      </c>
      <c r="M23">
        <v>-622.49918400000001</v>
      </c>
      <c r="N23">
        <v>1.6124780000000001</v>
      </c>
      <c r="O23">
        <v>3.7140710000000001</v>
      </c>
      <c r="P23">
        <f t="shared" si="0"/>
        <v>2.6874633333333335E-5</v>
      </c>
      <c r="Q23" cm="1">
        <f t="array" ref="Q23">[1]!PropsSI("D","T",J23+273.15,"P",101325,"Water")</f>
        <v>983.93395191730372</v>
      </c>
      <c r="R23" cm="1">
        <f t="array" ref="R23">[1]!PropsSI("D","T",K23+273.15,"P",101325,"Water")</f>
        <v>985.16706753894277</v>
      </c>
      <c r="S23">
        <f t="shared" si="1"/>
        <v>984.55050972812319</v>
      </c>
      <c r="T23" cm="1">
        <f t="array" ref="T23">[1]!PropsSI("H","T",J23+273.15,"P",101325,"Water")</f>
        <v>245194.21034028078</v>
      </c>
      <c r="U23" cm="1">
        <f t="array" ref="U23">[1]!PropsSI("H","T",K23+273.15,"P",101325,"Water")</f>
        <v>234842.47704165132</v>
      </c>
      <c r="V23">
        <f t="shared" si="2"/>
        <v>273.90100345297571</v>
      </c>
      <c r="X23">
        <f t="shared" si="3"/>
        <v>0.267106332</v>
      </c>
      <c r="Y23">
        <f t="shared" si="3"/>
        <v>0.262157894</v>
      </c>
      <c r="Z23">
        <f t="shared" si="9"/>
        <v>0.37426268045452976</v>
      </c>
      <c r="AA23">
        <f t="shared" si="8"/>
        <v>2.4742189999999979</v>
      </c>
      <c r="AB23">
        <f t="shared" si="5"/>
        <v>0.15159516254399688</v>
      </c>
      <c r="AC23">
        <f t="shared" si="6"/>
        <v>41.522067139417707</v>
      </c>
    </row>
    <row r="24" spans="1:29" x14ac:dyDescent="0.2">
      <c r="A24">
        <v>46137.040539189817</v>
      </c>
      <c r="B24">
        <v>18.753731999999999</v>
      </c>
      <c r="C24">
        <v>18.610325</v>
      </c>
      <c r="D24">
        <v>17.668078000000001</v>
      </c>
      <c r="E24">
        <v>18.370197999999998</v>
      </c>
      <c r="F24">
        <v>42.390396000000003</v>
      </c>
      <c r="G24">
        <v>42.895502</v>
      </c>
      <c r="H24">
        <v>39.088057999999997</v>
      </c>
      <c r="I24">
        <v>31.167680000000001</v>
      </c>
      <c r="J24">
        <v>58.531821000000001</v>
      </c>
      <c r="K24">
        <v>56.063347</v>
      </c>
      <c r="L24">
        <v>13.370203</v>
      </c>
      <c r="M24">
        <v>-622.5</v>
      </c>
      <c r="N24">
        <v>1.6148389999999999</v>
      </c>
      <c r="O24">
        <v>3.1079590000000001</v>
      </c>
      <c r="P24">
        <f t="shared" si="0"/>
        <v>2.691398333333333E-5</v>
      </c>
      <c r="Q24" cm="1">
        <f t="array" ref="Q24">[1]!PropsSI("D","T",J24+273.15,"P",101325,"Water")</f>
        <v>983.94474803516289</v>
      </c>
      <c r="R24" cm="1">
        <f t="array" ref="R24">[1]!PropsSI("D","T",K24+273.15,"P",101325,"Water")</f>
        <v>985.17472411943208</v>
      </c>
      <c r="S24">
        <f t="shared" si="1"/>
        <v>984.55973607729743</v>
      </c>
      <c r="T24" cm="1">
        <f t="array" ref="T24">[1]!PropsSI("H","T",J24+273.15,"P",101325,"Water")</f>
        <v>245104.89575961171</v>
      </c>
      <c r="U24" cm="1">
        <f t="array" ref="U24">[1]!PropsSI("H","T",K24+273.15,"P",101325,"Water")</f>
        <v>234777.21673939773</v>
      </c>
      <c r="V24">
        <f t="shared" si="2"/>
        <v>273.66722099538936</v>
      </c>
      <c r="X24">
        <f t="shared" si="3"/>
        <v>0.26706364199999999</v>
      </c>
      <c r="Y24">
        <f t="shared" si="3"/>
        <v>0.26212669399999999</v>
      </c>
      <c r="Z24">
        <f t="shared" si="9"/>
        <v>0.37421035873646497</v>
      </c>
      <c r="AA24">
        <f t="shared" si="8"/>
        <v>2.4684740000000005</v>
      </c>
      <c r="AB24">
        <f t="shared" si="5"/>
        <v>0.15192529388104642</v>
      </c>
      <c r="AC24">
        <f t="shared" si="6"/>
        <v>41.576972975333803</v>
      </c>
    </row>
    <row r="25" spans="1:29" x14ac:dyDescent="0.2">
      <c r="A25">
        <v>46137.04057449074</v>
      </c>
      <c r="B25">
        <v>18.512063000000001</v>
      </c>
      <c r="C25">
        <v>18.103569</v>
      </c>
      <c r="D25">
        <v>17.605152</v>
      </c>
      <c r="E25">
        <v>18.206256</v>
      </c>
      <c r="F25">
        <v>42.689236999999999</v>
      </c>
      <c r="G25">
        <v>40.711798000000002</v>
      </c>
      <c r="H25">
        <v>39.235332</v>
      </c>
      <c r="I25">
        <v>31.683606000000001</v>
      </c>
      <c r="J25">
        <v>58.511910999999998</v>
      </c>
      <c r="K25">
        <v>56.046633</v>
      </c>
      <c r="L25">
        <v>21.056756</v>
      </c>
      <c r="M25">
        <v>-622.50081599999999</v>
      </c>
      <c r="N25">
        <v>1.6149249999999999</v>
      </c>
      <c r="O25">
        <v>3.19699</v>
      </c>
      <c r="P25">
        <f t="shared" si="0"/>
        <v>2.6915416666666667E-5</v>
      </c>
      <c r="Q25" cm="1">
        <f t="array" ref="Q25">[1]!PropsSI("D","T",J25+273.15,"P",101325,"Water")</f>
        <v>983.95481588228449</v>
      </c>
      <c r="R25" cm="1">
        <f t="array" ref="R25">[1]!PropsSI("D","T",K25+273.15,"P",101325,"Water")</f>
        <v>985.1829258001984</v>
      </c>
      <c r="S25">
        <f t="shared" si="1"/>
        <v>984.56887084124151</v>
      </c>
      <c r="T25" cm="1">
        <f t="array" ref="T25">[1]!PropsSI("H","T",J25+273.15,"P",101325,"Water")</f>
        <v>245021.58586665607</v>
      </c>
      <c r="U25" cm="1">
        <f t="array" ref="U25">[1]!PropsSI("H","T",K25+273.15,"P",101325,"Water")</f>
        <v>234707.2962843999</v>
      </c>
      <c r="V25">
        <f t="shared" si="2"/>
        <v>273.32951346883112</v>
      </c>
      <c r="X25">
        <f t="shared" si="3"/>
        <v>0.26702382199999997</v>
      </c>
      <c r="Y25">
        <f t="shared" si="3"/>
        <v>0.26209326599999999</v>
      </c>
      <c r="Z25">
        <f t="shared" si="9"/>
        <v>0.37415852468978228</v>
      </c>
      <c r="AA25">
        <f t="shared" si="8"/>
        <v>2.4652779999999979</v>
      </c>
      <c r="AB25">
        <f t="shared" si="5"/>
        <v>0.15210041774790953</v>
      </c>
      <c r="AC25">
        <f t="shared" si="6"/>
        <v>41.57353318144208</v>
      </c>
    </row>
    <row r="26" spans="1:29" x14ac:dyDescent="0.2">
      <c r="A26">
        <v>46137.040609791664</v>
      </c>
      <c r="B26">
        <v>18.368594000000002</v>
      </c>
      <c r="C26">
        <v>17.970296000000001</v>
      </c>
      <c r="D26">
        <v>17.805620000000001</v>
      </c>
      <c r="E26">
        <v>18.356911</v>
      </c>
      <c r="F26">
        <v>42.460197000000001</v>
      </c>
      <c r="G26">
        <v>41.204566</v>
      </c>
      <c r="H26">
        <v>39.133645999999999</v>
      </c>
      <c r="I26">
        <v>31.659839000000002</v>
      </c>
      <c r="J26">
        <v>58.494230000000002</v>
      </c>
      <c r="K26">
        <v>56.030078000000003</v>
      </c>
      <c r="L26">
        <v>20.031094</v>
      </c>
      <c r="M26">
        <v>-622.49265300000002</v>
      </c>
      <c r="N26">
        <v>1.61483</v>
      </c>
      <c r="O26">
        <v>3.6576490000000002</v>
      </c>
      <c r="P26">
        <f t="shared" si="0"/>
        <v>2.6913833333333333E-5</v>
      </c>
      <c r="Q26" cm="1">
        <f t="array" ref="Q26">[1]!PropsSI("D","T",J26+273.15,"P",101325,"Water")</f>
        <v>983.96375460477088</v>
      </c>
      <c r="R26" cm="1">
        <f t="array" ref="R26">[1]!PropsSI("D","T",K26+273.15,"P",101325,"Water")</f>
        <v>985.19104776737481</v>
      </c>
      <c r="S26">
        <f t="shared" si="1"/>
        <v>984.57740118607285</v>
      </c>
      <c r="T26" cm="1">
        <f t="array" ref="T26">[1]!PropsSI("H","T",J26+273.15,"P",101325,"Water")</f>
        <v>244947.60296990169</v>
      </c>
      <c r="U26" cm="1">
        <f t="array" ref="U26">[1]!PropsSI("H","T",K26+273.15,"P",101325,"Water")</f>
        <v>234638.0410854306</v>
      </c>
      <c r="V26">
        <f t="shared" si="2"/>
        <v>273.19052442268134</v>
      </c>
      <c r="X26">
        <f t="shared" si="3"/>
        <v>0.26698845999999998</v>
      </c>
      <c r="Y26">
        <f t="shared" si="3"/>
        <v>0.26206015599999999</v>
      </c>
      <c r="Z26">
        <f t="shared" si="9"/>
        <v>0.37411009493986647</v>
      </c>
      <c r="AA26">
        <f t="shared" si="8"/>
        <v>2.4641519999999986</v>
      </c>
      <c r="AB26">
        <f t="shared" si="5"/>
        <v>0.15215000879979462</v>
      </c>
      <c r="AC26">
        <f t="shared" si="6"/>
        <v>41.56594069493147</v>
      </c>
    </row>
    <row r="27" spans="1:29" x14ac:dyDescent="0.2">
      <c r="A27">
        <v>46137.040645092595</v>
      </c>
      <c r="B27">
        <v>18.367235000000001</v>
      </c>
      <c r="C27">
        <v>17.777857000000001</v>
      </c>
      <c r="D27">
        <v>17.864834999999999</v>
      </c>
      <c r="E27">
        <v>18.549026999999999</v>
      </c>
      <c r="F27">
        <v>42.348218000000003</v>
      </c>
      <c r="G27">
        <v>40.785922999999997</v>
      </c>
      <c r="H27">
        <v>37.322634999999998</v>
      </c>
      <c r="I27">
        <v>32.138928</v>
      </c>
      <c r="J27">
        <v>58.472408000000001</v>
      </c>
      <c r="K27">
        <v>56.008270000000003</v>
      </c>
      <c r="L27">
        <v>18.449131999999999</v>
      </c>
      <c r="M27">
        <v>-622.50775499999997</v>
      </c>
      <c r="N27">
        <v>1.6138589999999999</v>
      </c>
      <c r="O27">
        <v>3.127033</v>
      </c>
      <c r="P27">
        <f t="shared" si="0"/>
        <v>2.6897650000000002E-5</v>
      </c>
      <c r="Q27" cm="1">
        <f t="array" ref="Q27">[1]!PropsSI("D","T",J27+273.15,"P",101325,"Water")</f>
        <v>983.97478424879057</v>
      </c>
      <c r="R27" cm="1">
        <f t="array" ref="R27">[1]!PropsSI("D","T",K27+273.15,"P",101325,"Water")</f>
        <v>985.20174431374232</v>
      </c>
      <c r="S27">
        <f t="shared" si="1"/>
        <v>984.58826428126645</v>
      </c>
      <c r="T27" cm="1">
        <f t="array" ref="T27">[1]!PropsSI("H","T",J27+273.15,"P",101325,"Water")</f>
        <v>244856.29299785904</v>
      </c>
      <c r="U27" cm="1">
        <f t="array" ref="U27">[1]!PropsSI("H","T",K27+273.15,"P",101325,"Water")</f>
        <v>234546.81095764227</v>
      </c>
      <c r="V27">
        <f t="shared" si="2"/>
        <v>273.02715234455331</v>
      </c>
      <c r="X27">
        <f t="shared" si="3"/>
        <v>0.26694481599999997</v>
      </c>
      <c r="Y27">
        <f t="shared" si="3"/>
        <v>0.26201654000000002</v>
      </c>
      <c r="Z27">
        <f t="shared" si="9"/>
        <v>0.37404839529510808</v>
      </c>
      <c r="AA27">
        <f t="shared" si="8"/>
        <v>2.4641379999999984</v>
      </c>
      <c r="AB27">
        <f t="shared" si="5"/>
        <v>0.15212588461572876</v>
      </c>
      <c r="AC27">
        <f t="shared" si="6"/>
        <v>41.534497074528517</v>
      </c>
    </row>
    <row r="28" spans="1:29" x14ac:dyDescent="0.2">
      <c r="A28">
        <v>46137.040679814818</v>
      </c>
      <c r="B28">
        <v>18.576654000000001</v>
      </c>
      <c r="C28">
        <v>17.895237000000002</v>
      </c>
      <c r="D28">
        <v>17.927401</v>
      </c>
      <c r="E28">
        <v>18.584866999999999</v>
      </c>
      <c r="F28">
        <v>41.971474999999998</v>
      </c>
      <c r="G28">
        <v>42.493184999999997</v>
      </c>
      <c r="H28">
        <v>38.339385999999998</v>
      </c>
      <c r="I28">
        <v>31.822406999999998</v>
      </c>
      <c r="J28">
        <v>58.452657000000002</v>
      </c>
      <c r="K28">
        <v>55.991715999999997</v>
      </c>
      <c r="L28">
        <v>24.377814999999998</v>
      </c>
      <c r="M28">
        <v>-622.48530700000003</v>
      </c>
      <c r="N28">
        <v>1.61399</v>
      </c>
      <c r="O28">
        <v>3.1728070000000002</v>
      </c>
      <c r="P28">
        <f t="shared" si="0"/>
        <v>2.6899833333333333E-5</v>
      </c>
      <c r="Q28" cm="1">
        <f t="array" ref="Q28">[1]!PropsSI("D","T",J28+273.15,"P",101325,"Water")</f>
        <v>983.98476467236276</v>
      </c>
      <c r="R28" cm="1">
        <f t="array" ref="R28">[1]!PropsSI("D","T",K28+273.15,"P",101325,"Water")</f>
        <v>985.20986188936922</v>
      </c>
      <c r="S28">
        <f t="shared" si="1"/>
        <v>984.59731328086605</v>
      </c>
      <c r="T28" cm="1">
        <f t="array" ref="T28">[1]!PropsSI("H","T",J28+273.15,"P",101325,"Water")</f>
        <v>244773.64889788767</v>
      </c>
      <c r="U28" cm="1">
        <f t="array" ref="U28">[1]!PropsSI("H","T",K28+273.15,"P",101325,"Water")</f>
        <v>234477.56018157367</v>
      </c>
      <c r="V28">
        <f t="shared" si="2"/>
        <v>272.6970950470872</v>
      </c>
      <c r="X28">
        <f t="shared" si="3"/>
        <v>0.266905314</v>
      </c>
      <c r="Y28">
        <f t="shared" si="3"/>
        <v>0.26198343199999996</v>
      </c>
      <c r="Z28">
        <f t="shared" si="9"/>
        <v>0.37399701239974792</v>
      </c>
      <c r="AA28">
        <f t="shared" si="8"/>
        <v>2.4609410000000054</v>
      </c>
      <c r="AB28">
        <f t="shared" si="5"/>
        <v>0.15230182310001017</v>
      </c>
      <c r="AC28">
        <f t="shared" si="6"/>
        <v>41.532264729748135</v>
      </c>
    </row>
    <row r="29" spans="1:29" x14ac:dyDescent="0.2">
      <c r="A29">
        <v>46137.040715115741</v>
      </c>
      <c r="B29">
        <v>18.632152999999999</v>
      </c>
      <c r="C29">
        <v>18.09103</v>
      </c>
      <c r="D29">
        <v>18.072817000000001</v>
      </c>
      <c r="E29">
        <v>18.604474</v>
      </c>
      <c r="F29">
        <v>41.438637999999997</v>
      </c>
      <c r="G29">
        <v>41.048436000000002</v>
      </c>
      <c r="H29">
        <v>39.349946000000003</v>
      </c>
      <c r="I29">
        <v>31.005645000000001</v>
      </c>
      <c r="J29">
        <v>58.432268999999998</v>
      </c>
      <c r="K29">
        <v>55.976275000000001</v>
      </c>
      <c r="L29">
        <v>17.695699999999999</v>
      </c>
      <c r="M29">
        <v>-622.45428800000002</v>
      </c>
      <c r="N29">
        <v>1.613753</v>
      </c>
      <c r="O29">
        <v>3.5485769999999999</v>
      </c>
      <c r="P29">
        <f t="shared" si="0"/>
        <v>2.6895883333333334E-5</v>
      </c>
      <c r="Q29" cm="1">
        <f t="array" ref="Q29">[1]!PropsSI("D","T",J29+273.15,"P",101325,"Water")</f>
        <v>983.9950645270203</v>
      </c>
      <c r="R29" cm="1">
        <f t="array" ref="R29">[1]!PropsSI("D","T",K29+273.15,"P",101325,"Water")</f>
        <v>985.21743216600942</v>
      </c>
      <c r="S29">
        <f t="shared" si="1"/>
        <v>984.6062483465148</v>
      </c>
      <c r="T29" cm="1">
        <f t="array" ref="T29">[1]!PropsSI("H","T",J29+273.15,"P",101325,"Water")</f>
        <v>244688.33956836275</v>
      </c>
      <c r="U29" cm="1">
        <f t="array" ref="U29">[1]!PropsSI("H","T",K29+273.15,"P",101325,"Water")</f>
        <v>234412.96554025149</v>
      </c>
      <c r="V29">
        <f t="shared" si="2"/>
        <v>272.11096287193624</v>
      </c>
      <c r="X29">
        <f t="shared" si="3"/>
        <v>0.26686453799999998</v>
      </c>
      <c r="Y29">
        <f t="shared" si="3"/>
        <v>0.26195255000000001</v>
      </c>
      <c r="Z29">
        <f t="shared" si="9"/>
        <v>0.37394627968928362</v>
      </c>
      <c r="AA29">
        <f t="shared" si="8"/>
        <v>2.4559939999999969</v>
      </c>
      <c r="AB29">
        <f t="shared" si="5"/>
        <v>0.15258666441295068</v>
      </c>
      <c r="AC29">
        <f t="shared" si="6"/>
        <v>41.520504174825021</v>
      </c>
    </row>
    <row r="30" spans="1:29" x14ac:dyDescent="0.2">
      <c r="A30">
        <v>46137.040749837965</v>
      </c>
      <c r="B30">
        <v>18.560054000000001</v>
      </c>
      <c r="C30">
        <v>18.146426999999999</v>
      </c>
      <c r="D30">
        <v>18.373806999999999</v>
      </c>
      <c r="E30">
        <v>18.744935999999999</v>
      </c>
      <c r="F30">
        <v>42.289487999999999</v>
      </c>
      <c r="G30">
        <v>41.487879999999997</v>
      </c>
      <c r="H30">
        <v>38.157144000000002</v>
      </c>
      <c r="I30">
        <v>31.575004</v>
      </c>
      <c r="J30">
        <v>58.411881000000001</v>
      </c>
      <c r="K30">
        <v>55.961154000000001</v>
      </c>
      <c r="L30">
        <v>11.477236</v>
      </c>
      <c r="M30">
        <v>-622.48163399999999</v>
      </c>
      <c r="N30">
        <v>1.610446</v>
      </c>
      <c r="O30">
        <v>3.5545119999999999</v>
      </c>
      <c r="P30">
        <f t="shared" si="0"/>
        <v>2.6840766666666665E-5</v>
      </c>
      <c r="Q30" cm="1">
        <f t="array" ref="Q30">[1]!PropsSI("D","T",J30+273.15,"P",101325,"Water")</f>
        <v>984.00536188938588</v>
      </c>
      <c r="R30" cm="1">
        <f t="array" ref="R30">[1]!PropsSI("D","T",K30+273.15,"P",101325,"Water")</f>
        <v>985.22484413589143</v>
      </c>
      <c r="S30">
        <f t="shared" si="1"/>
        <v>984.61510301263866</v>
      </c>
      <c r="T30" cm="1">
        <f t="array" ref="T30">[1]!PropsSI("H","T",J30+273.15,"P",101325,"Water")</f>
        <v>244603.03041063339</v>
      </c>
      <c r="U30" cm="1">
        <f t="array" ref="U30">[1]!PropsSI("H","T",K30+273.15,"P",101325,"Water")</f>
        <v>234349.70964829836</v>
      </c>
      <c r="V30">
        <f t="shared" si="2"/>
        <v>270.97295894681275</v>
      </c>
      <c r="X30">
        <f t="shared" si="3"/>
        <v>0.26682376200000002</v>
      </c>
      <c r="Y30">
        <f t="shared" si="3"/>
        <v>0.26192230799999999</v>
      </c>
      <c r="Z30">
        <f t="shared" si="9"/>
        <v>0.37389599542637453</v>
      </c>
      <c r="AA30">
        <f t="shared" si="8"/>
        <v>2.4507270000000005</v>
      </c>
      <c r="AB30">
        <f t="shared" si="5"/>
        <v>0.15289271613982094</v>
      </c>
      <c r="AC30">
        <f t="shared" si="6"/>
        <v>41.429791693822395</v>
      </c>
    </row>
    <row r="31" spans="1:29" x14ac:dyDescent="0.2">
      <c r="A31">
        <v>46137.040785138888</v>
      </c>
      <c r="B31">
        <v>18.331823</v>
      </c>
      <c r="C31">
        <v>18.220406000000001</v>
      </c>
      <c r="D31">
        <v>18.582889999999999</v>
      </c>
      <c r="E31">
        <v>18.812452</v>
      </c>
      <c r="F31">
        <v>41.385047999999998</v>
      </c>
      <c r="G31">
        <v>41.208274000000003</v>
      </c>
      <c r="H31">
        <v>39.061940999999997</v>
      </c>
      <c r="I31">
        <v>32.441890000000001</v>
      </c>
      <c r="J31">
        <v>58.389581</v>
      </c>
      <c r="K31">
        <v>55.943485000000003</v>
      </c>
      <c r="L31">
        <v>16.818193000000001</v>
      </c>
      <c r="M31">
        <v>-622.48816399999998</v>
      </c>
      <c r="N31">
        <v>1.6118509999999999</v>
      </c>
      <c r="O31">
        <v>3.7493859999999999</v>
      </c>
      <c r="P31">
        <f t="shared" si="0"/>
        <v>2.6864183333333333E-5</v>
      </c>
      <c r="Q31" cm="1">
        <f t="array" ref="Q31">[1]!PropsSI("D","T",J31+273.15,"P",101325,"Water")</f>
        <v>984.01662209068502</v>
      </c>
      <c r="R31" cm="1">
        <f t="array" ref="R31">[1]!PropsSI("D","T",K31+273.15,"P",101325,"Water")</f>
        <v>985.23350329686798</v>
      </c>
      <c r="S31">
        <f t="shared" si="1"/>
        <v>984.6250626937765</v>
      </c>
      <c r="T31" cm="1">
        <f t="array" ref="T31">[1]!PropsSI("H","T",J31+273.15,"P",101325,"Water")</f>
        <v>244509.72110083952</v>
      </c>
      <c r="U31" cm="1">
        <f t="array" ref="U31">[1]!PropsSI("H","T",K31+273.15,"P",101325,"Water")</f>
        <v>234275.79478106723</v>
      </c>
      <c r="V31">
        <f t="shared" si="2"/>
        <v>270.69910173990121</v>
      </c>
      <c r="X31">
        <f t="shared" si="3"/>
        <v>0.26677916200000001</v>
      </c>
      <c r="Y31">
        <f t="shared" si="3"/>
        <v>0.26188697</v>
      </c>
      <c r="Z31">
        <f t="shared" si="9"/>
        <v>0.37383941249312275</v>
      </c>
      <c r="AA31">
        <f t="shared" si="8"/>
        <v>2.4460959999999972</v>
      </c>
      <c r="AB31">
        <f t="shared" si="5"/>
        <v>0.15315785613527239</v>
      </c>
      <c r="AC31">
        <f t="shared" si="6"/>
        <v>41.459694080227251</v>
      </c>
    </row>
    <row r="32" spans="1:29" x14ac:dyDescent="0.2">
      <c r="A32">
        <v>46137.040820439812</v>
      </c>
      <c r="B32">
        <v>18.307106000000001</v>
      </c>
      <c r="C32">
        <v>18.200738000000001</v>
      </c>
      <c r="D32">
        <v>18.651128</v>
      </c>
      <c r="E32">
        <v>18.800844000000001</v>
      </c>
      <c r="F32">
        <v>42.152419999999999</v>
      </c>
      <c r="G32">
        <v>42.632174999999997</v>
      </c>
      <c r="H32">
        <v>38.500115999999998</v>
      </c>
      <c r="I32">
        <v>31.927104</v>
      </c>
      <c r="J32">
        <v>58.366804000000002</v>
      </c>
      <c r="K32">
        <v>55.923588000000002</v>
      </c>
      <c r="L32">
        <v>18.513618000000001</v>
      </c>
      <c r="M32">
        <v>-622.49102100000005</v>
      </c>
      <c r="N32">
        <v>1.5989960000000001</v>
      </c>
      <c r="O32">
        <v>3.4365070000000002</v>
      </c>
      <c r="P32">
        <f t="shared" si="0"/>
        <v>2.6649933333333334E-5</v>
      </c>
      <c r="Q32" cm="1">
        <f t="array" ref="Q32">[1]!PropsSI("D","T",J32+273.15,"P",101325,"Water")</f>
        <v>984.02812006991383</v>
      </c>
      <c r="R32" cm="1">
        <f t="array" ref="R32">[1]!PropsSI("D","T",K32+273.15,"P",101325,"Water")</f>
        <v>985.24325205068794</v>
      </c>
      <c r="S32">
        <f t="shared" si="1"/>
        <v>984.63568606030094</v>
      </c>
      <c r="T32" cm="1">
        <f t="array" ref="T32">[1]!PropsSI("H","T",J32+273.15,"P",101325,"Water")</f>
        <v>244414.41610416071</v>
      </c>
      <c r="U32" cm="1">
        <f t="array" ref="U32">[1]!PropsSI("H","T",K32+273.15,"P",101325,"Water")</f>
        <v>234192.55964440873</v>
      </c>
      <c r="V32">
        <f t="shared" si="2"/>
        <v>268.22637288376427</v>
      </c>
      <c r="X32">
        <f t="shared" si="3"/>
        <v>0.26673360800000001</v>
      </c>
      <c r="Y32">
        <f t="shared" si="3"/>
        <v>0.26184717600000001</v>
      </c>
      <c r="Z32">
        <f t="shared" si="9"/>
        <v>0.37377902725523898</v>
      </c>
      <c r="AA32">
        <f t="shared" si="8"/>
        <v>2.4432159999999996</v>
      </c>
      <c r="AB32">
        <f t="shared" si="5"/>
        <v>0.15331296262035729</v>
      </c>
      <c r="AC32">
        <f t="shared" si="6"/>
        <v>41.122579879722565</v>
      </c>
    </row>
    <row r="33" spans="1:29" x14ac:dyDescent="0.2">
      <c r="A33">
        <v>46137.040855740743</v>
      </c>
      <c r="B33">
        <v>18.396111000000001</v>
      </c>
      <c r="C33">
        <v>18.194503999999998</v>
      </c>
      <c r="D33">
        <v>18.469321000000001</v>
      </c>
      <c r="E33">
        <v>18.768847000000001</v>
      </c>
      <c r="F33">
        <v>42.243380999999999</v>
      </c>
      <c r="G33">
        <v>41.399870999999997</v>
      </c>
      <c r="H33">
        <v>37.853082999999998</v>
      </c>
      <c r="I33">
        <v>30.603480999999999</v>
      </c>
      <c r="J33">
        <v>58.345779999999998</v>
      </c>
      <c r="K33">
        <v>55.902577000000001</v>
      </c>
      <c r="L33">
        <v>16.569226</v>
      </c>
      <c r="M33">
        <v>-622.51510099999996</v>
      </c>
      <c r="N33">
        <v>1.6026069999999999</v>
      </c>
      <c r="O33">
        <v>3.5545499999999999</v>
      </c>
      <c r="P33">
        <f t="shared" si="0"/>
        <v>2.6710116666666667E-5</v>
      </c>
      <c r="Q33" cm="1">
        <f t="array" ref="Q33">[1]!PropsSI("D","T",J33+273.15,"P",101325,"Water")</f>
        <v>984.03873036077619</v>
      </c>
      <c r="R33" cm="1">
        <f t="array" ref="R33">[1]!PropsSI("D","T",K33+273.15,"P",101325,"Water")</f>
        <v>985.25354397855995</v>
      </c>
      <c r="S33">
        <f t="shared" si="1"/>
        <v>984.64613716966801</v>
      </c>
      <c r="T33" cm="1">
        <f t="array" ref="T33">[1]!PropsSI("H","T",J33+273.15,"P",101325,"Water")</f>
        <v>244326.4463133651</v>
      </c>
      <c r="U33" cm="1">
        <f t="array" ref="U33">[1]!PropsSI("H","T",K33+273.15,"P",101325,"Water")</f>
        <v>234104.66447208638</v>
      </c>
      <c r="V33">
        <f t="shared" si="2"/>
        <v>268.83299734481471</v>
      </c>
      <c r="X33">
        <f t="shared" si="3"/>
        <v>0.26669155999999999</v>
      </c>
      <c r="Y33">
        <f t="shared" si="3"/>
        <v>0.26180515399999998</v>
      </c>
      <c r="Z33">
        <f t="shared" si="9"/>
        <v>0.37371958315854592</v>
      </c>
      <c r="AA33">
        <f t="shared" si="8"/>
        <v>2.4432029999999969</v>
      </c>
      <c r="AB33">
        <f t="shared" si="5"/>
        <v>0.15328949633310693</v>
      </c>
      <c r="AC33">
        <f t="shared" si="6"/>
        <v>41.209274760706123</v>
      </c>
    </row>
    <row r="34" spans="1:29" x14ac:dyDescent="0.2">
      <c r="A34">
        <v>46137.040891041666</v>
      </c>
      <c r="B34">
        <v>18.283728</v>
      </c>
      <c r="C34">
        <v>18.334330999999999</v>
      </c>
      <c r="D34">
        <v>18.468377</v>
      </c>
      <c r="E34">
        <v>18.643093</v>
      </c>
      <c r="F34">
        <v>41.614172000000003</v>
      </c>
      <c r="G34">
        <v>42.119656999999997</v>
      </c>
      <c r="H34">
        <v>38.343198999999998</v>
      </c>
      <c r="I34">
        <v>31.207678999999999</v>
      </c>
      <c r="J34">
        <v>58.322206999999999</v>
      </c>
      <c r="K34">
        <v>55.883158000000002</v>
      </c>
      <c r="L34">
        <v>15.072566</v>
      </c>
      <c r="M34">
        <v>-622.49959200000001</v>
      </c>
      <c r="N34">
        <v>1.614884</v>
      </c>
      <c r="O34">
        <v>3.0955940000000002</v>
      </c>
      <c r="P34">
        <f t="shared" si="0"/>
        <v>2.6914733333333335E-5</v>
      </c>
      <c r="Q34" cm="1">
        <f t="array" ref="Q34">[1]!PropsSI("D","T",J34+273.15,"P",101325,"Water")</f>
        <v>984.05062391429146</v>
      </c>
      <c r="R34" cm="1">
        <f t="array" ref="R34">[1]!PropsSI("D","T",K34+273.15,"P",101325,"Water")</f>
        <v>985.26305367449811</v>
      </c>
      <c r="S34">
        <f t="shared" si="1"/>
        <v>984.65683879439484</v>
      </c>
      <c r="T34" cm="1">
        <f t="array" ref="T34">[1]!PropsSI("H","T",J34+273.15,"P",101325,"Water")</f>
        <v>244227.81107152411</v>
      </c>
      <c r="U34" cm="1">
        <f t="array" ref="U34">[1]!PropsSI("H","T",K34+273.15,"P",101325,"Water")</f>
        <v>234023.42924986189</v>
      </c>
      <c r="V34">
        <f t="shared" si="2"/>
        <v>270.43424371536014</v>
      </c>
      <c r="X34">
        <f t="shared" si="3"/>
        <v>0.266644414</v>
      </c>
      <c r="Y34">
        <f t="shared" si="3"/>
        <v>0.261766316</v>
      </c>
      <c r="Z34">
        <f t="shared" si="9"/>
        <v>0.37365873161163415</v>
      </c>
      <c r="AA34">
        <f t="shared" si="8"/>
        <v>2.4390489999999971</v>
      </c>
      <c r="AB34">
        <f t="shared" si="5"/>
        <v>0.15352456115298641</v>
      </c>
      <c r="AC34">
        <f t="shared" si="6"/>
        <v>41.518298587140436</v>
      </c>
    </row>
    <row r="35" spans="1:29" x14ac:dyDescent="0.2">
      <c r="A35">
        <v>46137.040925763889</v>
      </c>
      <c r="B35">
        <v>18.431384000000001</v>
      </c>
      <c r="C35">
        <v>18.296468999999998</v>
      </c>
      <c r="D35">
        <v>18.408085</v>
      </c>
      <c r="E35">
        <v>18.607106000000002</v>
      </c>
      <c r="F35">
        <v>42.017097999999997</v>
      </c>
      <c r="G35">
        <v>41.929749000000001</v>
      </c>
      <c r="H35">
        <v>39.398440999999998</v>
      </c>
      <c r="I35">
        <v>32.369712</v>
      </c>
      <c r="J35">
        <v>58.302455999999999</v>
      </c>
      <c r="K35">
        <v>55.867082000000003</v>
      </c>
      <c r="L35">
        <v>16.777787</v>
      </c>
      <c r="M35">
        <v>-622.46245099999999</v>
      </c>
      <c r="N35">
        <v>1.614306</v>
      </c>
      <c r="O35">
        <v>3.598392</v>
      </c>
      <c r="P35">
        <f t="shared" si="0"/>
        <v>2.6905100000000001E-5</v>
      </c>
      <c r="Q35" cm="1">
        <f t="array" ref="Q35">[1]!PropsSI("D","T",J35+273.15,"P",101325,"Water")</f>
        <v>984.06058654271055</v>
      </c>
      <c r="R35" cm="1">
        <f t="array" ref="R35">[1]!PropsSI("D","T",K35+273.15,"P",101325,"Water")</f>
        <v>985.27092451189469</v>
      </c>
      <c r="S35">
        <f t="shared" si="1"/>
        <v>984.66575552730262</v>
      </c>
      <c r="T35" cm="1">
        <f t="array" ref="T35">[1]!PropsSI("H","T",J35+273.15,"P",101325,"Water")</f>
        <v>244145.16819578383</v>
      </c>
      <c r="U35" cm="1">
        <f t="array" ref="U35">[1]!PropsSI("H","T",K35+273.15,"P",101325,"Water")</f>
        <v>233956.17885838228</v>
      </c>
      <c r="V35">
        <f t="shared" si="2"/>
        <v>269.93211199815858</v>
      </c>
      <c r="X35">
        <f t="shared" si="3"/>
        <v>0.26660491200000003</v>
      </c>
      <c r="Y35">
        <f t="shared" si="3"/>
        <v>0.26173416399999999</v>
      </c>
      <c r="Z35">
        <f t="shared" si="9"/>
        <v>0.37360801879417233</v>
      </c>
      <c r="AA35">
        <f t="shared" si="8"/>
        <v>2.4353739999999959</v>
      </c>
      <c r="AB35">
        <f t="shared" si="5"/>
        <v>0.15373446951714678</v>
      </c>
      <c r="AC35">
        <f t="shared" si="6"/>
        <v>41.49787004367996</v>
      </c>
    </row>
    <row r="36" spans="1:29" x14ac:dyDescent="0.2">
      <c r="A36">
        <v>46137.040961064813</v>
      </c>
      <c r="B36">
        <v>18.609967999999999</v>
      </c>
      <c r="C36">
        <v>18.243613</v>
      </c>
      <c r="D36">
        <v>18.174572999999999</v>
      </c>
      <c r="E36">
        <v>18.602257000000002</v>
      </c>
      <c r="F36">
        <v>42.485543</v>
      </c>
      <c r="G36">
        <v>41.853838000000003</v>
      </c>
      <c r="H36">
        <v>39.263339000000002</v>
      </c>
      <c r="I36">
        <v>31.809746000000001</v>
      </c>
      <c r="J36">
        <v>58.280476999999998</v>
      </c>
      <c r="K36">
        <v>55.848140000000001</v>
      </c>
      <c r="L36">
        <v>26.343022000000001</v>
      </c>
      <c r="M36">
        <v>-622.47796000000005</v>
      </c>
      <c r="N36">
        <v>1.6133470000000001</v>
      </c>
      <c r="O36">
        <v>3.2922090000000002</v>
      </c>
      <c r="P36">
        <f t="shared" si="0"/>
        <v>2.688911666666667E-5</v>
      </c>
      <c r="Q36" cm="1">
        <f t="array" ref="Q36">[1]!PropsSI("D","T",J36+273.15,"P",101325,"Water")</f>
        <v>984.07167024641865</v>
      </c>
      <c r="R36" cm="1">
        <f t="array" ref="R36">[1]!PropsSI("D","T",K36+273.15,"P",101325,"Water")</f>
        <v>985.28019650735939</v>
      </c>
      <c r="S36">
        <f t="shared" si="1"/>
        <v>984.67593337688902</v>
      </c>
      <c r="T36" cm="1">
        <f t="array" ref="T36">[1]!PropsSI("H","T",J36+273.15,"P",101325,"Water")</f>
        <v>244053.20302751454</v>
      </c>
      <c r="U36" cm="1">
        <f t="array" ref="U36">[1]!PropsSI("H","T",K36+273.15,"P",101325,"Water")</f>
        <v>233876.93931380851</v>
      </c>
      <c r="V36">
        <f t="shared" si="2"/>
        <v>269.43760650456539</v>
      </c>
      <c r="X36">
        <f t="shared" si="3"/>
        <v>0.26656095400000002</v>
      </c>
      <c r="Y36">
        <f t="shared" si="3"/>
        <v>0.26169628</v>
      </c>
      <c r="Z36">
        <f t="shared" si="9"/>
        <v>0.37355011064545079</v>
      </c>
      <c r="AA36">
        <f t="shared" si="8"/>
        <v>2.4323369999999969</v>
      </c>
      <c r="AB36">
        <f t="shared" si="5"/>
        <v>0.15390185237999585</v>
      </c>
      <c r="AC36">
        <f t="shared" si="6"/>
        <v>41.466946741885032</v>
      </c>
    </row>
    <row r="37" spans="1:29" x14ac:dyDescent="0.2">
      <c r="A37">
        <v>46137.040996365744</v>
      </c>
      <c r="B37">
        <v>18.636657</v>
      </c>
      <c r="C37">
        <v>18.202493</v>
      </c>
      <c r="D37">
        <v>18.007739000000001</v>
      </c>
      <c r="E37">
        <v>18.583749000000001</v>
      </c>
      <c r="F37">
        <v>42.176681000000002</v>
      </c>
      <c r="G37">
        <v>43.368774999999999</v>
      </c>
      <c r="H37">
        <v>38.933283000000003</v>
      </c>
      <c r="I37">
        <v>31.826101999999999</v>
      </c>
      <c r="J37">
        <v>58.258338000000002</v>
      </c>
      <c r="K37">
        <v>55.831586000000001</v>
      </c>
      <c r="L37">
        <v>14.367295</v>
      </c>
      <c r="M37">
        <v>-622.48408199999994</v>
      </c>
      <c r="N37">
        <v>1.6140190000000001</v>
      </c>
      <c r="O37">
        <v>3.7113390000000002</v>
      </c>
      <c r="P37">
        <f t="shared" si="0"/>
        <v>2.6900316666666671E-5</v>
      </c>
      <c r="Q37" cm="1">
        <f t="array" ref="Q37">[1]!PropsSI("D","T",J37+273.15,"P",101325,"Water")</f>
        <v>984.08283170339018</v>
      </c>
      <c r="R37" cm="1">
        <f t="array" ref="R37">[1]!PropsSI("D","T",K37+273.15,"P",101325,"Water")</f>
        <v>985.28829778326201</v>
      </c>
      <c r="S37">
        <f t="shared" si="1"/>
        <v>984.68556474332604</v>
      </c>
      <c r="T37" cm="1">
        <f t="array" ref="T37">[1]!PropsSI("H","T",J37+273.15,"P",101325,"Water")</f>
        <v>243960.56858331824</v>
      </c>
      <c r="U37" cm="1">
        <f t="array" ref="U37">[1]!PropsSI("H","T",K37+273.15,"P",101325,"Water")</f>
        <v>233807.68953365387</v>
      </c>
      <c r="V37">
        <f t="shared" si="2"/>
        <v>268.93304939849213</v>
      </c>
      <c r="X37">
        <f t="shared" si="3"/>
        <v>0.26651667600000001</v>
      </c>
      <c r="Y37">
        <f t="shared" si="3"/>
        <v>0.261663172</v>
      </c>
      <c r="Z37">
        <f t="shared" si="9"/>
        <v>0.37349532014094977</v>
      </c>
      <c r="AA37">
        <f t="shared" si="8"/>
        <v>2.4267520000000005</v>
      </c>
      <c r="AB37">
        <f t="shared" si="5"/>
        <v>0.15423202284015741</v>
      </c>
      <c r="AC37">
        <f t="shared" si="6"/>
        <v>41.478088217301419</v>
      </c>
    </row>
    <row r="38" spans="1:29" x14ac:dyDescent="0.2">
      <c r="A38">
        <v>44675.041031090303</v>
      </c>
      <c r="B38">
        <v>18.705908000000001</v>
      </c>
      <c r="C38">
        <v>18.139230000000001</v>
      </c>
      <c r="D38">
        <v>17.919119999999999</v>
      </c>
      <c r="E38">
        <v>18.599243000000001</v>
      </c>
      <c r="F38">
        <v>42.365969999999997</v>
      </c>
      <c r="G38">
        <v>41.506208999999998</v>
      </c>
      <c r="H38">
        <v>37.731439999999999</v>
      </c>
      <c r="I38">
        <v>31.830176999999999</v>
      </c>
      <c r="J38">
        <v>58.238588</v>
      </c>
      <c r="K38">
        <v>55.814714000000002</v>
      </c>
      <c r="L38">
        <v>22.651779000000001</v>
      </c>
      <c r="M38">
        <v>-622.512652</v>
      </c>
      <c r="N38">
        <v>1.6146339999999999</v>
      </c>
      <c r="O38">
        <v>3.603259</v>
      </c>
      <c r="P38">
        <f t="shared" si="0"/>
        <v>2.6910566666666666E-5</v>
      </c>
      <c r="Q38" cm="1">
        <f t="array" ref="Q38">[1]!PropsSI("D","T",J38+273.15,"P",101325,"Water")</f>
        <v>984.09278625294553</v>
      </c>
      <c r="R38" cm="1">
        <f t="array" ref="R38">[1]!PropsSI("D","T",K38+273.15,"P",101325,"Water")</f>
        <v>985.29655294802865</v>
      </c>
      <c r="S38">
        <f t="shared" si="1"/>
        <v>984.69466960048703</v>
      </c>
      <c r="T38" cm="1">
        <f t="array" ref="T38">[1]!PropsSI("H","T",J38+273.15,"P",101325,"Water")</f>
        <v>243877.93041035251</v>
      </c>
      <c r="U38" cm="1">
        <f t="array" ref="U38">[1]!PropsSI("H","T",K38+273.15,"P",101325,"Water")</f>
        <v>233737.10958057395</v>
      </c>
      <c r="V38">
        <f t="shared" si="2"/>
        <v>268.71848325843473</v>
      </c>
      <c r="X38">
        <f t="shared" si="3"/>
        <v>0.26647717599999998</v>
      </c>
      <c r="Y38">
        <f t="shared" si="3"/>
        <v>0.261629428</v>
      </c>
      <c r="Z38">
        <f t="shared" si="9"/>
        <v>0.3734434936165606</v>
      </c>
      <c r="AA38">
        <f t="shared" si="8"/>
        <v>2.4238739999999979</v>
      </c>
      <c r="AB38">
        <f t="shared" si="5"/>
        <v>0.1543930448767544</v>
      </c>
      <c r="AC38">
        <f t="shared" si="6"/>
        <v>41.488264844932885</v>
      </c>
    </row>
    <row r="39" spans="1:29" x14ac:dyDescent="0.2">
      <c r="A39">
        <v>44675.041065812497</v>
      </c>
      <c r="B39">
        <v>18.589946999999999</v>
      </c>
      <c r="C39">
        <v>17.960187999999999</v>
      </c>
      <c r="D39">
        <v>17.786778999999999</v>
      </c>
      <c r="E39">
        <v>18.321192</v>
      </c>
      <c r="F39">
        <v>42.310541999999998</v>
      </c>
      <c r="G39">
        <v>40.967466000000002</v>
      </c>
      <c r="H39">
        <v>38.628470999999998</v>
      </c>
      <c r="I39">
        <v>31.052610000000001</v>
      </c>
      <c r="J39">
        <v>58.214219</v>
      </c>
      <c r="K39">
        <v>55.795932000000001</v>
      </c>
      <c r="L39">
        <v>15.952522</v>
      </c>
      <c r="M39">
        <v>-622.48530700000003</v>
      </c>
      <c r="N39">
        <v>1.6060160000000001</v>
      </c>
      <c r="O39">
        <v>3.1592349999999998</v>
      </c>
      <c r="P39">
        <f t="shared" si="0"/>
        <v>2.6766933333333333E-5</v>
      </c>
      <c r="Q39" cm="1">
        <f t="array" ref="Q39">[1]!PropsSI("D","T",J39+273.15,"P",101325,"Water")</f>
        <v>984.1050656777029</v>
      </c>
      <c r="R39" cm="1">
        <f t="array" ref="R39">[1]!PropsSI("D","T",K39+273.15,"P",101325,"Water")</f>
        <v>985.30574058019488</v>
      </c>
      <c r="S39">
        <f t="shared" si="1"/>
        <v>984.70540312894889</v>
      </c>
      <c r="T39" cm="1">
        <f t="array" ref="T39">[1]!PropsSI("H","T",J39+273.15,"P",101325,"Water")</f>
        <v>243775.96558610201</v>
      </c>
      <c r="U39" cm="1">
        <f t="array" ref="U39">[1]!PropsSI("H","T",K39+273.15,"P",101325,"Water")</f>
        <v>233658.5397272472</v>
      </c>
      <c r="V39">
        <f t="shared" si="2"/>
        <v>266.67049601249624</v>
      </c>
      <c r="X39">
        <f t="shared" si="3"/>
        <v>0.26642843799999999</v>
      </c>
      <c r="Y39">
        <f t="shared" si="3"/>
        <v>0.26159186400000001</v>
      </c>
      <c r="Z39">
        <f t="shared" si="9"/>
        <v>0.37338239900417691</v>
      </c>
      <c r="AA39">
        <f t="shared" si="8"/>
        <v>2.4182869999999994</v>
      </c>
      <c r="AB39">
        <f t="shared" si="5"/>
        <v>0.1547230356976918</v>
      </c>
      <c r="AC39">
        <f t="shared" si="6"/>
        <v>41.260068674062637</v>
      </c>
    </row>
    <row r="40" spans="1:29" x14ac:dyDescent="0.2">
      <c r="A40">
        <v>44675.0411011135</v>
      </c>
      <c r="B40">
        <v>18.600341</v>
      </c>
      <c r="C40">
        <v>17.900358000000001</v>
      </c>
      <c r="D40">
        <v>17.783564999999999</v>
      </c>
      <c r="E40">
        <v>18.511962</v>
      </c>
      <c r="F40">
        <v>42.573998000000003</v>
      </c>
      <c r="G40">
        <v>41.831727999999998</v>
      </c>
      <c r="H40">
        <v>38.550642000000003</v>
      </c>
      <c r="I40">
        <v>32.151058999999997</v>
      </c>
      <c r="J40">
        <v>58.190010000000001</v>
      </c>
      <c r="K40">
        <v>55.768078000000003</v>
      </c>
      <c r="L40">
        <v>14.731767</v>
      </c>
      <c r="M40">
        <v>-622.48122499999999</v>
      </c>
      <c r="N40">
        <v>1.609745</v>
      </c>
      <c r="O40">
        <v>3.3752040000000001</v>
      </c>
      <c r="P40">
        <f t="shared" si="0"/>
        <v>2.6829083333333334E-5</v>
      </c>
      <c r="Q40" cm="1">
        <f t="array" ref="Q40">[1]!PropsSI("D","T",J40+273.15,"P",101325,"Water")</f>
        <v>984.11726094601522</v>
      </c>
      <c r="R40" cm="1">
        <f t="array" ref="R40">[1]!PropsSI("D","T",K40+273.15,"P",101325,"Water")</f>
        <v>985.31936198350706</v>
      </c>
      <c r="S40">
        <f t="shared" si="1"/>
        <v>984.7183114647612</v>
      </c>
      <c r="T40" cm="1">
        <f t="array" ref="T40">[1]!PropsSI("H","T",J40+273.15,"P",101325,"Water")</f>
        <v>243674.67047531571</v>
      </c>
      <c r="U40" cm="1">
        <f t="array" ref="U40">[1]!PropsSI("H","T",K40+273.15,"P",101325,"Water")</f>
        <v>233542.01964767691</v>
      </c>
      <c r="V40">
        <f t="shared" si="2"/>
        <v>267.6954104874377</v>
      </c>
      <c r="X40">
        <f t="shared" si="3"/>
        <v>0.26638002</v>
      </c>
      <c r="Y40">
        <f t="shared" si="3"/>
        <v>0.26153615600000002</v>
      </c>
      <c r="Z40">
        <f t="shared" si="9"/>
        <v>0.3733088211527511</v>
      </c>
      <c r="AA40">
        <f t="shared" si="8"/>
        <v>2.4219319999999982</v>
      </c>
      <c r="AB40">
        <f t="shared" si="5"/>
        <v>0.15446083535683292</v>
      </c>
      <c r="AC40">
        <f t="shared" si="6"/>
        <v>41.34845672507992</v>
      </c>
    </row>
    <row r="41" spans="1:29" x14ac:dyDescent="0.2">
      <c r="A41">
        <v>44675.041135835701</v>
      </c>
      <c r="B41">
        <v>18.709115000000001</v>
      </c>
      <c r="C41">
        <v>18.22899</v>
      </c>
      <c r="D41">
        <v>17.742975999999999</v>
      </c>
      <c r="E41">
        <v>18.355587</v>
      </c>
      <c r="F41">
        <v>42.023252999999997</v>
      </c>
      <c r="G41">
        <v>41.024814999999997</v>
      </c>
      <c r="H41">
        <v>38.281284999999997</v>
      </c>
      <c r="I41">
        <v>32.198563999999998</v>
      </c>
      <c r="J41">
        <v>58.174560999999997</v>
      </c>
      <c r="K41">
        <v>55.748660000000001</v>
      </c>
      <c r="L41">
        <v>12.860431999999999</v>
      </c>
      <c r="M41">
        <v>-622.48000100000002</v>
      </c>
      <c r="N41">
        <v>1.6141620000000001</v>
      </c>
      <c r="O41">
        <v>3.4304709999999998</v>
      </c>
      <c r="P41">
        <f t="shared" si="0"/>
        <v>2.6902700000000002E-5</v>
      </c>
      <c r="Q41" cm="1">
        <f t="array" ref="Q41">[1]!PropsSI("D","T",J41+273.15,"P",101325,"Water")</f>
        <v>984.12504152885072</v>
      </c>
      <c r="R41" cm="1">
        <f t="array" ref="R41">[1]!PropsSI("D","T",K41+273.15,"P",101325,"Water")</f>
        <v>985.32885511484267</v>
      </c>
      <c r="S41">
        <f t="shared" si="1"/>
        <v>984.72694832184675</v>
      </c>
      <c r="T41" cm="1">
        <f t="array" ref="T41">[1]!PropsSI("H","T",J41+273.15,"P",101325,"Water")</f>
        <v>243610.02901442445</v>
      </c>
      <c r="U41" cm="1">
        <f t="array" ref="U41">[1]!PropsSI("H","T",K41+273.15,"P",101325,"Water")</f>
        <v>233460.78958625594</v>
      </c>
      <c r="V41">
        <f t="shared" si="2"/>
        <v>268.8717598498298</v>
      </c>
      <c r="X41">
        <f t="shared" si="3"/>
        <v>0.26634912199999999</v>
      </c>
      <c r="Y41">
        <f t="shared" si="3"/>
        <v>0.26149732000000003</v>
      </c>
      <c r="Z41">
        <f t="shared" si="9"/>
        <v>0.37325956539297594</v>
      </c>
      <c r="AA41">
        <f t="shared" si="8"/>
        <v>2.4259009999999961</v>
      </c>
      <c r="AB41">
        <f t="shared" si="5"/>
        <v>0.1541889217671811</v>
      </c>
      <c r="AC41">
        <f t="shared" si="6"/>
        <v>41.457046744889709</v>
      </c>
    </row>
    <row r="42" spans="1:29" x14ac:dyDescent="0.2">
      <c r="A42">
        <v>46137.041170555553</v>
      </c>
      <c r="B42">
        <v>18.654271000000001</v>
      </c>
      <c r="C42">
        <v>18.656130000000001</v>
      </c>
      <c r="D42">
        <v>17.566326</v>
      </c>
      <c r="E42">
        <v>18.508897000000001</v>
      </c>
      <c r="F42">
        <v>41.528565</v>
      </c>
      <c r="G42">
        <v>40.999285</v>
      </c>
      <c r="H42">
        <v>37.691858000000003</v>
      </c>
      <c r="I42">
        <v>32.205047999999998</v>
      </c>
      <c r="J42">
        <v>58.157041999999997</v>
      </c>
      <c r="K42">
        <v>55.734493999999998</v>
      </c>
      <c r="L42">
        <v>30.577504000000001</v>
      </c>
      <c r="M42">
        <v>-622.50408100000004</v>
      </c>
      <c r="N42">
        <v>1.614892</v>
      </c>
      <c r="O42">
        <v>3.2624219999999999</v>
      </c>
      <c r="P42">
        <f t="shared" si="0"/>
        <v>2.6914866666666665E-5</v>
      </c>
      <c r="Q42" cm="1">
        <f t="array" ref="Q42">[1]!PropsSI("D","T",J42+273.15,"P",101325,"Water")</f>
        <v>984.13386289031894</v>
      </c>
      <c r="R42" cm="1">
        <f t="array" ref="R42">[1]!PropsSI("D","T",K42+273.15,"P",101325,"Water")</f>
        <v>985.33577916706338</v>
      </c>
      <c r="S42">
        <f t="shared" si="1"/>
        <v>984.73482102869116</v>
      </c>
      <c r="T42" cm="1">
        <f t="array" ref="T42">[1]!PropsSI("H","T",J42+273.15,"P",101325,"Water")</f>
        <v>243536.72641053185</v>
      </c>
      <c r="U42" cm="1">
        <f t="array" ref="U42">[1]!PropsSI("H","T",K42+273.15,"P",101325,"Water")</f>
        <v>233401.5299649387</v>
      </c>
      <c r="V42">
        <f t="shared" si="2"/>
        <v>268.62331156072224</v>
      </c>
      <c r="X42">
        <f t="shared" si="3"/>
        <v>0.26631408400000001</v>
      </c>
      <c r="Y42">
        <f t="shared" si="3"/>
        <v>0.26146898800000001</v>
      </c>
      <c r="Z42">
        <f t="shared" si="9"/>
        <v>0.37321471437029813</v>
      </c>
      <c r="AA42">
        <f t="shared" si="8"/>
        <v>2.422547999999999</v>
      </c>
      <c r="AB42">
        <f t="shared" si="5"/>
        <v>0.15438295940902874</v>
      </c>
      <c r="AC42">
        <f t="shared" si="6"/>
        <v>41.47086180499786</v>
      </c>
    </row>
    <row r="43" spans="1:29" x14ac:dyDescent="0.2">
      <c r="A43">
        <v>46137.041205856483</v>
      </c>
      <c r="B43">
        <v>18.451080000000001</v>
      </c>
      <c r="C43">
        <v>17.801463999999999</v>
      </c>
      <c r="D43">
        <v>17.732966999999999</v>
      </c>
      <c r="E43">
        <v>18.834083</v>
      </c>
      <c r="F43">
        <v>42.163814000000002</v>
      </c>
      <c r="G43">
        <v>41.229976000000001</v>
      </c>
      <c r="H43">
        <v>38.015884999999997</v>
      </c>
      <c r="I43">
        <v>31.512616999999999</v>
      </c>
      <c r="J43">
        <v>58.133628999999999</v>
      </c>
      <c r="K43">
        <v>55.709983000000001</v>
      </c>
      <c r="L43">
        <v>24.870443000000002</v>
      </c>
      <c r="M43">
        <v>-622.50408100000004</v>
      </c>
      <c r="N43">
        <v>1.6147689999999999</v>
      </c>
      <c r="O43">
        <v>3.6876389999999999</v>
      </c>
      <c r="P43">
        <f t="shared" si="0"/>
        <v>2.6912816666666664E-5</v>
      </c>
      <c r="Q43" cm="1">
        <f t="array" ref="Q43">[1]!PropsSI("D","T",J43+273.15,"P",101325,"Water")</f>
        <v>984.14564918322344</v>
      </c>
      <c r="R43" cm="1">
        <f t="array" ref="R43">[1]!PropsSI("D","T",K43+273.15,"P",101325,"Water")</f>
        <v>985.34775672421483</v>
      </c>
      <c r="S43">
        <f t="shared" si="1"/>
        <v>984.74670295371914</v>
      </c>
      <c r="T43" cm="1">
        <f t="array" ref="T43">[1]!PropsSI("H","T",J43+273.15,"P",101325,"Water")</f>
        <v>243438.76246118714</v>
      </c>
      <c r="U43" cm="1">
        <f t="array" ref="U43">[1]!PropsSI("H","T",K43+273.15,"P",101325,"Water")</f>
        <v>233298.99501686508</v>
      </c>
      <c r="V43">
        <f t="shared" si="2"/>
        <v>268.72723458205377</v>
      </c>
      <c r="X43">
        <f t="shared" si="3"/>
        <v>0.26626725800000001</v>
      </c>
      <c r="Y43">
        <f t="shared" si="3"/>
        <v>0.261419966</v>
      </c>
      <c r="Z43">
        <f t="shared" si="9"/>
        <v>0.37314695671582226</v>
      </c>
      <c r="AA43">
        <f t="shared" si="8"/>
        <v>2.423645999999998</v>
      </c>
      <c r="AB43">
        <f t="shared" si="5"/>
        <v>0.15428541367963994</v>
      </c>
      <c r="AC43">
        <f t="shared" si="6"/>
        <v>41.460692554477809</v>
      </c>
    </row>
    <row r="44" spans="1:29" x14ac:dyDescent="0.2">
      <c r="A44">
        <v>46137.041241157407</v>
      </c>
      <c r="B44">
        <v>18.398212000000001</v>
      </c>
      <c r="C44">
        <v>17.644822999999999</v>
      </c>
      <c r="D44">
        <v>18.142906</v>
      </c>
      <c r="E44">
        <v>18.607768</v>
      </c>
      <c r="F44">
        <v>41.896844999999999</v>
      </c>
      <c r="G44">
        <v>41.017194000000003</v>
      </c>
      <c r="H44">
        <v>39.182865</v>
      </c>
      <c r="I44">
        <v>31.116893999999998</v>
      </c>
      <c r="J44">
        <v>58.110058000000002</v>
      </c>
      <c r="K44">
        <v>55.690882999999999</v>
      </c>
      <c r="L44">
        <v>22.294654000000001</v>
      </c>
      <c r="M44">
        <v>-622.49265300000002</v>
      </c>
      <c r="N44">
        <v>1.613699</v>
      </c>
      <c r="O44">
        <v>3.3862860000000001</v>
      </c>
      <c r="P44">
        <f t="shared" si="0"/>
        <v>2.6894983333333336E-5</v>
      </c>
      <c r="Q44" cm="1">
        <f t="array" ref="Q44">[1]!PropsSI("D","T",J44+273.15,"P",101325,"Water")</f>
        <v>984.15751168478846</v>
      </c>
      <c r="R44" cm="1">
        <f t="array" ref="R44">[1]!PropsSI("D","T",K44+273.15,"P",101325,"Water")</f>
        <v>985.35708757299051</v>
      </c>
      <c r="S44">
        <f t="shared" si="1"/>
        <v>984.75729962888954</v>
      </c>
      <c r="T44" cm="1">
        <f t="array" ref="T44">[1]!PropsSI("H","T",J44+273.15,"P",101325,"Water")</f>
        <v>243340.13763957797</v>
      </c>
      <c r="U44" cm="1">
        <f t="array" ref="U44">[1]!PropsSI("H","T",K44+273.15,"P",101325,"Water")</f>
        <v>233219.09563680281</v>
      </c>
      <c r="V44">
        <f t="shared" si="2"/>
        <v>268.05611282425059</v>
      </c>
      <c r="X44">
        <f t="shared" si="3"/>
        <v>0.26622011600000001</v>
      </c>
      <c r="Y44">
        <f t="shared" si="3"/>
        <v>0.26138176600000002</v>
      </c>
      <c r="Z44">
        <f t="shared" si="9"/>
        <v>0.37308655531971691</v>
      </c>
      <c r="AA44">
        <f t="shared" si="8"/>
        <v>2.4191750000000027</v>
      </c>
      <c r="AB44">
        <f t="shared" si="5"/>
        <v>0.15454444414822441</v>
      </c>
      <c r="AC44">
        <f t="shared" si="6"/>
        <v>41.426582956957539</v>
      </c>
    </row>
    <row r="45" spans="1:29" x14ac:dyDescent="0.2">
      <c r="A45">
        <v>46137.041276458331</v>
      </c>
      <c r="B45">
        <v>18.523669000000002</v>
      </c>
      <c r="C45">
        <v>17.725444</v>
      </c>
      <c r="D45">
        <v>18.363015999999998</v>
      </c>
      <c r="E45">
        <v>18.474259</v>
      </c>
      <c r="F45">
        <v>42.637704999999997</v>
      </c>
      <c r="G45">
        <v>41.572428000000002</v>
      </c>
      <c r="H45">
        <v>38.573242</v>
      </c>
      <c r="I45">
        <v>31.660083</v>
      </c>
      <c r="J45">
        <v>58.091742000000004</v>
      </c>
      <c r="K45">
        <v>55.675125999999999</v>
      </c>
      <c r="L45">
        <v>12.993895</v>
      </c>
      <c r="M45">
        <v>-622.50408100000004</v>
      </c>
      <c r="N45">
        <v>1.6119250000000001</v>
      </c>
      <c r="O45">
        <v>2.8631419999999999</v>
      </c>
      <c r="P45">
        <f t="shared" si="0"/>
        <v>2.6865416666666669E-5</v>
      </c>
      <c r="Q45" cm="1">
        <f t="array" ref="Q45">[1]!PropsSI("D","T",J45+273.15,"P",101325,"Water")</f>
        <v>984.16672721210762</v>
      </c>
      <c r="R45" cm="1">
        <f t="array" ref="R45">[1]!PropsSI("D","T",K45+273.15,"P",101325,"Water")</f>
        <v>985.36478358636236</v>
      </c>
      <c r="S45">
        <f t="shared" si="1"/>
        <v>984.76575539923499</v>
      </c>
      <c r="T45" cm="1">
        <f t="array" ref="T45">[1]!PropsSI("H","T",J45+273.15,"P",101325,"Water")</f>
        <v>243263.50073241771</v>
      </c>
      <c r="U45" cm="1">
        <f t="array" ref="U45">[1]!PropsSI("H","T",K45+273.15,"P",101325,"Water")</f>
        <v>233153.18084207413</v>
      </c>
      <c r="V45">
        <f t="shared" si="2"/>
        <v>267.48006210027955</v>
      </c>
      <c r="X45">
        <f t="shared" si="3"/>
        <v>0.26618348400000003</v>
      </c>
      <c r="Y45">
        <f t="shared" si="3"/>
        <v>0.26135025200000001</v>
      </c>
      <c r="Z45">
        <f t="shared" si="9"/>
        <v>0.37303833767434924</v>
      </c>
      <c r="AA45">
        <f t="shared" si="8"/>
        <v>2.4166160000000048</v>
      </c>
      <c r="AB45">
        <f t="shared" si="5"/>
        <v>0.15468749851524521</v>
      </c>
      <c r="AC45">
        <f t="shared" si="6"/>
        <v>41.375821708994692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32A6-ECF6-EF4A-9B93-495CBA5EF770}">
  <dimension ref="A1:AC75"/>
  <sheetViews>
    <sheetView topLeftCell="O1" workbookViewId="0">
      <selection activeCell="W4" sqref="W4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>
        <v>44675.042321599598</v>
      </c>
      <c r="B2">
        <v>18.194239</v>
      </c>
      <c r="C2">
        <v>18.363302000000001</v>
      </c>
      <c r="D2">
        <v>18.972633999999999</v>
      </c>
      <c r="E2">
        <v>19.139384</v>
      </c>
      <c r="F2">
        <v>40.354993999999998</v>
      </c>
      <c r="G2">
        <v>38.312821999999997</v>
      </c>
      <c r="H2">
        <v>33.708964999999999</v>
      </c>
      <c r="I2">
        <v>30.197026999999999</v>
      </c>
      <c r="J2">
        <v>57.492168999999997</v>
      </c>
      <c r="K2">
        <v>53.721229999999998</v>
      </c>
      <c r="L2">
        <v>42.558129000000001</v>
      </c>
      <c r="M2">
        <v>-622.49714300000005</v>
      </c>
      <c r="N2">
        <v>1.601586</v>
      </c>
      <c r="O2">
        <v>3.4758629999999999</v>
      </c>
      <c r="P2">
        <f t="shared" ref="P2:P65" si="0" xml:space="preserve"> N2*0.001/60</f>
        <v>2.6693099999999997E-5</v>
      </c>
      <c r="Q2" cm="1">
        <f t="array" ref="Q2">[1]!PropsSI("D","T",J2+273.15,"P",101325,"Water")</f>
        <v>984.46728036821264</v>
      </c>
      <c r="R2" cm="1">
        <f t="array" ref="R2">[1]!PropsSI("D","T",K2+273.15,"P",101325,"Water")</f>
        <v>986.3071603585604</v>
      </c>
      <c r="S2">
        <f t="shared" ref="S2:S65" si="1">(Q2+R2)/2</f>
        <v>985.38722036338652</v>
      </c>
      <c r="T2" cm="1">
        <f t="array" ref="T2">[1]!PropsSI("H","T",J2+273.15,"P",101325,"Water")</f>
        <v>240754.87193873615</v>
      </c>
      <c r="U2" cm="1">
        <f t="array" ref="U2">[1]!PropsSI("H","T",K2+273.15,"P",101325,"Water")</f>
        <v>224980.32608830405</v>
      </c>
      <c r="V2">
        <f t="shared" ref="V2:V65" si="2">S2*P2*(T2-U2)</f>
        <v>414.9185043633629</v>
      </c>
      <c r="W2" s="3">
        <f>AVERAGE(V36:V75)</f>
        <v>424.68347685766292</v>
      </c>
      <c r="X2">
        <f>(0.15+0.002*ABS(J2))</f>
        <v>0.26498433799999999</v>
      </c>
      <c r="Y2">
        <f>(0.15+0.002*ABS(K2))</f>
        <v>0.25744245999999998</v>
      </c>
      <c r="Z2">
        <f>SQRT((X2)^2 + (Y2)^2)</f>
        <v>0.36945002313729775</v>
      </c>
      <c r="AA2">
        <f>J2-K2</f>
        <v>3.7709389999999985</v>
      </c>
      <c r="AB2">
        <f>SQRT((0.01)^2 + (Z2/ABS(AA2))^2)</f>
        <v>9.8481973951827687E-2</v>
      </c>
      <c r="AC2">
        <f>ABS(V2*AB2)</f>
        <v>40.861993338844009</v>
      </c>
    </row>
    <row r="3" spans="1:29" x14ac:dyDescent="0.2">
      <c r="A3">
        <v>44675.0423569005</v>
      </c>
      <c r="B3">
        <v>18.194707000000001</v>
      </c>
      <c r="C3">
        <v>18.377756999999999</v>
      </c>
      <c r="D3">
        <v>18.990587000000001</v>
      </c>
      <c r="E3">
        <v>19.111822</v>
      </c>
      <c r="F3">
        <v>39.918723</v>
      </c>
      <c r="G3">
        <v>37.923672000000003</v>
      </c>
      <c r="H3">
        <v>35.190379999999998</v>
      </c>
      <c r="I3">
        <v>30.976721999999999</v>
      </c>
      <c r="J3">
        <v>57.475130999999998</v>
      </c>
      <c r="K3">
        <v>53.695143999999999</v>
      </c>
      <c r="L3">
        <v>41.640624000000003</v>
      </c>
      <c r="M3">
        <v>-622.49510199999997</v>
      </c>
      <c r="N3">
        <v>1.6049180000000001</v>
      </c>
      <c r="O3">
        <v>3.538818</v>
      </c>
      <c r="P3">
        <f t="shared" si="0"/>
        <v>2.6748633333333333E-5</v>
      </c>
      <c r="Q3" cm="1">
        <f t="array" ref="Q3">[1]!PropsSI("D","T",J3+273.15,"P",101325,"Water")</f>
        <v>984.4757894259418</v>
      </c>
      <c r="R3" cm="1">
        <f t="array" ref="R3">[1]!PropsSI("D","T",K3+273.15,"P",101325,"Water")</f>
        <v>986.31958039972608</v>
      </c>
      <c r="S3">
        <f t="shared" si="1"/>
        <v>985.39768491283394</v>
      </c>
      <c r="T3" cm="1">
        <f t="array" ref="T3">[1]!PropsSI("H","T",J3+273.15,"P",101325,"Water")</f>
        <v>240683.58662305394</v>
      </c>
      <c r="U3" cm="1">
        <f t="array" ref="U3">[1]!PropsSI("H","T",K3+273.15,"P",101325,"Water")</f>
        <v>224871.2213421659</v>
      </c>
      <c r="V3">
        <f t="shared" si="2"/>
        <v>416.78297809282356</v>
      </c>
      <c r="W3" s="3" t="s">
        <v>35</v>
      </c>
      <c r="X3">
        <f t="shared" ref="X3:Y55" si="3">(0.15+0.002*ABS(J3))</f>
        <v>0.26495026199999999</v>
      </c>
      <c r="Y3">
        <f t="shared" si="3"/>
        <v>0.25739028799999997</v>
      </c>
      <c r="Z3">
        <f t="shared" ref="Z3:Z55" si="4">SQRT((X3)^2 + (Y3)^2)</f>
        <v>0.36938922790275242</v>
      </c>
      <c r="AA3">
        <f>J3-K3</f>
        <v>3.7799869999999984</v>
      </c>
      <c r="AB3">
        <f t="shared" ref="AB3:AB66" si="5">SQRT((0.01)^2 + (Z3/ABS(AA3))^2)</f>
        <v>9.8232675216877993E-2</v>
      </c>
      <c r="AC3">
        <f t="shared" ref="AC3:AC66" si="6">ABS(V3*AB3)</f>
        <v>40.941706922915515</v>
      </c>
    </row>
    <row r="4" spans="1:29" x14ac:dyDescent="0.2">
      <c r="A4">
        <v>44675.042392201402</v>
      </c>
      <c r="B4">
        <v>18.108391000000001</v>
      </c>
      <c r="C4">
        <v>18.463743000000001</v>
      </c>
      <c r="D4">
        <v>18.973807000000001</v>
      </c>
      <c r="E4">
        <v>19.142987000000002</v>
      </c>
      <c r="F4">
        <v>39.981389999999998</v>
      </c>
      <c r="G4">
        <v>37.779687000000003</v>
      </c>
      <c r="H4">
        <v>34.957774999999998</v>
      </c>
      <c r="I4">
        <v>30.880257</v>
      </c>
      <c r="J4">
        <v>57.458730000000003</v>
      </c>
      <c r="K4">
        <v>53.678761000000002</v>
      </c>
      <c r="L4">
        <v>43.370741000000002</v>
      </c>
      <c r="M4">
        <v>-622.525713</v>
      </c>
      <c r="N4">
        <v>1.605524</v>
      </c>
      <c r="O4">
        <v>3.4422760000000001</v>
      </c>
      <c r="P4">
        <f t="shared" si="0"/>
        <v>2.6758733333333332E-5</v>
      </c>
      <c r="Q4" cm="1">
        <f t="array" ref="Q4">[1]!PropsSI("D","T",J4+273.15,"P",101325,"Water")</f>
        <v>984.4839786955929</v>
      </c>
      <c r="R4" cm="1">
        <f t="array" ref="R4">[1]!PropsSI("D","T",K4+273.15,"P",101325,"Water")</f>
        <v>986.32737846816462</v>
      </c>
      <c r="S4">
        <f t="shared" si="1"/>
        <v>985.40567858187876</v>
      </c>
      <c r="T4" cm="1">
        <f t="array" ref="T4">[1]!PropsSI("H","T",J4+273.15,"P",101325,"Water")</f>
        <v>240614.9665620813</v>
      </c>
      <c r="U4" cm="1">
        <f t="array" ref="U4">[1]!PropsSI("H","T",K4+273.15,"P",101325,"Water")</f>
        <v>224802.69953144449</v>
      </c>
      <c r="V4">
        <f t="shared" si="2"/>
        <v>416.94114251018743</v>
      </c>
      <c r="W4" s="3">
        <f>SQRT((AVERAGE(AC36:AC75))^2 + (_xlfn.STDEV.S(V36:V75)/SQRT(COUNT(V36:V75)))^2)</f>
        <v>40.77997291087231</v>
      </c>
      <c r="X4">
        <f t="shared" si="3"/>
        <v>0.26491745999999999</v>
      </c>
      <c r="Y4">
        <f t="shared" si="3"/>
        <v>0.25735752200000001</v>
      </c>
      <c r="Z4">
        <f t="shared" si="4"/>
        <v>0.36934286881274975</v>
      </c>
      <c r="AA4">
        <f t="shared" ref="AA4:AA67" si="7">J4-K4</f>
        <v>3.7799690000000012</v>
      </c>
      <c r="AB4">
        <f t="shared" si="5"/>
        <v>9.8220937458892807E-2</v>
      </c>
      <c r="AC4">
        <f t="shared" si="6"/>
        <v>40.952349882532431</v>
      </c>
    </row>
    <row r="5" spans="1:29" x14ac:dyDescent="0.2">
      <c r="A5">
        <v>44675.042426923603</v>
      </c>
      <c r="B5">
        <v>18.246959</v>
      </c>
      <c r="C5">
        <v>18.458095</v>
      </c>
      <c r="D5">
        <v>18.91544</v>
      </c>
      <c r="E5">
        <v>19.103131999999999</v>
      </c>
      <c r="F5">
        <v>39.811225999999998</v>
      </c>
      <c r="G5">
        <v>39.400734999999997</v>
      </c>
      <c r="H5">
        <v>34.518501000000001</v>
      </c>
      <c r="I5">
        <v>30.609667000000002</v>
      </c>
      <c r="J5">
        <v>57.440418999999999</v>
      </c>
      <c r="K5">
        <v>53.662218000000003</v>
      </c>
      <c r="L5">
        <v>38.033048999999998</v>
      </c>
      <c r="M5">
        <v>-622.48040900000001</v>
      </c>
      <c r="N5">
        <v>1.6035980000000001</v>
      </c>
      <c r="O5">
        <v>3.1490939999999998</v>
      </c>
      <c r="P5">
        <f t="shared" si="0"/>
        <v>2.6726633333333336E-5</v>
      </c>
      <c r="Q5" cm="1">
        <f t="array" ref="Q5">[1]!PropsSI("D","T",J5+273.15,"P",101325,"Water")</f>
        <v>984.49311973341605</v>
      </c>
      <c r="R5" cm="1">
        <f t="array" ref="R5">[1]!PropsSI("D","T",K5+273.15,"P",101325,"Water")</f>
        <v>986.33525097962752</v>
      </c>
      <c r="S5">
        <f t="shared" si="1"/>
        <v>985.41418535652178</v>
      </c>
      <c r="T5" cm="1">
        <f t="array" ref="T5">[1]!PropsSI("H","T",J5+273.15,"P",101325,"Water")</f>
        <v>240538.35538856857</v>
      </c>
      <c r="U5" cm="1">
        <f t="array" ref="U5">[1]!PropsSI("H","T",K5+273.15,"P",101325,"Water")</f>
        <v>224733.50861461932</v>
      </c>
      <c r="V5">
        <f t="shared" si="2"/>
        <v>416.24914562678856</v>
      </c>
      <c r="W5" s="3"/>
      <c r="X5">
        <f t="shared" si="3"/>
        <v>0.26488083800000001</v>
      </c>
      <c r="Y5">
        <f t="shared" si="3"/>
        <v>0.25732443599999999</v>
      </c>
      <c r="Z5">
        <f t="shared" si="4"/>
        <v>0.3692935467921154</v>
      </c>
      <c r="AA5">
        <f t="shared" si="7"/>
        <v>3.7782009999999957</v>
      </c>
      <c r="AB5">
        <f t="shared" si="5"/>
        <v>9.8253436808839856E-2</v>
      </c>
      <c r="AC5">
        <f t="shared" si="6"/>
        <v>40.89790912657525</v>
      </c>
    </row>
    <row r="6" spans="1:29" x14ac:dyDescent="0.2">
      <c r="A6">
        <v>46137.042461643519</v>
      </c>
      <c r="B6">
        <v>18.212837</v>
      </c>
      <c r="C6">
        <v>18.493086000000002</v>
      </c>
      <c r="D6">
        <v>18.936430000000001</v>
      </c>
      <c r="E6">
        <v>19.103055999999999</v>
      </c>
      <c r="F6">
        <v>40.106273999999999</v>
      </c>
      <c r="G6">
        <v>37.430677000000003</v>
      </c>
      <c r="H6">
        <v>34.502110000000002</v>
      </c>
      <c r="I6">
        <v>29.936790999999999</v>
      </c>
      <c r="J6">
        <v>57.425133000000002</v>
      </c>
      <c r="K6">
        <v>53.647744000000003</v>
      </c>
      <c r="L6">
        <v>38.707301000000001</v>
      </c>
      <c r="M6">
        <v>-622.47102199999995</v>
      </c>
      <c r="N6">
        <v>1.600967</v>
      </c>
      <c r="O6">
        <v>3.8875329999999999</v>
      </c>
      <c r="P6">
        <f t="shared" si="0"/>
        <v>2.6682783333333335E-5</v>
      </c>
      <c r="Q6" cm="1">
        <f t="array" ref="Q6">[1]!PropsSI("D","T",J6+273.15,"P",101325,"Water")</f>
        <v>984.50074910565343</v>
      </c>
      <c r="R6" cm="1">
        <f t="array" ref="R6">[1]!PropsSI("D","T",K6+273.15,"P",101325,"Water")</f>
        <v>986.34213747836714</v>
      </c>
      <c r="S6">
        <f t="shared" si="1"/>
        <v>985.42144329201028</v>
      </c>
      <c r="T6" cm="1">
        <f t="array" ref="T6">[1]!PropsSI("H","T",J6+273.15,"P",101325,"Water")</f>
        <v>240474.40057862559</v>
      </c>
      <c r="U6" cm="1">
        <f t="array" ref="U6">[1]!PropsSI("H","T",K6+273.15,"P",101325,"Water")</f>
        <v>224672.97134424237</v>
      </c>
      <c r="V6">
        <f t="shared" si="2"/>
        <v>415.47941242567526</v>
      </c>
      <c r="W6" s="3"/>
      <c r="X6">
        <f t="shared" si="3"/>
        <v>0.264850266</v>
      </c>
      <c r="Y6">
        <f t="shared" si="3"/>
        <v>0.25729548800000002</v>
      </c>
      <c r="Z6">
        <f t="shared" si="4"/>
        <v>0.36925144758745215</v>
      </c>
      <c r="AA6">
        <f>J6-K6</f>
        <v>3.7773889999999994</v>
      </c>
      <c r="AB6">
        <f t="shared" si="5"/>
        <v>9.8263251732576232E-2</v>
      </c>
      <c r="AC6">
        <f t="shared" si="6"/>
        <v>40.826358092886991</v>
      </c>
    </row>
    <row r="7" spans="1:29" x14ac:dyDescent="0.2">
      <c r="A7">
        <v>46137.042496944443</v>
      </c>
      <c r="B7">
        <v>18.220827</v>
      </c>
      <c r="C7">
        <v>18.413537999999999</v>
      </c>
      <c r="D7">
        <v>18.920453999999999</v>
      </c>
      <c r="E7">
        <v>19.119319000000001</v>
      </c>
      <c r="F7">
        <v>39.612203999999998</v>
      </c>
      <c r="G7">
        <v>38.605400000000003</v>
      </c>
      <c r="H7">
        <v>34.465446999999998</v>
      </c>
      <c r="I7">
        <v>30.16855</v>
      </c>
      <c r="J7">
        <v>57.407457999999998</v>
      </c>
      <c r="K7">
        <v>53.628974999999997</v>
      </c>
      <c r="L7">
        <v>42.157333000000001</v>
      </c>
      <c r="M7">
        <v>-622.51877500000001</v>
      </c>
      <c r="N7">
        <v>1.6009720000000001</v>
      </c>
      <c r="O7">
        <v>3.2073469999999999</v>
      </c>
      <c r="P7">
        <f t="shared" si="0"/>
        <v>2.6682866666666672E-5</v>
      </c>
      <c r="Q7" cm="1">
        <f t="array" ref="Q7">[1]!PropsSI("D","T",J7+273.15,"P",101325,"Water")</f>
        <v>984.50956908400883</v>
      </c>
      <c r="R7" cm="1">
        <f t="array" ref="R7">[1]!PropsSI("D","T",K7+273.15,"P",101325,"Water")</f>
        <v>986.35106550492515</v>
      </c>
      <c r="S7">
        <f t="shared" si="1"/>
        <v>985.43031729446693</v>
      </c>
      <c r="T7" cm="1">
        <f t="array" ref="T7">[1]!PropsSI("H","T",J7+273.15,"P",101325,"Water")</f>
        <v>240400.45059223464</v>
      </c>
      <c r="U7" cm="1">
        <f t="array" ref="U7">[1]!PropsSI("H","T",K7+273.15,"P",101325,"Water")</f>
        <v>224594.47041242613</v>
      </c>
      <c r="V7">
        <f t="shared" si="2"/>
        <v>415.60411457779946</v>
      </c>
      <c r="W7" s="3"/>
      <c r="X7">
        <f t="shared" si="3"/>
        <v>0.26481491600000001</v>
      </c>
      <c r="Y7">
        <f t="shared" si="3"/>
        <v>0.25725794999999996</v>
      </c>
      <c r="Z7">
        <f t="shared" si="4"/>
        <v>0.36919993577232585</v>
      </c>
      <c r="AA7">
        <f t="shared" ref="AA7:AA70" si="8">J7-K7</f>
        <v>3.7784830000000014</v>
      </c>
      <c r="AB7">
        <f t="shared" si="5"/>
        <v>9.8221533749947326E-2</v>
      </c>
      <c r="AC7">
        <f t="shared" si="6"/>
        <v>40.821273566620306</v>
      </c>
    </row>
    <row r="8" spans="1:29" x14ac:dyDescent="0.2">
      <c r="A8">
        <v>46137.042531666666</v>
      </c>
      <c r="B8">
        <v>18.300975000000001</v>
      </c>
      <c r="C8">
        <v>18.461324999999999</v>
      </c>
      <c r="D8">
        <v>18.917266999999999</v>
      </c>
      <c r="E8">
        <v>19.104251999999999</v>
      </c>
      <c r="F8">
        <v>39.669668000000001</v>
      </c>
      <c r="G8">
        <v>38.284337999999998</v>
      </c>
      <c r="H8">
        <v>33.825034000000002</v>
      </c>
      <c r="I8">
        <v>30.612746999999999</v>
      </c>
      <c r="J8">
        <v>57.389783999999999</v>
      </c>
      <c r="K8">
        <v>53.608775000000001</v>
      </c>
      <c r="L8">
        <v>38.263241999999998</v>
      </c>
      <c r="M8">
        <v>-622.51183600000002</v>
      </c>
      <c r="N8">
        <v>1.6031880000000001</v>
      </c>
      <c r="O8">
        <v>3.7812700000000001</v>
      </c>
      <c r="P8">
        <f t="shared" si="0"/>
        <v>2.6719800000000005E-5</v>
      </c>
      <c r="Q8" cm="1">
        <f t="array" ref="Q8">[1]!PropsSI("D","T",J8+273.15,"P",101325,"Water")</f>
        <v>984.51838667128527</v>
      </c>
      <c r="R8" cm="1">
        <f t="array" ref="R8">[1]!PropsSI("D","T",K8+273.15,"P",101325,"Water")</f>
        <v>986.36067174946686</v>
      </c>
      <c r="S8">
        <f t="shared" si="1"/>
        <v>985.43952921037612</v>
      </c>
      <c r="T8" cm="1">
        <f t="array" ref="T8">[1]!PropsSI("H","T",J8+273.15,"P",101325,"Water")</f>
        <v>240326.50491403404</v>
      </c>
      <c r="U8" cm="1">
        <f t="array" ref="U8">[1]!PropsSI("H","T",K8+273.15,"P",101325,"Water")</f>
        <v>224509.98448844935</v>
      </c>
      <c r="V8">
        <f t="shared" si="2"/>
        <v>416.46079984360085</v>
      </c>
      <c r="W8" s="3"/>
      <c r="X8">
        <f t="shared" si="3"/>
        <v>0.26477956800000002</v>
      </c>
      <c r="Y8">
        <f t="shared" si="3"/>
        <v>0.25721755000000002</v>
      </c>
      <c r="Z8">
        <f>SQRT((X8)^2 + (Y8)^2)</f>
        <v>0.36914643118723112</v>
      </c>
      <c r="AA8">
        <f t="shared" si="8"/>
        <v>3.7810089999999974</v>
      </c>
      <c r="AB8">
        <f t="shared" si="5"/>
        <v>9.814251749759445E-2</v>
      </c>
      <c r="AC8">
        <f t="shared" si="6"/>
        <v>40.87251133571278</v>
      </c>
    </row>
    <row r="9" spans="1:29" x14ac:dyDescent="0.2">
      <c r="A9">
        <v>46137.04256696759</v>
      </c>
      <c r="B9">
        <v>18.333044000000001</v>
      </c>
      <c r="C9">
        <v>18.513811</v>
      </c>
      <c r="D9">
        <v>18.927206999999999</v>
      </c>
      <c r="E9">
        <v>19.110181999999998</v>
      </c>
      <c r="F9">
        <v>38.842140000000001</v>
      </c>
      <c r="G9">
        <v>37.500726</v>
      </c>
      <c r="H9">
        <v>34.165098999999998</v>
      </c>
      <c r="I9">
        <v>29.944358000000001</v>
      </c>
      <c r="J9">
        <v>57.373702000000002</v>
      </c>
      <c r="K9">
        <v>53.587142999999998</v>
      </c>
      <c r="L9">
        <v>39.379103999999998</v>
      </c>
      <c r="M9">
        <v>-622.49102100000005</v>
      </c>
      <c r="N9">
        <v>1.6043240000000001</v>
      </c>
      <c r="O9">
        <v>3.5150920000000001</v>
      </c>
      <c r="P9">
        <f t="shared" si="0"/>
        <v>2.6738733333333335E-5</v>
      </c>
      <c r="Q9" cm="1">
        <f t="array" ref="Q9">[1]!PropsSI("D","T",J9+273.15,"P",101325,"Water")</f>
        <v>984.52640836286491</v>
      </c>
      <c r="R9" cm="1">
        <f t="array" ref="R9">[1]!PropsSI("D","T",K9+273.15,"P",101325,"Water")</f>
        <v>986.37095614042948</v>
      </c>
      <c r="S9">
        <f t="shared" si="1"/>
        <v>985.44868225164714</v>
      </c>
      <c r="T9" cm="1">
        <f t="array" ref="T9">[1]!PropsSI("H","T",J9+273.15,"P",101325,"Water")</f>
        <v>240259.22006123787</v>
      </c>
      <c r="U9" cm="1">
        <f t="array" ref="U9">[1]!PropsSI("H","T",K9+273.15,"P",101325,"Water")</f>
        <v>224419.5094193703</v>
      </c>
      <c r="V9">
        <f t="shared" si="2"/>
        <v>417.37082404466088</v>
      </c>
      <c r="W9" s="3"/>
      <c r="X9">
        <f t="shared" si="3"/>
        <v>0.26474740400000002</v>
      </c>
      <c r="Y9">
        <f t="shared" si="3"/>
        <v>0.25717428599999997</v>
      </c>
      <c r="Z9">
        <f t="shared" ref="Z9:Z72" si="9">SQRT((X9)^2 + (Y9)^2)</f>
        <v>0.36909321492591685</v>
      </c>
      <c r="AA9">
        <f t="shared" si="8"/>
        <v>3.786559000000004</v>
      </c>
      <c r="AB9">
        <f t="shared" si="5"/>
        <v>9.7986182876003358E-2</v>
      </c>
      <c r="AC9">
        <f t="shared" si="6"/>
        <v>40.896573891948357</v>
      </c>
    </row>
    <row r="10" spans="1:29" x14ac:dyDescent="0.2">
      <c r="A10">
        <v>44675.0426022709</v>
      </c>
      <c r="B10">
        <v>18.184348</v>
      </c>
      <c r="C10">
        <v>18.479543</v>
      </c>
      <c r="D10">
        <v>18.883967999999999</v>
      </c>
      <c r="E10">
        <v>19.120667000000001</v>
      </c>
      <c r="F10">
        <v>39.995350000000002</v>
      </c>
      <c r="G10">
        <v>38.060642000000001</v>
      </c>
      <c r="H10">
        <v>34.003273</v>
      </c>
      <c r="I10">
        <v>30.518281000000002</v>
      </c>
      <c r="J10">
        <v>57.356824000000003</v>
      </c>
      <c r="K10">
        <v>53.567103000000003</v>
      </c>
      <c r="L10">
        <v>40.08764</v>
      </c>
      <c r="M10">
        <v>-622.48612300000002</v>
      </c>
      <c r="N10">
        <v>1.6050530000000001</v>
      </c>
      <c r="O10">
        <v>3.5537749999999999</v>
      </c>
      <c r="P10">
        <f t="shared" si="0"/>
        <v>2.6750883333333335E-5</v>
      </c>
      <c r="Q10" cm="1">
        <f t="array" ref="Q10">[1]!PropsSI("D","T",J10+273.15,"P",101325,"Water")</f>
        <v>984.53482541343249</v>
      </c>
      <c r="R10" cm="1">
        <f t="array" ref="R10">[1]!PropsSI("D","T",K10+273.15,"P",101325,"Water")</f>
        <v>986.38048102360608</v>
      </c>
      <c r="S10">
        <f t="shared" si="1"/>
        <v>985.45765321851923</v>
      </c>
      <c r="T10" cm="1">
        <f t="array" ref="T10">[1]!PropsSI("H","T",J10+273.15,"P",101325,"Water")</f>
        <v>240188.60496573173</v>
      </c>
      <c r="U10" cm="1">
        <f t="array" ref="U10">[1]!PropsSI("H","T",K10+273.15,"P",101325,"Water")</f>
        <v>224335.69297550776</v>
      </c>
      <c r="V10">
        <f t="shared" si="2"/>
        <v>417.91228945884745</v>
      </c>
      <c r="X10">
        <f t="shared" si="3"/>
        <v>0.26471364800000002</v>
      </c>
      <c r="Y10">
        <f t="shared" si="3"/>
        <v>0.25713420600000003</v>
      </c>
      <c r="Z10">
        <f t="shared" si="9"/>
        <v>0.36904107540044695</v>
      </c>
      <c r="AA10">
        <f t="shared" si="8"/>
        <v>3.7897210000000001</v>
      </c>
      <c r="AB10">
        <f t="shared" si="5"/>
        <v>9.78915925900391E-2</v>
      </c>
      <c r="AC10">
        <f t="shared" si="6"/>
        <v>40.910099578075986</v>
      </c>
    </row>
    <row r="11" spans="1:29" x14ac:dyDescent="0.2">
      <c r="A11">
        <v>44675.042636993101</v>
      </c>
      <c r="B11">
        <v>18.090713999999998</v>
      </c>
      <c r="C11">
        <v>18.364750000000001</v>
      </c>
      <c r="D11">
        <v>18.831907999999999</v>
      </c>
      <c r="E11">
        <v>19.131914999999999</v>
      </c>
      <c r="F11">
        <v>39.305619999999998</v>
      </c>
      <c r="G11">
        <v>37.319761999999997</v>
      </c>
      <c r="H11">
        <v>35.309305000000002</v>
      </c>
      <c r="I11">
        <v>30.424626</v>
      </c>
      <c r="J11">
        <v>57.339945999999998</v>
      </c>
      <c r="K11">
        <v>53.550083999999998</v>
      </c>
      <c r="L11">
        <v>42.805055000000003</v>
      </c>
      <c r="M11">
        <v>-622.49306200000001</v>
      </c>
      <c r="N11">
        <v>1.599685</v>
      </c>
      <c r="O11">
        <v>3.5667749999999998</v>
      </c>
      <c r="P11">
        <f t="shared" si="0"/>
        <v>2.6661416666666665E-5</v>
      </c>
      <c r="Q11" cm="1">
        <f t="array" ref="Q11">[1]!PropsSI("D","T",J11+273.15,"P",101325,"Water")</f>
        <v>984.54324073771409</v>
      </c>
      <c r="R11" cm="1">
        <f t="array" ref="R11">[1]!PropsSI("D","T",K11+273.15,"P",101325,"Water")</f>
        <v>986.3885680571409</v>
      </c>
      <c r="S11">
        <f t="shared" si="1"/>
        <v>985.46590439742749</v>
      </c>
      <c r="T11" cm="1">
        <f t="array" ref="T11">[1]!PropsSI("H","T",J11+273.15,"P",101325,"Water")</f>
        <v>240117.9899833088</v>
      </c>
      <c r="U11" cm="1">
        <f t="array" ref="U11">[1]!PropsSI("H","T",K11+273.15,"P",101325,"Water")</f>
        <v>224264.51184227699</v>
      </c>
      <c r="V11">
        <f t="shared" si="2"/>
        <v>416.53297023283289</v>
      </c>
      <c r="X11">
        <f t="shared" si="3"/>
        <v>0.26467989199999997</v>
      </c>
      <c r="Y11">
        <f t="shared" si="3"/>
        <v>0.25710016800000002</v>
      </c>
      <c r="Z11">
        <f t="shared" si="9"/>
        <v>0.36899314575579839</v>
      </c>
      <c r="AA11">
        <f t="shared" si="8"/>
        <v>3.7898619999999994</v>
      </c>
      <c r="AB11">
        <f t="shared" si="5"/>
        <v>9.787540795576645E-2</v>
      </c>
      <c r="AC11">
        <f t="shared" si="6"/>
        <v>40.768334388565641</v>
      </c>
    </row>
    <row r="12" spans="1:29" x14ac:dyDescent="0.2">
      <c r="A12">
        <v>44675.042672294003</v>
      </c>
      <c r="B12">
        <v>18.010884000000001</v>
      </c>
      <c r="C12">
        <v>18.272272000000001</v>
      </c>
      <c r="D12">
        <v>18.829211000000001</v>
      </c>
      <c r="E12">
        <v>19.104288</v>
      </c>
      <c r="F12">
        <v>39.910991000000003</v>
      </c>
      <c r="G12">
        <v>38.940002</v>
      </c>
      <c r="H12">
        <v>35.003276</v>
      </c>
      <c r="I12">
        <v>30.333497000000001</v>
      </c>
      <c r="J12">
        <v>57.323545000000003</v>
      </c>
      <c r="K12">
        <v>53.533859999999997</v>
      </c>
      <c r="L12">
        <v>46.498339999999999</v>
      </c>
      <c r="M12">
        <v>-622.46938899999998</v>
      </c>
      <c r="N12">
        <v>1.6030040000000001</v>
      </c>
      <c r="O12">
        <v>3.5562779999999998</v>
      </c>
      <c r="P12">
        <f t="shared" si="0"/>
        <v>2.6716733333333335E-5</v>
      </c>
      <c r="Q12" cm="1">
        <f t="array" ref="Q12">[1]!PropsSI("D","T",J12+273.15,"P",101325,"Water")</f>
        <v>984.55141657704621</v>
      </c>
      <c r="R12" cm="1">
        <f t="array" ref="R12">[1]!PropsSI("D","T",K12+273.15,"P",101325,"Water")</f>
        <v>986.39627562506723</v>
      </c>
      <c r="S12">
        <f t="shared" si="1"/>
        <v>985.47384610105678</v>
      </c>
      <c r="T12" cm="1">
        <f t="array" ref="T12">[1]!PropsSI("H","T",J12+273.15,"P",101325,"Water")</f>
        <v>240049.37080465039</v>
      </c>
      <c r="U12" cm="1">
        <f t="array" ref="U12">[1]!PropsSI("H","T",K12+273.15,"P",101325,"Water")</f>
        <v>224196.65584906665</v>
      </c>
      <c r="V12">
        <f t="shared" si="2"/>
        <v>417.38045605259572</v>
      </c>
      <c r="X12">
        <f t="shared" si="3"/>
        <v>0.26464708999999997</v>
      </c>
      <c r="Y12">
        <f t="shared" si="3"/>
        <v>0.25706772</v>
      </c>
      <c r="Z12">
        <f t="shared" si="9"/>
        <v>0.36894700827011251</v>
      </c>
      <c r="AA12">
        <f t="shared" si="8"/>
        <v>3.7896850000000057</v>
      </c>
      <c r="AB12">
        <f t="shared" si="5"/>
        <v>9.7867820801190969E-2</v>
      </c>
      <c r="AC12">
        <f t="shared" si="6"/>
        <v>40.848115678874798</v>
      </c>
    </row>
    <row r="13" spans="1:29" x14ac:dyDescent="0.2">
      <c r="A13">
        <v>44675.042707594897</v>
      </c>
      <c r="B13">
        <v>17.993637</v>
      </c>
      <c r="C13">
        <v>18.310199999999998</v>
      </c>
      <c r="D13">
        <v>18.876622999999999</v>
      </c>
      <c r="E13">
        <v>19.114456000000001</v>
      </c>
      <c r="F13">
        <v>39.704802000000001</v>
      </c>
      <c r="G13">
        <v>37.843646999999997</v>
      </c>
      <c r="H13">
        <v>33.873618</v>
      </c>
      <c r="I13">
        <v>30.205366999999999</v>
      </c>
      <c r="J13">
        <v>57.312559</v>
      </c>
      <c r="K13">
        <v>53.517001</v>
      </c>
      <c r="L13">
        <v>45.297992000000001</v>
      </c>
      <c r="M13">
        <v>-622.47591999999997</v>
      </c>
      <c r="N13">
        <v>1.607118</v>
      </c>
      <c r="O13">
        <v>3.7336670000000001</v>
      </c>
      <c r="P13">
        <f t="shared" si="0"/>
        <v>2.6785299999999999E-5</v>
      </c>
      <c r="Q13" cm="1">
        <f t="array" ref="Q13">[1]!PropsSI("D","T",J13+273.15,"P",101325,"Water")</f>
        <v>984.55689214644201</v>
      </c>
      <c r="R13" cm="1">
        <f t="array" ref="R13">[1]!PropsSI("D","T",K13+273.15,"P",101325,"Water")</f>
        <v>986.40428310523919</v>
      </c>
      <c r="S13">
        <f t="shared" si="1"/>
        <v>985.4805876258406</v>
      </c>
      <c r="T13" cm="1">
        <f t="array" ref="T13">[1]!PropsSI("H","T",J13+273.15,"P",101325,"Water")</f>
        <v>240003.40718553754</v>
      </c>
      <c r="U13" cm="1">
        <f t="array" ref="U13">[1]!PropsSI("H","T",K13+273.15,"P",101325,"Water")</f>
        <v>224126.14409767132</v>
      </c>
      <c r="V13">
        <f t="shared" si="2"/>
        <v>419.10247914891005</v>
      </c>
      <c r="X13">
        <f t="shared" si="3"/>
        <v>0.26462511799999999</v>
      </c>
      <c r="Y13">
        <f t="shared" si="3"/>
        <v>0.25703400199999998</v>
      </c>
      <c r="Z13">
        <f t="shared" si="9"/>
        <v>0.3689077544056914</v>
      </c>
      <c r="AA13">
        <f t="shared" si="8"/>
        <v>3.7955579999999998</v>
      </c>
      <c r="AB13">
        <f t="shared" si="5"/>
        <v>9.7707680996319379E-2</v>
      </c>
      <c r="AC13">
        <f t="shared" si="6"/>
        <v>40.949531337448299</v>
      </c>
    </row>
    <row r="14" spans="1:29" x14ac:dyDescent="0.2">
      <c r="A14">
        <v>44675.0427423172</v>
      </c>
      <c r="B14">
        <v>18.095662000000001</v>
      </c>
      <c r="C14">
        <v>18.344422000000002</v>
      </c>
      <c r="D14">
        <v>18.906407000000002</v>
      </c>
      <c r="E14">
        <v>19.130033000000001</v>
      </c>
      <c r="F14">
        <v>39.796573000000002</v>
      </c>
      <c r="G14">
        <v>39.341960999999998</v>
      </c>
      <c r="H14">
        <v>34.156053</v>
      </c>
      <c r="I14">
        <v>30.598882</v>
      </c>
      <c r="J14">
        <v>57.294725999999997</v>
      </c>
      <c r="K14">
        <v>53.497118999999998</v>
      </c>
      <c r="L14">
        <v>39.035040000000002</v>
      </c>
      <c r="M14">
        <v>-622.51061200000004</v>
      </c>
      <c r="N14">
        <v>1.6042460000000001</v>
      </c>
      <c r="O14">
        <v>3.6320800000000002</v>
      </c>
      <c r="P14">
        <f t="shared" si="0"/>
        <v>2.6737433333333336E-5</v>
      </c>
      <c r="Q14" cm="1">
        <f t="array" ref="Q14">[1]!PropsSI("D","T",J14+273.15,"P",101325,"Water")</f>
        <v>984.565778794415</v>
      </c>
      <c r="R14" cm="1">
        <f t="array" ref="R14">[1]!PropsSI("D","T",K14+273.15,"P",101325,"Water")</f>
        <v>986.41372410921269</v>
      </c>
      <c r="S14">
        <f t="shared" si="1"/>
        <v>985.48975145181385</v>
      </c>
      <c r="T14" cm="1">
        <f t="array" ref="T14">[1]!PropsSI("H","T",J14+273.15,"P",101325,"Water")</f>
        <v>239928.79694514634</v>
      </c>
      <c r="U14" cm="1">
        <f t="array" ref="U14">[1]!PropsSI("H","T",K14+273.15,"P",101325,"Water")</f>
        <v>224042.98895480821</v>
      </c>
      <c r="V14">
        <f t="shared" si="2"/>
        <v>418.58256594542451</v>
      </c>
      <c r="X14">
        <f t="shared" si="3"/>
        <v>0.264589452</v>
      </c>
      <c r="Y14">
        <f t="shared" si="3"/>
        <v>0.25699423799999999</v>
      </c>
      <c r="Z14">
        <f t="shared" si="9"/>
        <v>0.36885446516866371</v>
      </c>
      <c r="AA14">
        <f t="shared" si="8"/>
        <v>3.7976069999999993</v>
      </c>
      <c r="AB14">
        <f t="shared" si="5"/>
        <v>9.7641556599037949E-2</v>
      </c>
      <c r="AC14">
        <f t="shared" si="6"/>
        <v>40.871053304130704</v>
      </c>
    </row>
    <row r="15" spans="1:29" x14ac:dyDescent="0.2">
      <c r="A15">
        <v>46137.042777037037</v>
      </c>
      <c r="B15">
        <v>17.963633999999999</v>
      </c>
      <c r="C15">
        <v>18.324742000000001</v>
      </c>
      <c r="D15">
        <v>18.907830000000001</v>
      </c>
      <c r="E15">
        <v>19.130987999999999</v>
      </c>
      <c r="F15">
        <v>39.395265000000002</v>
      </c>
      <c r="G15">
        <v>38.933230000000002</v>
      </c>
      <c r="H15">
        <v>34.751995000000001</v>
      </c>
      <c r="I15">
        <v>30.956455999999999</v>
      </c>
      <c r="J15">
        <v>57.282783999999999</v>
      </c>
      <c r="K15">
        <v>53.475966</v>
      </c>
      <c r="L15">
        <v>42.350383999999998</v>
      </c>
      <c r="M15">
        <v>-622.50775499999997</v>
      </c>
      <c r="N15">
        <v>1.6051759999999999</v>
      </c>
      <c r="O15">
        <v>3.6550940000000001</v>
      </c>
      <c r="P15">
        <f t="shared" si="0"/>
        <v>2.6752933333333333E-5</v>
      </c>
      <c r="Q15" cm="1">
        <f t="array" ref="Q15">[1]!PropsSI("D","T",J15+273.15,"P",101325,"Water")</f>
        <v>984.57172872570538</v>
      </c>
      <c r="R15" cm="1">
        <f t="array" ref="R15">[1]!PropsSI("D","T",K15+273.15,"P",101325,"Water")</f>
        <v>986.42376591207631</v>
      </c>
      <c r="S15">
        <f t="shared" si="1"/>
        <v>985.49774731889079</v>
      </c>
      <c r="T15" cm="1">
        <f t="array" ref="T15">[1]!PropsSI("H","T",J15+273.15,"P",101325,"Water")</f>
        <v>239878.83371778773</v>
      </c>
      <c r="U15" cm="1">
        <f t="array" ref="U15">[1]!PropsSI("H","T",K15+273.15,"P",101325,"Water")</f>
        <v>223954.51808597337</v>
      </c>
      <c r="V15">
        <f t="shared" si="2"/>
        <v>419.84387354491304</v>
      </c>
      <c r="X15">
        <f t="shared" si="3"/>
        <v>0.26456556799999997</v>
      </c>
      <c r="Y15">
        <f t="shared" si="3"/>
        <v>0.25695193199999999</v>
      </c>
      <c r="Z15">
        <f t="shared" si="9"/>
        <v>0.36880785665396992</v>
      </c>
      <c r="AA15">
        <f t="shared" si="8"/>
        <v>3.8068179999999998</v>
      </c>
      <c r="AB15">
        <f t="shared" si="5"/>
        <v>9.7395604784009673E-2</v>
      </c>
      <c r="AC15">
        <f t="shared" si="6"/>
        <v>40.890947978768082</v>
      </c>
    </row>
    <row r="16" spans="1:29" x14ac:dyDescent="0.2">
      <c r="A16">
        <v>46137.042812337961</v>
      </c>
      <c r="B16">
        <v>17.783289</v>
      </c>
      <c r="C16">
        <v>18.046731999999999</v>
      </c>
      <c r="D16">
        <v>18.746935000000001</v>
      </c>
      <c r="E16">
        <v>19.141598999999999</v>
      </c>
      <c r="F16">
        <v>39.305632000000003</v>
      </c>
      <c r="G16">
        <v>38.393971999999998</v>
      </c>
      <c r="H16">
        <v>33.848954999999997</v>
      </c>
      <c r="I16">
        <v>30.229382999999999</v>
      </c>
      <c r="J16">
        <v>57.268613000000002</v>
      </c>
      <c r="K16">
        <v>53.461174</v>
      </c>
      <c r="L16">
        <v>39.859896999999997</v>
      </c>
      <c r="M16">
        <v>-622.49224500000003</v>
      </c>
      <c r="N16">
        <v>1.6064259999999999</v>
      </c>
      <c r="O16">
        <v>3.4851649999999998</v>
      </c>
      <c r="P16">
        <f t="shared" si="0"/>
        <v>2.6773766666666668E-5</v>
      </c>
      <c r="Q16" cm="1">
        <f t="array" ref="Q16">[1]!PropsSI("D","T",J16+273.15,"P",101325,"Water")</f>
        <v>984.57878810241618</v>
      </c>
      <c r="R16" cm="1">
        <f t="array" ref="R16">[1]!PropsSI("D","T",K16+273.15,"P",101325,"Water")</f>
        <v>986.43078632844492</v>
      </c>
      <c r="S16">
        <f t="shared" si="1"/>
        <v>985.5047872154305</v>
      </c>
      <c r="T16" cm="1">
        <f t="array" ref="T16">[1]!PropsSI("H","T",J16+273.15,"P",101325,"Water")</f>
        <v>239819.5448198028</v>
      </c>
      <c r="U16" cm="1">
        <f t="array" ref="U16">[1]!PropsSI("H","T",K16+273.15,"P",101325,"Water")</f>
        <v>223892.65172234506</v>
      </c>
      <c r="V16">
        <f t="shared" si="2"/>
        <v>420.24182856167164</v>
      </c>
      <c r="X16">
        <f t="shared" si="3"/>
        <v>0.26453722600000001</v>
      </c>
      <c r="Y16">
        <f t="shared" si="3"/>
        <v>0.25692234800000002</v>
      </c>
      <c r="Z16">
        <f t="shared" si="9"/>
        <v>0.36876691397359412</v>
      </c>
      <c r="AA16">
        <f t="shared" si="8"/>
        <v>3.8074390000000022</v>
      </c>
      <c r="AB16">
        <f t="shared" si="5"/>
        <v>9.7369190383136767E-2</v>
      </c>
      <c r="AC16">
        <f t="shared" si="6"/>
        <v>40.918606612178927</v>
      </c>
    </row>
    <row r="17" spans="1:29" x14ac:dyDescent="0.2">
      <c r="A17">
        <v>46137.042847060184</v>
      </c>
      <c r="B17">
        <v>17.762931999999999</v>
      </c>
      <c r="C17">
        <v>17.932898999999999</v>
      </c>
      <c r="D17">
        <v>18.825634000000001</v>
      </c>
      <c r="E17">
        <v>19.137184000000001</v>
      </c>
      <c r="F17">
        <v>39.503570000000003</v>
      </c>
      <c r="G17">
        <v>37.886284000000003</v>
      </c>
      <c r="H17">
        <v>33.522686999999998</v>
      </c>
      <c r="I17">
        <v>30.929494999999999</v>
      </c>
      <c r="J17">
        <v>57.255557000000003</v>
      </c>
      <c r="K17">
        <v>53.448608999999998</v>
      </c>
      <c r="L17">
        <v>39.740310999999998</v>
      </c>
      <c r="M17">
        <v>-622.50204099999996</v>
      </c>
      <c r="N17">
        <v>1.6091629999999999</v>
      </c>
      <c r="O17">
        <v>3.730642</v>
      </c>
      <c r="P17">
        <f t="shared" si="0"/>
        <v>2.6819383333333329E-5</v>
      </c>
      <c r="Q17" cm="1">
        <f t="array" ref="Q17">[1]!PropsSI("D","T",J17+273.15,"P",101325,"Water")</f>
        <v>984.58529095652068</v>
      </c>
      <c r="R17" cm="1">
        <f t="array" ref="R17">[1]!PropsSI("D","T",K17+273.15,"P",101325,"Water")</f>
        <v>986.43674870599625</v>
      </c>
      <c r="S17">
        <f t="shared" si="1"/>
        <v>985.51101983125841</v>
      </c>
      <c r="T17" cm="1">
        <f t="array" ref="T17">[1]!PropsSI("H","T",J17+273.15,"P",101325,"Water")</f>
        <v>239764.92095034863</v>
      </c>
      <c r="U17" cm="1">
        <f t="array" ref="U17">[1]!PropsSI("H","T",K17+273.15,"P",101325,"Water")</f>
        <v>223840.09966717489</v>
      </c>
      <c r="V17">
        <f t="shared" si="2"/>
        <v>420.90573165645293</v>
      </c>
      <c r="X17">
        <f t="shared" si="3"/>
        <v>0.26451111399999999</v>
      </c>
      <c r="Y17">
        <f t="shared" si="3"/>
        <v>0.25689721799999998</v>
      </c>
      <c r="Z17">
        <f t="shared" si="9"/>
        <v>0.36873067413175775</v>
      </c>
      <c r="AA17">
        <f t="shared" si="8"/>
        <v>3.8069480000000055</v>
      </c>
      <c r="AB17">
        <f t="shared" si="5"/>
        <v>9.737214702870392E-2</v>
      </c>
      <c r="AC17">
        <f t="shared" si="6"/>
        <v>40.984494788076333</v>
      </c>
    </row>
    <row r="18" spans="1:29" x14ac:dyDescent="0.2">
      <c r="A18">
        <v>46137.042881782407</v>
      </c>
      <c r="B18">
        <v>17.705935</v>
      </c>
      <c r="C18">
        <v>17.908173999999999</v>
      </c>
      <c r="D18">
        <v>18.844470999999999</v>
      </c>
      <c r="E18">
        <v>19.16854</v>
      </c>
      <c r="F18">
        <v>39.287165999999999</v>
      </c>
      <c r="G18">
        <v>35.956940000000003</v>
      </c>
      <c r="H18">
        <v>34.322986999999998</v>
      </c>
      <c r="I18">
        <v>30.187892999999999</v>
      </c>
      <c r="J18">
        <v>57.241705000000003</v>
      </c>
      <c r="K18">
        <v>53.434294999999999</v>
      </c>
      <c r="L18">
        <v>39.977442000000003</v>
      </c>
      <c r="M18">
        <v>-622.47183800000005</v>
      </c>
      <c r="N18">
        <v>1.6045240000000001</v>
      </c>
      <c r="O18">
        <v>3.2172079999999998</v>
      </c>
      <c r="P18">
        <f t="shared" si="0"/>
        <v>2.6742066666666669E-5</v>
      </c>
      <c r="Q18" cm="1">
        <f t="array" ref="Q18">[1]!PropsSI("D","T",J18+273.15,"P",101325,"Water")</f>
        <v>984.59218914697954</v>
      </c>
      <c r="R18" cm="1">
        <f t="array" ref="R18">[1]!PropsSI("D","T",K18+273.15,"P",101325,"Water")</f>
        <v>986.44353980955054</v>
      </c>
      <c r="S18">
        <f t="shared" si="1"/>
        <v>985.51786447826498</v>
      </c>
      <c r="T18" cm="1">
        <f t="array" ref="T18">[1]!PropsSI("H","T",J18+273.15,"P",101325,"Water")</f>
        <v>239706.9668390218</v>
      </c>
      <c r="U18" cm="1">
        <f t="array" ref="U18">[1]!PropsSI("H","T",K18+273.15,"P",101325,"Water")</f>
        <v>223780.23263181868</v>
      </c>
      <c r="V18">
        <f t="shared" si="2"/>
        <v>419.74564675361995</v>
      </c>
      <c r="X18">
        <f t="shared" si="3"/>
        <v>0.26448340999999997</v>
      </c>
      <c r="Y18">
        <f t="shared" si="3"/>
        <v>0.25686859000000001</v>
      </c>
      <c r="Z18">
        <f t="shared" si="9"/>
        <v>0.368690855180619</v>
      </c>
      <c r="AA18">
        <f t="shared" si="8"/>
        <v>3.8074100000000044</v>
      </c>
      <c r="AB18">
        <f t="shared" si="5"/>
        <v>9.7350053329740699E-2</v>
      </c>
      <c r="AC18">
        <f t="shared" si="6"/>
        <v>40.8622610963914</v>
      </c>
    </row>
    <row r="19" spans="1:29" x14ac:dyDescent="0.2">
      <c r="A19">
        <v>46137.04291650463</v>
      </c>
      <c r="B19">
        <v>17.598538000000001</v>
      </c>
      <c r="C19">
        <v>17.904781</v>
      </c>
      <c r="D19">
        <v>18.814233000000002</v>
      </c>
      <c r="E19">
        <v>19.169430999999999</v>
      </c>
      <c r="F19">
        <v>39.083556999999999</v>
      </c>
      <c r="G19">
        <v>38.376584999999999</v>
      </c>
      <c r="H19">
        <v>34.278025</v>
      </c>
      <c r="I19">
        <v>31.332433999999999</v>
      </c>
      <c r="J19">
        <v>57.228966999999997</v>
      </c>
      <c r="K19">
        <v>53.420617</v>
      </c>
      <c r="L19">
        <v>44.188251000000001</v>
      </c>
      <c r="M19">
        <v>-622.46245099999999</v>
      </c>
      <c r="N19">
        <v>1.603971</v>
      </c>
      <c r="O19">
        <v>3.5490469999999998</v>
      </c>
      <c r="P19">
        <f t="shared" si="0"/>
        <v>2.6732849999999999E-5</v>
      </c>
      <c r="Q19" cm="1">
        <f t="array" ref="Q19">[1]!PropsSI("D","T",J19+273.15,"P",101325,"Water")</f>
        <v>984.59853154651046</v>
      </c>
      <c r="R19" cm="1">
        <f t="array" ref="R19">[1]!PropsSI("D","T",K19+273.15,"P",101325,"Water")</f>
        <v>986.45002796221047</v>
      </c>
      <c r="S19">
        <f t="shared" si="1"/>
        <v>985.52427975436046</v>
      </c>
      <c r="T19" cm="1">
        <f t="array" ref="T19">[1]!PropsSI("H","T",J19+273.15,"P",101325,"Water")</f>
        <v>239653.67355704706</v>
      </c>
      <c r="U19" cm="1">
        <f t="array" ref="U19">[1]!PropsSI("H","T",K19+273.15,"P",101325,"Water")</f>
        <v>223723.02567463258</v>
      </c>
      <c r="V19">
        <f t="shared" si="2"/>
        <v>419.70682180820336</v>
      </c>
      <c r="X19">
        <f t="shared" si="3"/>
        <v>0.26445793400000001</v>
      </c>
      <c r="Y19">
        <f t="shared" si="3"/>
        <v>0.25684123400000003</v>
      </c>
      <c r="Z19">
        <f t="shared" si="9"/>
        <v>0.36865352071856189</v>
      </c>
      <c r="AA19">
        <f t="shared" si="8"/>
        <v>3.8083499999999972</v>
      </c>
      <c r="AB19">
        <f t="shared" si="5"/>
        <v>9.73165269484082E-2</v>
      </c>
      <c r="AC19">
        <f t="shared" si="6"/>
        <v>40.84441023492878</v>
      </c>
    </row>
    <row r="20" spans="1:29" x14ac:dyDescent="0.2">
      <c r="A20">
        <v>46137.042951805553</v>
      </c>
      <c r="B20">
        <v>17.604077</v>
      </c>
      <c r="C20">
        <v>17.937193000000001</v>
      </c>
      <c r="D20">
        <v>18.811537000000001</v>
      </c>
      <c r="E20">
        <v>19.175654000000002</v>
      </c>
      <c r="F20">
        <v>39.032378000000001</v>
      </c>
      <c r="G20">
        <v>37.464906999999997</v>
      </c>
      <c r="H20">
        <v>34.729058999999999</v>
      </c>
      <c r="I20">
        <v>30.482676999999999</v>
      </c>
      <c r="J20">
        <v>57.216070000000002</v>
      </c>
      <c r="K20">
        <v>53.401212999999998</v>
      </c>
      <c r="L20">
        <v>43.827860999999999</v>
      </c>
      <c r="M20">
        <v>-622.48204199999998</v>
      </c>
      <c r="N20">
        <v>1.6019669999999999</v>
      </c>
      <c r="O20">
        <v>3.4803869999999999</v>
      </c>
      <c r="P20">
        <f t="shared" si="0"/>
        <v>2.6699449999999997E-5</v>
      </c>
      <c r="Q20" cm="1">
        <f t="array" ref="Q20">[1]!PropsSI("D","T",J20+273.15,"P",101325,"Water")</f>
        <v>984.60495211093189</v>
      </c>
      <c r="R20" cm="1">
        <f t="array" ref="R20">[1]!PropsSI("D","T",K20+273.15,"P",101325,"Water")</f>
        <v>986.45923021384192</v>
      </c>
      <c r="S20">
        <f t="shared" si="1"/>
        <v>985.53209116238691</v>
      </c>
      <c r="T20" cm="1">
        <f t="array" ref="T20">[1]!PropsSI("H","T",J20+273.15,"P",101325,"Water")</f>
        <v>239599.71511578109</v>
      </c>
      <c r="U20" cm="1">
        <f t="array" ref="U20">[1]!PropsSI("H","T",K20+273.15,"P",101325,"Water")</f>
        <v>223641.87036567909</v>
      </c>
      <c r="V20">
        <f t="shared" si="2"/>
        <v>419.90139862478128</v>
      </c>
      <c r="X20">
        <f t="shared" si="3"/>
        <v>0.26443213999999998</v>
      </c>
      <c r="Y20">
        <f t="shared" si="3"/>
        <v>0.25680242600000003</v>
      </c>
      <c r="Z20">
        <f t="shared" si="9"/>
        <v>0.36860797965381203</v>
      </c>
      <c r="AA20">
        <f t="shared" si="8"/>
        <v>3.8148570000000035</v>
      </c>
      <c r="AB20">
        <f t="shared" si="5"/>
        <v>9.7140414002808484E-2</v>
      </c>
      <c r="AC20">
        <f t="shared" si="6"/>
        <v>40.789395702769568</v>
      </c>
    </row>
    <row r="21" spans="1:29" x14ac:dyDescent="0.2">
      <c r="A21">
        <v>46137.042986527777</v>
      </c>
      <c r="B21">
        <v>17.825087</v>
      </c>
      <c r="C21">
        <v>17.912143</v>
      </c>
      <c r="D21">
        <v>18.893483</v>
      </c>
      <c r="E21">
        <v>19.188061999999999</v>
      </c>
      <c r="F21">
        <v>39.514668</v>
      </c>
      <c r="G21">
        <v>38.113067999999998</v>
      </c>
      <c r="H21">
        <v>34.618519999999997</v>
      </c>
      <c r="I21">
        <v>30.256768999999998</v>
      </c>
      <c r="J21">
        <v>57.203333000000001</v>
      </c>
      <c r="K21">
        <v>53.387058000000003</v>
      </c>
      <c r="L21">
        <v>37.788164000000002</v>
      </c>
      <c r="M21">
        <v>-622.51183600000002</v>
      </c>
      <c r="N21">
        <v>1.605893</v>
      </c>
      <c r="O21">
        <v>3.3690920000000002</v>
      </c>
      <c r="P21">
        <f t="shared" si="0"/>
        <v>2.6764883333333332E-5</v>
      </c>
      <c r="Q21" cm="1">
        <f t="array" ref="Q21">[1]!PropsSI("D","T",J21+273.15,"P",101325,"Water")</f>
        <v>984.61129203125734</v>
      </c>
      <c r="R21" cm="1">
        <f t="array" ref="R21">[1]!PropsSI("D","T",K21+273.15,"P",101325,"Water")</f>
        <v>986.46594165323245</v>
      </c>
      <c r="S21">
        <f t="shared" si="1"/>
        <v>985.53861684224489</v>
      </c>
      <c r="T21" cm="1">
        <f t="array" ref="T21">[1]!PropsSI("H","T",J21+273.15,"P",101325,"Water")</f>
        <v>239546.42614663273</v>
      </c>
      <c r="U21" cm="1">
        <f t="array" ref="U21">[1]!PropsSI("H","T",K21+273.15,"P",101325,"Water")</f>
        <v>223582.66855966765</v>
      </c>
      <c r="V21">
        <f t="shared" si="2"/>
        <v>421.08922153594847</v>
      </c>
      <c r="X21">
        <f t="shared" si="3"/>
        <v>0.26440666600000001</v>
      </c>
      <c r="Y21">
        <f t="shared" si="3"/>
        <v>0.256774116</v>
      </c>
      <c r="Z21">
        <f t="shared" si="9"/>
        <v>0.36856998205607711</v>
      </c>
      <c r="AA21">
        <f t="shared" si="8"/>
        <v>3.8162749999999974</v>
      </c>
      <c r="AB21">
        <f t="shared" si="5"/>
        <v>9.7094798671179067E-2</v>
      </c>
      <c r="AC21">
        <f t="shared" si="6"/>
        <v>40.885573187636439</v>
      </c>
    </row>
    <row r="22" spans="1:29" x14ac:dyDescent="0.2">
      <c r="A22">
        <v>46137.0430218287</v>
      </c>
      <c r="B22">
        <v>18.015749</v>
      </c>
      <c r="C22">
        <v>18.124123000000001</v>
      </c>
      <c r="D22">
        <v>18.946711000000001</v>
      </c>
      <c r="E22">
        <v>19.173886</v>
      </c>
      <c r="F22">
        <v>38.749619000000003</v>
      </c>
      <c r="G22">
        <v>37.680371000000001</v>
      </c>
      <c r="H22">
        <v>33.518104000000001</v>
      </c>
      <c r="I22">
        <v>30.432217000000001</v>
      </c>
      <c r="J22">
        <v>57.190435999999998</v>
      </c>
      <c r="K22">
        <v>53.375289000000002</v>
      </c>
      <c r="L22">
        <v>44.435586000000001</v>
      </c>
      <c r="M22">
        <v>-622.48979599999996</v>
      </c>
      <c r="N22">
        <v>1.60575</v>
      </c>
      <c r="O22">
        <v>3.745066</v>
      </c>
      <c r="P22">
        <f t="shared" si="0"/>
        <v>2.67625E-5</v>
      </c>
      <c r="Q22" cm="1">
        <f t="array" ref="Q22">[1]!PropsSI("D","T",J22+273.15,"P",101325,"Water")</f>
        <v>984.61771058930208</v>
      </c>
      <c r="R22" cm="1">
        <f t="array" ref="R22">[1]!PropsSI("D","T",K22+273.15,"P",101325,"Water")</f>
        <v>986.47152083325182</v>
      </c>
      <c r="S22">
        <f t="shared" si="1"/>
        <v>985.54461571127695</v>
      </c>
      <c r="T22" cm="1">
        <f t="array" ref="T22">[1]!PropsSI("H","T",J22+273.15,"P",101325,"Water")</f>
        <v>239492.46783601324</v>
      </c>
      <c r="U22" cm="1">
        <f t="array" ref="U22">[1]!PropsSI("H","T",K22+273.15,"P",101325,"Water")</f>
        <v>223533.44600031359</v>
      </c>
      <c r="V22">
        <f t="shared" si="2"/>
        <v>420.92937922917645</v>
      </c>
      <c r="X22">
        <f t="shared" si="3"/>
        <v>0.26438087199999999</v>
      </c>
      <c r="Y22">
        <f t="shared" si="3"/>
        <v>0.25675057800000001</v>
      </c>
      <c r="Z22">
        <f t="shared" si="9"/>
        <v>0.36853507944673936</v>
      </c>
      <c r="AA22">
        <f t="shared" si="8"/>
        <v>3.8151469999999961</v>
      </c>
      <c r="AB22">
        <f t="shared" si="5"/>
        <v>9.7114101795521546E-2</v>
      </c>
      <c r="AC22">
        <f t="shared" si="6"/>
        <v>40.878178583187932</v>
      </c>
    </row>
    <row r="23" spans="1:29" x14ac:dyDescent="0.2">
      <c r="A23">
        <v>46137.043056550923</v>
      </c>
      <c r="B23">
        <v>18.143476</v>
      </c>
      <c r="C23">
        <v>18.204139000000001</v>
      </c>
      <c r="D23">
        <v>19.000001000000001</v>
      </c>
      <c r="E23">
        <v>19.192896999999999</v>
      </c>
      <c r="F23">
        <v>38.978808000000001</v>
      </c>
      <c r="G23">
        <v>35.620877999999998</v>
      </c>
      <c r="H23">
        <v>34.741942999999999</v>
      </c>
      <c r="I23">
        <v>30.538333000000002</v>
      </c>
      <c r="J23">
        <v>57.178812999999998</v>
      </c>
      <c r="K23">
        <v>53.367972999999999</v>
      </c>
      <c r="L23">
        <v>44.789037999999998</v>
      </c>
      <c r="M23">
        <v>-622.47918500000003</v>
      </c>
      <c r="N23">
        <v>1.604746</v>
      </c>
      <c r="O23">
        <v>3.5638390000000002</v>
      </c>
      <c r="P23">
        <f t="shared" si="0"/>
        <v>2.6745766666666667E-5</v>
      </c>
      <c r="Q23" cm="1">
        <f t="array" ref="Q23">[1]!PropsSI("D","T",J23+273.15,"P",101325,"Water")</f>
        <v>984.62349424012052</v>
      </c>
      <c r="R23" cm="1">
        <f t="array" ref="R23">[1]!PropsSI("D","T",K23+273.15,"P",101325,"Water")</f>
        <v>986.47498859528582</v>
      </c>
      <c r="S23">
        <f t="shared" si="1"/>
        <v>985.54924141770312</v>
      </c>
      <c r="T23" cm="1">
        <f t="array" ref="T23">[1]!PropsSI("H","T",J23+273.15,"P",101325,"Water")</f>
        <v>239443.83972719449</v>
      </c>
      <c r="U23" cm="1">
        <f t="array" ref="U23">[1]!PropsSI("H","T",K23+273.15,"P",101325,"Water")</f>
        <v>223502.84765145663</v>
      </c>
      <c r="V23">
        <f t="shared" si="2"/>
        <v>420.19291498080719</v>
      </c>
      <c r="X23">
        <f t="shared" si="3"/>
        <v>0.26435762600000001</v>
      </c>
      <c r="Y23">
        <f t="shared" si="3"/>
        <v>0.25673594599999999</v>
      </c>
      <c r="Z23">
        <f t="shared" si="9"/>
        <v>0.36850820939684747</v>
      </c>
      <c r="AA23">
        <f t="shared" si="8"/>
        <v>3.8108399999999989</v>
      </c>
      <c r="AB23">
        <f t="shared" si="5"/>
        <v>9.7215683178644957E-2</v>
      </c>
      <c r="AC23">
        <f t="shared" si="6"/>
        <v>40.849341296685445</v>
      </c>
    </row>
    <row r="24" spans="1:29" x14ac:dyDescent="0.2">
      <c r="A24">
        <v>46137.043091851854</v>
      </c>
      <c r="B24">
        <v>18.137242000000001</v>
      </c>
      <c r="C24">
        <v>18.175528</v>
      </c>
      <c r="D24">
        <v>18.995996999999999</v>
      </c>
      <c r="E24">
        <v>19.199007000000002</v>
      </c>
      <c r="F24">
        <v>39.908673999999998</v>
      </c>
      <c r="G24">
        <v>37.663842000000002</v>
      </c>
      <c r="H24">
        <v>34.219603999999997</v>
      </c>
      <c r="I24">
        <v>30.757083999999999</v>
      </c>
      <c r="J24">
        <v>57.170375</v>
      </c>
      <c r="K24">
        <v>53.361452</v>
      </c>
      <c r="L24">
        <v>43.998873000000003</v>
      </c>
      <c r="M24">
        <v>-622.48163399999999</v>
      </c>
      <c r="N24">
        <v>1.6076299999999999</v>
      </c>
      <c r="O24">
        <v>3.464591</v>
      </c>
      <c r="P24">
        <f t="shared" si="0"/>
        <v>2.6793833333333331E-5</v>
      </c>
      <c r="Q24" cm="1">
        <f t="array" ref="Q24">[1]!PropsSI("D","T",J24+273.15,"P",101325,"Water")</f>
        <v>984.62769250849726</v>
      </c>
      <c r="R24" cm="1">
        <f t="array" ref="R24">[1]!PropsSI("D","T",K24+273.15,"P",101325,"Water")</f>
        <v>986.47807924470339</v>
      </c>
      <c r="S24">
        <f t="shared" si="1"/>
        <v>985.55288587660039</v>
      </c>
      <c r="T24" cm="1">
        <f t="array" ref="T24">[1]!PropsSI("H","T",J24+273.15,"P",101325,"Water")</f>
        <v>239408.53700036937</v>
      </c>
      <c r="U24" cm="1">
        <f t="array" ref="U24">[1]!PropsSI("H","T",K24+273.15,"P",101325,"Water")</f>
        <v>223475.5743160967</v>
      </c>
      <c r="V24">
        <f t="shared" si="2"/>
        <v>420.73759929483299</v>
      </c>
      <c r="X24">
        <f t="shared" si="3"/>
        <v>0.26434075000000001</v>
      </c>
      <c r="Y24">
        <f t="shared" si="3"/>
        <v>0.25672290399999997</v>
      </c>
      <c r="Z24">
        <f t="shared" si="9"/>
        <v>0.36848701679808982</v>
      </c>
      <c r="AA24">
        <f t="shared" si="8"/>
        <v>3.8089230000000001</v>
      </c>
      <c r="AB24">
        <f t="shared" si="5"/>
        <v>9.7258559016399321E-2</v>
      </c>
      <c r="AC24">
        <f t="shared" si="6"/>
        <v>40.920332631434682</v>
      </c>
    </row>
    <row r="25" spans="1:29" x14ac:dyDescent="0.2">
      <c r="A25">
        <v>46137.043126574077</v>
      </c>
      <c r="B25">
        <v>18.034399000000001</v>
      </c>
      <c r="C25">
        <v>18.159189000000001</v>
      </c>
      <c r="D25">
        <v>19.003909</v>
      </c>
      <c r="E25">
        <v>19.18524</v>
      </c>
      <c r="F25">
        <v>39.018543000000001</v>
      </c>
      <c r="G25">
        <v>39.045988999999999</v>
      </c>
      <c r="H25">
        <v>34.166786999999999</v>
      </c>
      <c r="I25">
        <v>30.160561000000001</v>
      </c>
      <c r="J25">
        <v>57.159229000000003</v>
      </c>
      <c r="K25">
        <v>53.352863999999997</v>
      </c>
      <c r="L25">
        <v>40.067233000000002</v>
      </c>
      <c r="M25">
        <v>-622.50979500000005</v>
      </c>
      <c r="N25">
        <v>1.606438</v>
      </c>
      <c r="O25">
        <v>3.4387560000000001</v>
      </c>
      <c r="P25">
        <f t="shared" si="0"/>
        <v>2.6773966666666665E-5</v>
      </c>
      <c r="Q25" cm="1">
        <f t="array" ref="Q25">[1]!PropsSI("D","T",J25+273.15,"P",101325,"Water")</f>
        <v>984.6332374608678</v>
      </c>
      <c r="R25" cm="1">
        <f t="array" ref="R25">[1]!PropsSI("D","T",K25+273.15,"P",101325,"Water")</f>
        <v>986.48214914572668</v>
      </c>
      <c r="S25">
        <f t="shared" si="1"/>
        <v>985.55769330329724</v>
      </c>
      <c r="T25" cm="1">
        <f t="array" ref="T25">[1]!PropsSI("H","T",J25+273.15,"P",101325,"Water")</f>
        <v>239361.90464321341</v>
      </c>
      <c r="U25" cm="1">
        <f t="array" ref="U25">[1]!PropsSI("H","T",K25+273.15,"P",101325,"Water")</f>
        <v>223439.65601189173</v>
      </c>
      <c r="V25">
        <f t="shared" si="2"/>
        <v>420.14497343513767</v>
      </c>
      <c r="X25">
        <f t="shared" si="3"/>
        <v>0.26431845799999998</v>
      </c>
      <c r="Y25">
        <f t="shared" si="3"/>
        <v>0.25670572800000002</v>
      </c>
      <c r="Z25">
        <f t="shared" si="9"/>
        <v>0.36845905882134011</v>
      </c>
      <c r="AA25">
        <f t="shared" si="8"/>
        <v>3.8063650000000067</v>
      </c>
      <c r="AB25">
        <f t="shared" si="5"/>
        <v>9.7315922978145272E-2</v>
      </c>
      <c r="AC25">
        <f t="shared" si="6"/>
        <v>40.886795874468746</v>
      </c>
    </row>
    <row r="26" spans="1:29" x14ac:dyDescent="0.2">
      <c r="A26">
        <v>46137.043161875001</v>
      </c>
      <c r="B26">
        <v>18.228884999999998</v>
      </c>
      <c r="C26">
        <v>18.263200000000001</v>
      </c>
      <c r="D26">
        <v>19.018246000000001</v>
      </c>
      <c r="E26">
        <v>19.202622999999999</v>
      </c>
      <c r="F26">
        <v>39.536259000000001</v>
      </c>
      <c r="G26">
        <v>38.370005999999997</v>
      </c>
      <c r="H26">
        <v>34.501840999999999</v>
      </c>
      <c r="I26">
        <v>30.401228</v>
      </c>
      <c r="J26">
        <v>57.148083999999997</v>
      </c>
      <c r="K26">
        <v>53.340299000000002</v>
      </c>
      <c r="L26">
        <v>40.970044999999999</v>
      </c>
      <c r="M26">
        <v>-622.48979599999996</v>
      </c>
      <c r="N26">
        <v>1.6020620000000001</v>
      </c>
      <c r="O26">
        <v>3.4479440000000001</v>
      </c>
      <c r="P26">
        <f t="shared" si="0"/>
        <v>2.6701033333333337E-5</v>
      </c>
      <c r="Q26" cm="1">
        <f t="array" ref="Q26">[1]!PropsSI("D","T",J26+273.15,"P",101325,"Water")</f>
        <v>984.6387811615308</v>
      </c>
      <c r="R26" cm="1">
        <f t="array" ref="R26">[1]!PropsSI("D","T",K26+273.15,"P",101325,"Water")</f>
        <v>986.48810292956557</v>
      </c>
      <c r="S26">
        <f t="shared" si="1"/>
        <v>985.56344204554819</v>
      </c>
      <c r="T26" cm="1">
        <f t="array" ref="T26">[1]!PropsSI("H","T",J26+273.15,"P",101325,"Water")</f>
        <v>239315.27651875551</v>
      </c>
      <c r="U26" cm="1">
        <f t="array" ref="U26">[1]!PropsSI("H","T",K26+273.15,"P",101325,"Water")</f>
        <v>223387.10441558191</v>
      </c>
      <c r="V26">
        <f t="shared" si="2"/>
        <v>419.15880559564818</v>
      </c>
      <c r="X26">
        <f t="shared" si="3"/>
        <v>0.264296168</v>
      </c>
      <c r="Y26">
        <f t="shared" si="3"/>
        <v>0.25668059799999998</v>
      </c>
      <c r="Z26">
        <f t="shared" si="9"/>
        <v>0.3684255607434449</v>
      </c>
      <c r="AA26">
        <f t="shared" si="8"/>
        <v>3.8077849999999955</v>
      </c>
      <c r="AB26">
        <f t="shared" si="5"/>
        <v>9.7271264526962262E-2</v>
      </c>
      <c r="AC26">
        <f t="shared" si="6"/>
        <v>40.772107057899845</v>
      </c>
    </row>
    <row r="27" spans="1:29" x14ac:dyDescent="0.2">
      <c r="A27">
        <v>46137.043196597224</v>
      </c>
      <c r="B27">
        <v>18.363537999999998</v>
      </c>
      <c r="C27">
        <v>18.295293000000001</v>
      </c>
      <c r="D27">
        <v>19.081536</v>
      </c>
      <c r="E27">
        <v>19.230771000000001</v>
      </c>
      <c r="F27">
        <v>39.881376000000003</v>
      </c>
      <c r="G27">
        <v>39.060490999999999</v>
      </c>
      <c r="H27">
        <v>32.961247999999998</v>
      </c>
      <c r="I27">
        <v>30.583669</v>
      </c>
      <c r="J27">
        <v>57.135029000000003</v>
      </c>
      <c r="K27">
        <v>53.330120999999998</v>
      </c>
      <c r="L27">
        <v>46.195906000000001</v>
      </c>
      <c r="M27">
        <v>-622.50367300000005</v>
      </c>
      <c r="N27">
        <v>1.6051800000000001</v>
      </c>
      <c r="O27">
        <v>3.6891889999999998</v>
      </c>
      <c r="P27">
        <f t="shared" si="0"/>
        <v>2.6753000000000003E-5</v>
      </c>
      <c r="Q27" cm="1">
        <f t="array" ref="Q27">[1]!PropsSI("D","T",J27+273.15,"P",101325,"Water")</f>
        <v>984.64527396732785</v>
      </c>
      <c r="R27" cm="1">
        <f t="array" ref="R27">[1]!PropsSI("D","T",K27+273.15,"P",101325,"Water")</f>
        <v>986.49292492901429</v>
      </c>
      <c r="S27">
        <f t="shared" si="1"/>
        <v>985.56909944817107</v>
      </c>
      <c r="T27" cm="1">
        <f t="array" ref="T27">[1]!PropsSI("H","T",J27+273.15,"P",101325,"Water")</f>
        <v>239260.65745461785</v>
      </c>
      <c r="U27" cm="1">
        <f t="array" ref="U27">[1]!PropsSI("H","T",K27+273.15,"P",101325,"Water")</f>
        <v>223344.53619771352</v>
      </c>
      <c r="V27">
        <f t="shared" si="2"/>
        <v>419.65925692304035</v>
      </c>
      <c r="X27">
        <f t="shared" si="3"/>
        <v>0.26427005800000003</v>
      </c>
      <c r="Y27">
        <f t="shared" si="3"/>
        <v>0.25666024199999998</v>
      </c>
      <c r="Z27">
        <f t="shared" si="9"/>
        <v>0.36839264837781704</v>
      </c>
      <c r="AA27">
        <f t="shared" si="8"/>
        <v>3.8049080000000046</v>
      </c>
      <c r="AB27">
        <f t="shared" si="5"/>
        <v>9.7335432859081333E-2</v>
      </c>
      <c r="AC27">
        <f t="shared" si="6"/>
        <v>40.847715425924555</v>
      </c>
    </row>
    <row r="28" spans="1:29" x14ac:dyDescent="0.2">
      <c r="A28">
        <v>46137.043231319447</v>
      </c>
      <c r="B28">
        <v>18.278966</v>
      </c>
      <c r="C28">
        <v>18.260297999999999</v>
      </c>
      <c r="D28">
        <v>19.09741</v>
      </c>
      <c r="E28">
        <v>19.275333</v>
      </c>
      <c r="F28">
        <v>39.154395000000001</v>
      </c>
      <c r="G28">
        <v>34.845810999999998</v>
      </c>
      <c r="H28">
        <v>33.422040000000003</v>
      </c>
      <c r="I28">
        <v>30.342417000000001</v>
      </c>
      <c r="J28">
        <v>57.127864000000002</v>
      </c>
      <c r="K28">
        <v>53.320101000000001</v>
      </c>
      <c r="L28">
        <v>41.724293000000003</v>
      </c>
      <c r="M28">
        <v>-622.49020499999995</v>
      </c>
      <c r="N28">
        <v>1.604176</v>
      </c>
      <c r="O28">
        <v>3.3473999999999999</v>
      </c>
      <c r="P28">
        <f t="shared" si="0"/>
        <v>2.673626666666667E-5</v>
      </c>
      <c r="Q28" cm="1">
        <f t="array" ref="Q28">[1]!PropsSI("D","T",J28+273.15,"P",101325,"Water")</f>
        <v>984.64883698609492</v>
      </c>
      <c r="R28" cm="1">
        <f t="array" ref="R28">[1]!PropsSI("D","T",K28+273.15,"P",101325,"Water")</f>
        <v>986.49767143380643</v>
      </c>
      <c r="S28">
        <f t="shared" si="1"/>
        <v>985.57325420995062</v>
      </c>
      <c r="T28" cm="1">
        <f t="array" ref="T28">[1]!PropsSI("H","T",J28+273.15,"P",101325,"Water")</f>
        <v>239230.68080032061</v>
      </c>
      <c r="U28" cm="1">
        <f t="array" ref="U28">[1]!PropsSI("H","T",K28+273.15,"P",101325,"Water")</f>
        <v>223302.62882915238</v>
      </c>
      <c r="V28">
        <f t="shared" si="2"/>
        <v>419.7129194215255</v>
      </c>
      <c r="X28">
        <f t="shared" si="3"/>
        <v>0.26425572799999997</v>
      </c>
      <c r="Y28">
        <f t="shared" si="3"/>
        <v>0.25664020199999998</v>
      </c>
      <c r="Z28">
        <f t="shared" si="9"/>
        <v>0.36836840671182808</v>
      </c>
      <c r="AA28">
        <f t="shared" si="8"/>
        <v>3.8077630000000013</v>
      </c>
      <c r="AB28">
        <f t="shared" si="5"/>
        <v>9.7256890258631476E-2</v>
      </c>
      <c r="AC28">
        <f t="shared" si="6"/>
        <v>40.81997334430914</v>
      </c>
    </row>
    <row r="29" spans="1:29" x14ac:dyDescent="0.2">
      <c r="A29">
        <v>46137.04326604167</v>
      </c>
      <c r="B29">
        <v>18.194474</v>
      </c>
      <c r="C29">
        <v>18.240319</v>
      </c>
      <c r="D29">
        <v>19.099969000000002</v>
      </c>
      <c r="E29">
        <v>19.280093000000001</v>
      </c>
      <c r="F29">
        <v>39.495803000000002</v>
      </c>
      <c r="G29">
        <v>37.826478000000002</v>
      </c>
      <c r="H29">
        <v>34.150084999999997</v>
      </c>
      <c r="I29">
        <v>30.543229</v>
      </c>
      <c r="J29">
        <v>57.118310999999999</v>
      </c>
      <c r="K29">
        <v>53.312466999999998</v>
      </c>
      <c r="L29">
        <v>41.604298999999997</v>
      </c>
      <c r="M29">
        <v>-622.48122499999999</v>
      </c>
      <c r="N29">
        <v>1.6064259999999999</v>
      </c>
      <c r="O29">
        <v>3.326597</v>
      </c>
      <c r="P29">
        <f t="shared" si="0"/>
        <v>2.6773766666666668E-5</v>
      </c>
      <c r="Q29" cm="1">
        <f t="array" ref="Q29">[1]!PropsSI("D","T",J29+273.15,"P",101325,"Water")</f>
        <v>984.65358702700621</v>
      </c>
      <c r="R29" cm="1">
        <f t="array" ref="R29">[1]!PropsSI("D","T",K29+273.15,"P",101325,"Water")</f>
        <v>986.50128725716115</v>
      </c>
      <c r="S29">
        <f t="shared" si="1"/>
        <v>985.57743714208368</v>
      </c>
      <c r="T29" cm="1">
        <f t="array" ref="T29">[1]!PropsSI("H","T",J29+273.15,"P",101325,"Water")</f>
        <v>239190.71335387742</v>
      </c>
      <c r="U29" cm="1">
        <f t="array" ref="U29">[1]!PropsSI("H","T",K29+273.15,"P",101325,"Water")</f>
        <v>223270.70062316605</v>
      </c>
      <c r="V29">
        <f t="shared" si="2"/>
        <v>420.0912516500361</v>
      </c>
      <c r="X29">
        <f t="shared" si="3"/>
        <v>0.26423662199999998</v>
      </c>
      <c r="Y29">
        <f t="shared" si="3"/>
        <v>0.25662493399999997</v>
      </c>
      <c r="Z29">
        <f t="shared" si="9"/>
        <v>0.3683440635553602</v>
      </c>
      <c r="AA29">
        <f t="shared" si="8"/>
        <v>3.8058440000000004</v>
      </c>
      <c r="AB29">
        <f t="shared" si="5"/>
        <v>9.729904886597876E-2</v>
      </c>
      <c r="AC29">
        <f t="shared" si="6"/>
        <v>40.874479222467045</v>
      </c>
    </row>
    <row r="30" spans="1:29" x14ac:dyDescent="0.2">
      <c r="A30">
        <v>46137.043301342594</v>
      </c>
      <c r="B30">
        <v>18.235482999999999</v>
      </c>
      <c r="C30">
        <v>18.330804000000001</v>
      </c>
      <c r="D30">
        <v>19.113095999999999</v>
      </c>
      <c r="E30">
        <v>19.291661000000001</v>
      </c>
      <c r="F30">
        <v>39.612625999999999</v>
      </c>
      <c r="G30">
        <v>38.065286999999998</v>
      </c>
      <c r="H30">
        <v>34.588493</v>
      </c>
      <c r="I30">
        <v>30.288979000000001</v>
      </c>
      <c r="J30">
        <v>57.109394999999999</v>
      </c>
      <c r="K30">
        <v>53.302765999999998</v>
      </c>
      <c r="L30">
        <v>36.222119999999997</v>
      </c>
      <c r="M30">
        <v>-622.48612300000002</v>
      </c>
      <c r="N30">
        <v>1.6035779999999999</v>
      </c>
      <c r="O30">
        <v>3.2259250000000002</v>
      </c>
      <c r="P30">
        <f t="shared" si="0"/>
        <v>2.6726300000000002E-5</v>
      </c>
      <c r="Q30" cm="1">
        <f t="array" ref="Q30">[1]!PropsSI("D","T",J30+273.15,"P",101325,"Water")</f>
        <v>984.65801983208905</v>
      </c>
      <c r="R30" cm="1">
        <f t="array" ref="R30">[1]!PropsSI("D","T",K30+273.15,"P",101325,"Water")</f>
        <v>986.50588157801917</v>
      </c>
      <c r="S30">
        <f t="shared" si="1"/>
        <v>985.58195070505417</v>
      </c>
      <c r="T30" cm="1">
        <f t="array" ref="T30">[1]!PropsSI("H","T",J30+273.15,"P",101325,"Water")</f>
        <v>239153.41099416348</v>
      </c>
      <c r="U30" cm="1">
        <f t="array" ref="U30">[1]!PropsSI("H","T",K30+273.15,"P",101325,"Water")</f>
        <v>223230.12748828178</v>
      </c>
      <c r="V30">
        <f t="shared" si="2"/>
        <v>419.43455620836767</v>
      </c>
      <c r="X30">
        <f t="shared" si="3"/>
        <v>0.26421878999999998</v>
      </c>
      <c r="Y30">
        <f t="shared" si="3"/>
        <v>0.25660553200000003</v>
      </c>
      <c r="Z30">
        <f t="shared" si="9"/>
        <v>0.36831775417710605</v>
      </c>
      <c r="AA30">
        <f t="shared" si="8"/>
        <v>3.8066290000000009</v>
      </c>
      <c r="AB30">
        <f t="shared" si="5"/>
        <v>9.7272321052230132E-2</v>
      </c>
      <c r="AC30">
        <f t="shared" si="6"/>
        <v>40.799372811900007</v>
      </c>
    </row>
    <row r="31" spans="1:29" x14ac:dyDescent="0.2">
      <c r="A31">
        <v>46137.043336643517</v>
      </c>
      <c r="B31">
        <v>18.273509000000001</v>
      </c>
      <c r="C31">
        <v>18.308308</v>
      </c>
      <c r="D31">
        <v>19.089416</v>
      </c>
      <c r="E31">
        <v>19.296026999999999</v>
      </c>
      <c r="F31">
        <v>39.230629999999998</v>
      </c>
      <c r="G31">
        <v>36.021079</v>
      </c>
      <c r="H31">
        <v>34.201309000000002</v>
      </c>
      <c r="I31">
        <v>30.670407000000001</v>
      </c>
      <c r="J31">
        <v>57.099204999999998</v>
      </c>
      <c r="K31">
        <v>53.290042</v>
      </c>
      <c r="L31">
        <v>46.062443000000002</v>
      </c>
      <c r="M31">
        <v>-622.5</v>
      </c>
      <c r="N31">
        <v>1.603426</v>
      </c>
      <c r="O31">
        <v>3.3949009999999999</v>
      </c>
      <c r="P31">
        <f t="shared" si="0"/>
        <v>2.6723766666666666E-5</v>
      </c>
      <c r="Q31" cm="1">
        <f t="array" ref="Q31">[1]!PropsSI("D","T",J31+273.15,"P",101325,"Water")</f>
        <v>984.66308544570813</v>
      </c>
      <c r="R31" cm="1">
        <f t="array" ref="R31">[1]!PropsSI("D","T",K31+273.15,"P",101325,"Water")</f>
        <v>986.51190666711921</v>
      </c>
      <c r="S31">
        <f t="shared" si="1"/>
        <v>985.58749605641367</v>
      </c>
      <c r="T31" cm="1">
        <f t="array" ref="T31">[1]!PropsSI("H","T",J31+273.15,"P",101325,"Water")</f>
        <v>239110.77856886745</v>
      </c>
      <c r="U31" cm="1">
        <f t="array" ref="U31">[1]!PropsSI("H","T",K31+273.15,"P",101325,"Water")</f>
        <v>223176.91110821624</v>
      </c>
      <c r="V31">
        <f t="shared" si="2"/>
        <v>419.67592520678284</v>
      </c>
      <c r="X31">
        <f t="shared" si="3"/>
        <v>0.26419840999999999</v>
      </c>
      <c r="Y31">
        <f t="shared" si="3"/>
        <v>0.25658008399999999</v>
      </c>
      <c r="Z31">
        <f t="shared" si="9"/>
        <v>0.36828540475014099</v>
      </c>
      <c r="AA31">
        <f t="shared" si="8"/>
        <v>3.8091629999999981</v>
      </c>
      <c r="AB31">
        <f t="shared" si="5"/>
        <v>9.7199848456051757E-2</v>
      </c>
      <c r="AC31">
        <f t="shared" si="6"/>
        <v>40.792436330752601</v>
      </c>
    </row>
    <row r="32" spans="1:29" x14ac:dyDescent="0.2">
      <c r="A32">
        <v>46137.043371944441</v>
      </c>
      <c r="B32">
        <v>18.416354999999999</v>
      </c>
      <c r="C32">
        <v>18.368634</v>
      </c>
      <c r="D32">
        <v>19.144124999999999</v>
      </c>
      <c r="E32">
        <v>19.335815</v>
      </c>
      <c r="F32">
        <v>39.411129000000003</v>
      </c>
      <c r="G32">
        <v>39.018473</v>
      </c>
      <c r="H32">
        <v>33.963566999999998</v>
      </c>
      <c r="I32">
        <v>30.106954999999999</v>
      </c>
      <c r="J32">
        <v>57.091881999999998</v>
      </c>
      <c r="K32">
        <v>53.281931</v>
      </c>
      <c r="L32">
        <v>40.622715999999997</v>
      </c>
      <c r="M32">
        <v>-622.50530600000002</v>
      </c>
      <c r="N32">
        <v>1.6043810000000001</v>
      </c>
      <c r="O32">
        <v>3.0159539999999998</v>
      </c>
      <c r="P32">
        <f t="shared" si="0"/>
        <v>2.6739683333333334E-5</v>
      </c>
      <c r="Q32" cm="1">
        <f t="array" ref="Q32">[1]!PropsSI("D","T",J32+273.15,"P",101325,"Water")</f>
        <v>984.66672543773075</v>
      </c>
      <c r="R32" cm="1">
        <f t="array" ref="R32">[1]!PropsSI("D","T",K32+273.15,"P",101325,"Water")</f>
        <v>986.51574686681727</v>
      </c>
      <c r="S32">
        <f t="shared" si="1"/>
        <v>985.59123615227395</v>
      </c>
      <c r="T32" cm="1">
        <f t="array" ref="T32">[1]!PropsSI("H","T",J32+273.15,"P",101325,"Water")</f>
        <v>239080.14098364275</v>
      </c>
      <c r="U32" cm="1">
        <f t="array" ref="U32">[1]!PropsSI("H","T",K32+273.15,"P",101325,"Water")</f>
        <v>223142.98799451246</v>
      </c>
      <c r="V32">
        <f t="shared" si="2"/>
        <v>420.01406570378475</v>
      </c>
      <c r="X32">
        <f t="shared" si="3"/>
        <v>0.26418376399999999</v>
      </c>
      <c r="Y32">
        <f t="shared" si="3"/>
        <v>0.25656386200000003</v>
      </c>
      <c r="Z32">
        <f t="shared" si="9"/>
        <v>0.36826359641642931</v>
      </c>
      <c r="AA32">
        <f t="shared" si="8"/>
        <v>3.8099509999999981</v>
      </c>
      <c r="AB32">
        <f t="shared" si="5"/>
        <v>9.7174264070742269E-2</v>
      </c>
      <c r="AC32">
        <f t="shared" si="6"/>
        <v>40.814557734125671</v>
      </c>
    </row>
    <row r="33" spans="1:29" x14ac:dyDescent="0.2">
      <c r="A33">
        <v>46137.043407245372</v>
      </c>
      <c r="B33">
        <v>18.334952000000001</v>
      </c>
      <c r="C33">
        <v>18.362212</v>
      </c>
      <c r="D33">
        <v>19.137639</v>
      </c>
      <c r="E33">
        <v>19.336758</v>
      </c>
      <c r="F33">
        <v>39.141579</v>
      </c>
      <c r="G33">
        <v>36.943866</v>
      </c>
      <c r="H33">
        <v>34.369644999999998</v>
      </c>
      <c r="I33">
        <v>31.125183</v>
      </c>
      <c r="J33">
        <v>57.082965999999999</v>
      </c>
      <c r="K33">
        <v>53.276046999999998</v>
      </c>
      <c r="L33">
        <v>39.333392000000003</v>
      </c>
      <c r="M33">
        <v>-622.49959200000001</v>
      </c>
      <c r="N33">
        <v>1.6042050000000001</v>
      </c>
      <c r="O33">
        <v>3.7982990000000001</v>
      </c>
      <c r="P33">
        <f t="shared" si="0"/>
        <v>2.6736750000000001E-5</v>
      </c>
      <c r="Q33" cm="1">
        <f t="array" ref="Q33">[1]!PropsSI("D","T",J33+273.15,"P",101325,"Water")</f>
        <v>984.67115681115786</v>
      </c>
      <c r="R33" cm="1">
        <f t="array" ref="R33">[1]!PropsSI("D","T",K33+273.15,"P",101325,"Water")</f>
        <v>986.51853242017501</v>
      </c>
      <c r="S33">
        <f t="shared" si="1"/>
        <v>985.59484461566649</v>
      </c>
      <c r="T33" cm="1">
        <f t="array" ref="T33">[1]!PropsSI("H","T",J33+273.15,"P",101325,"Water")</f>
        <v>239042.83871662922</v>
      </c>
      <c r="U33" cm="1">
        <f t="array" ref="U33">[1]!PropsSI("H","T",K33+273.15,"P",101325,"Water")</f>
        <v>223118.37900818154</v>
      </c>
      <c r="V33">
        <f t="shared" si="2"/>
        <v>419.63503961784318</v>
      </c>
      <c r="X33">
        <f t="shared" si="3"/>
        <v>0.26416593199999999</v>
      </c>
      <c r="Y33">
        <f t="shared" si="3"/>
        <v>0.25655209400000001</v>
      </c>
      <c r="Z33">
        <f t="shared" si="9"/>
        <v>0.36824260558117583</v>
      </c>
      <c r="AA33">
        <f t="shared" si="8"/>
        <v>3.8069190000000006</v>
      </c>
      <c r="AB33">
        <f t="shared" si="5"/>
        <v>9.7245354069555173E-2</v>
      </c>
      <c r="AC33">
        <f t="shared" si="6"/>
        <v>40.80755800762897</v>
      </c>
    </row>
    <row r="34" spans="1:29" x14ac:dyDescent="0.2">
      <c r="A34">
        <v>46137.043441967595</v>
      </c>
      <c r="B34">
        <v>18.373640000000002</v>
      </c>
      <c r="C34">
        <v>18.273330000000001</v>
      </c>
      <c r="D34">
        <v>19.199363000000002</v>
      </c>
      <c r="E34">
        <v>19.372997000000002</v>
      </c>
      <c r="F34">
        <v>39.585236000000002</v>
      </c>
      <c r="G34">
        <v>36.546869000000001</v>
      </c>
      <c r="H34">
        <v>34.571143999999997</v>
      </c>
      <c r="I34">
        <v>31.181615000000001</v>
      </c>
      <c r="J34">
        <v>57.071821</v>
      </c>
      <c r="K34">
        <v>53.265391000000001</v>
      </c>
      <c r="L34">
        <v>40.634143999999999</v>
      </c>
      <c r="M34">
        <v>-622.50408100000004</v>
      </c>
      <c r="N34">
        <v>1.6032869999999999</v>
      </c>
      <c r="O34">
        <v>3.3627379999999998</v>
      </c>
      <c r="P34">
        <f t="shared" si="0"/>
        <v>2.6721449999999998E-5</v>
      </c>
      <c r="Q34" cm="1">
        <f t="array" ref="Q34">[1]!PropsSI("D","T",J34+273.15,"P",101325,"Water")</f>
        <v>984.67669534863603</v>
      </c>
      <c r="R34" cm="1">
        <f t="array" ref="R34">[1]!PropsSI("D","T",K34+273.15,"P",101325,"Water")</f>
        <v>986.52357653608033</v>
      </c>
      <c r="S34">
        <f t="shared" si="1"/>
        <v>985.60013594235818</v>
      </c>
      <c r="T34" cm="1">
        <f t="array" ref="T34">[1]!PropsSI("H","T",J34+273.15,"P",101325,"Water")</f>
        <v>238996.21092683051</v>
      </c>
      <c r="U34" cm="1">
        <f t="array" ref="U34">[1]!PropsSI("H","T",K34+273.15,"P",101325,"Water")</f>
        <v>223073.81184540485</v>
      </c>
      <c r="V34">
        <f t="shared" si="2"/>
        <v>419.34288666424618</v>
      </c>
      <c r="X34">
        <f t="shared" si="3"/>
        <v>0.26414364200000001</v>
      </c>
      <c r="Y34">
        <f t="shared" si="3"/>
        <v>0.25653078200000001</v>
      </c>
      <c r="Z34">
        <f t="shared" si="9"/>
        <v>0.36821176749603712</v>
      </c>
      <c r="AA34">
        <f t="shared" si="8"/>
        <v>3.8064299999999989</v>
      </c>
      <c r="AB34">
        <f t="shared" si="5"/>
        <v>9.7249656139474908E-2</v>
      </c>
      <c r="AC34">
        <f t="shared" si="6"/>
        <v>40.780951532632741</v>
      </c>
    </row>
    <row r="35" spans="1:29" x14ac:dyDescent="0.2">
      <c r="A35">
        <v>46137.043477268518</v>
      </c>
      <c r="B35">
        <v>18.371739000000002</v>
      </c>
      <c r="C35">
        <v>18.251018999999999</v>
      </c>
      <c r="D35">
        <v>19.199086999999999</v>
      </c>
      <c r="E35">
        <v>19.385771999999999</v>
      </c>
      <c r="F35">
        <v>39.068859000000003</v>
      </c>
      <c r="G35">
        <v>37.231699999999996</v>
      </c>
      <c r="H35">
        <v>33.726694999999999</v>
      </c>
      <c r="I35">
        <v>30.827687000000001</v>
      </c>
      <c r="J35">
        <v>57.061790000000002</v>
      </c>
      <c r="K35">
        <v>53.254418000000001</v>
      </c>
      <c r="L35">
        <v>49.937351</v>
      </c>
      <c r="M35">
        <v>-622.49061300000005</v>
      </c>
      <c r="N35">
        <v>1.603799</v>
      </c>
      <c r="O35">
        <v>3.6923029999999999</v>
      </c>
      <c r="P35">
        <f t="shared" si="0"/>
        <v>2.6729983333333333E-5</v>
      </c>
      <c r="Q35" cm="1">
        <f t="array" ref="Q35">[1]!PropsSI("D","T",J35+273.15,"P",101325,"Water")</f>
        <v>984.68167963535836</v>
      </c>
      <c r="R35" cm="1">
        <f t="array" ref="R35">[1]!PropsSI("D","T",K35+273.15,"P",101325,"Water")</f>
        <v>986.52876995637996</v>
      </c>
      <c r="S35">
        <f t="shared" si="1"/>
        <v>985.60522479586916</v>
      </c>
      <c r="T35" cm="1">
        <f t="array" ref="T35">[1]!PropsSI("H","T",J35+273.15,"P",101325,"Water")</f>
        <v>238954.24386588146</v>
      </c>
      <c r="U35" cm="1">
        <f t="array" ref="U35">[1]!PropsSI("H","T",K35+273.15,"P",101325,"Water")</f>
        <v>223027.91891631079</v>
      </c>
      <c r="V35">
        <f t="shared" si="2"/>
        <v>419.58239494654549</v>
      </c>
      <c r="X35">
        <f t="shared" si="3"/>
        <v>0.26412358000000002</v>
      </c>
      <c r="Y35">
        <f t="shared" si="3"/>
        <v>0.25650883600000002</v>
      </c>
      <c r="Z35">
        <f t="shared" si="9"/>
        <v>0.36818208600920732</v>
      </c>
      <c r="AA35">
        <f t="shared" si="8"/>
        <v>3.8073720000000009</v>
      </c>
      <c r="AB35">
        <f t="shared" si="5"/>
        <v>9.7218095137276375E-2</v>
      </c>
      <c r="AC35">
        <f t="shared" si="6"/>
        <v>40.791001189839527</v>
      </c>
    </row>
    <row r="36" spans="1:29" x14ac:dyDescent="0.2">
      <c r="A36">
        <v>46137.043511990742</v>
      </c>
      <c r="B36">
        <v>18.387941000000001</v>
      </c>
      <c r="C36">
        <v>18.149231</v>
      </c>
      <c r="D36">
        <v>19.188912999999999</v>
      </c>
      <c r="E36">
        <v>19.378153999999999</v>
      </c>
      <c r="F36">
        <v>39.241798000000003</v>
      </c>
      <c r="G36">
        <v>39.148797999999999</v>
      </c>
      <c r="H36">
        <v>34.610430999999998</v>
      </c>
      <c r="I36">
        <v>29.856055999999999</v>
      </c>
      <c r="J36">
        <v>57.055103000000003</v>
      </c>
      <c r="K36">
        <v>53.242331</v>
      </c>
      <c r="L36">
        <v>46.408956000000003</v>
      </c>
      <c r="M36">
        <v>-622.50693799999999</v>
      </c>
      <c r="N36">
        <v>1.6054790000000001</v>
      </c>
      <c r="O36">
        <v>3.4381330000000001</v>
      </c>
      <c r="P36">
        <f t="shared" si="0"/>
        <v>2.6757983333333337E-5</v>
      </c>
      <c r="Q36" cm="1">
        <f t="array" ref="Q36">[1]!PropsSI("D","T",J36+273.15,"P",101325,"Water")</f>
        <v>984.68500198781976</v>
      </c>
      <c r="R36" cm="1">
        <f t="array" ref="R36">[1]!PropsSI("D","T",K36+273.15,"P",101325,"Water")</f>
        <v>986.53448974127878</v>
      </c>
      <c r="S36">
        <f t="shared" si="1"/>
        <v>985.60974586454927</v>
      </c>
      <c r="T36" cm="1">
        <f t="array" ref="T36">[1]!PropsSI("H","T",J36+273.15,"P",101325,"Water")</f>
        <v>238926.26724180431</v>
      </c>
      <c r="U36" cm="1">
        <f t="array" ref="U36">[1]!PropsSI("H","T",K36+273.15,"P",101325,"Water")</f>
        <v>222977.36689568323</v>
      </c>
      <c r="V36">
        <f t="shared" si="2"/>
        <v>420.61921889673994</v>
      </c>
      <c r="X36">
        <f t="shared" si="3"/>
        <v>0.26411020600000001</v>
      </c>
      <c r="Y36">
        <f t="shared" si="3"/>
        <v>0.25648466199999997</v>
      </c>
      <c r="Z36">
        <f t="shared" si="9"/>
        <v>0.36815565017342416</v>
      </c>
      <c r="AA36">
        <f t="shared" si="8"/>
        <v>3.8127720000000025</v>
      </c>
      <c r="AB36">
        <f t="shared" si="5"/>
        <v>9.7074967118624789E-2</v>
      </c>
      <c r="AC36">
        <f t="shared" si="6"/>
        <v>40.83159684386267</v>
      </c>
    </row>
    <row r="37" spans="1:29" x14ac:dyDescent="0.2">
      <c r="A37">
        <v>46137.043547291665</v>
      </c>
      <c r="B37">
        <v>18.307262000000001</v>
      </c>
      <c r="C37">
        <v>18.250425</v>
      </c>
      <c r="D37">
        <v>19.195855000000002</v>
      </c>
      <c r="E37">
        <v>19.401603999999999</v>
      </c>
      <c r="F37">
        <v>39.568129999999996</v>
      </c>
      <c r="G37">
        <v>38.101911999999999</v>
      </c>
      <c r="H37">
        <v>34.320281000000001</v>
      </c>
      <c r="I37">
        <v>30.364640000000001</v>
      </c>
      <c r="J37">
        <v>57.047460999999998</v>
      </c>
      <c r="K37">
        <v>53.231993000000003</v>
      </c>
      <c r="L37">
        <v>46.895462999999999</v>
      </c>
      <c r="M37">
        <v>-622.49918400000001</v>
      </c>
      <c r="N37">
        <v>1.6074379999999999</v>
      </c>
      <c r="O37">
        <v>3.8672390000000001</v>
      </c>
      <c r="P37">
        <f t="shared" si="0"/>
        <v>2.6790633333333331E-5</v>
      </c>
      <c r="Q37" cm="1">
        <f t="array" ref="Q37">[1]!PropsSI("D","T",J37+273.15,"P",101325,"Water")</f>
        <v>984.68879848731922</v>
      </c>
      <c r="R37" cm="1">
        <f t="array" ref="R37">[1]!PropsSI("D","T",K37+273.15,"P",101325,"Water")</f>
        <v>986.53938113482218</v>
      </c>
      <c r="S37">
        <f t="shared" si="1"/>
        <v>985.6140898110707</v>
      </c>
      <c r="T37" cm="1">
        <f t="array" ref="T37">[1]!PropsSI("H","T",J37+273.15,"P",101325,"Water")</f>
        <v>238894.29517396371</v>
      </c>
      <c r="U37" cm="1">
        <f t="array" ref="U37">[1]!PropsSI("H","T",K37+273.15,"P",101325,"Water")</f>
        <v>222934.12983766969</v>
      </c>
      <c r="V37">
        <f t="shared" si="2"/>
        <v>421.43176772735347</v>
      </c>
      <c r="X37">
        <f t="shared" si="3"/>
        <v>0.26409492200000001</v>
      </c>
      <c r="Y37">
        <f t="shared" si="3"/>
        <v>0.25646398599999998</v>
      </c>
      <c r="Z37">
        <f t="shared" si="9"/>
        <v>0.3681302812065238</v>
      </c>
      <c r="AA37">
        <f t="shared" si="8"/>
        <v>3.8154679999999956</v>
      </c>
      <c r="AB37">
        <f t="shared" si="5"/>
        <v>9.7000488782021083E-2</v>
      </c>
      <c r="AC37">
        <f t="shared" si="6"/>
        <v>40.879087457824468</v>
      </c>
    </row>
    <row r="38" spans="1:29" x14ac:dyDescent="0.2">
      <c r="A38">
        <v>44675.043582594903</v>
      </c>
      <c r="B38">
        <v>18.280557000000002</v>
      </c>
      <c r="C38">
        <v>18.345326</v>
      </c>
      <c r="D38">
        <v>19.230671000000001</v>
      </c>
      <c r="E38">
        <v>19.446681999999999</v>
      </c>
      <c r="F38">
        <v>39.267581</v>
      </c>
      <c r="G38">
        <v>36.994965000000001</v>
      </c>
      <c r="H38">
        <v>34.469783</v>
      </c>
      <c r="I38">
        <v>30.337405</v>
      </c>
      <c r="J38">
        <v>57.041252</v>
      </c>
      <c r="K38">
        <v>53.224995999999997</v>
      </c>
      <c r="L38">
        <v>40.609654999999997</v>
      </c>
      <c r="M38">
        <v>-622.49183700000003</v>
      </c>
      <c r="N38">
        <v>1.60561</v>
      </c>
      <c r="O38">
        <v>3.4617830000000001</v>
      </c>
      <c r="P38">
        <f t="shared" si="0"/>
        <v>2.6760166666666665E-5</v>
      </c>
      <c r="Q38" cm="1">
        <f t="array" ref="Q38">[1]!PropsSI("D","T",J38+273.15,"P",101325,"Water")</f>
        <v>984.69188281963829</v>
      </c>
      <c r="R38" cm="1">
        <f t="array" ref="R38">[1]!PropsSI("D","T",K38+273.15,"P",101325,"Water")</f>
        <v>986.5426913606392</v>
      </c>
      <c r="S38">
        <f t="shared" si="1"/>
        <v>985.61728709013869</v>
      </c>
      <c r="T38" cm="1">
        <f t="array" ref="T38">[1]!PropsSI("H","T",J38+273.15,"P",101325,"Water")</f>
        <v>238868.31840875099</v>
      </c>
      <c r="U38" cm="1">
        <f t="array" ref="U38">[1]!PropsSI("H","T",K38+273.15,"P",101325,"Water")</f>
        <v>222904.86600666551</v>
      </c>
      <c r="V38">
        <f t="shared" si="2"/>
        <v>421.04057271998863</v>
      </c>
      <c r="X38">
        <f t="shared" si="3"/>
        <v>0.264082504</v>
      </c>
      <c r="Y38">
        <f t="shared" si="3"/>
        <v>0.25644999199999996</v>
      </c>
      <c r="Z38">
        <f t="shared" si="9"/>
        <v>0.36811162344553872</v>
      </c>
      <c r="AA38">
        <f t="shared" si="8"/>
        <v>3.8162560000000028</v>
      </c>
      <c r="AB38">
        <f t="shared" si="5"/>
        <v>9.6975809557659873E-2</v>
      </c>
      <c r="AC38">
        <f t="shared" si="6"/>
        <v>40.83075039614166</v>
      </c>
    </row>
    <row r="39" spans="1:29" x14ac:dyDescent="0.2">
      <c r="A39">
        <v>44675.043617317198</v>
      </c>
      <c r="B39">
        <v>18.238949999999999</v>
      </c>
      <c r="C39">
        <v>18.384799000000001</v>
      </c>
      <c r="D39">
        <v>19.224350000000001</v>
      </c>
      <c r="E39">
        <v>19.408389</v>
      </c>
      <c r="F39">
        <v>39.534463000000002</v>
      </c>
      <c r="G39">
        <v>37.004505000000002</v>
      </c>
      <c r="H39">
        <v>34.505504000000002</v>
      </c>
      <c r="I39">
        <v>30.373695000000001</v>
      </c>
      <c r="J39">
        <v>57.033768999999999</v>
      </c>
      <c r="K39">
        <v>53.217998000000001</v>
      </c>
      <c r="L39">
        <v>34.964630999999997</v>
      </c>
      <c r="M39">
        <v>-622.49061300000005</v>
      </c>
      <c r="N39">
        <v>1.604069</v>
      </c>
      <c r="O39">
        <v>3.1752340000000001</v>
      </c>
      <c r="P39">
        <f t="shared" si="0"/>
        <v>2.6734483333333333E-5</v>
      </c>
      <c r="Q39" cm="1">
        <f t="array" ref="Q39">[1]!PropsSI("D","T",J39+273.15,"P",101325,"Water")</f>
        <v>984.69559970242824</v>
      </c>
      <c r="R39" cm="1">
        <f t="array" ref="R39">[1]!PropsSI("D","T",K39+273.15,"P",101325,"Water")</f>
        <v>986.54600174973405</v>
      </c>
      <c r="S39">
        <f t="shared" si="1"/>
        <v>985.62080072608114</v>
      </c>
      <c r="T39" cm="1">
        <f t="array" ref="T39">[1]!PropsSI("H","T",J39+273.15,"P",101325,"Water")</f>
        <v>238837.01159450476</v>
      </c>
      <c r="U39" cm="1">
        <f t="array" ref="U39">[1]!PropsSI("H","T",K39+273.15,"P",101325,"Water")</f>
        <v>222875.59800965842</v>
      </c>
      <c r="V39">
        <f t="shared" si="2"/>
        <v>420.58425145474217</v>
      </c>
      <c r="X39">
        <f t="shared" si="3"/>
        <v>0.26406753799999999</v>
      </c>
      <c r="Y39">
        <f t="shared" si="3"/>
        <v>0.256435996</v>
      </c>
      <c r="Z39">
        <f t="shared" si="9"/>
        <v>0.36809113636420732</v>
      </c>
      <c r="AA39">
        <f t="shared" si="8"/>
        <v>3.815770999999998</v>
      </c>
      <c r="AB39">
        <f t="shared" si="5"/>
        <v>9.6982664079732703E-2</v>
      </c>
      <c r="AC39">
        <f t="shared" si="6"/>
        <v>40.789381176061092</v>
      </c>
    </row>
    <row r="40" spans="1:29" x14ac:dyDescent="0.2">
      <c r="A40">
        <v>44675.0436526181</v>
      </c>
      <c r="B40">
        <v>18.312973</v>
      </c>
      <c r="C40">
        <v>18.370919000000001</v>
      </c>
      <c r="D40">
        <v>19.216315000000002</v>
      </c>
      <c r="E40">
        <v>19.380692</v>
      </c>
      <c r="F40">
        <v>39.331066999999997</v>
      </c>
      <c r="G40">
        <v>37.335594999999998</v>
      </c>
      <c r="H40">
        <v>34.720854000000003</v>
      </c>
      <c r="I40">
        <v>30.970882</v>
      </c>
      <c r="J40">
        <v>57.027718999999998</v>
      </c>
      <c r="K40">
        <v>53.21434</v>
      </c>
      <c r="L40">
        <v>46.668942999999999</v>
      </c>
      <c r="M40">
        <v>-622.48122499999999</v>
      </c>
      <c r="N40">
        <v>1.604795</v>
      </c>
      <c r="O40">
        <v>3.536721</v>
      </c>
      <c r="P40">
        <f t="shared" si="0"/>
        <v>2.6746583333333332E-5</v>
      </c>
      <c r="Q40" cm="1">
        <f t="array" ref="Q40">[1]!PropsSI("D","T",J40+273.15,"P",101325,"Water")</f>
        <v>984.69860455057585</v>
      </c>
      <c r="R40" cm="1">
        <f t="array" ref="R40">[1]!PropsSI("D","T",K40+273.15,"P",101325,"Water")</f>
        <v>986.5477320355825</v>
      </c>
      <c r="S40">
        <f t="shared" si="1"/>
        <v>985.62316829307917</v>
      </c>
      <c r="T40" cm="1">
        <f t="array" ref="T40">[1]!PropsSI("H","T",J40+273.15,"P",101325,"Water")</f>
        <v>238811.70007426676</v>
      </c>
      <c r="U40" cm="1">
        <f t="array" ref="U40">[1]!PropsSI("H","T",K40+273.15,"P",101325,"Water")</f>
        <v>222860.29902604988</v>
      </c>
      <c r="V40">
        <f t="shared" si="2"/>
        <v>420.51166719217366</v>
      </c>
      <c r="X40">
        <f t="shared" si="3"/>
        <v>0.26405543799999998</v>
      </c>
      <c r="Y40">
        <f t="shared" si="3"/>
        <v>0.25642867999999996</v>
      </c>
      <c r="Z40">
        <f t="shared" si="9"/>
        <v>0.36807735907539085</v>
      </c>
      <c r="AA40">
        <f t="shared" si="8"/>
        <v>3.8133789999999976</v>
      </c>
      <c r="AB40">
        <f t="shared" si="5"/>
        <v>9.7039257703127796E-2</v>
      </c>
      <c r="AC40">
        <f t="shared" si="6"/>
        <v>40.806140039833252</v>
      </c>
    </row>
    <row r="41" spans="1:29" x14ac:dyDescent="0.2">
      <c r="A41">
        <v>44675.043687340301</v>
      </c>
      <c r="B41">
        <v>18.310213999999998</v>
      </c>
      <c r="C41">
        <v>18.437539999999998</v>
      </c>
      <c r="D41">
        <v>19.230713999999999</v>
      </c>
      <c r="E41">
        <v>19.416751000000001</v>
      </c>
      <c r="F41">
        <v>39.428044</v>
      </c>
      <c r="G41">
        <v>38.078915000000002</v>
      </c>
      <c r="H41">
        <v>34.129973999999997</v>
      </c>
      <c r="I41">
        <v>30.207042000000001</v>
      </c>
      <c r="J41">
        <v>57.018962999999999</v>
      </c>
      <c r="K41">
        <v>53.206229</v>
      </c>
      <c r="L41">
        <v>39.337066</v>
      </c>
      <c r="M41">
        <v>-622.48693900000001</v>
      </c>
      <c r="N41">
        <v>1.6049180000000001</v>
      </c>
      <c r="O41">
        <v>3.2083759999999999</v>
      </c>
      <c r="P41">
        <f t="shared" si="0"/>
        <v>2.6748633333333333E-5</v>
      </c>
      <c r="Q41" cm="1">
        <f t="array" ref="Q41">[1]!PropsSI("D","T",J41+273.15,"P",101325,"Water")</f>
        <v>984.70295299118288</v>
      </c>
      <c r="R41" cm="1">
        <f t="array" ref="R41">[1]!PropsSI("D","T",K41+273.15,"P",101325,"Water")</f>
        <v>986.55156835153912</v>
      </c>
      <c r="S41">
        <f t="shared" si="1"/>
        <v>985.627260671361</v>
      </c>
      <c r="T41" cm="1">
        <f t="array" ref="T41">[1]!PropsSI("H","T",J41+273.15,"P",101325,"Water")</f>
        <v>238775.06742683065</v>
      </c>
      <c r="U41" cm="1">
        <f t="array" ref="U41">[1]!PropsSI("H","T",K41+273.15,"P",101325,"Water")</f>
        <v>222826.37611799085</v>
      </c>
      <c r="V41">
        <f t="shared" si="2"/>
        <v>420.47420350243425</v>
      </c>
      <c r="X41">
        <f t="shared" si="3"/>
        <v>0.26403792599999998</v>
      </c>
      <c r="Y41">
        <f t="shared" si="3"/>
        <v>0.25641245800000001</v>
      </c>
      <c r="Z41">
        <f t="shared" si="9"/>
        <v>0.36805349473138177</v>
      </c>
      <c r="AA41">
        <f t="shared" si="8"/>
        <v>3.812733999999999</v>
      </c>
      <c r="AB41">
        <f t="shared" si="5"/>
        <v>9.7049273710306999E-2</v>
      </c>
      <c r="AC41">
        <f t="shared" si="6"/>
        <v>40.806716063831068</v>
      </c>
    </row>
    <row r="42" spans="1:29" x14ac:dyDescent="0.2">
      <c r="A42">
        <v>46137.043722638889</v>
      </c>
      <c r="B42">
        <v>18.389436</v>
      </c>
      <c r="C42">
        <v>18.391511999999999</v>
      </c>
      <c r="D42">
        <v>19.218926</v>
      </c>
      <c r="E42">
        <v>19.407986000000001</v>
      </c>
      <c r="F42">
        <v>39.559286</v>
      </c>
      <c r="G42">
        <v>36.558284999999998</v>
      </c>
      <c r="H42">
        <v>34.443922999999998</v>
      </c>
      <c r="I42">
        <v>30.236592000000002</v>
      </c>
      <c r="J42">
        <v>57.010525000000001</v>
      </c>
      <c r="K42">
        <v>53.191597999999999</v>
      </c>
      <c r="L42">
        <v>40.661081000000003</v>
      </c>
      <c r="M42">
        <v>-622.48285799999996</v>
      </c>
      <c r="N42">
        <v>1.6059909999999999</v>
      </c>
      <c r="O42">
        <v>3.9080560000000002</v>
      </c>
      <c r="P42">
        <f t="shared" si="0"/>
        <v>2.6766516666666665E-5</v>
      </c>
      <c r="Q42" cm="1">
        <f t="array" ref="Q42">[1]!PropsSI("D","T",J42+273.15,"P",101325,"Water")</f>
        <v>984.70714306423906</v>
      </c>
      <c r="R42" cm="1">
        <f t="array" ref="R42">[1]!PropsSI("D","T",K42+273.15,"P",101325,"Water")</f>
        <v>986.55848742434341</v>
      </c>
      <c r="S42">
        <f t="shared" si="1"/>
        <v>985.63281524429124</v>
      </c>
      <c r="T42" cm="1">
        <f t="array" ref="T42">[1]!PropsSI("H","T",J42+273.15,"P",101325,"Water")</f>
        <v>238739.765230594</v>
      </c>
      <c r="U42" cm="1">
        <f t="array" ref="U42">[1]!PropsSI("H","T",K42+273.15,"P",101325,"Water")</f>
        <v>222765.1844501539</v>
      </c>
      <c r="V42">
        <f t="shared" si="2"/>
        <v>421.44070606131038</v>
      </c>
      <c r="X42">
        <f t="shared" si="3"/>
        <v>0.26402104999999998</v>
      </c>
      <c r="Y42">
        <f t="shared" si="3"/>
        <v>0.25638319599999998</v>
      </c>
      <c r="Z42">
        <f t="shared" si="9"/>
        <v>0.36802100216465489</v>
      </c>
      <c r="AA42">
        <f t="shared" si="8"/>
        <v>3.8189270000000022</v>
      </c>
      <c r="AB42">
        <f t="shared" si="5"/>
        <v>9.6885102263368023E-2</v>
      </c>
      <c r="AC42">
        <f t="shared" si="6"/>
        <v>40.831325904696079</v>
      </c>
    </row>
    <row r="43" spans="1:29" x14ac:dyDescent="0.2">
      <c r="A43">
        <v>46137.043757361113</v>
      </c>
      <c r="B43">
        <v>18.388221999999999</v>
      </c>
      <c r="C43">
        <v>18.467047000000001</v>
      </c>
      <c r="D43">
        <v>19.182977999999999</v>
      </c>
      <c r="E43">
        <v>19.369257999999999</v>
      </c>
      <c r="F43">
        <v>39.004829999999998</v>
      </c>
      <c r="G43">
        <v>39.315524000000003</v>
      </c>
      <c r="H43">
        <v>34.170229999999997</v>
      </c>
      <c r="I43">
        <v>30.727546</v>
      </c>
      <c r="J43">
        <v>57.005429999999997</v>
      </c>
      <c r="K43">
        <v>53.182214999999999</v>
      </c>
      <c r="L43">
        <v>42.185493999999998</v>
      </c>
      <c r="M43">
        <v>-622.51346899999999</v>
      </c>
      <c r="N43">
        <v>1.6054299999999999</v>
      </c>
      <c r="O43">
        <v>3.1313409999999999</v>
      </c>
      <c r="P43">
        <f t="shared" si="0"/>
        <v>2.6757166666666665E-5</v>
      </c>
      <c r="Q43" cm="1">
        <f t="array" ref="Q43">[1]!PropsSI("D","T",J43+273.15,"P",101325,"Water")</f>
        <v>984.70967288804252</v>
      </c>
      <c r="R43" cm="1">
        <f t="array" ref="R43">[1]!PropsSI("D","T",K43+273.15,"P",101325,"Water")</f>
        <v>986.56292397874904</v>
      </c>
      <c r="S43">
        <f t="shared" si="1"/>
        <v>985.63629843339572</v>
      </c>
      <c r="T43" cm="1">
        <f t="array" ref="T43">[1]!PropsSI("H","T",J43+273.15,"P",101325,"Water")</f>
        <v>238718.44921068577</v>
      </c>
      <c r="U43" cm="1">
        <f t="array" ref="U43">[1]!PropsSI("H","T",K43+273.15,"P",101325,"Water")</f>
        <v>222725.94168696913</v>
      </c>
      <c r="V43">
        <f t="shared" si="2"/>
        <v>421.76775751979125</v>
      </c>
      <c r="X43">
        <f t="shared" si="3"/>
        <v>0.26401085999999996</v>
      </c>
      <c r="Y43">
        <f t="shared" si="3"/>
        <v>0.25636442999999998</v>
      </c>
      <c r="Z43">
        <f t="shared" si="9"/>
        <v>0.36800061843312776</v>
      </c>
      <c r="AA43">
        <f t="shared" si="8"/>
        <v>3.8232149999999976</v>
      </c>
      <c r="AB43">
        <f t="shared" si="5"/>
        <v>9.6772294164974265E-2</v>
      </c>
      <c r="AC43">
        <f t="shared" si="6"/>
        <v>40.815433500006776</v>
      </c>
    </row>
    <row r="44" spans="1:29" x14ac:dyDescent="0.2">
      <c r="A44">
        <v>46137.043792083336</v>
      </c>
      <c r="B44">
        <v>18.302743</v>
      </c>
      <c r="C44">
        <v>18.489419999999999</v>
      </c>
      <c r="D44">
        <v>19.197918000000001</v>
      </c>
      <c r="E44">
        <v>19.373712999999999</v>
      </c>
      <c r="F44">
        <v>39.702396</v>
      </c>
      <c r="G44">
        <v>37.899206999999997</v>
      </c>
      <c r="H44">
        <v>33.750539000000003</v>
      </c>
      <c r="I44">
        <v>30.724028000000001</v>
      </c>
      <c r="J44">
        <v>56.999538999999999</v>
      </c>
      <c r="K44">
        <v>53.17315</v>
      </c>
      <c r="L44">
        <v>43.077694999999999</v>
      </c>
      <c r="M44">
        <v>-622.50530600000002</v>
      </c>
      <c r="N44">
        <v>1.6029629999999999</v>
      </c>
      <c r="O44">
        <v>3.6072109999999999</v>
      </c>
      <c r="P44">
        <f t="shared" si="0"/>
        <v>2.671605E-5</v>
      </c>
      <c r="Q44" cm="1">
        <f t="array" ref="Q44">[1]!PropsSI("D","T",J44+273.15,"P",101325,"Water")</f>
        <v>984.71259775347369</v>
      </c>
      <c r="R44" cm="1">
        <f t="array" ref="R44">[1]!PropsSI("D","T",K44+273.15,"P",101325,"Water")</f>
        <v>986.56720964431759</v>
      </c>
      <c r="S44">
        <f t="shared" si="1"/>
        <v>985.63990369889564</v>
      </c>
      <c r="T44" cm="1">
        <f t="array" ref="T44">[1]!PropsSI("H","T",J44+273.15,"P",101325,"Water")</f>
        <v>238693.80296761912</v>
      </c>
      <c r="U44" cm="1">
        <f t="array" ref="U44">[1]!PropsSI("H","T",K44+273.15,"P",101325,"Water")</f>
        <v>222688.0289312907</v>
      </c>
      <c r="V44">
        <f t="shared" si="2"/>
        <v>421.47052345022962</v>
      </c>
      <c r="X44">
        <f t="shared" si="3"/>
        <v>0.263999078</v>
      </c>
      <c r="Y44">
        <f t="shared" si="3"/>
        <v>0.25634630000000003</v>
      </c>
      <c r="Z44">
        <f t="shared" si="9"/>
        <v>0.36797953571977354</v>
      </c>
      <c r="AA44">
        <f t="shared" si="8"/>
        <v>3.8263889999999989</v>
      </c>
      <c r="AB44">
        <f t="shared" si="5"/>
        <v>9.6687398534507293E-2</v>
      </c>
      <c r="AC44">
        <f t="shared" si="6"/>
        <v>40.750888471379753</v>
      </c>
    </row>
    <row r="45" spans="1:29" x14ac:dyDescent="0.2">
      <c r="A45">
        <v>46137.043827384259</v>
      </c>
      <c r="B45">
        <v>18.349810000000002</v>
      </c>
      <c r="C45">
        <v>18.550273000000001</v>
      </c>
      <c r="D45">
        <v>19.184000000000001</v>
      </c>
      <c r="E45">
        <v>19.372949999999999</v>
      </c>
      <c r="F45">
        <v>39.798336999999997</v>
      </c>
      <c r="G45">
        <v>37.093375000000002</v>
      </c>
      <c r="H45">
        <v>33.687668000000002</v>
      </c>
      <c r="I45">
        <v>30.546192000000001</v>
      </c>
      <c r="J45">
        <v>56.994922000000003</v>
      </c>
      <c r="K45">
        <v>53.164721</v>
      </c>
      <c r="L45">
        <v>43.068716000000002</v>
      </c>
      <c r="M45">
        <v>-622.52408000000003</v>
      </c>
      <c r="N45">
        <v>1.6050040000000001</v>
      </c>
      <c r="O45">
        <v>2.9759500000000001</v>
      </c>
      <c r="P45">
        <f t="shared" si="0"/>
        <v>2.675006666666667E-5</v>
      </c>
      <c r="Q45" cm="1">
        <f t="array" ref="Q45">[1]!PropsSI("D","T",J45+273.15,"P",101325,"Water")</f>
        <v>984.71488993384958</v>
      </c>
      <c r="R45" cm="1">
        <f t="array" ref="R45">[1]!PropsSI("D","T",K45+273.15,"P",101325,"Water")</f>
        <v>986.57119416106468</v>
      </c>
      <c r="S45">
        <f t="shared" si="1"/>
        <v>985.64304204745713</v>
      </c>
      <c r="T45" cm="1">
        <f t="array" ref="T45">[1]!PropsSI("H","T",J45+273.15,"P",101325,"Water")</f>
        <v>238674.48678216912</v>
      </c>
      <c r="U45" cm="1">
        <f t="array" ref="U45">[1]!PropsSI("H","T",K45+273.15,"P",101325,"Water")</f>
        <v>222652.77615745913</v>
      </c>
      <c r="V45">
        <f t="shared" si="2"/>
        <v>422.42869605090436</v>
      </c>
      <c r="X45">
        <f t="shared" si="3"/>
        <v>0.26398984400000003</v>
      </c>
      <c r="Y45">
        <f t="shared" si="3"/>
        <v>0.25632944199999996</v>
      </c>
      <c r="Z45">
        <f t="shared" si="9"/>
        <v>0.36796116720542088</v>
      </c>
      <c r="AA45">
        <f t="shared" si="8"/>
        <v>3.8302010000000024</v>
      </c>
      <c r="AB45">
        <f t="shared" si="5"/>
        <v>9.6587430510749347E-2</v>
      </c>
      <c r="AC45">
        <f t="shared" si="6"/>
        <v>40.801302325563185</v>
      </c>
    </row>
    <row r="46" spans="1:29" x14ac:dyDescent="0.2">
      <c r="A46">
        <v>46137.043862106482</v>
      </c>
      <c r="B46">
        <v>18.422844000000001</v>
      </c>
      <c r="C46">
        <v>18.517153</v>
      </c>
      <c r="D46">
        <v>19.191708999999999</v>
      </c>
      <c r="E46">
        <v>19.354386999999999</v>
      </c>
      <c r="F46">
        <v>39.763978999999999</v>
      </c>
      <c r="G46">
        <v>37.379669</v>
      </c>
      <c r="H46">
        <v>34.449198000000003</v>
      </c>
      <c r="I46">
        <v>30.960082</v>
      </c>
      <c r="J46">
        <v>56.989668000000002</v>
      </c>
      <c r="K46">
        <v>53.161700000000003</v>
      </c>
      <c r="L46">
        <v>46.313043</v>
      </c>
      <c r="M46">
        <v>-622.49469399999998</v>
      </c>
      <c r="N46">
        <v>1.6017539999999999</v>
      </c>
      <c r="O46">
        <v>3.3176510000000001</v>
      </c>
      <c r="P46">
        <f t="shared" si="0"/>
        <v>2.66959E-5</v>
      </c>
      <c r="Q46" cm="1">
        <f t="array" ref="Q46">[1]!PropsSI("D","T",J46+273.15,"P",101325,"Water")</f>
        <v>984.71749820493255</v>
      </c>
      <c r="R46" cm="1">
        <f t="array" ref="R46">[1]!PropsSI("D","T",K46+273.15,"P",101325,"Water")</f>
        <v>986.57262212430487</v>
      </c>
      <c r="S46">
        <f t="shared" si="1"/>
        <v>985.64506016461871</v>
      </c>
      <c r="T46" cm="1">
        <f t="array" ref="T46">[1]!PropsSI("H","T",J46+273.15,"P",101325,"Water")</f>
        <v>238652.50558420012</v>
      </c>
      <c r="U46" cm="1">
        <f t="array" ref="U46">[1]!PropsSI("H","T",K46+273.15,"P",101325,"Water")</f>
        <v>222640.14137507556</v>
      </c>
      <c r="V46">
        <f t="shared" si="2"/>
        <v>421.32824688878009</v>
      </c>
      <c r="X46">
        <f t="shared" si="3"/>
        <v>0.26397933600000001</v>
      </c>
      <c r="Y46">
        <f t="shared" si="3"/>
        <v>0.25632339999999998</v>
      </c>
      <c r="Z46">
        <f t="shared" si="9"/>
        <v>0.36794941938065467</v>
      </c>
      <c r="AA46">
        <f t="shared" si="8"/>
        <v>3.8279679999999985</v>
      </c>
      <c r="AB46">
        <f t="shared" si="5"/>
        <v>9.6640117403897594E-2</v>
      </c>
      <c r="AC46">
        <f t="shared" si="6"/>
        <v>40.717211244910061</v>
      </c>
    </row>
    <row r="47" spans="1:29" x14ac:dyDescent="0.2">
      <c r="A47">
        <v>46137.043897407406</v>
      </c>
      <c r="B47">
        <v>18.426624</v>
      </c>
      <c r="C47">
        <v>18.499434000000001</v>
      </c>
      <c r="D47">
        <v>19.152031999999998</v>
      </c>
      <c r="E47">
        <v>19.322286999999999</v>
      </c>
      <c r="F47">
        <v>38.957535</v>
      </c>
      <c r="G47">
        <v>38.498305999999999</v>
      </c>
      <c r="H47">
        <v>34.262667999999998</v>
      </c>
      <c r="I47">
        <v>30.492964000000001</v>
      </c>
      <c r="J47">
        <v>56.985529</v>
      </c>
      <c r="K47">
        <v>53.159314000000002</v>
      </c>
      <c r="L47">
        <v>45.567366</v>
      </c>
      <c r="M47">
        <v>-622.47387900000001</v>
      </c>
      <c r="N47">
        <v>1.6054379999999999</v>
      </c>
      <c r="O47">
        <v>3.2719399999999998</v>
      </c>
      <c r="P47">
        <f t="shared" si="0"/>
        <v>2.6757300000000002E-5</v>
      </c>
      <c r="Q47" cm="1">
        <f t="array" ref="Q47">[1]!PropsSI("D","T",J47+273.15,"P",101325,"Water")</f>
        <v>984.71955283240493</v>
      </c>
      <c r="R47" cm="1">
        <f t="array" ref="R47">[1]!PropsSI("D","T",K47+273.15,"P",101325,"Water")</f>
        <v>986.57374989554796</v>
      </c>
      <c r="S47">
        <f t="shared" si="1"/>
        <v>985.64665136397639</v>
      </c>
      <c r="T47" cm="1">
        <f t="array" ref="T47">[1]!PropsSI("H","T",J47+273.15,"P",101325,"Water")</f>
        <v>238635.18922742258</v>
      </c>
      <c r="U47" cm="1">
        <f t="array" ref="U47">[1]!PropsSI("H","T",K47+273.15,"P",101325,"Water")</f>
        <v>222630.1623666524</v>
      </c>
      <c r="V47">
        <f t="shared" si="2"/>
        <v>422.10446493400713</v>
      </c>
      <c r="X47">
        <f t="shared" si="3"/>
        <v>0.26397105799999998</v>
      </c>
      <c r="Y47">
        <f t="shared" si="3"/>
        <v>0.25631862799999999</v>
      </c>
      <c r="Z47">
        <f t="shared" si="9"/>
        <v>0.36794015616869241</v>
      </c>
      <c r="AA47">
        <f t="shared" si="8"/>
        <v>3.8262149999999977</v>
      </c>
      <c r="AB47">
        <f t="shared" si="5"/>
        <v>9.6681511591206859E-2</v>
      </c>
      <c r="AC47">
        <f t="shared" si="6"/>
        <v>40.809697719217382</v>
      </c>
    </row>
    <row r="48" spans="1:29" x14ac:dyDescent="0.2">
      <c r="A48">
        <v>46137.043932708337</v>
      </c>
      <c r="B48">
        <v>18.393550000000001</v>
      </c>
      <c r="C48">
        <v>18.431235000000001</v>
      </c>
      <c r="D48">
        <v>19.132445000000001</v>
      </c>
      <c r="E48">
        <v>19.311447000000001</v>
      </c>
      <c r="F48">
        <v>39.536290999999999</v>
      </c>
      <c r="G48">
        <v>36.966647000000002</v>
      </c>
      <c r="H48">
        <v>34.552646000000003</v>
      </c>
      <c r="I48">
        <v>30.070606999999999</v>
      </c>
      <c r="J48">
        <v>56.980274999999999</v>
      </c>
      <c r="K48">
        <v>53.158836999999998</v>
      </c>
      <c r="L48">
        <v>41.179422000000002</v>
      </c>
      <c r="M48">
        <v>-622.51387699999998</v>
      </c>
      <c r="N48">
        <v>1.610339</v>
      </c>
      <c r="O48">
        <v>3.0949080000000002</v>
      </c>
      <c r="P48">
        <f t="shared" si="0"/>
        <v>2.6838983333333332E-5</v>
      </c>
      <c r="Q48" cm="1">
        <f t="array" ref="Q48">[1]!PropsSI("D","T",J48+273.15,"P",101325,"Water")</f>
        <v>984.72216080330304</v>
      </c>
      <c r="R48" cm="1">
        <f t="array" ref="R48">[1]!PropsSI("D","T",K48+273.15,"P",101325,"Water")</f>
        <v>986.57397535093219</v>
      </c>
      <c r="S48">
        <f t="shared" si="1"/>
        <v>985.64806807711761</v>
      </c>
      <c r="T48" cm="1">
        <f t="array" ref="T48">[1]!PropsSI("H","T",J48+273.15,"P",101325,"Water")</f>
        <v>238613.20804870318</v>
      </c>
      <c r="U48" cm="1">
        <f t="array" ref="U48">[1]!PropsSI("H","T",K48+273.15,"P",101325,"Water")</f>
        <v>222628.16740162691</v>
      </c>
      <c r="V48">
        <f t="shared" si="2"/>
        <v>422.86494153469243</v>
      </c>
      <c r="X48">
        <f t="shared" si="3"/>
        <v>0.26396054999999996</v>
      </c>
      <c r="Y48">
        <f t="shared" si="3"/>
        <v>0.256317674</v>
      </c>
      <c r="Z48">
        <f t="shared" si="9"/>
        <v>0.3679319528949242</v>
      </c>
      <c r="AA48">
        <f t="shared" si="8"/>
        <v>3.8214380000000006</v>
      </c>
      <c r="AB48">
        <f t="shared" si="5"/>
        <v>9.6798941282225492E-2</v>
      </c>
      <c r="AC48">
        <f t="shared" si="6"/>
        <v>40.932878645928412</v>
      </c>
    </row>
    <row r="49" spans="1:29" x14ac:dyDescent="0.2">
      <c r="A49">
        <v>44675.043968011603</v>
      </c>
      <c r="B49">
        <v>18.163568999999999</v>
      </c>
      <c r="C49">
        <v>18.342803</v>
      </c>
      <c r="D49">
        <v>19.098887999999999</v>
      </c>
      <c r="E49">
        <v>19.323483</v>
      </c>
      <c r="F49">
        <v>39.35521</v>
      </c>
      <c r="G49">
        <v>37.992776999999997</v>
      </c>
      <c r="H49">
        <v>33.324052000000002</v>
      </c>
      <c r="I49">
        <v>30.3124</v>
      </c>
      <c r="J49">
        <v>56.977567999999998</v>
      </c>
      <c r="K49">
        <v>53.154384</v>
      </c>
      <c r="L49">
        <v>43.825004</v>
      </c>
      <c r="M49">
        <v>-622.49836700000003</v>
      </c>
      <c r="N49">
        <v>1.6067370000000001</v>
      </c>
      <c r="O49">
        <v>3.5923050000000001</v>
      </c>
      <c r="P49">
        <f t="shared" si="0"/>
        <v>2.6778949999999999E-5</v>
      </c>
      <c r="Q49" cm="1">
        <f t="array" ref="Q49">[1]!PropsSI("D","T",J49+273.15,"P",101325,"Water")</f>
        <v>984.7235044334418</v>
      </c>
      <c r="R49" cm="1">
        <f t="array" ref="R49">[1]!PropsSI("D","T",K49+273.15,"P",101325,"Water")</f>
        <v>986.5760800044261</v>
      </c>
      <c r="S49">
        <f t="shared" si="1"/>
        <v>985.64979221893395</v>
      </c>
      <c r="T49" cm="1">
        <f t="array" ref="T49">[1]!PropsSI("H","T",J49+273.15,"P",101325,"Water")</f>
        <v>238601.88276730847</v>
      </c>
      <c r="U49" cm="1">
        <f t="array" ref="U49">[1]!PropsSI("H","T",K49+273.15,"P",101325,"Water")</f>
        <v>222609.54354979497</v>
      </c>
      <c r="V49">
        <f t="shared" si="2"/>
        <v>422.11246025457393</v>
      </c>
      <c r="X49">
        <f t="shared" si="3"/>
        <v>0.26395513599999998</v>
      </c>
      <c r="Y49">
        <f t="shared" si="3"/>
        <v>0.25630876800000002</v>
      </c>
      <c r="Z49">
        <f t="shared" si="9"/>
        <v>0.36792186449633069</v>
      </c>
      <c r="AA49">
        <f t="shared" si="8"/>
        <v>3.8231839999999977</v>
      </c>
      <c r="AB49">
        <f t="shared" si="5"/>
        <v>9.6752581709795837E-2</v>
      </c>
      <c r="AC49">
        <f t="shared" si="6"/>
        <v>40.840470301503615</v>
      </c>
    </row>
    <row r="50" spans="1:29" x14ac:dyDescent="0.2">
      <c r="A50" t="s">
        <v>18</v>
      </c>
      <c r="B50">
        <v>18.045432999999999</v>
      </c>
      <c r="C50">
        <v>18.282015999999999</v>
      </c>
      <c r="D50">
        <v>19.070999</v>
      </c>
      <c r="E50">
        <v>19.292655</v>
      </c>
      <c r="F50">
        <v>39.215285000000002</v>
      </c>
      <c r="G50">
        <v>37.868878000000002</v>
      </c>
      <c r="H50">
        <v>34.165948999999998</v>
      </c>
      <c r="I50">
        <v>29.947690999999999</v>
      </c>
      <c r="J50">
        <v>56.971995999999997</v>
      </c>
      <c r="K50">
        <v>53.149135999999999</v>
      </c>
      <c r="L50">
        <v>40.047642000000003</v>
      </c>
      <c r="M50">
        <v>-622.51550899999995</v>
      </c>
      <c r="N50">
        <v>1.595067</v>
      </c>
      <c r="O50">
        <v>3.7812960000000002</v>
      </c>
      <c r="P50">
        <f t="shared" si="0"/>
        <v>2.6584450000000003E-5</v>
      </c>
      <c r="Q50" cm="1">
        <f t="array" ref="Q50">[1]!PropsSI("D","T",J50+273.15,"P",101325,"Water")</f>
        <v>984.72626997739371</v>
      </c>
      <c r="R50" cm="1">
        <f t="array" ref="R50">[1]!PropsSI("D","T",K50+273.15,"P",101325,"Water")</f>
        <v>986.57856024331807</v>
      </c>
      <c r="S50">
        <f t="shared" si="1"/>
        <v>985.65241511035583</v>
      </c>
      <c r="T50" cm="1">
        <f t="array" ref="T50">[1]!PropsSI("H","T",J50+273.15,"P",101325,"Water")</f>
        <v>238578.57118860097</v>
      </c>
      <c r="U50" cm="1">
        <f t="array" ref="U50">[1]!PropsSI("H","T",K50+273.15,"P",101325,"Water")</f>
        <v>222587.59476540858</v>
      </c>
      <c r="V50">
        <f t="shared" si="2"/>
        <v>419.01199252023156</v>
      </c>
      <c r="X50">
        <f t="shared" si="3"/>
        <v>0.26394399199999996</v>
      </c>
      <c r="Y50">
        <f t="shared" si="3"/>
        <v>0.25629827199999999</v>
      </c>
      <c r="Z50">
        <f t="shared" si="9"/>
        <v>0.36790655762446256</v>
      </c>
      <c r="AA50">
        <f t="shared" si="8"/>
        <v>3.8228599999999986</v>
      </c>
      <c r="AB50">
        <f t="shared" si="5"/>
        <v>9.6756711620695157E-2</v>
      </c>
      <c r="AC50">
        <f t="shared" si="6"/>
        <v>40.542222525892925</v>
      </c>
    </row>
    <row r="51" spans="1:29" x14ac:dyDescent="0.2">
      <c r="A51">
        <v>46137.044037453707</v>
      </c>
      <c r="B51">
        <v>18.023703999999999</v>
      </c>
      <c r="C51">
        <v>18.201644000000002</v>
      </c>
      <c r="D51">
        <v>19.096091999999999</v>
      </c>
      <c r="E51">
        <v>19.312439999999999</v>
      </c>
      <c r="F51">
        <v>38.799629000000003</v>
      </c>
      <c r="G51">
        <v>37.012784000000003</v>
      </c>
      <c r="H51">
        <v>34.520029999999998</v>
      </c>
      <c r="I51">
        <v>30.190655</v>
      </c>
      <c r="J51">
        <v>56.966424000000004</v>
      </c>
      <c r="K51">
        <v>53.137050000000002</v>
      </c>
      <c r="L51">
        <v>41.143098000000002</v>
      </c>
      <c r="M51">
        <v>-622.50163299999997</v>
      </c>
      <c r="N51">
        <v>1.5990740000000001</v>
      </c>
      <c r="O51">
        <v>3.4454530000000001</v>
      </c>
      <c r="P51">
        <f t="shared" si="0"/>
        <v>2.6651233333333337E-5</v>
      </c>
      <c r="Q51" cm="1">
        <f t="array" ref="Q51">[1]!PropsSI("D","T",J51+273.15,"P",101325,"Water")</f>
        <v>984.72903533244278</v>
      </c>
      <c r="R51" cm="1">
        <f t="array" ref="R51">[1]!PropsSI("D","T",K51+273.15,"P",101325,"Water")</f>
        <v>986.58427150217267</v>
      </c>
      <c r="S51">
        <f t="shared" si="1"/>
        <v>985.65665341730778</v>
      </c>
      <c r="T51" cm="1">
        <f t="array" ref="T51">[1]!PropsSI("H","T",J51+273.15,"P",101325,"Water")</f>
        <v>238555.25962206154</v>
      </c>
      <c r="U51" cm="1">
        <f t="array" ref="U51">[1]!PropsSI("H","T",K51+273.15,"P",101325,"Water")</f>
        <v>222537.04735206423</v>
      </c>
      <c r="V51">
        <f t="shared" si="2"/>
        <v>420.78186479988307</v>
      </c>
      <c r="X51">
        <f t="shared" si="3"/>
        <v>0.263932848</v>
      </c>
      <c r="Y51">
        <f t="shared" si="3"/>
        <v>0.2562741</v>
      </c>
      <c r="Z51">
        <f t="shared" si="9"/>
        <v>0.36788172363437832</v>
      </c>
      <c r="AA51">
        <f t="shared" si="8"/>
        <v>3.8293740000000014</v>
      </c>
      <c r="AB51">
        <f t="shared" si="5"/>
        <v>9.6587431801903365E-2</v>
      </c>
      <c r="AC51">
        <f t="shared" si="6"/>
        <v>40.642239669836428</v>
      </c>
    </row>
    <row r="52" spans="1:29" x14ac:dyDescent="0.2">
      <c r="A52">
        <v>46137.04407275463</v>
      </c>
      <c r="B52">
        <v>18.121969</v>
      </c>
      <c r="C52">
        <v>18.254563999999998</v>
      </c>
      <c r="D52">
        <v>19.087071000000002</v>
      </c>
      <c r="E52">
        <v>19.296800999999999</v>
      </c>
      <c r="F52">
        <v>39.063119</v>
      </c>
      <c r="G52">
        <v>39.018842999999997</v>
      </c>
      <c r="H52">
        <v>34.223120999999999</v>
      </c>
      <c r="I52">
        <v>30.550937000000001</v>
      </c>
      <c r="J52">
        <v>56.962921000000001</v>
      </c>
      <c r="K52">
        <v>53.125281000000001</v>
      </c>
      <c r="L52">
        <v>40.879846000000001</v>
      </c>
      <c r="M52">
        <v>-622.49020499999995</v>
      </c>
      <c r="N52">
        <v>1.601721</v>
      </c>
      <c r="O52">
        <v>3.7602899999999999</v>
      </c>
      <c r="P52">
        <f t="shared" si="0"/>
        <v>2.6695349999999998E-5</v>
      </c>
      <c r="Q52" cm="1">
        <f t="array" ref="Q52">[1]!PropsSI("D","T",J52+273.15,"P",101325,"Water")</f>
        <v>984.73077375669584</v>
      </c>
      <c r="R52" cm="1">
        <f t="array" ref="R52">[1]!PropsSI("D","T",K52+273.15,"P",101325,"Water")</f>
        <v>986.58983207318204</v>
      </c>
      <c r="S52">
        <f t="shared" si="1"/>
        <v>985.66030291493894</v>
      </c>
      <c r="T52" cm="1">
        <f t="array" ref="T52">[1]!PropsSI("H","T",J52+273.15,"P",101325,"Water")</f>
        <v>238540.6041333875</v>
      </c>
      <c r="U52" cm="1">
        <f t="array" ref="U52">[1]!PropsSI("H","T",K52+273.15,"P",101325,"Water")</f>
        <v>222487.82577820684</v>
      </c>
      <c r="V52">
        <f t="shared" si="2"/>
        <v>422.38948121772376</v>
      </c>
      <c r="X52">
        <f t="shared" si="3"/>
        <v>0.26392584200000002</v>
      </c>
      <c r="Y52">
        <f t="shared" si="3"/>
        <v>0.25625056200000002</v>
      </c>
      <c r="Z52">
        <f t="shared" si="9"/>
        <v>0.367860300386879</v>
      </c>
      <c r="AA52">
        <f t="shared" si="8"/>
        <v>3.8376400000000004</v>
      </c>
      <c r="AB52">
        <f t="shared" si="5"/>
        <v>9.6376069573172754E-2</v>
      </c>
      <c r="AC52">
        <f t="shared" si="6"/>
        <v>40.708238028815693</v>
      </c>
    </row>
    <row r="53" spans="1:29" x14ac:dyDescent="0.2">
      <c r="A53">
        <v>46137.044108055554</v>
      </c>
      <c r="B53">
        <v>17.955926000000002</v>
      </c>
      <c r="C53">
        <v>18.232787999999999</v>
      </c>
      <c r="D53">
        <v>19.062206</v>
      </c>
      <c r="E53">
        <v>19.300937999999999</v>
      </c>
      <c r="F53">
        <v>39.866943999999997</v>
      </c>
      <c r="G53">
        <v>37.776094000000001</v>
      </c>
      <c r="H53">
        <v>34.264184</v>
      </c>
      <c r="I53">
        <v>30.562936000000001</v>
      </c>
      <c r="J53">
        <v>56.955916000000002</v>
      </c>
      <c r="K53">
        <v>53.120987</v>
      </c>
      <c r="L53">
        <v>34.132835999999998</v>
      </c>
      <c r="M53">
        <v>-622.48816399999998</v>
      </c>
      <c r="N53">
        <v>1.602541</v>
      </c>
      <c r="O53">
        <v>3.6405690000000002</v>
      </c>
      <c r="P53">
        <f t="shared" si="0"/>
        <v>2.6709016666666668E-5</v>
      </c>
      <c r="Q53" cm="1">
        <f t="array" ref="Q53">[1]!PropsSI("D","T",J53+273.15,"P",101325,"Water")</f>
        <v>984.73424988501233</v>
      </c>
      <c r="R53" cm="1">
        <f t="array" ref="R53">[1]!PropsSI("D","T",K53+273.15,"P",101325,"Water")</f>
        <v>986.59186066708583</v>
      </c>
      <c r="S53">
        <f t="shared" si="1"/>
        <v>985.66305527604914</v>
      </c>
      <c r="T53" cm="1">
        <f t="array" ref="T53">[1]!PropsSI("H","T",J53+273.15,"P",101325,"Water")</f>
        <v>238511.29735409058</v>
      </c>
      <c r="U53" cm="1">
        <f t="array" ref="U53">[1]!PropsSI("H","T",K53+273.15,"P",101325,"Water")</f>
        <v>222469.8669624035</v>
      </c>
      <c r="V53">
        <f t="shared" si="2"/>
        <v>422.30815579789129</v>
      </c>
      <c r="X53">
        <f t="shared" si="3"/>
        <v>0.26391183200000001</v>
      </c>
      <c r="Y53">
        <f t="shared" si="3"/>
        <v>0.25624197399999998</v>
      </c>
      <c r="Z53">
        <f t="shared" si="9"/>
        <v>0.36784426638050632</v>
      </c>
      <c r="AA53">
        <f t="shared" si="8"/>
        <v>3.8349290000000025</v>
      </c>
      <c r="AB53">
        <f t="shared" si="5"/>
        <v>9.6439308290425227E-2</v>
      </c>
      <c r="AC53">
        <f t="shared" si="6"/>
        <v>40.727106430553768</v>
      </c>
    </row>
    <row r="54" spans="1:29" x14ac:dyDescent="0.2">
      <c r="A54">
        <v>46137.044143356485</v>
      </c>
      <c r="B54">
        <v>17.666900999999999</v>
      </c>
      <c r="C54">
        <v>17.855713999999999</v>
      </c>
      <c r="D54">
        <v>18.8432</v>
      </c>
      <c r="E54">
        <v>19.261545000000002</v>
      </c>
      <c r="F54">
        <v>39.186247999999999</v>
      </c>
      <c r="G54">
        <v>38.226267</v>
      </c>
      <c r="H54">
        <v>33.691561999999998</v>
      </c>
      <c r="I54">
        <v>30.062149000000002</v>
      </c>
      <c r="J54">
        <v>56.954324</v>
      </c>
      <c r="K54">
        <v>53.113194999999997</v>
      </c>
      <c r="L54">
        <v>42.665061999999999</v>
      </c>
      <c r="M54">
        <v>-622.48204199999998</v>
      </c>
      <c r="N54">
        <v>1.6040080000000001</v>
      </c>
      <c r="O54">
        <v>2.9588070000000002</v>
      </c>
      <c r="P54">
        <f t="shared" si="0"/>
        <v>2.6733466666666667E-5</v>
      </c>
      <c r="Q54" cm="1">
        <f t="array" ref="Q54">[1]!PropsSI("D","T",J54+273.15,"P",101325,"Water")</f>
        <v>984.73503984998206</v>
      </c>
      <c r="R54" cm="1">
        <f t="array" ref="R54">[1]!PropsSI("D","T",K54+273.15,"P",101325,"Water")</f>
        <v>986.59554150614156</v>
      </c>
      <c r="S54">
        <f t="shared" si="1"/>
        <v>985.66529067806187</v>
      </c>
      <c r="T54" cm="1">
        <f t="array" ref="T54">[1]!PropsSI("H","T",J54+273.15,"P",101325,"Water")</f>
        <v>238504.63691528435</v>
      </c>
      <c r="U54" cm="1">
        <f t="array" ref="U54">[1]!PropsSI("H","T",K54+273.15,"P",101325,"Water")</f>
        <v>222437.27846090455</v>
      </c>
      <c r="V54">
        <f t="shared" si="2"/>
        <v>423.37891521082679</v>
      </c>
      <c r="X54">
        <f t="shared" si="3"/>
        <v>0.26390864800000002</v>
      </c>
      <c r="Y54">
        <f t="shared" si="3"/>
        <v>0.25622639000000003</v>
      </c>
      <c r="Z54">
        <f t="shared" si="9"/>
        <v>0.36783112622726755</v>
      </c>
      <c r="AA54">
        <f t="shared" si="8"/>
        <v>3.8411290000000022</v>
      </c>
      <c r="AB54">
        <f t="shared" si="5"/>
        <v>9.62819173912242E-2</v>
      </c>
      <c r="AC54">
        <f t="shared" si="6"/>
        <v>40.76373373951494</v>
      </c>
    </row>
    <row r="55" spans="1:29" x14ac:dyDescent="0.2">
      <c r="A55">
        <v>46137.044178657408</v>
      </c>
      <c r="B55">
        <v>17.459385999999999</v>
      </c>
      <c r="C55">
        <v>17.668821000000001</v>
      </c>
      <c r="D55">
        <v>18.927612</v>
      </c>
      <c r="E55">
        <v>19.265324</v>
      </c>
      <c r="F55">
        <v>38.723526999999997</v>
      </c>
      <c r="G55">
        <v>37.849381000000001</v>
      </c>
      <c r="H55">
        <v>33.322105999999998</v>
      </c>
      <c r="I55">
        <v>30.165590000000002</v>
      </c>
      <c r="J55">
        <v>56.951777</v>
      </c>
      <c r="K55">
        <v>53.103653000000001</v>
      </c>
      <c r="L55">
        <v>43.160139999999998</v>
      </c>
      <c r="M55">
        <v>-622.49347</v>
      </c>
      <c r="N55">
        <v>1.6053360000000001</v>
      </c>
      <c r="O55">
        <v>3.2827929999999999</v>
      </c>
      <c r="P55">
        <f t="shared" si="0"/>
        <v>2.6755600000000002E-5</v>
      </c>
      <c r="Q55" cm="1">
        <f t="array" ref="Q55">[1]!PropsSI("D","T",J55+273.15,"P",101325,"Water")</f>
        <v>984.73630366262012</v>
      </c>
      <c r="R55" cm="1">
        <f t="array" ref="R55">[1]!PropsSI("D","T",K55+273.15,"P",101325,"Water")</f>
        <v>986.60004849850327</v>
      </c>
      <c r="S55">
        <f t="shared" si="1"/>
        <v>985.66817608056169</v>
      </c>
      <c r="T55" cm="1">
        <f t="array" ref="T55">[1]!PropsSI("H","T",J55+273.15,"P",101325,"Water")</f>
        <v>238493.98105203651</v>
      </c>
      <c r="U55" cm="1">
        <f t="array" ref="U55">[1]!PropsSI("H","T",K55+273.15,"P",101325,"Water")</f>
        <v>222397.37095742938</v>
      </c>
      <c r="V55">
        <f t="shared" si="2"/>
        <v>424.50211050494232</v>
      </c>
      <c r="X55">
        <f t="shared" si="3"/>
        <v>0.26390355399999998</v>
      </c>
      <c r="Y55">
        <f t="shared" si="3"/>
        <v>0.25620730599999997</v>
      </c>
      <c r="Z55">
        <f t="shared" si="9"/>
        <v>0.36781417789640536</v>
      </c>
      <c r="AA55">
        <f t="shared" si="8"/>
        <v>3.8481239999999985</v>
      </c>
      <c r="AB55">
        <f t="shared" si="5"/>
        <v>9.61044083817333E-2</v>
      </c>
      <c r="AC55">
        <f t="shared" si="6"/>
        <v>40.796524186874656</v>
      </c>
    </row>
    <row r="56" spans="1:29" x14ac:dyDescent="0.2">
      <c r="A56">
        <v>46137.044213958332</v>
      </c>
      <c r="B56">
        <v>17.477157999999999</v>
      </c>
      <c r="C56">
        <v>17.725757999999999</v>
      </c>
      <c r="D56">
        <v>18.916640000000001</v>
      </c>
      <c r="E56">
        <v>19.243846999999999</v>
      </c>
      <c r="F56">
        <v>39.208891999999999</v>
      </c>
      <c r="G56">
        <v>38.647106999999998</v>
      </c>
      <c r="H56">
        <v>33.951222999999999</v>
      </c>
      <c r="I56">
        <v>30.078603999999999</v>
      </c>
      <c r="J56">
        <v>56.948593000000002</v>
      </c>
      <c r="K56">
        <v>53.093156999999998</v>
      </c>
      <c r="L56">
        <v>36.125798000000003</v>
      </c>
      <c r="M56">
        <v>-622.51142800000002</v>
      </c>
      <c r="N56">
        <v>1.6030530000000001</v>
      </c>
      <c r="O56">
        <v>3.2997830000000001</v>
      </c>
      <c r="P56">
        <f t="shared" si="0"/>
        <v>2.6717550000000003E-5</v>
      </c>
      <c r="Q56" cm="1">
        <f t="array" ref="Q56">[1]!PropsSI("D","T",J56+273.15,"P",101325,"Water")</f>
        <v>984.73788349695246</v>
      </c>
      <c r="R56" cm="1">
        <f t="array" ref="R56">[1]!PropsSI("D","T",K56+273.15,"P",101325,"Water")</f>
        <v>986.6050054294094</v>
      </c>
      <c r="S56">
        <f t="shared" si="1"/>
        <v>985.67144446318093</v>
      </c>
      <c r="T56" cm="1">
        <f t="array" ref="T56">[1]!PropsSI("H","T",J56+273.15,"P",101325,"Water")</f>
        <v>238480.6601805331</v>
      </c>
      <c r="U56" cm="1">
        <f t="array" ref="U56">[1]!PropsSI("H","T",K56+273.15,"P",101325,"Water")</f>
        <v>222353.47357506226</v>
      </c>
      <c r="V56">
        <f t="shared" si="2"/>
        <v>424.70504203506886</v>
      </c>
      <c r="X56">
        <f t="shared" ref="X56:Y119" si="10">(0.15+0.002*ABS(J56))</f>
        <v>0.26389718600000001</v>
      </c>
      <c r="Y56">
        <f t="shared" si="10"/>
        <v>0.25618631400000003</v>
      </c>
      <c r="Z56">
        <f t="shared" si="9"/>
        <v>0.36779498672443217</v>
      </c>
      <c r="AA56">
        <f t="shared" si="8"/>
        <v>3.8554360000000045</v>
      </c>
      <c r="AB56">
        <f t="shared" si="5"/>
        <v>9.5919166948545909E-2</v>
      </c>
      <c r="AC56">
        <f t="shared" si="6"/>
        <v>40.737353830850978</v>
      </c>
    </row>
    <row r="57" spans="1:29" x14ac:dyDescent="0.2">
      <c r="A57">
        <v>46137.044249259263</v>
      </c>
      <c r="B57">
        <v>17.466927999999999</v>
      </c>
      <c r="C57">
        <v>17.639023999999999</v>
      </c>
      <c r="D57">
        <v>18.900161000000001</v>
      </c>
      <c r="E57">
        <v>19.246544</v>
      </c>
      <c r="F57">
        <v>38.671776999999999</v>
      </c>
      <c r="G57">
        <v>38.051851999999997</v>
      </c>
      <c r="H57">
        <v>33.839899000000003</v>
      </c>
      <c r="I57">
        <v>30.39799</v>
      </c>
      <c r="J57">
        <v>56.946682000000003</v>
      </c>
      <c r="K57">
        <v>53.083455999999998</v>
      </c>
      <c r="L57">
        <v>39.497466000000003</v>
      </c>
      <c r="M57">
        <v>-622.46857299999999</v>
      </c>
      <c r="N57">
        <v>1.6063400000000001</v>
      </c>
      <c r="O57">
        <v>3.3537149999999998</v>
      </c>
      <c r="P57">
        <f t="shared" si="0"/>
        <v>2.6772333333333335E-5</v>
      </c>
      <c r="Q57" cm="1">
        <f t="array" ref="Q57">[1]!PropsSI("D","T",J57+273.15,"P",101325,"Water")</f>
        <v>984.73883166564872</v>
      </c>
      <c r="R57" cm="1">
        <f t="array" ref="R57">[1]!PropsSI("D","T",K57+273.15,"P",101325,"Water")</f>
        <v>986.60958628612138</v>
      </c>
      <c r="S57">
        <f t="shared" si="1"/>
        <v>985.67420897588499</v>
      </c>
      <c r="T57" cm="1">
        <f t="array" ref="T57">[1]!PropsSI("H","T",J57+273.15,"P",101325,"Water")</f>
        <v>238472.66514935999</v>
      </c>
      <c r="U57" cm="1">
        <f t="array" ref="U57">[1]!PropsSI("H","T",K57+273.15,"P",101325,"Water")</f>
        <v>222312.90115084845</v>
      </c>
      <c r="V57">
        <f t="shared" si="2"/>
        <v>426.43675565355619</v>
      </c>
      <c r="X57">
        <f t="shared" si="10"/>
        <v>0.26389336400000002</v>
      </c>
      <c r="Y57">
        <f t="shared" si="10"/>
        <v>0.25616691199999997</v>
      </c>
      <c r="Z57">
        <f t="shared" si="9"/>
        <v>0.36777873017189594</v>
      </c>
      <c r="AA57">
        <f t="shared" si="8"/>
        <v>3.8632260000000045</v>
      </c>
      <c r="AB57">
        <f t="shared" si="5"/>
        <v>9.5723670133407684E-2</v>
      </c>
      <c r="AC57">
        <f t="shared" si="6"/>
        <v>40.820091330941587</v>
      </c>
    </row>
    <row r="58" spans="1:29" x14ac:dyDescent="0.2">
      <c r="A58">
        <v>46137.044283981479</v>
      </c>
      <c r="B58">
        <v>17.536867999999998</v>
      </c>
      <c r="C58">
        <v>17.698232000000001</v>
      </c>
      <c r="D58">
        <v>18.960659</v>
      </c>
      <c r="E58">
        <v>19.256150999999999</v>
      </c>
      <c r="F58">
        <v>38.810442999999999</v>
      </c>
      <c r="G58">
        <v>38.601039</v>
      </c>
      <c r="H58">
        <v>33.519300000000001</v>
      </c>
      <c r="I58">
        <v>30.130569000000001</v>
      </c>
      <c r="J58">
        <v>56.943975999999999</v>
      </c>
      <c r="K58">
        <v>53.077095</v>
      </c>
      <c r="L58">
        <v>42.314875999999998</v>
      </c>
      <c r="M58">
        <v>-622.50979500000005</v>
      </c>
      <c r="N58">
        <v>1.6058269999999999</v>
      </c>
      <c r="O58">
        <v>3.2181739999999999</v>
      </c>
      <c r="P58">
        <f t="shared" si="0"/>
        <v>2.6763783333333333E-5</v>
      </c>
      <c r="Q58" cm="1">
        <f t="array" ref="Q58">[1]!PropsSI("D","T",J58+273.15,"P",101325,"Water")</f>
        <v>984.74017424639328</v>
      </c>
      <c r="R58" cm="1">
        <f t="array" ref="R58">[1]!PropsSI("D","T",K58+273.15,"P",101325,"Water")</f>
        <v>986.61258965582454</v>
      </c>
      <c r="S58">
        <f t="shared" si="1"/>
        <v>985.67638195110885</v>
      </c>
      <c r="T58" cm="1">
        <f t="array" ref="T58">[1]!PropsSI("H","T",J58+273.15,"P",101325,"Water")</f>
        <v>238461.34408722346</v>
      </c>
      <c r="U58" cm="1">
        <f t="array" ref="U58">[1]!PropsSI("H","T",K58+273.15,"P",101325,"Water")</f>
        <v>222286.29760214995</v>
      </c>
      <c r="V58">
        <f t="shared" si="2"/>
        <v>426.70466736594295</v>
      </c>
      <c r="X58">
        <f t="shared" si="10"/>
        <v>0.26388795199999998</v>
      </c>
      <c r="Y58">
        <f t="shared" si="10"/>
        <v>0.25615419</v>
      </c>
      <c r="Z58">
        <f t="shared" si="9"/>
        <v>0.36776598573727615</v>
      </c>
      <c r="AA58">
        <f t="shared" si="8"/>
        <v>3.8668809999999993</v>
      </c>
      <c r="AB58">
        <f t="shared" si="5"/>
        <v>9.5630901694649342E-2</v>
      </c>
      <c r="AC58">
        <f t="shared" si="6"/>
        <v>40.806152097520538</v>
      </c>
    </row>
    <row r="59" spans="1:29" x14ac:dyDescent="0.2">
      <c r="A59">
        <v>46137.04431928241</v>
      </c>
      <c r="B59">
        <v>17.618691999999999</v>
      </c>
      <c r="C59">
        <v>17.745335000000001</v>
      </c>
      <c r="D59">
        <v>18.990981999999999</v>
      </c>
      <c r="E59">
        <v>19.263570000000001</v>
      </c>
      <c r="F59">
        <v>39.209484000000003</v>
      </c>
      <c r="G59">
        <v>38.40325</v>
      </c>
      <c r="H59">
        <v>34.788226000000002</v>
      </c>
      <c r="I59">
        <v>30.312438</v>
      </c>
      <c r="J59">
        <v>56.940950999999998</v>
      </c>
      <c r="K59">
        <v>53.074074000000003</v>
      </c>
      <c r="L59">
        <v>39.615827000000003</v>
      </c>
      <c r="M59">
        <v>-622.49224500000003</v>
      </c>
      <c r="N59">
        <v>1.604401</v>
      </c>
      <c r="O59">
        <v>3.8216429999999999</v>
      </c>
      <c r="P59">
        <f t="shared" si="0"/>
        <v>2.6740016666666668E-5</v>
      </c>
      <c r="Q59" cm="1">
        <f t="array" ref="Q59">[1]!PropsSI("D","T",J59+273.15,"P",101325,"Water")</f>
        <v>984.74167504611376</v>
      </c>
      <c r="R59" cm="1">
        <f t="array" ref="R59">[1]!PropsSI("D","T",K59+273.15,"P",101325,"Water")</f>
        <v>986.6140159423594</v>
      </c>
      <c r="S59">
        <f t="shared" si="1"/>
        <v>985.67784549423664</v>
      </c>
      <c r="T59" cm="1">
        <f t="array" ref="T59">[1]!PropsSI("H","T",J59+273.15,"P",101325,"Water")</f>
        <v>238448.68843172566</v>
      </c>
      <c r="U59" cm="1">
        <f t="array" ref="U59">[1]!PropsSI("H","T",K59+273.15,"P",101325,"Water")</f>
        <v>222273.66290779697</v>
      </c>
      <c r="V59">
        <f t="shared" si="2"/>
        <v>426.32582735182467</v>
      </c>
      <c r="X59">
        <f t="shared" si="10"/>
        <v>0.263881902</v>
      </c>
      <c r="Y59">
        <f t="shared" si="10"/>
        <v>0.25614814800000002</v>
      </c>
      <c r="Z59">
        <f t="shared" si="9"/>
        <v>0.36775743626331681</v>
      </c>
      <c r="AA59">
        <f t="shared" si="8"/>
        <v>3.8668769999999952</v>
      </c>
      <c r="AB59">
        <f t="shared" si="5"/>
        <v>9.5628800706945544E-2</v>
      </c>
      <c r="AC59">
        <f t="shared" si="6"/>
        <v>40.769027580051315</v>
      </c>
    </row>
    <row r="60" spans="1:29" x14ac:dyDescent="0.2">
      <c r="A60">
        <v>46137.044354004633</v>
      </c>
      <c r="B60">
        <v>17.535394</v>
      </c>
      <c r="C60">
        <v>17.672315000000001</v>
      </c>
      <c r="D60">
        <v>18.823899000000001</v>
      </c>
      <c r="E60">
        <v>19.208205</v>
      </c>
      <c r="F60">
        <v>39.525739000000002</v>
      </c>
      <c r="G60">
        <v>38.592260000000003</v>
      </c>
      <c r="H60">
        <v>34.505488</v>
      </c>
      <c r="I60">
        <v>29.796140999999999</v>
      </c>
      <c r="J60">
        <v>56.939041000000003</v>
      </c>
      <c r="K60">
        <v>53.056103</v>
      </c>
      <c r="L60">
        <v>42.745466</v>
      </c>
      <c r="M60">
        <v>-622.48326599999996</v>
      </c>
      <c r="N60">
        <v>1.6047419999999999</v>
      </c>
      <c r="O60">
        <v>3.933853</v>
      </c>
      <c r="P60">
        <f t="shared" si="0"/>
        <v>2.67457E-5</v>
      </c>
      <c r="Q60" cm="1">
        <f t="array" ref="Q60">[1]!PropsSI("D","T",J60+273.15,"P",101325,"Water")</f>
        <v>984.74262262981654</v>
      </c>
      <c r="R60" cm="1">
        <f t="array" ref="R60">[1]!PropsSI("D","T",K60+273.15,"P",101325,"Water")</f>
        <v>986.62249928693905</v>
      </c>
      <c r="S60">
        <f t="shared" si="1"/>
        <v>985.68256095837774</v>
      </c>
      <c r="T60" cm="1">
        <f t="array" ref="T60">[1]!PropsSI("H","T",J60+273.15,"P",101325,"Water")</f>
        <v>238440.69758992182</v>
      </c>
      <c r="U60" cm="1">
        <f t="array" ref="U60">[1]!PropsSI("H","T",K60+273.15,"P",101325,"Water")</f>
        <v>222198.50305923159</v>
      </c>
      <c r="V60">
        <f t="shared" si="2"/>
        <v>428.18923985494115</v>
      </c>
      <c r="X60">
        <f t="shared" si="10"/>
        <v>0.26387808200000001</v>
      </c>
      <c r="Y60">
        <f t="shared" si="10"/>
        <v>0.25611220600000001</v>
      </c>
      <c r="Z60">
        <f t="shared" si="9"/>
        <v>0.36772966187429751</v>
      </c>
      <c r="AA60">
        <f t="shared" si="8"/>
        <v>3.8829380000000029</v>
      </c>
      <c r="AB60">
        <f t="shared" si="5"/>
        <v>9.5230472078541184E-2</v>
      </c>
      <c r="AC60">
        <f t="shared" si="6"/>
        <v>40.77666345033775</v>
      </c>
    </row>
    <row r="61" spans="1:29" x14ac:dyDescent="0.2">
      <c r="A61">
        <v>46137.044389305556</v>
      </c>
      <c r="B61">
        <v>17.395814999999999</v>
      </c>
      <c r="C61">
        <v>17.598306000000001</v>
      </c>
      <c r="D61">
        <v>18.828168999999999</v>
      </c>
      <c r="E61">
        <v>19.054151000000001</v>
      </c>
      <c r="F61">
        <v>39.250242999999998</v>
      </c>
      <c r="G61">
        <v>37.034275000000001</v>
      </c>
      <c r="H61">
        <v>34.643259</v>
      </c>
      <c r="I61">
        <v>30.344942</v>
      </c>
      <c r="J61">
        <v>56.940632999999998</v>
      </c>
      <c r="K61">
        <v>53.052923</v>
      </c>
      <c r="L61">
        <v>39.968463</v>
      </c>
      <c r="M61">
        <v>-622.47918500000003</v>
      </c>
      <c r="N61">
        <v>1.607008</v>
      </c>
      <c r="O61">
        <v>3.0686909999999998</v>
      </c>
      <c r="P61">
        <f t="shared" si="0"/>
        <v>2.6783466666666669E-5</v>
      </c>
      <c r="Q61" cm="1">
        <f t="array" ref="Q61">[1]!PropsSI("D","T",J61+273.15,"P",101325,"Water")</f>
        <v>984.74183281288288</v>
      </c>
      <c r="R61" cm="1">
        <f t="array" ref="R61">[1]!PropsSI("D","T",K61+273.15,"P",101325,"Water")</f>
        <v>986.62400021652945</v>
      </c>
      <c r="S61">
        <f t="shared" si="1"/>
        <v>985.68291651470622</v>
      </c>
      <c r="T61" cm="1">
        <f t="array" ref="T61">[1]!PropsSI("H","T",J61+273.15,"P",101325,"Water")</f>
        <v>238447.35801923432</v>
      </c>
      <c r="U61" cm="1">
        <f t="array" ref="U61">[1]!PropsSI("H","T",K61+273.15,"P",101325,"Water")</f>
        <v>222185.2034032119</v>
      </c>
      <c r="V61">
        <f t="shared" si="2"/>
        <v>429.32097192889313</v>
      </c>
      <c r="X61">
        <f t="shared" si="10"/>
        <v>0.263881266</v>
      </c>
      <c r="Y61">
        <f t="shared" si="10"/>
        <v>0.25610584599999997</v>
      </c>
      <c r="Z61">
        <f t="shared" si="9"/>
        <v>0.367727517193286</v>
      </c>
      <c r="AA61">
        <f t="shared" si="8"/>
        <v>3.8877099999999984</v>
      </c>
      <c r="AB61">
        <f t="shared" si="5"/>
        <v>9.5114321809802227E-2</v>
      </c>
      <c r="AC61">
        <f t="shared" si="6"/>
        <v>40.834573083741809</v>
      </c>
    </row>
    <row r="62" spans="1:29" x14ac:dyDescent="0.2">
      <c r="A62">
        <v>46137.04442460648</v>
      </c>
      <c r="B62">
        <v>17.527004999999999</v>
      </c>
      <c r="C62">
        <v>17.616136999999998</v>
      </c>
      <c r="D62">
        <v>18.916311</v>
      </c>
      <c r="E62">
        <v>19.134475999999999</v>
      </c>
      <c r="F62">
        <v>38.844771999999999</v>
      </c>
      <c r="G62">
        <v>37.320354999999999</v>
      </c>
      <c r="H62">
        <v>34.114868999999999</v>
      </c>
      <c r="I62">
        <v>30.071736999999999</v>
      </c>
      <c r="J62">
        <v>56.937607999999997</v>
      </c>
      <c r="K62">
        <v>53.049742000000002</v>
      </c>
      <c r="L62">
        <v>42.775669000000001</v>
      </c>
      <c r="M62">
        <v>-622.47265400000003</v>
      </c>
      <c r="N62">
        <v>1.604106</v>
      </c>
      <c r="O62">
        <v>3.524915</v>
      </c>
      <c r="P62">
        <f t="shared" si="0"/>
        <v>2.6735100000000001E-5</v>
      </c>
      <c r="Q62" cm="1">
        <f t="array" ref="Q62">[1]!PropsSI("D","T",J62+273.15,"P",101325,"Water")</f>
        <v>984.74333355108047</v>
      </c>
      <c r="R62" cm="1">
        <f t="array" ref="R62">[1]!PropsSI("D","T",K62+273.15,"P",101325,"Water")</f>
        <v>986.62550155394524</v>
      </c>
      <c r="S62">
        <f t="shared" si="1"/>
        <v>985.68441755251285</v>
      </c>
      <c r="T62" cm="1">
        <f t="array" ref="T62">[1]!PropsSI("H","T",J62+273.15,"P",101325,"Water")</f>
        <v>238434.70236766318</v>
      </c>
      <c r="U62" cm="1">
        <f t="array" ref="U62">[1]!PropsSI("H","T",K62+273.15,"P",101325,"Water")</f>
        <v>222171.8995683016</v>
      </c>
      <c r="V62">
        <f t="shared" si="2"/>
        <v>428.56342053991222</v>
      </c>
      <c r="X62">
        <f t="shared" si="10"/>
        <v>0.26387521599999997</v>
      </c>
      <c r="Y62">
        <f t="shared" si="10"/>
        <v>0.25609948399999999</v>
      </c>
      <c r="Z62">
        <f t="shared" si="9"/>
        <v>0.36771874486367007</v>
      </c>
      <c r="AA62">
        <f t="shared" si="8"/>
        <v>3.8878659999999954</v>
      </c>
      <c r="AB62">
        <f t="shared" si="5"/>
        <v>9.5108303720635126E-2</v>
      </c>
      <c r="AC62">
        <f t="shared" si="6"/>
        <v>40.759939964264248</v>
      </c>
    </row>
    <row r="63" spans="1:29" x14ac:dyDescent="0.2">
      <c r="A63">
        <v>46137.044459328703</v>
      </c>
      <c r="B63">
        <v>17.584205999999998</v>
      </c>
      <c r="C63">
        <v>17.733291000000001</v>
      </c>
      <c r="D63">
        <v>18.952731</v>
      </c>
      <c r="E63">
        <v>19.160140999999999</v>
      </c>
      <c r="F63">
        <v>38.675817000000002</v>
      </c>
      <c r="G63">
        <v>36.900607000000001</v>
      </c>
      <c r="H63">
        <v>34.647647999999997</v>
      </c>
      <c r="I63">
        <v>30.506817000000002</v>
      </c>
      <c r="J63">
        <v>56.937607999999997</v>
      </c>
      <c r="K63">
        <v>53.047834000000002</v>
      </c>
      <c r="L63">
        <v>47.665219999999998</v>
      </c>
      <c r="M63">
        <v>-622.50449000000003</v>
      </c>
      <c r="N63">
        <v>1.6015489999999999</v>
      </c>
      <c r="O63">
        <v>3.5754290000000002</v>
      </c>
      <c r="P63">
        <f t="shared" si="0"/>
        <v>2.6692483333333332E-5</v>
      </c>
      <c r="Q63" cm="1">
        <f t="array" ref="Q63">[1]!PropsSI("D","T",J63+273.15,"P",101325,"Water")</f>
        <v>984.74333355108047</v>
      </c>
      <c r="R63" cm="1">
        <f t="array" ref="R63">[1]!PropsSI("D","T",K63+273.15,"P",101325,"Water")</f>
        <v>986.626402042476</v>
      </c>
      <c r="S63">
        <f t="shared" si="1"/>
        <v>985.68486779677824</v>
      </c>
      <c r="T63" cm="1">
        <f t="array" ref="T63">[1]!PropsSI("H","T",J63+273.15,"P",101325,"Water")</f>
        <v>238434.70236766318</v>
      </c>
      <c r="U63" cm="1">
        <f t="array" ref="U63">[1]!PropsSI("H","T",K63+273.15,"P",101325,"Water")</f>
        <v>222163.9197783221</v>
      </c>
      <c r="V63">
        <f t="shared" si="2"/>
        <v>428.09042247438373</v>
      </c>
      <c r="X63">
        <f t="shared" si="10"/>
        <v>0.26387521599999997</v>
      </c>
      <c r="Y63">
        <f t="shared" si="10"/>
        <v>0.256095668</v>
      </c>
      <c r="Z63">
        <f t="shared" si="9"/>
        <v>0.36771608720235893</v>
      </c>
      <c r="AA63">
        <f t="shared" si="8"/>
        <v>3.8897739999999956</v>
      </c>
      <c r="AB63">
        <f t="shared" si="5"/>
        <v>9.5061487906049333E-2</v>
      </c>
      <c r="AC63">
        <f t="shared" si="6"/>
        <v>40.694912518744175</v>
      </c>
    </row>
    <row r="64" spans="1:29" x14ac:dyDescent="0.2">
      <c r="A64">
        <v>46137.044494050926</v>
      </c>
      <c r="B64">
        <v>17.638901000000001</v>
      </c>
      <c r="C64">
        <v>17.868037999999999</v>
      </c>
      <c r="D64">
        <v>18.966954000000001</v>
      </c>
      <c r="E64">
        <v>19.181760000000001</v>
      </c>
      <c r="F64">
        <v>39.523819000000003</v>
      </c>
      <c r="G64">
        <v>38.834747999999998</v>
      </c>
      <c r="H64">
        <v>34.071460000000002</v>
      </c>
      <c r="I64">
        <v>29.967654</v>
      </c>
      <c r="J64">
        <v>56.936971</v>
      </c>
      <c r="K64">
        <v>53.048788000000002</v>
      </c>
      <c r="L64">
        <v>40.912089000000002</v>
      </c>
      <c r="M64">
        <v>-622.48571500000003</v>
      </c>
      <c r="N64">
        <v>1.6042540000000001</v>
      </c>
      <c r="O64">
        <v>3.7046290000000002</v>
      </c>
      <c r="P64">
        <f t="shared" si="0"/>
        <v>2.6737566666666666E-5</v>
      </c>
      <c r="Q64" cm="1">
        <f t="array" ref="Q64">[1]!PropsSI("D","T",J64+273.15,"P",101325,"Water")</f>
        <v>984.74364956719978</v>
      </c>
      <c r="R64" cm="1">
        <f t="array" ref="R64">[1]!PropsSI("D","T",K64+273.15,"P",101325,"Water")</f>
        <v>986.62595180111032</v>
      </c>
      <c r="S64">
        <f t="shared" si="1"/>
        <v>985.68480068415511</v>
      </c>
      <c r="T64" cm="1">
        <f t="array" ref="T64">[1]!PropsSI("H","T",J64+273.15,"P",101325,"Water")</f>
        <v>238432.03735985796</v>
      </c>
      <c r="U64" cm="1">
        <f t="array" ref="U64">[1]!PropsSI("H","T",K64+273.15,"P",101325,"Water")</f>
        <v>222167.9096731898</v>
      </c>
      <c r="V64">
        <f t="shared" si="2"/>
        <v>428.63804493871493</v>
      </c>
      <c r="X64">
        <f t="shared" si="10"/>
        <v>0.26387394200000003</v>
      </c>
      <c r="Y64">
        <f t="shared" si="10"/>
        <v>0.25609757599999999</v>
      </c>
      <c r="Z64">
        <f t="shared" si="9"/>
        <v>0.3677165018049845</v>
      </c>
      <c r="AA64">
        <f t="shared" si="8"/>
        <v>3.8881829999999979</v>
      </c>
      <c r="AB64">
        <f t="shared" si="5"/>
        <v>9.5100061660495214E-2</v>
      </c>
      <c r="AC64">
        <f t="shared" si="6"/>
        <v>40.76350450370591</v>
      </c>
    </row>
    <row r="65" spans="1:29" x14ac:dyDescent="0.2">
      <c r="A65">
        <v>46137.04452935185</v>
      </c>
      <c r="B65">
        <v>17.779617999999999</v>
      </c>
      <c r="C65">
        <v>17.961942000000001</v>
      </c>
      <c r="D65">
        <v>18.972736000000001</v>
      </c>
      <c r="E65">
        <v>19.192194000000001</v>
      </c>
      <c r="F65">
        <v>39.135624999999997</v>
      </c>
      <c r="G65">
        <v>37.065688999999999</v>
      </c>
      <c r="H65">
        <v>34.027048999999998</v>
      </c>
      <c r="I65">
        <v>30.341989999999999</v>
      </c>
      <c r="J65">
        <v>56.935378999999998</v>
      </c>
      <c r="K65">
        <v>53.050854999999999</v>
      </c>
      <c r="L65">
        <v>42.224676000000002</v>
      </c>
      <c r="M65">
        <v>-622.45102299999996</v>
      </c>
      <c r="N65">
        <v>1.605127</v>
      </c>
      <c r="O65">
        <v>4.0830299999999999</v>
      </c>
      <c r="P65">
        <f t="shared" si="0"/>
        <v>2.6752116666666668E-5</v>
      </c>
      <c r="Q65" cm="1">
        <f t="array" ref="Q65">[1]!PropsSI("D","T",J65+273.15,"P",101325,"Water")</f>
        <v>984.74443934863541</v>
      </c>
      <c r="R65" cm="1">
        <f t="array" ref="R65">[1]!PropsSI("D","T",K65+273.15,"P",101325,"Water")</f>
        <v>986.62497625835522</v>
      </c>
      <c r="S65">
        <f t="shared" si="1"/>
        <v>985.68470780349526</v>
      </c>
      <c r="T65" cm="1">
        <f t="array" ref="T65">[1]!PropsSI("H","T",J65+273.15,"P",101325,"Water")</f>
        <v>238425.37693287857</v>
      </c>
      <c r="U65" cm="1">
        <f t="array" ref="U65">[1]!PropsSI("H","T",K65+273.15,"P",101325,"Water")</f>
        <v>222176.55444633524</v>
      </c>
      <c r="V65">
        <f t="shared" si="2"/>
        <v>428.46767483858673</v>
      </c>
      <c r="X65">
        <f t="shared" si="10"/>
        <v>0.26387075799999998</v>
      </c>
      <c r="Y65">
        <f t="shared" si="10"/>
        <v>0.25610170999999998</v>
      </c>
      <c r="Z65">
        <f t="shared" si="9"/>
        <v>0.36771709613834741</v>
      </c>
      <c r="AA65">
        <f t="shared" si="8"/>
        <v>3.884523999999999</v>
      </c>
      <c r="AB65">
        <f t="shared" si="5"/>
        <v>9.5188802632147421E-2</v>
      </c>
      <c r="AC65">
        <f t="shared" si="6"/>
        <v>40.785324934465351</v>
      </c>
    </row>
    <row r="66" spans="1:29" x14ac:dyDescent="0.2">
      <c r="A66">
        <v>46137.044564074073</v>
      </c>
      <c r="B66">
        <v>17.662772</v>
      </c>
      <c r="C66">
        <v>17.808375999999999</v>
      </c>
      <c r="D66">
        <v>18.953146</v>
      </c>
      <c r="E66">
        <v>19.192474000000001</v>
      </c>
      <c r="F66">
        <v>38.912151999999999</v>
      </c>
      <c r="G66">
        <v>37.678280999999998</v>
      </c>
      <c r="H66">
        <v>34.346336000000001</v>
      </c>
      <c r="I66">
        <v>30.219760000000001</v>
      </c>
      <c r="J66">
        <v>56.934583000000003</v>
      </c>
      <c r="K66">
        <v>53.049264999999998</v>
      </c>
      <c r="L66">
        <v>39.506036999999999</v>
      </c>
      <c r="M66">
        <v>-622.48163399999999</v>
      </c>
      <c r="N66">
        <v>1.604082</v>
      </c>
      <c r="O66">
        <v>3.406148</v>
      </c>
      <c r="P66">
        <f t="shared" ref="P66:P129" si="11" xml:space="preserve"> N66*0.001/60</f>
        <v>2.67347E-5</v>
      </c>
      <c r="Q66" cm="1">
        <f t="array" ref="Q66">[1]!PropsSI("D","T",J66+273.15,"P",101325,"Water")</f>
        <v>984.7448342335756</v>
      </c>
      <c r="R66" cm="1">
        <f t="array" ref="R66">[1]!PropsSI("D","T",K66+273.15,"P",101325,"Water")</f>
        <v>986.62572667825032</v>
      </c>
      <c r="S66">
        <f t="shared" ref="S66:S129" si="12">(Q66+R66)/2</f>
        <v>985.68528045591302</v>
      </c>
      <c r="T66" cm="1">
        <f t="array" ref="T66">[1]!PropsSI("H","T",J66+273.15,"P",101325,"Water")</f>
        <v>238422.0467197258</v>
      </c>
      <c r="U66" cm="1">
        <f t="array" ref="U66">[1]!PropsSI("H","T",K66+273.15,"P",101325,"Water")</f>
        <v>222169.90462068853</v>
      </c>
      <c r="V66">
        <f t="shared" ref="V66:V129" si="13">S66*P66*(T66-U66)</f>
        <v>428.27645293972932</v>
      </c>
      <c r="X66">
        <f t="shared" si="10"/>
        <v>0.26386916599999999</v>
      </c>
      <c r="Y66">
        <f t="shared" si="10"/>
        <v>0.25609852999999999</v>
      </c>
      <c r="Z66">
        <f t="shared" si="9"/>
        <v>0.3677137389787013</v>
      </c>
      <c r="AA66">
        <f t="shared" si="8"/>
        <v>3.8853180000000052</v>
      </c>
      <c r="AB66">
        <f t="shared" si="5"/>
        <v>9.5168705366417028E-2</v>
      </c>
      <c r="AC66">
        <f t="shared" si="6"/>
        <v>40.758515565195268</v>
      </c>
    </row>
    <row r="67" spans="1:29" x14ac:dyDescent="0.2">
      <c r="A67">
        <v>46137.044598796296</v>
      </c>
      <c r="B67">
        <v>17.448097000000001</v>
      </c>
      <c r="C67">
        <v>17.661144</v>
      </c>
      <c r="D67">
        <v>18.848047999999999</v>
      </c>
      <c r="E67">
        <v>19.15813</v>
      </c>
      <c r="F67">
        <v>39.088200000000001</v>
      </c>
      <c r="G67">
        <v>36.409894999999999</v>
      </c>
      <c r="H67">
        <v>34.186711000000003</v>
      </c>
      <c r="I67">
        <v>29.599143999999999</v>
      </c>
      <c r="J67">
        <v>56.932035999999997</v>
      </c>
      <c r="K67">
        <v>53.050536999999998</v>
      </c>
      <c r="L67">
        <v>45.886125</v>
      </c>
      <c r="M67">
        <v>-622.47796000000005</v>
      </c>
      <c r="N67">
        <v>1.6041019999999999</v>
      </c>
      <c r="O67">
        <v>3.1645210000000001</v>
      </c>
      <c r="P67">
        <f t="shared" si="11"/>
        <v>2.6735033333333334E-5</v>
      </c>
      <c r="Q67" cm="1">
        <f t="array" ref="Q67">[1]!PropsSI("D","T",J67+273.15,"P",101325,"Water")</f>
        <v>984.74609774025282</v>
      </c>
      <c r="R67" cm="1">
        <f t="array" ref="R67">[1]!PropsSI("D","T",K67+273.15,"P",101325,"Water")</f>
        <v>986.62512634361451</v>
      </c>
      <c r="S67">
        <f t="shared" si="12"/>
        <v>985.68561204193361</v>
      </c>
      <c r="T67" cm="1">
        <f t="array" ref="T67">[1]!PropsSI("H","T",J67+273.15,"P",101325,"Water")</f>
        <v>238411.39087612054</v>
      </c>
      <c r="U67" cm="1">
        <f t="array" ref="U67">[1]!PropsSI("H","T",K67+273.15,"P",101325,"Water")</f>
        <v>222175.2244811428</v>
      </c>
      <c r="V67">
        <f t="shared" si="13"/>
        <v>427.86093969850896</v>
      </c>
      <c r="X67">
        <f t="shared" si="10"/>
        <v>0.26386407200000001</v>
      </c>
      <c r="Y67">
        <f t="shared" si="10"/>
        <v>0.25610107399999998</v>
      </c>
      <c r="Z67">
        <f t="shared" si="9"/>
        <v>0.36771185539274454</v>
      </c>
      <c r="AA67">
        <f t="shared" si="8"/>
        <v>3.881498999999998</v>
      </c>
      <c r="AB67">
        <f t="shared" ref="AB67:AB130" si="14">SQRT((0.01)^2 + (Z67/ABS(AA67))^2)</f>
        <v>9.5260825751744854E-2</v>
      </c>
      <c r="AC67">
        <f t="shared" ref="AC67:AC130" si="15">ABS(V67*AB67)</f>
        <v>40.758386422597475</v>
      </c>
    </row>
    <row r="68" spans="1:29" x14ac:dyDescent="0.2">
      <c r="A68">
        <v>46137.044634097219</v>
      </c>
      <c r="B68">
        <v>17.458781999999999</v>
      </c>
      <c r="C68">
        <v>17.755924</v>
      </c>
      <c r="D68">
        <v>18.853743000000001</v>
      </c>
      <c r="E68">
        <v>19.177662999999999</v>
      </c>
      <c r="F68">
        <v>39.316898999999999</v>
      </c>
      <c r="G68">
        <v>37.584674</v>
      </c>
      <c r="H68">
        <v>34.014778999999997</v>
      </c>
      <c r="I68">
        <v>30.415184</v>
      </c>
      <c r="J68">
        <v>56.931080000000001</v>
      </c>
      <c r="K68">
        <v>53.046720999999998</v>
      </c>
      <c r="L68">
        <v>44.214371999999997</v>
      </c>
      <c r="M68">
        <v>-622.51428499999997</v>
      </c>
      <c r="N68">
        <v>1.6045739999999999</v>
      </c>
      <c r="O68">
        <v>3.0604439999999999</v>
      </c>
      <c r="P68">
        <f t="shared" si="11"/>
        <v>2.6742899999999998E-5</v>
      </c>
      <c r="Q68" cm="1">
        <f t="array" ref="Q68">[1]!PropsSI("D","T",J68+273.15,"P",101325,"Water")</f>
        <v>984.74657197912666</v>
      </c>
      <c r="R68" cm="1">
        <f t="array" ref="R68">[1]!PropsSI("D","T",K68+273.15,"P",101325,"Water")</f>
        <v>986.62692731677316</v>
      </c>
      <c r="S68">
        <f t="shared" si="12"/>
        <v>985.68674964794991</v>
      </c>
      <c r="T68" cm="1">
        <f t="array" ref="T68">[1]!PropsSI("H","T",J68+273.15,"P",101325,"Water")</f>
        <v>238407.39127465451</v>
      </c>
      <c r="U68" cm="1">
        <f t="array" ref="U68">[1]!PropsSI("H","T",K68+273.15,"P",101325,"Water")</f>
        <v>222159.26490139076</v>
      </c>
      <c r="V68">
        <f t="shared" si="13"/>
        <v>428.30259634917047</v>
      </c>
      <c r="X68">
        <f t="shared" si="10"/>
        <v>0.26386216000000001</v>
      </c>
      <c r="Y68">
        <f t="shared" si="10"/>
        <v>0.256093442</v>
      </c>
      <c r="Z68">
        <f t="shared" si="9"/>
        <v>0.36770516792026864</v>
      </c>
      <c r="AA68">
        <f t="shared" si="8"/>
        <v>3.8843590000000034</v>
      </c>
      <c r="AB68">
        <f t="shared" si="14"/>
        <v>9.5189747601415964E-2</v>
      </c>
      <c r="AC68">
        <f t="shared" si="15"/>
        <v>40.770016043508683</v>
      </c>
    </row>
    <row r="69" spans="1:29" x14ac:dyDescent="0.2">
      <c r="A69">
        <v>46137.044668819442</v>
      </c>
      <c r="B69">
        <v>17.702152999999999</v>
      </c>
      <c r="C69">
        <v>17.954819000000001</v>
      </c>
      <c r="D69">
        <v>18.979427000000001</v>
      </c>
      <c r="E69">
        <v>19.186138</v>
      </c>
      <c r="F69">
        <v>39.070515</v>
      </c>
      <c r="G69">
        <v>38.694595</v>
      </c>
      <c r="H69">
        <v>34.996994999999998</v>
      </c>
      <c r="I69">
        <v>30.561163000000001</v>
      </c>
      <c r="J69">
        <v>56.928055000000001</v>
      </c>
      <c r="K69">
        <v>53.039881999999999</v>
      </c>
      <c r="L69">
        <v>42.290795000000003</v>
      </c>
      <c r="M69">
        <v>-622.49102100000005</v>
      </c>
      <c r="N69">
        <v>1.6063719999999999</v>
      </c>
      <c r="O69">
        <v>3.262702</v>
      </c>
      <c r="P69">
        <f t="shared" si="11"/>
        <v>2.6772866666666666E-5</v>
      </c>
      <c r="Q69" cm="1">
        <f t="array" ref="Q69">[1]!PropsSI("D","T",J69+273.15,"P",101325,"Water")</f>
        <v>984.74807254144685</v>
      </c>
      <c r="R69" cm="1">
        <f t="array" ref="R69">[1]!PropsSI("D","T",K69+273.15,"P",101325,"Water")</f>
        <v>986.63015477331237</v>
      </c>
      <c r="S69">
        <f t="shared" si="12"/>
        <v>985.68911365737961</v>
      </c>
      <c r="T69" cm="1">
        <f t="array" ref="T69">[1]!PropsSI("H","T",J69+273.15,"P",101325,"Water")</f>
        <v>238394.73563444286</v>
      </c>
      <c r="U69" cm="1">
        <f t="array" ref="U69">[1]!PropsSI("H","T",K69+273.15,"P",101325,"Water")</f>
        <v>222130.66230184742</v>
      </c>
      <c r="V69">
        <f t="shared" si="13"/>
        <v>429.2043935913278</v>
      </c>
      <c r="X69">
        <f t="shared" si="10"/>
        <v>0.26385610999999998</v>
      </c>
      <c r="Y69">
        <f t="shared" si="10"/>
        <v>0.25607976399999999</v>
      </c>
      <c r="Z69">
        <f t="shared" si="9"/>
        <v>0.36769130029771957</v>
      </c>
      <c r="AA69">
        <f t="shared" si="8"/>
        <v>3.8881730000000019</v>
      </c>
      <c r="AB69">
        <f t="shared" si="14"/>
        <v>9.5093857898746734E-2</v>
      </c>
      <c r="AC69">
        <f t="shared" si="15"/>
        <v>40.81470161369149</v>
      </c>
    </row>
    <row r="70" spans="1:29" x14ac:dyDescent="0.2">
      <c r="A70">
        <v>46137.044703541666</v>
      </c>
      <c r="B70">
        <v>18.019148000000001</v>
      </c>
      <c r="C70">
        <v>18.179003999999999</v>
      </c>
      <c r="D70">
        <v>19.018177000000001</v>
      </c>
      <c r="E70">
        <v>19.221895</v>
      </c>
      <c r="F70">
        <v>39.158971000000001</v>
      </c>
      <c r="G70">
        <v>38.505118000000003</v>
      </c>
      <c r="H70">
        <v>34.531695999999997</v>
      </c>
      <c r="I70">
        <v>30.564981</v>
      </c>
      <c r="J70">
        <v>56.928533000000002</v>
      </c>
      <c r="K70">
        <v>53.040519000000003</v>
      </c>
      <c r="L70">
        <v>39.996623999999997</v>
      </c>
      <c r="M70">
        <v>-622.49061300000005</v>
      </c>
      <c r="N70">
        <v>1.6041430000000001</v>
      </c>
      <c r="O70">
        <v>3.8735040000000001</v>
      </c>
      <c r="P70">
        <f t="shared" si="11"/>
        <v>2.6735716666666669E-5</v>
      </c>
      <c r="Q70" cm="1">
        <f t="array" ref="Q70">[1]!PropsSI("D","T",J70+273.15,"P",101325,"Water")</f>
        <v>984.74783543151273</v>
      </c>
      <c r="R70" cm="1">
        <f t="array" ref="R70">[1]!PropsSI("D","T",K70+273.15,"P",101325,"Water")</f>
        <v>986.62985417320624</v>
      </c>
      <c r="S70">
        <f t="shared" si="12"/>
        <v>985.68884480235943</v>
      </c>
      <c r="T70" cm="1">
        <f t="array" ref="T70">[1]!PropsSI("H","T",J70+273.15,"P",101325,"Water")</f>
        <v>238396.73543454587</v>
      </c>
      <c r="U70" cm="1">
        <f t="array" ref="U70">[1]!PropsSI("H","T",K70+273.15,"P",101325,"Water")</f>
        <v>222133.32641231146</v>
      </c>
      <c r="V70">
        <f t="shared" si="13"/>
        <v>428.59120650979497</v>
      </c>
      <c r="X70">
        <f t="shared" si="10"/>
        <v>0.26385706600000003</v>
      </c>
      <c r="Y70">
        <f t="shared" si="10"/>
        <v>0.25608103799999998</v>
      </c>
      <c r="Z70">
        <f t="shared" si="9"/>
        <v>0.36769287360688108</v>
      </c>
      <c r="AA70">
        <f t="shared" si="8"/>
        <v>3.8880139999999983</v>
      </c>
      <c r="AB70">
        <f t="shared" si="14"/>
        <v>9.5098106162792309E-2</v>
      </c>
      <c r="AC70">
        <f t="shared" si="15"/>
        <v>40.758212057107727</v>
      </c>
    </row>
    <row r="71" spans="1:29" x14ac:dyDescent="0.2">
      <c r="A71">
        <v>46137.044738842589</v>
      </c>
      <c r="B71">
        <v>18.168479000000001</v>
      </c>
      <c r="C71">
        <v>18.294948999999999</v>
      </c>
      <c r="D71">
        <v>19.052947</v>
      </c>
      <c r="E71">
        <v>19.249036</v>
      </c>
      <c r="F71">
        <v>39.051524999999998</v>
      </c>
      <c r="G71">
        <v>38.697150999999998</v>
      </c>
      <c r="H71">
        <v>34.068573999999998</v>
      </c>
      <c r="I71">
        <v>30.010216</v>
      </c>
      <c r="J71">
        <v>56.926144999999998</v>
      </c>
      <c r="K71">
        <v>53.04513</v>
      </c>
      <c r="L71">
        <v>43.039737000000002</v>
      </c>
      <c r="M71">
        <v>-622.487348</v>
      </c>
      <c r="N71">
        <v>1.6062700000000001</v>
      </c>
      <c r="O71">
        <v>3.1227</v>
      </c>
      <c r="P71">
        <f t="shared" si="11"/>
        <v>2.6771166666666669E-5</v>
      </c>
      <c r="Q71" cm="1">
        <f t="array" ref="Q71">[1]!PropsSI("D","T",J71+273.15,"P",101325,"Water")</f>
        <v>984.74901997524557</v>
      </c>
      <c r="R71" cm="1">
        <f t="array" ref="R71">[1]!PropsSI("D","T",K71+273.15,"P",101325,"Water")</f>
        <v>986.62767816695134</v>
      </c>
      <c r="S71">
        <f t="shared" si="12"/>
        <v>985.6883490710984</v>
      </c>
      <c r="T71" cm="1">
        <f t="array" ref="T71">[1]!PropsSI("H","T",J71+273.15,"P",101325,"Water")</f>
        <v>238386.74480231412</v>
      </c>
      <c r="U71" cm="1">
        <f t="array" ref="U71">[1]!PropsSI("H","T",K71+273.15,"P",101325,"Water")</f>
        <v>222152.6108956238</v>
      </c>
      <c r="V71">
        <f t="shared" si="13"/>
        <v>428.38676505875526</v>
      </c>
      <c r="X71">
        <f t="shared" si="10"/>
        <v>0.26385228999999999</v>
      </c>
      <c r="Y71">
        <f t="shared" si="10"/>
        <v>0.25609026000000001</v>
      </c>
      <c r="Z71">
        <f t="shared" si="9"/>
        <v>0.36769586917058467</v>
      </c>
      <c r="AA71">
        <f t="shared" ref="AA71:AA134" si="16">J71-K71</f>
        <v>3.8810149999999979</v>
      </c>
      <c r="AB71">
        <f t="shared" si="14"/>
        <v>9.5268478460653477E-2</v>
      </c>
      <c r="AC71">
        <f t="shared" si="15"/>
        <v>40.811755299829045</v>
      </c>
    </row>
    <row r="72" spans="1:29" x14ac:dyDescent="0.2">
      <c r="A72">
        <v>46137.044773564812</v>
      </c>
      <c r="B72">
        <v>18.241204</v>
      </c>
      <c r="C72">
        <v>18.386140999999999</v>
      </c>
      <c r="D72">
        <v>19.047882999999999</v>
      </c>
      <c r="E72">
        <v>19.219262000000001</v>
      </c>
      <c r="F72">
        <v>38.787379999999999</v>
      </c>
      <c r="G72">
        <v>37.360877000000002</v>
      </c>
      <c r="H72">
        <v>34.342210000000001</v>
      </c>
      <c r="I72">
        <v>30.590309999999999</v>
      </c>
      <c r="J72">
        <v>56.927419</v>
      </c>
      <c r="K72">
        <v>53.047674999999998</v>
      </c>
      <c r="L72">
        <v>40.535373</v>
      </c>
      <c r="M72">
        <v>-622.49347</v>
      </c>
      <c r="N72">
        <v>1.6066389999999999</v>
      </c>
      <c r="O72">
        <v>3.0235789999999998</v>
      </c>
      <c r="P72">
        <f t="shared" si="11"/>
        <v>2.6777316666666665E-5</v>
      </c>
      <c r="Q72" cm="1">
        <f t="array" ref="Q72">[1]!PropsSI("D","T",J72+273.15,"P",101325,"Water")</f>
        <v>984.74838802450461</v>
      </c>
      <c r="R72" cm="1">
        <f t="array" ref="R72">[1]!PropsSI("D","T",K72+273.15,"P",101325,"Water")</f>
        <v>986.62647708213296</v>
      </c>
      <c r="S72">
        <f t="shared" si="12"/>
        <v>985.68743255331879</v>
      </c>
      <c r="T72" cm="1">
        <f t="array" ref="T72">[1]!PropsSI("H","T",J72+273.15,"P",101325,"Water")</f>
        <v>238392.07481265737</v>
      </c>
      <c r="U72" cm="1">
        <f t="array" ref="U72">[1]!PropsSI("H","T",K72+273.15,"P",101325,"Water")</f>
        <v>222163.25479587514</v>
      </c>
      <c r="V72">
        <f t="shared" si="13"/>
        <v>428.34452253880625</v>
      </c>
      <c r="X72">
        <f t="shared" si="10"/>
        <v>0.26385483799999998</v>
      </c>
      <c r="Y72">
        <f t="shared" si="10"/>
        <v>0.25609535</v>
      </c>
      <c r="Z72">
        <f t="shared" si="9"/>
        <v>0.36770124262453713</v>
      </c>
      <c r="AA72">
        <f t="shared" si="16"/>
        <v>3.8797440000000023</v>
      </c>
      <c r="AB72">
        <f t="shared" si="14"/>
        <v>9.5300721855368975E-2</v>
      </c>
      <c r="AC72">
        <f t="shared" si="15"/>
        <v>40.821542200741604</v>
      </c>
    </row>
    <row r="73" spans="1:29" x14ac:dyDescent="0.2">
      <c r="A73">
        <v>46137.044808287035</v>
      </c>
      <c r="B73">
        <v>18.234380000000002</v>
      </c>
      <c r="C73">
        <v>18.193660999999999</v>
      </c>
      <c r="D73">
        <v>19.088269</v>
      </c>
      <c r="E73">
        <v>19.262474000000001</v>
      </c>
      <c r="F73">
        <v>39.374834</v>
      </c>
      <c r="G73">
        <v>36.432524999999998</v>
      </c>
      <c r="H73">
        <v>33.978448999999998</v>
      </c>
      <c r="I73">
        <v>30.199767000000001</v>
      </c>
      <c r="J73">
        <v>56.925190000000001</v>
      </c>
      <c r="K73">
        <v>53.050696000000002</v>
      </c>
      <c r="L73">
        <v>42.506703000000002</v>
      </c>
      <c r="M73">
        <v>-622.51959099999999</v>
      </c>
      <c r="N73">
        <v>1.6055900000000001</v>
      </c>
      <c r="O73">
        <v>3.549696</v>
      </c>
      <c r="P73">
        <f t="shared" si="11"/>
        <v>2.6759833333333334E-5</v>
      </c>
      <c r="Q73" cm="1">
        <f t="array" ref="Q73">[1]!PropsSI("D","T",J73+273.15,"P",101325,"Water")</f>
        <v>984.74949368383545</v>
      </c>
      <c r="R73" cm="1">
        <f t="array" ref="R73">[1]!PropsSI("D","T",K73+273.15,"P",101325,"Water")</f>
        <v>986.62505130105467</v>
      </c>
      <c r="S73">
        <f t="shared" si="12"/>
        <v>985.68727249244512</v>
      </c>
      <c r="T73" cm="1">
        <f t="array" ref="T73">[1]!PropsSI("H","T",J73+273.15,"P",101325,"Water")</f>
        <v>238382.74938669993</v>
      </c>
      <c r="U73" cm="1">
        <f t="array" ref="U73">[1]!PropsSI("H","T",K73+273.15,"P",101325,"Water")</f>
        <v>222175.88946372189</v>
      </c>
      <c r="V73">
        <f t="shared" si="13"/>
        <v>427.48554251963066</v>
      </c>
      <c r="X73">
        <f t="shared" si="10"/>
        <v>0.26385038</v>
      </c>
      <c r="Y73">
        <f t="shared" si="10"/>
        <v>0.25610139199999998</v>
      </c>
      <c r="Z73">
        <f t="shared" ref="Z73:Z136" si="17">SQRT((X73)^2 + (Y73)^2)</f>
        <v>0.36770225184309391</v>
      </c>
      <c r="AA73">
        <f t="shared" si="16"/>
        <v>3.8744939999999986</v>
      </c>
      <c r="AB73">
        <f t="shared" si="14"/>
        <v>9.542869398816059E-2</v>
      </c>
      <c r="AC73">
        <f t="shared" si="15"/>
        <v>40.794387021468644</v>
      </c>
    </row>
    <row r="74" spans="1:29" x14ac:dyDescent="0.2">
      <c r="A74">
        <v>46137.044843587966</v>
      </c>
      <c r="B74">
        <v>18.007916000000002</v>
      </c>
      <c r="C74">
        <v>18.087012999999999</v>
      </c>
      <c r="D74">
        <v>19.050691</v>
      </c>
      <c r="E74">
        <v>19.271176000000001</v>
      </c>
      <c r="F74">
        <v>39.154121000000004</v>
      </c>
      <c r="G74">
        <v>37.148887000000002</v>
      </c>
      <c r="H74">
        <v>34.708264999999997</v>
      </c>
      <c r="I74">
        <v>30.404743</v>
      </c>
      <c r="J74">
        <v>56.926940999999999</v>
      </c>
      <c r="K74">
        <v>53.051969</v>
      </c>
      <c r="L74">
        <v>43.518081000000002</v>
      </c>
      <c r="M74">
        <v>-622.52408000000003</v>
      </c>
      <c r="N74">
        <v>1.5998000000000001</v>
      </c>
      <c r="O74">
        <v>3.3081580000000002</v>
      </c>
      <c r="P74">
        <f t="shared" si="11"/>
        <v>2.6663333333333336E-5</v>
      </c>
      <c r="Q74" cm="1">
        <f t="array" ref="Q74">[1]!PropsSI("D","T",J74+273.15,"P",101325,"Water")</f>
        <v>984.74862513117375</v>
      </c>
      <c r="R74" cm="1">
        <f t="array" ref="R74">[1]!PropsSI("D","T",K74+273.15,"P",101325,"Water")</f>
        <v>986.62445048290476</v>
      </c>
      <c r="S74">
        <f t="shared" si="12"/>
        <v>985.68653780703926</v>
      </c>
      <c r="T74" cm="1">
        <f t="array" ref="T74">[1]!PropsSI("H","T",J74+273.15,"P",101325,"Water")</f>
        <v>238390.0750127733</v>
      </c>
      <c r="U74" cm="1">
        <f t="array" ref="U74">[1]!PropsSI("H","T",K74+273.15,"P",101325,"Water")</f>
        <v>222181.21350711893</v>
      </c>
      <c r="V74">
        <f t="shared" si="13"/>
        <v>425.99625259279594</v>
      </c>
      <c r="X74">
        <f t="shared" si="10"/>
        <v>0.26385388199999998</v>
      </c>
      <c r="Y74">
        <f t="shared" si="10"/>
        <v>0.25610393799999998</v>
      </c>
      <c r="Z74">
        <f t="shared" si="17"/>
        <v>0.36770653802397607</v>
      </c>
      <c r="AA74">
        <f t="shared" si="16"/>
        <v>3.8749719999999996</v>
      </c>
      <c r="AB74">
        <f t="shared" si="14"/>
        <v>9.5418151612506386E-2</v>
      </c>
      <c r="AC74">
        <f t="shared" si="15"/>
        <v>40.647775016258969</v>
      </c>
    </row>
    <row r="75" spans="1:29" x14ac:dyDescent="0.2">
      <c r="A75">
        <v>46137.04487888889</v>
      </c>
      <c r="B75">
        <v>18.023482999999999</v>
      </c>
      <c r="C75">
        <v>18.21706</v>
      </c>
      <c r="D75">
        <v>19.063555000000001</v>
      </c>
      <c r="E75">
        <v>19.28997</v>
      </c>
      <c r="F75">
        <v>39.135953999999998</v>
      </c>
      <c r="G75">
        <v>37.067624000000002</v>
      </c>
      <c r="H75">
        <v>34.560389000000001</v>
      </c>
      <c r="I75">
        <v>29.925739</v>
      </c>
      <c r="J75">
        <v>56.925826999999998</v>
      </c>
      <c r="K75">
        <v>53.053241</v>
      </c>
      <c r="L75">
        <v>42.722202000000003</v>
      </c>
      <c r="M75">
        <v>-622.48367399999995</v>
      </c>
      <c r="N75">
        <v>1.604168</v>
      </c>
      <c r="O75">
        <v>3.9227590000000001</v>
      </c>
      <c r="P75">
        <f t="shared" si="11"/>
        <v>2.6736133333333333E-5</v>
      </c>
      <c r="Q75" cm="1">
        <f t="array" ref="Q75">[1]!PropsSI("D","T",J75+273.15,"P",101325,"Water")</f>
        <v>984.74917771337823</v>
      </c>
      <c r="R75" cm="1">
        <f t="array" ref="R75">[1]!PropsSI("D","T",K75+273.15,"P",101325,"Water")</f>
        <v>986.62385012644665</v>
      </c>
      <c r="S75">
        <f t="shared" si="12"/>
        <v>985.68651391991239</v>
      </c>
      <c r="T75" cm="1">
        <f t="array" ref="T75">[1]!PropsSI("H","T",J75+273.15,"P",101325,"Water")</f>
        <v>238385.41439159942</v>
      </c>
      <c r="U75" cm="1">
        <f t="array" ref="U75">[1]!PropsSI("H","T",K75+273.15,"P",101325,"Water")</f>
        <v>222186.53336866538</v>
      </c>
      <c r="V75">
        <f t="shared" si="13"/>
        <v>426.89633728695588</v>
      </c>
      <c r="X75">
        <f t="shared" si="10"/>
        <v>0.26385165399999999</v>
      </c>
      <c r="Y75">
        <f t="shared" si="10"/>
        <v>0.25610648199999997</v>
      </c>
      <c r="Z75">
        <f t="shared" si="17"/>
        <v>0.3677067111720318</v>
      </c>
      <c r="AA75">
        <f t="shared" si="16"/>
        <v>3.8725859999999983</v>
      </c>
      <c r="AB75">
        <f t="shared" si="14"/>
        <v>9.5476340144519223E-2</v>
      </c>
      <c r="AC75">
        <f t="shared" si="15"/>
        <v>40.758499905258802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7D0A-E80A-EC40-B601-C01D31EA53BF}">
  <dimension ref="A1:AC50"/>
  <sheetViews>
    <sheetView topLeftCell="N42" workbookViewId="0">
      <selection activeCell="V32" sqref="V3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>
        <v>44675.0466688218</v>
      </c>
      <c r="B2">
        <v>18.488544000000001</v>
      </c>
      <c r="C2">
        <v>18.872201</v>
      </c>
      <c r="D2">
        <v>19.174184</v>
      </c>
      <c r="E2">
        <v>19.523539</v>
      </c>
      <c r="F2">
        <v>35.122751000000001</v>
      </c>
      <c r="G2">
        <v>32.570363999999998</v>
      </c>
      <c r="H2">
        <v>30.736768000000001</v>
      </c>
      <c r="I2">
        <v>28.135594000000001</v>
      </c>
      <c r="J2">
        <v>57.116719000000003</v>
      </c>
      <c r="K2">
        <v>52.052798000000003</v>
      </c>
      <c r="L2">
        <v>90.228802999999999</v>
      </c>
      <c r="M2">
        <v>-622.47061399999996</v>
      </c>
      <c r="N2">
        <v>1.603459</v>
      </c>
      <c r="O2">
        <v>2.973522</v>
      </c>
      <c r="P2">
        <f t="shared" ref="P2:P65" si="0" xml:space="preserve"> N2*0.001/60</f>
        <v>2.6724316666666668E-5</v>
      </c>
      <c r="Q2" cm="1">
        <f t="array" ref="Q2">[1]!PropsSI("D","T",J2+273.15,"P",101325,"Water")</f>
        <v>984.6543785637283</v>
      </c>
      <c r="R2" cm="1">
        <f t="array" ref="R2">[1]!PropsSI("D","T",K2+273.15,"P",101325,"Water")</f>
        <v>987.09285792128946</v>
      </c>
      <c r="S2">
        <f t="shared" ref="S2:S65" si="1">(Q2+R2)/2</f>
        <v>985.87361824250888</v>
      </c>
      <c r="T2" cm="1">
        <f t="array" ref="T2">[1]!PropsSI("H","T",J2+273.15,"P",101325,"Water")</f>
        <v>239184.0528136272</v>
      </c>
      <c r="U2" cm="1">
        <f t="array" ref="U2">[1]!PropsSI("H","T",K2+273.15,"P",101325,"Water")</f>
        <v>218002.56269255397</v>
      </c>
      <c r="V2">
        <f t="shared" ref="V2:V65" si="2">S2*P2*(T2-U2)</f>
        <v>558.06445780988622</v>
      </c>
      <c r="W2" s="3">
        <f>AVERAGE(V11:V50)</f>
        <v>562.82614324046438</v>
      </c>
      <c r="X2">
        <f>(0.15+0.002*ABS(J2))</f>
        <v>0.26423343799999999</v>
      </c>
      <c r="Y2">
        <f>(0.15+0.002*ABS(K2))</f>
        <v>0.25410559599999999</v>
      </c>
      <c r="Z2">
        <f>SQRT((X2)^2 + (Y2)^2)</f>
        <v>0.36659100326633093</v>
      </c>
      <c r="AA2">
        <f>J2-K2</f>
        <v>5.0639210000000006</v>
      </c>
      <c r="AB2">
        <f>SQRT((0.01)^2 + (Z2/ABS(AA2))^2)</f>
        <v>7.308013117078023E-2</v>
      </c>
      <c r="AC2">
        <f>ABS(V2*AB2)</f>
        <v>40.783423778496832</v>
      </c>
    </row>
    <row r="3" spans="1:29" x14ac:dyDescent="0.2">
      <c r="A3">
        <v>44675.046703544002</v>
      </c>
      <c r="B3">
        <v>18.480765999999999</v>
      </c>
      <c r="C3">
        <v>18.821664999999999</v>
      </c>
      <c r="D3">
        <v>19.137481999999999</v>
      </c>
      <c r="E3">
        <v>19.464475</v>
      </c>
      <c r="F3">
        <v>35.276333000000001</v>
      </c>
      <c r="G3">
        <v>34.575648999999999</v>
      </c>
      <c r="H3">
        <v>30.743283999999999</v>
      </c>
      <c r="I3">
        <v>28.126377000000002</v>
      </c>
      <c r="J3">
        <v>57.119903000000001</v>
      </c>
      <c r="K3">
        <v>52.061540999999998</v>
      </c>
      <c r="L3">
        <v>80.310931999999994</v>
      </c>
      <c r="M3">
        <v>-622.50244899999996</v>
      </c>
      <c r="N3">
        <v>1.6026480000000001</v>
      </c>
      <c r="O3">
        <v>2.9336829999999998</v>
      </c>
      <c r="P3">
        <f t="shared" si="0"/>
        <v>2.6710800000000002E-5</v>
      </c>
      <c r="Q3" cm="1">
        <f t="array" ref="Q3">[1]!PropsSI("D","T",J3+273.15,"P",101325,"Water")</f>
        <v>984.65279547490218</v>
      </c>
      <c r="R3" cm="1">
        <f t="array" ref="R3">[1]!PropsSI("D","T",K3+273.15,"P",101325,"Water")</f>
        <v>987.08878688158188</v>
      </c>
      <c r="S3">
        <f t="shared" si="1"/>
        <v>985.87079117824203</v>
      </c>
      <c r="T3" cm="1">
        <f t="array" ref="T3">[1]!PropsSI("H","T",J3+273.15,"P",101325,"Water")</f>
        <v>239197.37389514557</v>
      </c>
      <c r="U3" cm="1">
        <f t="array" ref="U3">[1]!PropsSI("H","T",K3+273.15,"P",101325,"Water")</f>
        <v>218039.12555713183</v>
      </c>
      <c r="V3">
        <f t="shared" si="2"/>
        <v>557.16856450229966</v>
      </c>
      <c r="W3" s="3" t="s">
        <v>35</v>
      </c>
      <c r="X3">
        <f t="shared" ref="X3:Y55" si="3">(0.15+0.002*ABS(J3))</f>
        <v>0.26423980599999997</v>
      </c>
      <c r="Y3">
        <f t="shared" si="3"/>
        <v>0.254123082</v>
      </c>
      <c r="Z3">
        <f t="shared" ref="Z3:Z55" si="4">SQRT((X3)^2 + (Y3)^2)</f>
        <v>0.36660771388515045</v>
      </c>
      <c r="AA3">
        <f>J3-K3</f>
        <v>5.0583620000000025</v>
      </c>
      <c r="AB3">
        <f t="shared" ref="AB3:AB66" si="5">SQRT((0.01)^2 + (Z3/ABS(AA3))^2)</f>
        <v>7.3162213791294534E-2</v>
      </c>
      <c r="AC3">
        <f t="shared" ref="AC3:AC66" si="6">ABS(V3*AB3)</f>
        <v>40.763685633905929</v>
      </c>
    </row>
    <row r="4" spans="1:29" x14ac:dyDescent="0.2">
      <c r="A4">
        <v>44675.046738844903</v>
      </c>
      <c r="B4">
        <v>18.388631</v>
      </c>
      <c r="C4">
        <v>18.748673</v>
      </c>
      <c r="D4">
        <v>19.139841000000001</v>
      </c>
      <c r="E4">
        <v>19.464680999999999</v>
      </c>
      <c r="F4">
        <v>35.340932000000002</v>
      </c>
      <c r="G4">
        <v>34.001094999999999</v>
      </c>
      <c r="H4">
        <v>30.888604000000001</v>
      </c>
      <c r="I4">
        <v>27.940639999999998</v>
      </c>
      <c r="J4">
        <v>57.128660000000004</v>
      </c>
      <c r="K4">
        <v>52.071556999999999</v>
      </c>
      <c r="L4">
        <v>80.819478000000004</v>
      </c>
      <c r="M4">
        <v>-622.519183</v>
      </c>
      <c r="N4">
        <v>1.602811</v>
      </c>
      <c r="O4">
        <v>4.1659620000000004</v>
      </c>
      <c r="P4">
        <f t="shared" si="0"/>
        <v>2.6713516666666668E-5</v>
      </c>
      <c r="Q4" cm="1">
        <f t="array" ref="Q4">[1]!PropsSI("D","T",J4+273.15,"P",101325,"Water")</f>
        <v>984.64844116576592</v>
      </c>
      <c r="R4" cm="1">
        <f t="array" ref="R4">[1]!PropsSI("D","T",K4+273.15,"P",101325,"Water")</f>
        <v>987.08412248760055</v>
      </c>
      <c r="S4">
        <f t="shared" si="1"/>
        <v>985.86628182668323</v>
      </c>
      <c r="T4" cm="1">
        <f t="array" ref="T4">[1]!PropsSI("H","T",J4+273.15,"P",101325,"Water")</f>
        <v>239234.01107377608</v>
      </c>
      <c r="U4" cm="1">
        <f t="array" ref="U4">[1]!PropsSI("H","T",K4+273.15,"P",101325,"Water")</f>
        <v>218081.01208476583</v>
      </c>
      <c r="V4">
        <f t="shared" si="2"/>
        <v>557.08443690759145</v>
      </c>
      <c r="W4" s="3">
        <f>SQRT((AVERAGE(AC11:AC50))^2 + (_xlfn.STDEV.S(V11:V50)/SQRT(COUNT(V11:V50)))^2)</f>
        <v>40.827065105492153</v>
      </c>
      <c r="X4">
        <f t="shared" si="3"/>
        <v>0.26425732000000002</v>
      </c>
      <c r="Y4">
        <f t="shared" si="3"/>
        <v>0.254143114</v>
      </c>
      <c r="Z4">
        <f t="shared" si="4"/>
        <v>0.36663422312599159</v>
      </c>
      <c r="AA4">
        <f t="shared" ref="AA4:AA67" si="7">J4-K4</f>
        <v>5.057103000000005</v>
      </c>
      <c r="AB4">
        <f t="shared" si="5"/>
        <v>7.3185280593047949E-2</v>
      </c>
      <c r="AC4">
        <f t="shared" si="6"/>
        <v>40.770380829102194</v>
      </c>
    </row>
    <row r="5" spans="1:29" x14ac:dyDescent="0.2">
      <c r="A5">
        <v>44675.046773567199</v>
      </c>
      <c r="B5">
        <v>18.313437</v>
      </c>
      <c r="C5">
        <v>18.549092000000002</v>
      </c>
      <c r="D5">
        <v>19.119865000000001</v>
      </c>
      <c r="E5">
        <v>19.452725000000001</v>
      </c>
      <c r="F5">
        <v>35.138171999999997</v>
      </c>
      <c r="G5">
        <v>33.512970000000003</v>
      </c>
      <c r="H5">
        <v>31.498125000000002</v>
      </c>
      <c r="I5">
        <v>28.153873000000001</v>
      </c>
      <c r="J5">
        <v>57.136462000000002</v>
      </c>
      <c r="K5">
        <v>52.076008000000002</v>
      </c>
      <c r="L5">
        <v>83.662600999999995</v>
      </c>
      <c r="M5">
        <v>-622.51428499999997</v>
      </c>
      <c r="N5">
        <v>1.6050530000000001</v>
      </c>
      <c r="O5">
        <v>2.9441670000000002</v>
      </c>
      <c r="P5">
        <f t="shared" si="0"/>
        <v>2.6750883333333335E-5</v>
      </c>
      <c r="Q5" cm="1">
        <f t="array" ref="Q5">[1]!PropsSI("D","T",J5+273.15,"P",101325,"Water")</f>
        <v>984.6445613261568</v>
      </c>
      <c r="R5" cm="1">
        <f t="array" ref="R5">[1]!PropsSI("D","T",K5+273.15,"P",101325,"Water")</f>
        <v>987.08204947600575</v>
      </c>
      <c r="S5">
        <f t="shared" si="1"/>
        <v>985.86330540108133</v>
      </c>
      <c r="T5" cm="1">
        <f t="array" ref="T5">[1]!PropsSI("H","T",J5+273.15,"P",101325,"Water")</f>
        <v>239266.65278793321</v>
      </c>
      <c r="U5" cm="1">
        <f t="array" ref="U5">[1]!PropsSI("H","T",K5+273.15,"P",101325,"Water")</f>
        <v>218099.62600614893</v>
      </c>
      <c r="V5">
        <f t="shared" si="2"/>
        <v>558.23194916403861</v>
      </c>
      <c r="W5" s="3"/>
      <c r="X5">
        <f t="shared" si="3"/>
        <v>0.26427292400000002</v>
      </c>
      <c r="Y5">
        <f t="shared" si="3"/>
        <v>0.25415201599999998</v>
      </c>
      <c r="Z5">
        <f t="shared" si="4"/>
        <v>0.36665164065686934</v>
      </c>
      <c r="AA5">
        <f t="shared" si="7"/>
        <v>5.060454</v>
      </c>
      <c r="AB5">
        <f t="shared" si="5"/>
        <v>7.3141132452621924E-2</v>
      </c>
      <c r="AC5">
        <f t="shared" si="6"/>
        <v>40.829716933092257</v>
      </c>
    </row>
    <row r="6" spans="1:29" x14ac:dyDescent="0.2">
      <c r="A6">
        <v>46137.046808865744</v>
      </c>
      <c r="B6">
        <v>18.165343</v>
      </c>
      <c r="C6">
        <v>18.487007999999999</v>
      </c>
      <c r="D6">
        <v>19.148575000000001</v>
      </c>
      <c r="E6">
        <v>19.451022999999999</v>
      </c>
      <c r="F6">
        <v>35.729683999999999</v>
      </c>
      <c r="G6">
        <v>34.102736</v>
      </c>
      <c r="H6">
        <v>30.701277000000001</v>
      </c>
      <c r="I6">
        <v>28.294315000000001</v>
      </c>
      <c r="J6">
        <v>57.140442</v>
      </c>
      <c r="K6">
        <v>52.074418999999999</v>
      </c>
      <c r="L6">
        <v>84.647857999999999</v>
      </c>
      <c r="M6">
        <v>-622.51550899999995</v>
      </c>
      <c r="N6">
        <v>1.6035489999999999</v>
      </c>
      <c r="O6">
        <v>3.7890090000000001</v>
      </c>
      <c r="P6">
        <f t="shared" si="0"/>
        <v>2.6725816666666664E-5</v>
      </c>
      <c r="Q6" cm="1">
        <f t="array" ref="Q6">[1]!PropsSI("D","T",J6+273.15,"P",101325,"Water")</f>
        <v>984.64258197818936</v>
      </c>
      <c r="R6" cm="1">
        <f t="array" ref="R6">[1]!PropsSI("D","T",K6+273.15,"P",101325,"Water")</f>
        <v>987.08278955242986</v>
      </c>
      <c r="S6">
        <f t="shared" si="1"/>
        <v>985.86268576530961</v>
      </c>
      <c r="T6" cm="1">
        <f t="array" ref="T6">[1]!PropsSI("H","T",J6+273.15,"P",101325,"Water")</f>
        <v>239283.30417144753</v>
      </c>
      <c r="U6" cm="1">
        <f t="array" ref="U6">[1]!PropsSI("H","T",K6+273.15,"P",101325,"Water")</f>
        <v>218092.98086476928</v>
      </c>
      <c r="V6">
        <f t="shared" si="2"/>
        <v>558.32232906900572</v>
      </c>
      <c r="W6" s="3"/>
      <c r="X6">
        <f t="shared" si="3"/>
        <v>0.26428088399999999</v>
      </c>
      <c r="Y6">
        <f t="shared" si="3"/>
        <v>0.25414883799999999</v>
      </c>
      <c r="Z6">
        <f t="shared" si="4"/>
        <v>0.36665517520494878</v>
      </c>
      <c r="AA6">
        <f>J6-K6</f>
        <v>5.0660230000000013</v>
      </c>
      <c r="AB6">
        <f t="shared" si="5"/>
        <v>7.3062924453234035E-2</v>
      </c>
      <c r="AC6">
        <f t="shared" si="6"/>
        <v>40.792662149322439</v>
      </c>
    </row>
    <row r="7" spans="1:29" x14ac:dyDescent="0.2">
      <c r="A7">
        <v>46137.046844166667</v>
      </c>
      <c r="B7">
        <v>18.12453</v>
      </c>
      <c r="C7">
        <v>18.257166000000002</v>
      </c>
      <c r="D7">
        <v>19.133497999999999</v>
      </c>
      <c r="E7">
        <v>19.432652999999998</v>
      </c>
      <c r="F7">
        <v>35.885562</v>
      </c>
      <c r="G7">
        <v>34.303949000000003</v>
      </c>
      <c r="H7">
        <v>30.886215</v>
      </c>
      <c r="I7">
        <v>28.312128000000001</v>
      </c>
      <c r="J7">
        <v>57.145378000000001</v>
      </c>
      <c r="K7">
        <v>52.066628999999999</v>
      </c>
      <c r="L7">
        <v>86.394709000000006</v>
      </c>
      <c r="M7">
        <v>-622.47673599999996</v>
      </c>
      <c r="N7">
        <v>1.603602</v>
      </c>
      <c r="O7">
        <v>3.1310229999999999</v>
      </c>
      <c r="P7">
        <f t="shared" si="0"/>
        <v>2.6726699999999999E-5</v>
      </c>
      <c r="Q7" cm="1">
        <f t="array" ref="Q7">[1]!PropsSI("D","T",J7+273.15,"P",101325,"Water")</f>
        <v>984.64012705524169</v>
      </c>
      <c r="R7" cm="1">
        <f t="array" ref="R7">[1]!PropsSI("D","T",K7+273.15,"P",101325,"Water")</f>
        <v>987.08641750935715</v>
      </c>
      <c r="S7">
        <f t="shared" si="1"/>
        <v>985.86327228229948</v>
      </c>
      <c r="T7" cm="1">
        <f t="array" ref="T7">[1]!PropsSI("H","T",J7+273.15,"P",101325,"Water")</f>
        <v>239303.95524266877</v>
      </c>
      <c r="U7" cm="1">
        <f t="array" ref="U7">[1]!PropsSI("H","T",K7+273.15,"P",101325,"Water")</f>
        <v>218060.40337390278</v>
      </c>
      <c r="V7">
        <f t="shared" si="2"/>
        <v>559.74362730127712</v>
      </c>
      <c r="W7" s="3"/>
      <c r="X7">
        <f t="shared" si="3"/>
        <v>0.26429075600000002</v>
      </c>
      <c r="Y7">
        <f t="shared" si="3"/>
        <v>0.25413325799999997</v>
      </c>
      <c r="Z7">
        <f t="shared" si="4"/>
        <v>0.3666514919221604</v>
      </c>
      <c r="AA7">
        <f t="shared" ref="AA7:AA70" si="8">J7-K7</f>
        <v>5.078749000000002</v>
      </c>
      <c r="AB7">
        <f t="shared" si="5"/>
        <v>7.2882563522710095E-2</v>
      </c>
      <c r="AC7">
        <f t="shared" si="6"/>
        <v>40.795550473217496</v>
      </c>
    </row>
    <row r="8" spans="1:29" x14ac:dyDescent="0.2">
      <c r="A8">
        <v>46137.04687888889</v>
      </c>
      <c r="B8">
        <v>17.955161</v>
      </c>
      <c r="C8">
        <v>18.209261000000001</v>
      </c>
      <c r="D8">
        <v>19.148299999999999</v>
      </c>
      <c r="E8">
        <v>19.449294999999999</v>
      </c>
      <c r="F8">
        <v>35.666879999999999</v>
      </c>
      <c r="G8">
        <v>35.047072</v>
      </c>
      <c r="H8">
        <v>30.578161999999999</v>
      </c>
      <c r="I8">
        <v>28.623069999999998</v>
      </c>
      <c r="J8">
        <v>57.150154000000001</v>
      </c>
      <c r="K8">
        <v>52.068378000000003</v>
      </c>
      <c r="L8">
        <v>83.101813000000007</v>
      </c>
      <c r="M8">
        <v>-622.50122399999998</v>
      </c>
      <c r="N8">
        <v>1.6035239999999999</v>
      </c>
      <c r="O8">
        <v>2.6903920000000001</v>
      </c>
      <c r="P8">
        <f t="shared" si="0"/>
        <v>2.67254E-5</v>
      </c>
      <c r="Q8" cm="1">
        <f t="array" ref="Q8">[1]!PropsSI("D","T",J8+273.15,"P",101325,"Water")</f>
        <v>984.63775156754775</v>
      </c>
      <c r="R8" cm="1">
        <f t="array" ref="R8">[1]!PropsSI("D","T",K8+273.15,"P",101325,"Water")</f>
        <v>987.08560299933924</v>
      </c>
      <c r="S8">
        <f t="shared" si="1"/>
        <v>985.86167728344344</v>
      </c>
      <c r="T8" cm="1">
        <f t="array" ref="T8">[1]!PropsSI("H","T",J8+273.15,"P",101325,"Water")</f>
        <v>239323.93692042274</v>
      </c>
      <c r="U8" cm="1">
        <f t="array" ref="U8">[1]!PropsSI("H","T",K8+273.15,"P",101325,"Water")</f>
        <v>218067.71762537665</v>
      </c>
      <c r="V8">
        <f t="shared" si="2"/>
        <v>560.04925116170853</v>
      </c>
      <c r="W8" s="3"/>
      <c r="X8">
        <f t="shared" si="3"/>
        <v>0.26430030799999998</v>
      </c>
      <c r="Y8">
        <f t="shared" si="3"/>
        <v>0.25413675600000002</v>
      </c>
      <c r="Z8">
        <f>SQRT((X8)^2 + (Y8)^2)</f>
        <v>0.36666080177610805</v>
      </c>
      <c r="AA8">
        <f t="shared" si="8"/>
        <v>5.0817759999999979</v>
      </c>
      <c r="AB8">
        <f t="shared" si="5"/>
        <v>7.2841782633326704E-2</v>
      </c>
      <c r="AC8">
        <f t="shared" si="6"/>
        <v>40.794985817078569</v>
      </c>
    </row>
    <row r="9" spans="1:29" x14ac:dyDescent="0.2">
      <c r="A9">
        <v>46137.046913611113</v>
      </c>
      <c r="B9">
        <v>17.842790000000001</v>
      </c>
      <c r="C9">
        <v>18.219989999999999</v>
      </c>
      <c r="D9">
        <v>19.142861</v>
      </c>
      <c r="E9">
        <v>19.447185999999999</v>
      </c>
      <c r="F9">
        <v>35.425713000000002</v>
      </c>
      <c r="G9">
        <v>34.512188000000002</v>
      </c>
      <c r="H9">
        <v>30.972445</v>
      </c>
      <c r="I9">
        <v>28.486834999999999</v>
      </c>
      <c r="J9">
        <v>57.157795999999998</v>
      </c>
      <c r="K9">
        <v>52.073464999999999</v>
      </c>
      <c r="L9">
        <v>85.477611999999993</v>
      </c>
      <c r="M9">
        <v>-622.46857299999999</v>
      </c>
      <c r="N9">
        <v>1.603844</v>
      </c>
      <c r="O9">
        <v>4.0122609999999996</v>
      </c>
      <c r="P9">
        <f t="shared" si="0"/>
        <v>2.6730733333333335E-5</v>
      </c>
      <c r="Q9" cm="1">
        <f t="array" ref="Q9">[1]!PropsSI("D","T",J9+273.15,"P",101325,"Water")</f>
        <v>984.63395030016522</v>
      </c>
      <c r="R9" cm="1">
        <f t="array" ref="R9">[1]!PropsSI("D","T",K9+273.15,"P",101325,"Water")</f>
        <v>987.08323386999302</v>
      </c>
      <c r="S9">
        <f t="shared" si="1"/>
        <v>985.85859208507918</v>
      </c>
      <c r="T9" cm="1">
        <f t="array" ref="T9">[1]!PropsSI("H","T",J9+273.15,"P",101325,"Water")</f>
        <v>239355.90929705405</v>
      </c>
      <c r="U9" cm="1">
        <f t="array" ref="U9">[1]!PropsSI("H","T",K9+273.15,"P",101325,"Water")</f>
        <v>218088.99127115399</v>
      </c>
      <c r="V9">
        <f t="shared" si="2"/>
        <v>560.44120255222629</v>
      </c>
      <c r="W9" s="3"/>
      <c r="X9">
        <f t="shared" si="3"/>
        <v>0.26431559199999999</v>
      </c>
      <c r="Y9">
        <f t="shared" si="3"/>
        <v>0.25414692999999999</v>
      </c>
      <c r="Z9">
        <f t="shared" ref="Z9:Z72" si="9">SQRT((X9)^2 + (Y9)^2)</f>
        <v>0.36667887067942068</v>
      </c>
      <c r="AA9">
        <f t="shared" si="8"/>
        <v>5.0843309999999988</v>
      </c>
      <c r="AB9">
        <f t="shared" si="5"/>
        <v>7.2809388081091997E-2</v>
      </c>
      <c r="AC9">
        <f t="shared" si="6"/>
        <v>40.805381013258931</v>
      </c>
    </row>
    <row r="10" spans="1:29" x14ac:dyDescent="0.2">
      <c r="A10">
        <v>44675.046948914402</v>
      </c>
      <c r="B10">
        <v>18.081607000000002</v>
      </c>
      <c r="C10">
        <v>18.482735999999999</v>
      </c>
      <c r="D10">
        <v>19.146892000000001</v>
      </c>
      <c r="E10">
        <v>19.407022000000001</v>
      </c>
      <c r="F10">
        <v>35.134934999999999</v>
      </c>
      <c r="G10">
        <v>32.535555000000002</v>
      </c>
      <c r="H10">
        <v>31.005386999999999</v>
      </c>
      <c r="I10">
        <v>28.009504</v>
      </c>
      <c r="J10">
        <v>57.161617999999997</v>
      </c>
      <c r="K10">
        <v>52.077438999999998</v>
      </c>
      <c r="L10">
        <v>90.543073000000007</v>
      </c>
      <c r="M10">
        <v>-622.48979599999996</v>
      </c>
      <c r="N10">
        <v>1.604487</v>
      </c>
      <c r="O10">
        <v>3.132917</v>
      </c>
      <c r="P10">
        <f t="shared" si="0"/>
        <v>2.6741449999999998E-5</v>
      </c>
      <c r="Q10" cm="1">
        <f t="array" ref="Q10">[1]!PropsSI("D","T",J10+273.15,"P",101325,"Water")</f>
        <v>984.63204903602104</v>
      </c>
      <c r="R10" cm="1">
        <f t="array" ref="R10">[1]!PropsSI("D","T",K10+273.15,"P",101325,"Water")</f>
        <v>987.08138297418009</v>
      </c>
      <c r="S10">
        <f t="shared" si="1"/>
        <v>985.85671600510057</v>
      </c>
      <c r="T10" cm="1">
        <f t="array" ref="T10">[1]!PropsSI("H","T",J10+273.15,"P",101325,"Water")</f>
        <v>239371.89967778561</v>
      </c>
      <c r="U10" cm="1">
        <f t="array" ref="U10">[1]!PropsSI("H","T",K10+273.15,"P",101325,"Water")</f>
        <v>218105.61039783605</v>
      </c>
      <c r="V10">
        <f t="shared" si="2"/>
        <v>560.6482473274931</v>
      </c>
      <c r="X10">
        <f t="shared" si="3"/>
        <v>0.26432323599999996</v>
      </c>
      <c r="Y10">
        <f t="shared" si="3"/>
        <v>0.25415487799999997</v>
      </c>
      <c r="Z10">
        <f t="shared" si="9"/>
        <v>0.36668988955342979</v>
      </c>
      <c r="AA10">
        <f t="shared" si="8"/>
        <v>5.0841789999999989</v>
      </c>
      <c r="AB10">
        <f t="shared" si="5"/>
        <v>7.2813670527924437E-2</v>
      </c>
      <c r="AC10">
        <f t="shared" si="6"/>
        <v>40.822856762962374</v>
      </c>
    </row>
    <row r="11" spans="1:29" x14ac:dyDescent="0.2">
      <c r="A11">
        <v>44675.046984215303</v>
      </c>
      <c r="B11">
        <v>18.068069000000001</v>
      </c>
      <c r="C11">
        <v>18.49315</v>
      </c>
      <c r="D11">
        <v>19.104279999999999</v>
      </c>
      <c r="E11">
        <v>19.397583000000001</v>
      </c>
      <c r="F11">
        <v>35.384498000000001</v>
      </c>
      <c r="G11">
        <v>32.648586000000002</v>
      </c>
      <c r="H11">
        <v>30.691478</v>
      </c>
      <c r="I11">
        <v>27.842274</v>
      </c>
      <c r="J11">
        <v>57.167349000000002</v>
      </c>
      <c r="K11">
        <v>52.084434000000002</v>
      </c>
      <c r="L11">
        <v>83.313231000000002</v>
      </c>
      <c r="M11">
        <v>-622.506122</v>
      </c>
      <c r="N11">
        <v>1.606061</v>
      </c>
      <c r="O11">
        <v>4.1411049999999996</v>
      </c>
      <c r="P11">
        <f t="shared" si="0"/>
        <v>2.6767683333333335E-5</v>
      </c>
      <c r="Q11" cm="1">
        <f t="array" ref="Q11">[1]!PropsSI("D","T",J11+273.15,"P",101325,"Water")</f>
        <v>984.62919796850667</v>
      </c>
      <c r="R11" cm="1">
        <f t="array" ref="R11">[1]!PropsSI("D","T",K11+273.15,"P",101325,"Water")</f>
        <v>987.07812479780773</v>
      </c>
      <c r="S11">
        <f t="shared" si="1"/>
        <v>985.85366138315726</v>
      </c>
      <c r="T11" cm="1">
        <f t="array" ref="T11">[1]!PropsSI("H","T",J11+273.15,"P",101325,"Water")</f>
        <v>239395.87689210681</v>
      </c>
      <c r="U11" cm="1">
        <f t="array" ref="U11">[1]!PropsSI("H","T",K11+273.15,"P",101325,"Water")</f>
        <v>218134.86325124284</v>
      </c>
      <c r="V11">
        <f t="shared" si="2"/>
        <v>561.05728486821442</v>
      </c>
      <c r="X11">
        <f t="shared" si="3"/>
        <v>0.26433469799999998</v>
      </c>
      <c r="Y11">
        <f t="shared" si="3"/>
        <v>0.25416886799999999</v>
      </c>
      <c r="Z11">
        <f t="shared" si="9"/>
        <v>0.36670784833045583</v>
      </c>
      <c r="AA11">
        <f t="shared" si="8"/>
        <v>5.0829149999999998</v>
      </c>
      <c r="AB11">
        <f t="shared" si="5"/>
        <v>7.2834935776702581E-2</v>
      </c>
      <c r="AC11">
        <f t="shared" si="6"/>
        <v>40.864571310427522</v>
      </c>
    </row>
    <row r="12" spans="1:29" x14ac:dyDescent="0.2">
      <c r="A12">
        <v>44675.047018937497</v>
      </c>
      <c r="B12">
        <v>17.885089000000001</v>
      </c>
      <c r="C12">
        <v>18.313196999999999</v>
      </c>
      <c r="D12">
        <v>19.121877999999999</v>
      </c>
      <c r="E12">
        <v>19.429134999999999</v>
      </c>
      <c r="F12">
        <v>35.476844</v>
      </c>
      <c r="G12">
        <v>35.169927999999999</v>
      </c>
      <c r="H12">
        <v>31.297246999999999</v>
      </c>
      <c r="I12">
        <v>28.495356999999998</v>
      </c>
      <c r="J12">
        <v>57.174672999999999</v>
      </c>
      <c r="K12">
        <v>52.086342000000002</v>
      </c>
      <c r="L12">
        <v>80.206040000000002</v>
      </c>
      <c r="M12">
        <v>-622.51061200000004</v>
      </c>
      <c r="N12">
        <v>1.6036269999999999</v>
      </c>
      <c r="O12">
        <v>3.1869499999999999</v>
      </c>
      <c r="P12">
        <f t="shared" si="0"/>
        <v>2.6727116666666667E-5</v>
      </c>
      <c r="Q12" cm="1">
        <f t="array" ref="Q12">[1]!PropsSI("D","T",J12+273.15,"P",101325,"Water")</f>
        <v>984.62555412239942</v>
      </c>
      <c r="R12" cm="1">
        <f t="array" ref="R12">[1]!PropsSI("D","T",K12+273.15,"P",101325,"Water")</f>
        <v>987.07723602279782</v>
      </c>
      <c r="S12">
        <f t="shared" si="1"/>
        <v>985.85139507259862</v>
      </c>
      <c r="T12" cm="1">
        <f t="array" ref="T12">[1]!PropsSI("H","T",J12+273.15,"P",101325,"Water")</f>
        <v>239426.51887880577</v>
      </c>
      <c r="U12" cm="1">
        <f t="array" ref="U12">[1]!PropsSI("H","T",K12+273.15,"P",101325,"Water")</f>
        <v>218142.84244537956</v>
      </c>
      <c r="V12">
        <f t="shared" si="2"/>
        <v>560.80285078131749</v>
      </c>
      <c r="X12">
        <f t="shared" si="3"/>
        <v>0.26434934599999999</v>
      </c>
      <c r="Y12">
        <f t="shared" si="3"/>
        <v>0.25417268399999998</v>
      </c>
      <c r="Z12">
        <f t="shared" si="9"/>
        <v>0.36672105205781624</v>
      </c>
      <c r="AA12">
        <f t="shared" si="8"/>
        <v>5.0883309999999966</v>
      </c>
      <c r="AB12">
        <f t="shared" si="5"/>
        <v>7.2761442974421775E-2</v>
      </c>
      <c r="AC12">
        <f t="shared" si="6"/>
        <v>40.804824647017995</v>
      </c>
    </row>
    <row r="13" spans="1:29" x14ac:dyDescent="0.2">
      <c r="A13">
        <v>44675.0470536598</v>
      </c>
      <c r="B13">
        <v>18.169291999999999</v>
      </c>
      <c r="C13">
        <v>18.450742000000002</v>
      </c>
      <c r="D13">
        <v>19.166029999999999</v>
      </c>
      <c r="E13">
        <v>19.398551999999999</v>
      </c>
      <c r="F13">
        <v>35.099269</v>
      </c>
      <c r="G13">
        <v>33.689503999999999</v>
      </c>
      <c r="H13">
        <v>31.255293000000002</v>
      </c>
      <c r="I13">
        <v>28.225560999999999</v>
      </c>
      <c r="J13">
        <v>57.180405</v>
      </c>
      <c r="K13">
        <v>52.090792999999998</v>
      </c>
      <c r="L13">
        <v>83.487508000000005</v>
      </c>
      <c r="M13">
        <v>-622.50653</v>
      </c>
      <c r="N13">
        <v>1.602508</v>
      </c>
      <c r="O13">
        <v>3.931934</v>
      </c>
      <c r="P13">
        <f t="shared" si="0"/>
        <v>2.6708466666666667E-5</v>
      </c>
      <c r="Q13" cm="1">
        <f t="array" ref="Q13">[1]!PropsSI("D","T",J13+273.15,"P",101325,"Water")</f>
        <v>984.62270210307565</v>
      </c>
      <c r="R13" cm="1">
        <f t="array" ref="R13">[1]!PropsSI("D","T",K13+273.15,"P",101325,"Water")</f>
        <v>987.07516258960663</v>
      </c>
      <c r="S13">
        <f t="shared" si="1"/>
        <v>985.84893234634114</v>
      </c>
      <c r="T13" cm="1">
        <f t="array" ref="T13">[1]!PropsSI("H","T",J13+273.15,"P",101325,"Water")</f>
        <v>239450.50030644948</v>
      </c>
      <c r="U13" cm="1">
        <f t="array" ref="U13">[1]!PropsSI("H","T",K13+273.15,"P",101325,"Water")</f>
        <v>218161.45638762467</v>
      </c>
      <c r="V13">
        <f t="shared" si="2"/>
        <v>560.5514550695226</v>
      </c>
      <c r="X13">
        <f t="shared" si="3"/>
        <v>0.26436081</v>
      </c>
      <c r="Y13">
        <f t="shared" si="3"/>
        <v>0.25418158599999996</v>
      </c>
      <c r="Z13">
        <f t="shared" si="9"/>
        <v>0.36673548577323611</v>
      </c>
      <c r="AA13">
        <f t="shared" si="8"/>
        <v>5.0896120000000025</v>
      </c>
      <c r="AB13">
        <f t="shared" si="5"/>
        <v>7.2746284656675084E-2</v>
      </c>
      <c r="AC13">
        <f t="shared" si="6"/>
        <v>40.778035715200907</v>
      </c>
    </row>
    <row r="14" spans="1:29" x14ac:dyDescent="0.2">
      <c r="A14">
        <v>44675.047088382002</v>
      </c>
      <c r="B14">
        <v>18.301373999999999</v>
      </c>
      <c r="C14">
        <v>18.488977999999999</v>
      </c>
      <c r="D14">
        <v>19.189094999999998</v>
      </c>
      <c r="E14">
        <v>19.417981999999999</v>
      </c>
      <c r="F14">
        <v>35.297186000000004</v>
      </c>
      <c r="G14">
        <v>33.734802999999999</v>
      </c>
      <c r="H14">
        <v>31.577518999999999</v>
      </c>
      <c r="I14">
        <v>28.172205999999999</v>
      </c>
      <c r="J14">
        <v>57.186137000000002</v>
      </c>
      <c r="K14">
        <v>52.095880999999999</v>
      </c>
      <c r="L14">
        <v>88.230943999999994</v>
      </c>
      <c r="M14">
        <v>-622.5</v>
      </c>
      <c r="N14">
        <v>1.6012459999999999</v>
      </c>
      <c r="O14">
        <v>3.3475649999999999</v>
      </c>
      <c r="P14">
        <f t="shared" si="0"/>
        <v>2.6687433333333331E-5</v>
      </c>
      <c r="Q14" cm="1">
        <f t="array" ref="Q14">[1]!PropsSI("D","T",J14+273.15,"P",101325,"Water")</f>
        <v>984.61984988429208</v>
      </c>
      <c r="R14" cm="1">
        <f t="array" ref="R14">[1]!PropsSI("D","T",K14+273.15,"P",101325,"Water")</f>
        <v>987.0727922638398</v>
      </c>
      <c r="S14">
        <f t="shared" si="1"/>
        <v>985.84632107406594</v>
      </c>
      <c r="T14" cm="1">
        <f t="array" ref="T14">[1]!PropsSI("H","T",J14+273.15,"P",101325,"Water")</f>
        <v>239474.4817470315</v>
      </c>
      <c r="U14" cm="1">
        <f t="array" ref="U14">[1]!PropsSI("H","T",K14+273.15,"P",101325,"Water")</f>
        <v>218182.7342515137</v>
      </c>
      <c r="V14">
        <f t="shared" si="2"/>
        <v>560.17965879031772</v>
      </c>
      <c r="X14">
        <f t="shared" si="3"/>
        <v>0.26437227400000002</v>
      </c>
      <c r="Y14">
        <f t="shared" si="3"/>
        <v>0.25419176199999999</v>
      </c>
      <c r="Z14">
        <f t="shared" si="9"/>
        <v>0.36675080249209502</v>
      </c>
      <c r="AA14">
        <f t="shared" si="8"/>
        <v>5.0902560000000037</v>
      </c>
      <c r="AB14">
        <f t="shared" si="5"/>
        <v>7.2740235451960636E-2</v>
      </c>
      <c r="AC14">
        <f t="shared" si="6"/>
        <v>40.747600275806683</v>
      </c>
    </row>
    <row r="15" spans="1:29" x14ac:dyDescent="0.2">
      <c r="A15">
        <v>46137.047123680553</v>
      </c>
      <c r="B15">
        <v>18.196605999999999</v>
      </c>
      <c r="C15">
        <v>18.32732</v>
      </c>
      <c r="D15">
        <v>19.151699000000001</v>
      </c>
      <c r="E15">
        <v>19.430731999999999</v>
      </c>
      <c r="F15">
        <v>35.499290000000002</v>
      </c>
      <c r="G15">
        <v>35.213037999999997</v>
      </c>
      <c r="H15">
        <v>30.529516999999998</v>
      </c>
      <c r="I15">
        <v>28.025055999999999</v>
      </c>
      <c r="J15">
        <v>57.192664999999998</v>
      </c>
      <c r="K15">
        <v>52.105736999999998</v>
      </c>
      <c r="L15">
        <v>85.849430999999996</v>
      </c>
      <c r="M15">
        <v>-622.46775700000001</v>
      </c>
      <c r="N15">
        <v>1.602652</v>
      </c>
      <c r="O15">
        <v>4.0595460000000001</v>
      </c>
      <c r="P15">
        <f t="shared" si="0"/>
        <v>2.6710866666666665E-5</v>
      </c>
      <c r="Q15" cm="1">
        <f t="array" ref="Q15">[1]!PropsSI("D","T",J15+273.15,"P",101325,"Water")</f>
        <v>984.61660133636292</v>
      </c>
      <c r="R15" cm="1">
        <f t="array" ref="R15">[1]!PropsSI("D","T",K15+273.15,"P",101325,"Water")</f>
        <v>987.06820021768965</v>
      </c>
      <c r="S15">
        <f t="shared" si="1"/>
        <v>985.84240077702634</v>
      </c>
      <c r="T15" cm="1">
        <f t="array" ref="T15">[1]!PropsSI("H","T",J15+273.15,"P",101325,"Water")</f>
        <v>239501.79349419952</v>
      </c>
      <c r="U15" cm="1">
        <f t="array" ref="U15">[1]!PropsSI("H","T",K15+273.15,"P",101325,"Water")</f>
        <v>218223.95177216694</v>
      </c>
      <c r="V15">
        <f t="shared" si="2"/>
        <v>560.30312743270179</v>
      </c>
      <c r="X15">
        <f t="shared" si="3"/>
        <v>0.26438532999999997</v>
      </c>
      <c r="Y15">
        <f t="shared" si="3"/>
        <v>0.25421147399999999</v>
      </c>
      <c r="Z15">
        <f t="shared" si="9"/>
        <v>0.3667738761586784</v>
      </c>
      <c r="AA15">
        <f t="shared" si="8"/>
        <v>5.0869280000000003</v>
      </c>
      <c r="AB15">
        <f t="shared" si="5"/>
        <v>7.2791417750650192E-2</v>
      </c>
      <c r="AC15">
        <f t="shared" si="6"/>
        <v>40.785259015949585</v>
      </c>
    </row>
    <row r="16" spans="1:29" x14ac:dyDescent="0.2">
      <c r="A16">
        <v>46137.047158402776</v>
      </c>
      <c r="B16">
        <v>17.941191</v>
      </c>
      <c r="C16">
        <v>17.950002000000001</v>
      </c>
      <c r="D16">
        <v>19.183268000000002</v>
      </c>
      <c r="E16">
        <v>19.428775000000002</v>
      </c>
      <c r="F16">
        <v>35.247650999999998</v>
      </c>
      <c r="G16">
        <v>33.474545999999997</v>
      </c>
      <c r="H16">
        <v>30.675107000000001</v>
      </c>
      <c r="I16">
        <v>27.767346</v>
      </c>
      <c r="J16">
        <v>57.198875000000001</v>
      </c>
      <c r="K16">
        <v>52.107804000000002</v>
      </c>
      <c r="L16">
        <v>86.530620999999996</v>
      </c>
      <c r="M16">
        <v>-622.50897899999995</v>
      </c>
      <c r="N16">
        <v>1.6041190000000001</v>
      </c>
      <c r="O16">
        <v>3.180266</v>
      </c>
      <c r="P16">
        <f t="shared" si="0"/>
        <v>2.6735316666666671E-5</v>
      </c>
      <c r="Q16" cm="1">
        <f t="array" ref="Q16">[1]!PropsSI("D","T",J16+273.15,"P",101325,"Water")</f>
        <v>984.61351079564349</v>
      </c>
      <c r="R16" cm="1">
        <f t="array" ref="R16">[1]!PropsSI("D","T",K16+273.15,"P",101325,"Water")</f>
        <v>987.06723709498863</v>
      </c>
      <c r="S16">
        <f t="shared" si="1"/>
        <v>985.84037394531606</v>
      </c>
      <c r="T16" cm="1">
        <f t="array" ref="T16">[1]!PropsSI("H","T",J16+273.15,"P",101325,"Water")</f>
        <v>239527.77481345064</v>
      </c>
      <c r="U16" cm="1">
        <f t="array" ref="U16">[1]!PropsSI("H","T",K16+273.15,"P",101325,"Water")</f>
        <v>218232.59591313647</v>
      </c>
      <c r="V16">
        <f t="shared" si="2"/>
        <v>561.27180401731323</v>
      </c>
      <c r="X16">
        <f t="shared" si="3"/>
        <v>0.26439774999999999</v>
      </c>
      <c r="Y16">
        <f t="shared" si="3"/>
        <v>0.25421560799999998</v>
      </c>
      <c r="Z16">
        <f t="shared" si="9"/>
        <v>0.36678569431736585</v>
      </c>
      <c r="AA16">
        <f t="shared" si="8"/>
        <v>5.0910709999999995</v>
      </c>
      <c r="AB16">
        <f t="shared" si="5"/>
        <v>7.2735599429627831E-2</v>
      </c>
      <c r="AC16">
        <f t="shared" si="6"/>
        <v>40.824441108147873</v>
      </c>
    </row>
    <row r="17" spans="1:29" x14ac:dyDescent="0.2">
      <c r="A17">
        <v>46137.047193124999</v>
      </c>
      <c r="B17">
        <v>17.943878999999999</v>
      </c>
      <c r="C17">
        <v>18.150400999999999</v>
      </c>
      <c r="D17">
        <v>19.191291</v>
      </c>
      <c r="E17">
        <v>19.398202000000001</v>
      </c>
      <c r="F17">
        <v>35.154147999999999</v>
      </c>
      <c r="G17">
        <v>34.018126000000002</v>
      </c>
      <c r="H17">
        <v>31.431163999999999</v>
      </c>
      <c r="I17">
        <v>28.29945</v>
      </c>
      <c r="J17">
        <v>57.202537</v>
      </c>
      <c r="K17">
        <v>52.114798999999998</v>
      </c>
      <c r="L17">
        <v>82.849172999999993</v>
      </c>
      <c r="M17">
        <v>-622.49428599999999</v>
      </c>
      <c r="N17">
        <v>1.603901</v>
      </c>
      <c r="O17">
        <v>2.9961679999999999</v>
      </c>
      <c r="P17">
        <f t="shared" si="0"/>
        <v>2.6731683333333334E-5</v>
      </c>
      <c r="Q17" cm="1">
        <f t="array" ref="Q17">[1]!PropsSI("D","T",J17+273.15,"P",101325,"Water")</f>
        <v>984.61168821248748</v>
      </c>
      <c r="R17" cm="1">
        <f t="array" ref="R17">[1]!PropsSI("D","T",K17+273.15,"P",101325,"Water")</f>
        <v>987.06397755804744</v>
      </c>
      <c r="S17">
        <f t="shared" si="1"/>
        <v>985.83783288526752</v>
      </c>
      <c r="T17" cm="1">
        <f t="array" ref="T17">[1]!PropsSI("H","T",J17+273.15,"P",101325,"Water")</f>
        <v>239543.09584971512</v>
      </c>
      <c r="U17" cm="1">
        <f t="array" ref="U17">[1]!PropsSI("H","T",K17+273.15,"P",101325,"Water")</f>
        <v>218261.84883382221</v>
      </c>
      <c r="V17">
        <f t="shared" si="2"/>
        <v>560.82693217602957</v>
      </c>
      <c r="X17">
        <f t="shared" si="3"/>
        <v>0.26440507400000002</v>
      </c>
      <c r="Y17">
        <f t="shared" si="3"/>
        <v>0.254229598</v>
      </c>
      <c r="Z17">
        <f t="shared" si="9"/>
        <v>0.36680067019593499</v>
      </c>
      <c r="AA17">
        <f t="shared" si="8"/>
        <v>5.0877380000000016</v>
      </c>
      <c r="AB17">
        <f t="shared" si="5"/>
        <v>7.2785264080266143E-2</v>
      </c>
      <c r="AC17">
        <f t="shared" si="6"/>
        <v>40.819936361757819</v>
      </c>
    </row>
    <row r="18" spans="1:29" x14ac:dyDescent="0.2">
      <c r="A18">
        <v>46137.047228425923</v>
      </c>
      <c r="B18">
        <v>18.152545</v>
      </c>
      <c r="C18">
        <v>18.516891000000001</v>
      </c>
      <c r="D18">
        <v>19.210827999999999</v>
      </c>
      <c r="E18">
        <v>19.415761</v>
      </c>
      <c r="F18">
        <v>35.768338999999997</v>
      </c>
      <c r="G18">
        <v>33.916733999999998</v>
      </c>
      <c r="H18">
        <v>30.084613000000001</v>
      </c>
      <c r="I18">
        <v>28.222179000000001</v>
      </c>
      <c r="J18">
        <v>57.210178999999997</v>
      </c>
      <c r="K18">
        <v>52.119568999999998</v>
      </c>
      <c r="L18">
        <v>78.427352999999997</v>
      </c>
      <c r="M18">
        <v>-622.52081499999997</v>
      </c>
      <c r="N18">
        <v>1.603299</v>
      </c>
      <c r="O18">
        <v>4.0141410000000004</v>
      </c>
      <c r="P18">
        <f t="shared" si="0"/>
        <v>2.6721650000000002E-5</v>
      </c>
      <c r="Q18" cm="1">
        <f t="array" ref="Q18">[1]!PropsSI("D","T",J18+273.15,"P",101325,"Water")</f>
        <v>984.60788451490782</v>
      </c>
      <c r="R18" cm="1">
        <f t="array" ref="R18">[1]!PropsSI("D","T",K18+273.15,"P",101325,"Water")</f>
        <v>987.06175464909609</v>
      </c>
      <c r="S18">
        <f t="shared" si="1"/>
        <v>985.83481958200196</v>
      </c>
      <c r="T18" cm="1">
        <f t="array" ref="T18">[1]!PropsSI("H","T",J18+273.15,"P",101325,"Water")</f>
        <v>239575.06838431236</v>
      </c>
      <c r="U18" cm="1">
        <f t="array" ref="U18">[1]!PropsSI("H","T",K18+273.15,"P",101325,"Water")</f>
        <v>218281.79686726475</v>
      </c>
      <c r="V18">
        <f t="shared" si="2"/>
        <v>560.93148372100825</v>
      </c>
      <c r="X18">
        <f t="shared" si="3"/>
        <v>0.26442035799999997</v>
      </c>
      <c r="Y18">
        <f t="shared" si="3"/>
        <v>0.25423913799999998</v>
      </c>
      <c r="Z18">
        <f t="shared" si="9"/>
        <v>0.36681829972866836</v>
      </c>
      <c r="AA18">
        <f t="shared" si="8"/>
        <v>5.0906099999999981</v>
      </c>
      <c r="AB18">
        <f t="shared" si="5"/>
        <v>7.2748405990767026E-2</v>
      </c>
      <c r="AC18">
        <f t="shared" si="6"/>
        <v>40.806871310739233</v>
      </c>
    </row>
    <row r="19" spans="1:29" x14ac:dyDescent="0.2">
      <c r="A19">
        <v>46137.047263148146</v>
      </c>
      <c r="B19">
        <v>18.151921999999999</v>
      </c>
      <c r="C19">
        <v>18.486169</v>
      </c>
      <c r="D19">
        <v>19.178360000000001</v>
      </c>
      <c r="E19">
        <v>19.41705</v>
      </c>
      <c r="F19">
        <v>35.530887999999997</v>
      </c>
      <c r="G19">
        <v>34.843567</v>
      </c>
      <c r="H19">
        <v>31.642104</v>
      </c>
      <c r="I19">
        <v>28.606314000000001</v>
      </c>
      <c r="J19">
        <v>57.216866000000003</v>
      </c>
      <c r="K19">
        <v>52.121000000000002</v>
      </c>
      <c r="L19">
        <v>82.674079000000006</v>
      </c>
      <c r="M19">
        <v>-622.50244899999996</v>
      </c>
      <c r="N19">
        <v>1.6047419999999999</v>
      </c>
      <c r="O19">
        <v>3.2253029999999998</v>
      </c>
      <c r="P19">
        <f t="shared" si="0"/>
        <v>2.67457E-5</v>
      </c>
      <c r="Q19" cm="1">
        <f t="array" ref="Q19">[1]!PropsSI("D","T",J19+273.15,"P",101325,"Water")</f>
        <v>984.60455586435057</v>
      </c>
      <c r="R19" cm="1">
        <f t="array" ref="R19">[1]!PropsSI("D","T",K19+273.15,"P",101325,"Water")</f>
        <v>987.06108774799736</v>
      </c>
      <c r="S19">
        <f t="shared" si="1"/>
        <v>985.83282180617402</v>
      </c>
      <c r="T19" cm="1">
        <f t="array" ref="T19">[1]!PropsSI("H","T",J19+273.15,"P",101325,"Water")</f>
        <v>239603.04541694364</v>
      </c>
      <c r="U19" cm="1">
        <f t="array" ref="U19">[1]!PropsSI("H","T",K19+273.15,"P",101325,"Water")</f>
        <v>218287.78127873279</v>
      </c>
      <c r="V19">
        <f t="shared" si="2"/>
        <v>562.01506992644295</v>
      </c>
      <c r="X19">
        <f t="shared" si="3"/>
        <v>0.26443373199999998</v>
      </c>
      <c r="Y19">
        <f t="shared" si="3"/>
        <v>0.25424199999999997</v>
      </c>
      <c r="Z19">
        <f t="shared" si="9"/>
        <v>0.36682992405670478</v>
      </c>
      <c r="AA19">
        <f t="shared" si="8"/>
        <v>5.0958660000000009</v>
      </c>
      <c r="AB19">
        <f t="shared" si="5"/>
        <v>7.2677049463451091E-2</v>
      </c>
      <c r="AC19">
        <f t="shared" si="6"/>
        <v>40.845597036249018</v>
      </c>
    </row>
    <row r="20" spans="1:29" x14ac:dyDescent="0.2">
      <c r="A20">
        <v>46137.047298449077</v>
      </c>
      <c r="B20">
        <v>18.406867999999999</v>
      </c>
      <c r="C20">
        <v>18.727402999999999</v>
      </c>
      <c r="D20">
        <v>19.229396999999999</v>
      </c>
      <c r="E20">
        <v>19.494705</v>
      </c>
      <c r="F20">
        <v>35.15052</v>
      </c>
      <c r="G20">
        <v>35.376558000000003</v>
      </c>
      <c r="H20">
        <v>30.847709999999999</v>
      </c>
      <c r="I20">
        <v>28.562541</v>
      </c>
      <c r="J20">
        <v>57.221006000000003</v>
      </c>
      <c r="K20">
        <v>52.127358999999998</v>
      </c>
      <c r="L20">
        <v>88.364407</v>
      </c>
      <c r="M20">
        <v>-622.50367300000005</v>
      </c>
      <c r="N20">
        <v>1.6048690000000001</v>
      </c>
      <c r="O20">
        <v>4.0820270000000001</v>
      </c>
      <c r="P20">
        <f t="shared" si="0"/>
        <v>2.6747816666666668E-5</v>
      </c>
      <c r="Q20" cm="1">
        <f t="array" ref="Q20">[1]!PropsSI("D","T",J20+273.15,"P",101325,"Water")</f>
        <v>984.60249492180321</v>
      </c>
      <c r="R20" cm="1">
        <f t="array" ref="R20">[1]!PropsSI("D","T",K20+273.15,"P",101325,"Water")</f>
        <v>987.05812405052257</v>
      </c>
      <c r="S20">
        <f t="shared" si="1"/>
        <v>985.83030948616283</v>
      </c>
      <c r="T20" cm="1">
        <f t="array" ref="T20">[1]!PropsSI("H","T",J20+273.15,"P",101325,"Water")</f>
        <v>239620.36633432878</v>
      </c>
      <c r="U20" cm="1">
        <f t="array" ref="U20">[1]!PropsSI("H","T",K20+273.15,"P",101325,"Water")</f>
        <v>218314.37448871776</v>
      </c>
      <c r="V20">
        <f t="shared" si="2"/>
        <v>561.81361637771067</v>
      </c>
      <c r="X20">
        <f t="shared" si="3"/>
        <v>0.264442012</v>
      </c>
      <c r="Y20">
        <f t="shared" si="3"/>
        <v>0.25425471799999999</v>
      </c>
      <c r="Z20">
        <f t="shared" si="9"/>
        <v>0.36684470738429314</v>
      </c>
      <c r="AA20">
        <f t="shared" si="8"/>
        <v>5.0936470000000043</v>
      </c>
      <c r="AB20">
        <f t="shared" si="5"/>
        <v>7.2710985979816692E-2</v>
      </c>
      <c r="AC20">
        <f t="shared" si="6"/>
        <v>40.850021983709837</v>
      </c>
    </row>
    <row r="21" spans="1:29" x14ac:dyDescent="0.2">
      <c r="A21">
        <v>46137.047333171293</v>
      </c>
      <c r="B21">
        <v>18.422554000000002</v>
      </c>
      <c r="C21">
        <v>18.580116</v>
      </c>
      <c r="D21">
        <v>19.287614000000001</v>
      </c>
      <c r="E21">
        <v>19.487760999999999</v>
      </c>
      <c r="F21">
        <v>35.683697000000002</v>
      </c>
      <c r="G21">
        <v>36.297542999999997</v>
      </c>
      <c r="H21">
        <v>31.013805999999999</v>
      </c>
      <c r="I21">
        <v>28.159115</v>
      </c>
      <c r="J21">
        <v>57.226897000000001</v>
      </c>
      <c r="K21">
        <v>52.130696999999998</v>
      </c>
      <c r="L21">
        <v>84.267876999999999</v>
      </c>
      <c r="M21">
        <v>-622.47183800000005</v>
      </c>
      <c r="N21">
        <v>1.6044750000000001</v>
      </c>
      <c r="O21">
        <v>3.2088209999999999</v>
      </c>
      <c r="P21">
        <f t="shared" si="0"/>
        <v>2.6741250000000004E-5</v>
      </c>
      <c r="Q21" cm="1">
        <f t="array" ref="Q21">[1]!PropsSI("D","T",J21+273.15,"P",101325,"Water")</f>
        <v>984.59956213078851</v>
      </c>
      <c r="R21" cm="1">
        <f t="array" ref="R21">[1]!PropsSI("D","T",K21+273.15,"P",101325,"Water")</f>
        <v>987.05656822710739</v>
      </c>
      <c r="S21">
        <f t="shared" si="1"/>
        <v>985.82806517894801</v>
      </c>
      <c r="T21" cm="1">
        <f t="array" ref="T21">[1]!PropsSI("H","T",J21+273.15,"P",101325,"Water")</f>
        <v>239645.01309103469</v>
      </c>
      <c r="U21" cm="1">
        <f t="array" ref="U21">[1]!PropsSI("H","T",K21+273.15,"P",101325,"Water")</f>
        <v>218328.33394270213</v>
      </c>
      <c r="V21">
        <f t="shared" si="2"/>
        <v>561.9561524225926</v>
      </c>
      <c r="X21">
        <f t="shared" si="3"/>
        <v>0.26445379400000002</v>
      </c>
      <c r="Y21">
        <f t="shared" si="3"/>
        <v>0.25426139399999997</v>
      </c>
      <c r="Z21">
        <f t="shared" si="9"/>
        <v>0.36685782755696744</v>
      </c>
      <c r="AA21">
        <f t="shared" si="8"/>
        <v>5.0962000000000032</v>
      </c>
      <c r="AB21">
        <f t="shared" si="5"/>
        <v>7.2677799734505028E-2</v>
      </c>
      <c r="AC21">
        <f t="shared" si="6"/>
        <v>40.841736705342164</v>
      </c>
    </row>
    <row r="22" spans="1:29" x14ac:dyDescent="0.2">
      <c r="A22">
        <v>46137.047368472224</v>
      </c>
      <c r="B22">
        <v>18.140841000000002</v>
      </c>
      <c r="C22">
        <v>18.378475999999999</v>
      </c>
      <c r="D22">
        <v>19.311533000000001</v>
      </c>
      <c r="E22">
        <v>19.504912000000001</v>
      </c>
      <c r="F22">
        <v>35.594698000000001</v>
      </c>
      <c r="G22">
        <v>34.782763000000003</v>
      </c>
      <c r="H22">
        <v>31.088844000000002</v>
      </c>
      <c r="I22">
        <v>28.272836000000002</v>
      </c>
      <c r="J22">
        <v>57.229286000000002</v>
      </c>
      <c r="K22">
        <v>52.137374999999999</v>
      </c>
      <c r="L22">
        <v>84.366240000000005</v>
      </c>
      <c r="M22">
        <v>-622.51020400000004</v>
      </c>
      <c r="N22">
        <v>1.594632</v>
      </c>
      <c r="O22">
        <v>3.125902</v>
      </c>
      <c r="P22">
        <f t="shared" si="0"/>
        <v>2.6577200000000004E-5</v>
      </c>
      <c r="Q22" cm="1">
        <f t="array" ref="Q22">[1]!PropsSI("D","T",J22+273.15,"P",101325,"Water")</f>
        <v>984.59837272470361</v>
      </c>
      <c r="R22" cm="1">
        <f t="array" ref="R22">[1]!PropsSI("D","T",K22+273.15,"P",101325,"Water")</f>
        <v>987.05345543393412</v>
      </c>
      <c r="S22">
        <f t="shared" si="1"/>
        <v>985.82591407931886</v>
      </c>
      <c r="T22" cm="1">
        <f t="array" ref="T22">[1]!PropsSI("H","T",J22+273.15,"P",101325,"Water")</f>
        <v>239655.00818938675</v>
      </c>
      <c r="U22" cm="1">
        <f t="array" ref="U22">[1]!PropsSI("H","T",K22+273.15,"P",101325,"Water")</f>
        <v>218356.26122521897</v>
      </c>
      <c r="V22">
        <f t="shared" si="2"/>
        <v>558.03765974624309</v>
      </c>
      <c r="X22">
        <f t="shared" si="3"/>
        <v>0.264458572</v>
      </c>
      <c r="Y22">
        <f t="shared" si="3"/>
        <v>0.25427474999999999</v>
      </c>
      <c r="Z22">
        <f t="shared" si="9"/>
        <v>0.36687052864987901</v>
      </c>
      <c r="AA22">
        <f t="shared" si="8"/>
        <v>5.0919110000000032</v>
      </c>
      <c r="AB22">
        <f t="shared" si="5"/>
        <v>7.2740329622465877E-2</v>
      </c>
      <c r="AC22">
        <f t="shared" si="6"/>
        <v>40.591843311691179</v>
      </c>
    </row>
    <row r="23" spans="1:29" x14ac:dyDescent="0.2">
      <c r="A23">
        <v>46137.047403194447</v>
      </c>
      <c r="B23">
        <v>18.240165999999999</v>
      </c>
      <c r="C23">
        <v>18.418258000000002</v>
      </c>
      <c r="D23">
        <v>19.265801</v>
      </c>
      <c r="E23">
        <v>19.501743999999999</v>
      </c>
      <c r="F23">
        <v>34.996177000000003</v>
      </c>
      <c r="G23">
        <v>34.224203000000003</v>
      </c>
      <c r="H23">
        <v>30.603641</v>
      </c>
      <c r="I23">
        <v>28.328759999999999</v>
      </c>
      <c r="J23">
        <v>57.235653999999997</v>
      </c>
      <c r="K23">
        <v>52.135148999999998</v>
      </c>
      <c r="L23">
        <v>86.720406999999994</v>
      </c>
      <c r="M23">
        <v>-622.46857299999999</v>
      </c>
      <c r="N23">
        <v>1.6037380000000001</v>
      </c>
      <c r="O23">
        <v>3.0235910000000001</v>
      </c>
      <c r="P23">
        <f t="shared" si="0"/>
        <v>2.6728966666666671E-5</v>
      </c>
      <c r="Q23" cm="1">
        <f t="array" ref="Q23">[1]!PropsSI("D","T",J23+273.15,"P",101325,"Water")</f>
        <v>984.59520213357689</v>
      </c>
      <c r="R23" cm="1">
        <f t="array" ref="R23">[1]!PropsSI("D","T",K23+273.15,"P",101325,"Water")</f>
        <v>987.05449306340267</v>
      </c>
      <c r="S23">
        <f t="shared" si="1"/>
        <v>985.82484759848978</v>
      </c>
      <c r="T23" cm="1">
        <f t="array" ref="T23">[1]!PropsSI("H","T",J23+273.15,"P",101325,"Water")</f>
        <v>239681.6506393493</v>
      </c>
      <c r="U23" cm="1">
        <f t="array" ref="U23">[1]!PropsSI("H","T",K23+273.15,"P",101325,"Water")</f>
        <v>218346.95212950199</v>
      </c>
      <c r="V23">
        <f t="shared" si="2"/>
        <v>562.17100164314002</v>
      </c>
      <c r="X23">
        <f t="shared" si="3"/>
        <v>0.26447130799999996</v>
      </c>
      <c r="Y23">
        <f t="shared" si="3"/>
        <v>0.25427029800000001</v>
      </c>
      <c r="Z23">
        <f t="shared" si="9"/>
        <v>0.36687662394903231</v>
      </c>
      <c r="AA23">
        <f t="shared" si="8"/>
        <v>5.1005049999999983</v>
      </c>
      <c r="AB23">
        <f t="shared" si="5"/>
        <v>7.2621269108118558E-2</v>
      </c>
      <c r="AC23">
        <f t="shared" si="6"/>
        <v>40.825571595107029</v>
      </c>
    </row>
    <row r="24" spans="1:29" x14ac:dyDescent="0.2">
      <c r="A24">
        <v>46137.04743791667</v>
      </c>
      <c r="B24">
        <v>18.20607</v>
      </c>
      <c r="C24">
        <v>18.326983999999999</v>
      </c>
      <c r="D24">
        <v>19.329885000000001</v>
      </c>
      <c r="E24">
        <v>19.522724</v>
      </c>
      <c r="F24">
        <v>35.597847000000002</v>
      </c>
      <c r="G24">
        <v>34.808897999999999</v>
      </c>
      <c r="H24">
        <v>31.058073</v>
      </c>
      <c r="I24">
        <v>28.602246000000001</v>
      </c>
      <c r="J24">
        <v>57.241227000000002</v>
      </c>
      <c r="K24">
        <v>52.137692999999999</v>
      </c>
      <c r="L24">
        <v>85.916774000000004</v>
      </c>
      <c r="M24">
        <v>-622.48571500000003</v>
      </c>
      <c r="N24">
        <v>1.604832</v>
      </c>
      <c r="O24">
        <v>3.2431830000000001</v>
      </c>
      <c r="P24">
        <f t="shared" si="0"/>
        <v>2.67472E-5</v>
      </c>
      <c r="Q24" cm="1">
        <f t="array" ref="Q24">[1]!PropsSI("D","T",J24+273.15,"P",101325,"Water")</f>
        <v>984.59242716658389</v>
      </c>
      <c r="R24" cm="1">
        <f t="array" ref="R24">[1]!PropsSI("D","T",K24+273.15,"P",101325,"Water")</f>
        <v>987.05330719857227</v>
      </c>
      <c r="S24">
        <f t="shared" si="1"/>
        <v>985.82286718257808</v>
      </c>
      <c r="T24" cm="1">
        <f t="array" ref="T24">[1]!PropsSI("H","T",J24+273.15,"P",101325,"Water")</f>
        <v>239704.96698006938</v>
      </c>
      <c r="U24" cm="1">
        <f t="array" ref="U24">[1]!PropsSI("H","T",K24+273.15,"P",101325,"Water")</f>
        <v>218357.59109617645</v>
      </c>
      <c r="V24">
        <f t="shared" si="2"/>
        <v>562.88763704564315</v>
      </c>
      <c r="X24">
        <f t="shared" si="3"/>
        <v>0.26448245400000003</v>
      </c>
      <c r="Y24">
        <f t="shared" si="3"/>
        <v>0.25427538599999999</v>
      </c>
      <c r="Z24">
        <f t="shared" si="9"/>
        <v>0.3668881851454352</v>
      </c>
      <c r="AA24">
        <f t="shared" si="8"/>
        <v>5.1035340000000033</v>
      </c>
      <c r="AB24">
        <f t="shared" si="5"/>
        <v>7.2581228869881304E-2</v>
      </c>
      <c r="AC24">
        <f t="shared" si="6"/>
        <v>40.855076412436503</v>
      </c>
    </row>
    <row r="25" spans="1:29" x14ac:dyDescent="0.2">
      <c r="A25">
        <v>46137.047473217594</v>
      </c>
      <c r="B25">
        <v>18.049626</v>
      </c>
      <c r="C25">
        <v>18.188642999999999</v>
      </c>
      <c r="D25">
        <v>19.330653999999999</v>
      </c>
      <c r="E25">
        <v>19.534618999999999</v>
      </c>
      <c r="F25">
        <v>35.726661</v>
      </c>
      <c r="G25">
        <v>33.339520999999998</v>
      </c>
      <c r="H25">
        <v>31.087913</v>
      </c>
      <c r="I25">
        <v>28.124594999999999</v>
      </c>
      <c r="J25">
        <v>57.245525999999998</v>
      </c>
      <c r="K25">
        <v>52.142302999999998</v>
      </c>
      <c r="L25">
        <v>79.801569999999998</v>
      </c>
      <c r="M25">
        <v>-622.49142900000004</v>
      </c>
      <c r="N25">
        <v>1.6036840000000001</v>
      </c>
      <c r="O25">
        <v>3.0393870000000001</v>
      </c>
      <c r="P25">
        <f t="shared" si="0"/>
        <v>2.6728066666666669E-5</v>
      </c>
      <c r="Q25" cm="1">
        <f t="array" ref="Q25">[1]!PropsSI("D","T",J25+273.15,"P",101325,"Water")</f>
        <v>984.59028643436102</v>
      </c>
      <c r="R25" cm="1">
        <f t="array" ref="R25">[1]!PropsSI("D","T",K25+273.15,"P",101325,"Water")</f>
        <v>987.05115817915566</v>
      </c>
      <c r="S25">
        <f t="shared" si="1"/>
        <v>985.8207223067584</v>
      </c>
      <c r="T25" cm="1">
        <f t="array" ref="T25">[1]!PropsSI("H","T",J25+273.15,"P",101325,"Water")</f>
        <v>239722.95316262401</v>
      </c>
      <c r="U25" cm="1">
        <f t="array" ref="U25">[1]!PropsSI("H","T",K25+273.15,"P",101325,"Water")</f>
        <v>218376.87004653679</v>
      </c>
      <c r="V25">
        <f t="shared" si="2"/>
        <v>562.44969413129365</v>
      </c>
      <c r="X25">
        <f t="shared" si="3"/>
        <v>0.264491052</v>
      </c>
      <c r="Y25">
        <f t="shared" si="3"/>
        <v>0.25428460600000002</v>
      </c>
      <c r="Z25">
        <f t="shared" si="9"/>
        <v>0.36690077328433357</v>
      </c>
      <c r="AA25">
        <f t="shared" si="8"/>
        <v>5.1032229999999998</v>
      </c>
      <c r="AB25">
        <f t="shared" si="5"/>
        <v>7.2588011328315438E-2</v>
      </c>
      <c r="AC25">
        <f t="shared" si="6"/>
        <v>40.827104769209896</v>
      </c>
    </row>
    <row r="26" spans="1:29" x14ac:dyDescent="0.2">
      <c r="A26">
        <v>46137.047508518517</v>
      </c>
      <c r="B26">
        <v>18.159343</v>
      </c>
      <c r="C26">
        <v>18.321211000000002</v>
      </c>
      <c r="D26">
        <v>19.336977000000001</v>
      </c>
      <c r="E26">
        <v>19.532546</v>
      </c>
      <c r="F26">
        <v>35.503250000000001</v>
      </c>
      <c r="G26">
        <v>34.405056000000002</v>
      </c>
      <c r="H26">
        <v>31.304027000000001</v>
      </c>
      <c r="I26">
        <v>28.394394999999999</v>
      </c>
      <c r="J26">
        <v>57.253328000000003</v>
      </c>
      <c r="K26">
        <v>52.143098000000002</v>
      </c>
      <c r="L26">
        <v>83.231194000000002</v>
      </c>
      <c r="M26">
        <v>-622.48653100000001</v>
      </c>
      <c r="N26">
        <v>1.6066549999999999</v>
      </c>
      <c r="O26">
        <v>3.1574810000000002</v>
      </c>
      <c r="P26">
        <f t="shared" si="0"/>
        <v>2.6777583333333333E-5</v>
      </c>
      <c r="Q26" cm="1">
        <f t="array" ref="Q26">[1]!PropsSI("D","T",J26+273.15,"P",101325,"Water")</f>
        <v>984.58640106011501</v>
      </c>
      <c r="R26" cm="1">
        <f t="array" ref="R26">[1]!PropsSI("D","T",K26+273.15,"P",101325,"Water")</f>
        <v>987.0507875644289</v>
      </c>
      <c r="S26">
        <f t="shared" si="1"/>
        <v>985.8185943122719</v>
      </c>
      <c r="T26" cm="1">
        <f t="array" ref="T26">[1]!PropsSI("H","T",J26+273.15,"P",101325,"Water")</f>
        <v>239755.59523671726</v>
      </c>
      <c r="U26" cm="1">
        <f t="array" ref="U26">[1]!PropsSI("H","T",K26+273.15,"P",101325,"Water")</f>
        <v>218380.1947252338</v>
      </c>
      <c r="V26">
        <f t="shared" si="2"/>
        <v>564.26439324883654</v>
      </c>
      <c r="X26">
        <f t="shared" si="3"/>
        <v>0.26450665600000001</v>
      </c>
      <c r="Y26">
        <f t="shared" si="3"/>
        <v>0.25428619600000002</v>
      </c>
      <c r="Z26">
        <f t="shared" si="9"/>
        <v>0.36691312397412656</v>
      </c>
      <c r="AA26">
        <f t="shared" si="8"/>
        <v>5.1102300000000014</v>
      </c>
      <c r="AB26">
        <f t="shared" si="5"/>
        <v>7.2492764740054269E-2</v>
      </c>
      <c r="AC26">
        <f t="shared" si="6"/>
        <v>40.905085910977377</v>
      </c>
    </row>
    <row r="27" spans="1:29" x14ac:dyDescent="0.2">
      <c r="A27">
        <v>46137.047543819448</v>
      </c>
      <c r="B27">
        <v>18.439004000000001</v>
      </c>
      <c r="C27">
        <v>18.606069999999999</v>
      </c>
      <c r="D27">
        <v>19.334887999999999</v>
      </c>
      <c r="E27">
        <v>19.569590999999999</v>
      </c>
      <c r="F27">
        <v>35.883616000000004</v>
      </c>
      <c r="G27">
        <v>34.590153000000001</v>
      </c>
      <c r="H27">
        <v>31.076471999999999</v>
      </c>
      <c r="I27">
        <v>28.072676999999999</v>
      </c>
      <c r="J27">
        <v>57.257786000000003</v>
      </c>
      <c r="K27">
        <v>52.148502999999998</v>
      </c>
      <c r="L27">
        <v>85.207014000000001</v>
      </c>
      <c r="M27">
        <v>-622.51020400000004</v>
      </c>
      <c r="N27">
        <v>1.6018239999999999</v>
      </c>
      <c r="O27">
        <v>4.0131249999999996</v>
      </c>
      <c r="P27">
        <f t="shared" si="0"/>
        <v>2.6697066666666665E-5</v>
      </c>
      <c r="Q27" cm="1">
        <f t="array" ref="Q27">[1]!PropsSI("D","T",J27+273.15,"P",101325,"Water")</f>
        <v>984.58418082276035</v>
      </c>
      <c r="R27" cm="1">
        <f t="array" ref="R27">[1]!PropsSI("D","T",K27+273.15,"P",101325,"Water")</f>
        <v>987.04826774325898</v>
      </c>
      <c r="S27">
        <f t="shared" si="1"/>
        <v>985.81622428300966</v>
      </c>
      <c r="T27" cm="1">
        <f t="array" ref="T27">[1]!PropsSI("H","T",J27+273.15,"P",101325,"Water")</f>
        <v>239774.24666596268</v>
      </c>
      <c r="U27" cm="1">
        <f t="array" ref="U27">[1]!PropsSI("H","T",K27+273.15,"P",101325,"Water")</f>
        <v>218402.79836355377</v>
      </c>
      <c r="V27">
        <f t="shared" si="2"/>
        <v>562.46235622078507</v>
      </c>
      <c r="X27">
        <f t="shared" si="3"/>
        <v>0.26451557199999998</v>
      </c>
      <c r="Y27">
        <f t="shared" si="3"/>
        <v>0.25429700599999999</v>
      </c>
      <c r="Z27">
        <f t="shared" si="9"/>
        <v>0.36692704328115583</v>
      </c>
      <c r="AA27">
        <f t="shared" si="8"/>
        <v>5.1092830000000049</v>
      </c>
      <c r="AB27">
        <f t="shared" si="5"/>
        <v>7.250864382144101E-2</v>
      </c>
      <c r="AC27">
        <f t="shared" si="6"/>
        <v>40.78338265018138</v>
      </c>
    </row>
    <row r="28" spans="1:29" x14ac:dyDescent="0.2">
      <c r="A28">
        <v>46137.047578541664</v>
      </c>
      <c r="B28">
        <v>18.484961999999999</v>
      </c>
      <c r="C28">
        <v>18.592590999999999</v>
      </c>
      <c r="D28">
        <v>19.323905</v>
      </c>
      <c r="E28">
        <v>19.554873000000001</v>
      </c>
      <c r="F28">
        <v>35.527022000000002</v>
      </c>
      <c r="G28">
        <v>33.451065999999997</v>
      </c>
      <c r="H28">
        <v>31.500990000000002</v>
      </c>
      <c r="I28">
        <v>28.271170000000001</v>
      </c>
      <c r="J28">
        <v>57.262881</v>
      </c>
      <c r="K28">
        <v>52.155816000000002</v>
      </c>
      <c r="L28">
        <v>86.773874000000006</v>
      </c>
      <c r="M28">
        <v>-622.51795800000002</v>
      </c>
      <c r="N28">
        <v>1.602803</v>
      </c>
      <c r="O28">
        <v>3.3578329999999998</v>
      </c>
      <c r="P28">
        <f t="shared" si="0"/>
        <v>2.6713383333333334E-5</v>
      </c>
      <c r="Q28" cm="1">
        <f t="array" ref="Q28">[1]!PropsSI("D","T",J28+273.15,"P",101325,"Water")</f>
        <v>984.5816431898777</v>
      </c>
      <c r="R28" cm="1">
        <f t="array" ref="R28">[1]!PropsSI("D","T",K28+273.15,"P",101325,"Water")</f>
        <v>987.04485811118673</v>
      </c>
      <c r="S28">
        <f t="shared" si="1"/>
        <v>985.81325065053215</v>
      </c>
      <c r="T28" cm="1">
        <f t="array" ref="T28">[1]!PropsSI("H","T",J28+273.15,"P",101325,"Water")</f>
        <v>239795.56319231977</v>
      </c>
      <c r="U28" cm="1">
        <f t="array" ref="U28">[1]!PropsSI("H","T",K28+273.15,"P",101325,"Water")</f>
        <v>218433.38124734745</v>
      </c>
      <c r="V28">
        <f t="shared" si="2"/>
        <v>562.56039929486246</v>
      </c>
      <c r="X28">
        <f t="shared" si="3"/>
        <v>0.264525762</v>
      </c>
      <c r="Y28">
        <f t="shared" si="3"/>
        <v>0.25431163200000001</v>
      </c>
      <c r="Z28">
        <f t="shared" si="9"/>
        <v>0.36694452568771763</v>
      </c>
      <c r="AA28">
        <f t="shared" si="8"/>
        <v>5.1070649999999986</v>
      </c>
      <c r="AB28">
        <f t="shared" si="5"/>
        <v>7.2542926011965658E-2</v>
      </c>
      <c r="AC28">
        <f t="shared" si="6"/>
        <v>40.809777423309065</v>
      </c>
    </row>
    <row r="29" spans="1:29" x14ac:dyDescent="0.2">
      <c r="A29">
        <v>46137.047613842595</v>
      </c>
      <c r="B29">
        <v>18.385891000000001</v>
      </c>
      <c r="C29">
        <v>18.547604</v>
      </c>
      <c r="D29">
        <v>19.299762999999999</v>
      </c>
      <c r="E29">
        <v>19.564809</v>
      </c>
      <c r="F29">
        <v>35.729398000000003</v>
      </c>
      <c r="G29">
        <v>35.333601999999999</v>
      </c>
      <c r="H29">
        <v>31.303909999999998</v>
      </c>
      <c r="I29">
        <v>28.642909</v>
      </c>
      <c r="J29">
        <v>57.269886999999997</v>
      </c>
      <c r="K29">
        <v>52.164242999999999</v>
      </c>
      <c r="L29">
        <v>82.554494000000005</v>
      </c>
      <c r="M29">
        <v>-622.49428599999999</v>
      </c>
      <c r="N29">
        <v>1.6013729999999999</v>
      </c>
      <c r="O29">
        <v>3.0866729999999998</v>
      </c>
      <c r="P29">
        <f t="shared" si="0"/>
        <v>2.6689549999999999E-5</v>
      </c>
      <c r="Q29" cm="1">
        <f t="array" ref="Q29">[1]!PropsSI("D","T",J29+273.15,"P",101325,"Water")</f>
        <v>984.57815350075771</v>
      </c>
      <c r="R29" cm="1">
        <f t="array" ref="R29">[1]!PropsSI("D","T",K29+273.15,"P",101325,"Water")</f>
        <v>987.0409286603666</v>
      </c>
      <c r="S29">
        <f t="shared" si="1"/>
        <v>985.80954108056221</v>
      </c>
      <c r="T29" cm="1">
        <f t="array" ref="T29">[1]!PropsSI("H","T",J29+273.15,"P",101325,"Water")</f>
        <v>239824.87500187277</v>
      </c>
      <c r="U29" cm="1">
        <f t="array" ref="U29">[1]!PropsSI("H","T",K29+273.15,"P",101325,"Water")</f>
        <v>218468.62288765723</v>
      </c>
      <c r="V29">
        <f t="shared" si="2"/>
        <v>561.90035655129452</v>
      </c>
      <c r="X29">
        <f t="shared" si="3"/>
        <v>0.26453977400000001</v>
      </c>
      <c r="Y29">
        <f t="shared" si="3"/>
        <v>0.25432848600000002</v>
      </c>
      <c r="Z29">
        <f t="shared" si="9"/>
        <v>0.36696630747116732</v>
      </c>
      <c r="AA29">
        <f t="shared" si="8"/>
        <v>5.1056439999999981</v>
      </c>
      <c r="AB29">
        <f t="shared" si="5"/>
        <v>7.2566958022089553E-2</v>
      </c>
      <c r="AC29">
        <f t="shared" si="6"/>
        <v>40.775399586454945</v>
      </c>
    </row>
    <row r="30" spans="1:29" x14ac:dyDescent="0.2">
      <c r="A30">
        <v>46137.047648564818</v>
      </c>
      <c r="B30">
        <v>18.352056999999999</v>
      </c>
      <c r="C30">
        <v>18.579326999999999</v>
      </c>
      <c r="D30">
        <v>19.274373000000001</v>
      </c>
      <c r="E30">
        <v>19.572761</v>
      </c>
      <c r="F30">
        <v>35.827778000000002</v>
      </c>
      <c r="G30">
        <v>35.607191999999998</v>
      </c>
      <c r="H30">
        <v>30.955052999999999</v>
      </c>
      <c r="I30">
        <v>28.212251999999999</v>
      </c>
      <c r="J30">
        <v>57.272911999999998</v>
      </c>
      <c r="K30">
        <v>52.169806999999999</v>
      </c>
      <c r="L30">
        <v>87.768518</v>
      </c>
      <c r="M30">
        <v>-622.51387699999998</v>
      </c>
      <c r="N30">
        <v>1.601521</v>
      </c>
      <c r="O30">
        <v>3.9311720000000001</v>
      </c>
      <c r="P30">
        <f t="shared" si="0"/>
        <v>2.6692016666666668E-5</v>
      </c>
      <c r="Q30" cm="1">
        <f t="array" ref="Q30">[1]!PropsSI("D","T",J30+273.15,"P",101325,"Water")</f>
        <v>984.57664665602863</v>
      </c>
      <c r="R30" cm="1">
        <f t="array" ref="R30">[1]!PropsSI("D","T",K30+273.15,"P",101325,"Water")</f>
        <v>987.03833395713139</v>
      </c>
      <c r="S30">
        <f t="shared" si="1"/>
        <v>985.80749030658001</v>
      </c>
      <c r="T30" cm="1">
        <f t="array" ref="T30">[1]!PropsSI("H","T",J30+273.15,"P",101325,"Water")</f>
        <v>239837.531048987</v>
      </c>
      <c r="U30" cm="1">
        <f t="array" ref="U30">[1]!PropsSI("H","T",K30+273.15,"P",101325,"Water")</f>
        <v>218491.89149938177</v>
      </c>
      <c r="V30">
        <f t="shared" si="2"/>
        <v>561.67186831608058</v>
      </c>
      <c r="X30">
        <f t="shared" si="3"/>
        <v>0.26454582399999998</v>
      </c>
      <c r="Y30">
        <f t="shared" si="3"/>
        <v>0.25433961399999999</v>
      </c>
      <c r="Z30">
        <f t="shared" si="9"/>
        <v>0.36697838116912002</v>
      </c>
      <c r="AA30">
        <f t="shared" si="8"/>
        <v>5.1031049999999993</v>
      </c>
      <c r="AB30">
        <f t="shared" si="5"/>
        <v>7.2604720942583453E-2</v>
      </c>
      <c r="AC30">
        <f t="shared" si="6"/>
        <v>40.78002926038851</v>
      </c>
    </row>
    <row r="31" spans="1:29" x14ac:dyDescent="0.2">
      <c r="A31">
        <v>46137.047683865741</v>
      </c>
      <c r="B31">
        <v>18.271497</v>
      </c>
      <c r="C31">
        <v>18.473548999999998</v>
      </c>
      <c r="D31">
        <v>19.284552000000001</v>
      </c>
      <c r="E31">
        <v>19.571199</v>
      </c>
      <c r="F31">
        <v>35.586247</v>
      </c>
      <c r="G31">
        <v>33.919930000000001</v>
      </c>
      <c r="H31">
        <v>31.741820000000001</v>
      </c>
      <c r="I31">
        <v>28.200727000000001</v>
      </c>
      <c r="J31">
        <v>57.278962999999997</v>
      </c>
      <c r="K31">
        <v>52.172986999999999</v>
      </c>
      <c r="L31">
        <v>78.880799999999994</v>
      </c>
      <c r="M31">
        <v>-622.50489800000003</v>
      </c>
      <c r="N31">
        <v>1.603955</v>
      </c>
      <c r="O31">
        <v>4.0691660000000001</v>
      </c>
      <c r="P31">
        <f t="shared" si="0"/>
        <v>2.6732583333333332E-5</v>
      </c>
      <c r="Q31" cm="1">
        <f t="array" ref="Q31">[1]!PropsSI("D","T",J31+273.15,"P",101325,"Water")</f>
        <v>984.57363230186468</v>
      </c>
      <c r="R31" cm="1">
        <f t="array" ref="R31">[1]!PropsSI("D","T",K31+273.15,"P",101325,"Water")</f>
        <v>987.03685091411819</v>
      </c>
      <c r="S31">
        <f t="shared" si="1"/>
        <v>985.80524160799143</v>
      </c>
      <c r="T31" cm="1">
        <f t="array" ref="T31">[1]!PropsSI("H","T",J31+273.15,"P",101325,"Water")</f>
        <v>239862.84733785567</v>
      </c>
      <c r="U31" cm="1">
        <f t="array" ref="U31">[1]!PropsSI("H","T",K31+273.15,"P",101325,"Water")</f>
        <v>218505.19024309551</v>
      </c>
      <c r="V31">
        <f t="shared" si="2"/>
        <v>562.84091681924883</v>
      </c>
      <c r="X31">
        <f t="shared" si="3"/>
        <v>0.264557926</v>
      </c>
      <c r="Y31">
        <f t="shared" si="3"/>
        <v>0.25434597399999997</v>
      </c>
      <c r="Z31">
        <f t="shared" si="9"/>
        <v>0.36699151311635275</v>
      </c>
      <c r="AA31">
        <f t="shared" si="8"/>
        <v>5.1059759999999983</v>
      </c>
      <c r="AB31">
        <f t="shared" si="5"/>
        <v>7.2567218589412674E-2</v>
      </c>
      <c r="AC31">
        <f t="shared" si="6"/>
        <v>40.843799841887865</v>
      </c>
    </row>
    <row r="32" spans="1:29" x14ac:dyDescent="0.2">
      <c r="A32">
        <v>46137.047719166665</v>
      </c>
      <c r="B32">
        <v>17.934531</v>
      </c>
      <c r="C32">
        <v>18.157254999999999</v>
      </c>
      <c r="D32">
        <v>19.256844000000001</v>
      </c>
      <c r="E32">
        <v>19.546838999999999</v>
      </c>
      <c r="F32">
        <v>35.569510000000001</v>
      </c>
      <c r="G32">
        <v>33.160756999999997</v>
      </c>
      <c r="H32">
        <v>31.457516999999999</v>
      </c>
      <c r="I32">
        <v>28.427762999999999</v>
      </c>
      <c r="J32">
        <v>57.285012999999999</v>
      </c>
      <c r="K32">
        <v>52.179664000000002</v>
      </c>
      <c r="L32">
        <v>83.777698000000001</v>
      </c>
      <c r="M32">
        <v>-622.48897999999997</v>
      </c>
      <c r="N32">
        <v>1.6041019999999999</v>
      </c>
      <c r="O32">
        <v>3.3738320000000002</v>
      </c>
      <c r="P32">
        <f t="shared" si="0"/>
        <v>2.6735033333333334E-5</v>
      </c>
      <c r="Q32" cm="1">
        <f t="array" ref="Q32">[1]!PropsSI("D","T",J32+273.15,"P",101325,"Water")</f>
        <v>984.57061822385742</v>
      </c>
      <c r="R32" cm="1">
        <f t="array" ref="R32">[1]!PropsSI("D","T",K32+273.15,"P",101325,"Water")</f>
        <v>987.03373677955062</v>
      </c>
      <c r="S32">
        <f t="shared" si="1"/>
        <v>985.80217750170402</v>
      </c>
      <c r="T32" cm="1">
        <f t="array" ref="T32">[1]!PropsSI("H","T",J32+273.15,"P",101325,"Water")</f>
        <v>239888.15945742538</v>
      </c>
      <c r="U32" cm="1">
        <f t="array" ref="U32">[1]!PropsSI("H","T",K32+273.15,"P",101325,"Water")</f>
        <v>218533.11343330937</v>
      </c>
      <c r="V32">
        <f t="shared" si="2"/>
        <v>562.82193477050066</v>
      </c>
      <c r="X32">
        <f t="shared" si="3"/>
        <v>0.26457002600000001</v>
      </c>
      <c r="Y32">
        <f t="shared" si="3"/>
        <v>0.254359328</v>
      </c>
      <c r="Z32">
        <f t="shared" si="9"/>
        <v>0.36700949088307278</v>
      </c>
      <c r="AA32">
        <f t="shared" si="8"/>
        <v>5.1053489999999968</v>
      </c>
      <c r="AB32">
        <f t="shared" si="5"/>
        <v>7.2579449285764736E-2</v>
      </c>
      <c r="AC32">
        <f t="shared" si="6"/>
        <v>40.849306071591542</v>
      </c>
    </row>
    <row r="33" spans="1:29" x14ac:dyDescent="0.2">
      <c r="A33">
        <v>46137.047753888888</v>
      </c>
      <c r="B33">
        <v>18.149432000000001</v>
      </c>
      <c r="C33">
        <v>18.401895</v>
      </c>
      <c r="D33">
        <v>19.296417999999999</v>
      </c>
      <c r="E33">
        <v>19.591643000000001</v>
      </c>
      <c r="F33">
        <v>35.917234000000001</v>
      </c>
      <c r="G33">
        <v>32.916438999999997</v>
      </c>
      <c r="H33">
        <v>31.414408000000002</v>
      </c>
      <c r="I33">
        <v>28.297004999999999</v>
      </c>
      <c r="J33">
        <v>57.290903999999998</v>
      </c>
      <c r="K33">
        <v>52.183638000000002</v>
      </c>
      <c r="L33">
        <v>82.732035999999994</v>
      </c>
      <c r="M33">
        <v>-622.48367399999995</v>
      </c>
      <c r="N33">
        <v>1.6035649999999999</v>
      </c>
      <c r="O33">
        <v>3.4072659999999999</v>
      </c>
      <c r="P33">
        <f t="shared" si="0"/>
        <v>2.6726083333333331E-5</v>
      </c>
      <c r="Q33" cm="1">
        <f t="array" ref="Q33">[1]!PropsSI("D","T",J33+273.15,"P",101325,"Water")</f>
        <v>984.56768314552141</v>
      </c>
      <c r="R33" cm="1">
        <f t="array" ref="R33">[1]!PropsSI("D","T",K33+273.15,"P",101325,"Water")</f>
        <v>987.03188318135187</v>
      </c>
      <c r="S33">
        <f t="shared" si="1"/>
        <v>985.79978316343659</v>
      </c>
      <c r="T33" cm="1">
        <f t="array" ref="T33">[1]!PropsSI("H","T",J33+273.15,"P",101325,"Water")</f>
        <v>239912.80636332059</v>
      </c>
      <c r="U33" cm="1">
        <f t="array" ref="U33">[1]!PropsSI("H","T",K33+273.15,"P",101325,"Water")</f>
        <v>218549.73269390297</v>
      </c>
      <c r="V33">
        <f t="shared" si="2"/>
        <v>562.84365506442043</v>
      </c>
      <c r="X33">
        <f t="shared" si="3"/>
        <v>0.26458180799999997</v>
      </c>
      <c r="Y33">
        <f t="shared" si="3"/>
        <v>0.25436727599999998</v>
      </c>
      <c r="Z33">
        <f t="shared" si="9"/>
        <v>0.36702349274155327</v>
      </c>
      <c r="AA33">
        <f t="shared" si="8"/>
        <v>5.1072659999999956</v>
      </c>
      <c r="AB33">
        <f t="shared" si="5"/>
        <v>7.2555439405041361E-2</v>
      </c>
      <c r="AC33">
        <f t="shared" si="6"/>
        <v>40.837368709538559</v>
      </c>
    </row>
    <row r="34" spans="1:29" x14ac:dyDescent="0.2">
      <c r="A34">
        <v>46137.047788611111</v>
      </c>
      <c r="B34">
        <v>18.431342000000001</v>
      </c>
      <c r="C34">
        <v>18.503281000000001</v>
      </c>
      <c r="D34">
        <v>19.283711</v>
      </c>
      <c r="E34">
        <v>19.564791</v>
      </c>
      <c r="F34">
        <v>35.182487999999999</v>
      </c>
      <c r="G34">
        <v>33.223559000000002</v>
      </c>
      <c r="H34">
        <v>30.918212</v>
      </c>
      <c r="I34">
        <v>28.287848</v>
      </c>
      <c r="J34">
        <v>57.293610999999999</v>
      </c>
      <c r="K34">
        <v>52.184910000000002</v>
      </c>
      <c r="L34">
        <v>84.415216999999998</v>
      </c>
      <c r="M34">
        <v>-622.47836800000005</v>
      </c>
      <c r="N34">
        <v>1.603283</v>
      </c>
      <c r="O34">
        <v>3.4313090000000002</v>
      </c>
      <c r="P34">
        <f t="shared" si="0"/>
        <v>2.6721383333333335E-5</v>
      </c>
      <c r="Q34" cm="1">
        <f t="array" ref="Q34">[1]!PropsSI("D","T",J34+273.15,"P",101325,"Water")</f>
        <v>984.56633436386016</v>
      </c>
      <c r="R34" cm="1">
        <f t="array" ref="R34">[1]!PropsSI("D","T",K34+273.15,"P",101325,"Water")</f>
        <v>987.03128985932835</v>
      </c>
      <c r="S34">
        <f t="shared" si="1"/>
        <v>985.79881211159432</v>
      </c>
      <c r="T34" cm="1">
        <f t="array" ref="T34">[1]!PropsSI("H","T",J34+273.15,"P",101325,"Water")</f>
        <v>239924.13197888588</v>
      </c>
      <c r="U34" cm="1">
        <f t="array" ref="U34">[1]!PropsSI("H","T",K34+273.15,"P",101325,"Water")</f>
        <v>218555.05219657466</v>
      </c>
      <c r="V34">
        <f t="shared" si="2"/>
        <v>562.90233255865178</v>
      </c>
      <c r="X34">
        <f t="shared" si="3"/>
        <v>0.26458722200000001</v>
      </c>
      <c r="Y34">
        <f t="shared" si="3"/>
        <v>0.25436981999999997</v>
      </c>
      <c r="Z34">
        <f t="shared" si="9"/>
        <v>0.36702915874969616</v>
      </c>
      <c r="AA34">
        <f t="shared" si="8"/>
        <v>5.1087009999999964</v>
      </c>
      <c r="AB34">
        <f t="shared" si="5"/>
        <v>7.2536544762447849E-2</v>
      </c>
      <c r="AC34">
        <f t="shared" si="6"/>
        <v>40.830990242526951</v>
      </c>
    </row>
    <row r="35" spans="1:29" x14ac:dyDescent="0.2">
      <c r="A35">
        <v>46137.047823912035</v>
      </c>
      <c r="B35">
        <v>18.449604000000001</v>
      </c>
      <c r="C35">
        <v>18.389862999999998</v>
      </c>
      <c r="D35">
        <v>19.282831000000002</v>
      </c>
      <c r="E35">
        <v>19.575019000000001</v>
      </c>
      <c r="F35">
        <v>35.458112</v>
      </c>
      <c r="G35">
        <v>34.135213999999998</v>
      </c>
      <c r="H35">
        <v>31.151392999999999</v>
      </c>
      <c r="I35">
        <v>27.939382999999999</v>
      </c>
      <c r="J35">
        <v>57.300299000000003</v>
      </c>
      <c r="K35">
        <v>52.187454000000002</v>
      </c>
      <c r="L35">
        <v>82.703873999999999</v>
      </c>
      <c r="M35">
        <v>-622.49795900000004</v>
      </c>
      <c r="N35">
        <v>1.6032949999999999</v>
      </c>
      <c r="O35">
        <v>3.9069129999999999</v>
      </c>
      <c r="P35">
        <f t="shared" si="0"/>
        <v>2.6721583333333335E-5</v>
      </c>
      <c r="Q35" cm="1">
        <f t="array" ref="Q35">[1]!PropsSI("D","T",J35+273.15,"P",101325,"Water")</f>
        <v>984.56300183061751</v>
      </c>
      <c r="R35" cm="1">
        <f t="array" ref="R35">[1]!PropsSI("D","T",K35+273.15,"P",101325,"Water")</f>
        <v>987.03010318423355</v>
      </c>
      <c r="S35">
        <f t="shared" si="1"/>
        <v>985.79655250742553</v>
      </c>
      <c r="T35" cm="1">
        <f t="array" ref="T35">[1]!PropsSI("H","T",J35+273.15,"P",101325,"Water")</f>
        <v>239952.11341620755</v>
      </c>
      <c r="U35" cm="1">
        <f t="array" ref="U35">[1]!PropsSI("H","T",K35+273.15,"P",101325,"Water")</f>
        <v>218565.69120346732</v>
      </c>
      <c r="V35">
        <f t="shared" si="2"/>
        <v>563.36209049005561</v>
      </c>
      <c r="X35">
        <f t="shared" si="3"/>
        <v>0.26460059800000002</v>
      </c>
      <c r="Y35">
        <f t="shared" si="3"/>
        <v>0.25437490800000001</v>
      </c>
      <c r="Z35">
        <f t="shared" si="9"/>
        <v>0.36704232764351047</v>
      </c>
      <c r="AA35">
        <f t="shared" si="8"/>
        <v>5.1128450000000001</v>
      </c>
      <c r="AB35">
        <f t="shared" si="5"/>
        <v>7.2481422177650578E-2</v>
      </c>
      <c r="AC35">
        <f t="shared" si="6"/>
        <v>40.833285519693511</v>
      </c>
    </row>
    <row r="36" spans="1:29" x14ac:dyDescent="0.2">
      <c r="A36">
        <v>46137.047858634258</v>
      </c>
      <c r="B36">
        <v>18.549727000000001</v>
      </c>
      <c r="C36">
        <v>18.401337000000002</v>
      </c>
      <c r="D36">
        <v>19.291785999999998</v>
      </c>
      <c r="E36">
        <v>19.584548000000002</v>
      </c>
      <c r="F36">
        <v>35.546748000000001</v>
      </c>
      <c r="G36">
        <v>34.787241000000002</v>
      </c>
      <c r="H36">
        <v>31.200379000000002</v>
      </c>
      <c r="I36">
        <v>28.292128999999999</v>
      </c>
      <c r="J36">
        <v>57.306348999999997</v>
      </c>
      <c r="K36">
        <v>52.196198000000003</v>
      </c>
      <c r="L36">
        <v>84.806625999999994</v>
      </c>
      <c r="M36">
        <v>-622.50816299999997</v>
      </c>
      <c r="N36">
        <v>1.6046309999999999</v>
      </c>
      <c r="O36">
        <v>3.5701550000000002</v>
      </c>
      <c r="P36">
        <f t="shared" si="0"/>
        <v>2.674385E-5</v>
      </c>
      <c r="Q36" cm="1">
        <f t="array" ref="Q36">[1]!PropsSI("D","T",J36+273.15,"P",101325,"Water")</f>
        <v>984.55998696987024</v>
      </c>
      <c r="R36" cm="1">
        <f t="array" ref="R36">[1]!PropsSI("D","T",K36+273.15,"P",101325,"Water")</f>
        <v>987.02602413914815</v>
      </c>
      <c r="S36">
        <f t="shared" si="1"/>
        <v>985.79300555450914</v>
      </c>
      <c r="T36" cm="1">
        <f t="array" ref="T36">[1]!PropsSI("H","T",J36+273.15,"P",101325,"Water")</f>
        <v>239977.42558693062</v>
      </c>
      <c r="U36" cm="1">
        <f t="array" ref="U36">[1]!PropsSI("H","T",K36+273.15,"P",101325,"Water")</f>
        <v>218602.25862347346</v>
      </c>
      <c r="V36">
        <f t="shared" si="2"/>
        <v>563.53277011336127</v>
      </c>
      <c r="X36">
        <f t="shared" si="3"/>
        <v>0.26461269799999998</v>
      </c>
      <c r="Y36">
        <f t="shared" si="3"/>
        <v>0.25439239600000002</v>
      </c>
      <c r="Z36">
        <f t="shared" si="9"/>
        <v>0.36706317042909659</v>
      </c>
      <c r="AA36">
        <f t="shared" si="8"/>
        <v>5.1101509999999948</v>
      </c>
      <c r="AB36">
        <f t="shared" si="5"/>
        <v>7.2522945956451493E-2</v>
      </c>
      <c r="AC36">
        <f t="shared" si="6"/>
        <v>40.869056631620701</v>
      </c>
    </row>
    <row r="37" spans="1:29" x14ac:dyDescent="0.2">
      <c r="A37">
        <v>46137.047893935189</v>
      </c>
      <c r="B37">
        <v>18.455348999999998</v>
      </c>
      <c r="C37">
        <v>18.397359999999999</v>
      </c>
      <c r="D37">
        <v>19.281309</v>
      </c>
      <c r="E37">
        <v>19.564539</v>
      </c>
      <c r="F37">
        <v>35.495055000000001</v>
      </c>
      <c r="G37">
        <v>35.442017999999997</v>
      </c>
      <c r="H37">
        <v>30.904783999999999</v>
      </c>
      <c r="I37">
        <v>28.026332</v>
      </c>
      <c r="J37">
        <v>57.313195999999998</v>
      </c>
      <c r="K37">
        <v>52.202081</v>
      </c>
      <c r="L37">
        <v>78.962836999999993</v>
      </c>
      <c r="M37">
        <v>-622.49877600000002</v>
      </c>
      <c r="N37">
        <v>1.602344</v>
      </c>
      <c r="O37">
        <v>3.391788</v>
      </c>
      <c r="P37">
        <f t="shared" si="0"/>
        <v>2.6705733333333334E-5</v>
      </c>
      <c r="Q37" cm="1">
        <f t="array" ref="Q37">[1]!PropsSI("D","T",J37+273.15,"P",101325,"Water")</f>
        <v>984.55657467712626</v>
      </c>
      <c r="R37" cm="1">
        <f t="array" ref="R37">[1]!PropsSI("D","T",K37+273.15,"P",101325,"Water")</f>
        <v>987.02327946516914</v>
      </c>
      <c r="S37">
        <f t="shared" si="1"/>
        <v>985.78992707114776</v>
      </c>
      <c r="T37" cm="1">
        <f t="array" ref="T37">[1]!PropsSI("H","T",J37+273.15,"P",101325,"Water")</f>
        <v>240006.07228757135</v>
      </c>
      <c r="U37" cm="1">
        <f t="array" ref="U37">[1]!PropsSI("H","T",K37+273.15,"P",101325,"Water")</f>
        <v>218626.86135116947</v>
      </c>
      <c r="V37">
        <f t="shared" si="2"/>
        <v>562.83430044377076</v>
      </c>
      <c r="X37">
        <f t="shared" si="3"/>
        <v>0.26462639199999999</v>
      </c>
      <c r="Y37">
        <f t="shared" si="3"/>
        <v>0.25440416199999999</v>
      </c>
      <c r="Z37">
        <f t="shared" si="9"/>
        <v>0.36708119672064365</v>
      </c>
      <c r="AA37">
        <f t="shared" si="8"/>
        <v>5.1111149999999981</v>
      </c>
      <c r="AB37">
        <f t="shared" si="5"/>
        <v>7.2513020780572368E-2</v>
      </c>
      <c r="AC37">
        <f t="shared" si="6"/>
        <v>40.812815324098061</v>
      </c>
    </row>
    <row r="38" spans="1:29" x14ac:dyDescent="0.2">
      <c r="A38">
        <v>44675.047928659798</v>
      </c>
      <c r="B38">
        <v>18.103933999999999</v>
      </c>
      <c r="C38">
        <v>18.201640999999999</v>
      </c>
      <c r="D38">
        <v>19.288979999999999</v>
      </c>
      <c r="E38">
        <v>19.571563000000001</v>
      </c>
      <c r="F38">
        <v>35.533932999999998</v>
      </c>
      <c r="G38">
        <v>34.649666000000003</v>
      </c>
      <c r="H38">
        <v>31.425756</v>
      </c>
      <c r="I38">
        <v>28.219570000000001</v>
      </c>
      <c r="J38">
        <v>57.315106999999998</v>
      </c>
      <c r="K38">
        <v>52.202717</v>
      </c>
      <c r="L38">
        <v>82.978554000000003</v>
      </c>
      <c r="M38">
        <v>-622.48204199999998</v>
      </c>
      <c r="N38">
        <v>1.604762</v>
      </c>
      <c r="O38">
        <v>3.9911150000000002</v>
      </c>
      <c r="P38">
        <f t="shared" si="0"/>
        <v>2.6746033333333334E-5</v>
      </c>
      <c r="Q38" cm="1">
        <f t="array" ref="Q38">[1]!PropsSI("D","T",J38+273.15,"P",101325,"Water")</f>
        <v>984.55562225432993</v>
      </c>
      <c r="R38" cm="1">
        <f t="array" ref="R38">[1]!PropsSI("D","T",K38+273.15,"P",101325,"Water")</f>
        <v>987.02298273038866</v>
      </c>
      <c r="S38">
        <f t="shared" si="1"/>
        <v>985.7893024923593</v>
      </c>
      <c r="T38" cm="1">
        <f t="array" ref="T38">[1]!PropsSI("H","T",J38+273.15,"P",101325,"Water")</f>
        <v>240014.06759464592</v>
      </c>
      <c r="U38" cm="1">
        <f t="array" ref="U38">[1]!PropsSI("H","T",K38+273.15,"P",101325,"Water")</f>
        <v>218629.52110623309</v>
      </c>
      <c r="V38">
        <f t="shared" si="2"/>
        <v>563.82395927522623</v>
      </c>
      <c r="X38">
        <f t="shared" si="3"/>
        <v>0.26463021399999997</v>
      </c>
      <c r="Y38">
        <f t="shared" si="3"/>
        <v>0.25440543399999999</v>
      </c>
      <c r="Z38">
        <f t="shared" si="9"/>
        <v>0.36708483353363175</v>
      </c>
      <c r="AA38">
        <f t="shared" si="8"/>
        <v>5.1123899999999978</v>
      </c>
      <c r="AB38">
        <f t="shared" si="5"/>
        <v>7.2495985003972696E-2</v>
      </c>
      <c r="AC38">
        <f t="shared" si="6"/>
        <v>40.874973296497316</v>
      </c>
    </row>
    <row r="39" spans="1:29" x14ac:dyDescent="0.2">
      <c r="A39">
        <v>44675.047963382</v>
      </c>
      <c r="B39">
        <v>18.272389</v>
      </c>
      <c r="C39">
        <v>18.436782000000001</v>
      </c>
      <c r="D39">
        <v>19.321601000000001</v>
      </c>
      <c r="E39">
        <v>19.582274000000002</v>
      </c>
      <c r="F39">
        <v>35.775672</v>
      </c>
      <c r="G39">
        <v>34.741171000000001</v>
      </c>
      <c r="H39">
        <v>31.231665</v>
      </c>
      <c r="I39">
        <v>28.33314</v>
      </c>
      <c r="J39">
        <v>57.324182</v>
      </c>
      <c r="K39">
        <v>52.195880000000002</v>
      </c>
      <c r="L39">
        <v>82.596531999999996</v>
      </c>
      <c r="M39">
        <v>-622.52408000000003</v>
      </c>
      <c r="N39">
        <v>1.604401</v>
      </c>
      <c r="O39">
        <v>4.1953680000000002</v>
      </c>
      <c r="P39">
        <f t="shared" si="0"/>
        <v>2.6740016666666668E-5</v>
      </c>
      <c r="Q39" cm="1">
        <f t="array" ref="Q39">[1]!PropsSI("D","T",J39+273.15,"P",101325,"Water")</f>
        <v>984.55109906526798</v>
      </c>
      <c r="R39" cm="1">
        <f t="array" ref="R39">[1]!PropsSI("D","T",K39+273.15,"P",101325,"Water")</f>
        <v>987.02617249358286</v>
      </c>
      <c r="S39">
        <f t="shared" si="1"/>
        <v>985.78863577942548</v>
      </c>
      <c r="T39" cm="1">
        <f t="array" ref="T39">[1]!PropsSI("H","T",J39+273.15,"P",101325,"Water")</f>
        <v>240052.03590949858</v>
      </c>
      <c r="U39" cm="1">
        <f t="array" ref="U39">[1]!PropsSI("H","T",K39+273.15,"P",101325,"Water")</f>
        <v>218600.92874661137</v>
      </c>
      <c r="V39">
        <f t="shared" si="2"/>
        <v>565.4512824280946</v>
      </c>
      <c r="X39">
        <f t="shared" si="3"/>
        <v>0.26464836400000002</v>
      </c>
      <c r="Y39">
        <f t="shared" si="3"/>
        <v>0.25439176000000002</v>
      </c>
      <c r="Z39">
        <f t="shared" si="9"/>
        <v>0.36708844182808881</v>
      </c>
      <c r="AA39">
        <f t="shared" si="8"/>
        <v>5.1283019999999979</v>
      </c>
      <c r="AB39">
        <f t="shared" si="5"/>
        <v>7.2276029116802684E-2</v>
      </c>
      <c r="AC39">
        <f t="shared" si="6"/>
        <v>40.868573352906381</v>
      </c>
    </row>
    <row r="40" spans="1:29" x14ac:dyDescent="0.2">
      <c r="A40">
        <v>44675.047998104201</v>
      </c>
      <c r="B40">
        <v>18.482301</v>
      </c>
      <c r="C40">
        <v>18.446073999999999</v>
      </c>
      <c r="D40">
        <v>19.370946</v>
      </c>
      <c r="E40">
        <v>19.573142000000001</v>
      </c>
      <c r="F40">
        <v>35.631785999999998</v>
      </c>
      <c r="G40">
        <v>33.001123</v>
      </c>
      <c r="H40">
        <v>31.409737</v>
      </c>
      <c r="I40">
        <v>28.464711999999999</v>
      </c>
      <c r="J40">
        <v>57.329118000000001</v>
      </c>
      <c r="K40">
        <v>52.196038999999999</v>
      </c>
      <c r="L40">
        <v>85.452715999999995</v>
      </c>
      <c r="M40">
        <v>-622.48489900000004</v>
      </c>
      <c r="N40">
        <v>1.6052580000000001</v>
      </c>
      <c r="O40">
        <v>3.8940139999999999</v>
      </c>
      <c r="P40">
        <f t="shared" si="0"/>
        <v>2.6754299999999999E-5</v>
      </c>
      <c r="Q40" cm="1">
        <f t="array" ref="Q40">[1]!PropsSI("D","T",J40+273.15,"P",101325,"Water")</f>
        <v>984.54863863953665</v>
      </c>
      <c r="R40" cm="1">
        <f t="array" ref="R40">[1]!PropsSI("D","T",K40+273.15,"P",101325,"Water")</f>
        <v>987.02609831645429</v>
      </c>
      <c r="S40">
        <f t="shared" si="1"/>
        <v>985.78736847799541</v>
      </c>
      <c r="T40" cm="1">
        <f t="array" ref="T40">[1]!PropsSI("H","T",J40+273.15,"P",101325,"Water")</f>
        <v>240072.68733940422</v>
      </c>
      <c r="U40" cm="1">
        <f t="array" ref="U40">[1]!PropsSI("H","T",K40+273.15,"P",101325,"Water")</f>
        <v>218601.59368505669</v>
      </c>
      <c r="V40">
        <f t="shared" si="2"/>
        <v>566.27971890387846</v>
      </c>
      <c r="X40">
        <f t="shared" si="3"/>
        <v>0.26465823599999999</v>
      </c>
      <c r="Y40">
        <f t="shared" si="3"/>
        <v>0.25439207799999997</v>
      </c>
      <c r="Z40">
        <f t="shared" si="9"/>
        <v>0.36709577937071103</v>
      </c>
      <c r="AA40">
        <f t="shared" si="8"/>
        <v>5.1330790000000022</v>
      </c>
      <c r="AB40">
        <f t="shared" si="5"/>
        <v>7.2211470721209009E-2</v>
      </c>
      <c r="AC40">
        <f t="shared" si="6"/>
        <v>40.891891341641887</v>
      </c>
    </row>
    <row r="41" spans="1:29" x14ac:dyDescent="0.2">
      <c r="A41">
        <v>44675.048033405103</v>
      </c>
      <c r="B41">
        <v>18.361689999999999</v>
      </c>
      <c r="C41">
        <v>18.296969000000001</v>
      </c>
      <c r="D41">
        <v>19.353415999999999</v>
      </c>
      <c r="E41">
        <v>19.577428999999999</v>
      </c>
      <c r="F41">
        <v>35.768993999999999</v>
      </c>
      <c r="G41">
        <v>34.358438999999997</v>
      </c>
      <c r="H41">
        <v>31.163665999999999</v>
      </c>
      <c r="I41">
        <v>27.950341000000002</v>
      </c>
      <c r="J41">
        <v>57.336123999999998</v>
      </c>
      <c r="K41">
        <v>52.206532000000003</v>
      </c>
      <c r="L41">
        <v>83.897692000000006</v>
      </c>
      <c r="M41">
        <v>-622.487348</v>
      </c>
      <c r="N41">
        <v>1.601812</v>
      </c>
      <c r="O41">
        <v>3.683433</v>
      </c>
      <c r="P41">
        <f t="shared" si="0"/>
        <v>2.6696866666666665E-5</v>
      </c>
      <c r="Q41" cm="1">
        <f t="array" ref="Q41">[1]!PropsSI("D","T",J41+273.15,"P",101325,"Water")</f>
        <v>984.54514613664469</v>
      </c>
      <c r="R41" cm="1">
        <f t="array" ref="R41">[1]!PropsSI("D","T",K41+273.15,"P",101325,"Water")</f>
        <v>987.02120273398248</v>
      </c>
      <c r="S41">
        <f t="shared" si="1"/>
        <v>985.78317443531364</v>
      </c>
      <c r="T41" cm="1">
        <f t="array" ref="T41">[1]!PropsSI("H","T",J41+273.15,"P",101325,"Water")</f>
        <v>240101.99933290572</v>
      </c>
      <c r="U41" cm="1">
        <f t="array" ref="U41">[1]!PropsSI("H","T",K41+273.15,"P",101325,"Water")</f>
        <v>218645.47545698678</v>
      </c>
      <c r="V41">
        <f t="shared" si="2"/>
        <v>564.67824720261876</v>
      </c>
      <c r="X41">
        <f t="shared" si="3"/>
        <v>0.264672248</v>
      </c>
      <c r="Y41">
        <f t="shared" si="3"/>
        <v>0.25441306400000002</v>
      </c>
      <c r="Z41">
        <f t="shared" si="9"/>
        <v>0.36712042437767151</v>
      </c>
      <c r="AA41">
        <f t="shared" si="8"/>
        <v>5.1295919999999953</v>
      </c>
      <c r="AB41">
        <f t="shared" si="5"/>
        <v>7.2264375907152165E-2</v>
      </c>
      <c r="AC41">
        <f t="shared" si="6"/>
        <v>40.806121122441837</v>
      </c>
    </row>
    <row r="42" spans="1:29" x14ac:dyDescent="0.2">
      <c r="A42">
        <v>46137.048068703705</v>
      </c>
      <c r="B42">
        <v>18.254424</v>
      </c>
      <c r="C42">
        <v>18.546707999999999</v>
      </c>
      <c r="D42">
        <v>19.354134999999999</v>
      </c>
      <c r="E42">
        <v>19.569213000000001</v>
      </c>
      <c r="F42">
        <v>35.860267</v>
      </c>
      <c r="G42">
        <v>36.039484999999999</v>
      </c>
      <c r="H42">
        <v>30.329706999999999</v>
      </c>
      <c r="I42">
        <v>28.577210999999998</v>
      </c>
      <c r="J42">
        <v>57.341059999999999</v>
      </c>
      <c r="K42">
        <v>52.216707</v>
      </c>
      <c r="L42">
        <v>80.737033999999994</v>
      </c>
      <c r="M42">
        <v>-622.47020599999996</v>
      </c>
      <c r="N42">
        <v>1.604225</v>
      </c>
      <c r="O42">
        <v>3.1228899999999999</v>
      </c>
      <c r="P42">
        <f t="shared" si="0"/>
        <v>2.6737083333333335E-5</v>
      </c>
      <c r="Q42" cm="1">
        <f t="array" ref="Q42">[1]!PropsSI("D","T",J42+273.15,"P",101325,"Water")</f>
        <v>984.5426853536037</v>
      </c>
      <c r="R42" cm="1">
        <f t="array" ref="R42">[1]!PropsSI("D","T",K42+273.15,"P",101325,"Water")</f>
        <v>987.01645484392043</v>
      </c>
      <c r="S42">
        <f t="shared" si="1"/>
        <v>985.77957009876206</v>
      </c>
      <c r="T42" cm="1">
        <f t="array" ref="T42">[1]!PropsSI("H","T",J42+273.15,"P",101325,"Water")</f>
        <v>240122.65078621657</v>
      </c>
      <c r="U42" cm="1">
        <f t="array" ref="U42">[1]!PropsSI("H","T",K42+273.15,"P",101325,"Water")</f>
        <v>218688.0273850637</v>
      </c>
      <c r="V42">
        <f t="shared" si="2"/>
        <v>564.94959350114311</v>
      </c>
      <c r="X42">
        <f t="shared" si="3"/>
        <v>0.26468212000000002</v>
      </c>
      <c r="Y42">
        <f t="shared" si="3"/>
        <v>0.25443341399999997</v>
      </c>
      <c r="Z42">
        <f t="shared" si="9"/>
        <v>0.36714164406586974</v>
      </c>
      <c r="AA42">
        <f t="shared" si="8"/>
        <v>5.1243529999999993</v>
      </c>
      <c r="AB42">
        <f t="shared" si="5"/>
        <v>7.2340944185397313E-2</v>
      </c>
      <c r="AC42">
        <f t="shared" si="6"/>
        <v>40.868987011029091</v>
      </c>
    </row>
    <row r="43" spans="1:29" x14ac:dyDescent="0.2">
      <c r="A43">
        <v>46137.048103425928</v>
      </c>
      <c r="B43">
        <v>18.306501000000001</v>
      </c>
      <c r="C43">
        <v>18.528303999999999</v>
      </c>
      <c r="D43">
        <v>19.310421000000002</v>
      </c>
      <c r="E43">
        <v>19.54222</v>
      </c>
      <c r="F43">
        <v>35.660772999999999</v>
      </c>
      <c r="G43">
        <v>35.27008</v>
      </c>
      <c r="H43">
        <v>31.140999999999998</v>
      </c>
      <c r="I43">
        <v>28.300777</v>
      </c>
      <c r="J43">
        <v>57.344721999999997</v>
      </c>
      <c r="K43">
        <v>52.221477</v>
      </c>
      <c r="L43">
        <v>82.181450999999996</v>
      </c>
      <c r="M43">
        <v>-622.51550899999995</v>
      </c>
      <c r="N43">
        <v>1.606946</v>
      </c>
      <c r="O43">
        <v>4.0960559999999999</v>
      </c>
      <c r="P43">
        <f t="shared" si="0"/>
        <v>2.6782433333333333E-5</v>
      </c>
      <c r="Q43" cm="1">
        <f t="array" ref="Q43">[1]!PropsSI("D","T",J43+273.15,"P",101325,"Water")</f>
        <v>984.54085961242788</v>
      </c>
      <c r="R43" cm="1">
        <f t="array" ref="R43">[1]!PropsSI("D","T",K43+273.15,"P",101325,"Water")</f>
        <v>987.01422882371264</v>
      </c>
      <c r="S43">
        <f t="shared" si="1"/>
        <v>985.77754421807026</v>
      </c>
      <c r="T43" cm="1">
        <f t="array" ref="T43">[1]!PropsSI("H","T",J43+273.15,"P",101325,"Water")</f>
        <v>240137.97202872988</v>
      </c>
      <c r="U43" cm="1">
        <f t="array" ref="U43">[1]!PropsSI("H","T",K43+273.15,"P",101325,"Water")</f>
        <v>218707.97557299325</v>
      </c>
      <c r="V43">
        <f t="shared" si="2"/>
        <v>565.78450916051543</v>
      </c>
      <c r="X43">
        <f t="shared" si="3"/>
        <v>0.264689444</v>
      </c>
      <c r="Y43">
        <f t="shared" si="3"/>
        <v>0.254442954</v>
      </c>
      <c r="Z43">
        <f t="shared" si="9"/>
        <v>0.36715353546612517</v>
      </c>
      <c r="AA43">
        <f t="shared" si="8"/>
        <v>5.1232449999999972</v>
      </c>
      <c r="AB43">
        <f t="shared" si="5"/>
        <v>7.2358589170619908E-2</v>
      </c>
      <c r="AC43">
        <f t="shared" si="6"/>
        <v>40.939368857446574</v>
      </c>
    </row>
    <row r="44" spans="1:29" x14ac:dyDescent="0.2">
      <c r="A44">
        <v>46137.048138726852</v>
      </c>
      <c r="B44">
        <v>18.591270000000002</v>
      </c>
      <c r="C44">
        <v>18.652992999999999</v>
      </c>
      <c r="D44">
        <v>19.295898999999999</v>
      </c>
      <c r="E44">
        <v>19.574442000000001</v>
      </c>
      <c r="F44">
        <v>35.558979000000001</v>
      </c>
      <c r="G44">
        <v>34.950026000000001</v>
      </c>
      <c r="H44">
        <v>31.505074</v>
      </c>
      <c r="I44">
        <v>28.780978999999999</v>
      </c>
      <c r="J44">
        <v>57.349657999999998</v>
      </c>
      <c r="K44">
        <v>52.229743999999997</v>
      </c>
      <c r="L44">
        <v>92.645416999999995</v>
      </c>
      <c r="M44">
        <v>-622.49265300000002</v>
      </c>
      <c r="N44">
        <v>1.5982829999999999</v>
      </c>
      <c r="O44">
        <v>3.7191930000000002</v>
      </c>
      <c r="P44">
        <f t="shared" si="0"/>
        <v>2.6638050000000002E-5</v>
      </c>
      <c r="Q44" cm="1">
        <f t="array" ref="Q44">[1]!PropsSI("D","T",J44+273.15,"P",101325,"Water")</f>
        <v>984.53839857217099</v>
      </c>
      <c r="R44" cm="1">
        <f t="array" ref="R44">[1]!PropsSI("D","T",K44+273.15,"P",101325,"Water")</f>
        <v>987.01037051066658</v>
      </c>
      <c r="S44">
        <f t="shared" si="1"/>
        <v>985.77438454141884</v>
      </c>
      <c r="T44" cm="1">
        <f t="array" ref="T44">[1]!PropsSI("H","T",J44+273.15,"P",101325,"Water")</f>
        <v>240158.62349890193</v>
      </c>
      <c r="U44" cm="1">
        <f t="array" ref="U44">[1]!PropsSI("H","T",K44+273.15,"P",101325,"Water")</f>
        <v>218742.548267251</v>
      </c>
      <c r="V44">
        <f t="shared" si="2"/>
        <v>562.36701839796149</v>
      </c>
      <c r="X44">
        <f t="shared" si="3"/>
        <v>0.26469931599999996</v>
      </c>
      <c r="Y44">
        <f t="shared" si="3"/>
        <v>0.25445948799999996</v>
      </c>
      <c r="Z44">
        <f t="shared" si="9"/>
        <v>0.36717211076563261</v>
      </c>
      <c r="AA44">
        <f t="shared" si="8"/>
        <v>5.1199140000000014</v>
      </c>
      <c r="AB44">
        <f t="shared" si="5"/>
        <v>7.2408359881554585E-2</v>
      </c>
      <c r="AC44">
        <f t="shared" si="6"/>
        <v>40.72007345367642</v>
      </c>
    </row>
    <row r="45" spans="1:29" x14ac:dyDescent="0.2">
      <c r="A45">
        <v>46137.048173449075</v>
      </c>
      <c r="B45">
        <v>18.332704</v>
      </c>
      <c r="C45">
        <v>18.509910999999999</v>
      </c>
      <c r="D45">
        <v>19.320558999999999</v>
      </c>
      <c r="E45">
        <v>19.532882000000001</v>
      </c>
      <c r="F45">
        <v>35.607050999999998</v>
      </c>
      <c r="G45">
        <v>34.251413999999997</v>
      </c>
      <c r="H45">
        <v>31.425747999999999</v>
      </c>
      <c r="I45">
        <v>28.402933000000001</v>
      </c>
      <c r="J45">
        <v>57.354754</v>
      </c>
      <c r="K45">
        <v>52.229903</v>
      </c>
      <c r="L45">
        <v>78.796723</v>
      </c>
      <c r="M45">
        <v>-622.46653200000003</v>
      </c>
      <c r="N45">
        <v>1.5974060000000001</v>
      </c>
      <c r="O45">
        <v>3.675554</v>
      </c>
      <c r="P45">
        <f t="shared" si="0"/>
        <v>2.6623433333333337E-5</v>
      </c>
      <c r="Q45" cm="1">
        <f t="array" ref="Q45">[1]!PropsSI("D","T",J45+273.15,"P",101325,"Water")</f>
        <v>984.53585760262501</v>
      </c>
      <c r="R45" cm="1">
        <f t="array" ref="R45">[1]!PropsSI("D","T",K45+273.15,"P",101325,"Water")</f>
        <v>987.01029629906793</v>
      </c>
      <c r="S45">
        <f t="shared" si="1"/>
        <v>985.77307695084642</v>
      </c>
      <c r="T45" cm="1">
        <f t="array" ref="T45">[1]!PropsSI("H","T",J45+273.15,"P",101325,"Water")</f>
        <v>240179.94439476519</v>
      </c>
      <c r="U45" cm="1">
        <f t="array" ref="U45">[1]!PropsSI("H","T",K45+273.15,"P",101325,"Water")</f>
        <v>218743.21320741752</v>
      </c>
      <c r="V45">
        <f t="shared" si="2"/>
        <v>562.59980289707607</v>
      </c>
      <c r="X45">
        <f t="shared" si="3"/>
        <v>0.26470950799999998</v>
      </c>
      <c r="Y45">
        <f t="shared" si="3"/>
        <v>0.25445980600000001</v>
      </c>
      <c r="Z45">
        <f t="shared" si="9"/>
        <v>0.36717967876117508</v>
      </c>
      <c r="AA45">
        <f t="shared" si="8"/>
        <v>5.1248509999999996</v>
      </c>
      <c r="AB45">
        <f t="shared" si="5"/>
        <v>7.2341399254637742E-2</v>
      </c>
      <c r="AC45">
        <f t="shared" si="6"/>
        <v>40.699256961957879</v>
      </c>
    </row>
    <row r="46" spans="1:29" x14ac:dyDescent="0.2">
      <c r="A46">
        <v>46137.048208749999</v>
      </c>
      <c r="B46">
        <v>18.386458000000001</v>
      </c>
      <c r="C46">
        <v>18.569738000000001</v>
      </c>
      <c r="D46">
        <v>19.278327999999998</v>
      </c>
      <c r="E46">
        <v>19.533491999999999</v>
      </c>
      <c r="F46">
        <v>35.739384000000001</v>
      </c>
      <c r="G46">
        <v>33.481186999999998</v>
      </c>
      <c r="H46">
        <v>30.560718999999999</v>
      </c>
      <c r="I46">
        <v>28.080819000000002</v>
      </c>
      <c r="J46">
        <v>57.360964000000003</v>
      </c>
      <c r="K46">
        <v>52.233083000000001</v>
      </c>
      <c r="L46">
        <v>87.275890000000004</v>
      </c>
      <c r="M46">
        <v>-622.46571600000004</v>
      </c>
      <c r="N46">
        <v>1.6024590000000001</v>
      </c>
      <c r="O46">
        <v>3.6476600000000001</v>
      </c>
      <c r="P46">
        <f t="shared" si="0"/>
        <v>2.6707650000000002E-5</v>
      </c>
      <c r="Q46" cm="1">
        <f t="array" ref="Q46">[1]!PropsSI("D","T",J46+273.15,"P",101325,"Water")</f>
        <v>984.53276095718275</v>
      </c>
      <c r="R46" cm="1">
        <f t="array" ref="R46">[1]!PropsSI("D","T",K46+273.15,"P",101325,"Water")</f>
        <v>987.00881203334507</v>
      </c>
      <c r="S46">
        <f t="shared" si="1"/>
        <v>985.77078649526391</v>
      </c>
      <c r="T46" cm="1">
        <f t="array" ref="T46">[1]!PropsSI("H","T",J46+273.15,"P",101325,"Water")</f>
        <v>240205.92611268914</v>
      </c>
      <c r="U46" cm="1">
        <f t="array" ref="U46">[1]!PropsSI("H","T",K46+273.15,"P",101325,"Water")</f>
        <v>218756.51201192537</v>
      </c>
      <c r="V46">
        <f t="shared" si="2"/>
        <v>564.71204824729682</v>
      </c>
      <c r="X46">
        <f t="shared" si="3"/>
        <v>0.264721928</v>
      </c>
      <c r="Y46">
        <f t="shared" si="3"/>
        <v>0.25446616599999999</v>
      </c>
      <c r="Z46">
        <f t="shared" si="9"/>
        <v>0.36719304024283567</v>
      </c>
      <c r="AA46">
        <f t="shared" si="8"/>
        <v>5.1278810000000021</v>
      </c>
      <c r="AB46">
        <f t="shared" si="5"/>
        <v>7.2302051288094318E-2</v>
      </c>
      <c r="AC46">
        <f t="shared" si="6"/>
        <v>40.829839475380851</v>
      </c>
    </row>
    <row r="47" spans="1:29" x14ac:dyDescent="0.2">
      <c r="A47">
        <v>46137.048243472222</v>
      </c>
      <c r="B47">
        <v>18.267446</v>
      </c>
      <c r="C47">
        <v>18.341481999999999</v>
      </c>
      <c r="D47">
        <v>19.305281999999998</v>
      </c>
      <c r="E47">
        <v>19.574491999999999</v>
      </c>
      <c r="F47">
        <v>35.921610999999999</v>
      </c>
      <c r="G47">
        <v>34.978803999999997</v>
      </c>
      <c r="H47">
        <v>31.108373</v>
      </c>
      <c r="I47">
        <v>28.065888999999999</v>
      </c>
      <c r="J47">
        <v>57.365102999999998</v>
      </c>
      <c r="K47">
        <v>52.237375</v>
      </c>
      <c r="L47">
        <v>85.489040000000003</v>
      </c>
      <c r="M47">
        <v>-622.49469399999998</v>
      </c>
      <c r="N47">
        <v>1.6028610000000001</v>
      </c>
      <c r="O47">
        <v>3.747455</v>
      </c>
      <c r="P47">
        <f t="shared" si="0"/>
        <v>2.6714350000000003E-5</v>
      </c>
      <c r="Q47" cm="1">
        <f t="array" ref="Q47">[1]!PropsSI("D","T",J47+273.15,"P",101325,"Water")</f>
        <v>984.53069689576353</v>
      </c>
      <c r="R47" cm="1">
        <f t="array" ref="R47">[1]!PropsSI("D","T",K47+273.15,"P",101325,"Water")</f>
        <v>987.00680863885316</v>
      </c>
      <c r="S47">
        <f t="shared" si="1"/>
        <v>985.76875276730834</v>
      </c>
      <c r="T47" cm="1">
        <f t="array" ref="T47">[1]!PropsSI("H","T",J47+273.15,"P",101325,"Water")</f>
        <v>240223.24308261395</v>
      </c>
      <c r="U47" cm="1">
        <f t="array" ref="U47">[1]!PropsSI("H","T",K47+273.15,"P",101325,"Water")</f>
        <v>218774.46122117393</v>
      </c>
      <c r="V47">
        <f t="shared" si="2"/>
        <v>564.83589958677089</v>
      </c>
      <c r="X47">
        <f t="shared" si="3"/>
        <v>0.26473020599999997</v>
      </c>
      <c r="Y47">
        <f t="shared" si="3"/>
        <v>0.25447474999999997</v>
      </c>
      <c r="Z47">
        <f t="shared" si="9"/>
        <v>0.36720495687880478</v>
      </c>
      <c r="AA47">
        <f t="shared" si="8"/>
        <v>5.1277279999999976</v>
      </c>
      <c r="AB47">
        <f t="shared" si="5"/>
        <v>7.2306468979971034E-2</v>
      </c>
      <c r="AC47">
        <f t="shared" si="6"/>
        <v>40.841289452244887</v>
      </c>
    </row>
    <row r="48" spans="1:29" x14ac:dyDescent="0.2">
      <c r="A48">
        <v>46137.048278773145</v>
      </c>
      <c r="B48">
        <v>18.244975</v>
      </c>
      <c r="C48">
        <v>18.268412000000001</v>
      </c>
      <c r="D48">
        <v>19.317639</v>
      </c>
      <c r="E48">
        <v>19.580448000000001</v>
      </c>
      <c r="F48">
        <v>35.355181999999999</v>
      </c>
      <c r="G48">
        <v>33.618957999999999</v>
      </c>
      <c r="H48">
        <v>30.860161000000002</v>
      </c>
      <c r="I48">
        <v>28.040908999999999</v>
      </c>
      <c r="J48">
        <v>57.373382999999997</v>
      </c>
      <c r="K48">
        <v>52.244371000000001</v>
      </c>
      <c r="L48">
        <v>80.899473999999998</v>
      </c>
      <c r="M48">
        <v>-622.50449000000003</v>
      </c>
      <c r="N48">
        <v>1.6047579999999999</v>
      </c>
      <c r="O48">
        <v>3.4398620000000002</v>
      </c>
      <c r="P48">
        <f t="shared" si="0"/>
        <v>2.6745966666666668E-5</v>
      </c>
      <c r="Q48" cm="1">
        <f t="array" ref="Q48">[1]!PropsSI("D","T",J48+273.15,"P",101325,"Water")</f>
        <v>984.52656746401544</v>
      </c>
      <c r="R48" cm="1">
        <f t="array" ref="R48">[1]!PropsSI("D","T",K48+273.15,"P",101325,"Water")</f>
        <v>987.00354283459171</v>
      </c>
      <c r="S48">
        <f t="shared" si="1"/>
        <v>985.76505514930363</v>
      </c>
      <c r="T48" cm="1">
        <f t="array" ref="T48">[1]!PropsSI("H","T",J48+273.15,"P",101325,"Water")</f>
        <v>240257.88541062095</v>
      </c>
      <c r="U48" cm="1">
        <f t="array" ref="U48">[1]!PropsSI("H","T",K48+273.15,"P",101325,"Water")</f>
        <v>218803.71861202054</v>
      </c>
      <c r="V48">
        <f t="shared" si="2"/>
        <v>565.64424175997522</v>
      </c>
      <c r="X48">
        <f t="shared" si="3"/>
        <v>0.26474676600000002</v>
      </c>
      <c r="Y48">
        <f t="shared" si="3"/>
        <v>0.25448874199999999</v>
      </c>
      <c r="Z48">
        <f t="shared" si="9"/>
        <v>0.36722659205482561</v>
      </c>
      <c r="AA48">
        <f t="shared" si="8"/>
        <v>5.1290119999999959</v>
      </c>
      <c r="AB48">
        <f t="shared" si="5"/>
        <v>7.2292891641038803E-2</v>
      </c>
      <c r="AC48">
        <f t="shared" si="6"/>
        <v>40.892057876931446</v>
      </c>
    </row>
    <row r="49" spans="1:29" x14ac:dyDescent="0.2">
      <c r="A49">
        <v>44675.048313497697</v>
      </c>
      <c r="B49">
        <v>18.567786000000002</v>
      </c>
      <c r="C49">
        <v>18.521097999999999</v>
      </c>
      <c r="D49">
        <v>19.345977000000001</v>
      </c>
      <c r="E49">
        <v>19.593360000000001</v>
      </c>
      <c r="F49">
        <v>35.331589000000001</v>
      </c>
      <c r="G49">
        <v>32.041375000000002</v>
      </c>
      <c r="H49">
        <v>30.936454000000001</v>
      </c>
      <c r="I49">
        <v>27.983443999999999</v>
      </c>
      <c r="J49">
        <v>57.377522999999997</v>
      </c>
      <c r="K49">
        <v>52.251843000000001</v>
      </c>
      <c r="L49">
        <v>85.258032</v>
      </c>
      <c r="M49">
        <v>-622.49020499999995</v>
      </c>
      <c r="N49">
        <v>1.6063069999999999</v>
      </c>
      <c r="O49">
        <v>3.3725360000000002</v>
      </c>
      <c r="P49">
        <f t="shared" si="0"/>
        <v>2.6771783333333333E-5</v>
      </c>
      <c r="Q49" cm="1">
        <f t="array" ref="Q49">[1]!PropsSI("D","T",J49+273.15,"P",101325,"Water")</f>
        <v>984.52450259234604</v>
      </c>
      <c r="R49" cm="1">
        <f t="array" ref="R49">[1]!PropsSI("D","T",K49+273.15,"P",101325,"Water")</f>
        <v>987.00005448296758</v>
      </c>
      <c r="S49">
        <f t="shared" si="1"/>
        <v>985.76227853765681</v>
      </c>
      <c r="T49" cm="1">
        <f t="array" ref="T49">[1]!PropsSI("H","T",J49+273.15,"P",101325,"Water")</f>
        <v>240275.20658486447</v>
      </c>
      <c r="U49" cm="1">
        <f t="array" ref="U49">[1]!PropsSI("H","T",K49+273.15,"P",101325,"Water")</f>
        <v>218834.9666603267</v>
      </c>
      <c r="V49">
        <f t="shared" si="2"/>
        <v>565.82109889998526</v>
      </c>
      <c r="X49">
        <f t="shared" si="3"/>
        <v>0.26475504599999999</v>
      </c>
      <c r="Y49">
        <f t="shared" si="3"/>
        <v>0.25450368600000001</v>
      </c>
      <c r="Z49">
        <f t="shared" si="9"/>
        <v>0.36724291765812</v>
      </c>
      <c r="AA49">
        <f t="shared" si="8"/>
        <v>5.1256799999999956</v>
      </c>
      <c r="AB49">
        <f t="shared" si="5"/>
        <v>7.2342141930457529E-2</v>
      </c>
      <c r="AC49">
        <f t="shared" si="6"/>
        <v>40.932710243870183</v>
      </c>
    </row>
    <row r="50" spans="1:29" x14ac:dyDescent="0.2">
      <c r="A50" t="s">
        <v>19</v>
      </c>
      <c r="B50">
        <v>18.644121999999999</v>
      </c>
      <c r="C50">
        <v>18.776342</v>
      </c>
      <c r="D50">
        <v>19.402311999999998</v>
      </c>
      <c r="E50">
        <v>19.635276000000001</v>
      </c>
      <c r="F50">
        <v>35.924942999999999</v>
      </c>
      <c r="G50">
        <v>34.231350999999997</v>
      </c>
      <c r="H50">
        <v>31.511599</v>
      </c>
      <c r="I50">
        <v>28.394404000000002</v>
      </c>
      <c r="J50">
        <v>57.381025999999999</v>
      </c>
      <c r="K50">
        <v>52.257089999999998</v>
      </c>
      <c r="L50">
        <v>82.275323999999998</v>
      </c>
      <c r="M50">
        <v>-622.474287</v>
      </c>
      <c r="N50">
        <v>1.6040859999999999</v>
      </c>
      <c r="O50">
        <v>3.2404250000000001</v>
      </c>
      <c r="P50">
        <f t="shared" si="0"/>
        <v>2.6734766666666667E-5</v>
      </c>
      <c r="Q50" cm="1">
        <f t="array" ref="Q50">[1]!PropsSI("D","T",J50+273.15,"P",101325,"Water")</f>
        <v>984.52275535053468</v>
      </c>
      <c r="R50" cm="1">
        <f t="array" ref="R50">[1]!PropsSI("D","T",K50+273.15,"P",101325,"Water")</f>
        <v>986.99760467367264</v>
      </c>
      <c r="S50">
        <f t="shared" si="1"/>
        <v>985.76018001210366</v>
      </c>
      <c r="T50" cm="1">
        <f t="array" ref="T50">[1]!PropsSI("H","T",J50+273.15,"P",101325,"Water")</f>
        <v>240289.86264653254</v>
      </c>
      <c r="U50" cm="1">
        <f t="array" ref="U50">[1]!PropsSI("H","T",K50+273.15,"P",101325,"Water")</f>
        <v>218856.90972623011</v>
      </c>
      <c r="V50">
        <f t="shared" si="2"/>
        <v>564.84550731667241</v>
      </c>
      <c r="X50">
        <f t="shared" si="3"/>
        <v>0.26476205200000003</v>
      </c>
      <c r="Y50">
        <f t="shared" si="3"/>
        <v>0.25451417999999998</v>
      </c>
      <c r="Z50">
        <f t="shared" si="9"/>
        <v>0.36725524094330242</v>
      </c>
      <c r="AA50">
        <f t="shared" si="8"/>
        <v>5.1239360000000005</v>
      </c>
      <c r="AB50">
        <f t="shared" si="5"/>
        <v>7.2368676101616083E-2</v>
      </c>
      <c r="AC50">
        <f t="shared" si="6"/>
        <v>40.877121566453283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BE8C3-6A94-9944-9131-5AB1D84D9F2C}">
  <dimension ref="A1:AC44"/>
  <sheetViews>
    <sheetView topLeftCell="Q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>
        <v>44675.049224377297</v>
      </c>
      <c r="B2">
        <v>17.182977999999999</v>
      </c>
      <c r="C2">
        <v>17.489478999999999</v>
      </c>
      <c r="D2">
        <v>19.268809000000001</v>
      </c>
      <c r="E2">
        <v>19.323487</v>
      </c>
      <c r="F2">
        <v>32.973438000000002</v>
      </c>
      <c r="G2">
        <v>32.911579000000003</v>
      </c>
      <c r="H2">
        <v>29.311710999999999</v>
      </c>
      <c r="I2">
        <v>26.611189</v>
      </c>
      <c r="J2">
        <v>57.513984999999998</v>
      </c>
      <c r="K2">
        <v>51.635829000000001</v>
      </c>
      <c r="L2">
        <v>137.732955</v>
      </c>
      <c r="M2">
        <v>-622.53061100000002</v>
      </c>
      <c r="N2">
        <v>1.6031230000000001</v>
      </c>
      <c r="O2">
        <v>3.2343510000000002</v>
      </c>
      <c r="P2">
        <f t="shared" ref="P2:P65" si="0" xml:space="preserve"> N2*0.001/60</f>
        <v>2.6718716666666669E-5</v>
      </c>
      <c r="Q2" cm="1">
        <f t="array" ref="Q2">[1]!PropsSI("D","T",J2+273.15,"P",101325,"Water")</f>
        <v>984.45638253380639</v>
      </c>
      <c r="R2" cm="1">
        <f t="array" ref="R2">[1]!PropsSI("D","T",K2+273.15,"P",101325,"Water")</f>
        <v>987.28644328857467</v>
      </c>
      <c r="S2">
        <f t="shared" ref="S2:S65" si="1">(Q2+R2)/2</f>
        <v>985.87141291119053</v>
      </c>
      <c r="T2" cm="1">
        <f t="array" ref="T2">[1]!PropsSI("H","T",J2+273.15,"P",101325,"Water")</f>
        <v>240846.14810559154</v>
      </c>
      <c r="U2" cm="1">
        <f t="array" ref="U2">[1]!PropsSI("H","T",K2+273.15,"P",101325,"Water")</f>
        <v>216258.84342986892</v>
      </c>
      <c r="V2">
        <f t="shared" ref="V2:V65" si="2">S2*P2*(T2-U2)</f>
        <v>647.65957588652589</v>
      </c>
      <c r="W2" s="3">
        <f>AVERAGE(V24:V44)</f>
        <v>665.40858922290363</v>
      </c>
      <c r="X2">
        <f>(0.15+0.002*ABS(J2))</f>
        <v>0.26502797</v>
      </c>
      <c r="Y2">
        <f>(0.15+0.002*ABS(K2))</f>
        <v>0.25327165800000001</v>
      </c>
      <c r="Z2">
        <f>SQRT((X2)^2 + (Y2)^2)</f>
        <v>0.36658744881459027</v>
      </c>
      <c r="AA2">
        <f>J2-K2</f>
        <v>5.8781559999999971</v>
      </c>
      <c r="AB2">
        <f>SQRT((0.01)^2 + (Z2/ABS(AA2))^2)</f>
        <v>6.3161013691974438E-2</v>
      </c>
      <c r="AC2">
        <f>ABS(V2*AB2)</f>
        <v>40.906835340307218</v>
      </c>
    </row>
    <row r="3" spans="1:29" x14ac:dyDescent="0.2">
      <c r="A3">
        <v>44675.049259678301</v>
      </c>
      <c r="B3">
        <v>17.393535</v>
      </c>
      <c r="C3">
        <v>17.659528999999999</v>
      </c>
      <c r="D3">
        <v>19.293030000000002</v>
      </c>
      <c r="E3">
        <v>19.385664999999999</v>
      </c>
      <c r="F3">
        <v>32.948780999999997</v>
      </c>
      <c r="G3">
        <v>33.752822999999999</v>
      </c>
      <c r="H3">
        <v>29.678781000000001</v>
      </c>
      <c r="I3">
        <v>26.801292</v>
      </c>
      <c r="J3">
        <v>57.521309000000002</v>
      </c>
      <c r="K3">
        <v>51.623112999999996</v>
      </c>
      <c r="L3">
        <v>142.70821599999999</v>
      </c>
      <c r="M3">
        <v>-622.50285699999995</v>
      </c>
      <c r="N3">
        <v>1.601672</v>
      </c>
      <c r="O3">
        <v>3.2226849999999998</v>
      </c>
      <c r="P3">
        <f t="shared" si="0"/>
        <v>2.6694533333333333E-5</v>
      </c>
      <c r="Q3" cm="1">
        <f t="array" ref="Q3">[1]!PropsSI("D","T",J3+273.15,"P",101325,"Water")</f>
        <v>984.4527233008871</v>
      </c>
      <c r="R3" cm="1">
        <f t="array" ref="R3">[1]!PropsSI("D","T",K3+273.15,"P",101325,"Water")</f>
        <v>987.29232935753851</v>
      </c>
      <c r="S3">
        <f t="shared" si="1"/>
        <v>985.87252632921286</v>
      </c>
      <c r="T3" cm="1">
        <f t="array" ref="T3">[1]!PropsSI("H","T",J3+273.15,"P",101325,"Water")</f>
        <v>240876.79110046892</v>
      </c>
      <c r="U3" cm="1">
        <f t="array" ref="U3">[1]!PropsSI("H","T",K3+273.15,"P",101325,"Water")</f>
        <v>216205.66734425747</v>
      </c>
      <c r="V3">
        <f t="shared" si="2"/>
        <v>649.28000544697284</v>
      </c>
      <c r="W3" s="3" t="s">
        <v>35</v>
      </c>
      <c r="X3">
        <f t="shared" ref="X3:Y55" si="3">(0.15+0.002*ABS(J3))</f>
        <v>0.26504261800000001</v>
      </c>
      <c r="Y3">
        <f t="shared" si="3"/>
        <v>0.25324622600000002</v>
      </c>
      <c r="Z3">
        <f t="shared" ref="Z3:Z55" si="4">SQRT((X3)^2 + (Y3)^2)</f>
        <v>0.36658046911904218</v>
      </c>
      <c r="AA3">
        <f>J3-K3</f>
        <v>5.8981960000000058</v>
      </c>
      <c r="AB3">
        <f t="shared" ref="AB3:AB66" si="5">SQRT((0.01)^2 + (Z3/ABS(AA3))^2)</f>
        <v>6.295063468361195E-2</v>
      </c>
      <c r="AC3">
        <f t="shared" ref="AC3:AC66" si="6">ABS(V3*AB3)</f>
        <v>40.872588430265964</v>
      </c>
    </row>
    <row r="4" spans="1:29" x14ac:dyDescent="0.2">
      <c r="A4">
        <v>44675.049294979202</v>
      </c>
      <c r="B4">
        <v>17.316711999999999</v>
      </c>
      <c r="C4">
        <v>17.668965</v>
      </c>
      <c r="D4">
        <v>19.347064</v>
      </c>
      <c r="E4">
        <v>19.434446999999999</v>
      </c>
      <c r="F4">
        <v>32.917909000000002</v>
      </c>
      <c r="G4">
        <v>33.219182000000004</v>
      </c>
      <c r="H4">
        <v>29.754111999999999</v>
      </c>
      <c r="I4">
        <v>26.633151000000002</v>
      </c>
      <c r="J4">
        <v>57.522105000000003</v>
      </c>
      <c r="K4">
        <v>51.615324000000001</v>
      </c>
      <c r="L4">
        <v>135.95549299999999</v>
      </c>
      <c r="M4">
        <v>-622.50857099999996</v>
      </c>
      <c r="N4">
        <v>1.604069</v>
      </c>
      <c r="O4">
        <v>3.2764389999999999</v>
      </c>
      <c r="P4">
        <f t="shared" si="0"/>
        <v>2.6734483333333333E-5</v>
      </c>
      <c r="Q4" cm="1">
        <f t="array" ref="Q4">[1]!PropsSI("D","T",J4+273.15,"P",101325,"Water")</f>
        <v>984.45232558207999</v>
      </c>
      <c r="R4" cm="1">
        <f t="array" ref="R4">[1]!PropsSI("D","T",K4+273.15,"P",101325,"Water")</f>
        <v>987.29593426884924</v>
      </c>
      <c r="S4">
        <f t="shared" si="1"/>
        <v>985.87412992546456</v>
      </c>
      <c r="T4" cm="1">
        <f t="array" ref="T4">[1]!PropsSI("H","T",J4+273.15,"P",101325,"Water")</f>
        <v>240880.12149823667</v>
      </c>
      <c r="U4" cm="1">
        <f t="array" ref="U4">[1]!PropsSI("H","T",K4+273.15,"P",101325,"Water")</f>
        <v>216173.09513467608</v>
      </c>
      <c r="V4">
        <f t="shared" si="2"/>
        <v>651.19902944133992</v>
      </c>
      <c r="W4" s="3">
        <f>SQRT((AVERAGE(AC24:AC44))^2 + (_xlfn.STDEV.S(V24:V44)/SQRT(COUNT(V24:V44)))^2)</f>
        <v>41.020117905504577</v>
      </c>
      <c r="X4">
        <f t="shared" si="3"/>
        <v>0.26504421</v>
      </c>
      <c r="Y4">
        <f t="shared" si="3"/>
        <v>0.253230648</v>
      </c>
      <c r="Z4">
        <f t="shared" si="4"/>
        <v>0.36657085855401</v>
      </c>
      <c r="AA4">
        <f t="shared" ref="AA4:AA67" si="7">J4-K4</f>
        <v>5.9067810000000023</v>
      </c>
      <c r="AB4">
        <f t="shared" si="5"/>
        <v>6.2859845464867392E-2</v>
      </c>
      <c r="AC4">
        <f t="shared" si="6"/>
        <v>40.934270357554261</v>
      </c>
    </row>
    <row r="5" spans="1:29" x14ac:dyDescent="0.2">
      <c r="A5">
        <v>44675.049329701404</v>
      </c>
      <c r="B5">
        <v>17.398918999999999</v>
      </c>
      <c r="C5">
        <v>17.807476000000001</v>
      </c>
      <c r="D5">
        <v>19.299268999999999</v>
      </c>
      <c r="E5">
        <v>19.376738</v>
      </c>
      <c r="F5">
        <v>33.038325999999998</v>
      </c>
      <c r="G5">
        <v>32.992133000000003</v>
      </c>
      <c r="H5">
        <v>28.363959000000001</v>
      </c>
      <c r="I5">
        <v>26.272917</v>
      </c>
      <c r="J5">
        <v>57.529589999999999</v>
      </c>
      <c r="K5">
        <v>51.607852999999999</v>
      </c>
      <c r="L5">
        <v>132.94380699999999</v>
      </c>
      <c r="M5">
        <v>-622.50163299999997</v>
      </c>
      <c r="N5">
        <v>1.608663</v>
      </c>
      <c r="O5">
        <v>3.0059149999999999</v>
      </c>
      <c r="P5">
        <f t="shared" si="0"/>
        <v>2.6811049999999998E-5</v>
      </c>
      <c r="Q5" cm="1">
        <f t="array" ref="Q5">[1]!PropsSI("D","T",J5+273.15,"P",101325,"Water")</f>
        <v>984.44858553862719</v>
      </c>
      <c r="R5" cm="1">
        <f t="array" ref="R5">[1]!PropsSI("D","T",K5+273.15,"P",101325,"Water")</f>
        <v>987.29939163603058</v>
      </c>
      <c r="S5">
        <f t="shared" si="1"/>
        <v>985.87398858732888</v>
      </c>
      <c r="T5" cm="1">
        <f t="array" ref="T5">[1]!PropsSI("H","T",J5+273.15,"P",101325,"Water")</f>
        <v>240911.43812801145</v>
      </c>
      <c r="U5" cm="1">
        <f t="array" ref="U5">[1]!PropsSI("H","T",K5+273.15,"P",101325,"Water")</f>
        <v>216141.85276204685</v>
      </c>
      <c r="V5">
        <f t="shared" si="2"/>
        <v>654.71752744028265</v>
      </c>
      <c r="W5" s="3"/>
      <c r="X5">
        <f t="shared" si="3"/>
        <v>0.26505918000000001</v>
      </c>
      <c r="Y5">
        <f t="shared" si="3"/>
        <v>0.25321570599999998</v>
      </c>
      <c r="Z5">
        <f t="shared" si="4"/>
        <v>0.36657136094811177</v>
      </c>
      <c r="AA5">
        <f t="shared" si="7"/>
        <v>5.9217370000000003</v>
      </c>
      <c r="AB5">
        <f t="shared" si="5"/>
        <v>6.2705192545672361E-2</v>
      </c>
      <c r="AC5">
        <f t="shared" si="6"/>
        <v>41.054188621169452</v>
      </c>
    </row>
    <row r="6" spans="1:29" x14ac:dyDescent="0.2">
      <c r="A6">
        <v>46137.049364999999</v>
      </c>
      <c r="B6">
        <v>17.387855999999999</v>
      </c>
      <c r="C6">
        <v>17.732942000000001</v>
      </c>
      <c r="D6">
        <v>19.235277</v>
      </c>
      <c r="E6">
        <v>19.381474999999998</v>
      </c>
      <c r="F6">
        <v>32.885010000000001</v>
      </c>
      <c r="G6">
        <v>34.521987000000003</v>
      </c>
      <c r="H6">
        <v>28.738527000000001</v>
      </c>
      <c r="I6">
        <v>26.446695999999999</v>
      </c>
      <c r="J6">
        <v>57.537711000000002</v>
      </c>
      <c r="K6">
        <v>51.613416999999998</v>
      </c>
      <c r="L6">
        <v>125.225826</v>
      </c>
      <c r="M6">
        <v>-622.49061300000005</v>
      </c>
      <c r="N6">
        <v>1.6080030000000001</v>
      </c>
      <c r="O6">
        <v>3.4809329999999998</v>
      </c>
      <c r="P6">
        <f t="shared" si="0"/>
        <v>2.6800050000000004E-5</v>
      </c>
      <c r="Q6" cm="1">
        <f t="array" ref="Q6">[1]!PropsSI("D","T",J6+273.15,"P",101325,"Water")</f>
        <v>984.44452732055686</v>
      </c>
      <c r="R6" cm="1">
        <f t="array" ref="R6">[1]!PropsSI("D","T",K6+273.15,"P",101325,"Water")</f>
        <v>987.2968168086021</v>
      </c>
      <c r="S6">
        <f t="shared" si="1"/>
        <v>985.87067206457948</v>
      </c>
      <c r="T6" cm="1">
        <f t="array" ref="T6">[1]!PropsSI("H","T",J6+273.15,"P",101325,"Water")</f>
        <v>240945.41575524479</v>
      </c>
      <c r="U6" cm="1">
        <f t="array" ref="U6">[1]!PropsSI("H","T",K6+273.15,"P",101325,"Water")</f>
        <v>216165.12040347813</v>
      </c>
      <c r="V6">
        <f t="shared" si="2"/>
        <v>654.72968189677499</v>
      </c>
      <c r="W6" s="3"/>
      <c r="X6">
        <f t="shared" si="3"/>
        <v>0.265075422</v>
      </c>
      <c r="Y6">
        <f t="shared" si="3"/>
        <v>0.25322683400000001</v>
      </c>
      <c r="Z6">
        <f t="shared" si="4"/>
        <v>0.36659079203676359</v>
      </c>
      <c r="AA6">
        <f>J6-K6</f>
        <v>5.9242940000000033</v>
      </c>
      <c r="AB6">
        <f t="shared" si="5"/>
        <v>6.2682054548061236E-2</v>
      </c>
      <c r="AC6">
        <f t="shared" si="6"/>
        <v>41.039801634888434</v>
      </c>
    </row>
    <row r="7" spans="1:29" x14ac:dyDescent="0.2">
      <c r="A7">
        <v>46137.049400300923</v>
      </c>
      <c r="B7">
        <v>17.085132000000002</v>
      </c>
      <c r="C7">
        <v>17.593753</v>
      </c>
      <c r="D7">
        <v>19.167048999999999</v>
      </c>
      <c r="E7">
        <v>19.316908000000002</v>
      </c>
      <c r="F7">
        <v>32.595706</v>
      </c>
      <c r="G7">
        <v>31.934028000000001</v>
      </c>
      <c r="H7">
        <v>29.806429000000001</v>
      </c>
      <c r="I7">
        <v>26.735558999999999</v>
      </c>
      <c r="J7">
        <v>57.543284</v>
      </c>
      <c r="K7">
        <v>51.619774999999997</v>
      </c>
      <c r="L7">
        <v>140.58464900000001</v>
      </c>
      <c r="M7">
        <v>-622.50040799999999</v>
      </c>
      <c r="N7">
        <v>1.605356</v>
      </c>
      <c r="O7">
        <v>3.0010729999999999</v>
      </c>
      <c r="P7">
        <f t="shared" si="0"/>
        <v>2.6755933333333336E-5</v>
      </c>
      <c r="Q7" cm="1">
        <f t="array" ref="Q7">[1]!PropsSI("D","T",J7+273.15,"P",101325,"Water")</f>
        <v>984.44174215569831</v>
      </c>
      <c r="R7" cm="1">
        <f t="array" ref="R7">[1]!PropsSI("D","T",K7+273.15,"P",101325,"Water")</f>
        <v>987.29387430124643</v>
      </c>
      <c r="S7">
        <f t="shared" si="1"/>
        <v>985.86780822847231</v>
      </c>
      <c r="T7" cm="1">
        <f t="array" ref="T7">[1]!PropsSI("H","T",J7+273.15,"P",101325,"Water")</f>
        <v>240968.73276557081</v>
      </c>
      <c r="U7" cm="1">
        <f t="array" ref="U7">[1]!PropsSI("H","T",K7+273.15,"P",101325,"Water")</f>
        <v>216191.70842095296</v>
      </c>
      <c r="V7">
        <f t="shared" si="2"/>
        <v>653.56372359120303</v>
      </c>
      <c r="W7" s="3"/>
      <c r="X7">
        <f t="shared" si="3"/>
        <v>0.26508656799999997</v>
      </c>
      <c r="Y7">
        <f t="shared" si="3"/>
        <v>0.25323954999999998</v>
      </c>
      <c r="Z7">
        <f t="shared" si="4"/>
        <v>0.36660763524266798</v>
      </c>
      <c r="AA7">
        <f t="shared" ref="AA7:AA70" si="8">J7-K7</f>
        <v>5.9235090000000028</v>
      </c>
      <c r="AB7">
        <f t="shared" si="5"/>
        <v>6.269295698601382E-2</v>
      </c>
      <c r="AC7">
        <f t="shared" si="6"/>
        <v>40.97384241072232</v>
      </c>
    </row>
    <row r="8" spans="1:29" x14ac:dyDescent="0.2">
      <c r="A8">
        <v>46137.049435601853</v>
      </c>
      <c r="B8">
        <v>17.096043999999999</v>
      </c>
      <c r="C8">
        <v>17.596064999999999</v>
      </c>
      <c r="D8">
        <v>19.126543000000002</v>
      </c>
      <c r="E8">
        <v>19.273091000000001</v>
      </c>
      <c r="F8">
        <v>33.035890000000002</v>
      </c>
      <c r="G8">
        <v>33.839227999999999</v>
      </c>
      <c r="H8">
        <v>29.698898</v>
      </c>
      <c r="I8">
        <v>27.338636000000001</v>
      </c>
      <c r="J8">
        <v>57.544716999999999</v>
      </c>
      <c r="K8">
        <v>51.623112999999996</v>
      </c>
      <c r="L8">
        <v>136.546076</v>
      </c>
      <c r="M8">
        <v>-622.49591899999996</v>
      </c>
      <c r="N8">
        <v>1.6062540000000001</v>
      </c>
      <c r="O8">
        <v>3.808719</v>
      </c>
      <c r="P8">
        <f t="shared" si="0"/>
        <v>2.6770900000000001E-5</v>
      </c>
      <c r="Q8" cm="1">
        <f t="array" ref="Q8">[1]!PropsSI("D","T",J8+273.15,"P",101325,"Water")</f>
        <v>984.44102596866162</v>
      </c>
      <c r="R8" cm="1">
        <f t="array" ref="R8">[1]!PropsSI("D","T",K8+273.15,"P",101325,"Water")</f>
        <v>987.29232935753851</v>
      </c>
      <c r="S8">
        <f t="shared" si="1"/>
        <v>985.86667766310006</v>
      </c>
      <c r="T8" cm="1">
        <f t="array" ref="T8">[1]!PropsSI("H","T",J8+273.15,"P",101325,"Water")</f>
        <v>240974.72833113238</v>
      </c>
      <c r="U8" cm="1">
        <f t="array" ref="U8">[1]!PropsSI("H","T",K8+273.15,"P",101325,"Water")</f>
        <v>216205.66734425747</v>
      </c>
      <c r="V8">
        <f t="shared" si="2"/>
        <v>653.71838929102273</v>
      </c>
      <c r="W8" s="3"/>
      <c r="X8">
        <f t="shared" si="3"/>
        <v>0.26508943400000001</v>
      </c>
      <c r="Y8">
        <f t="shared" si="3"/>
        <v>0.25324622600000002</v>
      </c>
      <c r="Z8">
        <f>SQRT((X8)^2 + (Y8)^2)</f>
        <v>0.3666143191443611</v>
      </c>
      <c r="AA8">
        <f t="shared" si="8"/>
        <v>5.9216040000000021</v>
      </c>
      <c r="AB8">
        <f t="shared" si="5"/>
        <v>6.2713726750703774E-2</v>
      </c>
      <c r="AC8">
        <f t="shared" si="6"/>
        <v>40.997116437907394</v>
      </c>
    </row>
    <row r="9" spans="1:29" x14ac:dyDescent="0.2">
      <c r="A9">
        <v>46137.049470902777</v>
      </c>
      <c r="B9">
        <v>17.173316</v>
      </c>
      <c r="C9">
        <v>17.623346000000002</v>
      </c>
      <c r="D9">
        <v>19.099035000000001</v>
      </c>
      <c r="E9">
        <v>19.212423999999999</v>
      </c>
      <c r="F9">
        <v>32.900587000000002</v>
      </c>
      <c r="G9">
        <v>32.689087999999998</v>
      </c>
      <c r="H9">
        <v>28.805385999999999</v>
      </c>
      <c r="I9">
        <v>26.830651</v>
      </c>
      <c r="J9">
        <v>57.547902000000001</v>
      </c>
      <c r="K9">
        <v>51.618184999999997</v>
      </c>
      <c r="L9">
        <v>136.138341</v>
      </c>
      <c r="M9">
        <v>-622.48653100000001</v>
      </c>
      <c r="N9">
        <v>1.6056509999999999</v>
      </c>
      <c r="O9">
        <v>3.7635299999999998</v>
      </c>
      <c r="P9">
        <f t="shared" si="0"/>
        <v>2.676085E-5</v>
      </c>
      <c r="Q9" cm="1">
        <f t="array" ref="Q9">[1]!PropsSI("D","T",J9+273.15,"P",101325,"Water")</f>
        <v>984.43943411972293</v>
      </c>
      <c r="R9" cm="1">
        <f t="array" ref="R9">[1]!PropsSI("D","T",K9+273.15,"P",101325,"Water")</f>
        <v>987.29461018389554</v>
      </c>
      <c r="S9">
        <f t="shared" si="1"/>
        <v>985.86702215180924</v>
      </c>
      <c r="T9" cm="1">
        <f t="array" ref="T9">[1]!PropsSI("H","T",J9+273.15,"P",101325,"Water")</f>
        <v>240988.05413755178</v>
      </c>
      <c r="U9" cm="1">
        <f t="array" ref="U9">[1]!PropsSI("H","T",K9+273.15,"P",101325,"Water")</f>
        <v>216185.0593245232</v>
      </c>
      <c r="V9">
        <f t="shared" si="2"/>
        <v>654.368470666333</v>
      </c>
      <c r="W9" s="3"/>
      <c r="X9">
        <f t="shared" si="3"/>
        <v>0.26509580399999999</v>
      </c>
      <c r="Y9">
        <f t="shared" si="3"/>
        <v>0.25323636999999999</v>
      </c>
      <c r="Z9">
        <f t="shared" ref="Z9:Z72" si="9">SQRT((X9)^2 + (Y9)^2)</f>
        <v>0.36661211707905034</v>
      </c>
      <c r="AA9">
        <f t="shared" si="8"/>
        <v>5.9297170000000037</v>
      </c>
      <c r="AB9">
        <f t="shared" si="5"/>
        <v>6.2629738749004127E-2</v>
      </c>
      <c r="AC9">
        <f t="shared" si="6"/>
        <v>40.982926363417803</v>
      </c>
    </row>
    <row r="10" spans="1:29" x14ac:dyDescent="0.2">
      <c r="A10">
        <v>44675.049506206102</v>
      </c>
      <c r="B10">
        <v>17.330214000000002</v>
      </c>
      <c r="C10">
        <v>17.892005000000001</v>
      </c>
      <c r="D10">
        <v>19.078996</v>
      </c>
      <c r="E10">
        <v>19.169938999999999</v>
      </c>
      <c r="F10">
        <v>32.704782999999999</v>
      </c>
      <c r="G10">
        <v>32.914507</v>
      </c>
      <c r="H10">
        <v>29.517804999999999</v>
      </c>
      <c r="I10">
        <v>26.272822999999999</v>
      </c>
      <c r="J10">
        <v>57.551882999999997</v>
      </c>
      <c r="K10">
        <v>51.616278000000001</v>
      </c>
      <c r="L10">
        <v>141.25400300000001</v>
      </c>
      <c r="M10">
        <v>-622.47224600000004</v>
      </c>
      <c r="N10">
        <v>1.605901</v>
      </c>
      <c r="O10">
        <v>3.8526500000000001</v>
      </c>
      <c r="P10">
        <f t="shared" si="0"/>
        <v>2.6765016666666669E-5</v>
      </c>
      <c r="Q10" cm="1">
        <f t="array" ref="Q10">[1]!PropsSI("D","T",J10+273.15,"P",101325,"Water")</f>
        <v>984.43744434723487</v>
      </c>
      <c r="R10" cm="1">
        <f t="array" ref="R10">[1]!PropsSI("D","T",K10+273.15,"P",101325,"Water")</f>
        <v>987.29549275879413</v>
      </c>
      <c r="S10">
        <f t="shared" si="1"/>
        <v>985.86646855301456</v>
      </c>
      <c r="T10" cm="1">
        <f t="array" ref="T10">[1]!PropsSI("H","T",J10+273.15,"P",101325,"Water")</f>
        <v>241004.71035527464</v>
      </c>
      <c r="U10" cm="1">
        <f t="array" ref="U10">[1]!PropsSI("H","T",K10+273.15,"P",101325,"Water")</f>
        <v>216177.08459156289</v>
      </c>
      <c r="V10">
        <f t="shared" si="2"/>
        <v>655.11991869196379</v>
      </c>
      <c r="X10">
        <f t="shared" si="3"/>
        <v>0.26510376599999996</v>
      </c>
      <c r="Y10">
        <f t="shared" si="3"/>
        <v>0.253232556</v>
      </c>
      <c r="Z10">
        <f t="shared" si="9"/>
        <v>0.36661523995283646</v>
      </c>
      <c r="AA10">
        <f t="shared" si="8"/>
        <v>5.9356049999999954</v>
      </c>
      <c r="AB10">
        <f t="shared" si="5"/>
        <v>6.256971532477569E-2</v>
      </c>
      <c r="AC10">
        <f t="shared" si="6"/>
        <v>40.990666816146373</v>
      </c>
    </row>
    <row r="11" spans="1:29" x14ac:dyDescent="0.2">
      <c r="A11">
        <v>44675.049540928303</v>
      </c>
      <c r="B11">
        <v>17.286565</v>
      </c>
      <c r="C11">
        <v>17.950306999999999</v>
      </c>
      <c r="D11">
        <v>18.809460999999999</v>
      </c>
      <c r="E11">
        <v>19.103200000000001</v>
      </c>
      <c r="F11">
        <v>32.923309000000003</v>
      </c>
      <c r="G11">
        <v>33.362112000000003</v>
      </c>
      <c r="H11">
        <v>28.668621999999999</v>
      </c>
      <c r="I11">
        <v>27.014317999999999</v>
      </c>
      <c r="J11">
        <v>57.554749000000001</v>
      </c>
      <c r="K11">
        <v>51.616118999999998</v>
      </c>
      <c r="L11">
        <v>130.93451999999999</v>
      </c>
      <c r="M11">
        <v>-622.50734699999998</v>
      </c>
      <c r="N11">
        <v>1.60609</v>
      </c>
      <c r="O11">
        <v>4.085547</v>
      </c>
      <c r="P11">
        <f t="shared" si="0"/>
        <v>2.6768166666666669E-5</v>
      </c>
      <c r="Q11" cm="1">
        <f t="array" ref="Q11">[1]!PropsSI("D","T",J11+273.15,"P",101325,"Water")</f>
        <v>984.43601181164422</v>
      </c>
      <c r="R11" cm="1">
        <f t="array" ref="R11">[1]!PropsSI("D","T",K11+273.15,"P",101325,"Water")</f>
        <v>987.29556634420476</v>
      </c>
      <c r="S11">
        <f t="shared" si="1"/>
        <v>985.86578907792455</v>
      </c>
      <c r="T11" cm="1">
        <f t="array" ref="T11">[1]!PropsSI("H","T",J11+273.15,"P",101325,"Water")</f>
        <v>241016.70149712058</v>
      </c>
      <c r="U11" cm="1">
        <f t="array" ref="U11">[1]!PropsSI("H","T",K11+273.15,"P",101325,"Water")</f>
        <v>216176.41968210138</v>
      </c>
      <c r="V11">
        <f t="shared" si="2"/>
        <v>655.53055971214826</v>
      </c>
      <c r="X11">
        <f t="shared" si="3"/>
        <v>0.265109498</v>
      </c>
      <c r="Y11">
        <f t="shared" si="3"/>
        <v>0.253232238</v>
      </c>
      <c r="Z11">
        <f t="shared" si="9"/>
        <v>0.36661916520048515</v>
      </c>
      <c r="AA11">
        <f t="shared" si="8"/>
        <v>5.9386300000000034</v>
      </c>
      <c r="AB11">
        <f t="shared" si="5"/>
        <v>6.2539310527885014E-2</v>
      </c>
      <c r="AC11">
        <f t="shared" si="6"/>
        <v>40.996429234356313</v>
      </c>
    </row>
    <row r="12" spans="1:29" x14ac:dyDescent="0.2">
      <c r="A12">
        <v>44675.049576229198</v>
      </c>
      <c r="B12">
        <v>17.192059</v>
      </c>
      <c r="C12">
        <v>17.869256</v>
      </c>
      <c r="D12">
        <v>18.799182999999999</v>
      </c>
      <c r="E12">
        <v>18.974578000000001</v>
      </c>
      <c r="F12">
        <v>32.891589000000003</v>
      </c>
      <c r="G12">
        <v>31.446670000000001</v>
      </c>
      <c r="H12">
        <v>29.158954000000001</v>
      </c>
      <c r="I12">
        <v>25.887695000000001</v>
      </c>
      <c r="J12">
        <v>57.558093</v>
      </c>
      <c r="K12">
        <v>51.615960000000001</v>
      </c>
      <c r="L12">
        <v>133.655608</v>
      </c>
      <c r="M12">
        <v>-622.49469399999998</v>
      </c>
      <c r="N12">
        <v>1.6040000000000001</v>
      </c>
      <c r="O12">
        <v>3.4946320000000002</v>
      </c>
      <c r="P12">
        <f t="shared" si="0"/>
        <v>2.6733333333333337E-5</v>
      </c>
      <c r="Q12" cm="1">
        <f t="array" ref="Q12">[1]!PropsSI("D","T",J12+273.15,"P",101325,"Water")</f>
        <v>984.43434029071341</v>
      </c>
      <c r="R12" cm="1">
        <f t="array" ref="R12">[1]!PropsSI("D","T",K12+273.15,"P",101325,"Water")</f>
        <v>987.29563992948488</v>
      </c>
      <c r="S12">
        <f t="shared" si="1"/>
        <v>985.86499011009914</v>
      </c>
      <c r="T12" cm="1">
        <f t="array" ref="T12">[1]!PropsSI("H","T",J12+273.15,"P",101325,"Water")</f>
        <v>241030.69256138592</v>
      </c>
      <c r="U12" cm="1">
        <f t="array" ref="U12">[1]!PropsSI("H","T",K12+273.15,"P",101325,"Water")</f>
        <v>216175.75477256667</v>
      </c>
      <c r="V12">
        <f t="shared" si="2"/>
        <v>655.06325412946217</v>
      </c>
      <c r="X12">
        <f t="shared" si="3"/>
        <v>0.26511618599999998</v>
      </c>
      <c r="Y12">
        <f t="shared" si="3"/>
        <v>0.25323192</v>
      </c>
      <c r="Z12">
        <f t="shared" si="9"/>
        <v>0.36662378180646299</v>
      </c>
      <c r="AA12">
        <f t="shared" si="8"/>
        <v>5.9421329999999983</v>
      </c>
      <c r="AB12">
        <f t="shared" si="5"/>
        <v>6.2504152247089856E-2</v>
      </c>
      <c r="AC12">
        <f t="shared" si="6"/>
        <v>40.944173367582017</v>
      </c>
    </row>
    <row r="13" spans="1:29" x14ac:dyDescent="0.2">
      <c r="A13">
        <v>44675.049611530099</v>
      </c>
      <c r="B13">
        <v>17.092421999999999</v>
      </c>
      <c r="C13">
        <v>17.469092</v>
      </c>
      <c r="D13">
        <v>18.779340999999999</v>
      </c>
      <c r="E13">
        <v>19.041343999999999</v>
      </c>
      <c r="F13">
        <v>32.698241000000003</v>
      </c>
      <c r="G13">
        <v>34.916885999999998</v>
      </c>
      <c r="H13">
        <v>29.076097000000001</v>
      </c>
      <c r="I13">
        <v>26.353390000000001</v>
      </c>
      <c r="J13">
        <v>57.561118</v>
      </c>
      <c r="K13">
        <v>51.617708999999998</v>
      </c>
      <c r="L13">
        <v>131.257769</v>
      </c>
      <c r="M13">
        <v>-622.49673499999994</v>
      </c>
      <c r="N13">
        <v>1.603119</v>
      </c>
      <c r="O13">
        <v>3.9763739999999999</v>
      </c>
      <c r="P13">
        <f t="shared" si="0"/>
        <v>2.6718650000000002E-5</v>
      </c>
      <c r="Q13" cm="1">
        <f t="array" ref="Q13">[1]!PropsSI("D","T",J13+273.15,"P",101325,"Water")</f>
        <v>984.43282816582655</v>
      </c>
      <c r="R13" cm="1">
        <f t="array" ref="R13">[1]!PropsSI("D","T",K13+273.15,"P",101325,"Water")</f>
        <v>987.29483048271402</v>
      </c>
      <c r="S13">
        <f t="shared" si="1"/>
        <v>985.86382932427023</v>
      </c>
      <c r="T13" cm="1">
        <f t="array" ref="T13">[1]!PropsSI("H","T",J13+273.15,"P",101325,"Water")</f>
        <v>241043.34895560413</v>
      </c>
      <c r="U13" cm="1">
        <f t="array" ref="U13">[1]!PropsSI("H","T",K13+273.15,"P",101325,"Water")</f>
        <v>216183.0687775384</v>
      </c>
      <c r="V13">
        <f t="shared" si="2"/>
        <v>654.84341215648999</v>
      </c>
      <c r="X13">
        <f t="shared" si="3"/>
        <v>0.26512223600000001</v>
      </c>
      <c r="Y13">
        <f t="shared" si="3"/>
        <v>0.25323541799999999</v>
      </c>
      <c r="Z13">
        <f t="shared" si="9"/>
        <v>0.36663057285403033</v>
      </c>
      <c r="AA13">
        <f t="shared" si="8"/>
        <v>5.9434090000000026</v>
      </c>
      <c r="AB13">
        <f t="shared" si="5"/>
        <v>6.2492204544133831E-2</v>
      </c>
      <c r="AC13">
        <f t="shared" si="6"/>
        <v>40.922608456861909</v>
      </c>
    </row>
    <row r="14" spans="1:29" x14ac:dyDescent="0.2">
      <c r="A14">
        <v>44675.049646252402</v>
      </c>
      <c r="B14">
        <v>16.933375000000002</v>
      </c>
      <c r="C14">
        <v>17.332894</v>
      </c>
      <c r="D14">
        <v>18.700969000000001</v>
      </c>
      <c r="E14">
        <v>18.958317999999998</v>
      </c>
      <c r="F14">
        <v>32.573003</v>
      </c>
      <c r="G14">
        <v>33.025413</v>
      </c>
      <c r="H14">
        <v>29.584629</v>
      </c>
      <c r="I14">
        <v>26.636271000000001</v>
      </c>
      <c r="J14">
        <v>57.564303000000002</v>
      </c>
      <c r="K14">
        <v>51.612462999999998</v>
      </c>
      <c r="L14">
        <v>138.99248399999999</v>
      </c>
      <c r="M14">
        <v>-622.48612300000002</v>
      </c>
      <c r="N14">
        <v>1.60277</v>
      </c>
      <c r="O14">
        <v>3.3447309999999999</v>
      </c>
      <c r="P14">
        <f t="shared" si="0"/>
        <v>2.6712833333333336E-5</v>
      </c>
      <c r="Q14" cm="1">
        <f t="array" ref="Q14">[1]!PropsSI("D","T",J14+273.15,"P",101325,"Water")</f>
        <v>984.43123600095635</v>
      </c>
      <c r="R14" cm="1">
        <f t="array" ref="R14">[1]!PropsSI("D","T",K14+273.15,"P",101325,"Water")</f>
        <v>987.29725830108976</v>
      </c>
      <c r="S14">
        <f t="shared" si="1"/>
        <v>985.86424715102305</v>
      </c>
      <c r="T14" cm="1">
        <f t="array" ref="T14">[1]!PropsSI("H","T",J14+273.15,"P",101325,"Water")</f>
        <v>241056.67478290945</v>
      </c>
      <c r="U14" cm="1">
        <f t="array" ref="U14">[1]!PropsSI("H","T",K14+273.15,"P",101325,"Water")</f>
        <v>216161.13094734622</v>
      </c>
      <c r="V14">
        <f t="shared" si="2"/>
        <v>655.62980625015905</v>
      </c>
      <c r="X14">
        <f t="shared" si="3"/>
        <v>0.26512860599999999</v>
      </c>
      <c r="Y14">
        <f t="shared" si="3"/>
        <v>0.25322492600000002</v>
      </c>
      <c r="Z14">
        <f t="shared" si="9"/>
        <v>0.36662793246997522</v>
      </c>
      <c r="AA14">
        <f t="shared" si="8"/>
        <v>5.9518400000000042</v>
      </c>
      <c r="AB14">
        <f t="shared" si="5"/>
        <v>6.2405512456535701E-2</v>
      </c>
      <c r="AC14">
        <f t="shared" si="6"/>
        <v>40.914914040820392</v>
      </c>
    </row>
    <row r="15" spans="1:29" x14ac:dyDescent="0.2">
      <c r="A15">
        <v>46137.049680972224</v>
      </c>
      <c r="B15">
        <v>17.011859999999999</v>
      </c>
      <c r="C15">
        <v>17.574808000000001</v>
      </c>
      <c r="D15">
        <v>18.648111</v>
      </c>
      <c r="E15">
        <v>18.936366</v>
      </c>
      <c r="F15">
        <v>32.599356</v>
      </c>
      <c r="G15">
        <v>31.793845000000001</v>
      </c>
      <c r="H15">
        <v>29.151643</v>
      </c>
      <c r="I15">
        <v>26.203726</v>
      </c>
      <c r="J15">
        <v>57.567010000000003</v>
      </c>
      <c r="K15">
        <v>51.604356000000003</v>
      </c>
      <c r="L15">
        <v>141.33685600000001</v>
      </c>
      <c r="M15">
        <v>-622.49673499999994</v>
      </c>
      <c r="N15">
        <v>1.604787</v>
      </c>
      <c r="O15">
        <v>3.398701</v>
      </c>
      <c r="P15">
        <f t="shared" si="0"/>
        <v>2.6746450000000002E-5</v>
      </c>
      <c r="Q15" cm="1">
        <f t="array" ref="Q15">[1]!PropsSI("D","T",J15+273.15,"P",101325,"Water")</f>
        <v>984.42988273757851</v>
      </c>
      <c r="R15" cm="1">
        <f t="array" ref="R15">[1]!PropsSI("D","T",K15+273.15,"P",101325,"Water")</f>
        <v>987.30100982507963</v>
      </c>
      <c r="S15">
        <f t="shared" si="1"/>
        <v>985.86544628132901</v>
      </c>
      <c r="T15" cm="1">
        <f t="array" ref="T15">[1]!PropsSI("H","T",J15+273.15,"P",101325,"Water")</f>
        <v>241068.00069335318</v>
      </c>
      <c r="U15" cm="1">
        <f t="array" ref="U15">[1]!PropsSI("H","T",K15+273.15,"P",101325,"Water")</f>
        <v>216127.2289455251</v>
      </c>
      <c r="V15">
        <f t="shared" si="2"/>
        <v>657.64826734643805</v>
      </c>
      <c r="X15">
        <f t="shared" si="3"/>
        <v>0.26513401999999997</v>
      </c>
      <c r="Y15">
        <f t="shared" si="3"/>
        <v>0.253208712</v>
      </c>
      <c r="Z15">
        <f t="shared" si="9"/>
        <v>0.36662064916485448</v>
      </c>
      <c r="AA15">
        <f t="shared" si="8"/>
        <v>5.9626540000000006</v>
      </c>
      <c r="AB15">
        <f t="shared" si="5"/>
        <v>6.2294035565940716E-2</v>
      </c>
      <c r="AC15">
        <f t="shared" si="6"/>
        <v>40.967564555958297</v>
      </c>
    </row>
    <row r="16" spans="1:29" x14ac:dyDescent="0.2">
      <c r="A16">
        <v>46137.049716273148</v>
      </c>
      <c r="B16">
        <v>17.072735999999999</v>
      </c>
      <c r="C16">
        <v>17.417318000000002</v>
      </c>
      <c r="D16">
        <v>18.634176</v>
      </c>
      <c r="E16">
        <v>18.978393000000001</v>
      </c>
      <c r="F16">
        <v>32.583663999999999</v>
      </c>
      <c r="G16">
        <v>32.142456000000003</v>
      </c>
      <c r="H16">
        <v>29.715553</v>
      </c>
      <c r="I16">
        <v>25.852166</v>
      </c>
      <c r="J16">
        <v>57.568921000000003</v>
      </c>
      <c r="K16">
        <v>51.601018000000003</v>
      </c>
      <c r="L16">
        <v>131.71366499999999</v>
      </c>
      <c r="M16">
        <v>-622.48326599999996</v>
      </c>
      <c r="N16">
        <v>1.6028770000000001</v>
      </c>
      <c r="O16">
        <v>3.2343130000000002</v>
      </c>
      <c r="P16">
        <f t="shared" si="0"/>
        <v>2.671461666666667E-5</v>
      </c>
      <c r="Q16" cm="1">
        <f t="array" ref="Q16">[1]!PropsSI("D","T",J16+273.15,"P",101325,"Water")</f>
        <v>984.42892737792977</v>
      </c>
      <c r="R16" cm="1">
        <f t="array" ref="R16">[1]!PropsSI("D","T",K16+273.15,"P",101325,"Water")</f>
        <v>987.30255436558298</v>
      </c>
      <c r="S16">
        <f t="shared" si="1"/>
        <v>985.86574087175632</v>
      </c>
      <c r="T16" cm="1">
        <f t="array" ref="T16">[1]!PropsSI("H","T",J16+273.15,"P",101325,"Water")</f>
        <v>241075.99619376671</v>
      </c>
      <c r="U16" cm="1">
        <f t="array" ref="U16">[1]!PropsSI("H","T",K16+273.15,"P",101325,"Water")</f>
        <v>216113.27004163773</v>
      </c>
      <c r="V16">
        <f t="shared" si="2"/>
        <v>657.44395152835489</v>
      </c>
      <c r="X16">
        <f t="shared" si="3"/>
        <v>0.26513784200000001</v>
      </c>
      <c r="Y16">
        <f t="shared" si="3"/>
        <v>0.25320203600000002</v>
      </c>
      <c r="Z16">
        <f t="shared" si="9"/>
        <v>0.36661880242966571</v>
      </c>
      <c r="AA16">
        <f t="shared" si="8"/>
        <v>5.9679029999999997</v>
      </c>
      <c r="AB16">
        <f t="shared" si="5"/>
        <v>6.2240352663373924E-2</v>
      </c>
      <c r="AC16">
        <f t="shared" si="6"/>
        <v>40.919543399526923</v>
      </c>
    </row>
    <row r="17" spans="1:29" x14ac:dyDescent="0.2">
      <c r="A17">
        <v>46137.049750995371</v>
      </c>
      <c r="B17">
        <v>16.987833999999999</v>
      </c>
      <c r="C17">
        <v>17.265139999999999</v>
      </c>
      <c r="D17">
        <v>18.600003000000001</v>
      </c>
      <c r="E17">
        <v>18.986197000000001</v>
      </c>
      <c r="F17">
        <v>32.848303999999999</v>
      </c>
      <c r="G17">
        <v>32.530639000000001</v>
      </c>
      <c r="H17">
        <v>29.120149999999999</v>
      </c>
      <c r="I17">
        <v>26.161182</v>
      </c>
      <c r="J17">
        <v>57.573538999999997</v>
      </c>
      <c r="K17">
        <v>51.599269999999997</v>
      </c>
      <c r="L17">
        <v>146.16192100000001</v>
      </c>
      <c r="M17">
        <v>-622.49020499999995</v>
      </c>
      <c r="N17">
        <v>1.606069</v>
      </c>
      <c r="O17">
        <v>3.4454530000000001</v>
      </c>
      <c r="P17">
        <f t="shared" si="0"/>
        <v>2.6767816666666665E-5</v>
      </c>
      <c r="Q17" cm="1">
        <f t="array" ref="Q17">[1]!PropsSI("D","T",J17+273.15,"P",101325,"Water")</f>
        <v>984.42661862592956</v>
      </c>
      <c r="R17" cm="1">
        <f t="array" ref="R17">[1]!PropsSI("D","T",K17+273.15,"P",101325,"Water")</f>
        <v>987.30336316161333</v>
      </c>
      <c r="S17">
        <f t="shared" si="1"/>
        <v>985.86499089377139</v>
      </c>
      <c r="T17" cm="1">
        <f t="array" ref="T17">[1]!PropsSI("H","T",J17+273.15,"P",101325,"Water")</f>
        <v>241095.31761311754</v>
      </c>
      <c r="U17" cm="1">
        <f t="array" ref="U17">[1]!PropsSI("H","T",K17+273.15,"P",101325,"Water")</f>
        <v>216105.96022754538</v>
      </c>
      <c r="V17">
        <f t="shared" si="2"/>
        <v>659.45548058143822</v>
      </c>
      <c r="X17">
        <f t="shared" si="3"/>
        <v>0.26514707799999998</v>
      </c>
      <c r="Y17">
        <f t="shared" si="3"/>
        <v>0.25319853999999997</v>
      </c>
      <c r="Z17">
        <f t="shared" si="9"/>
        <v>0.3666230675094922</v>
      </c>
      <c r="AA17">
        <f t="shared" si="8"/>
        <v>5.9742689999999996</v>
      </c>
      <c r="AB17">
        <f t="shared" si="5"/>
        <v>6.2176448757374644E-2</v>
      </c>
      <c r="AC17">
        <f t="shared" si="6"/>
        <v>41.00259989614166</v>
      </c>
    </row>
    <row r="18" spans="1:29" x14ac:dyDescent="0.2">
      <c r="A18">
        <v>46137.049786296295</v>
      </c>
      <c r="B18">
        <v>17.046585</v>
      </c>
      <c r="C18">
        <v>17.262931999999999</v>
      </c>
      <c r="D18">
        <v>18.531690000000001</v>
      </c>
      <c r="E18">
        <v>18.988782</v>
      </c>
      <c r="F18">
        <v>32.958398000000003</v>
      </c>
      <c r="G18">
        <v>33.471156999999998</v>
      </c>
      <c r="H18">
        <v>29.291996999999999</v>
      </c>
      <c r="I18">
        <v>26.1126</v>
      </c>
      <c r="J18">
        <v>57.578316000000001</v>
      </c>
      <c r="K18">
        <v>51.595931999999998</v>
      </c>
      <c r="L18">
        <v>129.679889</v>
      </c>
      <c r="M18">
        <v>-622.48489900000004</v>
      </c>
      <c r="N18">
        <v>1.6062540000000001</v>
      </c>
      <c r="O18">
        <v>2.996651</v>
      </c>
      <c r="P18">
        <f t="shared" si="0"/>
        <v>2.6770900000000001E-5</v>
      </c>
      <c r="Q18" cm="1">
        <f t="array" ref="Q18">[1]!PropsSI("D","T",J18+273.15,"P",101325,"Water")</f>
        <v>984.4242302468017</v>
      </c>
      <c r="R18" cm="1">
        <f t="array" ref="R18">[1]!PropsSI("D","T",K18+273.15,"P",101325,"Water")</f>
        <v>987.30490759273903</v>
      </c>
      <c r="S18">
        <f t="shared" si="1"/>
        <v>985.86456891977036</v>
      </c>
      <c r="T18" cm="1">
        <f t="array" ref="T18">[1]!PropsSI("H","T",J18+273.15,"P",101325,"Water")</f>
        <v>241115.30428738624</v>
      </c>
      <c r="U18" cm="1">
        <f t="array" ref="U18">[1]!PropsSI("H","T",K18+273.15,"P",101325,"Water")</f>
        <v>216092.00132887199</v>
      </c>
      <c r="V18">
        <f t="shared" si="2"/>
        <v>660.42706761055319</v>
      </c>
      <c r="X18">
        <f t="shared" si="3"/>
        <v>0.265156632</v>
      </c>
      <c r="Y18">
        <f t="shared" si="3"/>
        <v>0.25319186399999999</v>
      </c>
      <c r="Z18">
        <f t="shared" si="9"/>
        <v>0.36662536667472684</v>
      </c>
      <c r="AA18">
        <f t="shared" si="8"/>
        <v>5.9823840000000033</v>
      </c>
      <c r="AB18">
        <f t="shared" si="5"/>
        <v>6.209466990013187E-2</v>
      </c>
      <c r="AC18">
        <f t="shared" si="6"/>
        <v>41.009000756389376</v>
      </c>
    </row>
    <row r="19" spans="1:29" x14ac:dyDescent="0.2">
      <c r="A19">
        <v>46137.049821018518</v>
      </c>
      <c r="B19">
        <v>16.972961000000002</v>
      </c>
      <c r="C19">
        <v>17.168683000000001</v>
      </c>
      <c r="D19">
        <v>18.589537</v>
      </c>
      <c r="E19">
        <v>19.002950999999999</v>
      </c>
      <c r="F19">
        <v>33.031742000000001</v>
      </c>
      <c r="G19">
        <v>34.230063999999999</v>
      </c>
      <c r="H19">
        <v>29.455348000000001</v>
      </c>
      <c r="I19">
        <v>26.426646999999999</v>
      </c>
      <c r="J19">
        <v>57.581819000000003</v>
      </c>
      <c r="K19">
        <v>51.594819000000001</v>
      </c>
      <c r="L19">
        <v>135.72326000000001</v>
      </c>
      <c r="M19">
        <v>-622.47591999999997</v>
      </c>
      <c r="N19">
        <v>1.6061430000000001</v>
      </c>
      <c r="O19">
        <v>3.1022400000000001</v>
      </c>
      <c r="P19">
        <f t="shared" si="0"/>
        <v>2.6769050000000004E-5</v>
      </c>
      <c r="Q19" cm="1">
        <f t="array" ref="Q19">[1]!PropsSI("D","T",J19+273.15,"P",101325,"Water")</f>
        <v>984.42247874771317</v>
      </c>
      <c r="R19" cm="1">
        <f t="array" ref="R19">[1]!PropsSI("D","T",K19+273.15,"P",101325,"Water")</f>
        <v>987.30542254139493</v>
      </c>
      <c r="S19">
        <f t="shared" si="1"/>
        <v>985.86395064455405</v>
      </c>
      <c r="T19" cm="1">
        <f t="array" ref="T19">[1]!PropsSI("H","T",J19+273.15,"P",101325,"Water")</f>
        <v>241129.96062985013</v>
      </c>
      <c r="U19" cm="1">
        <f t="array" ref="U19">[1]!PropsSI("H","T",K19+273.15,"P",101325,"Water")</f>
        <v>216087.34696946479</v>
      </c>
      <c r="V19">
        <f t="shared" si="2"/>
        <v>660.8906365294996</v>
      </c>
      <c r="X19">
        <f t="shared" si="3"/>
        <v>0.26516363799999998</v>
      </c>
      <c r="Y19">
        <f t="shared" si="3"/>
        <v>0.25318963799999999</v>
      </c>
      <c r="Z19">
        <f t="shared" si="9"/>
        <v>0.36662889644430113</v>
      </c>
      <c r="AA19">
        <f t="shared" si="8"/>
        <v>5.9870000000000019</v>
      </c>
      <c r="AB19">
        <f t="shared" si="5"/>
        <v>6.2048618661509403E-2</v>
      </c>
      <c r="AC19">
        <f t="shared" si="6"/>
        <v>41.007351082981138</v>
      </c>
    </row>
    <row r="20" spans="1:29" x14ac:dyDescent="0.2">
      <c r="A20">
        <v>46137.049856319441</v>
      </c>
      <c r="B20">
        <v>16.958072000000001</v>
      </c>
      <c r="C20">
        <v>17.215457000000001</v>
      </c>
      <c r="D20">
        <v>18.606829000000001</v>
      </c>
      <c r="E20">
        <v>19.016303000000001</v>
      </c>
      <c r="F20">
        <v>32.702195000000003</v>
      </c>
      <c r="G20">
        <v>33.948478000000001</v>
      </c>
      <c r="H20">
        <v>28.849889999999998</v>
      </c>
      <c r="I20">
        <v>26.327867000000001</v>
      </c>
      <c r="J20">
        <v>57.585323000000002</v>
      </c>
      <c r="K20">
        <v>51.593389000000002</v>
      </c>
      <c r="L20">
        <v>135.45021199999999</v>
      </c>
      <c r="M20">
        <v>-622.48816399999998</v>
      </c>
      <c r="N20">
        <v>1.6040160000000001</v>
      </c>
      <c r="O20">
        <v>3.9021469999999998</v>
      </c>
      <c r="P20">
        <f t="shared" si="0"/>
        <v>2.6733600000000004E-5</v>
      </c>
      <c r="Q20" cm="1">
        <f t="array" ref="Q20">[1]!PropsSI("D","T",J20+273.15,"P",101325,"Water")</f>
        <v>984.42072667441391</v>
      </c>
      <c r="R20" cm="1">
        <f t="array" ref="R20">[1]!PropsSI("D","T",K20+273.15,"P",101325,"Water")</f>
        <v>987.3060841438629</v>
      </c>
      <c r="S20">
        <f t="shared" si="1"/>
        <v>985.86340540913841</v>
      </c>
      <c r="T20" cm="1">
        <f t="array" ref="T20">[1]!PropsSI("H","T",J20+273.15,"P",101325,"Water")</f>
        <v>241144.62116112516</v>
      </c>
      <c r="U20" cm="1">
        <f t="array" ref="U20">[1]!PropsSI("H","T",K20+273.15,"P",101325,"Water")</f>
        <v>216081.36697543666</v>
      </c>
      <c r="V20">
        <f t="shared" si="2"/>
        <v>660.55905531718088</v>
      </c>
      <c r="X20">
        <f t="shared" si="3"/>
        <v>0.26517064600000001</v>
      </c>
      <c r="Y20">
        <f t="shared" si="3"/>
        <v>0.253186778</v>
      </c>
      <c r="Z20">
        <f t="shared" si="9"/>
        <v>0.3666319899491568</v>
      </c>
      <c r="AA20">
        <f t="shared" si="8"/>
        <v>5.9919340000000005</v>
      </c>
      <c r="AB20">
        <f t="shared" si="5"/>
        <v>6.1999362467486191E-2</v>
      </c>
      <c r="AC20">
        <f t="shared" si="6"/>
        <v>40.954240301790158</v>
      </c>
    </row>
    <row r="21" spans="1:29" x14ac:dyDescent="0.2">
      <c r="A21">
        <v>46137.049891041665</v>
      </c>
      <c r="B21">
        <v>16.840812</v>
      </c>
      <c r="C21">
        <v>16.987452999999999</v>
      </c>
      <c r="D21">
        <v>18.435314000000002</v>
      </c>
      <c r="E21">
        <v>19.000513000000002</v>
      </c>
      <c r="F21">
        <v>32.515293999999997</v>
      </c>
      <c r="G21">
        <v>31.918409</v>
      </c>
      <c r="H21">
        <v>29.602544000000002</v>
      </c>
      <c r="I21">
        <v>26.965917999999999</v>
      </c>
      <c r="J21">
        <v>57.585163000000001</v>
      </c>
      <c r="K21">
        <v>51.587983999999999</v>
      </c>
      <c r="L21">
        <v>141.538071</v>
      </c>
      <c r="M21">
        <v>-622.46734900000001</v>
      </c>
      <c r="N21">
        <v>1.6063890000000001</v>
      </c>
      <c r="O21">
        <v>3.054751</v>
      </c>
      <c r="P21">
        <f t="shared" si="0"/>
        <v>2.6773150000000003E-5</v>
      </c>
      <c r="Q21" cm="1">
        <f t="array" ref="Q21">[1]!PropsSI("D","T",J21+273.15,"P",101325,"Water")</f>
        <v>984.42080667938922</v>
      </c>
      <c r="R21" cm="1">
        <f t="array" ref="R21">[1]!PropsSI("D","T",K21+273.15,"P",101325,"Water")</f>
        <v>987.30858469708835</v>
      </c>
      <c r="S21">
        <f t="shared" si="1"/>
        <v>985.86469568823873</v>
      </c>
      <c r="T21" cm="1">
        <f t="array" ref="T21">[1]!PropsSI("H","T",J21+273.15,"P",101325,"Water")</f>
        <v>241143.95173035245</v>
      </c>
      <c r="U21" cm="1">
        <f t="array" ref="U21">[1]!PropsSI("H","T",K21+273.15,"P",101325,"Water")</f>
        <v>216058.76427656136</v>
      </c>
      <c r="V21">
        <f t="shared" si="2"/>
        <v>662.11608200842818</v>
      </c>
      <c r="X21">
        <f t="shared" si="3"/>
        <v>0.26517032600000001</v>
      </c>
      <c r="Y21">
        <f t="shared" si="3"/>
        <v>0.25317596799999997</v>
      </c>
      <c r="Z21">
        <f t="shared" si="9"/>
        <v>0.36662429347178194</v>
      </c>
      <c r="AA21">
        <f t="shared" si="8"/>
        <v>5.9971790000000027</v>
      </c>
      <c r="AB21">
        <f t="shared" si="5"/>
        <v>6.1945283905590398E-2</v>
      </c>
      <c r="AC21">
        <f t="shared" si="6"/>
        <v>41.014968678469259</v>
      </c>
    </row>
    <row r="22" spans="1:29" x14ac:dyDescent="0.2">
      <c r="A22">
        <v>46137.049925763888</v>
      </c>
      <c r="B22">
        <v>16.776342</v>
      </c>
      <c r="C22">
        <v>16.843429</v>
      </c>
      <c r="D22">
        <v>18.308357999999998</v>
      </c>
      <c r="E22">
        <v>18.882470999999999</v>
      </c>
      <c r="F22">
        <v>32.278270999999997</v>
      </c>
      <c r="G22">
        <v>31.484719999999999</v>
      </c>
      <c r="H22">
        <v>28.641936000000001</v>
      </c>
      <c r="I22">
        <v>26.539828</v>
      </c>
      <c r="J22">
        <v>57.588507</v>
      </c>
      <c r="K22">
        <v>51.581149000000003</v>
      </c>
      <c r="L22">
        <v>139.13125299999999</v>
      </c>
      <c r="M22">
        <v>-622.474695</v>
      </c>
      <c r="N22">
        <v>1.6047499999999999</v>
      </c>
      <c r="O22">
        <v>3.4927389999999998</v>
      </c>
      <c r="P22">
        <f t="shared" si="0"/>
        <v>2.6745833333333331E-5</v>
      </c>
      <c r="Q22" cm="1">
        <f t="array" ref="Q22">[1]!PropsSI("D","T",J22+273.15,"P",101325,"Water")</f>
        <v>984.41913454344694</v>
      </c>
      <c r="R22" cm="1">
        <f t="array" ref="R22">[1]!PropsSI("D","T",K22+273.15,"P",101325,"Water")</f>
        <v>987.31174655185532</v>
      </c>
      <c r="S22">
        <f t="shared" si="1"/>
        <v>985.86544054765113</v>
      </c>
      <c r="T22" cm="1">
        <f t="array" ref="T22">[1]!PropsSI("H","T",J22+273.15,"P",101325,"Water")</f>
        <v>241157.94283535797</v>
      </c>
      <c r="U22" cm="1">
        <f t="array" ref="U22">[1]!PropsSI("H","T",K22+273.15,"P",101325,"Water")</f>
        <v>216030.18159808003</v>
      </c>
      <c r="V22">
        <f t="shared" si="2"/>
        <v>662.56360087707685</v>
      </c>
      <c r="X22">
        <f t="shared" si="3"/>
        <v>0.26517701399999999</v>
      </c>
      <c r="Y22">
        <f t="shared" si="3"/>
        <v>0.25316229800000001</v>
      </c>
      <c r="Z22">
        <f t="shared" si="9"/>
        <v>0.36661969107318415</v>
      </c>
      <c r="AA22">
        <f t="shared" si="8"/>
        <v>6.0073579999999964</v>
      </c>
      <c r="AB22">
        <f t="shared" si="5"/>
        <v>6.1842304018192948E-2</v>
      </c>
      <c r="AC22">
        <f t="shared" si="6"/>
        <v>40.97445963682884</v>
      </c>
    </row>
    <row r="23" spans="1:29" x14ac:dyDescent="0.2">
      <c r="A23">
        <v>46137.049961064811</v>
      </c>
      <c r="B23">
        <v>16.79458</v>
      </c>
      <c r="C23">
        <v>16.918893000000001</v>
      </c>
      <c r="D23">
        <v>18.493494999999999</v>
      </c>
      <c r="E23">
        <v>18.932798999999999</v>
      </c>
      <c r="F23">
        <v>32.718443999999998</v>
      </c>
      <c r="G23">
        <v>31.766587000000001</v>
      </c>
      <c r="H23">
        <v>28.798427</v>
      </c>
      <c r="I23">
        <v>26.174036999999998</v>
      </c>
      <c r="J23">
        <v>57.592807000000001</v>
      </c>
      <c r="K23">
        <v>51.578128999999997</v>
      </c>
      <c r="L23">
        <v>139.46470500000001</v>
      </c>
      <c r="M23">
        <v>-622.49673499999994</v>
      </c>
      <c r="N23">
        <v>1.6070530000000001</v>
      </c>
      <c r="O23">
        <v>3.9207900000000002</v>
      </c>
      <c r="P23">
        <f t="shared" si="0"/>
        <v>2.6784216666666667E-5</v>
      </c>
      <c r="Q23" cm="1">
        <f t="array" ref="Q23">[1]!PropsSI("D","T",J23+273.15,"P",101325,"Water")</f>
        <v>984.4169842692902</v>
      </c>
      <c r="R23" cm="1">
        <f t="array" ref="R23">[1]!PropsSI("D","T",K23+273.15,"P",101325,"Water")</f>
        <v>987.31314350079253</v>
      </c>
      <c r="S23">
        <f t="shared" si="1"/>
        <v>985.86506388504131</v>
      </c>
      <c r="T23" cm="1">
        <f t="array" ref="T23">[1]!PropsSI("H","T",J23+273.15,"P",101325,"Water")</f>
        <v>241175.93379633882</v>
      </c>
      <c r="U23" cm="1">
        <f t="array" ref="U23">[1]!PropsSI("H","T",K23+273.15,"P",101325,"Water")</f>
        <v>216017.55253330385</v>
      </c>
      <c r="V23">
        <f t="shared" si="2"/>
        <v>664.32274287708026</v>
      </c>
      <c r="X23">
        <f t="shared" si="3"/>
        <v>0.26518561400000001</v>
      </c>
      <c r="Y23">
        <f t="shared" si="3"/>
        <v>0.25315625799999997</v>
      </c>
      <c r="Z23">
        <f t="shared" si="9"/>
        <v>0.3666217408134978</v>
      </c>
      <c r="AA23">
        <f t="shared" si="8"/>
        <v>6.0146780000000035</v>
      </c>
      <c r="AB23">
        <f t="shared" si="5"/>
        <v>6.1769345933942885E-2</v>
      </c>
      <c r="AC23">
        <f t="shared" si="6"/>
        <v>41.034781316560164</v>
      </c>
    </row>
    <row r="24" spans="1:29" x14ac:dyDescent="0.2">
      <c r="A24">
        <v>46137.049995787034</v>
      </c>
      <c r="B24">
        <v>16.825855000000001</v>
      </c>
      <c r="C24">
        <v>17.006412999999998</v>
      </c>
      <c r="D24">
        <v>18.535149000000001</v>
      </c>
      <c r="E24">
        <v>18.970511999999999</v>
      </c>
      <c r="F24">
        <v>32.469472000000003</v>
      </c>
      <c r="G24">
        <v>32.112285999999997</v>
      </c>
      <c r="H24">
        <v>28.909870000000002</v>
      </c>
      <c r="I24">
        <v>26.049313999999999</v>
      </c>
      <c r="J24">
        <v>57.597743000000001</v>
      </c>
      <c r="K24">
        <v>51.571294000000002</v>
      </c>
      <c r="L24">
        <v>136.04038700000001</v>
      </c>
      <c r="M24">
        <v>-622.48938799999996</v>
      </c>
      <c r="N24">
        <v>1.609089</v>
      </c>
      <c r="O24">
        <v>3.5764200000000002</v>
      </c>
      <c r="P24">
        <f t="shared" si="0"/>
        <v>2.681815E-5</v>
      </c>
      <c r="Q24" cm="1">
        <f t="array" ref="Q24">[1]!PropsSI("D","T",J24+273.15,"P",101325,"Water")</f>
        <v>984.41451581675381</v>
      </c>
      <c r="R24" cm="1">
        <f t="array" ref="R24">[1]!PropsSI("D","T",K24+273.15,"P",101325,"Water")</f>
        <v>987.31630492158308</v>
      </c>
      <c r="S24">
        <f t="shared" si="1"/>
        <v>985.86541036916844</v>
      </c>
      <c r="T24" cm="1">
        <f t="array" ref="T24">[1]!PropsSI("H","T",J24+273.15,"P",101325,"Water")</f>
        <v>241196.58575512073</v>
      </c>
      <c r="U24" cm="1">
        <f t="array" ref="U24">[1]!PropsSI("H","T",K24+273.15,"P",101325,"Water")</f>
        <v>215988.96987564221</v>
      </c>
      <c r="V24">
        <f t="shared" si="2"/>
        <v>666.46633556428026</v>
      </c>
      <c r="X24">
        <f t="shared" si="3"/>
        <v>0.26519548599999998</v>
      </c>
      <c r="Y24">
        <f t="shared" si="3"/>
        <v>0.253142588</v>
      </c>
      <c r="Z24">
        <f t="shared" si="9"/>
        <v>0.36661944254787404</v>
      </c>
      <c r="AA24">
        <f t="shared" si="8"/>
        <v>6.0264489999999995</v>
      </c>
      <c r="AB24">
        <f t="shared" si="5"/>
        <v>6.1651485438186819E-2</v>
      </c>
      <c r="AC24">
        <f t="shared" si="6"/>
        <v>41.088639582082955</v>
      </c>
    </row>
    <row r="25" spans="1:29" x14ac:dyDescent="0.2">
      <c r="A25">
        <v>46137.050031087965</v>
      </c>
      <c r="B25">
        <v>16.841659</v>
      </c>
      <c r="C25">
        <v>17.084378000000001</v>
      </c>
      <c r="D25">
        <v>18.656707999999998</v>
      </c>
      <c r="E25">
        <v>19.041772000000002</v>
      </c>
      <c r="F25">
        <v>32.964776999999998</v>
      </c>
      <c r="G25">
        <v>33.391874000000001</v>
      </c>
      <c r="H25">
        <v>29.006398999999998</v>
      </c>
      <c r="I25">
        <v>25.943055999999999</v>
      </c>
      <c r="J25">
        <v>57.601246000000003</v>
      </c>
      <c r="K25">
        <v>51.573520000000002</v>
      </c>
      <c r="L25">
        <v>134.646579</v>
      </c>
      <c r="M25">
        <v>-622.480817</v>
      </c>
      <c r="N25">
        <v>1.604365</v>
      </c>
      <c r="O25">
        <v>4.2564919999999997</v>
      </c>
      <c r="P25">
        <f t="shared" si="0"/>
        <v>2.673941666666667E-5</v>
      </c>
      <c r="Q25" cm="1">
        <f t="array" ref="Q25">[1]!PropsSI("D","T",J25+273.15,"P",101325,"Water")</f>
        <v>984.4127639062566</v>
      </c>
      <c r="R25" cm="1">
        <f t="array" ref="R25">[1]!PropsSI("D","T",K25+273.15,"P",101325,"Water")</f>
        <v>987.31527535367627</v>
      </c>
      <c r="S25">
        <f t="shared" si="1"/>
        <v>985.86401962996638</v>
      </c>
      <c r="T25" cm="1">
        <f t="array" ref="T25">[1]!PropsSI("H","T",J25+273.15,"P",101325,"Water")</f>
        <v>241211.24212477118</v>
      </c>
      <c r="U25" cm="1">
        <f t="array" ref="U25">[1]!PropsSI("H","T",K25+273.15,"P",101325,"Water")</f>
        <v>215998.27857866595</v>
      </c>
      <c r="V25">
        <f t="shared" si="2"/>
        <v>664.64974329614188</v>
      </c>
      <c r="X25">
        <f t="shared" si="3"/>
        <v>0.26520249200000001</v>
      </c>
      <c r="Y25">
        <f t="shared" si="3"/>
        <v>0.25314703999999999</v>
      </c>
      <c r="Z25">
        <f t="shared" si="9"/>
        <v>0.36662758437380522</v>
      </c>
      <c r="AA25">
        <f t="shared" si="8"/>
        <v>6.0277260000000012</v>
      </c>
      <c r="AB25">
        <f t="shared" si="5"/>
        <v>6.1640100805465871E-2</v>
      </c>
      <c r="AC25">
        <f t="shared" si="6"/>
        <v>40.969077177101198</v>
      </c>
    </row>
    <row r="26" spans="1:29" x14ac:dyDescent="0.2">
      <c r="A26">
        <v>46137.050065810188</v>
      </c>
      <c r="B26">
        <v>16.939157000000002</v>
      </c>
      <c r="C26">
        <v>17.09544</v>
      </c>
      <c r="D26">
        <v>18.686788</v>
      </c>
      <c r="E26">
        <v>19.008074000000001</v>
      </c>
      <c r="F26">
        <v>32.556398000000002</v>
      </c>
      <c r="G26">
        <v>32.443854000000002</v>
      </c>
      <c r="H26">
        <v>28.954936</v>
      </c>
      <c r="I26">
        <v>25.874082000000001</v>
      </c>
      <c r="J26">
        <v>57.605226999999999</v>
      </c>
      <c r="K26">
        <v>51.581944</v>
      </c>
      <c r="L26">
        <v>130.23210599999999</v>
      </c>
      <c r="M26">
        <v>-622.474287</v>
      </c>
      <c r="N26">
        <v>1.604705</v>
      </c>
      <c r="O26">
        <v>4.0575890000000001</v>
      </c>
      <c r="P26">
        <f t="shared" si="0"/>
        <v>2.6745083333333336E-5</v>
      </c>
      <c r="Q26" cm="1">
        <f t="array" ref="Q26">[1]!PropsSI("D","T",J26+273.15,"P",101325,"Water")</f>
        <v>984.41077284966991</v>
      </c>
      <c r="R26" cm="1">
        <f t="array" ref="R26">[1]!PropsSI("D","T",K26+273.15,"P",101325,"Water")</f>
        <v>987.31137880220535</v>
      </c>
      <c r="S26">
        <f t="shared" si="1"/>
        <v>985.86107582593763</v>
      </c>
      <c r="T26" cm="1">
        <f t="array" ref="T26">[1]!PropsSI("H","T",J26+273.15,"P",101325,"Water")</f>
        <v>241227.89842758802</v>
      </c>
      <c r="U26" cm="1">
        <f t="array" ref="U26">[1]!PropsSI("H","T",K26+273.15,"P",101325,"Water")</f>
        <v>216033.50613712217</v>
      </c>
      <c r="V26">
        <f t="shared" si="2"/>
        <v>664.29894490505444</v>
      </c>
      <c r="X26">
        <f t="shared" si="3"/>
        <v>0.26521045399999998</v>
      </c>
      <c r="Y26">
        <f t="shared" si="3"/>
        <v>0.253163888</v>
      </c>
      <c r="Z26">
        <f t="shared" si="9"/>
        <v>0.36664497691658432</v>
      </c>
      <c r="AA26">
        <f t="shared" si="8"/>
        <v>6.0232829999999993</v>
      </c>
      <c r="AB26">
        <f t="shared" si="5"/>
        <v>6.1687221962711612E-2</v>
      </c>
      <c r="AC26">
        <f t="shared" si="6"/>
        <v>40.978756463953225</v>
      </c>
    </row>
    <row r="27" spans="1:29" x14ac:dyDescent="0.2">
      <c r="A27">
        <v>46137.050101111112</v>
      </c>
      <c r="B27">
        <v>16.948889000000001</v>
      </c>
      <c r="C27">
        <v>17.218696999999999</v>
      </c>
      <c r="D27">
        <v>18.794685999999999</v>
      </c>
      <c r="E27">
        <v>19.084166</v>
      </c>
      <c r="F27">
        <v>32.806404000000001</v>
      </c>
      <c r="G27">
        <v>34.904496999999999</v>
      </c>
      <c r="H27">
        <v>29.463538</v>
      </c>
      <c r="I27">
        <v>26.344719000000001</v>
      </c>
      <c r="J27">
        <v>57.609368000000003</v>
      </c>
      <c r="K27">
        <v>51.585441000000003</v>
      </c>
      <c r="L27">
        <v>139.80019899999999</v>
      </c>
      <c r="M27">
        <v>-622.49510199999997</v>
      </c>
      <c r="N27">
        <v>1.611192</v>
      </c>
      <c r="O27">
        <v>3.7168920000000001</v>
      </c>
      <c r="P27">
        <f t="shared" si="0"/>
        <v>2.6853199999999999E-5</v>
      </c>
      <c r="Q27" cm="1">
        <f t="array" ref="Q27">[1]!PropsSI("D","T",J27+273.15,"P",101325,"Water")</f>
        <v>984.40870166906279</v>
      </c>
      <c r="R27" cm="1">
        <f t="array" ref="R27">[1]!PropsSI("D","T",K27+273.15,"P",101325,"Water")</f>
        <v>987.30976111800794</v>
      </c>
      <c r="S27">
        <f t="shared" si="1"/>
        <v>985.85923139353531</v>
      </c>
      <c r="T27" cm="1">
        <f t="array" ref="T27">[1]!PropsSI("H","T",J27+273.15,"P",101325,"Water")</f>
        <v>241245.22416905893</v>
      </c>
      <c r="U27" cm="1">
        <f t="array" ref="U27">[1]!PropsSI("H","T",K27+273.15,"P",101325,"Water")</f>
        <v>216048.12992935799</v>
      </c>
      <c r="V27">
        <f t="shared" si="2"/>
        <v>667.05464726095329</v>
      </c>
      <c r="X27">
        <f t="shared" si="3"/>
        <v>0.26521873600000001</v>
      </c>
      <c r="Y27">
        <f t="shared" si="3"/>
        <v>0.25317088199999999</v>
      </c>
      <c r="Z27">
        <f t="shared" si="9"/>
        <v>0.3666557969241665</v>
      </c>
      <c r="AA27">
        <f t="shared" si="8"/>
        <v>6.0239270000000005</v>
      </c>
      <c r="AB27">
        <f t="shared" si="5"/>
        <v>6.1682572889976729E-2</v>
      </c>
      <c r="AC27">
        <f t="shared" si="6"/>
        <v>41.145646901271469</v>
      </c>
    </row>
    <row r="28" spans="1:29" x14ac:dyDescent="0.2">
      <c r="A28">
        <v>46137.050135833335</v>
      </c>
      <c r="B28">
        <v>16.957377999999999</v>
      </c>
      <c r="C28">
        <v>17.198861999999998</v>
      </c>
      <c r="D28">
        <v>18.799562000000002</v>
      </c>
      <c r="E28">
        <v>19.133821000000001</v>
      </c>
      <c r="F28">
        <v>32.833689999999997</v>
      </c>
      <c r="G28">
        <v>33.986418</v>
      </c>
      <c r="H28">
        <v>29.059307</v>
      </c>
      <c r="I28">
        <v>26.146201999999999</v>
      </c>
      <c r="J28">
        <v>57.611597000000003</v>
      </c>
      <c r="K28">
        <v>51.587507000000002</v>
      </c>
      <c r="L28">
        <v>144.09508600000001</v>
      </c>
      <c r="M28">
        <v>-622.47755199999995</v>
      </c>
      <c r="N28">
        <v>1.6078269999999999</v>
      </c>
      <c r="O28">
        <v>3.190064</v>
      </c>
      <c r="P28">
        <f t="shared" si="0"/>
        <v>2.6797116666666665E-5</v>
      </c>
      <c r="Q28" cm="1">
        <f t="array" ref="Q28">[1]!PropsSI("D","T",J28+273.15,"P",101325,"Water")</f>
        <v>984.4075867598109</v>
      </c>
      <c r="R28" cm="1">
        <f t="array" ref="R28">[1]!PropsSI("D","T",K28+273.15,"P",101325,"Water")</f>
        <v>987.30880536593543</v>
      </c>
      <c r="S28">
        <f t="shared" si="1"/>
        <v>985.85819606287316</v>
      </c>
      <c r="T28" cm="1">
        <f t="array" ref="T28">[1]!PropsSI("H","T",J28+273.15,"P",101325,"Water")</f>
        <v>241254.5501988586</v>
      </c>
      <c r="U28" cm="1">
        <f t="array" ref="U28">[1]!PropsSI("H","T",K28+273.15,"P",101325,"Water")</f>
        <v>216056.7695522141</v>
      </c>
      <c r="V28">
        <f t="shared" si="2"/>
        <v>665.67892761089752</v>
      </c>
      <c r="X28">
        <f t="shared" si="3"/>
        <v>0.265223194</v>
      </c>
      <c r="Y28">
        <f t="shared" si="3"/>
        <v>0.25317501399999998</v>
      </c>
      <c r="Z28">
        <f t="shared" si="9"/>
        <v>0.36666187468764982</v>
      </c>
      <c r="AA28">
        <f t="shared" si="8"/>
        <v>6.0240900000000011</v>
      </c>
      <c r="AB28">
        <f t="shared" si="5"/>
        <v>6.168194331073984E-2</v>
      </c>
      <c r="AC28">
        <f t="shared" si="6"/>
        <v>41.060369876049471</v>
      </c>
    </row>
    <row r="29" spans="1:29" x14ac:dyDescent="0.2">
      <c r="A29">
        <v>46137.050171134259</v>
      </c>
      <c r="B29">
        <v>17.108813000000001</v>
      </c>
      <c r="C29">
        <v>17.421246</v>
      </c>
      <c r="D29">
        <v>18.846662999999999</v>
      </c>
      <c r="E29">
        <v>19.141499</v>
      </c>
      <c r="F29">
        <v>32.865597999999999</v>
      </c>
      <c r="G29">
        <v>31.525072000000002</v>
      </c>
      <c r="H29">
        <v>29.341671999999999</v>
      </c>
      <c r="I29">
        <v>27.302911999999999</v>
      </c>
      <c r="J29">
        <v>57.613826000000003</v>
      </c>
      <c r="K29">
        <v>51.591163000000002</v>
      </c>
      <c r="L29">
        <v>139.14594600000001</v>
      </c>
      <c r="M29">
        <v>-622.49469399999998</v>
      </c>
      <c r="N29">
        <v>1.601426</v>
      </c>
      <c r="O29">
        <v>3.1477849999999998</v>
      </c>
      <c r="P29">
        <f t="shared" si="0"/>
        <v>2.6690433333333335E-5</v>
      </c>
      <c r="Q29" cm="1">
        <f t="array" ref="Q29">[1]!PropsSI("D","T",J29+273.15,"P",101325,"Water")</f>
        <v>984.40647182049622</v>
      </c>
      <c r="R29" cm="1">
        <f t="array" ref="R29">[1]!PropsSI("D","T",K29+273.15,"P",101325,"Water")</f>
        <v>987.30711399671566</v>
      </c>
      <c r="S29">
        <f t="shared" si="1"/>
        <v>985.85679290860594</v>
      </c>
      <c r="T29" cm="1">
        <f t="array" ref="T29">[1]!PropsSI("H","T",J29+273.15,"P",101325,"Water")</f>
        <v>241263.87623068507</v>
      </c>
      <c r="U29" cm="1">
        <f t="array" ref="U29">[1]!PropsSI("H","T",K29+273.15,"P",101325,"Water")</f>
        <v>216072.0582587891</v>
      </c>
      <c r="V29">
        <f t="shared" si="2"/>
        <v>662.87092092944226</v>
      </c>
      <c r="X29">
        <f t="shared" si="3"/>
        <v>0.26522765199999998</v>
      </c>
      <c r="Y29">
        <f t="shared" si="3"/>
        <v>0.25318232600000001</v>
      </c>
      <c r="Z29">
        <f t="shared" si="9"/>
        <v>0.36667014820435462</v>
      </c>
      <c r="AA29">
        <f t="shared" si="8"/>
        <v>6.0226630000000014</v>
      </c>
      <c r="AB29">
        <f t="shared" si="5"/>
        <v>6.1697529611396663E-2</v>
      </c>
      <c r="AC29">
        <f t="shared" si="6"/>
        <v>40.897498272578041</v>
      </c>
    </row>
    <row r="30" spans="1:29" x14ac:dyDescent="0.2">
      <c r="A30">
        <v>46137.050205856482</v>
      </c>
      <c r="B30">
        <v>16.991330999999999</v>
      </c>
      <c r="C30">
        <v>17.202525999999999</v>
      </c>
      <c r="D30">
        <v>18.871963999999998</v>
      </c>
      <c r="E30">
        <v>19.184460000000001</v>
      </c>
      <c r="F30">
        <v>32.680765000000001</v>
      </c>
      <c r="G30">
        <v>33.050711999999997</v>
      </c>
      <c r="H30">
        <v>28.941807000000001</v>
      </c>
      <c r="I30">
        <v>26.534548999999998</v>
      </c>
      <c r="J30">
        <v>57.616852000000002</v>
      </c>
      <c r="K30">
        <v>51.603721</v>
      </c>
      <c r="L30">
        <v>128.43464499999999</v>
      </c>
      <c r="M30">
        <v>-622.51183600000002</v>
      </c>
      <c r="N30">
        <v>1.6037950000000001</v>
      </c>
      <c r="O30">
        <v>2.997223</v>
      </c>
      <c r="P30">
        <f t="shared" si="0"/>
        <v>2.672991666666667E-5</v>
      </c>
      <c r="Q30" cm="1">
        <f t="array" ref="Q30">[1]!PropsSI("D","T",J30+273.15,"P",101325,"Water")</f>
        <v>984.40495817604142</v>
      </c>
      <c r="R30" cm="1">
        <f t="array" ref="R30">[1]!PropsSI("D","T",K30+273.15,"P",101325,"Water")</f>
        <v>987.30130365421257</v>
      </c>
      <c r="S30">
        <f t="shared" si="1"/>
        <v>985.85313091512694</v>
      </c>
      <c r="T30" cm="1">
        <f t="array" ref="T30">[1]!PropsSI("H","T",J30+273.15,"P",101325,"Water")</f>
        <v>241276.53687648498</v>
      </c>
      <c r="U30" cm="1">
        <f t="array" ref="U30">[1]!PropsSI("H","T",K30+273.15,"P",101325,"Water")</f>
        <v>216124.57349176295</v>
      </c>
      <c r="V30">
        <f t="shared" si="2"/>
        <v>662.79880534519634</v>
      </c>
      <c r="X30">
        <f t="shared" si="3"/>
        <v>0.26523370400000001</v>
      </c>
      <c r="Y30">
        <f t="shared" si="3"/>
        <v>0.253207442</v>
      </c>
      <c r="Z30">
        <f t="shared" si="9"/>
        <v>0.36669186849689345</v>
      </c>
      <c r="AA30">
        <f t="shared" si="8"/>
        <v>6.0131310000000013</v>
      </c>
      <c r="AB30">
        <f t="shared" si="5"/>
        <v>6.1796329586716117E-2</v>
      </c>
      <c r="AC30">
        <f t="shared" si="6"/>
        <v>40.958533424793451</v>
      </c>
    </row>
    <row r="31" spans="1:29" x14ac:dyDescent="0.2">
      <c r="A31">
        <v>46137.050241157405</v>
      </c>
      <c r="B31">
        <v>17.025462999999998</v>
      </c>
      <c r="C31">
        <v>17.213488000000002</v>
      </c>
      <c r="D31">
        <v>18.821985999999999</v>
      </c>
      <c r="E31">
        <v>19.169523999999999</v>
      </c>
      <c r="F31">
        <v>32.860363999999997</v>
      </c>
      <c r="G31">
        <v>32.372360999999998</v>
      </c>
      <c r="H31">
        <v>29.000774</v>
      </c>
      <c r="I31">
        <v>26.096927999999998</v>
      </c>
      <c r="J31">
        <v>57.618443999999997</v>
      </c>
      <c r="K31">
        <v>51.608966000000002</v>
      </c>
      <c r="L31">
        <v>135.12369799999999</v>
      </c>
      <c r="M31">
        <v>-622.50040799999999</v>
      </c>
      <c r="N31">
        <v>1.6059540000000001</v>
      </c>
      <c r="O31">
        <v>3.4496090000000001</v>
      </c>
      <c r="P31">
        <f t="shared" si="0"/>
        <v>2.6765900000000004E-5</v>
      </c>
      <c r="Q31" cm="1">
        <f t="array" ref="Q31">[1]!PropsSI("D","T",J31+273.15,"P",101325,"Water")</f>
        <v>984.40416181480066</v>
      </c>
      <c r="R31" cm="1">
        <f t="array" ref="R31">[1]!PropsSI("D","T",K31+273.15,"P",101325,"Water")</f>
        <v>987.29887659394342</v>
      </c>
      <c r="S31">
        <f t="shared" si="1"/>
        <v>985.85151920437204</v>
      </c>
      <c r="T31" cm="1">
        <f t="array" ref="T31">[1]!PropsSI("H","T",J31+273.15,"P",101325,"Water")</f>
        <v>241283.19773322015</v>
      </c>
      <c r="U31" cm="1">
        <f t="array" ref="U31">[1]!PropsSI("H","T",K31+273.15,"P",101325,"Water")</f>
        <v>216146.50712592489</v>
      </c>
      <c r="V31">
        <f t="shared" si="2"/>
        <v>663.28696227401429</v>
      </c>
      <c r="X31">
        <f t="shared" si="3"/>
        <v>0.265236888</v>
      </c>
      <c r="Y31">
        <f t="shared" si="3"/>
        <v>0.25321793199999998</v>
      </c>
      <c r="Z31">
        <f t="shared" si="9"/>
        <v>0.36670141510809739</v>
      </c>
      <c r="AA31">
        <f t="shared" si="8"/>
        <v>6.0094779999999943</v>
      </c>
      <c r="AB31">
        <f t="shared" si="5"/>
        <v>6.183447821226204E-2</v>
      </c>
      <c r="AC31">
        <f t="shared" si="6"/>
        <v>41.014003217210011</v>
      </c>
    </row>
    <row r="32" spans="1:29" x14ac:dyDescent="0.2">
      <c r="A32">
        <v>46137.050276458336</v>
      </c>
      <c r="B32">
        <v>16.951369</v>
      </c>
      <c r="C32">
        <v>17.102392999999999</v>
      </c>
      <c r="D32">
        <v>18.755095000000001</v>
      </c>
      <c r="E32">
        <v>19.176435999999999</v>
      </c>
      <c r="F32">
        <v>32.580505000000002</v>
      </c>
      <c r="G32">
        <v>32.141334000000001</v>
      </c>
      <c r="H32">
        <v>29.353656999999998</v>
      </c>
      <c r="I32">
        <v>26.259523000000002</v>
      </c>
      <c r="J32">
        <v>57.624495000000003</v>
      </c>
      <c r="K32">
        <v>51.611668000000002</v>
      </c>
      <c r="L32">
        <v>139.74795599999999</v>
      </c>
      <c r="M32">
        <v>-622.47836800000005</v>
      </c>
      <c r="N32">
        <v>1.6069089999999999</v>
      </c>
      <c r="O32">
        <v>3.1673550000000001</v>
      </c>
      <c r="P32">
        <f t="shared" si="0"/>
        <v>2.6781816666666665E-5</v>
      </c>
      <c r="Q32" cm="1">
        <f t="array" ref="Q32">[1]!PropsSI("D","T",J32+273.15,"P",101325,"Water")</f>
        <v>984.40113480193008</v>
      </c>
      <c r="R32" cm="1">
        <f t="array" ref="R32">[1]!PropsSI("D","T",K32+273.15,"P",101325,"Water")</f>
        <v>987.29762620700922</v>
      </c>
      <c r="S32">
        <f t="shared" si="1"/>
        <v>985.84938050446965</v>
      </c>
      <c r="T32" cm="1">
        <f t="array" ref="T32">[1]!PropsSI("H","T",J32+273.15,"P",101325,"Water")</f>
        <v>241308.51485561533</v>
      </c>
      <c r="U32" cm="1">
        <f t="array" ref="U32">[1]!PropsSI("H","T",K32+273.15,"P",101325,"Water")</f>
        <v>216157.80640081665</v>
      </c>
      <c r="V32">
        <f t="shared" si="2"/>
        <v>664.05006506271604</v>
      </c>
      <c r="X32">
        <f t="shared" si="3"/>
        <v>0.26524899000000002</v>
      </c>
      <c r="Y32">
        <f t="shared" si="3"/>
        <v>0.25322333600000002</v>
      </c>
      <c r="Z32">
        <f t="shared" si="9"/>
        <v>0.36671390018785627</v>
      </c>
      <c r="AA32">
        <f t="shared" si="8"/>
        <v>6.0128270000000015</v>
      </c>
      <c r="AB32">
        <f t="shared" si="5"/>
        <v>6.1802987938334379E-2</v>
      </c>
      <c r="AC32">
        <f t="shared" si="6"/>
        <v>41.040278161521201</v>
      </c>
    </row>
    <row r="33" spans="1:29" x14ac:dyDescent="0.2">
      <c r="A33">
        <v>46137.050311180552</v>
      </c>
      <c r="B33">
        <v>16.898247000000001</v>
      </c>
      <c r="C33">
        <v>16.996234999999999</v>
      </c>
      <c r="D33">
        <v>18.686969000000001</v>
      </c>
      <c r="E33">
        <v>19.142693000000001</v>
      </c>
      <c r="F33">
        <v>32.449764000000002</v>
      </c>
      <c r="G33">
        <v>32.63964</v>
      </c>
      <c r="H33">
        <v>29.514679999999998</v>
      </c>
      <c r="I33">
        <v>26.391862</v>
      </c>
      <c r="J33">
        <v>57.625928999999999</v>
      </c>
      <c r="K33">
        <v>51.611350000000002</v>
      </c>
      <c r="L33">
        <v>134.877588</v>
      </c>
      <c r="M33">
        <v>-622.49714300000005</v>
      </c>
      <c r="N33">
        <v>1.6073310000000001</v>
      </c>
      <c r="O33">
        <v>3.3471069999999998</v>
      </c>
      <c r="P33">
        <f t="shared" si="0"/>
        <v>2.678885E-5</v>
      </c>
      <c r="Q33" cm="1">
        <f t="array" ref="Q33">[1]!PropsSI("D","T",J33+273.15,"P",101325,"Water")</f>
        <v>984.40041741096718</v>
      </c>
      <c r="R33" cm="1">
        <f t="array" ref="R33">[1]!PropsSI("D","T",K33+273.15,"P",101325,"Water")</f>
        <v>987.2977733682344</v>
      </c>
      <c r="S33">
        <f t="shared" si="1"/>
        <v>985.84909538960073</v>
      </c>
      <c r="T33" cm="1">
        <f t="array" ref="T33">[1]!PropsSI("H","T",J33+273.15,"P",101325,"Water")</f>
        <v>241314.51465176261</v>
      </c>
      <c r="U33" cm="1">
        <f t="array" ref="U33">[1]!PropsSI("H","T",K33+273.15,"P",101325,"Water")</f>
        <v>216156.4765823069</v>
      </c>
      <c r="V33">
        <f t="shared" si="2"/>
        <v>664.41783652018239</v>
      </c>
      <c r="X33">
        <f t="shared" si="3"/>
        <v>0.26525185800000001</v>
      </c>
      <c r="Y33">
        <f t="shared" si="3"/>
        <v>0.25322270000000002</v>
      </c>
      <c r="Z33">
        <f t="shared" si="9"/>
        <v>0.36671553548730684</v>
      </c>
      <c r="AA33">
        <f t="shared" si="8"/>
        <v>6.0145789999999977</v>
      </c>
      <c r="AB33">
        <f t="shared" si="5"/>
        <v>6.1785724904685542E-2</v>
      </c>
      <c r="AC33">
        <f t="shared" si="6"/>
        <v>41.051537669002322</v>
      </c>
    </row>
    <row r="34" spans="1:29" x14ac:dyDescent="0.2">
      <c r="A34">
        <v>46137.050346481483</v>
      </c>
      <c r="B34">
        <v>16.787320000000001</v>
      </c>
      <c r="C34">
        <v>16.839164</v>
      </c>
      <c r="D34">
        <v>18.684059999999999</v>
      </c>
      <c r="E34">
        <v>19.101312</v>
      </c>
      <c r="F34">
        <v>32.410043999999999</v>
      </c>
      <c r="G34">
        <v>32.248567000000001</v>
      </c>
      <c r="H34">
        <v>29.512135000000001</v>
      </c>
      <c r="I34">
        <v>26.052733</v>
      </c>
      <c r="J34">
        <v>57.629112999999997</v>
      </c>
      <c r="K34">
        <v>51.612462999999998</v>
      </c>
      <c r="L34">
        <v>137.358688</v>
      </c>
      <c r="M34">
        <v>-622.49102100000005</v>
      </c>
      <c r="N34">
        <v>1.6069089999999999</v>
      </c>
      <c r="O34">
        <v>3.6337199999999998</v>
      </c>
      <c r="P34">
        <f t="shared" si="0"/>
        <v>2.6781816666666665E-5</v>
      </c>
      <c r="Q34" cm="1">
        <f t="array" ref="Q34">[1]!PropsSI("D","T",J34+273.15,"P",101325,"Water")</f>
        <v>984.39882449845368</v>
      </c>
      <c r="R34" cm="1">
        <f t="array" ref="R34">[1]!PropsSI("D","T",K34+273.15,"P",101325,"Water")</f>
        <v>987.29725830108976</v>
      </c>
      <c r="S34">
        <f t="shared" si="1"/>
        <v>985.84804139977177</v>
      </c>
      <c r="T34" cm="1">
        <f t="array" ref="T34">[1]!PropsSI("H","T",J34+273.15,"P",101325,"Water")</f>
        <v>241327.83637787664</v>
      </c>
      <c r="U34" cm="1">
        <f t="array" ref="U34">[1]!PropsSI("H","T",K34+273.15,"P",101325,"Water")</f>
        <v>216161.13094734622</v>
      </c>
      <c r="V34">
        <f t="shared" si="2"/>
        <v>664.4715280412878</v>
      </c>
      <c r="X34">
        <f t="shared" si="3"/>
        <v>0.26525822599999999</v>
      </c>
      <c r="Y34">
        <f t="shared" si="3"/>
        <v>0.25322492600000002</v>
      </c>
      <c r="Z34">
        <f t="shared" si="9"/>
        <v>0.36672167867249483</v>
      </c>
      <c r="AA34">
        <f t="shared" si="8"/>
        <v>6.0166499999999985</v>
      </c>
      <c r="AB34">
        <f t="shared" si="5"/>
        <v>6.1766022307585017E-2</v>
      </c>
      <c r="AC34">
        <f t="shared" si="6"/>
        <v>41.041763223753286</v>
      </c>
    </row>
    <row r="35" spans="1:29" x14ac:dyDescent="0.2">
      <c r="A35">
        <v>46137.050381782406</v>
      </c>
      <c r="B35">
        <v>16.602466</v>
      </c>
      <c r="C35">
        <v>16.731760000000001</v>
      </c>
      <c r="D35">
        <v>18.563694000000002</v>
      </c>
      <c r="E35">
        <v>19.071396</v>
      </c>
      <c r="F35">
        <v>32.766092999999998</v>
      </c>
      <c r="G35">
        <v>34.093812999999997</v>
      </c>
      <c r="H35">
        <v>29.716605999999999</v>
      </c>
      <c r="I35">
        <v>26.943086999999998</v>
      </c>
      <c r="J35">
        <v>57.631661000000001</v>
      </c>
      <c r="K35">
        <v>51.611350000000002</v>
      </c>
      <c r="L35">
        <v>140.34670199999999</v>
      </c>
      <c r="M35">
        <v>-622.474695</v>
      </c>
      <c r="N35">
        <v>1.6022749999999999</v>
      </c>
      <c r="O35">
        <v>3.4200629999999999</v>
      </c>
      <c r="P35">
        <f t="shared" si="0"/>
        <v>2.6704583333333335E-5</v>
      </c>
      <c r="Q35" cm="1">
        <f t="array" ref="Q35">[1]!PropsSI("D","T",J35+273.15,"P",101325,"Water")</f>
        <v>984.39754972409503</v>
      </c>
      <c r="R35" cm="1">
        <f t="array" ref="R35">[1]!PropsSI("D","T",K35+273.15,"P",101325,"Water")</f>
        <v>987.2977733682344</v>
      </c>
      <c r="S35">
        <f t="shared" si="1"/>
        <v>985.84766154616477</v>
      </c>
      <c r="T35" cm="1">
        <f t="array" ref="T35">[1]!PropsSI("H","T",J35+273.15,"P",101325,"Water")</f>
        <v>241338.49710888555</v>
      </c>
      <c r="U35" cm="1">
        <f t="array" ref="U35">[1]!PropsSI("H","T",K35+273.15,"P",101325,"Water")</f>
        <v>216156.4765823069</v>
      </c>
      <c r="V35">
        <f t="shared" si="2"/>
        <v>662.95826667713197</v>
      </c>
      <c r="X35">
        <f t="shared" si="3"/>
        <v>0.26526332200000002</v>
      </c>
      <c r="Y35">
        <f t="shared" si="3"/>
        <v>0.25322270000000002</v>
      </c>
      <c r="Z35">
        <f t="shared" si="9"/>
        <v>0.36672382768749251</v>
      </c>
      <c r="AA35">
        <f t="shared" si="8"/>
        <v>6.0203109999999995</v>
      </c>
      <c r="AB35">
        <f t="shared" si="5"/>
        <v>6.172979896041951E-2</v>
      </c>
      <c r="AC35">
        <f t="shared" si="6"/>
        <v>40.924280521127542</v>
      </c>
    </row>
    <row r="36" spans="1:29" x14ac:dyDescent="0.2">
      <c r="A36">
        <v>46137.05041708333</v>
      </c>
      <c r="B36">
        <v>16.65165</v>
      </c>
      <c r="C36">
        <v>16.877575</v>
      </c>
      <c r="D36">
        <v>18.589468</v>
      </c>
      <c r="E36">
        <v>19.025369000000001</v>
      </c>
      <c r="F36">
        <v>32.344029999999997</v>
      </c>
      <c r="G36">
        <v>31.896968000000001</v>
      </c>
      <c r="H36">
        <v>29.005523</v>
      </c>
      <c r="I36">
        <v>26.063928000000001</v>
      </c>
      <c r="J36">
        <v>57.635801999999998</v>
      </c>
      <c r="K36">
        <v>51.602290000000004</v>
      </c>
      <c r="L36">
        <v>138.24395000000001</v>
      </c>
      <c r="M36">
        <v>-622.47306300000002</v>
      </c>
      <c r="N36">
        <v>1.604082</v>
      </c>
      <c r="O36">
        <v>3.126906</v>
      </c>
      <c r="P36">
        <f t="shared" si="0"/>
        <v>2.67347E-5</v>
      </c>
      <c r="Q36" cm="1">
        <f t="array" ref="Q36">[1]!PropsSI("D","T",J36+273.15,"P",101325,"Water")</f>
        <v>984.39547788187758</v>
      </c>
      <c r="R36" cm="1">
        <f t="array" ref="R36">[1]!PropsSI("D","T",K36+273.15,"P",101325,"Water")</f>
        <v>987.30196580139602</v>
      </c>
      <c r="S36">
        <f t="shared" si="1"/>
        <v>985.8487218416368</v>
      </c>
      <c r="T36" cm="1">
        <f t="array" ref="T36">[1]!PropsSI("H","T",J36+273.15,"P",101325,"Water")</f>
        <v>241355.82289424693</v>
      </c>
      <c r="U36" cm="1">
        <f t="array" ref="U36">[1]!PropsSI("H","T",K36+273.15,"P",101325,"Water")</f>
        <v>216118.5893119688</v>
      </c>
      <c r="V36">
        <f t="shared" si="2"/>
        <v>665.16186162464214</v>
      </c>
      <c r="X36">
        <f t="shared" si="3"/>
        <v>0.26527160399999999</v>
      </c>
      <c r="Y36">
        <f t="shared" si="3"/>
        <v>0.25320458000000001</v>
      </c>
      <c r="Z36">
        <f t="shared" si="9"/>
        <v>0.36671730695688365</v>
      </c>
      <c r="AA36">
        <f t="shared" si="8"/>
        <v>6.0335119999999947</v>
      </c>
      <c r="AB36">
        <f t="shared" si="5"/>
        <v>6.1597219238778513E-2</v>
      </c>
      <c r="AC36">
        <f t="shared" si="6"/>
        <v>40.972121019767137</v>
      </c>
    </row>
    <row r="37" spans="1:29" x14ac:dyDescent="0.2">
      <c r="A37">
        <v>46137.050451805553</v>
      </c>
      <c r="B37">
        <v>16.663644999999999</v>
      </c>
      <c r="C37">
        <v>16.800801</v>
      </c>
      <c r="D37">
        <v>18.543106000000002</v>
      </c>
      <c r="E37">
        <v>19.018930000000001</v>
      </c>
      <c r="F37">
        <v>32.465217000000003</v>
      </c>
      <c r="G37">
        <v>31.808057999999999</v>
      </c>
      <c r="H37">
        <v>28.885715999999999</v>
      </c>
      <c r="I37">
        <v>26.268121000000001</v>
      </c>
      <c r="J37">
        <v>57.638986000000003</v>
      </c>
      <c r="K37">
        <v>51.597521</v>
      </c>
      <c r="L37">
        <v>131.74549999999999</v>
      </c>
      <c r="M37">
        <v>-622.51877500000001</v>
      </c>
      <c r="N37">
        <v>1.6062780000000001</v>
      </c>
      <c r="O37">
        <v>3.5394909999999999</v>
      </c>
      <c r="P37">
        <f t="shared" si="0"/>
        <v>2.6771300000000002E-5</v>
      </c>
      <c r="Q37" cm="1">
        <f t="array" ref="Q37">[1]!PropsSI("D","T",J37+273.15,"P",101325,"Water")</f>
        <v>984.39388477938803</v>
      </c>
      <c r="R37" cm="1">
        <f t="array" ref="R37">[1]!PropsSI("D","T",K37+273.15,"P",101325,"Water")</f>
        <v>987.30417240065879</v>
      </c>
      <c r="S37">
        <f t="shared" si="1"/>
        <v>985.84902859002341</v>
      </c>
      <c r="T37" cm="1">
        <f t="array" ref="T37">[1]!PropsSI("H","T",J37+273.15,"P",101325,"Water")</f>
        <v>241369.14463294271</v>
      </c>
      <c r="U37" cm="1">
        <f t="array" ref="U37">[1]!PropsSI("H","T",K37+273.15,"P",101325,"Water")</f>
        <v>216098.64623254273</v>
      </c>
      <c r="V37">
        <f t="shared" si="2"/>
        <v>666.95062071672726</v>
      </c>
      <c r="X37">
        <f t="shared" si="3"/>
        <v>0.26527797200000003</v>
      </c>
      <c r="Y37">
        <f t="shared" si="3"/>
        <v>0.25319504199999998</v>
      </c>
      <c r="Z37">
        <f t="shared" si="9"/>
        <v>0.36671532790683098</v>
      </c>
      <c r="AA37">
        <f t="shared" si="8"/>
        <v>6.0414650000000023</v>
      </c>
      <c r="AB37">
        <f t="shared" si="5"/>
        <v>6.1517947765605395E-2</v>
      </c>
      <c r="AC37">
        <f t="shared" si="6"/>
        <v>41.029433447489723</v>
      </c>
    </row>
    <row r="38" spans="1:29" x14ac:dyDescent="0.2">
      <c r="A38">
        <v>44675.050486530097</v>
      </c>
      <c r="B38">
        <v>16.583743999999999</v>
      </c>
      <c r="C38">
        <v>16.719618000000001</v>
      </c>
      <c r="D38">
        <v>18.568678999999999</v>
      </c>
      <c r="E38">
        <v>19.018156999999999</v>
      </c>
      <c r="F38">
        <v>32.188476000000001</v>
      </c>
      <c r="G38">
        <v>31.771594</v>
      </c>
      <c r="H38">
        <v>29.680357999999998</v>
      </c>
      <c r="I38">
        <v>26.125297</v>
      </c>
      <c r="J38">
        <v>57.640579000000002</v>
      </c>
      <c r="K38">
        <v>51.595137000000001</v>
      </c>
      <c r="L38">
        <v>136.81789900000001</v>
      </c>
      <c r="M38">
        <v>-622.52285600000005</v>
      </c>
      <c r="N38">
        <v>1.606336</v>
      </c>
      <c r="O38">
        <v>3.3469039999999999</v>
      </c>
      <c r="P38">
        <f t="shared" si="0"/>
        <v>2.6772266666666668E-5</v>
      </c>
      <c r="Q38" cm="1">
        <f t="array" ref="Q38">[1]!PropsSI("D","T",J38+273.15,"P",101325,"Water")</f>
        <v>984.39308770480022</v>
      </c>
      <c r="R38" cm="1">
        <f t="array" ref="R38">[1]!PropsSI("D","T",K38+273.15,"P",101325,"Water")</f>
        <v>987.30527541403444</v>
      </c>
      <c r="S38">
        <f t="shared" si="1"/>
        <v>985.84918155941727</v>
      </c>
      <c r="T38" cm="1">
        <f t="array" ref="T38">[1]!PropsSI("H","T",J38+273.15,"P",101325,"Water")</f>
        <v>241375.80968777082</v>
      </c>
      <c r="U38" cm="1">
        <f t="array" ref="U38">[1]!PropsSI("H","T",K38+273.15,"P",101325,"Water")</f>
        <v>216088.67678638207</v>
      </c>
      <c r="V38">
        <f t="shared" si="2"/>
        <v>667.41384799857565</v>
      </c>
      <c r="X38">
        <f t="shared" si="3"/>
        <v>0.26528115800000002</v>
      </c>
      <c r="Y38">
        <f t="shared" si="3"/>
        <v>0.25319027399999999</v>
      </c>
      <c r="Z38">
        <f t="shared" si="9"/>
        <v>0.36671434064952524</v>
      </c>
      <c r="AA38">
        <f t="shared" si="8"/>
        <v>6.0454420000000013</v>
      </c>
      <c r="AB38">
        <f t="shared" si="5"/>
        <v>6.1478386698591583E-2</v>
      </c>
      <c r="AC38">
        <f t="shared" si="6"/>
        <v>41.03152663525146</v>
      </c>
    </row>
    <row r="39" spans="1:29" x14ac:dyDescent="0.2">
      <c r="A39">
        <v>44675.050521252298</v>
      </c>
      <c r="B39">
        <v>16.679587999999999</v>
      </c>
      <c r="C39">
        <v>16.790904000000001</v>
      </c>
      <c r="D39">
        <v>18.677972</v>
      </c>
      <c r="E39">
        <v>19.025769</v>
      </c>
      <c r="F39">
        <v>32.795178</v>
      </c>
      <c r="G39">
        <v>32.626089999999998</v>
      </c>
      <c r="H39">
        <v>28.683416000000001</v>
      </c>
      <c r="I39">
        <v>26.09131</v>
      </c>
      <c r="J39">
        <v>57.642330000000001</v>
      </c>
      <c r="K39">
        <v>51.594023999999997</v>
      </c>
      <c r="L39">
        <v>132.549541</v>
      </c>
      <c r="M39">
        <v>-622.50040799999999</v>
      </c>
      <c r="N39">
        <v>1.605586</v>
      </c>
      <c r="O39">
        <v>2.9488949999999998</v>
      </c>
      <c r="P39">
        <f t="shared" si="0"/>
        <v>2.6759766666666667E-5</v>
      </c>
      <c r="Q39" cm="1">
        <f t="array" ref="Q39">[1]!PropsSI("D","T",J39+273.15,"P",101325,"Water")</f>
        <v>984.39221155551922</v>
      </c>
      <c r="R39" cm="1">
        <f t="array" ref="R39">[1]!PropsSI("D","T",K39+273.15,"P",101325,"Water")</f>
        <v>987.3057903569744</v>
      </c>
      <c r="S39">
        <f t="shared" si="1"/>
        <v>985.84900095624675</v>
      </c>
      <c r="T39" cm="1">
        <f t="array" ref="T39">[1]!PropsSI("H","T",J39+273.15,"P",101325,"Water")</f>
        <v>241383.13581017306</v>
      </c>
      <c r="U39" cm="1">
        <f t="array" ref="U39">[1]!PropsSI("H","T",K39+273.15,"P",101325,"Water")</f>
        <v>216084.02242724941</v>
      </c>
      <c r="V39">
        <f t="shared" si="2"/>
        <v>667.4181676999292</v>
      </c>
      <c r="X39">
        <f t="shared" si="3"/>
        <v>0.26528466000000001</v>
      </c>
      <c r="Y39">
        <f t="shared" si="3"/>
        <v>0.253188048</v>
      </c>
      <c r="Z39">
        <f t="shared" si="9"/>
        <v>0.36671533712317778</v>
      </c>
      <c r="AA39">
        <f t="shared" si="8"/>
        <v>6.0483060000000037</v>
      </c>
      <c r="AB39">
        <f t="shared" si="5"/>
        <v>6.145020834802889E-2</v>
      </c>
      <c r="AC39">
        <f t="shared" si="6"/>
        <v>41.012985460420332</v>
      </c>
    </row>
    <row r="40" spans="1:29" x14ac:dyDescent="0.2">
      <c r="A40">
        <v>44675.050556553302</v>
      </c>
      <c r="B40">
        <v>16.765854999999998</v>
      </c>
      <c r="C40">
        <v>16.875236999999998</v>
      </c>
      <c r="D40">
        <v>18.787977000000001</v>
      </c>
      <c r="E40">
        <v>19.031448000000001</v>
      </c>
      <c r="F40">
        <v>32.546118</v>
      </c>
      <c r="G40">
        <v>33.774379000000003</v>
      </c>
      <c r="H40">
        <v>29.419250000000002</v>
      </c>
      <c r="I40">
        <v>26.212011</v>
      </c>
      <c r="J40">
        <v>57.644241000000001</v>
      </c>
      <c r="K40">
        <v>51.596727000000001</v>
      </c>
      <c r="L40">
        <v>134.15354300000001</v>
      </c>
      <c r="M40">
        <v>-622.51346899999999</v>
      </c>
      <c r="N40">
        <v>1.6056509999999999</v>
      </c>
      <c r="O40">
        <v>3.4725079999999999</v>
      </c>
      <c r="P40">
        <f t="shared" si="0"/>
        <v>2.676085E-5</v>
      </c>
      <c r="Q40" cm="1">
        <f t="array" ref="Q40">[1]!PropsSI("D","T",J40+273.15,"P",101325,"Water")</f>
        <v>984.39125532577577</v>
      </c>
      <c r="R40" cm="1">
        <f t="array" ref="R40">[1]!PropsSI("D","T",K40+273.15,"P",101325,"Water")</f>
        <v>987.3045397674066</v>
      </c>
      <c r="S40">
        <f t="shared" si="1"/>
        <v>985.84789754659118</v>
      </c>
      <c r="T40" cm="1">
        <f t="array" ref="T40">[1]!PropsSI("H","T",J40+273.15,"P",101325,"Water")</f>
        <v>241391.13136826444</v>
      </c>
      <c r="U40" cm="1">
        <f t="array" ref="U40">[1]!PropsSI("H","T",K40+273.15,"P",101325,"Water")</f>
        <v>216095.32587149731</v>
      </c>
      <c r="V40">
        <f t="shared" si="2"/>
        <v>667.35717111924475</v>
      </c>
      <c r="X40">
        <f t="shared" si="3"/>
        <v>0.26528848199999999</v>
      </c>
      <c r="Y40">
        <f t="shared" si="3"/>
        <v>0.25319345399999998</v>
      </c>
      <c r="Z40">
        <f t="shared" si="9"/>
        <v>0.36672183440629003</v>
      </c>
      <c r="AA40">
        <f t="shared" si="8"/>
        <v>6.0475139999999996</v>
      </c>
      <c r="AB40">
        <f t="shared" si="5"/>
        <v>6.1459102994223948E-2</v>
      </c>
      <c r="AC40">
        <f t="shared" si="6"/>
        <v>41.015173113751601</v>
      </c>
    </row>
    <row r="41" spans="1:29" x14ac:dyDescent="0.2">
      <c r="A41">
        <v>44675.050591275503</v>
      </c>
      <c r="B41">
        <v>16.806972999999999</v>
      </c>
      <c r="C41">
        <v>16.981535999999998</v>
      </c>
      <c r="D41">
        <v>18.818168</v>
      </c>
      <c r="E41">
        <v>19.075482999999998</v>
      </c>
      <c r="F41">
        <v>32.675839000000003</v>
      </c>
      <c r="G41">
        <v>32.874108999999997</v>
      </c>
      <c r="H41">
        <v>29.002157</v>
      </c>
      <c r="I41">
        <v>26.154377</v>
      </c>
      <c r="J41">
        <v>57.646470999999998</v>
      </c>
      <c r="K41">
        <v>51.599111000000001</v>
      </c>
      <c r="L41">
        <v>132.16792799999999</v>
      </c>
      <c r="M41">
        <v>-622.50938699999995</v>
      </c>
      <c r="N41">
        <v>1.6023769999999999</v>
      </c>
      <c r="O41">
        <v>3.3627630000000002</v>
      </c>
      <c r="P41">
        <f t="shared" si="0"/>
        <v>2.6706283333333332E-5</v>
      </c>
      <c r="Q41" cm="1">
        <f t="array" ref="Q41">[1]!PropsSI("D","T",J41+273.15,"P",101325,"Water")</f>
        <v>984.39013944635417</v>
      </c>
      <c r="R41" cm="1">
        <f t="array" ref="R41">[1]!PropsSI("D","T",K41+273.15,"P",101325,"Water")</f>
        <v>987.30343672960817</v>
      </c>
      <c r="S41">
        <f t="shared" si="1"/>
        <v>985.84678808798117</v>
      </c>
      <c r="T41" cm="1">
        <f t="array" ref="T41">[1]!PropsSI("H","T",J41+273.15,"P",101325,"Water")</f>
        <v>241400.46161328463</v>
      </c>
      <c r="U41" cm="1">
        <f t="array" ref="U41">[1]!PropsSI("H","T",K41+273.15,"P",101325,"Water")</f>
        <v>216105.29531887628</v>
      </c>
      <c r="V41">
        <f t="shared" si="2"/>
        <v>665.97881897358445</v>
      </c>
      <c r="X41">
        <f t="shared" si="3"/>
        <v>0.26529294199999998</v>
      </c>
      <c r="Y41">
        <f t="shared" si="3"/>
        <v>0.25319822199999997</v>
      </c>
      <c r="Z41">
        <f t="shared" si="9"/>
        <v>0.36672835273397753</v>
      </c>
      <c r="AA41">
        <f t="shared" si="8"/>
        <v>6.0473599999999976</v>
      </c>
      <c r="AB41">
        <f t="shared" si="5"/>
        <v>6.1461690173076296E-2</v>
      </c>
      <c r="AC41">
        <f t="shared" si="6"/>
        <v>40.932183833585711</v>
      </c>
    </row>
    <row r="42" spans="1:29" x14ac:dyDescent="0.2">
      <c r="A42">
        <v>46137.050626574077</v>
      </c>
      <c r="B42">
        <v>16.986374000000001</v>
      </c>
      <c r="C42">
        <v>17.292352000000001</v>
      </c>
      <c r="D42">
        <v>18.823312000000001</v>
      </c>
      <c r="E42">
        <v>19.069557</v>
      </c>
      <c r="F42">
        <v>32.955916999999999</v>
      </c>
      <c r="G42">
        <v>32.593131999999997</v>
      </c>
      <c r="H42">
        <v>29.170780000000001</v>
      </c>
      <c r="I42">
        <v>26.126571999999999</v>
      </c>
      <c r="J42">
        <v>57.647903999999997</v>
      </c>
      <c r="K42">
        <v>51.608170999999999</v>
      </c>
      <c r="L42">
        <v>132.88503499999999</v>
      </c>
      <c r="M42">
        <v>-622.50530600000002</v>
      </c>
      <c r="N42">
        <v>1.604401</v>
      </c>
      <c r="O42">
        <v>3.4192369999999999</v>
      </c>
      <c r="P42">
        <f t="shared" si="0"/>
        <v>2.6740016666666668E-5</v>
      </c>
      <c r="Q42" cm="1">
        <f t="array" ref="Q42">[1]!PropsSI("D","T",J42+273.15,"P",101325,"Water")</f>
        <v>984.38942236534547</v>
      </c>
      <c r="R42" cm="1">
        <f t="array" ref="R42">[1]!PropsSI("D","T",K42+273.15,"P",101325,"Water")</f>
        <v>987.29924448195914</v>
      </c>
      <c r="S42">
        <f t="shared" si="1"/>
        <v>985.8443334236523</v>
      </c>
      <c r="T42" cm="1">
        <f t="array" ref="T42">[1]!PropsSI("H","T",J42+273.15,"P",101325,"Water")</f>
        <v>241406.45723810149</v>
      </c>
      <c r="U42" cm="1">
        <f t="array" ref="U42">[1]!PropsSI("H","T",K42+273.15,"P",101325,"Water")</f>
        <v>216143.1825802598</v>
      </c>
      <c r="V42">
        <f t="shared" si="2"/>
        <v>665.9776609506099</v>
      </c>
      <c r="X42">
        <f t="shared" si="3"/>
        <v>0.26529580799999997</v>
      </c>
      <c r="Y42">
        <f t="shared" si="3"/>
        <v>0.25321634199999998</v>
      </c>
      <c r="Z42">
        <f t="shared" si="9"/>
        <v>0.36674293667122454</v>
      </c>
      <c r="AA42">
        <f t="shared" si="8"/>
        <v>6.0397329999999982</v>
      </c>
      <c r="AB42">
        <f t="shared" si="5"/>
        <v>6.1539633464396483E-2</v>
      </c>
      <c r="AC42">
        <f t="shared" si="6"/>
        <v>40.984021150376648</v>
      </c>
    </row>
    <row r="43" spans="1:29" x14ac:dyDescent="0.2">
      <c r="A43">
        <v>46137.050661875001</v>
      </c>
      <c r="B43">
        <v>17.009164999999999</v>
      </c>
      <c r="C43">
        <v>17.379532999999999</v>
      </c>
      <c r="D43">
        <v>18.815325000000001</v>
      </c>
      <c r="E43">
        <v>19.099934000000001</v>
      </c>
      <c r="F43">
        <v>32.449345000000001</v>
      </c>
      <c r="G43">
        <v>32.879367000000002</v>
      </c>
      <c r="H43">
        <v>29.511291</v>
      </c>
      <c r="I43">
        <v>26.754895000000001</v>
      </c>
      <c r="J43">
        <v>57.648541000000002</v>
      </c>
      <c r="K43">
        <v>51.615800999999998</v>
      </c>
      <c r="L43">
        <v>138.51046700000001</v>
      </c>
      <c r="M43">
        <v>-622.48163399999999</v>
      </c>
      <c r="N43">
        <v>1.6102160000000001</v>
      </c>
      <c r="O43">
        <v>3.534535</v>
      </c>
      <c r="P43">
        <f t="shared" si="0"/>
        <v>2.6836933333333334E-5</v>
      </c>
      <c r="Q43" cm="1">
        <f t="array" ref="Q43">[1]!PropsSI("D","T",J43+273.15,"P",101325,"Water")</f>
        <v>984.3891036030891</v>
      </c>
      <c r="R43" cm="1">
        <f t="array" ref="R43">[1]!PropsSI("D","T",K43+273.15,"P",101325,"Water")</f>
        <v>987.29571351455127</v>
      </c>
      <c r="S43">
        <f t="shared" si="1"/>
        <v>985.84240855882013</v>
      </c>
      <c r="T43" cm="1">
        <f t="array" ref="T43">[1]!PropsSI("H","T",J43+273.15,"P",101325,"Water")</f>
        <v>241409.12242542821</v>
      </c>
      <c r="U43" cm="1">
        <f t="array" ref="U43">[1]!PropsSI("H","T",K43+273.15,"P",101325,"Water")</f>
        <v>216175.08986311947</v>
      </c>
      <c r="V43">
        <f t="shared" si="2"/>
        <v>667.6164713492102</v>
      </c>
      <c r="X43">
        <f t="shared" si="3"/>
        <v>0.26529708200000002</v>
      </c>
      <c r="Y43">
        <f t="shared" si="3"/>
        <v>0.253231602</v>
      </c>
      <c r="Z43">
        <f t="shared" si="9"/>
        <v>0.36675439461470821</v>
      </c>
      <c r="AA43">
        <f t="shared" si="8"/>
        <v>6.032740000000004</v>
      </c>
      <c r="AB43">
        <f t="shared" si="5"/>
        <v>6.1610960201476599E-2</v>
      </c>
      <c r="AC43">
        <f t="shared" si="6"/>
        <v>41.132491846146429</v>
      </c>
    </row>
    <row r="44" spans="1:29" x14ac:dyDescent="0.2">
      <c r="A44">
        <v>46137.050697175924</v>
      </c>
      <c r="B44">
        <v>16.880763999999999</v>
      </c>
      <c r="C44">
        <v>16.900666999999999</v>
      </c>
      <c r="D44">
        <v>18.804542999999999</v>
      </c>
      <c r="E44">
        <v>19.141511000000001</v>
      </c>
      <c r="F44">
        <v>32.125680000000003</v>
      </c>
      <c r="G44">
        <v>32.056581000000001</v>
      </c>
      <c r="H44">
        <v>29.300135000000001</v>
      </c>
      <c r="I44">
        <v>26.416364999999999</v>
      </c>
      <c r="J44">
        <v>57.649495999999999</v>
      </c>
      <c r="K44">
        <v>51.621523000000003</v>
      </c>
      <c r="L44">
        <v>139.88794899999999</v>
      </c>
      <c r="M44">
        <v>-622.48938799999996</v>
      </c>
      <c r="N44">
        <v>1.609286</v>
      </c>
      <c r="O44">
        <v>3.7890600000000001</v>
      </c>
      <c r="P44">
        <f t="shared" si="0"/>
        <v>2.682143333333333E-5</v>
      </c>
      <c r="Q44" cm="1">
        <f t="array" ref="Q44">[1]!PropsSI("D","T",J44+273.15,"P",101325,"Water")</f>
        <v>984.38862570533092</v>
      </c>
      <c r="R44" cm="1">
        <f t="array" ref="R44">[1]!PropsSI("D","T",K44+273.15,"P",101325,"Water")</f>
        <v>987.29306527435767</v>
      </c>
      <c r="S44">
        <f t="shared" si="1"/>
        <v>985.84084548984424</v>
      </c>
      <c r="T44" cm="1">
        <f t="array" ref="T44">[1]!PropsSI("H","T",J44+273.15,"P",101325,"Water")</f>
        <v>241413.11811469111</v>
      </c>
      <c r="U44" cm="1">
        <f t="array" ref="U44">[1]!PropsSI("H","T",K44+273.15,"P",101325,"Water")</f>
        <v>216199.01824614988</v>
      </c>
      <c r="V44">
        <f t="shared" si="2"/>
        <v>666.70276976115417</v>
      </c>
      <c r="X44">
        <f t="shared" si="3"/>
        <v>0.26529899200000001</v>
      </c>
      <c r="Y44">
        <f t="shared" si="3"/>
        <v>0.25324304600000003</v>
      </c>
      <c r="Z44">
        <f t="shared" si="9"/>
        <v>0.36676367800475307</v>
      </c>
      <c r="AA44">
        <f t="shared" si="8"/>
        <v>6.0279729999999958</v>
      </c>
      <c r="AB44">
        <f t="shared" si="5"/>
        <v>6.1659919553178219E-2</v>
      </c>
      <c r="AC44">
        <f t="shared" si="6"/>
        <v>41.108839149353869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DA34-EA98-DA41-B721-91DB363190D3}">
  <dimension ref="A1:AC61"/>
  <sheetViews>
    <sheetView topLeftCell="M1" workbookViewId="0">
      <selection activeCell="W4" sqref="W4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>
        <v>44675.051561182903</v>
      </c>
      <c r="B2">
        <v>17.187000999999999</v>
      </c>
      <c r="C2">
        <v>17.913661000000001</v>
      </c>
      <c r="D2">
        <v>18.815062000000001</v>
      </c>
      <c r="E2">
        <v>19.145365000000002</v>
      </c>
      <c r="F2">
        <v>30.759630999999999</v>
      </c>
      <c r="G2">
        <v>32.063394000000002</v>
      </c>
      <c r="H2">
        <v>28.01681</v>
      </c>
      <c r="I2">
        <v>25.034168000000001</v>
      </c>
      <c r="J2">
        <v>57.697747</v>
      </c>
      <c r="K2">
        <v>51.092249000000002</v>
      </c>
      <c r="L2">
        <v>209.97872599999999</v>
      </c>
      <c r="M2">
        <v>-622.51632600000005</v>
      </c>
      <c r="N2">
        <v>1.609065</v>
      </c>
      <c r="O2">
        <v>3.675109</v>
      </c>
      <c r="P2">
        <f t="shared" ref="P2:P65" si="0" xml:space="preserve"> N2*0.001/60</f>
        <v>2.6817749999999999E-5</v>
      </c>
      <c r="Q2" cm="1">
        <f t="array" ref="Q2">[1]!PropsSI("D","T",J2+273.15,"P",101325,"Water")</f>
        <v>984.36447293680078</v>
      </c>
      <c r="R2" cm="1">
        <f t="array" ref="R2">[1]!PropsSI("D","T",K2+273.15,"P",101325,"Water")</f>
        <v>987.53712841086269</v>
      </c>
      <c r="S2">
        <f t="shared" ref="S2:S65" si="1">(Q2+R2)/2</f>
        <v>985.95080067383174</v>
      </c>
      <c r="T2" cm="1">
        <f t="array" ref="T2">[1]!PropsSI("H","T",J2+273.15,"P",101325,"Water")</f>
        <v>241614.99922367075</v>
      </c>
      <c r="U2" cm="1">
        <f t="array" ref="U2">[1]!PropsSI("H","T",K2+273.15,"P",101325,"Water")</f>
        <v>213985.73125703615</v>
      </c>
      <c r="V2">
        <f t="shared" ref="V2:V65" si="2">S2*P2*(T2-U2)</f>
        <v>730.54497932111292</v>
      </c>
      <c r="W2" s="3">
        <f>AVERAGE(V12:V61)</f>
        <v>734.82958520774218</v>
      </c>
      <c r="X2">
        <f>(0.15+0.002*ABS(J2))</f>
        <v>0.26539549400000001</v>
      </c>
      <c r="Y2">
        <f>(0.15+0.002*ABS(K2))</f>
        <v>0.25218449799999998</v>
      </c>
      <c r="Z2">
        <f>SQRT((X2)^2 + (Y2)^2)</f>
        <v>0.36610352260940626</v>
      </c>
      <c r="AA2">
        <f>J2-K2</f>
        <v>6.6054979999999972</v>
      </c>
      <c r="AB2">
        <f>SQRT((0.01)^2 + (Z2/ABS(AA2))^2)</f>
        <v>5.6318971163628322E-2</v>
      </c>
      <c r="AC2">
        <f>ABS(V2*AB2)</f>
        <v>41.143541624119209</v>
      </c>
    </row>
    <row r="3" spans="1:29" x14ac:dyDescent="0.2">
      <c r="A3">
        <v>44675.051595905097</v>
      </c>
      <c r="B3">
        <v>17.167852</v>
      </c>
      <c r="C3">
        <v>17.817409999999999</v>
      </c>
      <c r="D3">
        <v>18.894047</v>
      </c>
      <c r="E3">
        <v>19.163004000000001</v>
      </c>
      <c r="F3">
        <v>30.292971000000001</v>
      </c>
      <c r="G3">
        <v>31.816448999999999</v>
      </c>
      <c r="H3">
        <v>27.269575</v>
      </c>
      <c r="I3">
        <v>24.553374999999999</v>
      </c>
      <c r="J3">
        <v>57.698543000000001</v>
      </c>
      <c r="K3">
        <v>51.099719</v>
      </c>
      <c r="L3">
        <v>210.67420100000001</v>
      </c>
      <c r="M3">
        <v>-622.506122</v>
      </c>
      <c r="N3">
        <v>1.608835</v>
      </c>
      <c r="O3">
        <v>3.2996560000000001</v>
      </c>
      <c r="P3">
        <f t="shared" si="0"/>
        <v>2.6813916666666668E-5</v>
      </c>
      <c r="Q3" cm="1">
        <f t="array" ref="Q3">[1]!PropsSI("D","T",J3+273.15,"P",101325,"Water")</f>
        <v>984.36407436903153</v>
      </c>
      <c r="R3" cm="1">
        <f t="array" ref="R3">[1]!PropsSI("D","T",K3+273.15,"P",101325,"Water")</f>
        <v>987.53369638336608</v>
      </c>
      <c r="S3">
        <f t="shared" si="1"/>
        <v>985.94888537619886</v>
      </c>
      <c r="T3" cm="1">
        <f t="array" ref="T3">[1]!PropsSI("H","T",J3+273.15,"P",101325,"Water")</f>
        <v>241618.32967782163</v>
      </c>
      <c r="U3" cm="1">
        <f t="array" ref="U3">[1]!PropsSI("H","T",K3+273.15,"P",101325,"Water")</f>
        <v>214016.96827351375</v>
      </c>
      <c r="V3">
        <f t="shared" si="2"/>
        <v>729.70136615353988</v>
      </c>
      <c r="W3" s="3" t="s">
        <v>35</v>
      </c>
      <c r="X3">
        <f t="shared" ref="X3:Y55" si="3">(0.15+0.002*ABS(J3))</f>
        <v>0.265397086</v>
      </c>
      <c r="Y3">
        <f t="shared" si="3"/>
        <v>0.252199438</v>
      </c>
      <c r="Z3">
        <f t="shared" ref="Z3:Z55" si="4">SQRT((X3)^2 + (Y3)^2)</f>
        <v>0.3661149679879358</v>
      </c>
      <c r="AA3">
        <f>J3-K3</f>
        <v>6.5988240000000005</v>
      </c>
      <c r="AB3">
        <f t="shared" ref="AB3:AB66" si="5">SQRT((0.01)^2 + (Z3/ABS(AA3))^2)</f>
        <v>5.6375843740973874E-2</v>
      </c>
      <c r="AC3">
        <f t="shared" ref="AC3:AC66" si="6">ABS(V3*AB3)</f>
        <v>41.137530195847127</v>
      </c>
    </row>
    <row r="4" spans="1:29" x14ac:dyDescent="0.2">
      <c r="A4">
        <v>44675.051631205999</v>
      </c>
      <c r="B4">
        <v>17.140961999999998</v>
      </c>
      <c r="C4">
        <v>17.432328999999999</v>
      </c>
      <c r="D4">
        <v>18.904769000000002</v>
      </c>
      <c r="E4">
        <v>19.199218999999999</v>
      </c>
      <c r="F4">
        <v>30.471973999999999</v>
      </c>
      <c r="G4">
        <v>30.983678999999999</v>
      </c>
      <c r="H4">
        <v>27.019497000000001</v>
      </c>
      <c r="I4">
        <v>25.317421</v>
      </c>
      <c r="J4">
        <v>57.699817000000003</v>
      </c>
      <c r="K4">
        <v>51.107028999999997</v>
      </c>
      <c r="L4">
        <v>191.83065500000001</v>
      </c>
      <c r="M4">
        <v>-622.46775700000001</v>
      </c>
      <c r="N4">
        <v>1.60745</v>
      </c>
      <c r="O4">
        <v>3.3115380000000001</v>
      </c>
      <c r="P4">
        <f t="shared" si="0"/>
        <v>2.6790833333333334E-5</v>
      </c>
      <c r="Q4" cm="1">
        <f t="array" ref="Q4">[1]!PropsSI("D","T",J4+273.15,"P",101325,"Water")</f>
        <v>984.36343645236855</v>
      </c>
      <c r="R4" cm="1">
        <f t="array" ref="R4">[1]!PropsSI("D","T",K4+273.15,"P",101325,"Water")</f>
        <v>987.53033751660075</v>
      </c>
      <c r="S4">
        <f t="shared" si="1"/>
        <v>985.94688698448465</v>
      </c>
      <c r="T4" cm="1">
        <f t="array" ref="T4">[1]!PropsSI("H","T",J4+273.15,"P",101325,"Water")</f>
        <v>241623.66007846789</v>
      </c>
      <c r="U4" cm="1">
        <f t="array" ref="U4">[1]!PropsSI("H","T",K4+273.15,"P",101325,"Water")</f>
        <v>214047.53624031998</v>
      </c>
      <c r="V4">
        <f t="shared" si="2"/>
        <v>728.40507577566905</v>
      </c>
      <c r="W4" s="3">
        <f>SQRT((AVERAGE(AC12:AC61))^2 + (_xlfn.STDEV.S(V12:V61)/SQRT(COUNT(V12:V61)))^2)</f>
        <v>41.041848985069038</v>
      </c>
      <c r="X4">
        <f t="shared" si="3"/>
        <v>0.265399634</v>
      </c>
      <c r="Y4">
        <f t="shared" si="3"/>
        <v>0.25221405799999996</v>
      </c>
      <c r="Z4">
        <f t="shared" si="4"/>
        <v>0.36612688617494521</v>
      </c>
      <c r="AA4">
        <f t="shared" ref="AA4:AA67" si="7">J4-K4</f>
        <v>6.5927880000000059</v>
      </c>
      <c r="AB4">
        <f t="shared" si="5"/>
        <v>5.6427614275274651E-2</v>
      </c>
      <c r="AC4">
        <f t="shared" si="6"/>
        <v>41.102160652021659</v>
      </c>
    </row>
    <row r="5" spans="1:29" x14ac:dyDescent="0.2">
      <c r="A5">
        <v>44675.051666507003</v>
      </c>
      <c r="B5">
        <v>17.147252999999999</v>
      </c>
      <c r="C5">
        <v>17.310668</v>
      </c>
      <c r="D5">
        <v>18.931089</v>
      </c>
      <c r="E5">
        <v>19.201142000000001</v>
      </c>
      <c r="F5">
        <v>30.592147000000001</v>
      </c>
      <c r="G5">
        <v>31.717600999999998</v>
      </c>
      <c r="H5">
        <v>27.081485000000001</v>
      </c>
      <c r="I5">
        <v>24.874202</v>
      </c>
      <c r="J5">
        <v>57.699975999999999</v>
      </c>
      <c r="K5">
        <v>51.109730999999996</v>
      </c>
      <c r="L5">
        <v>205.57853800000001</v>
      </c>
      <c r="M5">
        <v>-622.48612300000002</v>
      </c>
      <c r="N5">
        <v>1.6027089999999999</v>
      </c>
      <c r="O5">
        <v>3.531066</v>
      </c>
      <c r="P5">
        <f t="shared" si="0"/>
        <v>2.6711816666666664E-5</v>
      </c>
      <c r="Q5" cm="1">
        <f t="array" ref="Q5">[1]!PropsSI("D","T",J5+273.15,"P",101325,"Water")</f>
        <v>984.36335683725565</v>
      </c>
      <c r="R5" cm="1">
        <f t="array" ref="R5">[1]!PropsSI("D","T",K5+273.15,"P",101325,"Water")</f>
        <v>987.52909588887587</v>
      </c>
      <c r="S5">
        <f t="shared" si="1"/>
        <v>985.94622636306576</v>
      </c>
      <c r="T5" cm="1">
        <f t="array" ref="T5">[1]!PropsSI("H","T",J5+273.15,"P",101325,"Water")</f>
        <v>241624.32533265738</v>
      </c>
      <c r="U5" cm="1">
        <f t="array" ref="U5">[1]!PropsSI("H","T",K5+273.15,"P",101325,"Water")</f>
        <v>214058.83510162658</v>
      </c>
      <c r="V5">
        <f t="shared" si="2"/>
        <v>725.97618604206866</v>
      </c>
      <c r="W5" s="3"/>
      <c r="X5">
        <f t="shared" si="3"/>
        <v>0.26539995199999999</v>
      </c>
      <c r="Y5">
        <f t="shared" si="3"/>
        <v>0.25221946200000001</v>
      </c>
      <c r="Z5">
        <f t="shared" si="4"/>
        <v>0.36613083936370583</v>
      </c>
      <c r="AA5">
        <f t="shared" si="7"/>
        <v>6.590245000000003</v>
      </c>
      <c r="AB5">
        <f t="shared" si="5"/>
        <v>5.6449294845586334E-2</v>
      </c>
      <c r="AC5">
        <f t="shared" si="6"/>
        <v>40.980843776762974</v>
      </c>
    </row>
    <row r="6" spans="1:29" x14ac:dyDescent="0.2">
      <c r="A6">
        <v>46137.051701805554</v>
      </c>
      <c r="B6">
        <v>16.867153999999999</v>
      </c>
      <c r="C6">
        <v>16.983381999999999</v>
      </c>
      <c r="D6">
        <v>18.880355999999999</v>
      </c>
      <c r="E6">
        <v>19.145548999999999</v>
      </c>
      <c r="F6">
        <v>30.394952</v>
      </c>
      <c r="G6">
        <v>31.842580000000002</v>
      </c>
      <c r="H6">
        <v>27.683221</v>
      </c>
      <c r="I6">
        <v>25.015557999999999</v>
      </c>
      <c r="J6">
        <v>57.701568999999999</v>
      </c>
      <c r="K6">
        <v>51.108618999999997</v>
      </c>
      <c r="L6">
        <v>204.22268700000001</v>
      </c>
      <c r="M6">
        <v>-622.51183600000002</v>
      </c>
      <c r="N6">
        <v>1.6058110000000001</v>
      </c>
      <c r="O6">
        <v>3.201171</v>
      </c>
      <c r="P6">
        <f t="shared" si="0"/>
        <v>2.6763516666666669E-5</v>
      </c>
      <c r="Q6" cm="1">
        <f t="array" ref="Q6">[1]!PropsSI("D","T",J6+273.15,"P",101325,"Water")</f>
        <v>984.36255917574726</v>
      </c>
      <c r="R6" cm="1">
        <f t="array" ref="R6">[1]!PropsSI("D","T",K6+273.15,"P",101325,"Water")</f>
        <v>987.52960688275277</v>
      </c>
      <c r="S6">
        <f t="shared" si="1"/>
        <v>985.94608302925008</v>
      </c>
      <c r="T6" cm="1">
        <f t="array" ref="T6">[1]!PropsSI("H","T",J6+273.15,"P",101325,"Water")</f>
        <v>241630.99042654102</v>
      </c>
      <c r="U6" cm="1">
        <f t="array" ref="U6">[1]!PropsSI("H","T",K6+273.15,"P",101325,"Water")</f>
        <v>214054.18508889899</v>
      </c>
      <c r="V6">
        <f t="shared" si="2"/>
        <v>727.67976367396875</v>
      </c>
      <c r="W6" s="3"/>
      <c r="X6">
        <f t="shared" si="3"/>
        <v>0.26540313799999998</v>
      </c>
      <c r="Y6">
        <f t="shared" si="3"/>
        <v>0.25221723800000001</v>
      </c>
      <c r="Z6">
        <f t="shared" si="4"/>
        <v>0.36613161677816858</v>
      </c>
      <c r="AA6">
        <f>J6-K6</f>
        <v>6.5929500000000019</v>
      </c>
      <c r="AB6">
        <f t="shared" si="5"/>
        <v>5.6426977465653928E-2</v>
      </c>
      <c r="AC6">
        <f t="shared" si="6"/>
        <v>41.060769627043413</v>
      </c>
    </row>
    <row r="7" spans="1:29" x14ac:dyDescent="0.2">
      <c r="A7">
        <v>46137.051737106478</v>
      </c>
      <c r="B7">
        <v>16.987967999999999</v>
      </c>
      <c r="C7">
        <v>17.137445</v>
      </c>
      <c r="D7">
        <v>18.756720000000001</v>
      </c>
      <c r="E7">
        <v>19.075559999999999</v>
      </c>
      <c r="F7">
        <v>30.223509</v>
      </c>
      <c r="G7">
        <v>32.392237999999999</v>
      </c>
      <c r="H7">
        <v>27.760850000000001</v>
      </c>
      <c r="I7">
        <v>25.047063000000001</v>
      </c>
      <c r="J7">
        <v>57.701410000000003</v>
      </c>
      <c r="K7">
        <v>51.098923999999997</v>
      </c>
      <c r="L7">
        <v>201.05917199999999</v>
      </c>
      <c r="M7">
        <v>-622.49020499999995</v>
      </c>
      <c r="N7">
        <v>1.6055200000000001</v>
      </c>
      <c r="O7">
        <v>3.7786909999999998</v>
      </c>
      <c r="P7">
        <f t="shared" si="0"/>
        <v>2.6758666666666668E-5</v>
      </c>
      <c r="Q7" cm="1">
        <f t="array" ref="Q7">[1]!PropsSI("D","T",J7+273.15,"P",101325,"Water")</f>
        <v>984.36263879236787</v>
      </c>
      <c r="R7" cm="1">
        <f t="array" ref="R7">[1]!PropsSI("D","T",K7+273.15,"P",101325,"Water")</f>
        <v>987.53406165647482</v>
      </c>
      <c r="S7">
        <f t="shared" si="1"/>
        <v>985.94835022442135</v>
      </c>
      <c r="T7" cm="1">
        <f t="array" ref="T7">[1]!PropsSI("H","T",J7+273.15,"P",101325,"Water")</f>
        <v>241630.32517232298</v>
      </c>
      <c r="U7" cm="1">
        <f t="array" ref="U7">[1]!PropsSI("H","T",K7+273.15,"P",101325,"Water")</f>
        <v>214013.6438512945</v>
      </c>
      <c r="V7">
        <f t="shared" si="2"/>
        <v>728.60160349139346</v>
      </c>
      <c r="W7" s="3"/>
      <c r="X7">
        <f t="shared" si="3"/>
        <v>0.26540281999999998</v>
      </c>
      <c r="Y7">
        <f t="shared" si="3"/>
        <v>0.252197848</v>
      </c>
      <c r="Z7">
        <f t="shared" si="4"/>
        <v>0.36611802932904508</v>
      </c>
      <c r="AA7">
        <f t="shared" ref="AA7:AA70" si="8">J7-K7</f>
        <v>6.6024860000000061</v>
      </c>
      <c r="AB7">
        <f t="shared" si="5"/>
        <v>5.6346015860800111E-2</v>
      </c>
      <c r="AC7">
        <f t="shared" si="6"/>
        <v>41.053797506530451</v>
      </c>
    </row>
    <row r="8" spans="1:29" x14ac:dyDescent="0.2">
      <c r="A8">
        <v>46137.051772407409</v>
      </c>
      <c r="B8">
        <v>16.839092999999998</v>
      </c>
      <c r="C8">
        <v>16.900786</v>
      </c>
      <c r="D8">
        <v>18.758699</v>
      </c>
      <c r="E8">
        <v>19.095935999999998</v>
      </c>
      <c r="F8">
        <v>30.441714000000001</v>
      </c>
      <c r="G8">
        <v>31.602834000000001</v>
      </c>
      <c r="H8">
        <v>27.524488000000002</v>
      </c>
      <c r="I8">
        <v>24.772677000000002</v>
      </c>
      <c r="J8">
        <v>57.697588000000003</v>
      </c>
      <c r="K8">
        <v>51.092089999999999</v>
      </c>
      <c r="L8">
        <v>196.585927</v>
      </c>
      <c r="M8">
        <v>-622.47306300000002</v>
      </c>
      <c r="N8">
        <v>1.6056999999999999</v>
      </c>
      <c r="O8">
        <v>3.4273449999999999</v>
      </c>
      <c r="P8">
        <f t="shared" si="0"/>
        <v>2.6761666666666665E-5</v>
      </c>
      <c r="Q8" cm="1">
        <f t="array" ref="Q8">[1]!PropsSI("D","T",J8+273.15,"P",101325,"Water")</f>
        <v>984.36455254972918</v>
      </c>
      <c r="R8" cm="1">
        <f t="array" ref="R8">[1]!PropsSI("D","T",K8+273.15,"P",101325,"Water")</f>
        <v>987.53720145812406</v>
      </c>
      <c r="S8">
        <f t="shared" si="1"/>
        <v>985.95087700392662</v>
      </c>
      <c r="T8" cm="1">
        <f t="array" ref="T8">[1]!PropsSI("H","T",J8+273.15,"P",101325,"Water")</f>
        <v>241614.33396969503</v>
      </c>
      <c r="U8" cm="1">
        <f t="array" ref="U8">[1]!PropsSI("H","T",K8+273.15,"P",101325,"Water")</f>
        <v>213985.06637293202</v>
      </c>
      <c r="V8">
        <f t="shared" si="2"/>
        <v>729.01725437216794</v>
      </c>
      <c r="W8" s="3"/>
      <c r="X8">
        <f t="shared" si="3"/>
        <v>0.26539517600000001</v>
      </c>
      <c r="Y8">
        <f t="shared" si="3"/>
        <v>0.25218417999999998</v>
      </c>
      <c r="Z8">
        <f>SQRT((X8)^2 + (Y8)^2)</f>
        <v>0.36610307303591888</v>
      </c>
      <c r="AA8">
        <f t="shared" si="8"/>
        <v>6.6054980000000043</v>
      </c>
      <c r="AB8">
        <f t="shared" si="5"/>
        <v>5.6318904184614618E-2</v>
      </c>
      <c r="AC8">
        <f t="shared" si="6"/>
        <v>41.057452897916946</v>
      </c>
    </row>
    <row r="9" spans="1:29" x14ac:dyDescent="0.2">
      <c r="A9">
        <v>46137.051807708332</v>
      </c>
      <c r="B9">
        <v>16.626532999999998</v>
      </c>
      <c r="C9">
        <v>16.727981</v>
      </c>
      <c r="D9">
        <v>18.692761999999998</v>
      </c>
      <c r="E9">
        <v>19.005161000000001</v>
      </c>
      <c r="F9">
        <v>30.145068999999999</v>
      </c>
      <c r="G9">
        <v>31.107001</v>
      </c>
      <c r="H9">
        <v>27.479343</v>
      </c>
      <c r="I9">
        <v>24.796638000000002</v>
      </c>
      <c r="J9">
        <v>57.698383999999997</v>
      </c>
      <c r="K9">
        <v>51.081124000000003</v>
      </c>
      <c r="L9">
        <v>200.73102499999999</v>
      </c>
      <c r="M9">
        <v>-622.46857299999999</v>
      </c>
      <c r="N9">
        <v>1.605434</v>
      </c>
      <c r="O9">
        <v>3.3041420000000001</v>
      </c>
      <c r="P9">
        <f t="shared" si="0"/>
        <v>2.6757233333333332E-5</v>
      </c>
      <c r="Q9" cm="1">
        <f t="array" ref="Q9">[1]!PropsSI("D","T",J9+273.15,"P",101325,"Water")</f>
        <v>984.364153982738</v>
      </c>
      <c r="R9" cm="1">
        <f t="array" ref="R9">[1]!PropsSI("D","T",K9+273.15,"P",101325,"Water")</f>
        <v>987.54223902672163</v>
      </c>
      <c r="S9">
        <f t="shared" si="1"/>
        <v>985.95319650472982</v>
      </c>
      <c r="T9" cm="1">
        <f t="array" ref="T9">[1]!PropsSI("H","T",J9+273.15,"P",101325,"Water")</f>
        <v>241617.66442374422</v>
      </c>
      <c r="U9" cm="1">
        <f t="array" ref="U9">[1]!PropsSI("H","T",K9+273.15,"P",101325,"Water")</f>
        <v>213939.2102963673</v>
      </c>
      <c r="V9">
        <f t="shared" si="2"/>
        <v>730.19580880167132</v>
      </c>
      <c r="W9" s="3"/>
      <c r="X9">
        <f t="shared" si="3"/>
        <v>0.26539676800000001</v>
      </c>
      <c r="Y9">
        <f t="shared" si="3"/>
        <v>0.25216224799999998</v>
      </c>
      <c r="Z9">
        <f t="shared" ref="Z9:Z72" si="9">SQRT((X9)^2 + (Y9)^2)</f>
        <v>0.36608911999847704</v>
      </c>
      <c r="AA9">
        <f t="shared" si="8"/>
        <v>6.6172599999999946</v>
      </c>
      <c r="AB9">
        <f t="shared" si="5"/>
        <v>5.621988270928218E-2</v>
      </c>
      <c r="AC9">
        <f t="shared" si="6"/>
        <v>41.051522725639401</v>
      </c>
    </row>
    <row r="10" spans="1:29" x14ac:dyDescent="0.2">
      <c r="A10">
        <v>44675.051843011599</v>
      </c>
      <c r="B10">
        <v>16.523302000000001</v>
      </c>
      <c r="C10">
        <v>16.471706000000001</v>
      </c>
      <c r="D10">
        <v>18.759053999999999</v>
      </c>
      <c r="E10">
        <v>18.920503</v>
      </c>
      <c r="F10">
        <v>30.266857999999999</v>
      </c>
      <c r="G10">
        <v>30.689620000000001</v>
      </c>
      <c r="H10">
        <v>27.716211000000001</v>
      </c>
      <c r="I10">
        <v>25.058229000000001</v>
      </c>
      <c r="J10">
        <v>57.697747</v>
      </c>
      <c r="K10">
        <v>51.066662000000001</v>
      </c>
      <c r="L10">
        <v>206.31401099999999</v>
      </c>
      <c r="M10">
        <v>-622.47755199999995</v>
      </c>
      <c r="N10">
        <v>1.606922</v>
      </c>
      <c r="O10">
        <v>3.6511550000000002</v>
      </c>
      <c r="P10">
        <f t="shared" si="0"/>
        <v>2.6782033333333332E-5</v>
      </c>
      <c r="Q10" cm="1">
        <f t="array" ref="Q10">[1]!PropsSI("D","T",J10+273.15,"P",101325,"Water")</f>
        <v>984.36447293680078</v>
      </c>
      <c r="R10" cm="1">
        <f t="array" ref="R10">[1]!PropsSI("D","T",K10+273.15,"P",101325,"Water")</f>
        <v>987.54888139896286</v>
      </c>
      <c r="S10">
        <f t="shared" si="1"/>
        <v>985.95667716788182</v>
      </c>
      <c r="T10" cm="1">
        <f t="array" ref="T10">[1]!PropsSI("H","T",J10+273.15,"P",101325,"Water")</f>
        <v>241614.99922367075</v>
      </c>
      <c r="U10" cm="1">
        <f t="array" ref="U10">[1]!PropsSI("H","T",K10+273.15,"P",101325,"Water")</f>
        <v>213878.73519394352</v>
      </c>
      <c r="V10">
        <f t="shared" si="2"/>
        <v>732.40169646419849</v>
      </c>
      <c r="X10">
        <f t="shared" si="3"/>
        <v>0.26539549400000001</v>
      </c>
      <c r="Y10">
        <f t="shared" si="3"/>
        <v>0.25213332399999999</v>
      </c>
      <c r="Z10">
        <f t="shared" si="9"/>
        <v>0.36606827410579168</v>
      </c>
      <c r="AA10">
        <f t="shared" si="8"/>
        <v>6.6310849999999988</v>
      </c>
      <c r="AB10">
        <f t="shared" si="5"/>
        <v>5.6103290001254302E-2</v>
      </c>
      <c r="AC10">
        <f t="shared" si="6"/>
        <v>41.090144774141557</v>
      </c>
    </row>
    <row r="11" spans="1:29" x14ac:dyDescent="0.2">
      <c r="A11">
        <v>44675.051878312501</v>
      </c>
      <c r="B11">
        <v>16.601565999999998</v>
      </c>
      <c r="C11">
        <v>16.557168999999998</v>
      </c>
      <c r="D11">
        <v>18.730606000000002</v>
      </c>
      <c r="E11">
        <v>18.914981999999998</v>
      </c>
      <c r="F11">
        <v>30.268487</v>
      </c>
      <c r="G11">
        <v>31.844733000000002</v>
      </c>
      <c r="H11">
        <v>27.448715</v>
      </c>
      <c r="I11">
        <v>24.511662999999999</v>
      </c>
      <c r="J11">
        <v>57.697747</v>
      </c>
      <c r="K11">
        <v>51.055059999999997</v>
      </c>
      <c r="L11">
        <v>202.056265</v>
      </c>
      <c r="M11">
        <v>-622.48612300000002</v>
      </c>
      <c r="N11">
        <v>1.602754</v>
      </c>
      <c r="O11">
        <v>3.678439</v>
      </c>
      <c r="P11">
        <f t="shared" si="0"/>
        <v>2.6712566666666669E-5</v>
      </c>
      <c r="Q11" cm="1">
        <f t="array" ref="Q11">[1]!PropsSI("D","T",J11+273.15,"P",101325,"Water")</f>
        <v>984.36447293680078</v>
      </c>
      <c r="R11" cm="1">
        <f t="array" ref="R11">[1]!PropsSI("D","T",K11+273.15,"P",101325,"Water")</f>
        <v>987.55420919830544</v>
      </c>
      <c r="S11">
        <f t="shared" si="1"/>
        <v>985.95934106755317</v>
      </c>
      <c r="T11" cm="1">
        <f t="array" ref="T11">[1]!PropsSI("H","T",J11+273.15,"P",101325,"Water")</f>
        <v>241614.99922367075</v>
      </c>
      <c r="U11" cm="1">
        <f t="array" ref="U11">[1]!PropsSI("H","T",K11+273.15,"P",101325,"Water")</f>
        <v>213830.21967169875</v>
      </c>
      <c r="V11">
        <f t="shared" si="2"/>
        <v>731.78176006274384</v>
      </c>
      <c r="X11">
        <f t="shared" si="3"/>
        <v>0.26539549400000001</v>
      </c>
      <c r="Y11">
        <f t="shared" si="3"/>
        <v>0.25211011999999999</v>
      </c>
      <c r="Z11">
        <f t="shared" si="9"/>
        <v>0.3660522924964662</v>
      </c>
      <c r="AA11">
        <f t="shared" si="8"/>
        <v>6.6426870000000022</v>
      </c>
      <c r="AB11">
        <f t="shared" si="5"/>
        <v>5.6006049540550343E-2</v>
      </c>
      <c r="AC11">
        <f t="shared" si="6"/>
        <v>40.984205506945159</v>
      </c>
    </row>
    <row r="12" spans="1:29" x14ac:dyDescent="0.2">
      <c r="A12">
        <v>44675.051913034797</v>
      </c>
      <c r="B12">
        <v>16.701733999999998</v>
      </c>
      <c r="C12">
        <v>16.897621000000001</v>
      </c>
      <c r="D12">
        <v>18.839772</v>
      </c>
      <c r="E12">
        <v>18.973503000000001</v>
      </c>
      <c r="F12">
        <v>30.381651999999999</v>
      </c>
      <c r="G12">
        <v>33.20337</v>
      </c>
      <c r="H12">
        <v>27.658404999999998</v>
      </c>
      <c r="I12">
        <v>25.042694000000001</v>
      </c>
      <c r="J12">
        <v>57.697268999999999</v>
      </c>
      <c r="K12">
        <v>51.044570999999998</v>
      </c>
      <c r="L12">
        <v>213.08142699999999</v>
      </c>
      <c r="M12">
        <v>-622.47061399999996</v>
      </c>
      <c r="N12">
        <v>1.6040160000000001</v>
      </c>
      <c r="O12">
        <v>3.2443140000000001</v>
      </c>
      <c r="P12">
        <f t="shared" si="0"/>
        <v>2.6733600000000004E-5</v>
      </c>
      <c r="Q12" cm="1">
        <f t="array" ref="Q12">[1]!PropsSI("D","T",J12+273.15,"P",101325,"Water")</f>
        <v>984.36471227590459</v>
      </c>
      <c r="R12" cm="1">
        <f t="array" ref="R12">[1]!PropsSI("D","T",K12+273.15,"P",101325,"Water")</f>
        <v>987.55902514175943</v>
      </c>
      <c r="S12">
        <f t="shared" si="1"/>
        <v>985.96186870883207</v>
      </c>
      <c r="T12" cm="1">
        <f t="array" ref="T12">[1]!PropsSI("H","T",J12+273.15,"P",101325,"Water")</f>
        <v>241612.99927775466</v>
      </c>
      <c r="U12" cm="1">
        <f t="array" ref="U12">[1]!PropsSI("H","T",K12+273.15,"P",101325,"Water")</f>
        <v>213786.35836257276</v>
      </c>
      <c r="V12">
        <f t="shared" si="2"/>
        <v>733.46323343687243</v>
      </c>
      <c r="X12">
        <f t="shared" si="3"/>
        <v>0.26539453800000001</v>
      </c>
      <c r="Y12">
        <f t="shared" si="3"/>
        <v>0.25208914199999999</v>
      </c>
      <c r="Z12">
        <f t="shared" si="9"/>
        <v>0.36603715154957916</v>
      </c>
      <c r="AA12">
        <f t="shared" si="8"/>
        <v>6.6526980000000009</v>
      </c>
      <c r="AB12">
        <f t="shared" si="5"/>
        <v>5.5922221057655E-2</v>
      </c>
      <c r="AC12">
        <f t="shared" si="6"/>
        <v>41.016893077919192</v>
      </c>
    </row>
    <row r="13" spans="1:29" x14ac:dyDescent="0.2">
      <c r="A13">
        <v>44675.051947756998</v>
      </c>
      <c r="B13">
        <v>16.893533999999999</v>
      </c>
      <c r="C13">
        <v>17.135656999999998</v>
      </c>
      <c r="D13">
        <v>18.860966000000001</v>
      </c>
      <c r="E13">
        <v>19.097674999999999</v>
      </c>
      <c r="F13">
        <v>30.555584</v>
      </c>
      <c r="G13">
        <v>31.654329000000001</v>
      </c>
      <c r="H13">
        <v>27.587416999999999</v>
      </c>
      <c r="I13">
        <v>24.970202</v>
      </c>
      <c r="J13">
        <v>57.699499000000003</v>
      </c>
      <c r="K13">
        <v>51.042346000000002</v>
      </c>
      <c r="L13">
        <v>206.780518</v>
      </c>
      <c r="M13">
        <v>-622.48612300000002</v>
      </c>
      <c r="N13">
        <v>1.6026309999999999</v>
      </c>
      <c r="O13">
        <v>3.127618</v>
      </c>
      <c r="P13">
        <f t="shared" si="0"/>
        <v>2.6710516666666668E-5</v>
      </c>
      <c r="Q13" cm="1">
        <f t="array" ref="Q13">[1]!PropsSI("D","T",J13+273.15,"P",101325,"Water")</f>
        <v>984.36359568208945</v>
      </c>
      <c r="R13" cm="1">
        <f t="array" ref="R13">[1]!PropsSI("D","T",K13+273.15,"P",101325,"Water")</f>
        <v>987.56004664168393</v>
      </c>
      <c r="S13">
        <f t="shared" si="1"/>
        <v>985.96182116188675</v>
      </c>
      <c r="T13" cm="1">
        <f t="array" ref="T13">[1]!PropsSI("H","T",J13+273.15,"P",101325,"Water")</f>
        <v>241622.32957026304</v>
      </c>
      <c r="U13" cm="1">
        <f t="array" ref="U13">[1]!PropsSI("H","T",K13+273.15,"P",101325,"Water")</f>
        <v>213777.05419930627</v>
      </c>
      <c r="V13">
        <f t="shared" si="2"/>
        <v>733.32063224026047</v>
      </c>
      <c r="X13">
        <f t="shared" si="3"/>
        <v>0.265398998</v>
      </c>
      <c r="Y13">
        <f t="shared" si="3"/>
        <v>0.252084692</v>
      </c>
      <c r="Z13">
        <f t="shared" si="9"/>
        <v>0.36603732061108041</v>
      </c>
      <c r="AA13">
        <f t="shared" si="8"/>
        <v>6.657153000000001</v>
      </c>
      <c r="AB13">
        <f t="shared" si="5"/>
        <v>5.5886019672764534E-2</v>
      </c>
      <c r="AC13">
        <f t="shared" si="6"/>
        <v>40.982371279823319</v>
      </c>
    </row>
    <row r="14" spans="1:29" x14ac:dyDescent="0.2">
      <c r="A14">
        <v>44675.0519830579</v>
      </c>
      <c r="B14">
        <v>16.979578</v>
      </c>
      <c r="C14">
        <v>17.205763000000001</v>
      </c>
      <c r="D14">
        <v>18.944889</v>
      </c>
      <c r="E14">
        <v>19.196465</v>
      </c>
      <c r="F14">
        <v>30.560717</v>
      </c>
      <c r="G14">
        <v>33.723599</v>
      </c>
      <c r="H14">
        <v>28.100771999999999</v>
      </c>
      <c r="I14">
        <v>25.230307</v>
      </c>
      <c r="J14">
        <v>57.698861999999998</v>
      </c>
      <c r="K14">
        <v>51.046478</v>
      </c>
      <c r="L14">
        <v>198.05687399999999</v>
      </c>
      <c r="M14">
        <v>-622.49714300000005</v>
      </c>
      <c r="N14">
        <v>1.6039300000000001</v>
      </c>
      <c r="O14">
        <v>3.4471180000000001</v>
      </c>
      <c r="P14">
        <f t="shared" si="0"/>
        <v>2.6732166666666668E-5</v>
      </c>
      <c r="Q14" cm="1">
        <f t="array" ref="Q14">[1]!PropsSI("D","T",J14+273.15,"P",101325,"Water")</f>
        <v>984.3639146404272</v>
      </c>
      <c r="R14" cm="1">
        <f t="array" ref="R14">[1]!PropsSI("D","T",K14+273.15,"P",101325,"Water")</f>
        <v>987.55814961045041</v>
      </c>
      <c r="S14">
        <f t="shared" si="1"/>
        <v>985.96103212543881</v>
      </c>
      <c r="T14" cm="1">
        <f t="array" ref="T14">[1]!PropsSI("H","T",J14+273.15,"P",101325,"Water")</f>
        <v>241619.66436989675</v>
      </c>
      <c r="U14" cm="1">
        <f t="array" ref="U14">[1]!PropsSI("H","T",K14+273.15,"P",101325,"Water")</f>
        <v>213794.33276343165</v>
      </c>
      <c r="V14">
        <f t="shared" si="2"/>
        <v>733.38877690169261</v>
      </c>
      <c r="X14">
        <f t="shared" si="3"/>
        <v>0.265397724</v>
      </c>
      <c r="Y14">
        <f t="shared" si="3"/>
        <v>0.25209295599999998</v>
      </c>
      <c r="Z14">
        <f t="shared" si="9"/>
        <v>0.36604208824832984</v>
      </c>
      <c r="AA14">
        <f t="shared" si="8"/>
        <v>6.6523839999999979</v>
      </c>
      <c r="AB14">
        <f t="shared" si="5"/>
        <v>5.5925506381041851E-2</v>
      </c>
      <c r="AC14">
        <f t="shared" si="6"/>
        <v>41.015138722400089</v>
      </c>
    </row>
    <row r="15" spans="1:29" x14ac:dyDescent="0.2">
      <c r="A15">
        <v>46137.05201777778</v>
      </c>
      <c r="B15">
        <v>16.996521000000001</v>
      </c>
      <c r="C15">
        <v>17.299102999999999</v>
      </c>
      <c r="D15">
        <v>18.943352999999998</v>
      </c>
      <c r="E15">
        <v>19.208694000000001</v>
      </c>
      <c r="F15">
        <v>30.559031999999998</v>
      </c>
      <c r="G15">
        <v>32.159860999999999</v>
      </c>
      <c r="H15">
        <v>27.867301000000001</v>
      </c>
      <c r="I15">
        <v>25.138141999999998</v>
      </c>
      <c r="J15">
        <v>57.699499000000003</v>
      </c>
      <c r="K15">
        <v>51.059192000000003</v>
      </c>
      <c r="L15">
        <v>195.314154</v>
      </c>
      <c r="M15">
        <v>-622.49142900000004</v>
      </c>
      <c r="N15">
        <v>1.6065039999999999</v>
      </c>
      <c r="O15">
        <v>3.5568629999999999</v>
      </c>
      <c r="P15">
        <f t="shared" si="0"/>
        <v>2.6775066666666664E-5</v>
      </c>
      <c r="Q15" cm="1">
        <f t="array" ref="Q15">[1]!PropsSI("D","T",J15+273.15,"P",101325,"Water")</f>
        <v>984.36359568208945</v>
      </c>
      <c r="R15" cm="1">
        <f t="array" ref="R15">[1]!PropsSI("D","T",K15+273.15,"P",101325,"Water")</f>
        <v>987.55231182659179</v>
      </c>
      <c r="S15">
        <f t="shared" si="1"/>
        <v>985.95795375434068</v>
      </c>
      <c r="T15" cm="1">
        <f t="array" ref="T15">[1]!PropsSI("H","T",J15+273.15,"P",101325,"Water")</f>
        <v>241622.32957026304</v>
      </c>
      <c r="U15" cm="1">
        <f t="array" ref="U15">[1]!PropsSI("H","T",K15+273.15,"P",101325,"Water")</f>
        <v>213847.49825157478</v>
      </c>
      <c r="V15">
        <f t="shared" si="2"/>
        <v>733.23027011433783</v>
      </c>
      <c r="X15">
        <f t="shared" si="3"/>
        <v>0.265398998</v>
      </c>
      <c r="Y15">
        <f t="shared" si="3"/>
        <v>0.25211838399999997</v>
      </c>
      <c r="Z15">
        <f t="shared" si="9"/>
        <v>0.36606052462697403</v>
      </c>
      <c r="AA15">
        <f t="shared" si="8"/>
        <v>6.640307</v>
      </c>
      <c r="AB15">
        <f t="shared" si="5"/>
        <v>5.6026703033421672E-2</v>
      </c>
      <c r="AC15">
        <f t="shared" si="6"/>
        <v>41.080474598811563</v>
      </c>
    </row>
    <row r="16" spans="1:29" x14ac:dyDescent="0.2">
      <c r="A16">
        <v>46137.052052500003</v>
      </c>
      <c r="B16">
        <v>16.911935</v>
      </c>
      <c r="C16">
        <v>17.075845999999999</v>
      </c>
      <c r="D16">
        <v>18.865233</v>
      </c>
      <c r="E16">
        <v>19.122295000000001</v>
      </c>
      <c r="F16">
        <v>30.412407999999999</v>
      </c>
      <c r="G16">
        <v>32.093792000000001</v>
      </c>
      <c r="H16">
        <v>27.953399000000001</v>
      </c>
      <c r="I16">
        <v>25.331353</v>
      </c>
      <c r="J16">
        <v>57.701410000000003</v>
      </c>
      <c r="K16">
        <v>51.069204999999997</v>
      </c>
      <c r="L16">
        <v>213.58548400000001</v>
      </c>
      <c r="M16">
        <v>-622.47632799999997</v>
      </c>
      <c r="N16">
        <v>1.6058520000000001</v>
      </c>
      <c r="O16">
        <v>3.6314320000000002</v>
      </c>
      <c r="P16">
        <f t="shared" si="0"/>
        <v>2.67642E-5</v>
      </c>
      <c r="Q16" cm="1">
        <f t="array" ref="Q16">[1]!PropsSI("D","T",J16+273.15,"P",101325,"Water")</f>
        <v>984.36263879236787</v>
      </c>
      <c r="R16" cm="1">
        <f t="array" ref="R16">[1]!PropsSI("D","T",K16+273.15,"P",101325,"Water")</f>
        <v>987.54771350156091</v>
      </c>
      <c r="S16">
        <f t="shared" si="1"/>
        <v>985.95517614696439</v>
      </c>
      <c r="T16" cm="1">
        <f t="array" ref="T16">[1]!PropsSI("H","T",J16+273.15,"P",101325,"Water")</f>
        <v>241630.32517232298</v>
      </c>
      <c r="U16" cm="1">
        <f t="array" ref="U16">[1]!PropsSI("H","T",K16+273.15,"P",101325,"Water")</f>
        <v>213889.36913941157</v>
      </c>
      <c r="V16">
        <f t="shared" si="2"/>
        <v>732.03671240023425</v>
      </c>
      <c r="X16">
        <f t="shared" si="3"/>
        <v>0.26540281999999998</v>
      </c>
      <c r="Y16">
        <f t="shared" si="3"/>
        <v>0.25213840999999998</v>
      </c>
      <c r="Z16">
        <f t="shared" si="9"/>
        <v>0.36607708841346587</v>
      </c>
      <c r="AA16">
        <f t="shared" si="8"/>
        <v>6.6322050000000061</v>
      </c>
      <c r="AB16">
        <f t="shared" si="5"/>
        <v>5.6095424429150158E-2</v>
      </c>
      <c r="AC16">
        <f t="shared" si="6"/>
        <v>41.063910079810867</v>
      </c>
    </row>
    <row r="17" spans="1:29" x14ac:dyDescent="0.2">
      <c r="A17">
        <v>46137.052087800927</v>
      </c>
      <c r="B17">
        <v>16.727357000000001</v>
      </c>
      <c r="C17">
        <v>16.73387</v>
      </c>
      <c r="D17">
        <v>18.809308000000001</v>
      </c>
      <c r="E17">
        <v>19.075481</v>
      </c>
      <c r="F17">
        <v>30.180254999999999</v>
      </c>
      <c r="G17">
        <v>30.948191999999999</v>
      </c>
      <c r="H17">
        <v>27.518864000000001</v>
      </c>
      <c r="I17">
        <v>25.234798999999999</v>
      </c>
      <c r="J17">
        <v>57.700772999999998</v>
      </c>
      <c r="K17">
        <v>51.070793999999999</v>
      </c>
      <c r="L17">
        <v>202.00565499999999</v>
      </c>
      <c r="M17">
        <v>-622.51306099999999</v>
      </c>
      <c r="N17">
        <v>1.606811</v>
      </c>
      <c r="O17">
        <v>3.669581</v>
      </c>
      <c r="P17">
        <f t="shared" si="0"/>
        <v>2.6780183333333335E-5</v>
      </c>
      <c r="Q17" cm="1">
        <f t="array" ref="Q17">[1]!PropsSI("D","T",J17+273.15,"P",101325,"Water")</f>
        <v>984.36295775806968</v>
      </c>
      <c r="R17" cm="1">
        <f t="array" ref="R17">[1]!PropsSI("D","T",K17+273.15,"P",101325,"Water")</f>
        <v>987.54698371661573</v>
      </c>
      <c r="S17">
        <f t="shared" si="1"/>
        <v>985.95497073734271</v>
      </c>
      <c r="T17" cm="1">
        <f t="array" ref="T17">[1]!PropsSI("H","T",J17+273.15,"P",101325,"Water")</f>
        <v>241627.65997148334</v>
      </c>
      <c r="U17" cm="1">
        <f t="array" ref="U17">[1]!PropsSI("H","T",K17+273.15,"P",101325,"Water")</f>
        <v>213896.01378817871</v>
      </c>
      <c r="V17">
        <f t="shared" si="2"/>
        <v>732.22790759133056</v>
      </c>
      <c r="X17">
        <f t="shared" si="3"/>
        <v>0.26540154599999999</v>
      </c>
      <c r="Y17">
        <f t="shared" si="3"/>
        <v>0.25214158799999997</v>
      </c>
      <c r="Z17">
        <f t="shared" si="9"/>
        <v>0.36607835365991231</v>
      </c>
      <c r="AA17">
        <f t="shared" si="8"/>
        <v>6.6299789999999987</v>
      </c>
      <c r="AB17">
        <f t="shared" si="5"/>
        <v>5.6113847687291371E-2</v>
      </c>
      <c r="AC17">
        <f t="shared" si="6"/>
        <v>41.088125278963986</v>
      </c>
    </row>
    <row r="18" spans="1:29" x14ac:dyDescent="0.2">
      <c r="A18">
        <v>46137.05212252315</v>
      </c>
      <c r="B18">
        <v>16.750202999999999</v>
      </c>
      <c r="C18">
        <v>16.866924000000001</v>
      </c>
      <c r="D18">
        <v>18.810469000000001</v>
      </c>
      <c r="E18">
        <v>19.037724999999998</v>
      </c>
      <c r="F18">
        <v>30.438364</v>
      </c>
      <c r="G18">
        <v>33.390343000000001</v>
      </c>
      <c r="H18">
        <v>27.415921000000001</v>
      </c>
      <c r="I18">
        <v>24.999766000000001</v>
      </c>
      <c r="J18">
        <v>57.704594999999998</v>
      </c>
      <c r="K18">
        <v>51.067774</v>
      </c>
      <c r="L18">
        <v>197.18589700000001</v>
      </c>
      <c r="M18">
        <v>-622.51836600000001</v>
      </c>
      <c r="N18">
        <v>1.6052740000000001</v>
      </c>
      <c r="O18">
        <v>3.3522669999999999</v>
      </c>
      <c r="P18">
        <f t="shared" si="0"/>
        <v>2.6754566666666666E-5</v>
      </c>
      <c r="Q18" cm="1">
        <f t="array" ref="Q18">[1]!PropsSI("D","T",J18+273.15,"P",101325,"Water")</f>
        <v>984.361043927168</v>
      </c>
      <c r="R18" cm="1">
        <f t="array" ref="R18">[1]!PropsSI("D","T",K18+273.15,"P",101325,"Water")</f>
        <v>987.54837070735209</v>
      </c>
      <c r="S18">
        <f t="shared" si="1"/>
        <v>985.95470731726004</v>
      </c>
      <c r="T18" cm="1">
        <f t="array" ref="T18">[1]!PropsSI("H","T",J18+273.15,"P",101325,"Water")</f>
        <v>241643.65117899497</v>
      </c>
      <c r="U18" cm="1">
        <f t="array" ref="U18">[1]!PropsSI("H","T",K18+273.15,"P",101325,"Water")</f>
        <v>213883.38519261871</v>
      </c>
      <c r="V18">
        <f t="shared" si="2"/>
        <v>732.28225309421509</v>
      </c>
      <c r="X18">
        <f t="shared" si="3"/>
        <v>0.26540918999999996</v>
      </c>
      <c r="Y18">
        <f t="shared" si="3"/>
        <v>0.25213554799999999</v>
      </c>
      <c r="Z18">
        <f t="shared" si="9"/>
        <v>0.36607973544258959</v>
      </c>
      <c r="AA18">
        <f t="shared" si="8"/>
        <v>6.6368209999999976</v>
      </c>
      <c r="AB18">
        <f t="shared" si="5"/>
        <v>5.6058042028797765E-2</v>
      </c>
      <c r="AC18">
        <f t="shared" si="6"/>
        <v>41.050309320898229</v>
      </c>
    </row>
    <row r="19" spans="1:29" x14ac:dyDescent="0.2">
      <c r="A19">
        <v>46137.052157824073</v>
      </c>
      <c r="B19">
        <v>16.876705000000001</v>
      </c>
      <c r="C19">
        <v>16.956557</v>
      </c>
      <c r="D19">
        <v>18.827909999999999</v>
      </c>
      <c r="E19">
        <v>19.016653000000002</v>
      </c>
      <c r="F19">
        <v>30.465140999999999</v>
      </c>
      <c r="G19">
        <v>30.961793</v>
      </c>
      <c r="H19">
        <v>27.539148999999998</v>
      </c>
      <c r="I19">
        <v>25.282367000000001</v>
      </c>
      <c r="J19">
        <v>57.704276</v>
      </c>
      <c r="K19">
        <v>51.061734999999999</v>
      </c>
      <c r="L19">
        <v>196.99570199999999</v>
      </c>
      <c r="M19">
        <v>-622.50816299999997</v>
      </c>
      <c r="N19">
        <v>1.6057619999999999</v>
      </c>
      <c r="O19">
        <v>3.3692950000000002</v>
      </c>
      <c r="P19">
        <f t="shared" si="0"/>
        <v>2.67627E-5</v>
      </c>
      <c r="Q19" cm="1">
        <f t="array" ref="Q19">[1]!PropsSI("D","T",J19+273.15,"P",101325,"Water")</f>
        <v>984.36120366682144</v>
      </c>
      <c r="R19" cm="1">
        <f t="array" ref="R19">[1]!PropsSI("D","T",K19+273.15,"P",101325,"Water")</f>
        <v>987.55114405227528</v>
      </c>
      <c r="S19">
        <f t="shared" si="1"/>
        <v>985.95617385954836</v>
      </c>
      <c r="T19" cm="1">
        <f t="array" ref="T19">[1]!PropsSI("H","T",J19+273.15,"P",101325,"Water")</f>
        <v>241642.31648612875</v>
      </c>
      <c r="U19" cm="1">
        <f t="array" ref="U19">[1]!PropsSI("H","T",K19+273.15,"P",101325,"Water")</f>
        <v>213858.13219139809</v>
      </c>
      <c r="V19">
        <f t="shared" si="2"/>
        <v>733.1370837459732</v>
      </c>
      <c r="X19">
        <f t="shared" si="3"/>
        <v>0.26540855200000002</v>
      </c>
      <c r="Y19">
        <f t="shared" si="3"/>
        <v>0.25212347000000002</v>
      </c>
      <c r="Z19">
        <f t="shared" si="9"/>
        <v>0.36607095432385456</v>
      </c>
      <c r="AA19">
        <f t="shared" si="8"/>
        <v>6.6425410000000014</v>
      </c>
      <c r="AB19">
        <f t="shared" si="5"/>
        <v>5.6010005582058577E-2</v>
      </c>
      <c r="AC19">
        <f t="shared" si="6"/>
        <v>41.063012153026108</v>
      </c>
    </row>
    <row r="20" spans="1:29" x14ac:dyDescent="0.2">
      <c r="A20">
        <v>46137.052193124997</v>
      </c>
      <c r="B20">
        <v>16.777388999999999</v>
      </c>
      <c r="C20">
        <v>16.956934</v>
      </c>
      <c r="D20">
        <v>18.808420999999999</v>
      </c>
      <c r="E20">
        <v>19.025500999999998</v>
      </c>
      <c r="F20">
        <v>30.545701999999999</v>
      </c>
      <c r="G20">
        <v>30.727264999999999</v>
      </c>
      <c r="H20">
        <v>27.581586999999999</v>
      </c>
      <c r="I20">
        <v>25.074542000000001</v>
      </c>
      <c r="J20">
        <v>57.703001999999998</v>
      </c>
      <c r="K20">
        <v>51.061416999999999</v>
      </c>
      <c r="L20">
        <v>205.01081099999999</v>
      </c>
      <c r="M20">
        <v>-622.49632699999995</v>
      </c>
      <c r="N20">
        <v>1.607467</v>
      </c>
      <c r="O20">
        <v>3.326851</v>
      </c>
      <c r="P20">
        <f t="shared" si="0"/>
        <v>2.6791116666666668E-5</v>
      </c>
      <c r="Q20" cm="1">
        <f t="array" ref="Q20">[1]!PropsSI("D","T",J20+273.15,"P",101325,"Water")</f>
        <v>984.36184161780977</v>
      </c>
      <c r="R20" cm="1">
        <f t="array" ref="R20">[1]!PropsSI("D","T",K20+273.15,"P",101325,"Water")</f>
        <v>987.55129008376002</v>
      </c>
      <c r="S20">
        <f t="shared" si="1"/>
        <v>985.95656585078495</v>
      </c>
      <c r="T20" cm="1">
        <f t="array" ref="T20">[1]!PropsSI("H","T",J20+273.15,"P",101325,"Water")</f>
        <v>241636.9860831268</v>
      </c>
      <c r="U20" cm="1">
        <f t="array" ref="U20">[1]!PropsSI("H","T",K20+273.15,"P",101325,"Water")</f>
        <v>213856.80242612865</v>
      </c>
      <c r="V20">
        <f t="shared" si="2"/>
        <v>733.81014500389563</v>
      </c>
      <c r="X20">
        <f t="shared" si="3"/>
        <v>0.26540600399999997</v>
      </c>
      <c r="Y20">
        <f t="shared" si="3"/>
        <v>0.25212283400000002</v>
      </c>
      <c r="Z20">
        <f t="shared" si="9"/>
        <v>0.36606866894537637</v>
      </c>
      <c r="AA20">
        <f t="shared" si="8"/>
        <v>6.6415849999999992</v>
      </c>
      <c r="AB20">
        <f t="shared" si="5"/>
        <v>5.6017472199974723E-2</v>
      </c>
      <c r="AC20">
        <f t="shared" si="6"/>
        <v>41.106189397815143</v>
      </c>
    </row>
    <row r="21" spans="1:29" x14ac:dyDescent="0.2">
      <c r="A21">
        <v>46137.05222784722</v>
      </c>
      <c r="B21">
        <v>16.783177999999999</v>
      </c>
      <c r="C21">
        <v>16.824517</v>
      </c>
      <c r="D21">
        <v>18.848828999999999</v>
      </c>
      <c r="E21">
        <v>19.042135999999999</v>
      </c>
      <c r="F21">
        <v>30.485223000000001</v>
      </c>
      <c r="G21">
        <v>31.395298</v>
      </c>
      <c r="H21">
        <v>27.406828000000001</v>
      </c>
      <c r="I21">
        <v>25.065332999999999</v>
      </c>
      <c r="J21">
        <v>57.703001999999998</v>
      </c>
      <c r="K21">
        <v>51.060623</v>
      </c>
      <c r="L21">
        <v>197.283851</v>
      </c>
      <c r="M21">
        <v>-622.51632600000005</v>
      </c>
      <c r="N21">
        <v>1.607639</v>
      </c>
      <c r="O21">
        <v>3.1755260000000001</v>
      </c>
      <c r="P21">
        <f t="shared" si="0"/>
        <v>2.6793983333333335E-5</v>
      </c>
      <c r="Q21" cm="1">
        <f t="array" ref="Q21">[1]!PropsSI("D","T",J21+273.15,"P",101325,"Water")</f>
        <v>984.36184161780977</v>
      </c>
      <c r="R21" cm="1">
        <f t="array" ref="R21">[1]!PropsSI("D","T",K21+273.15,"P",101325,"Water")</f>
        <v>987.55165470039049</v>
      </c>
      <c r="S21">
        <f t="shared" si="1"/>
        <v>985.95674815910013</v>
      </c>
      <c r="T21" cm="1">
        <f t="array" ref="T21">[1]!PropsSI("H","T",J21+273.15,"P",101325,"Water")</f>
        <v>241636.9860831268</v>
      </c>
      <c r="U21" cm="1">
        <f t="array" ref="U21">[1]!PropsSI("H","T",K21+273.15,"P",101325,"Water")</f>
        <v>213853.48219467374</v>
      </c>
      <c r="V21">
        <f t="shared" si="2"/>
        <v>733.97651176707689</v>
      </c>
      <c r="X21">
        <f t="shared" si="3"/>
        <v>0.26540600399999997</v>
      </c>
      <c r="Y21">
        <f t="shared" si="3"/>
        <v>0.25212124599999997</v>
      </c>
      <c r="Z21">
        <f t="shared" si="9"/>
        <v>0.36606757524238676</v>
      </c>
      <c r="AA21">
        <f t="shared" si="8"/>
        <v>6.6423789999999983</v>
      </c>
      <c r="AB21">
        <f t="shared" si="5"/>
        <v>5.6010827516383595E-2</v>
      </c>
      <c r="AC21">
        <f t="shared" si="6"/>
        <v>41.110631801662635</v>
      </c>
    </row>
    <row r="22" spans="1:29" x14ac:dyDescent="0.2">
      <c r="A22">
        <v>46137.052263148151</v>
      </c>
      <c r="B22">
        <v>16.963502999999999</v>
      </c>
      <c r="C22">
        <v>17.080805000000002</v>
      </c>
      <c r="D22">
        <v>18.883164000000001</v>
      </c>
      <c r="E22">
        <v>19.048527</v>
      </c>
      <c r="F22">
        <v>30.647756000000001</v>
      </c>
      <c r="G22">
        <v>32.576760999999998</v>
      </c>
      <c r="H22">
        <v>27.635144</v>
      </c>
      <c r="I22">
        <v>25.094291999999999</v>
      </c>
      <c r="J22">
        <v>57.703161000000001</v>
      </c>
      <c r="K22">
        <v>51.055219000000001</v>
      </c>
      <c r="L22">
        <v>208.877556</v>
      </c>
      <c r="M22">
        <v>-622.48204199999998</v>
      </c>
      <c r="N22">
        <v>1.6042289999999999</v>
      </c>
      <c r="O22">
        <v>3.386171</v>
      </c>
      <c r="P22">
        <f t="shared" si="0"/>
        <v>2.6737149999999999E-5</v>
      </c>
      <c r="Q22" cm="1">
        <f t="array" ref="Q22">[1]!PropsSI("D","T",J22+273.15,"P",101325,"Water")</f>
        <v>984.36176199964427</v>
      </c>
      <c r="R22" cm="1">
        <f t="array" ref="R22">[1]!PropsSI("D","T",K22+273.15,"P",101325,"Water")</f>
        <v>987.55413618918317</v>
      </c>
      <c r="S22">
        <f t="shared" si="1"/>
        <v>985.95794909441372</v>
      </c>
      <c r="T22" cm="1">
        <f t="array" ref="T22">[1]!PropsSI("H","T",J22+273.15,"P",101325,"Water")</f>
        <v>241637.65133747601</v>
      </c>
      <c r="U22" cm="1">
        <f t="array" ref="U22">[1]!PropsSI("H","T",K22+273.15,"P",101325,"Water")</f>
        <v>213830.88455409711</v>
      </c>
      <c r="V22">
        <f t="shared" si="2"/>
        <v>733.03379903705468</v>
      </c>
      <c r="X22">
        <f t="shared" si="3"/>
        <v>0.26540632200000003</v>
      </c>
      <c r="Y22">
        <f t="shared" si="3"/>
        <v>0.25211043799999999</v>
      </c>
      <c r="Z22">
        <f t="shared" si="9"/>
        <v>0.36606036210728898</v>
      </c>
      <c r="AA22">
        <f t="shared" si="8"/>
        <v>6.6479420000000005</v>
      </c>
      <c r="AB22">
        <f t="shared" si="5"/>
        <v>5.5964384684853943E-2</v>
      </c>
      <c r="AC22">
        <f t="shared" si="6"/>
        <v>41.023785516309644</v>
      </c>
    </row>
    <row r="23" spans="1:29" x14ac:dyDescent="0.2">
      <c r="A23">
        <v>46137.052297870374</v>
      </c>
      <c r="B23">
        <v>16.835526999999999</v>
      </c>
      <c r="C23">
        <v>16.940097999999999</v>
      </c>
      <c r="D23">
        <v>18.904419999999998</v>
      </c>
      <c r="E23">
        <v>19.077493</v>
      </c>
      <c r="F23">
        <v>30.541163999999998</v>
      </c>
      <c r="G23">
        <v>30.945986999999999</v>
      </c>
      <c r="H23">
        <v>27.499728000000001</v>
      </c>
      <c r="I23">
        <v>25.180364999999998</v>
      </c>
      <c r="J23">
        <v>57.702683999999998</v>
      </c>
      <c r="K23">
        <v>51.056807999999997</v>
      </c>
      <c r="L23">
        <v>206.787049</v>
      </c>
      <c r="M23">
        <v>-622.45673699999998</v>
      </c>
      <c r="N23">
        <v>1.604795</v>
      </c>
      <c r="O23">
        <v>3.7071329999999998</v>
      </c>
      <c r="P23">
        <f t="shared" si="0"/>
        <v>2.6746583333333332E-5</v>
      </c>
      <c r="Q23" cm="1">
        <f t="array" ref="Q23">[1]!PropsSI("D","T",J23+273.15,"P",101325,"Water")</f>
        <v>984.36200085362111</v>
      </c>
      <c r="R23" cm="1">
        <f t="array" ref="R23">[1]!PropsSI("D","T",K23+273.15,"P",101325,"Water")</f>
        <v>987.55340654826421</v>
      </c>
      <c r="S23">
        <f t="shared" si="1"/>
        <v>985.9577037009426</v>
      </c>
      <c r="T23" cm="1">
        <f t="array" ref="T23">[1]!PropsSI("H","T",J23+273.15,"P",101325,"Water")</f>
        <v>241635.65557452131</v>
      </c>
      <c r="U23" cm="1">
        <f t="array" ref="U23">[1]!PropsSI("H","T",K23+273.15,"P",101325,"Water")</f>
        <v>213837.52919622624</v>
      </c>
      <c r="V23">
        <f t="shared" si="2"/>
        <v>733.06438753021712</v>
      </c>
      <c r="X23">
        <f t="shared" si="3"/>
        <v>0.26540536799999997</v>
      </c>
      <c r="Y23">
        <f t="shared" si="3"/>
        <v>0.25211361599999998</v>
      </c>
      <c r="Z23">
        <f t="shared" si="9"/>
        <v>0.36606185916564821</v>
      </c>
      <c r="AA23">
        <f t="shared" si="8"/>
        <v>6.6458760000000012</v>
      </c>
      <c r="AB23">
        <f t="shared" si="5"/>
        <v>5.5981448548281569E-2</v>
      </c>
      <c r="AC23">
        <f t="shared" si="6"/>
        <v>41.038006293100388</v>
      </c>
    </row>
    <row r="24" spans="1:29" x14ac:dyDescent="0.2">
      <c r="A24">
        <v>46137.052333171298</v>
      </c>
      <c r="B24">
        <v>16.874383000000002</v>
      </c>
      <c r="C24">
        <v>17.008043000000001</v>
      </c>
      <c r="D24">
        <v>18.878433000000001</v>
      </c>
      <c r="E24">
        <v>19.149650999999999</v>
      </c>
      <c r="F24">
        <v>30.240879</v>
      </c>
      <c r="G24">
        <v>32.444429999999997</v>
      </c>
      <c r="H24">
        <v>27.790897999999999</v>
      </c>
      <c r="I24">
        <v>25.068004999999999</v>
      </c>
      <c r="J24">
        <v>57.702683999999998</v>
      </c>
      <c r="K24">
        <v>51.060146000000003</v>
      </c>
      <c r="L24">
        <v>202.30196699999999</v>
      </c>
      <c r="M24">
        <v>-622.49673499999994</v>
      </c>
      <c r="N24">
        <v>1.607688</v>
      </c>
      <c r="O24">
        <v>3.6785399999999999</v>
      </c>
      <c r="P24">
        <f t="shared" si="0"/>
        <v>2.6794800000000003E-5</v>
      </c>
      <c r="Q24" cm="1">
        <f t="array" ref="Q24">[1]!PropsSI("D","T",J24+273.15,"P",101325,"Water")</f>
        <v>984.36200085362111</v>
      </c>
      <c r="R24" cm="1">
        <f t="array" ref="R24">[1]!PropsSI("D","T",K24+273.15,"P",101325,"Water")</f>
        <v>987.55187374393051</v>
      </c>
      <c r="S24">
        <f t="shared" si="1"/>
        <v>985.95693729877576</v>
      </c>
      <c r="T24" cm="1">
        <f t="array" ref="T24">[1]!PropsSI("H","T",J24+273.15,"P",101325,"Water")</f>
        <v>241635.65557452131</v>
      </c>
      <c r="U24" cm="1">
        <f t="array" ref="U24">[1]!PropsSI("H","T",K24+273.15,"P",101325,"Water")</f>
        <v>213851.48754690593</v>
      </c>
      <c r="V24">
        <f t="shared" si="2"/>
        <v>734.01656936786742</v>
      </c>
      <c r="X24">
        <f t="shared" si="3"/>
        <v>0.26540536799999997</v>
      </c>
      <c r="Y24">
        <f t="shared" si="3"/>
        <v>0.25212029200000002</v>
      </c>
      <c r="Z24">
        <f t="shared" si="9"/>
        <v>0.36606645708311042</v>
      </c>
      <c r="AA24">
        <f t="shared" si="8"/>
        <v>6.6425379999999947</v>
      </c>
      <c r="AB24">
        <f t="shared" si="5"/>
        <v>5.6009363913501718E-2</v>
      </c>
      <c r="AC24">
        <f t="shared" si="6"/>
        <v>41.111801152264967</v>
      </c>
    </row>
    <row r="25" spans="1:29" x14ac:dyDescent="0.2">
      <c r="A25">
        <v>46137.052368472221</v>
      </c>
      <c r="B25">
        <v>16.779478000000001</v>
      </c>
      <c r="C25">
        <v>16.986097999999998</v>
      </c>
      <c r="D25">
        <v>18.875916</v>
      </c>
      <c r="E25">
        <v>19.097543000000002</v>
      </c>
      <c r="F25">
        <v>30.427547000000001</v>
      </c>
      <c r="G25">
        <v>32.878709999999998</v>
      </c>
      <c r="H25">
        <v>27.485074999999998</v>
      </c>
      <c r="I25">
        <v>24.897915000000001</v>
      </c>
      <c r="J25">
        <v>57.700612999999997</v>
      </c>
      <c r="K25">
        <v>51.059669</v>
      </c>
      <c r="L25">
        <v>209.08775</v>
      </c>
      <c r="M25">
        <v>-622.49102100000005</v>
      </c>
      <c r="N25">
        <v>1.6071139999999999</v>
      </c>
      <c r="O25">
        <v>3.2893370000000002</v>
      </c>
      <c r="P25">
        <f t="shared" si="0"/>
        <v>2.6785233333333332E-5</v>
      </c>
      <c r="Q25" cm="1">
        <f t="array" ref="Q25">[1]!PropsSI("D","T",J25+273.15,"P",101325,"Water")</f>
        <v>984.36303787464215</v>
      </c>
      <c r="R25" cm="1">
        <f t="array" ref="R25">[1]!PropsSI("D","T",K25+273.15,"P",101325,"Water")</f>
        <v>987.55209278600262</v>
      </c>
      <c r="S25">
        <f t="shared" si="1"/>
        <v>985.95756533032238</v>
      </c>
      <c r="T25" cm="1">
        <f t="array" ref="T25">[1]!PropsSI("H","T",J25+273.15,"P",101325,"Water")</f>
        <v>241626.9905332769</v>
      </c>
      <c r="U25" cm="1">
        <f t="array" ref="U25">[1]!PropsSI("H","T",K25+273.15,"P",101325,"Water")</f>
        <v>213849.4928992521</v>
      </c>
      <c r="V25">
        <f t="shared" si="2"/>
        <v>733.57880843625742</v>
      </c>
      <c r="X25">
        <f t="shared" si="3"/>
        <v>0.26540122599999999</v>
      </c>
      <c r="Y25">
        <f t="shared" si="3"/>
        <v>0.25211933799999997</v>
      </c>
      <c r="Z25">
        <f t="shared" si="9"/>
        <v>0.36606279701147082</v>
      </c>
      <c r="AA25">
        <f t="shared" si="8"/>
        <v>6.6409439999999975</v>
      </c>
      <c r="AB25">
        <f t="shared" si="5"/>
        <v>5.6021836841152313E-2</v>
      </c>
      <c r="AC25">
        <f t="shared" si="6"/>
        <v>41.096432316342941</v>
      </c>
    </row>
    <row r="26" spans="1:29" x14ac:dyDescent="0.2">
      <c r="A26">
        <v>46137.052403773145</v>
      </c>
      <c r="B26">
        <v>16.821688999999999</v>
      </c>
      <c r="C26">
        <v>16.861514</v>
      </c>
      <c r="D26">
        <v>18.837807000000002</v>
      </c>
      <c r="E26">
        <v>19.071866</v>
      </c>
      <c r="F26">
        <v>30.135266000000001</v>
      </c>
      <c r="G26">
        <v>29.874465000000001</v>
      </c>
      <c r="H26">
        <v>27.568038999999999</v>
      </c>
      <c r="I26">
        <v>24.906804999999999</v>
      </c>
      <c r="J26">
        <v>57.699657999999999</v>
      </c>
      <c r="K26">
        <v>51.058556000000003</v>
      </c>
      <c r="L26">
        <v>199.31803500000001</v>
      </c>
      <c r="M26">
        <v>-622.48897999999997</v>
      </c>
      <c r="N26">
        <v>1.605729</v>
      </c>
      <c r="O26">
        <v>3.2803019999999998</v>
      </c>
      <c r="P26">
        <f t="shared" si="0"/>
        <v>2.6762149999999999E-5</v>
      </c>
      <c r="Q26" cm="1">
        <f t="array" ref="Q26">[1]!PropsSI("D","T",J26+273.15,"P",101325,"Water")</f>
        <v>984.36351606729602</v>
      </c>
      <c r="R26" cm="1">
        <f t="array" ref="R26">[1]!PropsSI("D","T",K26+273.15,"P",101325,"Water")</f>
        <v>987.55260387841861</v>
      </c>
      <c r="S26">
        <f t="shared" si="1"/>
        <v>985.95805997285731</v>
      </c>
      <c r="T26" cm="1">
        <f t="array" ref="T26">[1]!PropsSI("H","T",J26+273.15,"P",101325,"Water")</f>
        <v>241622.99482437497</v>
      </c>
      <c r="U26" cm="1">
        <f t="array" ref="U26">[1]!PropsSI("H","T",K26+273.15,"P",101325,"Water")</f>
        <v>213844.83872155205</v>
      </c>
      <c r="V26">
        <f t="shared" si="2"/>
        <v>732.96435747274029</v>
      </c>
      <c r="X26">
        <f t="shared" si="3"/>
        <v>0.265399316</v>
      </c>
      <c r="Y26">
        <f t="shared" si="3"/>
        <v>0.25211711199999998</v>
      </c>
      <c r="Z26">
        <f t="shared" si="9"/>
        <v>0.36605987911336091</v>
      </c>
      <c r="AA26">
        <f t="shared" si="8"/>
        <v>6.6411019999999965</v>
      </c>
      <c r="AB26">
        <f t="shared" si="5"/>
        <v>5.6020114168168933E-2</v>
      </c>
      <c r="AC26">
        <f t="shared" si="6"/>
        <v>41.060746986821499</v>
      </c>
    </row>
    <row r="27" spans="1:29" x14ac:dyDescent="0.2">
      <c r="A27">
        <v>46137.052438495368</v>
      </c>
      <c r="B27">
        <v>16.776228</v>
      </c>
      <c r="C27">
        <v>16.708798000000002</v>
      </c>
      <c r="D27">
        <v>18.671966999999999</v>
      </c>
      <c r="E27">
        <v>18.890816999999998</v>
      </c>
      <c r="F27">
        <v>30.081689999999998</v>
      </c>
      <c r="G27">
        <v>30.534261999999998</v>
      </c>
      <c r="H27">
        <v>26.579350000000002</v>
      </c>
      <c r="I27">
        <v>24.533279</v>
      </c>
      <c r="J27">
        <v>57.699975999999999</v>
      </c>
      <c r="K27">
        <v>51.052039999999998</v>
      </c>
      <c r="L27">
        <v>201.163657</v>
      </c>
      <c r="M27">
        <v>-622.51510099999996</v>
      </c>
      <c r="N27">
        <v>1.6025609999999999</v>
      </c>
      <c r="O27">
        <v>3.5042520000000001</v>
      </c>
      <c r="P27">
        <f t="shared" si="0"/>
        <v>2.6709349999999999E-5</v>
      </c>
      <c r="Q27" cm="1">
        <f t="array" ref="Q27">[1]!PropsSI("D","T",J27+273.15,"P",101325,"Water")</f>
        <v>984.36335683725565</v>
      </c>
      <c r="R27" cm="1">
        <f t="array" ref="R27">[1]!PropsSI("D","T",K27+273.15,"P",101325,"Water")</f>
        <v>987.55559588110225</v>
      </c>
      <c r="S27">
        <f t="shared" si="1"/>
        <v>985.95947635917901</v>
      </c>
      <c r="T27" cm="1">
        <f t="array" ref="T27">[1]!PropsSI("H","T",J27+273.15,"P",101325,"Water")</f>
        <v>241624.32533265738</v>
      </c>
      <c r="U27" cm="1">
        <f t="array" ref="U27">[1]!PropsSI("H","T",K27+273.15,"P",101325,"Water")</f>
        <v>213817.59109039968</v>
      </c>
      <c r="V27">
        <f t="shared" si="2"/>
        <v>732.27190317235625</v>
      </c>
      <c r="X27">
        <f t="shared" si="3"/>
        <v>0.26539995199999999</v>
      </c>
      <c r="Y27">
        <f t="shared" si="3"/>
        <v>0.25210408000000001</v>
      </c>
      <c r="Z27">
        <f t="shared" si="9"/>
        <v>0.36605136480314987</v>
      </c>
      <c r="AA27">
        <f t="shared" si="8"/>
        <v>6.6479360000000014</v>
      </c>
      <c r="AB27">
        <f t="shared" si="5"/>
        <v>5.5963101965529526E-2</v>
      </c>
      <c r="AC27">
        <f t="shared" si="6"/>
        <v>40.980207183726939</v>
      </c>
    </row>
    <row r="28" spans="1:29" x14ac:dyDescent="0.2">
      <c r="A28">
        <v>46137.052473217591</v>
      </c>
      <c r="B28">
        <v>16.636695</v>
      </c>
      <c r="C28">
        <v>16.780773</v>
      </c>
      <c r="D28">
        <v>18.654579999999999</v>
      </c>
      <c r="E28">
        <v>18.911947000000001</v>
      </c>
      <c r="F28">
        <v>30.182687000000001</v>
      </c>
      <c r="G28">
        <v>32.782851999999998</v>
      </c>
      <c r="H28">
        <v>27.648675000000001</v>
      </c>
      <c r="I28">
        <v>24.880151000000001</v>
      </c>
      <c r="J28">
        <v>57.697747</v>
      </c>
      <c r="K28">
        <v>51.041392000000002</v>
      </c>
      <c r="L28">
        <v>204.060655</v>
      </c>
      <c r="M28">
        <v>-622.49673499999994</v>
      </c>
      <c r="N28">
        <v>1.6072329999999999</v>
      </c>
      <c r="O28">
        <v>3.4401670000000002</v>
      </c>
      <c r="P28">
        <f t="shared" si="0"/>
        <v>2.6787216666666667E-5</v>
      </c>
      <c r="Q28" cm="1">
        <f t="array" ref="Q28">[1]!PropsSI("D","T",J28+273.15,"P",101325,"Water")</f>
        <v>984.36447293680078</v>
      </c>
      <c r="R28" cm="1">
        <f t="array" ref="R28">[1]!PropsSI("D","T",K28+273.15,"P",101325,"Water")</f>
        <v>987.56048461428497</v>
      </c>
      <c r="S28">
        <f t="shared" si="1"/>
        <v>985.96247877554288</v>
      </c>
      <c r="T28" cm="1">
        <f t="array" ref="T28">[1]!PropsSI("H","T",J28+273.15,"P",101325,"Water")</f>
        <v>241614.99922367075</v>
      </c>
      <c r="U28" cm="1">
        <f t="array" ref="U28">[1]!PropsSI("H","T",K28+273.15,"P",101325,"Water")</f>
        <v>213773.06490913336</v>
      </c>
      <c r="V28">
        <f t="shared" si="2"/>
        <v>735.33863229935059</v>
      </c>
      <c r="X28">
        <f t="shared" si="3"/>
        <v>0.26539549400000001</v>
      </c>
      <c r="Y28">
        <f t="shared" si="3"/>
        <v>0.252082784</v>
      </c>
      <c r="Z28">
        <f t="shared" si="9"/>
        <v>0.3660334659900577</v>
      </c>
      <c r="AA28">
        <f t="shared" si="8"/>
        <v>6.6563549999999978</v>
      </c>
      <c r="AB28">
        <f t="shared" si="5"/>
        <v>5.5891935342205122E-2</v>
      </c>
      <c r="AC28">
        <f t="shared" si="6"/>
        <v>41.099499291100848</v>
      </c>
    </row>
    <row r="29" spans="1:29" x14ac:dyDescent="0.2">
      <c r="A29">
        <v>46137.052507939814</v>
      </c>
      <c r="B29">
        <v>16.808268000000002</v>
      </c>
      <c r="C29">
        <v>16.888441</v>
      </c>
      <c r="D29">
        <v>18.765393</v>
      </c>
      <c r="E29">
        <v>18.971157999999999</v>
      </c>
      <c r="F29">
        <v>30.624592</v>
      </c>
      <c r="G29">
        <v>32.31221</v>
      </c>
      <c r="H29">
        <v>27.954986000000002</v>
      </c>
      <c r="I29">
        <v>24.838193</v>
      </c>
      <c r="J29">
        <v>57.698861999999998</v>
      </c>
      <c r="K29">
        <v>51.032333999999999</v>
      </c>
      <c r="L29">
        <v>209.47466900000001</v>
      </c>
      <c r="M29">
        <v>-622.49510199999997</v>
      </c>
      <c r="N29">
        <v>1.6028519999999999</v>
      </c>
      <c r="O29">
        <v>3.9208789999999998</v>
      </c>
      <c r="P29">
        <f t="shared" si="0"/>
        <v>2.6714199999999999E-5</v>
      </c>
      <c r="Q29" cm="1">
        <f t="array" ref="Q29">[1]!PropsSI("D","T",J29+273.15,"P",101325,"Water")</f>
        <v>984.3639146404272</v>
      </c>
      <c r="R29" cm="1">
        <f t="array" ref="R29">[1]!PropsSI("D","T",K29+273.15,"P",101325,"Water")</f>
        <v>987.56464276469035</v>
      </c>
      <c r="S29">
        <f t="shared" si="1"/>
        <v>985.96427870255877</v>
      </c>
      <c r="T29" cm="1">
        <f t="array" ref="T29">[1]!PropsSI("H","T",J29+273.15,"P",101325,"Water")</f>
        <v>241619.66436989675</v>
      </c>
      <c r="U29" cm="1">
        <f t="array" ref="U29">[1]!PropsSI("H","T",K29+273.15,"P",101325,"Water")</f>
        <v>213735.18757383074</v>
      </c>
      <c r="V29">
        <f t="shared" si="2"/>
        <v>734.4561199602075</v>
      </c>
      <c r="X29">
        <f t="shared" si="3"/>
        <v>0.265397724</v>
      </c>
      <c r="Y29">
        <f t="shared" si="3"/>
        <v>0.25206466799999999</v>
      </c>
      <c r="Z29">
        <f t="shared" si="9"/>
        <v>0.36602260689516214</v>
      </c>
      <c r="AA29">
        <f t="shared" si="8"/>
        <v>6.6665279999999996</v>
      </c>
      <c r="AB29">
        <f t="shared" si="5"/>
        <v>5.5807774989517438E-2</v>
      </c>
      <c r="AC29">
        <f t="shared" si="6"/>
        <v>40.988361882413287</v>
      </c>
    </row>
    <row r="30" spans="1:29" x14ac:dyDescent="0.2">
      <c r="A30">
        <v>46137.052543240738</v>
      </c>
      <c r="B30">
        <v>16.787161000000001</v>
      </c>
      <c r="C30">
        <v>16.855371000000002</v>
      </c>
      <c r="D30">
        <v>18.836396000000001</v>
      </c>
      <c r="E30">
        <v>19.078419</v>
      </c>
      <c r="F30">
        <v>30.509774</v>
      </c>
      <c r="G30">
        <v>32.569853000000002</v>
      </c>
      <c r="H30">
        <v>27.527588000000002</v>
      </c>
      <c r="I30">
        <v>25.077945</v>
      </c>
      <c r="J30">
        <v>57.698543000000001</v>
      </c>
      <c r="K30">
        <v>51.027248</v>
      </c>
      <c r="L30">
        <v>201.08284499999999</v>
      </c>
      <c r="M30">
        <v>-622.47020599999996</v>
      </c>
      <c r="N30">
        <v>1.6035489999999999</v>
      </c>
      <c r="O30">
        <v>3.7128130000000001</v>
      </c>
      <c r="P30">
        <f t="shared" si="0"/>
        <v>2.6725816666666664E-5</v>
      </c>
      <c r="Q30" cm="1">
        <f t="array" ref="Q30">[1]!PropsSI("D","T",J30+273.15,"P",101325,"Water")</f>
        <v>984.36407436903153</v>
      </c>
      <c r="R30" cm="1">
        <f t="array" ref="R30">[1]!PropsSI("D","T",K30+273.15,"P",101325,"Water")</f>
        <v>987.56697730222118</v>
      </c>
      <c r="S30">
        <f t="shared" si="1"/>
        <v>985.96552583562629</v>
      </c>
      <c r="T30" cm="1">
        <f t="array" ref="T30">[1]!PropsSI("H","T",J30+273.15,"P",101325,"Water")</f>
        <v>241618.32967782163</v>
      </c>
      <c r="U30" cm="1">
        <f t="array" ref="U30">[1]!PropsSI("H","T",K30+273.15,"P",101325,"Water")</f>
        <v>213713.91974107915</v>
      </c>
      <c r="V30">
        <f t="shared" si="2"/>
        <v>735.3016804090521</v>
      </c>
      <c r="X30">
        <f t="shared" si="3"/>
        <v>0.265397086</v>
      </c>
      <c r="Y30">
        <f t="shared" si="3"/>
        <v>0.25205449600000002</v>
      </c>
      <c r="Z30">
        <f t="shared" si="9"/>
        <v>0.36601513931954432</v>
      </c>
      <c r="AA30">
        <f t="shared" si="8"/>
        <v>6.6712950000000006</v>
      </c>
      <c r="AB30">
        <f t="shared" si="5"/>
        <v>5.5768076935444118E-2</v>
      </c>
      <c r="AC30">
        <f t="shared" si="6"/>
        <v>41.006360683813362</v>
      </c>
    </row>
    <row r="31" spans="1:29" x14ac:dyDescent="0.2">
      <c r="A31">
        <v>46137.052577962961</v>
      </c>
      <c r="B31">
        <v>16.829801</v>
      </c>
      <c r="C31">
        <v>16.873788999999999</v>
      </c>
      <c r="D31">
        <v>18.906448000000001</v>
      </c>
      <c r="E31">
        <v>19.103477999999999</v>
      </c>
      <c r="F31">
        <v>30.254521</v>
      </c>
      <c r="G31">
        <v>31.825054000000002</v>
      </c>
      <c r="H31">
        <v>27.420252999999999</v>
      </c>
      <c r="I31">
        <v>24.438447</v>
      </c>
      <c r="J31">
        <v>57.696792000000002</v>
      </c>
      <c r="K31">
        <v>51.026136000000001</v>
      </c>
      <c r="L31">
        <v>208.100044</v>
      </c>
      <c r="M31">
        <v>-622.49673499999994</v>
      </c>
      <c r="N31">
        <v>1.607413</v>
      </c>
      <c r="O31">
        <v>2.9657330000000002</v>
      </c>
      <c r="P31">
        <f t="shared" si="0"/>
        <v>2.6790216666666666E-5</v>
      </c>
      <c r="Q31" cm="1">
        <f t="array" ref="Q31">[1]!PropsSI("D","T",J31+273.15,"P",101325,"Water")</f>
        <v>984.36495111292402</v>
      </c>
      <c r="R31" cm="1">
        <f t="array" ref="R31">[1]!PropsSI("D","T",K31+273.15,"P",101325,"Water")</f>
        <v>987.56748770177796</v>
      </c>
      <c r="S31">
        <f t="shared" si="1"/>
        <v>985.96621940735099</v>
      </c>
      <c r="T31" cm="1">
        <f t="array" ref="T31">[1]!PropsSI("H","T",J31+273.15,"P",101325,"Water")</f>
        <v>241611.00351586301</v>
      </c>
      <c r="U31" cm="1">
        <f t="array" ref="U31">[1]!PropsSI("H","T",K31+273.15,"P",101325,"Water")</f>
        <v>213709.26975579993</v>
      </c>
      <c r="V31">
        <f t="shared" si="2"/>
        <v>737.00333313524106</v>
      </c>
      <c r="X31">
        <f t="shared" si="3"/>
        <v>0.26539358400000002</v>
      </c>
      <c r="Y31">
        <f t="shared" si="3"/>
        <v>0.25205227200000002</v>
      </c>
      <c r="Z31">
        <f t="shared" si="9"/>
        <v>0.36601106847843695</v>
      </c>
      <c r="AA31">
        <f t="shared" si="8"/>
        <v>6.670656000000001</v>
      </c>
      <c r="AB31">
        <f t="shared" si="5"/>
        <v>5.5772646975542926E-2</v>
      </c>
      <c r="AC31">
        <f t="shared" si="6"/>
        <v>41.104626718750261</v>
      </c>
    </row>
    <row r="32" spans="1:29" x14ac:dyDescent="0.2">
      <c r="A32">
        <v>46137.052613263892</v>
      </c>
      <c r="B32">
        <v>17.066818000000001</v>
      </c>
      <c r="C32">
        <v>17.243646999999999</v>
      </c>
      <c r="D32">
        <v>18.845486000000001</v>
      </c>
      <c r="E32">
        <v>19.081797999999999</v>
      </c>
      <c r="F32">
        <v>30.532713999999999</v>
      </c>
      <c r="G32">
        <v>31.255939999999999</v>
      </c>
      <c r="H32">
        <v>27.646485999999999</v>
      </c>
      <c r="I32">
        <v>24.885518000000001</v>
      </c>
      <c r="J32">
        <v>57.696154999999997</v>
      </c>
      <c r="K32">
        <v>51.034081999999998</v>
      </c>
      <c r="L32">
        <v>211.37947199999999</v>
      </c>
      <c r="M32">
        <v>-622.474695</v>
      </c>
      <c r="N32">
        <v>1.6063400000000001</v>
      </c>
      <c r="O32">
        <v>3.2184659999999998</v>
      </c>
      <c r="P32">
        <f t="shared" si="0"/>
        <v>2.6772333333333335E-5</v>
      </c>
      <c r="Q32" cm="1">
        <f t="array" ref="Q32">[1]!PropsSI("D","T",J32+273.15,"P",101325,"Water")</f>
        <v>984.36527006084054</v>
      </c>
      <c r="R32" cm="1">
        <f t="array" ref="R32">[1]!PropsSI("D","T",K32+273.15,"P",101325,"Water")</f>
        <v>987.56384037214195</v>
      </c>
      <c r="S32">
        <f t="shared" si="1"/>
        <v>985.96455521649125</v>
      </c>
      <c r="T32" cm="1">
        <f t="array" ref="T32">[1]!PropsSI("H","T",J32+273.15,"P",101325,"Water")</f>
        <v>241608.33831621808</v>
      </c>
      <c r="U32" cm="1">
        <f t="array" ref="U32">[1]!PropsSI("H","T",K32+273.15,"P",101325,"Water")</f>
        <v>213742.49708636923</v>
      </c>
      <c r="V32">
        <f t="shared" si="2"/>
        <v>735.56267675989875</v>
      </c>
      <c r="X32">
        <f t="shared" si="3"/>
        <v>0.26539230999999996</v>
      </c>
      <c r="Y32">
        <f t="shared" si="3"/>
        <v>0.25206816399999998</v>
      </c>
      <c r="Z32">
        <f t="shared" si="9"/>
        <v>0.36602108888623747</v>
      </c>
      <c r="AA32">
        <f t="shared" si="8"/>
        <v>6.6620729999999995</v>
      </c>
      <c r="AB32">
        <f t="shared" si="5"/>
        <v>5.5843672222786772E-2</v>
      </c>
      <c r="AC32">
        <f t="shared" si="6"/>
        <v>41.076521020295445</v>
      </c>
    </row>
    <row r="33" spans="1:29" x14ac:dyDescent="0.2">
      <c r="A33">
        <v>46137.052648564815</v>
      </c>
      <c r="B33">
        <v>16.890359</v>
      </c>
      <c r="C33">
        <v>17.038269</v>
      </c>
      <c r="D33">
        <v>18.769853999999999</v>
      </c>
      <c r="E33">
        <v>19.094871000000001</v>
      </c>
      <c r="F33">
        <v>30.821446999999999</v>
      </c>
      <c r="G33">
        <v>32.910077000000001</v>
      </c>
      <c r="H33">
        <v>27.642385000000001</v>
      </c>
      <c r="I33">
        <v>25.309729999999998</v>
      </c>
      <c r="J33">
        <v>57.698225000000001</v>
      </c>
      <c r="K33">
        <v>51.039326000000003</v>
      </c>
      <c r="L33">
        <v>190.56010599999999</v>
      </c>
      <c r="M33">
        <v>-622.48163399999999</v>
      </c>
      <c r="N33">
        <v>1.6051800000000001</v>
      </c>
      <c r="O33">
        <v>3.2717239999999999</v>
      </c>
      <c r="P33">
        <f t="shared" si="0"/>
        <v>2.6753000000000003E-5</v>
      </c>
      <c r="Q33" cm="1">
        <f t="array" ref="Q33">[1]!PropsSI("D","T",J33+273.15,"P",101325,"Water")</f>
        <v>984.3642335962993</v>
      </c>
      <c r="R33" cm="1">
        <f t="array" ref="R33">[1]!PropsSI("D","T",K33+273.15,"P",101325,"Water")</f>
        <v>987.56143307561922</v>
      </c>
      <c r="S33">
        <f t="shared" si="1"/>
        <v>985.9628333359592</v>
      </c>
      <c r="T33" cm="1">
        <f t="array" ref="T33">[1]!PropsSI("H","T",J33+273.15,"P",101325,"Water")</f>
        <v>241616.99916972147</v>
      </c>
      <c r="U33" cm="1">
        <f t="array" ref="U33">[1]!PropsSI("H","T",K33+273.15,"P",101325,"Water")</f>
        <v>213764.42562951543</v>
      </c>
      <c r="V33">
        <f t="shared" si="2"/>
        <v>734.68024695791257</v>
      </c>
      <c r="X33">
        <f t="shared" si="3"/>
        <v>0.26539645000000001</v>
      </c>
      <c r="Y33">
        <f t="shared" si="3"/>
        <v>0.25207865200000001</v>
      </c>
      <c r="Z33">
        <f t="shared" si="9"/>
        <v>0.36603131350574314</v>
      </c>
      <c r="AA33">
        <f t="shared" si="8"/>
        <v>6.6588989999999981</v>
      </c>
      <c r="AB33">
        <f t="shared" si="5"/>
        <v>5.5870947739418537E-2</v>
      </c>
      <c r="AC33">
        <f t="shared" si="6"/>
        <v>41.047281682968638</v>
      </c>
    </row>
    <row r="34" spans="1:29" x14ac:dyDescent="0.2">
      <c r="A34">
        <v>46137.052683865739</v>
      </c>
      <c r="B34">
        <v>16.947419</v>
      </c>
      <c r="C34">
        <v>17.038133999999999</v>
      </c>
      <c r="D34">
        <v>18.782885</v>
      </c>
      <c r="E34">
        <v>19.030657999999999</v>
      </c>
      <c r="F34">
        <v>30.460578000000002</v>
      </c>
      <c r="G34">
        <v>30.756505000000001</v>
      </c>
      <c r="H34">
        <v>27.814184999999998</v>
      </c>
      <c r="I34">
        <v>25.04965</v>
      </c>
      <c r="J34">
        <v>57.699021000000002</v>
      </c>
      <c r="K34">
        <v>51.041234000000003</v>
      </c>
      <c r="L34">
        <v>198.81112200000001</v>
      </c>
      <c r="M34">
        <v>-622.51142800000002</v>
      </c>
      <c r="N34">
        <v>1.6058730000000001</v>
      </c>
      <c r="O34">
        <v>3.2750409999999999</v>
      </c>
      <c r="P34">
        <f t="shared" si="0"/>
        <v>2.6764550000000001E-5</v>
      </c>
      <c r="Q34" cm="1">
        <f t="array" ref="Q34">[1]!PropsSI("D","T",J34+273.15,"P",101325,"Water")</f>
        <v>984.36383502623812</v>
      </c>
      <c r="R34" cm="1">
        <f t="array" ref="R34">[1]!PropsSI("D","T",K34+273.15,"P",101325,"Water")</f>
        <v>987.56055715005846</v>
      </c>
      <c r="S34">
        <f t="shared" si="1"/>
        <v>985.96219608814829</v>
      </c>
      <c r="T34" cm="1">
        <f t="array" ref="T34">[1]!PropsSI("H","T",J34+273.15,"P",101325,"Water")</f>
        <v>241620.3296239746</v>
      </c>
      <c r="U34" cm="1">
        <f t="array" ref="U34">[1]!PropsSI("H","T",K34+273.15,"P",101325,"Water")</f>
        <v>213772.40420903251</v>
      </c>
      <c r="V34">
        <f t="shared" si="2"/>
        <v>734.87429481267304</v>
      </c>
      <c r="X34">
        <f t="shared" si="3"/>
        <v>0.265398042</v>
      </c>
      <c r="Y34">
        <f t="shared" si="3"/>
        <v>0.252082468</v>
      </c>
      <c r="Z34">
        <f t="shared" si="9"/>
        <v>0.36603509581788024</v>
      </c>
      <c r="AA34">
        <f t="shared" si="8"/>
        <v>6.657786999999999</v>
      </c>
      <c r="AB34">
        <f t="shared" si="5"/>
        <v>5.5880539456561081E-2</v>
      </c>
      <c r="AC34">
        <f t="shared" si="6"/>
        <v>41.065172026892078</v>
      </c>
    </row>
    <row r="35" spans="1:29" x14ac:dyDescent="0.2">
      <c r="A35">
        <v>46137.05271916667</v>
      </c>
      <c r="B35">
        <v>16.919865999999999</v>
      </c>
      <c r="C35">
        <v>16.931622999999998</v>
      </c>
      <c r="D35">
        <v>18.845358000000001</v>
      </c>
      <c r="E35">
        <v>19.042255999999998</v>
      </c>
      <c r="F35">
        <v>30.436941000000001</v>
      </c>
      <c r="G35">
        <v>31.053567000000001</v>
      </c>
      <c r="H35">
        <v>27.07619</v>
      </c>
      <c r="I35">
        <v>25.238140999999999</v>
      </c>
      <c r="J35">
        <v>57.697747</v>
      </c>
      <c r="K35">
        <v>51.042982000000002</v>
      </c>
      <c r="L35">
        <v>197.13365400000001</v>
      </c>
      <c r="M35">
        <v>-622.49224500000003</v>
      </c>
      <c r="N35">
        <v>1.608487</v>
      </c>
      <c r="O35">
        <v>3.6566450000000001</v>
      </c>
      <c r="P35">
        <f t="shared" si="0"/>
        <v>2.6808116666666668E-5</v>
      </c>
      <c r="Q35" cm="1">
        <f t="array" ref="Q35">[1]!PropsSI("D","T",J35+273.15,"P",101325,"Water")</f>
        <v>984.36447293680078</v>
      </c>
      <c r="R35" cm="1">
        <f t="array" ref="R35">[1]!PropsSI("D","T",K35+273.15,"P",101325,"Water")</f>
        <v>987.55975465664255</v>
      </c>
      <c r="S35">
        <f t="shared" si="1"/>
        <v>985.96211379672172</v>
      </c>
      <c r="T35" cm="1">
        <f t="array" ref="T35">[1]!PropsSI("H","T",J35+273.15,"P",101325,"Water")</f>
        <v>241614.99922367075</v>
      </c>
      <c r="U35" cm="1">
        <f t="array" ref="U35">[1]!PropsSI("H","T",K35+273.15,"P",101325,"Water")</f>
        <v>213779.71372627639</v>
      </c>
      <c r="V35">
        <f t="shared" si="2"/>
        <v>735.73634780557632</v>
      </c>
      <c r="X35">
        <f t="shared" si="3"/>
        <v>0.26539549400000001</v>
      </c>
      <c r="Y35">
        <f t="shared" si="3"/>
        <v>0.252085964</v>
      </c>
      <c r="Z35">
        <f t="shared" si="9"/>
        <v>0.36603565602453725</v>
      </c>
      <c r="AA35">
        <f t="shared" si="8"/>
        <v>6.6547649999999976</v>
      </c>
      <c r="AB35">
        <f t="shared" si="5"/>
        <v>5.590518576412027E-2</v>
      </c>
      <c r="AC35">
        <f t="shared" si="6"/>
        <v>41.131477197486142</v>
      </c>
    </row>
    <row r="36" spans="1:29" x14ac:dyDescent="0.2">
      <c r="A36">
        <v>46137.052754467593</v>
      </c>
      <c r="B36">
        <v>17.053158</v>
      </c>
      <c r="C36">
        <v>17.119959000000001</v>
      </c>
      <c r="D36">
        <v>18.898264000000001</v>
      </c>
      <c r="E36">
        <v>19.180077000000001</v>
      </c>
      <c r="F36">
        <v>30.435127000000001</v>
      </c>
      <c r="G36">
        <v>32.298341999999998</v>
      </c>
      <c r="H36">
        <v>27.675633000000001</v>
      </c>
      <c r="I36">
        <v>24.891126</v>
      </c>
      <c r="J36">
        <v>57.696632000000001</v>
      </c>
      <c r="K36">
        <v>51.045524999999998</v>
      </c>
      <c r="L36">
        <v>198.19482600000001</v>
      </c>
      <c r="M36">
        <v>-622.50408100000004</v>
      </c>
      <c r="N36">
        <v>1.602406</v>
      </c>
      <c r="O36">
        <v>3.0337320000000001</v>
      </c>
      <c r="P36">
        <f t="shared" si="0"/>
        <v>2.6706766666666666E-5</v>
      </c>
      <c r="Q36" cm="1">
        <f t="array" ref="Q36">[1]!PropsSI("D","T",J36+273.15,"P",101325,"Water")</f>
        <v>984.36503122563909</v>
      </c>
      <c r="R36" cm="1">
        <f t="array" ref="R36">[1]!PropsSI("D","T",K36+273.15,"P",101325,"Water")</f>
        <v>987.55858714949829</v>
      </c>
      <c r="S36">
        <f t="shared" si="1"/>
        <v>985.96180918756863</v>
      </c>
      <c r="T36" cm="1">
        <f t="array" ref="T36">[1]!PropsSI("H","T",J36+273.15,"P",101325,"Water")</f>
        <v>241610.33407792784</v>
      </c>
      <c r="U36" cm="1">
        <f t="array" ref="U36">[1]!PropsSI("H","T",K36+273.15,"P",101325,"Water")</f>
        <v>213790.34765367486</v>
      </c>
      <c r="V36">
        <f t="shared" si="2"/>
        <v>732.55176461507347</v>
      </c>
      <c r="X36">
        <f t="shared" si="3"/>
        <v>0.26539326400000002</v>
      </c>
      <c r="Y36">
        <f t="shared" si="3"/>
        <v>0.25209104999999998</v>
      </c>
      <c r="Z36">
        <f t="shared" si="9"/>
        <v>0.36603754188153459</v>
      </c>
      <c r="AA36">
        <f t="shared" si="8"/>
        <v>6.6511070000000032</v>
      </c>
      <c r="AB36">
        <f t="shared" si="5"/>
        <v>5.5935228156109504E-2</v>
      </c>
      <c r="AC36">
        <f t="shared" si="6"/>
        <v>40.975450089904761</v>
      </c>
    </row>
    <row r="37" spans="1:29" x14ac:dyDescent="0.2">
      <c r="A37">
        <v>46137.052789189816</v>
      </c>
      <c r="B37">
        <v>16.880075999999999</v>
      </c>
      <c r="C37">
        <v>16.947648000000001</v>
      </c>
      <c r="D37">
        <v>18.922091999999999</v>
      </c>
      <c r="E37">
        <v>19.138622999999999</v>
      </c>
      <c r="F37">
        <v>30.217787000000001</v>
      </c>
      <c r="G37">
        <v>32.900061999999998</v>
      </c>
      <c r="H37">
        <v>27.377338000000002</v>
      </c>
      <c r="I37">
        <v>25.601430000000001</v>
      </c>
      <c r="J37">
        <v>57.692172999999997</v>
      </c>
      <c r="K37">
        <v>51.043934999999998</v>
      </c>
      <c r="L37">
        <v>212.52594500000001</v>
      </c>
      <c r="M37">
        <v>-622.47102199999995</v>
      </c>
      <c r="N37">
        <v>1.6055079999999999</v>
      </c>
      <c r="O37">
        <v>3.8280729999999998</v>
      </c>
      <c r="P37">
        <f t="shared" si="0"/>
        <v>2.6758466666666668E-5</v>
      </c>
      <c r="Q37" cm="1">
        <f t="array" ref="Q37">[1]!PropsSI("D","T",J37+273.15,"P",101325,"Water")</f>
        <v>984.36726380535674</v>
      </c>
      <c r="R37" cm="1">
        <f t="array" ref="R37">[1]!PropsSI("D","T",K37+273.15,"P",101325,"Water")</f>
        <v>987.55931713333223</v>
      </c>
      <c r="S37">
        <f t="shared" si="1"/>
        <v>985.96329046934443</v>
      </c>
      <c r="T37" cm="1">
        <f t="array" ref="T37">[1]!PropsSI("H","T",J37+273.15,"P",101325,"Water")</f>
        <v>241591.67768404318</v>
      </c>
      <c r="U37" cm="1">
        <f t="array" ref="U37">[1]!PropsSI("H","T",K37+273.15,"P",101325,"Water")</f>
        <v>213783.69883526725</v>
      </c>
      <c r="V37">
        <f t="shared" si="2"/>
        <v>733.65417532058382</v>
      </c>
      <c r="X37">
        <f t="shared" si="3"/>
        <v>0.26538434599999999</v>
      </c>
      <c r="Y37">
        <f t="shared" si="3"/>
        <v>0.25208786999999999</v>
      </c>
      <c r="Z37">
        <f t="shared" si="9"/>
        <v>0.36602888588605215</v>
      </c>
      <c r="AA37">
        <f t="shared" si="8"/>
        <v>6.6482379999999992</v>
      </c>
      <c r="AB37">
        <f t="shared" si="5"/>
        <v>5.5957314224213836E-2</v>
      </c>
      <c r="AC37">
        <f t="shared" si="6"/>
        <v>41.053317220320373</v>
      </c>
    </row>
    <row r="38" spans="1:29" x14ac:dyDescent="0.2">
      <c r="A38">
        <v>44675.052824493097</v>
      </c>
      <c r="B38">
        <v>16.804808999999999</v>
      </c>
      <c r="C38">
        <v>16.810438000000001</v>
      </c>
      <c r="D38">
        <v>18.808768000000001</v>
      </c>
      <c r="E38">
        <v>19.035281000000001</v>
      </c>
      <c r="F38">
        <v>30.168832999999999</v>
      </c>
      <c r="G38">
        <v>31.396129999999999</v>
      </c>
      <c r="H38">
        <v>27.695556</v>
      </c>
      <c r="I38">
        <v>25.579587</v>
      </c>
      <c r="J38">
        <v>57.695199000000002</v>
      </c>
      <c r="K38">
        <v>51.021686000000003</v>
      </c>
      <c r="L38">
        <v>191.47557</v>
      </c>
      <c r="M38">
        <v>-622.47755199999995</v>
      </c>
      <c r="N38">
        <v>1.6061840000000001</v>
      </c>
      <c r="O38">
        <v>3.8503120000000002</v>
      </c>
      <c r="P38">
        <f t="shared" si="0"/>
        <v>2.6769733333333336E-5</v>
      </c>
      <c r="Q38" cm="1">
        <f t="array" ref="Q38">[1]!PropsSI("D","T",J38+273.15,"P",101325,"Water")</f>
        <v>984.36574872846904</v>
      </c>
      <c r="R38" cm="1">
        <f t="array" ref="R38">[1]!PropsSI("D","T",K38+273.15,"P",101325,"Water")</f>
        <v>987.56953013772591</v>
      </c>
      <c r="S38">
        <f t="shared" si="1"/>
        <v>985.96763943309747</v>
      </c>
      <c r="T38" cm="1">
        <f t="array" ref="T38">[1]!PropsSI("H","T",J38+273.15,"P",101325,"Water")</f>
        <v>241604.3384250268</v>
      </c>
      <c r="U38" cm="1">
        <f t="array" ref="U38">[1]!PropsSI("H","T",K38+273.15,"P",101325,"Water")</f>
        <v>213690.66145535756</v>
      </c>
      <c r="V38">
        <f t="shared" si="2"/>
        <v>736.75612402255786</v>
      </c>
      <c r="X38">
        <f t="shared" si="3"/>
        <v>0.26539039799999997</v>
      </c>
      <c r="Y38">
        <f t="shared" si="3"/>
        <v>0.25204337199999999</v>
      </c>
      <c r="Z38">
        <f t="shared" si="9"/>
        <v>0.36600262938909167</v>
      </c>
      <c r="AA38">
        <f t="shared" si="8"/>
        <v>6.6735129999999998</v>
      </c>
      <c r="AB38">
        <f t="shared" si="5"/>
        <v>5.5748293831894669E-2</v>
      </c>
      <c r="AC38">
        <f t="shared" si="6"/>
        <v>41.072896884457386</v>
      </c>
    </row>
    <row r="39" spans="1:29" x14ac:dyDescent="0.2">
      <c r="A39">
        <v>44675.052859215299</v>
      </c>
      <c r="B39">
        <v>16.611084999999999</v>
      </c>
      <c r="C39">
        <v>16.674323999999999</v>
      </c>
      <c r="D39">
        <v>18.502136</v>
      </c>
      <c r="E39">
        <v>18.876232999999999</v>
      </c>
      <c r="F39">
        <v>30.247982</v>
      </c>
      <c r="G39">
        <v>32.643742000000003</v>
      </c>
      <c r="H39">
        <v>27.134164999999999</v>
      </c>
      <c r="I39">
        <v>24.749403000000001</v>
      </c>
      <c r="J39">
        <v>57.696154999999997</v>
      </c>
      <c r="K39">
        <v>51.022004000000003</v>
      </c>
      <c r="L39">
        <v>204.574915</v>
      </c>
      <c r="M39">
        <v>-622.50775499999997</v>
      </c>
      <c r="N39">
        <v>1.603791</v>
      </c>
      <c r="O39">
        <v>3.93825</v>
      </c>
      <c r="P39">
        <f t="shared" si="0"/>
        <v>2.672985E-5</v>
      </c>
      <c r="Q39" cm="1">
        <f t="array" ref="Q39">[1]!PropsSI("D","T",J39+273.15,"P",101325,"Water")</f>
        <v>984.36527006084054</v>
      </c>
      <c r="R39" cm="1">
        <f t="array" ref="R39">[1]!PropsSI("D","T",K39+273.15,"P",101325,"Water")</f>
        <v>987.56938418815787</v>
      </c>
      <c r="S39">
        <f t="shared" si="1"/>
        <v>985.96732712449921</v>
      </c>
      <c r="T39" cm="1">
        <f t="array" ref="T39">[1]!PropsSI("H","T",J39+273.15,"P",101325,"Water")</f>
        <v>241608.33831621808</v>
      </c>
      <c r="U39" cm="1">
        <f t="array" ref="U39">[1]!PropsSI("H","T",K39+273.15,"P",101325,"Water")</f>
        <v>213691.99121688417</v>
      </c>
      <c r="V39">
        <f t="shared" si="2"/>
        <v>735.7285932337461</v>
      </c>
      <c r="X39">
        <f t="shared" si="3"/>
        <v>0.26539230999999996</v>
      </c>
      <c r="Y39">
        <f t="shared" si="3"/>
        <v>0.25204400799999999</v>
      </c>
      <c r="Z39">
        <f t="shared" si="9"/>
        <v>0.36600445376503293</v>
      </c>
      <c r="AA39">
        <f t="shared" si="8"/>
        <v>6.6741509999999948</v>
      </c>
      <c r="AB39">
        <f t="shared" si="5"/>
        <v>5.5743405097855768E-2</v>
      </c>
      <c r="AC39">
        <f t="shared" si="6"/>
        <v>41.012017014704256</v>
      </c>
    </row>
    <row r="40" spans="1:29" x14ac:dyDescent="0.2">
      <c r="A40">
        <v>44675.0528945162</v>
      </c>
      <c r="B40">
        <v>16.534794999999999</v>
      </c>
      <c r="C40">
        <v>16.571655</v>
      </c>
      <c r="D40">
        <v>18.491668000000001</v>
      </c>
      <c r="E40">
        <v>18.738451999999999</v>
      </c>
      <c r="F40">
        <v>30.216684999999998</v>
      </c>
      <c r="G40">
        <v>31.92577</v>
      </c>
      <c r="H40">
        <v>28.034699</v>
      </c>
      <c r="I40">
        <v>25.093554000000001</v>
      </c>
      <c r="J40">
        <v>57.696792000000002</v>
      </c>
      <c r="K40">
        <v>51.011037999999999</v>
      </c>
      <c r="L40">
        <v>214.09321299999999</v>
      </c>
      <c r="M40">
        <v>-622.49714300000005</v>
      </c>
      <c r="N40">
        <v>1.6047579999999999</v>
      </c>
      <c r="O40">
        <v>3.2159499999999999</v>
      </c>
      <c r="P40">
        <f t="shared" si="0"/>
        <v>2.6745966666666668E-5</v>
      </c>
      <c r="Q40" cm="1">
        <f t="array" ref="Q40">[1]!PropsSI("D","T",J40+273.15,"P",101325,"Water")</f>
        <v>984.36495111292402</v>
      </c>
      <c r="R40" cm="1">
        <f t="array" ref="R40">[1]!PropsSI("D","T",K40+273.15,"P",101325,"Water")</f>
        <v>987.57441677575412</v>
      </c>
      <c r="S40">
        <f t="shared" si="1"/>
        <v>985.96968394433907</v>
      </c>
      <c r="T40" cm="1">
        <f t="array" ref="T40">[1]!PropsSI("H","T",J40+273.15,"P",101325,"Water")</f>
        <v>241611.00351586301</v>
      </c>
      <c r="U40" cm="1">
        <f t="array" ref="U40">[1]!PropsSI("H","T",K40+273.15,"P",101325,"Water")</f>
        <v>213646.13537092842</v>
      </c>
      <c r="V40">
        <f t="shared" si="2"/>
        <v>737.45349238880203</v>
      </c>
      <c r="X40">
        <f t="shared" si="3"/>
        <v>0.26539358400000002</v>
      </c>
      <c r="Y40">
        <f t="shared" si="3"/>
        <v>0.25202207599999998</v>
      </c>
      <c r="Z40">
        <f t="shared" si="9"/>
        <v>0.36599027476111279</v>
      </c>
      <c r="AA40">
        <f t="shared" si="8"/>
        <v>6.6857540000000029</v>
      </c>
      <c r="AB40">
        <f t="shared" si="5"/>
        <v>5.5647693171439548E-2</v>
      </c>
      <c r="AC40">
        <f t="shared" si="6"/>
        <v>41.037585672658587</v>
      </c>
    </row>
    <row r="41" spans="1:29" x14ac:dyDescent="0.2">
      <c r="A41">
        <v>44675.052929817197</v>
      </c>
      <c r="B41">
        <v>16.577407000000001</v>
      </c>
      <c r="C41">
        <v>16.619463</v>
      </c>
      <c r="D41">
        <v>18.684529000000001</v>
      </c>
      <c r="E41">
        <v>18.847159000000001</v>
      </c>
      <c r="F41">
        <v>30.249521000000001</v>
      </c>
      <c r="G41">
        <v>30.334714000000002</v>
      </c>
      <c r="H41">
        <v>27.035284999999998</v>
      </c>
      <c r="I41">
        <v>24.425865000000002</v>
      </c>
      <c r="J41">
        <v>57.697429</v>
      </c>
      <c r="K41">
        <v>50.999594999999999</v>
      </c>
      <c r="L41">
        <v>204.98591400000001</v>
      </c>
      <c r="M41">
        <v>-622.47387900000001</v>
      </c>
      <c r="N41">
        <v>1.605467</v>
      </c>
      <c r="O41">
        <v>3.6176439999999999</v>
      </c>
      <c r="P41">
        <f t="shared" si="0"/>
        <v>2.6757783333333333E-5</v>
      </c>
      <c r="Q41" cm="1">
        <f t="array" ref="Q41">[1]!PropsSI("D","T",J41+273.15,"P",101325,"Water")</f>
        <v>984.36463216252866</v>
      </c>
      <c r="R41" cm="1">
        <f t="array" ref="R41">[1]!PropsSI("D","T",K41+273.15,"P",101325,"Water")</f>
        <v>987.57966743993518</v>
      </c>
      <c r="S41">
        <f t="shared" si="1"/>
        <v>985.97214980123192</v>
      </c>
      <c r="T41" cm="1">
        <f t="array" ref="T41">[1]!PropsSI("H","T",J41+273.15,"P",101325,"Water")</f>
        <v>241613.66871575057</v>
      </c>
      <c r="U41" cm="1">
        <f t="array" ref="U41">[1]!PropsSI("H","T",K41+273.15,"P",101325,"Water")</f>
        <v>213598.28492185468</v>
      </c>
      <c r="V41">
        <f t="shared" si="2"/>
        <v>739.11387825092811</v>
      </c>
      <c r="X41">
        <f t="shared" si="3"/>
        <v>0.26539485800000001</v>
      </c>
      <c r="Y41">
        <f t="shared" si="3"/>
        <v>0.25199918999999998</v>
      </c>
      <c r="Z41">
        <f t="shared" si="9"/>
        <v>0.36597543963153628</v>
      </c>
      <c r="AA41">
        <f t="shared" si="8"/>
        <v>6.6978340000000003</v>
      </c>
      <c r="AB41">
        <f t="shared" si="5"/>
        <v>5.554839391633009E-2</v>
      </c>
      <c r="AC41">
        <f t="shared" si="6"/>
        <v>41.056588858108995</v>
      </c>
    </row>
    <row r="42" spans="1:29" x14ac:dyDescent="0.2">
      <c r="A42">
        <v>46137.052964537033</v>
      </c>
      <c r="B42">
        <v>16.77553</v>
      </c>
      <c r="C42">
        <v>16.844027000000001</v>
      </c>
      <c r="D42">
        <v>18.840986999999998</v>
      </c>
      <c r="E42">
        <v>18.904119999999999</v>
      </c>
      <c r="F42">
        <v>30.209192999999999</v>
      </c>
      <c r="G42">
        <v>31.183790999999999</v>
      </c>
      <c r="H42">
        <v>27.498816000000001</v>
      </c>
      <c r="I42">
        <v>24.900684999999999</v>
      </c>
      <c r="J42">
        <v>57.697588000000003</v>
      </c>
      <c r="K42">
        <v>50.989901000000003</v>
      </c>
      <c r="L42">
        <v>197.92871700000001</v>
      </c>
      <c r="M42">
        <v>-622.51632600000005</v>
      </c>
      <c r="N42">
        <v>1.603602</v>
      </c>
      <c r="O42">
        <v>3.333307</v>
      </c>
      <c r="P42">
        <f t="shared" si="0"/>
        <v>2.6726699999999999E-5</v>
      </c>
      <c r="Q42" cm="1">
        <f t="array" ref="Q42">[1]!PropsSI("D","T",J42+273.15,"P",101325,"Water")</f>
        <v>984.36455254972918</v>
      </c>
      <c r="R42" cm="1">
        <f t="array" ref="R42">[1]!PropsSI("D","T",K42+273.15,"P",101325,"Water")</f>
        <v>987.58411490443666</v>
      </c>
      <c r="S42">
        <f t="shared" si="1"/>
        <v>985.97433372708292</v>
      </c>
      <c r="T42" cm="1">
        <f t="array" ref="T42">[1]!PropsSI("H","T",J42+273.15,"P",101325,"Water")</f>
        <v>241614.33396969503</v>
      </c>
      <c r="U42" cm="1">
        <f t="array" ref="U42">[1]!PropsSI("H","T",K42+273.15,"P",101325,"Water")</f>
        <v>213557.74818299993</v>
      </c>
      <c r="V42">
        <f t="shared" si="2"/>
        <v>739.34266591626931</v>
      </c>
      <c r="X42">
        <f t="shared" si="3"/>
        <v>0.26539517600000001</v>
      </c>
      <c r="Y42">
        <f t="shared" si="3"/>
        <v>0.25197980200000003</v>
      </c>
      <c r="Z42">
        <f t="shared" si="9"/>
        <v>0.36596232054684291</v>
      </c>
      <c r="AA42">
        <f t="shared" si="8"/>
        <v>6.707687</v>
      </c>
      <c r="AB42">
        <f t="shared" si="5"/>
        <v>5.5467520711884565E-2</v>
      </c>
      <c r="AC42">
        <f t="shared" si="6"/>
        <v>41.009504634890618</v>
      </c>
    </row>
    <row r="43" spans="1:29" x14ac:dyDescent="0.2">
      <c r="A43">
        <v>46137.052999837964</v>
      </c>
      <c r="B43">
        <v>16.929662</v>
      </c>
      <c r="C43">
        <v>17.205328999999999</v>
      </c>
      <c r="D43">
        <v>18.861388000000002</v>
      </c>
      <c r="E43">
        <v>18.970915000000002</v>
      </c>
      <c r="F43">
        <v>30.286736000000001</v>
      </c>
      <c r="G43">
        <v>32.160449999999997</v>
      </c>
      <c r="H43">
        <v>27.104092000000001</v>
      </c>
      <c r="I43">
        <v>24.646070000000002</v>
      </c>
      <c r="J43">
        <v>57.696632000000001</v>
      </c>
      <c r="K43">
        <v>50.995781000000001</v>
      </c>
      <c r="L43">
        <v>206.84378100000001</v>
      </c>
      <c r="M43">
        <v>-622.48938799999996</v>
      </c>
      <c r="N43">
        <v>1.6035900000000001</v>
      </c>
      <c r="O43">
        <v>3.8307159999999998</v>
      </c>
      <c r="P43">
        <f t="shared" si="0"/>
        <v>2.6726499999999999E-5</v>
      </c>
      <c r="Q43" cm="1">
        <f t="array" ref="Q43">[1]!PropsSI("D","T",J43+273.15,"P",101325,"Water")</f>
        <v>984.36503122563909</v>
      </c>
      <c r="R43" cm="1">
        <f t="array" ref="R43">[1]!PropsSI("D","T",K43+273.15,"P",101325,"Water")</f>
        <v>987.58141731970659</v>
      </c>
      <c r="S43">
        <f t="shared" si="1"/>
        <v>985.97322427267284</v>
      </c>
      <c r="T43" cm="1">
        <f t="array" ref="T43">[1]!PropsSI("H","T",J43+273.15,"P",101325,"Water")</f>
        <v>241610.33407792784</v>
      </c>
      <c r="U43" cm="1">
        <f t="array" ref="U43">[1]!PropsSI("H","T",K43+273.15,"P",101325,"Water")</f>
        <v>213582.33617473341</v>
      </c>
      <c r="V43">
        <f t="shared" si="2"/>
        <v>738.58296451904937</v>
      </c>
      <c r="X43">
        <f t="shared" si="3"/>
        <v>0.26539326400000002</v>
      </c>
      <c r="Y43">
        <f t="shared" si="3"/>
        <v>0.251991562</v>
      </c>
      <c r="Z43">
        <f t="shared" si="9"/>
        <v>0.36596903133431052</v>
      </c>
      <c r="AA43">
        <f t="shared" si="8"/>
        <v>6.7008510000000001</v>
      </c>
      <c r="AB43">
        <f t="shared" si="5"/>
        <v>5.5523253747167142E-2</v>
      </c>
      <c r="AC43">
        <f t="shared" si="6"/>
        <v>41.008529352326121</v>
      </c>
    </row>
    <row r="44" spans="1:29" x14ac:dyDescent="0.2">
      <c r="A44">
        <v>46137.053034560187</v>
      </c>
      <c r="B44">
        <v>16.876574999999999</v>
      </c>
      <c r="C44">
        <v>17.322861</v>
      </c>
      <c r="D44">
        <v>18.804796</v>
      </c>
      <c r="E44">
        <v>18.963805000000001</v>
      </c>
      <c r="F44">
        <v>30.319367</v>
      </c>
      <c r="G44">
        <v>31.511890999999999</v>
      </c>
      <c r="H44">
        <v>27.015235000000001</v>
      </c>
      <c r="I44">
        <v>24.927216999999999</v>
      </c>
      <c r="J44">
        <v>57.695836</v>
      </c>
      <c r="K44">
        <v>51.005792999999997</v>
      </c>
      <c r="L44">
        <v>208.60614100000001</v>
      </c>
      <c r="M44">
        <v>-622.46979699999997</v>
      </c>
      <c r="N44">
        <v>1.6043970000000001</v>
      </c>
      <c r="O44">
        <v>3.6302500000000002</v>
      </c>
      <c r="P44">
        <f t="shared" si="0"/>
        <v>2.6739950000000001E-5</v>
      </c>
      <c r="Q44" cm="1">
        <f t="array" ref="Q44">[1]!PropsSI("D","T",J44+273.15,"P",101325,"Water")</f>
        <v>984.36542978422767</v>
      </c>
      <c r="R44" cm="1">
        <f t="array" ref="R44">[1]!PropsSI("D","T",K44+273.15,"P",101325,"Water")</f>
        <v>987.57682356938005</v>
      </c>
      <c r="S44">
        <f t="shared" si="1"/>
        <v>985.97112667680381</v>
      </c>
      <c r="T44" cm="1">
        <f t="array" ref="T44">[1]!PropsSI("H","T",J44+273.15,"P",101325,"Water")</f>
        <v>241607.0036244537</v>
      </c>
      <c r="U44" cm="1">
        <f t="array" ref="U44">[1]!PropsSI("H","T",K44+273.15,"P",101325,"Water")</f>
        <v>213624.20269060467</v>
      </c>
      <c r="V44">
        <f t="shared" si="2"/>
        <v>737.76147134622465</v>
      </c>
      <c r="X44">
        <f t="shared" si="3"/>
        <v>0.26539167200000002</v>
      </c>
      <c r="Y44">
        <f t="shared" si="3"/>
        <v>0.25201158600000001</v>
      </c>
      <c r="Z44">
        <f t="shared" si="9"/>
        <v>0.36598166490302625</v>
      </c>
      <c r="AA44">
        <f t="shared" si="8"/>
        <v>6.6900430000000028</v>
      </c>
      <c r="AB44">
        <f t="shared" si="5"/>
        <v>5.5611903765212814E-2</v>
      </c>
      <c r="AC44">
        <f t="shared" si="6"/>
        <v>41.028319946188056</v>
      </c>
    </row>
    <row r="45" spans="1:29" x14ac:dyDescent="0.2">
      <c r="A45">
        <v>46137.053069861111</v>
      </c>
      <c r="B45">
        <v>17.046296999999999</v>
      </c>
      <c r="C45">
        <v>17.514234999999999</v>
      </c>
      <c r="D45">
        <v>18.785898</v>
      </c>
      <c r="E45">
        <v>19.080126</v>
      </c>
      <c r="F45">
        <v>30.439807999999999</v>
      </c>
      <c r="G45">
        <v>32.248654000000002</v>
      </c>
      <c r="H45">
        <v>27.666169</v>
      </c>
      <c r="I45">
        <v>25.056885000000001</v>
      </c>
      <c r="J45">
        <v>57.695357999999999</v>
      </c>
      <c r="K45">
        <v>51.015329000000001</v>
      </c>
      <c r="L45">
        <v>213.445899</v>
      </c>
      <c r="M45">
        <v>-622.48897999999997</v>
      </c>
      <c r="N45">
        <v>1.606401</v>
      </c>
      <c r="O45">
        <v>3.1001430000000001</v>
      </c>
      <c r="P45">
        <f t="shared" si="0"/>
        <v>2.677335E-5</v>
      </c>
      <c r="Q45" cm="1">
        <f t="array" ref="Q45">[1]!PropsSI("D","T",J45+273.15,"P",101325,"Water")</f>
        <v>984.36566911783927</v>
      </c>
      <c r="R45" cm="1">
        <f t="array" ref="R45">[1]!PropsSI("D","T",K45+273.15,"P",101325,"Water")</f>
        <v>987.572447615133</v>
      </c>
      <c r="S45">
        <f t="shared" si="1"/>
        <v>985.96905836648614</v>
      </c>
      <c r="T45" cm="1">
        <f t="array" ref="T45">[1]!PropsSI("H","T",J45+273.15,"P",101325,"Water")</f>
        <v>241605.00367889999</v>
      </c>
      <c r="U45" cm="1">
        <f t="array" ref="U45">[1]!PropsSI("H","T",K45+273.15,"P",101325,"Water")</f>
        <v>213664.07877674425</v>
      </c>
      <c r="V45">
        <f t="shared" si="2"/>
        <v>737.57600489025322</v>
      </c>
      <c r="X45">
        <f t="shared" si="3"/>
        <v>0.26539071599999997</v>
      </c>
      <c r="Y45">
        <f t="shared" si="3"/>
        <v>0.25203065800000002</v>
      </c>
      <c r="Z45">
        <f t="shared" si="9"/>
        <v>0.36599410474884103</v>
      </c>
      <c r="AA45">
        <f t="shared" si="8"/>
        <v>6.6800289999999976</v>
      </c>
      <c r="AB45">
        <f t="shared" si="5"/>
        <v>5.5694409602293826E-2</v>
      </c>
      <c r="AC45">
        <f t="shared" si="6"/>
        <v>41.078860129181237</v>
      </c>
    </row>
    <row r="46" spans="1:29" x14ac:dyDescent="0.2">
      <c r="A46">
        <v>46137.053104583334</v>
      </c>
      <c r="B46">
        <v>17.123522999999999</v>
      </c>
      <c r="C46">
        <v>17.224423000000002</v>
      </c>
      <c r="D46">
        <v>18.808845000000002</v>
      </c>
      <c r="E46">
        <v>19.128207</v>
      </c>
      <c r="F46">
        <v>30.660373</v>
      </c>
      <c r="G46">
        <v>32.050885000000001</v>
      </c>
      <c r="H46">
        <v>27.863893999999998</v>
      </c>
      <c r="I46">
        <v>24.923075000000001</v>
      </c>
      <c r="J46">
        <v>57.693288000000003</v>
      </c>
      <c r="K46">
        <v>51.025500000000001</v>
      </c>
      <c r="L46">
        <v>197.790356</v>
      </c>
      <c r="M46">
        <v>-622.50285699999995</v>
      </c>
      <c r="N46">
        <v>1.607315</v>
      </c>
      <c r="O46">
        <v>3.607872</v>
      </c>
      <c r="P46">
        <f t="shared" si="0"/>
        <v>2.6788583333333333E-5</v>
      </c>
      <c r="Q46" cm="1">
        <f t="array" ref="Q46">[1]!PropsSI("D","T",J46+273.15,"P",101325,"Water")</f>
        <v>984.36670554650141</v>
      </c>
      <c r="R46" cm="1">
        <f t="array" ref="R46">[1]!PropsSI("D","T",K46+273.15,"P",101325,"Water")</f>
        <v>987.56777961733837</v>
      </c>
      <c r="S46">
        <f t="shared" si="1"/>
        <v>985.96724258191989</v>
      </c>
      <c r="T46" cm="1">
        <f t="array" ref="T46">[1]!PropsSI("H","T",J46+273.15,"P",101325,"Water")</f>
        <v>241596.34282772333</v>
      </c>
      <c r="U46" cm="1">
        <f t="array" ref="U46">[1]!PropsSI("H","T",K46+273.15,"P",101325,"Water")</f>
        <v>213706.61023204282</v>
      </c>
      <c r="V46">
        <f t="shared" si="2"/>
        <v>736.64218189010955</v>
      </c>
      <c r="X46">
        <f t="shared" si="3"/>
        <v>0.26538657599999999</v>
      </c>
      <c r="Y46">
        <f t="shared" si="3"/>
        <v>0.25205100000000003</v>
      </c>
      <c r="Z46">
        <f t="shared" si="9"/>
        <v>0.36600511105994649</v>
      </c>
      <c r="AA46">
        <f t="shared" si="8"/>
        <v>6.6677880000000016</v>
      </c>
      <c r="AB46">
        <f t="shared" si="5"/>
        <v>5.5794986282129713E-2</v>
      </c>
      <c r="AC46">
        <f t="shared" si="6"/>
        <v>41.100940433396765</v>
      </c>
    </row>
    <row r="47" spans="1:29" x14ac:dyDescent="0.2">
      <c r="A47">
        <v>46137.053139305557</v>
      </c>
      <c r="B47">
        <v>16.990466000000001</v>
      </c>
      <c r="C47">
        <v>17.117925</v>
      </c>
      <c r="D47">
        <v>18.852644000000002</v>
      </c>
      <c r="E47">
        <v>19.091446000000001</v>
      </c>
      <c r="F47">
        <v>30.638784000000001</v>
      </c>
      <c r="G47">
        <v>32.597574000000002</v>
      </c>
      <c r="H47">
        <v>27.755980000000001</v>
      </c>
      <c r="I47">
        <v>25.221063999999998</v>
      </c>
      <c r="J47">
        <v>57.693288000000003</v>
      </c>
      <c r="K47">
        <v>51.032175000000002</v>
      </c>
      <c r="L47">
        <v>201.97830999999999</v>
      </c>
      <c r="M47">
        <v>-622.48816399999998</v>
      </c>
      <c r="N47">
        <v>1.6071759999999999</v>
      </c>
      <c r="O47">
        <v>3.6249769999999999</v>
      </c>
      <c r="P47">
        <f t="shared" si="0"/>
        <v>2.6786266666666665E-5</v>
      </c>
      <c r="Q47" cm="1">
        <f t="array" ref="Q47">[1]!PropsSI("D","T",J47+273.15,"P",101325,"Water")</f>
        <v>984.36670554650141</v>
      </c>
      <c r="R47" cm="1">
        <f t="array" ref="R47">[1]!PropsSI("D","T",K47+273.15,"P",101325,"Water")</f>
        <v>987.56471575020657</v>
      </c>
      <c r="S47">
        <f t="shared" si="1"/>
        <v>985.96571064835393</v>
      </c>
      <c r="T47" cm="1">
        <f t="array" ref="T47">[1]!PropsSI("H","T",J47+273.15,"P",101325,"Water")</f>
        <v>241596.34282772333</v>
      </c>
      <c r="U47" cm="1">
        <f t="array" ref="U47">[1]!PropsSI("H","T",K47+273.15,"P",101325,"Water")</f>
        <v>213734.5226925899</v>
      </c>
      <c r="V47">
        <f t="shared" si="2"/>
        <v>735.84015531484863</v>
      </c>
      <c r="X47">
        <f t="shared" si="3"/>
        <v>0.26538657599999999</v>
      </c>
      <c r="Y47">
        <f t="shared" si="3"/>
        <v>0.25206434999999999</v>
      </c>
      <c r="Z47">
        <f t="shared" si="9"/>
        <v>0.36601430472308905</v>
      </c>
      <c r="AA47">
        <f t="shared" si="8"/>
        <v>6.6611130000000003</v>
      </c>
      <c r="AB47">
        <f t="shared" si="5"/>
        <v>5.5850460341698265E-2</v>
      </c>
      <c r="AC47">
        <f t="shared" si="6"/>
        <v>41.097011412241045</v>
      </c>
    </row>
    <row r="48" spans="1:29" x14ac:dyDescent="0.2">
      <c r="A48">
        <v>46137.05317402778</v>
      </c>
      <c r="B48">
        <v>16.949591999999999</v>
      </c>
      <c r="C48">
        <v>17.143516999999999</v>
      </c>
      <c r="D48">
        <v>18.835623999999999</v>
      </c>
      <c r="E48">
        <v>19.074497000000001</v>
      </c>
      <c r="F48">
        <v>30.475643000000002</v>
      </c>
      <c r="G48">
        <v>31.312145000000001</v>
      </c>
      <c r="H48">
        <v>27.659703</v>
      </c>
      <c r="I48">
        <v>24.958093000000002</v>
      </c>
      <c r="J48">
        <v>57.693925</v>
      </c>
      <c r="K48">
        <v>51.037419</v>
      </c>
      <c r="L48">
        <v>207.118461</v>
      </c>
      <c r="M48">
        <v>-622.47551099999998</v>
      </c>
      <c r="N48">
        <v>1.6021110000000001</v>
      </c>
      <c r="O48">
        <v>3.5859130000000001</v>
      </c>
      <c r="P48">
        <f t="shared" si="0"/>
        <v>2.6701849999999999E-5</v>
      </c>
      <c r="Q48" cm="1">
        <f t="array" ref="Q48">[1]!PropsSI("D","T",J48+273.15,"P",101325,"Water")</f>
        <v>984.36638660961398</v>
      </c>
      <c r="R48" cm="1">
        <f t="array" ref="R48">[1]!PropsSI("D","T",K48+273.15,"P",101325,"Water")</f>
        <v>987.56230851853422</v>
      </c>
      <c r="S48">
        <f t="shared" si="1"/>
        <v>985.96434756407416</v>
      </c>
      <c r="T48" cm="1">
        <f t="array" ref="T48">[1]!PropsSI("H","T",J48+273.15,"P",101325,"Water")</f>
        <v>241599.00802669561</v>
      </c>
      <c r="U48" cm="1">
        <f t="array" ref="U48">[1]!PropsSI("H","T",K48+273.15,"P",101325,"Water")</f>
        <v>213756.45123271001</v>
      </c>
      <c r="V48">
        <f t="shared" si="2"/>
        <v>733.01300055350453</v>
      </c>
      <c r="X48">
        <f t="shared" si="3"/>
        <v>0.26538784999999998</v>
      </c>
      <c r="Y48">
        <f t="shared" si="3"/>
        <v>0.25207483799999997</v>
      </c>
      <c r="Z48">
        <f t="shared" si="9"/>
        <v>0.36602245133372446</v>
      </c>
      <c r="AA48">
        <f t="shared" si="8"/>
        <v>6.6565060000000003</v>
      </c>
      <c r="AB48">
        <f t="shared" si="5"/>
        <v>5.5889080026168853E-2</v>
      </c>
      <c r="AC48">
        <f t="shared" si="6"/>
        <v>40.967422248156964</v>
      </c>
    </row>
    <row r="49" spans="1:29" x14ac:dyDescent="0.2">
      <c r="A49">
        <v>44675.053209331098</v>
      </c>
      <c r="B49">
        <v>16.913276</v>
      </c>
      <c r="C49">
        <v>17.101638999999999</v>
      </c>
      <c r="D49">
        <v>18.874746999999999</v>
      </c>
      <c r="E49">
        <v>19.125859999999999</v>
      </c>
      <c r="F49">
        <v>30.564800999999999</v>
      </c>
      <c r="G49">
        <v>32.078488</v>
      </c>
      <c r="H49">
        <v>27.638766</v>
      </c>
      <c r="I49">
        <v>24.948340999999999</v>
      </c>
      <c r="J49">
        <v>57.691535999999999</v>
      </c>
      <c r="K49">
        <v>51.035989000000001</v>
      </c>
      <c r="L49">
        <v>204.76755800000001</v>
      </c>
      <c r="M49">
        <v>-622.47632799999997</v>
      </c>
      <c r="N49">
        <v>1.6049629999999999</v>
      </c>
      <c r="O49">
        <v>3.7257750000000001</v>
      </c>
      <c r="P49">
        <f t="shared" si="0"/>
        <v>2.6749383333333335E-5</v>
      </c>
      <c r="Q49" cm="1">
        <f t="array" ref="Q49">[1]!PropsSI("D","T",J49+273.15,"P",101325,"Water")</f>
        <v>984.36758273549424</v>
      </c>
      <c r="R49" cm="1">
        <f t="array" ref="R49">[1]!PropsSI("D","T",K49+273.15,"P",101325,"Water")</f>
        <v>987.56296497049391</v>
      </c>
      <c r="S49">
        <f t="shared" si="1"/>
        <v>985.96527385299407</v>
      </c>
      <c r="T49" cm="1">
        <f t="array" ref="T49">[1]!PropsSI("H","T",J49+273.15,"P",101325,"Water")</f>
        <v>241589.0124855499</v>
      </c>
      <c r="U49" cm="1">
        <f t="array" ref="U49">[1]!PropsSI("H","T",K49+273.15,"P",101325,"Water")</f>
        <v>213750.47148124117</v>
      </c>
      <c r="V49">
        <f t="shared" si="2"/>
        <v>734.2126521935088</v>
      </c>
      <c r="X49">
        <f t="shared" si="3"/>
        <v>0.265383072</v>
      </c>
      <c r="Y49">
        <f t="shared" si="3"/>
        <v>0.25207197800000003</v>
      </c>
      <c r="Z49">
        <f t="shared" si="9"/>
        <v>0.36601701735983488</v>
      </c>
      <c r="AA49">
        <f t="shared" si="8"/>
        <v>6.6555469999999985</v>
      </c>
      <c r="AB49">
        <f t="shared" si="5"/>
        <v>5.5896072019736107E-2</v>
      </c>
      <c r="AC49">
        <f t="shared" si="6"/>
        <v>41.039603284809829</v>
      </c>
    </row>
    <row r="50" spans="1:29" x14ac:dyDescent="0.2">
      <c r="A50" t="s">
        <v>20</v>
      </c>
      <c r="B50">
        <v>16.832629000000001</v>
      </c>
      <c r="C50">
        <v>17.082080999999999</v>
      </c>
      <c r="D50">
        <v>18.8507</v>
      </c>
      <c r="E50">
        <v>19.098185999999998</v>
      </c>
      <c r="F50">
        <v>30.376573</v>
      </c>
      <c r="G50">
        <v>31.414383000000001</v>
      </c>
      <c r="H50">
        <v>27.675930999999999</v>
      </c>
      <c r="I50">
        <v>25.027723999999999</v>
      </c>
      <c r="J50">
        <v>57.690263000000002</v>
      </c>
      <c r="K50">
        <v>51.038373</v>
      </c>
      <c r="L50">
        <v>207.18335500000001</v>
      </c>
      <c r="M50">
        <v>-622.506122</v>
      </c>
      <c r="N50">
        <v>1.603623</v>
      </c>
      <c r="O50">
        <v>3.6301359999999998</v>
      </c>
      <c r="P50">
        <f t="shared" si="0"/>
        <v>2.672705E-5</v>
      </c>
      <c r="Q50" cm="1">
        <f t="array" ref="Q50">[1]!PropsSI("D","T",J50+273.15,"P",101325,"Water")</f>
        <v>984.3682200877721</v>
      </c>
      <c r="R50" cm="1">
        <f t="array" ref="R50">[1]!PropsSI("D","T",K50+273.15,"P",101325,"Water")</f>
        <v>987.56187057047589</v>
      </c>
      <c r="S50">
        <f t="shared" si="1"/>
        <v>985.965045329124</v>
      </c>
      <c r="T50" cm="1">
        <f t="array" ref="T50">[1]!PropsSI("H","T",J50+273.15,"P",101325,"Water")</f>
        <v>241583.68627308492</v>
      </c>
      <c r="U50" cm="1">
        <f t="array" ref="U50">[1]!PropsSI("H","T",K50+273.15,"P",101325,"Water")</f>
        <v>213760.44052180473</v>
      </c>
      <c r="V50">
        <f t="shared" si="2"/>
        <v>733.19642097519136</v>
      </c>
      <c r="X50">
        <f t="shared" si="3"/>
        <v>0.26538052600000001</v>
      </c>
      <c r="Y50">
        <f t="shared" si="3"/>
        <v>0.25207674599999996</v>
      </c>
      <c r="Z50">
        <f t="shared" si="9"/>
        <v>0.36601845507294462</v>
      </c>
      <c r="AA50">
        <f t="shared" si="8"/>
        <v>6.6518900000000016</v>
      </c>
      <c r="AB50">
        <f t="shared" si="5"/>
        <v>5.5926031282314666E-2</v>
      </c>
      <c r="AC50">
        <f t="shared" si="6"/>
        <v>41.004765975539705</v>
      </c>
    </row>
    <row r="51" spans="1:29" x14ac:dyDescent="0.2">
      <c r="A51">
        <v>46137.053279351851</v>
      </c>
      <c r="B51">
        <v>16.786898000000001</v>
      </c>
      <c r="C51">
        <v>16.850595999999999</v>
      </c>
      <c r="D51">
        <v>18.800695999999999</v>
      </c>
      <c r="E51">
        <v>18.985295000000001</v>
      </c>
      <c r="F51">
        <v>30.186851000000001</v>
      </c>
      <c r="G51">
        <v>32.834091000000001</v>
      </c>
      <c r="H51">
        <v>27.497831000000001</v>
      </c>
      <c r="I51">
        <v>24.922377000000001</v>
      </c>
      <c r="J51">
        <v>57.688670000000002</v>
      </c>
      <c r="K51">
        <v>51.037419</v>
      </c>
      <c r="L51">
        <v>199.269058</v>
      </c>
      <c r="M51">
        <v>-622.49795900000004</v>
      </c>
      <c r="N51">
        <v>1.601369</v>
      </c>
      <c r="O51">
        <v>3.4458470000000001</v>
      </c>
      <c r="P51">
        <f t="shared" si="0"/>
        <v>2.6689483333333336E-5</v>
      </c>
      <c r="Q51" cm="1">
        <f t="array" ref="Q51">[1]!PropsSI("D","T",J51+273.15,"P",101325,"Water")</f>
        <v>984.36901764053437</v>
      </c>
      <c r="R51" cm="1">
        <f t="array" ref="R51">[1]!PropsSI("D","T",K51+273.15,"P",101325,"Water")</f>
        <v>987.56230851853422</v>
      </c>
      <c r="S51">
        <f t="shared" si="1"/>
        <v>985.96566307953435</v>
      </c>
      <c r="T51" cm="1">
        <f t="array" ref="T51">[1]!PropsSI("H","T",J51+273.15,"P",101325,"Water")</f>
        <v>241577.02118641022</v>
      </c>
      <c r="U51" cm="1">
        <f t="array" ref="U51">[1]!PropsSI("H","T",K51+273.15,"P",101325,"Water")</f>
        <v>213756.45123271001</v>
      </c>
      <c r="V51">
        <f t="shared" si="2"/>
        <v>732.09590943492526</v>
      </c>
      <c r="X51">
        <f t="shared" si="3"/>
        <v>0.26537734000000002</v>
      </c>
      <c r="Y51">
        <f t="shared" si="3"/>
        <v>0.25207483799999997</v>
      </c>
      <c r="Z51">
        <f t="shared" si="9"/>
        <v>0.36601483103585003</v>
      </c>
      <c r="AA51">
        <f t="shared" si="8"/>
        <v>6.651251000000002</v>
      </c>
      <c r="AB51">
        <f t="shared" si="5"/>
        <v>5.5930696354160273E-2</v>
      </c>
      <c r="AC51">
        <f t="shared" si="6"/>
        <v>40.946634012727621</v>
      </c>
    </row>
    <row r="52" spans="1:29" x14ac:dyDescent="0.2">
      <c r="A52">
        <v>46137.053314652781</v>
      </c>
      <c r="B52">
        <v>16.713650999999999</v>
      </c>
      <c r="C52">
        <v>16.825278000000001</v>
      </c>
      <c r="D52">
        <v>18.743784999999999</v>
      </c>
      <c r="E52">
        <v>18.932887999999998</v>
      </c>
      <c r="F52">
        <v>30.185777000000002</v>
      </c>
      <c r="G52">
        <v>30.551120999999998</v>
      </c>
      <c r="H52">
        <v>27.284742000000001</v>
      </c>
      <c r="I52">
        <v>24.858753</v>
      </c>
      <c r="J52">
        <v>57.687396</v>
      </c>
      <c r="K52">
        <v>51.032015999999999</v>
      </c>
      <c r="L52">
        <v>206.10218499999999</v>
      </c>
      <c r="M52">
        <v>-622.51550899999995</v>
      </c>
      <c r="N52">
        <v>1.6028849999999999</v>
      </c>
      <c r="O52">
        <v>3.2335759999999998</v>
      </c>
      <c r="P52">
        <f t="shared" si="0"/>
        <v>2.6714749999999997E-5</v>
      </c>
      <c r="Q52" cm="1">
        <f t="array" ref="Q52">[1]!PropsSI("D","T",J52+273.15,"P",101325,"Water")</f>
        <v>984.36965547142563</v>
      </c>
      <c r="R52" cm="1">
        <f t="array" ref="R52">[1]!PropsSI("D","T",K52+273.15,"P",101325,"Water")</f>
        <v>987.56478873559195</v>
      </c>
      <c r="S52">
        <f t="shared" si="1"/>
        <v>985.96722210350879</v>
      </c>
      <c r="T52" cm="1">
        <f t="array" ref="T52">[1]!PropsSI("H","T",J52+273.15,"P",101325,"Water")</f>
        <v>241571.69079142369</v>
      </c>
      <c r="U52" cm="1">
        <f t="array" ref="U52">[1]!PropsSI("H","T",K52+273.15,"P",101325,"Water")</f>
        <v>213733.85781134487</v>
      </c>
      <c r="V52">
        <f t="shared" si="2"/>
        <v>733.24484183349637</v>
      </c>
      <c r="X52">
        <f t="shared" si="3"/>
        <v>0.26537479200000003</v>
      </c>
      <c r="Y52">
        <f t="shared" si="3"/>
        <v>0.25206403199999999</v>
      </c>
      <c r="Z52">
        <f t="shared" si="9"/>
        <v>0.36600554156616305</v>
      </c>
      <c r="AA52">
        <f t="shared" si="8"/>
        <v>6.655380000000001</v>
      </c>
      <c r="AB52">
        <f t="shared" si="5"/>
        <v>5.5895733229912863E-2</v>
      </c>
      <c r="AC52">
        <f t="shared" si="6"/>
        <v>40.985258071334762</v>
      </c>
    </row>
    <row r="53" spans="1:29" x14ac:dyDescent="0.2">
      <c r="A53">
        <v>46137.053349374997</v>
      </c>
      <c r="B53">
        <v>16.77636</v>
      </c>
      <c r="C53">
        <v>17.042228999999999</v>
      </c>
      <c r="D53">
        <v>18.808084000000001</v>
      </c>
      <c r="E53">
        <v>19.006057999999999</v>
      </c>
      <c r="F53">
        <v>30.401109000000002</v>
      </c>
      <c r="G53">
        <v>30.943155000000001</v>
      </c>
      <c r="H53">
        <v>26.873318000000001</v>
      </c>
      <c r="I53">
        <v>24.484043</v>
      </c>
      <c r="J53">
        <v>57.688510999999998</v>
      </c>
      <c r="K53">
        <v>51.029155000000003</v>
      </c>
      <c r="L53">
        <v>215.63558499999999</v>
      </c>
      <c r="M53">
        <v>-622.51183600000002</v>
      </c>
      <c r="N53">
        <v>1.6066510000000001</v>
      </c>
      <c r="O53">
        <v>3.2769089999999998</v>
      </c>
      <c r="P53">
        <f t="shared" si="0"/>
        <v>2.6777516666666669E-5</v>
      </c>
      <c r="Q53" cm="1">
        <f t="array" ref="Q53">[1]!PropsSI("D","T",J53+273.15,"P",101325,"Water")</f>
        <v>984.36909724476561</v>
      </c>
      <c r="R53" cm="1">
        <f t="array" ref="R53">[1]!PropsSI("D","T",K53+273.15,"P",101325,"Water")</f>
        <v>987.56610198505655</v>
      </c>
      <c r="S53">
        <f t="shared" si="1"/>
        <v>985.96759961491102</v>
      </c>
      <c r="T53" cm="1">
        <f t="array" ref="T53">[1]!PropsSI("H","T",J53+273.15,"P",101325,"Water")</f>
        <v>241576.3559329937</v>
      </c>
      <c r="U53" cm="1">
        <f t="array" ref="U53">[1]!PropsSI("H","T",K53+273.15,"P",101325,"Water")</f>
        <v>213721.89413200959</v>
      </c>
      <c r="V53">
        <f t="shared" si="2"/>
        <v>735.40692212260831</v>
      </c>
      <c r="X53">
        <f t="shared" si="3"/>
        <v>0.26537702200000002</v>
      </c>
      <c r="Y53">
        <f t="shared" si="3"/>
        <v>0.25205831000000001</v>
      </c>
      <c r="Z53">
        <f t="shared" si="9"/>
        <v>0.36600321780777367</v>
      </c>
      <c r="AA53">
        <f t="shared" si="8"/>
        <v>6.6593559999999954</v>
      </c>
      <c r="AB53">
        <f t="shared" si="5"/>
        <v>5.5863085574744023E-2</v>
      </c>
      <c r="AC53">
        <f t="shared" si="6"/>
        <v>41.082099822794383</v>
      </c>
    </row>
    <row r="54" spans="1:29" x14ac:dyDescent="0.2">
      <c r="A54">
        <v>46137.053384675928</v>
      </c>
      <c r="B54">
        <v>16.845248000000002</v>
      </c>
      <c r="C54">
        <v>16.910361000000002</v>
      </c>
      <c r="D54">
        <v>18.860766999999999</v>
      </c>
      <c r="E54">
        <v>19.007041999999998</v>
      </c>
      <c r="F54">
        <v>30.279329000000001</v>
      </c>
      <c r="G54">
        <v>32.417631999999998</v>
      </c>
      <c r="H54">
        <v>26.811323999999999</v>
      </c>
      <c r="I54">
        <v>24.663965000000001</v>
      </c>
      <c r="J54">
        <v>57.685963000000001</v>
      </c>
      <c r="K54">
        <v>51.020097</v>
      </c>
      <c r="L54">
        <v>195.126</v>
      </c>
      <c r="M54">
        <v>-622.49102100000005</v>
      </c>
      <c r="N54">
        <v>1.6042620000000001</v>
      </c>
      <c r="O54">
        <v>3.3446039999999999</v>
      </c>
      <c r="P54">
        <f t="shared" si="0"/>
        <v>2.6737700000000003E-5</v>
      </c>
      <c r="Q54" cm="1">
        <f t="array" ref="Q54">[1]!PropsSI("D","T",J54+273.15,"P",101325,"Water")</f>
        <v>984.37037289431044</v>
      </c>
      <c r="R54" cm="1">
        <f t="array" ref="R54">[1]!PropsSI("D","T",K54+273.15,"P",101325,"Water")</f>
        <v>987.57025941692098</v>
      </c>
      <c r="S54">
        <f t="shared" si="1"/>
        <v>985.97031615561571</v>
      </c>
      <c r="T54" cm="1">
        <f t="array" ref="T54">[1]!PropsSI("H","T",J54+273.15,"P",101325,"Water")</f>
        <v>241565.69514382744</v>
      </c>
      <c r="U54" cm="1">
        <f t="array" ref="U54">[1]!PropsSI("H","T",K54+273.15,"P",101325,"Water")</f>
        <v>213684.01682999721</v>
      </c>
      <c r="V54">
        <f t="shared" si="2"/>
        <v>735.03293388113377</v>
      </c>
      <c r="X54">
        <f t="shared" si="3"/>
        <v>0.26537192599999998</v>
      </c>
      <c r="Y54">
        <f t="shared" si="3"/>
        <v>0.252040194</v>
      </c>
      <c r="Z54">
        <f t="shared" si="9"/>
        <v>0.3659870469026289</v>
      </c>
      <c r="AA54">
        <f t="shared" si="8"/>
        <v>6.6658660000000012</v>
      </c>
      <c r="AB54">
        <f t="shared" si="5"/>
        <v>5.5807891114560415E-2</v>
      </c>
      <c r="AC54">
        <f t="shared" si="6"/>
        <v>41.0206379396542</v>
      </c>
    </row>
    <row r="55" spans="1:29" x14ac:dyDescent="0.2">
      <c r="A55">
        <v>46137.053419976852</v>
      </c>
      <c r="B55">
        <v>16.68085</v>
      </c>
      <c r="C55">
        <v>16.646753</v>
      </c>
      <c r="D55">
        <v>18.798251</v>
      </c>
      <c r="E55">
        <v>18.957193</v>
      </c>
      <c r="F55">
        <v>30.135211999999999</v>
      </c>
      <c r="G55">
        <v>31.695993000000001</v>
      </c>
      <c r="H55">
        <v>27.418198</v>
      </c>
      <c r="I55">
        <v>24.711092000000001</v>
      </c>
      <c r="J55">
        <v>57.688032999999997</v>
      </c>
      <c r="K55">
        <v>51.020097</v>
      </c>
      <c r="L55">
        <v>195.08355299999999</v>
      </c>
      <c r="M55">
        <v>-622.51061200000004</v>
      </c>
      <c r="N55">
        <v>1.604168</v>
      </c>
      <c r="O55">
        <v>3.671386</v>
      </c>
      <c r="P55">
        <f t="shared" si="0"/>
        <v>2.6736133333333333E-5</v>
      </c>
      <c r="Q55" cm="1">
        <f t="array" ref="Q55">[1]!PropsSI("D","T",J55+273.15,"P",101325,"Water")</f>
        <v>984.3693365572135</v>
      </c>
      <c r="R55" cm="1">
        <f t="array" ref="R55">[1]!PropsSI("D","T",K55+273.15,"P",101325,"Water")</f>
        <v>987.57025941692098</v>
      </c>
      <c r="S55">
        <f t="shared" si="1"/>
        <v>985.9697979870673</v>
      </c>
      <c r="T55" cm="1">
        <f t="array" ref="T55">[1]!PropsSI("H","T",J55+273.15,"P",101325,"Water")</f>
        <v>241574.35598884395</v>
      </c>
      <c r="U55" cm="1">
        <f t="array" ref="U55">[1]!PropsSI("H","T",K55+273.15,"P",101325,"Water")</f>
        <v>213684.01682999721</v>
      </c>
      <c r="V55">
        <f t="shared" si="2"/>
        <v>735.21778786057234</v>
      </c>
      <c r="X55">
        <f t="shared" si="3"/>
        <v>0.26537606599999997</v>
      </c>
      <c r="Y55">
        <f t="shared" si="3"/>
        <v>0.252040194</v>
      </c>
      <c r="Z55">
        <f t="shared" si="9"/>
        <v>0.36599004876798763</v>
      </c>
      <c r="AA55">
        <f t="shared" si="8"/>
        <v>6.6679359999999974</v>
      </c>
      <c r="AB55">
        <f t="shared" si="5"/>
        <v>5.5791565317098051E-2</v>
      </c>
      <c r="AC55">
        <f t="shared" si="6"/>
        <v>41.018951233715462</v>
      </c>
    </row>
    <row r="56" spans="1:29" x14ac:dyDescent="0.2">
      <c r="A56">
        <v>46137.053454699075</v>
      </c>
      <c r="B56">
        <v>16.655169999999998</v>
      </c>
      <c r="C56">
        <v>16.696342999999999</v>
      </c>
      <c r="D56">
        <v>18.801604999999999</v>
      </c>
      <c r="E56">
        <v>18.969045999999999</v>
      </c>
      <c r="F56">
        <v>30.210667999999998</v>
      </c>
      <c r="G56">
        <v>32.186678000000001</v>
      </c>
      <c r="H56">
        <v>27.164774000000001</v>
      </c>
      <c r="I56">
        <v>24.822904000000001</v>
      </c>
      <c r="J56">
        <v>57.690103000000001</v>
      </c>
      <c r="K56">
        <v>51.017395</v>
      </c>
      <c r="L56">
        <v>194.07829699999999</v>
      </c>
      <c r="M56">
        <v>-622.47102199999995</v>
      </c>
      <c r="N56">
        <v>1.604209</v>
      </c>
      <c r="O56">
        <v>3.4123749999999999</v>
      </c>
      <c r="P56">
        <f t="shared" si="0"/>
        <v>2.6736816666666668E-5</v>
      </c>
      <c r="Q56" cm="1">
        <f t="array" ref="Q56">[1]!PropsSI("D","T",J56+273.15,"P",101325,"Water")</f>
        <v>984.36830019420563</v>
      </c>
      <c r="R56" cm="1">
        <f t="array" ref="R56">[1]!PropsSI("D","T",K56+273.15,"P",101325,"Water")</f>
        <v>987.571499475216</v>
      </c>
      <c r="S56">
        <f t="shared" si="1"/>
        <v>985.96989983471076</v>
      </c>
      <c r="T56" cm="1">
        <f t="array" ref="T56">[1]!PropsSI("H","T",J56+273.15,"P",101325,"Water")</f>
        <v>241583.01683554822</v>
      </c>
      <c r="U56" cm="1">
        <f t="array" ref="U56">[1]!PropsSI("H","T",K56+273.15,"P",101325,"Water")</f>
        <v>213672.71804141995</v>
      </c>
      <c r="V56">
        <f t="shared" si="2"/>
        <v>735.76282466005068</v>
      </c>
      <c r="X56">
        <f t="shared" ref="X56:Y119" si="10">(0.15+0.002*ABS(J56))</f>
        <v>0.26538020600000001</v>
      </c>
      <c r="Y56">
        <f t="shared" si="10"/>
        <v>0.25203479000000001</v>
      </c>
      <c r="Z56">
        <f t="shared" si="9"/>
        <v>0.36598932922552069</v>
      </c>
      <c r="AA56">
        <f t="shared" si="8"/>
        <v>6.6727080000000001</v>
      </c>
      <c r="AB56">
        <f t="shared" si="5"/>
        <v>5.5752842058585696E-2</v>
      </c>
      <c r="AC56">
        <f t="shared" si="6"/>
        <v>41.020868555850683</v>
      </c>
    </row>
    <row r="57" spans="1:29" x14ac:dyDescent="0.2">
      <c r="A57">
        <v>46137.053489999998</v>
      </c>
      <c r="B57">
        <v>16.802606000000001</v>
      </c>
      <c r="C57">
        <v>16.771902000000001</v>
      </c>
      <c r="D57">
        <v>18.775627</v>
      </c>
      <c r="E57">
        <v>18.933616000000001</v>
      </c>
      <c r="F57">
        <v>30.085550999999999</v>
      </c>
      <c r="G57">
        <v>31.032319000000001</v>
      </c>
      <c r="H57">
        <v>27.931384999999999</v>
      </c>
      <c r="I57">
        <v>24.939166</v>
      </c>
      <c r="J57">
        <v>57.688670000000002</v>
      </c>
      <c r="K57">
        <v>51.011991000000002</v>
      </c>
      <c r="L57">
        <v>206.67725799999999</v>
      </c>
      <c r="M57">
        <v>-622.49959200000001</v>
      </c>
      <c r="N57">
        <v>1.603467</v>
      </c>
      <c r="O57">
        <v>3.329456</v>
      </c>
      <c r="P57">
        <f t="shared" si="0"/>
        <v>2.6724449999999998E-5</v>
      </c>
      <c r="Q57" cm="1">
        <f t="array" ref="Q57">[1]!PropsSI("D","T",J57+273.15,"P",101325,"Water")</f>
        <v>984.36901764053437</v>
      </c>
      <c r="R57" cm="1">
        <f t="array" ref="R57">[1]!PropsSI("D","T",K57+273.15,"P",101325,"Water")</f>
        <v>987.57397944976492</v>
      </c>
      <c r="S57">
        <f t="shared" si="1"/>
        <v>985.97149854514964</v>
      </c>
      <c r="T57" cm="1">
        <f t="array" ref="T57">[1]!PropsSI("H","T",J57+273.15,"P",101325,"Water")</f>
        <v>241577.02118641022</v>
      </c>
      <c r="U57" cm="1">
        <f t="array" ref="U57">[1]!PropsSI("H","T",K57+273.15,"P",101325,"Water")</f>
        <v>213650.12047082963</v>
      </c>
      <c r="V57">
        <f t="shared" si="2"/>
        <v>735.86115544183644</v>
      </c>
      <c r="X57">
        <f t="shared" si="10"/>
        <v>0.26537734000000002</v>
      </c>
      <c r="Y57">
        <f t="shared" si="10"/>
        <v>0.25202398199999998</v>
      </c>
      <c r="Z57">
        <f t="shared" si="9"/>
        <v>0.36597980830725063</v>
      </c>
      <c r="AA57">
        <f t="shared" si="8"/>
        <v>6.676679</v>
      </c>
      <c r="AB57">
        <f t="shared" si="5"/>
        <v>5.5719346916523048E-2</v>
      </c>
      <c r="AC57">
        <f t="shared" si="6"/>
        <v>41.001703002457177</v>
      </c>
    </row>
    <row r="58" spans="1:29" x14ac:dyDescent="0.2">
      <c r="A58">
        <v>46137.053525300929</v>
      </c>
      <c r="B58">
        <v>16.852274999999999</v>
      </c>
      <c r="C58">
        <v>16.947389999999999</v>
      </c>
      <c r="D58">
        <v>18.867733000000001</v>
      </c>
      <c r="E58">
        <v>18.996427000000001</v>
      </c>
      <c r="F58">
        <v>30.545421999999999</v>
      </c>
      <c r="G58">
        <v>31.803035999999999</v>
      </c>
      <c r="H58">
        <v>27.406134000000002</v>
      </c>
      <c r="I58">
        <v>25.085940000000001</v>
      </c>
      <c r="J58">
        <v>57.690421999999998</v>
      </c>
      <c r="K58">
        <v>51.009448999999996</v>
      </c>
      <c r="L58">
        <v>198.55603199999999</v>
      </c>
      <c r="M58">
        <v>-622.47387900000001</v>
      </c>
      <c r="N58">
        <v>1.6035569999999999</v>
      </c>
      <c r="O58">
        <v>3.8945609999999999</v>
      </c>
      <c r="P58">
        <f t="shared" si="0"/>
        <v>2.6725950000000001E-5</v>
      </c>
      <c r="Q58" cm="1">
        <f t="array" ref="Q58">[1]!PropsSI("D","T",J58+273.15,"P",101325,"Water")</f>
        <v>984.36814048185522</v>
      </c>
      <c r="R58" cm="1">
        <f t="array" ref="R58">[1]!PropsSI("D","T",K58+273.15,"P",101325,"Water")</f>
        <v>987.57514594521035</v>
      </c>
      <c r="S58">
        <f t="shared" si="1"/>
        <v>985.97164321353284</v>
      </c>
      <c r="T58" cm="1">
        <f t="array" ref="T58">[1]!PropsSI("H","T",J58+273.15,"P",101325,"Water")</f>
        <v>241584.3515266288</v>
      </c>
      <c r="U58" cm="1">
        <f t="array" ref="U58">[1]!PropsSI("H","T",K58+273.15,"P",101325,"Water")</f>
        <v>213639.49075058021</v>
      </c>
      <c r="V58">
        <f t="shared" si="2"/>
        <v>736.37583218195084</v>
      </c>
      <c r="X58">
        <f t="shared" si="10"/>
        <v>0.265380844</v>
      </c>
      <c r="Y58">
        <f t="shared" si="10"/>
        <v>0.25201889799999999</v>
      </c>
      <c r="Z58">
        <f t="shared" si="9"/>
        <v>0.36597884817470905</v>
      </c>
      <c r="AA58">
        <f t="shared" si="8"/>
        <v>6.6809730000000016</v>
      </c>
      <c r="AB58">
        <f t="shared" si="5"/>
        <v>5.5684547416285791E-2</v>
      </c>
      <c r="AC58">
        <f t="shared" si="6"/>
        <v>41.004754943342753</v>
      </c>
    </row>
    <row r="59" spans="1:29" x14ac:dyDescent="0.2">
      <c r="A59">
        <v>46137.053560601853</v>
      </c>
      <c r="B59">
        <v>16.742671999999999</v>
      </c>
      <c r="C59">
        <v>16.853815999999998</v>
      </c>
      <c r="D59">
        <v>18.856850000000001</v>
      </c>
      <c r="E59">
        <v>19.014934</v>
      </c>
      <c r="F59">
        <v>30.359461</v>
      </c>
      <c r="G59">
        <v>31.859378</v>
      </c>
      <c r="H59">
        <v>27.483784</v>
      </c>
      <c r="I59">
        <v>24.754117999999998</v>
      </c>
      <c r="J59">
        <v>57.689466000000003</v>
      </c>
      <c r="K59">
        <v>51.013103999999998</v>
      </c>
      <c r="L59">
        <v>207.94127700000001</v>
      </c>
      <c r="M59">
        <v>-622.46612400000004</v>
      </c>
      <c r="N59">
        <v>1.603799</v>
      </c>
      <c r="O59">
        <v>3.3778860000000002</v>
      </c>
      <c r="P59">
        <f t="shared" si="0"/>
        <v>2.6729983333333333E-5</v>
      </c>
      <c r="Q59" cm="1">
        <f t="array" ref="Q59">[1]!PropsSI("D","T",J59+273.15,"P",101325,"Water")</f>
        <v>984.36861911639892</v>
      </c>
      <c r="R59" cm="1">
        <f t="array" ref="R59">[1]!PropsSI("D","T",K59+273.15,"P",101325,"Water")</f>
        <v>987.57346869327887</v>
      </c>
      <c r="S59">
        <f t="shared" si="1"/>
        <v>985.97104390483889</v>
      </c>
      <c r="T59" cm="1">
        <f t="array" ref="T59">[1]!PropsSI("H","T",J59+273.15,"P",101325,"Water")</f>
        <v>241580.35163763163</v>
      </c>
      <c r="U59" cm="1">
        <f t="array" ref="U59">[1]!PropsSI("H","T",K59+273.15,"P",101325,"Water")</f>
        <v>213654.77463296644</v>
      </c>
      <c r="V59">
        <f t="shared" si="2"/>
        <v>735.97829071444596</v>
      </c>
      <c r="X59">
        <f t="shared" si="10"/>
        <v>0.26537893200000001</v>
      </c>
      <c r="Y59">
        <f t="shared" si="10"/>
        <v>0.25202620799999997</v>
      </c>
      <c r="Z59">
        <f t="shared" si="9"/>
        <v>0.36598249557638662</v>
      </c>
      <c r="AA59">
        <f t="shared" si="8"/>
        <v>6.6763620000000046</v>
      </c>
      <c r="AB59">
        <f t="shared" si="5"/>
        <v>5.5722303281747057E-2</v>
      </c>
      <c r="AC59">
        <f t="shared" si="6"/>
        <v>41.01040552397216</v>
      </c>
    </row>
    <row r="60" spans="1:29" x14ac:dyDescent="0.2">
      <c r="A60">
        <v>46137.053595902777</v>
      </c>
      <c r="B60">
        <v>16.658511000000001</v>
      </c>
      <c r="C60">
        <v>16.856553000000002</v>
      </c>
      <c r="D60">
        <v>18.832560999999998</v>
      </c>
      <c r="E60">
        <v>19.023043000000001</v>
      </c>
      <c r="F60">
        <v>30.618817</v>
      </c>
      <c r="G60">
        <v>32.705629000000002</v>
      </c>
      <c r="H60">
        <v>27.389913</v>
      </c>
      <c r="I60">
        <v>24.406244999999998</v>
      </c>
      <c r="J60">
        <v>57.689625999999997</v>
      </c>
      <c r="K60">
        <v>51.011673999999999</v>
      </c>
      <c r="L60">
        <v>204.91734600000001</v>
      </c>
      <c r="M60">
        <v>-622.51387699999998</v>
      </c>
      <c r="N60">
        <v>1.6035569999999999</v>
      </c>
      <c r="O60">
        <v>3.7017190000000002</v>
      </c>
      <c r="P60">
        <f t="shared" si="0"/>
        <v>2.6725950000000001E-5</v>
      </c>
      <c r="Q60" cm="1">
        <f t="array" ref="Q60">[1]!PropsSI("D","T",J60+273.15,"P",101325,"Water")</f>
        <v>984.36853901057088</v>
      </c>
      <c r="R60" cm="1">
        <f t="array" ref="R60">[1]!PropsSI("D","T",K60+273.15,"P",101325,"Water")</f>
        <v>987.57412491980153</v>
      </c>
      <c r="S60">
        <f t="shared" si="1"/>
        <v>985.97133196518621</v>
      </c>
      <c r="T60" cm="1">
        <f t="array" ref="T60">[1]!PropsSI("H","T",J60+273.15,"P",101325,"Water")</f>
        <v>241581.02107511595</v>
      </c>
      <c r="U60" cm="1">
        <f t="array" ref="U60">[1]!PropsSI("H","T",K60+273.15,"P",101325,"Water")</f>
        <v>213648.79489194861</v>
      </c>
      <c r="V60">
        <f t="shared" si="2"/>
        <v>736.04266530893449</v>
      </c>
      <c r="X60">
        <f t="shared" si="10"/>
        <v>0.26537925200000001</v>
      </c>
      <c r="Y60">
        <f t="shared" si="10"/>
        <v>0.25202334799999998</v>
      </c>
      <c r="Z60">
        <f t="shared" si="9"/>
        <v>0.365980758140655</v>
      </c>
      <c r="AA60">
        <f t="shared" si="8"/>
        <v>6.6779519999999977</v>
      </c>
      <c r="AB60">
        <f t="shared" si="5"/>
        <v>5.5709207363549798E-2</v>
      </c>
      <c r="AC60">
        <f t="shared" si="6"/>
        <v>41.004353470115312</v>
      </c>
    </row>
    <row r="61" spans="1:29" x14ac:dyDescent="0.2">
      <c r="A61">
        <v>46137.0536312037</v>
      </c>
      <c r="B61">
        <v>16.704732</v>
      </c>
      <c r="C61">
        <v>16.784662999999998</v>
      </c>
      <c r="D61">
        <v>18.763846000000001</v>
      </c>
      <c r="E61">
        <v>18.983377999999998</v>
      </c>
      <c r="F61">
        <v>30.025269999999999</v>
      </c>
      <c r="G61">
        <v>31.772998000000001</v>
      </c>
      <c r="H61">
        <v>27.832811</v>
      </c>
      <c r="I61">
        <v>25.071518000000001</v>
      </c>
      <c r="J61">
        <v>57.688510999999998</v>
      </c>
      <c r="K61">
        <v>51.008177000000003</v>
      </c>
      <c r="L61">
        <v>191.666989</v>
      </c>
      <c r="M61">
        <v>-622.50204099999996</v>
      </c>
      <c r="N61">
        <v>1.603496</v>
      </c>
      <c r="O61">
        <v>3.0978560000000002</v>
      </c>
      <c r="P61">
        <f t="shared" si="0"/>
        <v>2.6724933333333336E-5</v>
      </c>
      <c r="Q61" cm="1">
        <f t="array" ref="Q61">[1]!PropsSI("D","T",J61+273.15,"P",101325,"Water")</f>
        <v>984.36909724476561</v>
      </c>
      <c r="R61" cm="1">
        <f t="array" ref="R61">[1]!PropsSI("D","T",K61+273.15,"P",101325,"Water")</f>
        <v>987.57572963611301</v>
      </c>
      <c r="S61">
        <f t="shared" si="1"/>
        <v>985.97241344043937</v>
      </c>
      <c r="T61" cm="1">
        <f t="array" ref="T61">[1]!PropsSI("H","T",J61+273.15,"P",101325,"Water")</f>
        <v>241576.3559329937</v>
      </c>
      <c r="U61" cm="1">
        <f t="array" ref="U61">[1]!PropsSI("H","T",K61+273.15,"P",101325,"Water")</f>
        <v>213634.17170958073</v>
      </c>
      <c r="V61">
        <f t="shared" si="2"/>
        <v>736.27786806420931</v>
      </c>
      <c r="X61">
        <f t="shared" si="10"/>
        <v>0.26537702200000002</v>
      </c>
      <c r="Y61">
        <f t="shared" si="10"/>
        <v>0.252016354</v>
      </c>
      <c r="Z61">
        <f t="shared" si="9"/>
        <v>0.36597432490414106</v>
      </c>
      <c r="AA61">
        <f t="shared" si="8"/>
        <v>6.6803339999999949</v>
      </c>
      <c r="AB61">
        <f t="shared" si="5"/>
        <v>5.5689035993584435E-2</v>
      </c>
      <c r="AC61">
        <f t="shared" si="6"/>
        <v>41.002604695907365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AA22-A3CA-E24E-A6C1-7DDBD8A66150}">
  <dimension ref="A1:AC45"/>
  <sheetViews>
    <sheetView topLeftCell="M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>
        <v>44675.054297872703</v>
      </c>
      <c r="B2">
        <v>17.040001</v>
      </c>
      <c r="C2">
        <v>17.151416000000001</v>
      </c>
      <c r="D2">
        <v>18.965678</v>
      </c>
      <c r="E2">
        <v>19.21988</v>
      </c>
      <c r="F2">
        <v>28.934587000000001</v>
      </c>
      <c r="G2">
        <v>29.930603999999999</v>
      </c>
      <c r="H2">
        <v>26.577271</v>
      </c>
      <c r="I2">
        <v>23.730018000000001</v>
      </c>
      <c r="J2">
        <v>57.680388999999998</v>
      </c>
      <c r="K2">
        <v>50.678269999999998</v>
      </c>
      <c r="L2">
        <v>264.20131700000002</v>
      </c>
      <c r="M2">
        <v>-622.47265400000003</v>
      </c>
      <c r="N2">
        <v>1.6050199999999999</v>
      </c>
      <c r="O2">
        <v>3.194321</v>
      </c>
      <c r="P2">
        <f t="shared" ref="P2:P65" si="0" xml:space="preserve"> N2*0.001/60</f>
        <v>2.6750333333333334E-5</v>
      </c>
      <c r="Q2" cm="1">
        <f t="array" ref="Q2">[1]!PropsSI("D","T",J2+273.15,"P",101325,"Water")</f>
        <v>984.37316336613071</v>
      </c>
      <c r="R2" cm="1">
        <f t="array" ref="R2">[1]!PropsSI("D","T",K2+273.15,"P",101325,"Water")</f>
        <v>987.72676153660484</v>
      </c>
      <c r="S2">
        <f t="shared" ref="S2:S65" si="1">(Q2+R2)/2</f>
        <v>986.04996245136772</v>
      </c>
      <c r="T2" cm="1">
        <f t="array" ref="T2">[1]!PropsSI("H","T",J2+273.15,"P",101325,"Water")</f>
        <v>241542.37363058675</v>
      </c>
      <c r="U2" cm="1">
        <f t="array" ref="U2">[1]!PropsSI("H","T",K2+273.15,"P",101325,"Water")</f>
        <v>212254.63696887239</v>
      </c>
      <c r="V2">
        <f t="shared" ref="V2:V65" si="2">S2*P2*(T2-U2)</f>
        <v>772.52746764201561</v>
      </c>
      <c r="W2" s="3">
        <f>AVERAGE(V2:V45)</f>
        <v>773.99637559620339</v>
      </c>
      <c r="X2">
        <f>(0.15+0.002*ABS(J2))</f>
        <v>0.26536077800000002</v>
      </c>
      <c r="Y2">
        <f>(0.15+0.002*ABS(K2))</f>
        <v>0.25135653999999996</v>
      </c>
      <c r="Z2">
        <f>SQRT((X2)^2 + (Y2)^2)</f>
        <v>0.36550848512932893</v>
      </c>
      <c r="AA2">
        <f>J2-K2</f>
        <v>7.0021190000000004</v>
      </c>
      <c r="AB2">
        <f>SQRT((0.01)^2 + (Z2/ABS(AA2))^2)</f>
        <v>5.3148925595130833E-2</v>
      </c>
      <c r="AC2">
        <f>ABS(V2*AB2)</f>
        <v>41.05900489790033</v>
      </c>
    </row>
    <row r="3" spans="1:29" x14ac:dyDescent="0.2">
      <c r="A3">
        <v>44675.054332594897</v>
      </c>
      <c r="B3">
        <v>17.054884000000001</v>
      </c>
      <c r="C3">
        <v>17.187408999999999</v>
      </c>
      <c r="D3">
        <v>18.947189999999999</v>
      </c>
      <c r="E3">
        <v>19.315556999999998</v>
      </c>
      <c r="F3">
        <v>28.838602999999999</v>
      </c>
      <c r="G3">
        <v>30.918804000000002</v>
      </c>
      <c r="H3">
        <v>26.350829999999998</v>
      </c>
      <c r="I3">
        <v>24.141031000000002</v>
      </c>
      <c r="J3">
        <v>57.681185999999997</v>
      </c>
      <c r="K3">
        <v>50.669688999999998</v>
      </c>
      <c r="L3">
        <v>268.87945000000002</v>
      </c>
      <c r="M3">
        <v>-622.48244999999997</v>
      </c>
      <c r="N3">
        <v>1.6049100000000001</v>
      </c>
      <c r="O3">
        <v>3.4386040000000002</v>
      </c>
      <c r="P3">
        <f t="shared" si="0"/>
        <v>2.6748500000000003E-5</v>
      </c>
      <c r="Q3" cm="1">
        <f t="array" ref="Q3">[1]!PropsSI("D","T",J3+273.15,"P",101325,"Water")</f>
        <v>984.37276438121194</v>
      </c>
      <c r="R3" cm="1">
        <f t="array" ref="R3">[1]!PropsSI("D","T",K3+273.15,"P",101325,"Water")</f>
        <v>987.73068049010305</v>
      </c>
      <c r="S3">
        <f t="shared" si="1"/>
        <v>986.05172243565744</v>
      </c>
      <c r="T3" cm="1">
        <f t="array" ref="T3">[1]!PropsSI("H","T",J3+273.15,"P",101325,"Water")</f>
        <v>241545.70826312769</v>
      </c>
      <c r="U3" cm="1">
        <f t="array" ref="U3">[1]!PropsSI("H","T",K3+273.15,"P",101325,"Water")</f>
        <v>212218.75520247643</v>
      </c>
      <c r="V3">
        <f t="shared" si="2"/>
        <v>773.51024965593081</v>
      </c>
      <c r="W3" s="3" t="s">
        <v>35</v>
      </c>
      <c r="X3">
        <f t="shared" ref="X3:Y55" si="3">(0.15+0.002*ABS(J3))</f>
        <v>0.26536237200000001</v>
      </c>
      <c r="Y3">
        <f t="shared" si="3"/>
        <v>0.251339378</v>
      </c>
      <c r="Z3">
        <f t="shared" ref="Z3:Z55" si="4">SQRT((X3)^2 + (Y3)^2)</f>
        <v>0.36549784049552642</v>
      </c>
      <c r="AA3">
        <f>J3-K3</f>
        <v>7.0114969999999985</v>
      </c>
      <c r="AB3">
        <f t="shared" ref="AB3:AB66" si="5">SQRT((0.01)^2 + (Z3/ABS(AA3))^2)</f>
        <v>5.3078865165920516E-2</v>
      </c>
      <c r="AC3">
        <f t="shared" ref="AC3:AC66" si="6">ABS(V3*AB3)</f>
        <v>41.057046245944669</v>
      </c>
    </row>
    <row r="4" spans="1:29" x14ac:dyDescent="0.2">
      <c r="A4">
        <v>44675.0543673172</v>
      </c>
      <c r="B4">
        <v>17.148781</v>
      </c>
      <c r="C4">
        <v>17.274514</v>
      </c>
      <c r="D4">
        <v>18.987949</v>
      </c>
      <c r="E4">
        <v>19.262682000000002</v>
      </c>
      <c r="F4">
        <v>29.390998</v>
      </c>
      <c r="G4">
        <v>30.971036000000002</v>
      </c>
      <c r="H4">
        <v>26.276491</v>
      </c>
      <c r="I4">
        <v>23.759955999999999</v>
      </c>
      <c r="J4">
        <v>57.679752000000001</v>
      </c>
      <c r="K4">
        <v>50.658405999999999</v>
      </c>
      <c r="L4">
        <v>262.55282799999998</v>
      </c>
      <c r="M4">
        <v>-622.51306099999999</v>
      </c>
      <c r="N4">
        <v>1.605192</v>
      </c>
      <c r="O4">
        <v>3.7460819999999999</v>
      </c>
      <c r="P4">
        <f t="shared" si="0"/>
        <v>2.67532E-5</v>
      </c>
      <c r="Q4" cm="1">
        <f t="array" ref="Q4">[1]!PropsSI("D","T",J4+273.15,"P",101325,"Water")</f>
        <v>984.37348225094922</v>
      </c>
      <c r="R4" cm="1">
        <f t="array" ref="R4">[1]!PropsSI("D","T",K4+273.15,"P",101325,"Water")</f>
        <v>987.73583272095482</v>
      </c>
      <c r="S4">
        <f t="shared" si="1"/>
        <v>986.05465748595202</v>
      </c>
      <c r="T4" cm="1">
        <f t="array" ref="T4">[1]!PropsSI("H","T",J4+273.15,"P",101325,"Water")</f>
        <v>241539.70843514882</v>
      </c>
      <c r="U4" cm="1">
        <f t="array" ref="U4">[1]!PropsSI("H","T",K4+273.15,"P",101325,"Water")</f>
        <v>212171.5749568023</v>
      </c>
      <c r="V4">
        <f t="shared" si="2"/>
        <v>774.73481081765806</v>
      </c>
      <c r="W4" s="3">
        <f>SQRT((AVERAGE(AC2:AC45))^2 + (_xlfn.STDEV.S(V2:V45)/SQRT(COUNT(V2:V45)))^2)</f>
        <v>41.051534920322091</v>
      </c>
      <c r="X4">
        <f t="shared" si="3"/>
        <v>0.26535950399999997</v>
      </c>
      <c r="Y4">
        <f t="shared" si="3"/>
        <v>0.251316812</v>
      </c>
      <c r="Z4">
        <f t="shared" si="4"/>
        <v>0.36548024072030127</v>
      </c>
      <c r="AA4">
        <f t="shared" ref="AA4:AA67" si="7">J4-K4</f>
        <v>7.0213460000000012</v>
      </c>
      <c r="AB4">
        <f t="shared" si="5"/>
        <v>5.3004593153465888E-2</v>
      </c>
      <c r="AC4">
        <f t="shared" si="6"/>
        <v>41.064503449217327</v>
      </c>
    </row>
    <row r="5" spans="1:29" x14ac:dyDescent="0.2">
      <c r="A5">
        <v>44675.054402039401</v>
      </c>
      <c r="B5">
        <v>17.049144999999999</v>
      </c>
      <c r="C5">
        <v>17.464016000000001</v>
      </c>
      <c r="D5">
        <v>18.965242</v>
      </c>
      <c r="E5">
        <v>19.342974000000002</v>
      </c>
      <c r="F5">
        <v>29.307269999999999</v>
      </c>
      <c r="G5">
        <v>31.287659999999999</v>
      </c>
      <c r="H5">
        <v>26.161586</v>
      </c>
      <c r="I5">
        <v>23.545968999999999</v>
      </c>
      <c r="J5">
        <v>57.678159999999998</v>
      </c>
      <c r="K5">
        <v>50.655068999999997</v>
      </c>
      <c r="L5">
        <v>281.64493299999998</v>
      </c>
      <c r="M5">
        <v>-622.49306200000001</v>
      </c>
      <c r="N5">
        <v>1.6050899999999999</v>
      </c>
      <c r="O5">
        <v>3.5866120000000001</v>
      </c>
      <c r="P5">
        <f t="shared" si="0"/>
        <v>2.67515E-5</v>
      </c>
      <c r="Q5" cm="1">
        <f t="array" ref="Q5">[1]!PropsSI("D","T",J5+273.15,"P",101325,"Water")</f>
        <v>984.37427920195194</v>
      </c>
      <c r="R5" cm="1">
        <f t="array" ref="R5">[1]!PropsSI("D","T",K5+273.15,"P",101325,"Water")</f>
        <v>987.73735635851358</v>
      </c>
      <c r="S5">
        <f t="shared" si="1"/>
        <v>986.0558177802327</v>
      </c>
      <c r="T5" cm="1">
        <f t="array" ref="T5">[1]!PropsSI("H","T",J5+273.15,"P",101325,"Water")</f>
        <v>241533.04753921574</v>
      </c>
      <c r="U5" cm="1">
        <f t="array" ref="U5">[1]!PropsSI("H","T",K5+273.15,"P",101325,"Water")</f>
        <v>212157.62118573725</v>
      </c>
      <c r="V5">
        <f t="shared" si="2"/>
        <v>774.87886770297791</v>
      </c>
      <c r="W5" s="3"/>
      <c r="X5">
        <f t="shared" si="3"/>
        <v>0.26535631999999998</v>
      </c>
      <c r="Y5">
        <f t="shared" si="3"/>
        <v>0.25131013800000002</v>
      </c>
      <c r="Z5">
        <f t="shared" si="4"/>
        <v>0.36547333969185963</v>
      </c>
      <c r="AA5">
        <f t="shared" si="7"/>
        <v>7.0230910000000009</v>
      </c>
      <c r="AB5">
        <f t="shared" si="5"/>
        <v>5.2990927163674137E-2</v>
      </c>
      <c r="AC5">
        <f t="shared" si="6"/>
        <v>41.061549639118788</v>
      </c>
    </row>
    <row r="6" spans="1:29" x14ac:dyDescent="0.2">
      <c r="A6">
        <v>46137.054436759259</v>
      </c>
      <c r="B6">
        <v>17.016922999999998</v>
      </c>
      <c r="C6">
        <v>17.272874999999999</v>
      </c>
      <c r="D6">
        <v>19.060015</v>
      </c>
      <c r="E6">
        <v>19.300657999999999</v>
      </c>
      <c r="F6">
        <v>29.392391</v>
      </c>
      <c r="G6">
        <v>31.613026999999999</v>
      </c>
      <c r="H6">
        <v>26.964034999999999</v>
      </c>
      <c r="I6">
        <v>24.370692999999999</v>
      </c>
      <c r="J6">
        <v>57.676568000000003</v>
      </c>
      <c r="K6">
        <v>50.647441999999998</v>
      </c>
      <c r="L6">
        <v>280.936397</v>
      </c>
      <c r="M6">
        <v>-622.50367300000005</v>
      </c>
      <c r="N6">
        <v>1.605623</v>
      </c>
      <c r="O6">
        <v>3.8711150000000001</v>
      </c>
      <c r="P6">
        <f t="shared" si="0"/>
        <v>2.6760383333333335E-5</v>
      </c>
      <c r="Q6" cm="1">
        <f t="array" ref="Q6">[1]!PropsSI("D","T",J6+273.15,"P",101325,"Water")</f>
        <v>984.37507613765729</v>
      </c>
      <c r="R6" cm="1">
        <f t="array" ref="R6">[1]!PropsSI("D","T",K6+273.15,"P",101325,"Water")</f>
        <v>987.74083849078511</v>
      </c>
      <c r="S6">
        <f t="shared" si="1"/>
        <v>986.0579573142212</v>
      </c>
      <c r="T6" cm="1">
        <f t="array" ref="T6">[1]!PropsSI("H","T",J6+273.15,"P",101325,"Water")</f>
        <v>241526.38664427531</v>
      </c>
      <c r="U6" cm="1">
        <f t="array" ref="U6">[1]!PropsSI("H","T",K6+273.15,"P",101325,"Water")</f>
        <v>212125.72865624051</v>
      </c>
      <c r="V6">
        <f t="shared" si="2"/>
        <v>775.80365696278318</v>
      </c>
      <c r="W6" s="3"/>
      <c r="X6">
        <f t="shared" si="3"/>
        <v>0.26535313599999999</v>
      </c>
      <c r="Y6">
        <f t="shared" si="3"/>
        <v>0.251294884</v>
      </c>
      <c r="Z6">
        <f t="shared" si="4"/>
        <v>0.36546053892261465</v>
      </c>
      <c r="AA6">
        <f>J6-K6</f>
        <v>7.0291260000000051</v>
      </c>
      <c r="AB6">
        <f t="shared" si="5"/>
        <v>5.2945263283969819E-2</v>
      </c>
      <c r="AC6">
        <f t="shared" si="6"/>
        <v>41.075128874561159</v>
      </c>
    </row>
    <row r="7" spans="1:29" x14ac:dyDescent="0.2">
      <c r="A7">
        <v>46137.054472060183</v>
      </c>
      <c r="B7">
        <v>16.917570000000001</v>
      </c>
      <c r="C7">
        <v>17.146795999999998</v>
      </c>
      <c r="D7">
        <v>19.001705999999999</v>
      </c>
      <c r="E7">
        <v>19.290597999999999</v>
      </c>
      <c r="F7">
        <v>28.976371</v>
      </c>
      <c r="G7">
        <v>30.930823</v>
      </c>
      <c r="H7">
        <v>26.720199999999998</v>
      </c>
      <c r="I7">
        <v>23.831557</v>
      </c>
      <c r="J7">
        <v>57.674337999999999</v>
      </c>
      <c r="K7">
        <v>50.643787000000003</v>
      </c>
      <c r="L7">
        <v>282.140827</v>
      </c>
      <c r="M7">
        <v>-622.49714300000005</v>
      </c>
      <c r="N7">
        <v>1.6055649999999999</v>
      </c>
      <c r="O7">
        <v>2.9784280000000001</v>
      </c>
      <c r="P7">
        <f t="shared" si="0"/>
        <v>2.6759416666666667E-5</v>
      </c>
      <c r="Q7" cm="1">
        <f t="array" ref="Q7">[1]!PropsSI("D","T",J7+273.15,"P",101325,"Water")</f>
        <v>984.37619242259154</v>
      </c>
      <c r="R7" cm="1">
        <f t="array" ref="R7">[1]!PropsSI("D","T",K7+273.15,"P",101325,"Water")</f>
        <v>987.74250705896486</v>
      </c>
      <c r="S7">
        <f t="shared" si="1"/>
        <v>986.0593497407782</v>
      </c>
      <c r="T7" cm="1">
        <f t="array" ref="T7">[1]!PropsSI("H","T",J7+273.15,"P",101325,"Water")</f>
        <v>241517.05637233669</v>
      </c>
      <c r="U7" cm="1">
        <f t="array" ref="U7">[1]!PropsSI("H","T",K7+273.15,"P",101325,"Water")</f>
        <v>212110.44517002191</v>
      </c>
      <c r="V7">
        <f t="shared" si="2"/>
        <v>775.93381178485254</v>
      </c>
      <c r="W7" s="3"/>
      <c r="X7">
        <f t="shared" si="3"/>
        <v>0.26534867600000001</v>
      </c>
      <c r="Y7">
        <f t="shared" si="3"/>
        <v>0.25128757400000001</v>
      </c>
      <c r="Z7">
        <f t="shared" si="4"/>
        <v>0.36545227417784454</v>
      </c>
      <c r="AA7">
        <f t="shared" ref="AA7:AA70" si="8">J7-K7</f>
        <v>7.0305509999999956</v>
      </c>
      <c r="AB7">
        <f t="shared" si="5"/>
        <v>5.2933760457791849E-2</v>
      </c>
      <c r="AC7">
        <f t="shared" si="6"/>
        <v>41.073094524120734</v>
      </c>
    </row>
    <row r="8" spans="1:29" x14ac:dyDescent="0.2">
      <c r="A8">
        <v>46137.054507361114</v>
      </c>
      <c r="B8">
        <v>17.078870999999999</v>
      </c>
      <c r="C8">
        <v>17.218184999999998</v>
      </c>
      <c r="D8">
        <v>19.065375</v>
      </c>
      <c r="E8">
        <v>19.33484</v>
      </c>
      <c r="F8">
        <v>29.391337</v>
      </c>
      <c r="G8">
        <v>32.121814000000001</v>
      </c>
      <c r="H8">
        <v>26.462029999999999</v>
      </c>
      <c r="I8">
        <v>23.769333</v>
      </c>
      <c r="J8">
        <v>57.673223</v>
      </c>
      <c r="K8">
        <v>50.635365</v>
      </c>
      <c r="L8">
        <v>266.74486300000001</v>
      </c>
      <c r="M8">
        <v>-622.50489800000003</v>
      </c>
      <c r="N8">
        <v>1.608622</v>
      </c>
      <c r="O8">
        <v>3.1590699999999998</v>
      </c>
      <c r="P8">
        <f t="shared" si="0"/>
        <v>2.6810366666666667E-5</v>
      </c>
      <c r="Q8" cm="1">
        <f t="array" ref="Q8">[1]!PropsSI("D","T",J8+273.15,"P",101325,"Water")</f>
        <v>984.37675055380566</v>
      </c>
      <c r="R8" cm="1">
        <f t="array" ref="R8">[1]!PropsSI("D","T",K8+273.15,"P",101325,"Water")</f>
        <v>987.74635151070026</v>
      </c>
      <c r="S8">
        <f t="shared" si="1"/>
        <v>986.06155103225296</v>
      </c>
      <c r="T8" cm="1">
        <f t="array" ref="T8">[1]!PropsSI("H","T",J8+273.15,"P",101325,"Water")</f>
        <v>241512.39123710469</v>
      </c>
      <c r="U8" cm="1">
        <f t="array" ref="U8">[1]!PropsSI("H","T",K8+273.15,"P",101325,"Water")</f>
        <v>212075.2283529925</v>
      </c>
      <c r="V8">
        <f t="shared" si="2"/>
        <v>778.22061209700757</v>
      </c>
      <c r="W8" s="3"/>
      <c r="X8">
        <f t="shared" si="3"/>
        <v>0.26534644600000001</v>
      </c>
      <c r="Y8">
        <f t="shared" si="3"/>
        <v>0.25127073</v>
      </c>
      <c r="Z8">
        <f>SQRT((X8)^2 + (Y8)^2)</f>
        <v>0.36543907311556578</v>
      </c>
      <c r="AA8">
        <f t="shared" si="8"/>
        <v>7.0378579999999999</v>
      </c>
      <c r="AB8">
        <f t="shared" si="5"/>
        <v>5.2878922907502686E-2</v>
      </c>
      <c r="AC8">
        <f t="shared" si="6"/>
        <v>41.151467752107216</v>
      </c>
    </row>
    <row r="9" spans="1:29" x14ac:dyDescent="0.2">
      <c r="A9">
        <v>46137.054542083337</v>
      </c>
      <c r="B9">
        <v>17.086013000000001</v>
      </c>
      <c r="C9">
        <v>17.673124000000001</v>
      </c>
      <c r="D9">
        <v>18.941531999999999</v>
      </c>
      <c r="E9">
        <v>19.358674000000001</v>
      </c>
      <c r="F9">
        <v>29.303139000000002</v>
      </c>
      <c r="G9">
        <v>31.679044000000001</v>
      </c>
      <c r="H9">
        <v>26.729949999999999</v>
      </c>
      <c r="I9">
        <v>24.161774000000001</v>
      </c>
      <c r="J9">
        <v>57.672268000000003</v>
      </c>
      <c r="K9">
        <v>50.637430999999999</v>
      </c>
      <c r="L9">
        <v>273.42412000000002</v>
      </c>
      <c r="M9">
        <v>-622.49061300000005</v>
      </c>
      <c r="N9">
        <v>1.606795</v>
      </c>
      <c r="O9">
        <v>3.7871030000000001</v>
      </c>
      <c r="P9">
        <f t="shared" si="0"/>
        <v>2.6779916666666668E-5</v>
      </c>
      <c r="Q9" cm="1">
        <f t="array" ref="Q9">[1]!PropsSI("D","T",J9+273.15,"P",101325,"Water")</f>
        <v>984.37722858847849</v>
      </c>
      <c r="R9" cm="1">
        <f t="array" ref="R9">[1]!PropsSI("D","T",K9+273.15,"P",101325,"Water")</f>
        <v>987.74540847136541</v>
      </c>
      <c r="S9">
        <f t="shared" si="1"/>
        <v>986.06131852992189</v>
      </c>
      <c r="T9" cm="1">
        <f t="array" ref="T9">[1]!PropsSI("H","T",J9+273.15,"P",101325,"Water")</f>
        <v>241508.3955387467</v>
      </c>
      <c r="U9" cm="1">
        <f t="array" ref="U9">[1]!PropsSI("H","T",K9+273.15,"P",101325,"Water")</f>
        <v>212083.86738505456</v>
      </c>
      <c r="V9">
        <f t="shared" si="2"/>
        <v>777.00292031347351</v>
      </c>
      <c r="W9" s="3"/>
      <c r="X9">
        <f t="shared" si="3"/>
        <v>0.26534453600000002</v>
      </c>
      <c r="Y9">
        <f t="shared" si="3"/>
        <v>0.25127486199999999</v>
      </c>
      <c r="Z9">
        <f t="shared" ref="Z9:Z72" si="9">SQRT((X9)^2 + (Y9)^2)</f>
        <v>0.36544052738875904</v>
      </c>
      <c r="AA9">
        <f t="shared" si="8"/>
        <v>7.0348370000000031</v>
      </c>
      <c r="AB9">
        <f t="shared" si="5"/>
        <v>5.2901021985411772E-2</v>
      </c>
      <c r="AC9">
        <f t="shared" si="6"/>
        <v>41.104248570232215</v>
      </c>
    </row>
    <row r="10" spans="1:29" x14ac:dyDescent="0.2">
      <c r="A10">
        <v>44675.054577386603</v>
      </c>
      <c r="B10">
        <v>17.384602999999998</v>
      </c>
      <c r="C10">
        <v>18.016459999999999</v>
      </c>
      <c r="D10">
        <v>19.039999000000002</v>
      </c>
      <c r="E10">
        <v>19.377137999999999</v>
      </c>
      <c r="F10">
        <v>29.447852999999999</v>
      </c>
      <c r="G10">
        <v>30.557829999999999</v>
      </c>
      <c r="H10">
        <v>26.319178999999998</v>
      </c>
      <c r="I10">
        <v>22.980284000000001</v>
      </c>
      <c r="J10">
        <v>57.670676</v>
      </c>
      <c r="K10">
        <v>50.638860999999999</v>
      </c>
      <c r="L10">
        <v>268.99944399999998</v>
      </c>
      <c r="M10">
        <v>-622.49347</v>
      </c>
      <c r="N10">
        <v>1.6055159999999999</v>
      </c>
      <c r="O10">
        <v>3.3364199999999999</v>
      </c>
      <c r="P10">
        <f t="shared" si="0"/>
        <v>2.6758599999999998E-5</v>
      </c>
      <c r="Q10" cm="1">
        <f t="array" ref="Q10">[1]!PropsSI("D","T",J10+273.15,"P",101325,"Water")</f>
        <v>984.37802546750663</v>
      </c>
      <c r="R10" cm="1">
        <f t="array" ref="R10">[1]!PropsSI("D","T",K10+273.15,"P",101325,"Water")</f>
        <v>987.74475572214044</v>
      </c>
      <c r="S10">
        <f t="shared" si="1"/>
        <v>986.06139059482348</v>
      </c>
      <c r="T10" cm="1">
        <f t="array" ref="T10">[1]!PropsSI("H","T",J10+273.15,"P",101325,"Water")</f>
        <v>241501.73464757123</v>
      </c>
      <c r="U10" cm="1">
        <f t="array" ref="U10">[1]!PropsSI("H","T",K10+273.15,"P",101325,"Water")</f>
        <v>212089.84696752645</v>
      </c>
      <c r="V10">
        <f t="shared" si="2"/>
        <v>776.05096023129511</v>
      </c>
      <c r="X10">
        <f t="shared" si="3"/>
        <v>0.26534135199999997</v>
      </c>
      <c r="Y10">
        <f t="shared" si="3"/>
        <v>0.25127772199999998</v>
      </c>
      <c r="Z10">
        <f t="shared" si="9"/>
        <v>0.36544018204720891</v>
      </c>
      <c r="AA10">
        <f t="shared" si="8"/>
        <v>7.0318150000000017</v>
      </c>
      <c r="AB10">
        <f t="shared" si="5"/>
        <v>5.2922896337341589E-2</v>
      </c>
      <c r="AC10">
        <f t="shared" si="6"/>
        <v>41.070864520815228</v>
      </c>
    </row>
    <row r="11" spans="1:29" x14ac:dyDescent="0.2">
      <c r="A11">
        <v>44675.054612108797</v>
      </c>
      <c r="B11">
        <v>17.353127000000001</v>
      </c>
      <c r="C11">
        <v>17.987572</v>
      </c>
      <c r="D11">
        <v>19.009150999999999</v>
      </c>
      <c r="E11">
        <v>19.382002</v>
      </c>
      <c r="F11">
        <v>29.397766000000001</v>
      </c>
      <c r="G11">
        <v>31.355623000000001</v>
      </c>
      <c r="H11">
        <v>26.923421000000001</v>
      </c>
      <c r="I11">
        <v>23.365279000000001</v>
      </c>
      <c r="J11">
        <v>57.668923999999997</v>
      </c>
      <c r="K11">
        <v>50.641720999999997</v>
      </c>
      <c r="L11">
        <v>267.331772</v>
      </c>
      <c r="M11">
        <v>-622.519183</v>
      </c>
      <c r="N11">
        <v>1.6085849999999999</v>
      </c>
      <c r="O11">
        <v>3.2420010000000001</v>
      </c>
      <c r="P11">
        <f t="shared" si="0"/>
        <v>2.6809750000000002E-5</v>
      </c>
      <c r="Q11" cm="1">
        <f t="array" ref="Q11">[1]!PropsSI("D","T",J11+273.15,"P",101325,"Water")</f>
        <v>984.37890241720652</v>
      </c>
      <c r="R11" cm="1">
        <f t="array" ref="R11">[1]!PropsSI("D","T",K11+273.15,"P",101325,"Water")</f>
        <v>987.7434501837979</v>
      </c>
      <c r="S11">
        <f t="shared" si="1"/>
        <v>986.06117630050221</v>
      </c>
      <c r="T11" cm="1">
        <f t="array" ref="T11">[1]!PropsSI("H","T",J11+273.15,"P",101325,"Water")</f>
        <v>241494.40432128203</v>
      </c>
      <c r="U11" cm="1">
        <f t="array" ref="U11">[1]!PropsSI("H","T",K11+273.15,"P",101325,"Water")</f>
        <v>212101.80613421148</v>
      </c>
      <c r="V11">
        <f t="shared" si="2"/>
        <v>777.02430174338019</v>
      </c>
      <c r="X11">
        <f t="shared" si="3"/>
        <v>0.26533784799999999</v>
      </c>
      <c r="Y11">
        <f t="shared" si="3"/>
        <v>0.25128344199999997</v>
      </c>
      <c r="Z11">
        <f t="shared" si="9"/>
        <v>0.36544157098589436</v>
      </c>
      <c r="AA11">
        <f t="shared" si="8"/>
        <v>7.0272030000000001</v>
      </c>
      <c r="AB11">
        <f t="shared" si="5"/>
        <v>5.2956584355092311E-2</v>
      </c>
      <c r="AC11">
        <f t="shared" si="6"/>
        <v>41.148552981230011</v>
      </c>
    </row>
    <row r="12" spans="1:29" x14ac:dyDescent="0.2">
      <c r="A12">
        <v>44675.054647409801</v>
      </c>
      <c r="B12">
        <v>17.367657999999999</v>
      </c>
      <c r="C12">
        <v>17.950423000000001</v>
      </c>
      <c r="D12">
        <v>19.067136999999999</v>
      </c>
      <c r="E12">
        <v>19.484316</v>
      </c>
      <c r="F12">
        <v>29.105564000000001</v>
      </c>
      <c r="G12">
        <v>30.961660999999999</v>
      </c>
      <c r="H12">
        <v>26.524830999999999</v>
      </c>
      <c r="I12">
        <v>23.796019999999999</v>
      </c>
      <c r="J12">
        <v>57.667808999999998</v>
      </c>
      <c r="K12">
        <v>50.651572999999999</v>
      </c>
      <c r="L12">
        <v>253.099424</v>
      </c>
      <c r="M12">
        <v>-622.49959200000001</v>
      </c>
      <c r="N12">
        <v>1.6069910000000001</v>
      </c>
      <c r="O12">
        <v>3.5139480000000001</v>
      </c>
      <c r="P12">
        <f t="shared" si="0"/>
        <v>2.6783183333333335E-5</v>
      </c>
      <c r="Q12" cm="1">
        <f t="array" ref="Q12">[1]!PropsSI("D","T",J12+273.15,"P",101325,"Water")</f>
        <v>984.37946051193512</v>
      </c>
      <c r="R12" cm="1">
        <f t="array" ref="R12">[1]!PropsSI("D","T",K12+273.15,"P",101325,"Water")</f>
        <v>987.73895251598799</v>
      </c>
      <c r="S12">
        <f t="shared" si="1"/>
        <v>986.0592065139615</v>
      </c>
      <c r="T12" cm="1">
        <f t="array" ref="T12">[1]!PropsSI("H","T",J12+273.15,"P",101325,"Water")</f>
        <v>241489.73918849046</v>
      </c>
      <c r="U12" cm="1">
        <f t="array" ref="U12">[1]!PropsSI("H","T",K12+273.15,"P",101325,"Water")</f>
        <v>212143.00255465868</v>
      </c>
      <c r="V12">
        <f t="shared" si="2"/>
        <v>775.04157737637593</v>
      </c>
      <c r="X12">
        <f t="shared" si="3"/>
        <v>0.265335618</v>
      </c>
      <c r="Y12">
        <f t="shared" si="3"/>
        <v>0.25130314599999998</v>
      </c>
      <c r="Z12">
        <f t="shared" si="9"/>
        <v>0.36545350096686613</v>
      </c>
      <c r="AA12">
        <f t="shared" si="8"/>
        <v>7.0162359999999993</v>
      </c>
      <c r="AB12">
        <f t="shared" si="5"/>
        <v>5.303808062111208E-2</v>
      </c>
      <c r="AC12">
        <f t="shared" si="6"/>
        <v>41.106717665602105</v>
      </c>
    </row>
    <row r="13" spans="1:29" x14ac:dyDescent="0.2">
      <c r="A13">
        <v>44675.054682132002</v>
      </c>
      <c r="B13">
        <v>17.425792000000001</v>
      </c>
      <c r="C13">
        <v>17.910155</v>
      </c>
      <c r="D13">
        <v>19.132743999999999</v>
      </c>
      <c r="E13">
        <v>19.492321</v>
      </c>
      <c r="F13">
        <v>29.127336</v>
      </c>
      <c r="G13">
        <v>30.517609</v>
      </c>
      <c r="H13">
        <v>26.505172999999999</v>
      </c>
      <c r="I13">
        <v>24.461579</v>
      </c>
      <c r="J13">
        <v>57.664783999999997</v>
      </c>
      <c r="K13">
        <v>50.653798000000002</v>
      </c>
      <c r="L13">
        <v>285.07455700000003</v>
      </c>
      <c r="M13">
        <v>-622.49102100000005</v>
      </c>
      <c r="N13">
        <v>1.6063639999999999</v>
      </c>
      <c r="O13">
        <v>3.4821149999999998</v>
      </c>
      <c r="P13">
        <f t="shared" si="0"/>
        <v>2.6772733333333332E-5</v>
      </c>
      <c r="Q13" cm="1">
        <f t="array" ref="Q13">[1]!PropsSI("D","T",J13+273.15,"P",101325,"Water")</f>
        <v>984.38097458764616</v>
      </c>
      <c r="R13" cm="1">
        <f t="array" ref="R13">[1]!PropsSI("D","T",K13+273.15,"P",101325,"Water")</f>
        <v>987.73793666410336</v>
      </c>
      <c r="S13">
        <f t="shared" si="1"/>
        <v>986.05945562587476</v>
      </c>
      <c r="T13" cm="1">
        <f t="array" ref="T13">[1]!PropsSI("H","T",J13+273.15,"P",101325,"Water")</f>
        <v>241477.08266478908</v>
      </c>
      <c r="U13" cm="1">
        <f t="array" ref="U13">[1]!PropsSI("H","T",K13+273.15,"P",101325,"Water")</f>
        <v>212152.30645991387</v>
      </c>
      <c r="V13">
        <f t="shared" si="2"/>
        <v>774.1596304795786</v>
      </c>
      <c r="X13">
        <f t="shared" si="3"/>
        <v>0.26532956799999996</v>
      </c>
      <c r="Y13">
        <f t="shared" si="3"/>
        <v>0.25130759599999997</v>
      </c>
      <c r="Z13">
        <f t="shared" si="9"/>
        <v>0.36545216850138651</v>
      </c>
      <c r="AA13">
        <f t="shared" si="8"/>
        <v>7.0109859999999955</v>
      </c>
      <c r="AB13">
        <f t="shared" si="5"/>
        <v>5.3076198846520907E-2</v>
      </c>
      <c r="AC13">
        <f t="shared" si="6"/>
        <v>41.089450486283262</v>
      </c>
    </row>
    <row r="14" spans="1:29" x14ac:dyDescent="0.2">
      <c r="A14">
        <v>44675.054717432897</v>
      </c>
      <c r="B14">
        <v>17.574003000000001</v>
      </c>
      <c r="C14">
        <v>17.919440000000002</v>
      </c>
      <c r="D14">
        <v>19.028193000000002</v>
      </c>
      <c r="E14">
        <v>19.513632999999999</v>
      </c>
      <c r="F14">
        <v>29.353728</v>
      </c>
      <c r="G14">
        <v>30.940542000000001</v>
      </c>
      <c r="H14">
        <v>26.673437</v>
      </c>
      <c r="I14">
        <v>23.999849999999999</v>
      </c>
      <c r="J14">
        <v>57.664624000000003</v>
      </c>
      <c r="K14">
        <v>50.654274999999998</v>
      </c>
      <c r="L14">
        <v>270.311623</v>
      </c>
      <c r="M14">
        <v>-622.50081599999999</v>
      </c>
      <c r="N14">
        <v>1.6062000000000001</v>
      </c>
      <c r="O14">
        <v>3.452925</v>
      </c>
      <c r="P14">
        <f t="shared" si="0"/>
        <v>2.6770000000000003E-5</v>
      </c>
      <c r="Q14" cm="1">
        <f t="array" ref="Q14">[1]!PropsSI("D","T",J14+273.15,"P",101325,"Water")</f>
        <v>984.38105466944194</v>
      </c>
      <c r="R14" cm="1">
        <f t="array" ref="R14">[1]!PropsSI("D","T",K14+273.15,"P",101325,"Water")</f>
        <v>987.73771887953319</v>
      </c>
      <c r="S14">
        <f t="shared" si="1"/>
        <v>986.05938677448762</v>
      </c>
      <c r="T14" cm="1">
        <f t="array" ref="T14">[1]!PropsSI("H","T",J14+273.15,"P",101325,"Water")</f>
        <v>241476.41322895529</v>
      </c>
      <c r="U14" cm="1">
        <f t="array" ref="U14">[1]!PropsSI("H","T",K14+273.15,"P",101325,"Water")</f>
        <v>212154.30105011066</v>
      </c>
      <c r="V14">
        <f t="shared" si="2"/>
        <v>774.01021764869449</v>
      </c>
      <c r="X14">
        <f t="shared" si="3"/>
        <v>0.26532924800000002</v>
      </c>
      <c r="Y14">
        <f t="shared" si="3"/>
        <v>0.25130854999999996</v>
      </c>
      <c r="Z14">
        <f t="shared" si="9"/>
        <v>0.3654525922022554</v>
      </c>
      <c r="AA14">
        <f t="shared" si="8"/>
        <v>7.010349000000005</v>
      </c>
      <c r="AB14">
        <f t="shared" si="5"/>
        <v>5.3080909816547103E-2</v>
      </c>
      <c r="AC14">
        <f t="shared" si="6"/>
        <v>41.085166560096347</v>
      </c>
    </row>
    <row r="15" spans="1:29" x14ac:dyDescent="0.2">
      <c r="A15">
        <v>46137.054752152777</v>
      </c>
      <c r="B15">
        <v>17.462558999999999</v>
      </c>
      <c r="C15">
        <v>17.950109000000001</v>
      </c>
      <c r="D15">
        <v>19.142690000000002</v>
      </c>
      <c r="E15">
        <v>19.469977</v>
      </c>
      <c r="F15">
        <v>29.450842999999999</v>
      </c>
      <c r="G15">
        <v>31.886510999999999</v>
      </c>
      <c r="H15">
        <v>27.017213999999999</v>
      </c>
      <c r="I15">
        <v>24.313348999999999</v>
      </c>
      <c r="J15">
        <v>57.661439999999999</v>
      </c>
      <c r="K15">
        <v>50.654910000000001</v>
      </c>
      <c r="L15">
        <v>266.11469</v>
      </c>
      <c r="M15">
        <v>-622.47632799999997</v>
      </c>
      <c r="N15">
        <v>1.605758</v>
      </c>
      <c r="O15">
        <v>3.2498420000000001</v>
      </c>
      <c r="P15">
        <f t="shared" si="0"/>
        <v>2.6762633333333334E-5</v>
      </c>
      <c r="Q15" cm="1">
        <f t="array" ref="Q15">[1]!PropsSI("D","T",J15+273.15,"P",101325,"Water")</f>
        <v>984.38264826517832</v>
      </c>
      <c r="R15" cm="1">
        <f t="array" ref="R15">[1]!PropsSI("D","T",K15+273.15,"P",101325,"Water")</f>
        <v>987.73742895435214</v>
      </c>
      <c r="S15">
        <f t="shared" si="1"/>
        <v>986.06003860976523</v>
      </c>
      <c r="T15" cm="1">
        <f t="array" ref="T15">[1]!PropsSI("H","T",J15+273.15,"P",101325,"Water")</f>
        <v>241463.0914574058</v>
      </c>
      <c r="U15" cm="1">
        <f t="array" ref="U15">[1]!PropsSI("H","T",K15+273.15,"P",101325,"Water")</f>
        <v>212156.95632229722</v>
      </c>
      <c r="V15">
        <f t="shared" si="2"/>
        <v>773.37610699443769</v>
      </c>
      <c r="X15">
        <f t="shared" si="3"/>
        <v>0.26532287999999998</v>
      </c>
      <c r="Y15">
        <f t="shared" si="3"/>
        <v>0.25130982000000002</v>
      </c>
      <c r="Z15">
        <f t="shared" si="9"/>
        <v>0.36544884221998408</v>
      </c>
      <c r="AA15">
        <f t="shared" si="8"/>
        <v>7.0065299999999979</v>
      </c>
      <c r="AB15">
        <f t="shared" si="5"/>
        <v>5.3108290032183661E-2</v>
      </c>
      <c r="AC15">
        <f t="shared" si="6"/>
        <v>41.072682594221696</v>
      </c>
    </row>
    <row r="16" spans="1:29" x14ac:dyDescent="0.2">
      <c r="A16">
        <v>46137.054787453701</v>
      </c>
      <c r="B16">
        <v>17.458286999999999</v>
      </c>
      <c r="C16">
        <v>18.011900000000001</v>
      </c>
      <c r="D16">
        <v>19.102649</v>
      </c>
      <c r="E16">
        <v>19.501083999999999</v>
      </c>
      <c r="F16">
        <v>29.283488999999999</v>
      </c>
      <c r="G16">
        <v>31.811330000000002</v>
      </c>
      <c r="H16">
        <v>26.257997</v>
      </c>
      <c r="I16">
        <v>23.492062000000001</v>
      </c>
      <c r="J16">
        <v>57.658732000000001</v>
      </c>
      <c r="K16">
        <v>50.654752000000002</v>
      </c>
      <c r="L16">
        <v>261.58961099999999</v>
      </c>
      <c r="M16">
        <v>-622.49591899999996</v>
      </c>
      <c r="N16">
        <v>1.6057410000000001</v>
      </c>
      <c r="O16">
        <v>3.4060969999999999</v>
      </c>
      <c r="P16">
        <f t="shared" si="0"/>
        <v>2.6762350000000003E-5</v>
      </c>
      <c r="Q16" cm="1">
        <f t="array" ref="Q16">[1]!PropsSI("D","T",J16+273.15,"P",101325,"Water")</f>
        <v>984.38400357415173</v>
      </c>
      <c r="R16" cm="1">
        <f t="array" ref="R16">[1]!PropsSI("D","T",K16+273.15,"P",101325,"Water")</f>
        <v>987.7375010934644</v>
      </c>
      <c r="S16">
        <f t="shared" si="1"/>
        <v>986.06075233380807</v>
      </c>
      <c r="T16" cm="1">
        <f t="array" ref="T16">[1]!PropsSI("H","T",J16+273.15,"P",101325,"Water")</f>
        <v>241451.76126048484</v>
      </c>
      <c r="U16" cm="1">
        <f t="array" ref="U16">[1]!PropsSI("H","T",K16+273.15,"P",101325,"Water")</f>
        <v>212156.29564038722</v>
      </c>
      <c r="V16">
        <f t="shared" si="2"/>
        <v>773.0869180489176</v>
      </c>
      <c r="X16">
        <f t="shared" si="3"/>
        <v>0.265317464</v>
      </c>
      <c r="Y16">
        <f t="shared" si="3"/>
        <v>0.25130950400000002</v>
      </c>
      <c r="Z16">
        <f t="shared" si="9"/>
        <v>0.36544469281153519</v>
      </c>
      <c r="AA16">
        <f t="shared" si="8"/>
        <v>7.0039799999999985</v>
      </c>
      <c r="AB16">
        <f t="shared" si="5"/>
        <v>5.3126358363901192E-2</v>
      </c>
      <c r="AC16">
        <f t="shared" si="6"/>
        <v>41.07129265471071</v>
      </c>
    </row>
    <row r="17" spans="1:29" x14ac:dyDescent="0.2">
      <c r="A17">
        <v>46137.054822175924</v>
      </c>
      <c r="B17">
        <v>17.499863999999999</v>
      </c>
      <c r="C17">
        <v>17.821603</v>
      </c>
      <c r="D17">
        <v>19.083784000000001</v>
      </c>
      <c r="E17">
        <v>19.509827999999999</v>
      </c>
      <c r="F17">
        <v>29.839454</v>
      </c>
      <c r="G17">
        <v>30.964748</v>
      </c>
      <c r="H17">
        <v>26.992934000000002</v>
      </c>
      <c r="I17">
        <v>23.800664000000001</v>
      </c>
      <c r="J17">
        <v>57.655866000000003</v>
      </c>
      <c r="K17">
        <v>50.654116000000002</v>
      </c>
      <c r="L17">
        <v>286.90467000000001</v>
      </c>
      <c r="M17">
        <v>-622.48122499999999</v>
      </c>
      <c r="N17">
        <v>1.605623</v>
      </c>
      <c r="O17">
        <v>3.4271669999999999</v>
      </c>
      <c r="P17">
        <f t="shared" si="0"/>
        <v>2.6760383333333335E-5</v>
      </c>
      <c r="Q17" cm="1">
        <f t="array" ref="Q17">[1]!PropsSI("D","T",J17+273.15,"P",101325,"Water")</f>
        <v>984.38543791122686</v>
      </c>
      <c r="R17" cm="1">
        <f t="array" ref="R17">[1]!PropsSI("D","T",K17+273.15,"P",101325,"Water")</f>
        <v>987.73779147454786</v>
      </c>
      <c r="S17">
        <f t="shared" si="1"/>
        <v>986.06161469288736</v>
      </c>
      <c r="T17" cm="1">
        <f t="array" ref="T17">[1]!PropsSI("H","T",J17+273.15,"P",101325,"Water")</f>
        <v>241439.7699991813</v>
      </c>
      <c r="U17" cm="1">
        <f t="array" ref="U17">[1]!PropsSI("H","T",K17+273.15,"P",101325,"Water")</f>
        <v>212153.63618668285</v>
      </c>
      <c r="V17">
        <f t="shared" si="2"/>
        <v>772.7845407713545</v>
      </c>
      <c r="X17">
        <f t="shared" si="3"/>
        <v>0.26531173200000002</v>
      </c>
      <c r="Y17">
        <f t="shared" si="3"/>
        <v>0.25130823200000002</v>
      </c>
      <c r="Z17">
        <f t="shared" si="9"/>
        <v>0.36543965658888977</v>
      </c>
      <c r="AA17">
        <f t="shared" si="8"/>
        <v>7.0017500000000013</v>
      </c>
      <c r="AB17">
        <f t="shared" si="5"/>
        <v>5.3141972835971871E-2</v>
      </c>
      <c r="AC17">
        <f t="shared" si="6"/>
        <v>41.067295073730314</v>
      </c>
    </row>
    <row r="18" spans="1:29" x14ac:dyDescent="0.2">
      <c r="A18">
        <v>46137.054856898147</v>
      </c>
      <c r="B18">
        <v>17.229841</v>
      </c>
      <c r="C18">
        <v>17.331026999999999</v>
      </c>
      <c r="D18">
        <v>18.976533</v>
      </c>
      <c r="E18">
        <v>19.425205999999999</v>
      </c>
      <c r="F18">
        <v>29.696653999999999</v>
      </c>
      <c r="G18">
        <v>31.962931999999999</v>
      </c>
      <c r="H18">
        <v>26.525852</v>
      </c>
      <c r="I18">
        <v>23.903002000000001</v>
      </c>
      <c r="J18">
        <v>57.653159000000002</v>
      </c>
      <c r="K18">
        <v>50.651255999999997</v>
      </c>
      <c r="L18">
        <v>282.14245899999997</v>
      </c>
      <c r="M18">
        <v>-622.49714300000005</v>
      </c>
      <c r="N18">
        <v>1.6057950000000001</v>
      </c>
      <c r="O18">
        <v>3.4248280000000002</v>
      </c>
      <c r="P18">
        <f t="shared" si="0"/>
        <v>2.6763250000000002E-5</v>
      </c>
      <c r="Q18" cm="1">
        <f t="array" ref="Q18">[1]!PropsSI("D","T",J18+273.15,"P",101325,"Water")</f>
        <v>984.38679262857136</v>
      </c>
      <c r="R18" cm="1">
        <f t="array" ref="R18">[1]!PropsSI("D","T",K18+273.15,"P",101325,"Water")</f>
        <v>987.73909724371424</v>
      </c>
      <c r="S18">
        <f t="shared" si="1"/>
        <v>986.0629449361428</v>
      </c>
      <c r="T18" cm="1">
        <f t="array" ref="T18">[1]!PropsSI("H","T",J18+273.15,"P",101325,"Water")</f>
        <v>241428.44399223424</v>
      </c>
      <c r="U18" cm="1">
        <f t="array" ref="U18">[1]!PropsSI("H","T",K18+273.15,"P",101325,"Water")</f>
        <v>212141.67700962481</v>
      </c>
      <c r="V18">
        <f t="shared" si="2"/>
        <v>772.88507632869516</v>
      </c>
      <c r="X18">
        <f t="shared" si="3"/>
        <v>0.26530631799999999</v>
      </c>
      <c r="Y18">
        <f t="shared" si="3"/>
        <v>0.25130251199999998</v>
      </c>
      <c r="Z18">
        <f t="shared" si="9"/>
        <v>0.36543179241580398</v>
      </c>
      <c r="AA18">
        <f t="shared" si="8"/>
        <v>7.0019030000000058</v>
      </c>
      <c r="AB18">
        <f t="shared" si="5"/>
        <v>5.3139749656745713E-2</v>
      </c>
      <c r="AC18">
        <f t="shared" si="6"/>
        <v>41.070919469541664</v>
      </c>
    </row>
    <row r="19" spans="1:29" x14ac:dyDescent="0.2">
      <c r="A19">
        <v>46137.054892199078</v>
      </c>
      <c r="B19">
        <v>16.927081000000001</v>
      </c>
      <c r="C19">
        <v>17.341203</v>
      </c>
      <c r="D19">
        <v>18.957363000000001</v>
      </c>
      <c r="E19">
        <v>19.300205999999999</v>
      </c>
      <c r="F19">
        <v>29.038121</v>
      </c>
      <c r="G19">
        <v>31.857306999999999</v>
      </c>
      <c r="H19">
        <v>26.499279999999999</v>
      </c>
      <c r="I19">
        <v>24.330843000000002</v>
      </c>
      <c r="J19">
        <v>57.651088999999999</v>
      </c>
      <c r="K19">
        <v>50.648235999999997</v>
      </c>
      <c r="L19">
        <v>284.02930400000002</v>
      </c>
      <c r="M19">
        <v>-622.50938699999995</v>
      </c>
      <c r="N19">
        <v>1.605688</v>
      </c>
      <c r="O19">
        <v>3.4173819999999999</v>
      </c>
      <c r="P19">
        <f t="shared" si="0"/>
        <v>2.6761466666666668E-5</v>
      </c>
      <c r="Q19" cm="1">
        <f t="array" ref="Q19">[1]!PropsSI("D","T",J19+273.15,"P",101325,"Water")</f>
        <v>984.38782852958309</v>
      </c>
      <c r="R19" cm="1">
        <f t="array" ref="R19">[1]!PropsSI("D","T",K19+273.15,"P",101325,"Water")</f>
        <v>987.74047600508163</v>
      </c>
      <c r="S19">
        <f t="shared" si="1"/>
        <v>986.06415226733236</v>
      </c>
      <c r="T19" cm="1">
        <f t="array" ref="T19">[1]!PropsSI("H","T",J19+273.15,"P",101325,"Water")</f>
        <v>241419.78317624418</v>
      </c>
      <c r="U19" cm="1">
        <f t="array" ref="U19">[1]!PropsSI("H","T",K19+273.15,"P",101325,"Water")</f>
        <v>212129.04879028304</v>
      </c>
      <c r="V19">
        <f t="shared" si="2"/>
        <v>772.9392163348092</v>
      </c>
      <c r="X19">
        <f t="shared" si="3"/>
        <v>0.265302178</v>
      </c>
      <c r="Y19">
        <f t="shared" si="3"/>
        <v>0.25129647199999999</v>
      </c>
      <c r="Z19">
        <f t="shared" si="9"/>
        <v>0.36542463312041579</v>
      </c>
      <c r="AA19">
        <f t="shared" si="8"/>
        <v>7.0028530000000018</v>
      </c>
      <c r="AB19">
        <f t="shared" si="5"/>
        <v>5.3131792006164795E-2</v>
      </c>
      <c r="AC19">
        <f t="shared" si="6"/>
        <v>41.067645675709095</v>
      </c>
    </row>
    <row r="20" spans="1:29" x14ac:dyDescent="0.2">
      <c r="A20">
        <v>46137.054926921293</v>
      </c>
      <c r="B20">
        <v>17.048493000000001</v>
      </c>
      <c r="C20">
        <v>17.086044999999999</v>
      </c>
      <c r="D20">
        <v>19.011247000000001</v>
      </c>
      <c r="E20">
        <v>19.323201000000001</v>
      </c>
      <c r="F20">
        <v>29.214855</v>
      </c>
      <c r="G20">
        <v>31.848002999999999</v>
      </c>
      <c r="H20">
        <v>26.156137000000001</v>
      </c>
      <c r="I20">
        <v>23.527249999999999</v>
      </c>
      <c r="J20">
        <v>57.648381999999998</v>
      </c>
      <c r="K20">
        <v>50.628691000000003</v>
      </c>
      <c r="L20">
        <v>267.48849899999999</v>
      </c>
      <c r="M20">
        <v>-622.49020499999995</v>
      </c>
      <c r="N20">
        <v>1.609917</v>
      </c>
      <c r="O20">
        <v>3.394711</v>
      </c>
      <c r="P20">
        <f t="shared" si="0"/>
        <v>2.683195E-5</v>
      </c>
      <c r="Q20" cm="1">
        <f t="array" ref="Q20">[1]!PropsSI("D","T",J20+273.15,"P",101325,"Water")</f>
        <v>984.38918316879142</v>
      </c>
      <c r="R20" cm="1">
        <f t="array" ref="R20">[1]!PropsSI("D","T",K20+273.15,"P",101325,"Water")</f>
        <v>987.74939771210018</v>
      </c>
      <c r="S20">
        <f t="shared" si="1"/>
        <v>986.0692904404458</v>
      </c>
      <c r="T20" cm="1">
        <f t="array" ref="T20">[1]!PropsSI("H","T",J20+273.15,"P",101325,"Water")</f>
        <v>241408.45717453724</v>
      </c>
      <c r="U20" cm="1">
        <f t="array" ref="U20">[1]!PropsSI("H","T",K20+273.15,"P",101325,"Water")</f>
        <v>212047.32085927151</v>
      </c>
      <c r="V20">
        <f t="shared" si="2"/>
        <v>776.84169812778759</v>
      </c>
      <c r="X20">
        <f t="shared" si="3"/>
        <v>0.26529676400000002</v>
      </c>
      <c r="Y20">
        <f t="shared" si="3"/>
        <v>0.25125738200000003</v>
      </c>
      <c r="Z20">
        <f t="shared" si="9"/>
        <v>0.36539382178461316</v>
      </c>
      <c r="AA20">
        <f t="shared" si="8"/>
        <v>7.0196909999999946</v>
      </c>
      <c r="AB20">
        <f t="shared" si="5"/>
        <v>5.3004555148109082E-2</v>
      </c>
      <c r="AC20">
        <f t="shared" si="6"/>
        <v>41.176148629765024</v>
      </c>
    </row>
    <row r="21" spans="1:29" x14ac:dyDescent="0.2">
      <c r="A21">
        <v>46137.054962222224</v>
      </c>
      <c r="B21">
        <v>17.243903</v>
      </c>
      <c r="C21">
        <v>17.300733000000001</v>
      </c>
      <c r="D21">
        <v>19.168068000000002</v>
      </c>
      <c r="E21">
        <v>19.467326</v>
      </c>
      <c r="F21">
        <v>29.257933999999999</v>
      </c>
      <c r="G21">
        <v>30.344982999999999</v>
      </c>
      <c r="H21">
        <v>26.557496</v>
      </c>
      <c r="I21">
        <v>24.016098</v>
      </c>
      <c r="J21">
        <v>57.644877999999999</v>
      </c>
      <c r="K21">
        <v>50.619475000000001</v>
      </c>
      <c r="L21">
        <v>281.76941699999998</v>
      </c>
      <c r="M21">
        <v>-622.50653</v>
      </c>
      <c r="N21">
        <v>1.60402</v>
      </c>
      <c r="O21">
        <v>3.250299</v>
      </c>
      <c r="P21">
        <f t="shared" si="0"/>
        <v>2.6733666666666668E-5</v>
      </c>
      <c r="Q21" cm="1">
        <f t="array" ref="Q21">[1]!PropsSI("D","T",J21+273.15,"P",101325,"Water")</f>
        <v>984.39093657763999</v>
      </c>
      <c r="R21" cm="1">
        <f t="array" ref="R21">[1]!PropsSI("D","T",K21+273.15,"P",101325,"Water")</f>
        <v>987.75360367694077</v>
      </c>
      <c r="S21">
        <f t="shared" si="1"/>
        <v>986.07227012729038</v>
      </c>
      <c r="T21" cm="1">
        <f t="array" ref="T21">[1]!PropsSI("H","T",J21+273.15,"P",101325,"Water")</f>
        <v>241393.79655464669</v>
      </c>
      <c r="U21" cm="1">
        <f t="array" ref="U21">[1]!PropsSI("H","T",K21+273.15,"P",101325,"Water")</f>
        <v>212008.78395204173</v>
      </c>
      <c r="V21">
        <f t="shared" si="2"/>
        <v>774.62793724820506</v>
      </c>
      <c r="X21">
        <f t="shared" si="3"/>
        <v>0.26528975599999999</v>
      </c>
      <c r="Y21">
        <f t="shared" si="3"/>
        <v>0.25123895000000002</v>
      </c>
      <c r="Z21">
        <f t="shared" si="9"/>
        <v>0.36537605919879595</v>
      </c>
      <c r="AA21">
        <f t="shared" si="8"/>
        <v>7.0254029999999972</v>
      </c>
      <c r="AB21">
        <f t="shared" si="5"/>
        <v>5.2960511490947625E-2</v>
      </c>
      <c r="AC21">
        <f t="shared" si="6"/>
        <v>41.024691771842619</v>
      </c>
    </row>
    <row r="22" spans="1:29" x14ac:dyDescent="0.2">
      <c r="A22">
        <v>46137.054996944447</v>
      </c>
      <c r="B22">
        <v>17.293983999999998</v>
      </c>
      <c r="C22">
        <v>17.418966999999999</v>
      </c>
      <c r="D22">
        <v>19.132549000000001</v>
      </c>
      <c r="E22">
        <v>19.404862999999999</v>
      </c>
      <c r="F22">
        <v>29.488054999999999</v>
      </c>
      <c r="G22">
        <v>31.238016999999999</v>
      </c>
      <c r="H22">
        <v>27.220268999999998</v>
      </c>
      <c r="I22">
        <v>24.630376999999999</v>
      </c>
      <c r="J22">
        <v>57.641374999999996</v>
      </c>
      <c r="K22">
        <v>50.622176000000003</v>
      </c>
      <c r="L22">
        <v>293.23904700000003</v>
      </c>
      <c r="M22">
        <v>-622.52081499999997</v>
      </c>
      <c r="N22">
        <v>1.6062989999999999</v>
      </c>
      <c r="O22">
        <v>3.1495890000000002</v>
      </c>
      <c r="P22">
        <f t="shared" si="0"/>
        <v>2.677165E-5</v>
      </c>
      <c r="Q22" cm="1">
        <f t="array" ref="Q22">[1]!PropsSI("D","T",J22+273.15,"P",101325,"Water")</f>
        <v>984.39268941194928</v>
      </c>
      <c r="R22" cm="1">
        <f t="array" ref="R22">[1]!PropsSI("D","T",K22+273.15,"P",101325,"Water")</f>
        <v>987.75237106160421</v>
      </c>
      <c r="S22">
        <f t="shared" si="1"/>
        <v>986.07253023677674</v>
      </c>
      <c r="T22" cm="1">
        <f t="array" ref="T22">[1]!PropsSI("H","T",J22+273.15,"P",101325,"Water")</f>
        <v>241379.14012363314</v>
      </c>
      <c r="U22" cm="1">
        <f t="array" ref="U22">[1]!PropsSI("H","T",K22+273.15,"P",101325,"Water")</f>
        <v>212020.07824051043</v>
      </c>
      <c r="V22">
        <f t="shared" si="2"/>
        <v>775.04366973559331</v>
      </c>
      <c r="X22">
        <f t="shared" si="3"/>
        <v>0.26528275000000001</v>
      </c>
      <c r="Y22">
        <f t="shared" si="3"/>
        <v>0.251244352</v>
      </c>
      <c r="Z22">
        <f t="shared" si="9"/>
        <v>0.36537468694404984</v>
      </c>
      <c r="AA22">
        <f t="shared" si="8"/>
        <v>7.0191989999999933</v>
      </c>
      <c r="AB22">
        <f t="shared" si="5"/>
        <v>5.3005461064319963E-2</v>
      </c>
      <c r="AC22">
        <f t="shared" si="6"/>
        <v>41.08154705931765</v>
      </c>
    </row>
    <row r="23" spans="1:29" x14ac:dyDescent="0.2">
      <c r="A23">
        <v>46137.055032245371</v>
      </c>
      <c r="B23">
        <v>17.362190999999999</v>
      </c>
      <c r="C23">
        <v>18.034227000000001</v>
      </c>
      <c r="D23">
        <v>19.250598</v>
      </c>
      <c r="E23">
        <v>19.476476999999999</v>
      </c>
      <c r="F23">
        <v>29.614643999999998</v>
      </c>
      <c r="G23">
        <v>31.793849000000002</v>
      </c>
      <c r="H23">
        <v>26.749936999999999</v>
      </c>
      <c r="I23">
        <v>23.690698999999999</v>
      </c>
      <c r="J23">
        <v>57.643445</v>
      </c>
      <c r="K23">
        <v>50.624718999999999</v>
      </c>
      <c r="L23">
        <v>283.29668700000002</v>
      </c>
      <c r="M23">
        <v>-622.48367399999995</v>
      </c>
      <c r="N23">
        <v>1.603942</v>
      </c>
      <c r="O23">
        <v>3.666874</v>
      </c>
      <c r="P23">
        <f t="shared" si="0"/>
        <v>2.6732366666666665E-5</v>
      </c>
      <c r="Q23" cm="1">
        <f t="array" ref="Q23">[1]!PropsSI("D","T",J23+273.15,"P",101325,"Water")</f>
        <v>984.39165363242807</v>
      </c>
      <c r="R23" cm="1">
        <f t="array" ref="R23">[1]!PropsSI("D","T",K23+273.15,"P",101325,"Water")</f>
        <v>987.75121050695293</v>
      </c>
      <c r="S23">
        <f t="shared" si="1"/>
        <v>986.07143206969045</v>
      </c>
      <c r="T23" cm="1">
        <f t="array" ref="T23">[1]!PropsSI("H","T",J23+273.15,"P",101325,"Water")</f>
        <v>241387.80093153397</v>
      </c>
      <c r="U23" cm="1">
        <f t="array" ref="U23">[1]!PropsSI("H","T",K23+273.15,"P",101325,"Water")</f>
        <v>212030.71185063131</v>
      </c>
      <c r="V23">
        <f t="shared" si="2"/>
        <v>773.85354578153544</v>
      </c>
      <c r="X23">
        <f t="shared" si="3"/>
        <v>0.26528689</v>
      </c>
      <c r="Y23">
        <f t="shared" si="3"/>
        <v>0.25124943799999999</v>
      </c>
      <c r="Z23">
        <f t="shared" si="9"/>
        <v>0.36538119013051007</v>
      </c>
      <c r="AA23">
        <f t="shared" si="8"/>
        <v>7.0187260000000009</v>
      </c>
      <c r="AB23">
        <f t="shared" si="5"/>
        <v>5.3009815939270989E-2</v>
      </c>
      <c r="AC23">
        <f t="shared" si="6"/>
        <v>41.02183402583141</v>
      </c>
    </row>
    <row r="24" spans="1:29" x14ac:dyDescent="0.2">
      <c r="A24">
        <v>46137.055067546295</v>
      </c>
      <c r="B24">
        <v>17.512101000000001</v>
      </c>
      <c r="C24">
        <v>18.097608999999999</v>
      </c>
      <c r="D24">
        <v>19.241845000000001</v>
      </c>
      <c r="E24">
        <v>19.483105999999999</v>
      </c>
      <c r="F24">
        <v>29.165991000000002</v>
      </c>
      <c r="G24">
        <v>31.617751999999999</v>
      </c>
      <c r="H24">
        <v>27.252223000000001</v>
      </c>
      <c r="I24">
        <v>23.892205000000001</v>
      </c>
      <c r="J24">
        <v>57.639145999999997</v>
      </c>
      <c r="K24">
        <v>50.62885</v>
      </c>
      <c r="L24">
        <v>277.06393800000001</v>
      </c>
      <c r="M24">
        <v>-622.48122499999999</v>
      </c>
      <c r="N24">
        <v>1.604725</v>
      </c>
      <c r="O24">
        <v>3.5090050000000002</v>
      </c>
      <c r="P24">
        <f t="shared" si="0"/>
        <v>2.6745416666666666E-5</v>
      </c>
      <c r="Q24" cm="1">
        <f t="array" ref="Q24">[1]!PropsSI("D","T",J24+273.15,"P",101325,"Water")</f>
        <v>984.3938047223545</v>
      </c>
      <c r="R24" cm="1">
        <f t="array" ref="R24">[1]!PropsSI("D","T",K24+273.15,"P",101325,"Water")</f>
        <v>987.74932514338423</v>
      </c>
      <c r="S24">
        <f t="shared" si="1"/>
        <v>986.07156493286936</v>
      </c>
      <c r="T24" cm="1">
        <f t="array" ref="T24">[1]!PropsSI("H","T",J24+273.15,"P",101325,"Water")</f>
        <v>241369.81406715041</v>
      </c>
      <c r="U24" cm="1">
        <f t="array" ref="U24">[1]!PropsSI("H","T",K24+273.15,"P",101325,"Water")</f>
        <v>212047.98572150848</v>
      </c>
      <c r="V24">
        <f t="shared" si="2"/>
        <v>773.30149627609353</v>
      </c>
      <c r="X24">
        <f t="shared" si="3"/>
        <v>0.26527829199999997</v>
      </c>
      <c r="Y24">
        <f t="shared" si="3"/>
        <v>0.25125770000000003</v>
      </c>
      <c r="Z24">
        <f t="shared" si="9"/>
        <v>0.36538062895524065</v>
      </c>
      <c r="AA24">
        <f t="shared" si="8"/>
        <v>7.0102959999999968</v>
      </c>
      <c r="AB24">
        <f t="shared" si="5"/>
        <v>5.3071215361036407E-2</v>
      </c>
      <c r="AC24">
        <f t="shared" si="6"/>
        <v>41.040050247880252</v>
      </c>
    </row>
    <row r="25" spans="1:29" x14ac:dyDescent="0.2">
      <c r="A25">
        <v>46137.055102847225</v>
      </c>
      <c r="B25">
        <v>17.754162999999998</v>
      </c>
      <c r="C25">
        <v>18.011925999999999</v>
      </c>
      <c r="D25">
        <v>19.289583</v>
      </c>
      <c r="E25">
        <v>19.543409</v>
      </c>
      <c r="F25">
        <v>29.923096000000001</v>
      </c>
      <c r="G25">
        <v>32.114269999999998</v>
      </c>
      <c r="H25">
        <v>26.882407000000001</v>
      </c>
      <c r="I25">
        <v>24.015093</v>
      </c>
      <c r="J25">
        <v>57.636915999999999</v>
      </c>
      <c r="K25">
        <v>50.631869000000002</v>
      </c>
      <c r="L25">
        <v>272.35478599999999</v>
      </c>
      <c r="M25">
        <v>-622.47918500000003</v>
      </c>
      <c r="N25">
        <v>1.603164</v>
      </c>
      <c r="O25">
        <v>3.664358</v>
      </c>
      <c r="P25">
        <f t="shared" si="0"/>
        <v>2.67194E-5</v>
      </c>
      <c r="Q25" cm="1">
        <f t="array" ref="Q25">[1]!PropsSI("D","T",J25+273.15,"P",101325,"Water")</f>
        <v>984.39492050310469</v>
      </c>
      <c r="R25" cm="1">
        <f t="array" ref="R25">[1]!PropsSI("D","T",K25+273.15,"P",101325,"Water")</f>
        <v>987.74794721962007</v>
      </c>
      <c r="S25">
        <f t="shared" si="1"/>
        <v>986.07143386136238</v>
      </c>
      <c r="T25" cm="1">
        <f t="array" ref="T25">[1]!PropsSI("H","T",J25+273.15,"P",101325,"Water")</f>
        <v>241360.48382872896</v>
      </c>
      <c r="U25" cm="1">
        <f t="array" ref="U25">[1]!PropsSI("H","T",K25+273.15,"P",101325,"Water")</f>
        <v>212060.60974216426</v>
      </c>
      <c r="V25">
        <f t="shared" si="2"/>
        <v>771.9707286773878</v>
      </c>
      <c r="X25">
        <f t="shared" si="3"/>
        <v>0.26527383199999999</v>
      </c>
      <c r="Y25">
        <f t="shared" si="3"/>
        <v>0.25126373800000001</v>
      </c>
      <c r="Z25">
        <f t="shared" si="9"/>
        <v>0.36538154301729153</v>
      </c>
      <c r="AA25">
        <f t="shared" si="8"/>
        <v>7.0050469999999976</v>
      </c>
      <c r="AB25">
        <f t="shared" si="5"/>
        <v>5.3109699272658864E-2</v>
      </c>
      <c r="AC25">
        <f t="shared" si="6"/>
        <v>40.999133247351395</v>
      </c>
    </row>
    <row r="26" spans="1:29" x14ac:dyDescent="0.2">
      <c r="A26">
        <v>46137.055137569441</v>
      </c>
      <c r="B26">
        <v>17.326896999999999</v>
      </c>
      <c r="C26">
        <v>17.645409000000001</v>
      </c>
      <c r="D26">
        <v>19.234746000000001</v>
      </c>
      <c r="E26">
        <v>19.434360000000002</v>
      </c>
      <c r="F26">
        <v>29.439322000000001</v>
      </c>
      <c r="G26">
        <v>31.566604000000002</v>
      </c>
      <c r="H26">
        <v>26.404274999999998</v>
      </c>
      <c r="I26">
        <v>23.989173999999998</v>
      </c>
      <c r="J26">
        <v>57.635961000000002</v>
      </c>
      <c r="K26">
        <v>50.637748999999999</v>
      </c>
      <c r="L26">
        <v>262.11203399999999</v>
      </c>
      <c r="M26">
        <v>-622.48244999999997</v>
      </c>
      <c r="N26">
        <v>1.6073759999999999</v>
      </c>
      <c r="O26">
        <v>3.2075369999999999</v>
      </c>
      <c r="P26">
        <f t="shared" si="0"/>
        <v>2.6789599999999998E-5</v>
      </c>
      <c r="Q26" cm="1">
        <f t="array" ref="Q26">[1]!PropsSI("D","T",J26+273.15,"P",101325,"Water")</f>
        <v>984.39539832826574</v>
      </c>
      <c r="R26" cm="1">
        <f t="array" ref="R26">[1]!PropsSI("D","T",K26+273.15,"P",101325,"Water")</f>
        <v>987.74526331569746</v>
      </c>
      <c r="S26">
        <f t="shared" si="1"/>
        <v>986.07033082198154</v>
      </c>
      <c r="T26" cm="1">
        <f t="array" ref="T26">[1]!PropsSI("H","T",J26+273.15,"P",101325,"Water")</f>
        <v>241356.48814426767</v>
      </c>
      <c r="U26" cm="1">
        <f t="array" ref="U26">[1]!PropsSI("H","T",K26+273.15,"P",101325,"Water")</f>
        <v>212085.1971103113</v>
      </c>
      <c r="V26">
        <f t="shared" si="2"/>
        <v>773.24300283920036</v>
      </c>
      <c r="X26">
        <f t="shared" si="3"/>
        <v>0.26527192199999999</v>
      </c>
      <c r="Y26">
        <f t="shared" si="3"/>
        <v>0.25127549799999999</v>
      </c>
      <c r="Z26">
        <f t="shared" si="9"/>
        <v>0.3653882435119144</v>
      </c>
      <c r="AA26">
        <f t="shared" si="8"/>
        <v>6.9982120000000023</v>
      </c>
      <c r="AB26">
        <f t="shared" si="5"/>
        <v>5.3160672598145713E-2</v>
      </c>
      <c r="AC26">
        <f t="shared" si="6"/>
        <v>41.106118112741783</v>
      </c>
    </row>
    <row r="27" spans="1:29" x14ac:dyDescent="0.2">
      <c r="A27">
        <v>46137.055172870372</v>
      </c>
      <c r="B27">
        <v>17.360662999999999</v>
      </c>
      <c r="C27">
        <v>17.740877999999999</v>
      </c>
      <c r="D27">
        <v>19.108070999999999</v>
      </c>
      <c r="E27">
        <v>19.416156999999998</v>
      </c>
      <c r="F27">
        <v>29.562125000000002</v>
      </c>
      <c r="G27">
        <v>30.819737</v>
      </c>
      <c r="H27">
        <v>26.687564999999999</v>
      </c>
      <c r="I27">
        <v>24.002873999999998</v>
      </c>
      <c r="J27">
        <v>57.632617000000003</v>
      </c>
      <c r="K27">
        <v>50.634887999999997</v>
      </c>
      <c r="L27">
        <v>272.66538300000002</v>
      </c>
      <c r="M27">
        <v>-622.506122</v>
      </c>
      <c r="N27">
        <v>1.6056509999999999</v>
      </c>
      <c r="O27">
        <v>3.599701</v>
      </c>
      <c r="P27">
        <f t="shared" si="0"/>
        <v>2.676085E-5</v>
      </c>
      <c r="Q27" cm="1">
        <f t="array" ref="Q27">[1]!PropsSI("D","T",J27+273.15,"P",101325,"Water")</f>
        <v>984.39707142343093</v>
      </c>
      <c r="R27" cm="1">
        <f t="array" ref="R27">[1]!PropsSI("D","T",K27+273.15,"P",101325,"Water")</f>
        <v>987.74656923653686</v>
      </c>
      <c r="S27">
        <f t="shared" si="1"/>
        <v>986.07182032998389</v>
      </c>
      <c r="T27" cm="1">
        <f t="array" ref="T27">[1]!PropsSI("H","T",J27+273.15,"P",101325,"Water")</f>
        <v>241342.49697561009</v>
      </c>
      <c r="U27" cm="1">
        <f t="array" ref="U27">[1]!PropsSI("H","T",K27+273.15,"P",101325,"Water")</f>
        <v>212073.23376543488</v>
      </c>
      <c r="V27">
        <f t="shared" si="2"/>
        <v>772.36083204061765</v>
      </c>
      <c r="X27">
        <f t="shared" si="3"/>
        <v>0.26526523400000002</v>
      </c>
      <c r="Y27">
        <f t="shared" si="3"/>
        <v>0.251269776</v>
      </c>
      <c r="Z27">
        <f t="shared" si="9"/>
        <v>0.36537945303501257</v>
      </c>
      <c r="AA27">
        <f t="shared" si="8"/>
        <v>6.9977290000000067</v>
      </c>
      <c r="AB27">
        <f t="shared" si="5"/>
        <v>5.316297827482877E-2</v>
      </c>
      <c r="AC27">
        <f t="shared" si="6"/>
        <v>41.061002134104029</v>
      </c>
    </row>
    <row r="28" spans="1:29" x14ac:dyDescent="0.2">
      <c r="A28">
        <v>46137.055208171296</v>
      </c>
      <c r="B28">
        <v>17.763756999999998</v>
      </c>
      <c r="C28">
        <v>18.316962</v>
      </c>
      <c r="D28">
        <v>19.089780999999999</v>
      </c>
      <c r="E28">
        <v>19.503074999999999</v>
      </c>
      <c r="F28">
        <v>29.282399000000002</v>
      </c>
      <c r="G28">
        <v>31.298891999999999</v>
      </c>
      <c r="H28">
        <v>26.676255999999999</v>
      </c>
      <c r="I28">
        <v>24.133371</v>
      </c>
      <c r="J28">
        <v>57.630865</v>
      </c>
      <c r="K28">
        <v>50.629168</v>
      </c>
      <c r="L28">
        <v>268.32070199999998</v>
      </c>
      <c r="M28">
        <v>-622.47714399999995</v>
      </c>
      <c r="N28">
        <v>1.603877</v>
      </c>
      <c r="O28">
        <v>3.4848979999999998</v>
      </c>
      <c r="P28">
        <f t="shared" si="0"/>
        <v>2.6731283333333336E-5</v>
      </c>
      <c r="Q28" cm="1">
        <f t="array" ref="Q28">[1]!PropsSI("D","T",J28+273.15,"P",101325,"Water")</f>
        <v>984.39794797021648</v>
      </c>
      <c r="R28" cm="1">
        <f t="array" ref="R28">[1]!PropsSI("D","T",K28+273.15,"P",101325,"Water")</f>
        <v>987.74918000548757</v>
      </c>
      <c r="S28">
        <f t="shared" si="1"/>
        <v>986.07356398785203</v>
      </c>
      <c r="T28" cm="1">
        <f t="array" ref="T28">[1]!PropsSI("H","T",J28+273.15,"P",101325,"Water")</f>
        <v>241335.16667613995</v>
      </c>
      <c r="U28" cm="1">
        <f t="array" ref="U28">[1]!PropsSI("H","T",K28+273.15,"P",101325,"Water")</f>
        <v>212049.31544600616</v>
      </c>
      <c r="V28">
        <f t="shared" si="2"/>
        <v>771.94609892331039</v>
      </c>
      <c r="X28">
        <f t="shared" si="3"/>
        <v>0.26526172999999997</v>
      </c>
      <c r="Y28">
        <f t="shared" si="3"/>
        <v>0.25125833600000003</v>
      </c>
      <c r="Z28">
        <f t="shared" si="9"/>
        <v>0.36536904194537578</v>
      </c>
      <c r="AA28">
        <f t="shared" si="8"/>
        <v>7.0016970000000001</v>
      </c>
      <c r="AB28">
        <f t="shared" si="5"/>
        <v>5.3132455695184745E-2</v>
      </c>
      <c r="AC28">
        <f t="shared" si="6"/>
        <v>41.015391900113492</v>
      </c>
    </row>
    <row r="29" spans="1:29" x14ac:dyDescent="0.2">
      <c r="A29">
        <v>46137.055242893519</v>
      </c>
      <c r="B29">
        <v>17.458846999999999</v>
      </c>
      <c r="C29">
        <v>17.988056</v>
      </c>
      <c r="D29">
        <v>19.250167000000001</v>
      </c>
      <c r="E29">
        <v>19.568615999999999</v>
      </c>
      <c r="F29">
        <v>29.070260000000001</v>
      </c>
      <c r="G29">
        <v>30.431152999999998</v>
      </c>
      <c r="H29">
        <v>26.878126000000002</v>
      </c>
      <c r="I29">
        <v>24.295328999999999</v>
      </c>
      <c r="J29">
        <v>57.626088000000003</v>
      </c>
      <c r="K29">
        <v>50.629803000000003</v>
      </c>
      <c r="L29">
        <v>283.39505000000003</v>
      </c>
      <c r="M29">
        <v>-622.50285699999995</v>
      </c>
      <c r="N29">
        <v>1.6041190000000001</v>
      </c>
      <c r="O29">
        <v>3.2422550000000001</v>
      </c>
      <c r="P29">
        <f t="shared" si="0"/>
        <v>2.6735316666666671E-5</v>
      </c>
      <c r="Q29" cm="1">
        <f t="array" ref="Q29">[1]!PropsSI("D","T",J29+273.15,"P",101325,"Water")</f>
        <v>984.4003378668491</v>
      </c>
      <c r="R29" cm="1">
        <f t="array" ref="R29">[1]!PropsSI("D","T",K29+273.15,"P",101325,"Water")</f>
        <v>987.74889018413944</v>
      </c>
      <c r="S29">
        <f t="shared" si="1"/>
        <v>986.07461402549427</v>
      </c>
      <c r="T29" cm="1">
        <f t="array" ref="T29">[1]!PropsSI("H","T",J29+273.15,"P",101325,"Water")</f>
        <v>241315.17990121091</v>
      </c>
      <c r="U29" cm="1">
        <f t="array" ref="U29">[1]!PropsSI("H","T",K29+273.15,"P",101325,"Water")</f>
        <v>212051.97071347904</v>
      </c>
      <c r="V29">
        <f t="shared" si="2"/>
        <v>771.46648313234448</v>
      </c>
      <c r="X29">
        <f t="shared" si="3"/>
        <v>0.26525217600000001</v>
      </c>
      <c r="Y29">
        <f t="shared" si="3"/>
        <v>0.25125960599999997</v>
      </c>
      <c r="Z29">
        <f t="shared" si="9"/>
        <v>0.36536297907698612</v>
      </c>
      <c r="AA29">
        <f t="shared" si="8"/>
        <v>6.9962850000000003</v>
      </c>
      <c r="AB29">
        <f t="shared" si="5"/>
        <v>5.3171250012832648E-2</v>
      </c>
      <c r="AC29">
        <f t="shared" si="6"/>
        <v>41.019837251150626</v>
      </c>
    </row>
    <row r="30" spans="1:29" x14ac:dyDescent="0.2">
      <c r="A30">
        <v>46137.055277615742</v>
      </c>
      <c r="B30">
        <v>17.324138000000001</v>
      </c>
      <c r="C30">
        <v>17.851462000000001</v>
      </c>
      <c r="D30">
        <v>19.100528000000001</v>
      </c>
      <c r="E30">
        <v>19.458817</v>
      </c>
      <c r="F30">
        <v>29.313959000000001</v>
      </c>
      <c r="G30">
        <v>31.965219999999999</v>
      </c>
      <c r="H30">
        <v>26.396533000000002</v>
      </c>
      <c r="I30">
        <v>23.778091</v>
      </c>
      <c r="J30">
        <v>57.624495000000003</v>
      </c>
      <c r="K30">
        <v>50.629327000000004</v>
      </c>
      <c r="L30">
        <v>261.45900499999999</v>
      </c>
      <c r="M30">
        <v>-622.49673499999994</v>
      </c>
      <c r="N30">
        <v>1.605143</v>
      </c>
      <c r="O30">
        <v>3.254378</v>
      </c>
      <c r="P30">
        <f t="shared" si="0"/>
        <v>2.6752383333333335E-5</v>
      </c>
      <c r="Q30" cm="1">
        <f t="array" ref="Q30">[1]!PropsSI("D","T",J30+273.15,"P",101325,"Water")</f>
        <v>984.40113480193008</v>
      </c>
      <c r="R30" cm="1">
        <f t="array" ref="R30">[1]!PropsSI("D","T",K30+273.15,"P",101325,"Water")</f>
        <v>987.74910743627868</v>
      </c>
      <c r="S30">
        <f t="shared" si="1"/>
        <v>986.07512111910432</v>
      </c>
      <c r="T30" cm="1">
        <f t="array" ref="T30">[1]!PropsSI("H","T",J30+273.15,"P",101325,"Water")</f>
        <v>241308.51485561533</v>
      </c>
      <c r="U30" cm="1">
        <f t="array" ref="U30">[1]!PropsSI("H","T",K30+273.15,"P",101325,"Water")</f>
        <v>212049.98030824575</v>
      </c>
      <c r="V30">
        <f t="shared" si="2"/>
        <v>771.83603450417343</v>
      </c>
      <c r="X30">
        <f t="shared" si="3"/>
        <v>0.26524899000000002</v>
      </c>
      <c r="Y30">
        <f t="shared" si="3"/>
        <v>0.25125865400000003</v>
      </c>
      <c r="Z30">
        <f t="shared" si="9"/>
        <v>0.36536001136675023</v>
      </c>
      <c r="AA30">
        <f t="shared" si="8"/>
        <v>6.9951679999999996</v>
      </c>
      <c r="AB30">
        <f t="shared" si="5"/>
        <v>5.3179023510228983E-2</v>
      </c>
      <c r="AC30">
        <f t="shared" si="6"/>
        <v>41.04548662493935</v>
      </c>
    </row>
    <row r="31" spans="1:29" x14ac:dyDescent="0.2">
      <c r="A31">
        <v>46137.055312916666</v>
      </c>
      <c r="B31">
        <v>17.202582</v>
      </c>
      <c r="C31">
        <v>17.484497999999999</v>
      </c>
      <c r="D31">
        <v>19.090752999999999</v>
      </c>
      <c r="E31">
        <v>19.46659</v>
      </c>
      <c r="F31">
        <v>29.353356999999999</v>
      </c>
      <c r="G31">
        <v>31.148139</v>
      </c>
      <c r="H31">
        <v>26.511479000000001</v>
      </c>
      <c r="I31">
        <v>24.171374</v>
      </c>
      <c r="J31">
        <v>57.620832999999998</v>
      </c>
      <c r="K31">
        <v>50.623924000000002</v>
      </c>
      <c r="L31">
        <v>271.82950599999998</v>
      </c>
      <c r="M31">
        <v>-622.49183700000003</v>
      </c>
      <c r="N31">
        <v>1.60886</v>
      </c>
      <c r="O31">
        <v>3.2376800000000001</v>
      </c>
      <c r="P31">
        <f t="shared" si="0"/>
        <v>2.6814333333333332E-5</v>
      </c>
      <c r="Q31" cm="1">
        <f t="array" ref="Q31">[1]!PropsSI("D","T",J31+273.15,"P",101325,"Water")</f>
        <v>984.40296674394256</v>
      </c>
      <c r="R31" cm="1">
        <f t="array" ref="R31">[1]!PropsSI("D","T",K31+273.15,"P",101325,"Water")</f>
        <v>987.75157332743038</v>
      </c>
      <c r="S31">
        <f t="shared" si="1"/>
        <v>986.07727003568652</v>
      </c>
      <c r="T31" cm="1">
        <f t="array" ref="T31">[1]!PropsSI("H","T",J31+273.15,"P",101325,"Water")</f>
        <v>241293.1932041581</v>
      </c>
      <c r="U31" cm="1">
        <f t="array" ref="U31">[1]!PropsSI("H","T",K31+273.15,"P",101325,"Water")</f>
        <v>212027.38754053539</v>
      </c>
      <c r="V31">
        <f t="shared" si="2"/>
        <v>773.81730250116766</v>
      </c>
      <c r="X31">
        <f t="shared" si="3"/>
        <v>0.26524166599999999</v>
      </c>
      <c r="Y31">
        <f t="shared" si="3"/>
        <v>0.251247848</v>
      </c>
      <c r="Z31">
        <f t="shared" si="9"/>
        <v>0.36534726289803604</v>
      </c>
      <c r="AA31">
        <f t="shared" si="8"/>
        <v>6.9969089999999952</v>
      </c>
      <c r="AB31">
        <f t="shared" si="5"/>
        <v>5.3164469745799407E-2</v>
      </c>
      <c r="AC31">
        <f t="shared" si="6"/>
        <v>41.139586567599437</v>
      </c>
    </row>
    <row r="32" spans="1:29" x14ac:dyDescent="0.2">
      <c r="A32">
        <v>46137.055347638889</v>
      </c>
      <c r="B32">
        <v>17.403739000000002</v>
      </c>
      <c r="C32">
        <v>17.787008</v>
      </c>
      <c r="D32">
        <v>19.133341999999999</v>
      </c>
      <c r="E32">
        <v>19.515162</v>
      </c>
      <c r="F32">
        <v>29.090826</v>
      </c>
      <c r="G32">
        <v>30.461656999999999</v>
      </c>
      <c r="H32">
        <v>26.517647</v>
      </c>
      <c r="I32">
        <v>24.234753000000001</v>
      </c>
      <c r="J32">
        <v>57.621150999999998</v>
      </c>
      <c r="K32">
        <v>50.616931999999998</v>
      </c>
      <c r="L32">
        <v>267.86235799999997</v>
      </c>
      <c r="M32">
        <v>-622.49795900000004</v>
      </c>
      <c r="N32">
        <v>1.6064499999999999</v>
      </c>
      <c r="O32">
        <v>3.20417</v>
      </c>
      <c r="P32">
        <f t="shared" si="0"/>
        <v>2.6774166666666665E-5</v>
      </c>
      <c r="Q32" cm="1">
        <f t="array" ref="Q32">[1]!PropsSI("D","T",J32+273.15,"P",101325,"Water")</f>
        <v>984.40280766535182</v>
      </c>
      <c r="R32" cm="1">
        <f t="array" ref="R32">[1]!PropsSI("D","T",K32+273.15,"P",101325,"Water")</f>
        <v>987.75476414475372</v>
      </c>
      <c r="S32">
        <f t="shared" si="1"/>
        <v>986.07878590505277</v>
      </c>
      <c r="T32" cm="1">
        <f t="array" ref="T32">[1]!PropsSI("H","T",J32+273.15,"P",101325,"Water")</f>
        <v>241294.52370233479</v>
      </c>
      <c r="U32" cm="1">
        <f t="array" ref="U32">[1]!PropsSI("H","T",K32+273.15,"P",101325,"Water")</f>
        <v>211998.15034584538</v>
      </c>
      <c r="V32">
        <f t="shared" si="2"/>
        <v>773.46637777346189</v>
      </c>
      <c r="X32">
        <f t="shared" si="3"/>
        <v>0.26524230199999999</v>
      </c>
      <c r="Y32">
        <f t="shared" si="3"/>
        <v>0.25123386399999997</v>
      </c>
      <c r="Z32">
        <f t="shared" si="9"/>
        <v>0.36533810804599848</v>
      </c>
      <c r="AA32">
        <f t="shared" si="8"/>
        <v>7.0042189999999991</v>
      </c>
      <c r="AB32">
        <f t="shared" si="5"/>
        <v>5.310966468196808E-2</v>
      </c>
      <c r="AC32">
        <f t="shared" si="6"/>
        <v>41.07853996632501</v>
      </c>
    </row>
    <row r="33" spans="1:29" x14ac:dyDescent="0.2">
      <c r="A33">
        <v>46137.055382361112</v>
      </c>
      <c r="B33">
        <v>17.490766000000001</v>
      </c>
      <c r="C33">
        <v>18.087078000000002</v>
      </c>
      <c r="D33">
        <v>19.277636999999999</v>
      </c>
      <c r="E33">
        <v>19.543429</v>
      </c>
      <c r="F33">
        <v>29.413288999999999</v>
      </c>
      <c r="G33">
        <v>30.254453999999999</v>
      </c>
      <c r="H33">
        <v>26.328095999999999</v>
      </c>
      <c r="I33">
        <v>24.244948999999998</v>
      </c>
      <c r="J33">
        <v>57.617330000000003</v>
      </c>
      <c r="K33">
        <v>50.611212000000002</v>
      </c>
      <c r="L33">
        <v>253.57490999999999</v>
      </c>
      <c r="M33">
        <v>-622.47020599999996</v>
      </c>
      <c r="N33">
        <v>1.5898049999999999</v>
      </c>
      <c r="O33">
        <v>3.3836170000000001</v>
      </c>
      <c r="P33">
        <f t="shared" si="0"/>
        <v>2.649675E-5</v>
      </c>
      <c r="Q33" cm="1">
        <f t="array" ref="Q33">[1]!PropsSI("D","T",J33+273.15,"P",101325,"Water")</f>
        <v>984.40471906918913</v>
      </c>
      <c r="R33" cm="1">
        <f t="array" ref="R33">[1]!PropsSI("D","T",K33+273.15,"P",101325,"Water")</f>
        <v>987.75737424479394</v>
      </c>
      <c r="S33">
        <f t="shared" si="1"/>
        <v>986.08104665699148</v>
      </c>
      <c r="T33" cm="1">
        <f t="array" ref="T33">[1]!PropsSI("H","T",J33+273.15,"P",101325,"Water")</f>
        <v>241278.53680695462</v>
      </c>
      <c r="U33" cm="1">
        <f t="array" ref="U33">[1]!PropsSI("H","T",K33+273.15,"P",101325,"Water")</f>
        <v>211974.23205645231</v>
      </c>
      <c r="V33">
        <f t="shared" si="2"/>
        <v>765.66120338479061</v>
      </c>
      <c r="X33">
        <f t="shared" si="3"/>
        <v>0.26523466000000001</v>
      </c>
      <c r="Y33">
        <f t="shared" si="3"/>
        <v>0.251222424</v>
      </c>
      <c r="Z33">
        <f t="shared" si="9"/>
        <v>0.36532469282235958</v>
      </c>
      <c r="AA33">
        <f t="shared" si="8"/>
        <v>7.0061180000000007</v>
      </c>
      <c r="AB33">
        <f t="shared" si="5"/>
        <v>5.3093899274808565E-2</v>
      </c>
      <c r="AC33">
        <f t="shared" si="6"/>
        <v>40.651938811140788</v>
      </c>
    </row>
    <row r="34" spans="1:29" x14ac:dyDescent="0.2">
      <c r="A34">
        <v>46137.055417662035</v>
      </c>
      <c r="B34">
        <v>17.727391000000001</v>
      </c>
      <c r="C34">
        <v>18.237131999999999</v>
      </c>
      <c r="D34">
        <v>19.241302000000001</v>
      </c>
      <c r="E34">
        <v>19.405932</v>
      </c>
      <c r="F34">
        <v>29.608274000000002</v>
      </c>
      <c r="G34">
        <v>30.170145000000002</v>
      </c>
      <c r="H34">
        <v>26.838073000000001</v>
      </c>
      <c r="I34">
        <v>23.895465999999999</v>
      </c>
      <c r="J34">
        <v>57.613826000000003</v>
      </c>
      <c r="K34">
        <v>50.606603999999997</v>
      </c>
      <c r="L34">
        <v>293.00967000000003</v>
      </c>
      <c r="M34">
        <v>-622.50122399999998</v>
      </c>
      <c r="N34">
        <v>1.6027130000000001</v>
      </c>
      <c r="O34">
        <v>3.6544210000000001</v>
      </c>
      <c r="P34">
        <f t="shared" si="0"/>
        <v>2.6711883333333338E-5</v>
      </c>
      <c r="Q34" cm="1">
        <f t="array" ref="Q34">[1]!PropsSI("D","T",J34+273.15,"P",101325,"Water")</f>
        <v>984.40647182049622</v>
      </c>
      <c r="R34" cm="1">
        <f t="array" ref="R34">[1]!PropsSI("D","T",K34+273.15,"P",101325,"Water")</f>
        <v>987.75947677181193</v>
      </c>
      <c r="S34">
        <f t="shared" si="1"/>
        <v>986.08297429615413</v>
      </c>
      <c r="T34" cm="1">
        <f t="array" ref="T34">[1]!PropsSI("H","T",J34+273.15,"P",101325,"Water")</f>
        <v>241263.87623068507</v>
      </c>
      <c r="U34" cm="1">
        <f t="array" ref="U34">[1]!PropsSI("H","T",K34+273.15,"P",101325,"Water")</f>
        <v>211954.96362331999</v>
      </c>
      <c r="V34">
        <f t="shared" si="2"/>
        <v>772.00066690172503</v>
      </c>
      <c r="X34">
        <f t="shared" si="3"/>
        <v>0.26522765199999998</v>
      </c>
      <c r="Y34">
        <f t="shared" si="3"/>
        <v>0.25121320800000002</v>
      </c>
      <c r="Z34">
        <f t="shared" si="9"/>
        <v>0.36531326729135416</v>
      </c>
      <c r="AA34">
        <f t="shared" si="8"/>
        <v>7.0072220000000058</v>
      </c>
      <c r="AB34">
        <f t="shared" si="5"/>
        <v>5.3084229658358427E-2</v>
      </c>
      <c r="AC34">
        <f t="shared" si="6"/>
        <v>40.981060698217036</v>
      </c>
    </row>
    <row r="35" spans="1:29" x14ac:dyDescent="0.2">
      <c r="A35">
        <v>46137.055452384258</v>
      </c>
      <c r="B35">
        <v>17.582874</v>
      </c>
      <c r="C35">
        <v>18.429442999999999</v>
      </c>
      <c r="D35">
        <v>19.201236000000002</v>
      </c>
      <c r="E35">
        <v>19.375855999999999</v>
      </c>
      <c r="F35">
        <v>29.249603</v>
      </c>
      <c r="G35">
        <v>30.570067000000002</v>
      </c>
      <c r="H35">
        <v>26.482785</v>
      </c>
      <c r="I35">
        <v>23.933363</v>
      </c>
      <c r="J35">
        <v>57.613030000000002</v>
      </c>
      <c r="K35">
        <v>50.606762000000003</v>
      </c>
      <c r="L35">
        <v>266.54650500000002</v>
      </c>
      <c r="M35">
        <v>-622.50285699999995</v>
      </c>
      <c r="N35">
        <v>1.607008</v>
      </c>
      <c r="O35">
        <v>3.5555669999999999</v>
      </c>
      <c r="P35">
        <f t="shared" si="0"/>
        <v>2.6783466666666669E-5</v>
      </c>
      <c r="Q35" cm="1">
        <f t="array" ref="Q35">[1]!PropsSI("D","T",J35+273.15,"P",101325,"Water")</f>
        <v>984.40686998081708</v>
      </c>
      <c r="R35" cm="1">
        <f t="array" ref="R35">[1]!PropsSI("D","T",K35+273.15,"P",101325,"Water")</f>
        <v>987.75940468224121</v>
      </c>
      <c r="S35">
        <f t="shared" si="1"/>
        <v>986.08313733152909</v>
      </c>
      <c r="T35" cm="1">
        <f t="array" ref="T35">[1]!PropsSI("H","T",J35+273.15,"P",101325,"Water")</f>
        <v>241260.54580365526</v>
      </c>
      <c r="U35" cm="1">
        <f t="array" ref="U35">[1]!PropsSI("H","T",K35+273.15,"P",101325,"Water")</f>
        <v>211955.62430296454</v>
      </c>
      <c r="V35">
        <f t="shared" si="2"/>
        <v>773.96421819147508</v>
      </c>
      <c r="X35">
        <f t="shared" si="3"/>
        <v>0.26522605999999999</v>
      </c>
      <c r="Y35">
        <f t="shared" si="3"/>
        <v>0.25121352400000002</v>
      </c>
      <c r="Z35">
        <f t="shared" si="9"/>
        <v>0.3653123287594085</v>
      </c>
      <c r="AA35">
        <f t="shared" si="8"/>
        <v>7.0062679999999986</v>
      </c>
      <c r="AB35">
        <f t="shared" si="5"/>
        <v>5.3091069761545179E-2</v>
      </c>
      <c r="AC35">
        <f t="shared" si="6"/>
        <v>41.090588300943381</v>
      </c>
    </row>
    <row r="36" spans="1:29" x14ac:dyDescent="0.2">
      <c r="A36">
        <v>46137.055487685182</v>
      </c>
      <c r="B36">
        <v>17.201504</v>
      </c>
      <c r="C36">
        <v>17.571843000000001</v>
      </c>
      <c r="D36">
        <v>19.228217000000001</v>
      </c>
      <c r="E36">
        <v>19.432841</v>
      </c>
      <c r="F36">
        <v>28.907329000000001</v>
      </c>
      <c r="G36">
        <v>30.678476</v>
      </c>
      <c r="H36">
        <v>26.980692999999999</v>
      </c>
      <c r="I36">
        <v>24.208503</v>
      </c>
      <c r="J36">
        <v>57.612870999999998</v>
      </c>
      <c r="K36">
        <v>50.611846999999997</v>
      </c>
      <c r="L36">
        <v>271.697676</v>
      </c>
      <c r="M36">
        <v>-622.49591899999996</v>
      </c>
      <c r="N36">
        <v>1.6075360000000001</v>
      </c>
      <c r="O36">
        <v>3.5433029999999999</v>
      </c>
      <c r="P36">
        <f t="shared" si="0"/>
        <v>2.6792266666666668E-5</v>
      </c>
      <c r="Q36" cm="1">
        <f t="array" ref="Q36">[1]!PropsSI("D","T",J36+273.15,"P",101325,"Water")</f>
        <v>984.40694951237776</v>
      </c>
      <c r="R36" cm="1">
        <f t="array" ref="R36">[1]!PropsSI("D","T",K36+273.15,"P",101325,"Water")</f>
        <v>987.75708449771287</v>
      </c>
      <c r="S36">
        <f t="shared" si="1"/>
        <v>986.08201700504537</v>
      </c>
      <c r="T36" cm="1">
        <f t="array" ref="T36">[1]!PropsSI("H","T",J36+273.15,"P",101325,"Water")</f>
        <v>241259.88055511413</v>
      </c>
      <c r="U36" cm="1">
        <f t="array" ref="U36">[1]!PropsSI("H","T",K36+273.15,"P",101325,"Water")</f>
        <v>211976.88732060482</v>
      </c>
      <c r="V36">
        <f t="shared" si="2"/>
        <v>773.63830192569935</v>
      </c>
      <c r="X36">
        <f t="shared" si="3"/>
        <v>0.26522574199999999</v>
      </c>
      <c r="Y36">
        <f t="shared" si="3"/>
        <v>0.251223694</v>
      </c>
      <c r="Z36">
        <f t="shared" si="9"/>
        <v>0.36531909154389425</v>
      </c>
      <c r="AA36">
        <f t="shared" si="8"/>
        <v>7.001024000000001</v>
      </c>
      <c r="AB36">
        <f t="shared" si="5"/>
        <v>5.3130375109315904E-2</v>
      </c>
      <c r="AC36">
        <f t="shared" si="6"/>
        <v>41.103693180246601</v>
      </c>
    </row>
    <row r="37" spans="1:29" x14ac:dyDescent="0.2">
      <c r="A37">
        <v>46137.055522407405</v>
      </c>
      <c r="B37">
        <v>17.094152999999999</v>
      </c>
      <c r="C37">
        <v>17.177029999999998</v>
      </c>
      <c r="D37">
        <v>19.126518999999998</v>
      </c>
      <c r="E37">
        <v>19.476123999999999</v>
      </c>
      <c r="F37">
        <v>29.573125999999998</v>
      </c>
      <c r="G37">
        <v>30.934349000000001</v>
      </c>
      <c r="H37">
        <v>26.160629</v>
      </c>
      <c r="I37">
        <v>23.426666999999998</v>
      </c>
      <c r="J37">
        <v>57.610801000000002</v>
      </c>
      <c r="K37">
        <v>50.612482999999997</v>
      </c>
      <c r="L37">
        <v>272.32295099999999</v>
      </c>
      <c r="M37">
        <v>-622.51020400000004</v>
      </c>
      <c r="N37">
        <v>1.6069910000000001</v>
      </c>
      <c r="O37">
        <v>3.3439429999999999</v>
      </c>
      <c r="P37">
        <f t="shared" si="0"/>
        <v>2.6783183333333335E-5</v>
      </c>
      <c r="Q37" cm="1">
        <f t="array" ref="Q37">[1]!PropsSI("D","T",J37+273.15,"P",101325,"Water")</f>
        <v>984.40798490939835</v>
      </c>
      <c r="R37" cm="1">
        <f t="array" ref="R37">[1]!PropsSI("D","T",K37+273.15,"P",101325,"Water")</f>
        <v>987.75679429169213</v>
      </c>
      <c r="S37">
        <f t="shared" si="1"/>
        <v>986.08238960054518</v>
      </c>
      <c r="T37" cm="1">
        <f t="array" ref="T37">[1]!PropsSI("H","T",J37+273.15,"P",101325,"Water")</f>
        <v>241251.21977256663</v>
      </c>
      <c r="U37" cm="1">
        <f t="array" ref="U37">[1]!PropsSI("H","T",K37+273.15,"P",101325,"Water")</f>
        <v>211979.54676636605</v>
      </c>
      <c r="V37">
        <f t="shared" si="2"/>
        <v>773.07733692039335</v>
      </c>
      <c r="X37">
        <f t="shared" si="3"/>
        <v>0.265221602</v>
      </c>
      <c r="Y37">
        <f t="shared" si="3"/>
        <v>0.25122496599999999</v>
      </c>
      <c r="Z37">
        <f t="shared" si="9"/>
        <v>0.36531696060975266</v>
      </c>
      <c r="AA37">
        <f t="shared" si="8"/>
        <v>6.9983180000000047</v>
      </c>
      <c r="AB37">
        <f t="shared" si="5"/>
        <v>5.3149892046820163E-2</v>
      </c>
      <c r="AC37">
        <f t="shared" si="6"/>
        <v>41.088977001162128</v>
      </c>
    </row>
    <row r="38" spans="1:29" x14ac:dyDescent="0.2">
      <c r="A38">
        <v>44675.055557710701</v>
      </c>
      <c r="B38">
        <v>16.958656999999999</v>
      </c>
      <c r="C38">
        <v>17.229331999999999</v>
      </c>
      <c r="D38">
        <v>19.046467</v>
      </c>
      <c r="E38">
        <v>19.320577</v>
      </c>
      <c r="F38">
        <v>29.309411000000001</v>
      </c>
      <c r="G38">
        <v>29.828562999999999</v>
      </c>
      <c r="H38">
        <v>26.900748</v>
      </c>
      <c r="I38">
        <v>23.500202999999999</v>
      </c>
      <c r="J38">
        <v>57.611916000000001</v>
      </c>
      <c r="K38">
        <v>50.599452999999997</v>
      </c>
      <c r="L38">
        <v>269.21657599999998</v>
      </c>
      <c r="M38">
        <v>-622.46938899999998</v>
      </c>
      <c r="N38">
        <v>1.6068560000000001</v>
      </c>
      <c r="O38">
        <v>3.6962169999999999</v>
      </c>
      <c r="P38">
        <f t="shared" si="0"/>
        <v>2.6780933333333333E-5</v>
      </c>
      <c r="Q38" cm="1">
        <f t="array" ref="Q38">[1]!PropsSI("D","T",J38+273.15,"P",101325,"Water")</f>
        <v>984.40742719877221</v>
      </c>
      <c r="R38" cm="1">
        <f t="array" ref="R38">[1]!PropsSI("D","T",K38+273.15,"P",101325,"Water")</f>
        <v>987.76273933876564</v>
      </c>
      <c r="S38">
        <f t="shared" si="1"/>
        <v>986.08508326876893</v>
      </c>
      <c r="T38" cm="1">
        <f t="array" ref="T38">[1]!PropsSI("H","T",J38+273.15,"P",101325,"Water")</f>
        <v>241255.8848798442</v>
      </c>
      <c r="U38" cm="1">
        <f t="array" ref="U38">[1]!PropsSI("H","T",K38+273.15,"P",101325,"Water")</f>
        <v>211925.06160320976</v>
      </c>
      <c r="V38">
        <f t="shared" si="2"/>
        <v>774.57656075248474</v>
      </c>
      <c r="X38">
        <f t="shared" si="3"/>
        <v>0.26522383199999999</v>
      </c>
      <c r="Y38">
        <f t="shared" si="3"/>
        <v>0.251198906</v>
      </c>
      <c r="Z38">
        <f t="shared" si="9"/>
        <v>0.36530065895965896</v>
      </c>
      <c r="AA38">
        <f t="shared" si="8"/>
        <v>7.0124630000000039</v>
      </c>
      <c r="AB38">
        <f t="shared" si="5"/>
        <v>5.30441980522545E-2</v>
      </c>
      <c r="AC38">
        <f t="shared" si="6"/>
        <v>41.086792495188938</v>
      </c>
    </row>
    <row r="39" spans="1:29" x14ac:dyDescent="0.2">
      <c r="A39">
        <v>44675.055592432902</v>
      </c>
      <c r="B39">
        <v>17.165492</v>
      </c>
      <c r="C39">
        <v>17.410062</v>
      </c>
      <c r="D39">
        <v>19.183871</v>
      </c>
      <c r="E39">
        <v>19.405211999999999</v>
      </c>
      <c r="F39">
        <v>29.290212</v>
      </c>
      <c r="G39">
        <v>31.136085999999999</v>
      </c>
      <c r="H39">
        <v>26.487463999999999</v>
      </c>
      <c r="I39">
        <v>23.930381000000001</v>
      </c>
      <c r="J39">
        <v>57.607137999999999</v>
      </c>
      <c r="K39">
        <v>50.587693999999999</v>
      </c>
      <c r="L39">
        <v>274.34856400000001</v>
      </c>
      <c r="M39">
        <v>-622.50693799999999</v>
      </c>
      <c r="N39">
        <v>1.6014550000000001</v>
      </c>
      <c r="O39">
        <v>3.3429519999999999</v>
      </c>
      <c r="P39">
        <f t="shared" si="0"/>
        <v>2.6690916666666669E-5</v>
      </c>
      <c r="Q39" cm="1">
        <f t="array" ref="Q39">[1]!PropsSI("D","T",J39+273.15,"P",101325,"Water")</f>
        <v>984.40981704845728</v>
      </c>
      <c r="R39" cm="1">
        <f t="array" ref="R39">[1]!PropsSI("D","T",K39+273.15,"P",101325,"Water")</f>
        <v>987.7681035319747</v>
      </c>
      <c r="S39">
        <f t="shared" si="1"/>
        <v>986.08896029021594</v>
      </c>
      <c r="T39" cm="1">
        <f t="array" ref="T39">[1]!PropsSI("H","T",J39+273.15,"P",101325,"Water")</f>
        <v>241235.89395728763</v>
      </c>
      <c r="U39" cm="1">
        <f t="array" ref="U39">[1]!PropsSI("H","T",K39+273.15,"P",101325,"Water")</f>
        <v>211875.89119045174</v>
      </c>
      <c r="V39">
        <f t="shared" si="2"/>
        <v>772.74406508323148</v>
      </c>
      <c r="X39">
        <f t="shared" si="3"/>
        <v>0.26521427600000003</v>
      </c>
      <c r="Y39">
        <f t="shared" si="3"/>
        <v>0.251175388</v>
      </c>
      <c r="Z39">
        <f t="shared" si="9"/>
        <v>0.36527754890104419</v>
      </c>
      <c r="AA39">
        <f t="shared" si="8"/>
        <v>7.019444</v>
      </c>
      <c r="AB39">
        <f t="shared" si="5"/>
        <v>5.2990087021796216E-2</v>
      </c>
      <c r="AC39">
        <f t="shared" si="6"/>
        <v>40.947775254336996</v>
      </c>
    </row>
    <row r="40" spans="1:29" x14ac:dyDescent="0.2">
      <c r="A40">
        <v>44675.055627733796</v>
      </c>
      <c r="B40">
        <v>17.182665</v>
      </c>
      <c r="C40">
        <v>17.481809999999999</v>
      </c>
      <c r="D40">
        <v>19.206745999999999</v>
      </c>
      <c r="E40">
        <v>19.518961000000001</v>
      </c>
      <c r="F40">
        <v>29.170874000000001</v>
      </c>
      <c r="G40">
        <v>30.821857000000001</v>
      </c>
      <c r="H40">
        <v>26.640260999999999</v>
      </c>
      <c r="I40">
        <v>24.170345000000001</v>
      </c>
      <c r="J40">
        <v>57.601565000000001</v>
      </c>
      <c r="K40">
        <v>50.577047999999998</v>
      </c>
      <c r="L40">
        <v>278.55529200000001</v>
      </c>
      <c r="M40">
        <v>-622.49020499999995</v>
      </c>
      <c r="N40">
        <v>1.6002179999999999</v>
      </c>
      <c r="O40">
        <v>3.7823889999999998</v>
      </c>
      <c r="P40">
        <f t="shared" si="0"/>
        <v>2.6670300000000001E-5</v>
      </c>
      <c r="Q40" cm="1">
        <f t="array" ref="Q40">[1]!PropsSI("D","T",J40+273.15,"P",101325,"Water")</f>
        <v>984.41260436518371</v>
      </c>
      <c r="R40" cm="1">
        <f t="array" ref="R40">[1]!PropsSI("D","T",K40+273.15,"P",101325,"Water")</f>
        <v>987.77295922241262</v>
      </c>
      <c r="S40">
        <f t="shared" si="1"/>
        <v>986.09278179379817</v>
      </c>
      <c r="T40" cm="1">
        <f t="array" ref="T40">[1]!PropsSI("H","T",J40+273.15,"P",101325,"Water")</f>
        <v>241212.57680445202</v>
      </c>
      <c r="U40" cm="1">
        <f t="array" ref="U40">[1]!PropsSI("H","T",K40+273.15,"P",101325,"Water")</f>
        <v>211831.37483661794</v>
      </c>
      <c r="V40">
        <f t="shared" si="2"/>
        <v>772.70769857214225</v>
      </c>
      <c r="X40">
        <f t="shared" si="3"/>
        <v>0.26520313000000001</v>
      </c>
      <c r="Y40">
        <f t="shared" si="3"/>
        <v>0.25115409599999999</v>
      </c>
      <c r="Z40">
        <f t="shared" si="9"/>
        <v>0.36525481529936621</v>
      </c>
      <c r="AA40">
        <f t="shared" si="8"/>
        <v>7.024517000000003</v>
      </c>
      <c r="AB40">
        <f t="shared" si="5"/>
        <v>5.2950003637975598E-2</v>
      </c>
      <c r="AC40">
        <f t="shared" si="6"/>
        <v>40.914875450486683</v>
      </c>
    </row>
    <row r="41" spans="1:29" x14ac:dyDescent="0.2">
      <c r="A41">
        <v>44675.0556630348</v>
      </c>
      <c r="B41">
        <v>17.207761000000001</v>
      </c>
      <c r="C41">
        <v>17.434273000000001</v>
      </c>
      <c r="D41">
        <v>19.280818</v>
      </c>
      <c r="E41">
        <v>19.516670000000001</v>
      </c>
      <c r="F41">
        <v>29.088591999999998</v>
      </c>
      <c r="G41">
        <v>30.765471999999999</v>
      </c>
      <c r="H41">
        <v>26.744509000000001</v>
      </c>
      <c r="I41">
        <v>24.030379</v>
      </c>
      <c r="J41">
        <v>57.599972999999999</v>
      </c>
      <c r="K41">
        <v>50.557344000000001</v>
      </c>
      <c r="L41">
        <v>285.08965899999998</v>
      </c>
      <c r="M41">
        <v>-622.48489900000004</v>
      </c>
      <c r="N41">
        <v>1.6021350000000001</v>
      </c>
      <c r="O41">
        <v>3.4299240000000002</v>
      </c>
      <c r="P41">
        <f t="shared" si="0"/>
        <v>2.6702250000000003E-5</v>
      </c>
      <c r="Q41" cm="1">
        <f t="array" ref="Q41">[1]!PropsSI("D","T",J41+273.15,"P",101325,"Water")</f>
        <v>984.41340056401498</v>
      </c>
      <c r="R41" cm="1">
        <f t="array" ref="R41">[1]!PropsSI("D","T",K41+273.15,"P",101325,"Water")</f>
        <v>987.78194436064007</v>
      </c>
      <c r="S41">
        <f t="shared" si="1"/>
        <v>986.09767246232752</v>
      </c>
      <c r="T41" cm="1">
        <f t="array" ref="T41">[1]!PropsSI("H","T",J41+273.15,"P",101325,"Water")</f>
        <v>241205.9159584716</v>
      </c>
      <c r="U41" cm="1">
        <f t="array" ref="U41">[1]!PropsSI("H","T",K41+273.15,"P",101325,"Water")</f>
        <v>211748.98245408645</v>
      </c>
      <c r="V41">
        <f t="shared" si="2"/>
        <v>775.63129890745643</v>
      </c>
      <c r="X41">
        <f t="shared" si="3"/>
        <v>0.26519994599999996</v>
      </c>
      <c r="Y41">
        <f t="shared" si="3"/>
        <v>0.25111468800000003</v>
      </c>
      <c r="Z41">
        <f t="shared" si="9"/>
        <v>0.36522540695814176</v>
      </c>
      <c r="AA41">
        <f t="shared" si="8"/>
        <v>7.042628999999998</v>
      </c>
      <c r="AB41">
        <f t="shared" si="5"/>
        <v>5.2814591348644899E-2</v>
      </c>
      <c r="AC41">
        <f t="shared" si="6"/>
        <v>40.964650089015954</v>
      </c>
    </row>
    <row r="42" spans="1:29" x14ac:dyDescent="0.2">
      <c r="A42">
        <v>46137.055697754629</v>
      </c>
      <c r="B42">
        <v>17.332217</v>
      </c>
      <c r="C42">
        <v>17.529658999999999</v>
      </c>
      <c r="D42">
        <v>19.300267000000002</v>
      </c>
      <c r="E42">
        <v>19.471053000000001</v>
      </c>
      <c r="F42">
        <v>29.197607000000001</v>
      </c>
      <c r="G42">
        <v>31.427441999999999</v>
      </c>
      <c r="H42">
        <v>26.471527999999999</v>
      </c>
      <c r="I42">
        <v>23.674205000000001</v>
      </c>
      <c r="J42">
        <v>57.599654000000001</v>
      </c>
      <c r="K42">
        <v>50.557502999999997</v>
      </c>
      <c r="L42">
        <v>271.09444100000002</v>
      </c>
      <c r="M42">
        <v>-622.50244899999996</v>
      </c>
      <c r="N42">
        <v>1.6039099999999999</v>
      </c>
      <c r="O42">
        <v>3.6593770000000001</v>
      </c>
      <c r="P42">
        <f t="shared" si="0"/>
        <v>2.6731833333333334E-5</v>
      </c>
      <c r="Q42" cm="1">
        <f t="array" ref="Q42">[1]!PropsSI("D","T",J42+273.15,"P",101325,"Water")</f>
        <v>984.41356010200957</v>
      </c>
      <c r="R42" cm="1">
        <f t="array" ref="R42">[1]!PropsSI("D","T",K42+273.15,"P",101325,"Water")</f>
        <v>987.78187186582829</v>
      </c>
      <c r="S42">
        <f t="shared" si="1"/>
        <v>986.09771598391899</v>
      </c>
      <c r="T42" cm="1">
        <f t="array" ref="T42">[1]!PropsSI("H","T",J42+273.15,"P",101325,"Water")</f>
        <v>241204.58127903668</v>
      </c>
      <c r="U42" cm="1">
        <f t="array" ref="U42">[1]!PropsSI("H","T",K42+273.15,"P",101325,"Water")</f>
        <v>211749.64731301513</v>
      </c>
      <c r="V42">
        <f t="shared" si="2"/>
        <v>776.43794426525437</v>
      </c>
      <c r="X42">
        <f t="shared" si="3"/>
        <v>0.26519930800000002</v>
      </c>
      <c r="Y42">
        <f t="shared" si="3"/>
        <v>0.25111500599999997</v>
      </c>
      <c r="Z42">
        <f t="shared" si="9"/>
        <v>0.36522516233422209</v>
      </c>
      <c r="AA42">
        <f t="shared" si="8"/>
        <v>7.042151000000004</v>
      </c>
      <c r="AB42">
        <f t="shared" si="5"/>
        <v>5.2818013620020948E-2</v>
      </c>
      <c r="AC42">
        <f t="shared" si="6"/>
        <v>41.009909915303268</v>
      </c>
    </row>
    <row r="43" spans="1:29" x14ac:dyDescent="0.2">
      <c r="A43">
        <v>46137.055733055553</v>
      </c>
      <c r="B43">
        <v>17.272300999999999</v>
      </c>
      <c r="C43">
        <v>17.940797</v>
      </c>
      <c r="D43">
        <v>18.981065000000001</v>
      </c>
      <c r="E43">
        <v>19.426155999999999</v>
      </c>
      <c r="F43">
        <v>29.278687000000001</v>
      </c>
      <c r="G43">
        <v>30.104637</v>
      </c>
      <c r="H43">
        <v>26.252506</v>
      </c>
      <c r="I43">
        <v>23.641487000000001</v>
      </c>
      <c r="J43">
        <v>57.597425000000001</v>
      </c>
      <c r="K43">
        <v>50.553688999999999</v>
      </c>
      <c r="L43">
        <v>256.76903600000003</v>
      </c>
      <c r="M43">
        <v>-622.48449100000005</v>
      </c>
      <c r="N43">
        <v>1.604897</v>
      </c>
      <c r="O43">
        <v>3.3603869999999998</v>
      </c>
      <c r="P43">
        <f t="shared" si="0"/>
        <v>2.6748283333333336E-5</v>
      </c>
      <c r="Q43" cm="1">
        <f t="array" ref="Q43">[1]!PropsSI("D","T",J43+273.15,"P",101325,"Water")</f>
        <v>984.41467485034298</v>
      </c>
      <c r="R43" cm="1">
        <f t="array" ref="R43">[1]!PropsSI("D","T",K43+273.15,"P",101325,"Water")</f>
        <v>987.78361078360945</v>
      </c>
      <c r="S43">
        <f t="shared" si="1"/>
        <v>986.09914281697615</v>
      </c>
      <c r="T43" cm="1">
        <f t="array" ref="T43">[1]!PropsSI("H","T",J43+273.15,"P",101325,"Water")</f>
        <v>241195.255259912</v>
      </c>
      <c r="U43" cm="1">
        <f t="array" ref="U43">[1]!PropsSI("H","T",K43+273.15,"P",101325,"Water")</f>
        <v>211733.69906433695</v>
      </c>
      <c r="V43">
        <f t="shared" si="2"/>
        <v>777.09153692987888</v>
      </c>
      <c r="X43">
        <f t="shared" si="3"/>
        <v>0.26519484999999998</v>
      </c>
      <c r="Y43">
        <f t="shared" si="3"/>
        <v>0.25110737799999999</v>
      </c>
      <c r="Z43">
        <f t="shared" si="9"/>
        <v>0.3652166805508168</v>
      </c>
      <c r="AA43">
        <f t="shared" si="8"/>
        <v>7.0437360000000027</v>
      </c>
      <c r="AB43">
        <f t="shared" si="5"/>
        <v>5.2805372080927816E-2</v>
      </c>
      <c r="AC43">
        <f t="shared" si="6"/>
        <v>41.034607748522312</v>
      </c>
    </row>
    <row r="44" spans="1:29" x14ac:dyDescent="0.2">
      <c r="A44">
        <v>46137.055768356484</v>
      </c>
      <c r="B44">
        <v>17.485422</v>
      </c>
      <c r="C44">
        <v>18.193037</v>
      </c>
      <c r="D44">
        <v>19.086682</v>
      </c>
      <c r="E44">
        <v>19.490760000000002</v>
      </c>
      <c r="F44">
        <v>29.056958000000002</v>
      </c>
      <c r="G44">
        <v>29.963792000000002</v>
      </c>
      <c r="H44">
        <v>26.742176000000001</v>
      </c>
      <c r="I44">
        <v>24.319042</v>
      </c>
      <c r="J44">
        <v>57.596629</v>
      </c>
      <c r="K44">
        <v>50.562429000000002</v>
      </c>
      <c r="L44">
        <v>278.44999100000001</v>
      </c>
      <c r="M44">
        <v>-622.46734900000001</v>
      </c>
      <c r="N44">
        <v>1.6052169999999999</v>
      </c>
      <c r="O44">
        <v>3.5086240000000002</v>
      </c>
      <c r="P44">
        <f t="shared" si="0"/>
        <v>2.6753616666666664E-5</v>
      </c>
      <c r="Q44" cm="1">
        <f t="array" ref="Q44">[1]!PropsSI("D","T",J44+273.15,"P",101325,"Water")</f>
        <v>984.41507293176232</v>
      </c>
      <c r="R44" cm="1">
        <f t="array" ref="R44">[1]!PropsSI("D","T",K44+273.15,"P",101325,"Water")</f>
        <v>987.7796258133734</v>
      </c>
      <c r="S44">
        <f t="shared" si="1"/>
        <v>986.09734937256781</v>
      </c>
      <c r="T44" cm="1">
        <f t="array" ref="T44">[1]!PropsSI("H","T",J44+273.15,"P",101325,"Water")</f>
        <v>241191.92483812975</v>
      </c>
      <c r="U44" cm="1">
        <f t="array" ref="U44">[1]!PropsSI("H","T",K44+273.15,"P",101325,"Water")</f>
        <v>211770.24539826918</v>
      </c>
      <c r="V44">
        <f t="shared" si="2"/>
        <v>776.19305198383165</v>
      </c>
      <c r="X44">
        <f t="shared" si="3"/>
        <v>0.26519325799999999</v>
      </c>
      <c r="Y44">
        <f t="shared" si="3"/>
        <v>0.25112485800000001</v>
      </c>
      <c r="Z44">
        <f t="shared" si="9"/>
        <v>0.36522754331262414</v>
      </c>
      <c r="AA44">
        <f t="shared" si="8"/>
        <v>7.0341999999999985</v>
      </c>
      <c r="AB44">
        <f t="shared" si="5"/>
        <v>5.2875909138184393E-2</v>
      </c>
      <c r="AC44">
        <f t="shared" si="6"/>
        <v>41.041913290387114</v>
      </c>
    </row>
    <row r="45" spans="1:29" x14ac:dyDescent="0.2">
      <c r="A45">
        <v>46137.055803078707</v>
      </c>
      <c r="B45">
        <v>17.621625999999999</v>
      </c>
      <c r="C45">
        <v>18.06476</v>
      </c>
      <c r="D45">
        <v>19.292674000000002</v>
      </c>
      <c r="E45">
        <v>19.667998000000001</v>
      </c>
      <c r="F45">
        <v>29.212774</v>
      </c>
      <c r="G45">
        <v>30.120370000000001</v>
      </c>
      <c r="H45">
        <v>26.979628999999999</v>
      </c>
      <c r="I45">
        <v>24.304973</v>
      </c>
      <c r="J45">
        <v>57.596947</v>
      </c>
      <c r="K45">
        <v>50.570532999999998</v>
      </c>
      <c r="L45">
        <v>278.823442</v>
      </c>
      <c r="M45">
        <v>-622.47959300000002</v>
      </c>
      <c r="N45">
        <v>1.6032249999999999</v>
      </c>
      <c r="O45">
        <v>3.463193</v>
      </c>
      <c r="P45">
        <f t="shared" si="0"/>
        <v>2.6720416666666666E-5</v>
      </c>
      <c r="Q45" cm="1">
        <f t="array" ref="Q45">[1]!PropsSI("D","T",J45+273.15,"P",101325,"Water")</f>
        <v>984.41491389970804</v>
      </c>
      <c r="R45" cm="1">
        <f t="array" ref="R45">[1]!PropsSI("D","T",K45+273.15,"P",101325,"Water")</f>
        <v>987.77593038014516</v>
      </c>
      <c r="S45">
        <f t="shared" si="1"/>
        <v>986.09542213992654</v>
      </c>
      <c r="T45" cm="1">
        <f t="array" ref="T45">[1]!PropsSI("H","T",J45+273.15,"P",101325,"Water")</f>
        <v>241193.25533321602</v>
      </c>
      <c r="U45" cm="1">
        <f t="array" ref="U45">[1]!PropsSI("H","T",K45+273.15,"P",101325,"Water")</f>
        <v>211804.13231633868</v>
      </c>
      <c r="V45">
        <f t="shared" si="2"/>
        <v>774.37049191946642</v>
      </c>
      <c r="X45">
        <f t="shared" si="3"/>
        <v>0.26519389399999999</v>
      </c>
      <c r="Y45">
        <f t="shared" si="3"/>
        <v>0.25114106599999997</v>
      </c>
      <c r="Z45">
        <f t="shared" si="9"/>
        <v>0.3652391496629292</v>
      </c>
      <c r="AA45">
        <f t="shared" si="8"/>
        <v>7.0264140000000026</v>
      </c>
      <c r="AB45">
        <f t="shared" si="5"/>
        <v>5.293402868526137E-2</v>
      </c>
      <c r="AC45">
        <f t="shared" si="6"/>
        <v>40.990549832284991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3639-0675-7740-8122-E95F3106BF21}">
  <dimension ref="A1:AC44"/>
  <sheetViews>
    <sheetView topLeftCell="M1" workbookViewId="0">
      <selection activeCell="W22" sqref="W2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>
        <v>44675.056435025501</v>
      </c>
      <c r="B2">
        <v>17.940203</v>
      </c>
      <c r="C2">
        <v>18.356624</v>
      </c>
      <c r="D2">
        <v>19.137499999999999</v>
      </c>
      <c r="E2">
        <v>19.640208999999999</v>
      </c>
      <c r="F2">
        <v>28.476814999999998</v>
      </c>
      <c r="G2">
        <v>30.377184</v>
      </c>
      <c r="H2">
        <v>26.040386999999999</v>
      </c>
      <c r="I2">
        <v>22.262376</v>
      </c>
      <c r="J2">
        <v>57.560958999999997</v>
      </c>
      <c r="K2">
        <v>50.111024999999998</v>
      </c>
      <c r="L2">
        <v>385.29566199999999</v>
      </c>
      <c r="M2">
        <v>-622.47918500000003</v>
      </c>
      <c r="N2">
        <v>1.6034219999999999</v>
      </c>
      <c r="O2">
        <v>3.463714</v>
      </c>
      <c r="P2">
        <f t="shared" ref="P2:P65" si="0" xml:space="preserve"> N2*0.001/60</f>
        <v>2.67237E-5</v>
      </c>
      <c r="Q2" cm="1">
        <f t="array" ref="Q2">[1]!PropsSI("D","T",J2+273.15,"P",101325,"Water")</f>
        <v>984.43290764746837</v>
      </c>
      <c r="R2" cm="1">
        <f t="array" ref="R2">[1]!PropsSI("D","T",K2+273.15,"P",101325,"Water")</f>
        <v>987.9847895018496</v>
      </c>
      <c r="S2">
        <f t="shared" ref="S2:S65" si="1">(Q2+R2)/2</f>
        <v>986.20884857465899</v>
      </c>
      <c r="T2" cm="1">
        <f t="array" ref="T2">[1]!PropsSI("H","T",J2+273.15,"P",101325,"Water")</f>
        <v>241042.68371033162</v>
      </c>
      <c r="U2" cm="1">
        <f t="array" ref="U2">[1]!PropsSI("H","T",K2+273.15,"P",101325,"Water")</f>
        <v>209882.72727176503</v>
      </c>
      <c r="V2">
        <f t="shared" ref="V2:V65" si="2">S2*P2*(T2-U2)</f>
        <v>821.22530744327184</v>
      </c>
      <c r="W2" s="3">
        <f>AVERAGE(V2:V44)</f>
        <v>818.42070730447369</v>
      </c>
      <c r="X2">
        <f>(0.15+0.002*ABS(J2))</f>
        <v>0.26512191799999996</v>
      </c>
      <c r="Y2">
        <f>(0.15+0.002*ABS(K2))</f>
        <v>0.25022204999999997</v>
      </c>
      <c r="Z2">
        <f>SQRT((X2)^2 + (Y2)^2)</f>
        <v>0.36455549057749931</v>
      </c>
      <c r="AA2">
        <f>J2-K2</f>
        <v>7.4499339999999989</v>
      </c>
      <c r="AB2">
        <f>SQRT((0.01)^2 + (Z2/ABS(AA2))^2)</f>
        <v>4.9945388939845584E-2</v>
      </c>
      <c r="AC2">
        <f>ABS(V2*AB2)</f>
        <v>41.016417387498478</v>
      </c>
    </row>
    <row r="3" spans="1:29" x14ac:dyDescent="0.2">
      <c r="A3">
        <v>44675.056470326403</v>
      </c>
      <c r="B3">
        <v>18.031141000000002</v>
      </c>
      <c r="C3">
        <v>18.418675</v>
      </c>
      <c r="D3">
        <v>19.321739999999998</v>
      </c>
      <c r="E3">
        <v>19.685803</v>
      </c>
      <c r="F3">
        <v>28.460982999999999</v>
      </c>
      <c r="G3">
        <v>30.028593999999998</v>
      </c>
      <c r="H3">
        <v>25.730025999999999</v>
      </c>
      <c r="I3">
        <v>22.634001000000001</v>
      </c>
      <c r="J3">
        <v>57.555067000000001</v>
      </c>
      <c r="K3">
        <v>50.114837999999999</v>
      </c>
      <c r="L3">
        <v>378.30784799999998</v>
      </c>
      <c r="M3">
        <v>-622.50816299999997</v>
      </c>
      <c r="N3">
        <v>1.6064989999999999</v>
      </c>
      <c r="O3">
        <v>3.4738169999999999</v>
      </c>
      <c r="P3">
        <f t="shared" si="0"/>
        <v>2.6774983333333334E-5</v>
      </c>
      <c r="Q3" cm="1">
        <f t="array" ref="Q3">[1]!PropsSI("D","T",J3+273.15,"P",101325,"Water")</f>
        <v>984.43585286010182</v>
      </c>
      <c r="R3" cm="1">
        <f t="array" ref="R3">[1]!PropsSI("D","T",K3+273.15,"P",101325,"Water")</f>
        <v>987.98306206896143</v>
      </c>
      <c r="S3">
        <f t="shared" si="1"/>
        <v>986.20945746453162</v>
      </c>
      <c r="T3" cm="1">
        <f t="array" ref="T3">[1]!PropsSI("H","T",J3+273.15,"P",101325,"Water")</f>
        <v>241018.03198688955</v>
      </c>
      <c r="U3" cm="1">
        <f t="array" ref="U3">[1]!PropsSI("H","T",K3+273.15,"P",101325,"Water")</f>
        <v>209898.67085219323</v>
      </c>
      <c r="V3">
        <f t="shared" si="2"/>
        <v>821.7298146926139</v>
      </c>
      <c r="W3" s="3" t="s">
        <v>35</v>
      </c>
      <c r="X3">
        <f t="shared" ref="X3:Y55" si="3">(0.15+0.002*ABS(J3))</f>
        <v>0.265110134</v>
      </c>
      <c r="Y3">
        <f t="shared" si="3"/>
        <v>0.25022967600000001</v>
      </c>
      <c r="Z3">
        <f t="shared" ref="Z3:Z55" si="4">SQRT((X3)^2 + (Y3)^2)</f>
        <v>0.36455215525431056</v>
      </c>
      <c r="AA3">
        <f>J3-K3</f>
        <v>7.4402290000000022</v>
      </c>
      <c r="AB3">
        <f t="shared" ref="AB3:AB66" si="5">SQRT((0.01)^2 + (Z3/ABS(AA3))^2)</f>
        <v>5.0007488234001966E-2</v>
      </c>
      <c r="AC3">
        <f t="shared" ref="AC3:AC66" si="6">ABS(V3*AB3)</f>
        <v>41.092644039769503</v>
      </c>
    </row>
    <row r="4" spans="1:29" x14ac:dyDescent="0.2">
      <c r="A4">
        <v>44675.056505048597</v>
      </c>
      <c r="B4">
        <v>17.609221999999999</v>
      </c>
      <c r="C4">
        <v>18.016845</v>
      </c>
      <c r="D4">
        <v>19.171543</v>
      </c>
      <c r="E4">
        <v>19.779890999999999</v>
      </c>
      <c r="F4">
        <v>28.141051000000001</v>
      </c>
      <c r="G4">
        <v>30.485272999999999</v>
      </c>
      <c r="H4">
        <v>25.890212999999999</v>
      </c>
      <c r="I4">
        <v>23.209527000000001</v>
      </c>
      <c r="J4">
        <v>57.551563999999999</v>
      </c>
      <c r="K4">
        <v>50.114995999999998</v>
      </c>
      <c r="L4">
        <v>384.96098499999999</v>
      </c>
      <c r="M4">
        <v>-622.46694000000002</v>
      </c>
      <c r="N4">
        <v>1.602168</v>
      </c>
      <c r="O4">
        <v>3.9023629999999998</v>
      </c>
      <c r="P4">
        <f t="shared" si="0"/>
        <v>2.6702800000000001E-5</v>
      </c>
      <c r="Q4" cm="1">
        <f t="array" ref="Q4">[1]!PropsSI("D","T",J4+273.15,"P",101325,"Water")</f>
        <v>984.43760379247271</v>
      </c>
      <c r="R4" cm="1">
        <f t="array" ref="R4">[1]!PropsSI("D","T",K4+273.15,"P",101325,"Water")</f>
        <v>987.98299048695617</v>
      </c>
      <c r="S4">
        <f t="shared" si="1"/>
        <v>986.21029713971438</v>
      </c>
      <c r="T4" cm="1">
        <f t="array" ref="T4">[1]!PropsSI("H","T",J4+273.15,"P",101325,"Water")</f>
        <v>241003.37568198779</v>
      </c>
      <c r="U4" cm="1">
        <f t="array" ref="U4">[1]!PropsSI("H","T",K4+273.15,"P",101325,"Water")</f>
        <v>209899.33150941561</v>
      </c>
      <c r="V4">
        <f t="shared" si="2"/>
        <v>819.11182519984277</v>
      </c>
      <c r="W4" s="3">
        <f>SQRT((AVERAGE(AC2:AC44))^2 + (_xlfn.STDEV.S(V2:V44)/SQRT(COUNT(V2:V44)))^2)</f>
        <v>40.989862622878931</v>
      </c>
      <c r="X4">
        <f t="shared" si="3"/>
        <v>0.26510312800000002</v>
      </c>
      <c r="Y4">
        <f t="shared" si="3"/>
        <v>0.25022999200000001</v>
      </c>
      <c r="Z4">
        <f t="shared" si="4"/>
        <v>0.36454727727923641</v>
      </c>
      <c r="AA4">
        <f t="shared" ref="AA4:AA67" si="7">J4-K4</f>
        <v>7.4365680000000012</v>
      </c>
      <c r="AB4">
        <f t="shared" si="5"/>
        <v>5.0030479847534504E-2</v>
      </c>
      <c r="AC4">
        <f t="shared" si="6"/>
        <v>40.980557663537937</v>
      </c>
    </row>
    <row r="5" spans="1:29" x14ac:dyDescent="0.2">
      <c r="A5">
        <v>44675.0565403496</v>
      </c>
      <c r="B5">
        <v>17.577572</v>
      </c>
      <c r="C5">
        <v>18.0731</v>
      </c>
      <c r="D5">
        <v>19.103656999999998</v>
      </c>
      <c r="E5">
        <v>19.577997</v>
      </c>
      <c r="F5">
        <v>28.210090999999998</v>
      </c>
      <c r="G5">
        <v>30.010746000000001</v>
      </c>
      <c r="H5">
        <v>25.776232</v>
      </c>
      <c r="I5">
        <v>22.585196</v>
      </c>
      <c r="J5">
        <v>57.545513</v>
      </c>
      <c r="K5">
        <v>50.115155000000001</v>
      </c>
      <c r="L5">
        <v>373.25585599999999</v>
      </c>
      <c r="M5">
        <v>-622.50734699999998</v>
      </c>
      <c r="N5">
        <v>1.602557</v>
      </c>
      <c r="O5">
        <v>3.5738789999999998</v>
      </c>
      <c r="P5">
        <f t="shared" si="0"/>
        <v>2.6709283333333335E-5</v>
      </c>
      <c r="Q5" cm="1">
        <f t="array" ref="Q5">[1]!PropsSI("D","T",J5+273.15,"P",101325,"Water")</f>
        <v>984.44062813712321</v>
      </c>
      <c r="R5" cm="1">
        <f t="array" ref="R5">[1]!PropsSI("D","T",K5+273.15,"P",101325,"Water")</f>
        <v>987.98291845171923</v>
      </c>
      <c r="S5">
        <f t="shared" si="1"/>
        <v>986.21177329442116</v>
      </c>
      <c r="T5" cm="1">
        <f t="array" ref="T5">[1]!PropsSI("H","T",J5+273.15,"P",101325,"Water")</f>
        <v>240978.05873637742</v>
      </c>
      <c r="U5" cm="1">
        <f t="array" ref="U5">[1]!PropsSI("H","T",K5+273.15,"P",101325,"Water")</f>
        <v>209899.99634801567</v>
      </c>
      <c r="V5">
        <f t="shared" si="2"/>
        <v>818.62754219473243</v>
      </c>
      <c r="W5" s="3"/>
      <c r="X5">
        <f t="shared" si="3"/>
        <v>0.26509102600000001</v>
      </c>
      <c r="Y5">
        <f t="shared" si="3"/>
        <v>0.25023031000000001</v>
      </c>
      <c r="Z5">
        <f t="shared" si="4"/>
        <v>0.36453869493982222</v>
      </c>
      <c r="AA5">
        <f t="shared" si="7"/>
        <v>7.4303579999999982</v>
      </c>
      <c r="AB5">
        <f t="shared" si="5"/>
        <v>5.0069491748616919E-2</v>
      </c>
      <c r="AC5">
        <f t="shared" si="6"/>
        <v>40.988264969109707</v>
      </c>
    </row>
    <row r="6" spans="1:29" x14ac:dyDescent="0.2">
      <c r="A6">
        <v>46137.056575648145</v>
      </c>
      <c r="B6">
        <v>17.616066</v>
      </c>
      <c r="C6">
        <v>18.070252</v>
      </c>
      <c r="D6">
        <v>18.964113000000001</v>
      </c>
      <c r="E6">
        <v>19.599746</v>
      </c>
      <c r="F6">
        <v>28.251553000000001</v>
      </c>
      <c r="G6">
        <v>29.767202000000001</v>
      </c>
      <c r="H6">
        <v>25.678649</v>
      </c>
      <c r="I6">
        <v>22.56213</v>
      </c>
      <c r="J6">
        <v>57.539940000000001</v>
      </c>
      <c r="K6">
        <v>50.100856</v>
      </c>
      <c r="L6">
        <v>387.22372799999999</v>
      </c>
      <c r="M6">
        <v>-622.49306200000001</v>
      </c>
      <c r="N6">
        <v>1.600619</v>
      </c>
      <c r="O6">
        <v>3.7062689999999998</v>
      </c>
      <c r="P6">
        <f t="shared" si="0"/>
        <v>2.6676983333333332E-5</v>
      </c>
      <c r="Q6" cm="1">
        <f t="array" ref="Q6">[1]!PropsSI("D","T",J6+273.15,"P",101325,"Water")</f>
        <v>984.44341337711865</v>
      </c>
      <c r="R6" cm="1">
        <f t="array" ref="R6">[1]!PropsSI("D","T",K6+273.15,"P",101325,"Water")</f>
        <v>987.98939597687149</v>
      </c>
      <c r="S6">
        <f t="shared" si="1"/>
        <v>986.21640467699513</v>
      </c>
      <c r="T6" cm="1">
        <f t="array" ref="T6">[1]!PropsSI("H","T",J6+273.15,"P",101325,"Water")</f>
        <v>240954.74172110431</v>
      </c>
      <c r="U6" cm="1">
        <f t="array" ref="U6">[1]!PropsSI("H","T",K6+273.15,"P",101325,"Water")</f>
        <v>209840.2068961802</v>
      </c>
      <c r="V6">
        <f t="shared" si="2"/>
        <v>818.60096492672892</v>
      </c>
      <c r="W6" s="3"/>
      <c r="X6">
        <f t="shared" si="3"/>
        <v>0.26507987999999999</v>
      </c>
      <c r="Y6">
        <f t="shared" si="3"/>
        <v>0.25020171199999997</v>
      </c>
      <c r="Z6">
        <f t="shared" si="4"/>
        <v>0.36451095932570438</v>
      </c>
      <c r="AA6">
        <f>J6-K6</f>
        <v>7.4390840000000011</v>
      </c>
      <c r="AB6">
        <f t="shared" si="5"/>
        <v>5.0009451523465247E-2</v>
      </c>
      <c r="AC6">
        <f t="shared" si="6"/>
        <v>40.937785272565122</v>
      </c>
    </row>
    <row r="7" spans="1:29" x14ac:dyDescent="0.2">
      <c r="A7">
        <v>46137.056610370368</v>
      </c>
      <c r="B7">
        <v>17.783539999999999</v>
      </c>
      <c r="C7">
        <v>18.161221000000001</v>
      </c>
      <c r="D7">
        <v>19.14095</v>
      </c>
      <c r="E7">
        <v>19.729597999999999</v>
      </c>
      <c r="F7">
        <v>28.385522000000002</v>
      </c>
      <c r="G7">
        <v>29.978784000000001</v>
      </c>
      <c r="H7">
        <v>25.594996999999999</v>
      </c>
      <c r="I7">
        <v>22.313606</v>
      </c>
      <c r="J7">
        <v>57.535640999999998</v>
      </c>
      <c r="K7">
        <v>50.100062000000001</v>
      </c>
      <c r="L7">
        <v>382.32234099999999</v>
      </c>
      <c r="M7">
        <v>-622.47591999999997</v>
      </c>
      <c r="N7">
        <v>1.604115</v>
      </c>
      <c r="O7">
        <v>3.4337620000000002</v>
      </c>
      <c r="P7">
        <f t="shared" si="0"/>
        <v>2.6735249999999998E-5</v>
      </c>
      <c r="Q7" cm="1">
        <f t="array" ref="Q7">[1]!PropsSI("D","T",J7+273.15,"P",101325,"Water")</f>
        <v>984.44556177678555</v>
      </c>
      <c r="R7" cm="1">
        <f t="array" ref="R7">[1]!PropsSI("D","T",K7+273.15,"P",101325,"Water")</f>
        <v>987.98975562396231</v>
      </c>
      <c r="S7">
        <f t="shared" si="1"/>
        <v>986.21765870037393</v>
      </c>
      <c r="T7" cm="1">
        <f t="array" ref="T7">[1]!PropsSI("H","T",J7+273.15,"P",101325,"Water")</f>
        <v>240936.75503507411</v>
      </c>
      <c r="U7" cm="1">
        <f t="array" ref="U7">[1]!PropsSI("H","T",K7+273.15,"P",101325,"Water")</f>
        <v>209836.8868877065</v>
      </c>
      <c r="V7">
        <f t="shared" si="2"/>
        <v>820.00324649004278</v>
      </c>
      <c r="W7" s="3"/>
      <c r="X7">
        <f t="shared" si="3"/>
        <v>0.26507128199999996</v>
      </c>
      <c r="Y7">
        <f t="shared" si="3"/>
        <v>0.25020012400000002</v>
      </c>
      <c r="Z7">
        <f t="shared" si="4"/>
        <v>0.36450361670460679</v>
      </c>
      <c r="AA7">
        <f t="shared" ref="AA7:AA70" si="8">J7-K7</f>
        <v>7.4355789999999971</v>
      </c>
      <c r="AB7">
        <f t="shared" si="5"/>
        <v>5.0031115146200178E-2</v>
      </c>
      <c r="AC7">
        <f t="shared" si="6"/>
        <v>41.0256768454013</v>
      </c>
    </row>
    <row r="8" spans="1:29" x14ac:dyDescent="0.2">
      <c r="A8">
        <v>46137.056645092591</v>
      </c>
      <c r="B8">
        <v>17.506017</v>
      </c>
      <c r="C8">
        <v>17.801541</v>
      </c>
      <c r="D8">
        <v>19.218852999999999</v>
      </c>
      <c r="E8">
        <v>19.730634999999999</v>
      </c>
      <c r="F8">
        <v>28.074535999999998</v>
      </c>
      <c r="G8">
        <v>29.344636999999999</v>
      </c>
      <c r="H8">
        <v>26.065103000000001</v>
      </c>
      <c r="I8">
        <v>22.670389</v>
      </c>
      <c r="J8">
        <v>57.533569999999997</v>
      </c>
      <c r="K8">
        <v>50.095931</v>
      </c>
      <c r="L8">
        <v>389.51830699999999</v>
      </c>
      <c r="M8">
        <v>-622.49755100000004</v>
      </c>
      <c r="N8">
        <v>1.6012500000000001</v>
      </c>
      <c r="O8">
        <v>3.53498</v>
      </c>
      <c r="P8">
        <f t="shared" si="0"/>
        <v>2.6687500000000002E-5</v>
      </c>
      <c r="Q8" cm="1">
        <f t="array" ref="Q8">[1]!PropsSI("D","T",J8+273.15,"P",101325,"Water")</f>
        <v>984.44659670681597</v>
      </c>
      <c r="R8" cm="1">
        <f t="array" ref="R8">[1]!PropsSI("D","T",K8+273.15,"P",101325,"Water")</f>
        <v>987.99162671863462</v>
      </c>
      <c r="S8">
        <f t="shared" si="1"/>
        <v>986.21911171272529</v>
      </c>
      <c r="T8" cm="1">
        <f t="array" ref="T8">[1]!PropsSI("H","T",J8+273.15,"P",101325,"Water")</f>
        <v>240928.09013266742</v>
      </c>
      <c r="U8" cm="1">
        <f t="array" ref="U8">[1]!PropsSI("H","T",K8+273.15,"P",101325,"Water")</f>
        <v>209819.6136478408</v>
      </c>
      <c r="V8">
        <f t="shared" si="2"/>
        <v>818.76646984200102</v>
      </c>
      <c r="W8" s="3"/>
      <c r="X8">
        <f t="shared" si="3"/>
        <v>0.26506713999999998</v>
      </c>
      <c r="Y8">
        <f t="shared" si="3"/>
        <v>0.25019186199999999</v>
      </c>
      <c r="Z8">
        <f>SQRT((X8)^2 + (Y8)^2)</f>
        <v>0.36449493346109302</v>
      </c>
      <c r="AA8">
        <f t="shared" si="8"/>
        <v>7.4376389999999972</v>
      </c>
      <c r="AB8">
        <f t="shared" si="5"/>
        <v>5.0016667814129105E-2</v>
      </c>
      <c r="AC8">
        <f t="shared" si="6"/>
        <v>40.951970539434519</v>
      </c>
    </row>
    <row r="9" spans="1:29" x14ac:dyDescent="0.2">
      <c r="A9">
        <v>46137.056680393522</v>
      </c>
      <c r="B9">
        <v>17.523833</v>
      </c>
      <c r="C9">
        <v>17.993625999999999</v>
      </c>
      <c r="D9">
        <v>19.163176</v>
      </c>
      <c r="E9">
        <v>19.660095999999999</v>
      </c>
      <c r="F9">
        <v>28.144497000000001</v>
      </c>
      <c r="G9">
        <v>30.200361000000001</v>
      </c>
      <c r="H9">
        <v>26.317041</v>
      </c>
      <c r="I9">
        <v>22.650739999999999</v>
      </c>
      <c r="J9">
        <v>57.530544999999996</v>
      </c>
      <c r="K9">
        <v>50.091959000000003</v>
      </c>
      <c r="L9">
        <v>403.60086799999999</v>
      </c>
      <c r="M9">
        <v>-622.50653</v>
      </c>
      <c r="N9">
        <v>1.6029100000000001</v>
      </c>
      <c r="O9">
        <v>3.1742810000000001</v>
      </c>
      <c r="P9">
        <f t="shared" si="0"/>
        <v>2.6715166666666668E-5</v>
      </c>
      <c r="Q9" cm="1">
        <f t="array" ref="Q9">[1]!PropsSI("D","T",J9+273.15,"P",101325,"Water")</f>
        <v>984.44810832768371</v>
      </c>
      <c r="R9" cm="1">
        <f t="array" ref="R9">[1]!PropsSI("D","T",K9+273.15,"P",101325,"Water")</f>
        <v>987.99342569044359</v>
      </c>
      <c r="S9">
        <f t="shared" si="1"/>
        <v>986.22076700906359</v>
      </c>
      <c r="T9" cm="1">
        <f t="array" ref="T9">[1]!PropsSI("H","T",J9+273.15,"P",101325,"Water")</f>
        <v>240915.43377178279</v>
      </c>
      <c r="U9" cm="1">
        <f t="array" ref="U9">[1]!PropsSI("H","T",K9+273.15,"P",101325,"Water")</f>
        <v>209803.00525033387</v>
      </c>
      <c r="V9">
        <f t="shared" si="2"/>
        <v>819.72077710299754</v>
      </c>
      <c r="W9" s="3"/>
      <c r="X9">
        <f t="shared" si="3"/>
        <v>0.26506109</v>
      </c>
      <c r="Y9">
        <f t="shared" si="3"/>
        <v>0.25018391800000001</v>
      </c>
      <c r="Z9">
        <f t="shared" ref="Z9:Z72" si="9">SQRT((X9)^2 + (Y9)^2)</f>
        <v>0.3644850809811272</v>
      </c>
      <c r="AA9">
        <f t="shared" si="8"/>
        <v>7.4385859999999937</v>
      </c>
      <c r="AB9">
        <f t="shared" si="5"/>
        <v>5.0009257024097351E-2</v>
      </c>
      <c r="AC9">
        <f t="shared" si="6"/>
        <v>40.993627030136622</v>
      </c>
    </row>
    <row r="10" spans="1:29" x14ac:dyDescent="0.2">
      <c r="A10">
        <v>44675.056715696803</v>
      </c>
      <c r="B10">
        <v>18.107711999999999</v>
      </c>
      <c r="C10">
        <v>18.479402</v>
      </c>
      <c r="D10">
        <v>19.263183000000001</v>
      </c>
      <c r="E10">
        <v>19.707937000000001</v>
      </c>
      <c r="F10">
        <v>28.661213</v>
      </c>
      <c r="G10">
        <v>30.225183999999999</v>
      </c>
      <c r="H10">
        <v>25.735133999999999</v>
      </c>
      <c r="I10">
        <v>22.775283999999999</v>
      </c>
      <c r="J10">
        <v>57.527838000000003</v>
      </c>
      <c r="K10">
        <v>50.087352000000003</v>
      </c>
      <c r="L10">
        <v>386.07766299999997</v>
      </c>
      <c r="M10">
        <v>-622.50326500000006</v>
      </c>
      <c r="N10">
        <v>1.6031310000000001</v>
      </c>
      <c r="O10">
        <v>3.7600359999999999</v>
      </c>
      <c r="P10">
        <f t="shared" si="0"/>
        <v>2.6718849999999999E-5</v>
      </c>
      <c r="Q10" cm="1">
        <f t="array" ref="Q10">[1]!PropsSI("D","T",J10+273.15,"P",101325,"Water")</f>
        <v>984.44946099401216</v>
      </c>
      <c r="R10" cm="1">
        <f t="array" ref="R10">[1]!PropsSI("D","T",K10+273.15,"P",101325,"Water")</f>
        <v>987.99551213274628</v>
      </c>
      <c r="S10">
        <f t="shared" si="1"/>
        <v>986.22248656337922</v>
      </c>
      <c r="T10" cm="1">
        <f t="array" ref="T10">[1]!PropsSI("H","T",J10+273.15,"P",101325,"Water")</f>
        <v>240904.10790084355</v>
      </c>
      <c r="U10" cm="1">
        <f t="array" ref="U10">[1]!PropsSI("H","T",K10+273.15,"P",101325,"Water")</f>
        <v>209783.74168921084</v>
      </c>
      <c r="V10">
        <f t="shared" si="2"/>
        <v>820.04438886485309</v>
      </c>
      <c r="X10">
        <f t="shared" si="3"/>
        <v>0.26505567600000002</v>
      </c>
      <c r="Y10">
        <f t="shared" si="3"/>
        <v>0.25017470399999997</v>
      </c>
      <c r="Z10">
        <f t="shared" si="9"/>
        <v>0.36447481929662107</v>
      </c>
      <c r="AA10">
        <f t="shared" si="8"/>
        <v>7.4404859999999999</v>
      </c>
      <c r="AB10">
        <f t="shared" si="5"/>
        <v>4.9995646064881424E-2</v>
      </c>
      <c r="AC10">
        <f t="shared" si="6"/>
        <v>40.998649023179183</v>
      </c>
    </row>
    <row r="11" spans="1:29" x14ac:dyDescent="0.2">
      <c r="A11">
        <v>44675.056750418997</v>
      </c>
      <c r="B11">
        <v>17.808934000000001</v>
      </c>
      <c r="C11">
        <v>18.406922000000002</v>
      </c>
      <c r="D11">
        <v>19.374238999999999</v>
      </c>
      <c r="E11">
        <v>19.688652000000001</v>
      </c>
      <c r="F11">
        <v>28.320205000000001</v>
      </c>
      <c r="G11">
        <v>30.061060999999999</v>
      </c>
      <c r="H11">
        <v>25.657502000000001</v>
      </c>
      <c r="I11">
        <v>22.487871999999999</v>
      </c>
      <c r="J11">
        <v>57.522902000000002</v>
      </c>
      <c r="K11">
        <v>50.089576000000001</v>
      </c>
      <c r="L11">
        <v>398.55948699999999</v>
      </c>
      <c r="M11">
        <v>-622.48204199999998</v>
      </c>
      <c r="N11">
        <v>1.6040369999999999</v>
      </c>
      <c r="O11">
        <v>3.335861</v>
      </c>
      <c r="P11">
        <f t="shared" si="0"/>
        <v>2.6733949999999998E-5</v>
      </c>
      <c r="Q11" cm="1">
        <f t="array" ref="Q11">[1]!PropsSI("D","T",J11+273.15,"P",101325,"Water")</f>
        <v>984.45192735976423</v>
      </c>
      <c r="R11" cm="1">
        <f t="array" ref="R11">[1]!PropsSI("D","T",K11+273.15,"P",101325,"Water")</f>
        <v>987.99450493333063</v>
      </c>
      <c r="S11">
        <f t="shared" si="1"/>
        <v>986.22321614654743</v>
      </c>
      <c r="T11" cm="1">
        <f t="array" ref="T11">[1]!PropsSI("H","T",J11+273.15,"P",101325,"Water")</f>
        <v>240883.45608021892</v>
      </c>
      <c r="U11" cm="1">
        <f t="array" ref="U11">[1]!PropsSI("H","T",K11+273.15,"P",101325,"Water")</f>
        <v>209793.04105026636</v>
      </c>
      <c r="V11">
        <f t="shared" si="2"/>
        <v>819.71875695297831</v>
      </c>
      <c r="X11">
        <f t="shared" si="3"/>
        <v>0.265045804</v>
      </c>
      <c r="Y11">
        <f t="shared" si="3"/>
        <v>0.25017915200000002</v>
      </c>
      <c r="Z11">
        <f t="shared" si="9"/>
        <v>0.36447069335331411</v>
      </c>
      <c r="AA11">
        <f t="shared" si="8"/>
        <v>7.433326000000001</v>
      </c>
      <c r="AB11">
        <f t="shared" si="5"/>
        <v>5.0041333751888142E-2</v>
      </c>
      <c r="AC11">
        <f t="shared" si="6"/>
        <v>41.019819899366865</v>
      </c>
    </row>
    <row r="12" spans="1:29" x14ac:dyDescent="0.2">
      <c r="A12">
        <v>44675.056785719898</v>
      </c>
      <c r="B12">
        <v>17.774674999999998</v>
      </c>
      <c r="C12">
        <v>18.515711</v>
      </c>
      <c r="D12">
        <v>19.179960999999999</v>
      </c>
      <c r="E12">
        <v>19.481514000000001</v>
      </c>
      <c r="F12">
        <v>28.223109000000001</v>
      </c>
      <c r="G12">
        <v>30.295677999999999</v>
      </c>
      <c r="H12">
        <v>25.974989000000001</v>
      </c>
      <c r="I12">
        <v>22.720904000000001</v>
      </c>
      <c r="J12">
        <v>57.521149999999999</v>
      </c>
      <c r="K12">
        <v>50.086874999999999</v>
      </c>
      <c r="L12">
        <v>391.40800899999999</v>
      </c>
      <c r="M12">
        <v>-622.48938799999996</v>
      </c>
      <c r="N12">
        <v>1.597726</v>
      </c>
      <c r="O12">
        <v>3.1096490000000001</v>
      </c>
      <c r="P12">
        <f t="shared" si="0"/>
        <v>2.6628766666666668E-5</v>
      </c>
      <c r="Q12" cm="1">
        <f t="array" ref="Q12">[1]!PropsSI("D","T",J12+273.15,"P",101325,"Water")</f>
        <v>984.45280274425966</v>
      </c>
      <c r="R12" cm="1">
        <f t="array" ref="R12">[1]!PropsSI("D","T",K12+273.15,"P",101325,"Water")</f>
        <v>987.99572815106592</v>
      </c>
      <c r="S12">
        <f t="shared" si="1"/>
        <v>986.22426544766279</v>
      </c>
      <c r="T12" cm="1">
        <f t="array" ref="T12">[1]!PropsSI("H","T",J12+273.15,"P",101325,"Water")</f>
        <v>240876.1258577269</v>
      </c>
      <c r="U12" cm="1">
        <f t="array" ref="U12">[1]!PropsSI("H","T",K12+273.15,"P",101325,"Water")</f>
        <v>209781.74717712315</v>
      </c>
      <c r="V12">
        <f t="shared" si="2"/>
        <v>816.59857806913601</v>
      </c>
      <c r="X12">
        <f t="shared" si="3"/>
        <v>0.26504230000000001</v>
      </c>
      <c r="Y12">
        <f t="shared" si="3"/>
        <v>0.25017374999999997</v>
      </c>
      <c r="Z12">
        <f t="shared" si="9"/>
        <v>0.36446443719292076</v>
      </c>
      <c r="AA12">
        <f t="shared" si="8"/>
        <v>7.4342749999999995</v>
      </c>
      <c r="AB12">
        <f t="shared" si="5"/>
        <v>5.0034376433919142E-2</v>
      </c>
      <c r="AC12">
        <f t="shared" si="6"/>
        <v>40.858000650514256</v>
      </c>
    </row>
    <row r="13" spans="1:29" x14ac:dyDescent="0.2">
      <c r="A13">
        <v>44675.056820442202</v>
      </c>
      <c r="B13">
        <v>17.662223000000001</v>
      </c>
      <c r="C13">
        <v>18.343927000000001</v>
      </c>
      <c r="D13">
        <v>19.085663</v>
      </c>
      <c r="E13">
        <v>19.451056000000001</v>
      </c>
      <c r="F13">
        <v>28.499126</v>
      </c>
      <c r="G13">
        <v>30.428332999999999</v>
      </c>
      <c r="H13">
        <v>25.492359</v>
      </c>
      <c r="I13">
        <v>22.700220000000002</v>
      </c>
      <c r="J13">
        <v>57.515735999999997</v>
      </c>
      <c r="K13">
        <v>50.08052</v>
      </c>
      <c r="L13">
        <v>401.47525999999999</v>
      </c>
      <c r="M13">
        <v>-622.52040699999998</v>
      </c>
      <c r="N13">
        <v>1.5996440000000001</v>
      </c>
      <c r="O13">
        <v>3.7461199999999999</v>
      </c>
      <c r="P13">
        <f t="shared" si="0"/>
        <v>2.6660733333333334E-5</v>
      </c>
      <c r="Q13" cm="1">
        <f t="array" ref="Q13">[1]!PropsSI("D","T",J13+273.15,"P",101325,"Water")</f>
        <v>984.45550772487536</v>
      </c>
      <c r="R13" cm="1">
        <f t="array" ref="R13">[1]!PropsSI("D","T",K13+273.15,"P",101325,"Water")</f>
        <v>987.99860598865655</v>
      </c>
      <c r="S13">
        <f t="shared" si="1"/>
        <v>986.22705685676601</v>
      </c>
      <c r="T13" cm="1">
        <f t="array" ref="T13">[1]!PropsSI("H","T",J13+273.15,"P",101325,"Water")</f>
        <v>240853.47413915125</v>
      </c>
      <c r="U13" cm="1">
        <f t="array" ref="U13">[1]!PropsSI("H","T",K13+273.15,"P",101325,"Water")</f>
        <v>209755.17459595474</v>
      </c>
      <c r="V13">
        <f t="shared" si="2"/>
        <v>817.68427627201982</v>
      </c>
      <c r="X13">
        <f t="shared" si="3"/>
        <v>0.26503147199999999</v>
      </c>
      <c r="Y13">
        <f t="shared" si="3"/>
        <v>0.25016104</v>
      </c>
      <c r="Z13">
        <f t="shared" si="9"/>
        <v>0.36444783863314151</v>
      </c>
      <c r="AA13">
        <f t="shared" si="8"/>
        <v>7.4352159999999969</v>
      </c>
      <c r="AB13">
        <f t="shared" si="5"/>
        <v>5.0026109680655205E-2</v>
      </c>
      <c r="AC13">
        <f t="shared" si="6"/>
        <v>40.905563288931234</v>
      </c>
    </row>
    <row r="14" spans="1:29" x14ac:dyDescent="0.2">
      <c r="A14">
        <v>44675.056855164403</v>
      </c>
      <c r="B14">
        <v>17.791983999999999</v>
      </c>
      <c r="C14">
        <v>18.408662</v>
      </c>
      <c r="D14">
        <v>19.190536999999999</v>
      </c>
      <c r="E14">
        <v>19.671493000000002</v>
      </c>
      <c r="F14">
        <v>28.365867000000001</v>
      </c>
      <c r="G14">
        <v>30.697286999999999</v>
      </c>
      <c r="H14">
        <v>25.69492</v>
      </c>
      <c r="I14">
        <v>22.572599</v>
      </c>
      <c r="J14">
        <v>57.510004000000002</v>
      </c>
      <c r="K14">
        <v>50.078772999999998</v>
      </c>
      <c r="L14">
        <v>371.30574999999999</v>
      </c>
      <c r="M14">
        <v>-622.51061200000004</v>
      </c>
      <c r="N14">
        <v>1.6022620000000001</v>
      </c>
      <c r="O14">
        <v>3.176339</v>
      </c>
      <c r="P14">
        <f t="shared" si="0"/>
        <v>2.6704366666666668E-5</v>
      </c>
      <c r="Q14" cm="1">
        <f t="array" ref="Q14">[1]!PropsSI("D","T",J14+273.15,"P",101325,"Water")</f>
        <v>984.45837139362186</v>
      </c>
      <c r="R14" cm="1">
        <f t="array" ref="R14">[1]!PropsSI("D","T",K14+273.15,"P",101325,"Water")</f>
        <v>987.99939706455643</v>
      </c>
      <c r="S14">
        <f t="shared" si="1"/>
        <v>986.22888422908909</v>
      </c>
      <c r="T14" cm="1">
        <f t="array" ref="T14">[1]!PropsSI("H","T",J14+273.15,"P",101325,"Water")</f>
        <v>240829.49194816931</v>
      </c>
      <c r="U14" cm="1">
        <f t="array" ref="U14">[1]!PropsSI("H","T",K14+273.15,"P",101325,"Water")</f>
        <v>209747.86975149068</v>
      </c>
      <c r="V14">
        <f t="shared" si="2"/>
        <v>818.58480258620932</v>
      </c>
      <c r="X14">
        <f t="shared" si="3"/>
        <v>0.26502000800000003</v>
      </c>
      <c r="Y14">
        <f t="shared" si="3"/>
        <v>0.25015754600000001</v>
      </c>
      <c r="Z14">
        <f t="shared" si="9"/>
        <v>0.36443710357352777</v>
      </c>
      <c r="AA14">
        <f t="shared" si="8"/>
        <v>7.4312310000000039</v>
      </c>
      <c r="AB14">
        <f t="shared" si="5"/>
        <v>5.0050449072226541E-2</v>
      </c>
      <c r="AC14">
        <f t="shared" si="6"/>
        <v>40.970536973139687</v>
      </c>
    </row>
    <row r="15" spans="1:29" x14ac:dyDescent="0.2">
      <c r="A15">
        <v>46137.056890462962</v>
      </c>
      <c r="B15">
        <v>17.676843000000002</v>
      </c>
      <c r="C15">
        <v>18.233893999999999</v>
      </c>
      <c r="D15">
        <v>19.112387999999999</v>
      </c>
      <c r="E15">
        <v>19.689297</v>
      </c>
      <c r="F15">
        <v>28.363683000000002</v>
      </c>
      <c r="G15">
        <v>30.190055000000001</v>
      </c>
      <c r="H15">
        <v>26.077959</v>
      </c>
      <c r="I15">
        <v>22.847761999999999</v>
      </c>
      <c r="J15">
        <v>57.505864000000003</v>
      </c>
      <c r="K15">
        <v>50.072099999999999</v>
      </c>
      <c r="L15">
        <v>371.42370299999999</v>
      </c>
      <c r="M15">
        <v>-622.51510099999996</v>
      </c>
      <c r="N15">
        <v>1.603356</v>
      </c>
      <c r="O15">
        <v>3.398053</v>
      </c>
      <c r="P15">
        <f t="shared" si="0"/>
        <v>2.6722600000000001E-5</v>
      </c>
      <c r="Q15" cm="1">
        <f t="array" ref="Q15">[1]!PropsSI("D","T",J15+273.15,"P",101325,"Water")</f>
        <v>984.46043958616531</v>
      </c>
      <c r="R15" cm="1">
        <f t="array" ref="R15">[1]!PropsSI("D","T",K15+273.15,"P",101325,"Water")</f>
        <v>988.00241854597414</v>
      </c>
      <c r="S15">
        <f t="shared" si="1"/>
        <v>986.23142906606972</v>
      </c>
      <c r="T15" cm="1">
        <f t="array" ref="T15">[1]!PropsSI("H","T",J15+273.15,"P",101325,"Water")</f>
        <v>240812.17055532848</v>
      </c>
      <c r="U15" cm="1">
        <f t="array" ref="U15">[1]!PropsSI("H","T",K15+273.15,"P",101325,"Water")</f>
        <v>209719.96751155829</v>
      </c>
      <c r="V15">
        <f t="shared" si="2"/>
        <v>819.42468818308498</v>
      </c>
      <c r="X15">
        <f t="shared" si="3"/>
        <v>0.265011728</v>
      </c>
      <c r="Y15">
        <f t="shared" si="3"/>
        <v>0.25014419999999998</v>
      </c>
      <c r="Z15">
        <f t="shared" si="9"/>
        <v>0.36442192136476365</v>
      </c>
      <c r="AA15">
        <f t="shared" si="8"/>
        <v>7.4337640000000036</v>
      </c>
      <c r="AB15">
        <f t="shared" si="5"/>
        <v>5.0032074539322915E-2</v>
      </c>
      <c r="AC15">
        <f t="shared" si="6"/>
        <v>40.997517078537548</v>
      </c>
    </row>
    <row r="16" spans="1:29" x14ac:dyDescent="0.2">
      <c r="A16">
        <v>46137.056925185185</v>
      </c>
      <c r="B16">
        <v>17.799911999999999</v>
      </c>
      <c r="C16">
        <v>18.405104000000001</v>
      </c>
      <c r="D16">
        <v>19.029700999999999</v>
      </c>
      <c r="E16">
        <v>19.748484999999999</v>
      </c>
      <c r="F16">
        <v>28.405719999999999</v>
      </c>
      <c r="G16">
        <v>30.474869999999999</v>
      </c>
      <c r="H16">
        <v>26.209278999999999</v>
      </c>
      <c r="I16">
        <v>22.962215</v>
      </c>
      <c r="J16">
        <v>57.501086999999998</v>
      </c>
      <c r="K16">
        <v>50.069080999999997</v>
      </c>
      <c r="L16">
        <v>384.86262199999999</v>
      </c>
      <c r="M16">
        <v>-622.47918500000003</v>
      </c>
      <c r="N16">
        <v>1.602533</v>
      </c>
      <c r="O16">
        <v>3.5179130000000001</v>
      </c>
      <c r="P16">
        <f t="shared" si="0"/>
        <v>2.6708883333333331E-5</v>
      </c>
      <c r="Q16" cm="1">
        <f t="array" ref="Q16">[1]!PropsSI("D","T",J16+273.15,"P",101325,"Water")</f>
        <v>984.46282587174767</v>
      </c>
      <c r="R16" cm="1">
        <f t="array" ref="R16">[1]!PropsSI("D","T",K16+273.15,"P",101325,"Water")</f>
        <v>988.00378542933629</v>
      </c>
      <c r="S16">
        <f t="shared" si="1"/>
        <v>986.23330565054198</v>
      </c>
      <c r="T16" cm="1">
        <f t="array" ref="T16">[1]!PropsSI("H","T",J16+273.15,"P",101325,"Water")</f>
        <v>240792.18401954789</v>
      </c>
      <c r="U16" cm="1">
        <f t="array" ref="U16">[1]!PropsSI("H","T",K16+273.15,"P",101325,"Water")</f>
        <v>209707.34397874406</v>
      </c>
      <c r="V16">
        <f t="shared" si="2"/>
        <v>818.81168696198711</v>
      </c>
      <c r="X16">
        <f t="shared" si="3"/>
        <v>0.26500217399999998</v>
      </c>
      <c r="Y16">
        <f t="shared" si="3"/>
        <v>0.250138162</v>
      </c>
      <c r="Z16">
        <f t="shared" si="9"/>
        <v>0.36441082902880989</v>
      </c>
      <c r="AA16">
        <f t="shared" si="8"/>
        <v>7.4320060000000012</v>
      </c>
      <c r="AB16">
        <f t="shared" si="5"/>
        <v>5.0041974212228231E-2</v>
      </c>
      <c r="AC16">
        <f t="shared" si="6"/>
        <v>40.974953323622856</v>
      </c>
    </row>
    <row r="17" spans="1:29" x14ac:dyDescent="0.2">
      <c r="A17">
        <v>46137.056960486108</v>
      </c>
      <c r="B17">
        <v>17.878685000000001</v>
      </c>
      <c r="C17">
        <v>18.352188000000002</v>
      </c>
      <c r="D17">
        <v>19.164370999999999</v>
      </c>
      <c r="E17">
        <v>19.763351</v>
      </c>
      <c r="F17">
        <v>28.155491999999999</v>
      </c>
      <c r="G17">
        <v>29.17042</v>
      </c>
      <c r="H17">
        <v>25.675830000000001</v>
      </c>
      <c r="I17">
        <v>22.593442</v>
      </c>
      <c r="J17">
        <v>57.497264999999999</v>
      </c>
      <c r="K17">
        <v>50.069240000000001</v>
      </c>
      <c r="L17">
        <v>392.06552699999997</v>
      </c>
      <c r="M17">
        <v>-622.468165</v>
      </c>
      <c r="N17">
        <v>1.605618</v>
      </c>
      <c r="O17">
        <v>3.455238</v>
      </c>
      <c r="P17">
        <f t="shared" si="0"/>
        <v>2.6760300000000002E-5</v>
      </c>
      <c r="Q17" cm="1">
        <f t="array" ref="Q17">[1]!PropsSI("D","T",J17+273.15,"P",101325,"Water")</f>
        <v>984.46473500059994</v>
      </c>
      <c r="R17" cm="1">
        <f t="array" ref="R17">[1]!PropsSI("D","T",K17+273.15,"P",101325,"Water")</f>
        <v>988.00371344193593</v>
      </c>
      <c r="S17">
        <f t="shared" si="1"/>
        <v>986.23422422126794</v>
      </c>
      <c r="T17" cm="1">
        <f t="array" ref="T17">[1]!PropsSI("H","T",J17+273.15,"P",101325,"Water")</f>
        <v>240776.19312386704</v>
      </c>
      <c r="U17" cm="1">
        <f t="array" ref="U17">[1]!PropsSI("H","T",K17+273.15,"P",101325,"Water")</f>
        <v>209708.00881524492</v>
      </c>
      <c r="V17">
        <f t="shared" si="2"/>
        <v>819.94915009468366</v>
      </c>
      <c r="X17">
        <f t="shared" si="3"/>
        <v>0.26499453000000001</v>
      </c>
      <c r="Y17">
        <f t="shared" si="3"/>
        <v>0.25013848</v>
      </c>
      <c r="Z17">
        <f t="shared" si="9"/>
        <v>0.36440548857918054</v>
      </c>
      <c r="AA17">
        <f t="shared" si="8"/>
        <v>7.4280249999999981</v>
      </c>
      <c r="AB17">
        <f t="shared" si="5"/>
        <v>5.0067018686300722E-2</v>
      </c>
      <c r="AC17">
        <f t="shared" si="6"/>
        <v>41.052409419606924</v>
      </c>
    </row>
    <row r="18" spans="1:29" x14ac:dyDescent="0.2">
      <c r="A18">
        <v>46137.056995208332</v>
      </c>
      <c r="B18">
        <v>18.055012000000001</v>
      </c>
      <c r="C18">
        <v>18.666575000000002</v>
      </c>
      <c r="D18">
        <v>19.224903999999999</v>
      </c>
      <c r="E18">
        <v>19.683354000000001</v>
      </c>
      <c r="F18">
        <v>28.515114000000001</v>
      </c>
      <c r="G18">
        <v>30.272154</v>
      </c>
      <c r="H18">
        <v>25.833864999999999</v>
      </c>
      <c r="I18">
        <v>22.858968000000001</v>
      </c>
      <c r="J18">
        <v>57.492010000000001</v>
      </c>
      <c r="K18">
        <v>50.07067</v>
      </c>
      <c r="L18">
        <v>382.02725400000003</v>
      </c>
      <c r="M18">
        <v>-622.48000100000002</v>
      </c>
      <c r="N18">
        <v>1.6055079999999999</v>
      </c>
      <c r="O18">
        <v>3.3658769999999998</v>
      </c>
      <c r="P18">
        <f t="shared" si="0"/>
        <v>2.6758466666666668E-5</v>
      </c>
      <c r="Q18" cm="1">
        <f t="array" ref="Q18">[1]!PropsSI("D","T",J18+273.15,"P",101325,"Water")</f>
        <v>984.46735978355252</v>
      </c>
      <c r="R18" cm="1">
        <f t="array" ref="R18">[1]!PropsSI("D","T",K18+273.15,"P",101325,"Water")</f>
        <v>988.00306600066085</v>
      </c>
      <c r="S18">
        <f t="shared" si="1"/>
        <v>986.23521289210669</v>
      </c>
      <c r="T18" cm="1">
        <f t="array" ref="T18">[1]!PropsSI("H","T",J18+273.15,"P",101325,"Water")</f>
        <v>240754.20669782613</v>
      </c>
      <c r="U18" cm="1">
        <f t="array" ref="U18">[1]!PropsSI("H","T",K18+273.15,"P",101325,"Water")</f>
        <v>209713.98816314989</v>
      </c>
      <c r="V18">
        <f t="shared" si="2"/>
        <v>819.15577700359643</v>
      </c>
      <c r="X18">
        <f t="shared" si="3"/>
        <v>0.26498401999999999</v>
      </c>
      <c r="Y18">
        <f t="shared" si="3"/>
        <v>0.25014133999999999</v>
      </c>
      <c r="Z18">
        <f t="shared" si="9"/>
        <v>0.36439980904544395</v>
      </c>
      <c r="AA18">
        <f t="shared" si="8"/>
        <v>7.4213400000000007</v>
      </c>
      <c r="AB18">
        <f t="shared" si="5"/>
        <v>5.0109569815004029E-2</v>
      </c>
      <c r="AC18">
        <f t="shared" si="6"/>
        <v>41.047543597125589</v>
      </c>
    </row>
    <row r="19" spans="1:29" x14ac:dyDescent="0.2">
      <c r="A19">
        <v>46137.057030509262</v>
      </c>
      <c r="B19">
        <v>17.916999000000001</v>
      </c>
      <c r="C19">
        <v>18.835307</v>
      </c>
      <c r="D19">
        <v>19.284087</v>
      </c>
      <c r="E19">
        <v>19.629943000000001</v>
      </c>
      <c r="F19">
        <v>28.336527</v>
      </c>
      <c r="G19">
        <v>30.702051999999998</v>
      </c>
      <c r="H19">
        <v>26.029285999999999</v>
      </c>
      <c r="I19">
        <v>22.856425999999999</v>
      </c>
      <c r="J19">
        <v>57.484366999999999</v>
      </c>
      <c r="K19">
        <v>50.069875000000003</v>
      </c>
      <c r="L19">
        <v>380.75058300000001</v>
      </c>
      <c r="M19">
        <v>-622.49306200000001</v>
      </c>
      <c r="N19">
        <v>1.603299</v>
      </c>
      <c r="O19">
        <v>3.1622590000000002</v>
      </c>
      <c r="P19">
        <f t="shared" si="0"/>
        <v>2.6721650000000002E-5</v>
      </c>
      <c r="Q19" cm="1">
        <f t="array" ref="Q19">[1]!PropsSI("D","T",J19+273.15,"P",101325,"Water")</f>
        <v>984.47117703353888</v>
      </c>
      <c r="R19" cm="1">
        <f t="array" ref="R19">[1]!PropsSI("D","T",K19+273.15,"P",101325,"Water")</f>
        <v>988.0034259434467</v>
      </c>
      <c r="S19">
        <f t="shared" si="1"/>
        <v>986.23730148849279</v>
      </c>
      <c r="T19" cm="1">
        <f t="array" ref="T19">[1]!PropsSI("H","T",J19+273.15,"P",101325,"Water")</f>
        <v>240722.22912392468</v>
      </c>
      <c r="U19" cm="1">
        <f t="array" ref="U19">[1]!PropsSI("H","T",K19+273.15,"P",101325,"Water")</f>
        <v>209710.66398016288</v>
      </c>
      <c r="V19">
        <f t="shared" si="2"/>
        <v>817.27531411017549</v>
      </c>
      <c r="X19">
        <f t="shared" si="3"/>
        <v>0.26496873399999998</v>
      </c>
      <c r="Y19">
        <f t="shared" si="3"/>
        <v>0.25013974999999999</v>
      </c>
      <c r="Z19">
        <f t="shared" si="9"/>
        <v>0.36438760204982995</v>
      </c>
      <c r="AA19">
        <f t="shared" si="8"/>
        <v>7.4144919999999956</v>
      </c>
      <c r="AB19">
        <f t="shared" si="5"/>
        <v>5.0152395196971428E-2</v>
      </c>
      <c r="AC19">
        <f t="shared" si="6"/>
        <v>40.988314537982482</v>
      </c>
    </row>
    <row r="20" spans="1:29" x14ac:dyDescent="0.2">
      <c r="A20">
        <v>46137.057065231478</v>
      </c>
      <c r="B20">
        <v>18.00346</v>
      </c>
      <c r="C20">
        <v>18.821254</v>
      </c>
      <c r="D20">
        <v>19.199532000000001</v>
      </c>
      <c r="E20">
        <v>19.674154999999999</v>
      </c>
      <c r="F20">
        <v>28.251465</v>
      </c>
      <c r="G20">
        <v>29.574313</v>
      </c>
      <c r="H20">
        <v>25.660692999999998</v>
      </c>
      <c r="I20">
        <v>22.249105</v>
      </c>
      <c r="J20">
        <v>57.479748999999998</v>
      </c>
      <c r="K20">
        <v>50.073529999999998</v>
      </c>
      <c r="L20">
        <v>384.29938499999997</v>
      </c>
      <c r="M20">
        <v>-622.5</v>
      </c>
      <c r="N20">
        <v>1.6052329999999999</v>
      </c>
      <c r="O20">
        <v>3.3718240000000002</v>
      </c>
      <c r="P20">
        <f t="shared" si="0"/>
        <v>2.6753883333333331E-5</v>
      </c>
      <c r="Q20" cm="1">
        <f t="array" ref="Q20">[1]!PropsSI("D","T",J20+273.15,"P",101325,"Water")</f>
        <v>984.4734832942828</v>
      </c>
      <c r="R20" cm="1">
        <f t="array" ref="R20">[1]!PropsSI("D","T",K20+273.15,"P",101325,"Water")</f>
        <v>988.00177107793309</v>
      </c>
      <c r="S20">
        <f t="shared" si="1"/>
        <v>986.23762718610794</v>
      </c>
      <c r="T20" cm="1">
        <f t="array" ref="T20">[1]!PropsSI("H","T",J20+273.15,"P",101325,"Water")</f>
        <v>240702.9078692297</v>
      </c>
      <c r="U20" cm="1">
        <f t="array" ref="U20">[1]!PropsSI("H","T",K20+273.15,"P",101325,"Water")</f>
        <v>209725.94686053006</v>
      </c>
      <c r="V20">
        <f t="shared" si="2"/>
        <v>817.34837931729146</v>
      </c>
      <c r="X20">
        <f t="shared" si="3"/>
        <v>0.26495949799999996</v>
      </c>
      <c r="Y20">
        <f t="shared" si="3"/>
        <v>0.25014705999999998</v>
      </c>
      <c r="Z20">
        <f t="shared" si="9"/>
        <v>0.36438590423760298</v>
      </c>
      <c r="AA20">
        <f t="shared" si="8"/>
        <v>7.4062190000000001</v>
      </c>
      <c r="AB20">
        <f t="shared" si="5"/>
        <v>5.0205966403394732E-2</v>
      </c>
      <c r="AC20">
        <f t="shared" si="6"/>
        <v>41.035765271873068</v>
      </c>
    </row>
    <row r="21" spans="1:29" x14ac:dyDescent="0.2">
      <c r="A21">
        <v>46137.057100532409</v>
      </c>
      <c r="B21">
        <v>17.877265000000001</v>
      </c>
      <c r="C21">
        <v>18.520395000000001</v>
      </c>
      <c r="D21">
        <v>19.158605999999999</v>
      </c>
      <c r="E21">
        <v>19.457045000000001</v>
      </c>
      <c r="F21">
        <v>28.320644000000001</v>
      </c>
      <c r="G21">
        <v>29.907589000000002</v>
      </c>
      <c r="H21">
        <v>25.74682</v>
      </c>
      <c r="I21">
        <v>22.383227999999999</v>
      </c>
      <c r="J21">
        <v>57.475608999999999</v>
      </c>
      <c r="K21">
        <v>50.065904000000003</v>
      </c>
      <c r="L21">
        <v>373.18034999999998</v>
      </c>
      <c r="M21">
        <v>-622.51836600000001</v>
      </c>
      <c r="N21">
        <v>1.606352</v>
      </c>
      <c r="O21">
        <v>3.6149879999999999</v>
      </c>
      <c r="P21">
        <f t="shared" si="0"/>
        <v>2.6772533333333335E-5</v>
      </c>
      <c r="Q21" cm="1">
        <f t="array" ref="Q21">[1]!PropsSI("D","T",J21+273.15,"P",101325,"Water")</f>
        <v>984.47555072882381</v>
      </c>
      <c r="R21" cm="1">
        <f t="array" ref="R21">[1]!PropsSI("D","T",K21+273.15,"P",101325,"Water")</f>
        <v>988.00522378431072</v>
      </c>
      <c r="S21">
        <f t="shared" si="1"/>
        <v>986.24038725656726</v>
      </c>
      <c r="T21" cm="1">
        <f t="array" ref="T21">[1]!PropsSI("H","T",J21+273.15,"P",101325,"Water")</f>
        <v>240685.58652645181</v>
      </c>
      <c r="U21" cm="1">
        <f t="array" ref="U21">[1]!PropsSI("H","T",K21+273.15,"P",101325,"Water")</f>
        <v>209694.05979345075</v>
      </c>
      <c r="V21">
        <f t="shared" si="2"/>
        <v>818.30503347399258</v>
      </c>
      <c r="X21">
        <f t="shared" si="3"/>
        <v>0.26495121799999999</v>
      </c>
      <c r="Y21">
        <f t="shared" si="3"/>
        <v>0.25013180800000001</v>
      </c>
      <c r="Z21">
        <f t="shared" si="9"/>
        <v>0.36436941322376715</v>
      </c>
      <c r="AA21">
        <f t="shared" si="8"/>
        <v>7.4097049999999953</v>
      </c>
      <c r="AB21">
        <f t="shared" si="5"/>
        <v>5.0181102620131313E-2</v>
      </c>
      <c r="AC21">
        <f t="shared" si="6"/>
        <v>41.06344885932841</v>
      </c>
    </row>
    <row r="22" spans="1:29" x14ac:dyDescent="0.2">
      <c r="A22">
        <v>46137.057135833333</v>
      </c>
      <c r="B22">
        <v>17.835063000000002</v>
      </c>
      <c r="C22">
        <v>18.494591</v>
      </c>
      <c r="D22">
        <v>19.22109</v>
      </c>
      <c r="E22">
        <v>19.504926000000001</v>
      </c>
      <c r="F22">
        <v>28.165115</v>
      </c>
      <c r="G22">
        <v>29.220319</v>
      </c>
      <c r="H22">
        <v>25.908313</v>
      </c>
      <c r="I22">
        <v>23.039857000000001</v>
      </c>
      <c r="J22">
        <v>57.470990999999998</v>
      </c>
      <c r="K22">
        <v>50.035876000000002</v>
      </c>
      <c r="L22">
        <v>375.68144899999999</v>
      </c>
      <c r="M22">
        <v>-622.50367300000005</v>
      </c>
      <c r="N22">
        <v>1.6009960000000001</v>
      </c>
      <c r="O22">
        <v>3.3560539999999999</v>
      </c>
      <c r="P22">
        <f t="shared" si="0"/>
        <v>2.6683266666666669E-5</v>
      </c>
      <c r="Q22" cm="1">
        <f t="array" ref="Q22">[1]!PropsSI("D","T",J22+273.15,"P",101325,"Water")</f>
        <v>984.47785674475847</v>
      </c>
      <c r="R22" cm="1">
        <f t="array" ref="R22">[1]!PropsSI("D","T",K22+273.15,"P",101325,"Water")</f>
        <v>988.01881539289388</v>
      </c>
      <c r="S22">
        <f t="shared" si="1"/>
        <v>986.24833606882612</v>
      </c>
      <c r="T22" cm="1">
        <f t="array" ref="T22">[1]!PropsSI("H","T",J22+273.15,"P",101325,"Water")</f>
        <v>240666.2652878415</v>
      </c>
      <c r="U22" cm="1">
        <f t="array" ref="U22">[1]!PropsSI("H","T",K22+273.15,"P",101325,"Water")</f>
        <v>209568.50201377046</v>
      </c>
      <c r="V22">
        <f t="shared" si="2"/>
        <v>818.37891820065147</v>
      </c>
      <c r="X22">
        <f t="shared" si="3"/>
        <v>0.26494198199999996</v>
      </c>
      <c r="Y22">
        <f t="shared" si="3"/>
        <v>0.25007175199999998</v>
      </c>
      <c r="Z22">
        <f t="shared" si="9"/>
        <v>0.36432147201947596</v>
      </c>
      <c r="AA22">
        <f t="shared" si="8"/>
        <v>7.4351149999999961</v>
      </c>
      <c r="AB22">
        <f t="shared" si="5"/>
        <v>5.0010109303149891E-2</v>
      </c>
      <c r="AC22">
        <f t="shared" si="6"/>
        <v>40.927219150608146</v>
      </c>
    </row>
    <row r="23" spans="1:29" x14ac:dyDescent="0.2">
      <c r="A23">
        <v>46137.057171134256</v>
      </c>
      <c r="B23">
        <v>17.970566999999999</v>
      </c>
      <c r="C23">
        <v>18.643111999999999</v>
      </c>
      <c r="D23">
        <v>19.245714</v>
      </c>
      <c r="E23">
        <v>19.673691000000002</v>
      </c>
      <c r="F23">
        <v>28.537548000000001</v>
      </c>
      <c r="G23">
        <v>31.077415999999999</v>
      </c>
      <c r="H23">
        <v>26.089202</v>
      </c>
      <c r="I23">
        <v>22.604592</v>
      </c>
      <c r="J23">
        <v>57.467170000000003</v>
      </c>
      <c r="K23">
        <v>50.033651999999996</v>
      </c>
      <c r="L23">
        <v>382.77986900000002</v>
      </c>
      <c r="M23">
        <v>-622.50857099999996</v>
      </c>
      <c r="N23">
        <v>1.600295</v>
      </c>
      <c r="O23">
        <v>3.530456</v>
      </c>
      <c r="P23">
        <f t="shared" si="0"/>
        <v>2.6671583333333334E-5</v>
      </c>
      <c r="Q23" cm="1">
        <f t="array" ref="Q23">[1]!PropsSI("D","T",J23+273.15,"P",101325,"Water")</f>
        <v>984.47976467811247</v>
      </c>
      <c r="R23" cm="1">
        <f t="array" ref="R23">[1]!PropsSI("D","T",K23+273.15,"P",101325,"Water")</f>
        <v>988.01982180947971</v>
      </c>
      <c r="S23">
        <f t="shared" si="1"/>
        <v>986.24979324379615</v>
      </c>
      <c r="T23" cm="1">
        <f t="array" ref="T23">[1]!PropsSI("H","T",J23+273.15,"P",101325,"Water")</f>
        <v>240650.27862203322</v>
      </c>
      <c r="U23" cm="1">
        <f t="array" ref="U23">[1]!PropsSI("H","T",K23+273.15,"P",101325,"Water")</f>
        <v>209559.20268661043</v>
      </c>
      <c r="V23">
        <f t="shared" si="2"/>
        <v>817.84588821980799</v>
      </c>
      <c r="X23">
        <f t="shared" si="3"/>
        <v>0.26493433999999999</v>
      </c>
      <c r="Y23">
        <f t="shared" si="3"/>
        <v>0.25006730399999999</v>
      </c>
      <c r="Z23">
        <f t="shared" si="9"/>
        <v>0.36431286148180936</v>
      </c>
      <c r="AA23">
        <f t="shared" si="8"/>
        <v>7.4335180000000065</v>
      </c>
      <c r="AB23">
        <f t="shared" si="5"/>
        <v>5.0019288861262022E-2</v>
      </c>
      <c r="AC23">
        <f t="shared" si="6"/>
        <v>40.908069726861989</v>
      </c>
    </row>
    <row r="24" spans="1:29" x14ac:dyDescent="0.2">
      <c r="A24">
        <v>46137.057205856479</v>
      </c>
      <c r="B24">
        <v>17.978335999999999</v>
      </c>
      <c r="C24">
        <v>18.688431999999999</v>
      </c>
      <c r="D24">
        <v>19.390322000000001</v>
      </c>
      <c r="E24">
        <v>19.718810000000001</v>
      </c>
      <c r="F24">
        <v>28.431117</v>
      </c>
      <c r="G24">
        <v>30.484414999999998</v>
      </c>
      <c r="H24">
        <v>25.702677999999999</v>
      </c>
      <c r="I24">
        <v>22.462005000000001</v>
      </c>
      <c r="J24">
        <v>57.461118999999997</v>
      </c>
      <c r="K24">
        <v>50.033017000000001</v>
      </c>
      <c r="L24">
        <v>373.26279499999998</v>
      </c>
      <c r="M24">
        <v>-622.50122399999998</v>
      </c>
      <c r="N24">
        <v>1.604627</v>
      </c>
      <c r="O24">
        <v>3.7642419999999999</v>
      </c>
      <c r="P24">
        <f t="shared" si="0"/>
        <v>2.6743783333333333E-5</v>
      </c>
      <c r="Q24" cm="1">
        <f t="array" ref="Q24">[1]!PropsSI("D","T",J24+273.15,"P",101325,"Water")</f>
        <v>984.48278593275609</v>
      </c>
      <c r="R24" cm="1">
        <f t="array" ref="R24">[1]!PropsSI("D","T",K24+273.15,"P",101325,"Water")</f>
        <v>988.02010915718972</v>
      </c>
      <c r="S24">
        <f t="shared" si="1"/>
        <v>986.25144754497296</v>
      </c>
      <c r="T24" cm="1">
        <f t="array" ref="T24">[1]!PropsSI("H","T",J24+273.15,"P",101325,"Water")</f>
        <v>240624.9618804199</v>
      </c>
      <c r="U24" cm="1">
        <f t="array" ref="U24">[1]!PropsSI("H","T",K24+273.15,"P",101325,"Water")</f>
        <v>209556.54752824642</v>
      </c>
      <c r="V24">
        <f t="shared" si="2"/>
        <v>819.46344923922686</v>
      </c>
      <c r="X24">
        <f t="shared" si="3"/>
        <v>0.26492223799999998</v>
      </c>
      <c r="Y24">
        <f t="shared" si="3"/>
        <v>0.25006603399999999</v>
      </c>
      <c r="Z24">
        <f t="shared" si="9"/>
        <v>0.3643031890437109</v>
      </c>
      <c r="AA24">
        <f t="shared" si="8"/>
        <v>7.4281019999999955</v>
      </c>
      <c r="AB24">
        <f t="shared" si="5"/>
        <v>5.0053026011653554E-2</v>
      </c>
      <c r="AC24">
        <f t="shared" si="6"/>
        <v>41.016625340370361</v>
      </c>
    </row>
    <row r="25" spans="1:29" x14ac:dyDescent="0.2">
      <c r="A25">
        <v>46137.05724115741</v>
      </c>
      <c r="B25">
        <v>17.757276999999998</v>
      </c>
      <c r="C25">
        <v>18.404214</v>
      </c>
      <c r="D25">
        <v>19.312398999999999</v>
      </c>
      <c r="E25">
        <v>19.703952999999998</v>
      </c>
      <c r="F25">
        <v>28.257339000000002</v>
      </c>
      <c r="G25">
        <v>30.101773000000001</v>
      </c>
      <c r="H25">
        <v>26.143851000000002</v>
      </c>
      <c r="I25">
        <v>23.219885999999999</v>
      </c>
      <c r="J25">
        <v>57.455227000000001</v>
      </c>
      <c r="K25">
        <v>50.038576999999997</v>
      </c>
      <c r="L25">
        <v>374.09418199999999</v>
      </c>
      <c r="M25">
        <v>-622.46367499999997</v>
      </c>
      <c r="N25">
        <v>1.604705</v>
      </c>
      <c r="O25">
        <v>3.392906</v>
      </c>
      <c r="P25">
        <f t="shared" si="0"/>
        <v>2.6745083333333336E-5</v>
      </c>
      <c r="Q25" cm="1">
        <f t="array" ref="Q25">[1]!PropsSI("D","T",J25+273.15,"P",101325,"Water")</f>
        <v>984.48572758593514</v>
      </c>
      <c r="R25" cm="1">
        <f t="array" ref="R25">[1]!PropsSI("D","T",K25+273.15,"P",101325,"Water")</f>
        <v>988.01759307808118</v>
      </c>
      <c r="S25">
        <f t="shared" si="1"/>
        <v>986.25166033200821</v>
      </c>
      <c r="T25" cm="1">
        <f t="array" ref="T25">[1]!PropsSI("H","T",J25+273.15,"P",101325,"Water")</f>
        <v>240600.31039197234</v>
      </c>
      <c r="U25" cm="1">
        <f t="array" ref="U25">[1]!PropsSI("H","T",K25+273.15,"P",101325,"Water")</f>
        <v>209579.79584781831</v>
      </c>
      <c r="V25">
        <f t="shared" si="2"/>
        <v>818.23998812476043</v>
      </c>
      <c r="X25">
        <f t="shared" si="3"/>
        <v>0.26491045400000002</v>
      </c>
      <c r="Y25">
        <f t="shared" si="3"/>
        <v>0.25007715399999997</v>
      </c>
      <c r="Z25">
        <f t="shared" si="9"/>
        <v>0.36430225306910446</v>
      </c>
      <c r="AA25">
        <f t="shared" si="8"/>
        <v>7.4166500000000042</v>
      </c>
      <c r="AB25">
        <f t="shared" si="5"/>
        <v>5.0127106262368541E-2</v>
      </c>
      <c r="AC25">
        <f t="shared" si="6"/>
        <v>41.01600283284904</v>
      </c>
    </row>
    <row r="26" spans="1:29" x14ac:dyDescent="0.2">
      <c r="A26">
        <v>46137.057276458334</v>
      </c>
      <c r="B26">
        <v>17.809594000000001</v>
      </c>
      <c r="C26">
        <v>18.648779999999999</v>
      </c>
      <c r="D26">
        <v>19.324427</v>
      </c>
      <c r="E26">
        <v>19.74952</v>
      </c>
      <c r="F26">
        <v>28.288095999999999</v>
      </c>
      <c r="G26">
        <v>30.354185999999999</v>
      </c>
      <c r="H26">
        <v>26.012014000000001</v>
      </c>
      <c r="I26">
        <v>22.838497</v>
      </c>
      <c r="J26">
        <v>57.450291</v>
      </c>
      <c r="K26">
        <v>50.039212999999997</v>
      </c>
      <c r="L26">
        <v>383.31780199999997</v>
      </c>
      <c r="M26">
        <v>-622.47632799999997</v>
      </c>
      <c r="N26">
        <v>1.6051679999999999</v>
      </c>
      <c r="O26">
        <v>3.6156869999999999</v>
      </c>
      <c r="P26">
        <f t="shared" si="0"/>
        <v>2.6752799999999999E-5</v>
      </c>
      <c r="Q26" cm="1">
        <f t="array" ref="Q26">[1]!PropsSI("D","T",J26+273.15,"P",101325,"Water")</f>
        <v>984.48819178260089</v>
      </c>
      <c r="R26" cm="1">
        <f t="array" ref="R26">[1]!PropsSI("D","T",K26+273.15,"P",101325,"Water")</f>
        <v>988.01730525466417</v>
      </c>
      <c r="S26">
        <f t="shared" si="1"/>
        <v>986.25274851863253</v>
      </c>
      <c r="T26" cm="1">
        <f t="array" ref="T26">[1]!PropsSI("H","T",J26+273.15,"P",101325,"Water")</f>
        <v>240579.65871447045</v>
      </c>
      <c r="U26" cm="1">
        <f t="array" ref="U26">[1]!PropsSI("H","T",K26+273.15,"P",101325,"Water")</f>
        <v>209582.45518852782</v>
      </c>
      <c r="V26">
        <f t="shared" si="2"/>
        <v>817.86191341663766</v>
      </c>
      <c r="X26">
        <f t="shared" si="3"/>
        <v>0.264900582</v>
      </c>
      <c r="Y26">
        <f t="shared" si="3"/>
        <v>0.25007842599999996</v>
      </c>
      <c r="Z26">
        <f t="shared" si="9"/>
        <v>0.36429594767795065</v>
      </c>
      <c r="AA26">
        <f t="shared" si="8"/>
        <v>7.4110780000000034</v>
      </c>
      <c r="AB26">
        <f t="shared" si="5"/>
        <v>5.0162461128743431E-2</v>
      </c>
      <c r="AC26">
        <f t="shared" si="6"/>
        <v>41.025966440441813</v>
      </c>
    </row>
    <row r="27" spans="1:29" x14ac:dyDescent="0.2">
      <c r="A27">
        <v>46137.057311759258</v>
      </c>
      <c r="B27">
        <v>17.660589000000002</v>
      </c>
      <c r="C27">
        <v>18.36928</v>
      </c>
      <c r="D27">
        <v>19.432178</v>
      </c>
      <c r="E27">
        <v>19.766368</v>
      </c>
      <c r="F27">
        <v>28.378876999999999</v>
      </c>
      <c r="G27">
        <v>30.385027000000001</v>
      </c>
      <c r="H27">
        <v>26.392385999999998</v>
      </c>
      <c r="I27">
        <v>22.519528999999999</v>
      </c>
      <c r="J27">
        <v>57.444558999999998</v>
      </c>
      <c r="K27">
        <v>50.039689000000003</v>
      </c>
      <c r="L27">
        <v>402.74662499999999</v>
      </c>
      <c r="M27">
        <v>-622.48571500000003</v>
      </c>
      <c r="N27">
        <v>1.6033360000000001</v>
      </c>
      <c r="O27">
        <v>3.4956870000000002</v>
      </c>
      <c r="P27">
        <f t="shared" si="0"/>
        <v>2.672226666666667E-5</v>
      </c>
      <c r="Q27" cm="1">
        <f t="array" ref="Q27">[1]!PropsSI("D","T",J27+273.15,"P",101325,"Water")</f>
        <v>984.49105318082798</v>
      </c>
      <c r="R27" cm="1">
        <f t="array" ref="R27">[1]!PropsSI("D","T",K27+273.15,"P",101325,"Water")</f>
        <v>988.0170898379298</v>
      </c>
      <c r="S27">
        <f t="shared" si="1"/>
        <v>986.25407150937895</v>
      </c>
      <c r="T27" cm="1">
        <f t="array" ref="T27">[1]!PropsSI("H","T",J27+273.15,"P",101325,"Water")</f>
        <v>240555.67667325519</v>
      </c>
      <c r="U27" cm="1">
        <f t="array" ref="U27">[1]!PropsSI("H","T",K27+273.15,"P",101325,"Water")</f>
        <v>209584.44551277481</v>
      </c>
      <c r="V27">
        <f t="shared" si="2"/>
        <v>816.24507213562629</v>
      </c>
      <c r="X27">
        <f t="shared" si="3"/>
        <v>0.26488911799999998</v>
      </c>
      <c r="Y27">
        <f t="shared" si="3"/>
        <v>0.25007937800000002</v>
      </c>
      <c r="Z27">
        <f t="shared" si="9"/>
        <v>0.36428826516329732</v>
      </c>
      <c r="AA27">
        <f t="shared" si="8"/>
        <v>7.4048699999999954</v>
      </c>
      <c r="AB27">
        <f t="shared" si="5"/>
        <v>5.0201828354657752E-2</v>
      </c>
      <c r="AC27">
        <f t="shared" si="6"/>
        <v>40.976995006687943</v>
      </c>
    </row>
    <row r="28" spans="1:29" x14ac:dyDescent="0.2">
      <c r="A28">
        <v>46137.057347060188</v>
      </c>
      <c r="B28">
        <v>17.533770000000001</v>
      </c>
      <c r="C28">
        <v>17.844670000000001</v>
      </c>
      <c r="D28">
        <v>19.415299999999998</v>
      </c>
      <c r="E28">
        <v>19.717289999999998</v>
      </c>
      <c r="F28">
        <v>28.032133000000002</v>
      </c>
      <c r="G28">
        <v>29.825876999999998</v>
      </c>
      <c r="H28">
        <v>25.692688</v>
      </c>
      <c r="I28">
        <v>22.684875999999999</v>
      </c>
      <c r="J28">
        <v>57.442011000000001</v>
      </c>
      <c r="K28">
        <v>50.038418</v>
      </c>
      <c r="L28">
        <v>397.17302599999999</v>
      </c>
      <c r="M28">
        <v>-622.487348</v>
      </c>
      <c r="N28">
        <v>1.603389</v>
      </c>
      <c r="O28">
        <v>3.4851019999999999</v>
      </c>
      <c r="P28">
        <f t="shared" si="0"/>
        <v>2.6723149999999998E-5</v>
      </c>
      <c r="Q28" cm="1">
        <f t="array" ref="Q28">[1]!PropsSI("D","T",J28+273.15,"P",101325,"Water")</f>
        <v>984.49232507137935</v>
      </c>
      <c r="R28" cm="1">
        <f t="array" ref="R28">[1]!PropsSI("D","T",K28+273.15,"P",101325,"Water")</f>
        <v>988.01766503351087</v>
      </c>
      <c r="S28">
        <f t="shared" si="1"/>
        <v>986.25499505244511</v>
      </c>
      <c r="T28" cm="1">
        <f t="array" ref="T28">[1]!PropsSI("H","T",J28+273.15,"P",101325,"Water")</f>
        <v>240545.01613298009</v>
      </c>
      <c r="U28" cm="1">
        <f t="array" ref="U28">[1]!PropsSI("H","T",K28+273.15,"P",101325,"Water")</f>
        <v>209579.13101264078</v>
      </c>
      <c r="V28">
        <f t="shared" si="2"/>
        <v>816.13191898631692</v>
      </c>
      <c r="X28">
        <f t="shared" si="3"/>
        <v>0.264884022</v>
      </c>
      <c r="Y28">
        <f t="shared" si="3"/>
        <v>0.25007683599999997</v>
      </c>
      <c r="Z28">
        <f t="shared" si="9"/>
        <v>0.36428281460242856</v>
      </c>
      <c r="AA28">
        <f t="shared" si="8"/>
        <v>7.4035930000000008</v>
      </c>
      <c r="AB28">
        <f t="shared" si="5"/>
        <v>5.0209422349698649E-2</v>
      </c>
      <c r="AC28">
        <f t="shared" si="6"/>
        <v>40.977512213454027</v>
      </c>
    </row>
    <row r="29" spans="1:29" x14ac:dyDescent="0.2">
      <c r="A29">
        <v>46137.057382361112</v>
      </c>
      <c r="B29">
        <v>17.819533</v>
      </c>
      <c r="C29">
        <v>18.305609</v>
      </c>
      <c r="D29">
        <v>19.333186000000001</v>
      </c>
      <c r="E29">
        <v>19.792407000000001</v>
      </c>
      <c r="F29">
        <v>28.269449999999999</v>
      </c>
      <c r="G29">
        <v>29.245934999999999</v>
      </c>
      <c r="H29">
        <v>26.332246999999999</v>
      </c>
      <c r="I29">
        <v>22.798469000000001</v>
      </c>
      <c r="J29">
        <v>57.438189999999999</v>
      </c>
      <c r="K29">
        <v>50.029839000000003</v>
      </c>
      <c r="L29">
        <v>389.62360799999999</v>
      </c>
      <c r="M29">
        <v>-622.50285699999995</v>
      </c>
      <c r="N29">
        <v>1.6045689999999999</v>
      </c>
      <c r="O29">
        <v>3.5515639999999999</v>
      </c>
      <c r="P29">
        <f t="shared" si="0"/>
        <v>2.6742816666666664E-5</v>
      </c>
      <c r="Q29" cm="1">
        <f t="array" ref="Q29">[1]!PropsSI("D","T",J29+273.15,"P",101325,"Water")</f>
        <v>984.49423233434823</v>
      </c>
      <c r="R29" cm="1">
        <f t="array" ref="R29">[1]!PropsSI("D","T",K29+273.15,"P",101325,"Water")</f>
        <v>988.02154721351519</v>
      </c>
      <c r="S29">
        <f t="shared" si="1"/>
        <v>986.25788977393177</v>
      </c>
      <c r="T29" cm="1">
        <f t="array" ref="T29">[1]!PropsSI("H","T",J29+273.15,"P",101325,"Water")</f>
        <v>240529.02951128609</v>
      </c>
      <c r="U29" cm="1">
        <f t="array" ref="U29">[1]!PropsSI("H","T",K29+273.15,"P",101325,"Water")</f>
        <v>209543.25919412481</v>
      </c>
      <c r="V29">
        <f t="shared" si="2"/>
        <v>817.25941954858376</v>
      </c>
      <c r="X29">
        <f t="shared" si="3"/>
        <v>0.26487638000000002</v>
      </c>
      <c r="Y29">
        <f t="shared" si="3"/>
        <v>0.25005967800000001</v>
      </c>
      <c r="Z29">
        <f t="shared" si="9"/>
        <v>0.36426547907174528</v>
      </c>
      <c r="AA29">
        <f t="shared" si="8"/>
        <v>7.4083509999999961</v>
      </c>
      <c r="AB29">
        <f t="shared" si="5"/>
        <v>5.017616191475778E-2</v>
      </c>
      <c r="AC29">
        <f t="shared" si="6"/>
        <v>41.006940961630697</v>
      </c>
    </row>
    <row r="30" spans="1:29" x14ac:dyDescent="0.2">
      <c r="A30">
        <v>46137.057417083335</v>
      </c>
      <c r="B30">
        <v>17.811059</v>
      </c>
      <c r="C30">
        <v>18.522335000000002</v>
      </c>
      <c r="D30">
        <v>19.487442000000001</v>
      </c>
      <c r="E30">
        <v>19.770498</v>
      </c>
      <c r="F30">
        <v>28.247841000000001</v>
      </c>
      <c r="G30">
        <v>30.276064999999999</v>
      </c>
      <c r="H30">
        <v>26.465402000000001</v>
      </c>
      <c r="I30">
        <v>23.108561999999999</v>
      </c>
      <c r="J30">
        <v>57.434686999999997</v>
      </c>
      <c r="K30">
        <v>50.026184999999998</v>
      </c>
      <c r="L30">
        <v>374.00275799999997</v>
      </c>
      <c r="M30">
        <v>-622.49265300000002</v>
      </c>
      <c r="N30">
        <v>1.603172</v>
      </c>
      <c r="O30">
        <v>3.5049769999999998</v>
      </c>
      <c r="P30">
        <f t="shared" si="0"/>
        <v>2.6719533333333337E-5</v>
      </c>
      <c r="Q30" cm="1">
        <f t="array" ref="Q30">[1]!PropsSI("D","T",J30+273.15,"P",101325,"Water")</f>
        <v>984.49598078904444</v>
      </c>
      <c r="R30" cm="1">
        <f t="array" ref="R30">[1]!PropsSI("D","T",K30+273.15,"P",101325,"Water")</f>
        <v>988.02320057971451</v>
      </c>
      <c r="S30">
        <f t="shared" si="1"/>
        <v>986.25959068437942</v>
      </c>
      <c r="T30" cm="1">
        <f t="array" ref="T30">[1]!PropsSI("H","T",J30+273.15,"P",101325,"Water")</f>
        <v>240514.37336990546</v>
      </c>
      <c r="U30" cm="1">
        <f t="array" ref="U30">[1]!PropsSI("H","T",K30+273.15,"P",101325,"Water")</f>
        <v>209527.98054037811</v>
      </c>
      <c r="V30">
        <f t="shared" si="2"/>
        <v>816.5656947220881</v>
      </c>
      <c r="X30">
        <f t="shared" si="3"/>
        <v>0.26486937399999999</v>
      </c>
      <c r="Y30">
        <f t="shared" si="3"/>
        <v>0.25005237000000002</v>
      </c>
      <c r="Z30">
        <f t="shared" si="9"/>
        <v>0.36425536787502361</v>
      </c>
      <c r="AA30">
        <f t="shared" si="8"/>
        <v>7.4085019999999986</v>
      </c>
      <c r="AB30">
        <f t="shared" si="5"/>
        <v>5.0173842417515359E-2</v>
      </c>
      <c r="AC30">
        <f t="shared" si="6"/>
        <v>40.970238490535003</v>
      </c>
    </row>
    <row r="31" spans="1:29" x14ac:dyDescent="0.2">
      <c r="A31">
        <v>46137.057452384259</v>
      </c>
      <c r="B31">
        <v>17.961010999999999</v>
      </c>
      <c r="C31">
        <v>18.337243000000001</v>
      </c>
      <c r="D31">
        <v>19.573772000000002</v>
      </c>
      <c r="E31">
        <v>19.730467999999998</v>
      </c>
      <c r="F31">
        <v>28.488313999999999</v>
      </c>
      <c r="G31">
        <v>29.917625999999998</v>
      </c>
      <c r="H31">
        <v>25.894326</v>
      </c>
      <c r="I31">
        <v>22.27384</v>
      </c>
      <c r="J31">
        <v>57.432456999999999</v>
      </c>
      <c r="K31">
        <v>50.020783000000002</v>
      </c>
      <c r="L31">
        <v>377.03933999999998</v>
      </c>
      <c r="M31">
        <v>-622.512652</v>
      </c>
      <c r="N31">
        <v>1.603172</v>
      </c>
      <c r="O31">
        <v>3.327461</v>
      </c>
      <c r="P31">
        <f t="shared" si="0"/>
        <v>2.6719533333333337E-5</v>
      </c>
      <c r="Q31" cm="1">
        <f t="array" ref="Q31">[1]!PropsSI("D","T",J31+273.15,"P",101325,"Water")</f>
        <v>984.49709381171056</v>
      </c>
      <c r="R31" cm="1">
        <f t="array" ref="R31">[1]!PropsSI("D","T",K31+273.15,"P",101325,"Water")</f>
        <v>988.02564472257711</v>
      </c>
      <c r="S31">
        <f t="shared" si="1"/>
        <v>986.26136926714389</v>
      </c>
      <c r="T31" cm="1">
        <f t="array" ref="T31">[1]!PropsSI("H","T",J31+273.15,"P",101325,"Water")</f>
        <v>240505.04331381377</v>
      </c>
      <c r="U31" cm="1">
        <f t="array" ref="U31">[1]!PropsSI("H","T",K31+273.15,"P",101325,"Water")</f>
        <v>209505.39289334815</v>
      </c>
      <c r="V31">
        <f t="shared" si="2"/>
        <v>816.91653720194597</v>
      </c>
      <c r="X31">
        <f t="shared" si="3"/>
        <v>0.26486491400000001</v>
      </c>
      <c r="Y31">
        <f t="shared" si="3"/>
        <v>0.25004156599999999</v>
      </c>
      <c r="Z31">
        <f t="shared" si="9"/>
        <v>0.36424470812348086</v>
      </c>
      <c r="AA31">
        <f t="shared" si="8"/>
        <v>7.4116739999999979</v>
      </c>
      <c r="AB31">
        <f t="shared" si="5"/>
        <v>5.0151813141621433E-2</v>
      </c>
      <c r="AC31">
        <f t="shared" si="6"/>
        <v>40.969845526052431</v>
      </c>
    </row>
    <row r="32" spans="1:29" x14ac:dyDescent="0.2">
      <c r="A32">
        <v>46137.057487685182</v>
      </c>
      <c r="B32">
        <v>17.608965999999999</v>
      </c>
      <c r="C32">
        <v>18.330594000000001</v>
      </c>
      <c r="D32">
        <v>19.340948999999998</v>
      </c>
      <c r="E32">
        <v>19.762630999999999</v>
      </c>
      <c r="F32">
        <v>28.450510000000001</v>
      </c>
      <c r="G32">
        <v>29.720804999999999</v>
      </c>
      <c r="H32">
        <v>26.444061000000001</v>
      </c>
      <c r="I32">
        <v>23.506260000000001</v>
      </c>
      <c r="J32">
        <v>57.427999</v>
      </c>
      <c r="K32">
        <v>50.018241000000003</v>
      </c>
      <c r="L32">
        <v>378.33968299999998</v>
      </c>
      <c r="M32">
        <v>-622.49306200000001</v>
      </c>
      <c r="N32">
        <v>1.601799</v>
      </c>
      <c r="O32">
        <v>3.4355920000000002</v>
      </c>
      <c r="P32">
        <f t="shared" si="0"/>
        <v>2.6696650000000001E-5</v>
      </c>
      <c r="Q32" cm="1">
        <f t="array" ref="Q32">[1]!PropsSI("D","T",J32+273.15,"P",101325,"Water")</f>
        <v>984.49931876853032</v>
      </c>
      <c r="R32" cm="1">
        <f t="array" ref="R32">[1]!PropsSI("D","T",K32+273.15,"P",101325,"Water")</f>
        <v>988.02679478803338</v>
      </c>
      <c r="S32">
        <f t="shared" si="1"/>
        <v>986.26305677828191</v>
      </c>
      <c r="T32" cm="1">
        <f t="array" ref="T32">[1]!PropsSI("H","T",J32+273.15,"P",101325,"Water")</f>
        <v>240486.39157539324</v>
      </c>
      <c r="U32" cm="1">
        <f t="array" ref="U32">[1]!PropsSI("H","T",K32+273.15,"P",101325,"Water")</f>
        <v>209494.76390717833</v>
      </c>
      <c r="V32">
        <f t="shared" si="2"/>
        <v>816.00706585388059</v>
      </c>
      <c r="X32">
        <f t="shared" si="3"/>
        <v>0.26485599799999998</v>
      </c>
      <c r="Y32">
        <f t="shared" si="3"/>
        <v>0.250036482</v>
      </c>
      <c r="Z32">
        <f t="shared" si="9"/>
        <v>0.36423473476250495</v>
      </c>
      <c r="AA32">
        <f t="shared" si="8"/>
        <v>7.4097579999999965</v>
      </c>
      <c r="AB32">
        <f t="shared" si="5"/>
        <v>5.0162946806722696E-2</v>
      </c>
      <c r="AC32">
        <f t="shared" si="6"/>
        <v>40.933319038338077</v>
      </c>
    </row>
    <row r="33" spans="1:29" x14ac:dyDescent="0.2">
      <c r="A33">
        <v>46137.057522986113</v>
      </c>
      <c r="B33">
        <v>17.759446000000001</v>
      </c>
      <c r="C33">
        <v>18.326801</v>
      </c>
      <c r="D33">
        <v>19.519445999999999</v>
      </c>
      <c r="E33">
        <v>19.754584999999999</v>
      </c>
      <c r="F33">
        <v>28.205634</v>
      </c>
      <c r="G33">
        <v>29.812028000000002</v>
      </c>
      <c r="H33">
        <v>26.108198999999999</v>
      </c>
      <c r="I33">
        <v>22.893177000000001</v>
      </c>
      <c r="J33">
        <v>57.423859</v>
      </c>
      <c r="K33">
        <v>50.014586999999999</v>
      </c>
      <c r="L33">
        <v>381.22321299999999</v>
      </c>
      <c r="M33">
        <v>-622.49347</v>
      </c>
      <c r="N33">
        <v>1.603963</v>
      </c>
      <c r="O33">
        <v>3.744405</v>
      </c>
      <c r="P33">
        <f t="shared" si="0"/>
        <v>2.6732716666666669E-5</v>
      </c>
      <c r="Q33" cm="1">
        <f t="array" ref="Q33">[1]!PropsSI("D","T",J33+273.15,"P",101325,"Water")</f>
        <v>984.50138490598226</v>
      </c>
      <c r="R33" cm="1">
        <f t="array" ref="R33">[1]!PropsSI("D","T",K33+273.15,"P",101325,"Water")</f>
        <v>988.02844787632068</v>
      </c>
      <c r="S33">
        <f t="shared" si="1"/>
        <v>986.26491639115147</v>
      </c>
      <c r="T33" cm="1">
        <f t="array" ref="T33">[1]!PropsSI("H","T",J33+273.15,"P",101325,"Water")</f>
        <v>240469.07031801646</v>
      </c>
      <c r="U33" cm="1">
        <f t="array" ref="U33">[1]!PropsSI("H","T",K33+273.15,"P",101325,"Water")</f>
        <v>209479.48526540189</v>
      </c>
      <c r="V33">
        <f t="shared" si="2"/>
        <v>817.05716189510269</v>
      </c>
      <c r="X33">
        <f t="shared" si="3"/>
        <v>0.26484771800000001</v>
      </c>
      <c r="Y33">
        <f t="shared" si="3"/>
        <v>0.25002917400000002</v>
      </c>
      <c r="Z33">
        <f t="shared" si="9"/>
        <v>0.36422369717102399</v>
      </c>
      <c r="AA33">
        <f t="shared" si="8"/>
        <v>7.4092720000000014</v>
      </c>
      <c r="AB33">
        <f t="shared" si="5"/>
        <v>5.0164646610734727E-2</v>
      </c>
      <c r="AC33">
        <f t="shared" si="6"/>
        <v>40.987383787237697</v>
      </c>
    </row>
    <row r="34" spans="1:29" x14ac:dyDescent="0.2">
      <c r="A34">
        <v>46137.057557708336</v>
      </c>
      <c r="B34">
        <v>17.591315000000002</v>
      </c>
      <c r="C34">
        <v>18.102228</v>
      </c>
      <c r="D34">
        <v>19.468568999999999</v>
      </c>
      <c r="E34">
        <v>19.732834</v>
      </c>
      <c r="F34">
        <v>28.376607</v>
      </c>
      <c r="G34">
        <v>30.009584</v>
      </c>
      <c r="H34">
        <v>25.542095</v>
      </c>
      <c r="I34">
        <v>23.110016999999999</v>
      </c>
      <c r="J34">
        <v>57.420037000000001</v>
      </c>
      <c r="K34">
        <v>50.013634000000003</v>
      </c>
      <c r="L34">
        <v>389.50891999999999</v>
      </c>
      <c r="M34">
        <v>-622.48979599999996</v>
      </c>
      <c r="N34">
        <v>1.601861</v>
      </c>
      <c r="O34">
        <v>3.3531819999999999</v>
      </c>
      <c r="P34">
        <f t="shared" si="0"/>
        <v>2.6697683333333334E-5</v>
      </c>
      <c r="Q34" cm="1">
        <f t="array" ref="Q34">[1]!PropsSI("D","T",J34+273.15,"P",101325,"Water")</f>
        <v>984.5032922479852</v>
      </c>
      <c r="R34" cm="1">
        <f t="array" ref="R34">[1]!PropsSI("D","T",K34+273.15,"P",101325,"Water")</f>
        <v>988.02887900398912</v>
      </c>
      <c r="S34">
        <f t="shared" si="1"/>
        <v>986.26608562598722</v>
      </c>
      <c r="T34" cm="1">
        <f t="array" ref="T34">[1]!PropsSI("H","T",J34+273.15,"P",101325,"Water")</f>
        <v>240453.07954006759</v>
      </c>
      <c r="U34" cm="1">
        <f t="array" ref="U34">[1]!PropsSI("H","T",K34+273.15,"P",101325,"Water")</f>
        <v>209475.50044238521</v>
      </c>
      <c r="V34">
        <f t="shared" si="2"/>
        <v>815.6712435107213</v>
      </c>
      <c r="X34">
        <f t="shared" si="3"/>
        <v>0.26484007399999998</v>
      </c>
      <c r="Y34">
        <f t="shared" si="3"/>
        <v>0.25002726799999997</v>
      </c>
      <c r="Z34">
        <f t="shared" si="9"/>
        <v>0.36421683039072933</v>
      </c>
      <c r="AA34">
        <f t="shared" si="8"/>
        <v>7.4064029999999974</v>
      </c>
      <c r="AB34">
        <f t="shared" si="5"/>
        <v>5.0182398170374128E-2</v>
      </c>
      <c r="AC34">
        <f t="shared" si="6"/>
        <v>40.932339117979211</v>
      </c>
    </row>
    <row r="35" spans="1:29" x14ac:dyDescent="0.2">
      <c r="A35">
        <v>46137.057592430552</v>
      </c>
      <c r="B35">
        <v>17.703119000000001</v>
      </c>
      <c r="C35">
        <v>18.025010999999999</v>
      </c>
      <c r="D35">
        <v>19.447082999999999</v>
      </c>
      <c r="E35">
        <v>19.704609999999999</v>
      </c>
      <c r="F35">
        <v>28.465982</v>
      </c>
      <c r="G35">
        <v>30.081906</v>
      </c>
      <c r="H35">
        <v>25.872682000000001</v>
      </c>
      <c r="I35">
        <v>22.768991</v>
      </c>
      <c r="J35">
        <v>57.419082000000003</v>
      </c>
      <c r="K35">
        <v>50.006960999999997</v>
      </c>
      <c r="L35">
        <v>376.65854300000001</v>
      </c>
      <c r="M35">
        <v>-622.46530800000005</v>
      </c>
      <c r="N35">
        <v>1.604684</v>
      </c>
      <c r="O35">
        <v>3.3109790000000001</v>
      </c>
      <c r="P35">
        <f t="shared" si="0"/>
        <v>2.6744733333333335E-5</v>
      </c>
      <c r="Q35" cm="1">
        <f t="array" ref="Q35">[1]!PropsSI("D","T",J35+273.15,"P",101325,"Water")</f>
        <v>984.50376882015416</v>
      </c>
      <c r="R35" cm="1">
        <f t="array" ref="R35">[1]!PropsSI("D","T",K35+273.15,"P",101325,"Water")</f>
        <v>988.03189763563262</v>
      </c>
      <c r="S35">
        <f t="shared" si="1"/>
        <v>986.26783322789333</v>
      </c>
      <c r="T35" cm="1">
        <f t="array" ref="T35">[1]!PropsSI("H","T",J35+273.15,"P",101325,"Water")</f>
        <v>240449.08393845064</v>
      </c>
      <c r="U35" cm="1">
        <f t="array" ref="U35">[1]!PropsSI("H","T",K35+273.15,"P",101325,"Water")</f>
        <v>209447.59832576002</v>
      </c>
      <c r="V35">
        <f t="shared" si="2"/>
        <v>817.74076274712706</v>
      </c>
      <c r="X35">
        <f t="shared" si="3"/>
        <v>0.26483816399999999</v>
      </c>
      <c r="Y35">
        <f t="shared" si="3"/>
        <v>0.250013922</v>
      </c>
      <c r="Z35">
        <f t="shared" si="9"/>
        <v>0.36420627988093912</v>
      </c>
      <c r="AA35">
        <f t="shared" si="8"/>
        <v>7.4121210000000062</v>
      </c>
      <c r="AB35">
        <f t="shared" si="5"/>
        <v>5.0143828524611134E-2</v>
      </c>
      <c r="AC35">
        <f t="shared" si="6"/>
        <v>41.004652584776657</v>
      </c>
    </row>
    <row r="36" spans="1:29" x14ac:dyDescent="0.2">
      <c r="A36">
        <v>46137.057627152775</v>
      </c>
      <c r="B36">
        <v>17.639302000000001</v>
      </c>
      <c r="C36">
        <v>17.929365000000001</v>
      </c>
      <c r="D36">
        <v>19.562519000000002</v>
      </c>
      <c r="E36">
        <v>19.761946999999999</v>
      </c>
      <c r="F36">
        <v>27.956126999999999</v>
      </c>
      <c r="G36">
        <v>30.242965000000002</v>
      </c>
      <c r="H36">
        <v>25.832249999999998</v>
      </c>
      <c r="I36">
        <v>22.570353999999998</v>
      </c>
      <c r="J36">
        <v>57.414464000000002</v>
      </c>
      <c r="K36">
        <v>49.997906</v>
      </c>
      <c r="L36">
        <v>402.64703800000001</v>
      </c>
      <c r="M36">
        <v>-622.47551099999998</v>
      </c>
      <c r="N36">
        <v>1.606176</v>
      </c>
      <c r="O36">
        <v>3.3469039999999999</v>
      </c>
      <c r="P36">
        <f t="shared" si="0"/>
        <v>2.6769600000000002E-5</v>
      </c>
      <c r="Q36" cm="1">
        <f t="array" ref="Q36">[1]!PropsSI("D","T",J36+273.15,"P",101325,"Water")</f>
        <v>984.50607325557633</v>
      </c>
      <c r="R36" cm="1">
        <f t="array" ref="R36">[1]!PropsSI("D","T",K36+273.15,"P",101325,"Water")</f>
        <v>988.03599333364321</v>
      </c>
      <c r="S36">
        <f t="shared" si="1"/>
        <v>986.27103329460977</v>
      </c>
      <c r="T36" cm="1">
        <f t="array" ref="T36">[1]!PropsSI("H","T",J36+273.15,"P",101325,"Water")</f>
        <v>240429.76280390826</v>
      </c>
      <c r="U36" cm="1">
        <f t="array" ref="U36">[1]!PropsSI("H","T",K36+273.15,"P",101325,"Water")</f>
        <v>209409.73626494291</v>
      </c>
      <c r="V36">
        <f t="shared" si="2"/>
        <v>818.99325494435686</v>
      </c>
      <c r="X36">
        <f t="shared" si="3"/>
        <v>0.26482892800000002</v>
      </c>
      <c r="Y36">
        <f t="shared" si="3"/>
        <v>0.24999581199999998</v>
      </c>
      <c r="Z36">
        <f t="shared" si="9"/>
        <v>0.36418713201205849</v>
      </c>
      <c r="AA36">
        <f t="shared" si="8"/>
        <v>7.416558000000002</v>
      </c>
      <c r="AB36">
        <f t="shared" si="5"/>
        <v>5.0112493253810696E-2</v>
      </c>
      <c r="AC36">
        <f t="shared" si="6"/>
        <v>41.041793963315548</v>
      </c>
    </row>
    <row r="37" spans="1:29" x14ac:dyDescent="0.2">
      <c r="A37">
        <v>46137.057661874998</v>
      </c>
      <c r="B37">
        <v>17.736526000000001</v>
      </c>
      <c r="C37">
        <v>18.251151</v>
      </c>
      <c r="D37">
        <v>19.203049</v>
      </c>
      <c r="E37">
        <v>19.818190000000001</v>
      </c>
      <c r="F37">
        <v>28.288277999999998</v>
      </c>
      <c r="G37">
        <v>30.006710000000002</v>
      </c>
      <c r="H37">
        <v>26.010134999999998</v>
      </c>
      <c r="I37">
        <v>22.040918999999999</v>
      </c>
      <c r="J37">
        <v>57.412393999999999</v>
      </c>
      <c r="K37">
        <v>49.994092999999999</v>
      </c>
      <c r="L37">
        <v>380.09388100000001</v>
      </c>
      <c r="M37">
        <v>-622.48938799999996</v>
      </c>
      <c r="N37">
        <v>1.6045529999999999</v>
      </c>
      <c r="O37">
        <v>3.2388370000000002</v>
      </c>
      <c r="P37">
        <f t="shared" si="0"/>
        <v>2.6742549999999997E-5</v>
      </c>
      <c r="Q37" cm="1">
        <f t="array" ref="Q37">[1]!PropsSI("D","T",J37+273.15,"P",101325,"Water")</f>
        <v>984.5071061675967</v>
      </c>
      <c r="R37" cm="1">
        <f t="array" ref="R37">[1]!PropsSI("D","T",K37+273.15,"P",101325,"Water")</f>
        <v>988.03771784378739</v>
      </c>
      <c r="S37">
        <f t="shared" si="1"/>
        <v>986.2724120056921</v>
      </c>
      <c r="T37" cm="1">
        <f t="array" ref="T37">[1]!PropsSI("H","T",J37+273.15,"P",101325,"Water")</f>
        <v>240421.1021855447</v>
      </c>
      <c r="U37" cm="1">
        <f t="array" ref="U37">[1]!PropsSI("H","T",K37+273.15,"P",101325,"Water")</f>
        <v>209393.79281105893</v>
      </c>
      <c r="V37">
        <f t="shared" si="2"/>
        <v>818.35891479101076</v>
      </c>
      <c r="X37">
        <f t="shared" si="3"/>
        <v>0.26482478799999998</v>
      </c>
      <c r="Y37">
        <f t="shared" si="3"/>
        <v>0.249988186</v>
      </c>
      <c r="Z37">
        <f t="shared" si="9"/>
        <v>0.36417888664613102</v>
      </c>
      <c r="AA37">
        <f t="shared" si="8"/>
        <v>7.4183009999999996</v>
      </c>
      <c r="AB37">
        <f t="shared" si="5"/>
        <v>5.0100098642169633E-2</v>
      </c>
      <c r="AC37">
        <f t="shared" si="6"/>
        <v>40.999862355728531</v>
      </c>
    </row>
    <row r="38" spans="1:29" x14ac:dyDescent="0.2">
      <c r="A38">
        <v>44675.057697178301</v>
      </c>
      <c r="B38">
        <v>17.601094</v>
      </c>
      <c r="C38">
        <v>17.987020000000001</v>
      </c>
      <c r="D38">
        <v>19.364222999999999</v>
      </c>
      <c r="E38">
        <v>19.798085</v>
      </c>
      <c r="F38">
        <v>28.323902</v>
      </c>
      <c r="G38">
        <v>30.035557000000001</v>
      </c>
      <c r="H38">
        <v>25.795659000000001</v>
      </c>
      <c r="I38">
        <v>22.935075000000001</v>
      </c>
      <c r="J38">
        <v>57.407139999999998</v>
      </c>
      <c r="K38">
        <v>49.989009000000003</v>
      </c>
      <c r="L38">
        <v>378.25519800000001</v>
      </c>
      <c r="M38">
        <v>-622.48938799999996</v>
      </c>
      <c r="N38">
        <v>1.6031390000000001</v>
      </c>
      <c r="O38">
        <v>3.3367</v>
      </c>
      <c r="P38">
        <f t="shared" si="0"/>
        <v>2.6718983333333336E-5</v>
      </c>
      <c r="Q38" cm="1">
        <f t="array" ref="Q38">[1]!PropsSI("D","T",J38+273.15,"P",101325,"Water")</f>
        <v>984.50972775143612</v>
      </c>
      <c r="R38" cm="1">
        <f t="array" ref="R38">[1]!PropsSI("D","T",K38+273.15,"P",101325,"Water")</f>
        <v>988.04001704228301</v>
      </c>
      <c r="S38">
        <f t="shared" si="1"/>
        <v>986.27487239685956</v>
      </c>
      <c r="T38" cm="1">
        <f t="array" ref="T38">[1]!PropsSI("H","T",J38+273.15,"P",101325,"Water")</f>
        <v>240399.12012118916</v>
      </c>
      <c r="U38" cm="1">
        <f t="array" ref="U38">[1]!PropsSI("H","T",K38+273.15,"P",101325,"Water")</f>
        <v>209372.53487894926</v>
      </c>
      <c r="V38">
        <f t="shared" si="2"/>
        <v>817.62069947295868</v>
      </c>
      <c r="X38">
        <f t="shared" si="3"/>
        <v>0.26481428000000001</v>
      </c>
      <c r="Y38">
        <f t="shared" si="3"/>
        <v>0.249978018</v>
      </c>
      <c r="Z38">
        <f t="shared" si="9"/>
        <v>0.36416426564824661</v>
      </c>
      <c r="AA38">
        <f t="shared" si="8"/>
        <v>7.4181309999999954</v>
      </c>
      <c r="AB38">
        <f t="shared" si="5"/>
        <v>5.0099269715463364E-2</v>
      </c>
      <c r="AC38">
        <f t="shared" si="6"/>
        <v>40.962199947841569</v>
      </c>
    </row>
    <row r="39" spans="1:29" x14ac:dyDescent="0.2">
      <c r="A39">
        <v>44675.057732479203</v>
      </c>
      <c r="B39">
        <v>17.669060000000002</v>
      </c>
      <c r="C39">
        <v>18.125979999999998</v>
      </c>
      <c r="D39">
        <v>19.471253000000001</v>
      </c>
      <c r="E39">
        <v>19.801601999999999</v>
      </c>
      <c r="F39">
        <v>28.296254999999999</v>
      </c>
      <c r="G39">
        <v>29.518170999999999</v>
      </c>
      <c r="H39">
        <v>25.575593000000001</v>
      </c>
      <c r="I39">
        <v>22.541239000000001</v>
      </c>
      <c r="J39">
        <v>57.407139999999998</v>
      </c>
      <c r="K39">
        <v>49.983448000000003</v>
      </c>
      <c r="L39">
        <v>382.14724799999999</v>
      </c>
      <c r="M39">
        <v>-622.46449199999995</v>
      </c>
      <c r="N39">
        <v>1.6045860000000001</v>
      </c>
      <c r="O39">
        <v>3.5166550000000001</v>
      </c>
      <c r="P39">
        <f t="shared" si="0"/>
        <v>2.6743100000000002E-5</v>
      </c>
      <c r="Q39" cm="1">
        <f t="array" ref="Q39">[1]!PropsSI("D","T",J39+273.15,"P",101325,"Water")</f>
        <v>984.50972775143612</v>
      </c>
      <c r="R39" cm="1">
        <f t="array" ref="R39">[1]!PropsSI("D","T",K39+273.15,"P",101325,"Water")</f>
        <v>988.04253176606176</v>
      </c>
      <c r="S39">
        <f t="shared" si="1"/>
        <v>986.27612975874899</v>
      </c>
      <c r="T39" cm="1">
        <f t="array" ref="T39">[1]!PropsSI("H","T",J39+273.15,"P",101325,"Water")</f>
        <v>240399.12012118916</v>
      </c>
      <c r="U39" cm="1">
        <f t="array" ref="U39">[1]!PropsSI("H","T",K39+273.15,"P",101325,"Water")</f>
        <v>209349.28245600258</v>
      </c>
      <c r="V39">
        <f t="shared" si="2"/>
        <v>818.97303844036003</v>
      </c>
      <c r="X39">
        <f t="shared" si="3"/>
        <v>0.26481428000000001</v>
      </c>
      <c r="Y39">
        <f t="shared" si="3"/>
        <v>0.24996689599999999</v>
      </c>
      <c r="Z39">
        <f t="shared" si="9"/>
        <v>0.3641566311187992</v>
      </c>
      <c r="AA39">
        <f t="shared" si="8"/>
        <v>7.4236919999999955</v>
      </c>
      <c r="AB39">
        <f t="shared" si="5"/>
        <v>5.0062229014830414E-2</v>
      </c>
      <c r="AC39">
        <f t="shared" si="6"/>
        <v>40.99961580737282</v>
      </c>
    </row>
    <row r="40" spans="1:29" x14ac:dyDescent="0.2">
      <c r="A40">
        <v>44675.057767780097</v>
      </c>
      <c r="B40">
        <v>17.478027000000001</v>
      </c>
      <c r="C40">
        <v>17.883334000000001</v>
      </c>
      <c r="D40">
        <v>19.46988</v>
      </c>
      <c r="E40">
        <v>19.770177</v>
      </c>
      <c r="F40">
        <v>27.913689000000002</v>
      </c>
      <c r="G40">
        <v>30.127110999999999</v>
      </c>
      <c r="H40">
        <v>26.085722000000001</v>
      </c>
      <c r="I40">
        <v>22.965869999999999</v>
      </c>
      <c r="J40">
        <v>57.402999999999999</v>
      </c>
      <c r="K40">
        <v>49.980429999999998</v>
      </c>
      <c r="L40">
        <v>377.67032899999998</v>
      </c>
      <c r="M40">
        <v>-622.49183700000003</v>
      </c>
      <c r="N40">
        <v>1.6049789999999999</v>
      </c>
      <c r="O40">
        <v>3.5156770000000002</v>
      </c>
      <c r="P40">
        <f t="shared" si="0"/>
        <v>2.6749649999999999E-5</v>
      </c>
      <c r="Q40" cm="1">
        <f t="array" ref="Q40">[1]!PropsSI("D","T",J40+273.15,"P",101325,"Water")</f>
        <v>984.51179336587188</v>
      </c>
      <c r="R40" cm="1">
        <f t="array" ref="R40">[1]!PropsSI("D","T",K40+273.15,"P",101325,"Water")</f>
        <v>988.04389644220566</v>
      </c>
      <c r="S40">
        <f t="shared" si="1"/>
        <v>986.27784490403883</v>
      </c>
      <c r="T40" cm="1">
        <f t="array" ref="T40">[1]!PropsSI("H","T",J40+273.15,"P",101325,"Water")</f>
        <v>240381.79889819387</v>
      </c>
      <c r="U40" cm="1">
        <f t="array" ref="U40">[1]!PropsSI("H","T",K40+273.15,"P",101325,"Water")</f>
        <v>209336.66318035469</v>
      </c>
      <c r="V40">
        <f t="shared" si="2"/>
        <v>819.05099878170449</v>
      </c>
      <c r="X40">
        <f t="shared" si="3"/>
        <v>0.26480599999999999</v>
      </c>
      <c r="Y40">
        <f t="shared" si="3"/>
        <v>0.24996086000000001</v>
      </c>
      <c r="Z40">
        <f t="shared" si="9"/>
        <v>0.36414646664211858</v>
      </c>
      <c r="AA40">
        <f t="shared" si="8"/>
        <v>7.4225700000000003</v>
      </c>
      <c r="AB40">
        <f t="shared" si="5"/>
        <v>5.0068152716511959E-2</v>
      </c>
      <c r="AC40">
        <f t="shared" si="6"/>
        <v>41.00837048961403</v>
      </c>
    </row>
    <row r="41" spans="1:29" x14ac:dyDescent="0.2">
      <c r="A41">
        <v>44675.057803081101</v>
      </c>
      <c r="B41">
        <v>17.569393999999999</v>
      </c>
      <c r="C41">
        <v>17.905750000000001</v>
      </c>
      <c r="D41">
        <v>19.333625999999999</v>
      </c>
      <c r="E41">
        <v>19.77927</v>
      </c>
      <c r="F41">
        <v>28.190835</v>
      </c>
      <c r="G41">
        <v>30.150722999999999</v>
      </c>
      <c r="H41">
        <v>26.127068000000001</v>
      </c>
      <c r="I41">
        <v>22.629881000000001</v>
      </c>
      <c r="J41">
        <v>57.400134000000001</v>
      </c>
      <c r="K41">
        <v>49.977410999999996</v>
      </c>
      <c r="L41">
        <v>388.75834500000002</v>
      </c>
      <c r="M41">
        <v>-622.47306300000002</v>
      </c>
      <c r="N41">
        <v>1.605696</v>
      </c>
      <c r="O41">
        <v>3.8968349999999998</v>
      </c>
      <c r="P41">
        <f t="shared" si="0"/>
        <v>2.6761600000000001E-5</v>
      </c>
      <c r="Q41" cm="1">
        <f t="array" ref="Q41">[1]!PropsSI("D","T",J41+273.15,"P",101325,"Water")</f>
        <v>984.51322326906063</v>
      </c>
      <c r="R41" cm="1">
        <f t="array" ref="R41">[1]!PropsSI("D","T",K41+273.15,"P",101325,"Water")</f>
        <v>988.04526151075083</v>
      </c>
      <c r="S41">
        <f t="shared" si="1"/>
        <v>986.27924238990568</v>
      </c>
      <c r="T41" cm="1">
        <f t="array" ref="T41">[1]!PropsSI("H","T",J41+273.15,"P",101325,"Water")</f>
        <v>240369.80792996171</v>
      </c>
      <c r="U41" cm="1">
        <f t="array" ref="U41">[1]!PropsSI("H","T",K41+273.15,"P",101325,"Water")</f>
        <v>209324.03972595828</v>
      </c>
      <c r="V41">
        <f t="shared" si="2"/>
        <v>819.43475253505449</v>
      </c>
      <c r="X41">
        <f t="shared" si="3"/>
        <v>0.26480026800000001</v>
      </c>
      <c r="Y41">
        <f t="shared" si="3"/>
        <v>0.24995482199999999</v>
      </c>
      <c r="Z41">
        <f t="shared" si="9"/>
        <v>0.3641381536915948</v>
      </c>
      <c r="AA41">
        <f t="shared" si="8"/>
        <v>7.4227230000000048</v>
      </c>
      <c r="AB41">
        <f t="shared" si="5"/>
        <v>5.0066064495395905E-2</v>
      </c>
      <c r="AC41">
        <f t="shared" si="6"/>
        <v>41.025873170188824</v>
      </c>
    </row>
    <row r="42" spans="1:29" x14ac:dyDescent="0.2">
      <c r="A42">
        <v>46137.057837800923</v>
      </c>
      <c r="B42">
        <v>17.399850000000001</v>
      </c>
      <c r="C42">
        <v>17.840897999999999</v>
      </c>
      <c r="D42">
        <v>19.431352</v>
      </c>
      <c r="E42">
        <v>19.800049000000001</v>
      </c>
      <c r="F42">
        <v>28.099974</v>
      </c>
      <c r="G42">
        <v>29.654885</v>
      </c>
      <c r="H42">
        <v>26.130825999999999</v>
      </c>
      <c r="I42">
        <v>22.817307</v>
      </c>
      <c r="J42">
        <v>57.397108000000003</v>
      </c>
      <c r="K42">
        <v>49.974234000000003</v>
      </c>
      <c r="L42">
        <v>386.65477700000002</v>
      </c>
      <c r="M42">
        <v>-622.47877700000004</v>
      </c>
      <c r="N42">
        <v>1.605356</v>
      </c>
      <c r="O42">
        <v>3.3894880000000001</v>
      </c>
      <c r="P42">
        <f t="shared" si="0"/>
        <v>2.6755933333333336E-5</v>
      </c>
      <c r="Q42" cm="1">
        <f t="array" ref="Q42">[1]!PropsSI("D","T",J42+273.15,"P",101325,"Water")</f>
        <v>984.51473294539005</v>
      </c>
      <c r="R42" cm="1">
        <f t="array" ref="R42">[1]!PropsSI("D","T",K42+273.15,"P",101325,"Water")</f>
        <v>988.04669795586074</v>
      </c>
      <c r="S42">
        <f t="shared" si="1"/>
        <v>986.28071545062539</v>
      </c>
      <c r="T42" cm="1">
        <f t="array" ref="T42">[1]!PropsSI("H","T",J42+273.15,"P",101325,"Water")</f>
        <v>240357.14754620657</v>
      </c>
      <c r="U42" cm="1">
        <f t="array" ref="U42">[1]!PropsSI("H","T",K42+273.15,"P",101325,"Water")</f>
        <v>209310.75562313994</v>
      </c>
      <c r="V42">
        <f t="shared" si="2"/>
        <v>819.27892319962746</v>
      </c>
      <c r="X42">
        <f t="shared" si="3"/>
        <v>0.26479421599999997</v>
      </c>
      <c r="Y42">
        <f t="shared" si="3"/>
        <v>0.24994846800000001</v>
      </c>
      <c r="Z42">
        <f t="shared" si="9"/>
        <v>0.36412939112711251</v>
      </c>
      <c r="AA42">
        <f t="shared" si="8"/>
        <v>7.4228740000000002</v>
      </c>
      <c r="AB42">
        <f t="shared" si="5"/>
        <v>5.0063929964127882E-2</v>
      </c>
      <c r="AC42">
        <f t="shared" si="6"/>
        <v>41.016322632152253</v>
      </c>
    </row>
    <row r="43" spans="1:29" x14ac:dyDescent="0.2">
      <c r="A43">
        <v>46137.057872523146</v>
      </c>
      <c r="B43">
        <v>17.471350999999999</v>
      </c>
      <c r="C43">
        <v>17.921825999999999</v>
      </c>
      <c r="D43">
        <v>19.294817999999999</v>
      </c>
      <c r="E43">
        <v>19.603560999999999</v>
      </c>
      <c r="F43">
        <v>28.048057</v>
      </c>
      <c r="G43">
        <v>30.362452999999999</v>
      </c>
      <c r="H43">
        <v>25.898028</v>
      </c>
      <c r="I43">
        <v>22.683093</v>
      </c>
      <c r="J43">
        <v>57.390421000000003</v>
      </c>
      <c r="K43">
        <v>49.963113</v>
      </c>
      <c r="L43">
        <v>384.35285199999998</v>
      </c>
      <c r="M43">
        <v>-622.48979599999996</v>
      </c>
      <c r="N43">
        <v>1.6040939999999999</v>
      </c>
      <c r="O43">
        <v>3.7934700000000001</v>
      </c>
      <c r="P43">
        <f t="shared" si="0"/>
        <v>2.6734899999999997E-5</v>
      </c>
      <c r="Q43" cm="1">
        <f t="array" ref="Q43">[1]!PropsSI("D","T",J43+273.15,"P",101325,"Water")</f>
        <v>984.51806890381658</v>
      </c>
      <c r="R43" cm="1">
        <f t="array" ref="R43">[1]!PropsSI("D","T",K43+273.15,"P",101325,"Water")</f>
        <v>988.0517256702858</v>
      </c>
      <c r="S43">
        <f t="shared" si="1"/>
        <v>986.28489728705119</v>
      </c>
      <c r="T43" cm="1">
        <f t="array" ref="T43">[1]!PropsSI("H","T",J43+273.15,"P",101325,"Water")</f>
        <v>240329.17003563064</v>
      </c>
      <c r="U43" cm="1">
        <f t="array" ref="U43">[1]!PropsSI("H","T",K43+273.15,"P",101325,"Water")</f>
        <v>209264.25501392668</v>
      </c>
      <c r="V43">
        <f t="shared" si="2"/>
        <v>819.12676521430456</v>
      </c>
      <c r="X43">
        <f t="shared" si="3"/>
        <v>0.26478084200000002</v>
      </c>
      <c r="Y43">
        <f t="shared" si="3"/>
        <v>0.249926226</v>
      </c>
      <c r="Z43">
        <f t="shared" si="9"/>
        <v>0.36410439812343937</v>
      </c>
      <c r="AA43">
        <f t="shared" si="8"/>
        <v>7.4273080000000036</v>
      </c>
      <c r="AB43">
        <f t="shared" si="5"/>
        <v>5.0031938160756545E-2</v>
      </c>
      <c r="AC43">
        <f t="shared" si="6"/>
        <v>40.982499663022629</v>
      </c>
    </row>
    <row r="44" spans="1:29" x14ac:dyDescent="0.2">
      <c r="A44">
        <v>46137.057907824077</v>
      </c>
      <c r="B44">
        <v>17.624942000000001</v>
      </c>
      <c r="C44">
        <v>17.731297000000001</v>
      </c>
      <c r="D44">
        <v>19.180488</v>
      </c>
      <c r="E44">
        <v>19.622716</v>
      </c>
      <c r="F44">
        <v>28.067591</v>
      </c>
      <c r="G44">
        <v>29.894461</v>
      </c>
      <c r="H44">
        <v>25.921904000000001</v>
      </c>
      <c r="I44">
        <v>22.685767999999999</v>
      </c>
      <c r="J44">
        <v>57.387872999999999</v>
      </c>
      <c r="K44">
        <v>49.954692999999999</v>
      </c>
      <c r="L44">
        <v>376.64099299999998</v>
      </c>
      <c r="M44">
        <v>-622.46979699999997</v>
      </c>
      <c r="N44">
        <v>1.60293</v>
      </c>
      <c r="O44">
        <v>3.8225069999999999</v>
      </c>
      <c r="P44">
        <f t="shared" si="0"/>
        <v>2.6715500000000002E-5</v>
      </c>
      <c r="Q44" cm="1">
        <f t="array" ref="Q44">[1]!PropsSI("D","T",J44+273.15,"P",101325,"Water")</f>
        <v>984.51933995892909</v>
      </c>
      <c r="R44" cm="1">
        <f t="array" ref="R44">[1]!PropsSI("D","T",K44+273.15,"P",101325,"Water")</f>
        <v>988.05553174454451</v>
      </c>
      <c r="S44">
        <f t="shared" si="1"/>
        <v>986.28743585173675</v>
      </c>
      <c r="T44" cm="1">
        <f t="array" ref="T44">[1]!PropsSI("H","T",J44+273.15,"P",101325,"Water")</f>
        <v>240318.50955028148</v>
      </c>
      <c r="U44" cm="1">
        <f t="array" ref="U44">[1]!PropsSI("H","T",K44+273.15,"P",101325,"Water")</f>
        <v>209229.04820947896</v>
      </c>
      <c r="V44">
        <f t="shared" si="2"/>
        <v>819.18125312828079</v>
      </c>
      <c r="X44">
        <f t="shared" si="3"/>
        <v>0.26477574599999998</v>
      </c>
      <c r="Y44">
        <f t="shared" si="3"/>
        <v>0.24990938600000001</v>
      </c>
      <c r="Z44">
        <f t="shared" si="9"/>
        <v>0.36408913315389341</v>
      </c>
      <c r="AA44">
        <f t="shared" si="8"/>
        <v>7.4331800000000001</v>
      </c>
      <c r="AB44">
        <f t="shared" si="5"/>
        <v>4.9991981769157756E-2</v>
      </c>
      <c r="AC44">
        <f t="shared" si="6"/>
        <v>40.952494272024815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598E7C-2A4F-8242-8110-C7BDBB2911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2026-04-26T20:17:43Z</dcterms:created>
  <dcterms:modified xsi:type="dcterms:W3CDTF">2026-04-26T20:49:37Z</dcterms:modified>
</cp:coreProperties>
</file>