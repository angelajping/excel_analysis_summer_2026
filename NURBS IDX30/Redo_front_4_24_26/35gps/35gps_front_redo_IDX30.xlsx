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Redo_front_4_24_26/35gps/"/>
    </mc:Choice>
  </mc:AlternateContent>
  <xr:revisionPtr revIDLastSave="0" documentId="13_ncr:1_{1E7C8574-E921-0547-BF08-603F0CDB6BF6}" xr6:coauthVersionLast="47" xr6:coauthVersionMax="47" xr10:uidLastSave="{00000000-0000-0000-0000-000000000000}"/>
  <bookViews>
    <workbookView xWindow="1900" yWindow="1900" windowWidth="27240" windowHeight="16180" xr2:uid="{D2126755-6F49-284C-8A6F-B7772EE2C9EC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</sheets>
  <externalReferences>
    <externalReference r:id="rId9"/>
  </externalReferences>
  <definedNames>
    <definedName name="ExternalData_1" localSheetId="1" hidden="1">'1mps'!$A$1:$O$41</definedName>
    <definedName name="ExternalData_1" localSheetId="2" hidden="1">'2mps'!$A$1:$O$31</definedName>
    <definedName name="ExternalData_1" localSheetId="3" hidden="1">'3mps'!$A$1:$O$34</definedName>
    <definedName name="ExternalData_1" localSheetId="4" hidden="1">'4mps'!$A$1:$O$55</definedName>
    <definedName name="ExternalData_1" localSheetId="5" hidden="1">'5mps'!$A$1:$O$47</definedName>
    <definedName name="ExternalData_1" localSheetId="6" hidden="1">'6mps'!$A$1:$O$27</definedName>
    <definedName name="ExternalData_1" localSheetId="7" hidden="1">'7mps'!$A$1:$O$41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9" l="1"/>
  <c r="W2" i="9"/>
  <c r="W4" i="8"/>
  <c r="W2" i="8"/>
  <c r="W4" i="7"/>
  <c r="W2" i="7"/>
  <c r="W4" i="6"/>
  <c r="W2" i="6"/>
  <c r="W4" i="5"/>
  <c r="W2" i="5"/>
  <c r="W4" i="4"/>
  <c r="W2" i="4"/>
  <c r="W4" i="3"/>
  <c r="W2" i="3"/>
  <c r="P15" i="9"/>
  <c r="X15" i="9"/>
  <c r="Z15" i="9" s="1"/>
  <c r="AB15" i="9" s="1"/>
  <c r="Y15" i="9"/>
  <c r="AA15" i="9"/>
  <c r="P16" i="9"/>
  <c r="X16" i="9"/>
  <c r="Z16" i="9" s="1"/>
  <c r="AB16" i="9" s="1"/>
  <c r="Y16" i="9"/>
  <c r="AA16" i="9"/>
  <c r="P17" i="9"/>
  <c r="X17" i="9"/>
  <c r="Y17" i="9"/>
  <c r="Z17" i="9" s="1"/>
  <c r="AB17" i="9" s="1"/>
  <c r="AA17" i="9"/>
  <c r="P18" i="9"/>
  <c r="X18" i="9"/>
  <c r="Y18" i="9"/>
  <c r="Z18" i="9"/>
  <c r="AB18" i="9" s="1"/>
  <c r="AA18" i="9"/>
  <c r="P19" i="9"/>
  <c r="X19" i="9"/>
  <c r="Y19" i="9"/>
  <c r="Z19" i="9"/>
  <c r="AB19" i="9" s="1"/>
  <c r="AA19" i="9"/>
  <c r="P20" i="9"/>
  <c r="X20" i="9"/>
  <c r="Y20" i="9"/>
  <c r="Z20" i="9"/>
  <c r="AA20" i="9"/>
  <c r="AB20" i="9"/>
  <c r="P21" i="9"/>
  <c r="X21" i="9"/>
  <c r="Y21" i="9"/>
  <c r="Z21" i="9"/>
  <c r="AA21" i="9"/>
  <c r="AB21" i="9"/>
  <c r="P22" i="9"/>
  <c r="X22" i="9"/>
  <c r="Z22" i="9" s="1"/>
  <c r="AB22" i="9" s="1"/>
  <c r="Y22" i="9"/>
  <c r="AA22" i="9"/>
  <c r="P23" i="9"/>
  <c r="X23" i="9"/>
  <c r="Y23" i="9"/>
  <c r="Z23" i="9"/>
  <c r="AA23" i="9"/>
  <c r="AB23" i="9"/>
  <c r="P24" i="9"/>
  <c r="X24" i="9"/>
  <c r="Y24" i="9"/>
  <c r="Z24" i="9"/>
  <c r="AB24" i="9" s="1"/>
  <c r="AA24" i="9"/>
  <c r="P25" i="9"/>
  <c r="X25" i="9"/>
  <c r="Y25" i="9"/>
  <c r="Z25" i="9"/>
  <c r="AA25" i="9"/>
  <c r="AB25" i="9"/>
  <c r="P26" i="9"/>
  <c r="X26" i="9"/>
  <c r="Y26" i="9"/>
  <c r="Z26" i="9"/>
  <c r="AA26" i="9"/>
  <c r="AB26" i="9"/>
  <c r="P27" i="9"/>
  <c r="X27" i="9"/>
  <c r="Y27" i="9"/>
  <c r="Z27" i="9"/>
  <c r="AA27" i="9"/>
  <c r="AB27" i="9"/>
  <c r="P28" i="9"/>
  <c r="X28" i="9"/>
  <c r="Z28" i="9" s="1"/>
  <c r="AB28" i="9" s="1"/>
  <c r="Y28" i="9"/>
  <c r="AA28" i="9"/>
  <c r="P29" i="9"/>
  <c r="X29" i="9"/>
  <c r="Z29" i="9" s="1"/>
  <c r="AB29" i="9" s="1"/>
  <c r="Y29" i="9"/>
  <c r="AA29" i="9"/>
  <c r="P30" i="9"/>
  <c r="X30" i="9"/>
  <c r="Y30" i="9"/>
  <c r="Z30" i="9" s="1"/>
  <c r="AB30" i="9" s="1"/>
  <c r="AA30" i="9"/>
  <c r="P31" i="9"/>
  <c r="X31" i="9"/>
  <c r="Y31" i="9"/>
  <c r="Z31" i="9"/>
  <c r="AB31" i="9" s="1"/>
  <c r="AA31" i="9"/>
  <c r="P32" i="9"/>
  <c r="X32" i="9"/>
  <c r="Y32" i="9"/>
  <c r="Z32" i="9"/>
  <c r="AA32" i="9"/>
  <c r="AB32" i="9"/>
  <c r="P33" i="9"/>
  <c r="X33" i="9"/>
  <c r="Z33" i="9" s="1"/>
  <c r="AB33" i="9" s="1"/>
  <c r="Y33" i="9"/>
  <c r="AA33" i="9"/>
  <c r="P34" i="9"/>
  <c r="X34" i="9"/>
  <c r="Z34" i="9" s="1"/>
  <c r="AB34" i="9" s="1"/>
  <c r="Y34" i="9"/>
  <c r="AA34" i="9"/>
  <c r="P35" i="9"/>
  <c r="X35" i="9"/>
  <c r="Y35" i="9"/>
  <c r="Z35" i="9"/>
  <c r="AB35" i="9" s="1"/>
  <c r="AA35" i="9"/>
  <c r="P36" i="9"/>
  <c r="X36" i="9"/>
  <c r="Y36" i="9"/>
  <c r="Z36" i="9"/>
  <c r="AB36" i="9" s="1"/>
  <c r="AA36" i="9"/>
  <c r="P37" i="9"/>
  <c r="X37" i="9"/>
  <c r="Y37" i="9"/>
  <c r="Z37" i="9"/>
  <c r="AA37" i="9"/>
  <c r="AB37" i="9"/>
  <c r="P38" i="9"/>
  <c r="X38" i="9"/>
  <c r="Y38" i="9"/>
  <c r="Z38" i="9"/>
  <c r="AA38" i="9"/>
  <c r="AB38" i="9" s="1"/>
  <c r="P39" i="9"/>
  <c r="X39" i="9"/>
  <c r="Y39" i="9"/>
  <c r="Z39" i="9"/>
  <c r="AA39" i="9"/>
  <c r="AB39" i="9"/>
  <c r="P40" i="9"/>
  <c r="X40" i="9"/>
  <c r="Z40" i="9" s="1"/>
  <c r="AB40" i="9" s="1"/>
  <c r="Y40" i="9"/>
  <c r="AA40" i="9"/>
  <c r="P41" i="9"/>
  <c r="X41" i="9"/>
  <c r="Z41" i="9" s="1"/>
  <c r="AB41" i="9" s="1"/>
  <c r="Y41" i="9"/>
  <c r="AA41" i="9"/>
  <c r="P15" i="8"/>
  <c r="X15" i="8"/>
  <c r="Z15" i="8" s="1"/>
  <c r="AB15" i="8" s="1"/>
  <c r="Y15" i="8"/>
  <c r="AA15" i="8"/>
  <c r="P16" i="8"/>
  <c r="X16" i="8"/>
  <c r="Y16" i="8"/>
  <c r="Z16" i="8"/>
  <c r="AA16" i="8"/>
  <c r="AB16" i="8"/>
  <c r="P17" i="8"/>
  <c r="X17" i="8"/>
  <c r="Y17" i="8"/>
  <c r="Z17" i="8"/>
  <c r="AB17" i="8" s="1"/>
  <c r="AA17" i="8"/>
  <c r="P18" i="8"/>
  <c r="X18" i="8"/>
  <c r="Y18" i="8"/>
  <c r="Z18" i="8"/>
  <c r="AA18" i="8"/>
  <c r="AB18" i="8"/>
  <c r="P19" i="8"/>
  <c r="X19" i="8"/>
  <c r="Y19" i="8"/>
  <c r="Z19" i="8"/>
  <c r="AA19" i="8"/>
  <c r="AB19" i="8"/>
  <c r="P20" i="8"/>
  <c r="X20" i="8"/>
  <c r="Y20" i="8"/>
  <c r="Z20" i="8" s="1"/>
  <c r="AB20" i="8" s="1"/>
  <c r="AA20" i="8"/>
  <c r="P21" i="8"/>
  <c r="X21" i="8"/>
  <c r="Z21" i="8" s="1"/>
  <c r="AB21" i="8" s="1"/>
  <c r="Y21" i="8"/>
  <c r="AA21" i="8"/>
  <c r="P22" i="8"/>
  <c r="X22" i="8"/>
  <c r="Z22" i="8" s="1"/>
  <c r="AB22" i="8" s="1"/>
  <c r="Y22" i="8"/>
  <c r="AA22" i="8"/>
  <c r="P23" i="8"/>
  <c r="X23" i="8"/>
  <c r="Y23" i="8"/>
  <c r="Z23" i="8" s="1"/>
  <c r="AB23" i="8" s="1"/>
  <c r="AA23" i="8"/>
  <c r="P24" i="8"/>
  <c r="X24" i="8"/>
  <c r="Y24" i="8"/>
  <c r="Z24" i="8"/>
  <c r="AB24" i="8" s="1"/>
  <c r="AA24" i="8"/>
  <c r="P25" i="8"/>
  <c r="X25" i="8"/>
  <c r="Y25" i="8"/>
  <c r="Z25" i="8"/>
  <c r="AA25" i="8"/>
  <c r="AB25" i="8" s="1"/>
  <c r="P26" i="8"/>
  <c r="X26" i="8"/>
  <c r="Y26" i="8"/>
  <c r="Z26" i="8"/>
  <c r="AA26" i="8"/>
  <c r="AB26" i="8"/>
  <c r="P27" i="8"/>
  <c r="X27" i="8"/>
  <c r="Z27" i="8" s="1"/>
  <c r="AB27" i="8" s="1"/>
  <c r="Y27" i="8"/>
  <c r="AA27" i="8"/>
  <c r="P15" i="7"/>
  <c r="X15" i="7"/>
  <c r="Z15" i="7" s="1"/>
  <c r="AB15" i="7" s="1"/>
  <c r="Y15" i="7"/>
  <c r="AA15" i="7"/>
  <c r="P16" i="7"/>
  <c r="X16" i="7"/>
  <c r="Y16" i="7"/>
  <c r="Z16" i="7"/>
  <c r="AA16" i="7"/>
  <c r="AB16" i="7"/>
  <c r="P17" i="7"/>
  <c r="X17" i="7"/>
  <c r="Y17" i="7"/>
  <c r="Z17" i="7"/>
  <c r="AB17" i="7" s="1"/>
  <c r="AA17" i="7"/>
  <c r="P18" i="7"/>
  <c r="X18" i="7"/>
  <c r="Y18" i="7"/>
  <c r="Z18" i="7"/>
  <c r="AA18" i="7"/>
  <c r="AB18" i="7"/>
  <c r="P19" i="7"/>
  <c r="X19" i="7"/>
  <c r="Y19" i="7"/>
  <c r="Z19" i="7" s="1"/>
  <c r="AB19" i="7" s="1"/>
  <c r="AA19" i="7"/>
  <c r="P20" i="7"/>
  <c r="X20" i="7"/>
  <c r="Y20" i="7"/>
  <c r="Z20" i="7" s="1"/>
  <c r="AB20" i="7" s="1"/>
  <c r="AA20" i="7"/>
  <c r="P21" i="7"/>
  <c r="X21" i="7"/>
  <c r="Y21" i="7"/>
  <c r="Z21" i="7"/>
  <c r="AB21" i="7" s="1"/>
  <c r="AA21" i="7"/>
  <c r="P22" i="7"/>
  <c r="X22" i="7"/>
  <c r="Z22" i="7" s="1"/>
  <c r="AB22" i="7" s="1"/>
  <c r="Y22" i="7"/>
  <c r="AA22" i="7"/>
  <c r="P23" i="7"/>
  <c r="X23" i="7"/>
  <c r="Y23" i="7"/>
  <c r="Z23" i="7" s="1"/>
  <c r="AB23" i="7" s="1"/>
  <c r="AA23" i="7"/>
  <c r="P24" i="7"/>
  <c r="X24" i="7"/>
  <c r="Z24" i="7" s="1"/>
  <c r="AB24" i="7" s="1"/>
  <c r="Y24" i="7"/>
  <c r="AA24" i="7"/>
  <c r="P25" i="7"/>
  <c r="X25" i="7"/>
  <c r="Y25" i="7"/>
  <c r="Z25" i="7" s="1"/>
  <c r="AB25" i="7" s="1"/>
  <c r="AA25" i="7"/>
  <c r="P26" i="7"/>
  <c r="X26" i="7"/>
  <c r="Y26" i="7"/>
  <c r="Z26" i="7" s="1"/>
  <c r="AB26" i="7" s="1"/>
  <c r="AA26" i="7"/>
  <c r="P27" i="7"/>
  <c r="X27" i="7"/>
  <c r="Z27" i="7" s="1"/>
  <c r="AB27" i="7" s="1"/>
  <c r="Y27" i="7"/>
  <c r="AA27" i="7"/>
  <c r="P28" i="7"/>
  <c r="X28" i="7"/>
  <c r="Z28" i="7" s="1"/>
  <c r="AB28" i="7" s="1"/>
  <c r="Y28" i="7"/>
  <c r="AA28" i="7"/>
  <c r="P29" i="7"/>
  <c r="X29" i="7"/>
  <c r="Y29" i="7"/>
  <c r="Z29" i="7"/>
  <c r="AB29" i="7" s="1"/>
  <c r="AA29" i="7"/>
  <c r="P30" i="7"/>
  <c r="X30" i="7"/>
  <c r="Y30" i="7"/>
  <c r="Z30" i="7"/>
  <c r="AB30" i="7" s="1"/>
  <c r="AA30" i="7"/>
  <c r="P31" i="7"/>
  <c r="X31" i="7"/>
  <c r="Z31" i="7" s="1"/>
  <c r="AB31" i="7" s="1"/>
  <c r="Y31" i="7"/>
  <c r="AA31" i="7"/>
  <c r="P32" i="7"/>
  <c r="X32" i="7"/>
  <c r="Y32" i="7"/>
  <c r="Z32" i="7" s="1"/>
  <c r="AB32" i="7" s="1"/>
  <c r="AA32" i="7"/>
  <c r="P33" i="7"/>
  <c r="X33" i="7"/>
  <c r="Y33" i="7"/>
  <c r="Z33" i="7"/>
  <c r="AB33" i="7" s="1"/>
  <c r="AA33" i="7"/>
  <c r="P34" i="7"/>
  <c r="X34" i="7"/>
  <c r="Z34" i="7" s="1"/>
  <c r="AB34" i="7" s="1"/>
  <c r="Y34" i="7"/>
  <c r="AA34" i="7"/>
  <c r="P35" i="7"/>
  <c r="X35" i="7"/>
  <c r="Y35" i="7"/>
  <c r="Z35" i="7" s="1"/>
  <c r="AB35" i="7" s="1"/>
  <c r="AA35" i="7"/>
  <c r="P36" i="7"/>
  <c r="X36" i="7"/>
  <c r="Z36" i="7" s="1"/>
  <c r="AB36" i="7" s="1"/>
  <c r="Y36" i="7"/>
  <c r="AA36" i="7"/>
  <c r="P37" i="7"/>
  <c r="X37" i="7"/>
  <c r="Z37" i="7" s="1"/>
  <c r="AB37" i="7" s="1"/>
  <c r="Y37" i="7"/>
  <c r="AA37" i="7"/>
  <c r="P38" i="7"/>
  <c r="X38" i="7"/>
  <c r="Y38" i="7"/>
  <c r="Z38" i="7"/>
  <c r="AB38" i="7" s="1"/>
  <c r="AA38" i="7"/>
  <c r="P39" i="7"/>
  <c r="X39" i="7"/>
  <c r="Z39" i="7" s="1"/>
  <c r="AB39" i="7" s="1"/>
  <c r="Y39" i="7"/>
  <c r="AA39" i="7"/>
  <c r="P40" i="7"/>
  <c r="X40" i="7"/>
  <c r="Z40" i="7" s="1"/>
  <c r="AB40" i="7" s="1"/>
  <c r="Y40" i="7"/>
  <c r="AA40" i="7"/>
  <c r="P41" i="7"/>
  <c r="X41" i="7"/>
  <c r="Y41" i="7"/>
  <c r="Z41" i="7"/>
  <c r="AB41" i="7" s="1"/>
  <c r="AA41" i="7"/>
  <c r="P42" i="7"/>
  <c r="X42" i="7"/>
  <c r="Y42" i="7"/>
  <c r="Z42" i="7"/>
  <c r="AA42" i="7"/>
  <c r="AB42" i="7"/>
  <c r="P43" i="7"/>
  <c r="X43" i="7"/>
  <c r="Z43" i="7" s="1"/>
  <c r="AB43" i="7" s="1"/>
  <c r="Y43" i="7"/>
  <c r="AA43" i="7"/>
  <c r="P44" i="7"/>
  <c r="X44" i="7"/>
  <c r="Y44" i="7"/>
  <c r="Z44" i="7" s="1"/>
  <c r="AB44" i="7" s="1"/>
  <c r="AA44" i="7"/>
  <c r="P45" i="7"/>
  <c r="X45" i="7"/>
  <c r="Y45" i="7"/>
  <c r="Z45" i="7"/>
  <c r="AA45" i="7"/>
  <c r="AB45" i="7" s="1"/>
  <c r="P46" i="7"/>
  <c r="X46" i="7"/>
  <c r="Z46" i="7" s="1"/>
  <c r="AB46" i="7" s="1"/>
  <c r="Y46" i="7"/>
  <c r="AA46" i="7"/>
  <c r="P47" i="7"/>
  <c r="X47" i="7"/>
  <c r="Y47" i="7"/>
  <c r="Z47" i="7" s="1"/>
  <c r="AB47" i="7" s="1"/>
  <c r="AA47" i="7"/>
  <c r="P15" i="6"/>
  <c r="X15" i="6"/>
  <c r="Z15" i="6" s="1"/>
  <c r="AB15" i="6" s="1"/>
  <c r="Y15" i="6"/>
  <c r="AA15" i="6"/>
  <c r="P16" i="6"/>
  <c r="X16" i="6"/>
  <c r="Y16" i="6"/>
  <c r="Z16" i="6"/>
  <c r="AA16" i="6"/>
  <c r="AB16" i="6"/>
  <c r="P17" i="6"/>
  <c r="X17" i="6"/>
  <c r="Y17" i="6"/>
  <c r="Z17" i="6"/>
  <c r="AB17" i="6" s="1"/>
  <c r="AA17" i="6"/>
  <c r="P18" i="6"/>
  <c r="X18" i="6"/>
  <c r="Y18" i="6"/>
  <c r="Z18" i="6"/>
  <c r="AB18" i="6" s="1"/>
  <c r="AA18" i="6"/>
  <c r="P19" i="6"/>
  <c r="X19" i="6"/>
  <c r="Y19" i="6"/>
  <c r="Z19" i="6" s="1"/>
  <c r="AB19" i="6" s="1"/>
  <c r="AA19" i="6"/>
  <c r="P20" i="6"/>
  <c r="X20" i="6"/>
  <c r="Y20" i="6"/>
  <c r="Z20" i="6"/>
  <c r="AA20" i="6"/>
  <c r="AB20" i="6"/>
  <c r="P21" i="6"/>
  <c r="X21" i="6"/>
  <c r="Z21" i="6" s="1"/>
  <c r="AB21" i="6" s="1"/>
  <c r="Y21" i="6"/>
  <c r="AA21" i="6"/>
  <c r="P22" i="6"/>
  <c r="X22" i="6"/>
  <c r="Z22" i="6" s="1"/>
  <c r="AB22" i="6" s="1"/>
  <c r="Y22" i="6"/>
  <c r="AA22" i="6"/>
  <c r="P23" i="6"/>
  <c r="X23" i="6"/>
  <c r="Z23" i="6" s="1"/>
  <c r="AB23" i="6" s="1"/>
  <c r="Y23" i="6"/>
  <c r="AA23" i="6"/>
  <c r="P24" i="6"/>
  <c r="X24" i="6"/>
  <c r="Z24" i="6" s="1"/>
  <c r="AB24" i="6" s="1"/>
  <c r="Y24" i="6"/>
  <c r="AA24" i="6"/>
  <c r="P25" i="6"/>
  <c r="X25" i="6"/>
  <c r="Y25" i="6"/>
  <c r="Z25" i="6"/>
  <c r="AB25" i="6" s="1"/>
  <c r="AA25" i="6"/>
  <c r="P26" i="6"/>
  <c r="X26" i="6"/>
  <c r="Y26" i="6"/>
  <c r="Z26" i="6" s="1"/>
  <c r="AB26" i="6" s="1"/>
  <c r="AA26" i="6"/>
  <c r="P27" i="6"/>
  <c r="X27" i="6"/>
  <c r="Z27" i="6" s="1"/>
  <c r="AB27" i="6" s="1"/>
  <c r="Y27" i="6"/>
  <c r="AA27" i="6"/>
  <c r="P28" i="6"/>
  <c r="X28" i="6"/>
  <c r="Z28" i="6" s="1"/>
  <c r="AB28" i="6" s="1"/>
  <c r="Y28" i="6"/>
  <c r="AA28" i="6"/>
  <c r="P29" i="6"/>
  <c r="X29" i="6"/>
  <c r="Y29" i="6"/>
  <c r="Z29" i="6"/>
  <c r="AB29" i="6" s="1"/>
  <c r="AA29" i="6"/>
  <c r="P30" i="6"/>
  <c r="X30" i="6"/>
  <c r="Y30" i="6"/>
  <c r="Z30" i="6"/>
  <c r="AB30" i="6" s="1"/>
  <c r="AA30" i="6"/>
  <c r="P31" i="6"/>
  <c r="X31" i="6"/>
  <c r="Y31" i="6"/>
  <c r="Z31" i="6"/>
  <c r="AA31" i="6"/>
  <c r="AB31" i="6"/>
  <c r="P32" i="6"/>
  <c r="X32" i="6"/>
  <c r="Z32" i="6" s="1"/>
  <c r="AB32" i="6" s="1"/>
  <c r="Y32" i="6"/>
  <c r="AA32" i="6"/>
  <c r="P33" i="6"/>
  <c r="X33" i="6"/>
  <c r="Y33" i="6"/>
  <c r="Z33" i="6" s="1"/>
  <c r="AB33" i="6" s="1"/>
  <c r="AA33" i="6"/>
  <c r="P34" i="6"/>
  <c r="X34" i="6"/>
  <c r="Y34" i="6"/>
  <c r="Z34" i="6" s="1"/>
  <c r="AB34" i="6" s="1"/>
  <c r="AA34" i="6"/>
  <c r="P35" i="6"/>
  <c r="X35" i="6"/>
  <c r="Z35" i="6" s="1"/>
  <c r="AB35" i="6" s="1"/>
  <c r="Y35" i="6"/>
  <c r="AA35" i="6"/>
  <c r="P36" i="6"/>
  <c r="X36" i="6"/>
  <c r="Y36" i="6"/>
  <c r="Z36" i="6"/>
  <c r="AA36" i="6"/>
  <c r="AB36" i="6" s="1"/>
  <c r="P37" i="6"/>
  <c r="X37" i="6"/>
  <c r="Y37" i="6"/>
  <c r="Z37" i="6"/>
  <c r="AA37" i="6"/>
  <c r="AB37" i="6"/>
  <c r="P38" i="6"/>
  <c r="X38" i="6"/>
  <c r="Y38" i="6"/>
  <c r="Z38" i="6" s="1"/>
  <c r="AB38" i="6" s="1"/>
  <c r="AA38" i="6"/>
  <c r="P39" i="6"/>
  <c r="X39" i="6"/>
  <c r="Z39" i="6" s="1"/>
  <c r="AB39" i="6" s="1"/>
  <c r="Y39" i="6"/>
  <c r="AA39" i="6"/>
  <c r="P40" i="6"/>
  <c r="X40" i="6"/>
  <c r="Z40" i="6" s="1"/>
  <c r="AB40" i="6" s="1"/>
  <c r="Y40" i="6"/>
  <c r="AA40" i="6"/>
  <c r="P41" i="6"/>
  <c r="X41" i="6"/>
  <c r="Y41" i="6"/>
  <c r="Z41" i="6"/>
  <c r="AB41" i="6" s="1"/>
  <c r="AA41" i="6"/>
  <c r="P42" i="6"/>
  <c r="X42" i="6"/>
  <c r="Y42" i="6"/>
  <c r="Z42" i="6"/>
  <c r="AB42" i="6" s="1"/>
  <c r="AA42" i="6"/>
  <c r="P43" i="6"/>
  <c r="X43" i="6"/>
  <c r="Y43" i="6"/>
  <c r="Z43" i="6"/>
  <c r="AA43" i="6"/>
  <c r="AB43" i="6"/>
  <c r="P44" i="6"/>
  <c r="X44" i="6"/>
  <c r="Z44" i="6" s="1"/>
  <c r="AB44" i="6" s="1"/>
  <c r="Y44" i="6"/>
  <c r="AA44" i="6"/>
  <c r="P45" i="6"/>
  <c r="X45" i="6"/>
  <c r="Z45" i="6" s="1"/>
  <c r="AB45" i="6" s="1"/>
  <c r="Y45" i="6"/>
  <c r="AA45" i="6"/>
  <c r="P46" i="6"/>
  <c r="X46" i="6"/>
  <c r="Z46" i="6" s="1"/>
  <c r="AB46" i="6" s="1"/>
  <c r="Y46" i="6"/>
  <c r="AA46" i="6"/>
  <c r="P47" i="6"/>
  <c r="X47" i="6"/>
  <c r="Y47" i="6"/>
  <c r="Z47" i="6" s="1"/>
  <c r="AB47" i="6" s="1"/>
  <c r="AA47" i="6"/>
  <c r="P48" i="6"/>
  <c r="X48" i="6"/>
  <c r="Y48" i="6"/>
  <c r="Z48" i="6"/>
  <c r="AA48" i="6"/>
  <c r="AB48" i="6" s="1"/>
  <c r="P49" i="6"/>
  <c r="X49" i="6"/>
  <c r="Y49" i="6"/>
  <c r="Z49" i="6"/>
  <c r="AA49" i="6"/>
  <c r="AB49" i="6" s="1"/>
  <c r="P50" i="6"/>
  <c r="X50" i="6"/>
  <c r="Z50" i="6" s="1"/>
  <c r="AB50" i="6" s="1"/>
  <c r="Y50" i="6"/>
  <c r="AA50" i="6"/>
  <c r="P51" i="6"/>
  <c r="X51" i="6"/>
  <c r="Z51" i="6" s="1"/>
  <c r="AB51" i="6" s="1"/>
  <c r="Y51" i="6"/>
  <c r="AA51" i="6"/>
  <c r="P52" i="6"/>
  <c r="X52" i="6"/>
  <c r="Z52" i="6" s="1"/>
  <c r="AB52" i="6" s="1"/>
  <c r="Y52" i="6"/>
  <c r="AA52" i="6"/>
  <c r="P53" i="6"/>
  <c r="X53" i="6"/>
  <c r="Y53" i="6"/>
  <c r="Z53" i="6"/>
  <c r="AB53" i="6" s="1"/>
  <c r="AA53" i="6"/>
  <c r="P54" i="6"/>
  <c r="X54" i="6"/>
  <c r="Y54" i="6"/>
  <c r="Z54" i="6"/>
  <c r="AB54" i="6" s="1"/>
  <c r="AA54" i="6"/>
  <c r="P55" i="6"/>
  <c r="X55" i="6"/>
  <c r="Z55" i="6" s="1"/>
  <c r="AB55" i="6" s="1"/>
  <c r="Y55" i="6"/>
  <c r="AA55" i="6"/>
  <c r="P15" i="5"/>
  <c r="X15" i="5"/>
  <c r="Z15" i="5" s="1"/>
  <c r="AB15" i="5" s="1"/>
  <c r="Y15" i="5"/>
  <c r="AA15" i="5"/>
  <c r="P16" i="5"/>
  <c r="X16" i="5"/>
  <c r="Z16" i="5" s="1"/>
  <c r="AB16" i="5" s="1"/>
  <c r="Y16" i="5"/>
  <c r="AA16" i="5"/>
  <c r="P17" i="5"/>
  <c r="X17" i="5"/>
  <c r="Y17" i="5"/>
  <c r="Z17" i="5"/>
  <c r="AB17" i="5" s="1"/>
  <c r="AA17" i="5"/>
  <c r="P18" i="5"/>
  <c r="X18" i="5"/>
  <c r="Y18" i="5"/>
  <c r="Z18" i="5"/>
  <c r="AB18" i="5" s="1"/>
  <c r="AA18" i="5"/>
  <c r="P19" i="5"/>
  <c r="X19" i="5"/>
  <c r="Y19" i="5"/>
  <c r="Z19" i="5"/>
  <c r="AA19" i="5"/>
  <c r="AB19" i="5"/>
  <c r="P20" i="5"/>
  <c r="X20" i="5"/>
  <c r="Z20" i="5" s="1"/>
  <c r="AB20" i="5" s="1"/>
  <c r="Y20" i="5"/>
  <c r="AA20" i="5"/>
  <c r="P21" i="5"/>
  <c r="X21" i="5"/>
  <c r="Y21" i="5"/>
  <c r="Z21" i="5"/>
  <c r="AA21" i="5"/>
  <c r="AB21" i="5"/>
  <c r="P22" i="5"/>
  <c r="X22" i="5"/>
  <c r="Z22" i="5" s="1"/>
  <c r="AB22" i="5" s="1"/>
  <c r="Y22" i="5"/>
  <c r="AA22" i="5"/>
  <c r="P23" i="5"/>
  <c r="X23" i="5"/>
  <c r="Y23" i="5"/>
  <c r="Z23" i="5"/>
  <c r="AA23" i="5"/>
  <c r="AB23" i="5"/>
  <c r="P24" i="5"/>
  <c r="X24" i="5"/>
  <c r="Y24" i="5"/>
  <c r="Z24" i="5"/>
  <c r="AB24" i="5" s="1"/>
  <c r="AA24" i="5"/>
  <c r="P25" i="5"/>
  <c r="X25" i="5"/>
  <c r="Y25" i="5"/>
  <c r="Z25" i="5"/>
  <c r="AA25" i="5"/>
  <c r="AB25" i="5"/>
  <c r="P26" i="5"/>
  <c r="X26" i="5"/>
  <c r="Y26" i="5"/>
  <c r="Z26" i="5"/>
  <c r="AA26" i="5"/>
  <c r="AB26" i="5"/>
  <c r="P27" i="5"/>
  <c r="X27" i="5"/>
  <c r="Z27" i="5" s="1"/>
  <c r="AB27" i="5" s="1"/>
  <c r="Y27" i="5"/>
  <c r="AA27" i="5"/>
  <c r="P28" i="5"/>
  <c r="X28" i="5"/>
  <c r="Y28" i="5"/>
  <c r="Z28" i="5"/>
  <c r="AA28" i="5"/>
  <c r="AB28" i="5"/>
  <c r="P29" i="5"/>
  <c r="X29" i="5"/>
  <c r="Y29" i="5"/>
  <c r="Z29" i="5"/>
  <c r="AB29" i="5" s="1"/>
  <c r="AA29" i="5"/>
  <c r="P30" i="5"/>
  <c r="X30" i="5"/>
  <c r="Y30" i="5"/>
  <c r="Z30" i="5"/>
  <c r="AA30" i="5"/>
  <c r="AB30" i="5"/>
  <c r="P31" i="5"/>
  <c r="X31" i="5"/>
  <c r="Y31" i="5"/>
  <c r="Z31" i="5"/>
  <c r="AA31" i="5"/>
  <c r="AB31" i="5"/>
  <c r="P32" i="5"/>
  <c r="X32" i="5"/>
  <c r="Z32" i="5" s="1"/>
  <c r="AB32" i="5" s="1"/>
  <c r="Y32" i="5"/>
  <c r="AA32" i="5"/>
  <c r="P33" i="5"/>
  <c r="X33" i="5"/>
  <c r="Y33" i="5"/>
  <c r="Z33" i="5"/>
  <c r="AA33" i="5"/>
  <c r="AB33" i="5"/>
  <c r="P34" i="5"/>
  <c r="X34" i="5"/>
  <c r="Z34" i="5" s="1"/>
  <c r="AB34" i="5" s="1"/>
  <c r="Y34" i="5"/>
  <c r="AA34" i="5"/>
  <c r="P15" i="4"/>
  <c r="X15" i="4"/>
  <c r="Z15" i="4" s="1"/>
  <c r="AB15" i="4" s="1"/>
  <c r="Y15" i="4"/>
  <c r="AA15" i="4"/>
  <c r="P16" i="4"/>
  <c r="X16" i="4"/>
  <c r="Y16" i="4"/>
  <c r="Z16" i="4"/>
  <c r="AA16" i="4"/>
  <c r="AB16" i="4"/>
  <c r="P17" i="4"/>
  <c r="X17" i="4"/>
  <c r="Z17" i="4" s="1"/>
  <c r="AB17" i="4" s="1"/>
  <c r="Y17" i="4"/>
  <c r="AA17" i="4"/>
  <c r="P18" i="4"/>
  <c r="X18" i="4"/>
  <c r="Y18" i="4"/>
  <c r="Z18" i="4"/>
  <c r="AA18" i="4"/>
  <c r="AB18" i="4"/>
  <c r="P19" i="4"/>
  <c r="X19" i="4"/>
  <c r="Y19" i="4"/>
  <c r="Z19" i="4"/>
  <c r="AB19" i="4" s="1"/>
  <c r="AA19" i="4"/>
  <c r="P20" i="4"/>
  <c r="X20" i="4"/>
  <c r="Y20" i="4"/>
  <c r="Z20" i="4" s="1"/>
  <c r="AB20" i="4" s="1"/>
  <c r="AA20" i="4"/>
  <c r="P21" i="4"/>
  <c r="X21" i="4"/>
  <c r="Y21" i="4"/>
  <c r="Z21" i="4"/>
  <c r="AA21" i="4"/>
  <c r="AB21" i="4"/>
  <c r="P22" i="4"/>
  <c r="X22" i="4"/>
  <c r="Z22" i="4" s="1"/>
  <c r="AB22" i="4" s="1"/>
  <c r="Y22" i="4"/>
  <c r="AA22" i="4"/>
  <c r="P23" i="4"/>
  <c r="X23" i="4"/>
  <c r="Y23" i="4"/>
  <c r="Z23" i="4"/>
  <c r="AA23" i="4"/>
  <c r="AB23" i="4"/>
  <c r="P24" i="4"/>
  <c r="X24" i="4"/>
  <c r="Y24" i="4"/>
  <c r="Z24" i="4"/>
  <c r="AB24" i="4" s="1"/>
  <c r="AA24" i="4"/>
  <c r="P25" i="4"/>
  <c r="X25" i="4"/>
  <c r="Y25" i="4"/>
  <c r="Z25" i="4"/>
  <c r="AA25" i="4"/>
  <c r="AB25" i="4"/>
  <c r="P26" i="4"/>
  <c r="X26" i="4"/>
  <c r="Y26" i="4"/>
  <c r="Z26" i="4"/>
  <c r="AA26" i="4"/>
  <c r="AB26" i="4"/>
  <c r="P27" i="4"/>
  <c r="X27" i="4"/>
  <c r="Z27" i="4" s="1"/>
  <c r="AB27" i="4" s="1"/>
  <c r="Y27" i="4"/>
  <c r="AA27" i="4"/>
  <c r="P28" i="4"/>
  <c r="X28" i="4"/>
  <c r="Y28" i="4"/>
  <c r="Z28" i="4"/>
  <c r="AA28" i="4"/>
  <c r="AB28" i="4"/>
  <c r="P29" i="4"/>
  <c r="X29" i="4"/>
  <c r="Z29" i="4" s="1"/>
  <c r="AB29" i="4" s="1"/>
  <c r="Y29" i="4"/>
  <c r="AA29" i="4"/>
  <c r="P30" i="4"/>
  <c r="X30" i="4"/>
  <c r="Y30" i="4"/>
  <c r="Z30" i="4"/>
  <c r="AA30" i="4"/>
  <c r="AB30" i="4"/>
  <c r="P31" i="4"/>
  <c r="X31" i="4"/>
  <c r="Y31" i="4"/>
  <c r="Z31" i="4"/>
  <c r="AB31" i="4" s="1"/>
  <c r="AA31" i="4"/>
  <c r="P15" i="3"/>
  <c r="X15" i="3"/>
  <c r="Z15" i="3" s="1"/>
  <c r="AB15" i="3" s="1"/>
  <c r="Y15" i="3"/>
  <c r="AA15" i="3"/>
  <c r="P16" i="3"/>
  <c r="X16" i="3"/>
  <c r="Y16" i="3"/>
  <c r="Z16" i="3"/>
  <c r="AB16" i="3" s="1"/>
  <c r="AA16" i="3"/>
  <c r="P17" i="3"/>
  <c r="X17" i="3"/>
  <c r="Y17" i="3"/>
  <c r="Z17" i="3" s="1"/>
  <c r="AB17" i="3" s="1"/>
  <c r="AA17" i="3"/>
  <c r="P18" i="3"/>
  <c r="X18" i="3"/>
  <c r="Y18" i="3"/>
  <c r="Z18" i="3" s="1"/>
  <c r="AB18" i="3" s="1"/>
  <c r="AA18" i="3"/>
  <c r="P19" i="3"/>
  <c r="X19" i="3"/>
  <c r="Y19" i="3"/>
  <c r="Z19" i="3"/>
  <c r="AA19" i="3"/>
  <c r="AB19" i="3"/>
  <c r="P20" i="3"/>
  <c r="X20" i="3"/>
  <c r="Y20" i="3"/>
  <c r="Z20" i="3"/>
  <c r="AA20" i="3"/>
  <c r="AB20" i="3"/>
  <c r="P21" i="3"/>
  <c r="X21" i="3"/>
  <c r="Z21" i="3" s="1"/>
  <c r="AB21" i="3" s="1"/>
  <c r="Y21" i="3"/>
  <c r="AA21" i="3"/>
  <c r="P22" i="3"/>
  <c r="X22" i="3"/>
  <c r="Z22" i="3" s="1"/>
  <c r="AB22" i="3" s="1"/>
  <c r="Y22" i="3"/>
  <c r="AA22" i="3"/>
  <c r="P23" i="3"/>
  <c r="X23" i="3"/>
  <c r="Y23" i="3"/>
  <c r="Z23" i="3"/>
  <c r="AB23" i="3" s="1"/>
  <c r="AA23" i="3"/>
  <c r="P24" i="3"/>
  <c r="X24" i="3"/>
  <c r="Y24" i="3"/>
  <c r="Z24" i="3"/>
  <c r="AB24" i="3" s="1"/>
  <c r="AA24" i="3"/>
  <c r="P25" i="3"/>
  <c r="X25" i="3"/>
  <c r="Y25" i="3"/>
  <c r="Z25" i="3"/>
  <c r="AA25" i="3"/>
  <c r="AB25" i="3"/>
  <c r="P26" i="3"/>
  <c r="X26" i="3"/>
  <c r="Z26" i="3" s="1"/>
  <c r="AB26" i="3" s="1"/>
  <c r="Y26" i="3"/>
  <c r="AA26" i="3"/>
  <c r="P27" i="3"/>
  <c r="X27" i="3"/>
  <c r="Z27" i="3" s="1"/>
  <c r="AB27" i="3" s="1"/>
  <c r="Y27" i="3"/>
  <c r="AA27" i="3"/>
  <c r="P28" i="3"/>
  <c r="X28" i="3"/>
  <c r="Z28" i="3" s="1"/>
  <c r="AB28" i="3" s="1"/>
  <c r="Y28" i="3"/>
  <c r="AA28" i="3"/>
  <c r="P29" i="3"/>
  <c r="X29" i="3"/>
  <c r="Y29" i="3"/>
  <c r="Z29" i="3"/>
  <c r="AB29" i="3" s="1"/>
  <c r="AA29" i="3"/>
  <c r="P30" i="3"/>
  <c r="X30" i="3"/>
  <c r="Y30" i="3"/>
  <c r="Z30" i="3"/>
  <c r="AB30" i="3" s="1"/>
  <c r="AA30" i="3"/>
  <c r="P31" i="3"/>
  <c r="X31" i="3"/>
  <c r="Y31" i="3"/>
  <c r="Z31" i="3"/>
  <c r="AA31" i="3"/>
  <c r="AB31" i="3"/>
  <c r="P32" i="3"/>
  <c r="X32" i="3"/>
  <c r="Y32" i="3"/>
  <c r="Z32" i="3"/>
  <c r="AA32" i="3"/>
  <c r="AB32" i="3"/>
  <c r="P33" i="3"/>
  <c r="X33" i="3"/>
  <c r="Z33" i="3" s="1"/>
  <c r="AB33" i="3" s="1"/>
  <c r="Y33" i="3"/>
  <c r="AA33" i="3"/>
  <c r="P34" i="3"/>
  <c r="X34" i="3"/>
  <c r="Z34" i="3" s="1"/>
  <c r="AB34" i="3" s="1"/>
  <c r="Y34" i="3"/>
  <c r="AA34" i="3"/>
  <c r="P35" i="3"/>
  <c r="X35" i="3"/>
  <c r="Y35" i="3"/>
  <c r="Z35" i="3"/>
  <c r="AB35" i="3" s="1"/>
  <c r="AA35" i="3"/>
  <c r="P36" i="3"/>
  <c r="X36" i="3"/>
  <c r="Y36" i="3"/>
  <c r="Z36" i="3"/>
  <c r="AA36" i="3"/>
  <c r="AB36" i="3" s="1"/>
  <c r="P37" i="3"/>
  <c r="X37" i="3"/>
  <c r="Y37" i="3"/>
  <c r="Z37" i="3"/>
  <c r="AA37" i="3"/>
  <c r="AB37" i="3"/>
  <c r="P38" i="3"/>
  <c r="X38" i="3"/>
  <c r="Z38" i="3" s="1"/>
  <c r="AB38" i="3" s="1"/>
  <c r="Y38" i="3"/>
  <c r="AA38" i="3"/>
  <c r="P39" i="3"/>
  <c r="X39" i="3"/>
  <c r="Z39" i="3" s="1"/>
  <c r="AB39" i="3" s="1"/>
  <c r="Y39" i="3"/>
  <c r="AA39" i="3"/>
  <c r="P40" i="3"/>
  <c r="X40" i="3"/>
  <c r="Z40" i="3" s="1"/>
  <c r="AB40" i="3" s="1"/>
  <c r="Y40" i="3"/>
  <c r="AA40" i="3"/>
  <c r="P41" i="3"/>
  <c r="X41" i="3"/>
  <c r="Y41" i="3"/>
  <c r="Z41" i="3"/>
  <c r="AB41" i="3" s="1"/>
  <c r="AA41" i="3"/>
  <c r="AA14" i="9"/>
  <c r="Y14" i="9"/>
  <c r="X14" i="9"/>
  <c r="Z14" i="9" s="1"/>
  <c r="AB14" i="9" s="1"/>
  <c r="P14" i="9"/>
  <c r="AB13" i="9"/>
  <c r="AA13" i="9"/>
  <c r="Z13" i="9"/>
  <c r="Y13" i="9"/>
  <c r="X13" i="9"/>
  <c r="P13" i="9"/>
  <c r="AA12" i="9"/>
  <c r="Y12" i="9"/>
  <c r="X12" i="9"/>
  <c r="Z12" i="9" s="1"/>
  <c r="AB12" i="9" s="1"/>
  <c r="P12" i="9"/>
  <c r="AA11" i="9"/>
  <c r="Y11" i="9"/>
  <c r="X11" i="9"/>
  <c r="Z11" i="9" s="1"/>
  <c r="AB11" i="9" s="1"/>
  <c r="P11" i="9"/>
  <c r="AB10" i="9"/>
  <c r="AA10" i="9"/>
  <c r="Z10" i="9"/>
  <c r="Y10" i="9"/>
  <c r="X10" i="9"/>
  <c r="P10" i="9"/>
  <c r="AA9" i="9"/>
  <c r="Y9" i="9"/>
  <c r="X9" i="9"/>
  <c r="Z9" i="9" s="1"/>
  <c r="AB9" i="9" s="1"/>
  <c r="P9" i="9"/>
  <c r="AA8" i="9"/>
  <c r="Z8" i="9"/>
  <c r="AB8" i="9" s="1"/>
  <c r="Y8" i="9"/>
  <c r="X8" i="9"/>
  <c r="P8" i="9"/>
  <c r="AA7" i="9"/>
  <c r="Y7" i="9"/>
  <c r="X7" i="9"/>
  <c r="Z7" i="9" s="1"/>
  <c r="AB7" i="9" s="1"/>
  <c r="P7" i="9"/>
  <c r="AA6" i="9"/>
  <c r="Y6" i="9"/>
  <c r="X6" i="9"/>
  <c r="Z6" i="9" s="1"/>
  <c r="AB6" i="9" s="1"/>
  <c r="P6" i="9"/>
  <c r="AA5" i="9"/>
  <c r="Y5" i="9"/>
  <c r="X5" i="9"/>
  <c r="Z5" i="9" s="1"/>
  <c r="AB5" i="9" s="1"/>
  <c r="P5" i="9"/>
  <c r="AA4" i="9"/>
  <c r="Y4" i="9"/>
  <c r="Z4" i="9" s="1"/>
  <c r="AB4" i="9" s="1"/>
  <c r="X4" i="9"/>
  <c r="P4" i="9"/>
  <c r="AA3" i="9"/>
  <c r="Z3" i="9"/>
  <c r="AB3" i="9" s="1"/>
  <c r="Y3" i="9"/>
  <c r="X3" i="9"/>
  <c r="P3" i="9"/>
  <c r="AA2" i="9"/>
  <c r="Y2" i="9"/>
  <c r="X2" i="9"/>
  <c r="Z2" i="9" s="1"/>
  <c r="AB2" i="9" s="1"/>
  <c r="P2" i="9"/>
  <c r="AA14" i="8"/>
  <c r="Z14" i="8"/>
  <c r="AB14" i="8" s="1"/>
  <c r="Y14" i="8"/>
  <c r="X14" i="8"/>
  <c r="P14" i="8"/>
  <c r="AA13" i="8"/>
  <c r="Y13" i="8"/>
  <c r="X13" i="8"/>
  <c r="Z13" i="8" s="1"/>
  <c r="AB13" i="8" s="1"/>
  <c r="P13" i="8"/>
  <c r="AA12" i="8"/>
  <c r="Y12" i="8"/>
  <c r="X12" i="8"/>
  <c r="Z12" i="8" s="1"/>
  <c r="AB12" i="8" s="1"/>
  <c r="P12" i="8"/>
  <c r="AA11" i="8"/>
  <c r="Y11" i="8"/>
  <c r="X11" i="8"/>
  <c r="Z11" i="8" s="1"/>
  <c r="AB11" i="8" s="1"/>
  <c r="P11" i="8"/>
  <c r="AA10" i="8"/>
  <c r="Z10" i="8"/>
  <c r="AB10" i="8" s="1"/>
  <c r="Y10" i="8"/>
  <c r="X10" i="8"/>
  <c r="P10" i="8"/>
  <c r="AA9" i="8"/>
  <c r="Y9" i="8"/>
  <c r="X9" i="8"/>
  <c r="Z9" i="8" s="1"/>
  <c r="AB9" i="8" s="1"/>
  <c r="P9" i="8"/>
  <c r="AA8" i="8"/>
  <c r="Y8" i="8"/>
  <c r="X8" i="8"/>
  <c r="Z8" i="8" s="1"/>
  <c r="AB8" i="8" s="1"/>
  <c r="P8" i="8"/>
  <c r="AA7" i="8"/>
  <c r="Y7" i="8"/>
  <c r="X7" i="8"/>
  <c r="Z7" i="8" s="1"/>
  <c r="AB7" i="8" s="1"/>
  <c r="P7" i="8"/>
  <c r="AA6" i="8"/>
  <c r="Y6" i="8"/>
  <c r="X6" i="8"/>
  <c r="Z6" i="8" s="1"/>
  <c r="AB6" i="8" s="1"/>
  <c r="P6" i="8"/>
  <c r="AA5" i="8"/>
  <c r="Y5" i="8"/>
  <c r="X5" i="8"/>
  <c r="Z5" i="8" s="1"/>
  <c r="AB5" i="8" s="1"/>
  <c r="P5" i="8"/>
  <c r="AA4" i="8"/>
  <c r="Y4" i="8"/>
  <c r="X4" i="8"/>
  <c r="Z4" i="8" s="1"/>
  <c r="AB4" i="8" s="1"/>
  <c r="P4" i="8"/>
  <c r="AA3" i="8"/>
  <c r="Z3" i="8"/>
  <c r="AB3" i="8" s="1"/>
  <c r="Y3" i="8"/>
  <c r="X3" i="8"/>
  <c r="P3" i="8"/>
  <c r="AA2" i="8"/>
  <c r="Y2" i="8"/>
  <c r="X2" i="8"/>
  <c r="Z2" i="8" s="1"/>
  <c r="AB2" i="8" s="1"/>
  <c r="P2" i="8"/>
  <c r="AA14" i="7"/>
  <c r="Y14" i="7"/>
  <c r="X14" i="7"/>
  <c r="Z14" i="7" s="1"/>
  <c r="AB14" i="7" s="1"/>
  <c r="P14" i="7"/>
  <c r="AA13" i="7"/>
  <c r="Y13" i="7"/>
  <c r="X13" i="7"/>
  <c r="Z13" i="7" s="1"/>
  <c r="AB13" i="7" s="1"/>
  <c r="P13" i="7"/>
  <c r="AA12" i="7"/>
  <c r="Y12" i="7"/>
  <c r="X12" i="7"/>
  <c r="Z12" i="7" s="1"/>
  <c r="AB12" i="7" s="1"/>
  <c r="P12" i="7"/>
  <c r="AA11" i="7"/>
  <c r="Z11" i="7"/>
  <c r="AB11" i="7" s="1"/>
  <c r="Y11" i="7"/>
  <c r="X11" i="7"/>
  <c r="P11" i="7"/>
  <c r="AA10" i="7"/>
  <c r="Z10" i="7"/>
  <c r="AB10" i="7" s="1"/>
  <c r="Y10" i="7"/>
  <c r="X10" i="7"/>
  <c r="P10" i="7"/>
  <c r="AA9" i="7"/>
  <c r="Y9" i="7"/>
  <c r="X9" i="7"/>
  <c r="Z9" i="7" s="1"/>
  <c r="AB9" i="7" s="1"/>
  <c r="P9" i="7"/>
  <c r="AA8" i="7"/>
  <c r="Y8" i="7"/>
  <c r="X8" i="7"/>
  <c r="Z8" i="7" s="1"/>
  <c r="AB8" i="7" s="1"/>
  <c r="P8" i="7"/>
  <c r="AA7" i="7"/>
  <c r="Y7" i="7"/>
  <c r="X7" i="7"/>
  <c r="Z7" i="7" s="1"/>
  <c r="AB7" i="7" s="1"/>
  <c r="P7" i="7"/>
  <c r="AA6" i="7"/>
  <c r="Y6" i="7"/>
  <c r="X6" i="7"/>
  <c r="Z6" i="7" s="1"/>
  <c r="AB6" i="7" s="1"/>
  <c r="P6" i="7"/>
  <c r="AA5" i="7"/>
  <c r="Y5" i="7"/>
  <c r="X5" i="7"/>
  <c r="Z5" i="7" s="1"/>
  <c r="AB5" i="7" s="1"/>
  <c r="P5" i="7"/>
  <c r="AA4" i="7"/>
  <c r="Y4" i="7"/>
  <c r="Z4" i="7" s="1"/>
  <c r="AB4" i="7" s="1"/>
  <c r="X4" i="7"/>
  <c r="P4" i="7"/>
  <c r="AA3" i="7"/>
  <c r="Z3" i="7"/>
  <c r="AB3" i="7" s="1"/>
  <c r="Y3" i="7"/>
  <c r="X3" i="7"/>
  <c r="P3" i="7"/>
  <c r="AA2" i="7"/>
  <c r="Y2" i="7"/>
  <c r="X2" i="7"/>
  <c r="Z2" i="7" s="1"/>
  <c r="AB2" i="7" s="1"/>
  <c r="P2" i="7"/>
  <c r="AA14" i="6"/>
  <c r="Z14" i="6"/>
  <c r="AB14" i="6" s="1"/>
  <c r="Y14" i="6"/>
  <c r="X14" i="6"/>
  <c r="P14" i="6"/>
  <c r="AA13" i="6"/>
  <c r="Y13" i="6"/>
  <c r="X13" i="6"/>
  <c r="Z13" i="6" s="1"/>
  <c r="AB13" i="6" s="1"/>
  <c r="P13" i="6"/>
  <c r="AA12" i="6"/>
  <c r="Y12" i="6"/>
  <c r="X12" i="6"/>
  <c r="Z12" i="6" s="1"/>
  <c r="AB12" i="6" s="1"/>
  <c r="P12" i="6"/>
  <c r="AA11" i="6"/>
  <c r="Y11" i="6"/>
  <c r="X11" i="6"/>
  <c r="Z11" i="6" s="1"/>
  <c r="AB11" i="6" s="1"/>
  <c r="P11" i="6"/>
  <c r="AA10" i="6"/>
  <c r="Z10" i="6"/>
  <c r="AB10" i="6" s="1"/>
  <c r="Y10" i="6"/>
  <c r="X10" i="6"/>
  <c r="P10" i="6"/>
  <c r="AA9" i="6"/>
  <c r="Y9" i="6"/>
  <c r="Z9" i="6" s="1"/>
  <c r="AB9" i="6" s="1"/>
  <c r="X9" i="6"/>
  <c r="P9" i="6"/>
  <c r="AA8" i="6"/>
  <c r="Y8" i="6"/>
  <c r="X8" i="6"/>
  <c r="Z8" i="6" s="1"/>
  <c r="AB8" i="6" s="1"/>
  <c r="P8" i="6"/>
  <c r="AA7" i="6"/>
  <c r="Y7" i="6"/>
  <c r="X7" i="6"/>
  <c r="Z7" i="6" s="1"/>
  <c r="AB7" i="6" s="1"/>
  <c r="P7" i="6"/>
  <c r="AA6" i="6"/>
  <c r="Y6" i="6"/>
  <c r="X6" i="6"/>
  <c r="Z6" i="6" s="1"/>
  <c r="AB6" i="6" s="1"/>
  <c r="P6" i="6"/>
  <c r="AA5" i="6"/>
  <c r="Y5" i="6"/>
  <c r="X5" i="6"/>
  <c r="Z5" i="6" s="1"/>
  <c r="AB5" i="6" s="1"/>
  <c r="P5" i="6"/>
  <c r="AA4" i="6"/>
  <c r="Y4" i="6"/>
  <c r="X4" i="6"/>
  <c r="Z4" i="6" s="1"/>
  <c r="AB4" i="6" s="1"/>
  <c r="P4" i="6"/>
  <c r="AA3" i="6"/>
  <c r="Z3" i="6"/>
  <c r="AB3" i="6" s="1"/>
  <c r="Y3" i="6"/>
  <c r="X3" i="6"/>
  <c r="P3" i="6"/>
  <c r="AA2" i="6"/>
  <c r="Y2" i="6"/>
  <c r="Z2" i="6" s="1"/>
  <c r="AB2" i="6" s="1"/>
  <c r="X2" i="6"/>
  <c r="P2" i="6"/>
  <c r="AA14" i="5"/>
  <c r="Z14" i="5"/>
  <c r="AB14" i="5" s="1"/>
  <c r="Y14" i="5"/>
  <c r="X14" i="5"/>
  <c r="P14" i="5"/>
  <c r="AA13" i="5"/>
  <c r="Y13" i="5"/>
  <c r="X13" i="5"/>
  <c r="Z13" i="5" s="1"/>
  <c r="AB13" i="5" s="1"/>
  <c r="P13" i="5"/>
  <c r="AA12" i="5"/>
  <c r="Y12" i="5"/>
  <c r="X12" i="5"/>
  <c r="Z12" i="5" s="1"/>
  <c r="AB12" i="5" s="1"/>
  <c r="P12" i="5"/>
  <c r="AA11" i="5"/>
  <c r="Y11" i="5"/>
  <c r="X11" i="5"/>
  <c r="Z11" i="5" s="1"/>
  <c r="AB11" i="5" s="1"/>
  <c r="P11" i="5"/>
  <c r="AA10" i="5"/>
  <c r="Z10" i="5"/>
  <c r="AB10" i="5" s="1"/>
  <c r="Y10" i="5"/>
  <c r="X10" i="5"/>
  <c r="P10" i="5"/>
  <c r="AA9" i="5"/>
  <c r="Y9" i="5"/>
  <c r="X9" i="5"/>
  <c r="Z9" i="5" s="1"/>
  <c r="AB9" i="5" s="1"/>
  <c r="P9" i="5"/>
  <c r="AA8" i="5"/>
  <c r="Y8" i="5"/>
  <c r="X8" i="5"/>
  <c r="Z8" i="5" s="1"/>
  <c r="AB8" i="5" s="1"/>
  <c r="P8" i="5"/>
  <c r="AA7" i="5"/>
  <c r="Y7" i="5"/>
  <c r="X7" i="5"/>
  <c r="Z7" i="5" s="1"/>
  <c r="AB7" i="5" s="1"/>
  <c r="P7" i="5"/>
  <c r="AA6" i="5"/>
  <c r="Y6" i="5"/>
  <c r="X6" i="5"/>
  <c r="Z6" i="5" s="1"/>
  <c r="AB6" i="5" s="1"/>
  <c r="P6" i="5"/>
  <c r="AA5" i="5"/>
  <c r="Y5" i="5"/>
  <c r="X5" i="5"/>
  <c r="Z5" i="5" s="1"/>
  <c r="AB5" i="5" s="1"/>
  <c r="P5" i="5"/>
  <c r="AA4" i="5"/>
  <c r="Y4" i="5"/>
  <c r="X4" i="5"/>
  <c r="Z4" i="5" s="1"/>
  <c r="AB4" i="5" s="1"/>
  <c r="P4" i="5"/>
  <c r="AA3" i="5"/>
  <c r="Z3" i="5"/>
  <c r="AB3" i="5" s="1"/>
  <c r="Y3" i="5"/>
  <c r="X3" i="5"/>
  <c r="P3" i="5"/>
  <c r="AA2" i="5"/>
  <c r="Y2" i="5"/>
  <c r="X2" i="5"/>
  <c r="Z2" i="5" s="1"/>
  <c r="AB2" i="5" s="1"/>
  <c r="P2" i="5"/>
  <c r="AA14" i="4"/>
  <c r="Y14" i="4"/>
  <c r="X14" i="4"/>
  <c r="Z14" i="4" s="1"/>
  <c r="AB14" i="4" s="1"/>
  <c r="P14" i="4"/>
  <c r="AA13" i="4"/>
  <c r="Y13" i="4"/>
  <c r="X13" i="4"/>
  <c r="Z13" i="4" s="1"/>
  <c r="AB13" i="4" s="1"/>
  <c r="P13" i="4"/>
  <c r="AA12" i="4"/>
  <c r="Y12" i="4"/>
  <c r="X12" i="4"/>
  <c r="Z12" i="4" s="1"/>
  <c r="AB12" i="4" s="1"/>
  <c r="P12" i="4"/>
  <c r="AA11" i="4"/>
  <c r="Y11" i="4"/>
  <c r="X11" i="4"/>
  <c r="Z11" i="4" s="1"/>
  <c r="AB11" i="4" s="1"/>
  <c r="P11" i="4"/>
  <c r="AA10" i="4"/>
  <c r="Z10" i="4"/>
  <c r="AB10" i="4" s="1"/>
  <c r="Y10" i="4"/>
  <c r="X10" i="4"/>
  <c r="P10" i="4"/>
  <c r="AA9" i="4"/>
  <c r="Y9" i="4"/>
  <c r="X9" i="4"/>
  <c r="Z9" i="4" s="1"/>
  <c r="AB9" i="4" s="1"/>
  <c r="P9" i="4"/>
  <c r="AA8" i="4"/>
  <c r="Y8" i="4"/>
  <c r="X8" i="4"/>
  <c r="Z8" i="4" s="1"/>
  <c r="AB8" i="4" s="1"/>
  <c r="P8" i="4"/>
  <c r="AA7" i="4"/>
  <c r="Y7" i="4"/>
  <c r="X7" i="4"/>
  <c r="Z7" i="4" s="1"/>
  <c r="AB7" i="4" s="1"/>
  <c r="P7" i="4"/>
  <c r="AA6" i="4"/>
  <c r="Y6" i="4"/>
  <c r="X6" i="4"/>
  <c r="Z6" i="4" s="1"/>
  <c r="AB6" i="4" s="1"/>
  <c r="P6" i="4"/>
  <c r="AA5" i="4"/>
  <c r="Y5" i="4"/>
  <c r="X5" i="4"/>
  <c r="Z5" i="4" s="1"/>
  <c r="AB5" i="4" s="1"/>
  <c r="P5" i="4"/>
  <c r="AA4" i="4"/>
  <c r="Y4" i="4"/>
  <c r="X4" i="4"/>
  <c r="Z4" i="4" s="1"/>
  <c r="AB4" i="4" s="1"/>
  <c r="P4" i="4"/>
  <c r="AA3" i="4"/>
  <c r="Z3" i="4"/>
  <c r="AB3" i="4" s="1"/>
  <c r="Y3" i="4"/>
  <c r="X3" i="4"/>
  <c r="P3" i="4"/>
  <c r="AA2" i="4"/>
  <c r="Y2" i="4"/>
  <c r="X2" i="4"/>
  <c r="Z2" i="4" s="1"/>
  <c r="AB2" i="4" s="1"/>
  <c r="P2" i="4"/>
  <c r="AA14" i="3"/>
  <c r="Y14" i="3"/>
  <c r="X14" i="3"/>
  <c r="Z14" i="3" s="1"/>
  <c r="AB14" i="3" s="1"/>
  <c r="P14" i="3"/>
  <c r="AA13" i="3"/>
  <c r="Y13" i="3"/>
  <c r="X13" i="3"/>
  <c r="Z13" i="3" s="1"/>
  <c r="AB13" i="3" s="1"/>
  <c r="P13" i="3"/>
  <c r="AA12" i="3"/>
  <c r="Y12" i="3"/>
  <c r="X12" i="3"/>
  <c r="Z12" i="3" s="1"/>
  <c r="AB12" i="3" s="1"/>
  <c r="P12" i="3"/>
  <c r="AA11" i="3"/>
  <c r="Y11" i="3"/>
  <c r="X11" i="3"/>
  <c r="Z11" i="3" s="1"/>
  <c r="AB11" i="3" s="1"/>
  <c r="P11" i="3"/>
  <c r="AA10" i="3"/>
  <c r="Y10" i="3"/>
  <c r="X10" i="3"/>
  <c r="Z10" i="3" s="1"/>
  <c r="AB10" i="3" s="1"/>
  <c r="P10" i="3"/>
  <c r="AA9" i="3"/>
  <c r="Z9" i="3"/>
  <c r="AB9" i="3" s="1"/>
  <c r="Y9" i="3"/>
  <c r="X9" i="3"/>
  <c r="P9" i="3"/>
  <c r="AA8" i="3"/>
  <c r="Z8" i="3"/>
  <c r="AB8" i="3" s="1"/>
  <c r="Y8" i="3"/>
  <c r="X8" i="3"/>
  <c r="P8" i="3"/>
  <c r="AA7" i="3"/>
  <c r="Y7" i="3"/>
  <c r="X7" i="3"/>
  <c r="Z7" i="3" s="1"/>
  <c r="AB7" i="3" s="1"/>
  <c r="P7" i="3"/>
  <c r="AA6" i="3"/>
  <c r="Y6" i="3"/>
  <c r="X6" i="3"/>
  <c r="Z6" i="3" s="1"/>
  <c r="AB6" i="3" s="1"/>
  <c r="P6" i="3"/>
  <c r="AA5" i="3"/>
  <c r="Z5" i="3"/>
  <c r="AB5" i="3" s="1"/>
  <c r="Y5" i="3"/>
  <c r="X5" i="3"/>
  <c r="P5" i="3"/>
  <c r="AA4" i="3"/>
  <c r="Y4" i="3"/>
  <c r="X4" i="3"/>
  <c r="Z4" i="3" s="1"/>
  <c r="AB4" i="3" s="1"/>
  <c r="P4" i="3"/>
  <c r="AA3" i="3"/>
  <c r="Y3" i="3"/>
  <c r="Z3" i="3" s="1"/>
  <c r="AB3" i="3" s="1"/>
  <c r="X3" i="3"/>
  <c r="P3" i="3"/>
  <c r="AA2" i="3"/>
  <c r="Z2" i="3"/>
  <c r="AB2" i="3" s="1"/>
  <c r="Y2" i="3"/>
  <c r="X2" i="3"/>
  <c r="P2" i="3"/>
  <c r="T21" i="9" a="1"/>
  <c r="Q22" i="9" a="1"/>
  <c r="U23" i="9" a="1"/>
  <c r="R24" i="9" a="1"/>
  <c r="T33" i="9" a="1"/>
  <c r="Q34" i="9" a="1"/>
  <c r="U35" i="9" a="1"/>
  <c r="R36" i="9" a="1"/>
  <c r="R29" i="9" a="1"/>
  <c r="T38" i="9" a="1"/>
  <c r="R34" i="9" a="1"/>
  <c r="Q37" i="9" a="1"/>
  <c r="R25" i="9" a="1"/>
  <c r="T34" i="9" a="1"/>
  <c r="Q15" i="9" a="1"/>
  <c r="U16" i="9" a="1"/>
  <c r="R17" i="9" a="1"/>
  <c r="T26" i="9" a="1"/>
  <c r="Q27" i="9" a="1"/>
  <c r="U28" i="9" a="1"/>
  <c r="Q39" i="9" a="1"/>
  <c r="U40" i="9" a="1"/>
  <c r="R41" i="9" a="1"/>
  <c r="T19" i="9" a="1"/>
  <c r="Q20" i="9" a="1"/>
  <c r="U21" i="9" a="1"/>
  <c r="R22" i="9" a="1"/>
  <c r="T31" i="9" a="1"/>
  <c r="Q32" i="9" a="1"/>
  <c r="U33" i="9" a="1"/>
  <c r="R39" i="9" a="1"/>
  <c r="U36" i="9" a="1"/>
  <c r="Q36" i="9" a="1"/>
  <c r="R15" i="9" a="1"/>
  <c r="T24" i="9" a="1"/>
  <c r="Q25" i="9" a="1"/>
  <c r="U26" i="9" a="1"/>
  <c r="R27" i="9" a="1"/>
  <c r="U38" i="9" a="1"/>
  <c r="T17" i="9" a="1"/>
  <c r="Q18" i="9" a="1"/>
  <c r="U19" i="9" a="1"/>
  <c r="R20" i="9" a="1"/>
  <c r="T29" i="9" a="1"/>
  <c r="Q30" i="9" a="1"/>
  <c r="U31" i="9" a="1"/>
  <c r="R32" i="9" a="1"/>
  <c r="T41" i="9" a="1"/>
  <c r="T22" i="9" a="1"/>
  <c r="Q23" i="9" a="1"/>
  <c r="U24" i="9" a="1"/>
  <c r="T15" i="9" a="1"/>
  <c r="Q16" i="9" a="1"/>
  <c r="U17" i="9" a="1"/>
  <c r="R18" i="9" a="1"/>
  <c r="T27" i="9" a="1"/>
  <c r="Q28" i="9" a="1"/>
  <c r="U29" i="9" a="1"/>
  <c r="R30" i="9" a="1"/>
  <c r="T39" i="9" a="1"/>
  <c r="Q40" i="9" a="1"/>
  <c r="U41" i="9" a="1"/>
  <c r="Q21" i="9" a="1"/>
  <c r="T32" i="9" a="1"/>
  <c r="U34" i="9" a="1"/>
  <c r="R35" i="9" a="1"/>
  <c r="R28" i="9" a="1"/>
  <c r="Q38" i="9" a="1"/>
  <c r="U39" i="9" a="1"/>
  <c r="R40" i="9" a="1"/>
  <c r="T30" i="9" a="1"/>
  <c r="U32" i="9" a="1"/>
  <c r="R33" i="9" a="1"/>
  <c r="T20" i="9" a="1"/>
  <c r="U22" i="9" a="1"/>
  <c r="R23" i="9" a="1"/>
  <c r="Q33" i="9" a="1"/>
  <c r="U15" i="9" a="1"/>
  <c r="R16" i="9" a="1"/>
  <c r="T25" i="9" a="1"/>
  <c r="Q26" i="9" a="1"/>
  <c r="U27" i="9" a="1"/>
  <c r="T37" i="9" a="1"/>
  <c r="T18" i="9" a="1"/>
  <c r="Q19" i="9" a="1"/>
  <c r="U20" i="9" a="1"/>
  <c r="R21" i="9" a="1"/>
  <c r="Q31" i="9" a="1"/>
  <c r="T23" i="9" a="1"/>
  <c r="Q24" i="9" a="1"/>
  <c r="U25" i="9" a="1"/>
  <c r="R26" i="9" a="1"/>
  <c r="T35" i="9" a="1"/>
  <c r="U37" i="9" a="1"/>
  <c r="R38" i="9" a="1"/>
  <c r="T16" i="9" a="1"/>
  <c r="Q17" i="9" a="1"/>
  <c r="U18" i="9" a="1"/>
  <c r="R19" i="9" a="1"/>
  <c r="T28" i="9" a="1"/>
  <c r="Q29" i="9" a="1"/>
  <c r="U30" i="9" a="1"/>
  <c r="R31" i="9" a="1"/>
  <c r="T40" i="9" a="1"/>
  <c r="Q41" i="9" a="1"/>
  <c r="T36" i="9" a="1"/>
  <c r="Q35" i="9" a="1"/>
  <c r="R37" i="9" a="1"/>
  <c r="T21" i="8" a="1"/>
  <c r="Q22" i="8" a="1"/>
  <c r="U23" i="8" a="1"/>
  <c r="R24" i="8" a="1"/>
  <c r="T18" i="8" a="1"/>
  <c r="R21" i="8" a="1"/>
  <c r="Q24" i="8" a="1"/>
  <c r="T16" i="8" a="1"/>
  <c r="Q15" i="8" a="1"/>
  <c r="U16" i="8" a="1"/>
  <c r="R17" i="8" a="1"/>
  <c r="T26" i="8" a="1"/>
  <c r="Q27" i="8" a="1"/>
  <c r="T23" i="8" a="1"/>
  <c r="U18" i="8" a="1"/>
  <c r="T19" i="8" a="1"/>
  <c r="Q20" i="8" a="1"/>
  <c r="U21" i="8" a="1"/>
  <c r="R22" i="8" a="1"/>
  <c r="Q19" i="8" a="1"/>
  <c r="R26" i="8" a="1"/>
  <c r="R19" i="8" a="1"/>
  <c r="R15" i="8" a="1"/>
  <c r="T24" i="8" a="1"/>
  <c r="Q25" i="8" a="1"/>
  <c r="U26" i="8" a="1"/>
  <c r="R27" i="8" a="1"/>
  <c r="T17" i="8" a="1"/>
  <c r="Q18" i="8" a="1"/>
  <c r="U19" i="8" a="1"/>
  <c r="R20" i="8" a="1"/>
  <c r="T22" i="8" a="1"/>
  <c r="Q23" i="8" a="1"/>
  <c r="U24" i="8" a="1"/>
  <c r="R25" i="8" a="1"/>
  <c r="T15" i="8" a="1"/>
  <c r="Q16" i="8" a="1"/>
  <c r="U17" i="8" a="1"/>
  <c r="R18" i="8" a="1"/>
  <c r="T27" i="8" a="1"/>
  <c r="T20" i="8" a="1"/>
  <c r="Q21" i="8" a="1"/>
  <c r="U22" i="8" a="1"/>
  <c r="R23" i="8" a="1"/>
  <c r="U15" i="8" a="1"/>
  <c r="R16" i="8" a="1"/>
  <c r="T25" i="8" a="1"/>
  <c r="Q26" i="8" a="1"/>
  <c r="U27" i="8" a="1"/>
  <c r="U20" i="8" a="1"/>
  <c r="U25" i="8" a="1"/>
  <c r="Q17" i="8" a="1"/>
  <c r="T21" i="7" a="1"/>
  <c r="Q22" i="7" a="1"/>
  <c r="U23" i="7" a="1"/>
  <c r="R24" i="7" a="1"/>
  <c r="T33" i="7" a="1"/>
  <c r="Q34" i="7" a="1"/>
  <c r="U35" i="7" a="1"/>
  <c r="R36" i="7" a="1"/>
  <c r="T45" i="7" a="1"/>
  <c r="Q46" i="7" a="1"/>
  <c r="U47" i="7" a="1"/>
  <c r="T38" i="7" a="1"/>
  <c r="Q39" i="7" a="1"/>
  <c r="U40" i="7" a="1"/>
  <c r="R41" i="7" a="1"/>
  <c r="U31" i="7" a="1"/>
  <c r="R32" i="7" a="1"/>
  <c r="R28" i="7" a="1"/>
  <c r="U39" i="7" a="1"/>
  <c r="R40" i="7" a="1"/>
  <c r="U42" i="7" a="1"/>
  <c r="Q15" i="7" a="1"/>
  <c r="U16" i="7" a="1"/>
  <c r="R17" i="7" a="1"/>
  <c r="T26" i="7" a="1"/>
  <c r="Q27" i="7" a="1"/>
  <c r="U28" i="7" a="1"/>
  <c r="R29" i="7" a="1"/>
  <c r="T41" i="7" a="1"/>
  <c r="T19" i="7" a="1"/>
  <c r="Q20" i="7" a="1"/>
  <c r="U21" i="7" a="1"/>
  <c r="R22" i="7" a="1"/>
  <c r="T31" i="7" a="1"/>
  <c r="Q32" i="7" a="1"/>
  <c r="U33" i="7" a="1"/>
  <c r="R34" i="7" a="1"/>
  <c r="T43" i="7" a="1"/>
  <c r="Q44" i="7" a="1"/>
  <c r="U45" i="7" a="1"/>
  <c r="R46" i="7" a="1"/>
  <c r="T29" i="7" a="1"/>
  <c r="Q42" i="7" a="1"/>
  <c r="U43" i="7" a="1"/>
  <c r="R44" i="7" a="1"/>
  <c r="R35" i="7" a="1"/>
  <c r="T44" i="7" a="1"/>
  <c r="U46" i="7" a="1"/>
  <c r="Q38" i="7" a="1"/>
  <c r="R15" i="7" a="1"/>
  <c r="T24" i="7" a="1"/>
  <c r="Q25" i="7" a="1"/>
  <c r="U26" i="7" a="1"/>
  <c r="R27" i="7" a="1"/>
  <c r="T36" i="7" a="1"/>
  <c r="Q37" i="7" a="1"/>
  <c r="U38" i="7" a="1"/>
  <c r="R39" i="7" a="1"/>
  <c r="Q30" i="7" a="1"/>
  <c r="U34" i="7" a="1"/>
  <c r="Q45" i="7" a="1"/>
  <c r="R47" i="7" a="1"/>
  <c r="T37" i="7" a="1"/>
  <c r="T17" i="7" a="1"/>
  <c r="Q18" i="7" a="1"/>
  <c r="U19" i="7" a="1"/>
  <c r="R20" i="7" a="1"/>
  <c r="T22" i="7" a="1"/>
  <c r="Q23" i="7" a="1"/>
  <c r="U24" i="7" a="1"/>
  <c r="R25" i="7" a="1"/>
  <c r="T34" i="7" a="1"/>
  <c r="Q35" i="7" a="1"/>
  <c r="U36" i="7" a="1"/>
  <c r="R37" i="7" a="1"/>
  <c r="T46" i="7" a="1"/>
  <c r="Q47" i="7" a="1"/>
  <c r="T15" i="7" a="1"/>
  <c r="Q16" i="7" a="1"/>
  <c r="U17" i="7" a="1"/>
  <c r="R18" i="7" a="1"/>
  <c r="T27" i="7" a="1"/>
  <c r="Q28" i="7" a="1"/>
  <c r="U29" i="7" a="1"/>
  <c r="R30" i="7" a="1"/>
  <c r="T39" i="7" a="1"/>
  <c r="Q40" i="7" a="1"/>
  <c r="U41" i="7" a="1"/>
  <c r="R42" i="7" a="1"/>
  <c r="T20" i="7" a="1"/>
  <c r="Q21" i="7" a="1"/>
  <c r="U22" i="7" a="1"/>
  <c r="R23" i="7" a="1"/>
  <c r="T32" i="7" a="1"/>
  <c r="Q33" i="7" a="1"/>
  <c r="U15" i="7" a="1"/>
  <c r="R16" i="7" a="1"/>
  <c r="T25" i="7" a="1"/>
  <c r="Q26" i="7" a="1"/>
  <c r="U27" i="7" a="1"/>
  <c r="T18" i="7" a="1"/>
  <c r="Q19" i="7" a="1"/>
  <c r="U20" i="7" a="1"/>
  <c r="R21" i="7" a="1"/>
  <c r="T30" i="7" a="1"/>
  <c r="Q31" i="7" a="1"/>
  <c r="U32" i="7" a="1"/>
  <c r="R33" i="7" a="1"/>
  <c r="T42" i="7" a="1"/>
  <c r="Q43" i="7" a="1"/>
  <c r="U44" i="7" a="1"/>
  <c r="R45" i="7" a="1"/>
  <c r="T40" i="7" a="1"/>
  <c r="T23" i="7" a="1"/>
  <c r="Q24" i="7" a="1"/>
  <c r="U25" i="7" a="1"/>
  <c r="R26" i="7" a="1"/>
  <c r="T35" i="7" a="1"/>
  <c r="Q36" i="7" a="1"/>
  <c r="U37" i="7" a="1"/>
  <c r="R38" i="7" a="1"/>
  <c r="T47" i="7" a="1"/>
  <c r="R43" i="7" a="1"/>
  <c r="T16" i="7" a="1"/>
  <c r="Q17" i="7" a="1"/>
  <c r="U18" i="7" a="1"/>
  <c r="R19" i="7" a="1"/>
  <c r="T28" i="7" a="1"/>
  <c r="Q29" i="7" a="1"/>
  <c r="U30" i="7" a="1"/>
  <c r="R31" i="7" a="1"/>
  <c r="Q41" i="7" a="1"/>
  <c r="T21" i="6" a="1"/>
  <c r="Q22" i="6" a="1"/>
  <c r="U23" i="6" a="1"/>
  <c r="R24" i="6" a="1"/>
  <c r="T33" i="6" a="1"/>
  <c r="Q34" i="6" a="1"/>
  <c r="U35" i="6" a="1"/>
  <c r="R36" i="6" a="1"/>
  <c r="T45" i="6" a="1"/>
  <c r="Q46" i="6" a="1"/>
  <c r="U47" i="6" a="1"/>
  <c r="R48" i="6" a="1"/>
  <c r="Q54" i="6" a="1"/>
  <c r="Q15" i="6" a="1"/>
  <c r="U16" i="6" a="1"/>
  <c r="R17" i="6" a="1"/>
  <c r="T26" i="6" a="1"/>
  <c r="Q27" i="6" a="1"/>
  <c r="U28" i="6" a="1"/>
  <c r="R29" i="6" a="1"/>
  <c r="T38" i="6" a="1"/>
  <c r="Q39" i="6" a="1"/>
  <c r="U40" i="6" a="1"/>
  <c r="R41" i="6" a="1"/>
  <c r="T50" i="6" a="1"/>
  <c r="Q51" i="6" a="1"/>
  <c r="U52" i="6" a="1"/>
  <c r="R53" i="6" a="1"/>
  <c r="Q25" i="6" a="1"/>
  <c r="U26" i="6" a="1"/>
  <c r="T36" i="6" a="1"/>
  <c r="Q49" i="6" a="1"/>
  <c r="U50" i="6" a="1"/>
  <c r="R51" i="6" a="1"/>
  <c r="R44" i="6" a="1"/>
  <c r="T53" i="6" a="1"/>
  <c r="U55" i="6" a="1"/>
  <c r="T19" i="6" a="1"/>
  <c r="Q20" i="6" a="1"/>
  <c r="U21" i="6" a="1"/>
  <c r="R22" i="6" a="1"/>
  <c r="T31" i="6" a="1"/>
  <c r="Q32" i="6" a="1"/>
  <c r="U33" i="6" a="1"/>
  <c r="R34" i="6" a="1"/>
  <c r="T43" i="6" a="1"/>
  <c r="Q44" i="6" a="1"/>
  <c r="U45" i="6" a="1"/>
  <c r="R46" i="6" a="1"/>
  <c r="T55" i="6" a="1"/>
  <c r="R27" i="6" a="1"/>
  <c r="R15" i="6" a="1"/>
  <c r="T24" i="6" a="1"/>
  <c r="Q37" i="6" a="1"/>
  <c r="U38" i="6" a="1"/>
  <c r="R39" i="6" a="1"/>
  <c r="T48" i="6" a="1"/>
  <c r="T17" i="6" a="1"/>
  <c r="Q18" i="6" a="1"/>
  <c r="U19" i="6" a="1"/>
  <c r="R20" i="6" a="1"/>
  <c r="T29" i="6" a="1"/>
  <c r="Q30" i="6" a="1"/>
  <c r="U31" i="6" a="1"/>
  <c r="R32" i="6" a="1"/>
  <c r="T41" i="6" a="1"/>
  <c r="Q42" i="6" a="1"/>
  <c r="U43" i="6" a="1"/>
  <c r="T22" i="6" a="1"/>
  <c r="Q23" i="6" a="1"/>
  <c r="U24" i="6" a="1"/>
  <c r="R25" i="6" a="1"/>
  <c r="T34" i="6" a="1"/>
  <c r="Q35" i="6" a="1"/>
  <c r="U36" i="6" a="1"/>
  <c r="R37" i="6" a="1"/>
  <c r="T46" i="6" a="1"/>
  <c r="Q47" i="6" a="1"/>
  <c r="U48" i="6" a="1"/>
  <c r="R49" i="6" a="1"/>
  <c r="Q41" i="6" a="1"/>
  <c r="U54" i="6" a="1"/>
  <c r="T15" i="6" a="1"/>
  <c r="Q16" i="6" a="1"/>
  <c r="U17" i="6" a="1"/>
  <c r="R18" i="6" a="1"/>
  <c r="T27" i="6" a="1"/>
  <c r="Q28" i="6" a="1"/>
  <c r="U29" i="6" a="1"/>
  <c r="R30" i="6" a="1"/>
  <c r="T39" i="6" a="1"/>
  <c r="Q40" i="6" a="1"/>
  <c r="U41" i="6" a="1"/>
  <c r="R42" i="6" a="1"/>
  <c r="T51" i="6" a="1"/>
  <c r="Q52" i="6" a="1"/>
  <c r="U53" i="6" a="1"/>
  <c r="R54" i="6" a="1"/>
  <c r="R52" i="6" a="1"/>
  <c r="Q48" i="6" a="1"/>
  <c r="T20" i="6" a="1"/>
  <c r="Q21" i="6" a="1"/>
  <c r="U22" i="6" a="1"/>
  <c r="R23" i="6" a="1"/>
  <c r="T32" i="6" a="1"/>
  <c r="Q33" i="6" a="1"/>
  <c r="U34" i="6" a="1"/>
  <c r="R35" i="6" a="1"/>
  <c r="T44" i="6" a="1"/>
  <c r="Q45" i="6" a="1"/>
  <c r="U46" i="6" a="1"/>
  <c r="R47" i="6" a="1"/>
  <c r="U49" i="6" a="1"/>
  <c r="U15" i="6" a="1"/>
  <c r="R16" i="6" a="1"/>
  <c r="T25" i="6" a="1"/>
  <c r="Q26" i="6" a="1"/>
  <c r="U27" i="6" a="1"/>
  <c r="R28" i="6" a="1"/>
  <c r="T37" i="6" a="1"/>
  <c r="Q38" i="6" a="1"/>
  <c r="U39" i="6" a="1"/>
  <c r="R40" i="6" a="1"/>
  <c r="T49" i="6" a="1"/>
  <c r="Q50" i="6" a="1"/>
  <c r="U51" i="6" a="1"/>
  <c r="R50" i="6" a="1"/>
  <c r="U42" i="6" a="1"/>
  <c r="Q53" i="6" a="1"/>
  <c r="T18" i="6" a="1"/>
  <c r="Q19" i="6" a="1"/>
  <c r="U20" i="6" a="1"/>
  <c r="R21" i="6" a="1"/>
  <c r="T30" i="6" a="1"/>
  <c r="Q31" i="6" a="1"/>
  <c r="U32" i="6" a="1"/>
  <c r="R33" i="6" a="1"/>
  <c r="T42" i="6" a="1"/>
  <c r="Q43" i="6" a="1"/>
  <c r="U44" i="6" a="1"/>
  <c r="R45" i="6" a="1"/>
  <c r="T54" i="6" a="1"/>
  <c r="Q55" i="6" a="1"/>
  <c r="R38" i="6" a="1"/>
  <c r="T47" i="6" a="1"/>
  <c r="T23" i="6" a="1"/>
  <c r="Q24" i="6" a="1"/>
  <c r="U25" i="6" a="1"/>
  <c r="R26" i="6" a="1"/>
  <c r="T35" i="6" a="1"/>
  <c r="Q36" i="6" a="1"/>
  <c r="U37" i="6" a="1"/>
  <c r="T16" i="6" a="1"/>
  <c r="Q17" i="6" a="1"/>
  <c r="U18" i="6" a="1"/>
  <c r="R19" i="6" a="1"/>
  <c r="T28" i="6" a="1"/>
  <c r="Q29" i="6" a="1"/>
  <c r="U30" i="6" a="1"/>
  <c r="R31" i="6" a="1"/>
  <c r="T40" i="6" a="1"/>
  <c r="R43" i="6" a="1"/>
  <c r="T52" i="6" a="1"/>
  <c r="R55" i="6" a="1"/>
  <c r="T21" i="5" a="1"/>
  <c r="Q22" i="5" a="1"/>
  <c r="U23" i="5" a="1"/>
  <c r="R24" i="5" a="1"/>
  <c r="T33" i="5" a="1"/>
  <c r="Q34" i="5" a="1"/>
  <c r="Q18" i="5" a="1"/>
  <c r="T32" i="5" a="1"/>
  <c r="Q26" i="5" a="1"/>
  <c r="R28" i="5" a="1"/>
  <c r="U20" i="5" a="1"/>
  <c r="R21" i="5" a="1"/>
  <c r="Q31" i="5" a="1"/>
  <c r="U32" i="5" a="1"/>
  <c r="Q17" i="5" a="1"/>
  <c r="Q15" i="5" a="1"/>
  <c r="U16" i="5" a="1"/>
  <c r="R17" i="5" a="1"/>
  <c r="T26" i="5" a="1"/>
  <c r="Q27" i="5" a="1"/>
  <c r="U28" i="5" a="1"/>
  <c r="R29" i="5" a="1"/>
  <c r="T17" i="5" a="1"/>
  <c r="T19" i="5" a="1"/>
  <c r="Q20" i="5" a="1"/>
  <c r="U21" i="5" a="1"/>
  <c r="R22" i="5" a="1"/>
  <c r="T31" i="5" a="1"/>
  <c r="Q32" i="5" a="1"/>
  <c r="U33" i="5" a="1"/>
  <c r="R34" i="5" a="1"/>
  <c r="U19" i="5" a="1"/>
  <c r="T29" i="5" a="1"/>
  <c r="Q23" i="5" a="1"/>
  <c r="U24" i="5" a="1"/>
  <c r="T34" i="5" a="1"/>
  <c r="R30" i="5" a="1"/>
  <c r="R23" i="5" a="1"/>
  <c r="R15" i="5" a="1"/>
  <c r="T24" i="5" a="1"/>
  <c r="Q25" i="5" a="1"/>
  <c r="U26" i="5" a="1"/>
  <c r="R27" i="5" a="1"/>
  <c r="R20" i="5" a="1"/>
  <c r="Q30" i="5" a="1"/>
  <c r="U31" i="5" a="1"/>
  <c r="R32" i="5" a="1"/>
  <c r="R25" i="5" a="1"/>
  <c r="U29" i="5" a="1"/>
  <c r="U22" i="5" a="1"/>
  <c r="U34" i="5" a="1"/>
  <c r="U27" i="5" a="1"/>
  <c r="Q19" i="5" a="1"/>
  <c r="T30" i="5" a="1"/>
  <c r="R33" i="5" a="1"/>
  <c r="T16" i="5" a="1"/>
  <c r="T22" i="5" a="1"/>
  <c r="T15" i="5" a="1"/>
  <c r="Q16" i="5" a="1"/>
  <c r="U17" i="5" a="1"/>
  <c r="R18" i="5" a="1"/>
  <c r="T27" i="5" a="1"/>
  <c r="Q28" i="5" a="1"/>
  <c r="T20" i="5" a="1"/>
  <c r="Q21" i="5" a="1"/>
  <c r="Q33" i="5" a="1"/>
  <c r="U15" i="5" a="1"/>
  <c r="R16" i="5" a="1"/>
  <c r="T25" i="5" a="1"/>
  <c r="T18" i="5" a="1"/>
  <c r="R19" i="5" a="1"/>
  <c r="Q29" i="5" a="1"/>
  <c r="T23" i="5" a="1"/>
  <c r="Q24" i="5" a="1"/>
  <c r="U25" i="5" a="1"/>
  <c r="R26" i="5" a="1"/>
  <c r="U18" i="5" a="1"/>
  <c r="T28" i="5" a="1"/>
  <c r="U30" i="5" a="1"/>
  <c r="R31" i="5" a="1"/>
  <c r="T21" i="4" a="1"/>
  <c r="Q22" i="4" a="1"/>
  <c r="U23" i="4" a="1"/>
  <c r="R24" i="4" a="1"/>
  <c r="Q25" i="4" a="1"/>
  <c r="R27" i="4" a="1"/>
  <c r="T17" i="4" a="1"/>
  <c r="U19" i="4" a="1"/>
  <c r="Q23" i="4" a="1"/>
  <c r="U24" i="4" a="1"/>
  <c r="U29" i="4" a="1"/>
  <c r="U22" i="4" a="1"/>
  <c r="U20" i="4" a="1"/>
  <c r="Q15" i="4" a="1"/>
  <c r="U16" i="4" a="1"/>
  <c r="R17" i="4" a="1"/>
  <c r="T26" i="4" a="1"/>
  <c r="Q27" i="4" a="1"/>
  <c r="U28" i="4" a="1"/>
  <c r="R29" i="4" a="1"/>
  <c r="T29" i="4" a="1"/>
  <c r="T19" i="4" a="1"/>
  <c r="Q20" i="4" a="1"/>
  <c r="U21" i="4" a="1"/>
  <c r="R22" i="4" a="1"/>
  <c r="T31" i="4" a="1"/>
  <c r="T24" i="4" a="1"/>
  <c r="U26" i="4" a="1"/>
  <c r="Q18" i="4" a="1"/>
  <c r="R20" i="4" a="1"/>
  <c r="U31" i="4" a="1"/>
  <c r="Q31" i="4" a="1"/>
  <c r="R15" i="4" a="1"/>
  <c r="R28" i="4" a="1"/>
  <c r="Q30" i="4" a="1"/>
  <c r="Q26" i="4" a="1"/>
  <c r="U25" i="4" a="1"/>
  <c r="T22" i="4" a="1"/>
  <c r="U27" i="4" a="1"/>
  <c r="T15" i="4" a="1"/>
  <c r="Q16" i="4" a="1"/>
  <c r="U17" i="4" a="1"/>
  <c r="R18" i="4" a="1"/>
  <c r="T27" i="4" a="1"/>
  <c r="Q28" i="4" a="1"/>
  <c r="R30" i="4" a="1"/>
  <c r="R21" i="4" a="1"/>
  <c r="T20" i="4" a="1"/>
  <c r="Q21" i="4" a="1"/>
  <c r="U15" i="4" a="1"/>
  <c r="R16" i="4" a="1"/>
  <c r="T25" i="4" a="1"/>
  <c r="T18" i="4" a="1"/>
  <c r="Q19" i="4" a="1"/>
  <c r="T23" i="4" a="1"/>
  <c r="Q24" i="4" a="1"/>
  <c r="T16" i="4" a="1"/>
  <c r="Q17" i="4" a="1"/>
  <c r="U18" i="4" a="1"/>
  <c r="R19" i="4" a="1"/>
  <c r="T28" i="4" a="1"/>
  <c r="Q29" i="4" a="1"/>
  <c r="U30" i="4" a="1"/>
  <c r="R31" i="4" a="1"/>
  <c r="R25" i="4" a="1"/>
  <c r="R23" i="4" a="1"/>
  <c r="T30" i="4" a="1"/>
  <c r="R26" i="4" a="1"/>
  <c r="T21" i="3" a="1"/>
  <c r="Q22" i="3" a="1"/>
  <c r="U23" i="3" a="1"/>
  <c r="R24" i="3" a="1"/>
  <c r="T33" i="3" a="1"/>
  <c r="Q34" i="3" a="1"/>
  <c r="U35" i="3" a="1"/>
  <c r="R36" i="3" a="1"/>
  <c r="Q15" i="3" a="1"/>
  <c r="U16" i="3" a="1"/>
  <c r="R17" i="3" a="1"/>
  <c r="T26" i="3" a="1"/>
  <c r="Q27" i="3" a="1"/>
  <c r="U28" i="3" a="1"/>
  <c r="R29" i="3" a="1"/>
  <c r="T38" i="3" a="1"/>
  <c r="Q39" i="3" a="1"/>
  <c r="U40" i="3" a="1"/>
  <c r="R41" i="3" a="1"/>
  <c r="Q32" i="3" a="1"/>
  <c r="R34" i="3" a="1"/>
  <c r="T36" i="3" a="1"/>
  <c r="U38" i="3" a="1"/>
  <c r="R20" i="3" a="1"/>
  <c r="Q30" i="3" a="1"/>
  <c r="R32" i="3" a="1"/>
  <c r="T19" i="3" a="1"/>
  <c r="Q20" i="3" a="1"/>
  <c r="U21" i="3" a="1"/>
  <c r="R22" i="3" a="1"/>
  <c r="T31" i="3" a="1"/>
  <c r="U33" i="3" a="1"/>
  <c r="R15" i="3" a="1"/>
  <c r="T24" i="3" a="1"/>
  <c r="Q25" i="3" a="1"/>
  <c r="U26" i="3" a="1"/>
  <c r="R27" i="3" a="1"/>
  <c r="Q37" i="3" a="1"/>
  <c r="R39" i="3" a="1"/>
  <c r="U36" i="3" a="1"/>
  <c r="T17" i="3" a="1"/>
  <c r="Q18" i="3" a="1"/>
  <c r="U19" i="3" a="1"/>
  <c r="T22" i="3" a="1"/>
  <c r="Q23" i="3" a="1"/>
  <c r="T15" i="3" a="1"/>
  <c r="Q16" i="3" a="1"/>
  <c r="U17" i="3" a="1"/>
  <c r="R18" i="3" a="1"/>
  <c r="T27" i="3" a="1"/>
  <c r="Q28" i="3" a="1"/>
  <c r="U29" i="3" a="1"/>
  <c r="R30" i="3" a="1"/>
  <c r="T39" i="3" a="1"/>
  <c r="Q40" i="3" a="1"/>
  <c r="U41" i="3" a="1"/>
  <c r="U34" i="3" a="1"/>
  <c r="R35" i="3" a="1"/>
  <c r="T41" i="3" a="1"/>
  <c r="T20" i="3" a="1"/>
  <c r="Q21" i="3" a="1"/>
  <c r="U22" i="3" a="1"/>
  <c r="R23" i="3" a="1"/>
  <c r="T32" i="3" a="1"/>
  <c r="Q33" i="3" a="1"/>
  <c r="U15" i="3" a="1"/>
  <c r="R16" i="3" a="1"/>
  <c r="T25" i="3" a="1"/>
  <c r="Q26" i="3" a="1"/>
  <c r="U27" i="3" a="1"/>
  <c r="R28" i="3" a="1"/>
  <c r="T37" i="3" a="1"/>
  <c r="Q38" i="3" a="1"/>
  <c r="U39" i="3" a="1"/>
  <c r="R40" i="3" a="1"/>
  <c r="Q31" i="3" a="1"/>
  <c r="U32" i="3" a="1"/>
  <c r="R33" i="3" a="1"/>
  <c r="U25" i="3" a="1"/>
  <c r="Q36" i="3" a="1"/>
  <c r="R38" i="3" a="1"/>
  <c r="Q29" i="3" a="1"/>
  <c r="R31" i="3" a="1"/>
  <c r="Q41" i="3" a="1"/>
  <c r="T29" i="3" a="1"/>
  <c r="U31" i="3" a="1"/>
  <c r="T18" i="3" a="1"/>
  <c r="Q19" i="3" a="1"/>
  <c r="U20" i="3" a="1"/>
  <c r="R21" i="3" a="1"/>
  <c r="T30" i="3" a="1"/>
  <c r="T35" i="3" a="1"/>
  <c r="U37" i="3" a="1"/>
  <c r="U30" i="3" a="1"/>
  <c r="T40" i="3" a="1"/>
  <c r="U24" i="3" a="1"/>
  <c r="R25" i="3" a="1"/>
  <c r="T34" i="3" a="1"/>
  <c r="Q35" i="3" a="1"/>
  <c r="R37" i="3" a="1"/>
  <c r="T23" i="3" a="1"/>
  <c r="Q24" i="3" a="1"/>
  <c r="R26" i="3" a="1"/>
  <c r="T16" i="3" a="1"/>
  <c r="Q17" i="3" a="1"/>
  <c r="U18" i="3" a="1"/>
  <c r="R19" i="3" a="1"/>
  <c r="T28" i="3" a="1"/>
  <c r="R7" i="9" a="1"/>
  <c r="U6" i="9" a="1"/>
  <c r="Q5" i="9" a="1"/>
  <c r="T2" i="9" a="1"/>
  <c r="Q9" i="9" a="1"/>
  <c r="R13" i="9" a="1"/>
  <c r="R14" i="9" a="1"/>
  <c r="U13" i="9" a="1"/>
  <c r="Q12" i="9" a="1"/>
  <c r="T11" i="9" a="1"/>
  <c r="T4" i="9" a="1"/>
  <c r="Q14" i="9" a="1"/>
  <c r="R11" i="9" a="1"/>
  <c r="T8" i="9" a="1"/>
  <c r="R9" i="9" a="1"/>
  <c r="U8" i="9" a="1"/>
  <c r="Q7" i="9" a="1"/>
  <c r="T6" i="9" a="1"/>
  <c r="T13" i="9" a="1"/>
  <c r="R2" i="9" a="1"/>
  <c r="U10" i="9" a="1"/>
  <c r="R4" i="9" a="1"/>
  <c r="U12" i="9" a="1"/>
  <c r="T10" i="9" a="1"/>
  <c r="U3" i="9" a="1"/>
  <c r="Q2" i="9" a="1"/>
  <c r="T3" i="9" a="1"/>
  <c r="R6" i="9" a="1"/>
  <c r="U5" i="9" a="1"/>
  <c r="Q11" i="9" a="1"/>
  <c r="R8" i="9" a="1"/>
  <c r="U7" i="9" a="1"/>
  <c r="Q6" i="9" a="1"/>
  <c r="T5" i="9" a="1"/>
  <c r="T12" i="9" a="1"/>
  <c r="Q8" i="9" a="1"/>
  <c r="R3" i="9" a="1"/>
  <c r="Q4" i="9" a="1"/>
  <c r="U14" i="9" a="1"/>
  <c r="Q13" i="9" a="1"/>
  <c r="T7" i="9" a="1"/>
  <c r="Q3" i="9" a="1"/>
  <c r="R10" i="9" a="1"/>
  <c r="U9" i="9" a="1"/>
  <c r="T14" i="9" a="1"/>
  <c r="R5" i="9" a="1"/>
  <c r="U2" i="9" a="1"/>
  <c r="U4" i="9" a="1"/>
  <c r="R12" i="9" a="1"/>
  <c r="U11" i="9" a="1"/>
  <c r="Q10" i="9" a="1"/>
  <c r="T9" i="9" a="1"/>
  <c r="R7" i="8" a="1"/>
  <c r="U6" i="8" a="1"/>
  <c r="Q5" i="8" a="1"/>
  <c r="T2" i="8" a="1"/>
  <c r="R11" i="8" a="1"/>
  <c r="R4" i="8" a="1"/>
  <c r="R6" i="8" a="1"/>
  <c r="Q4" i="8" a="1"/>
  <c r="R14" i="8" a="1"/>
  <c r="U13" i="8" a="1"/>
  <c r="Q12" i="8" a="1"/>
  <c r="T11" i="8" a="1"/>
  <c r="T4" i="8" a="1"/>
  <c r="Q14" i="8" a="1"/>
  <c r="U10" i="8" a="1"/>
  <c r="R9" i="8" a="1"/>
  <c r="U8" i="8" a="1"/>
  <c r="Q7" i="8" a="1"/>
  <c r="T6" i="8" a="1"/>
  <c r="T13" i="8" a="1"/>
  <c r="R2" i="8" a="1"/>
  <c r="Q9" i="8" a="1"/>
  <c r="T8" i="8" a="1"/>
  <c r="U3" i="8" a="1"/>
  <c r="U5" i="8" a="1"/>
  <c r="Q2" i="8" a="1"/>
  <c r="R13" i="8" a="1"/>
  <c r="U12" i="8" a="1"/>
  <c r="Q11" i="8" a="1"/>
  <c r="T3" i="8" a="1"/>
  <c r="T10" i="8" a="1"/>
  <c r="R8" i="8" a="1"/>
  <c r="U7" i="8" a="1"/>
  <c r="Q6" i="8" a="1"/>
  <c r="T5" i="8" a="1"/>
  <c r="Q13" i="8" a="1"/>
  <c r="T12" i="8" a="1"/>
  <c r="R5" i="8" a="1"/>
  <c r="U2" i="8" a="1"/>
  <c r="U14" i="8" a="1"/>
  <c r="R10" i="8" a="1"/>
  <c r="U9" i="8" a="1"/>
  <c r="Q8" i="8" a="1"/>
  <c r="T7" i="8" a="1"/>
  <c r="R3" i="8" a="1"/>
  <c r="T14" i="8" a="1"/>
  <c r="R12" i="8" a="1"/>
  <c r="U11" i="8" a="1"/>
  <c r="Q10" i="8" a="1"/>
  <c r="T9" i="8" a="1"/>
  <c r="U4" i="8" a="1"/>
  <c r="Q3" i="8" a="1"/>
  <c r="R7" i="7" a="1"/>
  <c r="U6" i="7" a="1"/>
  <c r="Q5" i="7" a="1"/>
  <c r="T2" i="7" a="1"/>
  <c r="R2" i="7" a="1"/>
  <c r="U10" i="7" a="1"/>
  <c r="U3" i="7" a="1"/>
  <c r="U5" i="7" a="1"/>
  <c r="R13" i="7" a="1"/>
  <c r="Q11" i="7" a="1"/>
  <c r="Q4" i="7" a="1"/>
  <c r="T9" i="7" a="1"/>
  <c r="R14" i="7" a="1"/>
  <c r="U13" i="7" a="1"/>
  <c r="Q12" i="7" a="1"/>
  <c r="T11" i="7" a="1"/>
  <c r="T4" i="7" a="1"/>
  <c r="Q14" i="7" a="1"/>
  <c r="R11" i="7" a="1"/>
  <c r="R4" i="7" a="1"/>
  <c r="Q2" i="7" a="1"/>
  <c r="U12" i="7" a="1"/>
  <c r="T10" i="7" a="1"/>
  <c r="R5" i="7" a="1"/>
  <c r="R12" i="7" a="1"/>
  <c r="Q3" i="7" a="1"/>
  <c r="R9" i="7" a="1"/>
  <c r="U8" i="7" a="1"/>
  <c r="Q7" i="7" a="1"/>
  <c r="T6" i="7" a="1"/>
  <c r="T13" i="7" a="1"/>
  <c r="Q9" i="7" a="1"/>
  <c r="T8" i="7" a="1"/>
  <c r="R6" i="7" a="1"/>
  <c r="T3" i="7" a="1"/>
  <c r="U4" i="7" a="1"/>
  <c r="Q10" i="7" a="1"/>
  <c r="R8" i="7" a="1"/>
  <c r="U7" i="7" a="1"/>
  <c r="Q6" i="7" a="1"/>
  <c r="T5" i="7" a="1"/>
  <c r="U14" i="7" a="1"/>
  <c r="Q13" i="7" a="1"/>
  <c r="T12" i="7" a="1"/>
  <c r="R10" i="7" a="1"/>
  <c r="U9" i="7" a="1"/>
  <c r="Q8" i="7" a="1"/>
  <c r="T7" i="7" a="1"/>
  <c r="R3" i="7" a="1"/>
  <c r="T14" i="7" a="1"/>
  <c r="U2" i="7" a="1"/>
  <c r="U11" i="7" a="1"/>
  <c r="R7" i="6" a="1"/>
  <c r="U6" i="6" a="1"/>
  <c r="Q5" i="6" a="1"/>
  <c r="T2" i="6" a="1"/>
  <c r="Q14" i="6" a="1"/>
  <c r="R11" i="6" a="1"/>
  <c r="T8" i="6" a="1"/>
  <c r="R4" i="6" a="1"/>
  <c r="R14" i="6" a="1"/>
  <c r="U13" i="6" a="1"/>
  <c r="Q12" i="6" a="1"/>
  <c r="T11" i="6" a="1"/>
  <c r="T4" i="6" a="1"/>
  <c r="T13" i="6" a="1"/>
  <c r="Q9" i="6" a="1"/>
  <c r="R6" i="6" a="1"/>
  <c r="R9" i="6" a="1"/>
  <c r="U8" i="6" a="1"/>
  <c r="Q7" i="6" a="1"/>
  <c r="T6" i="6" a="1"/>
  <c r="R2" i="6" a="1"/>
  <c r="U10" i="6" a="1"/>
  <c r="U3" i="6" a="1"/>
  <c r="Q2" i="6" a="1"/>
  <c r="U5" i="6" a="1"/>
  <c r="R13" i="6" a="1"/>
  <c r="U12" i="6" a="1"/>
  <c r="Q11" i="6" a="1"/>
  <c r="T10" i="6" a="1"/>
  <c r="Q4" i="6" a="1"/>
  <c r="T3" i="6" a="1"/>
  <c r="R8" i="6" a="1"/>
  <c r="U7" i="6" a="1"/>
  <c r="T5" i="6" a="1"/>
  <c r="Q6" i="6" a="1"/>
  <c r="U14" i="6" a="1"/>
  <c r="Q13" i="6" a="1"/>
  <c r="T12" i="6" a="1"/>
  <c r="R10" i="6" a="1"/>
  <c r="U9" i="6" a="1"/>
  <c r="T7" i="6" a="1"/>
  <c r="Q8" i="6" a="1"/>
  <c r="R3" i="6" a="1"/>
  <c r="Q10" i="6" a="1"/>
  <c r="U4" i="6" a="1"/>
  <c r="T14" i="6" a="1"/>
  <c r="R5" i="6" a="1"/>
  <c r="U2" i="6" a="1"/>
  <c r="U11" i="6" a="1"/>
  <c r="T9" i="6" a="1"/>
  <c r="Q3" i="6" a="1"/>
  <c r="R12" i="6" a="1"/>
  <c r="R7" i="5" a="1"/>
  <c r="U6" i="5" a="1"/>
  <c r="Q5" i="5" a="1"/>
  <c r="T2" i="5" a="1"/>
  <c r="T13" i="5" a="1"/>
  <c r="R2" i="5" a="1"/>
  <c r="R4" i="5" a="1"/>
  <c r="Q11" i="5" a="1"/>
  <c r="R14" i="5" a="1"/>
  <c r="U13" i="5" a="1"/>
  <c r="Q12" i="5" a="1"/>
  <c r="T11" i="5" a="1"/>
  <c r="T4" i="5" a="1"/>
  <c r="Q14" i="5" a="1"/>
  <c r="Q9" i="5" a="1"/>
  <c r="U3" i="5" a="1"/>
  <c r="R6" i="5" a="1"/>
  <c r="T10" i="5" a="1"/>
  <c r="R9" i="5" a="1"/>
  <c r="U8" i="5" a="1"/>
  <c r="Q7" i="5" a="1"/>
  <c r="T6" i="5" a="1"/>
  <c r="U10" i="5" a="1"/>
  <c r="U5" i="5" a="1"/>
  <c r="R13" i="5" a="1"/>
  <c r="R8" i="5" a="1"/>
  <c r="T5" i="5" a="1"/>
  <c r="U9" i="5" a="1"/>
  <c r="R11" i="5" a="1"/>
  <c r="T8" i="5" a="1"/>
  <c r="Q2" i="5" a="1"/>
  <c r="Q4" i="5" a="1"/>
  <c r="T3" i="5" a="1"/>
  <c r="U7" i="5" a="1"/>
  <c r="Q6" i="5" a="1"/>
  <c r="U12" i="5" a="1"/>
  <c r="Q13" i="5" a="1"/>
  <c r="T12" i="5" a="1"/>
  <c r="R10" i="5" a="1"/>
  <c r="Q8" i="5" a="1"/>
  <c r="T7" i="5" a="1"/>
  <c r="R3" i="5" a="1"/>
  <c r="R12" i="5" a="1"/>
  <c r="U11" i="5" a="1"/>
  <c r="U14" i="5" a="1"/>
  <c r="T14" i="5" a="1"/>
  <c r="R5" i="5" a="1"/>
  <c r="U2" i="5" a="1"/>
  <c r="T9" i="5" a="1"/>
  <c r="U4" i="5" a="1"/>
  <c r="Q3" i="5" a="1"/>
  <c r="Q10" i="5" a="1"/>
  <c r="R7" i="4" a="1"/>
  <c r="U6" i="4" a="1"/>
  <c r="Q5" i="4" a="1"/>
  <c r="T2" i="4" a="1"/>
  <c r="U10" i="4" a="1"/>
  <c r="Q2" i="4" a="1"/>
  <c r="U12" i="4" a="1"/>
  <c r="U7" i="4" a="1"/>
  <c r="U14" i="4" a="1"/>
  <c r="Q8" i="4" a="1"/>
  <c r="R12" i="4" a="1"/>
  <c r="R14" i="4" a="1"/>
  <c r="U13" i="4" a="1"/>
  <c r="Q12" i="4" a="1"/>
  <c r="T11" i="4" a="1"/>
  <c r="T4" i="4" a="1"/>
  <c r="T13" i="4" a="1"/>
  <c r="R11" i="4" a="1"/>
  <c r="Q9" i="4" a="1"/>
  <c r="R4" i="4" a="1"/>
  <c r="U5" i="4" a="1"/>
  <c r="Q11" i="4" a="1"/>
  <c r="Q4" i="4" a="1"/>
  <c r="T5" i="4" a="1"/>
  <c r="R3" i="4" a="1"/>
  <c r="T14" i="4" a="1"/>
  <c r="R9" i="4" a="1"/>
  <c r="U8" i="4" a="1"/>
  <c r="Q7" i="4" a="1"/>
  <c r="T6" i="4" a="1"/>
  <c r="Q14" i="4" a="1"/>
  <c r="R2" i="4" a="1"/>
  <c r="T8" i="4" a="1"/>
  <c r="R6" i="4" a="1"/>
  <c r="R13" i="4" a="1"/>
  <c r="T10" i="4" a="1"/>
  <c r="T3" i="4" a="1"/>
  <c r="R8" i="4" a="1"/>
  <c r="T12" i="4" a="1"/>
  <c r="U9" i="4" a="1"/>
  <c r="U2" i="4" a="1"/>
  <c r="U11" i="4" a="1"/>
  <c r="Q10" i="4" a="1"/>
  <c r="T7" i="4" a="1"/>
  <c r="U3" i="4" a="1"/>
  <c r="Q6" i="4" a="1"/>
  <c r="Q13" i="4" a="1"/>
  <c r="R10" i="4" a="1"/>
  <c r="R5" i="4" a="1"/>
  <c r="T9" i="4" a="1"/>
  <c r="U4" i="4" a="1"/>
  <c r="Q3" i="4" a="1"/>
  <c r="R7" i="3" a="1"/>
  <c r="R14" i="3" a="1"/>
  <c r="U13" i="3" a="1"/>
  <c r="Q12" i="3" a="1"/>
  <c r="T11" i="3" a="1"/>
  <c r="T4" i="3" a="1"/>
  <c r="T6" i="3" a="1"/>
  <c r="T8" i="3" a="1"/>
  <c r="R9" i="3" a="1"/>
  <c r="U8" i="3" a="1"/>
  <c r="Q7" i="3" a="1"/>
  <c r="Q14" i="3" a="1"/>
  <c r="T13" i="3" a="1"/>
  <c r="R2" i="3" a="1"/>
  <c r="R4" i="3" a="1"/>
  <c r="R11" i="3" a="1"/>
  <c r="U10" i="3" a="1"/>
  <c r="Q9" i="3" a="1"/>
  <c r="R6" i="3" a="1"/>
  <c r="U5" i="3" a="1"/>
  <c r="Q2" i="3" a="1"/>
  <c r="R13" i="3" a="1"/>
  <c r="U12" i="3" a="1"/>
  <c r="Q11" i="3" a="1"/>
  <c r="T10" i="3" a="1"/>
  <c r="Q4" i="3" a="1"/>
  <c r="T3" i="3" a="1"/>
  <c r="R8" i="3" a="1"/>
  <c r="U7" i="3" a="1"/>
  <c r="Q6" i="3" a="1"/>
  <c r="T5" i="3" a="1"/>
  <c r="U14" i="3" a="1"/>
  <c r="Q13" i="3" a="1"/>
  <c r="T12" i="3" a="1"/>
  <c r="T7" i="3" a="1"/>
  <c r="R10" i="3" a="1"/>
  <c r="U9" i="3" a="1"/>
  <c r="Q8" i="3" a="1"/>
  <c r="R3" i="3" a="1"/>
  <c r="T14" i="3" a="1"/>
  <c r="R5" i="3" a="1"/>
  <c r="U2" i="3" a="1"/>
  <c r="R12" i="3" a="1"/>
  <c r="U11" i="3" a="1"/>
  <c r="Q10" i="3" a="1"/>
  <c r="T9" i="3" a="1"/>
  <c r="U4" i="3" a="1"/>
  <c r="Q3" i="3" a="1"/>
  <c r="U6" i="3" a="1"/>
  <c r="Q5" i="3" a="1"/>
  <c r="T2" i="3" a="1"/>
  <c r="U3" i="3" a="1"/>
  <c r="R37" i="9" l="1"/>
  <c r="Q35" i="9"/>
  <c r="T36" i="9"/>
  <c r="Q41" i="9"/>
  <c r="S41" i="9" s="1"/>
  <c r="T40" i="9"/>
  <c r="R31" i="9"/>
  <c r="U30" i="9"/>
  <c r="Q29" i="9"/>
  <c r="T28" i="9"/>
  <c r="R19" i="9"/>
  <c r="U18" i="9"/>
  <c r="Q17" i="9"/>
  <c r="S17" i="9" s="1"/>
  <c r="V17" i="9" s="1"/>
  <c r="AC17" i="9" s="1"/>
  <c r="T16" i="9"/>
  <c r="R38" i="9"/>
  <c r="U37" i="9"/>
  <c r="T35" i="9"/>
  <c r="R26" i="9"/>
  <c r="U25" i="9"/>
  <c r="Q24" i="9"/>
  <c r="S24" i="9" s="1"/>
  <c r="V24" i="9" s="1"/>
  <c r="AC24" i="9" s="1"/>
  <c r="T23" i="9"/>
  <c r="Q31" i="9"/>
  <c r="R21" i="9"/>
  <c r="U20" i="9"/>
  <c r="Q19" i="9"/>
  <c r="S19" i="9" s="1"/>
  <c r="V19" i="9" s="1"/>
  <c r="AC19" i="9" s="1"/>
  <c r="T18" i="9"/>
  <c r="T37" i="9"/>
  <c r="U27" i="9"/>
  <c r="Q26" i="9"/>
  <c r="T25" i="9"/>
  <c r="R16" i="9"/>
  <c r="U15" i="9"/>
  <c r="Q33" i="9"/>
  <c r="R23" i="9"/>
  <c r="U22" i="9"/>
  <c r="T20" i="9"/>
  <c r="R33" i="9"/>
  <c r="U32" i="9"/>
  <c r="T30" i="9"/>
  <c r="R40" i="9"/>
  <c r="U39" i="9"/>
  <c r="Q38" i="9"/>
  <c r="S38" i="9" s="1"/>
  <c r="R28" i="9"/>
  <c r="R35" i="9"/>
  <c r="U34" i="9"/>
  <c r="T32" i="9"/>
  <c r="Q21" i="9"/>
  <c r="S21" i="9" s="1"/>
  <c r="U41" i="9"/>
  <c r="Q40" i="9"/>
  <c r="S40" i="9" s="1"/>
  <c r="V40" i="9" s="1"/>
  <c r="AC40" i="9" s="1"/>
  <c r="T39" i="9"/>
  <c r="R30" i="9"/>
  <c r="U29" i="9"/>
  <c r="Q28" i="9"/>
  <c r="T27" i="9"/>
  <c r="R18" i="9"/>
  <c r="U17" i="9"/>
  <c r="Q16" i="9"/>
  <c r="T15" i="9"/>
  <c r="U24" i="9"/>
  <c r="Q23" i="9"/>
  <c r="S23" i="9" s="1"/>
  <c r="V23" i="9" s="1"/>
  <c r="AC23" i="9" s="1"/>
  <c r="T22" i="9"/>
  <c r="T41" i="9"/>
  <c r="R32" i="9"/>
  <c r="U31" i="9"/>
  <c r="Q30" i="9"/>
  <c r="S30" i="9" s="1"/>
  <c r="T29" i="9"/>
  <c r="R20" i="9"/>
  <c r="U19" i="9"/>
  <c r="Q18" i="9"/>
  <c r="T17" i="9"/>
  <c r="U38" i="9"/>
  <c r="R27" i="9"/>
  <c r="U26" i="9"/>
  <c r="Q25" i="9"/>
  <c r="T24" i="9"/>
  <c r="R15" i="9"/>
  <c r="Q36" i="9"/>
  <c r="U36" i="9"/>
  <c r="R39" i="9"/>
  <c r="U33" i="9"/>
  <c r="Q32" i="9"/>
  <c r="S32" i="9" s="1"/>
  <c r="T31" i="9"/>
  <c r="R22" i="9"/>
  <c r="U21" i="9"/>
  <c r="Q20" i="9"/>
  <c r="S20" i="9" s="1"/>
  <c r="V20" i="9" s="1"/>
  <c r="AC20" i="9" s="1"/>
  <c r="T19" i="9"/>
  <c r="R41" i="9"/>
  <c r="U40" i="9"/>
  <c r="Q39" i="9"/>
  <c r="U28" i="9"/>
  <c r="Q27" i="9"/>
  <c r="T26" i="9"/>
  <c r="R17" i="9"/>
  <c r="U16" i="9"/>
  <c r="Q15" i="9"/>
  <c r="S15" i="9" s="1"/>
  <c r="T34" i="9"/>
  <c r="R25" i="9"/>
  <c r="Q37" i="9"/>
  <c r="S37" i="9" s="1"/>
  <c r="V37" i="9" s="1"/>
  <c r="AC37" i="9" s="1"/>
  <c r="R34" i="9"/>
  <c r="T38" i="9"/>
  <c r="R29" i="9"/>
  <c r="R36" i="9"/>
  <c r="U35" i="9"/>
  <c r="Q34" i="9"/>
  <c r="S34" i="9" s="1"/>
  <c r="T33" i="9"/>
  <c r="R24" i="9"/>
  <c r="U23" i="9"/>
  <c r="Q22" i="9"/>
  <c r="S22" i="9" s="1"/>
  <c r="T21" i="9"/>
  <c r="Q17" i="8"/>
  <c r="U25" i="8"/>
  <c r="U20" i="8"/>
  <c r="U27" i="8"/>
  <c r="Q26" i="8"/>
  <c r="T25" i="8"/>
  <c r="R16" i="8"/>
  <c r="U15" i="8"/>
  <c r="R23" i="8"/>
  <c r="U22" i="8"/>
  <c r="Q21" i="8"/>
  <c r="T20" i="8"/>
  <c r="T27" i="8"/>
  <c r="R18" i="8"/>
  <c r="U17" i="8"/>
  <c r="Q16" i="8"/>
  <c r="T15" i="8"/>
  <c r="R25" i="8"/>
  <c r="U24" i="8"/>
  <c r="Q23" i="8"/>
  <c r="T22" i="8"/>
  <c r="R20" i="8"/>
  <c r="U19" i="8"/>
  <c r="Q18" i="8"/>
  <c r="S18" i="8" s="1"/>
  <c r="T17" i="8"/>
  <c r="R27" i="8"/>
  <c r="U26" i="8"/>
  <c r="Q25" i="8"/>
  <c r="T24" i="8"/>
  <c r="R15" i="8"/>
  <c r="R19" i="8"/>
  <c r="R26" i="8"/>
  <c r="Q19" i="8"/>
  <c r="S19" i="8" s="1"/>
  <c r="V19" i="8" s="1"/>
  <c r="AC19" i="8" s="1"/>
  <c r="R22" i="8"/>
  <c r="U21" i="8"/>
  <c r="Q20" i="8"/>
  <c r="S20" i="8" s="1"/>
  <c r="V20" i="8" s="1"/>
  <c r="AC20" i="8" s="1"/>
  <c r="T19" i="8"/>
  <c r="U18" i="8"/>
  <c r="T23" i="8"/>
  <c r="Q27" i="8"/>
  <c r="S27" i="8" s="1"/>
  <c r="V27" i="8" s="1"/>
  <c r="AC27" i="8" s="1"/>
  <c r="T26" i="8"/>
  <c r="R17" i="8"/>
  <c r="U16" i="8"/>
  <c r="Q15" i="8"/>
  <c r="S15" i="8" s="1"/>
  <c r="V15" i="8" s="1"/>
  <c r="AC15" i="8" s="1"/>
  <c r="T16" i="8"/>
  <c r="Q24" i="8"/>
  <c r="S24" i="8" s="1"/>
  <c r="V24" i="8" s="1"/>
  <c r="AC24" i="8" s="1"/>
  <c r="R21" i="8"/>
  <c r="T18" i="8"/>
  <c r="R24" i="8"/>
  <c r="U23" i="8"/>
  <c r="Q22" i="8"/>
  <c r="T21" i="8"/>
  <c r="Q41" i="7"/>
  <c r="R31" i="7"/>
  <c r="U30" i="7"/>
  <c r="Q29" i="7"/>
  <c r="T28" i="7"/>
  <c r="R19" i="7"/>
  <c r="U18" i="7"/>
  <c r="Q17" i="7"/>
  <c r="S17" i="7" s="1"/>
  <c r="T16" i="7"/>
  <c r="R43" i="7"/>
  <c r="T47" i="7"/>
  <c r="R38" i="7"/>
  <c r="U37" i="7"/>
  <c r="Q36" i="7"/>
  <c r="T35" i="7"/>
  <c r="R26" i="7"/>
  <c r="U25" i="7"/>
  <c r="Q24" i="7"/>
  <c r="T23" i="7"/>
  <c r="T40" i="7"/>
  <c r="R45" i="7"/>
  <c r="U44" i="7"/>
  <c r="Q43" i="7"/>
  <c r="S43" i="7" s="1"/>
  <c r="T42" i="7"/>
  <c r="R33" i="7"/>
  <c r="U32" i="7"/>
  <c r="Q31" i="7"/>
  <c r="S31" i="7" s="1"/>
  <c r="T30" i="7"/>
  <c r="R21" i="7"/>
  <c r="U20" i="7"/>
  <c r="Q19" i="7"/>
  <c r="S19" i="7" s="1"/>
  <c r="T18" i="7"/>
  <c r="U27" i="7"/>
  <c r="Q26" i="7"/>
  <c r="S26" i="7" s="1"/>
  <c r="T25" i="7"/>
  <c r="R16" i="7"/>
  <c r="U15" i="7"/>
  <c r="Q33" i="7"/>
  <c r="T32" i="7"/>
  <c r="R23" i="7"/>
  <c r="U22" i="7"/>
  <c r="Q21" i="7"/>
  <c r="S21" i="7" s="1"/>
  <c r="T20" i="7"/>
  <c r="R42" i="7"/>
  <c r="U41" i="7"/>
  <c r="Q40" i="7"/>
  <c r="S40" i="7" s="1"/>
  <c r="T39" i="7"/>
  <c r="R30" i="7"/>
  <c r="U29" i="7"/>
  <c r="Q28" i="7"/>
  <c r="T27" i="7"/>
  <c r="R18" i="7"/>
  <c r="U17" i="7"/>
  <c r="Q16" i="7"/>
  <c r="T15" i="7"/>
  <c r="Q47" i="7"/>
  <c r="T46" i="7"/>
  <c r="R37" i="7"/>
  <c r="U36" i="7"/>
  <c r="Q35" i="7"/>
  <c r="S35" i="7" s="1"/>
  <c r="V35" i="7" s="1"/>
  <c r="AC35" i="7" s="1"/>
  <c r="T34" i="7"/>
  <c r="R25" i="7"/>
  <c r="U24" i="7"/>
  <c r="Q23" i="7"/>
  <c r="S23" i="7" s="1"/>
  <c r="T22" i="7"/>
  <c r="R20" i="7"/>
  <c r="U19" i="7"/>
  <c r="Q18" i="7"/>
  <c r="S18" i="7" s="1"/>
  <c r="V18" i="7" s="1"/>
  <c r="AC18" i="7" s="1"/>
  <c r="T17" i="7"/>
  <c r="T37" i="7"/>
  <c r="R47" i="7"/>
  <c r="Q45" i="7"/>
  <c r="S45" i="7" s="1"/>
  <c r="V45" i="7" s="1"/>
  <c r="AC45" i="7" s="1"/>
  <c r="U34" i="7"/>
  <c r="Q30" i="7"/>
  <c r="R39" i="7"/>
  <c r="U38" i="7"/>
  <c r="Q37" i="7"/>
  <c r="T36" i="7"/>
  <c r="R27" i="7"/>
  <c r="U26" i="7"/>
  <c r="Q25" i="7"/>
  <c r="S25" i="7" s="1"/>
  <c r="T24" i="7"/>
  <c r="R15" i="7"/>
  <c r="Q38" i="7"/>
  <c r="S38" i="7" s="1"/>
  <c r="V38" i="7" s="1"/>
  <c r="AC38" i="7" s="1"/>
  <c r="U46" i="7"/>
  <c r="T44" i="7"/>
  <c r="R35" i="7"/>
  <c r="R44" i="7"/>
  <c r="U43" i="7"/>
  <c r="Q42" i="7"/>
  <c r="T29" i="7"/>
  <c r="R46" i="7"/>
  <c r="U45" i="7"/>
  <c r="Q44" i="7"/>
  <c r="S44" i="7" s="1"/>
  <c r="V44" i="7" s="1"/>
  <c r="AC44" i="7" s="1"/>
  <c r="T43" i="7"/>
  <c r="R34" i="7"/>
  <c r="U33" i="7"/>
  <c r="Q32" i="7"/>
  <c r="T31" i="7"/>
  <c r="R22" i="7"/>
  <c r="U21" i="7"/>
  <c r="Q20" i="7"/>
  <c r="S20" i="7" s="1"/>
  <c r="T19" i="7"/>
  <c r="T41" i="7"/>
  <c r="R29" i="7"/>
  <c r="U28" i="7"/>
  <c r="Q27" i="7"/>
  <c r="S27" i="7" s="1"/>
  <c r="V27" i="7" s="1"/>
  <c r="AC27" i="7" s="1"/>
  <c r="T26" i="7"/>
  <c r="R17" i="7"/>
  <c r="U16" i="7"/>
  <c r="Q15" i="7"/>
  <c r="U42" i="7"/>
  <c r="R40" i="7"/>
  <c r="U39" i="7"/>
  <c r="R28" i="7"/>
  <c r="R32" i="7"/>
  <c r="U31" i="7"/>
  <c r="R41" i="7"/>
  <c r="U40" i="7"/>
  <c r="Q39" i="7"/>
  <c r="S39" i="7" s="1"/>
  <c r="V39" i="7" s="1"/>
  <c r="AC39" i="7" s="1"/>
  <c r="T38" i="7"/>
  <c r="U47" i="7"/>
  <c r="Q46" i="7"/>
  <c r="T45" i="7"/>
  <c r="R36" i="7"/>
  <c r="U35" i="7"/>
  <c r="Q34" i="7"/>
  <c r="T33" i="7"/>
  <c r="R24" i="7"/>
  <c r="U23" i="7"/>
  <c r="Q22" i="7"/>
  <c r="S22" i="7" s="1"/>
  <c r="V22" i="7" s="1"/>
  <c r="AC22" i="7" s="1"/>
  <c r="T21" i="7"/>
  <c r="R55" i="6"/>
  <c r="T52" i="6"/>
  <c r="R43" i="6"/>
  <c r="T40" i="6"/>
  <c r="R31" i="6"/>
  <c r="U30" i="6"/>
  <c r="Q29" i="6"/>
  <c r="S29" i="6" s="1"/>
  <c r="T28" i="6"/>
  <c r="R19" i="6"/>
  <c r="U18" i="6"/>
  <c r="Q17" i="6"/>
  <c r="S17" i="6" s="1"/>
  <c r="T16" i="6"/>
  <c r="U37" i="6"/>
  <c r="Q36" i="6"/>
  <c r="T35" i="6"/>
  <c r="R26" i="6"/>
  <c r="U25" i="6"/>
  <c r="Q24" i="6"/>
  <c r="S24" i="6" s="1"/>
  <c r="T23" i="6"/>
  <c r="T47" i="6"/>
  <c r="R38" i="6"/>
  <c r="Q55" i="6"/>
  <c r="S55" i="6" s="1"/>
  <c r="V55" i="6" s="1"/>
  <c r="AC55" i="6" s="1"/>
  <c r="T54" i="6"/>
  <c r="R45" i="6"/>
  <c r="U44" i="6"/>
  <c r="Q43" i="6"/>
  <c r="T42" i="6"/>
  <c r="R33" i="6"/>
  <c r="U32" i="6"/>
  <c r="Q31" i="6"/>
  <c r="S31" i="6" s="1"/>
  <c r="V31" i="6" s="1"/>
  <c r="AC31" i="6" s="1"/>
  <c r="T30" i="6"/>
  <c r="R21" i="6"/>
  <c r="U20" i="6"/>
  <c r="Q19" i="6"/>
  <c r="S19" i="6" s="1"/>
  <c r="V19" i="6" s="1"/>
  <c r="AC19" i="6" s="1"/>
  <c r="T18" i="6"/>
  <c r="Q53" i="6"/>
  <c r="S53" i="6" s="1"/>
  <c r="V53" i="6" s="1"/>
  <c r="AC53" i="6" s="1"/>
  <c r="U42" i="6"/>
  <c r="R50" i="6"/>
  <c r="U51" i="6"/>
  <c r="Q50" i="6"/>
  <c r="S50" i="6" s="1"/>
  <c r="T49" i="6"/>
  <c r="R40" i="6"/>
  <c r="U39" i="6"/>
  <c r="Q38" i="6"/>
  <c r="T37" i="6"/>
  <c r="R28" i="6"/>
  <c r="U27" i="6"/>
  <c r="Q26" i="6"/>
  <c r="S26" i="6" s="1"/>
  <c r="V26" i="6" s="1"/>
  <c r="AC26" i="6" s="1"/>
  <c r="T25" i="6"/>
  <c r="R16" i="6"/>
  <c r="U15" i="6"/>
  <c r="U49" i="6"/>
  <c r="R47" i="6"/>
  <c r="U46" i="6"/>
  <c r="Q45" i="6"/>
  <c r="T44" i="6"/>
  <c r="R35" i="6"/>
  <c r="U34" i="6"/>
  <c r="Q33" i="6"/>
  <c r="S33" i="6" s="1"/>
  <c r="V33" i="6" s="1"/>
  <c r="AC33" i="6" s="1"/>
  <c r="T32" i="6"/>
  <c r="R23" i="6"/>
  <c r="U22" i="6"/>
  <c r="Q21" i="6"/>
  <c r="T20" i="6"/>
  <c r="Q48" i="6"/>
  <c r="R52" i="6"/>
  <c r="R54" i="6"/>
  <c r="U53" i="6"/>
  <c r="Q52" i="6"/>
  <c r="S52" i="6" s="1"/>
  <c r="V52" i="6" s="1"/>
  <c r="AC52" i="6" s="1"/>
  <c r="T51" i="6"/>
  <c r="R42" i="6"/>
  <c r="U41" i="6"/>
  <c r="Q40" i="6"/>
  <c r="T39" i="6"/>
  <c r="R30" i="6"/>
  <c r="U29" i="6"/>
  <c r="Q28" i="6"/>
  <c r="T27" i="6"/>
  <c r="R18" i="6"/>
  <c r="U17" i="6"/>
  <c r="Q16" i="6"/>
  <c r="S16" i="6" s="1"/>
  <c r="T15" i="6"/>
  <c r="U54" i="6"/>
  <c r="Q41" i="6"/>
  <c r="S41" i="6" s="1"/>
  <c r="V41" i="6" s="1"/>
  <c r="AC41" i="6" s="1"/>
  <c r="R49" i="6"/>
  <c r="U48" i="6"/>
  <c r="Q47" i="6"/>
  <c r="T46" i="6"/>
  <c r="R37" i="6"/>
  <c r="U36" i="6"/>
  <c r="Q35" i="6"/>
  <c r="T34" i="6"/>
  <c r="R25" i="6"/>
  <c r="U24" i="6"/>
  <c r="Q23" i="6"/>
  <c r="S23" i="6" s="1"/>
  <c r="V23" i="6" s="1"/>
  <c r="AC23" i="6" s="1"/>
  <c r="T22" i="6"/>
  <c r="U43" i="6"/>
  <c r="Q42" i="6"/>
  <c r="T41" i="6"/>
  <c r="R32" i="6"/>
  <c r="U31" i="6"/>
  <c r="Q30" i="6"/>
  <c r="S30" i="6" s="1"/>
  <c r="T29" i="6"/>
  <c r="R20" i="6"/>
  <c r="U19" i="6"/>
  <c r="Q18" i="6"/>
  <c r="S18" i="6" s="1"/>
  <c r="T17" i="6"/>
  <c r="T48" i="6"/>
  <c r="R39" i="6"/>
  <c r="U38" i="6"/>
  <c r="Q37" i="6"/>
  <c r="T24" i="6"/>
  <c r="R15" i="6"/>
  <c r="R27" i="6"/>
  <c r="T55" i="6"/>
  <c r="R46" i="6"/>
  <c r="U45" i="6"/>
  <c r="Q44" i="6"/>
  <c r="T43" i="6"/>
  <c r="R34" i="6"/>
  <c r="U33" i="6"/>
  <c r="Q32" i="6"/>
  <c r="T31" i="6"/>
  <c r="R22" i="6"/>
  <c r="U21" i="6"/>
  <c r="Q20" i="6"/>
  <c r="T19" i="6"/>
  <c r="U55" i="6"/>
  <c r="T53" i="6"/>
  <c r="R44" i="6"/>
  <c r="R51" i="6"/>
  <c r="U50" i="6"/>
  <c r="Q49" i="6"/>
  <c r="S49" i="6" s="1"/>
  <c r="T36" i="6"/>
  <c r="U26" i="6"/>
  <c r="Q25" i="6"/>
  <c r="R53" i="6"/>
  <c r="U52" i="6"/>
  <c r="Q51" i="6"/>
  <c r="T50" i="6"/>
  <c r="R41" i="6"/>
  <c r="U40" i="6"/>
  <c r="Q39" i="6"/>
  <c r="S39" i="6" s="1"/>
  <c r="V39" i="6" s="1"/>
  <c r="AC39" i="6" s="1"/>
  <c r="T38" i="6"/>
  <c r="R29" i="6"/>
  <c r="U28" i="6"/>
  <c r="Q27" i="6"/>
  <c r="T26" i="6"/>
  <c r="R17" i="6"/>
  <c r="U16" i="6"/>
  <c r="Q15" i="6"/>
  <c r="S15" i="6" s="1"/>
  <c r="Q54" i="6"/>
  <c r="S54" i="6" s="1"/>
  <c r="R48" i="6"/>
  <c r="U47" i="6"/>
  <c r="Q46" i="6"/>
  <c r="S46" i="6" s="1"/>
  <c r="V46" i="6" s="1"/>
  <c r="AC46" i="6" s="1"/>
  <c r="T45" i="6"/>
  <c r="R36" i="6"/>
  <c r="U35" i="6"/>
  <c r="Q34" i="6"/>
  <c r="T33" i="6"/>
  <c r="R24" i="6"/>
  <c r="U23" i="6"/>
  <c r="Q22" i="6"/>
  <c r="S22" i="6" s="1"/>
  <c r="T21" i="6"/>
  <c r="R31" i="5"/>
  <c r="U30" i="5"/>
  <c r="T28" i="5"/>
  <c r="U18" i="5"/>
  <c r="R26" i="5"/>
  <c r="U25" i="5"/>
  <c r="Q24" i="5"/>
  <c r="S24" i="5" s="1"/>
  <c r="T23" i="5"/>
  <c r="Q29" i="5"/>
  <c r="R19" i="5"/>
  <c r="T18" i="5"/>
  <c r="T25" i="5"/>
  <c r="R16" i="5"/>
  <c r="U15" i="5"/>
  <c r="Q33" i="5"/>
  <c r="S33" i="5" s="1"/>
  <c r="Q21" i="5"/>
  <c r="T20" i="5"/>
  <c r="Q28" i="5"/>
  <c r="T27" i="5"/>
  <c r="R18" i="5"/>
  <c r="U17" i="5"/>
  <c r="Q16" i="5"/>
  <c r="S16" i="5" s="1"/>
  <c r="V16" i="5" s="1"/>
  <c r="AC16" i="5" s="1"/>
  <c r="T15" i="5"/>
  <c r="T22" i="5"/>
  <c r="T16" i="5"/>
  <c r="R33" i="5"/>
  <c r="T30" i="5"/>
  <c r="Q19" i="5"/>
  <c r="U27" i="5"/>
  <c r="U34" i="5"/>
  <c r="U22" i="5"/>
  <c r="U29" i="5"/>
  <c r="R25" i="5"/>
  <c r="R32" i="5"/>
  <c r="U31" i="5"/>
  <c r="Q30" i="5"/>
  <c r="S30" i="5" s="1"/>
  <c r="V30" i="5" s="1"/>
  <c r="AC30" i="5" s="1"/>
  <c r="R20" i="5"/>
  <c r="R27" i="5"/>
  <c r="U26" i="5"/>
  <c r="Q25" i="5"/>
  <c r="T24" i="5"/>
  <c r="R15" i="5"/>
  <c r="R23" i="5"/>
  <c r="R30" i="5"/>
  <c r="T34" i="5"/>
  <c r="U24" i="5"/>
  <c r="Q23" i="5"/>
  <c r="S23" i="5" s="1"/>
  <c r="V23" i="5" s="1"/>
  <c r="AC23" i="5" s="1"/>
  <c r="T29" i="5"/>
  <c r="U19" i="5"/>
  <c r="R34" i="5"/>
  <c r="U33" i="5"/>
  <c r="Q32" i="5"/>
  <c r="T31" i="5"/>
  <c r="R22" i="5"/>
  <c r="U21" i="5"/>
  <c r="Q20" i="5"/>
  <c r="S20" i="5" s="1"/>
  <c r="T19" i="5"/>
  <c r="T17" i="5"/>
  <c r="R29" i="5"/>
  <c r="U28" i="5"/>
  <c r="Q27" i="5"/>
  <c r="T26" i="5"/>
  <c r="R17" i="5"/>
  <c r="U16" i="5"/>
  <c r="Q15" i="5"/>
  <c r="Q17" i="5"/>
  <c r="S17" i="5" s="1"/>
  <c r="U32" i="5"/>
  <c r="Q31" i="5"/>
  <c r="S31" i="5" s="1"/>
  <c r="R21" i="5"/>
  <c r="U20" i="5"/>
  <c r="R28" i="5"/>
  <c r="Q26" i="5"/>
  <c r="S26" i="5" s="1"/>
  <c r="V26" i="5" s="1"/>
  <c r="AC26" i="5" s="1"/>
  <c r="T32" i="5"/>
  <c r="Q18" i="5"/>
  <c r="Q34" i="5"/>
  <c r="S34" i="5" s="1"/>
  <c r="T33" i="5"/>
  <c r="R24" i="5"/>
  <c r="U23" i="5"/>
  <c r="Q22" i="5"/>
  <c r="S22" i="5" s="1"/>
  <c r="T21" i="5"/>
  <c r="R26" i="4"/>
  <c r="T30" i="4"/>
  <c r="R23" i="4"/>
  <c r="R25" i="4"/>
  <c r="R31" i="4"/>
  <c r="U30" i="4"/>
  <c r="Q29" i="4"/>
  <c r="S29" i="4" s="1"/>
  <c r="T28" i="4"/>
  <c r="R19" i="4"/>
  <c r="U18" i="4"/>
  <c r="Q17" i="4"/>
  <c r="S17" i="4" s="1"/>
  <c r="V17" i="4" s="1"/>
  <c r="AC17" i="4" s="1"/>
  <c r="T16" i="4"/>
  <c r="Q24" i="4"/>
  <c r="T23" i="4"/>
  <c r="Q19" i="4"/>
  <c r="T18" i="4"/>
  <c r="T25" i="4"/>
  <c r="R16" i="4"/>
  <c r="U15" i="4"/>
  <c r="Q21" i="4"/>
  <c r="T20" i="4"/>
  <c r="R21" i="4"/>
  <c r="R30" i="4"/>
  <c r="Q28" i="4"/>
  <c r="S28" i="4" s="1"/>
  <c r="V28" i="4" s="1"/>
  <c r="AC28" i="4" s="1"/>
  <c r="T27" i="4"/>
  <c r="R18" i="4"/>
  <c r="U17" i="4"/>
  <c r="Q16" i="4"/>
  <c r="T15" i="4"/>
  <c r="U27" i="4"/>
  <c r="T22" i="4"/>
  <c r="U25" i="4"/>
  <c r="Q26" i="4"/>
  <c r="S26" i="4" s="1"/>
  <c r="V26" i="4" s="1"/>
  <c r="AC26" i="4" s="1"/>
  <c r="Q30" i="4"/>
  <c r="R28" i="4"/>
  <c r="R15" i="4"/>
  <c r="Q31" i="4"/>
  <c r="U31" i="4"/>
  <c r="R20" i="4"/>
  <c r="Q18" i="4"/>
  <c r="S18" i="4" s="1"/>
  <c r="U26" i="4"/>
  <c r="T24" i="4"/>
  <c r="T31" i="4"/>
  <c r="R22" i="4"/>
  <c r="U21" i="4"/>
  <c r="Q20" i="4"/>
  <c r="S20" i="4" s="1"/>
  <c r="V20" i="4" s="1"/>
  <c r="AC20" i="4" s="1"/>
  <c r="T19" i="4"/>
  <c r="T29" i="4"/>
  <c r="R29" i="4"/>
  <c r="U28" i="4"/>
  <c r="Q27" i="4"/>
  <c r="T26" i="4"/>
  <c r="R17" i="4"/>
  <c r="U16" i="4"/>
  <c r="Q15" i="4"/>
  <c r="U20" i="4"/>
  <c r="U22" i="4"/>
  <c r="U29" i="4"/>
  <c r="U24" i="4"/>
  <c r="Q23" i="4"/>
  <c r="S23" i="4" s="1"/>
  <c r="V23" i="4" s="1"/>
  <c r="AC23" i="4" s="1"/>
  <c r="U19" i="4"/>
  <c r="T17" i="4"/>
  <c r="R27" i="4"/>
  <c r="Q25" i="4"/>
  <c r="S25" i="4" s="1"/>
  <c r="R24" i="4"/>
  <c r="U23" i="4"/>
  <c r="Q22" i="4"/>
  <c r="T21" i="4"/>
  <c r="T28" i="3"/>
  <c r="R19" i="3"/>
  <c r="U18" i="3"/>
  <c r="Q17" i="3"/>
  <c r="S17" i="3" s="1"/>
  <c r="T16" i="3"/>
  <c r="R26" i="3"/>
  <c r="Q24" i="3"/>
  <c r="T23" i="3"/>
  <c r="R37" i="3"/>
  <c r="Q35" i="3"/>
  <c r="S35" i="3" s="1"/>
  <c r="V35" i="3" s="1"/>
  <c r="AC35" i="3" s="1"/>
  <c r="T34" i="3"/>
  <c r="R25" i="3"/>
  <c r="U24" i="3"/>
  <c r="T40" i="3"/>
  <c r="U30" i="3"/>
  <c r="U37" i="3"/>
  <c r="T35" i="3"/>
  <c r="T30" i="3"/>
  <c r="R21" i="3"/>
  <c r="U20" i="3"/>
  <c r="Q19" i="3"/>
  <c r="S19" i="3" s="1"/>
  <c r="T18" i="3"/>
  <c r="U31" i="3"/>
  <c r="T29" i="3"/>
  <c r="Q41" i="3"/>
  <c r="R31" i="3"/>
  <c r="Q29" i="3"/>
  <c r="R38" i="3"/>
  <c r="Q36" i="3"/>
  <c r="U25" i="3"/>
  <c r="R33" i="3"/>
  <c r="U32" i="3"/>
  <c r="Q31" i="3"/>
  <c r="S31" i="3" s="1"/>
  <c r="R40" i="3"/>
  <c r="U39" i="3"/>
  <c r="Q38" i="3"/>
  <c r="S38" i="3" s="1"/>
  <c r="V38" i="3" s="1"/>
  <c r="AC38" i="3" s="1"/>
  <c r="T37" i="3"/>
  <c r="R28" i="3"/>
  <c r="U27" i="3"/>
  <c r="Q26" i="3"/>
  <c r="T25" i="3"/>
  <c r="R16" i="3"/>
  <c r="U15" i="3"/>
  <c r="Q33" i="3"/>
  <c r="T32" i="3"/>
  <c r="R23" i="3"/>
  <c r="U22" i="3"/>
  <c r="Q21" i="3"/>
  <c r="S21" i="3" s="1"/>
  <c r="T20" i="3"/>
  <c r="T41" i="3"/>
  <c r="R35" i="3"/>
  <c r="U34" i="3"/>
  <c r="U41" i="3"/>
  <c r="Q40" i="3"/>
  <c r="T39" i="3"/>
  <c r="R30" i="3"/>
  <c r="U29" i="3"/>
  <c r="Q28" i="3"/>
  <c r="S28" i="3" s="1"/>
  <c r="T27" i="3"/>
  <c r="R18" i="3"/>
  <c r="U17" i="3"/>
  <c r="Q16" i="3"/>
  <c r="T15" i="3"/>
  <c r="Q23" i="3"/>
  <c r="T22" i="3"/>
  <c r="U19" i="3"/>
  <c r="Q18" i="3"/>
  <c r="T17" i="3"/>
  <c r="U36" i="3"/>
  <c r="R39" i="3"/>
  <c r="Q37" i="3"/>
  <c r="S37" i="3" s="1"/>
  <c r="V37" i="3" s="1"/>
  <c r="AC37" i="3" s="1"/>
  <c r="R27" i="3"/>
  <c r="U26" i="3"/>
  <c r="Q25" i="3"/>
  <c r="T24" i="3"/>
  <c r="R15" i="3"/>
  <c r="U33" i="3"/>
  <c r="T31" i="3"/>
  <c r="R22" i="3"/>
  <c r="U21" i="3"/>
  <c r="Q20" i="3"/>
  <c r="S20" i="3" s="1"/>
  <c r="V20" i="3" s="1"/>
  <c r="AC20" i="3" s="1"/>
  <c r="T19" i="3"/>
  <c r="R32" i="3"/>
  <c r="Q30" i="3"/>
  <c r="S30" i="3" s="1"/>
  <c r="V30" i="3" s="1"/>
  <c r="AC30" i="3" s="1"/>
  <c r="R20" i="3"/>
  <c r="U38" i="3"/>
  <c r="T36" i="3"/>
  <c r="R34" i="3"/>
  <c r="Q32" i="3"/>
  <c r="R41" i="3"/>
  <c r="U40" i="3"/>
  <c r="Q39" i="3"/>
  <c r="T38" i="3"/>
  <c r="R29" i="3"/>
  <c r="U28" i="3"/>
  <c r="Q27" i="3"/>
  <c r="S27" i="3" s="1"/>
  <c r="V27" i="3" s="1"/>
  <c r="AC27" i="3" s="1"/>
  <c r="T26" i="3"/>
  <c r="R17" i="3"/>
  <c r="U16" i="3"/>
  <c r="Q15" i="3"/>
  <c r="R36" i="3"/>
  <c r="U35" i="3"/>
  <c r="Q34" i="3"/>
  <c r="S34" i="3" s="1"/>
  <c r="T33" i="3"/>
  <c r="R24" i="3"/>
  <c r="U23" i="3"/>
  <c r="Q22" i="3"/>
  <c r="S22" i="3" s="1"/>
  <c r="V22" i="3" s="1"/>
  <c r="AC22" i="3" s="1"/>
  <c r="T21" i="3"/>
  <c r="T9" i="9"/>
  <c r="Q10" i="9"/>
  <c r="U11" i="9"/>
  <c r="R12" i="9"/>
  <c r="U4" i="9"/>
  <c r="U2" i="9"/>
  <c r="R5" i="9"/>
  <c r="T14" i="9"/>
  <c r="U9" i="9"/>
  <c r="R10" i="9"/>
  <c r="Q3" i="9"/>
  <c r="S3" i="9" s="1"/>
  <c r="V3" i="9" s="1"/>
  <c r="AC3" i="9" s="1"/>
  <c r="T7" i="9"/>
  <c r="Q13" i="9"/>
  <c r="U14" i="9"/>
  <c r="Q4" i="9"/>
  <c r="R3" i="9"/>
  <c r="Q8" i="9"/>
  <c r="T12" i="9"/>
  <c r="T5" i="9"/>
  <c r="Q6" i="9"/>
  <c r="S6" i="9" s="1"/>
  <c r="U7" i="9"/>
  <c r="R8" i="9"/>
  <c r="Q11" i="9"/>
  <c r="S11" i="9" s="1"/>
  <c r="V11" i="9" s="1"/>
  <c r="AC11" i="9" s="1"/>
  <c r="U5" i="9"/>
  <c r="R6" i="9"/>
  <c r="T3" i="9"/>
  <c r="Q2" i="9"/>
  <c r="U3" i="9"/>
  <c r="T10" i="9"/>
  <c r="U12" i="9"/>
  <c r="R4" i="9"/>
  <c r="U10" i="9"/>
  <c r="R2" i="9"/>
  <c r="T13" i="9"/>
  <c r="T6" i="9"/>
  <c r="Q7" i="9"/>
  <c r="S7" i="9" s="1"/>
  <c r="V7" i="9" s="1"/>
  <c r="AC7" i="9" s="1"/>
  <c r="U8" i="9"/>
  <c r="R9" i="9"/>
  <c r="T8" i="9"/>
  <c r="R11" i="9"/>
  <c r="Q14" i="9"/>
  <c r="T4" i="9"/>
  <c r="T11" i="9"/>
  <c r="Q12" i="9"/>
  <c r="S12" i="9" s="1"/>
  <c r="V12" i="9" s="1"/>
  <c r="AC12" i="9" s="1"/>
  <c r="U13" i="9"/>
  <c r="R14" i="9"/>
  <c r="R13" i="9"/>
  <c r="Q9" i="9"/>
  <c r="S9" i="9" s="1"/>
  <c r="V9" i="9" s="1"/>
  <c r="AC9" i="9" s="1"/>
  <c r="T2" i="9"/>
  <c r="Q5" i="9"/>
  <c r="U6" i="9"/>
  <c r="R7" i="9"/>
  <c r="Q3" i="8"/>
  <c r="U4" i="8"/>
  <c r="T9" i="8"/>
  <c r="Q10" i="8"/>
  <c r="U11" i="8"/>
  <c r="R12" i="8"/>
  <c r="T14" i="8"/>
  <c r="R3" i="8"/>
  <c r="T7" i="8"/>
  <c r="Q8" i="8"/>
  <c r="S8" i="8" s="1"/>
  <c r="U9" i="8"/>
  <c r="R10" i="8"/>
  <c r="U14" i="8"/>
  <c r="U2" i="8"/>
  <c r="R5" i="8"/>
  <c r="T12" i="8"/>
  <c r="Q13" i="8"/>
  <c r="S13" i="8" s="1"/>
  <c r="T5" i="8"/>
  <c r="Q6" i="8"/>
  <c r="U7" i="8"/>
  <c r="R8" i="8"/>
  <c r="T10" i="8"/>
  <c r="T3" i="8"/>
  <c r="Q11" i="8"/>
  <c r="S11" i="8" s="1"/>
  <c r="V11" i="8" s="1"/>
  <c r="AC11" i="8" s="1"/>
  <c r="U12" i="8"/>
  <c r="R13" i="8"/>
  <c r="Q2" i="8"/>
  <c r="U5" i="8"/>
  <c r="U3" i="8"/>
  <c r="T8" i="8"/>
  <c r="Q9" i="8"/>
  <c r="S9" i="8" s="1"/>
  <c r="R2" i="8"/>
  <c r="T13" i="8"/>
  <c r="T6" i="8"/>
  <c r="Q7" i="8"/>
  <c r="S7" i="8" s="1"/>
  <c r="V7" i="8" s="1"/>
  <c r="AC7" i="8" s="1"/>
  <c r="U8" i="8"/>
  <c r="R9" i="8"/>
  <c r="U10" i="8"/>
  <c r="Q14" i="8"/>
  <c r="T4" i="8"/>
  <c r="T11" i="8"/>
  <c r="Q12" i="8"/>
  <c r="S12" i="8" s="1"/>
  <c r="V12" i="8" s="1"/>
  <c r="AC12" i="8" s="1"/>
  <c r="U13" i="8"/>
  <c r="R14" i="8"/>
  <c r="Q4" i="8"/>
  <c r="R6" i="8"/>
  <c r="R4" i="8"/>
  <c r="R11" i="8"/>
  <c r="T2" i="8"/>
  <c r="Q5" i="8"/>
  <c r="U6" i="8"/>
  <c r="R7" i="8"/>
  <c r="U11" i="7"/>
  <c r="U2" i="7"/>
  <c r="T14" i="7"/>
  <c r="R3" i="7"/>
  <c r="T7" i="7"/>
  <c r="Q8" i="7"/>
  <c r="S8" i="7" s="1"/>
  <c r="U9" i="7"/>
  <c r="R10" i="7"/>
  <c r="T12" i="7"/>
  <c r="Q13" i="7"/>
  <c r="S13" i="7" s="1"/>
  <c r="V13" i="7" s="1"/>
  <c r="AC13" i="7" s="1"/>
  <c r="U14" i="7"/>
  <c r="T5" i="7"/>
  <c r="Q6" i="7"/>
  <c r="U7" i="7"/>
  <c r="R8" i="7"/>
  <c r="Q10" i="7"/>
  <c r="U4" i="7"/>
  <c r="T3" i="7"/>
  <c r="R6" i="7"/>
  <c r="T8" i="7"/>
  <c r="Q9" i="7"/>
  <c r="S9" i="7" s="1"/>
  <c r="V9" i="7" s="1"/>
  <c r="AC9" i="7" s="1"/>
  <c r="T13" i="7"/>
  <c r="T6" i="7"/>
  <c r="Q7" i="7"/>
  <c r="S7" i="7" s="1"/>
  <c r="V7" i="7" s="1"/>
  <c r="AC7" i="7" s="1"/>
  <c r="U8" i="7"/>
  <c r="R9" i="7"/>
  <c r="Q3" i="7"/>
  <c r="R12" i="7"/>
  <c r="R5" i="7"/>
  <c r="T10" i="7"/>
  <c r="U12" i="7"/>
  <c r="Q2" i="7"/>
  <c r="R4" i="7"/>
  <c r="R11" i="7"/>
  <c r="Q14" i="7"/>
  <c r="S14" i="7" s="1"/>
  <c r="V14" i="7" s="1"/>
  <c r="AC14" i="7" s="1"/>
  <c r="T4" i="7"/>
  <c r="T11" i="7"/>
  <c r="Q12" i="7"/>
  <c r="U13" i="7"/>
  <c r="R14" i="7"/>
  <c r="T9" i="7"/>
  <c r="Q4" i="7"/>
  <c r="Q11" i="7"/>
  <c r="R13" i="7"/>
  <c r="U5" i="7"/>
  <c r="U3" i="7"/>
  <c r="U10" i="7"/>
  <c r="R2" i="7"/>
  <c r="T2" i="7"/>
  <c r="Q5" i="7"/>
  <c r="U6" i="7"/>
  <c r="R7" i="7"/>
  <c r="R12" i="6"/>
  <c r="Q3" i="6"/>
  <c r="T9" i="6"/>
  <c r="U11" i="6"/>
  <c r="U2" i="6"/>
  <c r="R5" i="6"/>
  <c r="T14" i="6"/>
  <c r="U4" i="6"/>
  <c r="Q10" i="6"/>
  <c r="S10" i="6" s="1"/>
  <c r="R3" i="6"/>
  <c r="Q8" i="6"/>
  <c r="S8" i="6" s="1"/>
  <c r="T7" i="6"/>
  <c r="U9" i="6"/>
  <c r="R10" i="6"/>
  <c r="T12" i="6"/>
  <c r="Q13" i="6"/>
  <c r="S13" i="6" s="1"/>
  <c r="U14" i="6"/>
  <c r="Q6" i="6"/>
  <c r="S6" i="6" s="1"/>
  <c r="T5" i="6"/>
  <c r="U7" i="6"/>
  <c r="R8" i="6"/>
  <c r="T3" i="6"/>
  <c r="Q4" i="6"/>
  <c r="S4" i="6" s="1"/>
  <c r="V4" i="6" s="1"/>
  <c r="AC4" i="6" s="1"/>
  <c r="T10" i="6"/>
  <c r="Q11" i="6"/>
  <c r="U12" i="6"/>
  <c r="R13" i="6"/>
  <c r="U5" i="6"/>
  <c r="Q2" i="6"/>
  <c r="U3" i="6"/>
  <c r="U10" i="6"/>
  <c r="R2" i="6"/>
  <c r="T6" i="6"/>
  <c r="Q7" i="6"/>
  <c r="S7" i="6" s="1"/>
  <c r="U8" i="6"/>
  <c r="R9" i="6"/>
  <c r="R6" i="6"/>
  <c r="Q9" i="6"/>
  <c r="T13" i="6"/>
  <c r="T4" i="6"/>
  <c r="T11" i="6"/>
  <c r="Q12" i="6"/>
  <c r="S12" i="6" s="1"/>
  <c r="V12" i="6" s="1"/>
  <c r="AC12" i="6" s="1"/>
  <c r="U13" i="6"/>
  <c r="R14" i="6"/>
  <c r="R4" i="6"/>
  <c r="T8" i="6"/>
  <c r="R11" i="6"/>
  <c r="Q14" i="6"/>
  <c r="S14" i="6" s="1"/>
  <c r="V14" i="6" s="1"/>
  <c r="AC14" i="6" s="1"/>
  <c r="T2" i="6"/>
  <c r="Q5" i="6"/>
  <c r="U6" i="6"/>
  <c r="R7" i="6"/>
  <c r="Q10" i="5"/>
  <c r="Q3" i="5"/>
  <c r="U4" i="5"/>
  <c r="T9" i="5"/>
  <c r="U2" i="5"/>
  <c r="R5" i="5"/>
  <c r="T14" i="5"/>
  <c r="U14" i="5"/>
  <c r="U11" i="5"/>
  <c r="R12" i="5"/>
  <c r="R3" i="5"/>
  <c r="T7" i="5"/>
  <c r="Q8" i="5"/>
  <c r="S8" i="5" s="1"/>
  <c r="R10" i="5"/>
  <c r="T12" i="5"/>
  <c r="Q13" i="5"/>
  <c r="U12" i="5"/>
  <c r="Q6" i="5"/>
  <c r="U7" i="5"/>
  <c r="T3" i="5"/>
  <c r="Q4" i="5"/>
  <c r="Q2" i="5"/>
  <c r="T8" i="5"/>
  <c r="R11" i="5"/>
  <c r="U9" i="5"/>
  <c r="T5" i="5"/>
  <c r="R8" i="5"/>
  <c r="R13" i="5"/>
  <c r="U5" i="5"/>
  <c r="U10" i="5"/>
  <c r="T6" i="5"/>
  <c r="Q7" i="5"/>
  <c r="S7" i="5" s="1"/>
  <c r="U8" i="5"/>
  <c r="R9" i="5"/>
  <c r="T10" i="5"/>
  <c r="R6" i="5"/>
  <c r="U3" i="5"/>
  <c r="Q9" i="5"/>
  <c r="Q14" i="5"/>
  <c r="T4" i="5"/>
  <c r="T11" i="5"/>
  <c r="Q12" i="5"/>
  <c r="U13" i="5"/>
  <c r="R14" i="5"/>
  <c r="Q11" i="5"/>
  <c r="R4" i="5"/>
  <c r="R2" i="5"/>
  <c r="T13" i="5"/>
  <c r="T2" i="5"/>
  <c r="Q5" i="5"/>
  <c r="U6" i="5"/>
  <c r="R7" i="5"/>
  <c r="Q3" i="4"/>
  <c r="U4" i="4"/>
  <c r="T9" i="4"/>
  <c r="R5" i="4"/>
  <c r="R10" i="4"/>
  <c r="Q13" i="4"/>
  <c r="S13" i="4" s="1"/>
  <c r="Q6" i="4"/>
  <c r="U3" i="4"/>
  <c r="T7" i="4"/>
  <c r="Q10" i="4"/>
  <c r="S10" i="4" s="1"/>
  <c r="U11" i="4"/>
  <c r="U2" i="4"/>
  <c r="U9" i="4"/>
  <c r="T12" i="4"/>
  <c r="R8" i="4"/>
  <c r="T3" i="4"/>
  <c r="T10" i="4"/>
  <c r="R13" i="4"/>
  <c r="R6" i="4"/>
  <c r="T8" i="4"/>
  <c r="R2" i="4"/>
  <c r="Q14" i="4"/>
  <c r="S14" i="4" s="1"/>
  <c r="V14" i="4" s="1"/>
  <c r="AC14" i="4" s="1"/>
  <c r="T6" i="4"/>
  <c r="Q7" i="4"/>
  <c r="S7" i="4" s="1"/>
  <c r="V7" i="4" s="1"/>
  <c r="AC7" i="4" s="1"/>
  <c r="U8" i="4"/>
  <c r="R9" i="4"/>
  <c r="T14" i="4"/>
  <c r="R3" i="4"/>
  <c r="T5" i="4"/>
  <c r="Q4" i="4"/>
  <c r="Q11" i="4"/>
  <c r="U5" i="4"/>
  <c r="R4" i="4"/>
  <c r="Q9" i="4"/>
  <c r="S9" i="4" s="1"/>
  <c r="V9" i="4" s="1"/>
  <c r="AC9" i="4" s="1"/>
  <c r="R11" i="4"/>
  <c r="T13" i="4"/>
  <c r="T4" i="4"/>
  <c r="T11" i="4"/>
  <c r="Q12" i="4"/>
  <c r="U13" i="4"/>
  <c r="R14" i="4"/>
  <c r="R12" i="4"/>
  <c r="Q8" i="4"/>
  <c r="S8" i="4" s="1"/>
  <c r="U14" i="4"/>
  <c r="U7" i="4"/>
  <c r="U12" i="4"/>
  <c r="Q2" i="4"/>
  <c r="S2" i="4" s="1"/>
  <c r="U10" i="4"/>
  <c r="T2" i="4"/>
  <c r="Q5" i="4"/>
  <c r="U6" i="4"/>
  <c r="R7" i="4"/>
  <c r="U3" i="3"/>
  <c r="T2" i="3"/>
  <c r="Q5" i="3"/>
  <c r="U6" i="3"/>
  <c r="Q3" i="3"/>
  <c r="S3" i="3" s="1"/>
  <c r="V3" i="3" s="1"/>
  <c r="AC3" i="3" s="1"/>
  <c r="U4" i="3"/>
  <c r="T9" i="3"/>
  <c r="Q10" i="3"/>
  <c r="S10" i="3" s="1"/>
  <c r="V10" i="3" s="1"/>
  <c r="AC10" i="3" s="1"/>
  <c r="U11" i="3"/>
  <c r="R12" i="3"/>
  <c r="U2" i="3"/>
  <c r="R5" i="3"/>
  <c r="T14" i="3"/>
  <c r="R3" i="3"/>
  <c r="Q8" i="3"/>
  <c r="S8" i="3" s="1"/>
  <c r="U9" i="3"/>
  <c r="R10" i="3"/>
  <c r="T7" i="3"/>
  <c r="T12" i="3"/>
  <c r="Q13" i="3"/>
  <c r="S13" i="3" s="1"/>
  <c r="V13" i="3" s="1"/>
  <c r="AC13" i="3" s="1"/>
  <c r="U14" i="3"/>
  <c r="T5" i="3"/>
  <c r="Q6" i="3"/>
  <c r="S6" i="3" s="1"/>
  <c r="V6" i="3" s="1"/>
  <c r="AC6" i="3" s="1"/>
  <c r="U7" i="3"/>
  <c r="R8" i="3"/>
  <c r="T3" i="3"/>
  <c r="Q4" i="3"/>
  <c r="S4" i="3" s="1"/>
  <c r="T10" i="3"/>
  <c r="Q11" i="3"/>
  <c r="S11" i="3" s="1"/>
  <c r="U12" i="3"/>
  <c r="R13" i="3"/>
  <c r="Q2" i="3"/>
  <c r="S2" i="3" s="1"/>
  <c r="U5" i="3"/>
  <c r="R6" i="3"/>
  <c r="Q9" i="3"/>
  <c r="S9" i="3" s="1"/>
  <c r="V9" i="3" s="1"/>
  <c r="AC9" i="3" s="1"/>
  <c r="U10" i="3"/>
  <c r="R11" i="3"/>
  <c r="R4" i="3"/>
  <c r="R2" i="3"/>
  <c r="T13" i="3"/>
  <c r="Q14" i="3"/>
  <c r="S14" i="3" s="1"/>
  <c r="Q7" i="3"/>
  <c r="S7" i="3" s="1"/>
  <c r="V7" i="3" s="1"/>
  <c r="AC7" i="3" s="1"/>
  <c r="U8" i="3"/>
  <c r="R9" i="3"/>
  <c r="T8" i="3"/>
  <c r="T6" i="3"/>
  <c r="T4" i="3"/>
  <c r="T11" i="3"/>
  <c r="Q12" i="3"/>
  <c r="U13" i="3"/>
  <c r="R14" i="3"/>
  <c r="R7" i="3"/>
  <c r="V15" i="9" l="1"/>
  <c r="AC15" i="9" s="1"/>
  <c r="V21" i="9"/>
  <c r="AC21" i="9" s="1"/>
  <c r="S31" i="9"/>
  <c r="V31" i="9" s="1"/>
  <c r="AC31" i="9" s="1"/>
  <c r="V32" i="9"/>
  <c r="AC32" i="9" s="1"/>
  <c r="S18" i="9"/>
  <c r="V18" i="9" s="1"/>
  <c r="AC18" i="9" s="1"/>
  <c r="S16" i="9"/>
  <c r="V16" i="9" s="1"/>
  <c r="AC16" i="9" s="1"/>
  <c r="S33" i="9"/>
  <c r="V33" i="9" s="1"/>
  <c r="AC33" i="9" s="1"/>
  <c r="S29" i="9"/>
  <c r="V29" i="9" s="1"/>
  <c r="AC29" i="9" s="1"/>
  <c r="V22" i="9"/>
  <c r="AC22" i="9" s="1"/>
  <c r="V34" i="9"/>
  <c r="AC34" i="9" s="1"/>
  <c r="V38" i="9"/>
  <c r="AC38" i="9" s="1"/>
  <c r="S28" i="9"/>
  <c r="V28" i="9" s="1"/>
  <c r="AC28" i="9" s="1"/>
  <c r="S27" i="9"/>
  <c r="V27" i="9" s="1"/>
  <c r="AC27" i="9" s="1"/>
  <c r="V30" i="9"/>
  <c r="AC30" i="9" s="1"/>
  <c r="V41" i="9"/>
  <c r="AC41" i="9" s="1"/>
  <c r="S35" i="9"/>
  <c r="V35" i="9" s="1"/>
  <c r="AC35" i="9" s="1"/>
  <c r="S39" i="9"/>
  <c r="V39" i="9" s="1"/>
  <c r="AC39" i="9" s="1"/>
  <c r="S36" i="9"/>
  <c r="V36" i="9" s="1"/>
  <c r="AC36" i="9" s="1"/>
  <c r="S26" i="9"/>
  <c r="V26" i="9" s="1"/>
  <c r="AC26" i="9" s="1"/>
  <c r="S25" i="9"/>
  <c r="V25" i="9" s="1"/>
  <c r="AC25" i="9" s="1"/>
  <c r="S21" i="8"/>
  <c r="V21" i="8" s="1"/>
  <c r="AC21" i="8" s="1"/>
  <c r="S23" i="8"/>
  <c r="V23" i="8" s="1"/>
  <c r="AC23" i="8" s="1"/>
  <c r="S25" i="8"/>
  <c r="V25" i="8" s="1"/>
  <c r="AC25" i="8" s="1"/>
  <c r="S22" i="8"/>
  <c r="V22" i="8" s="1"/>
  <c r="AC22" i="8" s="1"/>
  <c r="V18" i="8"/>
  <c r="AC18" i="8" s="1"/>
  <c r="S26" i="8"/>
  <c r="V26" i="8" s="1"/>
  <c r="AC26" i="8" s="1"/>
  <c r="S16" i="8"/>
  <c r="V16" i="8" s="1"/>
  <c r="AC16" i="8" s="1"/>
  <c r="S17" i="8"/>
  <c r="V17" i="8" s="1"/>
  <c r="AC17" i="8" s="1"/>
  <c r="V43" i="7"/>
  <c r="AC43" i="7" s="1"/>
  <c r="V26" i="7"/>
  <c r="AC26" i="7" s="1"/>
  <c r="S47" i="7"/>
  <c r="V47" i="7" s="1"/>
  <c r="AC47" i="7" s="1"/>
  <c r="V20" i="7"/>
  <c r="AC20" i="7" s="1"/>
  <c r="S46" i="7"/>
  <c r="V46" i="7" s="1"/>
  <c r="AC46" i="7" s="1"/>
  <c r="S15" i="7"/>
  <c r="V15" i="7" s="1"/>
  <c r="AC15" i="7" s="1"/>
  <c r="V31" i="7"/>
  <c r="AC31" i="7" s="1"/>
  <c r="V17" i="7"/>
  <c r="AC17" i="7" s="1"/>
  <c r="S42" i="7"/>
  <c r="V42" i="7" s="1"/>
  <c r="AC42" i="7" s="1"/>
  <c r="S16" i="7"/>
  <c r="V16" i="7" s="1"/>
  <c r="AC16" i="7" s="1"/>
  <c r="S24" i="7"/>
  <c r="V24" i="7" s="1"/>
  <c r="AC24" i="7" s="1"/>
  <c r="V23" i="7"/>
  <c r="AC23" i="7" s="1"/>
  <c r="S29" i="7"/>
  <c r="V29" i="7" s="1"/>
  <c r="AC29" i="7" s="1"/>
  <c r="S32" i="7"/>
  <c r="V32" i="7" s="1"/>
  <c r="AC32" i="7" s="1"/>
  <c r="S30" i="7"/>
  <c r="V30" i="7" s="1"/>
  <c r="AC30" i="7" s="1"/>
  <c r="S28" i="7"/>
  <c r="V28" i="7" s="1"/>
  <c r="AC28" i="7" s="1"/>
  <c r="S33" i="7"/>
  <c r="V33" i="7" s="1"/>
  <c r="AC33" i="7" s="1"/>
  <c r="S36" i="7"/>
  <c r="V36" i="7" s="1"/>
  <c r="AC36" i="7" s="1"/>
  <c r="V40" i="7"/>
  <c r="AC40" i="7" s="1"/>
  <c r="V25" i="7"/>
  <c r="AC25" i="7" s="1"/>
  <c r="S34" i="7"/>
  <c r="V34" i="7" s="1"/>
  <c r="AC34" i="7" s="1"/>
  <c r="V19" i="7"/>
  <c r="AC19" i="7" s="1"/>
  <c r="V21" i="7"/>
  <c r="AC21" i="7" s="1"/>
  <c r="S37" i="7"/>
  <c r="V37" i="7" s="1"/>
  <c r="AC37" i="7" s="1"/>
  <c r="S41" i="7"/>
  <c r="V41" i="7" s="1"/>
  <c r="AC41" i="7" s="1"/>
  <c r="S44" i="6"/>
  <c r="V44" i="6" s="1"/>
  <c r="AC44" i="6" s="1"/>
  <c r="S38" i="6"/>
  <c r="V38" i="6" s="1"/>
  <c r="AC38" i="6" s="1"/>
  <c r="V22" i="6"/>
  <c r="AC22" i="6" s="1"/>
  <c r="S28" i="6"/>
  <c r="V28" i="6" s="1"/>
  <c r="AC28" i="6" s="1"/>
  <c r="S48" i="6"/>
  <c r="V48" i="6" s="1"/>
  <c r="AC48" i="6" s="1"/>
  <c r="V18" i="6"/>
  <c r="AC18" i="6" s="1"/>
  <c r="V15" i="6"/>
  <c r="AC15" i="6" s="1"/>
  <c r="V30" i="6"/>
  <c r="AC30" i="6" s="1"/>
  <c r="S34" i="6"/>
  <c r="V34" i="6" s="1"/>
  <c r="AC34" i="6" s="1"/>
  <c r="S27" i="6"/>
  <c r="V27" i="6" s="1"/>
  <c r="AC27" i="6" s="1"/>
  <c r="S37" i="6"/>
  <c r="V37" i="6" s="1"/>
  <c r="AC37" i="6" s="1"/>
  <c r="S47" i="6"/>
  <c r="V47" i="6" s="1"/>
  <c r="AC47" i="6" s="1"/>
  <c r="S21" i="6"/>
  <c r="V21" i="6" s="1"/>
  <c r="AC21" i="6" s="1"/>
  <c r="V17" i="6"/>
  <c r="AC17" i="6" s="1"/>
  <c r="S45" i="6"/>
  <c r="V45" i="6" s="1"/>
  <c r="AC45" i="6" s="1"/>
  <c r="S25" i="6"/>
  <c r="V25" i="6" s="1"/>
  <c r="AC25" i="6" s="1"/>
  <c r="S32" i="6"/>
  <c r="V32" i="6" s="1"/>
  <c r="AC32" i="6" s="1"/>
  <c r="S42" i="6"/>
  <c r="V42" i="6" s="1"/>
  <c r="AC42" i="6" s="1"/>
  <c r="S43" i="6"/>
  <c r="V43" i="6" s="1"/>
  <c r="AC43" i="6" s="1"/>
  <c r="S36" i="6"/>
  <c r="V36" i="6" s="1"/>
  <c r="AC36" i="6" s="1"/>
  <c r="V16" i="6"/>
  <c r="AC16" i="6" s="1"/>
  <c r="V54" i="6"/>
  <c r="AC54" i="6" s="1"/>
  <c r="S51" i="6"/>
  <c r="V51" i="6" s="1"/>
  <c r="AC51" i="6" s="1"/>
  <c r="S35" i="6"/>
  <c r="V35" i="6" s="1"/>
  <c r="AC35" i="6" s="1"/>
  <c r="V29" i="6"/>
  <c r="AC29" i="6" s="1"/>
  <c r="S20" i="6"/>
  <c r="V20" i="6" s="1"/>
  <c r="AC20" i="6" s="1"/>
  <c r="V24" i="6"/>
  <c r="AC24" i="6" s="1"/>
  <c r="V50" i="6"/>
  <c r="AC50" i="6" s="1"/>
  <c r="V49" i="6"/>
  <c r="AC49" i="6" s="1"/>
  <c r="S40" i="6"/>
  <c r="V40" i="6" s="1"/>
  <c r="AC40" i="6" s="1"/>
  <c r="S29" i="5"/>
  <c r="V29" i="5" s="1"/>
  <c r="AC29" i="5" s="1"/>
  <c r="S15" i="5"/>
  <c r="V15" i="5" s="1"/>
  <c r="AC15" i="5" s="1"/>
  <c r="V31" i="5"/>
  <c r="AC31" i="5" s="1"/>
  <c r="V24" i="5"/>
  <c r="AC24" i="5" s="1"/>
  <c r="V34" i="5"/>
  <c r="AC34" i="5" s="1"/>
  <c r="V33" i="5"/>
  <c r="AC33" i="5" s="1"/>
  <c r="V20" i="5"/>
  <c r="AC20" i="5" s="1"/>
  <c r="V17" i="5"/>
  <c r="AC17" i="5" s="1"/>
  <c r="S21" i="5"/>
  <c r="V21" i="5" s="1"/>
  <c r="AC21" i="5" s="1"/>
  <c r="S18" i="5"/>
  <c r="V18" i="5" s="1"/>
  <c r="AC18" i="5" s="1"/>
  <c r="V22" i="5"/>
  <c r="AC22" i="5" s="1"/>
  <c r="S28" i="5"/>
  <c r="V28" i="5" s="1"/>
  <c r="AC28" i="5" s="1"/>
  <c r="S32" i="5"/>
  <c r="V32" i="5" s="1"/>
  <c r="AC32" i="5" s="1"/>
  <c r="S25" i="5"/>
  <c r="V25" i="5" s="1"/>
  <c r="AC25" i="5" s="1"/>
  <c r="S19" i="5"/>
  <c r="V19" i="5" s="1"/>
  <c r="AC19" i="5" s="1"/>
  <c r="S27" i="5"/>
  <c r="V27" i="5" s="1"/>
  <c r="AC27" i="5" s="1"/>
  <c r="S30" i="4"/>
  <c r="V30" i="4" s="1"/>
  <c r="AC30" i="4" s="1"/>
  <c r="S22" i="4"/>
  <c r="V22" i="4" s="1"/>
  <c r="AC22" i="4" s="1"/>
  <c r="S27" i="4"/>
  <c r="V27" i="4" s="1"/>
  <c r="AC27" i="4" s="1"/>
  <c r="S19" i="4"/>
  <c r="V19" i="4" s="1"/>
  <c r="AC19" i="4" s="1"/>
  <c r="V29" i="4"/>
  <c r="AC29" i="4" s="1"/>
  <c r="V25" i="4"/>
  <c r="AC25" i="4" s="1"/>
  <c r="S16" i="4"/>
  <c r="V16" i="4" s="1"/>
  <c r="AC16" i="4" s="1"/>
  <c r="S21" i="4"/>
  <c r="V21" i="4" s="1"/>
  <c r="AC21" i="4" s="1"/>
  <c r="S15" i="4"/>
  <c r="V15" i="4" s="1"/>
  <c r="AC15" i="4" s="1"/>
  <c r="V18" i="4"/>
  <c r="AC18" i="4" s="1"/>
  <c r="S31" i="4"/>
  <c r="V31" i="4" s="1"/>
  <c r="AC31" i="4" s="1"/>
  <c r="S24" i="4"/>
  <c r="V24" i="4" s="1"/>
  <c r="AC24" i="4" s="1"/>
  <c r="S39" i="3"/>
  <c r="V39" i="3" s="1"/>
  <c r="AC39" i="3" s="1"/>
  <c r="S33" i="3"/>
  <c r="V33" i="3" s="1"/>
  <c r="AC33" i="3" s="1"/>
  <c r="V19" i="3"/>
  <c r="AC19" i="3" s="1"/>
  <c r="S24" i="3"/>
  <c r="V24" i="3" s="1"/>
  <c r="AC24" i="3" s="1"/>
  <c r="S40" i="3"/>
  <c r="V40" i="3" s="1"/>
  <c r="AC40" i="3" s="1"/>
  <c r="S36" i="3"/>
  <c r="V36" i="3" s="1"/>
  <c r="AC36" i="3" s="1"/>
  <c r="S29" i="3"/>
  <c r="V29" i="3" s="1"/>
  <c r="AC29" i="3" s="1"/>
  <c r="V21" i="3"/>
  <c r="AC21" i="3" s="1"/>
  <c r="V28" i="3"/>
  <c r="AC28" i="3" s="1"/>
  <c r="V31" i="3"/>
  <c r="AC31" i="3" s="1"/>
  <c r="S18" i="3"/>
  <c r="V18" i="3" s="1"/>
  <c r="AC18" i="3" s="1"/>
  <c r="S25" i="3"/>
  <c r="V25" i="3" s="1"/>
  <c r="AC25" i="3" s="1"/>
  <c r="S16" i="3"/>
  <c r="V16" i="3" s="1"/>
  <c r="AC16" i="3" s="1"/>
  <c r="V34" i="3"/>
  <c r="AC34" i="3" s="1"/>
  <c r="S32" i="3"/>
  <c r="V32" i="3" s="1"/>
  <c r="AC32" i="3" s="1"/>
  <c r="S15" i="3"/>
  <c r="V15" i="3" s="1"/>
  <c r="AC15" i="3" s="1"/>
  <c r="S23" i="3"/>
  <c r="V23" i="3" s="1"/>
  <c r="AC23" i="3" s="1"/>
  <c r="S26" i="3"/>
  <c r="V26" i="3" s="1"/>
  <c r="AC26" i="3" s="1"/>
  <c r="V17" i="3"/>
  <c r="AC17" i="3" s="1"/>
  <c r="S41" i="3"/>
  <c r="V41" i="3" s="1"/>
  <c r="AC41" i="3" s="1"/>
  <c r="S2" i="9"/>
  <c r="V2" i="9" s="1"/>
  <c r="S4" i="9"/>
  <c r="V4" i="9" s="1"/>
  <c r="AC4" i="9" s="1"/>
  <c r="S8" i="9"/>
  <c r="V8" i="9" s="1"/>
  <c r="AC8" i="9" s="1"/>
  <c r="S5" i="9"/>
  <c r="V5" i="9" s="1"/>
  <c r="AC5" i="9" s="1"/>
  <c r="S10" i="9"/>
  <c r="V10" i="9" s="1"/>
  <c r="AC10" i="9" s="1"/>
  <c r="V6" i="9"/>
  <c r="AC6" i="9" s="1"/>
  <c r="S14" i="9"/>
  <c r="V14" i="9" s="1"/>
  <c r="AC14" i="9" s="1"/>
  <c r="S13" i="9"/>
  <c r="V13" i="9" s="1"/>
  <c r="AC13" i="9" s="1"/>
  <c r="V9" i="8"/>
  <c r="AC9" i="8" s="1"/>
  <c r="V13" i="8"/>
  <c r="AC13" i="8" s="1"/>
  <c r="S14" i="8"/>
  <c r="V14" i="8" s="1"/>
  <c r="AC14" i="8" s="1"/>
  <c r="S2" i="8"/>
  <c r="V2" i="8" s="1"/>
  <c r="S10" i="8"/>
  <c r="V10" i="8" s="1"/>
  <c r="AC10" i="8" s="1"/>
  <c r="S5" i="8"/>
  <c r="V5" i="8" s="1"/>
  <c r="AC5" i="8" s="1"/>
  <c r="V8" i="8"/>
  <c r="AC8" i="8" s="1"/>
  <c r="S4" i="8"/>
  <c r="V4" i="8" s="1"/>
  <c r="AC4" i="8" s="1"/>
  <c r="S6" i="8"/>
  <c r="V6" i="8" s="1"/>
  <c r="AC6" i="8" s="1"/>
  <c r="S3" i="8"/>
  <c r="V3" i="8" s="1"/>
  <c r="AC3" i="8" s="1"/>
  <c r="S2" i="7"/>
  <c r="V2" i="7" s="1"/>
  <c r="V8" i="7"/>
  <c r="AC8" i="7" s="1"/>
  <c r="S3" i="7"/>
  <c r="V3" i="7" s="1"/>
  <c r="AC3" i="7" s="1"/>
  <c r="S11" i="7"/>
  <c r="V11" i="7" s="1"/>
  <c r="AC11" i="7" s="1"/>
  <c r="S4" i="7"/>
  <c r="V4" i="7" s="1"/>
  <c r="AC4" i="7" s="1"/>
  <c r="S10" i="7"/>
  <c r="V10" i="7" s="1"/>
  <c r="AC10" i="7" s="1"/>
  <c r="S5" i="7"/>
  <c r="V5" i="7" s="1"/>
  <c r="AC5" i="7" s="1"/>
  <c r="S12" i="7"/>
  <c r="V12" i="7" s="1"/>
  <c r="AC12" i="7" s="1"/>
  <c r="S6" i="7"/>
  <c r="V6" i="7" s="1"/>
  <c r="AC6" i="7" s="1"/>
  <c r="V8" i="6"/>
  <c r="AC8" i="6" s="1"/>
  <c r="V10" i="6"/>
  <c r="AC10" i="6" s="1"/>
  <c r="V6" i="6"/>
  <c r="AC6" i="6" s="1"/>
  <c r="S2" i="6"/>
  <c r="V2" i="6" s="1"/>
  <c r="S5" i="6"/>
  <c r="V5" i="6" s="1"/>
  <c r="AC5" i="6" s="1"/>
  <c r="S9" i="6"/>
  <c r="V9" i="6" s="1"/>
  <c r="AC9" i="6" s="1"/>
  <c r="S3" i="6"/>
  <c r="V3" i="6" s="1"/>
  <c r="AC3" i="6" s="1"/>
  <c r="V7" i="6"/>
  <c r="AC7" i="6" s="1"/>
  <c r="V13" i="6"/>
  <c r="AC13" i="6" s="1"/>
  <c r="S11" i="6"/>
  <c r="V11" i="6" s="1"/>
  <c r="AC11" i="6" s="1"/>
  <c r="V7" i="5"/>
  <c r="AC7" i="5" s="1"/>
  <c r="S12" i="5"/>
  <c r="V12" i="5" s="1"/>
  <c r="AC12" i="5" s="1"/>
  <c r="S14" i="5"/>
  <c r="V14" i="5" s="1"/>
  <c r="AC14" i="5" s="1"/>
  <c r="S2" i="5"/>
  <c r="V2" i="5" s="1"/>
  <c r="S11" i="5"/>
  <c r="V11" i="5" s="1"/>
  <c r="AC11" i="5" s="1"/>
  <c r="S13" i="5"/>
  <c r="V13" i="5" s="1"/>
  <c r="AC13" i="5" s="1"/>
  <c r="S5" i="5"/>
  <c r="V5" i="5" s="1"/>
  <c r="AC5" i="5" s="1"/>
  <c r="S9" i="5"/>
  <c r="V9" i="5" s="1"/>
  <c r="AC9" i="5" s="1"/>
  <c r="S3" i="5"/>
  <c r="V3" i="5" s="1"/>
  <c r="AC3" i="5" s="1"/>
  <c r="S4" i="5"/>
  <c r="V4" i="5" s="1"/>
  <c r="AC4" i="5" s="1"/>
  <c r="S6" i="5"/>
  <c r="V6" i="5" s="1"/>
  <c r="AC6" i="5" s="1"/>
  <c r="V8" i="5"/>
  <c r="AC8" i="5" s="1"/>
  <c r="S10" i="5"/>
  <c r="V10" i="5" s="1"/>
  <c r="AC10" i="5" s="1"/>
  <c r="V2" i="4"/>
  <c r="V10" i="4"/>
  <c r="AC10" i="4" s="1"/>
  <c r="V13" i="4"/>
  <c r="AC13" i="4" s="1"/>
  <c r="S12" i="4"/>
  <c r="V12" i="4" s="1"/>
  <c r="AC12" i="4" s="1"/>
  <c r="V8" i="4"/>
  <c r="AC8" i="4" s="1"/>
  <c r="S11" i="4"/>
  <c r="V11" i="4" s="1"/>
  <c r="AC11" i="4" s="1"/>
  <c r="S6" i="4"/>
  <c r="V6" i="4" s="1"/>
  <c r="AC6" i="4" s="1"/>
  <c r="S5" i="4"/>
  <c r="V5" i="4" s="1"/>
  <c r="AC5" i="4" s="1"/>
  <c r="S4" i="4"/>
  <c r="V4" i="4" s="1"/>
  <c r="AC4" i="4" s="1"/>
  <c r="S3" i="4"/>
  <c r="V3" i="4" s="1"/>
  <c r="AC3" i="4" s="1"/>
  <c r="V2" i="3"/>
  <c r="V4" i="3"/>
  <c r="AC4" i="3" s="1"/>
  <c r="V8" i="3"/>
  <c r="AC8" i="3" s="1"/>
  <c r="S5" i="3"/>
  <c r="V5" i="3" s="1"/>
  <c r="AC5" i="3" s="1"/>
  <c r="V11" i="3"/>
  <c r="AC11" i="3" s="1"/>
  <c r="V14" i="3"/>
  <c r="AC14" i="3" s="1"/>
  <c r="S12" i="3"/>
  <c r="V12" i="3" s="1"/>
  <c r="AC12" i="3" s="1"/>
  <c r="AC2" i="9" l="1"/>
  <c r="AC2" i="8"/>
  <c r="AC2" i="7"/>
  <c r="AC2" i="6"/>
  <c r="AC2" i="5"/>
  <c r="AC2" i="4"/>
  <c r="A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D4EA5-7F83-B54B-B742-7A8A789F63A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D38BC0E9-D06F-7148-95BC-A6259E2B1C9A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066BF7BB-67DF-5343-A048-B52398C9F921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FB8F9D8C-0E4D-874F-8A87-E6BECBF89A7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CE8804C3-A0CB-294E-A8CD-197BE36263BC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7C07757C-C35A-4948-A5E5-56A7D535106B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3DD6AFE4-73D7-7F43-B6A2-4C04900B5AD9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<sst xmlns="http://schemas.openxmlformats.org/spreadsheetml/2006/main" count="214" uniqueCount="34">
  <si>
    <t>Velocity (m/s)</t>
  </si>
  <si>
    <t>Q_steady (W)</t>
  </si>
  <si>
    <t>Uncertainty ±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</si>
  <si>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</si>
  <si>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</si>
  <si>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</si>
  <si>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</si>
  <si>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</si>
  <si>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</si>
  <si>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</si>
  <si>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</si>
  <si>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</si>
  <si>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</si>
  <si>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</si>
  <si>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</si>
  <si>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</si>
  <si>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</si>
  <si>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</si>
  <si>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44675.0841531968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</si>
  <si>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</si>
  <si>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</si>
  <si>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</si>
  <si>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</si>
  <si>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</si>
  <si>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</si>
  <si>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</si>
  <si>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</si>
  <si>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RTD_IN_unc</t>
  </si>
  <si>
    <t>RTD_OUT_unc</t>
  </si>
  <si>
    <t>RTD_unc</t>
  </si>
  <si>
    <t>Delta_RTD</t>
  </si>
  <si>
    <t>Rel_unc</t>
  </si>
  <si>
    <t>ABS_unc</t>
  </si>
  <si>
    <t>uncertainty of 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</si>
</sst>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5B1BE8-FF64-CD40-928A-EEDF0D60FAB4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652793-164E-6A45-AC34-8E13C211771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369B9BE-4CA1-B64D-8041-FA96EC9E66F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5F1D3DA-0D40-7B4D-95F0-C3E4E59FDF76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5020CD4-CCF2-1345-BA22-4A80A6E7EEC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FC115F7-1BBD-114E-9AF8-5597D1C16FE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69B8CE8-47C8-4F43-8385-B482EB19D906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66BA7-7E9E-CE44-AA26-3857B0A03A94}" name="sheet1" displayName="sheet1" ref="A1:O41" tableType="queryTable" totalsRowShown="0">
  <autoFilter ref="A1:O41" xr:uid="{53166BA7-7E9E-CE44-AA26-3857B0A03A94}"/>
  <tableColumns count="15">
    <tableColumn id="1" xr3:uid="{94304749-0EAA-8944-91AF-D07B14329AED}" uniqueName="1" name="Time" queryTableFieldId="1"/>
    <tableColumn id="2" xr3:uid="{33E3AC1A-9B67-A945-B0EE-4CDD42338DC1}" uniqueName="2" name="T1" queryTableFieldId="2"/>
    <tableColumn id="3" xr3:uid="{D853B6DE-EB96-9A45-BD5D-AF9A8C7E8EB5}" uniqueName="3" name="T2" queryTableFieldId="3"/>
    <tableColumn id="4" xr3:uid="{D14BED4C-DA1D-6845-B7E1-A131C47FD960}" uniqueName="4" name="T3" queryTableFieldId="4"/>
    <tableColumn id="5" xr3:uid="{76E9F2CF-3239-C047-8125-AB40258734A6}" uniqueName="5" name="T4" queryTableFieldId="5"/>
    <tableColumn id="6" xr3:uid="{DA20E738-FF0B-714E-9C8B-327460D4113A}" uniqueName="6" name="T5" queryTableFieldId="6"/>
    <tableColumn id="7" xr3:uid="{E77F1487-57EA-8447-9544-4C526077DD32}" uniqueName="7" name="T6" queryTableFieldId="7"/>
    <tableColumn id="8" xr3:uid="{F368F73E-878A-5045-AAE7-BFDEFC7E0095}" uniqueName="8" name="T7" queryTableFieldId="8"/>
    <tableColumn id="9" xr3:uid="{D8EC4566-651A-5F43-A61F-5C3A593E5BA4}" uniqueName="9" name="T8" queryTableFieldId="9"/>
    <tableColumn id="10" xr3:uid="{F5168C53-4AE0-A240-9671-AF69CE286F49}" uniqueName="10" name="RTD_IN" queryTableFieldId="10"/>
    <tableColumn id="11" xr3:uid="{5236ECB5-B314-BA46-BCA7-A7CB45120370}" uniqueName="11" name="RTD_OUT" queryTableFieldId="11"/>
    <tableColumn id="12" xr3:uid="{3DA68AEB-5D2F-3C49-B20D-C0A911401A8D}" uniqueName="12" name="DPT_TS" queryTableFieldId="12"/>
    <tableColumn id="13" xr3:uid="{8CE578DA-B47B-AE42-8CCF-68CBEC61114C}" uniqueName="13" name="DPT_nozzle" queryTableFieldId="13"/>
    <tableColumn id="14" xr3:uid="{396656A4-3037-1B44-BC2D-66BB8CA493AC}" uniqueName="14" name="Flow_gps" queryTableFieldId="14"/>
    <tableColumn id="15" xr3:uid="{03C1F8C7-7AC1-E64B-AACE-0F1FC2794815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456198-3154-4C47-BB43-36BEAEE82C5D}" name="sheet1__2" displayName="sheet1__2" ref="A1:O31" tableType="queryTable" totalsRowShown="0">
  <autoFilter ref="A1:O31" xr:uid="{F8456198-3154-4C47-BB43-36BEAEE82C5D}"/>
  <tableColumns count="15">
    <tableColumn id="1" xr3:uid="{8FF2C84C-32E5-C945-8D77-695A6D9CE9F3}" uniqueName="1" name="Time" queryTableFieldId="1"/>
    <tableColumn id="2" xr3:uid="{3C29E57C-E85D-3D41-8673-AC10C6737C3B}" uniqueName="2" name="T1" queryTableFieldId="2"/>
    <tableColumn id="3" xr3:uid="{BF25DC14-C27A-4947-A6F0-E37BEE37271F}" uniqueName="3" name="T2" queryTableFieldId="3"/>
    <tableColumn id="4" xr3:uid="{9AE44B8D-002A-8C4E-A235-D2BBD0DB17D0}" uniqueName="4" name="T3" queryTableFieldId="4"/>
    <tableColumn id="5" xr3:uid="{B80146AE-FB39-C442-A284-1F3F470D5097}" uniqueName="5" name="T4" queryTableFieldId="5"/>
    <tableColumn id="6" xr3:uid="{DF45B8C1-4BEE-0B4F-95B5-A540D5AD0B63}" uniqueName="6" name="T5" queryTableFieldId="6"/>
    <tableColumn id="7" xr3:uid="{107D5579-B687-6640-B784-395E9C3004D6}" uniqueName="7" name="T6" queryTableFieldId="7"/>
    <tableColumn id="8" xr3:uid="{DFE5D6BF-F06D-A147-958C-0602EEACA688}" uniqueName="8" name="T7" queryTableFieldId="8"/>
    <tableColumn id="9" xr3:uid="{E02605A1-8647-8146-AC4A-E4989F7FE169}" uniqueName="9" name="T8" queryTableFieldId="9"/>
    <tableColumn id="10" xr3:uid="{F7F12B31-1D57-DC40-9173-89C24A699D5C}" uniqueName="10" name="RTD_IN" queryTableFieldId="10"/>
    <tableColumn id="11" xr3:uid="{07EBDFB0-788B-1046-B392-6B45047D7B0C}" uniqueName="11" name="RTD_OUT" queryTableFieldId="11"/>
    <tableColumn id="12" xr3:uid="{4FEA7147-5DB3-B94D-AC21-DFBE5C775857}" uniqueName="12" name="DPT_TS" queryTableFieldId="12"/>
    <tableColumn id="13" xr3:uid="{1365A0C2-778F-234D-8C88-FB06D5AE887C}" uniqueName="13" name="DPT_nozzle" queryTableFieldId="13"/>
    <tableColumn id="14" xr3:uid="{B6BFF9C1-E61B-6B47-AE2A-44C83EF4639B}" uniqueName="14" name="Flow_gps" queryTableFieldId="14"/>
    <tableColumn id="15" xr3:uid="{F6D19A69-8B66-0540-90F7-413894B42574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F2D395-B09C-6D4D-A8D9-8B51EAC7E8DB}" name="sheet1__3" displayName="sheet1__3" ref="A1:O34" tableType="queryTable" totalsRowShown="0">
  <autoFilter ref="A1:O34" xr:uid="{F7F2D395-B09C-6D4D-A8D9-8B51EAC7E8DB}"/>
  <tableColumns count="15">
    <tableColumn id="1" xr3:uid="{B4A5AF0D-8C0E-9647-9A7C-EEC9A1CAB53A}" uniqueName="1" name="Time" queryTableFieldId="1"/>
    <tableColumn id="2" xr3:uid="{590B0036-4607-D947-A1B2-49F73281F8B3}" uniqueName="2" name="T1" queryTableFieldId="2"/>
    <tableColumn id="3" xr3:uid="{61AFF66B-55E4-7046-8521-8970A6F5A257}" uniqueName="3" name="T2" queryTableFieldId="3"/>
    <tableColumn id="4" xr3:uid="{03A5FA72-E3D9-8E4F-8503-BC0DBCCFDC35}" uniqueName="4" name="T3" queryTableFieldId="4"/>
    <tableColumn id="5" xr3:uid="{B4D463B6-69CF-E84A-BB21-45F07BAF60D8}" uniqueName="5" name="T4" queryTableFieldId="5"/>
    <tableColumn id="6" xr3:uid="{03CE284F-EFED-8B47-96E6-36A794C84142}" uniqueName="6" name="T5" queryTableFieldId="6"/>
    <tableColumn id="7" xr3:uid="{C0BE6147-F09A-A24A-9263-93FA8FC200A0}" uniqueName="7" name="T6" queryTableFieldId="7"/>
    <tableColumn id="8" xr3:uid="{ACDD91DE-DE19-6840-B84F-32F7A72DCCF1}" uniqueName="8" name="T7" queryTableFieldId="8"/>
    <tableColumn id="9" xr3:uid="{9930FA3B-6608-534C-B94B-38A0CE8636D6}" uniqueName="9" name="T8" queryTableFieldId="9"/>
    <tableColumn id="10" xr3:uid="{2F1A7D02-1121-C641-8D07-754542D50A65}" uniqueName="10" name="RTD_IN" queryTableFieldId="10"/>
    <tableColumn id="11" xr3:uid="{0A1B840D-4BAC-0240-84C5-81050E7040C8}" uniqueName="11" name="RTD_OUT" queryTableFieldId="11"/>
    <tableColumn id="12" xr3:uid="{18B0CFF9-7834-AE43-A3B4-AD16AABA46A5}" uniqueName="12" name="DPT_TS" queryTableFieldId="12"/>
    <tableColumn id="13" xr3:uid="{196F2B77-3B10-F144-B937-6C8EF2F25852}" uniqueName="13" name="DPT_nozzle" queryTableFieldId="13"/>
    <tableColumn id="14" xr3:uid="{772B1E74-5E4A-6543-89D0-0F8283CEC338}" uniqueName="14" name="Flow_gps" queryTableFieldId="14"/>
    <tableColumn id="15" xr3:uid="{EA587FF4-5BA3-724B-B1E0-55A23379B702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EB4469-41CF-8E45-85C3-57067961A5A1}" name="sheet1__4" displayName="sheet1__4" ref="A1:O55" tableType="queryTable" totalsRowShown="0">
  <autoFilter ref="A1:O55" xr:uid="{4DEB4469-41CF-8E45-85C3-57067961A5A1}"/>
  <tableColumns count="15">
    <tableColumn id="1" xr3:uid="{28C3682F-44D9-9F49-8AC7-2433394EA532}" uniqueName="1" name="Time" queryTableFieldId="1"/>
    <tableColumn id="2" xr3:uid="{396966A5-AD96-1C4C-AE3C-F01F63E3B343}" uniqueName="2" name="T1" queryTableFieldId="2"/>
    <tableColumn id="3" xr3:uid="{7A038A0D-1A86-7B42-89D4-EE9E996E35FD}" uniqueName="3" name="T2" queryTableFieldId="3"/>
    <tableColumn id="4" xr3:uid="{81FBFAFA-925B-6541-8D9D-3C7B14F662E3}" uniqueName="4" name="T3" queryTableFieldId="4"/>
    <tableColumn id="5" xr3:uid="{AB9DB9CD-ABE4-1240-85D1-AC8FDD5E0F66}" uniqueName="5" name="T4" queryTableFieldId="5"/>
    <tableColumn id="6" xr3:uid="{14CFC280-17C5-0F40-9259-267A63E5F52A}" uniqueName="6" name="T5" queryTableFieldId="6"/>
    <tableColumn id="7" xr3:uid="{14FCDFE0-3C8B-7046-A06A-2096694D7D2A}" uniqueName="7" name="T6" queryTableFieldId="7"/>
    <tableColumn id="8" xr3:uid="{F7716041-4BD9-6445-B932-4C3497714F58}" uniqueName="8" name="T7" queryTableFieldId="8"/>
    <tableColumn id="9" xr3:uid="{E93C697E-8E2A-2846-8528-6A60510CF502}" uniqueName="9" name="T8" queryTableFieldId="9"/>
    <tableColumn id="10" xr3:uid="{05663B35-DABE-4A4E-9010-B4136A77FFCF}" uniqueName="10" name="RTD_IN" queryTableFieldId="10"/>
    <tableColumn id="11" xr3:uid="{3165EDE5-5DCA-B94E-8C1F-59C5B6D8E28E}" uniqueName="11" name="RTD_OUT" queryTableFieldId="11"/>
    <tableColumn id="12" xr3:uid="{3B70F987-3856-794C-8EEC-9CFFC7BDC1AE}" uniqueName="12" name="DPT_TS" queryTableFieldId="12"/>
    <tableColumn id="13" xr3:uid="{BBB4E136-5404-DE42-B1DF-2E3F855F40DB}" uniqueName="13" name="DPT_nozzle" queryTableFieldId="13"/>
    <tableColumn id="14" xr3:uid="{0D1478A6-DEEA-2449-9676-EB6B7B4AE8A1}" uniqueName="14" name="Flow_gps" queryTableFieldId="14"/>
    <tableColumn id="15" xr3:uid="{FAFE5F29-01B2-364D-89A0-5810FD267FF4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257D54-78B8-3746-85EB-C8EB65CD2D68}" name="sheet1__5" displayName="sheet1__5" ref="A1:O47" tableType="queryTable" totalsRowShown="0">
  <autoFilter ref="A1:O47" xr:uid="{19257D54-78B8-3746-85EB-C8EB65CD2D68}"/>
  <tableColumns count="15">
    <tableColumn id="1" xr3:uid="{9C0F798B-2E0C-D244-879B-7CEA1E247BE8}" uniqueName="1" name="Time" queryTableFieldId="1"/>
    <tableColumn id="2" xr3:uid="{37EA8550-91CE-6D44-9085-FD5FD5ED7DB7}" uniqueName="2" name="T1" queryTableFieldId="2"/>
    <tableColumn id="3" xr3:uid="{53F22DAB-CE91-F24E-BE80-9F9F4469A905}" uniqueName="3" name="T2" queryTableFieldId="3"/>
    <tableColumn id="4" xr3:uid="{456E5F62-20EF-BF43-9DEA-B62B332C62F2}" uniqueName="4" name="T3" queryTableFieldId="4"/>
    <tableColumn id="5" xr3:uid="{21AD0DAD-C44E-CB41-8270-3EFAE35BA56E}" uniqueName="5" name="T4" queryTableFieldId="5"/>
    <tableColumn id="6" xr3:uid="{9389F5AE-88F1-C840-A5EF-8122B23A9481}" uniqueName="6" name="T5" queryTableFieldId="6"/>
    <tableColumn id="7" xr3:uid="{A7AA0517-DF46-594C-AE4A-C62AED604F98}" uniqueName="7" name="T6" queryTableFieldId="7"/>
    <tableColumn id="8" xr3:uid="{AFEB6D69-1414-A548-8F8C-EB0B1E508B13}" uniqueName="8" name="T7" queryTableFieldId="8"/>
    <tableColumn id="9" xr3:uid="{0BEA17F3-9C6A-FE4A-BC42-7FC55B0505A3}" uniqueName="9" name="T8" queryTableFieldId="9"/>
    <tableColumn id="10" xr3:uid="{A034781D-3E93-1745-A199-F55228FCE162}" uniqueName="10" name="RTD_IN" queryTableFieldId="10"/>
    <tableColumn id="11" xr3:uid="{D3562214-386F-2647-B9B5-29F75B9AB30A}" uniqueName="11" name="RTD_OUT" queryTableFieldId="11"/>
    <tableColumn id="12" xr3:uid="{D4CD686B-1C04-4E4B-8505-525F5C0A1D50}" uniqueName="12" name="DPT_TS" queryTableFieldId="12"/>
    <tableColumn id="13" xr3:uid="{E9AE6E10-D51D-6143-8BCB-B24A1E1D2863}" uniqueName="13" name="DPT_nozzle" queryTableFieldId="13"/>
    <tableColumn id="14" xr3:uid="{2CE6075B-BAB6-8445-BD27-90099B504976}" uniqueName="14" name="Flow_gps" queryTableFieldId="14"/>
    <tableColumn id="15" xr3:uid="{7DFDBB48-D718-C944-A83A-DB133B578A51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E389AE-A7DD-8848-844E-4AD696DC41B9}" name="sheet1__6" displayName="sheet1__6" ref="A1:O27" tableType="queryTable" totalsRowShown="0">
  <autoFilter ref="A1:O27" xr:uid="{28E389AE-A7DD-8848-844E-4AD696DC41B9}"/>
  <tableColumns count="15">
    <tableColumn id="1" xr3:uid="{F141C24D-1FE2-7148-8448-65FB8C09FA23}" uniqueName="1" name="Time" queryTableFieldId="1"/>
    <tableColumn id="2" xr3:uid="{03D750EB-E0CB-9444-AB7C-171C716444DF}" uniqueName="2" name="T1" queryTableFieldId="2"/>
    <tableColumn id="3" xr3:uid="{416E1E9B-AFF1-3044-BCF5-615845870871}" uniqueName="3" name="T2" queryTableFieldId="3"/>
    <tableColumn id="4" xr3:uid="{7C01A39F-3C2C-154E-9315-3C235349D57E}" uniqueName="4" name="T3" queryTableFieldId="4"/>
    <tableColumn id="5" xr3:uid="{CDC36DB8-C92B-C148-A52E-E20E8F858D2B}" uniqueName="5" name="T4" queryTableFieldId="5"/>
    <tableColumn id="6" xr3:uid="{9077D2CE-11BE-7047-B3FE-4CB29F603897}" uniqueName="6" name="T5" queryTableFieldId="6"/>
    <tableColumn id="7" xr3:uid="{A9C01048-7B03-6346-AAD0-25C1C4AC6F90}" uniqueName="7" name="T6" queryTableFieldId="7"/>
    <tableColumn id="8" xr3:uid="{91BD00E4-3D4C-8445-A461-201F401FDD8F}" uniqueName="8" name="T7" queryTableFieldId="8"/>
    <tableColumn id="9" xr3:uid="{D9F4E0E7-E288-8E49-A349-0004249CD5B9}" uniqueName="9" name="T8" queryTableFieldId="9"/>
    <tableColumn id="10" xr3:uid="{D1C4023F-C01D-E241-A403-C2B39E654B35}" uniqueName="10" name="RTD_IN" queryTableFieldId="10"/>
    <tableColumn id="11" xr3:uid="{6241A148-1FD1-2D4E-9D19-BA32219F0780}" uniqueName="11" name="RTD_OUT" queryTableFieldId="11"/>
    <tableColumn id="12" xr3:uid="{9F03593C-0823-4743-B6B6-1600BA55E53D}" uniqueName="12" name="DPT_TS" queryTableFieldId="12"/>
    <tableColumn id="13" xr3:uid="{7AA2E23F-BB66-3543-B0F1-6435E5F5893B}" uniqueName="13" name="DPT_nozzle" queryTableFieldId="13"/>
    <tableColumn id="14" xr3:uid="{4A2C4D8F-79AD-8B4F-8D80-F18B2CE67E7E}" uniqueName="14" name="Flow_gps" queryTableFieldId="14"/>
    <tableColumn id="15" xr3:uid="{0B2F4605-A97F-5A4E-914D-CAD820DC46D0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87668D-6CC3-7C47-88C9-B30A770CC0D6}" name="sheet1__7" displayName="sheet1__7" ref="A1:O41" tableType="queryTable" totalsRowShown="0">
  <autoFilter ref="A1:O41" xr:uid="{3887668D-6CC3-7C47-88C9-B30A770CC0D6}"/>
  <tableColumns count="15">
    <tableColumn id="1" xr3:uid="{97E70E11-E709-8E48-9BE3-E400FE46D132}" uniqueName="1" name="Time" queryTableFieldId="1"/>
    <tableColumn id="2" xr3:uid="{BDB35C0E-32E3-D747-A5CD-C9C63CA42050}" uniqueName="2" name="T1" queryTableFieldId="2"/>
    <tableColumn id="3" xr3:uid="{15B11F38-47CB-C544-8426-6AC9F22B88C4}" uniqueName="3" name="T2" queryTableFieldId="3"/>
    <tableColumn id="4" xr3:uid="{221731C0-5E80-264E-B284-26BB0710357A}" uniqueName="4" name="T3" queryTableFieldId="4"/>
    <tableColumn id="5" xr3:uid="{9A46FEAC-731D-2244-AF8B-242DFA0868A2}" uniqueName="5" name="T4" queryTableFieldId="5"/>
    <tableColumn id="6" xr3:uid="{CA670FE9-B1C9-3942-9F22-1300F6F2B62E}" uniqueName="6" name="T5" queryTableFieldId="6"/>
    <tableColumn id="7" xr3:uid="{EE5D8455-7617-2045-8EF2-42A7D2928789}" uniqueName="7" name="T6" queryTableFieldId="7"/>
    <tableColumn id="8" xr3:uid="{A137BD95-BF50-E84C-94B0-C280B1D521D5}" uniqueName="8" name="T7" queryTableFieldId="8"/>
    <tableColumn id="9" xr3:uid="{B68EAB85-4EE5-F946-9B80-CE288718CB2B}" uniqueName="9" name="T8" queryTableFieldId="9"/>
    <tableColumn id="10" xr3:uid="{06A97519-93D3-5B46-8EF4-88A252EF6E97}" uniqueName="10" name="RTD_IN" queryTableFieldId="10"/>
    <tableColumn id="11" xr3:uid="{CCA23015-F4C9-A147-A33A-59FDFA90BA6D}" uniqueName="11" name="RTD_OUT" queryTableFieldId="11"/>
    <tableColumn id="12" xr3:uid="{E5BA3E04-DA95-9042-926D-9365CFDEB18A}" uniqueName="12" name="DPT_TS" queryTableFieldId="12"/>
    <tableColumn id="13" xr3:uid="{5D962B43-219A-E74D-B4EE-447ACB6DE312}" uniqueName="13" name="DPT_nozzle" queryTableFieldId="13"/>
    <tableColumn id="14" xr3:uid="{56E7BE5B-FEB1-0441-B50C-459D72EC9C18}" uniqueName="14" name="Flow_gps" queryTableFieldId="14"/>
    <tableColumn id="15" xr3:uid="{17544150-CBC9-1948-BC7F-DE0D77A18C2C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AC6F-2568-1F4C-8414-5A3FADE9766E}">
  <dimension ref="A1:C9"/>
  <sheetViews>
    <sheetView tabSelected="1" workbookViewId="0">
      <selection activeCell="D14" sqref="D14"/>
    </sheetView>
  </sheetViews>
  <sheetFormatPr baseColWidth="10" defaultRowHeight="16" x14ac:dyDescent="0.2"/>
  <cols>
    <col min="1" max="1" width="16.33203125" customWidth="1"/>
    <col min="2" max="2" width="18" customWidth="1"/>
    <col min="3" max="3" width="17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</v>
      </c>
      <c r="B2" s="3">
        <v>302.48816042642636</v>
      </c>
      <c r="C2" s="3">
        <v>58.28739468685955</v>
      </c>
    </row>
    <row r="3" spans="1:3" x14ac:dyDescent="0.2">
      <c r="A3" s="3">
        <v>2</v>
      </c>
      <c r="B3" s="3">
        <v>471.42268398576743</v>
      </c>
      <c r="C3" s="3">
        <v>57.982718951167342</v>
      </c>
    </row>
    <row r="4" spans="1:3" x14ac:dyDescent="0.2">
      <c r="A4" s="3">
        <v>3</v>
      </c>
      <c r="B4" s="3">
        <v>616.43211800726522</v>
      </c>
      <c r="C4" s="3">
        <v>57.901373762564667</v>
      </c>
    </row>
    <row r="5" spans="1:3" x14ac:dyDescent="0.2">
      <c r="A5" s="3">
        <v>4</v>
      </c>
      <c r="B5" s="3">
        <v>709.69146708005303</v>
      </c>
      <c r="C5" s="3">
        <v>57.960506459380618</v>
      </c>
    </row>
    <row r="6" spans="1:3" x14ac:dyDescent="0.2">
      <c r="A6" s="3">
        <v>5</v>
      </c>
      <c r="B6" s="3">
        <v>781.86691468641675</v>
      </c>
      <c r="C6">
        <v>57.968363253513559</v>
      </c>
    </row>
    <row r="7" spans="1:3" x14ac:dyDescent="0.2">
      <c r="A7" s="3">
        <v>6</v>
      </c>
      <c r="B7" s="3">
        <v>832.44746575320619</v>
      </c>
      <c r="C7">
        <v>57.882352828751088</v>
      </c>
    </row>
    <row r="8" spans="1:3" x14ac:dyDescent="0.2">
      <c r="A8" s="3">
        <v>7</v>
      </c>
      <c r="B8" s="3">
        <v>884.13154295629647</v>
      </c>
      <c r="C8">
        <v>57.759564994727384</v>
      </c>
    </row>
    <row r="9" spans="1:3" x14ac:dyDescent="0.2">
      <c r="A9" s="3"/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FE45-84C9-C846-AD58-0C3D92ECAE18}">
  <dimension ref="A1:AC41"/>
  <sheetViews>
    <sheetView topLeftCell="P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44675.0760791227</v>
      </c>
      <c r="B2">
        <v>18.276382000000002</v>
      </c>
      <c r="C2">
        <v>17.314888</v>
      </c>
      <c r="D2">
        <v>17.338497</v>
      </c>
      <c r="E2">
        <v>17.702717</v>
      </c>
      <c r="F2">
        <v>42.089452000000001</v>
      </c>
      <c r="G2">
        <v>40.196278999999997</v>
      </c>
      <c r="H2">
        <v>37.929169000000002</v>
      </c>
      <c r="I2">
        <v>32.222934000000002</v>
      </c>
      <c r="J2">
        <v>59.021349000000001</v>
      </c>
      <c r="K2">
        <v>57.051386999999998</v>
      </c>
      <c r="L2">
        <v>13.036341999999999</v>
      </c>
      <c r="M2">
        <v>-622.51836600000001</v>
      </c>
      <c r="N2">
        <v>2.250505</v>
      </c>
      <c r="O2">
        <v>5.1280590000000004</v>
      </c>
      <c r="P2">
        <f t="shared" ref="P2:P65" si="0" xml:space="preserve"> N2*0.001/60</f>
        <v>3.7508416666666665E-5</v>
      </c>
      <c r="Q2" cm="1">
        <f t="array" ref="Q2">[1]!PropsSI("D","T",J2+273.15,"P",101325,"Water")</f>
        <v>983.69646369199393</v>
      </c>
      <c r="R2" cm="1">
        <f t="array" ref="R2">[1]!PropsSI("D","T",K2+273.15,"P",101325,"Water")</f>
        <v>984.68684811852472</v>
      </c>
      <c r="S2">
        <f t="shared" ref="S2:S65" si="1">(Q2+R2)/2</f>
        <v>984.19165590525927</v>
      </c>
      <c r="T2" cm="1">
        <f t="array" ref="T2">[1]!PropsSI("H","T",J2+273.15,"P",101325,"Water")</f>
        <v>247153.29158572407</v>
      </c>
      <c r="U2" cm="1">
        <f t="array" ref="U2">[1]!PropsSI("H","T",K2+273.15,"P",101325,"Water")</f>
        <v>238910.72049668335</v>
      </c>
      <c r="V2">
        <f t="shared" ref="V2:V65" si="2">S2*P2*(T2-U2)</f>
        <v>304.27839160887538</v>
      </c>
      <c r="W2" s="3">
        <f>AVERAGE(V2:V41)</f>
        <v>302.48816042642636</v>
      </c>
      <c r="X2">
        <f>(0.15+0.002*ABS(J2))</f>
        <v>0.26804269800000002</v>
      </c>
      <c r="Y2">
        <f>(0.15+0.002*ABS(K2))</f>
        <v>0.26410277399999998</v>
      </c>
      <c r="Z2">
        <f>SQRT((X2)^2 + (Y2)^2)</f>
        <v>0.3762939850510692</v>
      </c>
      <c r="AA2">
        <f>J2-K2</f>
        <v>1.9699620000000024</v>
      </c>
      <c r="AB2">
        <f>SQRT((0.01)^2 + (Z2/ABS(AA2))^2)</f>
        <v>0.1912774389874716</v>
      </c>
      <c r="AC2">
        <f>ABS(V2*AB2)</f>
        <v>58.201591486172653</v>
      </c>
    </row>
    <row r="3" spans="1:29" x14ac:dyDescent="0.2">
      <c r="A3">
        <v>44675.076114423602</v>
      </c>
      <c r="B3">
        <v>18.21752</v>
      </c>
      <c r="C3">
        <v>17.305069</v>
      </c>
      <c r="D3">
        <v>17.326896000000001</v>
      </c>
      <c r="E3">
        <v>17.571666</v>
      </c>
      <c r="F3">
        <v>42.361539999999998</v>
      </c>
      <c r="G3">
        <v>41.528573999999999</v>
      </c>
      <c r="H3">
        <v>37.318752000000003</v>
      </c>
      <c r="I3">
        <v>31.688763000000002</v>
      </c>
      <c r="J3">
        <v>59.021189999999997</v>
      </c>
      <c r="K3">
        <v>57.053297999999998</v>
      </c>
      <c r="L3">
        <v>14.077106000000001</v>
      </c>
      <c r="M3">
        <v>-622.49020499999995</v>
      </c>
      <c r="N3">
        <v>2.25475</v>
      </c>
      <c r="O3">
        <v>5.8394180000000002</v>
      </c>
      <c r="P3">
        <f t="shared" si="0"/>
        <v>3.7579166666666668E-5</v>
      </c>
      <c r="Q3" cm="1">
        <f t="array" ref="Q3">[1]!PropsSI("D","T",J3+273.15,"P",101325,"Water")</f>
        <v>983.69654456769535</v>
      </c>
      <c r="R3" cm="1">
        <f t="array" ref="R3">[1]!PropsSI("D","T",K3+273.15,"P",101325,"Water")</f>
        <v>984.68589873293729</v>
      </c>
      <c r="S3">
        <f t="shared" si="1"/>
        <v>984.19122165031627</v>
      </c>
      <c r="T3" cm="1">
        <f t="array" ref="T3">[1]!PropsSI("H","T",J3+273.15,"P",101325,"Water")</f>
        <v>247152.6262449502</v>
      </c>
      <c r="U3" cm="1">
        <f t="array" ref="U3">[1]!PropsSI("H","T",K3+273.15,"P",101325,"Water")</f>
        <v>238918.71560632877</v>
      </c>
      <c r="V3">
        <f t="shared" si="2"/>
        <v>304.53189267623549</v>
      </c>
      <c r="W3" s="3" t="s">
        <v>33</v>
      </c>
      <c r="X3">
        <f t="shared" ref="X3:Y55" si="3">(0.15+0.002*ABS(J3))</f>
        <v>0.26804238000000002</v>
      </c>
      <c r="Y3">
        <f t="shared" si="3"/>
        <v>0.26410659599999997</v>
      </c>
      <c r="Z3">
        <f t="shared" ref="Z3:Z55" si="4">SQRT((X3)^2 + (Y3)^2)</f>
        <v>0.37629644102325976</v>
      </c>
      <c r="AA3">
        <f>J3-K3</f>
        <v>1.9678919999999991</v>
      </c>
      <c r="AB3">
        <f t="shared" ref="AB3:AB66" si="5">SQRT((0.01)^2 + (Z3/ABS(AA3))^2)</f>
        <v>0.1914793379172243</v>
      </c>
      <c r="AC3">
        <f t="shared" ref="AC3:AC66" si="6">ABS(V3*AB3)</f>
        <v>58.311565184324778</v>
      </c>
    </row>
    <row r="4" spans="1:29" x14ac:dyDescent="0.2">
      <c r="A4">
        <v>44675.076149724599</v>
      </c>
      <c r="B4">
        <v>18.150392</v>
      </c>
      <c r="C4">
        <v>17.320284999999998</v>
      </c>
      <c r="D4">
        <v>17.285712</v>
      </c>
      <c r="E4">
        <v>17.611404</v>
      </c>
      <c r="F4">
        <v>41.587788000000003</v>
      </c>
      <c r="G4">
        <v>42.223314999999999</v>
      </c>
      <c r="H4">
        <v>38.079189</v>
      </c>
      <c r="I4">
        <v>31.802543</v>
      </c>
      <c r="J4">
        <v>59.019596999999997</v>
      </c>
      <c r="K4">
        <v>57.050750000000001</v>
      </c>
      <c r="L4">
        <v>13.211843</v>
      </c>
      <c r="M4">
        <v>-622.49061300000005</v>
      </c>
      <c r="N4">
        <v>2.2563279999999999</v>
      </c>
      <c r="O4">
        <v>5.5233359999999996</v>
      </c>
      <c r="P4">
        <f t="shared" si="0"/>
        <v>3.7605466666666671E-5</v>
      </c>
      <c r="Q4" cm="1">
        <f t="array" ref="Q4">[1]!PropsSI("D","T",J4+273.15,"P",101325,"Water")</f>
        <v>983.69735484250623</v>
      </c>
      <c r="R4" cm="1">
        <f t="array" ref="R4">[1]!PropsSI("D","T",K4+273.15,"P",101325,"Water")</f>
        <v>984.68716457547407</v>
      </c>
      <c r="S4">
        <f t="shared" si="1"/>
        <v>984.19225970899015</v>
      </c>
      <c r="T4" cm="1">
        <f t="array" ref="T4">[1]!PropsSI("H","T",J4+273.15,"P",101325,"Water")</f>
        <v>247145.96028442509</v>
      </c>
      <c r="U4" cm="1">
        <f t="array" ref="U4">[1]!PropsSI("H","T",K4+273.15,"P",101325,"Water")</f>
        <v>238908.05546047236</v>
      </c>
      <c r="V4">
        <f t="shared" si="2"/>
        <v>304.89317136048618</v>
      </c>
      <c r="W4" s="3">
        <f>SQRT((AVERAGE(AC2:AC41))^2 + (_xlfn.STDEV.S(V2:V41)/SQRT(COUNT(V2:V41)))^2)</f>
        <v>58.28739468685955</v>
      </c>
      <c r="X4">
        <f t="shared" si="3"/>
        <v>0.26803919399999998</v>
      </c>
      <c r="Y4">
        <f t="shared" si="3"/>
        <v>0.26410149999999999</v>
      </c>
      <c r="Z4">
        <f t="shared" si="4"/>
        <v>0.37629059491624239</v>
      </c>
      <c r="AA4">
        <f t="shared" ref="AA4:AA67" si="7">J4-K4</f>
        <v>1.9688469999999967</v>
      </c>
      <c r="AB4">
        <f t="shared" si="5"/>
        <v>0.19138374795013091</v>
      </c>
      <c r="AC4">
        <f t="shared" si="6"/>
        <v>58.35159785937136</v>
      </c>
    </row>
    <row r="5" spans="1:29" x14ac:dyDescent="0.2">
      <c r="A5">
        <v>44675.0761850255</v>
      </c>
      <c r="B5">
        <v>18.204525</v>
      </c>
      <c r="C5">
        <v>17.353275</v>
      </c>
      <c r="D5">
        <v>17.330317999999998</v>
      </c>
      <c r="E5">
        <v>17.82564</v>
      </c>
      <c r="F5">
        <v>42.556044</v>
      </c>
      <c r="G5">
        <v>42.464587000000002</v>
      </c>
      <c r="H5">
        <v>38.247059</v>
      </c>
      <c r="I5">
        <v>31.734641</v>
      </c>
      <c r="J5">
        <v>59.020871</v>
      </c>
      <c r="K5">
        <v>57.047884000000003</v>
      </c>
      <c r="L5">
        <v>11.599271</v>
      </c>
      <c r="M5">
        <v>-622.48000100000002</v>
      </c>
      <c r="N5">
        <v>2.255217</v>
      </c>
      <c r="O5">
        <v>5.2736140000000002</v>
      </c>
      <c r="P5">
        <f t="shared" si="0"/>
        <v>3.7586950000000001E-5</v>
      </c>
      <c r="Q5" cm="1">
        <f t="array" ref="Q5">[1]!PropsSI("D","T",J5+273.15,"P",101325,"Water")</f>
        <v>983.69670682732794</v>
      </c>
      <c r="R5" cm="1">
        <f t="array" ref="R5">[1]!PropsSI("D","T",K5+273.15,"P",101325,"Water")</f>
        <v>984.68858835273613</v>
      </c>
      <c r="S5">
        <f t="shared" si="1"/>
        <v>984.19264759003204</v>
      </c>
      <c r="T5" cm="1">
        <f t="array" ref="T5">[1]!PropsSI("H","T",J5+273.15,"P",101325,"Water")</f>
        <v>247151.29137896717</v>
      </c>
      <c r="U5" cm="1">
        <f t="array" ref="U5">[1]!PropsSI("H","T",K5+273.15,"P",101325,"Water")</f>
        <v>238896.0648913375</v>
      </c>
      <c r="V5">
        <f t="shared" si="2"/>
        <v>305.38394105223296</v>
      </c>
      <c r="W5" s="3"/>
      <c r="X5">
        <f t="shared" si="3"/>
        <v>0.26804174199999997</v>
      </c>
      <c r="Y5">
        <f t="shared" si="3"/>
        <v>0.26409576800000001</v>
      </c>
      <c r="Z5">
        <f t="shared" si="4"/>
        <v>0.37628838691873601</v>
      </c>
      <c r="AA5">
        <f t="shared" si="7"/>
        <v>1.9729869999999963</v>
      </c>
      <c r="AB5">
        <f t="shared" si="5"/>
        <v>0.19098213951379969</v>
      </c>
      <c r="AC5">
        <f t="shared" si="6"/>
        <v>58.322878435311537</v>
      </c>
    </row>
    <row r="6" spans="1:29" x14ac:dyDescent="0.2">
      <c r="A6">
        <v>46137.076219745373</v>
      </c>
      <c r="B6">
        <v>18.183157999999999</v>
      </c>
      <c r="C6">
        <v>17.398183</v>
      </c>
      <c r="D6">
        <v>17.331847</v>
      </c>
      <c r="E6">
        <v>17.807337</v>
      </c>
      <c r="F6">
        <v>42.155244000000003</v>
      </c>
      <c r="G6">
        <v>42.905465999999997</v>
      </c>
      <c r="H6">
        <v>37.742400000000004</v>
      </c>
      <c r="I6">
        <v>30.967571</v>
      </c>
      <c r="J6">
        <v>59.021349000000001</v>
      </c>
      <c r="K6">
        <v>57.050908999999997</v>
      </c>
      <c r="L6">
        <v>12.227811000000001</v>
      </c>
      <c r="M6">
        <v>-622.49061300000005</v>
      </c>
      <c r="N6">
        <v>2.2526190000000001</v>
      </c>
      <c r="O6">
        <v>5.4324370000000002</v>
      </c>
      <c r="P6">
        <f t="shared" si="0"/>
        <v>3.7543650000000008E-5</v>
      </c>
      <c r="Q6" cm="1">
        <f t="array" ref="Q6">[1]!PropsSI("D","T",J6+273.15,"P",101325,"Water")</f>
        <v>983.69646369199393</v>
      </c>
      <c r="R6" cm="1">
        <f t="array" ref="R6">[1]!PropsSI("D","T",K6+273.15,"P",101325,"Water")</f>
        <v>984.68708558564799</v>
      </c>
      <c r="S6">
        <f t="shared" si="1"/>
        <v>984.19177463882102</v>
      </c>
      <c r="T6" cm="1">
        <f t="array" ref="T6">[1]!PropsSI("H","T",J6+273.15,"P",101325,"Water")</f>
        <v>247153.29158572407</v>
      </c>
      <c r="U6" cm="1">
        <f t="array" ref="U6">[1]!PropsSI("H","T",K6+273.15,"P",101325,"Water")</f>
        <v>238908.72067365207</v>
      </c>
      <c r="V6">
        <f t="shared" si="2"/>
        <v>304.63814441777532</v>
      </c>
      <c r="W6" s="3"/>
      <c r="X6">
        <f t="shared" si="3"/>
        <v>0.26804269800000002</v>
      </c>
      <c r="Y6">
        <f t="shared" si="3"/>
        <v>0.26410181799999999</v>
      </c>
      <c r="Z6">
        <f t="shared" si="4"/>
        <v>0.37629331408094979</v>
      </c>
      <c r="AA6">
        <f>J6-K6</f>
        <v>1.9704400000000035</v>
      </c>
      <c r="AB6">
        <f t="shared" si="5"/>
        <v>0.19123082465823063</v>
      </c>
      <c r="AC6">
        <f t="shared" si="6"/>
        <v>58.256203579364332</v>
      </c>
    </row>
    <row r="7" spans="1:29" x14ac:dyDescent="0.2">
      <c r="A7">
        <v>46137.076255046297</v>
      </c>
      <c r="B7">
        <v>18.228684000000001</v>
      </c>
      <c r="C7">
        <v>17.466287999999999</v>
      </c>
      <c r="D7">
        <v>17.356342999999999</v>
      </c>
      <c r="E7">
        <v>17.858456</v>
      </c>
      <c r="F7">
        <v>42.028109999999998</v>
      </c>
      <c r="G7">
        <v>40.448287000000001</v>
      </c>
      <c r="H7">
        <v>37.943643999999999</v>
      </c>
      <c r="I7">
        <v>31.418996</v>
      </c>
      <c r="J7">
        <v>59.019914999999997</v>
      </c>
      <c r="K7">
        <v>57.051228000000002</v>
      </c>
      <c r="L7">
        <v>12.488206</v>
      </c>
      <c r="M7">
        <v>-622.49755100000004</v>
      </c>
      <c r="N7">
        <v>2.2537579999999999</v>
      </c>
      <c r="O7">
        <v>5.2590890000000003</v>
      </c>
      <c r="P7">
        <f t="shared" si="0"/>
        <v>3.7562633333333332E-5</v>
      </c>
      <c r="Q7" cm="1">
        <f t="array" ref="Q7">[1]!PropsSI("D","T",J7+273.15,"P",101325,"Water")</f>
        <v>983.69719309394952</v>
      </c>
      <c r="R7" cm="1">
        <f t="array" ref="R7">[1]!PropsSI("D","T",K7+273.15,"P",101325,"Water")</f>
        <v>984.68692710879805</v>
      </c>
      <c r="S7">
        <f t="shared" si="1"/>
        <v>984.19206010137373</v>
      </c>
      <c r="T7" cm="1">
        <f t="array" ref="T7">[1]!PropsSI("H","T",J7+273.15,"P",101325,"Water")</f>
        <v>247147.29096572023</v>
      </c>
      <c r="U7" cm="1">
        <f t="array" ref="U7">[1]!PropsSI("H","T",K7+273.15,"P",101325,"Water")</f>
        <v>238910.05528357709</v>
      </c>
      <c r="V7">
        <f t="shared" si="2"/>
        <v>304.52109314156974</v>
      </c>
      <c r="W7" s="3"/>
      <c r="X7">
        <f t="shared" si="3"/>
        <v>0.26803982999999998</v>
      </c>
      <c r="Y7">
        <f t="shared" si="3"/>
        <v>0.26410245599999999</v>
      </c>
      <c r="Z7">
        <f t="shared" si="4"/>
        <v>0.37629171892517221</v>
      </c>
      <c r="AA7">
        <f t="shared" ref="AA7:AA70" si="8">J7-K7</f>
        <v>1.9686869999999956</v>
      </c>
      <c r="AB7">
        <f t="shared" si="5"/>
        <v>0.19139982987435816</v>
      </c>
      <c r="AC7">
        <f t="shared" si="6"/>
        <v>58.285285420450023</v>
      </c>
    </row>
    <row r="8" spans="1:29" x14ac:dyDescent="0.2">
      <c r="A8">
        <v>46137.07629034722</v>
      </c>
      <c r="B8">
        <v>18.314306999999999</v>
      </c>
      <c r="C8">
        <v>17.552399000000001</v>
      </c>
      <c r="D8">
        <v>17.466142999999999</v>
      </c>
      <c r="E8">
        <v>18.209133000000001</v>
      </c>
      <c r="F8">
        <v>42.372841000000001</v>
      </c>
      <c r="G8">
        <v>42.269404999999999</v>
      </c>
      <c r="H8">
        <v>38.040618000000002</v>
      </c>
      <c r="I8">
        <v>30.759855000000002</v>
      </c>
      <c r="J8">
        <v>59.019914999999997</v>
      </c>
      <c r="K8">
        <v>57.052819999999997</v>
      </c>
      <c r="L8">
        <v>14.201589</v>
      </c>
      <c r="M8">
        <v>-622.49265300000002</v>
      </c>
      <c r="N8">
        <v>2.2547380000000001</v>
      </c>
      <c r="O8">
        <v>5.4271120000000002</v>
      </c>
      <c r="P8">
        <f t="shared" si="0"/>
        <v>3.7578966666666667E-5</v>
      </c>
      <c r="Q8" cm="1">
        <f t="array" ref="Q8">[1]!PropsSI("D","T",J8+273.15,"P",101325,"Water")</f>
        <v>983.69719309394952</v>
      </c>
      <c r="R8" cm="1">
        <f t="array" ref="R8">[1]!PropsSI("D","T",K8+273.15,"P",101325,"Water")</f>
        <v>984.68613620561621</v>
      </c>
      <c r="S8">
        <f t="shared" si="1"/>
        <v>984.19166464978287</v>
      </c>
      <c r="T8" cm="1">
        <f t="array" ref="T8">[1]!PropsSI("H","T",J8+273.15,"P",101325,"Water")</f>
        <v>247147.29096572023</v>
      </c>
      <c r="U8" cm="1">
        <f t="array" ref="U8">[1]!PropsSI("H","T",K8+273.15,"P",101325,"Water")</f>
        <v>238916.71578287848</v>
      </c>
      <c r="V8">
        <f t="shared" si="2"/>
        <v>304.40704748376089</v>
      </c>
      <c r="W8" s="3"/>
      <c r="X8">
        <f t="shared" si="3"/>
        <v>0.26803982999999998</v>
      </c>
      <c r="Y8">
        <f t="shared" si="3"/>
        <v>0.26410563999999997</v>
      </c>
      <c r="Z8">
        <f>SQRT((X8)^2 + (Y8)^2)</f>
        <v>0.376293953640287</v>
      </c>
      <c r="AA8">
        <f t="shared" si="8"/>
        <v>1.9670950000000005</v>
      </c>
      <c r="AB8">
        <f t="shared" si="5"/>
        <v>0.19155544450699341</v>
      </c>
      <c r="AC8">
        <f t="shared" si="6"/>
        <v>58.310827291813268</v>
      </c>
    </row>
    <row r="9" spans="1:29" x14ac:dyDescent="0.2">
      <c r="A9">
        <v>46137.076325648151</v>
      </c>
      <c r="B9">
        <v>18.312370000000001</v>
      </c>
      <c r="C9">
        <v>17.590024</v>
      </c>
      <c r="D9">
        <v>17.417182</v>
      </c>
      <c r="E9">
        <v>18.31503</v>
      </c>
      <c r="F9">
        <v>42.785097999999998</v>
      </c>
      <c r="G9">
        <v>42.090308</v>
      </c>
      <c r="H9">
        <v>38.040776000000001</v>
      </c>
      <c r="I9">
        <v>31.48443</v>
      </c>
      <c r="J9">
        <v>59.020871</v>
      </c>
      <c r="K9">
        <v>57.053935000000003</v>
      </c>
      <c r="L9">
        <v>11.185414</v>
      </c>
      <c r="M9">
        <v>-622.48612300000002</v>
      </c>
      <c r="N9">
        <v>2.2535660000000002</v>
      </c>
      <c r="O9">
        <v>5.6826920000000003</v>
      </c>
      <c r="P9">
        <f t="shared" si="0"/>
        <v>3.7559433333333338E-5</v>
      </c>
      <c r="Q9" cm="1">
        <f t="array" ref="Q9">[1]!PropsSI("D","T",J9+273.15,"P",101325,"Water")</f>
        <v>983.69670682732794</v>
      </c>
      <c r="R9" cm="1">
        <f t="array" ref="R9">[1]!PropsSI("D","T",K9+273.15,"P",101325,"Water")</f>
        <v>984.68558226615244</v>
      </c>
      <c r="S9">
        <f t="shared" si="1"/>
        <v>984.19114454674013</v>
      </c>
      <c r="T9" cm="1">
        <f t="array" ref="T9">[1]!PropsSI("H","T",J9+273.15,"P",101325,"Water")</f>
        <v>247151.29137896717</v>
      </c>
      <c r="U9" cm="1">
        <f t="array" ref="U9">[1]!PropsSI("H","T",K9+273.15,"P",101325,"Water")</f>
        <v>238921.3806431675</v>
      </c>
      <c r="V9">
        <f t="shared" si="2"/>
        <v>304.22409592325084</v>
      </c>
      <c r="W9" s="3"/>
      <c r="X9">
        <f t="shared" si="3"/>
        <v>0.26804174199999997</v>
      </c>
      <c r="Y9">
        <f t="shared" si="3"/>
        <v>0.26410787000000002</v>
      </c>
      <c r="Z9">
        <f t="shared" ref="Z9:Z72" si="9">SQRT((X9)^2 + (Y9)^2)</f>
        <v>0.37629688073425677</v>
      </c>
      <c r="AA9">
        <f t="shared" si="8"/>
        <v>1.9669359999999969</v>
      </c>
      <c r="AB9">
        <f t="shared" si="5"/>
        <v>0.19157237307898742</v>
      </c>
      <c r="AC9">
        <f t="shared" si="6"/>
        <v>58.280932003826663</v>
      </c>
    </row>
    <row r="10" spans="1:29" x14ac:dyDescent="0.2">
      <c r="A10">
        <v>44675.076360951403</v>
      </c>
      <c r="B10">
        <v>18.331897999999999</v>
      </c>
      <c r="C10">
        <v>17.611065</v>
      </c>
      <c r="D10">
        <v>17.432936999999999</v>
      </c>
      <c r="E10">
        <v>18.349080000000001</v>
      </c>
      <c r="F10">
        <v>42.575958999999997</v>
      </c>
      <c r="G10">
        <v>42.041853000000003</v>
      </c>
      <c r="H10">
        <v>37.806005999999996</v>
      </c>
      <c r="I10">
        <v>30.792255999999998</v>
      </c>
      <c r="J10">
        <v>59.021189999999997</v>
      </c>
      <c r="K10">
        <v>57.05903</v>
      </c>
      <c r="L10">
        <v>10.924203</v>
      </c>
      <c r="M10">
        <v>-622.47714399999995</v>
      </c>
      <c r="N10">
        <v>2.2570239999999999</v>
      </c>
      <c r="O10">
        <v>5.5442150000000003</v>
      </c>
      <c r="P10">
        <f t="shared" si="0"/>
        <v>3.7617066666666663E-5</v>
      </c>
      <c r="Q10" cm="1">
        <f t="array" ref="Q10">[1]!PropsSI("D","T",J10+273.15,"P",101325,"Water")</f>
        <v>983.69654456769535</v>
      </c>
      <c r="R10" cm="1">
        <f t="array" ref="R10">[1]!PropsSI("D","T",K10+273.15,"P",101325,"Water")</f>
        <v>984.68305093984543</v>
      </c>
      <c r="S10">
        <f t="shared" si="1"/>
        <v>984.18979775377034</v>
      </c>
      <c r="T10" cm="1">
        <f t="array" ref="T10">[1]!PropsSI("H","T",J10+273.15,"P",101325,"Water")</f>
        <v>247152.6262449502</v>
      </c>
      <c r="U10" cm="1">
        <f t="array" ref="U10">[1]!PropsSI("H","T",K10+273.15,"P",101325,"Water")</f>
        <v>238942.69676004836</v>
      </c>
      <c r="V10">
        <f t="shared" si="2"/>
        <v>303.95074522389058</v>
      </c>
      <c r="X10">
        <f t="shared" si="3"/>
        <v>0.26804238000000002</v>
      </c>
      <c r="Y10">
        <f t="shared" si="3"/>
        <v>0.26411805999999999</v>
      </c>
      <c r="Z10">
        <f t="shared" si="9"/>
        <v>0.37630448720979665</v>
      </c>
      <c r="AA10">
        <f t="shared" si="8"/>
        <v>1.9621599999999972</v>
      </c>
      <c r="AB10">
        <f t="shared" si="5"/>
        <v>0.19204127254466724</v>
      </c>
      <c r="AC10">
        <f t="shared" si="6"/>
        <v>58.371087903695887</v>
      </c>
    </row>
    <row r="11" spans="1:29" x14ac:dyDescent="0.2">
      <c r="A11">
        <v>44675.076395673597</v>
      </c>
      <c r="B11">
        <v>18.304199000000001</v>
      </c>
      <c r="C11">
        <v>17.574128999999999</v>
      </c>
      <c r="D11">
        <v>17.419808</v>
      </c>
      <c r="E11">
        <v>18.076694</v>
      </c>
      <c r="F11">
        <v>42.120463999999998</v>
      </c>
      <c r="G11">
        <v>41.498269999999998</v>
      </c>
      <c r="H11">
        <v>37.713206</v>
      </c>
      <c r="I11">
        <v>31.725480999999998</v>
      </c>
      <c r="J11">
        <v>59.021827000000002</v>
      </c>
      <c r="K11">
        <v>57.062215000000002</v>
      </c>
      <c r="L11">
        <v>13.050219</v>
      </c>
      <c r="M11">
        <v>-622.49836700000003</v>
      </c>
      <c r="N11">
        <v>2.2534960000000002</v>
      </c>
      <c r="O11">
        <v>5.6412899999999997</v>
      </c>
      <c r="P11">
        <f t="shared" si="0"/>
        <v>3.7558266666666669E-5</v>
      </c>
      <c r="Q11" cm="1">
        <f t="array" ref="Q11">[1]!PropsSI("D","T",J11+273.15,"P",101325,"Water")</f>
        <v>983.69622055528225</v>
      </c>
      <c r="R11" cm="1">
        <f t="array" ref="R11">[1]!PropsSI("D","T",K11+273.15,"P",101325,"Water")</f>
        <v>984.68146847023786</v>
      </c>
      <c r="S11">
        <f t="shared" si="1"/>
        <v>984.18884451276006</v>
      </c>
      <c r="T11" cm="1">
        <f t="array" ref="T11">[1]!PropsSI("H","T",J11+273.15,"P",101325,"Water")</f>
        <v>247155.29179258598</v>
      </c>
      <c r="U11" cm="1">
        <f t="array" ref="U11">[1]!PropsSI("H","T",K11+273.15,"P",101325,"Water")</f>
        <v>238956.02195309321</v>
      </c>
      <c r="V11">
        <f t="shared" si="2"/>
        <v>303.08131203024328</v>
      </c>
      <c r="X11">
        <f t="shared" si="3"/>
        <v>0.26804365400000002</v>
      </c>
      <c r="Y11">
        <f t="shared" si="3"/>
        <v>0.26412443000000002</v>
      </c>
      <c r="Z11">
        <f t="shared" si="9"/>
        <v>0.37630986563269453</v>
      </c>
      <c r="AA11">
        <f t="shared" si="8"/>
        <v>1.9596119999999999</v>
      </c>
      <c r="AB11">
        <f t="shared" si="5"/>
        <v>0.19229303991932653</v>
      </c>
      <c r="AC11">
        <f t="shared" si="6"/>
        <v>58.280426833033431</v>
      </c>
    </row>
    <row r="12" spans="1:29" x14ac:dyDescent="0.2">
      <c r="A12">
        <v>44675.076430974601</v>
      </c>
      <c r="B12">
        <v>18.290565000000001</v>
      </c>
      <c r="C12">
        <v>17.699437</v>
      </c>
      <c r="D12">
        <v>17.340851000000001</v>
      </c>
      <c r="E12">
        <v>17.897022</v>
      </c>
      <c r="F12">
        <v>41.643622999999998</v>
      </c>
      <c r="G12">
        <v>41.107329999999997</v>
      </c>
      <c r="H12">
        <v>39.484566999999998</v>
      </c>
      <c r="I12">
        <v>31.867322000000001</v>
      </c>
      <c r="J12">
        <v>59.022145999999999</v>
      </c>
      <c r="K12">
        <v>57.062851999999999</v>
      </c>
      <c r="L12">
        <v>15.129298</v>
      </c>
      <c r="M12">
        <v>-622.48408199999994</v>
      </c>
      <c r="N12">
        <v>2.2553890000000001</v>
      </c>
      <c r="O12">
        <v>4.9391949999999998</v>
      </c>
      <c r="P12">
        <f t="shared" si="0"/>
        <v>3.7589816666666667E-5</v>
      </c>
      <c r="Q12" cm="1">
        <f t="array" ref="Q12">[1]!PropsSI("D","T",J12+273.15,"P",101325,"Water")</f>
        <v>983.69605829382112</v>
      </c>
      <c r="R12" cm="1">
        <f t="array" ref="R12">[1]!PropsSI("D","T",K12+273.15,"P",101325,"Water")</f>
        <v>984.68115196890483</v>
      </c>
      <c r="S12">
        <f t="shared" si="1"/>
        <v>984.18860513136292</v>
      </c>
      <c r="T12" cm="1">
        <f t="array" ref="T12">[1]!PropsSI("H","T",J12+273.15,"P",101325,"Water")</f>
        <v>247156.62665874453</v>
      </c>
      <c r="U12" cm="1">
        <f t="array" ref="U12">[1]!PropsSI("H","T",K12+273.15,"P",101325,"Water")</f>
        <v>238958.68699218915</v>
      </c>
      <c r="V12">
        <f t="shared" si="2"/>
        <v>303.28662470238595</v>
      </c>
      <c r="X12">
        <f t="shared" si="3"/>
        <v>0.26804429200000002</v>
      </c>
      <c r="Y12">
        <f t="shared" si="3"/>
        <v>0.26412570400000002</v>
      </c>
      <c r="Z12">
        <f t="shared" si="9"/>
        <v>0.37631121427254449</v>
      </c>
      <c r="AA12">
        <f t="shared" si="8"/>
        <v>1.9592939999999999</v>
      </c>
      <c r="AB12">
        <f t="shared" si="5"/>
        <v>0.19232485272692454</v>
      </c>
      <c r="AC12">
        <f t="shared" si="6"/>
        <v>58.329555429932412</v>
      </c>
    </row>
    <row r="13" spans="1:29" x14ac:dyDescent="0.2">
      <c r="A13">
        <v>44675.076465696802</v>
      </c>
      <c r="B13">
        <v>18.147670999999999</v>
      </c>
      <c r="C13">
        <v>17.486827000000002</v>
      </c>
      <c r="D13">
        <v>17.266857999999999</v>
      </c>
      <c r="E13">
        <v>17.621165999999999</v>
      </c>
      <c r="F13">
        <v>42.547736999999998</v>
      </c>
      <c r="G13">
        <v>42.508245000000002</v>
      </c>
      <c r="H13">
        <v>37.840456000000003</v>
      </c>
      <c r="I13">
        <v>31.805551999999999</v>
      </c>
      <c r="J13">
        <v>59.019914999999997</v>
      </c>
      <c r="K13">
        <v>57.062215000000002</v>
      </c>
      <c r="L13">
        <v>16.047211000000001</v>
      </c>
      <c r="M13">
        <v>-622.50122399999998</v>
      </c>
      <c r="N13">
        <v>2.253517</v>
      </c>
      <c r="O13">
        <v>5.4588179999999999</v>
      </c>
      <c r="P13">
        <f t="shared" si="0"/>
        <v>3.7558616666666667E-5</v>
      </c>
      <c r="Q13" cm="1">
        <f t="array" ref="Q13">[1]!PropsSI("D","T",J13+273.15,"P",101325,"Water")</f>
        <v>983.69719309394952</v>
      </c>
      <c r="R13" cm="1">
        <f t="array" ref="R13">[1]!PropsSI("D","T",K13+273.15,"P",101325,"Water")</f>
        <v>984.68146847023786</v>
      </c>
      <c r="S13">
        <f t="shared" si="1"/>
        <v>984.18933078209375</v>
      </c>
      <c r="T13" cm="1">
        <f t="array" ref="T13">[1]!PropsSI("H","T",J13+273.15,"P",101325,"Water")</f>
        <v>247147.29096572023</v>
      </c>
      <c r="U13" cm="1">
        <f t="array" ref="U13">[1]!PropsSI("H","T",K13+273.15,"P",101325,"Water")</f>
        <v>238956.02195309321</v>
      </c>
      <c r="V13">
        <f t="shared" si="2"/>
        <v>302.78853726558788</v>
      </c>
      <c r="X13">
        <f t="shared" si="3"/>
        <v>0.26803982999999998</v>
      </c>
      <c r="Y13">
        <f t="shared" si="3"/>
        <v>0.26412443000000002</v>
      </c>
      <c r="Z13">
        <f t="shared" si="9"/>
        <v>0.37630714182600067</v>
      </c>
      <c r="AA13">
        <f t="shared" si="8"/>
        <v>1.9576999999999956</v>
      </c>
      <c r="AB13">
        <f t="shared" si="5"/>
        <v>0.19247894702058582</v>
      </c>
      <c r="AC13">
        <f t="shared" si="6"/>
        <v>58.280418822783766</v>
      </c>
    </row>
    <row r="14" spans="1:29" x14ac:dyDescent="0.2">
      <c r="A14">
        <v>44675.076500419003</v>
      </c>
      <c r="B14">
        <v>17.980675999999999</v>
      </c>
      <c r="C14">
        <v>17.415693999999998</v>
      </c>
      <c r="D14">
        <v>17.211493999999998</v>
      </c>
      <c r="E14">
        <v>17.540803</v>
      </c>
      <c r="F14">
        <v>42.249400999999999</v>
      </c>
      <c r="G14">
        <v>42.111840999999998</v>
      </c>
      <c r="H14">
        <v>38.330109999999998</v>
      </c>
      <c r="I14">
        <v>31.658633999999999</v>
      </c>
      <c r="J14">
        <v>59.018799999999999</v>
      </c>
      <c r="K14">
        <v>57.060782000000003</v>
      </c>
      <c r="L14">
        <v>12.464534</v>
      </c>
      <c r="M14">
        <v>-622.51224400000001</v>
      </c>
      <c r="N14">
        <v>2.250464</v>
      </c>
      <c r="O14">
        <v>5.8030350000000004</v>
      </c>
      <c r="P14">
        <f t="shared" si="0"/>
        <v>3.7507733333333333E-5</v>
      </c>
      <c r="Q14" cm="1">
        <f t="array" ref="Q14">[1]!PropsSI("D","T",J14+273.15,"P",101325,"Water")</f>
        <v>983.69776022856615</v>
      </c>
      <c r="R14" cm="1">
        <f t="array" ref="R14">[1]!PropsSI("D","T",K14+273.15,"P",101325,"Water")</f>
        <v>984.68218046496543</v>
      </c>
      <c r="S14">
        <f t="shared" si="1"/>
        <v>984.18997034676579</v>
      </c>
      <c r="T14" cm="1">
        <f t="array" ref="T14">[1]!PropsSI("H","T",J14+273.15,"P",101325,"Water")</f>
        <v>247142.6252122678</v>
      </c>
      <c r="U14" cm="1">
        <f t="array" ref="U14">[1]!PropsSI("H","T",K14+273.15,"P",101325,"Water")</f>
        <v>238950.02666166861</v>
      </c>
      <c r="V14">
        <f t="shared" si="2"/>
        <v>302.42760410535385</v>
      </c>
      <c r="X14">
        <f t="shared" si="3"/>
        <v>0.26803759999999999</v>
      </c>
      <c r="Y14">
        <f t="shared" si="3"/>
        <v>0.26412156399999998</v>
      </c>
      <c r="Z14">
        <f t="shared" si="9"/>
        <v>0.37630354181639869</v>
      </c>
      <c r="AA14">
        <f t="shared" si="8"/>
        <v>1.9580179999999956</v>
      </c>
      <c r="AB14">
        <f t="shared" si="5"/>
        <v>0.19244593495172999</v>
      </c>
      <c r="AC14">
        <f t="shared" si="6"/>
        <v>58.200963027266475</v>
      </c>
    </row>
    <row r="15" spans="1:29" x14ac:dyDescent="0.2">
      <c r="A15">
        <v>46137.076535717591</v>
      </c>
      <c r="B15">
        <v>17.879135000000002</v>
      </c>
      <c r="C15">
        <v>17.319106999999999</v>
      </c>
      <c r="D15">
        <v>17.215256</v>
      </c>
      <c r="E15">
        <v>17.670231999999999</v>
      </c>
      <c r="F15">
        <v>42.048966999999998</v>
      </c>
      <c r="G15">
        <v>41.887270999999998</v>
      </c>
      <c r="H15">
        <v>37.419665999999999</v>
      </c>
      <c r="I15">
        <v>31.782692000000001</v>
      </c>
      <c r="J15">
        <v>59.019278</v>
      </c>
      <c r="K15">
        <v>57.058712</v>
      </c>
      <c r="L15">
        <v>12.191485999999999</v>
      </c>
      <c r="M15">
        <v>-622.49469399999998</v>
      </c>
      <c r="N15">
        <v>2.2512340000000002</v>
      </c>
      <c r="O15">
        <v>5.324141</v>
      </c>
      <c r="P15">
        <f t="shared" ref="P15:P41" si="10" xml:space="preserve"> N15*0.001/60</f>
        <v>3.7520566666666675E-5</v>
      </c>
      <c r="Q15" cm="1">
        <f t="array" ref="Q15">[1]!PropsSI("D","T",J15+273.15,"P",101325,"Water")</f>
        <v>983.6975170991135</v>
      </c>
      <c r="R15" cm="1">
        <f t="array" ref="R15">[1]!PropsSI("D","T",K15+273.15,"P",101325,"Water")</f>
        <v>984.68320893498333</v>
      </c>
      <c r="S15">
        <f t="shared" ref="S15:S41" si="11">(Q15+R15)/2</f>
        <v>984.19036301704841</v>
      </c>
      <c r="T15" cm="1">
        <f t="array" ref="T15">[1]!PropsSI("H","T",J15+273.15,"P",101325,"Water")</f>
        <v>247144.62541859737</v>
      </c>
      <c r="U15" cm="1">
        <f t="array" ref="U15">[1]!PropsSI("H","T",K15+273.15,"P",101325,"Water")</f>
        <v>238941.3663328547</v>
      </c>
      <c r="V15">
        <f t="shared" ref="V15:V41" si="12">S15*P15*(T15-U15)</f>
        <v>302.92486654992092</v>
      </c>
      <c r="X15">
        <f t="shared" ref="X15:X41" si="13">(0.15+0.002*ABS(J15))</f>
        <v>0.26803855599999998</v>
      </c>
      <c r="Y15">
        <f t="shared" ref="Y15:Y41" si="14">(0.15+0.002*ABS(K15))</f>
        <v>0.26411742399999999</v>
      </c>
      <c r="Z15">
        <f t="shared" ref="Z15:Z41" si="15">SQRT((X15)^2 + (Y15)^2)</f>
        <v>0.3763013169827617</v>
      </c>
      <c r="AA15">
        <f t="shared" ref="AA15:AA41" si="16">J15-K15</f>
        <v>1.960566</v>
      </c>
      <c r="AB15">
        <f t="shared" ref="AB15:AB41" si="17">SQRT((0.01)^2 + (Z15/ABS(AA15))^2)</f>
        <v>0.19219536996436853</v>
      </c>
      <c r="AC15">
        <f t="shared" ref="AC15:AC41" si="18">ABS(V15*AB15)</f>
        <v>58.220756797969017</v>
      </c>
    </row>
    <row r="16" spans="1:29" x14ac:dyDescent="0.2">
      <c r="A16">
        <v>46137.076570439815</v>
      </c>
      <c r="B16">
        <v>17.860327999999999</v>
      </c>
      <c r="C16">
        <v>17.320857</v>
      </c>
      <c r="D16">
        <v>17.229727</v>
      </c>
      <c r="E16">
        <v>17.794248</v>
      </c>
      <c r="F16">
        <v>42.372284999999998</v>
      </c>
      <c r="G16">
        <v>41.400263000000002</v>
      </c>
      <c r="H16">
        <v>37.978931000000003</v>
      </c>
      <c r="I16">
        <v>32.225904999999997</v>
      </c>
      <c r="J16">
        <v>59.018799999999999</v>
      </c>
      <c r="K16">
        <v>57.061100000000003</v>
      </c>
      <c r="L16">
        <v>10.898080999999999</v>
      </c>
      <c r="M16">
        <v>-622.48816399999998</v>
      </c>
      <c r="N16">
        <v>2.253476</v>
      </c>
      <c r="O16">
        <v>5.4948829999999997</v>
      </c>
      <c r="P16">
        <f t="shared" si="10"/>
        <v>3.7557933333333335E-5</v>
      </c>
      <c r="Q16" cm="1">
        <f t="array" ref="Q16">[1]!PropsSI("D","T",J16+273.15,"P",101325,"Water")</f>
        <v>983.69776022856615</v>
      </c>
      <c r="R16" cm="1">
        <f t="array" ref="R16">[1]!PropsSI("D","T",K16+273.15,"P",101325,"Water")</f>
        <v>984.68202246581825</v>
      </c>
      <c r="S16">
        <f t="shared" si="11"/>
        <v>984.1898913471922</v>
      </c>
      <c r="T16" cm="1">
        <f t="array" ref="T16">[1]!PropsSI("H","T",J16+273.15,"P",101325,"Water")</f>
        <v>247142.6252122678</v>
      </c>
      <c r="U16" cm="1">
        <f t="array" ref="U16">[1]!PropsSI("H","T",K16+273.15,"P",101325,"Water")</f>
        <v>238951.35708914587</v>
      </c>
      <c r="V16">
        <f t="shared" si="12"/>
        <v>302.78316797300772</v>
      </c>
      <c r="X16">
        <f t="shared" si="13"/>
        <v>0.26803759999999999</v>
      </c>
      <c r="Y16">
        <f t="shared" si="14"/>
        <v>0.26412219999999997</v>
      </c>
      <c r="Z16">
        <f t="shared" si="15"/>
        <v>0.37630398821511313</v>
      </c>
      <c r="AA16">
        <f t="shared" si="16"/>
        <v>1.9576999999999956</v>
      </c>
      <c r="AB16">
        <f t="shared" si="17"/>
        <v>0.19247733832064315</v>
      </c>
      <c r="AC16">
        <f t="shared" si="18"/>
        <v>58.278898259736728</v>
      </c>
    </row>
    <row r="17" spans="1:29" x14ac:dyDescent="0.2">
      <c r="A17">
        <v>46137.076605740738</v>
      </c>
      <c r="B17">
        <v>17.851012000000001</v>
      </c>
      <c r="C17">
        <v>17.392250000000001</v>
      </c>
      <c r="D17">
        <v>17.233097999999998</v>
      </c>
      <c r="E17">
        <v>17.8993</v>
      </c>
      <c r="F17">
        <v>42.709442000000003</v>
      </c>
      <c r="G17">
        <v>42.635917999999997</v>
      </c>
      <c r="H17">
        <v>38.283853000000001</v>
      </c>
      <c r="I17">
        <v>30.571349999999999</v>
      </c>
      <c r="J17">
        <v>59.016728999999998</v>
      </c>
      <c r="K17">
        <v>57.059666999999997</v>
      </c>
      <c r="L17">
        <v>10.125467</v>
      </c>
      <c r="M17">
        <v>-622.48163399999999</v>
      </c>
      <c r="N17">
        <v>2.256418</v>
      </c>
      <c r="O17">
        <v>5.6959080000000002</v>
      </c>
      <c r="P17">
        <f t="shared" si="10"/>
        <v>3.7606966666666668E-5</v>
      </c>
      <c r="Q17" cm="1">
        <f t="array" ref="Q17">[1]!PropsSI("D","T",J17+273.15,"P",101325,"Water")</f>
        <v>983.69881360422414</v>
      </c>
      <c r="R17" cm="1">
        <f t="array" ref="R17">[1]!PropsSI("D","T",K17+273.15,"P",101325,"Water")</f>
        <v>984.68273445085288</v>
      </c>
      <c r="S17">
        <f t="shared" si="11"/>
        <v>984.19077402753851</v>
      </c>
      <c r="T17" cm="1">
        <f t="array" ref="T17">[1]!PropsSI("H","T",J17+273.15,"P",101325,"Water")</f>
        <v>247133.95904738372</v>
      </c>
      <c r="U17" cm="1">
        <f t="array" ref="U17">[1]!PropsSI("H","T",K17+273.15,"P",101325,"Water")</f>
        <v>238945.36179832742</v>
      </c>
      <c r="V17">
        <f t="shared" si="12"/>
        <v>303.07987946953438</v>
      </c>
      <c r="X17">
        <f t="shared" si="13"/>
        <v>0.268033458</v>
      </c>
      <c r="Y17">
        <f t="shared" si="14"/>
        <v>0.26411933399999998</v>
      </c>
      <c r="Z17">
        <f t="shared" si="15"/>
        <v>0.37629902630759132</v>
      </c>
      <c r="AA17">
        <f t="shared" si="16"/>
        <v>1.9570620000000005</v>
      </c>
      <c r="AB17">
        <f t="shared" si="17"/>
        <v>0.19253738440887766</v>
      </c>
      <c r="AC17">
        <f t="shared" si="18"/>
        <v>58.354207260022051</v>
      </c>
    </row>
    <row r="18" spans="1:29" x14ac:dyDescent="0.2">
      <c r="A18">
        <v>46137.076640462961</v>
      </c>
      <c r="B18">
        <v>18.107887000000002</v>
      </c>
      <c r="C18">
        <v>17.426698999999999</v>
      </c>
      <c r="D18">
        <v>17.279661000000001</v>
      </c>
      <c r="E18">
        <v>18.045290000000001</v>
      </c>
      <c r="F18">
        <v>42.476019999999998</v>
      </c>
      <c r="G18">
        <v>42.32208</v>
      </c>
      <c r="H18">
        <v>37.789909000000002</v>
      </c>
      <c r="I18">
        <v>32.011885999999997</v>
      </c>
      <c r="J18">
        <v>59.014977000000002</v>
      </c>
      <c r="K18">
        <v>57.058712</v>
      </c>
      <c r="L18">
        <v>15.691311000000001</v>
      </c>
      <c r="M18">
        <v>-622.49469399999998</v>
      </c>
      <c r="N18">
        <v>2.2509760000000001</v>
      </c>
      <c r="O18">
        <v>5.0943069999999997</v>
      </c>
      <c r="P18">
        <f t="shared" si="10"/>
        <v>3.7516266666666665E-5</v>
      </c>
      <c r="Q18" cm="1">
        <f t="array" ref="Q18">[1]!PropsSI("D","T",J18+273.15,"P",101325,"Water")</f>
        <v>983.69970470649798</v>
      </c>
      <c r="R18" cm="1">
        <f t="array" ref="R18">[1]!PropsSI("D","T",K18+273.15,"P",101325,"Water")</f>
        <v>984.68320893498333</v>
      </c>
      <c r="S18">
        <f t="shared" si="11"/>
        <v>984.19145682074065</v>
      </c>
      <c r="T18" cm="1">
        <f t="array" ref="T18">[1]!PropsSI("H","T",J18+273.15,"P",101325,"Water")</f>
        <v>247126.62774948124</v>
      </c>
      <c r="U18" cm="1">
        <f t="array" ref="U18">[1]!PropsSI("H","T",K18+273.15,"P",101325,"Water")</f>
        <v>238941.3663328547</v>
      </c>
      <c r="V18">
        <f t="shared" si="12"/>
        <v>302.22595548853525</v>
      </c>
      <c r="X18">
        <f t="shared" si="13"/>
        <v>0.26802995400000001</v>
      </c>
      <c r="Y18">
        <f t="shared" si="14"/>
        <v>0.26411742399999999</v>
      </c>
      <c r="Z18">
        <f t="shared" si="15"/>
        <v>0.37629518984653243</v>
      </c>
      <c r="AA18">
        <f t="shared" si="16"/>
        <v>1.9562650000000019</v>
      </c>
      <c r="AB18">
        <f t="shared" si="17"/>
        <v>0.19261365584789941</v>
      </c>
      <c r="AC18">
        <f t="shared" si="18"/>
        <v>58.212846178771294</v>
      </c>
    </row>
    <row r="19" spans="1:29" x14ac:dyDescent="0.2">
      <c r="A19">
        <v>46137.076675185184</v>
      </c>
      <c r="B19">
        <v>18.058197</v>
      </c>
      <c r="C19">
        <v>17.508966999999998</v>
      </c>
      <c r="D19">
        <v>17.2425</v>
      </c>
      <c r="E19">
        <v>17.797464999999999</v>
      </c>
      <c r="F19">
        <v>42.105594000000004</v>
      </c>
      <c r="G19">
        <v>42.692518</v>
      </c>
      <c r="H19">
        <v>38.486826999999998</v>
      </c>
      <c r="I19">
        <v>32.016613999999997</v>
      </c>
      <c r="J19">
        <v>59.014977000000002</v>
      </c>
      <c r="K19">
        <v>57.058393000000002</v>
      </c>
      <c r="L19">
        <v>13.482442000000001</v>
      </c>
      <c r="M19">
        <v>-622.51714200000004</v>
      </c>
      <c r="N19">
        <v>2.2525819999999999</v>
      </c>
      <c r="O19">
        <v>5.0346690000000001</v>
      </c>
      <c r="P19">
        <f t="shared" si="10"/>
        <v>3.754303333333333E-5</v>
      </c>
      <c r="Q19" cm="1">
        <f t="array" ref="Q19">[1]!PropsSI("D","T",J19+273.15,"P",101325,"Water")</f>
        <v>983.69970470649798</v>
      </c>
      <c r="R19" cm="1">
        <f t="array" ref="R19">[1]!PropsSI("D","T",K19+273.15,"P",101325,"Water")</f>
        <v>984.68336742636768</v>
      </c>
      <c r="S19">
        <f t="shared" si="11"/>
        <v>984.19153606643283</v>
      </c>
      <c r="T19" cm="1">
        <f t="array" ref="T19">[1]!PropsSI("H","T",J19+273.15,"P",101325,"Water")</f>
        <v>247126.62774948124</v>
      </c>
      <c r="U19" cm="1">
        <f t="array" ref="U19">[1]!PropsSI("H","T",K19+273.15,"P",101325,"Water")</f>
        <v>238940.03172191666</v>
      </c>
      <c r="V19">
        <f t="shared" si="12"/>
        <v>302.490921731112</v>
      </c>
      <c r="X19">
        <f t="shared" si="13"/>
        <v>0.26802995400000001</v>
      </c>
      <c r="Y19">
        <f t="shared" si="14"/>
        <v>0.26411678599999999</v>
      </c>
      <c r="Z19">
        <f t="shared" si="15"/>
        <v>0.37629474204167657</v>
      </c>
      <c r="AA19">
        <f t="shared" si="16"/>
        <v>1.9565839999999994</v>
      </c>
      <c r="AB19">
        <f t="shared" si="17"/>
        <v>0.19258210835135087</v>
      </c>
      <c r="AC19">
        <f t="shared" si="18"/>
        <v>58.254339464121003</v>
      </c>
    </row>
    <row r="20" spans="1:29" x14ac:dyDescent="0.2">
      <c r="A20">
        <v>46137.076709907407</v>
      </c>
      <c r="B20">
        <v>17.972819999999999</v>
      </c>
      <c r="C20">
        <v>17.373087000000002</v>
      </c>
      <c r="D20">
        <v>17.225473000000001</v>
      </c>
      <c r="E20">
        <v>17.722666</v>
      </c>
      <c r="F20">
        <v>42.054983</v>
      </c>
      <c r="G20">
        <v>42.423144000000001</v>
      </c>
      <c r="H20">
        <v>37.428708999999998</v>
      </c>
      <c r="I20">
        <v>31.545399</v>
      </c>
      <c r="J20">
        <v>59.014657999999997</v>
      </c>
      <c r="K20">
        <v>57.058393000000002</v>
      </c>
      <c r="L20">
        <v>14.833803</v>
      </c>
      <c r="M20">
        <v>-622.49877600000002</v>
      </c>
      <c r="N20">
        <v>2.2569910000000002</v>
      </c>
      <c r="O20">
        <v>5.5180619999999996</v>
      </c>
      <c r="P20">
        <f t="shared" si="10"/>
        <v>3.7616516666666672E-5</v>
      </c>
      <c r="Q20" cm="1">
        <f t="array" ref="Q20">[1]!PropsSI("D","T",J20+273.15,"P",101325,"Water")</f>
        <v>983.69986695431885</v>
      </c>
      <c r="R20" cm="1">
        <f t="array" ref="R20">[1]!PropsSI("D","T",K20+273.15,"P",101325,"Water")</f>
        <v>984.68336742636768</v>
      </c>
      <c r="S20">
        <f t="shared" si="11"/>
        <v>984.19161719034332</v>
      </c>
      <c r="T20" cm="1">
        <f t="array" ref="T20">[1]!PropsSI("H","T",J20+273.15,"P",101325,"Water")</f>
        <v>247125.29288428108</v>
      </c>
      <c r="U20" cm="1">
        <f t="array" ref="U20">[1]!PropsSI("H","T",K20+273.15,"P",101325,"Water")</f>
        <v>238940.03172191666</v>
      </c>
      <c r="V20">
        <f t="shared" si="12"/>
        <v>303.03359585514141</v>
      </c>
      <c r="X20">
        <f t="shared" si="13"/>
        <v>0.26802931600000002</v>
      </c>
      <c r="Y20">
        <f t="shared" si="14"/>
        <v>0.26411678599999999</v>
      </c>
      <c r="Z20">
        <f t="shared" si="15"/>
        <v>0.37629428760266564</v>
      </c>
      <c r="AA20">
        <f t="shared" si="16"/>
        <v>1.9562649999999948</v>
      </c>
      <c r="AB20">
        <f t="shared" si="17"/>
        <v>0.19261319526250803</v>
      </c>
      <c r="AC20">
        <f t="shared" si="18"/>
        <v>58.368269169546295</v>
      </c>
    </row>
    <row r="21" spans="1:29" x14ac:dyDescent="0.2">
      <c r="A21">
        <v>46137.076745208331</v>
      </c>
      <c r="B21">
        <v>18.018514</v>
      </c>
      <c r="C21">
        <v>17.407684</v>
      </c>
      <c r="D21">
        <v>17.239111000000001</v>
      </c>
      <c r="E21">
        <v>17.663098999999999</v>
      </c>
      <c r="F21">
        <v>42.076872999999999</v>
      </c>
      <c r="G21">
        <v>42.588245000000001</v>
      </c>
      <c r="H21">
        <v>37.854652000000002</v>
      </c>
      <c r="I21">
        <v>31.374262999999999</v>
      </c>
      <c r="J21">
        <v>59.015295000000002</v>
      </c>
      <c r="K21">
        <v>57.059984999999998</v>
      </c>
      <c r="L21">
        <v>15.0893</v>
      </c>
      <c r="M21">
        <v>-622.512652</v>
      </c>
      <c r="N21">
        <v>2.2551519999999998</v>
      </c>
      <c r="O21">
        <v>5.2947730000000002</v>
      </c>
      <c r="P21">
        <f t="shared" si="10"/>
        <v>3.7585866666666662E-5</v>
      </c>
      <c r="Q21" cm="1">
        <f t="array" ref="Q21">[1]!PropsSI("D","T",J21+273.15,"P",101325,"Water")</f>
        <v>983.69954296667936</v>
      </c>
      <c r="R21" cm="1">
        <f t="array" ref="R21">[1]!PropsSI("D","T",K21+273.15,"P",101325,"Water")</f>
        <v>984.68257645384301</v>
      </c>
      <c r="S21">
        <f t="shared" si="11"/>
        <v>984.19105971026124</v>
      </c>
      <c r="T21" cm="1">
        <f t="array" ref="T21">[1]!PropsSI("H","T",J21+273.15,"P",101325,"Water")</f>
        <v>247127.95843017532</v>
      </c>
      <c r="U21" cm="1">
        <f t="array" ref="U21">[1]!PropsSI("H","T",K21+273.15,"P",101325,"Water")</f>
        <v>238946.69222568665</v>
      </c>
      <c r="V21">
        <f t="shared" si="12"/>
        <v>302.63873189201735</v>
      </c>
      <c r="X21">
        <f t="shared" si="13"/>
        <v>0.26803059000000001</v>
      </c>
      <c r="Y21">
        <f t="shared" si="14"/>
        <v>0.26411996999999998</v>
      </c>
      <c r="Z21">
        <f t="shared" si="15"/>
        <v>0.37629742987236703</v>
      </c>
      <c r="AA21">
        <f t="shared" si="16"/>
        <v>1.9553100000000043</v>
      </c>
      <c r="AB21">
        <f t="shared" si="17"/>
        <v>0.19270862153555379</v>
      </c>
      <c r="AC21">
        <f t="shared" si="18"/>
        <v>58.321092846178708</v>
      </c>
    </row>
    <row r="22" spans="1:29" x14ac:dyDescent="0.2">
      <c r="A22">
        <v>46137.076779930554</v>
      </c>
      <c r="B22">
        <v>18.239688000000001</v>
      </c>
      <c r="C22">
        <v>17.479374</v>
      </c>
      <c r="D22">
        <v>17.220735000000001</v>
      </c>
      <c r="E22">
        <v>17.726353</v>
      </c>
      <c r="F22">
        <v>41.532393999999996</v>
      </c>
      <c r="G22">
        <v>41.503354000000002</v>
      </c>
      <c r="H22">
        <v>38.447657</v>
      </c>
      <c r="I22">
        <v>31.555834000000001</v>
      </c>
      <c r="J22">
        <v>59.014817000000001</v>
      </c>
      <c r="K22">
        <v>57.061577999999997</v>
      </c>
      <c r="L22">
        <v>11.387445</v>
      </c>
      <c r="M22">
        <v>-622.48612300000002</v>
      </c>
      <c r="N22">
        <v>2.2531270000000001</v>
      </c>
      <c r="O22">
        <v>5.3679059999999996</v>
      </c>
      <c r="P22">
        <f t="shared" si="10"/>
        <v>3.7552116666666673E-5</v>
      </c>
      <c r="Q22" cm="1">
        <f t="array" ref="Q22">[1]!PropsSI("D","T",J22+273.15,"P",101325,"Water")</f>
        <v>983.69978608477811</v>
      </c>
      <c r="R22" cm="1">
        <f t="array" ref="R22">[1]!PropsSI("D","T",K22+273.15,"P",101325,"Water")</f>
        <v>984.6817849690832</v>
      </c>
      <c r="S22">
        <f t="shared" si="11"/>
        <v>984.19078552693065</v>
      </c>
      <c r="T22" cm="1">
        <f t="array" ref="T22">[1]!PropsSI("H","T",J22+273.15,"P",101325,"Water")</f>
        <v>247125.95822463959</v>
      </c>
      <c r="U22" cm="1">
        <f t="array" ref="U22">[1]!PropsSI("H","T",K22+273.15,"P",101325,"Water")</f>
        <v>238953.35691413115</v>
      </c>
      <c r="V22">
        <f t="shared" si="12"/>
        <v>302.04665402406511</v>
      </c>
      <c r="X22">
        <f t="shared" si="13"/>
        <v>0.26802963400000002</v>
      </c>
      <c r="Y22">
        <f t="shared" si="14"/>
        <v>0.26412315600000003</v>
      </c>
      <c r="Z22">
        <f t="shared" si="15"/>
        <v>0.37629898516681426</v>
      </c>
      <c r="AA22">
        <f t="shared" si="16"/>
        <v>1.9532390000000035</v>
      </c>
      <c r="AB22">
        <f t="shared" si="17"/>
        <v>0.19291319386222874</v>
      </c>
      <c r="AC22">
        <f t="shared" si="18"/>
        <v>58.268784723182009</v>
      </c>
    </row>
    <row r="23" spans="1:29" x14ac:dyDescent="0.2">
      <c r="A23">
        <v>46137.076815231485</v>
      </c>
      <c r="B23">
        <v>18.314927999999998</v>
      </c>
      <c r="C23">
        <v>17.556349999999998</v>
      </c>
      <c r="D23">
        <v>17.222087999999999</v>
      </c>
      <c r="E23">
        <v>17.735465000000001</v>
      </c>
      <c r="F23">
        <v>41.493439000000002</v>
      </c>
      <c r="G23">
        <v>42.187997000000003</v>
      </c>
      <c r="H23">
        <v>37.931516999999999</v>
      </c>
      <c r="I23">
        <v>31.688244999999998</v>
      </c>
      <c r="J23">
        <v>59.015295000000002</v>
      </c>
      <c r="K23">
        <v>57.064284999999998</v>
      </c>
      <c r="L23">
        <v>13.711410000000001</v>
      </c>
      <c r="M23">
        <v>-622.52122299999996</v>
      </c>
      <c r="N23">
        <v>2.2521309999999999</v>
      </c>
      <c r="O23">
        <v>4.901338</v>
      </c>
      <c r="P23">
        <f t="shared" si="10"/>
        <v>3.753551666666667E-5</v>
      </c>
      <c r="Q23" cm="1">
        <f t="array" ref="Q23">[1]!PropsSI("D","T",J23+273.15,"P",101325,"Water")</f>
        <v>983.69954296667936</v>
      </c>
      <c r="R23" cm="1">
        <f t="array" ref="R23">[1]!PropsSI("D","T",K23+273.15,"P",101325,"Water")</f>
        <v>984.68043995613152</v>
      </c>
      <c r="S23">
        <f t="shared" si="11"/>
        <v>984.1899914614055</v>
      </c>
      <c r="T23" cm="1">
        <f t="array" ref="T23">[1]!PropsSI("H","T",J23+273.15,"P",101325,"Water")</f>
        <v>247127.95843017532</v>
      </c>
      <c r="U23" cm="1">
        <f t="array" ref="U23">[1]!PropsSI("H","T",K23+273.15,"P",101325,"Water")</f>
        <v>238964.68228479612</v>
      </c>
      <c r="V23">
        <f t="shared" si="12"/>
        <v>301.56839901788106</v>
      </c>
      <c r="X23">
        <f t="shared" si="13"/>
        <v>0.26803059000000001</v>
      </c>
      <c r="Y23">
        <f t="shared" si="14"/>
        <v>0.26412857000000001</v>
      </c>
      <c r="Z23">
        <f t="shared" si="15"/>
        <v>0.3763034661891822</v>
      </c>
      <c r="AA23">
        <f t="shared" si="16"/>
        <v>1.9510100000000037</v>
      </c>
      <c r="AB23">
        <f t="shared" si="17"/>
        <v>0.19313529612536467</v>
      </c>
      <c r="AC23">
        <f t="shared" si="18"/>
        <v>58.243502046370594</v>
      </c>
    </row>
    <row r="24" spans="1:29" x14ac:dyDescent="0.2">
      <c r="A24">
        <v>46137.076849953701</v>
      </c>
      <c r="B24">
        <v>18.123149000000002</v>
      </c>
      <c r="C24">
        <v>17.958801000000001</v>
      </c>
      <c r="D24">
        <v>17.216251</v>
      </c>
      <c r="E24">
        <v>17.372513000000001</v>
      </c>
      <c r="F24">
        <v>42.336775000000003</v>
      </c>
      <c r="G24">
        <v>42.191096999999999</v>
      </c>
      <c r="H24">
        <v>37.966106000000003</v>
      </c>
      <c r="I24">
        <v>30.504631</v>
      </c>
      <c r="J24">
        <v>59.014817000000001</v>
      </c>
      <c r="K24">
        <v>57.062691999999998</v>
      </c>
      <c r="L24">
        <v>11.194801</v>
      </c>
      <c r="M24">
        <v>-622.52326400000004</v>
      </c>
      <c r="N24">
        <v>2.252205</v>
      </c>
      <c r="O24">
        <v>5.1220100000000004</v>
      </c>
      <c r="P24">
        <f t="shared" si="10"/>
        <v>3.7536750000000006E-5</v>
      </c>
      <c r="Q24" cm="1">
        <f t="array" ref="Q24">[1]!PropsSI("D","T",J24+273.15,"P",101325,"Water")</f>
        <v>983.69978608477811</v>
      </c>
      <c r="R24" cm="1">
        <f t="array" ref="R24">[1]!PropsSI("D","T",K24+273.15,"P",101325,"Water")</f>
        <v>984.68123146712344</v>
      </c>
      <c r="S24">
        <f t="shared" si="11"/>
        <v>984.19050877595078</v>
      </c>
      <c r="T24" cm="1">
        <f t="array" ref="T24">[1]!PropsSI("H","T",J24+273.15,"P",101325,"Water")</f>
        <v>247125.95822463959</v>
      </c>
      <c r="U24" cm="1">
        <f t="array" ref="U24">[1]!PropsSI("H","T",K24+273.15,"P",101325,"Water")</f>
        <v>238958.01759457064</v>
      </c>
      <c r="V24">
        <f t="shared" si="12"/>
        <v>301.75078791790457</v>
      </c>
      <c r="X24">
        <f t="shared" si="13"/>
        <v>0.26802963400000002</v>
      </c>
      <c r="Y24">
        <f t="shared" si="14"/>
        <v>0.26412538399999996</v>
      </c>
      <c r="Z24">
        <f t="shared" si="15"/>
        <v>0.37630054899683762</v>
      </c>
      <c r="AA24">
        <f t="shared" si="16"/>
        <v>1.9521250000000023</v>
      </c>
      <c r="AB24">
        <f t="shared" si="17"/>
        <v>0.19302378602736137</v>
      </c>
      <c r="AC24">
        <f t="shared" si="18"/>
        <v>58.245079520653313</v>
      </c>
    </row>
    <row r="25" spans="1:29" x14ac:dyDescent="0.2">
      <c r="A25">
        <v>46137.076884675924</v>
      </c>
      <c r="B25">
        <v>17.921886000000001</v>
      </c>
      <c r="C25">
        <v>17.541356</v>
      </c>
      <c r="D25">
        <v>17.22251</v>
      </c>
      <c r="E25">
        <v>17.359952</v>
      </c>
      <c r="F25">
        <v>42.405459</v>
      </c>
      <c r="G25">
        <v>43.631780999999997</v>
      </c>
      <c r="H25">
        <v>37.948569999999997</v>
      </c>
      <c r="I25">
        <v>31.343726</v>
      </c>
      <c r="J25">
        <v>59.014339</v>
      </c>
      <c r="K25">
        <v>57.059189000000003</v>
      </c>
      <c r="L25">
        <v>13.239189</v>
      </c>
      <c r="M25">
        <v>-622.49591899999996</v>
      </c>
      <c r="N25">
        <v>2.2536849999999999</v>
      </c>
      <c r="O25">
        <v>5.3376869999999998</v>
      </c>
      <c r="P25">
        <f t="shared" si="10"/>
        <v>3.7561416666666666E-5</v>
      </c>
      <c r="Q25" cm="1">
        <f t="array" ref="Q25">[1]!PropsSI("D","T",J25+273.15,"P",101325,"Water")</f>
        <v>983.70002920151308</v>
      </c>
      <c r="R25" cm="1">
        <f t="array" ref="R25">[1]!PropsSI("D","T",K25+273.15,"P",101325,"Water")</f>
        <v>984.68297194202273</v>
      </c>
      <c r="S25">
        <f t="shared" si="11"/>
        <v>984.19150057176785</v>
      </c>
      <c r="T25" cm="1">
        <f t="array" ref="T25">[1]!PropsSI("H","T",J25+273.15,"P",101325,"Water")</f>
        <v>247123.95801918034</v>
      </c>
      <c r="U25" cm="1">
        <f t="array" ref="U25">[1]!PropsSI("H","T",K25+273.15,"P",101325,"Water")</f>
        <v>238943.36197364569</v>
      </c>
      <c r="V25">
        <f t="shared" si="12"/>
        <v>302.41722351706238</v>
      </c>
      <c r="X25">
        <f t="shared" si="13"/>
        <v>0.26802867799999996</v>
      </c>
      <c r="Y25">
        <f t="shared" si="14"/>
        <v>0.26411837799999999</v>
      </c>
      <c r="Z25">
        <f t="shared" si="15"/>
        <v>0.37629495057438461</v>
      </c>
      <c r="AA25">
        <f t="shared" si="16"/>
        <v>1.9551499999999962</v>
      </c>
      <c r="AB25">
        <f t="shared" si="17"/>
        <v>0.19272308303352281</v>
      </c>
      <c r="AC25">
        <f t="shared" si="18"/>
        <v>58.282779678646243</v>
      </c>
    </row>
    <row r="26" spans="1:29" x14ac:dyDescent="0.2">
      <c r="A26">
        <v>46137.076919976855</v>
      </c>
      <c r="B26">
        <v>18.008597999999999</v>
      </c>
      <c r="C26">
        <v>17.408275</v>
      </c>
      <c r="D26">
        <v>17.431916000000001</v>
      </c>
      <c r="E26">
        <v>17.572928000000001</v>
      </c>
      <c r="F26">
        <v>41.635485000000003</v>
      </c>
      <c r="G26">
        <v>42.797283999999998</v>
      </c>
      <c r="H26">
        <v>37.760092999999998</v>
      </c>
      <c r="I26">
        <v>31.502372999999999</v>
      </c>
      <c r="J26">
        <v>59.012906000000001</v>
      </c>
      <c r="K26">
        <v>57.055686000000001</v>
      </c>
      <c r="L26">
        <v>13.539173999999999</v>
      </c>
      <c r="M26">
        <v>-622.48244999999997</v>
      </c>
      <c r="N26">
        <v>2.2543980000000001</v>
      </c>
      <c r="O26">
        <v>5.7168510000000001</v>
      </c>
      <c r="P26">
        <f t="shared" si="10"/>
        <v>3.7573300000000008E-5</v>
      </c>
      <c r="Q26" cm="1">
        <f t="array" ref="Q26">[1]!PropsSI("D","T",J26+273.15,"P",101325,"Water")</f>
        <v>983.70075803497582</v>
      </c>
      <c r="R26" cm="1">
        <f t="array" ref="R26">[1]!PropsSI("D","T",K26+273.15,"P",101325,"Water")</f>
        <v>984.68471234235301</v>
      </c>
      <c r="S26">
        <f t="shared" si="11"/>
        <v>984.19273518866441</v>
      </c>
      <c r="T26" cm="1">
        <f t="array" ref="T26">[1]!PropsSI("H","T",J26+273.15,"P",101325,"Water")</f>
        <v>247117.96158792792</v>
      </c>
      <c r="U26" cm="1">
        <f t="array" ref="U26">[1]!PropsSI("H","T",K26+273.15,"P",101325,"Water")</f>
        <v>238928.70635759181</v>
      </c>
      <c r="V26">
        <f t="shared" si="12"/>
        <v>302.83349015481156</v>
      </c>
      <c r="X26">
        <f t="shared" si="13"/>
        <v>0.26802581199999997</v>
      </c>
      <c r="Y26">
        <f t="shared" si="14"/>
        <v>0.26411137200000001</v>
      </c>
      <c r="Z26">
        <f t="shared" si="15"/>
        <v>0.37628799172705701</v>
      </c>
      <c r="AA26">
        <f t="shared" si="16"/>
        <v>1.9572199999999995</v>
      </c>
      <c r="AB26">
        <f t="shared" si="17"/>
        <v>0.19251625314825466</v>
      </c>
      <c r="AC26">
        <f t="shared" si="18"/>
        <v>58.300368852413186</v>
      </c>
    </row>
    <row r="27" spans="1:29" x14ac:dyDescent="0.2">
      <c r="A27">
        <v>46137.07695469907</v>
      </c>
      <c r="B27">
        <v>18.175156000000001</v>
      </c>
      <c r="C27">
        <v>17.431069000000001</v>
      </c>
      <c r="D27">
        <v>17.472925</v>
      </c>
      <c r="E27">
        <v>17.890758000000002</v>
      </c>
      <c r="F27">
        <v>41.962021999999997</v>
      </c>
      <c r="G27">
        <v>42.241757999999997</v>
      </c>
      <c r="H27">
        <v>37.908169000000001</v>
      </c>
      <c r="I27">
        <v>31.761512</v>
      </c>
      <c r="J27">
        <v>59.013224000000001</v>
      </c>
      <c r="K27">
        <v>57.054093999999999</v>
      </c>
      <c r="L27">
        <v>12.919205</v>
      </c>
      <c r="M27">
        <v>-622.48204199999998</v>
      </c>
      <c r="N27">
        <v>2.2544300000000002</v>
      </c>
      <c r="O27">
        <v>5.1343870000000003</v>
      </c>
      <c r="P27">
        <f t="shared" si="10"/>
        <v>3.7573833333333343E-5</v>
      </c>
      <c r="Q27" cm="1">
        <f t="array" ref="Q27">[1]!PropsSI("D","T",J27+273.15,"P",101325,"Water")</f>
        <v>983.70059629907473</v>
      </c>
      <c r="R27" cm="1">
        <f t="array" ref="R27">[1]!PropsSI("D","T",K27+273.15,"P",101325,"Water")</f>
        <v>984.68550327327625</v>
      </c>
      <c r="S27">
        <f t="shared" si="11"/>
        <v>984.19304978617549</v>
      </c>
      <c r="T27" cm="1">
        <f t="array" ref="T27">[1]!PropsSI("H","T",J27+273.15,"P",101325,"Water")</f>
        <v>247119.29226836763</v>
      </c>
      <c r="U27" cm="1">
        <f t="array" ref="U27">[1]!PropsSI("H","T",K27+273.15,"P",101325,"Water")</f>
        <v>238922.04585649085</v>
      </c>
      <c r="V27">
        <f t="shared" si="12"/>
        <v>303.1333986591103</v>
      </c>
      <c r="X27">
        <f t="shared" si="13"/>
        <v>0.26802644799999997</v>
      </c>
      <c r="Y27">
        <f t="shared" si="14"/>
        <v>0.26410818800000002</v>
      </c>
      <c r="Z27">
        <f t="shared" si="15"/>
        <v>0.376286209946817</v>
      </c>
      <c r="AA27">
        <f t="shared" si="16"/>
        <v>1.9591300000000018</v>
      </c>
      <c r="AB27">
        <f t="shared" si="17"/>
        <v>0.19232816312519896</v>
      </c>
      <c r="AC27">
        <f t="shared" si="18"/>
        <v>58.301089746005331</v>
      </c>
    </row>
    <row r="28" spans="1:29" x14ac:dyDescent="0.2">
      <c r="A28">
        <v>46137.076989421294</v>
      </c>
      <c r="B28">
        <v>18.261016000000001</v>
      </c>
      <c r="C28">
        <v>17.411664999999999</v>
      </c>
      <c r="D28">
        <v>17.494772999999999</v>
      </c>
      <c r="E28">
        <v>18.020994999999999</v>
      </c>
      <c r="F28">
        <v>41.941274999999997</v>
      </c>
      <c r="G28">
        <v>42.463731000000003</v>
      </c>
      <c r="H28">
        <v>37.487968000000002</v>
      </c>
      <c r="I28">
        <v>31.833538999999998</v>
      </c>
      <c r="J28">
        <v>59.011311999999997</v>
      </c>
      <c r="K28">
        <v>57.055208</v>
      </c>
      <c r="L28">
        <v>14.027312</v>
      </c>
      <c r="M28">
        <v>-622.49224500000003</v>
      </c>
      <c r="N28">
        <v>2.25332</v>
      </c>
      <c r="O28">
        <v>5.5620440000000002</v>
      </c>
      <c r="P28">
        <f t="shared" si="10"/>
        <v>3.7555333333333336E-5</v>
      </c>
      <c r="Q28" cm="1">
        <f t="array" ref="Q28">[1]!PropsSI("D","T",J28+273.15,"P",101325,"Water")</f>
        <v>983.70156873967778</v>
      </c>
      <c r="R28" cm="1">
        <f t="array" ref="R28">[1]!PropsSI("D","T",K28+273.15,"P",101325,"Water")</f>
        <v>984.68494982198035</v>
      </c>
      <c r="S28">
        <f t="shared" si="11"/>
        <v>984.19325928082912</v>
      </c>
      <c r="T28" cm="1">
        <f t="array" ref="T28">[1]!PropsSI("H","T",J28+273.15,"P",101325,"Water")</f>
        <v>247111.29144843775</v>
      </c>
      <c r="U28" cm="1">
        <f t="array" ref="U28">[1]!PropsSI("H","T",K28+273.15,"P",101325,"Water")</f>
        <v>238926.70653364024</v>
      </c>
      <c r="V28">
        <f t="shared" si="12"/>
        <v>302.51622067109719</v>
      </c>
      <c r="X28">
        <f t="shared" si="13"/>
        <v>0.26802262399999999</v>
      </c>
      <c r="Y28">
        <f t="shared" si="14"/>
        <v>0.26411041600000001</v>
      </c>
      <c r="Z28">
        <f t="shared" si="15"/>
        <v>0.37628504994955408</v>
      </c>
      <c r="AA28">
        <f t="shared" si="16"/>
        <v>1.9561039999999963</v>
      </c>
      <c r="AB28">
        <f t="shared" si="17"/>
        <v>0.19262428973597323</v>
      </c>
      <c r="AC28">
        <f t="shared" si="18"/>
        <v>58.271972140381038</v>
      </c>
    </row>
    <row r="29" spans="1:29" x14ac:dyDescent="0.2">
      <c r="A29">
        <v>46137.077024722224</v>
      </c>
      <c r="B29">
        <v>18.303657000000001</v>
      </c>
      <c r="C29">
        <v>17.443168</v>
      </c>
      <c r="D29">
        <v>17.386899</v>
      </c>
      <c r="E29">
        <v>17.857607999999999</v>
      </c>
      <c r="F29">
        <v>42.801949</v>
      </c>
      <c r="G29">
        <v>42.567723000000001</v>
      </c>
      <c r="H29">
        <v>38.189613999999999</v>
      </c>
      <c r="I29">
        <v>31.591117000000001</v>
      </c>
      <c r="J29">
        <v>59.011949999999999</v>
      </c>
      <c r="K29">
        <v>57.053775000000002</v>
      </c>
      <c r="L29">
        <v>12.655544000000001</v>
      </c>
      <c r="M29">
        <v>-622.49714300000005</v>
      </c>
      <c r="N29">
        <v>2.2523569999999999</v>
      </c>
      <c r="O29">
        <v>5.4273280000000002</v>
      </c>
      <c r="P29">
        <f t="shared" si="10"/>
        <v>3.7539283333333331E-5</v>
      </c>
      <c r="Q29" cm="1">
        <f t="array" ref="Q29">[1]!PropsSI("D","T",J29+273.15,"P",101325,"Water")</f>
        <v>983.70124425619656</v>
      </c>
      <c r="R29" cm="1">
        <f t="array" ref="R29">[1]!PropsSI("D","T",K29+273.15,"P",101325,"Water")</f>
        <v>984.68566175567798</v>
      </c>
      <c r="S29">
        <f t="shared" si="11"/>
        <v>984.19345300593727</v>
      </c>
      <c r="T29" cm="1">
        <f t="array" ref="T29">[1]!PropsSI("H","T",J29+273.15,"P",101325,"Water")</f>
        <v>247113.9611778965</v>
      </c>
      <c r="U29" cm="1">
        <f t="array" ref="U29">[1]!PropsSI("H","T",K29+273.15,"P",101325,"Water")</f>
        <v>238920.71124613978</v>
      </c>
      <c r="V29">
        <f t="shared" si="12"/>
        <v>302.70713101475394</v>
      </c>
      <c r="X29">
        <f t="shared" si="13"/>
        <v>0.26802389999999998</v>
      </c>
      <c r="Y29">
        <f t="shared" si="14"/>
        <v>0.26410754999999997</v>
      </c>
      <c r="Z29">
        <f t="shared" si="15"/>
        <v>0.37628394722365249</v>
      </c>
      <c r="AA29">
        <f t="shared" si="16"/>
        <v>1.9581749999999971</v>
      </c>
      <c r="AB29">
        <f t="shared" si="17"/>
        <v>0.19242055389917775</v>
      </c>
      <c r="AC29">
        <f t="shared" si="18"/>
        <v>58.24707381908992</v>
      </c>
    </row>
    <row r="30" spans="1:29" x14ac:dyDescent="0.2">
      <c r="A30">
        <v>46137.077060023148</v>
      </c>
      <c r="B30">
        <v>18.231036</v>
      </c>
      <c r="C30">
        <v>17.439988</v>
      </c>
      <c r="D30">
        <v>17.354686000000001</v>
      </c>
      <c r="E30">
        <v>17.656134000000002</v>
      </c>
      <c r="F30">
        <v>42.382759999999998</v>
      </c>
      <c r="G30">
        <v>41.950389000000001</v>
      </c>
      <c r="H30">
        <v>37.439692999999998</v>
      </c>
      <c r="I30">
        <v>32.611656000000004</v>
      </c>
      <c r="J30">
        <v>59.010835</v>
      </c>
      <c r="K30">
        <v>57.057755999999998</v>
      </c>
      <c r="L30">
        <v>11.574374000000001</v>
      </c>
      <c r="M30">
        <v>-622.47714399999995</v>
      </c>
      <c r="N30">
        <v>2.2527910000000002</v>
      </c>
      <c r="O30">
        <v>5.3291599999999999</v>
      </c>
      <c r="P30">
        <f t="shared" si="10"/>
        <v>3.7546516666666667E-5</v>
      </c>
      <c r="Q30" cm="1">
        <f t="array" ref="Q30">[1]!PropsSI("D","T",J30+273.15,"P",101325,"Water")</f>
        <v>983.70181133784592</v>
      </c>
      <c r="R30" cm="1">
        <f t="array" ref="R30">[1]!PropsSI("D","T",K30+273.15,"P",101325,"Water")</f>
        <v>984.68368391041429</v>
      </c>
      <c r="S30">
        <f t="shared" si="11"/>
        <v>984.19274762413011</v>
      </c>
      <c r="T30" cm="1">
        <f t="array" ref="T30">[1]!PropsSI("H","T",J30+273.15,"P",101325,"Water")</f>
        <v>247109.29542820755</v>
      </c>
      <c r="U30" cm="1">
        <f t="array" ref="U30">[1]!PropsSI("H","T",K30+273.15,"P",101325,"Water")</f>
        <v>238937.36668395653</v>
      </c>
      <c r="V30">
        <f t="shared" si="12"/>
        <v>301.9773597178168</v>
      </c>
      <c r="X30">
        <f t="shared" si="13"/>
        <v>0.26802166999999999</v>
      </c>
      <c r="Y30">
        <f t="shared" si="14"/>
        <v>0.264115512</v>
      </c>
      <c r="Z30">
        <f t="shared" si="15"/>
        <v>0.37628794728055143</v>
      </c>
      <c r="AA30">
        <f t="shared" si="16"/>
        <v>1.9530790000000025</v>
      </c>
      <c r="AB30">
        <f t="shared" si="17"/>
        <v>0.1929233112855169</v>
      </c>
      <c r="AC30">
        <f t="shared" si="18"/>
        <v>58.258472170018884</v>
      </c>
    </row>
    <row r="31" spans="1:29" x14ac:dyDescent="0.2">
      <c r="A31">
        <v>46137.077094745371</v>
      </c>
      <c r="B31">
        <v>18.231394000000002</v>
      </c>
      <c r="C31">
        <v>17.404071999999999</v>
      </c>
      <c r="D31">
        <v>17.349781</v>
      </c>
      <c r="E31">
        <v>17.576384000000001</v>
      </c>
      <c r="F31">
        <v>41.901505</v>
      </c>
      <c r="G31">
        <v>42.066850000000002</v>
      </c>
      <c r="H31">
        <v>37.187857000000001</v>
      </c>
      <c r="I31">
        <v>31.488212999999998</v>
      </c>
      <c r="J31">
        <v>59.010356999999999</v>
      </c>
      <c r="K31">
        <v>57.058393000000002</v>
      </c>
      <c r="L31">
        <v>14.821558</v>
      </c>
      <c r="M31">
        <v>-622.50081599999999</v>
      </c>
      <c r="N31">
        <v>2.252386</v>
      </c>
      <c r="O31">
        <v>5.2312459999999996</v>
      </c>
      <c r="P31">
        <f t="shared" si="10"/>
        <v>3.7539766666666662E-5</v>
      </c>
      <c r="Q31" cm="1">
        <f t="array" ref="Q31">[1]!PropsSI("D","T",J31+273.15,"P",101325,"Water")</f>
        <v>983.70205444322585</v>
      </c>
      <c r="R31" cm="1">
        <f t="array" ref="R31">[1]!PropsSI("D","T",K31+273.15,"P",101325,"Water")</f>
        <v>984.68336742636768</v>
      </c>
      <c r="S31">
        <f t="shared" si="11"/>
        <v>984.19271093479676</v>
      </c>
      <c r="T31" cm="1">
        <f t="array" ref="T31">[1]!PropsSI("H","T",J31+273.15,"P",101325,"Water")</f>
        <v>247107.29522357573</v>
      </c>
      <c r="U31" cm="1">
        <f t="array" ref="U31">[1]!PropsSI("H","T",K31+273.15,"P",101325,"Water")</f>
        <v>238940.03172191666</v>
      </c>
      <c r="V31">
        <f t="shared" si="12"/>
        <v>301.75069612544098</v>
      </c>
      <c r="X31">
        <f t="shared" si="13"/>
        <v>0.26802071399999999</v>
      </c>
      <c r="Y31">
        <f t="shared" si="14"/>
        <v>0.26411678599999999</v>
      </c>
      <c r="Z31">
        <f t="shared" si="15"/>
        <v>0.37628816056320402</v>
      </c>
      <c r="AA31">
        <f t="shared" si="16"/>
        <v>1.9519639999999967</v>
      </c>
      <c r="AB31">
        <f t="shared" si="17"/>
        <v>0.19303332596971451</v>
      </c>
      <c r="AC31">
        <f t="shared" si="18"/>
        <v>58.247940486770517</v>
      </c>
    </row>
    <row r="32" spans="1:29" x14ac:dyDescent="0.2">
      <c r="A32">
        <v>46137.077130046295</v>
      </c>
      <c r="B32">
        <v>18.170567999999999</v>
      </c>
      <c r="C32">
        <v>17.443477000000001</v>
      </c>
      <c r="D32">
        <v>17.34647</v>
      </c>
      <c r="E32">
        <v>17.587562999999999</v>
      </c>
      <c r="F32">
        <v>42.487709000000002</v>
      </c>
      <c r="G32">
        <v>42.125511000000003</v>
      </c>
      <c r="H32">
        <v>38.381450000000001</v>
      </c>
      <c r="I32">
        <v>32.288409000000001</v>
      </c>
      <c r="J32">
        <v>59.009241000000003</v>
      </c>
      <c r="K32">
        <v>57.060782000000003</v>
      </c>
      <c r="L32">
        <v>14.030169000000001</v>
      </c>
      <c r="M32">
        <v>-622.50040799999999</v>
      </c>
      <c r="N32">
        <v>2.2537579999999999</v>
      </c>
      <c r="O32">
        <v>4.8552850000000003</v>
      </c>
      <c r="P32">
        <f t="shared" si="10"/>
        <v>3.7562633333333332E-5</v>
      </c>
      <c r="Q32" cm="1">
        <f t="array" ref="Q32">[1]!PropsSI("D","T",J32+273.15,"P",101325,"Water")</f>
        <v>983.70262202289541</v>
      </c>
      <c r="R32" cm="1">
        <f t="array" ref="R32">[1]!PropsSI("D","T",K32+273.15,"P",101325,"Water")</f>
        <v>984.68218046496543</v>
      </c>
      <c r="S32">
        <f t="shared" si="11"/>
        <v>984.19240124393036</v>
      </c>
      <c r="T32" cm="1">
        <f t="array" ref="T32">[1]!PropsSI("H","T",J32+273.15,"P",101325,"Water")</f>
        <v>247102.6252900874</v>
      </c>
      <c r="U32" cm="1">
        <f t="array" ref="U32">[1]!PropsSI("H","T",K32+273.15,"P",101325,"Water")</f>
        <v>238950.02666166861</v>
      </c>
      <c r="V32">
        <f t="shared" si="12"/>
        <v>301.39226344941733</v>
      </c>
      <c r="X32">
        <f t="shared" si="13"/>
        <v>0.268018482</v>
      </c>
      <c r="Y32">
        <f t="shared" si="14"/>
        <v>0.26412156399999998</v>
      </c>
      <c r="Z32">
        <f t="shared" si="15"/>
        <v>0.3762899244776432</v>
      </c>
      <c r="AA32">
        <f t="shared" si="16"/>
        <v>1.9484589999999997</v>
      </c>
      <c r="AB32">
        <f t="shared" si="17"/>
        <v>0.19338053842793931</v>
      </c>
      <c r="AC32">
        <f t="shared" si="18"/>
        <v>58.28339818386366</v>
      </c>
    </row>
    <row r="33" spans="1:29" x14ac:dyDescent="0.2">
      <c r="A33">
        <v>46137.077165347226</v>
      </c>
      <c r="B33">
        <v>18.08953</v>
      </c>
      <c r="C33">
        <v>17.483913999999999</v>
      </c>
      <c r="D33">
        <v>17.361695999999998</v>
      </c>
      <c r="E33">
        <v>17.635377999999999</v>
      </c>
      <c r="F33">
        <v>41.655143000000002</v>
      </c>
      <c r="G33">
        <v>41.087086999999997</v>
      </c>
      <c r="H33">
        <v>38.757258</v>
      </c>
      <c r="I33">
        <v>30.730073999999998</v>
      </c>
      <c r="J33">
        <v>59.009878999999998</v>
      </c>
      <c r="K33">
        <v>57.064444000000002</v>
      </c>
      <c r="L33">
        <v>9.3397919999999992</v>
      </c>
      <c r="M33">
        <v>-622.48326599999996</v>
      </c>
      <c r="N33">
        <v>2.253336</v>
      </c>
      <c r="O33">
        <v>5.4792649999999998</v>
      </c>
      <c r="P33">
        <f t="shared" si="10"/>
        <v>3.7555599999999997E-5</v>
      </c>
      <c r="Q33" cm="1">
        <f t="array" ref="Q33">[1]!PropsSI("D","T",J33+273.15,"P",101325,"Water")</f>
        <v>983.70229754726051</v>
      </c>
      <c r="R33" cm="1">
        <f t="array" ref="R33">[1]!PropsSI("D","T",K33+273.15,"P",101325,"Water")</f>
        <v>984.68036095327079</v>
      </c>
      <c r="S33">
        <f t="shared" si="11"/>
        <v>984.19132925026565</v>
      </c>
      <c r="T33" cm="1">
        <f t="array" ref="T33">[1]!PropsSI("H","T",J33+273.15,"P",101325,"Water")</f>
        <v>247105.29501904538</v>
      </c>
      <c r="U33" cm="1">
        <f t="array" ref="U33">[1]!PropsSI("H","T",K33+273.15,"P",101325,"Water")</f>
        <v>238965.34749874324</v>
      </c>
      <c r="V33">
        <f t="shared" si="12"/>
        <v>300.86789275307274</v>
      </c>
      <c r="X33">
        <f t="shared" si="13"/>
        <v>0.268019758</v>
      </c>
      <c r="Y33">
        <f t="shared" si="14"/>
        <v>0.26412888800000001</v>
      </c>
      <c r="Z33">
        <f t="shared" si="15"/>
        <v>0.37629597414069571</v>
      </c>
      <c r="AA33">
        <f t="shared" si="16"/>
        <v>1.9454349999999963</v>
      </c>
      <c r="AB33">
        <f t="shared" si="17"/>
        <v>0.1936834330486793</v>
      </c>
      <c r="AC33">
        <f t="shared" si="18"/>
        <v>58.273126362536985</v>
      </c>
    </row>
    <row r="34" spans="1:29" x14ac:dyDescent="0.2">
      <c r="A34">
        <v>46137.077200069441</v>
      </c>
      <c r="B34">
        <v>18.162521999999999</v>
      </c>
      <c r="C34">
        <v>17.401388000000001</v>
      </c>
      <c r="D34">
        <v>17.409858</v>
      </c>
      <c r="E34">
        <v>17.995018999999999</v>
      </c>
      <c r="F34">
        <v>42.494145000000003</v>
      </c>
      <c r="G34">
        <v>42.221955000000001</v>
      </c>
      <c r="H34">
        <v>37.844487999999998</v>
      </c>
      <c r="I34">
        <v>32.001340999999996</v>
      </c>
      <c r="J34">
        <v>59.009241000000003</v>
      </c>
      <c r="K34">
        <v>57.066831999999998</v>
      </c>
      <c r="L34">
        <v>16.850027999999998</v>
      </c>
      <c r="M34">
        <v>-622.49673499999994</v>
      </c>
      <c r="N34">
        <v>2.2573850000000002</v>
      </c>
      <c r="O34">
        <v>5.5424360000000004</v>
      </c>
      <c r="P34">
        <f t="shared" si="10"/>
        <v>3.7623083333333339E-5</v>
      </c>
      <c r="Q34" cm="1">
        <f t="array" ref="Q34">[1]!PropsSI("D","T",J34+273.15,"P",101325,"Water")</f>
        <v>983.70262202289541</v>
      </c>
      <c r="R34" cm="1">
        <f t="array" ref="R34">[1]!PropsSI("D","T",K34+273.15,"P",101325,"Water")</f>
        <v>984.67917440088752</v>
      </c>
      <c r="S34">
        <f t="shared" si="11"/>
        <v>984.19089821189141</v>
      </c>
      <c r="T34" cm="1">
        <f t="array" ref="T34">[1]!PropsSI("H","T",J34+273.15,"P",101325,"Water")</f>
        <v>247102.6252900874</v>
      </c>
      <c r="U34" cm="1">
        <f t="array" ref="U34">[1]!PropsSI("H","T",K34+273.15,"P",101325,"Water")</f>
        <v>238975.33826042208</v>
      </c>
      <c r="V34">
        <f t="shared" si="12"/>
        <v>300.93959126890837</v>
      </c>
      <c r="X34">
        <f t="shared" si="13"/>
        <v>0.268018482</v>
      </c>
      <c r="Y34">
        <f t="shared" si="14"/>
        <v>0.26413366399999999</v>
      </c>
      <c r="Z34">
        <f t="shared" si="15"/>
        <v>0.37629841768422206</v>
      </c>
      <c r="AA34">
        <f t="shared" si="16"/>
        <v>1.9424090000000049</v>
      </c>
      <c r="AB34">
        <f t="shared" si="17"/>
        <v>0.19398561720844346</v>
      </c>
      <c r="AC34">
        <f t="shared" si="18"/>
        <v>58.377952354755891</v>
      </c>
    </row>
    <row r="35" spans="1:29" x14ac:dyDescent="0.2">
      <c r="A35">
        <v>46137.077235370372</v>
      </c>
      <c r="B35">
        <v>18.322894000000002</v>
      </c>
      <c r="C35">
        <v>17.509678000000001</v>
      </c>
      <c r="D35">
        <v>17.397082999999999</v>
      </c>
      <c r="E35">
        <v>18.085204999999998</v>
      </c>
      <c r="F35">
        <v>42.153258000000001</v>
      </c>
      <c r="G35">
        <v>42.868276000000002</v>
      </c>
      <c r="H35">
        <v>38.433706000000001</v>
      </c>
      <c r="I35">
        <v>31.830233</v>
      </c>
      <c r="J35">
        <v>59.009718999999997</v>
      </c>
      <c r="K35">
        <v>57.067309999999999</v>
      </c>
      <c r="L35">
        <v>15.677026</v>
      </c>
      <c r="M35">
        <v>-622.46408299999996</v>
      </c>
      <c r="N35">
        <v>2.2530079999999999</v>
      </c>
      <c r="O35">
        <v>5.0643929999999999</v>
      </c>
      <c r="P35">
        <f t="shared" si="10"/>
        <v>3.7550133333333332E-5</v>
      </c>
      <c r="Q35" cm="1">
        <f t="array" ref="Q35">[1]!PropsSI("D","T",J35+273.15,"P",101325,"Water")</f>
        <v>983.70237892068462</v>
      </c>
      <c r="R35" cm="1">
        <f t="array" ref="R35">[1]!PropsSI("D","T",K35+273.15,"P",101325,"Water")</f>
        <v>984.67893688748268</v>
      </c>
      <c r="S35">
        <f t="shared" si="11"/>
        <v>984.19065790408365</v>
      </c>
      <c r="T35" cm="1">
        <f t="array" ref="T35">[1]!PropsSI("H","T",J35+273.15,"P",101325,"Water")</f>
        <v>247104.62549449893</v>
      </c>
      <c r="U35" cm="1">
        <f t="array" ref="U35">[1]!PropsSI("H","T",K35+273.15,"P",101325,"Water")</f>
        <v>238977.33808653709</v>
      </c>
      <c r="V35">
        <f t="shared" si="12"/>
        <v>300.35601931192099</v>
      </c>
      <c r="X35">
        <f t="shared" si="13"/>
        <v>0.268019438</v>
      </c>
      <c r="Y35">
        <f t="shared" si="14"/>
        <v>0.26413461999999999</v>
      </c>
      <c r="Z35">
        <f t="shared" si="15"/>
        <v>0.37629976963636347</v>
      </c>
      <c r="AA35">
        <f t="shared" si="16"/>
        <v>1.9424089999999978</v>
      </c>
      <c r="AB35">
        <f t="shared" si="17"/>
        <v>0.19398631230128893</v>
      </c>
      <c r="AC35">
        <f t="shared" si="18"/>
        <v>58.264956563814273</v>
      </c>
    </row>
    <row r="36" spans="1:29" x14ac:dyDescent="0.2">
      <c r="A36">
        <v>46137.077270671296</v>
      </c>
      <c r="B36">
        <v>18.221605</v>
      </c>
      <c r="C36">
        <v>17.851224999999999</v>
      </c>
      <c r="D36">
        <v>17.26878</v>
      </c>
      <c r="E36">
        <v>18.008654</v>
      </c>
      <c r="F36">
        <v>42.047232000000001</v>
      </c>
      <c r="G36">
        <v>41.535055999999997</v>
      </c>
      <c r="H36">
        <v>38.229326999999998</v>
      </c>
      <c r="I36">
        <v>30.012657999999998</v>
      </c>
      <c r="J36">
        <v>59.007807999999997</v>
      </c>
      <c r="K36">
        <v>57.068742999999998</v>
      </c>
      <c r="L36">
        <v>10.994811</v>
      </c>
      <c r="M36">
        <v>-622.47755199999995</v>
      </c>
      <c r="N36">
        <v>2.2559589999999998</v>
      </c>
      <c r="O36">
        <v>5.6736570000000004</v>
      </c>
      <c r="P36">
        <f t="shared" si="10"/>
        <v>3.7599316666666668E-5</v>
      </c>
      <c r="Q36" cm="1">
        <f t="array" ref="Q36">[1]!PropsSI("D","T",J36+273.15,"P",101325,"Water")</f>
        <v>983.70335081277722</v>
      </c>
      <c r="R36" cm="1">
        <f t="array" ref="R36">[1]!PropsSI("D","T",K36+273.15,"P",101325,"Water")</f>
        <v>984.67822483589009</v>
      </c>
      <c r="S36">
        <f t="shared" si="11"/>
        <v>984.19078782433371</v>
      </c>
      <c r="T36" cm="1">
        <f t="array" ref="T36">[1]!PropsSI("H","T",J36+273.15,"P",101325,"Water")</f>
        <v>247096.62886196544</v>
      </c>
      <c r="U36" cm="1">
        <f t="array" ref="U36">[1]!PropsSI("H","T",K36+273.15,"P",101325,"Water")</f>
        <v>238983.33338163924</v>
      </c>
      <c r="V36">
        <f t="shared" si="12"/>
        <v>300.23169677820766</v>
      </c>
      <c r="X36">
        <f t="shared" si="13"/>
        <v>0.26801561600000001</v>
      </c>
      <c r="Y36">
        <f t="shared" si="14"/>
        <v>0.26413748599999998</v>
      </c>
      <c r="Z36">
        <f t="shared" si="15"/>
        <v>0.37629905916738571</v>
      </c>
      <c r="AA36">
        <f t="shared" si="16"/>
        <v>1.9390649999999994</v>
      </c>
      <c r="AB36">
        <f t="shared" si="17"/>
        <v>0.19431959578982425</v>
      </c>
      <c r="AC36">
        <f t="shared" si="18"/>
        <v>58.340901961234394</v>
      </c>
    </row>
    <row r="37" spans="1:29" x14ac:dyDescent="0.2">
      <c r="A37">
        <v>46137.07730597222</v>
      </c>
      <c r="B37">
        <v>18.059335999999998</v>
      </c>
      <c r="C37">
        <v>17.557545999999999</v>
      </c>
      <c r="D37">
        <v>17.267878</v>
      </c>
      <c r="E37">
        <v>17.851165999999999</v>
      </c>
      <c r="F37">
        <v>42.385649000000001</v>
      </c>
      <c r="G37">
        <v>40.11215</v>
      </c>
      <c r="H37">
        <v>38.240324999999999</v>
      </c>
      <c r="I37">
        <v>31.522357</v>
      </c>
      <c r="J37">
        <v>59.006692000000001</v>
      </c>
      <c r="K37">
        <v>57.067309999999999</v>
      </c>
      <c r="L37">
        <v>11.644983</v>
      </c>
      <c r="M37">
        <v>-622.48530700000003</v>
      </c>
      <c r="N37">
        <v>2.2540040000000001</v>
      </c>
      <c r="O37">
        <v>4.9804069999999996</v>
      </c>
      <c r="P37">
        <f t="shared" si="10"/>
        <v>3.7566733333333334E-5</v>
      </c>
      <c r="Q37" cm="1">
        <f t="array" ref="Q37">[1]!PropsSI("D","T",J37+273.15,"P",101325,"Water")</f>
        <v>983.70391837546424</v>
      </c>
      <c r="R37" cm="1">
        <f t="array" ref="R37">[1]!PropsSI("D","T",K37+273.15,"P",101325,"Water")</f>
        <v>984.67893688748268</v>
      </c>
      <c r="S37">
        <f t="shared" si="11"/>
        <v>984.19142763147352</v>
      </c>
      <c r="T37" cm="1">
        <f t="array" ref="T37">[1]!PropsSI("H","T",J37+273.15,"P",101325,"Water")</f>
        <v>247091.95892964568</v>
      </c>
      <c r="U37" cm="1">
        <f t="array" ref="U37">[1]!PropsSI("H","T",K37+273.15,"P",101325,"Water")</f>
        <v>238977.33808653709</v>
      </c>
      <c r="V37">
        <f t="shared" si="12"/>
        <v>300.02071531752119</v>
      </c>
      <c r="X37">
        <f t="shared" si="13"/>
        <v>0.26801338399999997</v>
      </c>
      <c r="Y37">
        <f t="shared" si="14"/>
        <v>0.26413461999999999</v>
      </c>
      <c r="Z37">
        <f t="shared" si="15"/>
        <v>0.37629545770003103</v>
      </c>
      <c r="AA37">
        <f t="shared" si="16"/>
        <v>1.9393820000000019</v>
      </c>
      <c r="AB37">
        <f t="shared" si="17"/>
        <v>0.19428606301548576</v>
      </c>
      <c r="AC37">
        <f t="shared" si="18"/>
        <v>58.289843602131036</v>
      </c>
    </row>
    <row r="38" spans="1:29" x14ac:dyDescent="0.2">
      <c r="A38">
        <v>44675.077341275501</v>
      </c>
      <c r="B38">
        <v>18.036655</v>
      </c>
      <c r="C38">
        <v>17.415932000000002</v>
      </c>
      <c r="D38">
        <v>17.290109000000001</v>
      </c>
      <c r="E38">
        <v>17.718958000000001</v>
      </c>
      <c r="F38">
        <v>41.853834999999997</v>
      </c>
      <c r="G38">
        <v>43.043474000000003</v>
      </c>
      <c r="H38">
        <v>37.910715000000003</v>
      </c>
      <c r="I38">
        <v>31.620038999999998</v>
      </c>
      <c r="J38">
        <v>59.006055000000003</v>
      </c>
      <c r="K38">
        <v>57.064762000000002</v>
      </c>
      <c r="L38">
        <v>14.164857</v>
      </c>
      <c r="M38">
        <v>-622.49550999999997</v>
      </c>
      <c r="N38">
        <v>2.2540330000000002</v>
      </c>
      <c r="O38">
        <v>5.5374920000000003</v>
      </c>
      <c r="P38">
        <f t="shared" si="10"/>
        <v>3.7567216666666672E-5</v>
      </c>
      <c r="Q38" cm="1">
        <f t="array" ref="Q38">[1]!PropsSI("D","T",J38+273.15,"P",101325,"Water")</f>
        <v>983.70424233040978</v>
      </c>
      <c r="R38" cm="1">
        <f t="array" ref="R38">[1]!PropsSI("D","T",K38+273.15,"P",101325,"Water")</f>
        <v>984.68020294702558</v>
      </c>
      <c r="S38">
        <f t="shared" si="11"/>
        <v>984.19222263871768</v>
      </c>
      <c r="T38" cm="1">
        <f t="array" ref="T38">[1]!PropsSI("H","T",J38+273.15,"P",101325,"Water")</f>
        <v>247089.29338610161</v>
      </c>
      <c r="U38" cm="1">
        <f t="array" ref="U38">[1]!PropsSI("H","T",K38+273.15,"P",101325,"Water")</f>
        <v>238966.67792669332</v>
      </c>
      <c r="V38">
        <f t="shared" si="12"/>
        <v>300.32040558120468</v>
      </c>
      <c r="X38">
        <f t="shared" si="13"/>
        <v>0.26801211000000003</v>
      </c>
      <c r="Y38">
        <f t="shared" si="14"/>
        <v>0.264129524</v>
      </c>
      <c r="Z38">
        <f t="shared" si="15"/>
        <v>0.37629097325755595</v>
      </c>
      <c r="AA38">
        <f t="shared" si="16"/>
        <v>1.9412930000000017</v>
      </c>
      <c r="AB38">
        <f t="shared" si="17"/>
        <v>0.19409300866017842</v>
      </c>
      <c r="AC38">
        <f t="shared" si="18"/>
        <v>58.290091081301057</v>
      </c>
    </row>
    <row r="39" spans="1:29" x14ac:dyDescent="0.2">
      <c r="A39">
        <v>44675.077376576402</v>
      </c>
      <c r="B39">
        <v>18.199635000000001</v>
      </c>
      <c r="C39">
        <v>17.522824</v>
      </c>
      <c r="D39">
        <v>17.364117</v>
      </c>
      <c r="E39">
        <v>17.799265999999999</v>
      </c>
      <c r="F39">
        <v>42.397970999999998</v>
      </c>
      <c r="G39">
        <v>42.570435000000003</v>
      </c>
      <c r="H39">
        <v>37.667718000000001</v>
      </c>
      <c r="I39">
        <v>31.809121000000001</v>
      </c>
      <c r="J39">
        <v>59.007170000000002</v>
      </c>
      <c r="K39">
        <v>57.065080999999999</v>
      </c>
      <c r="L39">
        <v>12.725337</v>
      </c>
      <c r="M39">
        <v>-622.47836800000005</v>
      </c>
      <c r="N39">
        <v>2.2558850000000001</v>
      </c>
      <c r="O39">
        <v>5.0133070000000002</v>
      </c>
      <c r="P39">
        <f t="shared" si="10"/>
        <v>3.7598083333333332E-5</v>
      </c>
      <c r="Q39" cm="1">
        <f t="array" ref="Q39">[1]!PropsSI("D","T",J39+273.15,"P",101325,"Water")</f>
        <v>983.70367528052816</v>
      </c>
      <c r="R39" cm="1">
        <f t="array" ref="R39">[1]!PropsSI("D","T",K39+273.15,"P",101325,"Water")</f>
        <v>984.6800444432871</v>
      </c>
      <c r="S39">
        <f t="shared" si="11"/>
        <v>984.19185986190769</v>
      </c>
      <c r="T39" cm="1">
        <f t="array" ref="T39">[1]!PropsSI("H","T",J39+273.15,"P",101325,"Water")</f>
        <v>247093.95913356513</v>
      </c>
      <c r="U39" cm="1">
        <f t="array" ref="U39">[1]!PropsSI("H","T",K39+273.15,"P",101325,"Water")</f>
        <v>238968.01253839562</v>
      </c>
      <c r="V39">
        <f t="shared" si="12"/>
        <v>300.69031399976046</v>
      </c>
      <c r="X39">
        <f t="shared" si="13"/>
        <v>0.26801434000000002</v>
      </c>
      <c r="Y39">
        <f t="shared" si="14"/>
        <v>0.264130162</v>
      </c>
      <c r="Z39">
        <f t="shared" si="15"/>
        <v>0.37629300940062899</v>
      </c>
      <c r="AA39">
        <f t="shared" si="16"/>
        <v>1.9420890000000028</v>
      </c>
      <c r="AB39">
        <f t="shared" si="17"/>
        <v>0.19401471441014456</v>
      </c>
      <c r="AC39">
        <f t="shared" si="18"/>
        <v>58.338345396560221</v>
      </c>
    </row>
    <row r="40" spans="1:29" x14ac:dyDescent="0.2">
      <c r="A40">
        <v>44675.077411298596</v>
      </c>
      <c r="B40">
        <v>18.292712000000002</v>
      </c>
      <c r="C40">
        <v>17.527595999999999</v>
      </c>
      <c r="D40">
        <v>17.408961999999999</v>
      </c>
      <c r="E40">
        <v>17.868756000000001</v>
      </c>
      <c r="F40">
        <v>42.493977999999998</v>
      </c>
      <c r="G40">
        <v>41.783467000000002</v>
      </c>
      <c r="H40">
        <v>38.294750999999998</v>
      </c>
      <c r="I40">
        <v>31.700371000000001</v>
      </c>
      <c r="J40">
        <v>59.009718999999997</v>
      </c>
      <c r="K40">
        <v>57.066991999999999</v>
      </c>
      <c r="L40">
        <v>11.198066000000001</v>
      </c>
      <c r="M40">
        <v>-622.50530600000002</v>
      </c>
      <c r="N40">
        <v>2.2516729999999998</v>
      </c>
      <c r="O40">
        <v>5.4972719999999997</v>
      </c>
      <c r="P40">
        <f t="shared" si="10"/>
        <v>3.7527883333333334E-5</v>
      </c>
      <c r="Q40" cm="1">
        <f t="array" ref="Q40">[1]!PropsSI("D","T",J40+273.15,"P",101325,"Water")</f>
        <v>983.70237892068462</v>
      </c>
      <c r="R40" cm="1">
        <f t="array" ref="R40">[1]!PropsSI("D","T",K40+273.15,"P",101325,"Water")</f>
        <v>984.67909489865383</v>
      </c>
      <c r="S40">
        <f t="shared" si="11"/>
        <v>984.19073690966923</v>
      </c>
      <c r="T40" cm="1">
        <f t="array" ref="T40">[1]!PropsSI("H","T",J40+273.15,"P",101325,"Water")</f>
        <v>247104.62549449893</v>
      </c>
      <c r="U40" cm="1">
        <f t="array" ref="U40">[1]!PropsSI("H","T",K40+273.15,"P",101325,"Water")</f>
        <v>238976.00765830447</v>
      </c>
      <c r="V40">
        <f t="shared" si="12"/>
        <v>300.2272089291796</v>
      </c>
      <c r="X40">
        <f t="shared" si="13"/>
        <v>0.268019438</v>
      </c>
      <c r="Y40">
        <f t="shared" si="14"/>
        <v>0.26413398399999999</v>
      </c>
      <c r="Z40">
        <f t="shared" si="15"/>
        <v>0.37629932321165299</v>
      </c>
      <c r="AA40">
        <f t="shared" si="16"/>
        <v>1.9427269999999979</v>
      </c>
      <c r="AB40">
        <f t="shared" si="17"/>
        <v>0.19395441407997815</v>
      </c>
      <c r="AC40">
        <f t="shared" si="18"/>
        <v>58.230392398726217</v>
      </c>
    </row>
    <row r="41" spans="1:29" x14ac:dyDescent="0.2">
      <c r="A41">
        <v>44675.0774460209</v>
      </c>
      <c r="B41">
        <v>18.264365000000002</v>
      </c>
      <c r="C41">
        <v>17.555441999999999</v>
      </c>
      <c r="D41">
        <v>17.458435000000001</v>
      </c>
      <c r="E41">
        <v>17.897421000000001</v>
      </c>
      <c r="F41">
        <v>42.149872000000002</v>
      </c>
      <c r="G41">
        <v>42.452683999999998</v>
      </c>
      <c r="H41">
        <v>37.702753000000001</v>
      </c>
      <c r="I41">
        <v>31.301825000000001</v>
      </c>
      <c r="J41">
        <v>59.006692000000001</v>
      </c>
      <c r="K41">
        <v>57.067469000000003</v>
      </c>
      <c r="L41">
        <v>16.284749999999999</v>
      </c>
      <c r="M41">
        <v>-622.46612400000004</v>
      </c>
      <c r="N41">
        <v>2.255455</v>
      </c>
      <c r="O41">
        <v>5.9799410000000002</v>
      </c>
      <c r="P41">
        <f t="shared" si="10"/>
        <v>3.7590916666666663E-5</v>
      </c>
      <c r="Q41" cm="1">
        <f t="array" ref="Q41">[1]!PropsSI("D","T",J41+273.15,"P",101325,"Water")</f>
        <v>983.70391837546424</v>
      </c>
      <c r="R41" cm="1">
        <f t="array" ref="R41">[1]!PropsSI("D","T",K41+273.15,"P",101325,"Water")</f>
        <v>984.67885788168144</v>
      </c>
      <c r="S41">
        <f t="shared" si="11"/>
        <v>984.19138812857284</v>
      </c>
      <c r="T41" cm="1">
        <f t="array" ref="T41">[1]!PropsSI("H","T",J41+273.15,"P",101325,"Water")</f>
        <v>247091.95892964568</v>
      </c>
      <c r="U41" cm="1">
        <f t="array" ref="U41">[1]!PropsSI("H","T",K41+273.15,"P",101325,"Water")</f>
        <v>238978.00330069399</v>
      </c>
      <c r="V41">
        <f t="shared" si="12"/>
        <v>300.18922889699837</v>
      </c>
      <c r="X41">
        <f t="shared" si="13"/>
        <v>0.26801338399999997</v>
      </c>
      <c r="Y41">
        <f t="shared" si="14"/>
        <v>0.26413493799999999</v>
      </c>
      <c r="Z41">
        <f t="shared" si="15"/>
        <v>0.37629568091514853</v>
      </c>
      <c r="AA41">
        <f t="shared" si="16"/>
        <v>1.9392229999999984</v>
      </c>
      <c r="AB41">
        <f t="shared" si="17"/>
        <v>0.19430206559413479</v>
      </c>
      <c r="AC41">
        <f t="shared" si="18"/>
        <v>58.327387243797318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6D8F-9374-1042-9C4E-3E291D2AFE7D}">
  <dimension ref="A1:AC31"/>
  <sheetViews>
    <sheetView topLeftCell="M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44675.0784367616</v>
      </c>
      <c r="B2">
        <v>17.636358000000001</v>
      </c>
      <c r="C2">
        <v>17.955766000000001</v>
      </c>
      <c r="D2">
        <v>18.347837999999999</v>
      </c>
      <c r="E2">
        <v>18.740234000000001</v>
      </c>
      <c r="F2">
        <v>40.303947999999998</v>
      </c>
      <c r="G2">
        <v>37.963869000000003</v>
      </c>
      <c r="H2">
        <v>33.733548999999996</v>
      </c>
      <c r="I2">
        <v>30.386044999999999</v>
      </c>
      <c r="J2">
        <v>58.946314000000001</v>
      </c>
      <c r="K2">
        <v>55.916424999999997</v>
      </c>
      <c r="L2">
        <v>40.356197999999999</v>
      </c>
      <c r="M2">
        <v>-622.46898099999999</v>
      </c>
      <c r="N2">
        <v>2.2498490000000002</v>
      </c>
      <c r="O2">
        <v>5.2044329999999999</v>
      </c>
      <c r="P2">
        <f t="shared" ref="P2:P65" si="0" xml:space="preserve"> N2*0.001/60</f>
        <v>3.7497483333333341E-5</v>
      </c>
      <c r="Q2" cm="1">
        <f t="array" ref="Q2">[1]!PropsSI("D","T",J2+273.15,"P",101325,"Water")</f>
        <v>983.73461366713047</v>
      </c>
      <c r="R2" cm="1">
        <f t="array" ref="R2">[1]!PropsSI("D","T",K2+273.15,"P",101325,"Water")</f>
        <v>985.24676104536809</v>
      </c>
      <c r="S2">
        <f t="shared" ref="S2:S65" si="1">(Q2+R2)/2</f>
        <v>984.49068735624928</v>
      </c>
      <c r="T2" cm="1">
        <f t="array" ref="T2">[1]!PropsSI("H","T",J2+273.15,"P",101325,"Water")</f>
        <v>246839.30633305811</v>
      </c>
      <c r="U2" cm="1">
        <f t="array" ref="U2">[1]!PropsSI("H","T",K2+273.15,"P",101325,"Water")</f>
        <v>234162.59469701964</v>
      </c>
      <c r="V2">
        <f t="shared" ref="V2:V65" si="2">S2*P2*(T2-U2)</f>
        <v>467.97251243614539</v>
      </c>
      <c r="W2" s="3">
        <f>AVERAGE(V12:V31)</f>
        <v>471.42268398576743</v>
      </c>
      <c r="X2">
        <f>(0.15+0.002*ABS(J2))</f>
        <v>0.26789262800000002</v>
      </c>
      <c r="Y2">
        <f>(0.15+0.002*ABS(K2))</f>
        <v>0.26183285000000001</v>
      </c>
      <c r="Z2">
        <f>SQRT((X2)^2 + (Y2)^2)</f>
        <v>0.37459698540680875</v>
      </c>
      <c r="AA2">
        <f>J2-K2</f>
        <v>3.0298890000000043</v>
      </c>
      <c r="AB2">
        <f>SQRT((0.01)^2 + (Z2/ABS(AA2))^2)</f>
        <v>0.12403765782027573</v>
      </c>
      <c r="AC2">
        <f>ABS(V2*AB2)</f>
        <v>58.046214366849334</v>
      </c>
    </row>
    <row r="3" spans="1:29" x14ac:dyDescent="0.2">
      <c r="A3">
        <v>44675.078472062502</v>
      </c>
      <c r="B3">
        <v>17.597125999999999</v>
      </c>
      <c r="C3">
        <v>17.972559</v>
      </c>
      <c r="D3">
        <v>18.364566</v>
      </c>
      <c r="E3">
        <v>18.753983999999999</v>
      </c>
      <c r="F3">
        <v>40.575606999999998</v>
      </c>
      <c r="G3">
        <v>38.582312000000002</v>
      </c>
      <c r="H3">
        <v>32.949497000000001</v>
      </c>
      <c r="I3">
        <v>30.628229000000001</v>
      </c>
      <c r="J3">
        <v>58.94265</v>
      </c>
      <c r="K3">
        <v>55.909581000000003</v>
      </c>
      <c r="L3">
        <v>37.986113000000003</v>
      </c>
      <c r="M3">
        <v>-622.50530600000002</v>
      </c>
      <c r="N3">
        <v>2.2522380000000002</v>
      </c>
      <c r="O3">
        <v>5.6095329999999999</v>
      </c>
      <c r="P3">
        <f t="shared" si="0"/>
        <v>3.7537300000000004E-5</v>
      </c>
      <c r="Q3" cm="1">
        <f t="array" ref="Q3">[1]!PropsSI("D","T",J3+273.15,"P",101325,"Water")</f>
        <v>983.7364756912848</v>
      </c>
      <c r="R3" cm="1">
        <f t="array" ref="R3">[1]!PropsSI("D","T",K3+273.15,"P",101325,"Water")</f>
        <v>985.25011347429381</v>
      </c>
      <c r="S3">
        <f t="shared" si="1"/>
        <v>984.4932945827893</v>
      </c>
      <c r="T3" cm="1">
        <f t="array" ref="T3">[1]!PropsSI("H","T",J3+273.15,"P",101325,"Water")</f>
        <v>246823.97432255428</v>
      </c>
      <c r="U3" cm="1">
        <f t="array" ref="U3">[1]!PropsSI("H","T",K3+273.15,"P",101325,"Water")</f>
        <v>234133.96423888454</v>
      </c>
      <c r="V3">
        <f t="shared" si="2"/>
        <v>468.96211630639789</v>
      </c>
      <c r="W3" s="3" t="s">
        <v>33</v>
      </c>
      <c r="X3">
        <f t="shared" ref="X3:Y55" si="3">(0.15+0.002*ABS(J3))</f>
        <v>0.26788529999999999</v>
      </c>
      <c r="Y3">
        <f t="shared" si="3"/>
        <v>0.26181916199999999</v>
      </c>
      <c r="Z3">
        <f t="shared" ref="Z3:Z55" si="4">SQRT((X3)^2 + (Y3)^2)</f>
        <v>0.37458217729421167</v>
      </c>
      <c r="AA3">
        <f>J3-K3</f>
        <v>3.0330689999999976</v>
      </c>
      <c r="AB3">
        <f t="shared" ref="AB3:AB66" si="5">SQRT((0.01)^2 + (Z3/ABS(AA3))^2)</f>
        <v>0.12390359081253251</v>
      </c>
      <c r="AC3">
        <f t="shared" ref="AC3:AC66" si="6">ABS(V3*AB3)</f>
        <v>58.106090165407203</v>
      </c>
    </row>
    <row r="4" spans="1:29" x14ac:dyDescent="0.2">
      <c r="A4">
        <v>44675.078506784797</v>
      </c>
      <c r="B4">
        <v>17.601056</v>
      </c>
      <c r="C4">
        <v>18.037465000000001</v>
      </c>
      <c r="D4">
        <v>18.341298999999999</v>
      </c>
      <c r="E4">
        <v>18.764586999999999</v>
      </c>
      <c r="F4">
        <v>40.886322</v>
      </c>
      <c r="G4">
        <v>39.087986999999998</v>
      </c>
      <c r="H4">
        <v>34.669362</v>
      </c>
      <c r="I4">
        <v>30.477266</v>
      </c>
      <c r="J4">
        <v>58.936118</v>
      </c>
      <c r="K4">
        <v>55.903531999999998</v>
      </c>
      <c r="L4">
        <v>43.345435999999999</v>
      </c>
      <c r="M4">
        <v>-622.48000100000002</v>
      </c>
      <c r="N4">
        <v>2.250165</v>
      </c>
      <c r="O4">
        <v>5.7051340000000001</v>
      </c>
      <c r="P4">
        <f t="shared" si="0"/>
        <v>3.7502749999999999E-5</v>
      </c>
      <c r="Q4" cm="1">
        <f t="array" ref="Q4">[1]!PropsSI("D","T",J4+273.15,"P",101325,"Water")</f>
        <v>983.73979501823419</v>
      </c>
      <c r="R4" cm="1">
        <f t="array" ref="R4">[1]!PropsSI("D","T",K4+273.15,"P",101325,"Water")</f>
        <v>985.25307624479512</v>
      </c>
      <c r="S4">
        <f t="shared" si="1"/>
        <v>984.49643563151471</v>
      </c>
      <c r="T4" cm="1">
        <f t="array" ref="T4">[1]!PropsSI("H","T",J4+273.15,"P",101325,"Water")</f>
        <v>246796.6411781217</v>
      </c>
      <c r="U4" cm="1">
        <f t="array" ref="U4">[1]!PropsSI("H","T",K4+273.15,"P",101325,"Water")</f>
        <v>234108.6595135133</v>
      </c>
      <c r="V4">
        <f t="shared" si="2"/>
        <v>468.45707815617857</v>
      </c>
      <c r="W4" s="3">
        <f>SQRT((AVERAGE(AC12:AC31))^2 + (_xlfn.STDEV.S(V12:V31)/SQRT(COUNT(V12:V31)))^2)</f>
        <v>57.982718951167342</v>
      </c>
      <c r="X4">
        <f t="shared" si="3"/>
        <v>0.26787223599999999</v>
      </c>
      <c r="Y4">
        <f t="shared" si="3"/>
        <v>0.26180706399999998</v>
      </c>
      <c r="Z4">
        <f t="shared" si="4"/>
        <v>0.37456437841836987</v>
      </c>
      <c r="AA4">
        <f t="shared" ref="AA4:AA67" si="7">J4-K4</f>
        <v>3.032586000000002</v>
      </c>
      <c r="AB4">
        <f t="shared" si="5"/>
        <v>0.12391734633935395</v>
      </c>
      <c r="AC4">
        <f t="shared" si="6"/>
        <v>58.049957999000981</v>
      </c>
    </row>
    <row r="5" spans="1:29" x14ac:dyDescent="0.2">
      <c r="A5">
        <v>44675.078542085699</v>
      </c>
      <c r="B5">
        <v>17.547577</v>
      </c>
      <c r="C5">
        <v>17.96726</v>
      </c>
      <c r="D5">
        <v>18.253598</v>
      </c>
      <c r="E5">
        <v>18.753654999999998</v>
      </c>
      <c r="F5">
        <v>40.694046</v>
      </c>
      <c r="G5">
        <v>38.554738</v>
      </c>
      <c r="H5">
        <v>34.750985999999997</v>
      </c>
      <c r="I5">
        <v>30.711963000000001</v>
      </c>
      <c r="J5">
        <v>58.933090999999997</v>
      </c>
      <c r="K5">
        <v>55.895572999999999</v>
      </c>
      <c r="L5">
        <v>37.890607000000003</v>
      </c>
      <c r="M5">
        <v>-622.46898099999999</v>
      </c>
      <c r="N5">
        <v>2.2469190000000001</v>
      </c>
      <c r="O5">
        <v>4.9118219999999999</v>
      </c>
      <c r="P5">
        <f t="shared" si="0"/>
        <v>3.7448650000000003E-5</v>
      </c>
      <c r="Q5" cm="1">
        <f t="array" ref="Q5">[1]!PropsSI("D","T",J5+273.15,"P",101325,"Water")</f>
        <v>983.74133314421567</v>
      </c>
      <c r="R5" cm="1">
        <f t="array" ref="R5">[1]!PropsSI("D","T",K5+273.15,"P",101325,"Water")</f>
        <v>985.25697418109098</v>
      </c>
      <c r="S5">
        <f t="shared" si="1"/>
        <v>984.49915366265327</v>
      </c>
      <c r="T5" cm="1">
        <f t="array" ref="T5">[1]!PropsSI("H","T",J5+273.15,"P",101325,"Water")</f>
        <v>246783.97470714294</v>
      </c>
      <c r="U5" cm="1">
        <f t="array" ref="U5">[1]!PropsSI("H","T",K5+273.15,"P",101325,"Water")</f>
        <v>234075.36472378203</v>
      </c>
      <c r="V5">
        <f t="shared" si="2"/>
        <v>468.5431200118482</v>
      </c>
      <c r="W5" s="3"/>
      <c r="X5">
        <f t="shared" si="3"/>
        <v>0.26786618200000001</v>
      </c>
      <c r="Y5">
        <f t="shared" si="3"/>
        <v>0.26179114599999997</v>
      </c>
      <c r="Z5">
        <f t="shared" si="4"/>
        <v>0.37454892281683366</v>
      </c>
      <c r="AA5">
        <f t="shared" si="7"/>
        <v>3.0375179999999986</v>
      </c>
      <c r="AB5">
        <f t="shared" si="5"/>
        <v>0.12371238225600648</v>
      </c>
      <c r="AC5">
        <f t="shared" si="6"/>
        <v>57.964585566327685</v>
      </c>
    </row>
    <row r="6" spans="1:29" x14ac:dyDescent="0.2">
      <c r="A6">
        <v>46137.078577384258</v>
      </c>
      <c r="B6">
        <v>17.579875000000001</v>
      </c>
      <c r="C6">
        <v>17.876339000000002</v>
      </c>
      <c r="D6">
        <v>18.218254000000002</v>
      </c>
      <c r="E6">
        <v>18.797532</v>
      </c>
      <c r="F6">
        <v>40.532190999999997</v>
      </c>
      <c r="G6">
        <v>38.485188999999998</v>
      </c>
      <c r="H6">
        <v>33.348514000000002</v>
      </c>
      <c r="I6">
        <v>30.590966000000002</v>
      </c>
      <c r="J6">
        <v>58.929746000000002</v>
      </c>
      <c r="K6">
        <v>55.890957</v>
      </c>
      <c r="L6">
        <v>37.537156000000003</v>
      </c>
      <c r="M6">
        <v>-622.47632799999997</v>
      </c>
      <c r="N6">
        <v>2.2499560000000001</v>
      </c>
      <c r="O6">
        <v>6.0999160000000003</v>
      </c>
      <c r="P6">
        <f t="shared" si="0"/>
        <v>3.7499266666666669E-5</v>
      </c>
      <c r="Q6" cm="1">
        <f t="array" ref="Q6">[1]!PropsSI("D","T",J6+273.15,"P",101325,"Water")</f>
        <v>983.74303279364869</v>
      </c>
      <c r="R6" cm="1">
        <f t="array" ref="R6">[1]!PropsSI("D","T",K6+273.15,"P",101325,"Water")</f>
        <v>985.25923469790268</v>
      </c>
      <c r="S6">
        <f t="shared" si="1"/>
        <v>984.50113374577563</v>
      </c>
      <c r="T6" cm="1">
        <f t="array" ref="T6">[1]!PropsSI("H","T",J6+273.15,"P",101325,"Water")</f>
        <v>246769.97757074342</v>
      </c>
      <c r="U6" cm="1">
        <f t="array" ref="U6">[1]!PropsSI("H","T",K6+273.15,"P",101325,"Water")</f>
        <v>234056.05467696252</v>
      </c>
      <c r="V6">
        <f t="shared" si="2"/>
        <v>469.37350233403498</v>
      </c>
      <c r="W6" s="3"/>
      <c r="X6">
        <f t="shared" si="3"/>
        <v>0.26785949200000003</v>
      </c>
      <c r="Y6">
        <f t="shared" si="3"/>
        <v>0.261781914</v>
      </c>
      <c r="Z6">
        <f t="shared" si="4"/>
        <v>0.3745376856232247</v>
      </c>
      <c r="AA6">
        <f>J6-K6</f>
        <v>3.0387890000000013</v>
      </c>
      <c r="AB6">
        <f t="shared" si="5"/>
        <v>0.12365729082597869</v>
      </c>
      <c r="AC6">
        <f t="shared" si="6"/>
        <v>58.041455684127953</v>
      </c>
    </row>
    <row r="7" spans="1:29" x14ac:dyDescent="0.2">
      <c r="A7">
        <v>46137.078612106481</v>
      </c>
      <c r="B7">
        <v>17.570055</v>
      </c>
      <c r="C7">
        <v>17.757791999999998</v>
      </c>
      <c r="D7">
        <v>18.195240999999999</v>
      </c>
      <c r="E7">
        <v>18.795093000000001</v>
      </c>
      <c r="F7">
        <v>40.556148999999998</v>
      </c>
      <c r="G7">
        <v>37.709373999999997</v>
      </c>
      <c r="H7">
        <v>34.431260999999999</v>
      </c>
      <c r="I7">
        <v>30.070495000000001</v>
      </c>
      <c r="J7">
        <v>58.924489000000001</v>
      </c>
      <c r="K7">
        <v>55.887774</v>
      </c>
      <c r="L7">
        <v>35.686228</v>
      </c>
      <c r="M7">
        <v>-622.50734699999998</v>
      </c>
      <c r="N7">
        <v>2.2501280000000001</v>
      </c>
      <c r="O7">
        <v>4.8258539999999996</v>
      </c>
      <c r="P7">
        <f t="shared" si="0"/>
        <v>3.7502133333333335E-5</v>
      </c>
      <c r="Q7" cm="1">
        <f t="array" ref="Q7">[1]!PropsSI("D","T",J7+273.15,"P",101325,"Water")</f>
        <v>983.74570382678007</v>
      </c>
      <c r="R7" cm="1">
        <f t="array" ref="R7">[1]!PropsSI("D","T",K7+273.15,"P",101325,"Water")</f>
        <v>985.26079337913052</v>
      </c>
      <c r="S7">
        <f t="shared" si="1"/>
        <v>984.5032486029553</v>
      </c>
      <c r="T7" cm="1">
        <f t="array" ref="T7">[1]!PropsSI("H","T",J7+273.15,"P",101325,"Water")</f>
        <v>246747.97968910381</v>
      </c>
      <c r="U7" cm="1">
        <f t="array" ref="U7">[1]!PropsSI("H","T",K7+273.15,"P",101325,"Water")</f>
        <v>234042.73928324078</v>
      </c>
      <c r="V7">
        <f t="shared" si="2"/>
        <v>469.08982650048154</v>
      </c>
      <c r="W7" s="3"/>
      <c r="X7">
        <f t="shared" si="3"/>
        <v>0.26784897800000002</v>
      </c>
      <c r="Y7">
        <f t="shared" si="3"/>
        <v>0.26177554800000002</v>
      </c>
      <c r="Z7">
        <f t="shared" si="4"/>
        <v>0.374525716802391</v>
      </c>
      <c r="AA7">
        <f t="shared" ref="AA7:AA70" si="8">J7-K7</f>
        <v>3.0367150000000009</v>
      </c>
      <c r="AB7">
        <f t="shared" si="5"/>
        <v>0.12373726504204896</v>
      </c>
      <c r="AC7">
        <f t="shared" si="6"/>
        <v>58.043892190218848</v>
      </c>
    </row>
    <row r="8" spans="1:29" x14ac:dyDescent="0.2">
      <c r="A8">
        <v>46137.078647407405</v>
      </c>
      <c r="B8">
        <v>17.451509000000001</v>
      </c>
      <c r="C8">
        <v>17.757543999999999</v>
      </c>
      <c r="D8">
        <v>18.225646999999999</v>
      </c>
      <c r="E8">
        <v>18.810559999999999</v>
      </c>
      <c r="F8">
        <v>40.104782</v>
      </c>
      <c r="G8">
        <v>36.451582999999999</v>
      </c>
      <c r="H8">
        <v>34.496308999999997</v>
      </c>
      <c r="I8">
        <v>30.700056</v>
      </c>
      <c r="J8">
        <v>58.918913000000003</v>
      </c>
      <c r="K8">
        <v>55.882044</v>
      </c>
      <c r="L8">
        <v>38.459558999999999</v>
      </c>
      <c r="M8">
        <v>-622.49959200000001</v>
      </c>
      <c r="N8">
        <v>2.2477550000000002</v>
      </c>
      <c r="O8">
        <v>5.4254470000000001</v>
      </c>
      <c r="P8">
        <f t="shared" si="0"/>
        <v>3.7462583333333333E-5</v>
      </c>
      <c r="Q8" cm="1">
        <f t="array" ref="Q8">[1]!PropsSI("D","T",J8+273.15,"P",101325,"Water")</f>
        <v>983.748536760663</v>
      </c>
      <c r="R8" cm="1">
        <f t="array" ref="R8">[1]!PropsSI("D","T",K8+273.15,"P",101325,"Water")</f>
        <v>985.26359914208263</v>
      </c>
      <c r="S8">
        <f t="shared" si="1"/>
        <v>984.50606795137287</v>
      </c>
      <c r="T8" cm="1">
        <f t="array" ref="T8">[1]!PropsSI("H","T",J8+273.15,"P",101325,"Water")</f>
        <v>246724.64696674931</v>
      </c>
      <c r="U8" cm="1">
        <f t="array" ref="U8">[1]!PropsSI("H","T",K8+273.15,"P",101325,"Water")</f>
        <v>234018.76907406928</v>
      </c>
      <c r="V8">
        <f t="shared" si="2"/>
        <v>468.61997504689992</v>
      </c>
      <c r="W8" s="3"/>
      <c r="X8">
        <f t="shared" si="3"/>
        <v>0.267837826</v>
      </c>
      <c r="Y8">
        <f t="shared" si="3"/>
        <v>0.26176408800000001</v>
      </c>
      <c r="Z8">
        <f>SQRT((X8)^2 + (Y8)^2)</f>
        <v>0.37450973125257775</v>
      </c>
      <c r="AA8">
        <f t="shared" si="8"/>
        <v>3.0368690000000029</v>
      </c>
      <c r="AB8">
        <f t="shared" si="5"/>
        <v>0.12372578468774513</v>
      </c>
      <c r="AC8">
        <f t="shared" si="6"/>
        <v>57.980374133029237</v>
      </c>
    </row>
    <row r="9" spans="1:29" x14ac:dyDescent="0.2">
      <c r="A9">
        <v>46137.078682708336</v>
      </c>
      <c r="B9">
        <v>17.435002000000001</v>
      </c>
      <c r="C9">
        <v>17.864754999999999</v>
      </c>
      <c r="D9">
        <v>17.934206</v>
      </c>
      <c r="E9">
        <v>18.756208000000001</v>
      </c>
      <c r="F9">
        <v>40.381559000000003</v>
      </c>
      <c r="G9">
        <v>38.432293999999999</v>
      </c>
      <c r="H9">
        <v>33.302250999999998</v>
      </c>
      <c r="I9">
        <v>30.246165999999999</v>
      </c>
      <c r="J9">
        <v>58.915249000000003</v>
      </c>
      <c r="K9">
        <v>55.875836</v>
      </c>
      <c r="L9">
        <v>38.881169999999997</v>
      </c>
      <c r="M9">
        <v>-622.49591899999996</v>
      </c>
      <c r="N9">
        <v>2.2474970000000001</v>
      </c>
      <c r="O9">
        <v>5.4213940000000003</v>
      </c>
      <c r="P9">
        <f t="shared" si="0"/>
        <v>3.7458283333333337E-5</v>
      </c>
      <c r="Q9" cm="1">
        <f t="array" ref="Q9">[1]!PropsSI("D","T",J9+273.15,"P",101325,"Water")</f>
        <v>983.75039818576818</v>
      </c>
      <c r="R9" cm="1">
        <f t="array" ref="R9">[1]!PropsSI("D","T",K9+273.15,"P",101325,"Water")</f>
        <v>985.26663873551058</v>
      </c>
      <c r="S9">
        <f t="shared" si="1"/>
        <v>984.50851846063938</v>
      </c>
      <c r="T9" cm="1">
        <f t="array" ref="T9">[1]!PropsSI("H","T",J9+273.15,"P",101325,"Water")</f>
        <v>246709.31499848716</v>
      </c>
      <c r="U9" cm="1">
        <f t="array" ref="U9">[1]!PropsSI("H","T",K9+273.15,"P",101325,"Water")</f>
        <v>233992.7992698132</v>
      </c>
      <c r="V9">
        <f t="shared" si="2"/>
        <v>468.95965468894599</v>
      </c>
      <c r="W9" s="3"/>
      <c r="X9">
        <f t="shared" si="3"/>
        <v>0.26783049800000003</v>
      </c>
      <c r="Y9">
        <f t="shared" si="3"/>
        <v>0.26175167199999999</v>
      </c>
      <c r="Z9">
        <f t="shared" ref="Z9:Z72" si="9">SQRT((X9)^2 + (Y9)^2)</f>
        <v>0.37449581233135787</v>
      </c>
      <c r="AA9">
        <f t="shared" si="8"/>
        <v>3.0394130000000033</v>
      </c>
      <c r="AB9">
        <f t="shared" si="5"/>
        <v>0.12361833805672605</v>
      </c>
      <c r="AC9">
        <f t="shared" si="6"/>
        <v>57.972013128303637</v>
      </c>
    </row>
    <row r="10" spans="1:29" x14ac:dyDescent="0.2">
      <c r="A10">
        <v>44675.078717432902</v>
      </c>
      <c r="B10">
        <v>17.528697999999999</v>
      </c>
      <c r="C10">
        <v>17.866541000000002</v>
      </c>
      <c r="D10">
        <v>18.193745</v>
      </c>
      <c r="E10">
        <v>18.811962000000001</v>
      </c>
      <c r="F10">
        <v>40.014896</v>
      </c>
      <c r="G10">
        <v>36.767550999999997</v>
      </c>
      <c r="H10">
        <v>33.560361999999998</v>
      </c>
      <c r="I10">
        <v>30.917536999999999</v>
      </c>
      <c r="J10">
        <v>58.910947999999998</v>
      </c>
      <c r="K10">
        <v>55.868355000000001</v>
      </c>
      <c r="L10">
        <v>39.762759000000003</v>
      </c>
      <c r="M10">
        <v>-622.50040799999999</v>
      </c>
      <c r="N10">
        <v>2.2476440000000002</v>
      </c>
      <c r="O10">
        <v>5.0330550000000001</v>
      </c>
      <c r="P10">
        <f t="shared" si="0"/>
        <v>3.7460733333333332E-5</v>
      </c>
      <c r="Q10" cm="1">
        <f t="array" ref="Q10">[1]!PropsSI("D","T",J10+273.15,"P",101325,"Water")</f>
        <v>983.7525831243255</v>
      </c>
      <c r="R10" cm="1">
        <f t="array" ref="R10">[1]!PropsSI("D","T",K10+273.15,"P",101325,"Water")</f>
        <v>985.27030130685034</v>
      </c>
      <c r="S10">
        <f t="shared" si="1"/>
        <v>984.51144221558798</v>
      </c>
      <c r="T10" cm="1">
        <f t="array" ref="T10">[1]!PropsSI("H","T",J10+273.15,"P",101325,"Water")</f>
        <v>246691.31751785899</v>
      </c>
      <c r="U10" cm="1">
        <f t="array" ref="U10">[1]!PropsSI("H","T",K10+273.15,"P",101325,"Water")</f>
        <v>233961.50416885933</v>
      </c>
      <c r="V10">
        <f t="shared" si="2"/>
        <v>469.48214345771032</v>
      </c>
      <c r="X10">
        <f t="shared" si="3"/>
        <v>0.267821896</v>
      </c>
      <c r="Y10">
        <f t="shared" si="3"/>
        <v>0.26173670999999998</v>
      </c>
      <c r="Z10">
        <f t="shared" si="9"/>
        <v>0.37447920281193042</v>
      </c>
      <c r="AA10">
        <f t="shared" si="8"/>
        <v>3.0425929999999966</v>
      </c>
      <c r="AB10">
        <f t="shared" si="5"/>
        <v>0.12348454181337035</v>
      </c>
      <c r="AC10">
        <f t="shared" si="6"/>
        <v>57.973787374434366</v>
      </c>
    </row>
    <row r="11" spans="1:29" x14ac:dyDescent="0.2">
      <c r="A11">
        <v>44675.078752733803</v>
      </c>
      <c r="B11">
        <v>17.585507</v>
      </c>
      <c r="C11">
        <v>17.841287999999999</v>
      </c>
      <c r="D11">
        <v>18.376826999999999</v>
      </c>
      <c r="E11">
        <v>18.813285</v>
      </c>
      <c r="F11">
        <v>40.789386999999998</v>
      </c>
      <c r="G11">
        <v>38.386699999999998</v>
      </c>
      <c r="H11">
        <v>33.174709</v>
      </c>
      <c r="I11">
        <v>30.004538</v>
      </c>
      <c r="J11">
        <v>58.909194999999997</v>
      </c>
      <c r="K11">
        <v>55.865490000000001</v>
      </c>
      <c r="L11">
        <v>44.615985000000002</v>
      </c>
      <c r="M11">
        <v>-622.49469399999998</v>
      </c>
      <c r="N11">
        <v>2.2475869999999998</v>
      </c>
      <c r="O11">
        <v>5.9224759999999996</v>
      </c>
      <c r="P11">
        <f t="shared" si="0"/>
        <v>3.7459783333333327E-5</v>
      </c>
      <c r="Q11" cm="1">
        <f t="array" ref="Q11">[1]!PropsSI("D","T",J11+273.15,"P",101325,"Water")</f>
        <v>983.75347362913772</v>
      </c>
      <c r="R11" cm="1">
        <f t="array" ref="R11">[1]!PropsSI("D","T",K11+273.15,"P",101325,"Water")</f>
        <v>985.27170387133299</v>
      </c>
      <c r="S11">
        <f t="shared" si="1"/>
        <v>984.51258875023541</v>
      </c>
      <c r="T11" cm="1">
        <f t="array" ref="T11">[1]!PropsSI("H","T",J11+273.15,"P",101325,"Water")</f>
        <v>246683.98211348927</v>
      </c>
      <c r="U11" cm="1">
        <f t="array" ref="U11">[1]!PropsSI("H","T",K11+273.15,"P",101325,"Water")</f>
        <v>233949.51908362887</v>
      </c>
      <c r="V11">
        <f t="shared" si="2"/>
        <v>469.64226267682739</v>
      </c>
      <c r="X11">
        <f t="shared" si="3"/>
        <v>0.26781838999999996</v>
      </c>
      <c r="Y11">
        <f t="shared" si="3"/>
        <v>0.26173098</v>
      </c>
      <c r="Z11">
        <f t="shared" si="9"/>
        <v>0.37447269047816084</v>
      </c>
      <c r="AA11">
        <f t="shared" si="8"/>
        <v>3.0437049999999957</v>
      </c>
      <c r="AB11">
        <f t="shared" si="5"/>
        <v>0.12343759079214911</v>
      </c>
      <c r="AC11">
        <f t="shared" si="6"/>
        <v>57.971509439001224</v>
      </c>
    </row>
    <row r="12" spans="1:29" x14ac:dyDescent="0.2">
      <c r="A12">
        <v>44675.078787455997</v>
      </c>
      <c r="B12">
        <v>17.486499999999999</v>
      </c>
      <c r="C12">
        <v>17.791906999999998</v>
      </c>
      <c r="D12">
        <v>18.262998</v>
      </c>
      <c r="E12">
        <v>18.768951000000001</v>
      </c>
      <c r="F12">
        <v>41.343938000000001</v>
      </c>
      <c r="G12">
        <v>39.692964000000003</v>
      </c>
      <c r="H12">
        <v>33.329639999999998</v>
      </c>
      <c r="I12">
        <v>29.899795999999998</v>
      </c>
      <c r="J12">
        <v>58.905531000000003</v>
      </c>
      <c r="K12">
        <v>55.859440999999997</v>
      </c>
      <c r="L12">
        <v>38.632610999999997</v>
      </c>
      <c r="M12">
        <v>-622.49020499999995</v>
      </c>
      <c r="N12">
        <v>2.2522950000000002</v>
      </c>
      <c r="O12">
        <v>5.0813959999999998</v>
      </c>
      <c r="P12">
        <f t="shared" si="0"/>
        <v>3.7538250000000003E-5</v>
      </c>
      <c r="Q12" cm="1">
        <f t="array" ref="Q12">[1]!PropsSI("D","T",J12+273.15,"P",101325,"Water")</f>
        <v>983.75533484175651</v>
      </c>
      <c r="R12" cm="1">
        <f t="array" ref="R12">[1]!PropsSI("D","T",K12+273.15,"P",101325,"Water")</f>
        <v>985.27466500124979</v>
      </c>
      <c r="S12">
        <f t="shared" si="1"/>
        <v>984.5149999215032</v>
      </c>
      <c r="T12" cm="1">
        <f t="array" ref="T12">[1]!PropsSI("H","T",J12+273.15,"P",101325,"Water")</f>
        <v>246668.65016026213</v>
      </c>
      <c r="U12" cm="1">
        <f t="array" ref="U12">[1]!PropsSI("H","T",K12+273.15,"P",101325,"Water")</f>
        <v>233924.21445827297</v>
      </c>
      <c r="V12">
        <f t="shared" si="2"/>
        <v>470.99573040074586</v>
      </c>
      <c r="X12">
        <f t="shared" si="3"/>
        <v>0.26781106199999999</v>
      </c>
      <c r="Y12">
        <f t="shared" si="3"/>
        <v>0.26171888199999999</v>
      </c>
      <c r="Z12">
        <f t="shared" si="9"/>
        <v>0.37445899391642035</v>
      </c>
      <c r="AA12">
        <f t="shared" si="8"/>
        <v>3.0460900000000066</v>
      </c>
      <c r="AB12">
        <f t="shared" si="5"/>
        <v>0.12333709565843236</v>
      </c>
      <c r="AC12">
        <f t="shared" si="6"/>
        <v>58.091245455150009</v>
      </c>
    </row>
    <row r="13" spans="1:29" x14ac:dyDescent="0.2">
      <c r="A13">
        <v>44675.078822757001</v>
      </c>
      <c r="B13">
        <v>17.439993000000001</v>
      </c>
      <c r="C13">
        <v>17.702697000000001</v>
      </c>
      <c r="D13">
        <v>18.085446999999998</v>
      </c>
      <c r="E13">
        <v>18.773955999999998</v>
      </c>
      <c r="F13">
        <v>40.532533999999998</v>
      </c>
      <c r="G13">
        <v>38.122114000000003</v>
      </c>
      <c r="H13">
        <v>32.820680000000003</v>
      </c>
      <c r="I13">
        <v>30.663830000000001</v>
      </c>
      <c r="J13">
        <v>58.901229999999998</v>
      </c>
      <c r="K13">
        <v>55.857371999999998</v>
      </c>
      <c r="L13">
        <v>38.939943</v>
      </c>
      <c r="M13">
        <v>-622.48326599999996</v>
      </c>
      <c r="N13">
        <v>2.2517499999999999</v>
      </c>
      <c r="O13">
        <v>5.1112080000000004</v>
      </c>
      <c r="P13">
        <f t="shared" si="0"/>
        <v>3.7529166666666666E-5</v>
      </c>
      <c r="Q13" cm="1">
        <f t="array" ref="Q13">[1]!PropsSI("D","T",J13+273.15,"P",101325,"Water")</f>
        <v>983.75751953086819</v>
      </c>
      <c r="R13" cm="1">
        <f t="array" ref="R13">[1]!PropsSI("D","T",K13+273.15,"P",101325,"Water")</f>
        <v>985.27567777447746</v>
      </c>
      <c r="S13">
        <f t="shared" si="1"/>
        <v>984.51659865267288</v>
      </c>
      <c r="T13" cm="1">
        <f t="array" ref="T13">[1]!PropsSI("H","T",J13+273.15,"P",101325,"Water")</f>
        <v>246650.65269715324</v>
      </c>
      <c r="U13" cm="1">
        <f t="array" ref="U13">[1]!PropsSI("H","T",K13+273.15,"P",101325,"Water")</f>
        <v>233915.55926720481</v>
      </c>
      <c r="V13">
        <f t="shared" si="2"/>
        <v>470.53734658609068</v>
      </c>
      <c r="X13">
        <f t="shared" si="3"/>
        <v>0.26780245999999996</v>
      </c>
      <c r="Y13">
        <f t="shared" si="3"/>
        <v>0.261714744</v>
      </c>
      <c r="Z13">
        <f t="shared" si="9"/>
        <v>0.37444994967156436</v>
      </c>
      <c r="AA13">
        <f t="shared" si="8"/>
        <v>3.0438580000000002</v>
      </c>
      <c r="AB13">
        <f t="shared" si="5"/>
        <v>0.12342398041796181</v>
      </c>
      <c r="AC13">
        <f t="shared" si="6"/>
        <v>58.075592250961364</v>
      </c>
    </row>
    <row r="14" spans="1:29" x14ac:dyDescent="0.2">
      <c r="A14">
        <v>44675.078858057903</v>
      </c>
      <c r="B14">
        <v>17.503267000000001</v>
      </c>
      <c r="C14">
        <v>17.812259999999998</v>
      </c>
      <c r="D14">
        <v>18.215543</v>
      </c>
      <c r="E14">
        <v>18.823573</v>
      </c>
      <c r="F14">
        <v>40.532570999999997</v>
      </c>
      <c r="G14">
        <v>38.644334000000001</v>
      </c>
      <c r="H14">
        <v>34.182955</v>
      </c>
      <c r="I14">
        <v>30.332169</v>
      </c>
      <c r="J14">
        <v>58.897725000000001</v>
      </c>
      <c r="K14">
        <v>55.852755999999999</v>
      </c>
      <c r="L14">
        <v>38.302014999999997</v>
      </c>
      <c r="M14">
        <v>-622.512652</v>
      </c>
      <c r="N14">
        <v>2.2508530000000002</v>
      </c>
      <c r="O14">
        <v>5.2547430000000004</v>
      </c>
      <c r="P14">
        <f t="shared" si="0"/>
        <v>3.7514216666666671E-5</v>
      </c>
      <c r="Q14" cm="1">
        <f t="array" ref="Q14">[1]!PropsSI("D","T",J14+273.15,"P",101325,"Water")</f>
        <v>983.75929981084198</v>
      </c>
      <c r="R14" cm="1">
        <f t="array" ref="R14">[1]!PropsSI("D","T",K14+273.15,"P",101325,"Water")</f>
        <v>985.2779372064731</v>
      </c>
      <c r="S14">
        <f t="shared" si="1"/>
        <v>984.51861850865748</v>
      </c>
      <c r="T14" cm="1">
        <f t="array" ref="T14">[1]!PropsSI("H","T",J14+273.15,"P",101325,"Water")</f>
        <v>246635.98608866165</v>
      </c>
      <c r="U14" cm="1">
        <f t="array" ref="U14">[1]!PropsSI("H","T",K14+273.15,"P",101325,"Water")</f>
        <v>233896.24928648787</v>
      </c>
      <c r="V14">
        <f t="shared" si="2"/>
        <v>470.52236553049073</v>
      </c>
      <c r="X14">
        <f t="shared" si="3"/>
        <v>0.26779544999999999</v>
      </c>
      <c r="Y14">
        <f t="shared" si="3"/>
        <v>0.26170551200000003</v>
      </c>
      <c r="Z14">
        <f t="shared" si="9"/>
        <v>0.374438483668392</v>
      </c>
      <c r="AA14">
        <f t="shared" si="8"/>
        <v>3.0449690000000018</v>
      </c>
      <c r="AB14">
        <f t="shared" si="5"/>
        <v>0.12337548993800271</v>
      </c>
      <c r="AC14">
        <f t="shared" si="6"/>
        <v>58.050927374112291</v>
      </c>
    </row>
    <row r="15" spans="1:29" x14ac:dyDescent="0.2">
      <c r="A15">
        <v>46137.078892777776</v>
      </c>
      <c r="B15">
        <v>17.638083999999999</v>
      </c>
      <c r="C15">
        <v>17.843029999999999</v>
      </c>
      <c r="D15">
        <v>18.352484</v>
      </c>
      <c r="E15">
        <v>18.810949999999998</v>
      </c>
      <c r="F15">
        <v>40.296118999999997</v>
      </c>
      <c r="G15">
        <v>38.695829000000003</v>
      </c>
      <c r="H15">
        <v>33.571210000000001</v>
      </c>
      <c r="I15">
        <v>30.395851</v>
      </c>
      <c r="J15">
        <v>58.896450999999999</v>
      </c>
      <c r="K15">
        <v>55.850527999999997</v>
      </c>
      <c r="L15">
        <v>41.784289999999999</v>
      </c>
      <c r="M15">
        <v>-622.47632799999997</v>
      </c>
      <c r="N15">
        <v>2.2503980000000001</v>
      </c>
      <c r="O15">
        <v>5.5487260000000003</v>
      </c>
      <c r="P15">
        <f t="shared" ref="P15:P31" si="10" xml:space="preserve"> N15*0.001/60</f>
        <v>3.7506633333333338E-5</v>
      </c>
      <c r="Q15" cm="1">
        <f t="array" ref="Q15">[1]!PropsSI("D","T",J15+273.15,"P",101325,"Water")</f>
        <v>983.75994689014465</v>
      </c>
      <c r="R15" cm="1">
        <f t="array" ref="R15">[1]!PropsSI("D","T",K15+273.15,"P",101325,"Water")</f>
        <v>985.27902771732192</v>
      </c>
      <c r="S15">
        <f t="shared" ref="S15:S31" si="11">(Q15+R15)/2</f>
        <v>984.51948730373329</v>
      </c>
      <c r="T15" cm="1">
        <f t="array" ref="T15">[1]!PropsSI("H","T",J15+273.15,"P",101325,"Water")</f>
        <v>246630.6550601756</v>
      </c>
      <c r="U15" cm="1">
        <f t="array" ref="U15">[1]!PropsSI("H","T",K15+273.15,"P",101325,"Water")</f>
        <v>233886.92896075314</v>
      </c>
      <c r="V15">
        <f t="shared" ref="V15:V31" si="12">S15*P15*(T15-U15)</f>
        <v>470.57497547836329</v>
      </c>
      <c r="X15">
        <f t="shared" ref="X15:X31" si="13">(0.15+0.002*ABS(J15))</f>
        <v>0.267792902</v>
      </c>
      <c r="Y15">
        <f t="shared" ref="Y15:Y31" si="14">(0.15+0.002*ABS(K15))</f>
        <v>0.26170105599999999</v>
      </c>
      <c r="Z15">
        <f t="shared" ref="Z15:Z31" si="15">SQRT((X15)^2 + (Y15)^2)</f>
        <v>0.37443354693870146</v>
      </c>
      <c r="AA15">
        <f t="shared" ref="AA15:AA31" si="16">J15-K15</f>
        <v>3.0459230000000019</v>
      </c>
      <c r="AB15">
        <f t="shared" ref="AB15:AB31" si="17">SQRT((0.01)^2 + (Z15/ABS(AA15))^2)</f>
        <v>0.12333548652222671</v>
      </c>
      <c r="AC15">
        <f t="shared" ref="AC15:AC31" si="18">ABS(V15*AB15)</f>
        <v>58.038593545808844</v>
      </c>
    </row>
    <row r="16" spans="1:29" x14ac:dyDescent="0.2">
      <c r="A16">
        <v>46137.078928078707</v>
      </c>
      <c r="B16">
        <v>17.509682000000002</v>
      </c>
      <c r="C16">
        <v>17.808582999999999</v>
      </c>
      <c r="D16">
        <v>18.420658</v>
      </c>
      <c r="E16">
        <v>18.846907999999999</v>
      </c>
      <c r="F16">
        <v>40.587421999999997</v>
      </c>
      <c r="G16">
        <v>39.108913000000001</v>
      </c>
      <c r="H16">
        <v>33.788688</v>
      </c>
      <c r="I16">
        <v>30.811489999999999</v>
      </c>
      <c r="J16">
        <v>58.893424000000003</v>
      </c>
      <c r="K16">
        <v>55.846867000000003</v>
      </c>
      <c r="L16">
        <v>35.225026999999997</v>
      </c>
      <c r="M16">
        <v>-622.47591999999997</v>
      </c>
      <c r="N16">
        <v>2.247099</v>
      </c>
      <c r="O16">
        <v>5.8614790000000001</v>
      </c>
      <c r="P16">
        <f t="shared" si="10"/>
        <v>3.7451649999999996E-5</v>
      </c>
      <c r="Q16" cm="1">
        <f t="array" ref="Q16">[1]!PropsSI("D","T",J16+273.15,"P",101325,"Water")</f>
        <v>983.76148429956686</v>
      </c>
      <c r="R16" cm="1">
        <f t="array" ref="R16">[1]!PropsSI("D","T",K16+273.15,"P",101325,"Water")</f>
        <v>985.28081955408413</v>
      </c>
      <c r="S16">
        <f t="shared" si="11"/>
        <v>984.5211519268255</v>
      </c>
      <c r="T16" cm="1">
        <f t="array" ref="T16">[1]!PropsSI("H","T",J16+273.15,"P",101325,"Water")</f>
        <v>246617.98863970389</v>
      </c>
      <c r="U16" cm="1">
        <f t="array" ref="U16">[1]!PropsSI("H","T",K16+273.15,"P",101325,"Water")</f>
        <v>233871.61401292976</v>
      </c>
      <c r="V16">
        <f t="shared" si="12"/>
        <v>469.98358084453304</v>
      </c>
      <c r="X16">
        <f t="shared" si="13"/>
        <v>0.26778684800000002</v>
      </c>
      <c r="Y16">
        <f t="shared" si="14"/>
        <v>0.26169373400000001</v>
      </c>
      <c r="Z16">
        <f t="shared" si="15"/>
        <v>0.37442409962052103</v>
      </c>
      <c r="AA16">
        <f t="shared" si="16"/>
        <v>3.046557</v>
      </c>
      <c r="AB16">
        <f t="shared" si="17"/>
        <v>0.12330689792184324</v>
      </c>
      <c r="AC16">
        <f t="shared" si="18"/>
        <v>57.952217428139193</v>
      </c>
    </row>
    <row r="17" spans="1:29" x14ac:dyDescent="0.2">
      <c r="A17">
        <v>46137.078962800922</v>
      </c>
      <c r="B17">
        <v>17.478698999999999</v>
      </c>
      <c r="C17">
        <v>17.752689</v>
      </c>
      <c r="D17">
        <v>18.311509999999998</v>
      </c>
      <c r="E17">
        <v>18.812137</v>
      </c>
      <c r="F17">
        <v>40.193376000000001</v>
      </c>
      <c r="G17">
        <v>37.554029999999997</v>
      </c>
      <c r="H17">
        <v>34.058627000000001</v>
      </c>
      <c r="I17">
        <v>30.713954000000001</v>
      </c>
      <c r="J17">
        <v>58.889918999999999</v>
      </c>
      <c r="K17">
        <v>55.844161</v>
      </c>
      <c r="L17">
        <v>38.224876000000002</v>
      </c>
      <c r="M17">
        <v>-622.468165</v>
      </c>
      <c r="N17">
        <v>2.246985</v>
      </c>
      <c r="O17">
        <v>5.5243650000000004</v>
      </c>
      <c r="P17">
        <f t="shared" si="10"/>
        <v>3.7449749999999998E-5</v>
      </c>
      <c r="Q17" cm="1">
        <f t="array" ref="Q17">[1]!PropsSI("D","T",J17+273.15,"P",101325,"Water")</f>
        <v>983.76326441623667</v>
      </c>
      <c r="R17" cm="1">
        <f t="array" ref="R17">[1]!PropsSI("D","T",K17+273.15,"P",101325,"Water")</f>
        <v>985.28214392342159</v>
      </c>
      <c r="S17">
        <f t="shared" si="11"/>
        <v>984.52270416982913</v>
      </c>
      <c r="T17" cm="1">
        <f t="array" ref="T17">[1]!PropsSI("H","T",J17+273.15,"P",101325,"Water")</f>
        <v>246603.32204263232</v>
      </c>
      <c r="U17" cm="1">
        <f t="array" ref="U17">[1]!PropsSI("H","T",K17+273.15,"P",101325,"Water")</f>
        <v>233860.29409027251</v>
      </c>
      <c r="V17">
        <f t="shared" si="12"/>
        <v>469.83708624430449</v>
      </c>
      <c r="X17">
        <f t="shared" si="13"/>
        <v>0.26777983799999999</v>
      </c>
      <c r="Y17">
        <f t="shared" si="14"/>
        <v>0.26168832200000003</v>
      </c>
      <c r="Z17">
        <f t="shared" si="15"/>
        <v>0.3744153035206787</v>
      </c>
      <c r="AA17">
        <f t="shared" si="16"/>
        <v>3.0457579999999993</v>
      </c>
      <c r="AB17">
        <f t="shared" si="17"/>
        <v>0.12333615408019842</v>
      </c>
      <c r="AC17">
        <f t="shared" si="18"/>
        <v>57.947899261619014</v>
      </c>
    </row>
    <row r="18" spans="1:29" x14ac:dyDescent="0.2">
      <c r="A18">
        <v>46137.078998101853</v>
      </c>
      <c r="B18">
        <v>17.458425999999999</v>
      </c>
      <c r="C18">
        <v>17.671875</v>
      </c>
      <c r="D18">
        <v>18.239930999999999</v>
      </c>
      <c r="E18">
        <v>18.792818</v>
      </c>
      <c r="F18">
        <v>40.537734999999998</v>
      </c>
      <c r="G18">
        <v>37.86242</v>
      </c>
      <c r="H18">
        <v>34.493507000000001</v>
      </c>
      <c r="I18">
        <v>30.636265999999999</v>
      </c>
      <c r="J18">
        <v>58.886096000000002</v>
      </c>
      <c r="K18">
        <v>55.840021999999998</v>
      </c>
      <c r="L18">
        <v>40.394972000000003</v>
      </c>
      <c r="M18">
        <v>-622.493878</v>
      </c>
      <c r="N18">
        <v>2.2435260000000001</v>
      </c>
      <c r="O18">
        <v>4.5913180000000002</v>
      </c>
      <c r="P18">
        <f t="shared" si="10"/>
        <v>3.7392099999999997E-5</v>
      </c>
      <c r="Q18" cm="1">
        <f t="array" ref="Q18">[1]!PropsSI("D","T",J18+273.15,"P",101325,"Water")</f>
        <v>983.76520595488796</v>
      </c>
      <c r="R18" cm="1">
        <f t="array" ref="R18">[1]!PropsSI("D","T",K18+273.15,"P",101325,"Water")</f>
        <v>985.2841695438558</v>
      </c>
      <c r="S18">
        <f t="shared" si="11"/>
        <v>984.52468774937188</v>
      </c>
      <c r="T18" cm="1">
        <f t="array" ref="T18">[1]!PropsSI("H","T",J18+273.15,"P",101325,"Water")</f>
        <v>246587.32478730567</v>
      </c>
      <c r="U18" cm="1">
        <f t="array" ref="U18">[1]!PropsSI("H","T",K18+273.15,"P",101325,"Water")</f>
        <v>233842.97955016373</v>
      </c>
      <c r="V18">
        <f t="shared" si="12"/>
        <v>469.16325979938955</v>
      </c>
      <c r="X18">
        <f t="shared" si="13"/>
        <v>0.26777219200000002</v>
      </c>
      <c r="Y18">
        <f t="shared" si="14"/>
        <v>0.261680044</v>
      </c>
      <c r="Z18">
        <f t="shared" si="15"/>
        <v>0.37440404943900757</v>
      </c>
      <c r="AA18">
        <f t="shared" si="16"/>
        <v>3.0460740000000044</v>
      </c>
      <c r="AB18">
        <f t="shared" si="17"/>
        <v>0.12331976084031798</v>
      </c>
      <c r="AC18">
        <f t="shared" si="18"/>
        <v>57.857100993524689</v>
      </c>
    </row>
    <row r="19" spans="1:29" x14ac:dyDescent="0.2">
      <c r="A19">
        <v>46137.079032824076</v>
      </c>
      <c r="B19">
        <v>17.535664000000001</v>
      </c>
      <c r="C19">
        <v>17.758883999999998</v>
      </c>
      <c r="D19">
        <v>18.296454000000001</v>
      </c>
      <c r="E19">
        <v>18.841673</v>
      </c>
      <c r="F19">
        <v>40.145887000000002</v>
      </c>
      <c r="G19">
        <v>34.616753000000003</v>
      </c>
      <c r="H19">
        <v>34.123283999999998</v>
      </c>
      <c r="I19">
        <v>30.526239</v>
      </c>
      <c r="J19">
        <v>58.884822</v>
      </c>
      <c r="K19">
        <v>55.832222999999999</v>
      </c>
      <c r="L19">
        <v>41.155749999999998</v>
      </c>
      <c r="M19">
        <v>-622.52489700000001</v>
      </c>
      <c r="N19">
        <v>2.2452839999999998</v>
      </c>
      <c r="O19">
        <v>5.4162090000000003</v>
      </c>
      <c r="P19">
        <f t="shared" si="10"/>
        <v>3.7421399999999994E-5</v>
      </c>
      <c r="Q19" cm="1">
        <f t="array" ref="Q19">[1]!PropsSI("D","T",J19+273.15,"P",101325,"Water")</f>
        <v>983.76585294577148</v>
      </c>
      <c r="R19" cm="1">
        <f t="array" ref="R19">[1]!PropsSI("D","T",K19+273.15,"P",101325,"Water")</f>
        <v>985.28798607636293</v>
      </c>
      <c r="S19">
        <f t="shared" si="11"/>
        <v>984.52691951106726</v>
      </c>
      <c r="T19" cm="1">
        <f t="array" ref="T19">[1]!PropsSI("H","T",J19+273.15,"P",101325,"Water")</f>
        <v>246581.99376509277</v>
      </c>
      <c r="U19" cm="1">
        <f t="array" ref="U19">[1]!PropsSI("H","T",K19+273.15,"P",101325,"Water")</f>
        <v>233810.35427198562</v>
      </c>
      <c r="V19">
        <f t="shared" si="12"/>
        <v>470.53754007311204</v>
      </c>
      <c r="X19">
        <f t="shared" si="13"/>
        <v>0.26776964400000003</v>
      </c>
      <c r="Y19">
        <f t="shared" si="14"/>
        <v>0.26166444599999999</v>
      </c>
      <c r="Z19">
        <f t="shared" si="15"/>
        <v>0.3743913254181695</v>
      </c>
      <c r="AA19">
        <f t="shared" si="16"/>
        <v>3.0525990000000007</v>
      </c>
      <c r="AB19">
        <f t="shared" si="17"/>
        <v>0.12305374272769311</v>
      </c>
      <c r="AC19">
        <f t="shared" si="18"/>
        <v>57.901405399878314</v>
      </c>
    </row>
    <row r="20" spans="1:29" x14ac:dyDescent="0.2">
      <c r="A20">
        <v>46137.079068125</v>
      </c>
      <c r="B20">
        <v>17.542788999999999</v>
      </c>
      <c r="C20">
        <v>17.899581999999999</v>
      </c>
      <c r="D20">
        <v>18.326996999999999</v>
      </c>
      <c r="E20">
        <v>18.865743999999999</v>
      </c>
      <c r="F20">
        <v>40.265478000000002</v>
      </c>
      <c r="G20">
        <v>37.727288999999999</v>
      </c>
      <c r="H20">
        <v>34.082588999999999</v>
      </c>
      <c r="I20">
        <v>30.505347</v>
      </c>
      <c r="J20">
        <v>58.882910000000003</v>
      </c>
      <c r="K20">
        <v>55.829836</v>
      </c>
      <c r="L20">
        <v>38.773828999999999</v>
      </c>
      <c r="M20">
        <v>-622.47959300000002</v>
      </c>
      <c r="N20">
        <v>2.2462219999999999</v>
      </c>
      <c r="O20">
        <v>5.4913379999999998</v>
      </c>
      <c r="P20">
        <f t="shared" si="10"/>
        <v>3.7437033333333334E-5</v>
      </c>
      <c r="Q20" cm="1">
        <f t="array" ref="Q20">[1]!PropsSI("D","T",J20+273.15,"P",101325,"Water")</f>
        <v>983.76682392176122</v>
      </c>
      <c r="R20" cm="1">
        <f t="array" ref="R20">[1]!PropsSI("D","T",K20+273.15,"P",101325,"Water")</f>
        <v>985.28915410808622</v>
      </c>
      <c r="S20">
        <f t="shared" si="11"/>
        <v>984.52798901492372</v>
      </c>
      <c r="T20" cm="1">
        <f t="array" ref="T20">[1]!PropsSI("H","T",J20+273.15,"P",101325,"Water")</f>
        <v>246573.99304852213</v>
      </c>
      <c r="U20" cm="1">
        <f t="array" ref="U20">[1]!PropsSI("H","T",K20+273.15,"P",101325,"Water")</f>
        <v>233800.36882471174</v>
      </c>
      <c r="V20">
        <f t="shared" si="12"/>
        <v>470.80777815007048</v>
      </c>
      <c r="X20">
        <f t="shared" si="13"/>
        <v>0.26776581999999999</v>
      </c>
      <c r="Y20">
        <f t="shared" si="14"/>
        <v>0.26165967200000001</v>
      </c>
      <c r="Z20">
        <f t="shared" si="15"/>
        <v>0.37438525386481236</v>
      </c>
      <c r="AA20">
        <f t="shared" si="16"/>
        <v>3.0530740000000023</v>
      </c>
      <c r="AB20">
        <f t="shared" si="17"/>
        <v>0.12303274226948488</v>
      </c>
      <c r="AC20">
        <f t="shared" si="18"/>
        <v>57.924772027606437</v>
      </c>
    </row>
    <row r="21" spans="1:29" x14ac:dyDescent="0.2">
      <c r="A21">
        <v>46137.079103425924</v>
      </c>
      <c r="B21">
        <v>17.517555999999999</v>
      </c>
      <c r="C21">
        <v>17.955725000000001</v>
      </c>
      <c r="D21">
        <v>18.172248</v>
      </c>
      <c r="E21">
        <v>18.860873000000002</v>
      </c>
      <c r="F21">
        <v>41.269134999999999</v>
      </c>
      <c r="G21">
        <v>39.560085000000001</v>
      </c>
      <c r="H21">
        <v>32.962885</v>
      </c>
      <c r="I21">
        <v>30.268491000000001</v>
      </c>
      <c r="J21">
        <v>58.880997999999998</v>
      </c>
      <c r="K21">
        <v>55.825060000000001</v>
      </c>
      <c r="L21">
        <v>38.257528000000001</v>
      </c>
      <c r="M21">
        <v>-622.48408199999994</v>
      </c>
      <c r="N21">
        <v>2.2440790000000002</v>
      </c>
      <c r="O21">
        <v>5.3673469999999996</v>
      </c>
      <c r="P21">
        <f t="shared" si="10"/>
        <v>3.7401316666666674E-5</v>
      </c>
      <c r="Q21" cm="1">
        <f t="array" ref="Q21">[1]!PropsSI("D","T",J21+273.15,"P",101325,"Water")</f>
        <v>983.76779487591898</v>
      </c>
      <c r="R21" cm="1">
        <f t="array" ref="R21">[1]!PropsSI("D","T",K21+273.15,"P",101325,"Water")</f>
        <v>985.29149104493922</v>
      </c>
      <c r="S21">
        <f t="shared" si="11"/>
        <v>984.5296429604291</v>
      </c>
      <c r="T21" cm="1">
        <f t="array" ref="T21">[1]!PropsSI("H","T",J21+273.15,"P",101325,"Water")</f>
        <v>246565.99233346168</v>
      </c>
      <c r="U21" cm="1">
        <f t="array" ref="U21">[1]!PropsSI("H","T",K21+273.15,"P",101325,"Water")</f>
        <v>233780.38957000463</v>
      </c>
      <c r="V21">
        <f t="shared" si="12"/>
        <v>470.80047809103485</v>
      </c>
      <c r="X21">
        <f t="shared" si="13"/>
        <v>0.267761996</v>
      </c>
      <c r="Y21">
        <f t="shared" si="14"/>
        <v>0.26165011999999999</v>
      </c>
      <c r="Z21">
        <f t="shared" si="15"/>
        <v>0.37437584296789028</v>
      </c>
      <c r="AA21">
        <f t="shared" si="16"/>
        <v>3.0559379999999976</v>
      </c>
      <c r="AB21">
        <f t="shared" si="17"/>
        <v>0.12291512975428617</v>
      </c>
      <c r="AC21">
        <f t="shared" si="18"/>
        <v>57.868501852939509</v>
      </c>
    </row>
    <row r="22" spans="1:29" x14ac:dyDescent="0.2">
      <c r="A22">
        <v>46137.079138148147</v>
      </c>
      <c r="B22">
        <v>17.547166000000001</v>
      </c>
      <c r="C22">
        <v>17.982486000000002</v>
      </c>
      <c r="D22">
        <v>18.218689000000001</v>
      </c>
      <c r="E22">
        <v>18.877535000000002</v>
      </c>
      <c r="F22">
        <v>41.006402000000001</v>
      </c>
      <c r="G22">
        <v>39.110435000000003</v>
      </c>
      <c r="H22">
        <v>34.297257000000002</v>
      </c>
      <c r="I22">
        <v>31.210923000000001</v>
      </c>
      <c r="J22">
        <v>58.879404999999998</v>
      </c>
      <c r="K22">
        <v>55.822513999999998</v>
      </c>
      <c r="L22">
        <v>39.599093000000003</v>
      </c>
      <c r="M22">
        <v>-622.49265300000002</v>
      </c>
      <c r="N22">
        <v>2.2458369999999999</v>
      </c>
      <c r="O22">
        <v>5.3708419999999997</v>
      </c>
      <c r="P22">
        <f t="shared" si="10"/>
        <v>3.743061666666667E-5</v>
      </c>
      <c r="Q22" cm="1">
        <f t="array" ref="Q22">[1]!PropsSI("D","T",J22+273.15,"P",101325,"Water")</f>
        <v>983.76860381845881</v>
      </c>
      <c r="R22" cm="1">
        <f t="array" ref="R22">[1]!PropsSI("D","T",K22+273.15,"P",101325,"Water")</f>
        <v>985.29273676672972</v>
      </c>
      <c r="S22">
        <f t="shared" si="11"/>
        <v>984.53067029259432</v>
      </c>
      <c r="T22" cm="1">
        <f t="array" ref="T22">[1]!PropsSI("H","T",J22+273.15,"P",101325,"Water")</f>
        <v>246559.32646693377</v>
      </c>
      <c r="U22" cm="1">
        <f t="array" ref="U22">[1]!PropsSI("H","T",K22+273.15,"P",101325,"Water")</f>
        <v>233769.738990855</v>
      </c>
      <c r="V22">
        <f t="shared" si="12"/>
        <v>471.31663542499933</v>
      </c>
      <c r="X22">
        <f t="shared" si="13"/>
        <v>0.26775881000000001</v>
      </c>
      <c r="Y22">
        <f t="shared" si="14"/>
        <v>0.261645028</v>
      </c>
      <c r="Z22">
        <f t="shared" si="15"/>
        <v>0.37437000548887045</v>
      </c>
      <c r="AA22">
        <f t="shared" si="16"/>
        <v>3.0568910000000002</v>
      </c>
      <c r="AB22">
        <f t="shared" si="17"/>
        <v>0.12287516078500738</v>
      </c>
      <c r="AC22">
        <f t="shared" si="18"/>
        <v>57.913107358495495</v>
      </c>
    </row>
    <row r="23" spans="1:29" x14ac:dyDescent="0.2">
      <c r="A23">
        <v>46137.07917287037</v>
      </c>
      <c r="B23">
        <v>17.459212000000001</v>
      </c>
      <c r="C23">
        <v>18.092002000000001</v>
      </c>
      <c r="D23">
        <v>17.994271999999999</v>
      </c>
      <c r="E23">
        <v>18.809595000000002</v>
      </c>
      <c r="F23">
        <v>39.926228999999999</v>
      </c>
      <c r="G23">
        <v>39.020687000000002</v>
      </c>
      <c r="H23">
        <v>33.286763000000001</v>
      </c>
      <c r="I23">
        <v>30.305548000000002</v>
      </c>
      <c r="J23">
        <v>58.877971000000002</v>
      </c>
      <c r="K23">
        <v>55.822355000000002</v>
      </c>
      <c r="L23">
        <v>39.324005</v>
      </c>
      <c r="M23">
        <v>-622.47796000000005</v>
      </c>
      <c r="N23">
        <v>2.247169</v>
      </c>
      <c r="O23">
        <v>5.7051720000000001</v>
      </c>
      <c r="P23">
        <f t="shared" si="10"/>
        <v>3.7452816666666665E-5</v>
      </c>
      <c r="Q23" cm="1">
        <f t="array" ref="Q23">[1]!PropsSI("D","T",J23+273.15,"P",101325,"Water")</f>
        <v>983.76933200610836</v>
      </c>
      <c r="R23" cm="1">
        <f t="array" ref="R23">[1]!PropsSI("D","T",K23+273.15,"P",101325,"Water")</f>
        <v>985.29281456185004</v>
      </c>
      <c r="S23">
        <f t="shared" si="11"/>
        <v>984.53107328397914</v>
      </c>
      <c r="T23" cm="1">
        <f t="array" ref="T23">[1]!PropsSI("H","T",J23+273.15,"P",101325,"Water")</f>
        <v>246553.32593267979</v>
      </c>
      <c r="U23" cm="1">
        <f t="array" ref="U23">[1]!PropsSI("H","T",K23+273.15,"P",101325,"Water")</f>
        <v>233769.07385268132</v>
      </c>
      <c r="V23">
        <f t="shared" si="12"/>
        <v>471.39963058991634</v>
      </c>
      <c r="X23">
        <f t="shared" si="13"/>
        <v>0.26775594199999997</v>
      </c>
      <c r="Y23">
        <f t="shared" si="14"/>
        <v>0.26164471</v>
      </c>
      <c r="Z23">
        <f t="shared" si="15"/>
        <v>0.37436773197925516</v>
      </c>
      <c r="AA23">
        <f t="shared" si="16"/>
        <v>3.0556160000000006</v>
      </c>
      <c r="AB23">
        <f t="shared" si="17"/>
        <v>0.12292535113358033</v>
      </c>
      <c r="AC23">
        <f t="shared" si="18"/>
        <v>57.946965114505524</v>
      </c>
    </row>
    <row r="24" spans="1:29" x14ac:dyDescent="0.2">
      <c r="A24">
        <v>46137.079208171293</v>
      </c>
      <c r="B24">
        <v>17.560115</v>
      </c>
      <c r="C24">
        <v>17.973123000000001</v>
      </c>
      <c r="D24">
        <v>18.176176000000002</v>
      </c>
      <c r="E24">
        <v>18.826627999999999</v>
      </c>
      <c r="F24">
        <v>40.463946</v>
      </c>
      <c r="G24">
        <v>39.846293000000003</v>
      </c>
      <c r="H24">
        <v>33.969938999999997</v>
      </c>
      <c r="I24">
        <v>30.559631</v>
      </c>
      <c r="J24">
        <v>58.876855999999997</v>
      </c>
      <c r="K24">
        <v>55.819648999999998</v>
      </c>
      <c r="L24">
        <v>37.784897999999998</v>
      </c>
      <c r="M24">
        <v>-622.50897899999995</v>
      </c>
      <c r="N24">
        <v>2.247128</v>
      </c>
      <c r="O24">
        <v>5.4938279999999997</v>
      </c>
      <c r="P24">
        <f t="shared" si="10"/>
        <v>3.7452133333333334E-5</v>
      </c>
      <c r="Q24" cm="1">
        <f t="array" ref="Q24">[1]!PropsSI("D","T",J24+273.15,"P",101325,"Water")</f>
        <v>983.76989819654932</v>
      </c>
      <c r="R24" cm="1">
        <f t="array" ref="R24">[1]!PropsSI("D","T",K24+273.15,"P",101325,"Water")</f>
        <v>985.29413852300149</v>
      </c>
      <c r="S24">
        <f t="shared" si="11"/>
        <v>984.53201835977541</v>
      </c>
      <c r="T24" cm="1">
        <f t="array" ref="T24">[1]!PropsSI("H","T",J24+273.15,"P",101325,"Water")</f>
        <v>246548.6602458382</v>
      </c>
      <c r="U24" cm="1">
        <f t="array" ref="U24">[1]!PropsSI("H","T",K24+273.15,"P",101325,"Water")</f>
        <v>233757.75395481379</v>
      </c>
      <c r="V24">
        <f t="shared" si="12"/>
        <v>471.63684187418323</v>
      </c>
      <c r="X24">
        <f t="shared" si="13"/>
        <v>0.26775371199999998</v>
      </c>
      <c r="Y24">
        <f t="shared" si="14"/>
        <v>0.26163929799999996</v>
      </c>
      <c r="Z24">
        <f t="shared" si="15"/>
        <v>0.37436235460808781</v>
      </c>
      <c r="AA24">
        <f t="shared" si="16"/>
        <v>3.0572069999999982</v>
      </c>
      <c r="AB24">
        <f t="shared" si="17"/>
        <v>0.12286004997894034</v>
      </c>
      <c r="AC24">
        <f t="shared" si="18"/>
        <v>57.945325964571737</v>
      </c>
    </row>
    <row r="25" spans="1:29" x14ac:dyDescent="0.2">
      <c r="A25">
        <v>46137.079243472224</v>
      </c>
      <c r="B25">
        <v>17.598258000000001</v>
      </c>
      <c r="C25">
        <v>18.081315</v>
      </c>
      <c r="D25">
        <v>18.276401</v>
      </c>
      <c r="E25">
        <v>18.821180999999999</v>
      </c>
      <c r="F25">
        <v>40.714675999999997</v>
      </c>
      <c r="G25">
        <v>37.691462000000001</v>
      </c>
      <c r="H25">
        <v>34.916417000000003</v>
      </c>
      <c r="I25">
        <v>30.481787000000001</v>
      </c>
      <c r="J25">
        <v>58.874147999999998</v>
      </c>
      <c r="K25">
        <v>55.816147000000001</v>
      </c>
      <c r="L25">
        <v>38.886476000000002</v>
      </c>
      <c r="M25">
        <v>-622.51469299999997</v>
      </c>
      <c r="N25">
        <v>2.2496930000000002</v>
      </c>
      <c r="O25">
        <v>5.0005480000000002</v>
      </c>
      <c r="P25">
        <f t="shared" si="10"/>
        <v>3.7494883333333336E-5</v>
      </c>
      <c r="Q25" cm="1">
        <f t="array" ref="Q25">[1]!PropsSI("D","T",J25+273.15,"P",101325,"Water")</f>
        <v>983.77127327207131</v>
      </c>
      <c r="R25" cm="1">
        <f t="array" ref="R25">[1]!PropsSI("D","T",K25+273.15,"P",101325,"Water")</f>
        <v>985.29585187509576</v>
      </c>
      <c r="S25">
        <f t="shared" si="11"/>
        <v>984.53356257358359</v>
      </c>
      <c r="T25" cm="1">
        <f t="array" ref="T25">[1]!PropsSI("H","T",J25+273.15,"P",101325,"Water")</f>
        <v>246537.32869657359</v>
      </c>
      <c r="U25" cm="1">
        <f t="array" ref="U25">[1]!PropsSI("H","T",K25+273.15,"P",101325,"Water")</f>
        <v>233743.10418720014</v>
      </c>
      <c r="V25">
        <f t="shared" si="12"/>
        <v>472.29842758115518</v>
      </c>
      <c r="X25">
        <f t="shared" si="13"/>
        <v>0.267748296</v>
      </c>
      <c r="Y25">
        <f t="shared" si="14"/>
        <v>0.26163229399999999</v>
      </c>
      <c r="Z25">
        <f t="shared" si="15"/>
        <v>0.37435358589788614</v>
      </c>
      <c r="AA25">
        <f t="shared" si="16"/>
        <v>3.0580009999999973</v>
      </c>
      <c r="AB25">
        <f t="shared" si="17"/>
        <v>0.12282550318419097</v>
      </c>
      <c r="AC25">
        <f t="shared" si="18"/>
        <v>58.010292020757561</v>
      </c>
    </row>
    <row r="26" spans="1:29" x14ac:dyDescent="0.2">
      <c r="A26">
        <v>46137.079278773148</v>
      </c>
      <c r="B26">
        <v>17.708628999999998</v>
      </c>
      <c r="C26">
        <v>17.97325</v>
      </c>
      <c r="D26">
        <v>18.392562999999999</v>
      </c>
      <c r="E26">
        <v>18.843686999999999</v>
      </c>
      <c r="F26">
        <v>40.549121999999997</v>
      </c>
      <c r="G26">
        <v>37.267704999999999</v>
      </c>
      <c r="H26">
        <v>34.765459999999997</v>
      </c>
      <c r="I26">
        <v>30.725127000000001</v>
      </c>
      <c r="J26">
        <v>58.874307000000002</v>
      </c>
      <c r="K26">
        <v>55.815033</v>
      </c>
      <c r="L26">
        <v>39.945197999999998</v>
      </c>
      <c r="M26">
        <v>-622.49183700000003</v>
      </c>
      <c r="N26">
        <v>2.2484600000000001</v>
      </c>
      <c r="O26">
        <v>5.598757</v>
      </c>
      <c r="P26">
        <f t="shared" si="10"/>
        <v>3.7474333333333342E-5</v>
      </c>
      <c r="Q26" cm="1">
        <f t="array" ref="Q26">[1]!PropsSI("D","T",J26+273.15,"P",101325,"Water")</f>
        <v>983.77119253582771</v>
      </c>
      <c r="R26" cm="1">
        <f t="array" ref="R26">[1]!PropsSI("D","T",K26+273.15,"P",101325,"Water")</f>
        <v>985.29639688333543</v>
      </c>
      <c r="S26">
        <f t="shared" si="11"/>
        <v>984.53379470958157</v>
      </c>
      <c r="T26" cm="1">
        <f t="array" ref="T26">[1]!PropsSI("H","T",J26+273.15,"P",101325,"Water")</f>
        <v>246537.99402746905</v>
      </c>
      <c r="U26" cm="1">
        <f t="array" ref="U26">[1]!PropsSI("H","T",K26+273.15,"P",101325,"Water")</f>
        <v>233738.44403934706</v>
      </c>
      <c r="V26">
        <f t="shared" si="12"/>
        <v>472.23616621658732</v>
      </c>
      <c r="X26">
        <f t="shared" si="13"/>
        <v>0.267748614</v>
      </c>
      <c r="Y26">
        <f t="shared" si="14"/>
        <v>0.26163006599999999</v>
      </c>
      <c r="Z26">
        <f t="shared" si="15"/>
        <v>0.37435225621610102</v>
      </c>
      <c r="AA26">
        <f t="shared" si="16"/>
        <v>3.059274000000002</v>
      </c>
      <c r="AB26">
        <f t="shared" si="17"/>
        <v>0.12277429970082729</v>
      </c>
      <c r="AC26">
        <f t="shared" si="18"/>
        <v>57.978464600644983</v>
      </c>
    </row>
    <row r="27" spans="1:29" x14ac:dyDescent="0.2">
      <c r="A27">
        <v>46137.079313495371</v>
      </c>
      <c r="B27">
        <v>17.593631999999999</v>
      </c>
      <c r="C27">
        <v>17.991053000000001</v>
      </c>
      <c r="D27">
        <v>18.395942000000002</v>
      </c>
      <c r="E27">
        <v>18.806470000000001</v>
      </c>
      <c r="F27">
        <v>40.435136</v>
      </c>
      <c r="G27">
        <v>39.798178</v>
      </c>
      <c r="H27">
        <v>33.280200000000001</v>
      </c>
      <c r="I27">
        <v>30.369520000000001</v>
      </c>
      <c r="J27">
        <v>58.874147999999998</v>
      </c>
      <c r="K27">
        <v>55.815987999999997</v>
      </c>
      <c r="L27">
        <v>40.174574999999997</v>
      </c>
      <c r="M27">
        <v>-622.48000100000002</v>
      </c>
      <c r="N27">
        <v>2.2489150000000002</v>
      </c>
      <c r="O27">
        <v>5.9486920000000003</v>
      </c>
      <c r="P27">
        <f t="shared" si="10"/>
        <v>3.7481916666666668E-5</v>
      </c>
      <c r="Q27" cm="1">
        <f t="array" ref="Q27">[1]!PropsSI("D","T",J27+273.15,"P",101325,"Water")</f>
        <v>983.77127327207131</v>
      </c>
      <c r="R27" cm="1">
        <f t="array" ref="R27">[1]!PropsSI("D","T",K27+273.15,"P",101325,"Water")</f>
        <v>985.29592966398911</v>
      </c>
      <c r="S27">
        <f t="shared" si="11"/>
        <v>984.53360146803016</v>
      </c>
      <c r="T27" cm="1">
        <f t="array" ref="T27">[1]!PropsSI("H","T",J27+273.15,"P",101325,"Water")</f>
        <v>246537.32869657359</v>
      </c>
      <c r="U27" cm="1">
        <f t="array" ref="U27">[1]!PropsSI("H","T",K27+273.15,"P",101325,"Water")</f>
        <v>233742.43904936526</v>
      </c>
      <c r="V27">
        <f t="shared" si="12"/>
        <v>472.15965870017686</v>
      </c>
      <c r="X27">
        <f t="shared" si="13"/>
        <v>0.267748296</v>
      </c>
      <c r="Y27">
        <f t="shared" si="14"/>
        <v>0.26163197599999999</v>
      </c>
      <c r="Z27">
        <f t="shared" si="15"/>
        <v>0.37435336365066652</v>
      </c>
      <c r="AA27">
        <f t="shared" si="16"/>
        <v>3.0581600000000009</v>
      </c>
      <c r="AB27">
        <f t="shared" si="17"/>
        <v>0.12281908713367587</v>
      </c>
      <c r="AC27">
        <f t="shared" si="18"/>
        <v>57.990218262903682</v>
      </c>
    </row>
    <row r="28" spans="1:29" x14ac:dyDescent="0.2">
      <c r="A28">
        <v>46137.079348796295</v>
      </c>
      <c r="B28">
        <v>17.472728</v>
      </c>
      <c r="C28">
        <v>17.957357999999999</v>
      </c>
      <c r="D28">
        <v>18.187071</v>
      </c>
      <c r="E28">
        <v>18.792646999999999</v>
      </c>
      <c r="F28">
        <v>40.007458999999997</v>
      </c>
      <c r="G28">
        <v>37.209665000000001</v>
      </c>
      <c r="H28">
        <v>34.119492999999999</v>
      </c>
      <c r="I28">
        <v>30.982161999999999</v>
      </c>
      <c r="J28">
        <v>58.873989000000002</v>
      </c>
      <c r="K28">
        <v>55.815351</v>
      </c>
      <c r="L28">
        <v>40.228858000000002</v>
      </c>
      <c r="M28">
        <v>-622.49224500000003</v>
      </c>
      <c r="N28">
        <v>2.2474850000000002</v>
      </c>
      <c r="O28">
        <v>5.32395</v>
      </c>
      <c r="P28">
        <f t="shared" si="10"/>
        <v>3.7458083333333336E-5</v>
      </c>
      <c r="Q28" cm="1">
        <f t="array" ref="Q28">[1]!PropsSI("D","T",J28+273.15,"P",101325,"Water")</f>
        <v>983.77135400817201</v>
      </c>
      <c r="R28" cm="1">
        <f t="array" ref="R28">[1]!PropsSI("D","T",K28+273.15,"P",101325,"Water")</f>
        <v>985.29624130726461</v>
      </c>
      <c r="S28">
        <f t="shared" si="11"/>
        <v>984.53379765771831</v>
      </c>
      <c r="T28" cm="1">
        <f t="array" ref="T28">[1]!PropsSI("H","T",J28+273.15,"P",101325,"Water")</f>
        <v>246536.66336562013</v>
      </c>
      <c r="U28" cm="1">
        <f t="array" ref="U28">[1]!PropsSI("H","T",K28+273.15,"P",101325,"Water")</f>
        <v>233739.77431490168</v>
      </c>
      <c r="V28">
        <f t="shared" si="12"/>
        <v>471.93325975764685</v>
      </c>
      <c r="X28">
        <f t="shared" si="13"/>
        <v>0.267747978</v>
      </c>
      <c r="Y28">
        <f t="shared" si="14"/>
        <v>0.26163070199999999</v>
      </c>
      <c r="Z28">
        <f t="shared" si="15"/>
        <v>0.37435224582216853</v>
      </c>
      <c r="AA28">
        <f t="shared" si="16"/>
        <v>3.058638000000002</v>
      </c>
      <c r="AB28">
        <f t="shared" si="17"/>
        <v>0.12279965612579903</v>
      </c>
      <c r="AC28">
        <f t="shared" si="18"/>
        <v>57.95324201256642</v>
      </c>
    </row>
    <row r="29" spans="1:29" x14ac:dyDescent="0.2">
      <c r="A29">
        <v>46137.079383518518</v>
      </c>
      <c r="B29">
        <v>17.325652999999999</v>
      </c>
      <c r="C29">
        <v>17.686108999999998</v>
      </c>
      <c r="D29">
        <v>18.043057999999998</v>
      </c>
      <c r="E29">
        <v>18.739619999999999</v>
      </c>
      <c r="F29">
        <v>40.666898000000003</v>
      </c>
      <c r="G29">
        <v>35.571835999999998</v>
      </c>
      <c r="H29">
        <v>34.009453000000001</v>
      </c>
      <c r="I29">
        <v>30.422079</v>
      </c>
      <c r="J29">
        <v>58.872714000000002</v>
      </c>
      <c r="K29">
        <v>55.812964000000001</v>
      </c>
      <c r="L29">
        <v>44.250289000000002</v>
      </c>
      <c r="M29">
        <v>-622.49755100000004</v>
      </c>
      <c r="N29">
        <v>2.2496849999999999</v>
      </c>
      <c r="O29">
        <v>5.0934679999999997</v>
      </c>
      <c r="P29">
        <f t="shared" si="10"/>
        <v>3.7494750000000002E-5</v>
      </c>
      <c r="Q29" cm="1">
        <f t="array" ref="Q29">[1]!PropsSI("D","T",J29+273.15,"P",101325,"Water")</f>
        <v>983.77200141475475</v>
      </c>
      <c r="R29" cm="1">
        <f t="array" ref="R29">[1]!PropsSI("D","T",K29+273.15,"P",101325,"Water")</f>
        <v>985.29740909111933</v>
      </c>
      <c r="S29">
        <f t="shared" si="11"/>
        <v>984.5347052529371</v>
      </c>
      <c r="T29" cm="1">
        <f t="array" ref="T29">[1]!PropsSI("H","T",J29+273.15,"P",101325,"Water")</f>
        <v>246531.3281653804</v>
      </c>
      <c r="U29" cm="1">
        <f t="array" ref="U29">[1]!PropsSI("H","T",K29+273.15,"P",101325,"Water")</f>
        <v>233729.78888268163</v>
      </c>
      <c r="V29">
        <f t="shared" si="12"/>
        <v>472.56732022939121</v>
      </c>
      <c r="X29">
        <f t="shared" si="13"/>
        <v>0.26774542800000001</v>
      </c>
      <c r="Y29">
        <f t="shared" si="14"/>
        <v>0.26162592800000001</v>
      </c>
      <c r="Z29">
        <f t="shared" si="15"/>
        <v>0.37434708549254714</v>
      </c>
      <c r="AA29">
        <f t="shared" si="16"/>
        <v>3.0597500000000011</v>
      </c>
      <c r="AB29">
        <f t="shared" si="17"/>
        <v>0.12275364233627392</v>
      </c>
      <c r="AC29">
        <f t="shared" si="18"/>
        <v>58.009359807250114</v>
      </c>
    </row>
    <row r="30" spans="1:29" x14ac:dyDescent="0.2">
      <c r="A30">
        <v>46137.079418240741</v>
      </c>
      <c r="B30">
        <v>17.329768999999999</v>
      </c>
      <c r="C30">
        <v>17.72514</v>
      </c>
      <c r="D30">
        <v>17.946435000000001</v>
      </c>
      <c r="E30">
        <v>18.731066999999999</v>
      </c>
      <c r="F30">
        <v>40.794373</v>
      </c>
      <c r="G30">
        <v>38.899838000000003</v>
      </c>
      <c r="H30">
        <v>34.545340000000003</v>
      </c>
      <c r="I30">
        <v>30.935948</v>
      </c>
      <c r="J30">
        <v>58.870483999999998</v>
      </c>
      <c r="K30">
        <v>55.804687000000001</v>
      </c>
      <c r="L30">
        <v>37.289821000000003</v>
      </c>
      <c r="M30">
        <v>-622.52367200000003</v>
      </c>
      <c r="N30">
        <v>2.2497880000000001</v>
      </c>
      <c r="O30">
        <v>5.5327780000000004</v>
      </c>
      <c r="P30">
        <f t="shared" si="10"/>
        <v>3.7496466666666669E-5</v>
      </c>
      <c r="Q30" cm="1">
        <f t="array" ref="Q30">[1]!PropsSI("D","T",J30+273.15,"P",101325,"Water")</f>
        <v>983.77313371818968</v>
      </c>
      <c r="R30" cm="1">
        <f t="array" ref="R30">[1]!PropsSI("D","T",K30+273.15,"P",101325,"Water")</f>
        <v>985.30145814785021</v>
      </c>
      <c r="S30">
        <f t="shared" si="11"/>
        <v>984.53729593302</v>
      </c>
      <c r="T30" cm="1">
        <f t="array" ref="T30">[1]!PropsSI("H","T",J30+273.15,"P",101325,"Water")</f>
        <v>246521.9967972039</v>
      </c>
      <c r="U30" cm="1">
        <f t="array" ref="U30">[1]!PropsSI("H","T",K30+273.15,"P",101325,"Water")</f>
        <v>233695.164088727</v>
      </c>
      <c r="V30">
        <f t="shared" si="12"/>
        <v>473.52394894908446</v>
      </c>
      <c r="X30">
        <f t="shared" si="13"/>
        <v>0.26774096800000002</v>
      </c>
      <c r="Y30">
        <f t="shared" si="14"/>
        <v>0.26160937400000001</v>
      </c>
      <c r="Z30">
        <f t="shared" si="15"/>
        <v>0.37433232629609869</v>
      </c>
      <c r="AA30">
        <f t="shared" si="16"/>
        <v>3.0657969999999963</v>
      </c>
      <c r="AB30">
        <f t="shared" si="17"/>
        <v>0.12250833246770503</v>
      </c>
      <c r="AC30">
        <f t="shared" si="18"/>
        <v>58.010629369275023</v>
      </c>
    </row>
    <row r="31" spans="1:29" x14ac:dyDescent="0.2">
      <c r="A31">
        <v>46137.079453541664</v>
      </c>
      <c r="B31">
        <v>17.304220999999998</v>
      </c>
      <c r="C31">
        <v>17.945247999999999</v>
      </c>
      <c r="D31">
        <v>17.937459</v>
      </c>
      <c r="E31">
        <v>18.695399999999999</v>
      </c>
      <c r="F31">
        <v>40.682541000000001</v>
      </c>
      <c r="G31">
        <v>39.252598999999996</v>
      </c>
      <c r="H31">
        <v>33.850732999999998</v>
      </c>
      <c r="I31">
        <v>30.152951999999999</v>
      </c>
      <c r="J31">
        <v>58.870803000000002</v>
      </c>
      <c r="K31">
        <v>55.799911999999999</v>
      </c>
      <c r="L31">
        <v>39.797043000000002</v>
      </c>
      <c r="M31">
        <v>-622.51183600000002</v>
      </c>
      <c r="N31">
        <v>2.2560039999999999</v>
      </c>
      <c r="O31">
        <v>5.2070129999999999</v>
      </c>
      <c r="P31">
        <f t="shared" si="10"/>
        <v>3.7600066666666666E-5</v>
      </c>
      <c r="Q31" cm="1">
        <f t="array" ref="Q31">[1]!PropsSI("D","T",J31+273.15,"P",101325,"Water")</f>
        <v>983.77297174476587</v>
      </c>
      <c r="R31" cm="1">
        <f t="array" ref="R31">[1]!PropsSI("D","T",K31+273.15,"P",101325,"Water")</f>
        <v>985.30379385620358</v>
      </c>
      <c r="S31">
        <f t="shared" si="11"/>
        <v>984.53838280048467</v>
      </c>
      <c r="T31" cm="1">
        <f t="array" ref="T31">[1]!PropsSI("H","T",J31+273.15,"P",101325,"Water")</f>
        <v>246523.33164301052</v>
      </c>
      <c r="U31" cm="1">
        <f t="array" ref="U31">[1]!PropsSI("H","T",K31+273.15,"P",101325,"Water")</f>
        <v>233675.18906222362</v>
      </c>
      <c r="V31">
        <f t="shared" si="12"/>
        <v>475.62164919407303</v>
      </c>
      <c r="X31">
        <f t="shared" si="13"/>
        <v>0.26774160600000002</v>
      </c>
      <c r="Y31">
        <f t="shared" si="14"/>
        <v>0.26159982399999998</v>
      </c>
      <c r="Z31">
        <f t="shared" si="15"/>
        <v>0.37432610849403791</v>
      </c>
      <c r="AA31">
        <f t="shared" si="16"/>
        <v>3.0708910000000031</v>
      </c>
      <c r="AB31">
        <f t="shared" si="17"/>
        <v>0.12230445257956839</v>
      </c>
      <c r="AC31">
        <f t="shared" si="18"/>
        <v>58.170645439672619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80E0-D50C-014E-9DC1-6D693BFB849E}">
  <dimension ref="A1:AC34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44675.080246946804</v>
      </c>
      <c r="B2">
        <v>17.248816000000001</v>
      </c>
      <c r="C2">
        <v>17.645985</v>
      </c>
      <c r="D2">
        <v>18.719028000000002</v>
      </c>
      <c r="E2">
        <v>19.096973999999999</v>
      </c>
      <c r="F2">
        <v>36.081063999999998</v>
      </c>
      <c r="G2">
        <v>33.163505999999998</v>
      </c>
      <c r="H2">
        <v>31.783705999999999</v>
      </c>
      <c r="I2">
        <v>28.17773</v>
      </c>
      <c r="J2">
        <v>58.841650000000001</v>
      </c>
      <c r="K2">
        <v>54.903762999999998</v>
      </c>
      <c r="L2">
        <v>84.653571999999997</v>
      </c>
      <c r="M2">
        <v>-622.48326599999996</v>
      </c>
      <c r="N2">
        <v>2.245161</v>
      </c>
      <c r="O2">
        <v>4.9392589999999998</v>
      </c>
      <c r="P2">
        <f t="shared" ref="P2:P65" si="0" xml:space="preserve"> N2*0.001/60</f>
        <v>3.7419349999999999E-5</v>
      </c>
      <c r="Q2" cm="1">
        <f t="array" ref="Q2">[1]!PropsSI("D","T",J2+273.15,"P",101325,"Water")</f>
        <v>983.78777177860502</v>
      </c>
      <c r="R2" cm="1">
        <f t="array" ref="R2">[1]!PropsSI("D","T",K2+273.15,"P",101325,"Water")</f>
        <v>985.73965537313859</v>
      </c>
      <c r="S2">
        <f t="shared" ref="S2:S65" si="1">(Q2+R2)/2</f>
        <v>984.76371357587186</v>
      </c>
      <c r="T2" cm="1">
        <f t="array" ref="T2">[1]!PropsSI("H","T",J2+273.15,"P",101325,"Water")</f>
        <v>246401.34197604188</v>
      </c>
      <c r="U2" cm="1">
        <f t="array" ref="U2">[1]!PropsSI("H","T",K2+273.15,"P",101325,"Water")</f>
        <v>229926.52141471262</v>
      </c>
      <c r="V2">
        <f t="shared" ref="V2:V65" si="2">S2*P2*(T2-U2)</f>
        <v>607.08425545597481</v>
      </c>
      <c r="W2" s="3">
        <f>AVERAGE(V18:V34)</f>
        <v>616.43211800726522</v>
      </c>
      <c r="X2">
        <f>(0.15+0.002*ABS(J2))</f>
        <v>0.26768330000000001</v>
      </c>
      <c r="Y2">
        <f>(0.15+0.002*ABS(K2))</f>
        <v>0.25980752600000001</v>
      </c>
      <c r="Z2">
        <f>SQRT((X2)^2 + (Y2)^2)</f>
        <v>0.37303391221862214</v>
      </c>
      <c r="AA2">
        <f>J2-K2</f>
        <v>3.9378870000000035</v>
      </c>
      <c r="AB2">
        <f>SQRT((0.01)^2 + (Z2/ABS(AA2))^2)</f>
        <v>9.5255817377684043E-2</v>
      </c>
      <c r="AC2">
        <f>ABS(V2*AB2)</f>
        <v>57.828306970581622</v>
      </c>
    </row>
    <row r="3" spans="1:29" x14ac:dyDescent="0.2">
      <c r="A3">
        <v>44675.080281668997</v>
      </c>
      <c r="B3">
        <v>17.234137</v>
      </c>
      <c r="C3">
        <v>17.664027999999998</v>
      </c>
      <c r="D3">
        <v>18.719532000000001</v>
      </c>
      <c r="E3">
        <v>19.085393</v>
      </c>
      <c r="F3">
        <v>36.451081000000002</v>
      </c>
      <c r="G3">
        <v>33.549683999999999</v>
      </c>
      <c r="H3">
        <v>31.309785999999999</v>
      </c>
      <c r="I3">
        <v>28.02975</v>
      </c>
      <c r="J3">
        <v>58.840535000000003</v>
      </c>
      <c r="K3">
        <v>54.892147000000001</v>
      </c>
      <c r="L3">
        <v>85.373943999999995</v>
      </c>
      <c r="M3">
        <v>-622.49632699999995</v>
      </c>
      <c r="N3">
        <v>2.248812</v>
      </c>
      <c r="O3">
        <v>5.5298040000000004</v>
      </c>
      <c r="P3">
        <f t="shared" si="0"/>
        <v>3.7480200000000001E-5</v>
      </c>
      <c r="Q3" cm="1">
        <f t="array" ref="Q3">[1]!PropsSI("D","T",J3+273.15,"P",101325,"Water")</f>
        <v>983.78833772721509</v>
      </c>
      <c r="R3" cm="1">
        <f t="array" ref="R3">[1]!PropsSI("D","T",K3+273.15,"P",101325,"Water")</f>
        <v>985.74527240396708</v>
      </c>
      <c r="S3">
        <f t="shared" si="1"/>
        <v>984.76680506559114</v>
      </c>
      <c r="T3" cm="1">
        <f t="array" ref="T3">[1]!PropsSI("H","T",J3+273.15,"P",101325,"Water")</f>
        <v>246396.67630623677</v>
      </c>
      <c r="U3" cm="1">
        <f t="array" ref="U3">[1]!PropsSI("H","T",K3+273.15,"P",101325,"Water")</f>
        <v>229877.93261980312</v>
      </c>
      <c r="V3">
        <f t="shared" si="2"/>
        <v>609.69455285521315</v>
      </c>
      <c r="W3" s="3" t="s">
        <v>33</v>
      </c>
      <c r="X3">
        <f t="shared" ref="X3:Y55" si="3">(0.15+0.002*ABS(J3))</f>
        <v>0.26768107000000002</v>
      </c>
      <c r="Y3">
        <f t="shared" si="3"/>
        <v>0.25978429400000003</v>
      </c>
      <c r="Z3">
        <f t="shared" ref="Z3:Z55" si="4">SQRT((X3)^2 + (Y3)^2)</f>
        <v>0.37301613188362698</v>
      </c>
      <c r="AA3">
        <f>J3-K3</f>
        <v>3.9483880000000013</v>
      </c>
      <c r="AB3">
        <f t="shared" ref="AB3:AB66" si="5">SQRT((0.01)^2 + (Z3/ABS(AA3))^2)</f>
        <v>9.5000795742430491E-2</v>
      </c>
      <c r="AC3">
        <f t="shared" ref="AC3:AC66" si="6">ABS(V3*AB3)</f>
        <v>57.921467681070595</v>
      </c>
    </row>
    <row r="4" spans="1:29" x14ac:dyDescent="0.2">
      <c r="A4">
        <v>44675.080316969899</v>
      </c>
      <c r="B4">
        <v>17.232966999999999</v>
      </c>
      <c r="C4">
        <v>17.673746000000001</v>
      </c>
      <c r="D4">
        <v>18.719767999999998</v>
      </c>
      <c r="E4">
        <v>19.038239999999998</v>
      </c>
      <c r="F4">
        <v>36.485084000000001</v>
      </c>
      <c r="G4">
        <v>36.737428999999999</v>
      </c>
      <c r="H4">
        <v>30.917055000000001</v>
      </c>
      <c r="I4">
        <v>28.094387000000001</v>
      </c>
      <c r="J4">
        <v>58.834958999999998</v>
      </c>
      <c r="K4">
        <v>54.885145999999999</v>
      </c>
      <c r="L4">
        <v>85.869021000000004</v>
      </c>
      <c r="M4">
        <v>-622.50693799999999</v>
      </c>
      <c r="N4">
        <v>2.249349</v>
      </c>
      <c r="O4">
        <v>5.2026539999999999</v>
      </c>
      <c r="P4">
        <f t="shared" si="0"/>
        <v>3.7489149999999997E-5</v>
      </c>
      <c r="Q4" cm="1">
        <f t="array" ref="Q4">[1]!PropsSI("D","T",J4+273.15,"P",101325,"Water")</f>
        <v>983.79116786649809</v>
      </c>
      <c r="R4" cm="1">
        <f t="array" ref="R4">[1]!PropsSI("D","T",K4+273.15,"P",101325,"Water")</f>
        <v>985.74865740123596</v>
      </c>
      <c r="S4">
        <f t="shared" si="1"/>
        <v>984.76991263386708</v>
      </c>
      <c r="T4" cm="1">
        <f t="array" ref="T4">[1]!PropsSI("H","T",J4+273.15,"P",101325,"Water")</f>
        <v>246373.34378049336</v>
      </c>
      <c r="U4" cm="1">
        <f t="array" ref="U4">[1]!PropsSI("H","T",K4+273.15,"P",101325,"Water")</f>
        <v>229848.64802267624</v>
      </c>
      <c r="V4">
        <f t="shared" si="2"/>
        <v>610.06180761305984</v>
      </c>
      <c r="W4" s="3">
        <f>SQRT((AVERAGE(AC18:AC34))^2 + (_xlfn.STDEV.S(V18:V34)/SQRT(COUNT(V18:V34)))^2)</f>
        <v>57.901373762564667</v>
      </c>
      <c r="X4">
        <f t="shared" si="3"/>
        <v>0.26766991800000001</v>
      </c>
      <c r="Y4">
        <f t="shared" si="3"/>
        <v>0.25977029200000001</v>
      </c>
      <c r="Z4">
        <f t="shared" si="4"/>
        <v>0.37299837748694298</v>
      </c>
      <c r="AA4">
        <f t="shared" ref="AA4:AA67" si="7">J4-K4</f>
        <v>3.9498129999999989</v>
      </c>
      <c r="AB4">
        <f t="shared" si="5"/>
        <v>9.4962431504532402E-2</v>
      </c>
      <c r="AC4">
        <f t="shared" si="6"/>
        <v>57.93295261898642</v>
      </c>
    </row>
    <row r="5" spans="1:29" x14ac:dyDescent="0.2">
      <c r="A5">
        <v>44675.080351692202</v>
      </c>
      <c r="B5">
        <v>17.219957999999998</v>
      </c>
      <c r="C5">
        <v>17.573045</v>
      </c>
      <c r="D5">
        <v>18.763642000000001</v>
      </c>
      <c r="E5">
        <v>19.059823000000002</v>
      </c>
      <c r="F5">
        <v>36.619776999999999</v>
      </c>
      <c r="G5">
        <v>36.470585999999997</v>
      </c>
      <c r="H5">
        <v>30.353119</v>
      </c>
      <c r="I5">
        <v>28.327622000000002</v>
      </c>
      <c r="J5">
        <v>58.832729</v>
      </c>
      <c r="K5">
        <v>54.876235000000001</v>
      </c>
      <c r="L5">
        <v>81.772492</v>
      </c>
      <c r="M5">
        <v>-622.52040699999998</v>
      </c>
      <c r="N5">
        <v>2.2495699999999998</v>
      </c>
      <c r="O5">
        <v>5.5940300000000001</v>
      </c>
      <c r="P5">
        <f t="shared" si="0"/>
        <v>3.7492833333333328E-5</v>
      </c>
      <c r="Q5" cm="1">
        <f t="array" ref="Q5">[1]!PropsSI("D","T",J5+273.15,"P",101325,"Water")</f>
        <v>983.79229966721061</v>
      </c>
      <c r="R5" cm="1">
        <f t="array" ref="R5">[1]!PropsSI("D","T",K5+273.15,"P",101325,"Water")</f>
        <v>985.75296544655271</v>
      </c>
      <c r="S5">
        <f t="shared" si="1"/>
        <v>984.77263255688172</v>
      </c>
      <c r="T5" cm="1">
        <f t="array" ref="T5">[1]!PropsSI("H","T",J5+273.15,"P",101325,"Water")</f>
        <v>246364.01244765462</v>
      </c>
      <c r="U5" cm="1">
        <f t="array" ref="U5">[1]!PropsSI("H","T",K5+273.15,"P",101325,"Water")</f>
        <v>229811.37408090208</v>
      </c>
      <c r="V5">
        <f t="shared" si="2"/>
        <v>611.15512639605379</v>
      </c>
      <c r="W5" s="3"/>
      <c r="X5">
        <f t="shared" si="3"/>
        <v>0.26766545799999997</v>
      </c>
      <c r="Y5">
        <f t="shared" si="3"/>
        <v>0.25975247000000001</v>
      </c>
      <c r="Z5">
        <f t="shared" si="4"/>
        <v>0.37298276512119249</v>
      </c>
      <c r="AA5">
        <f t="shared" si="7"/>
        <v>3.9564939999999993</v>
      </c>
      <c r="AB5">
        <f t="shared" si="5"/>
        <v>9.4799932086386859E-2</v>
      </c>
      <c r="AC5">
        <f t="shared" si="6"/>
        <v>57.937464476593078</v>
      </c>
    </row>
    <row r="6" spans="1:29" x14ac:dyDescent="0.2">
      <c r="A6">
        <v>46137.080386990739</v>
      </c>
      <c r="B6">
        <v>17.439509000000001</v>
      </c>
      <c r="C6">
        <v>17.786128000000001</v>
      </c>
      <c r="D6">
        <v>18.803090999999998</v>
      </c>
      <c r="E6">
        <v>19.130372999999999</v>
      </c>
      <c r="F6">
        <v>36.638106000000001</v>
      </c>
      <c r="G6">
        <v>33.594912000000001</v>
      </c>
      <c r="H6">
        <v>31.882135999999999</v>
      </c>
      <c r="I6">
        <v>28.325060000000001</v>
      </c>
      <c r="J6">
        <v>58.830976999999997</v>
      </c>
      <c r="K6">
        <v>54.870348</v>
      </c>
      <c r="L6">
        <v>85.112324999999998</v>
      </c>
      <c r="M6">
        <v>-622.48612300000002</v>
      </c>
      <c r="N6">
        <v>2.2497919999999998</v>
      </c>
      <c r="O6">
        <v>4.7931189999999999</v>
      </c>
      <c r="P6">
        <f t="shared" si="0"/>
        <v>3.7496533333333336E-5</v>
      </c>
      <c r="Q6" cm="1">
        <f t="array" ref="Q6">[1]!PropsSI("D","T",J6+273.15,"P",101325,"Water")</f>
        <v>983.79318884586291</v>
      </c>
      <c r="R6" cm="1">
        <f t="array" ref="R6">[1]!PropsSI("D","T",K6+273.15,"P",101325,"Water")</f>
        <v>985.75581126074144</v>
      </c>
      <c r="S6">
        <f t="shared" si="1"/>
        <v>984.77450005330218</v>
      </c>
      <c r="T6" cm="1">
        <f t="array" ref="T6">[1]!PropsSI("H","T",J6+273.15,"P",101325,"Water")</f>
        <v>246356.68128530306</v>
      </c>
      <c r="U6" cm="1">
        <f t="array" ref="U6">[1]!PropsSI("H","T",K6+273.15,"P",101325,"Water")</f>
        <v>229786.74928508868</v>
      </c>
      <c r="V6">
        <f t="shared" si="2"/>
        <v>611.85517596235741</v>
      </c>
      <c r="W6" s="3"/>
      <c r="X6">
        <f t="shared" si="3"/>
        <v>0.26766195399999998</v>
      </c>
      <c r="Y6">
        <f t="shared" si="3"/>
        <v>0.25974069599999999</v>
      </c>
      <c r="Z6">
        <f t="shared" si="4"/>
        <v>0.37297205093366248</v>
      </c>
      <c r="AA6">
        <f>J6-K6</f>
        <v>3.9606289999999973</v>
      </c>
      <c r="AB6">
        <f t="shared" si="5"/>
        <v>9.4699370298420169E-2</v>
      </c>
      <c r="AC6">
        <f t="shared" si="6"/>
        <v>57.942299877464315</v>
      </c>
    </row>
    <row r="7" spans="1:29" x14ac:dyDescent="0.2">
      <c r="A7">
        <v>46137.080422291663</v>
      </c>
      <c r="B7">
        <v>17.323208999999999</v>
      </c>
      <c r="C7">
        <v>17.645693000000001</v>
      </c>
      <c r="D7">
        <v>18.816647</v>
      </c>
      <c r="E7">
        <v>19.096433000000001</v>
      </c>
      <c r="F7">
        <v>36.924917999999998</v>
      </c>
      <c r="G7">
        <v>38.213451999999997</v>
      </c>
      <c r="H7">
        <v>31.568643000000002</v>
      </c>
      <c r="I7">
        <v>28.131997999999999</v>
      </c>
      <c r="J7">
        <v>58.827632000000001</v>
      </c>
      <c r="K7">
        <v>54.866688000000003</v>
      </c>
      <c r="L7">
        <v>79.354246000000003</v>
      </c>
      <c r="M7">
        <v>-622.50081599999999</v>
      </c>
      <c r="N7">
        <v>2.2490290000000002</v>
      </c>
      <c r="O7">
        <v>5.5603790000000002</v>
      </c>
      <c r="P7">
        <f t="shared" si="0"/>
        <v>3.7483816666666665E-5</v>
      </c>
      <c r="Q7" cm="1">
        <f t="array" ref="Q7">[1]!PropsSI("D","T",J7+273.15,"P",101325,"Water")</f>
        <v>983.79488645622587</v>
      </c>
      <c r="R7" cm="1">
        <f t="array" ref="R7">[1]!PropsSI("D","T",K7+273.15,"P",101325,"Water")</f>
        <v>985.75758041999632</v>
      </c>
      <c r="S7">
        <f t="shared" si="1"/>
        <v>984.77623343811115</v>
      </c>
      <c r="T7" cm="1">
        <f t="array" ref="T7">[1]!PropsSI("H","T",J7+273.15,"P",101325,"Water")</f>
        <v>246342.68429240226</v>
      </c>
      <c r="U7" cm="1">
        <f t="array" ref="U7">[1]!PropsSI("H","T",K7+273.15,"P",101325,"Water")</f>
        <v>229771.43983788052</v>
      </c>
      <c r="V7">
        <f t="shared" si="2"/>
        <v>611.69719335507762</v>
      </c>
      <c r="W7" s="3"/>
      <c r="X7">
        <f t="shared" si="3"/>
        <v>0.267655264</v>
      </c>
      <c r="Y7">
        <f t="shared" si="3"/>
        <v>0.25973337600000002</v>
      </c>
      <c r="Z7">
        <f t="shared" si="4"/>
        <v>0.37296215217534751</v>
      </c>
      <c r="AA7">
        <f t="shared" ref="AA7:AA70" si="8">J7-K7</f>
        <v>3.9609439999999978</v>
      </c>
      <c r="AB7">
        <f t="shared" si="5"/>
        <v>9.4689438054768552E-2</v>
      </c>
      <c r="AC7">
        <f t="shared" si="6"/>
        <v>57.921263498471404</v>
      </c>
    </row>
    <row r="8" spans="1:29" x14ac:dyDescent="0.2">
      <c r="A8">
        <v>46137.080457013886</v>
      </c>
      <c r="B8">
        <v>17.204957</v>
      </c>
      <c r="C8">
        <v>17.673268</v>
      </c>
      <c r="D8">
        <v>18.735327000000002</v>
      </c>
      <c r="E8">
        <v>19.117545</v>
      </c>
      <c r="F8">
        <v>36.152562000000003</v>
      </c>
      <c r="G8">
        <v>35.915854000000003</v>
      </c>
      <c r="H8">
        <v>31.132194999999999</v>
      </c>
      <c r="I8">
        <v>28.681218999999999</v>
      </c>
      <c r="J8">
        <v>58.823968000000001</v>
      </c>
      <c r="K8">
        <v>54.863824000000001</v>
      </c>
      <c r="L8">
        <v>78.875901999999996</v>
      </c>
      <c r="M8">
        <v>-622.49020499999995</v>
      </c>
      <c r="N8">
        <v>2.2480989999999998</v>
      </c>
      <c r="O8">
        <v>6.0565309999999997</v>
      </c>
      <c r="P8">
        <f t="shared" si="0"/>
        <v>3.7468316666666665E-5</v>
      </c>
      <c r="Q8" cm="1">
        <f t="array" ref="Q8">[1]!PropsSI("D","T",J8+273.15,"P",101325,"Water")</f>
        <v>983.79674588458624</v>
      </c>
      <c r="R8" cm="1">
        <f t="array" ref="R8">[1]!PropsSI("D","T",K8+273.15,"P",101325,"Water")</f>
        <v>985.75896475321804</v>
      </c>
      <c r="S8">
        <f t="shared" si="1"/>
        <v>984.77785531890208</v>
      </c>
      <c r="T8" cm="1">
        <f t="array" ref="T8">[1]!PropsSI("H","T",J8+273.15,"P",101325,"Water")</f>
        <v>246327.35246459005</v>
      </c>
      <c r="U8" cm="1">
        <f t="array" ref="U8">[1]!PropsSI("H","T",K8+273.15,"P",101325,"Water")</f>
        <v>229759.45998963446</v>
      </c>
      <c r="V8">
        <f t="shared" si="2"/>
        <v>611.32157513955133</v>
      </c>
      <c r="W8" s="3"/>
      <c r="X8">
        <f t="shared" si="3"/>
        <v>0.26764793600000003</v>
      </c>
      <c r="Y8">
        <f t="shared" si="3"/>
        <v>0.25972764800000003</v>
      </c>
      <c r="Z8">
        <f>SQRT((X8)^2 + (Y8)^2)</f>
        <v>0.37295290423949246</v>
      </c>
      <c r="AA8">
        <f t="shared" si="8"/>
        <v>3.9601439999999997</v>
      </c>
      <c r="AB8">
        <f t="shared" si="5"/>
        <v>9.4706031019230696E-2</v>
      </c>
      <c r="AC8">
        <f t="shared" si="6"/>
        <v>57.89584005789132</v>
      </c>
    </row>
    <row r="9" spans="1:29" x14ac:dyDescent="0.2">
      <c r="A9">
        <v>46137.080492314817</v>
      </c>
      <c r="B9">
        <v>17.251878999999999</v>
      </c>
      <c r="C9">
        <v>17.654312999999998</v>
      </c>
      <c r="D9">
        <v>18.751377999999999</v>
      </c>
      <c r="E9">
        <v>19.089024999999999</v>
      </c>
      <c r="F9">
        <v>36.132347000000003</v>
      </c>
      <c r="G9">
        <v>34.968415999999998</v>
      </c>
      <c r="H9">
        <v>31.9603</v>
      </c>
      <c r="I9">
        <v>28.528729999999999</v>
      </c>
      <c r="J9">
        <v>58.821418999999999</v>
      </c>
      <c r="K9">
        <v>54.859209</v>
      </c>
      <c r="L9">
        <v>86.120436999999995</v>
      </c>
      <c r="M9">
        <v>-622.49428599999999</v>
      </c>
      <c r="N9">
        <v>2.2494719999999999</v>
      </c>
      <c r="O9">
        <v>5.597588</v>
      </c>
      <c r="P9">
        <f t="shared" si="0"/>
        <v>3.7491199999999998E-5</v>
      </c>
      <c r="Q9" cm="1">
        <f t="array" ref="Q9">[1]!PropsSI("D","T",J9+273.15,"P",101325,"Water")</f>
        <v>983.79803941886269</v>
      </c>
      <c r="R9" cm="1">
        <f t="array" ref="R9">[1]!PropsSI("D","T",K9+273.15,"P",101325,"Water")</f>
        <v>985.76119533649216</v>
      </c>
      <c r="S9">
        <f t="shared" si="1"/>
        <v>984.77961737767737</v>
      </c>
      <c r="T9" cm="1">
        <f t="array" ref="T9">[1]!PropsSI("H","T",J9+273.15,"P",101325,"Water")</f>
        <v>246316.68630273271</v>
      </c>
      <c r="U9" cm="1">
        <f t="array" ref="U9">[1]!PropsSI("H","T",K9+273.15,"P",101325,"Water")</f>
        <v>229740.1558758819</v>
      </c>
      <c r="V9">
        <f t="shared" si="2"/>
        <v>612.014945202371</v>
      </c>
      <c r="W9" s="3"/>
      <c r="X9">
        <f t="shared" si="3"/>
        <v>0.26764283799999999</v>
      </c>
      <c r="Y9">
        <f t="shared" si="3"/>
        <v>0.25971841800000001</v>
      </c>
      <c r="Z9">
        <f t="shared" ref="Z9:Z72" si="9">SQRT((X9)^2 + (Y9)^2)</f>
        <v>0.37294281784358974</v>
      </c>
      <c r="AA9">
        <f t="shared" si="8"/>
        <v>3.9622099999999989</v>
      </c>
      <c r="AB9">
        <f t="shared" si="5"/>
        <v>9.4654668128114058E-2</v>
      </c>
      <c r="AC9">
        <f t="shared" si="6"/>
        <v>57.930071527576338</v>
      </c>
    </row>
    <row r="10" spans="1:29" x14ac:dyDescent="0.2">
      <c r="A10">
        <v>44675.080527039398</v>
      </c>
      <c r="B10">
        <v>17.376792999999999</v>
      </c>
      <c r="C10">
        <v>17.859434</v>
      </c>
      <c r="D10">
        <v>18.723427999999998</v>
      </c>
      <c r="E10">
        <v>19.040486000000001</v>
      </c>
      <c r="F10">
        <v>35.900015000000003</v>
      </c>
      <c r="G10">
        <v>32.036140000000003</v>
      </c>
      <c r="H10">
        <v>31.220264</v>
      </c>
      <c r="I10">
        <v>28.00994</v>
      </c>
      <c r="J10">
        <v>58.817754999999998</v>
      </c>
      <c r="K10">
        <v>54.853957999999999</v>
      </c>
      <c r="L10">
        <v>80.634181999999996</v>
      </c>
      <c r="M10">
        <v>-622.50163299999997</v>
      </c>
      <c r="N10">
        <v>2.2501319999999998</v>
      </c>
      <c r="O10">
        <v>5.7866039999999996</v>
      </c>
      <c r="P10">
        <f t="shared" si="0"/>
        <v>3.7502199999999995E-5</v>
      </c>
      <c r="Q10" cm="1">
        <f t="array" ref="Q10">[1]!PropsSI("D","T",J10+273.15,"P",101325,"Water")</f>
        <v>983.79989871124985</v>
      </c>
      <c r="R10" cm="1">
        <f t="array" ref="R10">[1]!PropsSI("D","T",K10+273.15,"P",101325,"Water")</f>
        <v>985.76373315869535</v>
      </c>
      <c r="S10">
        <f t="shared" si="1"/>
        <v>984.78181593497266</v>
      </c>
      <c r="T10" cm="1">
        <f t="array" ref="T10">[1]!PropsSI("H","T",J10+273.15,"P",101325,"Water")</f>
        <v>246301.35448444283</v>
      </c>
      <c r="U10" cm="1">
        <f t="array" ref="U10">[1]!PropsSI("H","T",K10+273.15,"P",101325,"Water")</f>
        <v>229718.19144289359</v>
      </c>
      <c r="V10">
        <f t="shared" si="2"/>
        <v>612.44083077940763</v>
      </c>
      <c r="X10">
        <f t="shared" si="3"/>
        <v>0.26763550999999997</v>
      </c>
      <c r="Y10">
        <f t="shared" si="3"/>
        <v>0.25970791599999998</v>
      </c>
      <c r="Z10">
        <f t="shared" si="9"/>
        <v>0.37293024528190677</v>
      </c>
      <c r="AA10">
        <f t="shared" si="8"/>
        <v>3.9637969999999996</v>
      </c>
      <c r="AB10">
        <f t="shared" si="5"/>
        <v>9.4614039874790473E-2</v>
      </c>
      <c r="AC10">
        <f t="shared" si="6"/>
        <v>57.945501184312675</v>
      </c>
    </row>
    <row r="11" spans="1:29" x14ac:dyDescent="0.2">
      <c r="A11">
        <v>44675.080562340299</v>
      </c>
      <c r="B11">
        <v>17.680482999999999</v>
      </c>
      <c r="C11">
        <v>18.185217999999999</v>
      </c>
      <c r="D11">
        <v>18.703683000000002</v>
      </c>
      <c r="E11">
        <v>18.979678</v>
      </c>
      <c r="F11">
        <v>36.025187000000003</v>
      </c>
      <c r="G11">
        <v>33.723008999999998</v>
      </c>
      <c r="H11">
        <v>30.882211000000002</v>
      </c>
      <c r="I11">
        <v>28.393283</v>
      </c>
      <c r="J11">
        <v>58.813293999999999</v>
      </c>
      <c r="K11">
        <v>54.847752999999997</v>
      </c>
      <c r="L11">
        <v>84.480928000000006</v>
      </c>
      <c r="M11">
        <v>-622.48816399999998</v>
      </c>
      <c r="N11">
        <v>2.2517260000000001</v>
      </c>
      <c r="O11">
        <v>4.8802940000000001</v>
      </c>
      <c r="P11">
        <f t="shared" si="0"/>
        <v>3.7528766666666672E-5</v>
      </c>
      <c r="Q11" cm="1">
        <f t="array" ref="Q11">[1]!PropsSI("D","T",J11+273.15,"P",101325,"Water")</f>
        <v>983.80216233207454</v>
      </c>
      <c r="R11" cm="1">
        <f t="array" ref="R11">[1]!PropsSI("D","T",K11+273.15,"P",101325,"Water")</f>
        <v>985.76673183065611</v>
      </c>
      <c r="S11">
        <f t="shared" si="1"/>
        <v>984.78444708136533</v>
      </c>
      <c r="T11" cm="1">
        <f t="array" ref="T11">[1]!PropsSI("H","T",J11+273.15,"P",101325,"Water")</f>
        <v>246282.68766851979</v>
      </c>
      <c r="U11" cm="1">
        <f t="array" ref="U11">[1]!PropsSI("H","T",K11+273.15,"P",101325,"Water")</f>
        <v>229692.2365315372</v>
      </c>
      <c r="V11">
        <f t="shared" si="2"/>
        <v>613.14567469112785</v>
      </c>
      <c r="X11">
        <f t="shared" si="3"/>
        <v>0.267626588</v>
      </c>
      <c r="Y11">
        <f t="shared" si="3"/>
        <v>0.25969550600000002</v>
      </c>
      <c r="Z11">
        <f t="shared" si="9"/>
        <v>0.37291520006714368</v>
      </c>
      <c r="AA11">
        <f t="shared" si="8"/>
        <v>3.9655410000000018</v>
      </c>
      <c r="AB11">
        <f t="shared" si="5"/>
        <v>9.4569121899222966E-2</v>
      </c>
      <c r="AC11">
        <f t="shared" si="6"/>
        <v>57.984648051846577</v>
      </c>
    </row>
    <row r="12" spans="1:29" x14ac:dyDescent="0.2">
      <c r="A12">
        <v>44675.080597062501</v>
      </c>
      <c r="B12">
        <v>17.521712999999998</v>
      </c>
      <c r="C12">
        <v>18.111163000000001</v>
      </c>
      <c r="D12">
        <v>18.656882</v>
      </c>
      <c r="E12">
        <v>19.008095999999998</v>
      </c>
      <c r="F12">
        <v>36.391872999999997</v>
      </c>
      <c r="G12">
        <v>35.590254999999999</v>
      </c>
      <c r="H12">
        <v>31.781756999999999</v>
      </c>
      <c r="I12">
        <v>28.430620999999999</v>
      </c>
      <c r="J12">
        <v>58.812019999999997</v>
      </c>
      <c r="K12">
        <v>54.843615</v>
      </c>
      <c r="L12">
        <v>84.002992000000006</v>
      </c>
      <c r="M12">
        <v>-622.46898099999999</v>
      </c>
      <c r="N12">
        <v>2.2529590000000002</v>
      </c>
      <c r="O12">
        <v>6.0694039999999996</v>
      </c>
      <c r="P12">
        <f t="shared" si="0"/>
        <v>3.7549316666666666E-5</v>
      </c>
      <c r="Q12" cm="1">
        <f t="array" ref="Q12">[1]!PropsSI("D","T",J12+273.15,"P",101325,"Water")</f>
        <v>983.80280876911161</v>
      </c>
      <c r="R12" cm="1">
        <f t="array" ref="R12">[1]!PropsSI("D","T",K12+273.15,"P",101325,"Water")</f>
        <v>985.76873145658067</v>
      </c>
      <c r="S12">
        <f t="shared" si="1"/>
        <v>984.78577011284619</v>
      </c>
      <c r="T12" cm="1">
        <f t="array" ref="T12">[1]!PropsSI("H","T",J12+273.15,"P",101325,"Water")</f>
        <v>246277.35668517774</v>
      </c>
      <c r="U12" cm="1">
        <f t="array" ref="U12">[1]!PropsSI("H","T",K12+273.15,"P",101325,"Water")</f>
        <v>229674.92768780389</v>
      </c>
      <c r="V12">
        <f t="shared" si="2"/>
        <v>613.92516287558124</v>
      </c>
      <c r="X12">
        <f t="shared" si="3"/>
        <v>0.26762404000000001</v>
      </c>
      <c r="Y12">
        <f t="shared" si="3"/>
        <v>0.25968722999999999</v>
      </c>
      <c r="Z12">
        <f t="shared" si="9"/>
        <v>0.37290760814308216</v>
      </c>
      <c r="AA12">
        <f t="shared" si="8"/>
        <v>3.9684049999999971</v>
      </c>
      <c r="AB12">
        <f t="shared" si="5"/>
        <v>9.4499732381441368E-2</v>
      </c>
      <c r="AC12">
        <f t="shared" si="6"/>
        <v>58.01576359397523</v>
      </c>
    </row>
    <row r="13" spans="1:29" x14ac:dyDescent="0.2">
      <c r="A13">
        <v>44675.080632363497</v>
      </c>
      <c r="B13">
        <v>17.387488000000001</v>
      </c>
      <c r="C13">
        <v>18.020575000000001</v>
      </c>
      <c r="D13">
        <v>18.614212999999999</v>
      </c>
      <c r="E13">
        <v>18.992809999999999</v>
      </c>
      <c r="F13">
        <v>36.458227999999998</v>
      </c>
      <c r="G13">
        <v>32.620106999999997</v>
      </c>
      <c r="H13">
        <v>31.528963999999998</v>
      </c>
      <c r="I13">
        <v>28.348140999999998</v>
      </c>
      <c r="J13">
        <v>58.808833999999997</v>
      </c>
      <c r="K13">
        <v>54.840750999999997</v>
      </c>
      <c r="L13">
        <v>81.605153000000001</v>
      </c>
      <c r="M13">
        <v>-622.49632699999995</v>
      </c>
      <c r="N13">
        <v>2.251099</v>
      </c>
      <c r="O13">
        <v>5.5550670000000002</v>
      </c>
      <c r="P13">
        <f t="shared" si="0"/>
        <v>3.7518316666666666E-5</v>
      </c>
      <c r="Q13" cm="1">
        <f t="array" ref="Q13">[1]!PropsSI("D","T",J13+273.15,"P",101325,"Water")</f>
        <v>983.80442532662676</v>
      </c>
      <c r="R13" cm="1">
        <f t="array" ref="R13">[1]!PropsSI("D","T",K13+273.15,"P",101325,"Water")</f>
        <v>985.77011537890098</v>
      </c>
      <c r="S13">
        <f t="shared" si="1"/>
        <v>984.78727035276393</v>
      </c>
      <c r="T13" cm="1">
        <f t="array" ref="T13">[1]!PropsSI("H","T",J13+273.15,"P",101325,"Water")</f>
        <v>246264.02504536128</v>
      </c>
      <c r="U13" cm="1">
        <f t="array" ref="U13">[1]!PropsSI("H","T",K13+273.15,"P",101325,"Water")</f>
        <v>229662.94786331095</v>
      </c>
      <c r="V13">
        <f t="shared" si="2"/>
        <v>613.36930617853932</v>
      </c>
      <c r="X13">
        <f t="shared" si="3"/>
        <v>0.26761766799999998</v>
      </c>
      <c r="Y13">
        <f t="shared" si="3"/>
        <v>0.25968150200000001</v>
      </c>
      <c r="Z13">
        <f t="shared" si="9"/>
        <v>0.3728990462668606</v>
      </c>
      <c r="AA13">
        <f t="shared" si="8"/>
        <v>3.968083</v>
      </c>
      <c r="AB13">
        <f t="shared" si="5"/>
        <v>9.4505169358352265E-2</v>
      </c>
      <c r="AC13">
        <f t="shared" si="6"/>
        <v>57.966570159617881</v>
      </c>
    </row>
    <row r="14" spans="1:29" x14ac:dyDescent="0.2">
      <c r="A14">
        <v>44675.080667664399</v>
      </c>
      <c r="B14">
        <v>17.281414999999999</v>
      </c>
      <c r="C14">
        <v>17.784834</v>
      </c>
      <c r="D14">
        <v>18.611453000000001</v>
      </c>
      <c r="E14">
        <v>18.975754999999999</v>
      </c>
      <c r="F14">
        <v>36.274506000000002</v>
      </c>
      <c r="G14">
        <v>35.114713000000002</v>
      </c>
      <c r="H14">
        <v>32.034725000000002</v>
      </c>
      <c r="I14">
        <v>28.077162999999999</v>
      </c>
      <c r="J14">
        <v>58.807082000000001</v>
      </c>
      <c r="K14">
        <v>54.836931999999997</v>
      </c>
      <c r="L14">
        <v>84.760506000000007</v>
      </c>
      <c r="M14">
        <v>-622.49959200000001</v>
      </c>
      <c r="N14">
        <v>2.2452269999999999</v>
      </c>
      <c r="O14">
        <v>5.7138260000000001</v>
      </c>
      <c r="P14">
        <f t="shared" si="0"/>
        <v>3.7420449999999995E-5</v>
      </c>
      <c r="Q14" cm="1">
        <f t="array" ref="Q14">[1]!PropsSI("D","T",J14+273.15,"P",101325,"Water")</f>
        <v>983.80531425521644</v>
      </c>
      <c r="R14" cm="1">
        <f t="array" ref="R14">[1]!PropsSI("D","T",K14+273.15,"P",101325,"Water")</f>
        <v>985.77196069041997</v>
      </c>
      <c r="S14">
        <f t="shared" si="1"/>
        <v>984.78863747281821</v>
      </c>
      <c r="T14" cm="1">
        <f t="array" ref="T14">[1]!PropsSI("H","T",J14+273.15,"P",101325,"Water")</f>
        <v>246256.69390062883</v>
      </c>
      <c r="U14" cm="1">
        <f t="array" ref="U14">[1]!PropsSI("H","T",K14+273.15,"P",101325,"Water")</f>
        <v>229646.97337427447</v>
      </c>
      <c r="V14">
        <f t="shared" si="2"/>
        <v>612.08869727837464</v>
      </c>
      <c r="X14">
        <f t="shared" si="3"/>
        <v>0.26761416399999999</v>
      </c>
      <c r="Y14">
        <f t="shared" si="3"/>
        <v>0.25967386399999998</v>
      </c>
      <c r="Z14">
        <f t="shared" si="9"/>
        <v>0.37289121257829255</v>
      </c>
      <c r="AA14">
        <f t="shared" si="8"/>
        <v>3.9701500000000038</v>
      </c>
      <c r="AB14">
        <f t="shared" si="5"/>
        <v>9.445455562764013E-2</v>
      </c>
      <c r="AC14">
        <f t="shared" si="6"/>
        <v>57.814565906130014</v>
      </c>
    </row>
    <row r="15" spans="1:29" x14ac:dyDescent="0.2">
      <c r="A15">
        <v>46137.080702962965</v>
      </c>
      <c r="B15">
        <v>17.311506000000001</v>
      </c>
      <c r="C15">
        <v>17.613178000000001</v>
      </c>
      <c r="D15">
        <v>18.571693</v>
      </c>
      <c r="E15">
        <v>18.938502</v>
      </c>
      <c r="F15">
        <v>35.695222999999999</v>
      </c>
      <c r="G15">
        <v>34.223132</v>
      </c>
      <c r="H15">
        <v>31.216908</v>
      </c>
      <c r="I15">
        <v>28.636828000000001</v>
      </c>
      <c r="J15">
        <v>58.804532999999999</v>
      </c>
      <c r="K15">
        <v>54.832794999999997</v>
      </c>
      <c r="L15">
        <v>81.992480999999998</v>
      </c>
      <c r="M15">
        <v>-622.48816399999998</v>
      </c>
      <c r="N15">
        <v>2.248046</v>
      </c>
      <c r="O15">
        <v>5.185168</v>
      </c>
      <c r="P15">
        <f t="shared" ref="P15:P34" si="10" xml:space="preserve"> N15*0.001/60</f>
        <v>3.7467433333333333E-5</v>
      </c>
      <c r="Q15" cm="1">
        <f t="array" ref="Q15">[1]!PropsSI("D","T",J15+273.15,"P",101325,"Water")</f>
        <v>983.8066075323934</v>
      </c>
      <c r="R15" cm="1">
        <f t="array" ref="R15">[1]!PropsSI("D","T",K15+273.15,"P",101325,"Water")</f>
        <v>985.7739595547597</v>
      </c>
      <c r="S15">
        <f t="shared" ref="S15:S34" si="11">(Q15+R15)/2</f>
        <v>984.79028354357661</v>
      </c>
      <c r="T15" cm="1">
        <f t="array" ref="T15">[1]!PropsSI("H","T",J15+273.15,"P",101325,"Water")</f>
        <v>246246.02775682209</v>
      </c>
      <c r="U15" cm="1">
        <f t="array" ref="U15">[1]!PropsSI("H","T",K15+273.15,"P",101325,"Water")</f>
        <v>229629.66872950186</v>
      </c>
      <c r="V15">
        <f t="shared" ref="V15:V34" si="12">S15*P15*(T15-U15)</f>
        <v>613.10317557569203</v>
      </c>
      <c r="X15">
        <f t="shared" ref="X15:X34" si="13">(0.15+0.002*ABS(J15))</f>
        <v>0.26760906600000001</v>
      </c>
      <c r="Y15">
        <f t="shared" ref="Y15:Y34" si="14">(0.15+0.002*ABS(K15))</f>
        <v>0.25966559</v>
      </c>
      <c r="Z15">
        <f t="shared" ref="Z15:Z34" si="15">SQRT((X15)^2 + (Y15)^2)</f>
        <v>0.37288179204064187</v>
      </c>
      <c r="AA15">
        <f t="shared" ref="AA15:AA34" si="16">J15-K15</f>
        <v>3.971738000000002</v>
      </c>
      <c r="AB15">
        <f t="shared" ref="AB15:AB34" si="17">SQRT((0.01)^2 + (Z15/ABS(AA15))^2)</f>
        <v>9.4414855169105596E-2</v>
      </c>
      <c r="AC15">
        <f t="shared" ref="AC15:AC34" si="18">ABS(V15*AB15)</f>
        <v>57.886047525697684</v>
      </c>
    </row>
    <row r="16" spans="1:29" x14ac:dyDescent="0.2">
      <c r="A16">
        <v>46137.080738263889</v>
      </c>
      <c r="B16">
        <v>17.411532999999999</v>
      </c>
      <c r="C16">
        <v>17.847314000000001</v>
      </c>
      <c r="D16">
        <v>18.572800999999998</v>
      </c>
      <c r="E16">
        <v>18.934784000000001</v>
      </c>
      <c r="F16">
        <v>36.152602000000002</v>
      </c>
      <c r="G16">
        <v>33.429726000000002</v>
      </c>
      <c r="H16">
        <v>31.947831000000001</v>
      </c>
      <c r="I16">
        <v>28.444737</v>
      </c>
      <c r="J16">
        <v>58.801983999999997</v>
      </c>
      <c r="K16">
        <v>54.830886</v>
      </c>
      <c r="L16">
        <v>86.850605000000002</v>
      </c>
      <c r="M16">
        <v>-622.48367399999995</v>
      </c>
      <c r="N16">
        <v>2.2508940000000002</v>
      </c>
      <c r="O16">
        <v>5.8050179999999996</v>
      </c>
      <c r="P16">
        <f t="shared" si="10"/>
        <v>3.7514900000000002E-5</v>
      </c>
      <c r="Q16" cm="1">
        <f t="array" ref="Q16">[1]!PropsSI("D","T",J16+273.15,"P",101325,"Water")</f>
        <v>983.80790077073061</v>
      </c>
      <c r="R16" cm="1">
        <f t="array" ref="R16">[1]!PropsSI("D","T",K16+273.15,"P",101325,"Water")</f>
        <v>985.77488188580401</v>
      </c>
      <c r="S16">
        <f t="shared" si="11"/>
        <v>984.79139132826731</v>
      </c>
      <c r="T16" cm="1">
        <f t="array" ref="T16">[1]!PropsSI("H","T",J16+273.15,"P",101325,"Water")</f>
        <v>246235.36161576016</v>
      </c>
      <c r="U16" cm="1">
        <f t="array" ref="U16">[1]!PropsSI("H","T",K16+273.15,"P",101325,"Water")</f>
        <v>229621.68358127371</v>
      </c>
      <c r="V16">
        <f t="shared" si="12"/>
        <v>613.78154550570628</v>
      </c>
      <c r="X16">
        <f t="shared" si="13"/>
        <v>0.26760396799999997</v>
      </c>
      <c r="Y16">
        <f t="shared" si="14"/>
        <v>0.25966177200000001</v>
      </c>
      <c r="Z16">
        <f t="shared" si="15"/>
        <v>0.37287547455890019</v>
      </c>
      <c r="AA16">
        <f t="shared" si="16"/>
        <v>3.9710979999999978</v>
      </c>
      <c r="AB16">
        <f t="shared" si="17"/>
        <v>9.4428318887299745E-2</v>
      </c>
      <c r="AC16">
        <f t="shared" si="18"/>
        <v>57.958359506152512</v>
      </c>
    </row>
    <row r="17" spans="1:29" x14ac:dyDescent="0.2">
      <c r="A17">
        <v>46137.080772986112</v>
      </c>
      <c r="B17">
        <v>17.311983999999999</v>
      </c>
      <c r="C17">
        <v>17.763258</v>
      </c>
      <c r="D17">
        <v>18.599957</v>
      </c>
      <c r="E17">
        <v>18.946735</v>
      </c>
      <c r="F17">
        <v>36.394455999999998</v>
      </c>
      <c r="G17">
        <v>33.677740999999997</v>
      </c>
      <c r="H17">
        <v>31.409721000000001</v>
      </c>
      <c r="I17">
        <v>27.915434000000001</v>
      </c>
      <c r="J17">
        <v>58.803418000000001</v>
      </c>
      <c r="K17">
        <v>54.826590000000003</v>
      </c>
      <c r="L17">
        <v>91.749950999999996</v>
      </c>
      <c r="M17">
        <v>-622.49142900000004</v>
      </c>
      <c r="N17">
        <v>2.2465709999999999</v>
      </c>
      <c r="O17">
        <v>5.1270040000000003</v>
      </c>
      <c r="P17">
        <f t="shared" si="10"/>
        <v>3.7442849999999997E-5</v>
      </c>
      <c r="Q17" cm="1">
        <f t="array" ref="Q17">[1]!PropsSI("D","T",J17+273.15,"P",101325,"Water")</f>
        <v>983.80717323380554</v>
      </c>
      <c r="R17" cm="1">
        <f t="array" ref="R17">[1]!PropsSI("D","T",K17+273.15,"P",101325,"Water")</f>
        <v>985.77695741013702</v>
      </c>
      <c r="S17">
        <f t="shared" si="11"/>
        <v>984.79206532197122</v>
      </c>
      <c r="T17" cm="1">
        <f t="array" ref="T17">[1]!PropsSI("H","T",J17+273.15,"P",101325,"Water")</f>
        <v>246241.36210434689</v>
      </c>
      <c r="U17" cm="1">
        <f t="array" ref="U17">[1]!PropsSI("H","T",K17+273.15,"P",101325,"Water")</f>
        <v>229603.71386530661</v>
      </c>
      <c r="V17">
        <f t="shared" si="12"/>
        <v>613.48701766846807</v>
      </c>
      <c r="X17">
        <f t="shared" si="13"/>
        <v>0.26760683600000001</v>
      </c>
      <c r="Y17">
        <f t="shared" si="14"/>
        <v>0.25965317999999998</v>
      </c>
      <c r="Z17">
        <f t="shared" si="15"/>
        <v>0.37287154967635078</v>
      </c>
      <c r="AA17">
        <f t="shared" si="16"/>
        <v>3.9768279999999976</v>
      </c>
      <c r="AB17">
        <f t="shared" si="17"/>
        <v>9.4292807723109065E-2</v>
      </c>
      <c r="AC17">
        <f t="shared" si="18"/>
        <v>57.847413397636473</v>
      </c>
    </row>
    <row r="18" spans="1:29" x14ac:dyDescent="0.2">
      <c r="A18">
        <v>46137.080807708335</v>
      </c>
      <c r="B18">
        <v>17.293741000000001</v>
      </c>
      <c r="C18">
        <v>17.942426000000001</v>
      </c>
      <c r="D18">
        <v>18.626732000000001</v>
      </c>
      <c r="E18">
        <v>18.916224</v>
      </c>
      <c r="F18">
        <v>36.299512</v>
      </c>
      <c r="G18">
        <v>34.723464</v>
      </c>
      <c r="H18">
        <v>31.858129999999999</v>
      </c>
      <c r="I18">
        <v>28.786317</v>
      </c>
      <c r="J18">
        <v>58.801665</v>
      </c>
      <c r="K18">
        <v>54.824520999999997</v>
      </c>
      <c r="L18">
        <v>79.215477000000007</v>
      </c>
      <c r="M18">
        <v>-622.50816299999997</v>
      </c>
      <c r="N18">
        <v>2.2509549999999998</v>
      </c>
      <c r="O18">
        <v>5.325043</v>
      </c>
      <c r="P18">
        <f t="shared" si="10"/>
        <v>3.7515916666666661E-5</v>
      </c>
      <c r="Q18" cm="1">
        <f t="array" ref="Q18">[1]!PropsSI("D","T",J18+273.15,"P",101325,"Water")</f>
        <v>983.80806261305008</v>
      </c>
      <c r="R18" cm="1">
        <f t="array" ref="R18">[1]!PropsSI("D","T",K18+273.15,"P",101325,"Water")</f>
        <v>985.77795696409714</v>
      </c>
      <c r="S18">
        <f t="shared" si="11"/>
        <v>984.79300978857361</v>
      </c>
      <c r="T18" cm="1">
        <f t="array" ref="T18">[1]!PropsSI("H","T",J18+273.15,"P",101325,"Water")</f>
        <v>246234.02677914844</v>
      </c>
      <c r="U18" cm="1">
        <f t="array" ref="U18">[1]!PropsSI("H","T",K18+273.15,"P",101325,"Water")</f>
        <v>229595.05945842084</v>
      </c>
      <c r="V18">
        <f t="shared" si="12"/>
        <v>614.73351105766756</v>
      </c>
      <c r="X18">
        <f t="shared" si="13"/>
        <v>0.26760333000000003</v>
      </c>
      <c r="Y18">
        <f t="shared" si="14"/>
        <v>0.259649042</v>
      </c>
      <c r="Z18">
        <f t="shared" si="15"/>
        <v>0.37286615190790207</v>
      </c>
      <c r="AA18">
        <f t="shared" si="16"/>
        <v>3.9771440000000027</v>
      </c>
      <c r="AB18">
        <f t="shared" si="17"/>
        <v>9.4284050506782055E-2</v>
      </c>
      <c r="AC18">
        <f t="shared" si="18"/>
        <v>57.95956540477259</v>
      </c>
    </row>
    <row r="19" spans="1:29" x14ac:dyDescent="0.2">
      <c r="A19">
        <v>46137.080843009258</v>
      </c>
      <c r="B19">
        <v>17.301331000000001</v>
      </c>
      <c r="C19">
        <v>17.885660999999999</v>
      </c>
      <c r="D19">
        <v>18.630928000000001</v>
      </c>
      <c r="E19">
        <v>18.870162000000001</v>
      </c>
      <c r="F19">
        <v>36.252521999999999</v>
      </c>
      <c r="G19">
        <v>33.835951000000001</v>
      </c>
      <c r="H19">
        <v>31.027345</v>
      </c>
      <c r="I19">
        <v>27.824819000000002</v>
      </c>
      <c r="J19">
        <v>58.798479</v>
      </c>
      <c r="K19">
        <v>54.817838000000002</v>
      </c>
      <c r="L19">
        <v>84.861725000000007</v>
      </c>
      <c r="M19">
        <v>-622.49632699999995</v>
      </c>
      <c r="N19">
        <v>2.2498369999999999</v>
      </c>
      <c r="O19">
        <v>5.3575499999999998</v>
      </c>
      <c r="P19">
        <f t="shared" si="10"/>
        <v>3.7497283333333327E-5</v>
      </c>
      <c r="Q19" cm="1">
        <f t="array" ref="Q19">[1]!PropsSI("D","T",J19+273.15,"P",101325,"Water")</f>
        <v>983.80967897347603</v>
      </c>
      <c r="R19" cm="1">
        <f t="array" ref="R19">[1]!PropsSI("D","T",K19+273.15,"P",101325,"Water")</f>
        <v>985.7811854043739</v>
      </c>
      <c r="S19">
        <f t="shared" si="11"/>
        <v>984.79543218892491</v>
      </c>
      <c r="T19" cm="1">
        <f t="array" ref="T19">[1]!PropsSI("H","T",J19+273.15,"P",101325,"Water")</f>
        <v>246220.69515316663</v>
      </c>
      <c r="U19" cm="1">
        <f t="array" ref="U19">[1]!PropsSI("H","T",K19+273.15,"P",101325,"Water")</f>
        <v>229567.1051907379</v>
      </c>
      <c r="V19">
        <f t="shared" si="12"/>
        <v>614.96967030668588</v>
      </c>
      <c r="X19">
        <f t="shared" si="13"/>
        <v>0.267596958</v>
      </c>
      <c r="Y19">
        <f t="shared" si="14"/>
        <v>0.25963567599999998</v>
      </c>
      <c r="Z19">
        <f t="shared" si="15"/>
        <v>0.37285227125877984</v>
      </c>
      <c r="AA19">
        <f t="shared" si="16"/>
        <v>3.9806409999999985</v>
      </c>
      <c r="AB19">
        <f t="shared" si="17"/>
        <v>9.4198686636260201E-2</v>
      </c>
      <c r="AC19">
        <f t="shared" si="18"/>
        <v>57.929335264023756</v>
      </c>
    </row>
    <row r="20" spans="1:29" x14ac:dyDescent="0.2">
      <c r="A20">
        <v>46137.080877731481</v>
      </c>
      <c r="B20">
        <v>17.390547999999999</v>
      </c>
      <c r="C20">
        <v>17.828841000000001</v>
      </c>
      <c r="D20">
        <v>18.582874</v>
      </c>
      <c r="E20">
        <v>18.864431</v>
      </c>
      <c r="F20">
        <v>35.79195</v>
      </c>
      <c r="G20">
        <v>32.871881000000002</v>
      </c>
      <c r="H20">
        <v>31.968297</v>
      </c>
      <c r="I20">
        <v>28.424659999999999</v>
      </c>
      <c r="J20">
        <v>58.796886000000001</v>
      </c>
      <c r="K20">
        <v>54.814655999999999</v>
      </c>
      <c r="L20">
        <v>84.221756999999997</v>
      </c>
      <c r="M20">
        <v>-622.5</v>
      </c>
      <c r="N20">
        <v>2.253234</v>
      </c>
      <c r="O20">
        <v>5.2960940000000001</v>
      </c>
      <c r="P20">
        <f t="shared" si="10"/>
        <v>3.75539E-5</v>
      </c>
      <c r="Q20" cm="1">
        <f t="array" ref="Q20">[1]!PropsSI("D","T",J20+273.15,"P",101325,"Water")</f>
        <v>983.81048713096823</v>
      </c>
      <c r="R20" cm="1">
        <f t="array" ref="R20">[1]!PropsSI("D","T",K20+273.15,"P",101325,"Water")</f>
        <v>985.78272247521988</v>
      </c>
      <c r="S20">
        <f t="shared" si="11"/>
        <v>984.79660480309406</v>
      </c>
      <c r="T20" cm="1">
        <f t="array" ref="T20">[1]!PropsSI("H","T",J20+273.15,"P",101325,"Water")</f>
        <v>246214.02934174347</v>
      </c>
      <c r="U20" cm="1">
        <f t="array" ref="U20">[1]!PropsSI("H","T",K20+273.15,"P",101325,"Water")</f>
        <v>229553.7952338786</v>
      </c>
      <c r="V20">
        <f t="shared" si="12"/>
        <v>616.14465859734889</v>
      </c>
      <c r="X20">
        <f t="shared" si="13"/>
        <v>0.26759377200000001</v>
      </c>
      <c r="Y20">
        <f t="shared" si="14"/>
        <v>0.259629312</v>
      </c>
      <c r="Z20">
        <f t="shared" si="15"/>
        <v>0.37284555309508699</v>
      </c>
      <c r="AA20">
        <f t="shared" si="16"/>
        <v>3.9822300000000013</v>
      </c>
      <c r="AB20">
        <f t="shared" si="17"/>
        <v>9.4159845411576404E-2</v>
      </c>
      <c r="AC20">
        <f t="shared" si="18"/>
        <v>58.016085804694889</v>
      </c>
    </row>
    <row r="21" spans="1:29" x14ac:dyDescent="0.2">
      <c r="A21">
        <v>46137.080913032405</v>
      </c>
      <c r="B21">
        <v>17.237083999999999</v>
      </c>
      <c r="C21">
        <v>17.743359999999999</v>
      </c>
      <c r="D21">
        <v>18.609549999999999</v>
      </c>
      <c r="E21">
        <v>18.894759000000001</v>
      </c>
      <c r="F21">
        <v>36.369424000000002</v>
      </c>
      <c r="G21">
        <v>35.090595</v>
      </c>
      <c r="H21">
        <v>30.815525999999998</v>
      </c>
      <c r="I21">
        <v>28.004539000000001</v>
      </c>
      <c r="J21">
        <v>58.795771000000002</v>
      </c>
      <c r="K21">
        <v>54.811951000000001</v>
      </c>
      <c r="L21">
        <v>88.688472000000004</v>
      </c>
      <c r="M21">
        <v>-622.506122</v>
      </c>
      <c r="N21">
        <v>2.2483740000000001</v>
      </c>
      <c r="O21">
        <v>4.9776360000000004</v>
      </c>
      <c r="P21">
        <f t="shared" si="10"/>
        <v>3.7472899999999998E-5</v>
      </c>
      <c r="Q21" cm="1">
        <f t="array" ref="Q21">[1]!PropsSI("D","T",J21+273.15,"P",101325,"Water")</f>
        <v>983.81105278145833</v>
      </c>
      <c r="R21" cm="1">
        <f t="array" ref="R21">[1]!PropsSI("D","T",K21+273.15,"P",101325,"Water")</f>
        <v>985.78402908084922</v>
      </c>
      <c r="S21">
        <f t="shared" si="11"/>
        <v>984.79754093115378</v>
      </c>
      <c r="T21" cm="1">
        <f t="array" ref="T21">[1]!PropsSI("H","T",J21+273.15,"P",101325,"Water")</f>
        <v>246209.36369285133</v>
      </c>
      <c r="U21" cm="1">
        <f t="array" ref="U21">[1]!PropsSI("H","T",K21+273.15,"P",101325,"Water")</f>
        <v>229542.48051853059</v>
      </c>
      <c r="V21">
        <f t="shared" si="12"/>
        <v>615.06165268885775</v>
      </c>
      <c r="X21">
        <f t="shared" si="13"/>
        <v>0.26759154200000002</v>
      </c>
      <c r="Y21">
        <f t="shared" si="14"/>
        <v>0.25962390200000002</v>
      </c>
      <c r="Z21">
        <f t="shared" si="15"/>
        <v>0.37284018538730962</v>
      </c>
      <c r="AA21">
        <f t="shared" si="16"/>
        <v>3.9838200000000015</v>
      </c>
      <c r="AB21">
        <f t="shared" si="17"/>
        <v>9.4121349061485199E-2</v>
      </c>
      <c r="AC21">
        <f t="shared" si="18"/>
        <v>57.890432507061959</v>
      </c>
    </row>
    <row r="22" spans="1:29" x14ac:dyDescent="0.2">
      <c r="A22">
        <v>46137.080948333336</v>
      </c>
      <c r="B22">
        <v>17.196179000000001</v>
      </c>
      <c r="C22">
        <v>17.454992000000001</v>
      </c>
      <c r="D22">
        <v>18.563514999999999</v>
      </c>
      <c r="E22">
        <v>18.914524</v>
      </c>
      <c r="F22">
        <v>35.978423999999997</v>
      </c>
      <c r="G22">
        <v>32.984918999999998</v>
      </c>
      <c r="H22">
        <v>31.601534000000001</v>
      </c>
      <c r="I22">
        <v>28.408709999999999</v>
      </c>
      <c r="J22">
        <v>58.794497</v>
      </c>
      <c r="K22">
        <v>54.811791999999997</v>
      </c>
      <c r="L22">
        <v>80.211346000000006</v>
      </c>
      <c r="M22">
        <v>-622.49550999999997</v>
      </c>
      <c r="N22">
        <v>2.2473369999999999</v>
      </c>
      <c r="O22">
        <v>5.2687850000000003</v>
      </c>
      <c r="P22">
        <f t="shared" si="10"/>
        <v>3.7455616666666664E-5</v>
      </c>
      <c r="Q22" cm="1">
        <f t="array" ref="Q22">[1]!PropsSI("D","T",J22+273.15,"P",101325,"Water")</f>
        <v>983.81169908508969</v>
      </c>
      <c r="R22" cm="1">
        <f t="array" ref="R22">[1]!PropsSI("D","T",K22+273.15,"P",101325,"Water")</f>
        <v>985.784105881757</v>
      </c>
      <c r="S22">
        <f t="shared" si="11"/>
        <v>984.79790248342329</v>
      </c>
      <c r="T22" cm="1">
        <f t="array" ref="T22">[1]!PropsSI("H","T",J22+273.15,"P",101325,"Water")</f>
        <v>246204.03271884893</v>
      </c>
      <c r="U22" cm="1">
        <f t="array" ref="U22">[1]!PropsSI("H","T",K22+273.15,"P",101325,"Water")</f>
        <v>229541.81543920402</v>
      </c>
      <c r="V22">
        <f t="shared" si="12"/>
        <v>614.60609112307418</v>
      </c>
      <c r="X22">
        <f t="shared" si="13"/>
        <v>0.26758899400000002</v>
      </c>
      <c r="Y22">
        <f t="shared" si="14"/>
        <v>0.25962358399999996</v>
      </c>
      <c r="Z22">
        <f t="shared" si="15"/>
        <v>0.37283813522618242</v>
      </c>
      <c r="AA22">
        <f t="shared" si="16"/>
        <v>3.9827050000000028</v>
      </c>
      <c r="AB22">
        <f t="shared" si="17"/>
        <v>9.414689006033744E-2</v>
      </c>
      <c r="AC22">
        <f t="shared" si="18"/>
        <v>57.863252091377802</v>
      </c>
    </row>
    <row r="23" spans="1:29" x14ac:dyDescent="0.2">
      <c r="A23">
        <v>46137.080983055559</v>
      </c>
      <c r="B23">
        <v>17.314809</v>
      </c>
      <c r="C23">
        <v>17.738866000000002</v>
      </c>
      <c r="D23">
        <v>18.585616000000002</v>
      </c>
      <c r="E23">
        <v>18.921610999999999</v>
      </c>
      <c r="F23">
        <v>36.431474000000001</v>
      </c>
      <c r="G23">
        <v>37.170046999999997</v>
      </c>
      <c r="H23">
        <v>31.402242999999999</v>
      </c>
      <c r="I23">
        <v>28.341418999999998</v>
      </c>
      <c r="J23">
        <v>58.792107000000001</v>
      </c>
      <c r="K23">
        <v>54.806223000000003</v>
      </c>
      <c r="L23">
        <v>85.442511999999994</v>
      </c>
      <c r="M23">
        <v>-622.51142800000002</v>
      </c>
      <c r="N23">
        <v>2.2460049999999998</v>
      </c>
      <c r="O23">
        <v>5.4377610000000001</v>
      </c>
      <c r="P23">
        <f t="shared" si="10"/>
        <v>3.7433416666666663E-5</v>
      </c>
      <c r="Q23" cm="1">
        <f t="array" ref="Q23">[1]!PropsSI("D","T",J23+273.15,"P",101325,"Water")</f>
        <v>983.81291151243863</v>
      </c>
      <c r="R23" cm="1">
        <f t="array" ref="R23">[1]!PropsSI("D","T",K23+273.15,"P",101325,"Water")</f>
        <v>985.78679574650153</v>
      </c>
      <c r="S23">
        <f t="shared" si="11"/>
        <v>984.79985362947014</v>
      </c>
      <c r="T23" cm="1">
        <f t="array" ref="T23">[1]!PropsSI("H","T",J23+273.15,"P",101325,"Water")</f>
        <v>246194.03191396277</v>
      </c>
      <c r="U23" cm="1">
        <f t="array" ref="U23">[1]!PropsSI("H","T",K23+273.15,"P",101325,"Water")</f>
        <v>229518.52093767884</v>
      </c>
      <c r="V23">
        <f t="shared" si="12"/>
        <v>614.73309460952669</v>
      </c>
      <c r="X23">
        <f t="shared" si="13"/>
        <v>0.26758421399999999</v>
      </c>
      <c r="Y23">
        <f t="shared" si="14"/>
        <v>0.259612446</v>
      </c>
      <c r="Z23">
        <f t="shared" si="15"/>
        <v>0.37282694873104422</v>
      </c>
      <c r="AA23">
        <f t="shared" si="16"/>
        <v>3.9858839999999987</v>
      </c>
      <c r="AB23">
        <f t="shared" si="17"/>
        <v>9.4069858690761107E-2</v>
      </c>
      <c r="AC23">
        <f t="shared" si="18"/>
        <v>57.827855342452452</v>
      </c>
    </row>
    <row r="24" spans="1:29" x14ac:dyDescent="0.2">
      <c r="A24">
        <v>46137.081018356483</v>
      </c>
      <c r="B24">
        <v>17.369244999999999</v>
      </c>
      <c r="C24">
        <v>17.984743999999999</v>
      </c>
      <c r="D24">
        <v>18.588312999999999</v>
      </c>
      <c r="E24">
        <v>18.866295999999998</v>
      </c>
      <c r="F24">
        <v>36.154390999999997</v>
      </c>
      <c r="G24">
        <v>35.235436999999997</v>
      </c>
      <c r="H24">
        <v>31.942101999999998</v>
      </c>
      <c r="I24">
        <v>28.635096000000001</v>
      </c>
      <c r="J24">
        <v>58.792585000000003</v>
      </c>
      <c r="K24">
        <v>54.802722000000003</v>
      </c>
      <c r="L24">
        <v>85.382107000000005</v>
      </c>
      <c r="M24">
        <v>-622.48449100000005</v>
      </c>
      <c r="N24">
        <v>2.243026</v>
      </c>
      <c r="O24">
        <v>5.4265910000000002</v>
      </c>
      <c r="P24">
        <f t="shared" si="10"/>
        <v>3.7383766666666666E-5</v>
      </c>
      <c r="Q24" cm="1">
        <f t="array" ref="Q24">[1]!PropsSI("D","T",J24+273.15,"P",101325,"Water")</f>
        <v>983.81266902970719</v>
      </c>
      <c r="R24" cm="1">
        <f t="array" ref="R24">[1]!PropsSI("D","T",K24+273.15,"P",101325,"Water")</f>
        <v>985.7884866544656</v>
      </c>
      <c r="S24">
        <f t="shared" si="11"/>
        <v>984.80057784208634</v>
      </c>
      <c r="T24" cm="1">
        <f t="array" ref="T24">[1]!PropsSI("H","T",J24+273.15,"P",101325,"Water")</f>
        <v>246196.03207473908</v>
      </c>
      <c r="U24" cm="1">
        <f t="array" ref="U24">[1]!PropsSI("H","T",K24+273.15,"P",101325,"Water")</f>
        <v>229503.87665351908</v>
      </c>
      <c r="V24">
        <f t="shared" si="12"/>
        <v>614.53096623297938</v>
      </c>
      <c r="X24">
        <f t="shared" si="13"/>
        <v>0.26758516999999998</v>
      </c>
      <c r="Y24">
        <f t="shared" si="14"/>
        <v>0.25960544400000002</v>
      </c>
      <c r="Z24">
        <f t="shared" si="15"/>
        <v>0.37282275917433749</v>
      </c>
      <c r="AA24">
        <f t="shared" si="16"/>
        <v>3.9898629999999997</v>
      </c>
      <c r="AB24">
        <f t="shared" si="17"/>
        <v>9.3976061531512015E-2</v>
      </c>
      <c r="AC24">
        <f t="shared" si="18"/>
        <v>57.751199895730004</v>
      </c>
    </row>
    <row r="25" spans="1:29" x14ac:dyDescent="0.2">
      <c r="A25">
        <v>46137.081053657406</v>
      </c>
      <c r="B25">
        <v>17.459748000000001</v>
      </c>
      <c r="C25">
        <v>17.901980999999999</v>
      </c>
      <c r="D25">
        <v>18.596174999999999</v>
      </c>
      <c r="E25">
        <v>18.862386999999998</v>
      </c>
      <c r="F25">
        <v>36.202387999999999</v>
      </c>
      <c r="G25">
        <v>34.021507</v>
      </c>
      <c r="H25">
        <v>31.243569000000001</v>
      </c>
      <c r="I25">
        <v>28.331621999999999</v>
      </c>
      <c r="J25">
        <v>58.791789000000001</v>
      </c>
      <c r="K25">
        <v>54.802086000000003</v>
      </c>
      <c r="L25">
        <v>80.443987000000007</v>
      </c>
      <c r="M25">
        <v>-622.53265099999999</v>
      </c>
      <c r="N25">
        <v>2.250521</v>
      </c>
      <c r="O25">
        <v>5.6367149999999997</v>
      </c>
      <c r="P25">
        <f t="shared" si="10"/>
        <v>3.7508683333333332E-5</v>
      </c>
      <c r="Q25" cm="1">
        <f t="array" ref="Q25">[1]!PropsSI("D","T",J25+273.15,"P",101325,"Water")</f>
        <v>983.81307282864509</v>
      </c>
      <c r="R25" cm="1">
        <f t="array" ref="R25">[1]!PropsSI("D","T",K25+273.15,"P",101325,"Water")</f>
        <v>985.78879382064918</v>
      </c>
      <c r="S25">
        <f t="shared" si="11"/>
        <v>984.80093332464708</v>
      </c>
      <c r="T25" cm="1">
        <f t="array" ref="T25">[1]!PropsSI("H","T",J25+273.15,"P",101325,"Water")</f>
        <v>246192.70126310136</v>
      </c>
      <c r="U25" cm="1">
        <f t="array" ref="U25">[1]!PropsSI("H","T",K25+273.15,"P",101325,"Water")</f>
        <v>229501.21633845661</v>
      </c>
      <c r="V25">
        <f t="shared" si="12"/>
        <v>616.55985727291227</v>
      </c>
      <c r="X25">
        <f t="shared" si="13"/>
        <v>0.26758357799999999</v>
      </c>
      <c r="Y25">
        <f t="shared" si="14"/>
        <v>0.25960417200000002</v>
      </c>
      <c r="Z25">
        <f t="shared" si="15"/>
        <v>0.37282073082795125</v>
      </c>
      <c r="AA25">
        <f t="shared" si="16"/>
        <v>3.9897029999999987</v>
      </c>
      <c r="AB25">
        <f t="shared" si="17"/>
        <v>9.3979282093578462E-2</v>
      </c>
      <c r="AC25">
        <f t="shared" si="18"/>
        <v>57.943852754227493</v>
      </c>
    </row>
    <row r="26" spans="1:29" x14ac:dyDescent="0.2">
      <c r="A26">
        <v>46137.081088379629</v>
      </c>
      <c r="B26">
        <v>17.349726</v>
      </c>
      <c r="C26">
        <v>17.996917</v>
      </c>
      <c r="D26">
        <v>18.581216000000001</v>
      </c>
      <c r="E26">
        <v>18.877265000000001</v>
      </c>
      <c r="F26">
        <v>36.198830999999998</v>
      </c>
      <c r="G26">
        <v>32.751829999999998</v>
      </c>
      <c r="H26">
        <v>31.372375000000002</v>
      </c>
      <c r="I26">
        <v>28.388370999999999</v>
      </c>
      <c r="J26">
        <v>58.790832999999999</v>
      </c>
      <c r="K26">
        <v>54.800972000000002</v>
      </c>
      <c r="L26">
        <v>79.126909999999995</v>
      </c>
      <c r="M26">
        <v>-622.47673599999996</v>
      </c>
      <c r="N26">
        <v>2.2466979999999999</v>
      </c>
      <c r="O26">
        <v>5.5659450000000001</v>
      </c>
      <c r="P26">
        <f t="shared" si="10"/>
        <v>3.7444966666666671E-5</v>
      </c>
      <c r="Q26" cm="1">
        <f t="array" ref="Q26">[1]!PropsSI("D","T",J26+273.15,"P",101325,"Water")</f>
        <v>983.81355778820512</v>
      </c>
      <c r="R26" cm="1">
        <f t="array" ref="R26">[1]!PropsSI("D","T",K26+273.15,"P",101325,"Water")</f>
        <v>985.78933183838421</v>
      </c>
      <c r="S26">
        <f t="shared" si="11"/>
        <v>984.80144481329467</v>
      </c>
      <c r="T26" cm="1">
        <f t="array" ref="T26">[1]!PropsSI("H","T",J26+273.15,"P",101325,"Water")</f>
        <v>246188.70094190908</v>
      </c>
      <c r="U26" cm="1">
        <f t="array" ref="U26">[1]!PropsSI("H","T",K26+273.15,"P",101325,"Water")</f>
        <v>229496.55660456367</v>
      </c>
      <c r="V26">
        <f t="shared" si="12"/>
        <v>615.53713218628138</v>
      </c>
      <c r="X26">
        <f t="shared" si="13"/>
        <v>0.267581666</v>
      </c>
      <c r="Y26">
        <f t="shared" si="14"/>
        <v>0.25960194400000003</v>
      </c>
      <c r="Z26">
        <f t="shared" si="15"/>
        <v>0.37281780712288232</v>
      </c>
      <c r="AA26">
        <f t="shared" si="16"/>
        <v>3.9898609999999977</v>
      </c>
      <c r="AB26">
        <f t="shared" si="17"/>
        <v>9.3974873993631552E-2</v>
      </c>
      <c r="AC26">
        <f t="shared" si="18"/>
        <v>57.845024435607122</v>
      </c>
    </row>
    <row r="27" spans="1:29" x14ac:dyDescent="0.2">
      <c r="A27">
        <v>46137.081123680553</v>
      </c>
      <c r="B27">
        <v>17.359848</v>
      </c>
      <c r="C27">
        <v>17.861184999999999</v>
      </c>
      <c r="D27">
        <v>18.613389000000002</v>
      </c>
      <c r="E27">
        <v>18.841564000000002</v>
      </c>
      <c r="F27">
        <v>36.576911000000003</v>
      </c>
      <c r="G27">
        <v>35.678767999999998</v>
      </c>
      <c r="H27">
        <v>31.230812</v>
      </c>
      <c r="I27">
        <v>28.431155</v>
      </c>
      <c r="J27">
        <v>58.791789000000001</v>
      </c>
      <c r="K27">
        <v>54.799858</v>
      </c>
      <c r="L27">
        <v>86.927744000000004</v>
      </c>
      <c r="M27">
        <v>-622.49020499999995</v>
      </c>
      <c r="N27">
        <v>2.2473580000000002</v>
      </c>
      <c r="O27">
        <v>5.2148789999999998</v>
      </c>
      <c r="P27">
        <f t="shared" si="10"/>
        <v>3.7455966666666668E-5</v>
      </c>
      <c r="Q27" cm="1">
        <f t="array" ref="Q27">[1]!PropsSI("D","T",J27+273.15,"P",101325,"Water")</f>
        <v>983.81307282864509</v>
      </c>
      <c r="R27" cm="1">
        <f t="array" ref="R27">[1]!PropsSI("D","T",K27+273.15,"P",101325,"Water")</f>
        <v>985.78986984836411</v>
      </c>
      <c r="S27">
        <f t="shared" si="11"/>
        <v>984.8014713385046</v>
      </c>
      <c r="T27" cm="1">
        <f t="array" ref="T27">[1]!PropsSI("H","T",J27+273.15,"P",101325,"Water")</f>
        <v>246192.70126310136</v>
      </c>
      <c r="U27" cm="1">
        <f t="array" ref="U27">[1]!PropsSI("H","T",K27+273.15,"P",101325,"Water")</f>
        <v>229491.89687117335</v>
      </c>
      <c r="V27">
        <f t="shared" si="12"/>
        <v>616.03741245500566</v>
      </c>
      <c r="X27">
        <f t="shared" si="13"/>
        <v>0.26758357799999999</v>
      </c>
      <c r="Y27">
        <f t="shared" si="14"/>
        <v>0.25959971599999998</v>
      </c>
      <c r="Z27">
        <f t="shared" si="15"/>
        <v>0.37281762802013901</v>
      </c>
      <c r="AA27">
        <f t="shared" si="16"/>
        <v>3.991931000000001</v>
      </c>
      <c r="AB27">
        <f t="shared" si="17"/>
        <v>9.3926651017687712E-2</v>
      </c>
      <c r="AC27">
        <f t="shared" si="18"/>
        <v>57.862331053500661</v>
      </c>
    </row>
    <row r="28" spans="1:29" x14ac:dyDescent="0.2">
      <c r="A28">
        <v>46137.081158402776</v>
      </c>
      <c r="B28">
        <v>17.358309999999999</v>
      </c>
      <c r="C28">
        <v>17.866972000000001</v>
      </c>
      <c r="D28">
        <v>18.602233999999999</v>
      </c>
      <c r="E28">
        <v>18.772255000000001</v>
      </c>
      <c r="F28">
        <v>36.468330999999999</v>
      </c>
      <c r="G28">
        <v>33.342663000000002</v>
      </c>
      <c r="H28">
        <v>32.108449999999998</v>
      </c>
      <c r="I28">
        <v>28.429651</v>
      </c>
      <c r="J28">
        <v>58.791311</v>
      </c>
      <c r="K28">
        <v>54.799061999999999</v>
      </c>
      <c r="L28">
        <v>84.915599999999998</v>
      </c>
      <c r="M28">
        <v>-622.50204099999996</v>
      </c>
      <c r="N28">
        <v>2.2470210000000002</v>
      </c>
      <c r="O28">
        <v>4.8219269999999996</v>
      </c>
      <c r="P28">
        <f t="shared" si="10"/>
        <v>3.745035E-5</v>
      </c>
      <c r="Q28" cm="1">
        <f t="array" ref="Q28">[1]!PropsSI("D","T",J28+273.15,"P",101325,"Water")</f>
        <v>983.81331530911098</v>
      </c>
      <c r="R28" cm="1">
        <f t="array" ref="R28">[1]!PropsSI("D","T",K28+273.15,"P",101325,"Water")</f>
        <v>985.79025427447129</v>
      </c>
      <c r="S28">
        <f t="shared" si="11"/>
        <v>984.80178479179108</v>
      </c>
      <c r="T28" cm="1">
        <f t="array" ref="T28">[1]!PropsSI("H","T",J28+273.15,"P",101325,"Water")</f>
        <v>246190.70110246635</v>
      </c>
      <c r="U28" cm="1">
        <f t="array" ref="U28">[1]!PropsSI("H","T",K28+273.15,"P",101325,"Water")</f>
        <v>229488.56729522694</v>
      </c>
      <c r="V28">
        <f t="shared" si="12"/>
        <v>615.99426171277992</v>
      </c>
      <c r="X28">
        <f t="shared" si="13"/>
        <v>0.26758262199999999</v>
      </c>
      <c r="Y28">
        <f t="shared" si="14"/>
        <v>0.25959812399999999</v>
      </c>
      <c r="Z28">
        <f t="shared" si="15"/>
        <v>0.3728158333288894</v>
      </c>
      <c r="AA28">
        <f t="shared" si="16"/>
        <v>3.992249000000001</v>
      </c>
      <c r="AB28">
        <f t="shared" si="17"/>
        <v>9.3918807171072274E-2</v>
      </c>
      <c r="AC28">
        <f t="shared" si="18"/>
        <v>57.853446284289603</v>
      </c>
    </row>
    <row r="29" spans="1:29" x14ac:dyDescent="0.2">
      <c r="A29">
        <v>46137.081193124999</v>
      </c>
      <c r="B29">
        <v>17.372790999999999</v>
      </c>
      <c r="C29">
        <v>17.90183</v>
      </c>
      <c r="D29">
        <v>18.545739999999999</v>
      </c>
      <c r="E29">
        <v>18.772994000000001</v>
      </c>
      <c r="F29">
        <v>36.113064999999999</v>
      </c>
      <c r="G29">
        <v>33.790560999999997</v>
      </c>
      <c r="H29">
        <v>31.163611</v>
      </c>
      <c r="I29">
        <v>28.529439</v>
      </c>
      <c r="J29">
        <v>58.791789000000001</v>
      </c>
      <c r="K29">
        <v>54.795561999999997</v>
      </c>
      <c r="L29">
        <v>80.507249000000002</v>
      </c>
      <c r="M29">
        <v>-622.49142900000004</v>
      </c>
      <c r="N29">
        <v>2.2507959999999998</v>
      </c>
      <c r="O29">
        <v>5.6160649999999999</v>
      </c>
      <c r="P29">
        <f t="shared" si="10"/>
        <v>3.7513266666666665E-5</v>
      </c>
      <c r="Q29" cm="1">
        <f t="array" ref="Q29">[1]!PropsSI("D","T",J29+273.15,"P",101325,"Water")</f>
        <v>983.81307282864509</v>
      </c>
      <c r="R29" cm="1">
        <f t="array" ref="R29">[1]!PropsSI("D","T",K29+273.15,"P",101325,"Water")</f>
        <v>985.79194454357389</v>
      </c>
      <c r="S29">
        <f t="shared" si="11"/>
        <v>984.80250868610949</v>
      </c>
      <c r="T29" cm="1">
        <f t="array" ref="T29">[1]!PropsSI("H","T",J29+273.15,"P",101325,"Water")</f>
        <v>246192.70126310136</v>
      </c>
      <c r="U29" cm="1">
        <f t="array" ref="U29">[1]!PropsSI("H","T",K29+273.15,"P",101325,"Water")</f>
        <v>229473.92720300052</v>
      </c>
      <c r="V29">
        <f t="shared" si="12"/>
        <v>617.64433043282827</v>
      </c>
      <c r="X29">
        <f t="shared" si="13"/>
        <v>0.26758357799999999</v>
      </c>
      <c r="Y29">
        <f t="shared" si="14"/>
        <v>0.25959112400000001</v>
      </c>
      <c r="Z29">
        <f t="shared" si="15"/>
        <v>0.37281164530479122</v>
      </c>
      <c r="AA29">
        <f t="shared" si="16"/>
        <v>3.9962270000000046</v>
      </c>
      <c r="AB29">
        <f t="shared" si="17"/>
        <v>9.382533512238056E-2</v>
      </c>
      <c r="AC29">
        <f t="shared" si="18"/>
        <v>57.950686289298467</v>
      </c>
    </row>
    <row r="30" spans="1:29" x14ac:dyDescent="0.2">
      <c r="A30">
        <v>46137.081227847222</v>
      </c>
      <c r="B30">
        <v>17.334530000000001</v>
      </c>
      <c r="C30">
        <v>17.772648</v>
      </c>
      <c r="D30">
        <v>18.531863000000001</v>
      </c>
      <c r="E30">
        <v>18.7776</v>
      </c>
      <c r="F30">
        <v>36.204779000000002</v>
      </c>
      <c r="G30">
        <v>35.464793</v>
      </c>
      <c r="H30">
        <v>31.255939000000001</v>
      </c>
      <c r="I30">
        <v>28.565294000000002</v>
      </c>
      <c r="J30">
        <v>58.792107000000001</v>
      </c>
      <c r="K30">
        <v>54.794924999999999</v>
      </c>
      <c r="L30">
        <v>83.135281000000006</v>
      </c>
      <c r="M30">
        <v>-622.50897899999995</v>
      </c>
      <c r="N30">
        <v>2.2511679999999998</v>
      </c>
      <c r="O30">
        <v>5.6397019999999998</v>
      </c>
      <c r="P30">
        <f t="shared" si="10"/>
        <v>3.7519466666666665E-5</v>
      </c>
      <c r="Q30" cm="1">
        <f t="array" ref="Q30">[1]!PropsSI("D","T",J30+273.15,"P",101325,"Water")</f>
        <v>983.81291151243863</v>
      </c>
      <c r="R30" cm="1">
        <f t="array" ref="R30">[1]!PropsSI("D","T",K30+273.15,"P",101325,"Water")</f>
        <v>985.79225216431462</v>
      </c>
      <c r="S30">
        <f t="shared" si="11"/>
        <v>984.80258183837668</v>
      </c>
      <c r="T30" cm="1">
        <f t="array" ref="T30">[1]!PropsSI("H","T",J30+273.15,"P",101325,"Water")</f>
        <v>246194.03191396277</v>
      </c>
      <c r="U30" cm="1">
        <f t="array" ref="U30">[1]!PropsSI("H","T",K30+273.15,"P",101325,"Water")</f>
        <v>229471.26270674198</v>
      </c>
      <c r="V30">
        <f t="shared" si="12"/>
        <v>617.8940751618976</v>
      </c>
      <c r="X30">
        <f t="shared" si="13"/>
        <v>0.26758421399999999</v>
      </c>
      <c r="Y30">
        <f t="shared" si="14"/>
        <v>0.25958985000000001</v>
      </c>
      <c r="Z30">
        <f t="shared" si="15"/>
        <v>0.37281121469856604</v>
      </c>
      <c r="AA30">
        <f t="shared" si="16"/>
        <v>3.9971820000000022</v>
      </c>
      <c r="AB30">
        <f t="shared" si="17"/>
        <v>9.3803066089249279E-2</v>
      </c>
      <c r="AC30">
        <f t="shared" si="18"/>
        <v>57.96035876856704</v>
      </c>
    </row>
    <row r="31" spans="1:29" x14ac:dyDescent="0.2">
      <c r="A31">
        <v>46137.081263148146</v>
      </c>
      <c r="B31">
        <v>17.147120999999999</v>
      </c>
      <c r="C31">
        <v>17.438348999999999</v>
      </c>
      <c r="D31">
        <v>18.503129999999999</v>
      </c>
      <c r="E31">
        <v>18.789933999999999</v>
      </c>
      <c r="F31">
        <v>35.819758999999998</v>
      </c>
      <c r="G31">
        <v>35.073943</v>
      </c>
      <c r="H31">
        <v>31.646039999999999</v>
      </c>
      <c r="I31">
        <v>28.793799</v>
      </c>
      <c r="J31">
        <v>58.793540999999998</v>
      </c>
      <c r="K31">
        <v>54.793970999999999</v>
      </c>
      <c r="L31">
        <v>84.563781000000006</v>
      </c>
      <c r="M31">
        <v>-622.49714300000005</v>
      </c>
      <c r="N31">
        <v>2.2510819999999998</v>
      </c>
      <c r="O31">
        <v>5.4279640000000002</v>
      </c>
      <c r="P31">
        <f t="shared" si="10"/>
        <v>3.7518033333333329E-5</v>
      </c>
      <c r="Q31" cm="1">
        <f t="array" ref="Q31">[1]!PropsSI("D","T",J31+273.15,"P",101325,"Water")</f>
        <v>983.81218406014239</v>
      </c>
      <c r="R31" cm="1">
        <f t="array" ref="R31">[1]!PropsSI("D","T",K31+273.15,"P",101325,"Water")</f>
        <v>985.79271286640483</v>
      </c>
      <c r="S31">
        <f t="shared" si="11"/>
        <v>984.80244846327355</v>
      </c>
      <c r="T31" cm="1">
        <f t="array" ref="T31">[1]!PropsSI("H","T",J31+273.15,"P",101325,"Water")</f>
        <v>246200.03239659651</v>
      </c>
      <c r="U31" cm="1">
        <f t="array" ref="U31">[1]!PropsSI("H","T",K31+273.15,"P",101325,"Water")</f>
        <v>229467.27223686501</v>
      </c>
      <c r="V31">
        <f t="shared" si="12"/>
        <v>618.23953067621403</v>
      </c>
      <c r="X31">
        <f t="shared" si="13"/>
        <v>0.26758708199999998</v>
      </c>
      <c r="Y31">
        <f t="shared" si="14"/>
        <v>0.25958794200000002</v>
      </c>
      <c r="Z31">
        <f t="shared" si="15"/>
        <v>0.37281194466522943</v>
      </c>
      <c r="AA31">
        <f t="shared" si="16"/>
        <v>3.9995699999999985</v>
      </c>
      <c r="AB31">
        <f t="shared" si="17"/>
        <v>9.3747877804225291E-2</v>
      </c>
      <c r="AC31">
        <f t="shared" si="18"/>
        <v>57.958643975575306</v>
      </c>
    </row>
    <row r="32" spans="1:29" x14ac:dyDescent="0.2">
      <c r="A32">
        <v>46137.081298449077</v>
      </c>
      <c r="B32">
        <v>17.130106999999999</v>
      </c>
      <c r="C32">
        <v>17.537724000000001</v>
      </c>
      <c r="D32">
        <v>18.437543999999999</v>
      </c>
      <c r="E32">
        <v>18.819464</v>
      </c>
      <c r="F32">
        <v>36.221119999999999</v>
      </c>
      <c r="G32">
        <v>34.639491999999997</v>
      </c>
      <c r="H32">
        <v>31.141587000000001</v>
      </c>
      <c r="I32">
        <v>28.04466</v>
      </c>
      <c r="J32">
        <v>58.794975000000001</v>
      </c>
      <c r="K32">
        <v>54.789673999999998</v>
      </c>
      <c r="L32">
        <v>85.743313000000001</v>
      </c>
      <c r="M32">
        <v>-622.49836700000003</v>
      </c>
      <c r="N32">
        <v>2.249701</v>
      </c>
      <c r="O32">
        <v>5.3166180000000001</v>
      </c>
      <c r="P32">
        <f t="shared" si="10"/>
        <v>3.7495016666666663E-5</v>
      </c>
      <c r="Q32" cm="1">
        <f t="array" ref="Q32">[1]!PropsSI("D","T",J32+273.15,"P",101325,"Water")</f>
        <v>983.81145659554704</v>
      </c>
      <c r="R32" cm="1">
        <f t="array" ref="R32">[1]!PropsSI("D","T",K32+273.15,"P",101325,"Water")</f>
        <v>985.79478788713857</v>
      </c>
      <c r="S32">
        <f t="shared" si="11"/>
        <v>984.80312224134286</v>
      </c>
      <c r="T32" cm="1">
        <f t="array" ref="T32">[1]!PropsSI("H","T",J32+273.15,"P",101325,"Water")</f>
        <v>246206.03288015889</v>
      </c>
      <c r="U32" cm="1">
        <f t="array" ref="U32">[1]!PropsSI("H","T",K32+273.15,"P",101325,"Water")</f>
        <v>229449.29839493547</v>
      </c>
      <c r="V32">
        <f t="shared" si="12"/>
        <v>618.74593109818784</v>
      </c>
      <c r="X32">
        <f t="shared" si="13"/>
        <v>0.26758994999999997</v>
      </c>
      <c r="Y32">
        <f t="shared" si="14"/>
        <v>0.25957934799999999</v>
      </c>
      <c r="Z32">
        <f t="shared" si="15"/>
        <v>0.37280801929291646</v>
      </c>
      <c r="AA32">
        <f t="shared" si="16"/>
        <v>4.0053010000000029</v>
      </c>
      <c r="AB32">
        <f t="shared" si="17"/>
        <v>9.3614291223534526E-2</v>
      </c>
      <c r="AC32">
        <f t="shared" si="18"/>
        <v>57.923461787202783</v>
      </c>
    </row>
    <row r="33" spans="1:29" x14ac:dyDescent="0.2">
      <c r="A33">
        <v>46137.08133375</v>
      </c>
      <c r="B33">
        <v>17.103843000000001</v>
      </c>
      <c r="C33">
        <v>17.372328</v>
      </c>
      <c r="D33">
        <v>18.416824999999999</v>
      </c>
      <c r="E33">
        <v>18.763712999999999</v>
      </c>
      <c r="F33">
        <v>35.761955</v>
      </c>
      <c r="G33">
        <v>34.703546000000003</v>
      </c>
      <c r="H33">
        <v>31.313141000000002</v>
      </c>
      <c r="I33">
        <v>28.219491999999999</v>
      </c>
      <c r="J33">
        <v>58.794178000000002</v>
      </c>
      <c r="K33">
        <v>54.786810000000003</v>
      </c>
      <c r="L33">
        <v>83.249561</v>
      </c>
      <c r="M33">
        <v>-622.49836700000003</v>
      </c>
      <c r="N33">
        <v>2.246632</v>
      </c>
      <c r="O33">
        <v>5.4087110000000003</v>
      </c>
      <c r="P33">
        <f t="shared" si="10"/>
        <v>3.7443866666666669E-5</v>
      </c>
      <c r="Q33" cm="1">
        <f t="array" ref="Q33">[1]!PropsSI("D","T",J33+273.15,"P",101325,"Water")</f>
        <v>983.81186091315249</v>
      </c>
      <c r="R33" cm="1">
        <f t="array" ref="R33">[1]!PropsSI("D","T",K33+273.15,"P",101325,"Water")</f>
        <v>985.7961708485542</v>
      </c>
      <c r="S33">
        <f t="shared" si="11"/>
        <v>984.80401588085329</v>
      </c>
      <c r="T33" cm="1">
        <f t="array" ref="T33">[1]!PropsSI("H","T",J33+273.15,"P",101325,"Water")</f>
        <v>246202.69788327647</v>
      </c>
      <c r="U33" cm="1">
        <f t="array" ref="U33">[1]!PropsSI("H","T",K33+273.15,"P",101325,"Water")</f>
        <v>229437.31862590043</v>
      </c>
      <c r="V33">
        <f t="shared" si="12"/>
        <v>618.22118503311901</v>
      </c>
      <c r="X33">
        <f t="shared" si="13"/>
        <v>0.26758835599999997</v>
      </c>
      <c r="Y33">
        <f t="shared" si="14"/>
        <v>0.25957362</v>
      </c>
      <c r="Z33">
        <f t="shared" si="15"/>
        <v>0.37280288688083835</v>
      </c>
      <c r="AA33">
        <f t="shared" si="16"/>
        <v>4.0073679999999996</v>
      </c>
      <c r="AB33">
        <f t="shared" si="17"/>
        <v>9.3565282698316043E-2</v>
      </c>
      <c r="AC33">
        <f t="shared" si="18"/>
        <v>57.844039947711735</v>
      </c>
    </row>
    <row r="34" spans="1:29" x14ac:dyDescent="0.2">
      <c r="A34">
        <v>46137.081369050924</v>
      </c>
      <c r="B34">
        <v>17.143816999999999</v>
      </c>
      <c r="C34">
        <v>17.429064</v>
      </c>
      <c r="D34">
        <v>18.431495000000002</v>
      </c>
      <c r="E34">
        <v>18.818192</v>
      </c>
      <c r="F34">
        <v>36.327002</v>
      </c>
      <c r="G34">
        <v>36.602041999999997</v>
      </c>
      <c r="H34">
        <v>31.726234999999999</v>
      </c>
      <c r="I34">
        <v>27.941351999999998</v>
      </c>
      <c r="J34">
        <v>58.795611999999998</v>
      </c>
      <c r="K34">
        <v>54.783946</v>
      </c>
      <c r="L34">
        <v>81.748819999999995</v>
      </c>
      <c r="M34">
        <v>-622.50244899999996</v>
      </c>
      <c r="N34">
        <v>2.2495660000000002</v>
      </c>
      <c r="O34">
        <v>5.5052779999999997</v>
      </c>
      <c r="P34">
        <f t="shared" si="10"/>
        <v>3.7492766666666668E-5</v>
      </c>
      <c r="Q34" cm="1">
        <f t="array" ref="Q34">[1]!PropsSI("D","T",J34+273.15,"P",101325,"Water")</f>
        <v>983.81113344310597</v>
      </c>
      <c r="R34" cm="1">
        <f t="array" ref="R34">[1]!PropsSI("D","T",K34+273.15,"P",101325,"Water")</f>
        <v>985.79755375892898</v>
      </c>
      <c r="S34">
        <f t="shared" si="11"/>
        <v>984.80434360101754</v>
      </c>
      <c r="T34" cm="1">
        <f t="array" ref="T34">[1]!PropsSI("H","T",J34+273.15,"P",101325,"Water")</f>
        <v>246208.69836719433</v>
      </c>
      <c r="U34" cm="1">
        <f t="array" ref="U34">[1]!PropsSI("H","T",K34+273.15,"P",101325,"Water")</f>
        <v>229425.3388598389</v>
      </c>
      <c r="V34">
        <f t="shared" si="12"/>
        <v>619.6926454781418</v>
      </c>
      <c r="X34">
        <f t="shared" si="13"/>
        <v>0.26759122400000002</v>
      </c>
      <c r="Y34">
        <f t="shared" si="14"/>
        <v>0.25956789199999997</v>
      </c>
      <c r="Z34">
        <f t="shared" si="15"/>
        <v>0.37280095724010931</v>
      </c>
      <c r="AA34">
        <f t="shared" si="16"/>
        <v>4.0116659999999982</v>
      </c>
      <c r="AB34">
        <f t="shared" si="17"/>
        <v>9.3465706579494309E-2</v>
      </c>
      <c r="AC34">
        <f t="shared" si="18"/>
        <v>57.920010971730591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B2E8-2B5C-BD4D-8B07-DD1D45C5D056}">
  <dimension ref="A1:AC55"/>
  <sheetViews>
    <sheetView topLeftCell="O1" workbookViewId="0">
      <selection activeCell="W4" sqref="W4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44675.082470326401</v>
      </c>
      <c r="B2">
        <v>17.722957999999998</v>
      </c>
      <c r="C2">
        <v>17.999421000000002</v>
      </c>
      <c r="D2">
        <v>18.799935999999999</v>
      </c>
      <c r="E2">
        <v>19.111229999999999</v>
      </c>
      <c r="F2">
        <v>34.181987999999997</v>
      </c>
      <c r="G2">
        <v>35.206696999999998</v>
      </c>
      <c r="H2">
        <v>29.70448</v>
      </c>
      <c r="I2">
        <v>26.680045</v>
      </c>
      <c r="J2">
        <v>58.784939000000001</v>
      </c>
      <c r="K2">
        <v>54.235838000000001</v>
      </c>
      <c r="L2">
        <v>127.491427</v>
      </c>
      <c r="M2">
        <v>-622.51224400000001</v>
      </c>
      <c r="N2">
        <v>2.2491970000000001</v>
      </c>
      <c r="O2">
        <v>5.1662080000000001</v>
      </c>
      <c r="P2">
        <f t="shared" ref="P2:P65" si="0" xml:space="preserve"> N2*0.001/60</f>
        <v>3.7486616666666671E-5</v>
      </c>
      <c r="Q2" cm="1">
        <f t="array" ref="Q2">[1]!PropsSI("D","T",J2+273.15,"P",101325,"Water")</f>
        <v>983.81654757515275</v>
      </c>
      <c r="R2" cm="1">
        <f t="array" ref="R2">[1]!PropsSI("D","T",K2+273.15,"P",101325,"Water")</f>
        <v>986.06127174015489</v>
      </c>
      <c r="S2">
        <f t="shared" ref="S2:S65" si="1">(Q2+R2)/2</f>
        <v>984.93890965765377</v>
      </c>
      <c r="T2" cm="1">
        <f t="array" ref="T2">[1]!PropsSI("H","T",J2+273.15,"P",101325,"Water")</f>
        <v>246164.03788236633</v>
      </c>
      <c r="U2" cm="1">
        <f t="array" ref="U2">[1]!PropsSI("H","T",K2+273.15,"P",101325,"Water")</f>
        <v>227132.72300485038</v>
      </c>
      <c r="V2">
        <f t="shared" ref="V2:V65" si="2">S2*P2*(T2-U2)</f>
        <v>702.67472834599471</v>
      </c>
      <c r="W2" s="3">
        <f>AVERAGE(V20:V55)</f>
        <v>709.69146708005303</v>
      </c>
      <c r="X2">
        <f>(0.15+0.002*ABS(J2))</f>
        <v>0.26756987799999998</v>
      </c>
      <c r="Y2">
        <f>(0.15+0.002*ABS(K2))</f>
        <v>0.25847167599999998</v>
      </c>
      <c r="Z2">
        <f>SQRT((X2)^2 + (Y2)^2)</f>
        <v>0.37202318060462825</v>
      </c>
      <c r="AA2">
        <f>J2-K2</f>
        <v>4.5491010000000003</v>
      </c>
      <c r="AB2">
        <f>SQRT((0.01)^2 + (Z2/ABS(AA2))^2)</f>
        <v>8.2388626247098085E-2</v>
      </c>
      <c r="AC2">
        <f>ABS(V2*AB2)</f>
        <v>57.892405566979335</v>
      </c>
    </row>
    <row r="3" spans="1:29" x14ac:dyDescent="0.2">
      <c r="A3">
        <v>44675.082505048602</v>
      </c>
      <c r="B3">
        <v>17.917760000000001</v>
      </c>
      <c r="C3">
        <v>18.087838999999999</v>
      </c>
      <c r="D3">
        <v>18.829633000000001</v>
      </c>
      <c r="E3">
        <v>19.155729999999998</v>
      </c>
      <c r="F3">
        <v>34.183585000000001</v>
      </c>
      <c r="G3">
        <v>32.445371999999999</v>
      </c>
      <c r="H3">
        <v>30.183260000000001</v>
      </c>
      <c r="I3">
        <v>26.706358000000002</v>
      </c>
      <c r="J3">
        <v>58.783664000000002</v>
      </c>
      <c r="K3">
        <v>54.234566000000001</v>
      </c>
      <c r="L3">
        <v>140.618933</v>
      </c>
      <c r="M3">
        <v>-622.50530600000002</v>
      </c>
      <c r="N3">
        <v>2.248345</v>
      </c>
      <c r="O3">
        <v>5.3854050000000004</v>
      </c>
      <c r="P3">
        <f t="shared" si="0"/>
        <v>3.7472416666666667E-5</v>
      </c>
      <c r="Q3" cm="1">
        <f t="array" ref="Q3">[1]!PropsSI("D","T",J3+273.15,"P",101325,"Water")</f>
        <v>983.81719430360113</v>
      </c>
      <c r="R3" cm="1">
        <f t="array" ref="R3">[1]!PropsSI("D","T",K3+273.15,"P",101325,"Water")</f>
        <v>986.06188157077065</v>
      </c>
      <c r="S3">
        <f t="shared" si="1"/>
        <v>984.93953793718583</v>
      </c>
      <c r="T3" cm="1">
        <f t="array" ref="T3">[1]!PropsSI("H","T",J3+273.15,"P",101325,"Water")</f>
        <v>246158.70272973567</v>
      </c>
      <c r="U3" cm="1">
        <f t="array" ref="U3">[1]!PropsSI("H","T",K3+273.15,"P",101325,"Water")</f>
        <v>227127.40263043682</v>
      </c>
      <c r="V3">
        <f t="shared" si="2"/>
        <v>702.40845647589526</v>
      </c>
      <c r="W3" s="3" t="s">
        <v>33</v>
      </c>
      <c r="X3">
        <f t="shared" ref="X3:Y55" si="3">(0.15+0.002*ABS(J3))</f>
        <v>0.26756732799999999</v>
      </c>
      <c r="Y3">
        <f t="shared" si="3"/>
        <v>0.25846913199999999</v>
      </c>
      <c r="Z3">
        <f t="shared" ref="Z3:Z55" si="4">SQRT((X3)^2 + (Y3)^2)</f>
        <v>0.37201957906794769</v>
      </c>
      <c r="AA3">
        <f>J3-K3</f>
        <v>4.5490980000000008</v>
      </c>
      <c r="AB3">
        <f t="shared" ref="AB3:AB66" si="5">SQRT((0.01)^2 + (Z3/ABS(AA3))^2)</f>
        <v>8.2387893929553743E-2</v>
      </c>
      <c r="AC3">
        <f t="shared" ref="AC3:AC66" si="6">ABS(V3*AB3)</f>
        <v>57.869953407357627</v>
      </c>
    </row>
    <row r="4" spans="1:29" x14ac:dyDescent="0.2">
      <c r="A4">
        <v>44675.082540349598</v>
      </c>
      <c r="B4">
        <v>17.843432</v>
      </c>
      <c r="C4">
        <v>18.378934000000001</v>
      </c>
      <c r="D4">
        <v>18.843605</v>
      </c>
      <c r="E4">
        <v>19.161863</v>
      </c>
      <c r="F4">
        <v>34.194535000000002</v>
      </c>
      <c r="G4">
        <v>35.596217000000003</v>
      </c>
      <c r="H4">
        <v>29.230772999999999</v>
      </c>
      <c r="I4">
        <v>27.109342000000002</v>
      </c>
      <c r="J4">
        <v>58.783186999999998</v>
      </c>
      <c r="K4">
        <v>54.236792999999999</v>
      </c>
      <c r="L4">
        <v>131.24266800000001</v>
      </c>
      <c r="M4">
        <v>-622.48612300000002</v>
      </c>
      <c r="N4">
        <v>2.247862</v>
      </c>
      <c r="O4">
        <v>5.3830799999999996</v>
      </c>
      <c r="P4">
        <f t="shared" si="0"/>
        <v>3.7464366666666673E-5</v>
      </c>
      <c r="Q4" cm="1">
        <f t="array" ref="Q4">[1]!PropsSI("D","T",J4+273.15,"P",101325,"Water")</f>
        <v>983.81743625363265</v>
      </c>
      <c r="R4" cm="1">
        <f t="array" ref="R4">[1]!PropsSI("D","T",K4+273.15,"P",101325,"Water")</f>
        <v>986.06081388109044</v>
      </c>
      <c r="S4">
        <f t="shared" si="1"/>
        <v>984.9391250673616</v>
      </c>
      <c r="T4" cm="1">
        <f t="array" ref="T4">[1]!PropsSI("H","T",J4+273.15,"P",101325,"Water")</f>
        <v>246156.70675514889</v>
      </c>
      <c r="U4" cm="1">
        <f t="array" ref="U4">[1]!PropsSI("H","T",K4+273.15,"P",101325,"Water")</f>
        <v>227136.71746876274</v>
      </c>
      <c r="V4">
        <f t="shared" si="2"/>
        <v>701.83989706839543</v>
      </c>
      <c r="W4" s="3">
        <f>SQRT((AVERAGE(AC20:AC55))^2 + (_xlfn.STDEV.S(V20:V55)/SQRT(COUNT(V20:V55)))^2)</f>
        <v>57.960506459380618</v>
      </c>
      <c r="X4">
        <f t="shared" si="3"/>
        <v>0.267566374</v>
      </c>
      <c r="Y4">
        <f t="shared" si="3"/>
        <v>0.25847358599999998</v>
      </c>
      <c r="Z4">
        <f t="shared" si="4"/>
        <v>0.37202198746204135</v>
      </c>
      <c r="AA4">
        <f t="shared" ref="AA4:AA67" si="7">J4-K4</f>
        <v>4.5463939999999994</v>
      </c>
      <c r="AB4">
        <f t="shared" si="5"/>
        <v>8.2436698850392204E-2</v>
      </c>
      <c r="AC4">
        <f t="shared" si="6"/>
        <v>57.857364235817577</v>
      </c>
    </row>
    <row r="5" spans="1:29" x14ac:dyDescent="0.2">
      <c r="A5">
        <v>44675.0825750718</v>
      </c>
      <c r="B5">
        <v>17.817367000000001</v>
      </c>
      <c r="C5">
        <v>18.379708999999998</v>
      </c>
      <c r="D5">
        <v>18.848217999999999</v>
      </c>
      <c r="E5">
        <v>19.13364</v>
      </c>
      <c r="F5">
        <v>33.924920999999998</v>
      </c>
      <c r="G5">
        <v>33.270263</v>
      </c>
      <c r="H5">
        <v>29.231518999999999</v>
      </c>
      <c r="I5">
        <v>26.767793999999999</v>
      </c>
      <c r="J5">
        <v>58.782389999999999</v>
      </c>
      <c r="K5">
        <v>54.235678999999998</v>
      </c>
      <c r="L5">
        <v>130.21822900000001</v>
      </c>
      <c r="M5">
        <v>-622.47796000000005</v>
      </c>
      <c r="N5">
        <v>2.2488250000000001</v>
      </c>
      <c r="O5">
        <v>5.0627909999999998</v>
      </c>
      <c r="P5">
        <f t="shared" si="0"/>
        <v>3.7480416666666671E-5</v>
      </c>
      <c r="Q5" cm="1">
        <f t="array" ref="Q5">[1]!PropsSI("D","T",J5+273.15,"P",101325,"Water")</f>
        <v>983.81784051510749</v>
      </c>
      <c r="R5" cm="1">
        <f t="array" ref="R5">[1]!PropsSI("D","T",K5+273.15,"P",101325,"Water")</f>
        <v>986.06134796953893</v>
      </c>
      <c r="S5">
        <f t="shared" si="1"/>
        <v>984.93959424232321</v>
      </c>
      <c r="T5" cm="1">
        <f t="array" ref="T5">[1]!PropsSI("H","T",J5+273.15,"P",101325,"Water")</f>
        <v>246153.37176220276</v>
      </c>
      <c r="U5" cm="1">
        <f t="array" ref="U5">[1]!PropsSI("H","T",K5+273.15,"P",101325,"Water")</f>
        <v>227132.05795796905</v>
      </c>
      <c r="V5">
        <f t="shared" si="2"/>
        <v>702.18980054462202</v>
      </c>
      <c r="W5" s="3"/>
      <c r="X5">
        <f t="shared" si="3"/>
        <v>0.26756478</v>
      </c>
      <c r="Y5">
        <f t="shared" si="3"/>
        <v>0.25847135799999998</v>
      </c>
      <c r="Z5">
        <f t="shared" si="4"/>
        <v>0.37201929305186926</v>
      </c>
      <c r="AA5">
        <f t="shared" si="7"/>
        <v>4.5467110000000019</v>
      </c>
      <c r="AB5">
        <f t="shared" si="5"/>
        <v>8.2430447651973826E-2</v>
      </c>
      <c r="AC5">
        <f t="shared" si="6"/>
        <v>57.881819595543405</v>
      </c>
    </row>
    <row r="6" spans="1:29" x14ac:dyDescent="0.2">
      <c r="A6">
        <v>46137.082610370373</v>
      </c>
      <c r="B6">
        <v>17.900497999999999</v>
      </c>
      <c r="C6">
        <v>18.403963999999998</v>
      </c>
      <c r="D6">
        <v>18.814791</v>
      </c>
      <c r="E6">
        <v>19.183292000000002</v>
      </c>
      <c r="F6">
        <v>34.263727000000003</v>
      </c>
      <c r="G6">
        <v>34.788409999999999</v>
      </c>
      <c r="H6">
        <v>28.912842000000001</v>
      </c>
      <c r="I6">
        <v>26.839683999999998</v>
      </c>
      <c r="J6">
        <v>58.782868000000001</v>
      </c>
      <c r="K6">
        <v>54.237270000000002</v>
      </c>
      <c r="L6">
        <v>139.868359</v>
      </c>
      <c r="M6">
        <v>-622.493878</v>
      </c>
      <c r="N6">
        <v>2.2455949999999998</v>
      </c>
      <c r="O6">
        <v>5.2139129999999998</v>
      </c>
      <c r="P6">
        <f t="shared" si="0"/>
        <v>3.7426583333333335E-5</v>
      </c>
      <c r="Q6" cm="1">
        <f t="array" ref="Q6">[1]!PropsSI("D","T",J6+273.15,"P",101325,"Water")</f>
        <v>983.81759806012474</v>
      </c>
      <c r="R6" cm="1">
        <f t="array" ref="R6">[1]!PropsSI("D","T",K6+273.15,"P",101325,"Water")</f>
        <v>986.06058518916268</v>
      </c>
      <c r="S6">
        <f t="shared" si="1"/>
        <v>984.93909162464365</v>
      </c>
      <c r="T6" cm="1">
        <f t="array" ref="T6">[1]!PropsSI("H","T",J6+273.15,"P",101325,"Water")</f>
        <v>246155.37192104358</v>
      </c>
      <c r="U6" cm="1">
        <f t="array" ref="U6">[1]!PropsSI("H","T",K6+273.15,"P",101325,"Water")</f>
        <v>227138.71260945531</v>
      </c>
      <c r="V6">
        <f t="shared" si="2"/>
        <v>701.00930544829293</v>
      </c>
      <c r="W6" s="3"/>
      <c r="X6">
        <f t="shared" si="3"/>
        <v>0.267565736</v>
      </c>
      <c r="Y6">
        <f t="shared" si="3"/>
        <v>0.25847454000000003</v>
      </c>
      <c r="Z6">
        <f t="shared" si="4"/>
        <v>0.37202219142066417</v>
      </c>
      <c r="AA6">
        <f>J6-K6</f>
        <v>4.5455979999999983</v>
      </c>
      <c r="AB6">
        <f t="shared" si="5"/>
        <v>8.2450966843110748E-2</v>
      </c>
      <c r="AC6">
        <f t="shared" si="6"/>
        <v>57.798895000229294</v>
      </c>
    </row>
    <row r="7" spans="1:29" x14ac:dyDescent="0.2">
      <c r="A7">
        <v>46137.082645671297</v>
      </c>
      <c r="B7">
        <v>17.979918000000001</v>
      </c>
      <c r="C7">
        <v>18.496956999999998</v>
      </c>
      <c r="D7">
        <v>18.872836</v>
      </c>
      <c r="E7">
        <v>19.262464000000001</v>
      </c>
      <c r="F7">
        <v>34.253194999999998</v>
      </c>
      <c r="G7">
        <v>34.404764</v>
      </c>
      <c r="H7">
        <v>30.586611000000001</v>
      </c>
      <c r="I7">
        <v>26.864260999999999</v>
      </c>
      <c r="J7">
        <v>58.780797</v>
      </c>
      <c r="K7">
        <v>54.234884000000001</v>
      </c>
      <c r="L7">
        <v>129.40194399999999</v>
      </c>
      <c r="M7">
        <v>-622.45959400000004</v>
      </c>
      <c r="N7">
        <v>2.249091</v>
      </c>
      <c r="O7">
        <v>5.729114</v>
      </c>
      <c r="P7">
        <f t="shared" si="0"/>
        <v>3.7484850000000001E-5</v>
      </c>
      <c r="Q7" cm="1">
        <f t="array" ref="Q7">[1]!PropsSI("D","T",J7+273.15,"P",101325,"Water")</f>
        <v>983.81864851943885</v>
      </c>
      <c r="R7" cm="1">
        <f t="array" ref="R7">[1]!PropsSI("D","T",K7+273.15,"P",101325,"Water")</f>
        <v>986.06172911406816</v>
      </c>
      <c r="S7">
        <f t="shared" si="1"/>
        <v>984.94018881675356</v>
      </c>
      <c r="T7" cm="1">
        <f t="array" ref="T7">[1]!PropsSI("H","T",J7+273.15,"P",101325,"Water")</f>
        <v>246146.70596154223</v>
      </c>
      <c r="U7" cm="1">
        <f t="array" ref="U7">[1]!PropsSI("H","T",K7+273.15,"P",101325,"Water")</f>
        <v>227128.73272395323</v>
      </c>
      <c r="V7">
        <f t="shared" si="2"/>
        <v>702.14994745566207</v>
      </c>
      <c r="W7" s="3"/>
      <c r="X7">
        <f t="shared" si="3"/>
        <v>0.26756159400000001</v>
      </c>
      <c r="Y7">
        <f t="shared" si="3"/>
        <v>0.25846976799999999</v>
      </c>
      <c r="Z7">
        <f t="shared" si="4"/>
        <v>0.37201589691005765</v>
      </c>
      <c r="AA7">
        <f t="shared" ref="AA7:AA70" si="8">J7-K7</f>
        <v>4.5459129999999988</v>
      </c>
      <c r="AB7">
        <f t="shared" si="5"/>
        <v>8.2443963182343205E-2</v>
      </c>
      <c r="AC7">
        <f t="shared" si="6"/>
        <v>57.888024416518817</v>
      </c>
    </row>
    <row r="8" spans="1:29" x14ac:dyDescent="0.2">
      <c r="A8">
        <v>46137.08268097222</v>
      </c>
      <c r="B8">
        <v>17.675929</v>
      </c>
      <c r="C8">
        <v>18.177512</v>
      </c>
      <c r="D8">
        <v>18.967842000000001</v>
      </c>
      <c r="E8">
        <v>19.309097000000001</v>
      </c>
      <c r="F8">
        <v>34.132275</v>
      </c>
      <c r="G8">
        <v>35.426451</v>
      </c>
      <c r="H8">
        <v>29.212510000000002</v>
      </c>
      <c r="I8">
        <v>26.635542999999998</v>
      </c>
      <c r="J8">
        <v>58.778885000000002</v>
      </c>
      <c r="K8">
        <v>54.236792999999999</v>
      </c>
      <c r="L8">
        <v>134.79881599999999</v>
      </c>
      <c r="M8">
        <v>-622.47714399999995</v>
      </c>
      <c r="N8">
        <v>2.2510050000000001</v>
      </c>
      <c r="O8">
        <v>4.7924829999999998</v>
      </c>
      <c r="P8">
        <f t="shared" si="0"/>
        <v>3.7516750000000003E-5</v>
      </c>
      <c r="Q8" cm="1">
        <f t="array" ref="Q8">[1]!PropsSI("D","T",J8+273.15,"P",101325,"Water")</f>
        <v>983.81961830751698</v>
      </c>
      <c r="R8" cm="1">
        <f t="array" ref="R8">[1]!PropsSI("D","T",K8+273.15,"P",101325,"Water")</f>
        <v>986.06081388109044</v>
      </c>
      <c r="S8">
        <f t="shared" si="1"/>
        <v>984.94021609430365</v>
      </c>
      <c r="T8" cm="1">
        <f t="array" ref="T8">[1]!PropsSI("H","T",J8+273.15,"P",101325,"Water")</f>
        <v>246138.70532834248</v>
      </c>
      <c r="U8" cm="1">
        <f t="array" ref="U8">[1]!PropsSI("H","T",K8+273.15,"P",101325,"Water")</f>
        <v>227136.71746876274</v>
      </c>
      <c r="V8">
        <f t="shared" si="2"/>
        <v>702.15681609282205</v>
      </c>
      <c r="W8" s="3"/>
      <c r="X8">
        <f t="shared" si="3"/>
        <v>0.26755777000000003</v>
      </c>
      <c r="Y8">
        <f t="shared" si="3"/>
        <v>0.25847358599999998</v>
      </c>
      <c r="Z8">
        <f>SQRT((X8)^2 + (Y8)^2)</f>
        <v>0.37201579932453444</v>
      </c>
      <c r="AA8">
        <f t="shared" si="8"/>
        <v>4.5420920000000038</v>
      </c>
      <c r="AB8">
        <f t="shared" si="5"/>
        <v>8.2512277248440555E-2</v>
      </c>
      <c r="AC8">
        <f t="shared" si="6"/>
        <v>57.936557881333222</v>
      </c>
    </row>
    <row r="9" spans="1:29" x14ac:dyDescent="0.2">
      <c r="A9">
        <v>46137.082715694443</v>
      </c>
      <c r="B9">
        <v>17.716781999999998</v>
      </c>
      <c r="C9">
        <v>18.281569999999999</v>
      </c>
      <c r="D9">
        <v>18.965952000000001</v>
      </c>
      <c r="E9">
        <v>19.323868999999998</v>
      </c>
      <c r="F9">
        <v>34.339444999999998</v>
      </c>
      <c r="G9">
        <v>35.981622999999999</v>
      </c>
      <c r="H9">
        <v>30.241178999999999</v>
      </c>
      <c r="I9">
        <v>26.564204</v>
      </c>
      <c r="J9">
        <v>58.779362999999996</v>
      </c>
      <c r="K9">
        <v>54.237588000000002</v>
      </c>
      <c r="L9">
        <v>136.54852500000001</v>
      </c>
      <c r="M9">
        <v>-622.48775599999999</v>
      </c>
      <c r="N9">
        <v>2.250394</v>
      </c>
      <c r="O9">
        <v>4.9462609999999998</v>
      </c>
      <c r="P9">
        <f t="shared" si="0"/>
        <v>3.7506566666666671E-5</v>
      </c>
      <c r="Q9" cm="1">
        <f t="array" ref="Q9">[1]!PropsSI("D","T",J9+273.15,"P",101325,"Water")</f>
        <v>983.81937586254639</v>
      </c>
      <c r="R9" cm="1">
        <f t="array" ref="R9">[1]!PropsSI("D","T",K9+273.15,"P",101325,"Water")</f>
        <v>986.06043272708348</v>
      </c>
      <c r="S9">
        <f t="shared" si="1"/>
        <v>984.93990429481494</v>
      </c>
      <c r="T9" cm="1">
        <f t="array" ref="T9">[1]!PropsSI("H","T",J9+273.15,"P",101325,"Water")</f>
        <v>246140.7054864674</v>
      </c>
      <c r="U9" cm="1">
        <f t="array" ref="U9">[1]!PropsSI("H","T",K9+273.15,"P",101325,"Water")</f>
        <v>227140.04270331649</v>
      </c>
      <c r="V9">
        <f t="shared" si="2"/>
        <v>701.91705382450789</v>
      </c>
      <c r="W9" s="3"/>
      <c r="X9">
        <f t="shared" si="3"/>
        <v>0.26755872599999997</v>
      </c>
      <c r="Y9">
        <f t="shared" si="3"/>
        <v>0.25847517600000003</v>
      </c>
      <c r="Z9">
        <f t="shared" ref="Z9:Z72" si="9">SQRT((X9)^2 + (Y9)^2)</f>
        <v>0.37201759160955555</v>
      </c>
      <c r="AA9">
        <f t="shared" si="8"/>
        <v>4.5417749999999941</v>
      </c>
      <c r="AB9">
        <f t="shared" si="5"/>
        <v>8.2518343444039424E-2</v>
      </c>
      <c r="AC9">
        <f t="shared" si="6"/>
        <v>57.921032516719045</v>
      </c>
    </row>
    <row r="10" spans="1:29" x14ac:dyDescent="0.2">
      <c r="A10">
        <v>44675.082750419002</v>
      </c>
      <c r="B10">
        <v>17.752414000000002</v>
      </c>
      <c r="C10">
        <v>18.186005000000002</v>
      </c>
      <c r="D10">
        <v>18.958707</v>
      </c>
      <c r="E10">
        <v>19.337582999999999</v>
      </c>
      <c r="F10">
        <v>34.216686000000003</v>
      </c>
      <c r="G10">
        <v>34.846386000000003</v>
      </c>
      <c r="H10">
        <v>30.130274</v>
      </c>
      <c r="I10">
        <v>26.858025999999999</v>
      </c>
      <c r="J10">
        <v>58.778407999999999</v>
      </c>
      <c r="K10">
        <v>54.235042999999997</v>
      </c>
      <c r="L10">
        <v>130.296593</v>
      </c>
      <c r="M10">
        <v>-622.52163199999995</v>
      </c>
      <c r="N10">
        <v>2.2493530000000002</v>
      </c>
      <c r="O10">
        <v>5.4598979999999999</v>
      </c>
      <c r="P10">
        <f t="shared" si="0"/>
        <v>3.748921666666667E-5</v>
      </c>
      <c r="Q10" cm="1">
        <f t="array" ref="Q10">[1]!PropsSI("D","T",J10+273.15,"P",101325,"Water")</f>
        <v>983.8198602439245</v>
      </c>
      <c r="R10" cm="1">
        <f t="array" ref="R10">[1]!PropsSI("D","T",K10+273.15,"P",101325,"Water")</f>
        <v>986.06165288549028</v>
      </c>
      <c r="S10">
        <f t="shared" si="1"/>
        <v>984.94075656470739</v>
      </c>
      <c r="T10" cm="1">
        <f t="array" ref="T10">[1]!PropsSI("H","T",J10+273.15,"P",101325,"Water")</f>
        <v>246136.70935469342</v>
      </c>
      <c r="U10" cm="1">
        <f t="array" ref="U10">[1]!PropsSI("H","T",K10+273.15,"P",101325,"Water")</f>
        <v>227129.39777075328</v>
      </c>
      <c r="V10">
        <f t="shared" si="2"/>
        <v>701.83846883924957</v>
      </c>
      <c r="X10">
        <f t="shared" si="3"/>
        <v>0.26755681599999998</v>
      </c>
      <c r="Y10">
        <f t="shared" si="3"/>
        <v>0.25847008599999999</v>
      </c>
      <c r="Z10">
        <f t="shared" si="9"/>
        <v>0.37201268143022387</v>
      </c>
      <c r="AA10">
        <f t="shared" si="8"/>
        <v>4.5433650000000014</v>
      </c>
      <c r="AB10">
        <f t="shared" si="5"/>
        <v>8.2488816660516801E-2</v>
      </c>
      <c r="AC10">
        <f t="shared" si="6"/>
        <v>57.89382478137869</v>
      </c>
    </row>
    <row r="11" spans="1:29" x14ac:dyDescent="0.2">
      <c r="A11">
        <v>44675.082785719896</v>
      </c>
      <c r="B11">
        <v>17.750118000000001</v>
      </c>
      <c r="C11">
        <v>18.208793</v>
      </c>
      <c r="D11">
        <v>18.927627000000001</v>
      </c>
      <c r="E11">
        <v>19.326501</v>
      </c>
      <c r="F11">
        <v>34.170988999999999</v>
      </c>
      <c r="G11">
        <v>33.752426</v>
      </c>
      <c r="H11">
        <v>29.366149</v>
      </c>
      <c r="I11">
        <v>26.619302000000001</v>
      </c>
      <c r="J11">
        <v>58.778089000000001</v>
      </c>
      <c r="K11">
        <v>54.235838000000001</v>
      </c>
      <c r="L11">
        <v>129.34357900000001</v>
      </c>
      <c r="M11">
        <v>-622.49102100000005</v>
      </c>
      <c r="N11">
        <v>2.2505660000000001</v>
      </c>
      <c r="O11">
        <v>5.3097940000000001</v>
      </c>
      <c r="P11">
        <f t="shared" si="0"/>
        <v>3.7509433333333337E-5</v>
      </c>
      <c r="Q11" cm="1">
        <f t="array" ref="Q11">[1]!PropsSI("D","T",J11+273.15,"P",101325,"Water")</f>
        <v>983.82002204131663</v>
      </c>
      <c r="R11" cm="1">
        <f t="array" ref="R11">[1]!PropsSI("D","T",K11+273.15,"P",101325,"Water")</f>
        <v>986.06127174015489</v>
      </c>
      <c r="S11">
        <f t="shared" si="1"/>
        <v>984.94064689073571</v>
      </c>
      <c r="T11" cm="1">
        <f t="array" ref="T11">[1]!PropsSI("H","T",J11+273.15,"P",101325,"Water")</f>
        <v>246135.37452126507</v>
      </c>
      <c r="U11" cm="1">
        <f t="array" ref="U11">[1]!PropsSI("H","T",K11+273.15,"P",101325,"Water")</f>
        <v>227132.72300485038</v>
      </c>
      <c r="V11">
        <f t="shared" si="2"/>
        <v>702.04470422686802</v>
      </c>
      <c r="X11">
        <f t="shared" si="3"/>
        <v>0.26755617799999998</v>
      </c>
      <c r="Y11">
        <f t="shared" si="3"/>
        <v>0.25847167599999998</v>
      </c>
      <c r="Z11">
        <f t="shared" si="9"/>
        <v>0.37201332728844089</v>
      </c>
      <c r="AA11">
        <f t="shared" si="8"/>
        <v>4.5422510000000003</v>
      </c>
      <c r="AB11">
        <f t="shared" si="5"/>
        <v>8.2508891138101031E-2</v>
      </c>
      <c r="AC11">
        <f t="shared" si="6"/>
        <v>57.924930075134988</v>
      </c>
    </row>
    <row r="12" spans="1:29" x14ac:dyDescent="0.2">
      <c r="A12">
        <v>44675.0828204422</v>
      </c>
      <c r="B12">
        <v>17.863443</v>
      </c>
      <c r="C12">
        <v>18.381253000000001</v>
      </c>
      <c r="D12">
        <v>18.852889999999999</v>
      </c>
      <c r="E12">
        <v>19.333701000000001</v>
      </c>
      <c r="F12">
        <v>34.221426999999998</v>
      </c>
      <c r="G12">
        <v>35.013703</v>
      </c>
      <c r="H12">
        <v>29.602108999999999</v>
      </c>
      <c r="I12">
        <v>26.502140000000001</v>
      </c>
      <c r="J12">
        <v>58.777611</v>
      </c>
      <c r="K12">
        <v>54.238702000000004</v>
      </c>
      <c r="L12">
        <v>131.84263799999999</v>
      </c>
      <c r="M12">
        <v>-622.49510199999997</v>
      </c>
      <c r="N12">
        <v>2.2523360000000001</v>
      </c>
      <c r="O12">
        <v>5.6526129999999997</v>
      </c>
      <c r="P12">
        <f t="shared" si="0"/>
        <v>3.7538933333333334E-5</v>
      </c>
      <c r="Q12" cm="1">
        <f t="array" ref="Q12">[1]!PropsSI("D","T",J12+273.15,"P",101325,"Water")</f>
        <v>983.82026448262707</v>
      </c>
      <c r="R12" cm="1">
        <f t="array" ref="R12">[1]!PropsSI("D","T",K12+273.15,"P",101325,"Water")</f>
        <v>986.05989862533113</v>
      </c>
      <c r="S12">
        <f t="shared" si="1"/>
        <v>984.9400815539791</v>
      </c>
      <c r="T12" cm="1">
        <f t="array" ref="T12">[1]!PropsSI("H","T",J12+273.15,"P",101325,"Water")</f>
        <v>246133.37436339652</v>
      </c>
      <c r="U12" cm="1">
        <f t="array" ref="U12">[1]!PropsSI("H","T",K12+273.15,"P",101325,"Water")</f>
        <v>227144.70221477808</v>
      </c>
      <c r="V12">
        <f t="shared" si="2"/>
        <v>702.07956967036444</v>
      </c>
      <c r="X12">
        <f t="shared" si="3"/>
        <v>0.26755522199999998</v>
      </c>
      <c r="Y12">
        <f t="shared" si="3"/>
        <v>0.25847740400000002</v>
      </c>
      <c r="Z12">
        <f t="shared" si="9"/>
        <v>0.37201661951860227</v>
      </c>
      <c r="AA12">
        <f t="shared" si="8"/>
        <v>4.5389089999999968</v>
      </c>
      <c r="AB12">
        <f t="shared" si="5"/>
        <v>8.2569470388736438E-2</v>
      </c>
      <c r="AC12">
        <f t="shared" si="6"/>
        <v>57.970338238433975</v>
      </c>
    </row>
    <row r="13" spans="1:29" x14ac:dyDescent="0.2">
      <c r="A13">
        <v>44675.082855743101</v>
      </c>
      <c r="B13">
        <v>17.596748999999999</v>
      </c>
      <c r="C13">
        <v>18.337855000000001</v>
      </c>
      <c r="D13">
        <v>18.800426999999999</v>
      </c>
      <c r="E13">
        <v>19.273228</v>
      </c>
      <c r="F13">
        <v>34.079887999999997</v>
      </c>
      <c r="G13">
        <v>34.357652999999999</v>
      </c>
      <c r="H13">
        <v>29.503250000000001</v>
      </c>
      <c r="I13">
        <v>26.830537</v>
      </c>
      <c r="J13">
        <v>58.776814999999999</v>
      </c>
      <c r="K13">
        <v>54.238066000000003</v>
      </c>
      <c r="L13">
        <v>136.90116</v>
      </c>
      <c r="M13">
        <v>-622.50897899999995</v>
      </c>
      <c r="N13">
        <v>2.2509100000000002</v>
      </c>
      <c r="O13">
        <v>5.2064529999999998</v>
      </c>
      <c r="P13">
        <f t="shared" si="0"/>
        <v>3.751516666666667E-5</v>
      </c>
      <c r="Q13" cm="1">
        <f t="array" ref="Q13">[1]!PropsSI("D","T",J13+273.15,"P",101325,"Water")</f>
        <v>983.82066821036494</v>
      </c>
      <c r="R13" cm="1">
        <f t="array" ref="R13">[1]!PropsSI("D","T",K13+273.15,"P",101325,"Water")</f>
        <v>986.06020355331623</v>
      </c>
      <c r="S13">
        <f t="shared" si="1"/>
        <v>984.94043588184059</v>
      </c>
      <c r="T13" cm="1">
        <f t="array" ref="T13">[1]!PropsSI("H","T",J13+273.15,"P",101325,"Water")</f>
        <v>246130.04355674062</v>
      </c>
      <c r="U13" cm="1">
        <f t="array" ref="U13">[1]!PropsSI("H","T",K13+273.15,"P",101325,"Water")</f>
        <v>227142.0420268162</v>
      </c>
      <c r="V13">
        <f t="shared" si="2"/>
        <v>701.61054164379914</v>
      </c>
      <c r="X13">
        <f t="shared" si="3"/>
        <v>0.26755362999999999</v>
      </c>
      <c r="Y13">
        <f t="shared" si="3"/>
        <v>0.25847613199999997</v>
      </c>
      <c r="Z13">
        <f t="shared" si="9"/>
        <v>0.37201459076205373</v>
      </c>
      <c r="AA13">
        <f t="shared" si="8"/>
        <v>4.5387489999999957</v>
      </c>
      <c r="AB13">
        <f t="shared" si="5"/>
        <v>8.2571894739239246E-2</v>
      </c>
      <c r="AC13">
        <f t="shared" si="6"/>
        <v>57.933311792552416</v>
      </c>
    </row>
    <row r="14" spans="1:29" x14ac:dyDescent="0.2">
      <c r="A14">
        <v>44675.082890465303</v>
      </c>
      <c r="B14">
        <v>17.557376000000001</v>
      </c>
      <c r="C14">
        <v>18.129375</v>
      </c>
      <c r="D14">
        <v>18.778224999999999</v>
      </c>
      <c r="E14">
        <v>19.149021999999999</v>
      </c>
      <c r="F14">
        <v>34.060699999999997</v>
      </c>
      <c r="G14">
        <v>34.723410999999999</v>
      </c>
      <c r="H14">
        <v>29.652113</v>
      </c>
      <c r="I14">
        <v>25.845912999999999</v>
      </c>
      <c r="J14">
        <v>58.777929999999998</v>
      </c>
      <c r="K14">
        <v>54.235678999999998</v>
      </c>
      <c r="L14">
        <v>134.39557099999999</v>
      </c>
      <c r="M14">
        <v>-622.49061300000005</v>
      </c>
      <c r="N14">
        <v>2.2513529999999999</v>
      </c>
      <c r="O14">
        <v>4.9947790000000003</v>
      </c>
      <c r="P14">
        <f t="shared" si="0"/>
        <v>3.7522549999999995E-5</v>
      </c>
      <c r="Q14" cm="1">
        <f t="array" ref="Q14">[1]!PropsSI("D","T",J14+273.15,"P",101325,"Water")</f>
        <v>983.82010268616875</v>
      </c>
      <c r="R14" cm="1">
        <f t="array" ref="R14">[1]!PropsSI("D","T",K14+273.15,"P",101325,"Water")</f>
        <v>986.06134796953893</v>
      </c>
      <c r="S14">
        <f t="shared" si="1"/>
        <v>984.9407253278539</v>
      </c>
      <c r="T14" cm="1">
        <f t="array" ref="T14">[1]!PropsSI("H","T",J14+273.15,"P",101325,"Water")</f>
        <v>246134.70919680092</v>
      </c>
      <c r="U14" cm="1">
        <f t="array" ref="U14">[1]!PropsSI("H","T",K14+273.15,"P",101325,"Water")</f>
        <v>227132.05795796905</v>
      </c>
      <c r="V14">
        <f t="shared" si="2"/>
        <v>702.29024777615075</v>
      </c>
      <c r="X14">
        <f t="shared" si="3"/>
        <v>0.26755585999999998</v>
      </c>
      <c r="Y14">
        <f t="shared" si="3"/>
        <v>0.25847135799999998</v>
      </c>
      <c r="Z14">
        <f t="shared" si="9"/>
        <v>0.37201287763557828</v>
      </c>
      <c r="AA14">
        <f t="shared" si="8"/>
        <v>4.5422510000000003</v>
      </c>
      <c r="AB14">
        <f t="shared" si="5"/>
        <v>8.2508792874460862E-2</v>
      </c>
      <c r="AC14">
        <f t="shared" si="6"/>
        <v>57.945120591516222</v>
      </c>
    </row>
    <row r="15" spans="1:29" x14ac:dyDescent="0.2">
      <c r="A15">
        <v>46137.082925763891</v>
      </c>
      <c r="B15">
        <v>17.425514</v>
      </c>
      <c r="C15">
        <v>17.729711999999999</v>
      </c>
      <c r="D15">
        <v>18.778679</v>
      </c>
      <c r="E15">
        <v>19.142226999999998</v>
      </c>
      <c r="F15">
        <v>33.866838000000001</v>
      </c>
      <c r="G15">
        <v>36.775995999999999</v>
      </c>
      <c r="H15">
        <v>29.413808</v>
      </c>
      <c r="I15">
        <v>27.038419000000001</v>
      </c>
      <c r="J15">
        <v>58.777292000000003</v>
      </c>
      <c r="K15">
        <v>54.229633999999997</v>
      </c>
      <c r="L15">
        <v>136.00651099999999</v>
      </c>
      <c r="M15">
        <v>-622.48653100000001</v>
      </c>
      <c r="N15">
        <v>2.250124</v>
      </c>
      <c r="O15">
        <v>5.7626749999999998</v>
      </c>
      <c r="P15">
        <f t="shared" ref="P15:P55" si="10" xml:space="preserve"> N15*0.001/60</f>
        <v>3.7502066666666668E-5</v>
      </c>
      <c r="Q15" cm="1">
        <f t="array" ref="Q15">[1]!PropsSI("D","T",J15+273.15,"P",101325,"Water")</f>
        <v>983.82042627850092</v>
      </c>
      <c r="R15" cm="1">
        <f t="array" ref="R15">[1]!PropsSI("D","T",K15+273.15,"P",101325,"Water")</f>
        <v>986.06424600695823</v>
      </c>
      <c r="S15">
        <f t="shared" ref="S15:S55" si="11">(Q15+R15)/2</f>
        <v>984.94233614272957</v>
      </c>
      <c r="T15" cm="1">
        <f t="array" ref="T15">[1]!PropsSI("H","T",J15+273.15,"P",101325,"Water")</f>
        <v>246132.03953003357</v>
      </c>
      <c r="U15" cm="1">
        <f t="array" ref="U15">[1]!PropsSI("H","T",K15+273.15,"P",101325,"Water")</f>
        <v>227106.77363676476</v>
      </c>
      <c r="V15">
        <f t="shared" ref="V15:V55" si="12">S15*P15*(T15-U15)</f>
        <v>702.743345631804</v>
      </c>
      <c r="X15">
        <f t="shared" ref="X15:X55" si="13">(0.15+0.002*ABS(J15))</f>
        <v>0.26755458399999998</v>
      </c>
      <c r="Y15">
        <f t="shared" ref="Y15:Y55" si="14">(0.15+0.002*ABS(K15))</f>
        <v>0.25845926799999996</v>
      </c>
      <c r="Z15">
        <f t="shared" ref="Z15:Z55" si="15">SQRT((X15)^2 + (Y15)^2)</f>
        <v>0.37200355997558526</v>
      </c>
      <c r="AA15">
        <f t="shared" ref="AA15:AA55" si="16">J15-K15</f>
        <v>4.5476580000000055</v>
      </c>
      <c r="AB15">
        <f t="shared" ref="AB15:AB55" si="17">SQRT((0.01)^2 + (Z15/ABS(AA15))^2)</f>
        <v>8.24101010274364E-2</v>
      </c>
      <c r="AC15">
        <f t="shared" ref="AC15:AC55" si="18">ABS(V15*AB15)</f>
        <v>57.913150109875623</v>
      </c>
    </row>
    <row r="16" spans="1:29" x14ac:dyDescent="0.2">
      <c r="A16">
        <v>46137.082961064814</v>
      </c>
      <c r="B16">
        <v>17.266088</v>
      </c>
      <c r="C16">
        <v>17.623227</v>
      </c>
      <c r="D16">
        <v>18.713044</v>
      </c>
      <c r="E16">
        <v>19.105195999999999</v>
      </c>
      <c r="F16">
        <v>33.933382000000002</v>
      </c>
      <c r="G16">
        <v>33.213518000000001</v>
      </c>
      <c r="H16">
        <v>30.077642999999998</v>
      </c>
      <c r="I16">
        <v>26.578275000000001</v>
      </c>
      <c r="J16">
        <v>58.776974000000003</v>
      </c>
      <c r="K16">
        <v>54.223111000000003</v>
      </c>
      <c r="L16">
        <v>137.57622799999999</v>
      </c>
      <c r="M16">
        <v>-622.50163299999997</v>
      </c>
      <c r="N16">
        <v>2.248173</v>
      </c>
      <c r="O16">
        <v>5.1783950000000001</v>
      </c>
      <c r="P16">
        <f t="shared" si="10"/>
        <v>3.7469550000000001E-5</v>
      </c>
      <c r="Q16" cm="1">
        <f t="array" ref="Q16">[1]!PropsSI("D","T",J16+273.15,"P",101325,"Water")</f>
        <v>983.82058756656249</v>
      </c>
      <c r="R16" cm="1">
        <f t="array" ref="R16">[1]!PropsSI("D","T",K16+273.15,"P",101325,"Water")</f>
        <v>986.06737294613288</v>
      </c>
      <c r="S16">
        <f t="shared" si="11"/>
        <v>984.94398025634769</v>
      </c>
      <c r="T16" cm="1">
        <f t="array" ref="T16">[1]!PropsSI("H","T",J16+273.15,"P",101325,"Water")</f>
        <v>246130.70888113911</v>
      </c>
      <c r="U16" cm="1">
        <f t="array" ref="U16">[1]!PropsSI("H","T",K16+273.15,"P",101325,"Water")</f>
        <v>227079.49000718375</v>
      </c>
      <c r="V16">
        <f t="shared" si="12"/>
        <v>703.09300001891779</v>
      </c>
      <c r="X16">
        <f t="shared" si="13"/>
        <v>0.26755394799999999</v>
      </c>
      <c r="Y16">
        <f t="shared" si="14"/>
        <v>0.258446222</v>
      </c>
      <c r="Z16">
        <f t="shared" si="15"/>
        <v>0.37199403860338942</v>
      </c>
      <c r="AA16">
        <f t="shared" si="16"/>
        <v>4.5538629999999998</v>
      </c>
      <c r="AB16">
        <f t="shared" si="17"/>
        <v>8.2297389902606405E-2</v>
      </c>
      <c r="AC16">
        <f t="shared" si="18"/>
        <v>57.862718760350127</v>
      </c>
    </row>
    <row r="17" spans="1:29" x14ac:dyDescent="0.2">
      <c r="A17">
        <v>46137.082995787037</v>
      </c>
      <c r="B17">
        <v>17.204535</v>
      </c>
      <c r="C17">
        <v>17.519914</v>
      </c>
      <c r="D17">
        <v>18.683899</v>
      </c>
      <c r="E17">
        <v>19.129438</v>
      </c>
      <c r="F17">
        <v>33.966050000000003</v>
      </c>
      <c r="G17">
        <v>36.120716999999999</v>
      </c>
      <c r="H17">
        <v>30.42774</v>
      </c>
      <c r="I17">
        <v>26.791720000000002</v>
      </c>
      <c r="J17">
        <v>58.777929999999998</v>
      </c>
      <c r="K17">
        <v>54.217542999999999</v>
      </c>
      <c r="L17">
        <v>130.57617099999999</v>
      </c>
      <c r="M17">
        <v>-622.493878</v>
      </c>
      <c r="N17">
        <v>2.2513649999999998</v>
      </c>
      <c r="O17">
        <v>5.2896900000000002</v>
      </c>
      <c r="P17">
        <f t="shared" si="10"/>
        <v>3.7522750000000003E-5</v>
      </c>
      <c r="Q17" cm="1">
        <f t="array" ref="Q17">[1]!PropsSI("D","T",J17+273.15,"P",101325,"Water")</f>
        <v>983.82010268616875</v>
      </c>
      <c r="R17" cm="1">
        <f t="array" ref="R17">[1]!PropsSI("D","T",K17+273.15,"P",101325,"Water")</f>
        <v>986.07004187497478</v>
      </c>
      <c r="S17">
        <f t="shared" si="11"/>
        <v>984.94507228057182</v>
      </c>
      <c r="T17" cm="1">
        <f t="array" ref="T17">[1]!PropsSI("H","T",J17+273.15,"P",101325,"Water")</f>
        <v>246134.70919680092</v>
      </c>
      <c r="U17" cm="1">
        <f t="array" ref="U17">[1]!PropsSI("H","T",K17+273.15,"P",101325,"Water")</f>
        <v>227056.20084998524</v>
      </c>
      <c r="V17">
        <f t="shared" si="12"/>
        <v>705.10060603305044</v>
      </c>
      <c r="X17">
        <f t="shared" si="13"/>
        <v>0.26755585999999998</v>
      </c>
      <c r="Y17">
        <f t="shared" si="14"/>
        <v>0.25843508599999998</v>
      </c>
      <c r="Z17">
        <f t="shared" si="15"/>
        <v>0.37198767707568886</v>
      </c>
      <c r="AA17">
        <f t="shared" si="16"/>
        <v>4.5603869999999986</v>
      </c>
      <c r="AB17">
        <f t="shared" si="17"/>
        <v>8.2180011819335874E-2</v>
      </c>
      <c r="AC17">
        <f t="shared" si="18"/>
        <v>57.945176137616976</v>
      </c>
    </row>
    <row r="18" spans="1:29" x14ac:dyDescent="0.2">
      <c r="A18">
        <v>46137.08303050926</v>
      </c>
      <c r="B18">
        <v>17.154160000000001</v>
      </c>
      <c r="C18">
        <v>17.307013999999999</v>
      </c>
      <c r="D18">
        <v>18.659758</v>
      </c>
      <c r="E18">
        <v>19.095386999999999</v>
      </c>
      <c r="F18">
        <v>33.758868999999997</v>
      </c>
      <c r="G18">
        <v>32.945351000000002</v>
      </c>
      <c r="H18">
        <v>29.651467</v>
      </c>
      <c r="I18">
        <v>26.590267000000001</v>
      </c>
      <c r="J18">
        <v>58.777451999999997</v>
      </c>
      <c r="K18">
        <v>54.21293</v>
      </c>
      <c r="L18">
        <v>125.388267</v>
      </c>
      <c r="M18">
        <v>-622.46489999999994</v>
      </c>
      <c r="N18">
        <v>2.249193</v>
      </c>
      <c r="O18">
        <v>5.1589900000000002</v>
      </c>
      <c r="P18">
        <f t="shared" si="10"/>
        <v>3.7486549999999998E-5</v>
      </c>
      <c r="Q18" cm="1">
        <f t="array" ref="Q18">[1]!PropsSI("D","T",J18+273.15,"P",101325,"Water")</f>
        <v>983.82034512705036</v>
      </c>
      <c r="R18" cm="1">
        <f t="array" ref="R18">[1]!PropsSI("D","T",K18+273.15,"P",101325,"Water")</f>
        <v>986.07225289338351</v>
      </c>
      <c r="S18">
        <f t="shared" si="11"/>
        <v>984.94629901021699</v>
      </c>
      <c r="T18" cm="1">
        <f t="array" ref="T18">[1]!PropsSI("H","T",J18+273.15,"P",101325,"Water")</f>
        <v>246132.70903890146</v>
      </c>
      <c r="U18" cm="1">
        <f t="array" ref="U18">[1]!PropsSI("H","T",K18+273.15,"P",101325,"Water")</f>
        <v>227036.90615948304</v>
      </c>
      <c r="V18">
        <f t="shared" si="12"/>
        <v>705.05979179868018</v>
      </c>
      <c r="X18">
        <f t="shared" si="13"/>
        <v>0.26755490399999998</v>
      </c>
      <c r="Y18">
        <f t="shared" si="14"/>
        <v>0.25842586000000001</v>
      </c>
      <c r="Z18">
        <f t="shared" si="15"/>
        <v>0.37198057983070676</v>
      </c>
      <c r="AA18">
        <f t="shared" si="16"/>
        <v>4.5645219999999966</v>
      </c>
      <c r="AB18">
        <f t="shared" si="17"/>
        <v>8.2105124487589415E-2</v>
      </c>
      <c r="AC18">
        <f t="shared" si="18"/>
        <v>57.889021976824509</v>
      </c>
    </row>
    <row r="19" spans="1:29" x14ac:dyDescent="0.2">
      <c r="A19">
        <v>46137.083065810184</v>
      </c>
      <c r="B19">
        <v>17.169550999999998</v>
      </c>
      <c r="C19">
        <v>17.606480999999999</v>
      </c>
      <c r="D19">
        <v>18.712893999999999</v>
      </c>
      <c r="E19">
        <v>19.100691999999999</v>
      </c>
      <c r="F19">
        <v>33.859413000000004</v>
      </c>
      <c r="G19">
        <v>34.880212</v>
      </c>
      <c r="H19">
        <v>29.478453999999999</v>
      </c>
      <c r="I19">
        <v>27.194613</v>
      </c>
      <c r="J19">
        <v>58.778247999999998</v>
      </c>
      <c r="K19">
        <v>54.207521</v>
      </c>
      <c r="L19">
        <v>138.335374</v>
      </c>
      <c r="M19">
        <v>-622.48367399999995</v>
      </c>
      <c r="N19">
        <v>2.2490619999999999</v>
      </c>
      <c r="O19">
        <v>5.2140269999999997</v>
      </c>
      <c r="P19">
        <f t="shared" si="10"/>
        <v>3.748436666666667E-5</v>
      </c>
      <c r="Q19" cm="1">
        <f t="array" ref="Q19">[1]!PropsSI("D","T",J19+273.15,"P",101325,"Water")</f>
        <v>983.81994139630194</v>
      </c>
      <c r="R19" cm="1">
        <f t="array" ref="R19">[1]!PropsSI("D","T",K19+273.15,"P",101325,"Water")</f>
        <v>986.07484526619749</v>
      </c>
      <c r="S19">
        <f t="shared" si="11"/>
        <v>984.94739333124971</v>
      </c>
      <c r="T19" cm="1">
        <f t="array" ref="T19">[1]!PropsSI("H","T",J19+273.15,"P",101325,"Water")</f>
        <v>246136.03984576635</v>
      </c>
      <c r="U19" cm="1">
        <f t="array" ref="U19">[1]!PropsSI("H","T",K19+273.15,"P",101325,"Water")</f>
        <v>227014.28206734764</v>
      </c>
      <c r="V19">
        <f t="shared" si="12"/>
        <v>705.97776845618966</v>
      </c>
      <c r="X19">
        <f t="shared" si="13"/>
        <v>0.26755649599999998</v>
      </c>
      <c r="Y19">
        <f t="shared" si="14"/>
        <v>0.25841504199999998</v>
      </c>
      <c r="Z19">
        <f t="shared" si="15"/>
        <v>0.37197420943347637</v>
      </c>
      <c r="AA19">
        <f t="shared" si="16"/>
        <v>4.570726999999998</v>
      </c>
      <c r="AB19">
        <f t="shared" si="17"/>
        <v>8.1993933708665895E-2</v>
      </c>
      <c r="AC19">
        <f t="shared" si="18"/>
        <v>57.885894346588692</v>
      </c>
    </row>
    <row r="20" spans="1:29" x14ac:dyDescent="0.2">
      <c r="A20">
        <v>46137.083101111108</v>
      </c>
      <c r="B20">
        <v>17.631474999999998</v>
      </c>
      <c r="C20">
        <v>18.11553</v>
      </c>
      <c r="D20">
        <v>18.777166999999999</v>
      </c>
      <c r="E20">
        <v>19.163426999999999</v>
      </c>
      <c r="F20">
        <v>34.312134999999998</v>
      </c>
      <c r="G20">
        <v>35.088552999999997</v>
      </c>
      <c r="H20">
        <v>30.039819999999999</v>
      </c>
      <c r="I20">
        <v>26.855654000000001</v>
      </c>
      <c r="J20">
        <v>58.778247999999998</v>
      </c>
      <c r="K20">
        <v>54.206724999999999</v>
      </c>
      <c r="L20">
        <v>128.946865</v>
      </c>
      <c r="M20">
        <v>-622.47347100000002</v>
      </c>
      <c r="N20">
        <v>2.249406</v>
      </c>
      <c r="O20">
        <v>5.32179</v>
      </c>
      <c r="P20">
        <f t="shared" si="10"/>
        <v>3.7490100000000002E-5</v>
      </c>
      <c r="Q20" cm="1">
        <f t="array" ref="Q20">[1]!PropsSI("D","T",J20+273.15,"P",101325,"Water")</f>
        <v>983.81994139630194</v>
      </c>
      <c r="R20" cm="1">
        <f t="array" ref="R20">[1]!PropsSI("D","T",K20+273.15,"P",101325,"Water")</f>
        <v>986.0752267498483</v>
      </c>
      <c r="S20">
        <f t="shared" si="11"/>
        <v>984.94758407307518</v>
      </c>
      <c r="T20" cm="1">
        <f t="array" ref="T20">[1]!PropsSI("H","T",J20+273.15,"P",101325,"Water")</f>
        <v>246136.03984576635</v>
      </c>
      <c r="U20" cm="1">
        <f t="array" ref="U20">[1]!PropsSI("H","T",K20+273.15,"P",101325,"Water")</f>
        <v>227010.9526585041</v>
      </c>
      <c r="V20">
        <f t="shared" si="12"/>
        <v>706.20882739717229</v>
      </c>
      <c r="X20">
        <f t="shared" si="13"/>
        <v>0.26755649599999998</v>
      </c>
      <c r="Y20">
        <f t="shared" si="14"/>
        <v>0.25841344999999999</v>
      </c>
      <c r="Z20">
        <f t="shared" si="15"/>
        <v>0.37197310345332835</v>
      </c>
      <c r="AA20">
        <f t="shared" si="16"/>
        <v>4.5715229999999991</v>
      </c>
      <c r="AB20">
        <f t="shared" si="17"/>
        <v>8.1979629065431506E-2</v>
      </c>
      <c r="AC20">
        <f t="shared" si="18"/>
        <v>57.894737712753525</v>
      </c>
    </row>
    <row r="21" spans="1:29" x14ac:dyDescent="0.2">
      <c r="A21">
        <v>46137.083135833331</v>
      </c>
      <c r="B21">
        <v>17.687850999999998</v>
      </c>
      <c r="C21">
        <v>18.171137000000002</v>
      </c>
      <c r="D21">
        <v>18.835011999999999</v>
      </c>
      <c r="E21">
        <v>19.182438999999999</v>
      </c>
      <c r="F21">
        <v>33.942774</v>
      </c>
      <c r="G21">
        <v>34.404080999999998</v>
      </c>
      <c r="H21">
        <v>29.970305</v>
      </c>
      <c r="I21">
        <v>26.544530999999999</v>
      </c>
      <c r="J21">
        <v>58.778567000000002</v>
      </c>
      <c r="K21">
        <v>54.211179999999999</v>
      </c>
      <c r="L21">
        <v>136.33425</v>
      </c>
      <c r="M21">
        <v>-622.51428499999997</v>
      </c>
      <c r="N21">
        <v>2.2491729999999999</v>
      </c>
      <c r="O21">
        <v>5.1396100000000002</v>
      </c>
      <c r="P21">
        <f t="shared" si="10"/>
        <v>3.7486216666666664E-5</v>
      </c>
      <c r="Q21" cm="1">
        <f t="array" ref="Q21">[1]!PropsSI("D","T",J21+273.15,"P",101325,"Water")</f>
        <v>983.81977959860933</v>
      </c>
      <c r="R21" cm="1">
        <f t="array" ref="R21">[1]!PropsSI("D","T",K21+273.15,"P",101325,"Water")</f>
        <v>986.07309163638183</v>
      </c>
      <c r="S21">
        <f t="shared" si="11"/>
        <v>984.94643561749558</v>
      </c>
      <c r="T21" cm="1">
        <f t="array" ref="T21">[1]!PropsSI("H","T",J21+273.15,"P",101325,"Water")</f>
        <v>246137.37467927395</v>
      </c>
      <c r="U21" cm="1">
        <f t="array" ref="U21">[1]!PropsSI("H","T",K21+273.15,"P",101325,"Water")</f>
        <v>227029.58647616653</v>
      </c>
      <c r="V21">
        <f t="shared" si="12"/>
        <v>705.49614124776929</v>
      </c>
      <c r="X21">
        <f t="shared" si="13"/>
        <v>0.26755713400000003</v>
      </c>
      <c r="Y21">
        <f t="shared" si="14"/>
        <v>0.25842235999999996</v>
      </c>
      <c r="Z21">
        <f t="shared" si="15"/>
        <v>0.37197975227458757</v>
      </c>
      <c r="AA21">
        <f t="shared" si="16"/>
        <v>4.5673870000000036</v>
      </c>
      <c r="AB21">
        <f t="shared" si="17"/>
        <v>8.2054206520409553E-2</v>
      </c>
      <c r="AC21">
        <f t="shared" si="18"/>
        <v>57.888926073296489</v>
      </c>
    </row>
    <row r="22" spans="1:29" x14ac:dyDescent="0.2">
      <c r="A22">
        <v>46137.083171134262</v>
      </c>
      <c r="B22">
        <v>17.734438000000001</v>
      </c>
      <c r="C22">
        <v>17.964866000000001</v>
      </c>
      <c r="D22">
        <v>18.743009000000001</v>
      </c>
      <c r="E22">
        <v>19.171724999999999</v>
      </c>
      <c r="F22">
        <v>34.248368999999997</v>
      </c>
      <c r="G22">
        <v>34.862005000000003</v>
      </c>
      <c r="H22">
        <v>29.446451</v>
      </c>
      <c r="I22">
        <v>26.724461999999999</v>
      </c>
      <c r="J22">
        <v>58.779204</v>
      </c>
      <c r="K22">
        <v>54.213884</v>
      </c>
      <c r="L22">
        <v>130.24149399999999</v>
      </c>
      <c r="M22">
        <v>-622.47632799999997</v>
      </c>
      <c r="N22">
        <v>2.2510949999999998</v>
      </c>
      <c r="O22">
        <v>5.3035410000000001</v>
      </c>
      <c r="P22">
        <f t="shared" si="10"/>
        <v>3.7518249999999999E-5</v>
      </c>
      <c r="Q22" cm="1">
        <f t="array" ref="Q22">[1]!PropsSI("D","T",J22+273.15,"P",101325,"Water")</f>
        <v>983.8194565086136</v>
      </c>
      <c r="R22" cm="1">
        <f t="array" ref="R22">[1]!PropsSI("D","T",K22+273.15,"P",101325,"Water")</f>
        <v>986.0717956505523</v>
      </c>
      <c r="S22">
        <f t="shared" si="11"/>
        <v>984.94562607958301</v>
      </c>
      <c r="T22" cm="1">
        <f t="array" ref="T22">[1]!PropsSI("H","T",J22+273.15,"P",101325,"Water")</f>
        <v>246140.04016190721</v>
      </c>
      <c r="U22" cm="1">
        <f t="array" ref="U22">[1]!PropsSI("H","T",K22+273.15,"P",101325,"Water")</f>
        <v>227040.89643308887</v>
      </c>
      <c r="V22">
        <f t="shared" si="12"/>
        <v>705.77898993860003</v>
      </c>
      <c r="X22">
        <f t="shared" si="13"/>
        <v>0.26755840799999997</v>
      </c>
      <c r="Y22">
        <f t="shared" si="14"/>
        <v>0.258427768</v>
      </c>
      <c r="Z22">
        <f t="shared" si="15"/>
        <v>0.37198442570214724</v>
      </c>
      <c r="AA22">
        <f t="shared" si="16"/>
        <v>4.5653199999999998</v>
      </c>
      <c r="AB22">
        <f t="shared" si="17"/>
        <v>8.2091821882169569E-2</v>
      </c>
      <c r="AC22">
        <f t="shared" si="18"/>
        <v>57.9386831302171</v>
      </c>
    </row>
    <row r="23" spans="1:29" x14ac:dyDescent="0.2">
      <c r="A23">
        <v>46137.083206435185</v>
      </c>
      <c r="B23">
        <v>17.477637999999999</v>
      </c>
      <c r="C23">
        <v>17.760856</v>
      </c>
      <c r="D23">
        <v>18.800553000000001</v>
      </c>
      <c r="E23">
        <v>19.204452</v>
      </c>
      <c r="F23">
        <v>34.347150999999997</v>
      </c>
      <c r="G23">
        <v>34.675193999999998</v>
      </c>
      <c r="H23">
        <v>29.244506999999999</v>
      </c>
      <c r="I23">
        <v>26.053326999999999</v>
      </c>
      <c r="J23">
        <v>58.777929999999998</v>
      </c>
      <c r="K23">
        <v>54.215474999999998</v>
      </c>
      <c r="L23">
        <v>132.38628399999999</v>
      </c>
      <c r="M23">
        <v>-622.46898099999999</v>
      </c>
      <c r="N23">
        <v>2.2538070000000001</v>
      </c>
      <c r="O23">
        <v>5.603853</v>
      </c>
      <c r="P23">
        <f t="shared" si="10"/>
        <v>3.7563450000000004E-5</v>
      </c>
      <c r="Q23" cm="1">
        <f t="array" ref="Q23">[1]!PropsSI("D","T",J23+273.15,"P",101325,"Water")</f>
        <v>983.82010268616875</v>
      </c>
      <c r="R23" cm="1">
        <f t="array" ref="R23">[1]!PropsSI("D","T",K23+273.15,"P",101325,"Water")</f>
        <v>986.07103308721787</v>
      </c>
      <c r="S23">
        <f t="shared" si="11"/>
        <v>984.94556788669331</v>
      </c>
      <c r="T23" cm="1">
        <f t="array" ref="T23">[1]!PropsSI("H","T",J23+273.15,"P",101325,"Water")</f>
        <v>246134.70919680092</v>
      </c>
      <c r="U23" cm="1">
        <f t="array" ref="U23">[1]!PropsSI("H","T",K23+273.15,"P",101325,"Water")</f>
        <v>227047.55107237506</v>
      </c>
      <c r="V23">
        <f t="shared" si="12"/>
        <v>706.18579049131142</v>
      </c>
      <c r="X23">
        <f t="shared" si="13"/>
        <v>0.26755585999999998</v>
      </c>
      <c r="Y23">
        <f t="shared" si="14"/>
        <v>0.25843094999999999</v>
      </c>
      <c r="Z23">
        <f t="shared" si="15"/>
        <v>0.37198480363886116</v>
      </c>
      <c r="AA23">
        <f t="shared" si="16"/>
        <v>4.5624549999999999</v>
      </c>
      <c r="AB23">
        <f t="shared" si="17"/>
        <v>8.2142689075331551E-2</v>
      </c>
      <c r="AC23">
        <f t="shared" si="18"/>
        <v>58.007999817745024</v>
      </c>
    </row>
    <row r="24" spans="1:29" x14ac:dyDescent="0.2">
      <c r="A24">
        <v>46137.083241157408</v>
      </c>
      <c r="B24">
        <v>17.476915000000002</v>
      </c>
      <c r="C24">
        <v>17.65249</v>
      </c>
      <c r="D24">
        <v>18.829017</v>
      </c>
      <c r="E24">
        <v>19.159217000000002</v>
      </c>
      <c r="F24">
        <v>34.067304999999998</v>
      </c>
      <c r="G24">
        <v>33.231800999999997</v>
      </c>
      <c r="H24">
        <v>30.448485999999999</v>
      </c>
      <c r="I24">
        <v>26.273202000000001</v>
      </c>
      <c r="J24">
        <v>58.781593999999998</v>
      </c>
      <c r="K24">
        <v>54.217066000000003</v>
      </c>
      <c r="L24">
        <v>132.449138</v>
      </c>
      <c r="M24">
        <v>-622.48693900000001</v>
      </c>
      <c r="N24">
        <v>2.2542870000000002</v>
      </c>
      <c r="O24">
        <v>5.8846449999999999</v>
      </c>
      <c r="P24">
        <f t="shared" si="10"/>
        <v>3.7571450000000001E-5</v>
      </c>
      <c r="Q24" cm="1">
        <f t="array" ref="Q24">[1]!PropsSI("D","T",J24+273.15,"P",101325,"Water")</f>
        <v>983.8182442655376</v>
      </c>
      <c r="R24" cm="1">
        <f t="array" ref="R24">[1]!PropsSI("D","T",K24+273.15,"P",101325,"Water")</f>
        <v>986.07027050802901</v>
      </c>
      <c r="S24">
        <f t="shared" si="11"/>
        <v>984.94425738678331</v>
      </c>
      <c r="T24" cm="1">
        <f t="array" ref="T24">[1]!PropsSI("H","T",J24+273.15,"P",101325,"Water")</f>
        <v>246150.04095394388</v>
      </c>
      <c r="U24" cm="1">
        <f t="array" ref="U24">[1]!PropsSI("H","T",K24+273.15,"P",101325,"Water")</f>
        <v>227054.20571256429</v>
      </c>
      <c r="V24">
        <f t="shared" si="12"/>
        <v>706.65635269903566</v>
      </c>
      <c r="X24">
        <f t="shared" si="13"/>
        <v>0.26756318800000001</v>
      </c>
      <c r="Y24">
        <f t="shared" si="14"/>
        <v>0.25843413199999998</v>
      </c>
      <c r="Z24">
        <f t="shared" si="15"/>
        <v>0.37199228507499554</v>
      </c>
      <c r="AA24">
        <f t="shared" si="16"/>
        <v>4.5645279999999957</v>
      </c>
      <c r="AB24">
        <f t="shared" si="17"/>
        <v>8.2107563465140671E-2</v>
      </c>
      <c r="AC24">
        <f t="shared" si="18"/>
        <v>58.0218313272809</v>
      </c>
    </row>
    <row r="25" spans="1:29" x14ac:dyDescent="0.2">
      <c r="A25">
        <v>46137.083276458332</v>
      </c>
      <c r="B25">
        <v>17.397084</v>
      </c>
      <c r="C25">
        <v>17.379791000000001</v>
      </c>
      <c r="D25">
        <v>18.827794999999998</v>
      </c>
      <c r="E25">
        <v>19.194490999999999</v>
      </c>
      <c r="F25">
        <v>33.992784999999998</v>
      </c>
      <c r="G25">
        <v>33.996853000000002</v>
      </c>
      <c r="H25">
        <v>29.601234999999999</v>
      </c>
      <c r="I25">
        <v>26.636673999999999</v>
      </c>
      <c r="J25">
        <v>58.781753000000002</v>
      </c>
      <c r="K25">
        <v>54.215316000000001</v>
      </c>
      <c r="L25">
        <v>134.742085</v>
      </c>
      <c r="M25">
        <v>-622.48326599999996</v>
      </c>
      <c r="N25">
        <v>2.252726</v>
      </c>
      <c r="O25">
        <v>5.3928520000000004</v>
      </c>
      <c r="P25">
        <f t="shared" si="10"/>
        <v>3.7545433333333335E-5</v>
      </c>
      <c r="Q25" cm="1">
        <f t="array" ref="Q25">[1]!PropsSI("D","T",J25+273.15,"P",101325,"Water")</f>
        <v>983.81816361721974</v>
      </c>
      <c r="R25" cm="1">
        <f t="array" ref="R25">[1]!PropsSI("D","T",K25+273.15,"P",101325,"Water")</f>
        <v>986.07110929634405</v>
      </c>
      <c r="S25">
        <f t="shared" si="11"/>
        <v>984.94463645678184</v>
      </c>
      <c r="T25" cm="1">
        <f t="array" ref="T25">[1]!PropsSI("H","T",J25+273.15,"P",101325,"Water")</f>
        <v>246150.70627867981</v>
      </c>
      <c r="U25" cm="1">
        <f t="array" ref="U25">[1]!PropsSI("H","T",K25+273.15,"P",101325,"Water")</f>
        <v>227046.88602666667</v>
      </c>
      <c r="V25">
        <f t="shared" si="12"/>
        <v>706.46258141670205</v>
      </c>
      <c r="X25">
        <f t="shared" si="13"/>
        <v>0.26756350600000001</v>
      </c>
      <c r="Y25">
        <f t="shared" si="14"/>
        <v>0.25843063199999999</v>
      </c>
      <c r="Z25">
        <f t="shared" si="15"/>
        <v>0.37199008225883046</v>
      </c>
      <c r="AA25">
        <f t="shared" si="16"/>
        <v>4.5664370000000005</v>
      </c>
      <c r="AB25">
        <f t="shared" si="17"/>
        <v>8.2073268835690397E-2</v>
      </c>
      <c r="AC25">
        <f t="shared" si="18"/>
        <v>57.981693366968805</v>
      </c>
    </row>
    <row r="26" spans="1:29" x14ac:dyDescent="0.2">
      <c r="A26">
        <v>46137.083311759263</v>
      </c>
      <c r="B26">
        <v>17.050453999999998</v>
      </c>
      <c r="C26">
        <v>17.074044000000001</v>
      </c>
      <c r="D26">
        <v>18.765743000000001</v>
      </c>
      <c r="E26">
        <v>19.163979000000001</v>
      </c>
      <c r="F26">
        <v>33.86298</v>
      </c>
      <c r="G26">
        <v>34.530465</v>
      </c>
      <c r="H26">
        <v>29.474060999999999</v>
      </c>
      <c r="I26">
        <v>26.687631</v>
      </c>
      <c r="J26">
        <v>58.784301999999997</v>
      </c>
      <c r="K26">
        <v>54.209271000000001</v>
      </c>
      <c r="L26">
        <v>137.714181</v>
      </c>
      <c r="M26">
        <v>-622.51346899999999</v>
      </c>
      <c r="N26">
        <v>2.255217</v>
      </c>
      <c r="O26">
        <v>5.4180130000000002</v>
      </c>
      <c r="P26">
        <f t="shared" si="10"/>
        <v>3.7586950000000001E-5</v>
      </c>
      <c r="Q26" cm="1">
        <f t="array" ref="Q26">[1]!PropsSI("D","T",J26+273.15,"P",101325,"Water")</f>
        <v>983.81687068696635</v>
      </c>
      <c r="R26" cm="1">
        <f t="array" ref="R26">[1]!PropsSI("D","T",K26+273.15,"P",101325,"Water")</f>
        <v>986.0740065632848</v>
      </c>
      <c r="S26">
        <f t="shared" si="11"/>
        <v>984.94543862512558</v>
      </c>
      <c r="T26" cm="1">
        <f t="array" ref="T26">[1]!PropsSI("H","T",J26+273.15,"P",101325,"Water")</f>
        <v>246161.37239817536</v>
      </c>
      <c r="U26" cm="1">
        <f t="array" ref="U26">[1]!PropsSI("H","T",K26+273.15,"P",101325,"Water")</f>
        <v>227021.60174849292</v>
      </c>
      <c r="V26">
        <f t="shared" si="12"/>
        <v>708.5752666260048</v>
      </c>
      <c r="X26">
        <f t="shared" si="13"/>
        <v>0.26756860399999999</v>
      </c>
      <c r="Y26">
        <f t="shared" si="14"/>
        <v>0.25841854200000003</v>
      </c>
      <c r="Z26">
        <f t="shared" si="15"/>
        <v>0.37198535010926786</v>
      </c>
      <c r="AA26">
        <f t="shared" si="16"/>
        <v>4.5750309999999956</v>
      </c>
      <c r="AB26">
        <f t="shared" si="17"/>
        <v>8.1920361982219594E-2</v>
      </c>
      <c r="AC26">
        <f t="shared" si="18"/>
        <v>58.04674233365008</v>
      </c>
    </row>
    <row r="27" spans="1:29" x14ac:dyDescent="0.2">
      <c r="A27">
        <v>46137.083347060186</v>
      </c>
      <c r="B27">
        <v>16.954198000000002</v>
      </c>
      <c r="C27">
        <v>16.984535999999999</v>
      </c>
      <c r="D27">
        <v>18.689525</v>
      </c>
      <c r="E27">
        <v>19.077090999999999</v>
      </c>
      <c r="F27">
        <v>33.910229999999999</v>
      </c>
      <c r="G27">
        <v>34.759160000000001</v>
      </c>
      <c r="H27">
        <v>29.618452000000001</v>
      </c>
      <c r="I27">
        <v>26.221568000000001</v>
      </c>
      <c r="J27">
        <v>58.783982999999999</v>
      </c>
      <c r="K27">
        <v>54.202271000000003</v>
      </c>
      <c r="L27">
        <v>124.898904</v>
      </c>
      <c r="M27">
        <v>-622.50204099999996</v>
      </c>
      <c r="N27">
        <v>2.251099</v>
      </c>
      <c r="O27">
        <v>4.643408</v>
      </c>
      <c r="P27">
        <f t="shared" si="10"/>
        <v>3.7518316666666666E-5</v>
      </c>
      <c r="Q27" cm="1">
        <f t="array" ref="Q27">[1]!PropsSI("D","T",J27+273.15,"P",101325,"Water")</f>
        <v>983.81703249560792</v>
      </c>
      <c r="R27" cm="1">
        <f t="array" ref="R27">[1]!PropsSI("D","T",K27+273.15,"P",101325,"Water")</f>
        <v>986.07736125986753</v>
      </c>
      <c r="S27">
        <f t="shared" si="11"/>
        <v>984.94719687773772</v>
      </c>
      <c r="T27" cm="1">
        <f t="array" ref="T27">[1]!PropsSI("H","T",J27+273.15,"P",101325,"Water")</f>
        <v>246160.03756390678</v>
      </c>
      <c r="U27" cm="1">
        <f t="array" ref="U27">[1]!PropsSI("H","T",K27+273.15,"P",101325,"Water")</f>
        <v>226992.32303043848</v>
      </c>
      <c r="V27">
        <f t="shared" si="12"/>
        <v>708.31530503068745</v>
      </c>
      <c r="X27">
        <f t="shared" si="13"/>
        <v>0.26756796599999999</v>
      </c>
      <c r="Y27">
        <f t="shared" si="14"/>
        <v>0.25840454200000001</v>
      </c>
      <c r="Z27">
        <f t="shared" si="15"/>
        <v>0.37197516550921372</v>
      </c>
      <c r="AA27">
        <f t="shared" si="16"/>
        <v>4.581711999999996</v>
      </c>
      <c r="AB27">
        <f t="shared" si="17"/>
        <v>8.1800481727091881E-2</v>
      </c>
      <c r="AC27">
        <f t="shared" si="18"/>
        <v>57.940533166182263</v>
      </c>
    </row>
    <row r="28" spans="1:29" x14ac:dyDescent="0.2">
      <c r="A28">
        <v>46137.08338178241</v>
      </c>
      <c r="B28">
        <v>16.909267</v>
      </c>
      <c r="C28">
        <v>16.98395</v>
      </c>
      <c r="D28">
        <v>18.677441999999999</v>
      </c>
      <c r="E28">
        <v>19.019188</v>
      </c>
      <c r="F28">
        <v>33.426976000000003</v>
      </c>
      <c r="G28">
        <v>33.580177999999997</v>
      </c>
      <c r="H28">
        <v>30.460059000000001</v>
      </c>
      <c r="I28">
        <v>26.402432999999998</v>
      </c>
      <c r="J28">
        <v>58.786690999999998</v>
      </c>
      <c r="K28">
        <v>54.192726</v>
      </c>
      <c r="L28">
        <v>138.16558699999999</v>
      </c>
      <c r="M28">
        <v>-622.47510299999999</v>
      </c>
      <c r="N28">
        <v>2.2544840000000002</v>
      </c>
      <c r="O28">
        <v>5.3999170000000003</v>
      </c>
      <c r="P28">
        <f t="shared" si="10"/>
        <v>3.7574733333333338E-5</v>
      </c>
      <c r="Q28" cm="1">
        <f t="array" ref="Q28">[1]!PropsSI("D","T",J28+273.15,"P",101325,"Water")</f>
        <v>983.8156588783595</v>
      </c>
      <c r="R28" cm="1">
        <f t="array" ref="R28">[1]!PropsSI("D","T",K28+273.15,"P",101325,"Water")</f>
        <v>986.08193513394804</v>
      </c>
      <c r="S28">
        <f t="shared" si="11"/>
        <v>984.94879700615377</v>
      </c>
      <c r="T28" cm="1">
        <f t="array" ref="T28">[1]!PropsSI("H","T",J28+273.15,"P",101325,"Water")</f>
        <v>246171.36901086522</v>
      </c>
      <c r="U28" cm="1">
        <f t="array" ref="U28">[1]!PropsSI("H","T",K28+273.15,"P",101325,"Water")</f>
        <v>226952.3994345933</v>
      </c>
      <c r="V28">
        <f t="shared" si="12"/>
        <v>711.27846579629022</v>
      </c>
      <c r="X28">
        <f t="shared" si="13"/>
        <v>0.26757338200000003</v>
      </c>
      <c r="Y28">
        <f t="shared" si="14"/>
        <v>0.25838545200000002</v>
      </c>
      <c r="Z28">
        <f t="shared" si="15"/>
        <v>0.37196580025610182</v>
      </c>
      <c r="AA28">
        <f t="shared" si="16"/>
        <v>4.5939649999999972</v>
      </c>
      <c r="AB28">
        <f t="shared" si="17"/>
        <v>8.1583545577357364E-2</v>
      </c>
      <c r="AC28">
        <f t="shared" si="18"/>
        <v>58.028619132484465</v>
      </c>
    </row>
    <row r="29" spans="1:29" x14ac:dyDescent="0.2">
      <c r="A29">
        <v>46137.083417083333</v>
      </c>
      <c r="B29">
        <v>16.664363000000002</v>
      </c>
      <c r="C29">
        <v>16.865819999999999</v>
      </c>
      <c r="D29">
        <v>18.404959000000002</v>
      </c>
      <c r="E29">
        <v>18.812190000000001</v>
      </c>
      <c r="F29">
        <v>33.690890000000003</v>
      </c>
      <c r="G29">
        <v>33.346783000000002</v>
      </c>
      <c r="H29">
        <v>29.697272000000002</v>
      </c>
      <c r="I29">
        <v>26.046409000000001</v>
      </c>
      <c r="J29">
        <v>58.786690999999998</v>
      </c>
      <c r="K29">
        <v>54.185408000000002</v>
      </c>
      <c r="L29">
        <v>136.659131</v>
      </c>
      <c r="M29">
        <v>-622.480817</v>
      </c>
      <c r="N29">
        <v>2.2517049999999998</v>
      </c>
      <c r="O29">
        <v>5.0545949999999999</v>
      </c>
      <c r="P29">
        <f t="shared" si="10"/>
        <v>3.7528416666666661E-5</v>
      </c>
      <c r="Q29" cm="1">
        <f t="array" ref="Q29">[1]!PropsSI("D","T",J29+273.15,"P",101325,"Water")</f>
        <v>983.8156588783595</v>
      </c>
      <c r="R29" cm="1">
        <f t="array" ref="R29">[1]!PropsSI("D","T",K29+273.15,"P",101325,"Water")</f>
        <v>986.08544146428585</v>
      </c>
      <c r="S29">
        <f t="shared" si="11"/>
        <v>984.95055017132267</v>
      </c>
      <c r="T29" cm="1">
        <f t="array" ref="T29">[1]!PropsSI("H","T",J29+273.15,"P",101325,"Water")</f>
        <v>246171.36901086522</v>
      </c>
      <c r="U29" cm="1">
        <f t="array" ref="U29">[1]!PropsSI("H","T",K29+273.15,"P",101325,"Water")</f>
        <v>226921.79066890359</v>
      </c>
      <c r="V29">
        <f t="shared" si="12"/>
        <v>711.53438086199594</v>
      </c>
      <c r="X29">
        <f t="shared" si="13"/>
        <v>0.26757338200000003</v>
      </c>
      <c r="Y29">
        <f t="shared" si="14"/>
        <v>0.258370816</v>
      </c>
      <c r="Z29">
        <f t="shared" si="15"/>
        <v>0.371955633530968</v>
      </c>
      <c r="AA29">
        <f t="shared" si="16"/>
        <v>4.6012829999999951</v>
      </c>
      <c r="AB29">
        <f t="shared" si="17"/>
        <v>8.1453551134086963E-2</v>
      </c>
      <c r="AC29">
        <f t="shared" si="18"/>
        <v>57.957002075203498</v>
      </c>
    </row>
    <row r="30" spans="1:29" x14ac:dyDescent="0.2">
      <c r="A30">
        <v>46137.083452384257</v>
      </c>
      <c r="B30">
        <v>16.741253</v>
      </c>
      <c r="C30">
        <v>16.832684</v>
      </c>
      <c r="D30">
        <v>18.508959999999998</v>
      </c>
      <c r="E30">
        <v>18.927862999999999</v>
      </c>
      <c r="F30">
        <v>33.686205000000001</v>
      </c>
      <c r="G30">
        <v>32.128129999999999</v>
      </c>
      <c r="H30">
        <v>29.116900000000001</v>
      </c>
      <c r="I30">
        <v>26.230229999999999</v>
      </c>
      <c r="J30">
        <v>58.789081000000003</v>
      </c>
      <c r="K30">
        <v>54.174590000000002</v>
      </c>
      <c r="L30">
        <v>135.85264100000001</v>
      </c>
      <c r="M30">
        <v>-622.50979500000005</v>
      </c>
      <c r="N30">
        <v>2.2498369999999999</v>
      </c>
      <c r="O30">
        <v>5.050338</v>
      </c>
      <c r="P30">
        <f t="shared" si="10"/>
        <v>3.7497283333333327E-5</v>
      </c>
      <c r="Q30" cm="1">
        <f t="array" ref="Q30">[1]!PropsSI("D","T",J30+273.15,"P",101325,"Water")</f>
        <v>983.81444652838354</v>
      </c>
      <c r="R30" cm="1">
        <f t="array" ref="R30">[1]!PropsSI("D","T",K30+273.15,"P",101325,"Water")</f>
        <v>986.09062416257802</v>
      </c>
      <c r="S30">
        <f t="shared" si="11"/>
        <v>984.95253534548078</v>
      </c>
      <c r="T30" cm="1">
        <f t="array" ref="T30">[1]!PropsSI("H","T",J30+273.15,"P",101325,"Water")</f>
        <v>246181.36981039212</v>
      </c>
      <c r="U30" cm="1">
        <f t="array" ref="U30">[1]!PropsSI("H","T",K30+273.15,"P",101325,"Water")</f>
        <v>226876.54259895266</v>
      </c>
      <c r="V30">
        <f t="shared" si="12"/>
        <v>712.98603836715586</v>
      </c>
      <c r="X30">
        <f t="shared" si="13"/>
        <v>0.26757816200000001</v>
      </c>
      <c r="Y30">
        <f t="shared" si="14"/>
        <v>0.25834918000000001</v>
      </c>
      <c r="Z30">
        <f t="shared" si="15"/>
        <v>0.37194404362211614</v>
      </c>
      <c r="AA30">
        <f t="shared" si="16"/>
        <v>4.614491000000001</v>
      </c>
      <c r="AB30">
        <f t="shared" si="17"/>
        <v>8.1221434105730031E-2</v>
      </c>
      <c r="AC30">
        <f t="shared" si="18"/>
        <v>57.90974853354345</v>
      </c>
    </row>
    <row r="31" spans="1:29" x14ac:dyDescent="0.2">
      <c r="A31">
        <v>46137.083487685188</v>
      </c>
      <c r="B31">
        <v>16.960677</v>
      </c>
      <c r="C31">
        <v>17.457851999999999</v>
      </c>
      <c r="D31">
        <v>18.628893999999999</v>
      </c>
      <c r="E31">
        <v>18.944282999999999</v>
      </c>
      <c r="F31">
        <v>33.682105999999997</v>
      </c>
      <c r="G31">
        <v>33.536372999999998</v>
      </c>
      <c r="H31">
        <v>29.605616000000001</v>
      </c>
      <c r="I31">
        <v>26.955506</v>
      </c>
      <c r="J31">
        <v>58.790514000000002</v>
      </c>
      <c r="K31">
        <v>54.166477</v>
      </c>
      <c r="L31">
        <v>120.48402299999999</v>
      </c>
      <c r="M31">
        <v>-622.51469299999997</v>
      </c>
      <c r="N31">
        <v>2.2505989999999998</v>
      </c>
      <c r="O31">
        <v>4.9158379999999999</v>
      </c>
      <c r="P31">
        <f t="shared" si="10"/>
        <v>3.7509983333333328E-5</v>
      </c>
      <c r="Q31" cm="1">
        <f t="array" ref="Q31">[1]!PropsSI("D","T",J31+273.15,"P",101325,"Water")</f>
        <v>983.81371960927243</v>
      </c>
      <c r="R31" cm="1">
        <f t="array" ref="R31">[1]!PropsSI("D","T",K31+273.15,"P",101325,"Water")</f>
        <v>986.09451046588208</v>
      </c>
      <c r="S31">
        <f t="shared" si="11"/>
        <v>984.95411503757725</v>
      </c>
      <c r="T31" cm="1">
        <f t="array" ref="T31">[1]!PropsSI("H","T",J31+273.15,"P",101325,"Water")</f>
        <v>246187.36610677865</v>
      </c>
      <c r="U31" cm="1">
        <f t="array" ref="U31">[1]!PropsSI("H","T",K31+273.15,"P",101325,"Water")</f>
        <v>226842.60866457975</v>
      </c>
      <c r="V31">
        <f t="shared" si="12"/>
        <v>714.70391118899022</v>
      </c>
      <c r="X31">
        <f t="shared" si="13"/>
        <v>0.267581028</v>
      </c>
      <c r="Y31">
        <f t="shared" si="14"/>
        <v>0.258332954</v>
      </c>
      <c r="Z31">
        <f t="shared" si="15"/>
        <v>0.37193483524389448</v>
      </c>
      <c r="AA31">
        <f t="shared" si="16"/>
        <v>4.6240370000000013</v>
      </c>
      <c r="AB31">
        <f t="shared" si="17"/>
        <v>8.1054326270568938E-2</v>
      </c>
      <c r="AC31">
        <f t="shared" si="18"/>
        <v>57.929844004364142</v>
      </c>
    </row>
    <row r="32" spans="1:29" x14ac:dyDescent="0.2">
      <c r="A32">
        <v>46137.083522407411</v>
      </c>
      <c r="B32">
        <v>17.257390999999998</v>
      </c>
      <c r="C32">
        <v>17.80808</v>
      </c>
      <c r="D32">
        <v>18.684252000000001</v>
      </c>
      <c r="E32">
        <v>19.056049000000002</v>
      </c>
      <c r="F32">
        <v>33.872404000000003</v>
      </c>
      <c r="G32">
        <v>34.696162999999999</v>
      </c>
      <c r="H32">
        <v>29.599502999999999</v>
      </c>
      <c r="I32">
        <v>26.578215</v>
      </c>
      <c r="J32">
        <v>58.791629</v>
      </c>
      <c r="K32">
        <v>54.169657999999998</v>
      </c>
      <c r="L32">
        <v>129.81008700000001</v>
      </c>
      <c r="M32">
        <v>-622.49469399999998</v>
      </c>
      <c r="N32">
        <v>2.25041</v>
      </c>
      <c r="O32">
        <v>5.187964</v>
      </c>
      <c r="P32">
        <f t="shared" si="10"/>
        <v>3.7506833333333331E-5</v>
      </c>
      <c r="Q32" cm="1">
        <f t="array" ref="Q32">[1]!PropsSI("D","T",J32+273.15,"P",101325,"Water")</f>
        <v>983.81315399378821</v>
      </c>
      <c r="R32" cm="1">
        <f t="array" ref="R32">[1]!PropsSI("D","T",K32+273.15,"P",101325,"Water")</f>
        <v>986.09298674689103</v>
      </c>
      <c r="S32">
        <f t="shared" si="11"/>
        <v>984.95307037033967</v>
      </c>
      <c r="T32" cm="1">
        <f t="array" ref="T32">[1]!PropsSI("H","T",J32+273.15,"P",101325,"Water")</f>
        <v>246192.03175325817</v>
      </c>
      <c r="U32" cm="1">
        <f t="array" ref="U32">[1]!PropsSI("H","T",K32+273.15,"P",101325,"Water")</f>
        <v>226855.91370866576</v>
      </c>
      <c r="V32">
        <f t="shared" si="12"/>
        <v>714.32397337697671</v>
      </c>
      <c r="X32">
        <f t="shared" si="13"/>
        <v>0.26758325799999999</v>
      </c>
      <c r="Y32">
        <f t="shared" si="14"/>
        <v>0.25833931599999999</v>
      </c>
      <c r="Z32">
        <f t="shared" si="15"/>
        <v>0.3719408584079496</v>
      </c>
      <c r="AA32">
        <f t="shared" si="16"/>
        <v>4.6219710000000021</v>
      </c>
      <c r="AB32">
        <f t="shared" si="17"/>
        <v>8.1091299042788584E-2</v>
      </c>
      <c r="AC32">
        <f t="shared" si="18"/>
        <v>57.925458938545368</v>
      </c>
    </row>
    <row r="33" spans="1:29" x14ac:dyDescent="0.2">
      <c r="A33">
        <v>46137.083557708334</v>
      </c>
      <c r="B33">
        <v>17.396591000000001</v>
      </c>
      <c r="C33">
        <v>17.711234000000001</v>
      </c>
      <c r="D33">
        <v>18.820824999999999</v>
      </c>
      <c r="E33">
        <v>19.152878999999999</v>
      </c>
      <c r="F33">
        <v>34.253134000000003</v>
      </c>
      <c r="G33">
        <v>34.784320000000001</v>
      </c>
      <c r="H33">
        <v>29.282333000000001</v>
      </c>
      <c r="I33">
        <v>26.810003999999999</v>
      </c>
      <c r="J33">
        <v>58.793062999999997</v>
      </c>
      <c r="K33">
        <v>54.177135</v>
      </c>
      <c r="L33">
        <v>137.758668</v>
      </c>
      <c r="M33">
        <v>-622.48204199999998</v>
      </c>
      <c r="N33">
        <v>2.2534260000000002</v>
      </c>
      <c r="O33">
        <v>5.737107</v>
      </c>
      <c r="P33">
        <f t="shared" si="10"/>
        <v>3.7557100000000007E-5</v>
      </c>
      <c r="Q33" cm="1">
        <f t="array" ref="Q33">[1]!PropsSI("D","T",J33+273.15,"P",101325,"Water")</f>
        <v>983.81242654559367</v>
      </c>
      <c r="R33" cm="1">
        <f t="array" ref="R33">[1]!PropsSI("D","T",K33+273.15,"P",101325,"Water")</f>
        <v>986.0894049673625</v>
      </c>
      <c r="S33">
        <f t="shared" si="11"/>
        <v>984.95091575647803</v>
      </c>
      <c r="T33" cm="1">
        <f t="array" ref="T33">[1]!PropsSI("H","T",J33+273.15,"P",101325,"Water")</f>
        <v>246198.03223562901</v>
      </c>
      <c r="U33" cm="1">
        <f t="array" ref="U33">[1]!PropsSI("H","T",K33+273.15,"P",101325,"Water")</f>
        <v>226887.18747769584</v>
      </c>
      <c r="V33">
        <f t="shared" si="12"/>
        <v>714.34483893784397</v>
      </c>
      <c r="X33">
        <f t="shared" si="13"/>
        <v>0.26758612599999998</v>
      </c>
      <c r="Y33">
        <f t="shared" si="14"/>
        <v>0.25835427</v>
      </c>
      <c r="Z33">
        <f t="shared" si="15"/>
        <v>0.37195330843389574</v>
      </c>
      <c r="AA33">
        <f t="shared" si="16"/>
        <v>4.6159279999999967</v>
      </c>
      <c r="AB33">
        <f t="shared" si="17"/>
        <v>8.1198523997327715E-2</v>
      </c>
      <c r="AC33">
        <f t="shared" si="18"/>
        <v>58.003746546861727</v>
      </c>
    </row>
    <row r="34" spans="1:29" x14ac:dyDescent="0.2">
      <c r="A34">
        <v>46137.083592430557</v>
      </c>
      <c r="B34">
        <v>17.407755999999999</v>
      </c>
      <c r="C34">
        <v>17.898471000000001</v>
      </c>
      <c r="D34">
        <v>18.839220999999998</v>
      </c>
      <c r="E34">
        <v>19.197085000000001</v>
      </c>
      <c r="F34">
        <v>33.893310999999997</v>
      </c>
      <c r="G34">
        <v>35.003337000000002</v>
      </c>
      <c r="H34">
        <v>29.616008000000001</v>
      </c>
      <c r="I34">
        <v>27.337634000000001</v>
      </c>
      <c r="J34">
        <v>58.792107000000001</v>
      </c>
      <c r="K34">
        <v>54.183658000000001</v>
      </c>
      <c r="L34">
        <v>137.62194</v>
      </c>
      <c r="M34">
        <v>-622.47836800000005</v>
      </c>
      <c r="N34">
        <v>2.2542420000000001</v>
      </c>
      <c r="O34">
        <v>5.2707300000000004</v>
      </c>
      <c r="P34">
        <f t="shared" si="10"/>
        <v>3.7570700000000003E-5</v>
      </c>
      <c r="Q34" cm="1">
        <f t="array" ref="Q34">[1]!PropsSI("D","T",J34+273.15,"P",101325,"Water")</f>
        <v>983.81291151243863</v>
      </c>
      <c r="R34" cm="1">
        <f t="array" ref="R34">[1]!PropsSI("D","T",K34+273.15,"P",101325,"Water")</f>
        <v>986.08627990570972</v>
      </c>
      <c r="S34">
        <f t="shared" si="11"/>
        <v>984.94959570907417</v>
      </c>
      <c r="T34" cm="1">
        <f t="array" ref="T34">[1]!PropsSI("H","T",J34+273.15,"P",101325,"Water")</f>
        <v>246194.03191396277</v>
      </c>
      <c r="U34" cm="1">
        <f t="array" ref="U34">[1]!PropsSI("H","T",K34+273.15,"P",101325,"Water")</f>
        <v>226914.4710023966</v>
      </c>
      <c r="V34">
        <f t="shared" si="12"/>
        <v>713.44488997636211</v>
      </c>
      <c r="X34">
        <f t="shared" si="13"/>
        <v>0.26758421399999999</v>
      </c>
      <c r="Y34">
        <f t="shared" si="14"/>
        <v>0.25836731600000001</v>
      </c>
      <c r="Z34">
        <f t="shared" si="15"/>
        <v>0.37196099467422877</v>
      </c>
      <c r="AA34">
        <f t="shared" si="16"/>
        <v>4.6084490000000002</v>
      </c>
      <c r="AB34">
        <f t="shared" si="17"/>
        <v>8.1329958297305591E-2</v>
      </c>
      <c r="AC34">
        <f t="shared" si="18"/>
        <v>58.024443149203307</v>
      </c>
    </row>
    <row r="35" spans="1:29" x14ac:dyDescent="0.2">
      <c r="A35">
        <v>46137.083627731481</v>
      </c>
      <c r="B35">
        <v>17.477982000000001</v>
      </c>
      <c r="C35">
        <v>17.888503</v>
      </c>
      <c r="D35">
        <v>18.833942</v>
      </c>
      <c r="E35">
        <v>19.19538</v>
      </c>
      <c r="F35">
        <v>34.121549000000002</v>
      </c>
      <c r="G35">
        <v>33.513075999999998</v>
      </c>
      <c r="H35">
        <v>29.484760999999999</v>
      </c>
      <c r="I35">
        <v>26.696752</v>
      </c>
      <c r="J35">
        <v>58.793382000000001</v>
      </c>
      <c r="K35">
        <v>54.190179999999998</v>
      </c>
      <c r="L35">
        <v>135.182063</v>
      </c>
      <c r="M35">
        <v>-622.50040799999999</v>
      </c>
      <c r="N35">
        <v>2.2504680000000001</v>
      </c>
      <c r="O35">
        <v>5.5309480000000004</v>
      </c>
      <c r="P35">
        <f t="shared" si="10"/>
        <v>3.7507800000000007E-5</v>
      </c>
      <c r="Q35" cm="1">
        <f t="array" ref="Q35">[1]!PropsSI("D","T",J35+273.15,"P",101325,"Water")</f>
        <v>983.81226471968318</v>
      </c>
      <c r="R35" cm="1">
        <f t="array" ref="R35">[1]!PropsSI("D","T",K35+273.15,"P",101325,"Water")</f>
        <v>986.08315505678775</v>
      </c>
      <c r="S35">
        <f t="shared" si="11"/>
        <v>984.94770988823552</v>
      </c>
      <c r="T35" cm="1">
        <f t="array" ref="T35">[1]!PropsSI("H","T",J35+273.15,"P",101325,"Water")</f>
        <v>246199.3670710845</v>
      </c>
      <c r="U35" cm="1">
        <f t="array" ref="U35">[1]!PropsSI("H","T",K35+273.15,"P",101325,"Water")</f>
        <v>226941.75035930751</v>
      </c>
      <c r="V35">
        <f t="shared" si="12"/>
        <v>711.43840384611099</v>
      </c>
      <c r="X35">
        <f t="shared" si="13"/>
        <v>0.26758676400000003</v>
      </c>
      <c r="Y35">
        <f t="shared" si="14"/>
        <v>0.25838035999999998</v>
      </c>
      <c r="Z35">
        <f t="shared" si="15"/>
        <v>0.37197188966603556</v>
      </c>
      <c r="AA35">
        <f t="shared" si="16"/>
        <v>4.6032020000000031</v>
      </c>
      <c r="AB35">
        <f t="shared" si="17"/>
        <v>8.1423611133237581E-2</v>
      </c>
      <c r="AC35">
        <f t="shared" si="18"/>
        <v>57.927883940016976</v>
      </c>
    </row>
    <row r="36" spans="1:29" x14ac:dyDescent="0.2">
      <c r="A36">
        <v>46137.083662453704</v>
      </c>
      <c r="B36">
        <v>17.372948999999998</v>
      </c>
      <c r="C36">
        <v>17.771849</v>
      </c>
      <c r="D36">
        <v>18.874372000000001</v>
      </c>
      <c r="E36">
        <v>19.239356000000001</v>
      </c>
      <c r="F36">
        <v>33.829638000000003</v>
      </c>
      <c r="G36">
        <v>34.922167000000002</v>
      </c>
      <c r="H36">
        <v>29.660703000000002</v>
      </c>
      <c r="I36">
        <v>27.115407000000001</v>
      </c>
      <c r="J36">
        <v>58.793540999999998</v>
      </c>
      <c r="K36">
        <v>54.197816000000003</v>
      </c>
      <c r="L36">
        <v>127.45347</v>
      </c>
      <c r="M36">
        <v>-622.49020499999995</v>
      </c>
      <c r="N36">
        <v>2.2530250000000001</v>
      </c>
      <c r="O36">
        <v>4.8899140000000001</v>
      </c>
      <c r="P36">
        <f t="shared" si="10"/>
        <v>3.7550416666666669E-5</v>
      </c>
      <c r="Q36" cm="1">
        <f t="array" ref="Q36">[1]!PropsSI("D","T",J36+273.15,"P",101325,"Water")</f>
        <v>983.81218406014239</v>
      </c>
      <c r="R36" cm="1">
        <f t="array" ref="R36">[1]!PropsSI("D","T",K36+273.15,"P",101325,"Water")</f>
        <v>986.07949612488176</v>
      </c>
      <c r="S36">
        <f t="shared" si="11"/>
        <v>984.94584009251207</v>
      </c>
      <c r="T36" cm="1">
        <f t="array" ref="T36">[1]!PropsSI("H","T",J36+273.15,"P",101325,"Water")</f>
        <v>246200.03239659651</v>
      </c>
      <c r="U36" cm="1">
        <f t="array" ref="U36">[1]!PropsSI("H","T",K36+273.15,"P",101325,"Water")</f>
        <v>226973.68922666111</v>
      </c>
      <c r="V36">
        <f t="shared" si="12"/>
        <v>711.08873791728399</v>
      </c>
      <c r="X36">
        <f t="shared" si="13"/>
        <v>0.26758708199999998</v>
      </c>
      <c r="Y36">
        <f t="shared" si="14"/>
        <v>0.25839563199999999</v>
      </c>
      <c r="Z36">
        <f t="shared" si="15"/>
        <v>0.37198272687042089</v>
      </c>
      <c r="AA36">
        <f t="shared" si="16"/>
        <v>4.5957249999999945</v>
      </c>
      <c r="AB36">
        <f t="shared" si="17"/>
        <v>8.1556426798765846E-2</v>
      </c>
      <c r="AC36">
        <f t="shared" si="18"/>
        <v>57.993856601377765</v>
      </c>
    </row>
    <row r="37" spans="1:29" x14ac:dyDescent="0.2">
      <c r="A37">
        <v>46137.083697754628</v>
      </c>
      <c r="B37">
        <v>17.412103999999999</v>
      </c>
      <c r="C37">
        <v>17.744299999999999</v>
      </c>
      <c r="D37">
        <v>18.908792999999999</v>
      </c>
      <c r="E37">
        <v>19.244624000000002</v>
      </c>
      <c r="F37">
        <v>33.920403999999998</v>
      </c>
      <c r="G37">
        <v>34.579177000000001</v>
      </c>
      <c r="H37">
        <v>29.808478999999998</v>
      </c>
      <c r="I37">
        <v>27.004932</v>
      </c>
      <c r="J37">
        <v>58.794497</v>
      </c>
      <c r="K37">
        <v>54.200203000000002</v>
      </c>
      <c r="L37">
        <v>138.682704</v>
      </c>
      <c r="M37">
        <v>-622.49061300000005</v>
      </c>
      <c r="N37">
        <v>2.2504469999999999</v>
      </c>
      <c r="O37">
        <v>5.6269679999999997</v>
      </c>
      <c r="P37">
        <f t="shared" si="10"/>
        <v>3.7507450000000003E-5</v>
      </c>
      <c r="Q37" cm="1">
        <f t="array" ref="Q37">[1]!PropsSI("D","T",J37+273.15,"P",101325,"Water")</f>
        <v>983.81169908508969</v>
      </c>
      <c r="R37" cm="1">
        <f t="array" ref="R37">[1]!PropsSI("D","T",K37+273.15,"P",101325,"Water")</f>
        <v>986.07835227440273</v>
      </c>
      <c r="S37">
        <f t="shared" si="11"/>
        <v>984.94502567974621</v>
      </c>
      <c r="T37" cm="1">
        <f t="array" ref="T37">[1]!PropsSI("H","T",J37+273.15,"P",101325,"Water")</f>
        <v>246204.03271884893</v>
      </c>
      <c r="U37" cm="1">
        <f t="array" ref="U37">[1]!PropsSI("H","T",K37+273.15,"P",101325,"Water")</f>
        <v>226983.67326386573</v>
      </c>
      <c r="V37">
        <f t="shared" si="12"/>
        <v>710.0534398169948</v>
      </c>
      <c r="X37">
        <f t="shared" si="13"/>
        <v>0.26758899400000002</v>
      </c>
      <c r="Y37">
        <f t="shared" si="14"/>
        <v>0.25840040600000003</v>
      </c>
      <c r="Z37">
        <f t="shared" si="15"/>
        <v>0.37198741851156325</v>
      </c>
      <c r="AA37">
        <f t="shared" si="16"/>
        <v>4.5942939999999979</v>
      </c>
      <c r="AB37">
        <f t="shared" si="17"/>
        <v>8.1582461084864832E-2</v>
      </c>
      <c r="AC37">
        <f t="shared" si="18"/>
        <v>57.927907122044388</v>
      </c>
    </row>
    <row r="38" spans="1:29" x14ac:dyDescent="0.2">
      <c r="A38">
        <v>44675.083732479201</v>
      </c>
      <c r="B38">
        <v>17.269712999999999</v>
      </c>
      <c r="C38">
        <v>17.578067999999998</v>
      </c>
      <c r="D38">
        <v>18.9145</v>
      </c>
      <c r="E38">
        <v>19.264894000000002</v>
      </c>
      <c r="F38">
        <v>33.989660999999998</v>
      </c>
      <c r="G38">
        <v>33.074058999999998</v>
      </c>
      <c r="H38">
        <v>29.166882999999999</v>
      </c>
      <c r="I38">
        <v>26.853525000000001</v>
      </c>
      <c r="J38">
        <v>58.795293000000001</v>
      </c>
      <c r="K38">
        <v>54.202589000000003</v>
      </c>
      <c r="L38">
        <v>132.227925</v>
      </c>
      <c r="M38">
        <v>-622.47265400000003</v>
      </c>
      <c r="N38">
        <v>2.2519800000000001</v>
      </c>
      <c r="O38">
        <v>5.304405</v>
      </c>
      <c r="P38">
        <f t="shared" si="10"/>
        <v>3.7533000000000001E-5</v>
      </c>
      <c r="Q38" cm="1">
        <f t="array" ref="Q38">[1]!PropsSI("D","T",J38+273.15,"P",101325,"Water")</f>
        <v>983.81129527329063</v>
      </c>
      <c r="R38" cm="1">
        <f t="array" ref="R38">[1]!PropsSI("D","T",K38+273.15,"P",101325,"Water")</f>
        <v>986.0772088674297</v>
      </c>
      <c r="S38">
        <f t="shared" si="11"/>
        <v>984.94425207036011</v>
      </c>
      <c r="T38" cm="1">
        <f t="array" ref="T38">[1]!PropsSI("H","T",J38+273.15,"P",101325,"Water")</f>
        <v>246207.36353142926</v>
      </c>
      <c r="U38" cm="1">
        <f t="array" ref="U38">[1]!PropsSI("H","T",K38+273.15,"P",101325,"Water")</f>
        <v>226993.65312039954</v>
      </c>
      <c r="V38">
        <f t="shared" si="12"/>
        <v>710.29076744560564</v>
      </c>
      <c r="X38">
        <f t="shared" si="13"/>
        <v>0.26759058600000002</v>
      </c>
      <c r="Y38">
        <f t="shared" si="14"/>
        <v>0.25840517800000001</v>
      </c>
      <c r="Z38">
        <f t="shared" si="15"/>
        <v>0.37199187858478189</v>
      </c>
      <c r="AA38">
        <f t="shared" si="16"/>
        <v>4.5927039999999977</v>
      </c>
      <c r="AB38">
        <f t="shared" si="17"/>
        <v>8.1611244555591142E-2</v>
      </c>
      <c r="AC38">
        <f t="shared" si="18"/>
        <v>57.967713527581836</v>
      </c>
    </row>
    <row r="39" spans="1:29" x14ac:dyDescent="0.2">
      <c r="A39">
        <v>44675.083767780103</v>
      </c>
      <c r="B39">
        <v>17.053082</v>
      </c>
      <c r="C39">
        <v>17.273565000000001</v>
      </c>
      <c r="D39">
        <v>18.766522999999999</v>
      </c>
      <c r="E39">
        <v>19.233429000000001</v>
      </c>
      <c r="F39">
        <v>33.84628</v>
      </c>
      <c r="G39">
        <v>33.492482000000003</v>
      </c>
      <c r="H39">
        <v>29.713231</v>
      </c>
      <c r="I39">
        <v>27.234162000000001</v>
      </c>
      <c r="J39">
        <v>58.795293000000001</v>
      </c>
      <c r="K39">
        <v>54.204020999999997</v>
      </c>
      <c r="L39">
        <v>129.32521299999999</v>
      </c>
      <c r="M39">
        <v>-622.47714399999995</v>
      </c>
      <c r="N39">
        <v>2.2512460000000001</v>
      </c>
      <c r="O39">
        <v>5.2537649999999996</v>
      </c>
      <c r="P39">
        <f t="shared" si="10"/>
        <v>3.7520766666666668E-5</v>
      </c>
      <c r="Q39" cm="1">
        <f t="array" ref="Q39">[1]!PropsSI("D","T",J39+273.15,"P",101325,"Water")</f>
        <v>983.81129527329063</v>
      </c>
      <c r="R39" cm="1">
        <f t="array" ref="R39">[1]!PropsSI("D","T",K39+273.15,"P",101325,"Water")</f>
        <v>986.07652261447379</v>
      </c>
      <c r="S39">
        <f t="shared" si="11"/>
        <v>984.94390894388221</v>
      </c>
      <c r="T39" cm="1">
        <f t="array" ref="T39">[1]!PropsSI("H","T",J39+273.15,"P",101325,"Water")</f>
        <v>246207.36353142926</v>
      </c>
      <c r="U39" cm="1">
        <f t="array" ref="U39">[1]!PropsSI("H","T",K39+273.15,"P",101325,"Water")</f>
        <v>226999.64270838368</v>
      </c>
      <c r="V39">
        <f t="shared" si="12"/>
        <v>709.8376608578526</v>
      </c>
      <c r="X39">
        <f t="shared" si="13"/>
        <v>0.26759058600000002</v>
      </c>
      <c r="Y39">
        <f t="shared" si="14"/>
        <v>0.258408042</v>
      </c>
      <c r="Z39">
        <f t="shared" si="15"/>
        <v>0.37199386807593643</v>
      </c>
      <c r="AA39">
        <f t="shared" si="16"/>
        <v>4.5912720000000036</v>
      </c>
      <c r="AB39">
        <f t="shared" si="17"/>
        <v>8.1636746730203866E-2</v>
      </c>
      <c r="AC39">
        <f t="shared" si="18"/>
        <v>57.948837339012861</v>
      </c>
    </row>
    <row r="40" spans="1:29" x14ac:dyDescent="0.2">
      <c r="A40">
        <v>44675.083802502297</v>
      </c>
      <c r="B40">
        <v>16.914978000000001</v>
      </c>
      <c r="C40">
        <v>17.135624</v>
      </c>
      <c r="D40">
        <v>18.696466999999998</v>
      </c>
      <c r="E40">
        <v>19.115776</v>
      </c>
      <c r="F40">
        <v>33.534013000000002</v>
      </c>
      <c r="G40">
        <v>33.188229999999997</v>
      </c>
      <c r="H40">
        <v>28.714994999999998</v>
      </c>
      <c r="I40">
        <v>26.597203</v>
      </c>
      <c r="J40">
        <v>58.796249000000003</v>
      </c>
      <c r="K40">
        <v>54.200361999999998</v>
      </c>
      <c r="L40">
        <v>133.383377</v>
      </c>
      <c r="M40">
        <v>-622.50408100000004</v>
      </c>
      <c r="N40">
        <v>2.249066</v>
      </c>
      <c r="O40">
        <v>5.2657230000000004</v>
      </c>
      <c r="P40">
        <f t="shared" si="10"/>
        <v>3.7484433333333337E-5</v>
      </c>
      <c r="Q40" cm="1">
        <f t="array" ref="Q40">[1]!PropsSI("D","T",J40+273.15,"P",101325,"Water")</f>
        <v>983.81081028824735</v>
      </c>
      <c r="R40" cm="1">
        <f t="array" ref="R40">[1]!PropsSI("D","T",K40+273.15,"P",101325,"Water")</f>
        <v>986.07827608030664</v>
      </c>
      <c r="S40">
        <f t="shared" si="11"/>
        <v>984.94454318427699</v>
      </c>
      <c r="T40" cm="1">
        <f t="array" ref="T40">[1]!PropsSI("H","T",J40+273.15,"P",101325,"Water")</f>
        <v>246211.36385440564</v>
      </c>
      <c r="U40" cm="1">
        <f t="array" ref="U40">[1]!PropsSI("H","T",K40+273.15,"P",101325,"Water")</f>
        <v>226984.33830870537</v>
      </c>
      <c r="V40">
        <f t="shared" si="12"/>
        <v>709.86347639489918</v>
      </c>
      <c r="X40">
        <f t="shared" si="13"/>
        <v>0.26759249800000001</v>
      </c>
      <c r="Y40">
        <f t="shared" si="14"/>
        <v>0.25840072400000003</v>
      </c>
      <c r="Z40">
        <f t="shared" si="15"/>
        <v>0.371990160017176</v>
      </c>
      <c r="AA40">
        <f t="shared" si="16"/>
        <v>4.5958870000000047</v>
      </c>
      <c r="AB40">
        <f t="shared" si="17"/>
        <v>8.1555200387846638E-2</v>
      </c>
      <c r="AC40">
        <f t="shared" si="18"/>
        <v>57.893058065399444</v>
      </c>
    </row>
    <row r="41" spans="1:29" x14ac:dyDescent="0.2">
      <c r="A41">
        <v>44675.0838372246</v>
      </c>
      <c r="B41">
        <v>16.891881999999999</v>
      </c>
      <c r="C41">
        <v>17.079664999999999</v>
      </c>
      <c r="D41">
        <v>18.713958999999999</v>
      </c>
      <c r="E41">
        <v>19.082666</v>
      </c>
      <c r="F41">
        <v>33.513865000000003</v>
      </c>
      <c r="G41">
        <v>33.631652000000003</v>
      </c>
      <c r="H41">
        <v>29.424916</v>
      </c>
      <c r="I41">
        <v>26.722553999999999</v>
      </c>
      <c r="J41">
        <v>58.794338000000003</v>
      </c>
      <c r="K41">
        <v>54.193680000000001</v>
      </c>
      <c r="L41">
        <v>133.17481599999999</v>
      </c>
      <c r="M41">
        <v>-622.49877600000002</v>
      </c>
      <c r="N41">
        <v>2.2489059999999998</v>
      </c>
      <c r="O41">
        <v>5.6339699999999997</v>
      </c>
      <c r="P41">
        <f t="shared" si="10"/>
        <v>3.7481766666666664E-5</v>
      </c>
      <c r="Q41" cm="1">
        <f t="array" ref="Q41">[1]!PropsSI("D","T",J41+273.15,"P",101325,"Water")</f>
        <v>983.81177974556022</v>
      </c>
      <c r="R41" cm="1">
        <f t="array" ref="R41">[1]!PropsSI("D","T",K41+273.15,"P",101325,"Water")</f>
        <v>986.08147801179223</v>
      </c>
      <c r="S41">
        <f t="shared" si="11"/>
        <v>984.94662887867617</v>
      </c>
      <c r="T41" cm="1">
        <f t="array" ref="T41">[1]!PropsSI("H","T",J41+273.15,"P",101325,"Water")</f>
        <v>246203.36739326731</v>
      </c>
      <c r="U41" cm="1">
        <f t="array" ref="U41">[1]!PropsSI("H","T",K41+273.15,"P",101325,"Water")</f>
        <v>226956.38970141707</v>
      </c>
      <c r="V41">
        <f t="shared" si="12"/>
        <v>710.55106348177355</v>
      </c>
      <c r="X41">
        <f t="shared" si="13"/>
        <v>0.26758867600000003</v>
      </c>
      <c r="Y41">
        <f t="shared" si="14"/>
        <v>0.25838736000000001</v>
      </c>
      <c r="Z41">
        <f t="shared" si="15"/>
        <v>0.37197812749031706</v>
      </c>
      <c r="AA41">
        <f t="shared" si="16"/>
        <v>4.6006580000000028</v>
      </c>
      <c r="AB41">
        <f t="shared" si="17"/>
        <v>8.1469302156201101E-2</v>
      </c>
      <c r="AC41">
        <f t="shared" si="18"/>
        <v>57.888099288206639</v>
      </c>
    </row>
    <row r="42" spans="1:29" x14ac:dyDescent="0.2">
      <c r="A42">
        <v>46137.083872523152</v>
      </c>
      <c r="B42">
        <v>16.983488999999999</v>
      </c>
      <c r="C42">
        <v>17.321673000000001</v>
      </c>
      <c r="D42">
        <v>18.817720999999999</v>
      </c>
      <c r="E42">
        <v>19.125081999999999</v>
      </c>
      <c r="F42">
        <v>33.659618999999999</v>
      </c>
      <c r="G42">
        <v>32.512076</v>
      </c>
      <c r="H42">
        <v>29.779461000000001</v>
      </c>
      <c r="I42">
        <v>27.506575999999999</v>
      </c>
      <c r="J42">
        <v>58.794656000000003</v>
      </c>
      <c r="K42">
        <v>54.186362000000003</v>
      </c>
      <c r="L42">
        <v>135.74570800000001</v>
      </c>
      <c r="M42">
        <v>-622.50449000000003</v>
      </c>
      <c r="N42">
        <v>2.249107</v>
      </c>
      <c r="O42">
        <v>5.6264089999999998</v>
      </c>
      <c r="P42">
        <f t="shared" si="10"/>
        <v>3.7485116666666668E-5</v>
      </c>
      <c r="Q42" cm="1">
        <f t="array" ref="Q42">[1]!PropsSI("D","T",J42+273.15,"P",101325,"Water")</f>
        <v>983.81161842450103</v>
      </c>
      <c r="R42" cm="1">
        <f t="array" ref="R42">[1]!PropsSI("D","T",K42+273.15,"P",101325,"Water")</f>
        <v>986.08498438582637</v>
      </c>
      <c r="S42">
        <f t="shared" si="11"/>
        <v>984.94830140516365</v>
      </c>
      <c r="T42" cm="1">
        <f t="array" ref="T42">[1]!PropsSI("H","T",J42+273.15,"P",101325,"Water")</f>
        <v>246204.6980444839</v>
      </c>
      <c r="U42" cm="1">
        <f t="array" ref="U42">[1]!PropsSI("H","T",K42+273.15,"P",101325,"Water")</f>
        <v>226925.78093330326</v>
      </c>
      <c r="V42">
        <f t="shared" si="12"/>
        <v>711.79500911224829</v>
      </c>
      <c r="X42">
        <f t="shared" si="13"/>
        <v>0.26758931200000002</v>
      </c>
      <c r="Y42">
        <f t="shared" si="14"/>
        <v>0.258372724</v>
      </c>
      <c r="Z42">
        <f t="shared" si="15"/>
        <v>0.37196841855702417</v>
      </c>
      <c r="AA42">
        <f t="shared" si="16"/>
        <v>4.6082940000000008</v>
      </c>
      <c r="AB42">
        <f t="shared" si="17"/>
        <v>8.1334251235479618E-2</v>
      </c>
      <c r="AC42">
        <f t="shared" si="18"/>
        <v>57.893314099296106</v>
      </c>
    </row>
    <row r="43" spans="1:29" x14ac:dyDescent="0.2">
      <c r="A43">
        <v>46137.083907824075</v>
      </c>
      <c r="B43">
        <v>17.129954000000001</v>
      </c>
      <c r="C43">
        <v>17.372060000000001</v>
      </c>
      <c r="D43">
        <v>18.857813</v>
      </c>
      <c r="E43">
        <v>19.124955</v>
      </c>
      <c r="F43">
        <v>34.133257999999998</v>
      </c>
      <c r="G43">
        <v>35.198141</v>
      </c>
      <c r="H43">
        <v>29.338607</v>
      </c>
      <c r="I43">
        <v>27.049066</v>
      </c>
      <c r="J43">
        <v>58.796886000000001</v>
      </c>
      <c r="K43">
        <v>54.183658000000001</v>
      </c>
      <c r="L43">
        <v>134.96737899999999</v>
      </c>
      <c r="M43">
        <v>-622.48775599999999</v>
      </c>
      <c r="N43">
        <v>2.2507790000000001</v>
      </c>
      <c r="O43">
        <v>5.7771369999999997</v>
      </c>
      <c r="P43">
        <f t="shared" si="10"/>
        <v>3.7512983333333335E-5</v>
      </c>
      <c r="Q43" cm="1">
        <f t="array" ref="Q43">[1]!PropsSI("D","T",J43+273.15,"P",101325,"Water")</f>
        <v>983.81048713096823</v>
      </c>
      <c r="R43" cm="1">
        <f t="array" ref="R43">[1]!PropsSI("D","T",K43+273.15,"P",101325,"Water")</f>
        <v>986.08627990570972</v>
      </c>
      <c r="S43">
        <f t="shared" si="11"/>
        <v>984.94838351833891</v>
      </c>
      <c r="T43" cm="1">
        <f t="array" ref="T43">[1]!PropsSI("H","T",J43+273.15,"P",101325,"Water")</f>
        <v>246214.02934174347</v>
      </c>
      <c r="U43" cm="1">
        <f t="array" ref="U43">[1]!PropsSI("H","T",K43+273.15,"P",101325,"Water")</f>
        <v>226914.4710023966</v>
      </c>
      <c r="V43">
        <f t="shared" si="12"/>
        <v>713.08688066235254</v>
      </c>
      <c r="X43">
        <f t="shared" si="13"/>
        <v>0.26759377200000001</v>
      </c>
      <c r="Y43">
        <f t="shared" si="14"/>
        <v>0.25836731600000001</v>
      </c>
      <c r="Z43">
        <f t="shared" si="15"/>
        <v>0.37196787064238745</v>
      </c>
      <c r="AA43">
        <f t="shared" si="16"/>
        <v>4.6132279999999994</v>
      </c>
      <c r="AB43">
        <f t="shared" si="17"/>
        <v>8.1248459373256324E-2</v>
      </c>
      <c r="AC43">
        <f t="shared" si="18"/>
        <v>57.937210453097229</v>
      </c>
    </row>
    <row r="44" spans="1:29" x14ac:dyDescent="0.2">
      <c r="A44">
        <v>46137.083942546298</v>
      </c>
      <c r="B44">
        <v>17.269600000000001</v>
      </c>
      <c r="C44">
        <v>17.550212999999999</v>
      </c>
      <c r="D44">
        <v>18.923718999999998</v>
      </c>
      <c r="E44">
        <v>19.198775999999999</v>
      </c>
      <c r="F44">
        <v>33.961699000000003</v>
      </c>
      <c r="G44">
        <v>32.663739999999997</v>
      </c>
      <c r="H44">
        <v>29.643391999999999</v>
      </c>
      <c r="I44">
        <v>27.396830000000001</v>
      </c>
      <c r="J44">
        <v>58.795931000000003</v>
      </c>
      <c r="K44">
        <v>54.187635</v>
      </c>
      <c r="L44">
        <v>129.92599899999999</v>
      </c>
      <c r="M44">
        <v>-622.51346899999999</v>
      </c>
      <c r="N44">
        <v>2.2532299999999998</v>
      </c>
      <c r="O44">
        <v>5.2326949999999997</v>
      </c>
      <c r="P44">
        <f t="shared" si="10"/>
        <v>3.7553833333333326E-5</v>
      </c>
      <c r="Q44" cm="1">
        <f t="array" ref="Q44">[1]!PropsSI("D","T",J44+273.15,"P",101325,"Water")</f>
        <v>983.81097161232026</v>
      </c>
      <c r="R44" cm="1">
        <f t="array" ref="R44">[1]!PropsSI("D","T",K44+273.15,"P",101325,"Water")</f>
        <v>986.08437445989682</v>
      </c>
      <c r="S44">
        <f t="shared" si="11"/>
        <v>984.94767303610854</v>
      </c>
      <c r="T44" cm="1">
        <f t="array" ref="T44">[1]!PropsSI("H","T",J44+273.15,"P",101325,"Water")</f>
        <v>246210.03320297625</v>
      </c>
      <c r="U44" cm="1">
        <f t="array" ref="U44">[1]!PropsSI("H","T",K44+273.15,"P",101325,"Water")</f>
        <v>226931.10546899177</v>
      </c>
      <c r="V44">
        <f t="shared" si="12"/>
        <v>713.09978978460776</v>
      </c>
      <c r="X44">
        <f t="shared" si="13"/>
        <v>0.26759186200000001</v>
      </c>
      <c r="Y44">
        <f t="shared" si="14"/>
        <v>0.25837526999999999</v>
      </c>
      <c r="Z44">
        <f t="shared" si="15"/>
        <v>0.3719720214696261</v>
      </c>
      <c r="AA44">
        <f t="shared" si="16"/>
        <v>4.6082960000000028</v>
      </c>
      <c r="AB44">
        <f t="shared" si="17"/>
        <v>8.133499237012054E-2</v>
      </c>
      <c r="AC44">
        <f t="shared" si="18"/>
        <v>57.99996596126563</v>
      </c>
    </row>
    <row r="45" spans="1:29" x14ac:dyDescent="0.2">
      <c r="A45">
        <v>46137.083977268521</v>
      </c>
      <c r="B45">
        <v>17.684066999999999</v>
      </c>
      <c r="C45">
        <v>17.945215000000001</v>
      </c>
      <c r="D45">
        <v>19.004674000000001</v>
      </c>
      <c r="E45">
        <v>19.298431000000001</v>
      </c>
      <c r="F45">
        <v>33.863689999999998</v>
      </c>
      <c r="G45">
        <v>32.614660999999998</v>
      </c>
      <c r="H45">
        <v>29.917210000000001</v>
      </c>
      <c r="I45">
        <v>27.025639000000002</v>
      </c>
      <c r="J45">
        <v>58.79609</v>
      </c>
      <c r="K45">
        <v>54.191453000000003</v>
      </c>
      <c r="L45">
        <v>135.87468100000001</v>
      </c>
      <c r="M45">
        <v>-622.49673499999994</v>
      </c>
      <c r="N45">
        <v>2.2515290000000001</v>
      </c>
      <c r="O45">
        <v>5.4824289999999998</v>
      </c>
      <c r="P45">
        <f t="shared" si="10"/>
        <v>3.7525483333333342E-5</v>
      </c>
      <c r="Q45" cm="1">
        <f t="array" ref="Q45">[1]!PropsSI("D","T",J45+273.15,"P",101325,"Water")</f>
        <v>983.81089095037282</v>
      </c>
      <c r="R45" cm="1">
        <f t="array" ref="R45">[1]!PropsSI("D","T",K45+273.15,"P",101325,"Water")</f>
        <v>986.08254510043707</v>
      </c>
      <c r="S45">
        <f t="shared" si="11"/>
        <v>984.94671802540495</v>
      </c>
      <c r="T45" cm="1">
        <f t="array" ref="T45">[1]!PropsSI("H","T",J45+273.15,"P",101325,"Water")</f>
        <v>246210.69852865618</v>
      </c>
      <c r="U45" cm="1">
        <f t="array" ref="U45">[1]!PropsSI("H","T",K45+273.15,"P",101325,"Water")</f>
        <v>226947.07489670155</v>
      </c>
      <c r="V45">
        <f t="shared" si="12"/>
        <v>711.99511942478296</v>
      </c>
      <c r="X45">
        <f t="shared" si="13"/>
        <v>0.26759218000000001</v>
      </c>
      <c r="Y45">
        <f t="shared" si="14"/>
        <v>0.25838290600000002</v>
      </c>
      <c r="Z45">
        <f t="shared" si="15"/>
        <v>0.37197755430960783</v>
      </c>
      <c r="AA45">
        <f t="shared" si="16"/>
        <v>4.6046369999999968</v>
      </c>
      <c r="AB45">
        <f t="shared" si="17"/>
        <v>8.1399839772119495E-2</v>
      </c>
      <c r="AC45">
        <f t="shared" si="18"/>
        <v>57.956288639708418</v>
      </c>
    </row>
    <row r="46" spans="1:29" x14ac:dyDescent="0.2">
      <c r="A46">
        <v>46137.084012569445</v>
      </c>
      <c r="B46">
        <v>17.762788</v>
      </c>
      <c r="C46">
        <v>18.052923</v>
      </c>
      <c r="D46">
        <v>19.088785999999999</v>
      </c>
      <c r="E46">
        <v>19.328026999999999</v>
      </c>
      <c r="F46">
        <v>33.957313999999997</v>
      </c>
      <c r="G46">
        <v>35.480739</v>
      </c>
      <c r="H46">
        <v>29.672063999999999</v>
      </c>
      <c r="I46">
        <v>27.028936999999999</v>
      </c>
      <c r="J46">
        <v>58.797364000000002</v>
      </c>
      <c r="K46">
        <v>54.196862000000003</v>
      </c>
      <c r="L46">
        <v>123.966706</v>
      </c>
      <c r="M46">
        <v>-622.49550999999997</v>
      </c>
      <c r="N46">
        <v>2.2479230000000001</v>
      </c>
      <c r="O46">
        <v>5.0839879999999997</v>
      </c>
      <c r="P46">
        <f t="shared" si="10"/>
        <v>3.7465383333333339E-5</v>
      </c>
      <c r="Q46" cm="1">
        <f t="array" ref="Q46">[1]!PropsSI("D","T",J46+273.15,"P",101325,"Water")</f>
        <v>983.81024463458868</v>
      </c>
      <c r="R46" cm="1">
        <f t="array" ref="R46">[1]!PropsSI("D","T",K46+273.15,"P",101325,"Water")</f>
        <v>986.07995327174899</v>
      </c>
      <c r="S46">
        <f t="shared" si="11"/>
        <v>984.94509895316878</v>
      </c>
      <c r="T46" cm="1">
        <f t="array" ref="T46">[1]!PropsSI("H","T",J46+273.15,"P",101325,"Water")</f>
        <v>246216.0295035248</v>
      </c>
      <c r="U46" cm="1">
        <f t="array" ref="U46">[1]!PropsSI("H","T",K46+273.15,"P",101325,"Water")</f>
        <v>226969.69895843687</v>
      </c>
      <c r="V46">
        <f t="shared" si="12"/>
        <v>710.2154967962208</v>
      </c>
      <c r="X46">
        <f t="shared" si="13"/>
        <v>0.267594728</v>
      </c>
      <c r="Y46">
        <f t="shared" si="14"/>
        <v>0.25839372399999999</v>
      </c>
      <c r="Z46">
        <f t="shared" si="15"/>
        <v>0.37198690172636745</v>
      </c>
      <c r="AA46">
        <f t="shared" si="16"/>
        <v>4.6005019999999988</v>
      </c>
      <c r="AB46">
        <f t="shared" si="17"/>
        <v>8.1473915918763171E-2</v>
      </c>
      <c r="AC46">
        <f t="shared" si="18"/>
        <v>57.864037670177908</v>
      </c>
    </row>
    <row r="47" spans="1:29" x14ac:dyDescent="0.2">
      <c r="A47">
        <v>46137.084047870369</v>
      </c>
      <c r="B47">
        <v>17.816703</v>
      </c>
      <c r="C47">
        <v>18.214580000000002</v>
      </c>
      <c r="D47">
        <v>19.055783999999999</v>
      </c>
      <c r="E47">
        <v>19.361172</v>
      </c>
      <c r="F47">
        <v>34.188516999999997</v>
      </c>
      <c r="G47">
        <v>33.968792999999998</v>
      </c>
      <c r="H47">
        <v>29.023548999999999</v>
      </c>
      <c r="I47">
        <v>26.838950000000001</v>
      </c>
      <c r="J47">
        <v>58.797842000000003</v>
      </c>
      <c r="K47">
        <v>54.208953000000001</v>
      </c>
      <c r="L47">
        <v>132.371183</v>
      </c>
      <c r="M47">
        <v>-622.49183700000003</v>
      </c>
      <c r="N47">
        <v>2.2533530000000002</v>
      </c>
      <c r="O47">
        <v>5.3315489999999999</v>
      </c>
      <c r="P47">
        <f t="shared" si="10"/>
        <v>3.7555883333333334E-5</v>
      </c>
      <c r="Q47" cm="1">
        <f t="array" ref="Q47">[1]!PropsSI("D","T",J47+273.15,"P",101325,"Water")</f>
        <v>983.81000213683456</v>
      </c>
      <c r="R47" cm="1">
        <f t="array" ref="R47">[1]!PropsSI("D","T",K47+273.15,"P",101325,"Water")</f>
        <v>986.07415896901102</v>
      </c>
      <c r="S47">
        <f t="shared" si="11"/>
        <v>984.94208055292279</v>
      </c>
      <c r="T47" cm="1">
        <f t="array" ref="T47">[1]!PropsSI("H","T",J47+273.15,"P",101325,"Water")</f>
        <v>246218.02966534632</v>
      </c>
      <c r="U47" cm="1">
        <f t="array" ref="U47">[1]!PropsSI("H","T",K47+273.15,"P",101325,"Water")</f>
        <v>227020.27165773421</v>
      </c>
      <c r="V47">
        <f t="shared" si="12"/>
        <v>710.13216932518662</v>
      </c>
      <c r="X47">
        <f t="shared" si="13"/>
        <v>0.267595684</v>
      </c>
      <c r="Y47">
        <f t="shared" si="14"/>
        <v>0.25841790600000003</v>
      </c>
      <c r="Z47">
        <f t="shared" si="15"/>
        <v>0.37200438738925207</v>
      </c>
      <c r="AA47">
        <f t="shared" si="16"/>
        <v>4.5888890000000018</v>
      </c>
      <c r="AB47">
        <f t="shared" si="17"/>
        <v>8.1680779667965178E-2</v>
      </c>
      <c r="AC47">
        <f t="shared" si="18"/>
        <v>58.004149257784711</v>
      </c>
    </row>
    <row r="48" spans="1:29" x14ac:dyDescent="0.2">
      <c r="A48">
        <v>46137.084083171299</v>
      </c>
      <c r="B48">
        <v>17.598393000000002</v>
      </c>
      <c r="C48">
        <v>17.982617000000001</v>
      </c>
      <c r="D48">
        <v>19.042922000000001</v>
      </c>
      <c r="E48">
        <v>19.366070000000001</v>
      </c>
      <c r="F48">
        <v>34.014913999999997</v>
      </c>
      <c r="G48">
        <v>33.358773999999997</v>
      </c>
      <c r="H48">
        <v>29.352837000000001</v>
      </c>
      <c r="I48">
        <v>26.508064000000001</v>
      </c>
      <c r="J48">
        <v>58.800072</v>
      </c>
      <c r="K48">
        <v>54.218497999999997</v>
      </c>
      <c r="L48">
        <v>122.21046699999999</v>
      </c>
      <c r="M48">
        <v>-622.47143000000005</v>
      </c>
      <c r="N48">
        <v>2.2517179999999999</v>
      </c>
      <c r="O48">
        <v>5.185981</v>
      </c>
      <c r="P48">
        <f t="shared" si="10"/>
        <v>3.7528633333333332E-5</v>
      </c>
      <c r="Q48" cm="1">
        <f t="array" ref="Q48">[1]!PropsSI("D","T",J48+273.15,"P",101325,"Water")</f>
        <v>983.80887080084653</v>
      </c>
      <c r="R48" cm="1">
        <f t="array" ref="R48">[1]!PropsSI("D","T",K48+273.15,"P",101325,"Water")</f>
        <v>986.06958412527229</v>
      </c>
      <c r="S48">
        <f t="shared" si="11"/>
        <v>984.93922746305941</v>
      </c>
      <c r="T48" cm="1">
        <f t="array" ref="T48">[1]!PropsSI("H","T",J48+273.15,"P",101325,"Water")</f>
        <v>246227.36096562602</v>
      </c>
      <c r="U48" cm="1">
        <f t="array" ref="U48">[1]!PropsSI("H","T",K48+273.15,"P",101325,"Water")</f>
        <v>227060.1953077949</v>
      </c>
      <c r="V48">
        <f t="shared" si="12"/>
        <v>708.48405428053672</v>
      </c>
      <c r="X48">
        <f t="shared" si="13"/>
        <v>0.26760014399999998</v>
      </c>
      <c r="Y48">
        <f t="shared" si="14"/>
        <v>0.25843699599999997</v>
      </c>
      <c r="Z48">
        <f t="shared" si="15"/>
        <v>0.37202085690230424</v>
      </c>
      <c r="AA48">
        <f t="shared" si="16"/>
        <v>4.5815740000000034</v>
      </c>
      <c r="AB48">
        <f t="shared" si="17"/>
        <v>8.1812806860936532E-2</v>
      </c>
      <c r="AC48">
        <f t="shared" si="18"/>
        <v>57.963069096906828</v>
      </c>
    </row>
    <row r="49" spans="1:29" x14ac:dyDescent="0.2">
      <c r="A49">
        <v>44675.084118474602</v>
      </c>
      <c r="B49">
        <v>17.588766</v>
      </c>
      <c r="C49">
        <v>17.918320000000001</v>
      </c>
      <c r="D49">
        <v>19.092164</v>
      </c>
      <c r="E49">
        <v>19.364556</v>
      </c>
      <c r="F49">
        <v>34.368488999999997</v>
      </c>
      <c r="G49">
        <v>36.466786999999997</v>
      </c>
      <c r="H49">
        <v>29.601113999999999</v>
      </c>
      <c r="I49">
        <v>27.041537000000002</v>
      </c>
      <c r="J49">
        <v>58.802461999999998</v>
      </c>
      <c r="K49">
        <v>54.222633999999999</v>
      </c>
      <c r="L49">
        <v>124.832785</v>
      </c>
      <c r="M49">
        <v>-622.47347100000002</v>
      </c>
      <c r="N49">
        <v>2.2547950000000001</v>
      </c>
      <c r="O49">
        <v>5.4122190000000003</v>
      </c>
      <c r="P49">
        <f t="shared" si="10"/>
        <v>3.7579916666666666E-5</v>
      </c>
      <c r="Q49" cm="1">
        <f t="array" ref="Q49">[1]!PropsSI("D","T",J49+273.15,"P",101325,"Water")</f>
        <v>983.8076582597887</v>
      </c>
      <c r="R49" cm="1">
        <f t="array" ref="R49">[1]!PropsSI("D","T",K49+273.15,"P",101325,"Water")</f>
        <v>986.06760159579403</v>
      </c>
      <c r="S49">
        <f t="shared" si="11"/>
        <v>984.93762992779136</v>
      </c>
      <c r="T49" cm="1">
        <f t="array" ref="T49">[1]!PropsSI("H","T",J49+273.15,"P",101325,"Water")</f>
        <v>246237.36177853169</v>
      </c>
      <c r="U49" cm="1">
        <f t="array" ref="U49">[1]!PropsSI("H","T",K49+273.15,"P",101325,"Water")</f>
        <v>227077.49486884443</v>
      </c>
      <c r="V49">
        <f t="shared" si="12"/>
        <v>709.18090069711548</v>
      </c>
      <c r="X49">
        <f t="shared" si="13"/>
        <v>0.26760492400000002</v>
      </c>
      <c r="Y49">
        <f t="shared" si="14"/>
        <v>0.25844526800000001</v>
      </c>
      <c r="Z49">
        <f t="shared" si="15"/>
        <v>0.37203004166416132</v>
      </c>
      <c r="AA49">
        <f t="shared" si="16"/>
        <v>4.5798279999999991</v>
      </c>
      <c r="AB49">
        <f t="shared" si="17"/>
        <v>8.1845521488459722E-2</v>
      </c>
      <c r="AC49">
        <f t="shared" si="18"/>
        <v>58.043280647210985</v>
      </c>
    </row>
    <row r="50" spans="1:29" x14ac:dyDescent="0.2">
      <c r="A50" t="s">
        <v>18</v>
      </c>
      <c r="B50">
        <v>17.811706999999998</v>
      </c>
      <c r="C50">
        <v>18.119447999999998</v>
      </c>
      <c r="D50">
        <v>19.069565999999998</v>
      </c>
      <c r="E50">
        <v>19.367598000000001</v>
      </c>
      <c r="F50">
        <v>34.251812999999999</v>
      </c>
      <c r="G50">
        <v>34.642215999999998</v>
      </c>
      <c r="H50">
        <v>29.281455999999999</v>
      </c>
      <c r="I50">
        <v>27.684615999999998</v>
      </c>
      <c r="J50">
        <v>58.802461999999998</v>
      </c>
      <c r="K50">
        <v>54.227725</v>
      </c>
      <c r="L50">
        <v>132.36751000000001</v>
      </c>
      <c r="M50">
        <v>-622.49142900000004</v>
      </c>
      <c r="N50">
        <v>2.2532169999999998</v>
      </c>
      <c r="O50">
        <v>5.462199</v>
      </c>
      <c r="P50">
        <f t="shared" si="10"/>
        <v>3.7553616666666669E-5</v>
      </c>
      <c r="Q50" cm="1">
        <f t="array" ref="Q50">[1]!PropsSI("D","T",J50+273.15,"P",101325,"Water")</f>
        <v>983.8076582597887</v>
      </c>
      <c r="R50" cm="1">
        <f t="array" ref="R50">[1]!PropsSI("D","T",K50+273.15,"P",101325,"Water")</f>
        <v>986.06516115439206</v>
      </c>
      <c r="S50">
        <f t="shared" si="11"/>
        <v>984.93640970709043</v>
      </c>
      <c r="T50" cm="1">
        <f t="array" ref="T50">[1]!PropsSI("H","T",J50+273.15,"P",101325,"Water")</f>
        <v>246237.36177853169</v>
      </c>
      <c r="U50" cm="1">
        <f t="array" ref="U50">[1]!PropsSI("H","T",K50+273.15,"P",101325,"Water")</f>
        <v>227098.78889679123</v>
      </c>
      <c r="V50">
        <f t="shared" si="12"/>
        <v>707.8960863221904</v>
      </c>
      <c r="X50">
        <f t="shared" si="13"/>
        <v>0.26760492400000002</v>
      </c>
      <c r="Y50">
        <f t="shared" si="14"/>
        <v>0.25845544999999998</v>
      </c>
      <c r="Z50">
        <f t="shared" si="15"/>
        <v>0.37203711506212422</v>
      </c>
      <c r="AA50">
        <f t="shared" si="16"/>
        <v>4.5747369999999989</v>
      </c>
      <c r="AB50">
        <f t="shared" si="17"/>
        <v>8.1936779023213543E-2</v>
      </c>
      <c r="AC50">
        <f t="shared" si="18"/>
        <v>58.002725196379011</v>
      </c>
    </row>
    <row r="51" spans="1:29" x14ac:dyDescent="0.2">
      <c r="A51">
        <v>46137.084187916669</v>
      </c>
      <c r="B51">
        <v>17.785395999999999</v>
      </c>
      <c r="C51">
        <v>18.244154000000002</v>
      </c>
      <c r="D51">
        <v>19.030125000000002</v>
      </c>
      <c r="E51">
        <v>19.411162000000001</v>
      </c>
      <c r="F51">
        <v>34.218128999999998</v>
      </c>
      <c r="G51">
        <v>33.657276000000003</v>
      </c>
      <c r="H51">
        <v>29.597643999999999</v>
      </c>
      <c r="I51">
        <v>27.381183</v>
      </c>
      <c r="J51">
        <v>58.801983999999997</v>
      </c>
      <c r="K51">
        <v>54.232816</v>
      </c>
      <c r="L51">
        <v>131.961816</v>
      </c>
      <c r="M51">
        <v>-622.468165</v>
      </c>
      <c r="N51">
        <v>2.2519100000000001</v>
      </c>
      <c r="O51">
        <v>5.2437760000000004</v>
      </c>
      <c r="P51">
        <f t="shared" si="10"/>
        <v>3.7531833333333339E-5</v>
      </c>
      <c r="Q51" cm="1">
        <f t="array" ref="Q51">[1]!PropsSI("D","T",J51+273.15,"P",101325,"Water")</f>
        <v>983.80790077073061</v>
      </c>
      <c r="R51" cm="1">
        <f t="array" ref="R51">[1]!PropsSI("D","T",K51+273.15,"P",101325,"Water")</f>
        <v>986.06272055075181</v>
      </c>
      <c r="S51">
        <f t="shared" si="11"/>
        <v>984.93531066074115</v>
      </c>
      <c r="T51" cm="1">
        <f t="array" ref="T51">[1]!PropsSI("H","T",J51+273.15,"P",101325,"Water")</f>
        <v>246235.36161576016</v>
      </c>
      <c r="U51" cm="1">
        <f t="array" ref="U51">[1]!PropsSI("H","T",K51+273.15,"P",101325,"Water")</f>
        <v>227120.08293380268</v>
      </c>
      <c r="V51">
        <f t="shared" si="12"/>
        <v>706.62357164057869</v>
      </c>
      <c r="X51">
        <f t="shared" si="13"/>
        <v>0.26760396799999997</v>
      </c>
      <c r="Y51">
        <f t="shared" si="14"/>
        <v>0.258465632</v>
      </c>
      <c r="Z51">
        <f t="shared" si="15"/>
        <v>0.37204350097065858</v>
      </c>
      <c r="AA51">
        <f t="shared" si="16"/>
        <v>4.5691679999999977</v>
      </c>
      <c r="AB51">
        <f t="shared" si="17"/>
        <v>8.2036545891211565E-2</v>
      </c>
      <c r="AC51">
        <f t="shared" si="18"/>
        <v>57.968957062704156</v>
      </c>
    </row>
    <row r="52" spans="1:29" x14ac:dyDescent="0.2">
      <c r="A52">
        <v>46137.084222638892</v>
      </c>
      <c r="B52">
        <v>17.747174999999999</v>
      </c>
      <c r="C52">
        <v>18.111718</v>
      </c>
      <c r="D52">
        <v>19.002161000000001</v>
      </c>
      <c r="E52">
        <v>19.386545999999999</v>
      </c>
      <c r="F52">
        <v>34.327057000000003</v>
      </c>
      <c r="G52">
        <v>34.346698000000004</v>
      </c>
      <c r="H52">
        <v>29.935993</v>
      </c>
      <c r="I52">
        <v>27.71715</v>
      </c>
      <c r="J52">
        <v>58.802461999999998</v>
      </c>
      <c r="K52">
        <v>54.233611000000003</v>
      </c>
      <c r="L52">
        <v>132.75851</v>
      </c>
      <c r="M52">
        <v>-622.49755100000004</v>
      </c>
      <c r="N52">
        <v>2.25284</v>
      </c>
      <c r="O52">
        <v>5.0824759999999998</v>
      </c>
      <c r="P52">
        <f t="shared" si="10"/>
        <v>3.7547333333333332E-5</v>
      </c>
      <c r="Q52" cm="1">
        <f t="array" ref="Q52">[1]!PropsSI("D","T",J52+273.15,"P",101325,"Water")</f>
        <v>983.8076582597887</v>
      </c>
      <c r="R52" cm="1">
        <f t="array" ref="R52">[1]!PropsSI("D","T",K52+273.15,"P",101325,"Water")</f>
        <v>986.06233941651624</v>
      </c>
      <c r="S52">
        <f t="shared" si="11"/>
        <v>984.93499883815252</v>
      </c>
      <c r="T52" cm="1">
        <f t="array" ref="T52">[1]!PropsSI("H","T",J52+273.15,"P",101325,"Water")</f>
        <v>246237.36177853169</v>
      </c>
      <c r="U52" cm="1">
        <f t="array" ref="U52">[1]!PropsSI("H","T",K52+273.15,"P",101325,"Water")</f>
        <v>227123.40816726279</v>
      </c>
      <c r="V52">
        <f t="shared" si="12"/>
        <v>706.86616784375701</v>
      </c>
      <c r="X52">
        <f t="shared" si="13"/>
        <v>0.26760492400000002</v>
      </c>
      <c r="Y52">
        <f t="shared" si="14"/>
        <v>0.258467222</v>
      </c>
      <c r="Z52">
        <f t="shared" si="15"/>
        <v>0.37204529320694685</v>
      </c>
      <c r="AA52">
        <f t="shared" si="16"/>
        <v>4.5688509999999951</v>
      </c>
      <c r="AB52">
        <f t="shared" si="17"/>
        <v>8.204254259764153E-2</v>
      </c>
      <c r="AC52">
        <f t="shared" si="18"/>
        <v>57.993097686153064</v>
      </c>
    </row>
    <row r="53" spans="1:29" x14ac:dyDescent="0.2">
      <c r="A53">
        <v>46137.084257939816</v>
      </c>
      <c r="B53">
        <v>17.737452000000001</v>
      </c>
      <c r="C53">
        <v>18.070081999999999</v>
      </c>
      <c r="D53">
        <v>18.999126</v>
      </c>
      <c r="E53">
        <v>19.318695000000002</v>
      </c>
      <c r="F53">
        <v>34.064056000000001</v>
      </c>
      <c r="G53">
        <v>34.578811999999999</v>
      </c>
      <c r="H53">
        <v>29.517417999999999</v>
      </c>
      <c r="I53">
        <v>27.187460000000002</v>
      </c>
      <c r="J53">
        <v>58.804374000000003</v>
      </c>
      <c r="K53">
        <v>54.233452</v>
      </c>
      <c r="L53">
        <v>131.281442</v>
      </c>
      <c r="M53">
        <v>-622.50775499999997</v>
      </c>
      <c r="N53">
        <v>2.2553770000000002</v>
      </c>
      <c r="O53">
        <v>5.5062819999999997</v>
      </c>
      <c r="P53">
        <f t="shared" si="10"/>
        <v>3.7589616666666674E-5</v>
      </c>
      <c r="Q53" cm="1">
        <f t="array" ref="Q53">[1]!PropsSI("D","T",J53+273.15,"P",101325,"Water")</f>
        <v>983.80668820236303</v>
      </c>
      <c r="R53" cm="1">
        <f t="array" ref="R53">[1]!PropsSI("D","T",K53+273.15,"P",101325,"Water")</f>
        <v>986.06241564367542</v>
      </c>
      <c r="S53">
        <f t="shared" si="11"/>
        <v>984.93455192301917</v>
      </c>
      <c r="T53" cm="1">
        <f t="array" ref="T53">[1]!PropsSI("H","T",J53+273.15,"P",101325,"Water")</f>
        <v>246245.36243056951</v>
      </c>
      <c r="U53" cm="1">
        <f t="array" ref="U53">[1]!PropsSI("H","T",K53+273.15,"P",101325,"Water")</f>
        <v>227122.74312056886</v>
      </c>
      <c r="V53">
        <f t="shared" si="12"/>
        <v>707.98270572414117</v>
      </c>
      <c r="X53">
        <f t="shared" si="13"/>
        <v>0.26760874800000001</v>
      </c>
      <c r="Y53">
        <f t="shared" si="14"/>
        <v>0.258466904</v>
      </c>
      <c r="Z53">
        <f t="shared" si="15"/>
        <v>0.37204782282587373</v>
      </c>
      <c r="AA53">
        <f t="shared" si="16"/>
        <v>4.570922000000003</v>
      </c>
      <c r="AB53">
        <f t="shared" si="17"/>
        <v>8.2006472303501055E-2</v>
      </c>
      <c r="AC53">
        <f t="shared" si="18"/>
        <v>58.05916414832452</v>
      </c>
    </row>
    <row r="54" spans="1:29" x14ac:dyDescent="0.2">
      <c r="A54">
        <v>46137.084292662039</v>
      </c>
      <c r="B54">
        <v>17.589189999999999</v>
      </c>
      <c r="C54">
        <v>18.028967000000002</v>
      </c>
      <c r="D54">
        <v>19.051909999999999</v>
      </c>
      <c r="E54">
        <v>19.332118999999999</v>
      </c>
      <c r="F54">
        <v>34.255488</v>
      </c>
      <c r="G54">
        <v>34.134332000000001</v>
      </c>
      <c r="H54">
        <v>30.071864000000001</v>
      </c>
      <c r="I54">
        <v>26.958269999999999</v>
      </c>
      <c r="J54">
        <v>58.804532999999999</v>
      </c>
      <c r="K54">
        <v>54.234088</v>
      </c>
      <c r="L54">
        <v>129.458268</v>
      </c>
      <c r="M54">
        <v>-622.48326599999996</v>
      </c>
      <c r="N54">
        <v>2.2489020000000002</v>
      </c>
      <c r="O54">
        <v>5.2076229999999999</v>
      </c>
      <c r="P54">
        <f t="shared" si="10"/>
        <v>3.7481700000000004E-5</v>
      </c>
      <c r="Q54" cm="1">
        <f t="array" ref="Q54">[1]!PropsSI("D","T",J54+273.15,"P",101325,"Water")</f>
        <v>983.8066075323934</v>
      </c>
      <c r="R54" cm="1">
        <f t="array" ref="R54">[1]!PropsSI("D","T",K54+273.15,"P",101325,"Water")</f>
        <v>986.06211073407223</v>
      </c>
      <c r="S54">
        <f t="shared" si="11"/>
        <v>984.93435913323287</v>
      </c>
      <c r="T54" cm="1">
        <f t="array" ref="T54">[1]!PropsSI("H","T",J54+273.15,"P",101325,"Water")</f>
        <v>246246.02775682209</v>
      </c>
      <c r="U54" cm="1">
        <f t="array" ref="U54">[1]!PropsSI("H","T",K54+273.15,"P",101325,"Water")</f>
        <v>227125.40330745192</v>
      </c>
      <c r="V54">
        <f t="shared" si="12"/>
        <v>705.87636371225085</v>
      </c>
      <c r="X54">
        <f t="shared" si="13"/>
        <v>0.26760906600000001</v>
      </c>
      <c r="Y54">
        <f t="shared" si="14"/>
        <v>0.25846817599999999</v>
      </c>
      <c r="Z54">
        <f t="shared" si="15"/>
        <v>0.37204893523588983</v>
      </c>
      <c r="AA54">
        <f t="shared" si="16"/>
        <v>4.5704449999999994</v>
      </c>
      <c r="AB54">
        <f t="shared" si="17"/>
        <v>8.2015145324602523E-2</v>
      </c>
      <c r="AC54">
        <f t="shared" si="18"/>
        <v>57.892552551062238</v>
      </c>
    </row>
    <row r="55" spans="1:29" x14ac:dyDescent="0.2">
      <c r="A55">
        <v>46137.084327962963</v>
      </c>
      <c r="B55">
        <v>17.497208000000001</v>
      </c>
      <c r="C55">
        <v>17.886464</v>
      </c>
      <c r="D55">
        <v>19.028642999999999</v>
      </c>
      <c r="E55">
        <v>19.344155000000001</v>
      </c>
      <c r="F55">
        <v>33.984650000000002</v>
      </c>
      <c r="G55">
        <v>35.377749999999999</v>
      </c>
      <c r="H55">
        <v>29.927488</v>
      </c>
      <c r="I55">
        <v>26.957079</v>
      </c>
      <c r="J55">
        <v>58.805489000000001</v>
      </c>
      <c r="K55">
        <v>54.232179000000002</v>
      </c>
      <c r="L55">
        <v>131.33490800000001</v>
      </c>
      <c r="M55">
        <v>-622.48571500000003</v>
      </c>
      <c r="N55">
        <v>2.2486480000000002</v>
      </c>
      <c r="O55">
        <v>5.596482</v>
      </c>
      <c r="P55">
        <f t="shared" si="10"/>
        <v>3.7477466666666668E-5</v>
      </c>
      <c r="Q55" cm="1">
        <f t="array" ref="Q55">[1]!PropsSI("D","T",J55+273.15,"P",101325,"Water")</f>
        <v>983.80612249456397</v>
      </c>
      <c r="R55" cm="1">
        <f t="array" ref="R55">[1]!PropsSI("D","T",K55+273.15,"P",101325,"Water")</f>
        <v>986.06302593470559</v>
      </c>
      <c r="S55">
        <f t="shared" si="11"/>
        <v>984.93457421463472</v>
      </c>
      <c r="T55" cm="1">
        <f t="array" ref="T55">[1]!PropsSI("H","T",J55+273.15,"P",101325,"Water")</f>
        <v>246250.02808348683</v>
      </c>
      <c r="U55" cm="1">
        <f t="array" ref="U55">[1]!PropsSI("H","T",K55+273.15,"P",101325,"Water")</f>
        <v>227117.41856451519</v>
      </c>
      <c r="V55">
        <f t="shared" si="12"/>
        <v>706.23919644252067</v>
      </c>
      <c r="X55">
        <f t="shared" si="13"/>
        <v>0.267610978</v>
      </c>
      <c r="Y55">
        <f t="shared" si="14"/>
        <v>0.25846435800000001</v>
      </c>
      <c r="Z55">
        <f t="shared" si="15"/>
        <v>0.37204765810641605</v>
      </c>
      <c r="AA55">
        <f t="shared" si="16"/>
        <v>4.5733099999999993</v>
      </c>
      <c r="AB55">
        <f t="shared" si="17"/>
        <v>8.1964252941556209E-2</v>
      </c>
      <c r="AC55">
        <f t="shared" si="18"/>
        <v>57.88636813445617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8FE2-00EF-5240-8E73-5E0138688416}">
  <dimension ref="A1:AC47"/>
  <sheetViews>
    <sheetView topLeftCell="O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44675.085061182901</v>
      </c>
      <c r="B2">
        <v>17.831773999999999</v>
      </c>
      <c r="C2">
        <v>18.338183999999998</v>
      </c>
      <c r="D2">
        <v>19.010213</v>
      </c>
      <c r="E2">
        <v>19.360593000000001</v>
      </c>
      <c r="F2">
        <v>31.962385999999999</v>
      </c>
      <c r="G2">
        <v>34.742753999999998</v>
      </c>
      <c r="H2">
        <v>28.228045000000002</v>
      </c>
      <c r="I2">
        <v>25.229599</v>
      </c>
      <c r="J2">
        <v>58.804214000000002</v>
      </c>
      <c r="K2">
        <v>53.764176999999997</v>
      </c>
      <c r="L2">
        <v>199.66250700000001</v>
      </c>
      <c r="M2">
        <v>-622.50693799999999</v>
      </c>
      <c r="N2">
        <v>2.2524389999999999</v>
      </c>
      <c r="O2">
        <v>5.599291</v>
      </c>
      <c r="P2">
        <f t="shared" ref="P2:P65" si="0" xml:space="preserve"> N2*0.001/60</f>
        <v>3.7540649999999994E-5</v>
      </c>
      <c r="Q2" cm="1">
        <f t="array" ref="Q2">[1]!PropsSI("D","T",J2+273.15,"P",101325,"Water")</f>
        <v>983.80676937956287</v>
      </c>
      <c r="R2" cm="1">
        <f t="array" ref="R2">[1]!PropsSI("D","T",K2+273.15,"P",101325,"Water")</f>
        <v>986.28670314648082</v>
      </c>
      <c r="S2">
        <f t="shared" ref="S2:S65" si="1">(Q2+R2)/2</f>
        <v>985.04673626302178</v>
      </c>
      <c r="T2" cm="1">
        <f t="array" ref="T2">[1]!PropsSI("H","T",J2+273.15,"P",101325,"Water")</f>
        <v>246244.69291988135</v>
      </c>
      <c r="U2" cm="1">
        <f t="array" ref="U2">[1]!PropsSI("H","T",K2+273.15,"P",101325,"Water")</f>
        <v>225159.9525072629</v>
      </c>
      <c r="V2">
        <f t="shared" ref="V2:V65" si="2">S2*P2*(T2-U2)</f>
        <v>779.6988306498157</v>
      </c>
      <c r="W2" s="3">
        <f>AVERAGE(V2:V47)</f>
        <v>781.86691468641675</v>
      </c>
      <c r="X2">
        <f>(0.15+0.002*ABS(J2))</f>
        <v>0.26760842800000001</v>
      </c>
      <c r="Y2">
        <f>(0.15+0.002*ABS(K2))</f>
        <v>0.25752835399999996</v>
      </c>
      <c r="Z2">
        <f>SQRT((X2)^2 + (Y2)^2)</f>
        <v>0.37139618179321726</v>
      </c>
      <c r="AA2">
        <f>J2-K2</f>
        <v>5.0400370000000052</v>
      </c>
      <c r="AB2">
        <f>SQRT((0.01)^2 + (Z2/ABS(AA2))^2)</f>
        <v>7.4364607851516773E-2</v>
      </c>
      <c r="AC2">
        <f>ABS(V2*AB2)</f>
        <v>57.981997783559734</v>
      </c>
    </row>
    <row r="3" spans="1:29" x14ac:dyDescent="0.2">
      <c r="A3">
        <v>44675.085095905102</v>
      </c>
      <c r="B3">
        <v>17.781298</v>
      </c>
      <c r="C3">
        <v>18.242834999999999</v>
      </c>
      <c r="D3">
        <v>19.047941000000002</v>
      </c>
      <c r="E3">
        <v>19.416101000000001</v>
      </c>
      <c r="F3">
        <v>31.914883</v>
      </c>
      <c r="G3">
        <v>33.287171000000001</v>
      </c>
      <c r="H3">
        <v>28.284860999999999</v>
      </c>
      <c r="I3">
        <v>25.499265999999999</v>
      </c>
      <c r="J3">
        <v>58.801028000000002</v>
      </c>
      <c r="K3">
        <v>53.764018</v>
      </c>
      <c r="L3">
        <v>204.47042999999999</v>
      </c>
      <c r="M3">
        <v>-622.48530700000003</v>
      </c>
      <c r="N3">
        <v>2.2507830000000002</v>
      </c>
      <c r="O3">
        <v>5.2157299999999998</v>
      </c>
      <c r="P3">
        <f t="shared" si="0"/>
        <v>3.7513050000000002E-5</v>
      </c>
      <c r="Q3" cm="1">
        <f t="array" ref="Q3">[1]!PropsSI("D","T",J3+273.15,"P",101325,"Water")</f>
        <v>983.80838578851296</v>
      </c>
      <c r="R3" cm="1">
        <f t="array" ref="R3">[1]!PropsSI("D","T",K3+273.15,"P",101325,"Water")</f>
        <v>986.28677890534743</v>
      </c>
      <c r="S3">
        <f t="shared" si="1"/>
        <v>985.0475823469302</v>
      </c>
      <c r="T3" cm="1">
        <f t="array" ref="T3">[1]!PropsSI("H","T",J3+273.15,"P",101325,"Water")</f>
        <v>246231.36129051441</v>
      </c>
      <c r="U3" cm="1">
        <f t="array" ref="U3">[1]!PropsSI("H","T",K3+273.15,"P",101325,"Water")</f>
        <v>225159.28748640721</v>
      </c>
      <c r="V3">
        <f t="shared" si="2"/>
        <v>778.65820463083844</v>
      </c>
      <c r="W3" s="3" t="s">
        <v>33</v>
      </c>
      <c r="X3">
        <f t="shared" ref="X3:Y55" si="3">(0.15+0.002*ABS(J3))</f>
        <v>0.26760205599999998</v>
      </c>
      <c r="Y3">
        <f t="shared" si="3"/>
        <v>0.25752803600000002</v>
      </c>
      <c r="Z3">
        <f t="shared" ref="Z3:Z55" si="4">SQRT((X3)^2 + (Y3)^2)</f>
        <v>0.37139136998783967</v>
      </c>
      <c r="AA3">
        <f>J3-K3</f>
        <v>5.0370100000000022</v>
      </c>
      <c r="AB3">
        <f t="shared" ref="AB3:AB66" si="5">SQRT((0.01)^2 + (Z3/ABS(AA3))^2)</f>
        <v>7.4407542892547376E-2</v>
      </c>
      <c r="AC3">
        <f t="shared" ref="AC3:AC66" si="6">ABS(V3*AB3)</f>
        <v>57.938043759703042</v>
      </c>
    </row>
    <row r="4" spans="1:29" x14ac:dyDescent="0.2">
      <c r="A4">
        <v>44675.085131206099</v>
      </c>
      <c r="B4">
        <v>17.775663999999999</v>
      </c>
      <c r="C4">
        <v>18.098711000000002</v>
      </c>
      <c r="D4">
        <v>19.065377000000002</v>
      </c>
      <c r="E4">
        <v>19.402286</v>
      </c>
      <c r="F4">
        <v>32.030329000000002</v>
      </c>
      <c r="G4">
        <v>33.600534000000003</v>
      </c>
      <c r="H4">
        <v>28.110458999999999</v>
      </c>
      <c r="I4">
        <v>25.554410000000001</v>
      </c>
      <c r="J4">
        <v>58.801028000000002</v>
      </c>
      <c r="K4">
        <v>53.764812999999997</v>
      </c>
      <c r="L4">
        <v>198.408693</v>
      </c>
      <c r="M4">
        <v>-622.49632699999995</v>
      </c>
      <c r="N4">
        <v>2.256024</v>
      </c>
      <c r="O4">
        <v>5.9570160000000003</v>
      </c>
      <c r="P4">
        <f t="shared" si="0"/>
        <v>3.76004E-5</v>
      </c>
      <c r="Q4" cm="1">
        <f t="array" ref="Q4">[1]!PropsSI("D","T",J4+273.15,"P",101325,"Water")</f>
        <v>983.80838578851296</v>
      </c>
      <c r="R4" cm="1">
        <f t="array" ref="R4">[1]!PropsSI("D","T",K4+273.15,"P",101325,"Water")</f>
        <v>986.28640010945253</v>
      </c>
      <c r="S4">
        <f t="shared" si="1"/>
        <v>985.04739294898275</v>
      </c>
      <c r="T4" cm="1">
        <f t="array" ref="T4">[1]!PropsSI("H","T",J4+273.15,"P",101325,"Water")</f>
        <v>246231.36129051441</v>
      </c>
      <c r="U4" cm="1">
        <f t="array" ref="U4">[1]!PropsSI("H","T",K4+273.15,"P",101325,"Water")</f>
        <v>225162.61259077824</v>
      </c>
      <c r="V4">
        <f t="shared" si="2"/>
        <v>780.34802231079345</v>
      </c>
      <c r="W4" s="3">
        <f>SQRT((AVERAGE(AC2:AC47))^2 + (_xlfn.STDEV.S(V2:V47)/SQRT(COUNT(V2:V47)))^2)</f>
        <v>57.968363253513559</v>
      </c>
      <c r="X4">
        <f t="shared" si="3"/>
        <v>0.26760205599999998</v>
      </c>
      <c r="Y4">
        <f t="shared" si="3"/>
        <v>0.25752962599999996</v>
      </c>
      <c r="Z4">
        <f t="shared" si="4"/>
        <v>0.37139247251812602</v>
      </c>
      <c r="AA4">
        <f t="shared" ref="AA4:AA67" si="7">J4-K4</f>
        <v>5.0362150000000057</v>
      </c>
      <c r="AB4">
        <f t="shared" si="5"/>
        <v>7.441929341758062E-2</v>
      </c>
      <c r="AC4">
        <f t="shared" si="6"/>
        <v>58.072948440175686</v>
      </c>
    </row>
    <row r="5" spans="1:29" x14ac:dyDescent="0.2">
      <c r="A5">
        <v>44675.0851659283</v>
      </c>
      <c r="B5">
        <v>17.529765000000001</v>
      </c>
      <c r="C5">
        <v>17.855536000000001</v>
      </c>
      <c r="D5">
        <v>19.111103</v>
      </c>
      <c r="E5">
        <v>19.399882000000002</v>
      </c>
      <c r="F5">
        <v>31.781894999999999</v>
      </c>
      <c r="G5">
        <v>34.835056999999999</v>
      </c>
      <c r="H5">
        <v>27.846008000000001</v>
      </c>
      <c r="I5">
        <v>25.928004999999999</v>
      </c>
      <c r="J5">
        <v>58.797682999999999</v>
      </c>
      <c r="K5">
        <v>53.766244999999998</v>
      </c>
      <c r="L5">
        <v>205.17774199999999</v>
      </c>
      <c r="M5">
        <v>-622.50081599999999</v>
      </c>
      <c r="N5">
        <v>2.2537259999999999</v>
      </c>
      <c r="O5">
        <v>5.4213560000000003</v>
      </c>
      <c r="P5">
        <f t="shared" si="0"/>
        <v>3.7562099999999997E-5</v>
      </c>
      <c r="Q5" cm="1">
        <f t="array" ref="Q5">[1]!PropsSI("D","T",J5+273.15,"P",101325,"Water")</f>
        <v>983.81008280045967</v>
      </c>
      <c r="R5" cm="1">
        <f t="array" ref="R5">[1]!PropsSI("D","T",K5+273.15,"P",101325,"Water")</f>
        <v>986.28571779033791</v>
      </c>
      <c r="S5">
        <f t="shared" si="1"/>
        <v>985.04790029539879</v>
      </c>
      <c r="T5" cm="1">
        <f t="array" ref="T5">[1]!PropsSI("H","T",J5+273.15,"P",101325,"Water")</f>
        <v>246217.36433955116</v>
      </c>
      <c r="U5" cm="1">
        <f t="array" ref="U5">[1]!PropsSI("H","T",K5+273.15,"P",101325,"Water")</f>
        <v>225168.60196169536</v>
      </c>
      <c r="V5">
        <f t="shared" si="2"/>
        <v>778.81405323797082</v>
      </c>
      <c r="W5" s="3"/>
      <c r="X5">
        <f t="shared" si="3"/>
        <v>0.267595366</v>
      </c>
      <c r="Y5">
        <f t="shared" si="3"/>
        <v>0.25753249</v>
      </c>
      <c r="Z5">
        <f t="shared" si="4"/>
        <v>0.37138963812992154</v>
      </c>
      <c r="AA5">
        <f t="shared" si="7"/>
        <v>5.0314380000000014</v>
      </c>
      <c r="AB5">
        <f t="shared" si="5"/>
        <v>7.4488115927066903E-2</v>
      </c>
      <c r="AC5">
        <f t="shared" si="6"/>
        <v>58.012391483218828</v>
      </c>
    </row>
    <row r="6" spans="1:29" x14ac:dyDescent="0.2">
      <c r="A6">
        <v>46137.085201226851</v>
      </c>
      <c r="B6">
        <v>17.595514999999999</v>
      </c>
      <c r="C6">
        <v>17.921858</v>
      </c>
      <c r="D6">
        <v>19.126370999999999</v>
      </c>
      <c r="E6">
        <v>19.377834</v>
      </c>
      <c r="F6">
        <v>31.888947000000002</v>
      </c>
      <c r="G6">
        <v>34.230876000000002</v>
      </c>
      <c r="H6">
        <v>27.769603</v>
      </c>
      <c r="I6">
        <v>25.195777</v>
      </c>
      <c r="J6">
        <v>58.796249000000003</v>
      </c>
      <c r="K6">
        <v>53.762903999999999</v>
      </c>
      <c r="L6">
        <v>191.84983700000001</v>
      </c>
      <c r="M6">
        <v>-622.47796000000005</v>
      </c>
      <c r="N6">
        <v>2.2538649999999998</v>
      </c>
      <c r="O6">
        <v>5.3539019999999997</v>
      </c>
      <c r="P6">
        <f t="shared" si="0"/>
        <v>3.7564416666666666E-5</v>
      </c>
      <c r="Q6" cm="1">
        <f t="array" ref="Q6">[1]!PropsSI("D","T",J6+273.15,"P",101325,"Water")</f>
        <v>983.81081028824735</v>
      </c>
      <c r="R6" cm="1">
        <f t="array" ref="R6">[1]!PropsSI("D","T",K6+273.15,"P",101325,"Water")</f>
        <v>986.28730968937464</v>
      </c>
      <c r="S6">
        <f t="shared" si="1"/>
        <v>985.049059988811</v>
      </c>
      <c r="T6" cm="1">
        <f t="array" ref="T6">[1]!PropsSI("H","T",J6+273.15,"P",101325,"Water")</f>
        <v>246211.36385440564</v>
      </c>
      <c r="U6" cm="1">
        <f t="array" ref="U6">[1]!PropsSI("H","T",K6+273.15,"P",101325,"Water")</f>
        <v>225154.62815815315</v>
      </c>
      <c r="V6">
        <f t="shared" si="2"/>
        <v>779.15803909975625</v>
      </c>
      <c r="W6" s="3"/>
      <c r="X6">
        <f t="shared" si="3"/>
        <v>0.26759249800000001</v>
      </c>
      <c r="Y6">
        <f t="shared" si="3"/>
        <v>0.25752580800000002</v>
      </c>
      <c r="Z6">
        <f t="shared" si="4"/>
        <v>0.37138293818097362</v>
      </c>
      <c r="AA6">
        <f>J6-K6</f>
        <v>5.0333450000000042</v>
      </c>
      <c r="AB6">
        <f t="shared" si="5"/>
        <v>7.445908404622717E-2</v>
      </c>
      <c r="AC6">
        <f t="shared" si="6"/>
        <v>58.015393918622308</v>
      </c>
    </row>
    <row r="7" spans="1:29" x14ac:dyDescent="0.2">
      <c r="A7">
        <v>46137.085235949075</v>
      </c>
      <c r="B7">
        <v>17.893052000000001</v>
      </c>
      <c r="C7">
        <v>18.226023999999999</v>
      </c>
      <c r="D7">
        <v>19.100370999999999</v>
      </c>
      <c r="E7">
        <v>19.380822999999999</v>
      </c>
      <c r="F7">
        <v>31.669599999999999</v>
      </c>
      <c r="G7">
        <v>33.749180000000003</v>
      </c>
      <c r="H7">
        <v>27.702241999999998</v>
      </c>
      <c r="I7">
        <v>25.449593</v>
      </c>
      <c r="J7">
        <v>58.792904</v>
      </c>
      <c r="K7">
        <v>53.757973</v>
      </c>
      <c r="L7">
        <v>205.69649100000001</v>
      </c>
      <c r="M7">
        <v>-622.50285699999995</v>
      </c>
      <c r="N7">
        <v>2.257098</v>
      </c>
      <c r="O7">
        <v>5.4273030000000002</v>
      </c>
      <c r="P7">
        <f t="shared" si="0"/>
        <v>3.7618299999999999E-5</v>
      </c>
      <c r="Q7" cm="1">
        <f t="array" ref="Q7">[1]!PropsSI("D","T",J7+273.15,"P",101325,"Water")</f>
        <v>983.81250720468438</v>
      </c>
      <c r="R7" cm="1">
        <f t="array" ref="R7">[1]!PropsSI("D","T",K7+273.15,"P",101325,"Water")</f>
        <v>986.28965905349696</v>
      </c>
      <c r="S7">
        <f t="shared" si="1"/>
        <v>985.05108312909067</v>
      </c>
      <c r="T7" cm="1">
        <f t="array" ref="T7">[1]!PropsSI("H","T",J7+273.15,"P",101325,"Water")</f>
        <v>246197.36691011189</v>
      </c>
      <c r="U7" cm="1">
        <f t="array" ref="U7">[1]!PropsSI("H","T",K7+273.15,"P",101325,"Water")</f>
        <v>225134.00415278252</v>
      </c>
      <c r="V7">
        <f t="shared" si="2"/>
        <v>780.52285735751536</v>
      </c>
      <c r="W7" s="3"/>
      <c r="X7">
        <f t="shared" si="3"/>
        <v>0.26758580799999998</v>
      </c>
      <c r="Y7">
        <f t="shared" si="3"/>
        <v>0.257515946</v>
      </c>
      <c r="Z7">
        <f t="shared" si="4"/>
        <v>0.37137127929780428</v>
      </c>
      <c r="AA7">
        <f t="shared" ref="AA7:AA70" si="8">J7-K7</f>
        <v>5.0349310000000003</v>
      </c>
      <c r="AB7">
        <f t="shared" si="5"/>
        <v>7.4433757991324775E-2</v>
      </c>
      <c r="AC7">
        <f t="shared" si="6"/>
        <v>58.097249471246606</v>
      </c>
    </row>
    <row r="8" spans="1:29" x14ac:dyDescent="0.2">
      <c r="A8">
        <v>46137.085271249998</v>
      </c>
      <c r="B8">
        <v>18.235970999999999</v>
      </c>
      <c r="C8">
        <v>18.411626999999999</v>
      </c>
      <c r="D8">
        <v>19.181327</v>
      </c>
      <c r="E8">
        <v>19.458238000000001</v>
      </c>
      <c r="F8">
        <v>32.068320999999997</v>
      </c>
      <c r="G8">
        <v>33.438840999999996</v>
      </c>
      <c r="H8">
        <v>28.920684000000001</v>
      </c>
      <c r="I8">
        <v>25.470489000000001</v>
      </c>
      <c r="J8">
        <v>58.791151999999997</v>
      </c>
      <c r="K8">
        <v>53.756383</v>
      </c>
      <c r="L8">
        <v>196.08921699999999</v>
      </c>
      <c r="M8">
        <v>-622.49469399999998</v>
      </c>
      <c r="N8">
        <v>2.2557130000000001</v>
      </c>
      <c r="O8">
        <v>5.7081080000000002</v>
      </c>
      <c r="P8">
        <f t="shared" si="0"/>
        <v>3.7595216666666672E-5</v>
      </c>
      <c r="Q8" cm="1">
        <f t="array" ref="Q8">[1]!PropsSI("D","T",J8+273.15,"P",101325,"Water")</f>
        <v>983.81339596653004</v>
      </c>
      <c r="R8" cm="1">
        <f t="array" ref="R8">[1]!PropsSI("D","T",K8+273.15,"P",101325,"Water")</f>
        <v>986.29041657288246</v>
      </c>
      <c r="S8">
        <f t="shared" si="1"/>
        <v>985.05190626970625</v>
      </c>
      <c r="T8" cm="1">
        <f t="array" ref="T8">[1]!PropsSI("H","T",J8+273.15,"P",101325,"Water")</f>
        <v>246190.03577709259</v>
      </c>
      <c r="U8" cm="1">
        <f t="array" ref="U8">[1]!PropsSI("H","T",K8+273.15,"P",101325,"Water")</f>
        <v>225127.35394803976</v>
      </c>
      <c r="V8">
        <f t="shared" si="2"/>
        <v>780.0193479357572</v>
      </c>
      <c r="W8" s="3"/>
      <c r="X8">
        <f t="shared" si="3"/>
        <v>0.26758230399999999</v>
      </c>
      <c r="Y8">
        <f t="shared" si="3"/>
        <v>0.257512766</v>
      </c>
      <c r="Z8">
        <f>SQRT((X8)^2 + (Y8)^2)</f>
        <v>0.37136654947224201</v>
      </c>
      <c r="AA8">
        <f t="shared" si="8"/>
        <v>5.0347689999999972</v>
      </c>
      <c r="AB8">
        <f t="shared" si="5"/>
        <v>7.443517884711108E-2</v>
      </c>
      <c r="AC8">
        <f t="shared" si="6"/>
        <v>58.060879667805054</v>
      </c>
    </row>
    <row r="9" spans="1:29" x14ac:dyDescent="0.2">
      <c r="A9">
        <v>46137.085306550929</v>
      </c>
      <c r="B9">
        <v>18.243542999999999</v>
      </c>
      <c r="C9">
        <v>18.429508999999999</v>
      </c>
      <c r="D9">
        <v>19.254429999999999</v>
      </c>
      <c r="E9">
        <v>19.502586000000001</v>
      </c>
      <c r="F9">
        <v>32.143514000000003</v>
      </c>
      <c r="G9">
        <v>33.388266000000002</v>
      </c>
      <c r="H9">
        <v>28.233854000000001</v>
      </c>
      <c r="I9">
        <v>25.712132</v>
      </c>
      <c r="J9">
        <v>58.789239999999999</v>
      </c>
      <c r="K9">
        <v>53.759881999999998</v>
      </c>
      <c r="L9">
        <v>207.33273600000001</v>
      </c>
      <c r="M9">
        <v>-622.50040799999999</v>
      </c>
      <c r="N9">
        <v>2.2531479999999999</v>
      </c>
      <c r="O9">
        <v>5.2334959999999997</v>
      </c>
      <c r="P9">
        <f t="shared" si="0"/>
        <v>3.7552466666666663E-5</v>
      </c>
      <c r="Q9" cm="1">
        <f t="array" ref="Q9">[1]!PropsSI("D","T",J9+273.15,"P",101325,"Water")</f>
        <v>983.81436587291137</v>
      </c>
      <c r="R9" cm="1">
        <f t="array" ref="R9">[1]!PropsSI("D","T",K9+273.15,"P",101325,"Water")</f>
        <v>986.28874953278535</v>
      </c>
      <c r="S9">
        <f t="shared" si="1"/>
        <v>985.05155770284841</v>
      </c>
      <c r="T9" cm="1">
        <f t="array" ref="T9">[1]!PropsSI("H","T",J9+273.15,"P",101325,"Water")</f>
        <v>246182.03513563206</v>
      </c>
      <c r="U9" cm="1">
        <f t="array" ref="U9">[1]!PropsSI("H","T",K9+273.15,"P",101325,"Water")</f>
        <v>225141.98858218218</v>
      </c>
      <c r="V9">
        <f t="shared" si="2"/>
        <v>778.2947981927482</v>
      </c>
      <c r="W9" s="3"/>
      <c r="X9">
        <f t="shared" si="3"/>
        <v>0.26757848000000001</v>
      </c>
      <c r="Y9">
        <f t="shared" si="3"/>
        <v>0.25751976399999998</v>
      </c>
      <c r="Z9">
        <f t="shared" ref="Z9:Z72" si="9">SQRT((X9)^2 + (Y9)^2)</f>
        <v>0.3713686467780043</v>
      </c>
      <c r="AA9">
        <f t="shared" si="8"/>
        <v>5.029358000000002</v>
      </c>
      <c r="AB9">
        <f t="shared" si="5"/>
        <v>7.4514230986500354E-2</v>
      </c>
      <c r="AC9">
        <f t="shared" si="6"/>
        <v>57.99403836812612</v>
      </c>
    </row>
    <row r="10" spans="1:29" x14ac:dyDescent="0.2">
      <c r="A10">
        <v>44675.085341275502</v>
      </c>
      <c r="B10">
        <v>17.792482</v>
      </c>
      <c r="C10">
        <v>17.912908999999999</v>
      </c>
      <c r="D10">
        <v>19.241783000000002</v>
      </c>
      <c r="E10">
        <v>19.584800999999999</v>
      </c>
      <c r="F10">
        <v>31.917138000000001</v>
      </c>
      <c r="G10">
        <v>34.697825000000002</v>
      </c>
      <c r="H10">
        <v>28.584381</v>
      </c>
      <c r="I10">
        <v>25.391634</v>
      </c>
      <c r="J10">
        <v>58.786212999999996</v>
      </c>
      <c r="K10">
        <v>53.757973</v>
      </c>
      <c r="L10">
        <v>202.92397700000001</v>
      </c>
      <c r="M10">
        <v>-622.48857199999998</v>
      </c>
      <c r="N10">
        <v>2.2537090000000002</v>
      </c>
      <c r="O10">
        <v>5.2174579999999997</v>
      </c>
      <c r="P10">
        <f t="shared" si="0"/>
        <v>3.7561816666666674E-5</v>
      </c>
      <c r="Q10" cm="1">
        <f t="array" ref="Q10">[1]!PropsSI("D","T",J10+273.15,"P",101325,"Water")</f>
        <v>983.81590134425687</v>
      </c>
      <c r="R10" cm="1">
        <f t="array" ref="R10">[1]!PropsSI("D","T",K10+273.15,"P",101325,"Water")</f>
        <v>986.28965905349696</v>
      </c>
      <c r="S10">
        <f t="shared" si="1"/>
        <v>985.05278019887692</v>
      </c>
      <c r="T10" cm="1">
        <f t="array" ref="T10">[1]!PropsSI("H","T",J10+273.15,"P",101325,"Water")</f>
        <v>246169.36885124515</v>
      </c>
      <c r="U10" cm="1">
        <f t="array" ref="U10">[1]!PropsSI("H","T",K10+273.15,"P",101325,"Water")</f>
        <v>225134.00415278252</v>
      </c>
      <c r="V10">
        <f t="shared" si="2"/>
        <v>778.3163176697816</v>
      </c>
      <c r="X10">
        <f t="shared" si="3"/>
        <v>0.26757242599999997</v>
      </c>
      <c r="Y10">
        <f t="shared" si="3"/>
        <v>0.257515946</v>
      </c>
      <c r="Z10">
        <f t="shared" si="9"/>
        <v>0.3713616372214561</v>
      </c>
      <c r="AA10">
        <f t="shared" si="8"/>
        <v>5.0282399999999967</v>
      </c>
      <c r="AB10">
        <f t="shared" si="5"/>
        <v>7.4529119002046465E-2</v>
      </c>
      <c r="AC10">
        <f t="shared" si="6"/>
        <v>58.00722946084575</v>
      </c>
    </row>
    <row r="11" spans="1:29" x14ac:dyDescent="0.2">
      <c r="A11">
        <v>44675.085376576397</v>
      </c>
      <c r="B11">
        <v>17.782696000000001</v>
      </c>
      <c r="C11">
        <v>18.171028</v>
      </c>
      <c r="D11">
        <v>19.102031</v>
      </c>
      <c r="E11">
        <v>19.423110000000001</v>
      </c>
      <c r="F11">
        <v>32.142198999999998</v>
      </c>
      <c r="G11">
        <v>33.203975</v>
      </c>
      <c r="H11">
        <v>28.559949</v>
      </c>
      <c r="I11">
        <v>26.023461000000001</v>
      </c>
      <c r="J11">
        <v>58.787010000000002</v>
      </c>
      <c r="K11">
        <v>53.756065</v>
      </c>
      <c r="L11">
        <v>202.01259400000001</v>
      </c>
      <c r="M11">
        <v>-622.480817</v>
      </c>
      <c r="N11">
        <v>2.2533729999999998</v>
      </c>
      <c r="O11">
        <v>5.9815800000000001</v>
      </c>
      <c r="P11">
        <f t="shared" si="0"/>
        <v>3.7556216666666668E-5</v>
      </c>
      <c r="Q11" cm="1">
        <f t="array" ref="Q11">[1]!PropsSI("D","T",J11+273.15,"P",101325,"Water")</f>
        <v>983.81549706458134</v>
      </c>
      <c r="R11" cm="1">
        <f t="array" ref="R11">[1]!PropsSI("D","T",K11+273.15,"P",101325,"Water")</f>
        <v>986.29056807485381</v>
      </c>
      <c r="S11">
        <f t="shared" si="1"/>
        <v>985.05303256971752</v>
      </c>
      <c r="T11" cm="1">
        <f t="array" ref="T11">[1]!PropsSI("H","T",J11+273.15,"P",101325,"Water")</f>
        <v>246172.70384547423</v>
      </c>
      <c r="U11" cm="1">
        <f t="array" ref="U11">[1]!PropsSI("H","T",K11+273.15,"P",101325,"Water")</f>
        <v>225126.0239071674</v>
      </c>
      <c r="V11">
        <f t="shared" si="2"/>
        <v>778.61908552769319</v>
      </c>
      <c r="X11">
        <f t="shared" si="3"/>
        <v>0.26757401999999997</v>
      </c>
      <c r="Y11">
        <f t="shared" si="3"/>
        <v>0.25751213000000001</v>
      </c>
      <c r="Z11">
        <f t="shared" si="9"/>
        <v>0.37136013958972131</v>
      </c>
      <c r="AA11">
        <f t="shared" si="8"/>
        <v>5.0309450000000027</v>
      </c>
      <c r="AB11">
        <f t="shared" si="5"/>
        <v>7.4489473382903168E-2</v>
      </c>
      <c r="AC11">
        <f t="shared" si="6"/>
        <v>57.998925646835509</v>
      </c>
    </row>
    <row r="12" spans="1:29" x14ac:dyDescent="0.2">
      <c r="A12">
        <v>44675.085411298598</v>
      </c>
      <c r="B12">
        <v>17.588732</v>
      </c>
      <c r="C12">
        <v>17.931795999999999</v>
      </c>
      <c r="D12">
        <v>19.038276</v>
      </c>
      <c r="E12">
        <v>19.38531</v>
      </c>
      <c r="F12">
        <v>31.83924</v>
      </c>
      <c r="G12">
        <v>34.579394999999998</v>
      </c>
      <c r="H12">
        <v>28.105606999999999</v>
      </c>
      <c r="I12">
        <v>25.092006000000001</v>
      </c>
      <c r="J12">
        <v>58.785257000000001</v>
      </c>
      <c r="K12">
        <v>53.750656999999997</v>
      </c>
      <c r="L12">
        <v>195.02029099999999</v>
      </c>
      <c r="M12">
        <v>-622.50653</v>
      </c>
      <c r="N12">
        <v>2.251795</v>
      </c>
      <c r="O12">
        <v>5.5302870000000004</v>
      </c>
      <c r="P12">
        <f t="shared" si="0"/>
        <v>3.7529916666666665E-5</v>
      </c>
      <c r="Q12" cm="1">
        <f t="array" ref="Q12">[1]!PropsSI("D","T",J12+273.15,"P",101325,"Water")</f>
        <v>983.816386271959</v>
      </c>
      <c r="R12" cm="1">
        <f t="array" ref="R12">[1]!PropsSI("D","T",K12+273.15,"P",101325,"Water")</f>
        <v>986.29314446380579</v>
      </c>
      <c r="S12">
        <f t="shared" si="1"/>
        <v>985.0547653678824</v>
      </c>
      <c r="T12" cm="1">
        <f t="array" ref="T12">[1]!PropsSI("H","T",J12+273.15,"P",101325,"Water")</f>
        <v>246165.3685323204</v>
      </c>
      <c r="U12" cm="1">
        <f t="array" ref="U12">[1]!PropsSI("H","T",K12+273.15,"P",101325,"Water")</f>
        <v>225103.40485292955</v>
      </c>
      <c r="V12">
        <f t="shared" si="2"/>
        <v>778.64022508799951</v>
      </c>
      <c r="X12">
        <f t="shared" si="3"/>
        <v>0.26757051399999998</v>
      </c>
      <c r="Y12">
        <f t="shared" si="3"/>
        <v>0.25750131399999998</v>
      </c>
      <c r="Z12">
        <f t="shared" si="9"/>
        <v>0.37135011333504503</v>
      </c>
      <c r="AA12">
        <f t="shared" si="8"/>
        <v>5.0346000000000046</v>
      </c>
      <c r="AB12">
        <f t="shared" si="5"/>
        <v>7.4434397328267593E-2</v>
      </c>
      <c r="AC12">
        <f t="shared" si="6"/>
        <v>57.957615889971869</v>
      </c>
    </row>
    <row r="13" spans="1:29" x14ac:dyDescent="0.2">
      <c r="A13">
        <v>44675.085446599602</v>
      </c>
      <c r="B13">
        <v>17.399246999999999</v>
      </c>
      <c r="C13">
        <v>17.601317999999999</v>
      </c>
      <c r="D13">
        <v>19.076080000000001</v>
      </c>
      <c r="E13">
        <v>19.430983999999999</v>
      </c>
      <c r="F13">
        <v>31.793845999999998</v>
      </c>
      <c r="G13">
        <v>34.010770000000001</v>
      </c>
      <c r="H13">
        <v>27.832673</v>
      </c>
      <c r="I13">
        <v>25.375520000000002</v>
      </c>
      <c r="J13">
        <v>58.782231000000003</v>
      </c>
      <c r="K13">
        <v>53.743181</v>
      </c>
      <c r="L13">
        <v>203.072541</v>
      </c>
      <c r="M13">
        <v>-622.51591800000006</v>
      </c>
      <c r="N13">
        <v>2.2512379999999999</v>
      </c>
      <c r="O13">
        <v>5.4704969999999999</v>
      </c>
      <c r="P13">
        <f t="shared" si="0"/>
        <v>3.7520633333333335E-5</v>
      </c>
      <c r="Q13" cm="1">
        <f t="array" ref="Q13">[1]!PropsSI("D","T",J13+273.15,"P",101325,"Water")</f>
        <v>983.81792116404176</v>
      </c>
      <c r="R13" cm="1">
        <f t="array" ref="R13">[1]!PropsSI("D","T",K13+273.15,"P",101325,"Water")</f>
        <v>986.29670575178704</v>
      </c>
      <c r="S13">
        <f t="shared" si="1"/>
        <v>985.05731345791446</v>
      </c>
      <c r="T13" cm="1">
        <f t="array" ref="T13">[1]!PropsSI("H","T",J13+273.15,"P",101325,"Water")</f>
        <v>246152.7064374084</v>
      </c>
      <c r="U13" cm="1">
        <f t="array" ref="U13">[1]!PropsSI("H","T",K13+273.15,"P",101325,"Water")</f>
        <v>225072.13636918698</v>
      </c>
      <c r="V13">
        <f t="shared" si="2"/>
        <v>779.13732733047107</v>
      </c>
      <c r="X13">
        <f t="shared" si="3"/>
        <v>0.267564462</v>
      </c>
      <c r="Y13">
        <f t="shared" si="3"/>
        <v>0.25748636199999997</v>
      </c>
      <c r="Z13">
        <f t="shared" si="9"/>
        <v>0.37133538471487532</v>
      </c>
      <c r="AA13">
        <f t="shared" si="8"/>
        <v>5.0390500000000031</v>
      </c>
      <c r="AB13">
        <f t="shared" si="5"/>
        <v>7.4366954672723889E-2</v>
      </c>
      <c r="AC13">
        <f t="shared" si="6"/>
        <v>57.942070305412379</v>
      </c>
    </row>
    <row r="14" spans="1:29" x14ac:dyDescent="0.2">
      <c r="A14">
        <v>44675.085481900504</v>
      </c>
      <c r="B14">
        <v>17.505310999999999</v>
      </c>
      <c r="C14">
        <v>17.849419000000001</v>
      </c>
      <c r="D14">
        <v>19.050118000000001</v>
      </c>
      <c r="E14">
        <v>19.384699999999999</v>
      </c>
      <c r="F14">
        <v>31.516864999999999</v>
      </c>
      <c r="G14">
        <v>31.774118999999999</v>
      </c>
      <c r="H14">
        <v>28.650435000000002</v>
      </c>
      <c r="I14">
        <v>25.665502</v>
      </c>
      <c r="J14">
        <v>58.781433999999997</v>
      </c>
      <c r="K14">
        <v>53.735863999999999</v>
      </c>
      <c r="L14">
        <v>192.84815499999999</v>
      </c>
      <c r="M14">
        <v>-622.47224600000004</v>
      </c>
      <c r="N14">
        <v>2.2525740000000001</v>
      </c>
      <c r="O14">
        <v>4.9509499999999997</v>
      </c>
      <c r="P14">
        <f t="shared" si="0"/>
        <v>3.7542900000000003E-5</v>
      </c>
      <c r="Q14" cm="1">
        <f t="array" ref="Q14">[1]!PropsSI("D","T",J14+273.15,"P",101325,"Water")</f>
        <v>983.81832542095913</v>
      </c>
      <c r="R14" cm="1">
        <f t="array" ref="R14">[1]!PropsSI("D","T",K14+273.15,"P",101325,"Water")</f>
        <v>986.30019095756404</v>
      </c>
      <c r="S14">
        <f t="shared" si="1"/>
        <v>985.05925818926153</v>
      </c>
      <c r="T14" cm="1">
        <f t="array" ref="T14">[1]!PropsSI("H","T",J14+273.15,"P",101325,"Water")</f>
        <v>246149.37144479252</v>
      </c>
      <c r="U14" cm="1">
        <f t="array" ref="U14">[1]!PropsSI("H","T",K14+273.15,"P",101325,"Water")</f>
        <v>225041.53292390693</v>
      </c>
      <c r="V14">
        <f t="shared" si="2"/>
        <v>780.60968786439059</v>
      </c>
      <c r="X14">
        <f t="shared" si="3"/>
        <v>0.26756286800000001</v>
      </c>
      <c r="Y14">
        <f t="shared" si="3"/>
        <v>0.25747172800000001</v>
      </c>
      <c r="Z14">
        <f t="shared" si="9"/>
        <v>0.37132408897308483</v>
      </c>
      <c r="AA14">
        <f t="shared" si="8"/>
        <v>5.0455699999999979</v>
      </c>
      <c r="AB14">
        <f t="shared" si="5"/>
        <v>7.427037638172046E-2</v>
      </c>
      <c r="AC14">
        <f t="shared" si="6"/>
        <v>57.976175324905618</v>
      </c>
    </row>
    <row r="15" spans="1:29" x14ac:dyDescent="0.2">
      <c r="A15">
        <v>46137.085517199077</v>
      </c>
      <c r="B15">
        <v>17.437691000000001</v>
      </c>
      <c r="C15">
        <v>18.096924999999999</v>
      </c>
      <c r="D15">
        <v>19.059982999999999</v>
      </c>
      <c r="E15">
        <v>19.296517000000001</v>
      </c>
      <c r="F15">
        <v>31.714590999999999</v>
      </c>
      <c r="G15">
        <v>33.852836000000003</v>
      </c>
      <c r="H15">
        <v>28.318750999999999</v>
      </c>
      <c r="I15">
        <v>25.392636</v>
      </c>
      <c r="J15">
        <v>58.779045000000004</v>
      </c>
      <c r="K15">
        <v>53.730615</v>
      </c>
      <c r="L15">
        <v>200.692252</v>
      </c>
      <c r="M15">
        <v>-622.47836800000005</v>
      </c>
      <c r="N15">
        <v>2.250324</v>
      </c>
      <c r="O15">
        <v>5.4680059999999999</v>
      </c>
      <c r="P15">
        <f t="shared" ref="P15:P47" si="10" xml:space="preserve"> N15*0.001/60</f>
        <v>3.7505400000000002E-5</v>
      </c>
      <c r="Q15" cm="1">
        <f t="array" ref="Q15">[1]!PropsSI("D","T",J15+273.15,"P",101325,"Water")</f>
        <v>983.81953715454654</v>
      </c>
      <c r="R15" cm="1">
        <f t="array" ref="R15">[1]!PropsSI("D","T",K15+273.15,"P",101325,"Water")</f>
        <v>986.30269093390405</v>
      </c>
      <c r="S15">
        <f t="shared" ref="S15:S47" si="11">(Q15+R15)/2</f>
        <v>985.06111404422529</v>
      </c>
      <c r="T15" cm="1">
        <f t="array" ref="T15">[1]!PropsSI("H","T",J15+273.15,"P",101325,"Water")</f>
        <v>246139.3748373249</v>
      </c>
      <c r="U15" cm="1">
        <f t="array" ref="U15">[1]!PropsSI("H","T",K15+273.15,"P",101325,"Water")</f>
        <v>225019.57892613354</v>
      </c>
      <c r="V15">
        <f t="shared" ref="V15:V47" si="12">S15*P15*(T15-U15)</f>
        <v>780.2732064892499</v>
      </c>
      <c r="X15">
        <f t="shared" ref="X15:X47" si="13">(0.15+0.002*ABS(J15))</f>
        <v>0.26755808999999997</v>
      </c>
      <c r="Y15">
        <f t="shared" ref="Y15:Y47" si="14">(0.15+0.002*ABS(K15))</f>
        <v>0.25746122999999999</v>
      </c>
      <c r="Z15">
        <f t="shared" ref="Z15:Z47" si="15">SQRT((X15)^2 + (Y15)^2)</f>
        <v>0.37131336695244488</v>
      </c>
      <c r="AA15">
        <f t="shared" ref="AA15:AA47" si="16">J15-K15</f>
        <v>5.0484300000000033</v>
      </c>
      <c r="AB15">
        <f t="shared" ref="AB15:AB47" si="17">SQRT((0.01)^2 + (Z15/ABS(AA15))^2)</f>
        <v>7.4226959777883933E-2</v>
      </c>
      <c r="AC15">
        <f t="shared" ref="AC15:AC47" si="18">ABS(V15*AB15)</f>
        <v>57.91730791383808</v>
      </c>
    </row>
    <row r="16" spans="1:29" x14ac:dyDescent="0.2">
      <c r="A16">
        <v>46137.085551921293</v>
      </c>
      <c r="B16">
        <v>17.588304999999998</v>
      </c>
      <c r="C16">
        <v>17.986353000000001</v>
      </c>
      <c r="D16">
        <v>18.989488999999999</v>
      </c>
      <c r="E16">
        <v>19.380516</v>
      </c>
      <c r="F16">
        <v>31.864691000000001</v>
      </c>
      <c r="G16">
        <v>32.845162999999999</v>
      </c>
      <c r="H16">
        <v>28.333027000000001</v>
      </c>
      <c r="I16">
        <v>25.161445000000001</v>
      </c>
      <c r="J16">
        <v>58.777611</v>
      </c>
      <c r="K16">
        <v>53.724093000000003</v>
      </c>
      <c r="L16">
        <v>197.68423899999999</v>
      </c>
      <c r="M16">
        <v>-622.51469299999997</v>
      </c>
      <c r="N16">
        <v>2.2517870000000002</v>
      </c>
      <c r="O16">
        <v>5.4270360000000002</v>
      </c>
      <c r="P16">
        <f t="shared" si="10"/>
        <v>3.7529783333333338E-5</v>
      </c>
      <c r="Q16" cm="1">
        <f t="array" ref="Q16">[1]!PropsSI("D","T",J16+273.15,"P",101325,"Water")</f>
        <v>983.82026448262707</v>
      </c>
      <c r="R16" cm="1">
        <f t="array" ref="R16">[1]!PropsSI("D","T",K16+273.15,"P",101325,"Water")</f>
        <v>986.30579696896984</v>
      </c>
      <c r="S16">
        <f t="shared" si="11"/>
        <v>985.0630307257984</v>
      </c>
      <c r="T16" cm="1">
        <f t="array" ref="T16">[1]!PropsSI("H","T",J16+273.15,"P",101325,"Water")</f>
        <v>246133.37436339652</v>
      </c>
      <c r="U16" cm="1">
        <f t="array" ref="U16">[1]!PropsSI("H","T",K16+273.15,"P",101325,"Water")</f>
        <v>224992.30060558047</v>
      </c>
      <c r="V16">
        <f t="shared" si="12"/>
        <v>781.56862863464971</v>
      </c>
      <c r="X16">
        <f t="shared" si="13"/>
        <v>0.26755522199999998</v>
      </c>
      <c r="Y16">
        <f t="shared" si="14"/>
        <v>0.25744818600000002</v>
      </c>
      <c r="Z16">
        <f t="shared" si="15"/>
        <v>0.37130225597774097</v>
      </c>
      <c r="AA16">
        <f t="shared" si="16"/>
        <v>5.0535179999999968</v>
      </c>
      <c r="AB16">
        <f t="shared" si="17"/>
        <v>7.415140484684056E-2</v>
      </c>
      <c r="AC16">
        <f t="shared" si="18"/>
        <v>57.954411797477896</v>
      </c>
    </row>
    <row r="17" spans="1:29" x14ac:dyDescent="0.2">
      <c r="A17">
        <v>46137.085587222224</v>
      </c>
      <c r="B17">
        <v>17.576333999999999</v>
      </c>
      <c r="C17">
        <v>17.887438</v>
      </c>
      <c r="D17">
        <v>19.036328999999999</v>
      </c>
      <c r="E17">
        <v>19.387936</v>
      </c>
      <c r="F17">
        <v>31.705099000000001</v>
      </c>
      <c r="G17">
        <v>33.275688000000002</v>
      </c>
      <c r="H17">
        <v>27.910148</v>
      </c>
      <c r="I17">
        <v>25.417863000000001</v>
      </c>
      <c r="J17">
        <v>58.777451999999997</v>
      </c>
      <c r="K17">
        <v>53.722343000000002</v>
      </c>
      <c r="L17">
        <v>212.21942999999999</v>
      </c>
      <c r="M17">
        <v>-622.49428599999999</v>
      </c>
      <c r="N17">
        <v>2.2533280000000002</v>
      </c>
      <c r="O17">
        <v>5.3779960000000004</v>
      </c>
      <c r="P17">
        <f t="shared" si="10"/>
        <v>3.755546666666667E-5</v>
      </c>
      <c r="Q17" cm="1">
        <f t="array" ref="Q17">[1]!PropsSI("D","T",J17+273.15,"P",101325,"Water")</f>
        <v>983.82034512705036</v>
      </c>
      <c r="R17" cm="1">
        <f t="array" ref="R17">[1]!PropsSI("D","T",K17+273.15,"P",101325,"Water")</f>
        <v>986.30663034281224</v>
      </c>
      <c r="S17">
        <f t="shared" si="11"/>
        <v>985.0634877349313</v>
      </c>
      <c r="T17" cm="1">
        <f t="array" ref="T17">[1]!PropsSI("H","T",J17+273.15,"P",101325,"Water")</f>
        <v>246132.70903890146</v>
      </c>
      <c r="U17" cm="1">
        <f t="array" ref="U17">[1]!PropsSI("H","T",K17+273.15,"P",101325,"Water")</f>
        <v>224984.98121818501</v>
      </c>
      <c r="V17">
        <f t="shared" si="12"/>
        <v>782.35001820887192</v>
      </c>
      <c r="X17">
        <f t="shared" si="13"/>
        <v>0.26755490399999998</v>
      </c>
      <c r="Y17">
        <f t="shared" si="14"/>
        <v>0.25744468600000003</v>
      </c>
      <c r="Z17">
        <f t="shared" si="15"/>
        <v>0.37129960005915413</v>
      </c>
      <c r="AA17">
        <f t="shared" si="16"/>
        <v>5.0551089999999945</v>
      </c>
      <c r="AB17">
        <f t="shared" si="17"/>
        <v>7.4127971012997285E-2</v>
      </c>
      <c r="AC17">
        <f t="shared" si="18"/>
        <v>57.994019471805153</v>
      </c>
    </row>
    <row r="18" spans="1:29" x14ac:dyDescent="0.2">
      <c r="A18">
        <v>46137.085622523147</v>
      </c>
      <c r="B18">
        <v>17.619070000000001</v>
      </c>
      <c r="C18">
        <v>17.708735000000001</v>
      </c>
      <c r="D18">
        <v>19.069637</v>
      </c>
      <c r="E18">
        <v>19.377821999999998</v>
      </c>
      <c r="F18">
        <v>31.767087</v>
      </c>
      <c r="G18">
        <v>34.459980999999999</v>
      </c>
      <c r="H18">
        <v>28.036818</v>
      </c>
      <c r="I18">
        <v>25.42248</v>
      </c>
      <c r="J18">
        <v>58.776176999999997</v>
      </c>
      <c r="K18">
        <v>53.720435000000002</v>
      </c>
      <c r="L18">
        <v>200.18125699999999</v>
      </c>
      <c r="M18">
        <v>-622.493878</v>
      </c>
      <c r="N18">
        <v>2.2518859999999998</v>
      </c>
      <c r="O18">
        <v>5.4363000000000001</v>
      </c>
      <c r="P18">
        <f t="shared" si="10"/>
        <v>3.7531433333333331E-5</v>
      </c>
      <c r="Q18" cm="1">
        <f t="array" ref="Q18">[1]!PropsSI("D","T",J18+273.15,"P",101325,"Water")</f>
        <v>983.82099179844465</v>
      </c>
      <c r="R18" cm="1">
        <f t="array" ref="R18">[1]!PropsSI("D","T",K18+273.15,"P",101325,"Water")</f>
        <v>986.30753893647102</v>
      </c>
      <c r="S18">
        <f t="shared" si="11"/>
        <v>985.06426536745789</v>
      </c>
      <c r="T18" cm="1">
        <f t="array" ref="T18">[1]!PropsSI("H","T",J18+273.15,"P",101325,"Water")</f>
        <v>246127.37389022403</v>
      </c>
      <c r="U18" cm="1">
        <f t="array" ref="U18">[1]!PropsSI("H","T",K18+273.15,"P",101325,"Water")</f>
        <v>224977.00099581189</v>
      </c>
      <c r="V18">
        <f t="shared" si="12"/>
        <v>781.94776720139896</v>
      </c>
      <c r="X18">
        <f t="shared" si="13"/>
        <v>0.26755235399999999</v>
      </c>
      <c r="Y18">
        <f t="shared" si="14"/>
        <v>0.25744086999999999</v>
      </c>
      <c r="Z18">
        <f t="shared" si="15"/>
        <v>0.3712951166892694</v>
      </c>
      <c r="AA18">
        <f t="shared" si="16"/>
        <v>5.0557419999999951</v>
      </c>
      <c r="AB18">
        <f t="shared" si="17"/>
        <v>7.4117980115295981E-2</v>
      </c>
      <c r="AC18">
        <f t="shared" si="18"/>
        <v>57.956389060633377</v>
      </c>
    </row>
    <row r="19" spans="1:29" x14ac:dyDescent="0.2">
      <c r="A19">
        <v>46137.085657824071</v>
      </c>
      <c r="B19">
        <v>17.543558000000001</v>
      </c>
      <c r="C19">
        <v>17.660931999999999</v>
      </c>
      <c r="D19">
        <v>19.004142999999999</v>
      </c>
      <c r="E19">
        <v>19.323519999999998</v>
      </c>
      <c r="F19">
        <v>31.828664</v>
      </c>
      <c r="G19">
        <v>32.703764999999997</v>
      </c>
      <c r="H19">
        <v>27.696515000000002</v>
      </c>
      <c r="I19">
        <v>25.165848</v>
      </c>
      <c r="J19">
        <v>58.775858999999997</v>
      </c>
      <c r="K19">
        <v>53.719479999999997</v>
      </c>
      <c r="L19">
        <v>204.331661</v>
      </c>
      <c r="M19">
        <v>-622.49183700000003</v>
      </c>
      <c r="N19">
        <v>2.2510129999999999</v>
      </c>
      <c r="O19">
        <v>5.2310049999999997</v>
      </c>
      <c r="P19">
        <f t="shared" si="10"/>
        <v>3.7516883333333337E-5</v>
      </c>
      <c r="Q19" cm="1">
        <f t="array" ref="Q19">[1]!PropsSI("D","T",J19+273.15,"P",101325,"Water")</f>
        <v>983.82115308438642</v>
      </c>
      <c r="R19" cm="1">
        <f t="array" ref="R19">[1]!PropsSI("D","T",K19+273.15,"P",101325,"Water")</f>
        <v>986.3079937008896</v>
      </c>
      <c r="S19">
        <f t="shared" si="11"/>
        <v>985.06457339263807</v>
      </c>
      <c r="T19" cm="1">
        <f t="array" ref="T19">[1]!PropsSI("H","T",J19+273.15,"P",101325,"Water")</f>
        <v>246126.04324155449</v>
      </c>
      <c r="U19" cm="1">
        <f t="array" ref="U19">[1]!PropsSI("H","T",K19+273.15,"P",101325,"Water")</f>
        <v>224973.00670259673</v>
      </c>
      <c r="V19">
        <f t="shared" si="12"/>
        <v>781.74330910450919</v>
      </c>
      <c r="X19">
        <f t="shared" si="13"/>
        <v>0.26755171799999999</v>
      </c>
      <c r="Y19">
        <f t="shared" si="14"/>
        <v>0.25743895999999999</v>
      </c>
      <c r="Z19">
        <f t="shared" si="15"/>
        <v>0.37129333407783277</v>
      </c>
      <c r="AA19">
        <f t="shared" si="16"/>
        <v>5.0563789999999997</v>
      </c>
      <c r="AB19">
        <f t="shared" si="17"/>
        <v>7.4108463430020061E-2</v>
      </c>
      <c r="AC19">
        <f t="shared" si="18"/>
        <v>57.933795434434387</v>
      </c>
    </row>
    <row r="20" spans="1:29" x14ac:dyDescent="0.2">
      <c r="A20">
        <v>46137.085693125002</v>
      </c>
      <c r="B20">
        <v>17.151848000000001</v>
      </c>
      <c r="C20">
        <v>17.376280999999999</v>
      </c>
      <c r="D20">
        <v>18.929338000000001</v>
      </c>
      <c r="E20">
        <v>19.211704000000001</v>
      </c>
      <c r="F20">
        <v>31.594579</v>
      </c>
      <c r="G20">
        <v>33.584321000000003</v>
      </c>
      <c r="H20">
        <v>28.450402</v>
      </c>
      <c r="I20">
        <v>25.535784</v>
      </c>
      <c r="J20">
        <v>58.771717000000002</v>
      </c>
      <c r="K20">
        <v>53.715344999999999</v>
      </c>
      <c r="L20">
        <v>198.25155799999999</v>
      </c>
      <c r="M20">
        <v>-622.48693900000001</v>
      </c>
      <c r="N20">
        <v>2.2491650000000001</v>
      </c>
      <c r="O20">
        <v>5.8210420000000003</v>
      </c>
      <c r="P20">
        <f t="shared" si="10"/>
        <v>3.7486083333333337E-5</v>
      </c>
      <c r="Q20" cm="1">
        <f t="array" ref="Q20">[1]!PropsSI("D","T",J20+273.15,"P",101325,"Water")</f>
        <v>983.82325380391035</v>
      </c>
      <c r="R20" cm="1">
        <f t="array" ref="R20">[1]!PropsSI("D","T",K20+273.15,"P",101325,"Water")</f>
        <v>986.30996269318587</v>
      </c>
      <c r="S20">
        <f t="shared" si="11"/>
        <v>985.06660824854816</v>
      </c>
      <c r="T20" cm="1">
        <f t="array" ref="T20">[1]!PropsSI("H","T",J20+273.15,"P",101325,"Water")</f>
        <v>246108.71133644204</v>
      </c>
      <c r="U20" cm="1">
        <f t="array" ref="U20">[1]!PropsSI("H","T",K20+273.15,"P",101325,"Water")</f>
        <v>224955.71204397781</v>
      </c>
      <c r="V20">
        <f t="shared" si="12"/>
        <v>781.10176436455117</v>
      </c>
      <c r="X20">
        <f t="shared" si="13"/>
        <v>0.26754343400000002</v>
      </c>
      <c r="Y20">
        <f t="shared" si="14"/>
        <v>0.25743068999999996</v>
      </c>
      <c r="Z20">
        <f t="shared" si="15"/>
        <v>0.37128163061265024</v>
      </c>
      <c r="AA20">
        <f t="shared" si="16"/>
        <v>5.0563720000000032</v>
      </c>
      <c r="AB20">
        <f t="shared" si="17"/>
        <v>7.4106270729372092E-2</v>
      </c>
      <c r="AC20">
        <f t="shared" si="18"/>
        <v>57.884538817189636</v>
      </c>
    </row>
    <row r="21" spans="1:29" x14ac:dyDescent="0.2">
      <c r="A21">
        <v>46137.085727847225</v>
      </c>
      <c r="B21">
        <v>16.94117</v>
      </c>
      <c r="C21">
        <v>16.999288</v>
      </c>
      <c r="D21">
        <v>18.830338999999999</v>
      </c>
      <c r="E21">
        <v>19.145803999999998</v>
      </c>
      <c r="F21">
        <v>31.196742</v>
      </c>
      <c r="G21">
        <v>33.905451999999997</v>
      </c>
      <c r="H21">
        <v>27.746109000000001</v>
      </c>
      <c r="I21">
        <v>25.561295999999999</v>
      </c>
      <c r="J21">
        <v>58.770124000000003</v>
      </c>
      <c r="K21">
        <v>53.702938000000003</v>
      </c>
      <c r="L21">
        <v>206.49889999999999</v>
      </c>
      <c r="M21">
        <v>-622.48122499999999</v>
      </c>
      <c r="N21">
        <v>2.2546520000000001</v>
      </c>
      <c r="O21">
        <v>5.5581050000000003</v>
      </c>
      <c r="P21">
        <f t="shared" si="10"/>
        <v>3.7577533333333337E-5</v>
      </c>
      <c r="Q21" cm="1">
        <f t="array" ref="Q21">[1]!PropsSI("D","T",J21+273.15,"P",101325,"Water")</f>
        <v>983.82406170666832</v>
      </c>
      <c r="R21" cm="1">
        <f t="array" ref="R21">[1]!PropsSI("D","T",K21+273.15,"P",101325,"Water")</f>
        <v>986.31586997660713</v>
      </c>
      <c r="S21">
        <f t="shared" si="11"/>
        <v>985.06996584163767</v>
      </c>
      <c r="T21" cm="1">
        <f t="array" ref="T21">[1]!PropsSI("H","T",J21+273.15,"P",101325,"Water")</f>
        <v>246102.04554289192</v>
      </c>
      <c r="U21" cm="1">
        <f t="array" ref="U21">[1]!PropsSI("H","T",K21+273.15,"P",101325,"Water")</f>
        <v>224903.81973810762</v>
      </c>
      <c r="V21">
        <f t="shared" si="12"/>
        <v>784.68411441781495</v>
      </c>
      <c r="X21">
        <f t="shared" si="13"/>
        <v>0.26754024799999998</v>
      </c>
      <c r="Y21">
        <f t="shared" si="14"/>
        <v>0.25740587599999998</v>
      </c>
      <c r="Z21">
        <f t="shared" si="15"/>
        <v>0.371262130171162</v>
      </c>
      <c r="AA21">
        <f t="shared" si="16"/>
        <v>5.0671859999999995</v>
      </c>
      <c r="AB21">
        <f t="shared" si="17"/>
        <v>7.3947188616622209E-2</v>
      </c>
      <c r="AC21">
        <f t="shared" si="18"/>
        <v>58.025184213321324</v>
      </c>
    </row>
    <row r="22" spans="1:29" x14ac:dyDescent="0.2">
      <c r="A22">
        <v>46137.085762569448</v>
      </c>
      <c r="B22">
        <v>17.079149000000001</v>
      </c>
      <c r="C22">
        <v>17.365262999999999</v>
      </c>
      <c r="D22">
        <v>18.854541999999999</v>
      </c>
      <c r="E22">
        <v>19.045971000000002</v>
      </c>
      <c r="F22">
        <v>31.466460999999999</v>
      </c>
      <c r="G22">
        <v>32.738109999999999</v>
      </c>
      <c r="H22">
        <v>27.943648</v>
      </c>
      <c r="I22">
        <v>25.690211000000001</v>
      </c>
      <c r="J22">
        <v>58.768211999999998</v>
      </c>
      <c r="K22">
        <v>53.690689999999996</v>
      </c>
      <c r="L22">
        <v>195.61291399999999</v>
      </c>
      <c r="M22">
        <v>-622.49102100000005</v>
      </c>
      <c r="N22">
        <v>2.2499880000000001</v>
      </c>
      <c r="O22">
        <v>5.8843399999999999</v>
      </c>
      <c r="P22">
        <f t="shared" si="10"/>
        <v>3.7499800000000003E-5</v>
      </c>
      <c r="Q22" cm="1">
        <f t="array" ref="Q22">[1]!PropsSI("D","T",J22+273.15,"P",101325,"Water")</f>
        <v>983.82503137280185</v>
      </c>
      <c r="R22" cm="1">
        <f t="array" ref="R22">[1]!PropsSI("D","T",K22+273.15,"P",101325,"Water")</f>
        <v>986.3217006058278</v>
      </c>
      <c r="S22">
        <f t="shared" si="11"/>
        <v>985.07336598931488</v>
      </c>
      <c r="T22" cm="1">
        <f t="array" ref="T22">[1]!PropsSI("H","T",J22+273.15,"P",101325,"Water")</f>
        <v>246094.04491826313</v>
      </c>
      <c r="U22" cm="1">
        <f t="array" ref="U22">[1]!PropsSI("H","T",K22+273.15,"P",101325,"Water")</f>
        <v>224852.59250170924</v>
      </c>
      <c r="V22">
        <f t="shared" si="12"/>
        <v>784.66040376506669</v>
      </c>
      <c r="X22">
        <f t="shared" si="13"/>
        <v>0.26753642399999999</v>
      </c>
      <c r="Y22">
        <f t="shared" si="14"/>
        <v>0.25738137999999999</v>
      </c>
      <c r="Z22">
        <f t="shared" si="15"/>
        <v>0.37124239108352397</v>
      </c>
      <c r="AA22">
        <f t="shared" si="16"/>
        <v>5.0775220000000019</v>
      </c>
      <c r="AB22">
        <f t="shared" si="17"/>
        <v>7.3795562758770389E-2</v>
      </c>
      <c r="AC22">
        <f t="shared" si="18"/>
        <v>57.90445607036709</v>
      </c>
    </row>
    <row r="23" spans="1:29" x14ac:dyDescent="0.2">
      <c r="A23">
        <v>46137.085797870372</v>
      </c>
      <c r="B23">
        <v>17.255405</v>
      </c>
      <c r="C23">
        <v>17.453987999999999</v>
      </c>
      <c r="D23">
        <v>18.803114000000001</v>
      </c>
      <c r="E23">
        <v>19.046496000000001</v>
      </c>
      <c r="F23">
        <v>31.275812999999999</v>
      </c>
      <c r="G23">
        <v>32.922113000000003</v>
      </c>
      <c r="H23">
        <v>27.777493</v>
      </c>
      <c r="I23">
        <v>25.15192</v>
      </c>
      <c r="J23">
        <v>58.766140999999998</v>
      </c>
      <c r="K23">
        <v>53.682419000000003</v>
      </c>
      <c r="L23">
        <v>196.75449</v>
      </c>
      <c r="M23">
        <v>-622.48938799999996</v>
      </c>
      <c r="N23">
        <v>2.255045</v>
      </c>
      <c r="O23">
        <v>5.2161619999999997</v>
      </c>
      <c r="P23">
        <f t="shared" si="10"/>
        <v>3.7584083333333335E-5</v>
      </c>
      <c r="Q23" cm="1">
        <f t="array" ref="Q23">[1]!PropsSI("D","T",J23+273.15,"P",101325,"Water")</f>
        <v>983.82608165074362</v>
      </c>
      <c r="R23" cm="1">
        <f t="array" ref="R23">[1]!PropsSI("D","T",K23+273.15,"P",101325,"Water")</f>
        <v>986.32563746016444</v>
      </c>
      <c r="S23">
        <f t="shared" si="11"/>
        <v>985.07585955545403</v>
      </c>
      <c r="T23" cm="1">
        <f t="array" ref="T23">[1]!PropsSI("H","T",J23+273.15,"P",101325,"Water")</f>
        <v>246085.37897146211</v>
      </c>
      <c r="U23" cm="1">
        <f t="array" ref="U23">[1]!PropsSI("H","T",K23+273.15,"P",101325,"Water")</f>
        <v>224817.99908917741</v>
      </c>
      <c r="V23">
        <f t="shared" si="12"/>
        <v>787.38588878966539</v>
      </c>
      <c r="X23">
        <f t="shared" si="13"/>
        <v>0.26753228200000001</v>
      </c>
      <c r="Y23">
        <f t="shared" si="14"/>
        <v>0.25736483799999998</v>
      </c>
      <c r="Z23">
        <f t="shared" si="15"/>
        <v>0.37122793772949492</v>
      </c>
      <c r="AA23">
        <f t="shared" si="16"/>
        <v>5.0837219999999945</v>
      </c>
      <c r="AB23">
        <f t="shared" si="17"/>
        <v>7.3704400107595464E-2</v>
      </c>
      <c r="AC23">
        <f t="shared" si="18"/>
        <v>58.033804586428161</v>
      </c>
    </row>
    <row r="24" spans="1:29" x14ac:dyDescent="0.2">
      <c r="A24">
        <v>46137.085832592595</v>
      </c>
      <c r="B24">
        <v>17.483844999999999</v>
      </c>
      <c r="C24">
        <v>17.650997</v>
      </c>
      <c r="D24">
        <v>18.860783000000001</v>
      </c>
      <c r="E24">
        <v>19.277367999999999</v>
      </c>
      <c r="F24">
        <v>31.201322999999999</v>
      </c>
      <c r="G24">
        <v>32.188544</v>
      </c>
      <c r="H24">
        <v>28.439574</v>
      </c>
      <c r="I24">
        <v>25.595907</v>
      </c>
      <c r="J24">
        <v>58.765186</v>
      </c>
      <c r="K24">
        <v>53.681783000000003</v>
      </c>
      <c r="L24">
        <v>209.20447899999999</v>
      </c>
      <c r="M24">
        <v>-622.519183</v>
      </c>
      <c r="N24">
        <v>2.2561680000000002</v>
      </c>
      <c r="O24">
        <v>5.8773</v>
      </c>
      <c r="P24">
        <f t="shared" si="10"/>
        <v>3.7602800000000005E-5</v>
      </c>
      <c r="Q24" cm="1">
        <f t="array" ref="Q24">[1]!PropsSI("D","T",J24+273.15,"P",101325,"Water")</f>
        <v>983.82656595666606</v>
      </c>
      <c r="R24" cm="1">
        <f t="array" ref="R24">[1]!PropsSI("D","T",K24+273.15,"P",101325,"Water")</f>
        <v>986.32594016744031</v>
      </c>
      <c r="S24">
        <f t="shared" si="11"/>
        <v>985.07625306205318</v>
      </c>
      <c r="T24" cm="1">
        <f t="array" ref="T24">[1]!PropsSI("H","T",J24+273.15,"P",101325,"Water")</f>
        <v>246081.38284493354</v>
      </c>
      <c r="U24" cm="1">
        <f t="array" ref="U24">[1]!PropsSI("H","T",K24+273.15,"P",101325,"Water")</f>
        <v>224815.33902358118</v>
      </c>
      <c r="V24">
        <f t="shared" si="12"/>
        <v>787.7288274530116</v>
      </c>
      <c r="X24">
        <f t="shared" si="13"/>
        <v>0.26753037200000002</v>
      </c>
      <c r="Y24">
        <f t="shared" si="14"/>
        <v>0.25736356599999999</v>
      </c>
      <c r="Z24">
        <f t="shared" si="15"/>
        <v>0.37122567940094708</v>
      </c>
      <c r="AA24">
        <f t="shared" si="16"/>
        <v>5.083402999999997</v>
      </c>
      <c r="AB24">
        <f t="shared" si="17"/>
        <v>7.37085000104548E-2</v>
      </c>
      <c r="AC24">
        <f t="shared" si="18"/>
        <v>58.062310286555856</v>
      </c>
    </row>
    <row r="25" spans="1:29" x14ac:dyDescent="0.2">
      <c r="A25">
        <v>46137.085867893518</v>
      </c>
      <c r="B25">
        <v>17.427130999999999</v>
      </c>
      <c r="C25">
        <v>17.793939000000002</v>
      </c>
      <c r="D25">
        <v>18.933302999999999</v>
      </c>
      <c r="E25">
        <v>19.319420999999998</v>
      </c>
      <c r="F25">
        <v>31.534106999999999</v>
      </c>
      <c r="G25">
        <v>33.925471999999999</v>
      </c>
      <c r="H25">
        <v>27.697669000000001</v>
      </c>
      <c r="I25">
        <v>25.254490000000001</v>
      </c>
      <c r="J25">
        <v>58.763911</v>
      </c>
      <c r="K25">
        <v>53.684010000000001</v>
      </c>
      <c r="L25">
        <v>209.54242099999999</v>
      </c>
      <c r="M25">
        <v>-622.49755100000004</v>
      </c>
      <c r="N25">
        <v>2.2557290000000001</v>
      </c>
      <c r="O25">
        <v>5.4233250000000002</v>
      </c>
      <c r="P25">
        <f t="shared" si="10"/>
        <v>3.7595483333333333E-5</v>
      </c>
      <c r="Q25" cm="1">
        <f t="array" ref="Q25">[1]!PropsSI("D","T",J25+273.15,"P",101325,"Water")</f>
        <v>983.82721253459704</v>
      </c>
      <c r="R25" cm="1">
        <f t="array" ref="R25">[1]!PropsSI("D","T",K25+273.15,"P",101325,"Water")</f>
        <v>986.32488020486016</v>
      </c>
      <c r="S25">
        <f t="shared" si="11"/>
        <v>985.0760463697286</v>
      </c>
      <c r="T25" cm="1">
        <f t="array" ref="T25">[1]!PropsSI("H","T",J25+273.15,"P",101325,"Water")</f>
        <v>246076.04770284169</v>
      </c>
      <c r="U25" cm="1">
        <f t="array" ref="U25">[1]!PropsSI("H","T",K25+273.15,"P",101325,"Water")</f>
        <v>224824.65343622805</v>
      </c>
      <c r="V25">
        <f t="shared" si="12"/>
        <v>787.0328501129145</v>
      </c>
      <c r="X25">
        <f t="shared" si="13"/>
        <v>0.26752782200000003</v>
      </c>
      <c r="Y25">
        <f t="shared" si="14"/>
        <v>0.25736802000000003</v>
      </c>
      <c r="Z25">
        <f t="shared" si="15"/>
        <v>0.37122692960342213</v>
      </c>
      <c r="AA25">
        <f t="shared" si="16"/>
        <v>5.0799009999999996</v>
      </c>
      <c r="AB25">
        <f t="shared" si="17"/>
        <v>7.3758622303075103E-2</v>
      </c>
      <c r="AC25">
        <f t="shared" si="18"/>
        <v>58.050458731591178</v>
      </c>
    </row>
    <row r="26" spans="1:29" x14ac:dyDescent="0.2">
      <c r="A26">
        <v>46137.085903194442</v>
      </c>
      <c r="B26">
        <v>17.447531000000001</v>
      </c>
      <c r="C26">
        <v>17.632830999999999</v>
      </c>
      <c r="D26">
        <v>18.986304000000001</v>
      </c>
      <c r="E26">
        <v>19.338380000000001</v>
      </c>
      <c r="F26">
        <v>31.642009000000002</v>
      </c>
      <c r="G26">
        <v>33.680433000000001</v>
      </c>
      <c r="H26">
        <v>27.115266999999999</v>
      </c>
      <c r="I26">
        <v>25.632394999999999</v>
      </c>
      <c r="J26">
        <v>58.761043999999998</v>
      </c>
      <c r="K26">
        <v>53.684010000000001</v>
      </c>
      <c r="L26">
        <v>195.994936</v>
      </c>
      <c r="M26">
        <v>-622.49877600000002</v>
      </c>
      <c r="N26">
        <v>2.2535530000000001</v>
      </c>
      <c r="O26">
        <v>5.4967379999999997</v>
      </c>
      <c r="P26">
        <f t="shared" si="10"/>
        <v>3.7559216666666668E-5</v>
      </c>
      <c r="Q26" cm="1">
        <f t="array" ref="Q26">[1]!PropsSI("D","T",J26+273.15,"P",101325,"Water")</f>
        <v>983.82866641201429</v>
      </c>
      <c r="R26" cm="1">
        <f t="array" ref="R26">[1]!PropsSI("D","T",K26+273.15,"P",101325,"Water")</f>
        <v>986.32488020486016</v>
      </c>
      <c r="S26">
        <f t="shared" si="11"/>
        <v>985.07677330843717</v>
      </c>
      <c r="T26" cm="1">
        <f t="array" ref="T26">[1]!PropsSI("H","T",J26+273.15,"P",101325,"Water")</f>
        <v>246064.05095833776</v>
      </c>
      <c r="U26" cm="1">
        <f t="array" ref="U26">[1]!PropsSI("H","T",K26+273.15,"P",101325,"Water")</f>
        <v>224824.65343622805</v>
      </c>
      <c r="V26">
        <f t="shared" si="12"/>
        <v>785.83035116679378</v>
      </c>
      <c r="X26">
        <f t="shared" si="13"/>
        <v>0.26752208799999999</v>
      </c>
      <c r="Y26">
        <f t="shared" si="14"/>
        <v>0.25736802000000003</v>
      </c>
      <c r="Z26">
        <f t="shared" si="15"/>
        <v>0.37122279736918123</v>
      </c>
      <c r="AA26">
        <f t="shared" si="16"/>
        <v>5.0770339999999976</v>
      </c>
      <c r="AB26">
        <f t="shared" si="17"/>
        <v>7.3798701987650581E-2</v>
      </c>
      <c r="AC26">
        <f t="shared" si="18"/>
        <v>57.993259898609018</v>
      </c>
    </row>
    <row r="27" spans="1:29" x14ac:dyDescent="0.2">
      <c r="A27">
        <v>46137.085937916665</v>
      </c>
      <c r="B27">
        <v>17.523551999999999</v>
      </c>
      <c r="C27">
        <v>17.901610000000002</v>
      </c>
      <c r="D27">
        <v>18.963035999999999</v>
      </c>
      <c r="E27">
        <v>19.368304999999999</v>
      </c>
      <c r="F27">
        <v>31.612003999999999</v>
      </c>
      <c r="G27">
        <v>33.126747999999999</v>
      </c>
      <c r="H27">
        <v>28.052275000000002</v>
      </c>
      <c r="I27">
        <v>25.415067000000001</v>
      </c>
      <c r="J27">
        <v>58.760088000000003</v>
      </c>
      <c r="K27">
        <v>53.684804999999997</v>
      </c>
      <c r="L27">
        <v>196.383488</v>
      </c>
      <c r="M27">
        <v>-622.51224400000001</v>
      </c>
      <c r="N27">
        <v>2.2457310000000001</v>
      </c>
      <c r="O27">
        <v>5.6367529999999997</v>
      </c>
      <c r="P27">
        <f t="shared" si="10"/>
        <v>3.7428850000000007E-5</v>
      </c>
      <c r="Q27" cm="1">
        <f t="array" ref="Q27">[1]!PropsSI("D","T",J27+273.15,"P",101325,"Water")</f>
        <v>983.82915119593474</v>
      </c>
      <c r="R27" cm="1">
        <f t="array" ref="R27">[1]!PropsSI("D","T",K27+273.15,"P",101325,"Water")</f>
        <v>986.32450180923229</v>
      </c>
      <c r="S27">
        <f t="shared" si="11"/>
        <v>985.07682650258357</v>
      </c>
      <c r="T27" cm="1">
        <f t="array" ref="T27">[1]!PropsSI("H","T",J27+273.15,"P",101325,"Water")</f>
        <v>246060.05064946003</v>
      </c>
      <c r="U27" cm="1">
        <f t="array" ref="U27">[1]!PropsSI("H","T",K27+273.15,"P",101325,"Water")</f>
        <v>224827.97851876882</v>
      </c>
      <c r="V27">
        <f t="shared" si="12"/>
        <v>782.8327157345816</v>
      </c>
      <c r="X27">
        <f t="shared" si="13"/>
        <v>0.267520176</v>
      </c>
      <c r="Y27">
        <f t="shared" si="14"/>
        <v>0.25736960999999997</v>
      </c>
      <c r="Z27">
        <f t="shared" si="15"/>
        <v>0.37122252183646276</v>
      </c>
      <c r="AA27">
        <f t="shared" si="16"/>
        <v>5.075283000000006</v>
      </c>
      <c r="AB27">
        <f t="shared" si="17"/>
        <v>7.3823641732922302E-2</v>
      </c>
      <c r="AC27">
        <f t="shared" si="18"/>
        <v>57.791561943200357</v>
      </c>
    </row>
    <row r="28" spans="1:29" x14ac:dyDescent="0.2">
      <c r="A28">
        <v>46137.085972638888</v>
      </c>
      <c r="B28">
        <v>17.673641</v>
      </c>
      <c r="C28">
        <v>17.891244</v>
      </c>
      <c r="D28">
        <v>19.020546</v>
      </c>
      <c r="E28">
        <v>19.355557000000001</v>
      </c>
      <c r="F28">
        <v>31.705112</v>
      </c>
      <c r="G28">
        <v>33.681809999999999</v>
      </c>
      <c r="H28">
        <v>27.639475000000001</v>
      </c>
      <c r="I28">
        <v>25.472372</v>
      </c>
      <c r="J28">
        <v>58.755786999999998</v>
      </c>
      <c r="K28">
        <v>53.684804999999997</v>
      </c>
      <c r="L28">
        <v>195.86351400000001</v>
      </c>
      <c r="M28">
        <v>-622.50244899999996</v>
      </c>
      <c r="N28">
        <v>2.2482880000000001</v>
      </c>
      <c r="O28">
        <v>5.5194979999999996</v>
      </c>
      <c r="P28">
        <f t="shared" si="10"/>
        <v>3.7471466666666669E-5</v>
      </c>
      <c r="Q28" cm="1">
        <f t="array" ref="Q28">[1]!PropsSI("D","T",J28+273.15,"P",101325,"Water")</f>
        <v>983.83133214889551</v>
      </c>
      <c r="R28" cm="1">
        <f t="array" ref="R28">[1]!PropsSI("D","T",K28+273.15,"P",101325,"Water")</f>
        <v>986.32450180923229</v>
      </c>
      <c r="S28">
        <f t="shared" si="11"/>
        <v>985.07791697906396</v>
      </c>
      <c r="T28" cm="1">
        <f t="array" ref="T28">[1]!PropsSI("H","T",J28+273.15,"P",101325,"Water")</f>
        <v>246042.05344862308</v>
      </c>
      <c r="U28" cm="1">
        <f t="array" ref="U28">[1]!PropsSI("H","T",K28+273.15,"P",101325,"Water")</f>
        <v>224827.97851876882</v>
      </c>
      <c r="V28">
        <f t="shared" si="12"/>
        <v>783.06060203414404</v>
      </c>
      <c r="X28">
        <f t="shared" si="13"/>
        <v>0.26751157399999997</v>
      </c>
      <c r="Y28">
        <f t="shared" si="14"/>
        <v>0.25736960999999997</v>
      </c>
      <c r="Z28">
        <f t="shared" si="15"/>
        <v>0.37121632288398843</v>
      </c>
      <c r="AA28">
        <f t="shared" si="16"/>
        <v>5.0709820000000008</v>
      </c>
      <c r="AB28">
        <f t="shared" si="17"/>
        <v>7.3883896324181936E-2</v>
      </c>
      <c r="AC28">
        <f t="shared" si="18"/>
        <v>57.855568336242186</v>
      </c>
    </row>
    <row r="29" spans="1:29" x14ac:dyDescent="0.2">
      <c r="A29">
        <v>46137.086007939812</v>
      </c>
      <c r="B29">
        <v>17.570170999999998</v>
      </c>
      <c r="C29">
        <v>17.755776000000001</v>
      </c>
      <c r="D29">
        <v>19.131965999999998</v>
      </c>
      <c r="E29">
        <v>19.388802999999999</v>
      </c>
      <c r="F29">
        <v>31.722024999999999</v>
      </c>
      <c r="G29">
        <v>33.746229999999997</v>
      </c>
      <c r="H29">
        <v>27.477471000000001</v>
      </c>
      <c r="I29">
        <v>25.458755</v>
      </c>
      <c r="J29">
        <v>58.756743</v>
      </c>
      <c r="K29">
        <v>53.685600000000001</v>
      </c>
      <c r="L29">
        <v>199.91024999999999</v>
      </c>
      <c r="M29">
        <v>-622.50938699999995</v>
      </c>
      <c r="N29">
        <v>2.2540740000000001</v>
      </c>
      <c r="O29">
        <v>5.2434589999999996</v>
      </c>
      <c r="P29">
        <f t="shared" si="10"/>
        <v>3.7567900000000003E-5</v>
      </c>
      <c r="Q29" cm="1">
        <f t="array" ref="Q29">[1]!PropsSI("D","T",J29+273.15,"P",101325,"Water")</f>
        <v>983.83084738955131</v>
      </c>
      <c r="R29" cm="1">
        <f t="array" ref="R29">[1]!PropsSI("D","T",K29+273.15,"P",101325,"Water")</f>
        <v>986.32412340960946</v>
      </c>
      <c r="S29">
        <f t="shared" si="11"/>
        <v>985.07748539958038</v>
      </c>
      <c r="T29" cm="1">
        <f t="array" ref="T29">[1]!PropsSI("H","T",J29+273.15,"P",101325,"Water")</f>
        <v>246046.05375583025</v>
      </c>
      <c r="U29" cm="1">
        <f t="array" ref="U29">[1]!PropsSI("H","T",K29+273.15,"P",101325,"Water")</f>
        <v>224831.30360157927</v>
      </c>
      <c r="V29">
        <f t="shared" si="12"/>
        <v>785.10046350360051</v>
      </c>
      <c r="X29">
        <f t="shared" si="13"/>
        <v>0.26751348600000002</v>
      </c>
      <c r="Y29">
        <f t="shared" si="14"/>
        <v>0.25737120000000002</v>
      </c>
      <c r="Z29">
        <f t="shared" si="15"/>
        <v>0.37121880310850663</v>
      </c>
      <c r="AA29">
        <f t="shared" si="16"/>
        <v>5.0711429999999993</v>
      </c>
      <c r="AB29">
        <f t="shared" si="17"/>
        <v>7.3882078194864184E-2</v>
      </c>
      <c r="AC29">
        <f t="shared" si="18"/>
        <v>58.004853835397128</v>
      </c>
    </row>
    <row r="30" spans="1:29" x14ac:dyDescent="0.2">
      <c r="A30">
        <v>46137.086042662035</v>
      </c>
      <c r="B30">
        <v>17.842300999999999</v>
      </c>
      <c r="C30">
        <v>18.087250999999998</v>
      </c>
      <c r="D30">
        <v>19.150496</v>
      </c>
      <c r="E30">
        <v>19.453205000000001</v>
      </c>
      <c r="F30">
        <v>31.751168</v>
      </c>
      <c r="G30">
        <v>33.132027999999998</v>
      </c>
      <c r="H30">
        <v>28.082723000000001</v>
      </c>
      <c r="I30">
        <v>26.129071</v>
      </c>
      <c r="J30">
        <v>58.752122999999997</v>
      </c>
      <c r="K30">
        <v>53.687190999999999</v>
      </c>
      <c r="L30">
        <v>196.82713899999999</v>
      </c>
      <c r="M30">
        <v>-622.49224500000003</v>
      </c>
      <c r="N30">
        <v>2.2482139999999999</v>
      </c>
      <c r="O30">
        <v>4.7394030000000003</v>
      </c>
      <c r="P30">
        <f t="shared" si="10"/>
        <v>3.7470233333333333E-5</v>
      </c>
      <c r="Q30" cm="1">
        <f t="array" ref="Q30">[1]!PropsSI("D","T",J30+273.15,"P",101325,"Water")</f>
        <v>983.83319000441361</v>
      </c>
      <c r="R30" cm="1">
        <f t="array" ref="R30">[1]!PropsSI("D","T",K30+273.15,"P",101325,"Water")</f>
        <v>986.32336612245797</v>
      </c>
      <c r="S30">
        <f t="shared" si="11"/>
        <v>985.07827806343585</v>
      </c>
      <c r="T30" cm="1">
        <f t="array" ref="T30">[1]!PropsSI("H","T",J30+273.15,"P",101325,"Water")</f>
        <v>246026.721731044</v>
      </c>
      <c r="U30" cm="1">
        <f t="array" ref="U30">[1]!PropsSI("H","T",K30+273.15,"P",101325,"Water")</f>
        <v>224837.95795035892</v>
      </c>
      <c r="V30">
        <f t="shared" si="12"/>
        <v>782.10085276941902</v>
      </c>
      <c r="X30">
        <f t="shared" si="13"/>
        <v>0.267504246</v>
      </c>
      <c r="Y30">
        <f t="shared" si="14"/>
        <v>0.25737438200000001</v>
      </c>
      <c r="Z30">
        <f t="shared" si="15"/>
        <v>0.37121435066267366</v>
      </c>
      <c r="AA30">
        <f t="shared" si="16"/>
        <v>5.0649319999999989</v>
      </c>
      <c r="AB30">
        <f t="shared" si="17"/>
        <v>7.3970148169020603E-2</v>
      </c>
      <c r="AC30">
        <f t="shared" si="18"/>
        <v>57.852115962471295</v>
      </c>
    </row>
    <row r="31" spans="1:29" x14ac:dyDescent="0.2">
      <c r="A31">
        <v>46137.086077962966</v>
      </c>
      <c r="B31">
        <v>17.674513999999999</v>
      </c>
      <c r="C31">
        <v>17.895212999999998</v>
      </c>
      <c r="D31">
        <v>19.128906000000001</v>
      </c>
      <c r="E31">
        <v>19.486995</v>
      </c>
      <c r="F31">
        <v>31.408408999999999</v>
      </c>
      <c r="G31">
        <v>32.209747</v>
      </c>
      <c r="H31">
        <v>28.023478999999998</v>
      </c>
      <c r="I31">
        <v>25.763750999999999</v>
      </c>
      <c r="J31">
        <v>58.751964000000001</v>
      </c>
      <c r="K31">
        <v>53.690372000000004</v>
      </c>
      <c r="L31">
        <v>200.56980899999999</v>
      </c>
      <c r="M31">
        <v>-622.50244899999996</v>
      </c>
      <c r="N31">
        <v>2.2477179999999999</v>
      </c>
      <c r="O31">
        <v>5.5828980000000001</v>
      </c>
      <c r="P31">
        <f t="shared" si="10"/>
        <v>3.7461966666666668E-5</v>
      </c>
      <c r="Q31" cm="1">
        <f t="array" ref="Q31">[1]!PropsSI("D","T",J31+273.15,"P",101325,"Water")</f>
        <v>983.83327062458591</v>
      </c>
      <c r="R31" cm="1">
        <f t="array" ref="R31">[1]!PropsSI("D","T",K31+273.15,"P",101325,"Water")</f>
        <v>986.32185197634226</v>
      </c>
      <c r="S31">
        <f t="shared" si="11"/>
        <v>985.07756130046414</v>
      </c>
      <c r="T31" cm="1">
        <f t="array" ref="T31">[1]!PropsSI("H","T",J31+273.15,"P",101325,"Water")</f>
        <v>246026.05640826325</v>
      </c>
      <c r="U31" cm="1">
        <f t="array" ref="U31">[1]!PropsSI("H","T",K31+273.15,"P",101325,"Water")</f>
        <v>224851.26246798225</v>
      </c>
      <c r="V31">
        <f t="shared" si="12"/>
        <v>781.41220884985421</v>
      </c>
      <c r="X31">
        <f t="shared" si="13"/>
        <v>0.267503928</v>
      </c>
      <c r="Y31">
        <f t="shared" si="14"/>
        <v>0.25738074399999999</v>
      </c>
      <c r="Z31">
        <f t="shared" si="15"/>
        <v>0.37121853250803993</v>
      </c>
      <c r="AA31">
        <f t="shared" si="16"/>
        <v>5.0615919999999974</v>
      </c>
      <c r="AB31">
        <f t="shared" si="17"/>
        <v>7.4018885784921648E-2</v>
      </c>
      <c r="AC31">
        <f t="shared" si="18"/>
        <v>57.839261037800696</v>
      </c>
    </row>
    <row r="32" spans="1:29" x14ac:dyDescent="0.2">
      <c r="A32">
        <v>46137.086113263889</v>
      </c>
      <c r="B32">
        <v>17.305001000000001</v>
      </c>
      <c r="C32">
        <v>17.533304999999999</v>
      </c>
      <c r="D32">
        <v>19.111536999999998</v>
      </c>
      <c r="E32">
        <v>19.414822999999998</v>
      </c>
      <c r="F32">
        <v>31.492037</v>
      </c>
      <c r="G32">
        <v>33.238461999999998</v>
      </c>
      <c r="H32">
        <v>28.347176000000001</v>
      </c>
      <c r="I32">
        <v>25.642063</v>
      </c>
      <c r="J32">
        <v>58.751645000000003</v>
      </c>
      <c r="K32">
        <v>53.693711999999998</v>
      </c>
      <c r="L32">
        <v>194.039524</v>
      </c>
      <c r="M32">
        <v>-622.47061399999996</v>
      </c>
      <c r="N32">
        <v>2.251849</v>
      </c>
      <c r="O32">
        <v>5.2428610000000004</v>
      </c>
      <c r="P32">
        <f t="shared" si="10"/>
        <v>3.7530816666666673E-5</v>
      </c>
      <c r="Q32" cm="1">
        <f t="array" ref="Q32">[1]!PropsSI("D","T",J32+273.15,"P",101325,"Water")</f>
        <v>983.8334323715593</v>
      </c>
      <c r="R32" cm="1">
        <f t="array" ref="R32">[1]!PropsSI("D","T",K32+273.15,"P",101325,"Water")</f>
        <v>986.32026207816887</v>
      </c>
      <c r="S32">
        <f t="shared" si="11"/>
        <v>985.07684722486408</v>
      </c>
      <c r="T32" cm="1">
        <f t="array" ref="T32">[1]!PropsSI("H","T",J32+273.15,"P",101325,"Water")</f>
        <v>246024.72157834494</v>
      </c>
      <c r="U32" cm="1">
        <f t="array" ref="U32">[1]!PropsSI("H","T",K32+273.15,"P",101325,"Water")</f>
        <v>224865.23200611895</v>
      </c>
      <c r="V32">
        <f t="shared" si="12"/>
        <v>782.28195694840122</v>
      </c>
      <c r="X32">
        <f t="shared" si="13"/>
        <v>0.26750329</v>
      </c>
      <c r="Y32">
        <f t="shared" si="14"/>
        <v>0.25738742399999998</v>
      </c>
      <c r="Z32">
        <f t="shared" si="15"/>
        <v>0.371222704308586</v>
      </c>
      <c r="AA32">
        <f t="shared" si="16"/>
        <v>5.0579330000000056</v>
      </c>
      <c r="AB32">
        <f t="shared" si="17"/>
        <v>7.4072272639231898E-2</v>
      </c>
      <c r="AC32">
        <f t="shared" si="18"/>
        <v>57.945402395833845</v>
      </c>
    </row>
    <row r="33" spans="1:29" x14ac:dyDescent="0.2">
      <c r="A33">
        <v>46137.086147986112</v>
      </c>
      <c r="B33">
        <v>17.404205000000001</v>
      </c>
      <c r="C33">
        <v>17.678193</v>
      </c>
      <c r="D33">
        <v>19.129272</v>
      </c>
      <c r="E33">
        <v>19.325164000000001</v>
      </c>
      <c r="F33">
        <v>31.811146999999998</v>
      </c>
      <c r="G33">
        <v>34.917096999999998</v>
      </c>
      <c r="H33">
        <v>27.426644</v>
      </c>
      <c r="I33">
        <v>25.589888999999999</v>
      </c>
      <c r="J33">
        <v>58.749733999999997</v>
      </c>
      <c r="K33">
        <v>53.689100000000003</v>
      </c>
      <c r="L33">
        <v>201.64077599999999</v>
      </c>
      <c r="M33">
        <v>-622.50122399999998</v>
      </c>
      <c r="N33">
        <v>2.255512</v>
      </c>
      <c r="O33">
        <v>5.2715940000000003</v>
      </c>
      <c r="P33">
        <f t="shared" si="10"/>
        <v>3.7591866666666662E-5</v>
      </c>
      <c r="Q33" cm="1">
        <f t="array" ref="Q33">[1]!PropsSI("D","T",J33+273.15,"P",101325,"Water")</f>
        <v>983.83440131948714</v>
      </c>
      <c r="R33" cm="1">
        <f t="array" ref="R33">[1]!PropsSI("D","T",K33+273.15,"P",101325,"Water")</f>
        <v>986.32245745202886</v>
      </c>
      <c r="S33">
        <f t="shared" si="11"/>
        <v>985.078429385758</v>
      </c>
      <c r="T33" cm="1">
        <f t="array" ref="T33">[1]!PropsSI("H","T",J33+273.15,"P",101325,"Water")</f>
        <v>246016.72515289404</v>
      </c>
      <c r="U33" cm="1">
        <f t="array" ref="U33">[1]!PropsSI("H","T",K33+273.15,"P",101325,"Water")</f>
        <v>224845.94233351317</v>
      </c>
      <c r="V33">
        <f t="shared" si="12"/>
        <v>783.97392426793544</v>
      </c>
      <c r="X33">
        <f t="shared" si="13"/>
        <v>0.26749946800000002</v>
      </c>
      <c r="Y33">
        <f t="shared" si="14"/>
        <v>0.2573782</v>
      </c>
      <c r="Z33">
        <f t="shared" si="15"/>
        <v>0.37121355473032369</v>
      </c>
      <c r="AA33">
        <f t="shared" si="16"/>
        <v>5.0606339999999932</v>
      </c>
      <c r="AB33">
        <f t="shared" si="17"/>
        <v>7.403166754137061E-2</v>
      </c>
      <c r="AC33">
        <f t="shared" si="18"/>
        <v>58.038896922507455</v>
      </c>
    </row>
    <row r="34" spans="1:29" x14ac:dyDescent="0.2">
      <c r="A34">
        <v>46137.086182708335</v>
      </c>
      <c r="B34">
        <v>17.179096000000001</v>
      </c>
      <c r="C34">
        <v>17.306263999999999</v>
      </c>
      <c r="D34">
        <v>19.092516</v>
      </c>
      <c r="E34">
        <v>19.322365999999999</v>
      </c>
      <c r="F34">
        <v>31.490796</v>
      </c>
      <c r="G34">
        <v>34.209654</v>
      </c>
      <c r="H34">
        <v>28.245611</v>
      </c>
      <c r="I34">
        <v>26.027636999999999</v>
      </c>
      <c r="J34">
        <v>58.746707000000001</v>
      </c>
      <c r="K34">
        <v>53.685122999999997</v>
      </c>
      <c r="L34">
        <v>196.756122</v>
      </c>
      <c r="M34">
        <v>-622.474287</v>
      </c>
      <c r="N34">
        <v>2.2523119999999999</v>
      </c>
      <c r="O34">
        <v>5.5173379999999996</v>
      </c>
      <c r="P34">
        <f t="shared" si="10"/>
        <v>3.7538533333333333E-5</v>
      </c>
      <c r="Q34" cm="1">
        <f t="array" ref="Q34">[1]!PropsSI("D","T",J34+273.15,"P",101325,"Water")</f>
        <v>983.83593607617127</v>
      </c>
      <c r="R34" cm="1">
        <f t="array" ref="R34">[1]!PropsSI("D","T",K34+273.15,"P",101325,"Water")</f>
        <v>986.32435044987869</v>
      </c>
      <c r="S34">
        <f t="shared" si="11"/>
        <v>985.08014326302498</v>
      </c>
      <c r="T34" cm="1">
        <f t="array" ref="T34">[1]!PropsSI("H","T",J34+273.15,"P",101325,"Water")</f>
        <v>246004.05891857806</v>
      </c>
      <c r="U34" cm="1">
        <f t="array" ref="U34">[1]!PropsSI("H","T",K34+273.15,"P",101325,"Water")</f>
        <v>224829.30855188216</v>
      </c>
      <c r="V34">
        <f t="shared" si="12"/>
        <v>783.00973977939259</v>
      </c>
      <c r="X34">
        <f t="shared" si="13"/>
        <v>0.26749341399999998</v>
      </c>
      <c r="Y34">
        <f t="shared" si="14"/>
        <v>0.25737024600000002</v>
      </c>
      <c r="Z34">
        <f t="shared" si="15"/>
        <v>0.37120367732482917</v>
      </c>
      <c r="AA34">
        <f t="shared" si="16"/>
        <v>5.0615840000000034</v>
      </c>
      <c r="AB34">
        <f t="shared" si="17"/>
        <v>7.4016092659073315E-2</v>
      </c>
      <c r="AC34">
        <f t="shared" si="18"/>
        <v>57.955321452468404</v>
      </c>
    </row>
    <row r="35" spans="1:29" x14ac:dyDescent="0.2">
      <c r="A35">
        <v>46137.086218009259</v>
      </c>
      <c r="B35">
        <v>17.236069000000001</v>
      </c>
      <c r="C35">
        <v>17.518281999999999</v>
      </c>
      <c r="D35">
        <v>19.075789</v>
      </c>
      <c r="E35">
        <v>19.343425</v>
      </c>
      <c r="F35">
        <v>31.564133000000002</v>
      </c>
      <c r="G35">
        <v>32.916916999999998</v>
      </c>
      <c r="H35">
        <v>28.345037999999999</v>
      </c>
      <c r="I35">
        <v>25.611761000000001</v>
      </c>
      <c r="J35">
        <v>58.746388000000003</v>
      </c>
      <c r="K35">
        <v>53.678919999999998</v>
      </c>
      <c r="L35">
        <v>199.118045</v>
      </c>
      <c r="M35">
        <v>-622.45306400000004</v>
      </c>
      <c r="N35">
        <v>2.2527949999999999</v>
      </c>
      <c r="O35">
        <v>5.6757410000000004</v>
      </c>
      <c r="P35">
        <f t="shared" si="10"/>
        <v>3.7546583333333334E-5</v>
      </c>
      <c r="Q35" cm="1">
        <f t="array" ref="Q35">[1]!PropsSI("D","T",J35+273.15,"P",101325,"Water")</f>
        <v>983.83609781312191</v>
      </c>
      <c r="R35" cm="1">
        <f t="array" ref="R35">[1]!PropsSI("D","T",K35+273.15,"P",101325,"Water")</f>
        <v>986.32730279461077</v>
      </c>
      <c r="S35">
        <f t="shared" si="11"/>
        <v>985.08170030386634</v>
      </c>
      <c r="T35" cm="1">
        <f t="array" ref="T35">[1]!PropsSI("H","T",J35+273.15,"P",101325,"Water")</f>
        <v>246002.72408933408</v>
      </c>
      <c r="U35" cm="1">
        <f t="array" ref="U35">[1]!PropsSI("H","T",K35+273.15,"P",101325,"Water")</f>
        <v>224803.36454771095</v>
      </c>
      <c r="V35">
        <f t="shared" si="12"/>
        <v>784.08909730962648</v>
      </c>
      <c r="X35">
        <f t="shared" si="13"/>
        <v>0.26749277599999999</v>
      </c>
      <c r="Y35">
        <f t="shared" si="14"/>
        <v>0.25735784</v>
      </c>
      <c r="Z35">
        <f t="shared" si="15"/>
        <v>0.37119461610003418</v>
      </c>
      <c r="AA35">
        <f t="shared" si="16"/>
        <v>5.0674680000000052</v>
      </c>
      <c r="AB35">
        <f t="shared" si="17"/>
        <v>7.3929948162075765E-2</v>
      </c>
      <c r="AC35">
        <f t="shared" si="18"/>
        <v>57.967666318549469</v>
      </c>
    </row>
    <row r="36" spans="1:29" x14ac:dyDescent="0.2">
      <c r="A36">
        <v>46137.086253310183</v>
      </c>
      <c r="B36">
        <v>17.289415999999999</v>
      </c>
      <c r="C36">
        <v>17.427129999999998</v>
      </c>
      <c r="D36">
        <v>19.170704000000001</v>
      </c>
      <c r="E36">
        <v>19.41947</v>
      </c>
      <c r="F36">
        <v>31.271892999999999</v>
      </c>
      <c r="G36">
        <v>34.622145000000003</v>
      </c>
      <c r="H36">
        <v>27.815382</v>
      </c>
      <c r="I36">
        <v>25.218048</v>
      </c>
      <c r="J36">
        <v>58.744636</v>
      </c>
      <c r="K36">
        <v>53.673194000000002</v>
      </c>
      <c r="L36">
        <v>201.605267</v>
      </c>
      <c r="M36">
        <v>-622.52163199999995</v>
      </c>
      <c r="N36">
        <v>2.2524999999999999</v>
      </c>
      <c r="O36">
        <v>5.6752330000000004</v>
      </c>
      <c r="P36">
        <f t="shared" si="10"/>
        <v>3.7541666666666667E-5</v>
      </c>
      <c r="Q36" cm="1">
        <f t="array" ref="Q36">[1]!PropsSI("D","T",J36+273.15,"P",101325,"Water")</f>
        <v>983.83698608793509</v>
      </c>
      <c r="R36" cm="1">
        <f t="array" ref="R36">[1]!PropsSI("D","T",K36+273.15,"P",101325,"Water")</f>
        <v>986.33002789410398</v>
      </c>
      <c r="S36">
        <f t="shared" si="11"/>
        <v>985.08350699101948</v>
      </c>
      <c r="T36" cm="1">
        <f t="array" ref="T36">[1]!PropsSI("H","T",J36+273.15,"P",101325,"Water")</f>
        <v>245995.392990366</v>
      </c>
      <c r="U36" cm="1">
        <f t="array" ref="U36">[1]!PropsSI("H","T",K36+273.15,"P",101325,"Water")</f>
        <v>224779.4156043533</v>
      </c>
      <c r="V36">
        <f t="shared" si="12"/>
        <v>784.60241567906894</v>
      </c>
      <c r="X36">
        <f t="shared" si="13"/>
        <v>0.267489272</v>
      </c>
      <c r="Y36">
        <f t="shared" si="14"/>
        <v>0.25734638799999998</v>
      </c>
      <c r="Z36">
        <f t="shared" si="15"/>
        <v>0.37118415113220626</v>
      </c>
      <c r="AA36">
        <f t="shared" si="16"/>
        <v>5.0714419999999976</v>
      </c>
      <c r="AB36">
        <f t="shared" si="17"/>
        <v>7.3871032211502333E-2</v>
      </c>
      <c r="AC36">
        <f t="shared" si="18"/>
        <v>57.959390321851046</v>
      </c>
    </row>
    <row r="37" spans="1:29" x14ac:dyDescent="0.2">
      <c r="A37">
        <v>46137.086288032406</v>
      </c>
      <c r="B37">
        <v>17.613538999999999</v>
      </c>
      <c r="C37">
        <v>17.785139999999998</v>
      </c>
      <c r="D37">
        <v>19.147970000000001</v>
      </c>
      <c r="E37">
        <v>19.440259000000001</v>
      </c>
      <c r="F37">
        <v>31.825244000000001</v>
      </c>
      <c r="G37">
        <v>34.796677000000003</v>
      </c>
      <c r="H37">
        <v>28.022942</v>
      </c>
      <c r="I37">
        <v>25.762526999999999</v>
      </c>
      <c r="J37">
        <v>58.741132</v>
      </c>
      <c r="K37">
        <v>53.671126000000001</v>
      </c>
      <c r="L37">
        <v>201.45751999999999</v>
      </c>
      <c r="M37">
        <v>-622.47632799999997</v>
      </c>
      <c r="N37">
        <v>2.2534550000000002</v>
      </c>
      <c r="O37">
        <v>5.6790700000000003</v>
      </c>
      <c r="P37">
        <f t="shared" si="10"/>
        <v>3.7557583333333338E-5</v>
      </c>
      <c r="Q37" cm="1">
        <f t="array" ref="Q37">[1]!PropsSI("D","T",J37+273.15,"P",101325,"Water")</f>
        <v>983.83876258250405</v>
      </c>
      <c r="R37" cm="1">
        <f t="array" ref="R37">[1]!PropsSI("D","T",K37+273.15,"P",101325,"Water")</f>
        <v>986.33101203928175</v>
      </c>
      <c r="S37">
        <f t="shared" si="11"/>
        <v>985.0848873108929</v>
      </c>
      <c r="T37" cm="1">
        <f t="array" ref="T37">[1]!PropsSI("H","T",J37+273.15,"P",101325,"Water")</f>
        <v>245980.73079627616</v>
      </c>
      <c r="U37" cm="1">
        <f t="array" ref="U37">[1]!PropsSI("H","T",K37+273.15,"P",101325,"Water")</f>
        <v>224770.76621574257</v>
      </c>
      <c r="V37">
        <f t="shared" si="12"/>
        <v>784.71370785544104</v>
      </c>
      <c r="X37">
        <f t="shared" si="13"/>
        <v>0.26748226399999997</v>
      </c>
      <c r="Y37">
        <f t="shared" si="14"/>
        <v>0.25734225199999999</v>
      </c>
      <c r="Z37">
        <f t="shared" si="15"/>
        <v>0.3711762333703455</v>
      </c>
      <c r="AA37">
        <f t="shared" si="16"/>
        <v>5.0700059999999993</v>
      </c>
      <c r="AB37">
        <f t="shared" si="17"/>
        <v>7.3890024344093128E-2</v>
      </c>
      <c r="AC37">
        <f t="shared" si="18"/>
        <v>57.982514976582124</v>
      </c>
    </row>
    <row r="38" spans="1:29" x14ac:dyDescent="0.2">
      <c r="A38">
        <v>44675.086322757001</v>
      </c>
      <c r="B38">
        <v>17.792400000000001</v>
      </c>
      <c r="C38">
        <v>18.215722</v>
      </c>
      <c r="D38">
        <v>19.257252999999999</v>
      </c>
      <c r="E38">
        <v>19.577947999999999</v>
      </c>
      <c r="F38">
        <v>31.739162</v>
      </c>
      <c r="G38">
        <v>34.643177999999999</v>
      </c>
      <c r="H38">
        <v>28.066745999999998</v>
      </c>
      <c r="I38">
        <v>25.36064</v>
      </c>
      <c r="J38">
        <v>58.739379</v>
      </c>
      <c r="K38">
        <v>53.673988999999999</v>
      </c>
      <c r="L38">
        <v>202.34686300000001</v>
      </c>
      <c r="M38">
        <v>-622.52203999999995</v>
      </c>
      <c r="N38">
        <v>2.2533319999999999</v>
      </c>
      <c r="O38">
        <v>5.312907</v>
      </c>
      <c r="P38">
        <f t="shared" si="10"/>
        <v>3.755553333333333E-5</v>
      </c>
      <c r="Q38" cm="1">
        <f t="array" ref="Q38">[1]!PropsSI("D","T",J38+273.15,"P",101325,"Water")</f>
        <v>983.83965130923264</v>
      </c>
      <c r="R38" cm="1">
        <f t="array" ref="R38">[1]!PropsSI("D","T",K38+273.15,"P",101325,"Water")</f>
        <v>986.32964955260331</v>
      </c>
      <c r="S38">
        <f t="shared" si="11"/>
        <v>985.08465043091792</v>
      </c>
      <c r="T38" cm="1">
        <f t="array" ref="T38">[1]!PropsSI("H","T",J38+273.15,"P",101325,"Water")</f>
        <v>245973.39551673259</v>
      </c>
      <c r="U38" cm="1">
        <f t="array" ref="U38">[1]!PropsSI("H","T",K38+273.15,"P",101325,"Water")</f>
        <v>224782.74068398518</v>
      </c>
      <c r="V38">
        <f t="shared" si="12"/>
        <v>783.95631581045973</v>
      </c>
      <c r="X38">
        <f t="shared" si="13"/>
        <v>0.26747875799999998</v>
      </c>
      <c r="Y38">
        <f t="shared" si="14"/>
        <v>0.25734797799999998</v>
      </c>
      <c r="Z38">
        <f t="shared" si="15"/>
        <v>0.37117767680978747</v>
      </c>
      <c r="AA38">
        <f t="shared" si="16"/>
        <v>5.0653900000000007</v>
      </c>
      <c r="AB38">
        <f t="shared" si="17"/>
        <v>7.3956408611727351E-2</v>
      </c>
      <c r="AC38">
        <f t="shared" si="18"/>
        <v>57.978593625822732</v>
      </c>
    </row>
    <row r="39" spans="1:29" x14ac:dyDescent="0.2">
      <c r="A39">
        <v>44675.086358057903</v>
      </c>
      <c r="B39">
        <v>17.935040999999998</v>
      </c>
      <c r="C39">
        <v>18.200906</v>
      </c>
      <c r="D39">
        <v>19.329158</v>
      </c>
      <c r="E39">
        <v>19.546400999999999</v>
      </c>
      <c r="F39">
        <v>31.860669000000001</v>
      </c>
      <c r="G39">
        <v>33.242634000000002</v>
      </c>
      <c r="H39">
        <v>27.512001000000001</v>
      </c>
      <c r="I39">
        <v>25.697773000000002</v>
      </c>
      <c r="J39">
        <v>58.738264000000001</v>
      </c>
      <c r="K39">
        <v>53.675102000000003</v>
      </c>
      <c r="L39">
        <v>202.89703900000001</v>
      </c>
      <c r="M39">
        <v>-622.48244999999997</v>
      </c>
      <c r="N39">
        <v>2.2531970000000001</v>
      </c>
      <c r="O39">
        <v>5.318092</v>
      </c>
      <c r="P39">
        <f t="shared" si="10"/>
        <v>3.7553283333333335E-5</v>
      </c>
      <c r="Q39" cm="1">
        <f t="array" ref="Q39">[1]!PropsSI("D","T",J39+273.15,"P",101325,"Water")</f>
        <v>983.84021657653102</v>
      </c>
      <c r="R39" cm="1">
        <f t="array" ref="R39">[1]!PropsSI("D","T",K39+273.15,"P",101325,"Water")</f>
        <v>986.32911986781016</v>
      </c>
      <c r="S39">
        <f t="shared" si="11"/>
        <v>985.08466822217065</v>
      </c>
      <c r="T39" cm="1">
        <f t="array" ref="T39">[1]!PropsSI("H","T",J39+273.15,"P",101325,"Water")</f>
        <v>245968.72989466449</v>
      </c>
      <c r="U39" cm="1">
        <f t="array" ref="U39">[1]!PropsSI("H","T",K39+273.15,"P",101325,"Water")</f>
        <v>224787.39579588477</v>
      </c>
      <c r="V39">
        <f t="shared" si="12"/>
        <v>783.56455870650643</v>
      </c>
      <c r="X39">
        <f t="shared" si="13"/>
        <v>0.26747652799999999</v>
      </c>
      <c r="Y39">
        <f t="shared" si="14"/>
        <v>0.25735020399999997</v>
      </c>
      <c r="Z39">
        <f t="shared" si="15"/>
        <v>0.37117761318508474</v>
      </c>
      <c r="AA39">
        <f t="shared" si="16"/>
        <v>5.0631619999999984</v>
      </c>
      <c r="AB39">
        <f t="shared" si="17"/>
        <v>7.3988345157007834E-2</v>
      </c>
      <c r="AC39">
        <f t="shared" si="18"/>
        <v>57.974645022375526</v>
      </c>
    </row>
    <row r="40" spans="1:29" x14ac:dyDescent="0.2">
      <c r="A40">
        <v>44675.086393358797</v>
      </c>
      <c r="B40">
        <v>17.943943000000001</v>
      </c>
      <c r="C40">
        <v>18.411368</v>
      </c>
      <c r="D40">
        <v>19.272722000000002</v>
      </c>
      <c r="E40">
        <v>19.576895</v>
      </c>
      <c r="F40">
        <v>31.982544999999998</v>
      </c>
      <c r="G40">
        <v>32.911205000000002</v>
      </c>
      <c r="H40">
        <v>27.262751000000002</v>
      </c>
      <c r="I40">
        <v>24.991817000000001</v>
      </c>
      <c r="J40">
        <v>58.737149000000002</v>
      </c>
      <c r="K40">
        <v>53.681305999999999</v>
      </c>
      <c r="L40">
        <v>197.13324600000001</v>
      </c>
      <c r="M40">
        <v>-622.51755000000003</v>
      </c>
      <c r="N40">
        <v>2.2559260000000001</v>
      </c>
      <c r="O40">
        <v>5.1446170000000002</v>
      </c>
      <c r="P40">
        <f t="shared" si="10"/>
        <v>3.759876666666667E-5</v>
      </c>
      <c r="Q40" cm="1">
        <f t="array" ref="Q40">[1]!PropsSI("D","T",J40+273.15,"P",101325,"Water")</f>
        <v>983.84078183639519</v>
      </c>
      <c r="R40" cm="1">
        <f t="array" ref="R40">[1]!PropsSI("D","T",K40+273.15,"P",101325,"Water")</f>
        <v>986.32616719623434</v>
      </c>
      <c r="S40">
        <f t="shared" si="11"/>
        <v>985.08347451631471</v>
      </c>
      <c r="T40" cm="1">
        <f t="array" ref="T40">[1]!PropsSI("H","T",J40+273.15,"P",101325,"Water")</f>
        <v>245964.06427309779</v>
      </c>
      <c r="U40" cm="1">
        <f t="array" ref="U40">[1]!PropsSI("H","T",K40+273.15,"P",101325,"Water")</f>
        <v>224813.34397446632</v>
      </c>
      <c r="V40">
        <f t="shared" si="12"/>
        <v>783.37876473767881</v>
      </c>
      <c r="X40">
        <f t="shared" si="13"/>
        <v>0.267474298</v>
      </c>
      <c r="Y40">
        <f t="shared" si="14"/>
        <v>0.25736261199999999</v>
      </c>
      <c r="Z40">
        <f t="shared" si="15"/>
        <v>0.37118460925266733</v>
      </c>
      <c r="AA40">
        <f t="shared" si="16"/>
        <v>5.055843000000003</v>
      </c>
      <c r="AB40">
        <f t="shared" si="17"/>
        <v>7.4094868970476291E-2</v>
      </c>
      <c r="AC40">
        <f t="shared" si="18"/>
        <v>58.044346927491887</v>
      </c>
    </row>
    <row r="41" spans="1:29" x14ac:dyDescent="0.2">
      <c r="A41">
        <v>44675.086428080998</v>
      </c>
      <c r="B41">
        <v>18.156254000000001</v>
      </c>
      <c r="C41">
        <v>18.361673</v>
      </c>
      <c r="D41">
        <v>19.327347</v>
      </c>
      <c r="E41">
        <v>19.588318999999998</v>
      </c>
      <c r="F41">
        <v>32.120989999999999</v>
      </c>
      <c r="G41">
        <v>32.628822999999997</v>
      </c>
      <c r="H41">
        <v>27.79082</v>
      </c>
      <c r="I41">
        <v>25.853068</v>
      </c>
      <c r="J41">
        <v>58.7346</v>
      </c>
      <c r="K41">
        <v>53.685282000000001</v>
      </c>
      <c r="L41">
        <v>208.78694899999999</v>
      </c>
      <c r="M41">
        <v>-622.49918400000001</v>
      </c>
      <c r="N41">
        <v>2.2509139999999999</v>
      </c>
      <c r="O41">
        <v>5.8195300000000003</v>
      </c>
      <c r="P41">
        <f t="shared" si="10"/>
        <v>3.751523333333333E-5</v>
      </c>
      <c r="Q41" cm="1">
        <f t="array" ref="Q41">[1]!PropsSI("D","T",J41+273.15,"P",101325,"Water")</f>
        <v>983.84207404824451</v>
      </c>
      <c r="R41" cm="1">
        <f t="array" ref="R41">[1]!PropsSI("D","T",K41+273.15,"P",101325,"Water")</f>
        <v>986.3242747699336</v>
      </c>
      <c r="S41">
        <f t="shared" si="11"/>
        <v>985.083174409089</v>
      </c>
      <c r="T41" cm="1">
        <f t="array" ref="T41">[1]!PropsSI("H","T",J41+273.15,"P",101325,"Water")</f>
        <v>245953.39820390815</v>
      </c>
      <c r="U41" cm="1">
        <f t="array" ref="U41">[1]!PropsSI("H","T",K41+273.15,"P",101325,"Water")</f>
        <v>224829.97356847345</v>
      </c>
      <c r="V41">
        <f t="shared" si="12"/>
        <v>780.62936251490294</v>
      </c>
      <c r="X41">
        <f t="shared" si="13"/>
        <v>0.26746920000000002</v>
      </c>
      <c r="Y41">
        <f t="shared" si="14"/>
        <v>0.25737056400000002</v>
      </c>
      <c r="Z41">
        <f t="shared" si="15"/>
        <v>0.37118644932475392</v>
      </c>
      <c r="AA41">
        <f t="shared" si="16"/>
        <v>5.0493179999999995</v>
      </c>
      <c r="AB41">
        <f t="shared" si="17"/>
        <v>7.418923648728204E-2</v>
      </c>
      <c r="AC41">
        <f t="shared" si="18"/>
        <v>57.914296384534353</v>
      </c>
    </row>
    <row r="42" spans="1:29" x14ac:dyDescent="0.2">
      <c r="A42">
        <v>46137.08646337963</v>
      </c>
      <c r="B42">
        <v>18.301468</v>
      </c>
      <c r="C42">
        <v>18.359703</v>
      </c>
      <c r="D42">
        <v>19.330860999999999</v>
      </c>
      <c r="E42">
        <v>19.571566000000001</v>
      </c>
      <c r="F42">
        <v>32.066929000000002</v>
      </c>
      <c r="G42">
        <v>33.953440999999998</v>
      </c>
      <c r="H42">
        <v>27.445481000000001</v>
      </c>
      <c r="I42">
        <v>25.547618</v>
      </c>
      <c r="J42">
        <v>58.731732999999998</v>
      </c>
      <c r="K42">
        <v>53.687508999999999</v>
      </c>
      <c r="L42">
        <v>195.212118</v>
      </c>
      <c r="M42">
        <v>-622.48653100000001</v>
      </c>
      <c r="N42">
        <v>2.2535859999999999</v>
      </c>
      <c r="O42">
        <v>5.7847609999999996</v>
      </c>
      <c r="P42">
        <f t="shared" si="10"/>
        <v>3.7559766666666666E-5</v>
      </c>
      <c r="Q42" cm="1">
        <f t="array" ref="Q42">[1]!PropsSI("D","T",J42+273.15,"P",101325,"Water")</f>
        <v>983.84352742336227</v>
      </c>
      <c r="R42" cm="1">
        <f t="array" ref="R42">[1]!PropsSI("D","T",K42+273.15,"P",101325,"Water")</f>
        <v>986.32321475832407</v>
      </c>
      <c r="S42">
        <f t="shared" si="11"/>
        <v>985.08337109084323</v>
      </c>
      <c r="T42" cm="1">
        <f t="array" ref="T42">[1]!PropsSI("H","T",J42+273.15,"P",101325,"Water")</f>
        <v>245941.40149450861</v>
      </c>
      <c r="U42" cm="1">
        <f t="array" ref="U42">[1]!PropsSI("H","T",K42+273.15,"P",101325,"Water")</f>
        <v>224839.2879837222</v>
      </c>
      <c r="V42">
        <f t="shared" si="12"/>
        <v>780.76768187528398</v>
      </c>
      <c r="X42">
        <f t="shared" si="13"/>
        <v>0.26746346599999998</v>
      </c>
      <c r="Y42">
        <f t="shared" si="14"/>
        <v>0.25737501800000001</v>
      </c>
      <c r="Z42">
        <f t="shared" si="15"/>
        <v>0.37118540587586879</v>
      </c>
      <c r="AA42">
        <f t="shared" si="16"/>
        <v>5.0442239999999998</v>
      </c>
      <c r="AB42">
        <f t="shared" si="17"/>
        <v>7.4262592309851508E-2</v>
      </c>
      <c r="AC42">
        <f t="shared" si="18"/>
        <v>57.981832047812055</v>
      </c>
    </row>
    <row r="43" spans="1:29" x14ac:dyDescent="0.2">
      <c r="A43">
        <v>46137.086498680554</v>
      </c>
      <c r="B43">
        <v>18.424837</v>
      </c>
      <c r="C43">
        <v>18.362562</v>
      </c>
      <c r="D43">
        <v>19.372513000000001</v>
      </c>
      <c r="E43">
        <v>19.573516000000001</v>
      </c>
      <c r="F43">
        <v>32.222102</v>
      </c>
      <c r="G43">
        <v>33.599716000000001</v>
      </c>
      <c r="H43">
        <v>27.887692999999999</v>
      </c>
      <c r="I43">
        <v>25.876816000000002</v>
      </c>
      <c r="J43">
        <v>58.730618</v>
      </c>
      <c r="K43">
        <v>53.688940000000002</v>
      </c>
      <c r="L43">
        <v>204.55899700000001</v>
      </c>
      <c r="M43">
        <v>-622.47959300000002</v>
      </c>
      <c r="N43">
        <v>2.2502710000000001</v>
      </c>
      <c r="O43">
        <v>5.2947860000000002</v>
      </c>
      <c r="P43">
        <f t="shared" si="10"/>
        <v>3.750451666666667E-5</v>
      </c>
      <c r="Q43" cm="1">
        <f t="array" ref="Q43">[1]!PropsSI("D","T",J43+273.15,"P",101325,"Water")</f>
        <v>983.84409263967552</v>
      </c>
      <c r="R43" cm="1">
        <f t="array" ref="R43">[1]!PropsSI("D","T",K43+273.15,"P",101325,"Water")</f>
        <v>986.32253361177959</v>
      </c>
      <c r="S43">
        <f t="shared" si="11"/>
        <v>985.0833131257275</v>
      </c>
      <c r="T43" cm="1">
        <f t="array" ref="T43">[1]!PropsSI("H","T",J43+273.15,"P",101325,"Water")</f>
        <v>245936.7358760091</v>
      </c>
      <c r="U43" cm="1">
        <f t="array" ref="U43">[1]!PropsSI("H","T",K43+273.15,"P",101325,"Water")</f>
        <v>224845.27313422447</v>
      </c>
      <c r="V43">
        <f t="shared" si="12"/>
        <v>779.22564195972291</v>
      </c>
      <c r="X43">
        <f t="shared" si="13"/>
        <v>0.26746123599999999</v>
      </c>
      <c r="Y43">
        <f t="shared" si="14"/>
        <v>0.25737788</v>
      </c>
      <c r="Z43">
        <f t="shared" si="15"/>
        <v>0.37118578350462467</v>
      </c>
      <c r="AA43">
        <f t="shared" si="16"/>
        <v>5.0416779999999974</v>
      </c>
      <c r="AB43">
        <f t="shared" si="17"/>
        <v>7.4299488602629443E-2</v>
      </c>
      <c r="AC43">
        <f t="shared" si="18"/>
        <v>57.896066703663045</v>
      </c>
    </row>
    <row r="44" spans="1:29" x14ac:dyDescent="0.2">
      <c r="A44">
        <v>46137.086533402777</v>
      </c>
      <c r="B44">
        <v>18.059173999999999</v>
      </c>
      <c r="C44">
        <v>17.934317</v>
      </c>
      <c r="D44">
        <v>19.363422</v>
      </c>
      <c r="E44">
        <v>19.572067000000001</v>
      </c>
      <c r="F44">
        <v>32.012045000000001</v>
      </c>
      <c r="G44">
        <v>33.580402999999997</v>
      </c>
      <c r="H44">
        <v>27.859348000000001</v>
      </c>
      <c r="I44">
        <v>25.910004000000001</v>
      </c>
      <c r="J44">
        <v>58.728228999999999</v>
      </c>
      <c r="K44">
        <v>53.689418000000003</v>
      </c>
      <c r="L44">
        <v>196.885096</v>
      </c>
      <c r="M44">
        <v>-622.47796000000005</v>
      </c>
      <c r="N44">
        <v>2.2530860000000001</v>
      </c>
      <c r="O44">
        <v>5.2981530000000001</v>
      </c>
      <c r="P44">
        <f t="shared" si="10"/>
        <v>3.7551433333333334E-5</v>
      </c>
      <c r="Q44" cm="1">
        <f t="array" ref="Q44">[1]!PropsSI("D","T",J44+273.15,"P",101325,"Water")</f>
        <v>983.84530364765692</v>
      </c>
      <c r="R44" cm="1">
        <f t="array" ref="R44">[1]!PropsSI("D","T",K44+273.15,"P",101325,"Water")</f>
        <v>986.32230608405666</v>
      </c>
      <c r="S44">
        <f t="shared" si="11"/>
        <v>985.08380486585679</v>
      </c>
      <c r="T44" cm="1">
        <f t="array" ref="T44">[1]!PropsSI("H","T",J44+273.15,"P",101325,"Water")</f>
        <v>245926.73931931669</v>
      </c>
      <c r="U44" cm="1">
        <f t="array" ref="U44">[1]!PropsSI("H","T",K44+273.15,"P",101325,"Water")</f>
        <v>224847.27236712034</v>
      </c>
      <c r="V44">
        <f t="shared" si="12"/>
        <v>779.7570719196674</v>
      </c>
      <c r="X44">
        <f t="shared" si="13"/>
        <v>0.26745645800000001</v>
      </c>
      <c r="Y44">
        <f t="shared" si="14"/>
        <v>0.257378836</v>
      </c>
      <c r="Z44">
        <f t="shared" si="15"/>
        <v>0.37118300357993311</v>
      </c>
      <c r="AA44">
        <f t="shared" si="16"/>
        <v>5.0388109999999955</v>
      </c>
      <c r="AB44">
        <f t="shared" si="17"/>
        <v>7.4340451509218003E-2</v>
      </c>
      <c r="AC44">
        <f t="shared" si="18"/>
        <v>57.96749279401385</v>
      </c>
    </row>
    <row r="45" spans="1:29" x14ac:dyDescent="0.2">
      <c r="A45">
        <v>46137.086568125</v>
      </c>
      <c r="B45">
        <v>17.561558999999999</v>
      </c>
      <c r="C45">
        <v>17.629199</v>
      </c>
      <c r="D45">
        <v>19.235614000000002</v>
      </c>
      <c r="E45">
        <v>19.540866000000001</v>
      </c>
      <c r="F45">
        <v>31.803056999999999</v>
      </c>
      <c r="G45">
        <v>33.283344</v>
      </c>
      <c r="H45">
        <v>28.315289</v>
      </c>
      <c r="I45">
        <v>25.770132</v>
      </c>
      <c r="J45">
        <v>58.728546999999999</v>
      </c>
      <c r="K45">
        <v>53.686554999999998</v>
      </c>
      <c r="L45">
        <v>194.89458300000001</v>
      </c>
      <c r="M45">
        <v>-622.46041000000002</v>
      </c>
      <c r="N45">
        <v>2.2562329999999999</v>
      </c>
      <c r="O45">
        <v>5.1308800000000003</v>
      </c>
      <c r="P45">
        <f t="shared" si="10"/>
        <v>3.7603883333333331E-5</v>
      </c>
      <c r="Q45" cm="1">
        <f t="array" ref="Q45">[1]!PropsSI("D","T",J45+273.15,"P",101325,"Water")</f>
        <v>983.84514245224477</v>
      </c>
      <c r="R45" cm="1">
        <f t="array" ref="R45">[1]!PropsSI("D","T",K45+273.15,"P",101325,"Water")</f>
        <v>986.32366884884027</v>
      </c>
      <c r="S45">
        <f t="shared" si="11"/>
        <v>985.08440565054252</v>
      </c>
      <c r="T45" cm="1">
        <f t="array" ref="T45">[1]!PropsSI("H","T",J45+273.15,"P",101325,"Water")</f>
        <v>245928.06996168659</v>
      </c>
      <c r="U45" cm="1">
        <f t="array" ref="U45">[1]!PropsSI("H","T",K45+273.15,"P",101325,"Water")</f>
        <v>224835.29788378222</v>
      </c>
      <c r="V45">
        <f t="shared" si="12"/>
        <v>781.33953632988619</v>
      </c>
      <c r="X45">
        <f t="shared" si="13"/>
        <v>0.26745709400000001</v>
      </c>
      <c r="Y45">
        <f t="shared" si="14"/>
        <v>0.25737310999999996</v>
      </c>
      <c r="Z45">
        <f t="shared" si="15"/>
        <v>0.37117949146201079</v>
      </c>
      <c r="AA45">
        <f t="shared" si="16"/>
        <v>5.0419920000000005</v>
      </c>
      <c r="AB45">
        <f t="shared" si="17"/>
        <v>7.4293708704949224E-2</v>
      </c>
      <c r="AC45">
        <f t="shared" si="18"/>
        <v>58.048611911752658</v>
      </c>
    </row>
    <row r="46" spans="1:29" x14ac:dyDescent="0.2">
      <c r="A46">
        <v>46137.086603425923</v>
      </c>
      <c r="B46">
        <v>17.490504000000001</v>
      </c>
      <c r="C46">
        <v>17.969251</v>
      </c>
      <c r="D46">
        <v>19.162496999999998</v>
      </c>
      <c r="E46">
        <v>19.417223</v>
      </c>
      <c r="F46">
        <v>31.595973000000001</v>
      </c>
      <c r="G46">
        <v>33.837688999999997</v>
      </c>
      <c r="H46">
        <v>27.997959999999999</v>
      </c>
      <c r="I46">
        <v>25.498038999999999</v>
      </c>
      <c r="J46">
        <v>58.724564999999998</v>
      </c>
      <c r="K46">
        <v>53.680827999999998</v>
      </c>
      <c r="L46">
        <v>207.19070199999999</v>
      </c>
      <c r="M46">
        <v>-622.50367300000005</v>
      </c>
      <c r="N46">
        <v>2.2492749999999999</v>
      </c>
      <c r="O46">
        <v>6.006513</v>
      </c>
      <c r="P46">
        <f t="shared" si="10"/>
        <v>3.7487916666666661E-5</v>
      </c>
      <c r="Q46" cm="1">
        <f t="array" ref="Q46">[1]!PropsSI("D","T",J46+273.15,"P",101325,"Water")</f>
        <v>983.84716089956851</v>
      </c>
      <c r="R46" cm="1">
        <f t="array" ref="R46">[1]!PropsSI("D","T",K46+273.15,"P",101325,"Water")</f>
        <v>986.3263946995346</v>
      </c>
      <c r="S46">
        <f t="shared" si="11"/>
        <v>985.08677779955156</v>
      </c>
      <c r="T46" cm="1">
        <f t="array" ref="T46">[1]!PropsSI("H","T",J46+273.15,"P",101325,"Water")</f>
        <v>245911.40764389883</v>
      </c>
      <c r="U46" cm="1">
        <f t="array" ref="U46">[1]!PropsSI("H","T",K46+273.15,"P",101325,"Water")</f>
        <v>224811.34474297351</v>
      </c>
      <c r="V46">
        <f t="shared" si="12"/>
        <v>779.20107970973959</v>
      </c>
      <c r="X46">
        <f t="shared" si="13"/>
        <v>0.26744912999999998</v>
      </c>
      <c r="Y46">
        <f t="shared" si="14"/>
        <v>0.25736165599999999</v>
      </c>
      <c r="Z46">
        <f t="shared" si="15"/>
        <v>0.37116581081346811</v>
      </c>
      <c r="AA46">
        <f t="shared" si="16"/>
        <v>5.0437370000000001</v>
      </c>
      <c r="AB46">
        <f t="shared" si="17"/>
        <v>7.4265783101265415E-2</v>
      </c>
      <c r="AC46">
        <f t="shared" si="18"/>
        <v>57.867978377995342</v>
      </c>
    </row>
    <row r="47" spans="1:29" x14ac:dyDescent="0.2">
      <c r="A47">
        <v>46137.086638726854</v>
      </c>
      <c r="B47">
        <v>17.201080999999999</v>
      </c>
      <c r="C47">
        <v>17.385988999999999</v>
      </c>
      <c r="D47">
        <v>19.119609000000001</v>
      </c>
      <c r="E47">
        <v>19.376321999999998</v>
      </c>
      <c r="F47">
        <v>31.408670000000001</v>
      </c>
      <c r="G47">
        <v>34.611817000000002</v>
      </c>
      <c r="H47">
        <v>28.055054999999999</v>
      </c>
      <c r="I47">
        <v>25.410067000000002</v>
      </c>
      <c r="J47">
        <v>58.724564999999998</v>
      </c>
      <c r="K47">
        <v>53.676375</v>
      </c>
      <c r="L47">
        <v>200.73877999999999</v>
      </c>
      <c r="M47">
        <v>-622.487348</v>
      </c>
      <c r="N47">
        <v>2.2488329999999999</v>
      </c>
      <c r="O47">
        <v>5.577814</v>
      </c>
      <c r="P47">
        <f t="shared" si="10"/>
        <v>3.7480549999999998E-5</v>
      </c>
      <c r="Q47" cm="1">
        <f t="array" ref="Q47">[1]!PropsSI("D","T",J47+273.15,"P",101325,"Water")</f>
        <v>983.84716089956851</v>
      </c>
      <c r="R47" cm="1">
        <f t="array" ref="R47">[1]!PropsSI("D","T",K47+273.15,"P",101325,"Water")</f>
        <v>986.32851402831557</v>
      </c>
      <c r="S47">
        <f t="shared" si="11"/>
        <v>985.08783746394204</v>
      </c>
      <c r="T47" cm="1">
        <f t="array" ref="T47">[1]!PropsSI("H","T",J47+273.15,"P",101325,"Water")</f>
        <v>245911.40764389883</v>
      </c>
      <c r="U47" cm="1">
        <f t="array" ref="U47">[1]!PropsSI("H","T",K47+273.15,"P",101325,"Water")</f>
        <v>224792.72010676152</v>
      </c>
      <c r="V47">
        <f t="shared" si="12"/>
        <v>779.73645067583243</v>
      </c>
      <c r="X47">
        <f t="shared" si="13"/>
        <v>0.26744912999999998</v>
      </c>
      <c r="Y47">
        <f t="shared" si="14"/>
        <v>0.25735275000000002</v>
      </c>
      <c r="Z47">
        <f t="shared" si="15"/>
        <v>0.37115963556173426</v>
      </c>
      <c r="AA47">
        <f t="shared" si="16"/>
        <v>5.0481899999999982</v>
      </c>
      <c r="AB47">
        <f t="shared" si="17"/>
        <v>7.4200249550355687E-2</v>
      </c>
      <c r="AC47">
        <f t="shared" si="18"/>
        <v>57.856639223655378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28C7-BC8F-5441-BF19-199A003ED1A9}">
  <dimension ref="A1:AC27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44675.087529932898</v>
      </c>
      <c r="B2">
        <v>18.445156999999998</v>
      </c>
      <c r="C2">
        <v>18.741665999999999</v>
      </c>
      <c r="D2">
        <v>19.501995000000001</v>
      </c>
      <c r="E2">
        <v>19.674616</v>
      </c>
      <c r="F2">
        <v>31.276311</v>
      </c>
      <c r="G2">
        <v>33.702907000000003</v>
      </c>
      <c r="H2">
        <v>26.893094999999999</v>
      </c>
      <c r="I2">
        <v>24.425754000000001</v>
      </c>
      <c r="J2">
        <v>58.667695999999999</v>
      </c>
      <c r="K2">
        <v>53.295926999999999</v>
      </c>
      <c r="L2">
        <v>267.24973599999998</v>
      </c>
      <c r="M2">
        <v>-622.48326599999996</v>
      </c>
      <c r="N2">
        <v>2.2516639999999999</v>
      </c>
      <c r="O2">
        <v>5.2240539999999998</v>
      </c>
      <c r="P2">
        <f t="shared" ref="P2:P65" si="0" xml:space="preserve"> N2*0.001/60</f>
        <v>3.7527733333333337E-5</v>
      </c>
      <c r="Q2" cm="1">
        <f t="array" ref="Q2">[1]!PropsSI("D","T",J2+273.15,"P",101325,"Water")</f>
        <v>983.87597704241375</v>
      </c>
      <c r="R2" cm="1">
        <f t="array" ref="R2">[1]!PropsSI("D","T",K2+273.15,"P",101325,"Water")</f>
        <v>986.50912011960975</v>
      </c>
      <c r="S2">
        <f t="shared" ref="S2:S65" si="1">(Q2+R2)/2</f>
        <v>985.19254858101181</v>
      </c>
      <c r="T2" cm="1">
        <f t="array" ref="T2">[1]!PropsSI("H","T",J2+273.15,"P",101325,"Water")</f>
        <v>245673.44519389179</v>
      </c>
      <c r="U2" cm="1">
        <f t="array" ref="U2">[1]!PropsSI("H","T",K2+273.15,"P",101325,"Water")</f>
        <v>223201.52430459554</v>
      </c>
      <c r="V2">
        <f t="shared" ref="V2:V65" si="2">S2*P2*(T2-U2)</f>
        <v>830.83283092031934</v>
      </c>
      <c r="W2" s="3">
        <f>AVERAGE(V2:V27)</f>
        <v>832.44746575320619</v>
      </c>
      <c r="X2">
        <f>(0.15+0.002*ABS(J2))</f>
        <v>0.26733539200000001</v>
      </c>
      <c r="Y2">
        <f>(0.15+0.002*ABS(K2))</f>
        <v>0.25659185400000001</v>
      </c>
      <c r="Z2">
        <f>SQRT((X2)^2 + (Y2)^2)</f>
        <v>0.37055038976494276</v>
      </c>
      <c r="AA2">
        <f>J2-K2</f>
        <v>5.3717690000000005</v>
      </c>
      <c r="AB2">
        <f>SQRT((0.01)^2 + (Z2/ABS(AA2))^2)</f>
        <v>6.9702140844547719E-2</v>
      </c>
      <c r="AC2">
        <f>ABS(V2*AB2)</f>
        <v>57.910826999082403</v>
      </c>
    </row>
    <row r="3" spans="1:29" x14ac:dyDescent="0.2">
      <c r="A3">
        <v>44675.087564655099</v>
      </c>
      <c r="B3">
        <v>18.129239999999999</v>
      </c>
      <c r="C3">
        <v>18.516672</v>
      </c>
      <c r="D3">
        <v>19.338156000000001</v>
      </c>
      <c r="E3">
        <v>19.677437999999999</v>
      </c>
      <c r="F3">
        <v>30.691614000000001</v>
      </c>
      <c r="G3">
        <v>33.740003999999999</v>
      </c>
      <c r="H3">
        <v>26.673935</v>
      </c>
      <c r="I3">
        <v>24.440297999999999</v>
      </c>
      <c r="J3">
        <v>58.665466000000002</v>
      </c>
      <c r="K3">
        <v>53.297994000000003</v>
      </c>
      <c r="L3">
        <v>266.51099699999997</v>
      </c>
      <c r="M3">
        <v>-622.51469299999997</v>
      </c>
      <c r="N3">
        <v>2.2518120000000001</v>
      </c>
      <c r="O3">
        <v>5.4374950000000002</v>
      </c>
      <c r="P3">
        <f t="shared" si="0"/>
        <v>3.7530200000000002E-5</v>
      </c>
      <c r="Q3" cm="1">
        <f t="array" ref="Q3">[1]!PropsSI("D","T",J3+273.15,"P",101325,"Water")</f>
        <v>983.87710661364304</v>
      </c>
      <c r="R3" cm="1">
        <f t="array" ref="R3">[1]!PropsSI("D","T",K3+273.15,"P",101325,"Water")</f>
        <v>986.50814134314498</v>
      </c>
      <c r="S3">
        <f t="shared" si="1"/>
        <v>985.19262397839407</v>
      </c>
      <c r="T3" cm="1">
        <f t="array" ref="T3">[1]!PropsSI("H","T",J3+273.15,"P",101325,"Water")</f>
        <v>245664.11401694786</v>
      </c>
      <c r="U3" cm="1">
        <f t="array" ref="U3">[1]!PropsSI("H","T",K3+273.15,"P",101325,"Water")</f>
        <v>223210.16924820823</v>
      </c>
      <c r="V3">
        <f t="shared" si="2"/>
        <v>830.2228468168845</v>
      </c>
      <c r="W3" s="3" t="s">
        <v>33</v>
      </c>
      <c r="X3">
        <f t="shared" ref="X3:Y55" si="3">(0.15+0.002*ABS(J3))</f>
        <v>0.26733093200000002</v>
      </c>
      <c r="Y3">
        <f t="shared" si="3"/>
        <v>0.256595988</v>
      </c>
      <c r="Z3">
        <f t="shared" ref="Z3:Z55" si="4">SQRT((X3)^2 + (Y3)^2)</f>
        <v>0.37055003476141357</v>
      </c>
      <c r="AA3">
        <f>J3-K3</f>
        <v>5.3674719999999994</v>
      </c>
      <c r="AB3">
        <f t="shared" ref="AB3:AB66" si="5">SQRT((0.01)^2 + (Z3/ABS(AA3))^2)</f>
        <v>6.9756728250668573E-2</v>
      </c>
      <c r="AC3">
        <f t="shared" ref="AC3:AC66" si="6">ABS(V3*AB3)</f>
        <v>57.913629512901856</v>
      </c>
    </row>
    <row r="4" spans="1:29" x14ac:dyDescent="0.2">
      <c r="A4">
        <v>44675.087599956103</v>
      </c>
      <c r="B4">
        <v>17.997707999999999</v>
      </c>
      <c r="C4">
        <v>18.566676000000001</v>
      </c>
      <c r="D4">
        <v>18.968411</v>
      </c>
      <c r="E4">
        <v>19.376875999999999</v>
      </c>
      <c r="F4">
        <v>30.893094000000001</v>
      </c>
      <c r="G4">
        <v>33.745016</v>
      </c>
      <c r="H4">
        <v>26.662275999999999</v>
      </c>
      <c r="I4">
        <v>24.258472999999999</v>
      </c>
      <c r="J4">
        <v>58.658935</v>
      </c>
      <c r="K4">
        <v>53.292110000000001</v>
      </c>
      <c r="L4">
        <v>262.841385</v>
      </c>
      <c r="M4">
        <v>-622.50326500000006</v>
      </c>
      <c r="N4">
        <v>2.2537500000000001</v>
      </c>
      <c r="O4">
        <v>5.2347669999999997</v>
      </c>
      <c r="P4">
        <f t="shared" si="0"/>
        <v>3.7562500000000005E-5</v>
      </c>
      <c r="Q4" cm="1">
        <f t="array" ref="Q4">[1]!PropsSI("D","T",J4+273.15,"P",101325,"Water")</f>
        <v>983.8804146171949</v>
      </c>
      <c r="R4" cm="1">
        <f t="array" ref="R4">[1]!PropsSI("D","T",K4+273.15,"P",101325,"Water")</f>
        <v>986.5109274940711</v>
      </c>
      <c r="S4">
        <f t="shared" si="1"/>
        <v>985.19567105563306</v>
      </c>
      <c r="T4" cm="1">
        <f t="array" ref="T4">[1]!PropsSI("H","T",J4+273.15,"P",101325,"Water")</f>
        <v>245636.78581521471</v>
      </c>
      <c r="U4" cm="1">
        <f t="array" ref="U4">[1]!PropsSI("H","T",K4+273.15,"P",101325,"Water")</f>
        <v>223185.56023006208</v>
      </c>
      <c r="V4">
        <f t="shared" si="2"/>
        <v>830.83931275549332</v>
      </c>
      <c r="W4" s="3">
        <f>SQRT((AVERAGE(AC2:AC27))^2 + (_xlfn.STDEV.S(V2:V27)/SQRT(COUNT(V2:V27)))^2)</f>
        <v>57.882352828751088</v>
      </c>
      <c r="X4">
        <f t="shared" si="3"/>
        <v>0.26731787000000001</v>
      </c>
      <c r="Y4">
        <f t="shared" si="3"/>
        <v>0.25658422000000003</v>
      </c>
      <c r="Z4">
        <f t="shared" si="4"/>
        <v>0.37053246224095576</v>
      </c>
      <c r="AA4">
        <f t="shared" ref="AA4:AA67" si="7">J4-K4</f>
        <v>5.3668249999999986</v>
      </c>
      <c r="AB4">
        <f t="shared" si="5"/>
        <v>6.9761724518554474E-2</v>
      </c>
      <c r="AC4">
        <f t="shared" si="6"/>
        <v>57.960783255633849</v>
      </c>
    </row>
    <row r="5" spans="1:29" x14ac:dyDescent="0.2">
      <c r="A5">
        <v>44675.087634678297</v>
      </c>
      <c r="B5">
        <v>17.881485999999999</v>
      </c>
      <c r="C5">
        <v>18.501936000000001</v>
      </c>
      <c r="D5">
        <v>19.15456</v>
      </c>
      <c r="E5">
        <v>19.519670999999999</v>
      </c>
      <c r="F5">
        <v>30.646819000000001</v>
      </c>
      <c r="G5">
        <v>32.280777</v>
      </c>
      <c r="H5">
        <v>26.592870999999999</v>
      </c>
      <c r="I5">
        <v>24.207843</v>
      </c>
      <c r="J5">
        <v>58.654952999999999</v>
      </c>
      <c r="K5">
        <v>53.285111999999998</v>
      </c>
      <c r="L5">
        <v>264.58007300000003</v>
      </c>
      <c r="M5">
        <v>-622.49918400000001</v>
      </c>
      <c r="N5">
        <v>2.2472799999999999</v>
      </c>
      <c r="O5">
        <v>5.471158</v>
      </c>
      <c r="P5">
        <f t="shared" si="0"/>
        <v>3.7454666666666666E-5</v>
      </c>
      <c r="Q5" cm="1">
        <f t="array" ref="Q5">[1]!PropsSI("D","T",J5+273.15,"P",101325,"Water")</f>
        <v>983.8824314067034</v>
      </c>
      <c r="R5" cm="1">
        <f t="array" ref="R5">[1]!PropsSI("D","T",K5+273.15,"P",101325,"Water")</f>
        <v>986.51424085360225</v>
      </c>
      <c r="S5">
        <f t="shared" si="1"/>
        <v>985.19833613015282</v>
      </c>
      <c r="T5" cm="1">
        <f t="array" ref="T5">[1]!PropsSI("H","T",J5+273.15,"P",101325,"Water")</f>
        <v>245620.12361303563</v>
      </c>
      <c r="U5" cm="1">
        <f t="array" ref="U5">[1]!PropsSI("H","T",K5+273.15,"P",101325,"Water")</f>
        <v>223156.2920757808</v>
      </c>
      <c r="V5">
        <f t="shared" si="2"/>
        <v>828.92156757520104</v>
      </c>
      <c r="W5" s="3"/>
      <c r="X5">
        <f t="shared" si="3"/>
        <v>0.26730990599999999</v>
      </c>
      <c r="Y5">
        <f t="shared" si="3"/>
        <v>0.25657022400000001</v>
      </c>
      <c r="Z5">
        <f t="shared" si="4"/>
        <v>0.37051702483035648</v>
      </c>
      <c r="AA5">
        <f t="shared" si="7"/>
        <v>5.369841000000001</v>
      </c>
      <c r="AB5">
        <f t="shared" si="5"/>
        <v>6.9720502686178215E-2</v>
      </c>
      <c r="AC5">
        <f t="shared" si="6"/>
        <v>57.792828378757861</v>
      </c>
    </row>
    <row r="6" spans="1:29" x14ac:dyDescent="0.2">
      <c r="A6">
        <v>46137.087669976849</v>
      </c>
      <c r="B6">
        <v>17.846620000000001</v>
      </c>
      <c r="C6">
        <v>18.356107999999999</v>
      </c>
      <c r="D6">
        <v>19.164978999999999</v>
      </c>
      <c r="E6">
        <v>19.492246000000002</v>
      </c>
      <c r="F6">
        <v>30.369081000000001</v>
      </c>
      <c r="G6">
        <v>32.954583999999997</v>
      </c>
      <c r="H6">
        <v>27.091138999999998</v>
      </c>
      <c r="I6">
        <v>24.528676999999998</v>
      </c>
      <c r="J6">
        <v>58.650333000000003</v>
      </c>
      <c r="K6">
        <v>53.277478000000002</v>
      </c>
      <c r="L6">
        <v>288.13399600000002</v>
      </c>
      <c r="M6">
        <v>-622.50693799999999</v>
      </c>
      <c r="N6">
        <v>2.253053</v>
      </c>
      <c r="O6">
        <v>4.8586530000000003</v>
      </c>
      <c r="P6">
        <f t="shared" si="0"/>
        <v>3.7550883333333337E-5</v>
      </c>
      <c r="Q6" cm="1">
        <f t="array" ref="Q6">[1]!PropsSI("D","T",J6+273.15,"P",101325,"Water")</f>
        <v>983.88477120939126</v>
      </c>
      <c r="R6" cm="1">
        <f t="array" ref="R6">[1]!PropsSI("D","T",K6+273.15,"P",101325,"Water")</f>
        <v>986.51785498844038</v>
      </c>
      <c r="S6">
        <f t="shared" si="1"/>
        <v>985.20131309891576</v>
      </c>
      <c r="T6" cm="1">
        <f t="array" ref="T6">[1]!PropsSI("H","T",J6+273.15,"P",101325,"Water")</f>
        <v>245600.79178452378</v>
      </c>
      <c r="U6" cm="1">
        <f t="array" ref="U6">[1]!PropsSI("H","T",K6+273.15,"P",101325,"Water")</f>
        <v>223124.3639593941</v>
      </c>
      <c r="V6">
        <f t="shared" si="2"/>
        <v>831.51948343840797</v>
      </c>
      <c r="W6" s="3"/>
      <c r="X6">
        <f t="shared" si="3"/>
        <v>0.26730066600000002</v>
      </c>
      <c r="Y6">
        <f t="shared" si="3"/>
        <v>0.256554956</v>
      </c>
      <c r="Z6">
        <f t="shared" si="4"/>
        <v>0.37049978608928436</v>
      </c>
      <c r="AA6">
        <f>J6-K6</f>
        <v>5.3728550000000013</v>
      </c>
      <c r="AB6">
        <f t="shared" si="5"/>
        <v>6.9679021252672654E-2</v>
      </c>
      <c r="AC6">
        <f t="shared" si="6"/>
        <v>57.939463758516219</v>
      </c>
    </row>
    <row r="7" spans="1:29" x14ac:dyDescent="0.2">
      <c r="A7">
        <v>46137.08770527778</v>
      </c>
      <c r="B7">
        <v>17.891164</v>
      </c>
      <c r="C7">
        <v>18.603691000000001</v>
      </c>
      <c r="D7">
        <v>18.998866</v>
      </c>
      <c r="E7">
        <v>19.544927000000001</v>
      </c>
      <c r="F7">
        <v>30.449278</v>
      </c>
      <c r="G7">
        <v>32.490409</v>
      </c>
      <c r="H7">
        <v>26.006214</v>
      </c>
      <c r="I7">
        <v>24.134357999999999</v>
      </c>
      <c r="J7">
        <v>58.644280000000002</v>
      </c>
      <c r="K7">
        <v>53.266185999999998</v>
      </c>
      <c r="L7">
        <v>277.02965399999999</v>
      </c>
      <c r="M7">
        <v>-622.51632600000005</v>
      </c>
      <c r="N7">
        <v>2.2516229999999999</v>
      </c>
      <c r="O7">
        <v>5.3518439999999998</v>
      </c>
      <c r="P7">
        <f t="shared" si="0"/>
        <v>3.7527049999999998E-5</v>
      </c>
      <c r="Q7" cm="1">
        <f t="array" ref="Q7">[1]!PropsSI("D","T",J7+273.15,"P",101325,"Water")</f>
        <v>983.88783656275609</v>
      </c>
      <c r="R7" cm="1">
        <f t="array" ref="R7">[1]!PropsSI("D","T",K7+273.15,"P",101325,"Water")</f>
        <v>986.52320024028234</v>
      </c>
      <c r="S7">
        <f t="shared" si="1"/>
        <v>985.20551840151916</v>
      </c>
      <c r="T7" cm="1">
        <f t="array" ref="T7">[1]!PropsSI("H","T",J7+273.15,"P",101325,"Water")</f>
        <v>245575.46375513871</v>
      </c>
      <c r="U7" cm="1">
        <f t="array" ref="U7">[1]!PropsSI("H","T",K7+273.15,"P",101325,"Water")</f>
        <v>223077.1368154088</v>
      </c>
      <c r="V7">
        <f t="shared" si="2"/>
        <v>831.80492071528033</v>
      </c>
      <c r="W7" s="3"/>
      <c r="X7">
        <f t="shared" si="3"/>
        <v>0.26728856000000001</v>
      </c>
      <c r="Y7">
        <f t="shared" si="3"/>
        <v>0.25653237200000001</v>
      </c>
      <c r="Z7">
        <f t="shared" si="4"/>
        <v>0.37047541374674242</v>
      </c>
      <c r="AA7">
        <f t="shared" ref="AA7:AA70" si="8">J7-K7</f>
        <v>5.3780940000000044</v>
      </c>
      <c r="AB7">
        <f t="shared" si="5"/>
        <v>6.9608058271811005E-2</v>
      </c>
      <c r="AC7">
        <f t="shared" si="6"/>
        <v>57.900325391928369</v>
      </c>
    </row>
    <row r="8" spans="1:29" x14ac:dyDescent="0.2">
      <c r="A8">
        <v>46137.087740000003</v>
      </c>
      <c r="B8">
        <v>18.021678000000001</v>
      </c>
      <c r="C8">
        <v>18.616371999999998</v>
      </c>
      <c r="D8">
        <v>19.012875000000001</v>
      </c>
      <c r="E8">
        <v>19.548438999999998</v>
      </c>
      <c r="F8">
        <v>30.406683000000001</v>
      </c>
      <c r="G8">
        <v>33.959645000000002</v>
      </c>
      <c r="H8">
        <v>26.829049000000001</v>
      </c>
      <c r="I8">
        <v>23.924334999999999</v>
      </c>
      <c r="J8">
        <v>58.641891000000001</v>
      </c>
      <c r="K8">
        <v>53.262211000000001</v>
      </c>
      <c r="L8">
        <v>270.29897099999999</v>
      </c>
      <c r="M8">
        <v>-622.50489800000003</v>
      </c>
      <c r="N8">
        <v>2.2530619999999999</v>
      </c>
      <c r="O8">
        <v>5.4749059999999998</v>
      </c>
      <c r="P8">
        <f t="shared" si="0"/>
        <v>3.7551033333333334E-5</v>
      </c>
      <c r="Q8" cm="1">
        <f t="array" ref="Q8">[1]!PropsSI("D","T",J8+273.15,"P",101325,"Water")</f>
        <v>983.88904633706636</v>
      </c>
      <c r="R8" cm="1">
        <f t="array" ref="R8">[1]!PropsSI("D","T",K8+273.15,"P",101325,"Water")</f>
        <v>986.52508167928397</v>
      </c>
      <c r="S8">
        <f t="shared" si="1"/>
        <v>985.20706400817517</v>
      </c>
      <c r="T8" cm="1">
        <f t="array" ref="T8">[1]!PropsSI("H","T",J8+273.15,"P",101325,"Water")</f>
        <v>245565.46728454495</v>
      </c>
      <c r="U8" cm="1">
        <f t="array" ref="U8">[1]!PropsSI("H","T",K8+273.15,"P",101325,"Water")</f>
        <v>223060.51196751607</v>
      </c>
      <c r="V8">
        <f t="shared" si="2"/>
        <v>832.5830489138566</v>
      </c>
      <c r="W8" s="3"/>
      <c r="X8">
        <f t="shared" si="3"/>
        <v>0.26728378200000003</v>
      </c>
      <c r="Y8">
        <f t="shared" si="3"/>
        <v>0.25652442200000003</v>
      </c>
      <c r="Z8">
        <f>SQRT((X8)^2 + (Y8)^2)</f>
        <v>0.37046646164350372</v>
      </c>
      <c r="AA8">
        <f t="shared" si="8"/>
        <v>5.3796800000000005</v>
      </c>
      <c r="AB8">
        <f t="shared" si="5"/>
        <v>6.9586313713502823E-2</v>
      </c>
      <c r="AC8">
        <f t="shared" si="6"/>
        <v>57.936385234264293</v>
      </c>
    </row>
    <row r="9" spans="1:29" x14ac:dyDescent="0.2">
      <c r="A9">
        <v>46137.087775300926</v>
      </c>
      <c r="B9">
        <v>17.993518000000002</v>
      </c>
      <c r="C9">
        <v>18.755966000000001</v>
      </c>
      <c r="D9">
        <v>18.966982999999999</v>
      </c>
      <c r="E9">
        <v>19.558655000000002</v>
      </c>
      <c r="F9">
        <v>30.682093999999999</v>
      </c>
      <c r="G9">
        <v>32.910417000000002</v>
      </c>
      <c r="H9">
        <v>26.643975000000001</v>
      </c>
      <c r="I9">
        <v>24.211236</v>
      </c>
      <c r="J9">
        <v>58.636315000000003</v>
      </c>
      <c r="K9">
        <v>53.255212999999998</v>
      </c>
      <c r="L9">
        <v>261.16065300000002</v>
      </c>
      <c r="M9">
        <v>-622.50326500000006</v>
      </c>
      <c r="N9">
        <v>2.2536350000000001</v>
      </c>
      <c r="O9">
        <v>5.5185320000000004</v>
      </c>
      <c r="P9">
        <f t="shared" si="0"/>
        <v>3.7560583333333331E-5</v>
      </c>
      <c r="Q9" cm="1">
        <f t="array" ref="Q9">[1]!PropsSI("D","T",J9+273.15,"P",101325,"Water")</f>
        <v>983.89186985497201</v>
      </c>
      <c r="R9" cm="1">
        <f t="array" ref="R9">[1]!PropsSI("D","T",K9+273.15,"P",101325,"Water")</f>
        <v>986.52839371576977</v>
      </c>
      <c r="S9">
        <f t="shared" si="1"/>
        <v>985.21013178537089</v>
      </c>
      <c r="T9" cm="1">
        <f t="array" ref="T9">[1]!PropsSI("H","T",J9+273.15,"P",101325,"Water")</f>
        <v>245542.13522167652</v>
      </c>
      <c r="U9" cm="1">
        <f t="array" ref="U9">[1]!PropsSI("H","T",K9+273.15,"P",101325,"Water")</f>
        <v>223031.24388335348</v>
      </c>
      <c r="V9">
        <f t="shared" si="2"/>
        <v>833.01704796194599</v>
      </c>
      <c r="W9" s="3"/>
      <c r="X9">
        <f t="shared" si="3"/>
        <v>0.26727263000000001</v>
      </c>
      <c r="Y9">
        <f t="shared" si="3"/>
        <v>0.25651042599999996</v>
      </c>
      <c r="Z9">
        <f t="shared" ref="Z9:Z72" si="9">SQRT((X9)^2 + (Y9)^2)</f>
        <v>0.37044872437871662</v>
      </c>
      <c r="AA9">
        <f t="shared" si="8"/>
        <v>5.3811020000000056</v>
      </c>
      <c r="AB9">
        <f t="shared" si="5"/>
        <v>6.9565042787540596E-2</v>
      </c>
      <c r="AC9">
        <f t="shared" si="6"/>
        <v>57.948866584223531</v>
      </c>
    </row>
    <row r="10" spans="1:29" x14ac:dyDescent="0.2">
      <c r="A10">
        <v>44675.087810025499</v>
      </c>
      <c r="B10">
        <v>17.899011999999999</v>
      </c>
      <c r="C10">
        <v>18.702393000000001</v>
      </c>
      <c r="D10">
        <v>18.812068</v>
      </c>
      <c r="E10">
        <v>19.378295999999999</v>
      </c>
      <c r="F10">
        <v>30.552344000000002</v>
      </c>
      <c r="G10">
        <v>32.154299999999999</v>
      </c>
      <c r="H10">
        <v>25.239619999999999</v>
      </c>
      <c r="I10">
        <v>23.829128999999998</v>
      </c>
      <c r="J10">
        <v>58.63297</v>
      </c>
      <c r="K10">
        <v>53.251396</v>
      </c>
      <c r="L10">
        <v>269.27167500000002</v>
      </c>
      <c r="M10">
        <v>-622.52040699999998</v>
      </c>
      <c r="N10">
        <v>2.254426</v>
      </c>
      <c r="O10">
        <v>5.7854479999999997</v>
      </c>
      <c r="P10">
        <f t="shared" si="0"/>
        <v>3.7573766666666663E-5</v>
      </c>
      <c r="Q10" cm="1">
        <f t="array" ref="Q10">[1]!PropsSI("D","T",J10+273.15,"P",101325,"Water")</f>
        <v>983.89356357259521</v>
      </c>
      <c r="R10" cm="1">
        <f t="array" ref="R10">[1]!PropsSI("D","T",K10+273.15,"P",101325,"Water")</f>
        <v>986.53020010755392</v>
      </c>
      <c r="S10">
        <f t="shared" si="1"/>
        <v>985.21188184007451</v>
      </c>
      <c r="T10" cm="1">
        <f t="array" ref="T10">[1]!PropsSI("H","T",J10+273.15,"P",101325,"Water")</f>
        <v>245528.13850079229</v>
      </c>
      <c r="U10" cm="1">
        <f t="array" ref="U10">[1]!PropsSI("H","T",K10+273.15,"P",101325,"Water")</f>
        <v>223015.27986095109</v>
      </c>
      <c r="V10">
        <f t="shared" si="2"/>
        <v>833.38373341368344</v>
      </c>
      <c r="X10">
        <f t="shared" si="3"/>
        <v>0.26726593999999998</v>
      </c>
      <c r="Y10">
        <f t="shared" si="3"/>
        <v>0.25650279199999998</v>
      </c>
      <c r="Z10">
        <f t="shared" si="9"/>
        <v>0.37043861163204739</v>
      </c>
      <c r="AA10">
        <f t="shared" si="8"/>
        <v>5.3815740000000005</v>
      </c>
      <c r="AB10">
        <f t="shared" si="5"/>
        <v>6.9557207930324258E-2</v>
      </c>
      <c r="AC10">
        <f t="shared" si="6"/>
        <v>57.967845630805499</v>
      </c>
    </row>
    <row r="11" spans="1:29" x14ac:dyDescent="0.2">
      <c r="A11">
        <v>44675.087845326401</v>
      </c>
      <c r="B11">
        <v>18.058153000000001</v>
      </c>
      <c r="C11">
        <v>18.702218999999999</v>
      </c>
      <c r="D11">
        <v>18.850194999999999</v>
      </c>
      <c r="E11">
        <v>19.445319999999999</v>
      </c>
      <c r="F11">
        <v>31.039376000000001</v>
      </c>
      <c r="G11">
        <v>34.246586999999998</v>
      </c>
      <c r="H11">
        <v>26.706479000000002</v>
      </c>
      <c r="I11">
        <v>24.416847000000001</v>
      </c>
      <c r="J11">
        <v>58.630262000000002</v>
      </c>
      <c r="K11">
        <v>53.243761999999997</v>
      </c>
      <c r="L11">
        <v>272.47110700000002</v>
      </c>
      <c r="M11">
        <v>-622.48244999999997</v>
      </c>
      <c r="N11">
        <v>2.2505579999999998</v>
      </c>
      <c r="O11">
        <v>5.5144399999999996</v>
      </c>
      <c r="P11">
        <f t="shared" si="0"/>
        <v>3.7509299999999997E-5</v>
      </c>
      <c r="Q11" cm="1">
        <f t="array" ref="Q11">[1]!PropsSI("D","T",J11+273.15,"P",101325,"Water")</f>
        <v>983.89493470062428</v>
      </c>
      <c r="R11" cm="1">
        <f t="array" ref="R11">[1]!PropsSI("D","T",K11+273.15,"P",101325,"Water")</f>
        <v>986.53381261469133</v>
      </c>
      <c r="S11">
        <f t="shared" si="1"/>
        <v>985.2143736576578</v>
      </c>
      <c r="T11" cm="1">
        <f t="array" ref="T11">[1]!PropsSI("H","T",J11+273.15,"P",101325,"Water")</f>
        <v>245516.80722761856</v>
      </c>
      <c r="U11" cm="1">
        <f t="array" ref="U11">[1]!PropsSI("H","T",K11+273.15,"P",101325,"Water")</f>
        <v>222983.3518307851</v>
      </c>
      <c r="V11">
        <f t="shared" si="2"/>
        <v>832.71711808507598</v>
      </c>
      <c r="X11">
        <f t="shared" si="3"/>
        <v>0.267260524</v>
      </c>
      <c r="Y11">
        <f t="shared" si="3"/>
        <v>0.25648752399999997</v>
      </c>
      <c r="Z11">
        <f t="shared" si="9"/>
        <v>0.37042413211939246</v>
      </c>
      <c r="AA11">
        <f t="shared" si="8"/>
        <v>5.3865000000000052</v>
      </c>
      <c r="AB11">
        <f t="shared" si="5"/>
        <v>6.9492252484518763E-2</v>
      </c>
      <c r="AC11">
        <f t="shared" si="6"/>
        <v>57.867388218148925</v>
      </c>
    </row>
    <row r="12" spans="1:29" x14ac:dyDescent="0.2">
      <c r="A12">
        <v>44675.087880627303</v>
      </c>
      <c r="B12">
        <v>17.599585000000001</v>
      </c>
      <c r="C12">
        <v>18.388362999999998</v>
      </c>
      <c r="D12">
        <v>18.891909999999999</v>
      </c>
      <c r="E12">
        <v>19.385918</v>
      </c>
      <c r="F12">
        <v>30.529064000000002</v>
      </c>
      <c r="G12">
        <v>32.295943000000001</v>
      </c>
      <c r="H12">
        <v>26.585241</v>
      </c>
      <c r="I12">
        <v>24.114691000000001</v>
      </c>
      <c r="J12">
        <v>58.626758000000002</v>
      </c>
      <c r="K12">
        <v>53.236922999999997</v>
      </c>
      <c r="L12">
        <v>287.268733</v>
      </c>
      <c r="M12">
        <v>-622.49469399999998</v>
      </c>
      <c r="N12">
        <v>2.2507830000000002</v>
      </c>
      <c r="O12">
        <v>5.6784480000000004</v>
      </c>
      <c r="P12">
        <f t="shared" si="0"/>
        <v>3.7513050000000002E-5</v>
      </c>
      <c r="Q12" cm="1">
        <f t="array" ref="Q12">[1]!PropsSI("D","T",J12+273.15,"P",101325,"Water")</f>
        <v>983.89670879821983</v>
      </c>
      <c r="R12" cm="1">
        <f t="array" ref="R12">[1]!PropsSI("D","T",K12+273.15,"P",101325,"Water")</f>
        <v>986.53704860451455</v>
      </c>
      <c r="S12">
        <f t="shared" si="1"/>
        <v>985.21687870136725</v>
      </c>
      <c r="T12" cm="1">
        <f t="array" ref="T12">[1]!PropsSI("H","T",J12+273.15,"P",101325,"Water")</f>
        <v>245502.14520070038</v>
      </c>
      <c r="U12" cm="1">
        <f t="array" ref="U12">[1]!PropsSI("H","T",K12+273.15,"P",101325,"Water")</f>
        <v>222954.74878233086</v>
      </c>
      <c r="V12">
        <f t="shared" si="2"/>
        <v>833.31772576612934</v>
      </c>
      <c r="X12">
        <f t="shared" si="3"/>
        <v>0.26725351600000002</v>
      </c>
      <c r="Y12">
        <f t="shared" si="3"/>
        <v>0.25647384600000001</v>
      </c>
      <c r="Z12">
        <f t="shared" si="9"/>
        <v>0.3704096050271834</v>
      </c>
      <c r="AA12">
        <f t="shared" si="8"/>
        <v>5.389835000000005</v>
      </c>
      <c r="AB12">
        <f t="shared" si="5"/>
        <v>6.9447477121917539E-2</v>
      </c>
      <c r="AC12">
        <f t="shared" si="6"/>
        <v>57.871813695431619</v>
      </c>
    </row>
    <row r="13" spans="1:29" x14ac:dyDescent="0.2">
      <c r="A13">
        <v>44675.087915928299</v>
      </c>
      <c r="B13">
        <v>17.910489999999999</v>
      </c>
      <c r="C13">
        <v>18.6553</v>
      </c>
      <c r="D13">
        <v>18.794882000000001</v>
      </c>
      <c r="E13">
        <v>19.465126999999999</v>
      </c>
      <c r="F13">
        <v>30.435157</v>
      </c>
      <c r="G13">
        <v>33.369180999999998</v>
      </c>
      <c r="H13">
        <v>26.319178999999998</v>
      </c>
      <c r="I13">
        <v>24.198902</v>
      </c>
      <c r="J13">
        <v>58.623094000000002</v>
      </c>
      <c r="K13">
        <v>53.232629000000003</v>
      </c>
      <c r="L13">
        <v>265.116781</v>
      </c>
      <c r="M13">
        <v>-622.49673499999994</v>
      </c>
      <c r="N13">
        <v>2.2521270000000002</v>
      </c>
      <c r="O13">
        <v>5.3286389999999999</v>
      </c>
      <c r="P13">
        <f t="shared" si="0"/>
        <v>3.753545000000001E-5</v>
      </c>
      <c r="Q13" cm="1">
        <f t="array" ref="Q13">[1]!PropsSI("D","T",J13+273.15,"P",101325,"Water")</f>
        <v>983.8985638262352</v>
      </c>
      <c r="R13" cm="1">
        <f t="array" ref="R13">[1]!PropsSI("D","T",K13+273.15,"P",101325,"Water")</f>
        <v>986.53908023286556</v>
      </c>
      <c r="S13">
        <f t="shared" si="1"/>
        <v>985.21882202955044</v>
      </c>
      <c r="T13" cm="1">
        <f t="array" ref="T13">[1]!PropsSI("H","T",J13+273.15,"P",101325,"Water")</f>
        <v>245486.81368030354</v>
      </c>
      <c r="U13" cm="1">
        <f t="array" ref="U13">[1]!PropsSI("H","T",K13+273.15,"P",101325,"Water")</f>
        <v>222936.78980650727</v>
      </c>
      <c r="V13">
        <f t="shared" si="2"/>
        <v>833.91413071009288</v>
      </c>
      <c r="X13">
        <f t="shared" si="3"/>
        <v>0.267246188</v>
      </c>
      <c r="Y13">
        <f t="shared" si="3"/>
        <v>0.25646525799999997</v>
      </c>
      <c r="Z13">
        <f t="shared" si="9"/>
        <v>0.37039837143478083</v>
      </c>
      <c r="AA13">
        <f t="shared" si="8"/>
        <v>5.390464999999999</v>
      </c>
      <c r="AB13">
        <f t="shared" si="5"/>
        <v>6.9437466632930239E-2</v>
      </c>
      <c r="AC13">
        <f t="shared" si="6"/>
        <v>57.904884625911102</v>
      </c>
    </row>
    <row r="14" spans="1:29" x14ac:dyDescent="0.2">
      <c r="A14">
        <v>44675.087950650501</v>
      </c>
      <c r="B14">
        <v>18.083341999999998</v>
      </c>
      <c r="C14">
        <v>18.655788000000001</v>
      </c>
      <c r="D14">
        <v>19.03379</v>
      </c>
      <c r="E14">
        <v>19.555782000000001</v>
      </c>
      <c r="F14">
        <v>30.538774</v>
      </c>
      <c r="G14">
        <v>33.845238999999999</v>
      </c>
      <c r="H14">
        <v>24.248194999999999</v>
      </c>
      <c r="I14">
        <v>23.969308000000002</v>
      </c>
      <c r="J14">
        <v>58.617997000000003</v>
      </c>
      <c r="K14">
        <v>53.225155000000001</v>
      </c>
      <c r="L14">
        <v>277.05740800000001</v>
      </c>
      <c r="M14">
        <v>-622.48897999999997</v>
      </c>
      <c r="N14">
        <v>2.2509350000000001</v>
      </c>
      <c r="O14">
        <v>5.5306680000000004</v>
      </c>
      <c r="P14">
        <f t="shared" si="0"/>
        <v>3.7515583333333341E-5</v>
      </c>
      <c r="Q14" cm="1">
        <f t="array" ref="Q14">[1]!PropsSI("D","T",J14+273.15,"P",101325,"Water")</f>
        <v>983.90114422694467</v>
      </c>
      <c r="R14" cm="1">
        <f t="array" ref="R14">[1]!PropsSI("D","T",K14+273.15,"P",101325,"Water")</f>
        <v>986.54261614243092</v>
      </c>
      <c r="S14">
        <f t="shared" si="1"/>
        <v>985.22188018468773</v>
      </c>
      <c r="T14" cm="1">
        <f t="array" ref="T14">[1]!PropsSI("H","T",J14+273.15,"P",101325,"Water")</f>
        <v>245465.4859713898</v>
      </c>
      <c r="U14" cm="1">
        <f t="array" ref="U14">[1]!PropsSI("H","T",K14+273.15,"P",101325,"Water")</f>
        <v>222905.53099843953</v>
      </c>
      <c r="V14">
        <f t="shared" si="2"/>
        <v>833.84241098784457</v>
      </c>
      <c r="X14">
        <f t="shared" si="3"/>
        <v>0.26723599399999998</v>
      </c>
      <c r="Y14">
        <f t="shared" si="3"/>
        <v>0.25645031000000001</v>
      </c>
      <c r="Z14">
        <f t="shared" si="9"/>
        <v>0.37038066632623268</v>
      </c>
      <c r="AA14">
        <f t="shared" si="8"/>
        <v>5.3928420000000017</v>
      </c>
      <c r="AB14">
        <f t="shared" si="5"/>
        <v>6.9404246807604E-2</v>
      </c>
      <c r="AC14">
        <f t="shared" si="6"/>
        <v>57.872204490847935</v>
      </c>
    </row>
    <row r="15" spans="1:29" x14ac:dyDescent="0.2">
      <c r="A15">
        <v>46137.087985949074</v>
      </c>
      <c r="B15">
        <v>17.815781000000001</v>
      </c>
      <c r="C15">
        <v>18.427620000000001</v>
      </c>
      <c r="D15">
        <v>18.901886999999999</v>
      </c>
      <c r="E15">
        <v>19.523136999999998</v>
      </c>
      <c r="F15">
        <v>30.302458000000001</v>
      </c>
      <c r="G15">
        <v>32.486736000000001</v>
      </c>
      <c r="H15">
        <v>26.736215999999999</v>
      </c>
      <c r="I15">
        <v>23.745813999999999</v>
      </c>
      <c r="J15">
        <v>58.614811000000003</v>
      </c>
      <c r="K15">
        <v>53.221814999999999</v>
      </c>
      <c r="L15">
        <v>270.18795599999999</v>
      </c>
      <c r="M15">
        <v>-622.51224400000001</v>
      </c>
      <c r="N15">
        <v>2.2516189999999998</v>
      </c>
      <c r="O15">
        <v>5.5326129999999996</v>
      </c>
      <c r="P15">
        <f t="shared" ref="P15:P27" si="10" xml:space="preserve"> N15*0.001/60</f>
        <v>3.7526983333333332E-5</v>
      </c>
      <c r="Q15" cm="1">
        <f t="array" ref="Q15">[1]!PropsSI("D","T",J15+273.15,"P",101325,"Water")</f>
        <v>983.90275708827573</v>
      </c>
      <c r="R15" cm="1">
        <f t="array" ref="R15">[1]!PropsSI("D","T",K15+273.15,"P",101325,"Water")</f>
        <v>986.54419616436633</v>
      </c>
      <c r="S15">
        <f t="shared" ref="S15:S27" si="11">(Q15+R15)/2</f>
        <v>985.22347662632103</v>
      </c>
      <c r="T15" cm="1">
        <f t="array" ref="T15">[1]!PropsSI("H","T",J15+273.15,"P",101325,"Water")</f>
        <v>245452.15458969056</v>
      </c>
      <c r="U15" cm="1">
        <f t="array" ref="U15">[1]!PropsSI("H","T",K15+273.15,"P",101325,"Water")</f>
        <v>222891.56198941221</v>
      </c>
      <c r="V15">
        <f t="shared" ref="V15:V27" si="12">S15*P15*(T15-U15)</f>
        <v>834.12071999896568</v>
      </c>
      <c r="X15">
        <f t="shared" ref="X15:X27" si="13">(0.15+0.002*ABS(J15))</f>
        <v>0.267229622</v>
      </c>
      <c r="Y15">
        <f t="shared" ref="Y15:Y27" si="14">(0.15+0.002*ABS(K15))</f>
        <v>0.25644362999999998</v>
      </c>
      <c r="Z15">
        <f t="shared" ref="Z15:Z27" si="15">SQRT((X15)^2 + (Y15)^2)</f>
        <v>0.37037144361011387</v>
      </c>
      <c r="AA15">
        <f t="shared" ref="AA15:AA27" si="16">J15-K15</f>
        <v>5.3929960000000037</v>
      </c>
      <c r="AB15">
        <f t="shared" ref="AB15:AB27" si="17">SQRT((0.01)^2 + (Z15/ABS(AA15))^2)</f>
        <v>6.9400613792332908E-2</v>
      </c>
      <c r="AC15">
        <f t="shared" ref="AC15:AC27" si="18">ABS(V15*AB15)</f>
        <v>57.888489944830873</v>
      </c>
    </row>
    <row r="16" spans="1:29" x14ac:dyDescent="0.2">
      <c r="A16">
        <v>46137.088020671297</v>
      </c>
      <c r="B16">
        <v>17.884609999999999</v>
      </c>
      <c r="C16">
        <v>18.639676999999999</v>
      </c>
      <c r="D16">
        <v>18.898548000000002</v>
      </c>
      <c r="E16">
        <v>19.481576</v>
      </c>
      <c r="F16">
        <v>30.761393000000002</v>
      </c>
      <c r="G16">
        <v>34.217063000000003</v>
      </c>
      <c r="H16">
        <v>26.524525000000001</v>
      </c>
      <c r="I16">
        <v>23.954820000000002</v>
      </c>
      <c r="J16">
        <v>58.610191999999998</v>
      </c>
      <c r="K16">
        <v>53.217044000000001</v>
      </c>
      <c r="L16">
        <v>262.26508699999999</v>
      </c>
      <c r="M16">
        <v>-622.49102100000005</v>
      </c>
      <c r="N16">
        <v>2.2508409999999999</v>
      </c>
      <c r="O16">
        <v>5.8292390000000003</v>
      </c>
      <c r="P16">
        <f t="shared" si="10"/>
        <v>3.7514016666666664E-5</v>
      </c>
      <c r="Q16" cm="1">
        <f t="array" ref="Q16">[1]!PropsSI("D","T",J16+273.15,"P",101325,"Water")</f>
        <v>983.90509527497522</v>
      </c>
      <c r="R16" cm="1">
        <f t="array" ref="R16">[1]!PropsSI("D","T",K16+273.15,"P",101325,"Water")</f>
        <v>986.54645301342885</v>
      </c>
      <c r="S16">
        <f t="shared" si="11"/>
        <v>985.22577414420198</v>
      </c>
      <c r="T16" cm="1">
        <f t="array" ref="T16">[1]!PropsSI("H","T",J16+273.15,"P",101325,"Water")</f>
        <v>245432.8270227669</v>
      </c>
      <c r="U16" cm="1">
        <f t="array" ref="U16">[1]!PropsSI("H","T",K16+273.15,"P",101325,"Water")</f>
        <v>222871.60806103714</v>
      </c>
      <c r="V16">
        <f t="shared" si="12"/>
        <v>833.85760163201212</v>
      </c>
      <c r="X16">
        <f t="shared" si="13"/>
        <v>0.26722038399999998</v>
      </c>
      <c r="Y16">
        <f t="shared" si="14"/>
        <v>0.256434088</v>
      </c>
      <c r="Z16">
        <f t="shared" si="15"/>
        <v>0.37035817138750859</v>
      </c>
      <c r="AA16">
        <f t="shared" si="16"/>
        <v>5.3931479999999965</v>
      </c>
      <c r="AB16">
        <f t="shared" si="17"/>
        <v>6.9396263164625036E-2</v>
      </c>
      <c r="AC16">
        <f t="shared" si="18"/>
        <v>57.866601564678177</v>
      </c>
    </row>
    <row r="17" spans="1:29" x14ac:dyDescent="0.2">
      <c r="A17">
        <v>46137.088055972221</v>
      </c>
      <c r="B17">
        <v>18.133310999999999</v>
      </c>
      <c r="C17">
        <v>18.785423999999999</v>
      </c>
      <c r="D17">
        <v>19.168355999999999</v>
      </c>
      <c r="E17">
        <v>19.530946</v>
      </c>
      <c r="F17">
        <v>30.563139</v>
      </c>
      <c r="G17">
        <v>33.320838000000002</v>
      </c>
      <c r="H17">
        <v>26.596681</v>
      </c>
      <c r="I17">
        <v>23.976728000000001</v>
      </c>
      <c r="J17">
        <v>58.605094000000001</v>
      </c>
      <c r="K17">
        <v>53.209569000000002</v>
      </c>
      <c r="L17">
        <v>281.60003699999999</v>
      </c>
      <c r="M17">
        <v>-622.48530700000003</v>
      </c>
      <c r="N17">
        <v>2.2515209999999999</v>
      </c>
      <c r="O17">
        <v>5.5461080000000003</v>
      </c>
      <c r="P17">
        <f t="shared" si="10"/>
        <v>3.7525349999999995E-5</v>
      </c>
      <c r="Q17" cm="1">
        <f t="array" ref="Q17">[1]!PropsSI("D","T",J17+273.15,"P",101325,"Water")</f>
        <v>983.90767578824034</v>
      </c>
      <c r="R17" cm="1">
        <f t="array" ref="R17">[1]!PropsSI("D","T",K17+273.15,"P",101325,"Water")</f>
        <v>986.54998865896846</v>
      </c>
      <c r="S17">
        <f t="shared" si="11"/>
        <v>985.2288322236044</v>
      </c>
      <c r="T17" cm="1">
        <f t="array" ref="T17">[1]!PropsSI("H","T",J17+273.15,"P",101325,"Water")</f>
        <v>245411.49515685037</v>
      </c>
      <c r="U17" cm="1">
        <f t="array" ref="U17">[1]!PropsSI("H","T",K17+273.15,"P",101325,"Water")</f>
        <v>222840.34510963305</v>
      </c>
      <c r="V17">
        <f t="shared" si="12"/>
        <v>834.47926951794284</v>
      </c>
      <c r="X17">
        <f t="shared" si="13"/>
        <v>0.26721018800000002</v>
      </c>
      <c r="Y17">
        <f t="shared" si="14"/>
        <v>0.25641913799999999</v>
      </c>
      <c r="Z17">
        <f t="shared" si="15"/>
        <v>0.37034046349765559</v>
      </c>
      <c r="AA17">
        <f t="shared" si="16"/>
        <v>5.3955249999999992</v>
      </c>
      <c r="AB17">
        <f t="shared" si="17"/>
        <v>6.9363077918002378E-2</v>
      </c>
      <c r="AC17">
        <f t="shared" si="18"/>
        <v>57.882050592530774</v>
      </c>
    </row>
    <row r="18" spans="1:29" x14ac:dyDescent="0.2">
      <c r="A18">
        <v>46137.088090694444</v>
      </c>
      <c r="B18">
        <v>18.000685000000001</v>
      </c>
      <c r="C18">
        <v>18.702601999999999</v>
      </c>
      <c r="D18">
        <v>19.188547</v>
      </c>
      <c r="E18">
        <v>19.586141999999999</v>
      </c>
      <c r="F18">
        <v>30.662268999999998</v>
      </c>
      <c r="G18">
        <v>32.719793000000003</v>
      </c>
      <c r="H18">
        <v>26.797698</v>
      </c>
      <c r="I18">
        <v>24.517634999999999</v>
      </c>
      <c r="J18">
        <v>58.601908000000002</v>
      </c>
      <c r="K18">
        <v>53.209727999999998</v>
      </c>
      <c r="L18">
        <v>258.48935799999998</v>
      </c>
      <c r="M18">
        <v>-622.49510199999997</v>
      </c>
      <c r="N18">
        <v>2.2516479999999999</v>
      </c>
      <c r="O18">
        <v>5.2380069999999996</v>
      </c>
      <c r="P18">
        <f t="shared" si="10"/>
        <v>3.7527466666666663E-5</v>
      </c>
      <c r="Q18" cm="1">
        <f t="array" ref="Q18">[1]!PropsSI("D","T",J18+273.15,"P",101325,"Water")</f>
        <v>983.90928840351501</v>
      </c>
      <c r="R18" cm="1">
        <f t="array" ref="R18">[1]!PropsSI("D","T",K18+273.15,"P",101325,"Water")</f>
        <v>986.54991345629799</v>
      </c>
      <c r="S18">
        <f t="shared" si="11"/>
        <v>985.2296009299065</v>
      </c>
      <c r="T18" cm="1">
        <f t="array" ref="T18">[1]!PropsSI("H","T",J18+273.15,"P",101325,"Water")</f>
        <v>245398.16379225306</v>
      </c>
      <c r="U18" cm="1">
        <f t="array" ref="U18">[1]!PropsSI("H","T",K18+273.15,"P",101325,"Water")</f>
        <v>222841.01010064522</v>
      </c>
      <c r="V18">
        <f t="shared" si="12"/>
        <v>834.00950089153355</v>
      </c>
      <c r="X18">
        <f t="shared" si="13"/>
        <v>0.26720381599999998</v>
      </c>
      <c r="Y18">
        <f t="shared" si="14"/>
        <v>0.25641945599999999</v>
      </c>
      <c r="Z18">
        <f t="shared" si="15"/>
        <v>0.3703360861437861</v>
      </c>
      <c r="AA18">
        <f t="shared" si="16"/>
        <v>5.3921800000000033</v>
      </c>
      <c r="AB18">
        <f t="shared" si="17"/>
        <v>6.9404409407262405E-2</v>
      </c>
      <c r="AC18">
        <f t="shared" si="18"/>
        <v>57.883936849422575</v>
      </c>
    </row>
    <row r="19" spans="1:29" x14ac:dyDescent="0.2">
      <c r="A19">
        <v>46137.088125416667</v>
      </c>
      <c r="B19">
        <v>18.075824999999998</v>
      </c>
      <c r="C19">
        <v>18.562866</v>
      </c>
      <c r="D19">
        <v>19.268992999999998</v>
      </c>
      <c r="E19">
        <v>19.549925000000002</v>
      </c>
      <c r="F19">
        <v>30.969836000000001</v>
      </c>
      <c r="G19">
        <v>33.684333000000002</v>
      </c>
      <c r="H19">
        <v>26.496777999999999</v>
      </c>
      <c r="I19">
        <v>24.521706999999999</v>
      </c>
      <c r="J19">
        <v>58.598882000000003</v>
      </c>
      <c r="K19">
        <v>53.212114</v>
      </c>
      <c r="L19">
        <v>286.803042</v>
      </c>
      <c r="M19">
        <v>-622.49020499999995</v>
      </c>
      <c r="N19">
        <v>2.2514180000000001</v>
      </c>
      <c r="O19">
        <v>4.8916680000000001</v>
      </c>
      <c r="P19">
        <f t="shared" si="10"/>
        <v>3.7523633333333334E-5</v>
      </c>
      <c r="Q19" cm="1">
        <f t="array" ref="Q19">[1]!PropsSI("D","T",J19+273.15,"P",101325,"Water")</f>
        <v>983.91081997745596</v>
      </c>
      <c r="R19" cm="1">
        <f t="array" ref="R19">[1]!PropsSI("D","T",K19+273.15,"P",101325,"Water")</f>
        <v>986.54878492369915</v>
      </c>
      <c r="S19">
        <f t="shared" si="11"/>
        <v>985.22980245057761</v>
      </c>
      <c r="T19" cm="1">
        <f t="array" ref="T19">[1]!PropsSI("H","T",J19+273.15,"P",101325,"Water")</f>
        <v>245385.50192881946</v>
      </c>
      <c r="U19" cm="1">
        <f t="array" ref="U19">[1]!PropsSI("H","T",K19+273.15,"P",101325,"Water")</f>
        <v>222850.98914921185</v>
      </c>
      <c r="V19">
        <f t="shared" si="12"/>
        <v>833.08745858361715</v>
      </c>
      <c r="X19">
        <f t="shared" si="13"/>
        <v>0.267197764</v>
      </c>
      <c r="Y19">
        <f t="shared" si="14"/>
        <v>0.25642422799999998</v>
      </c>
      <c r="Z19">
        <f t="shared" si="15"/>
        <v>0.37033502371770843</v>
      </c>
      <c r="AA19">
        <f t="shared" si="16"/>
        <v>5.3867680000000036</v>
      </c>
      <c r="AB19">
        <f t="shared" si="17"/>
        <v>6.9472496868641764E-2</v>
      </c>
      <c r="AC19">
        <f t="shared" si="18"/>
        <v>57.876665857755071</v>
      </c>
    </row>
    <row r="20" spans="1:29" x14ac:dyDescent="0.2">
      <c r="A20">
        <v>46137.08816013889</v>
      </c>
      <c r="B20">
        <v>17.876307000000001</v>
      </c>
      <c r="C20">
        <v>18.528186999999999</v>
      </c>
      <c r="D20">
        <v>19.332318000000001</v>
      </c>
      <c r="E20">
        <v>19.530256999999999</v>
      </c>
      <c r="F20">
        <v>30.665627000000001</v>
      </c>
      <c r="G20">
        <v>33.377239000000003</v>
      </c>
      <c r="H20">
        <v>26.791011999999998</v>
      </c>
      <c r="I20">
        <v>24.062961000000001</v>
      </c>
      <c r="J20">
        <v>58.594580999999998</v>
      </c>
      <c r="K20">
        <v>53.211478</v>
      </c>
      <c r="L20">
        <v>270.17326300000002</v>
      </c>
      <c r="M20">
        <v>-622.48449100000005</v>
      </c>
      <c r="N20">
        <v>2.2477140000000002</v>
      </c>
      <c r="O20">
        <v>5.2709710000000003</v>
      </c>
      <c r="P20">
        <f t="shared" si="10"/>
        <v>3.7461900000000001E-5</v>
      </c>
      <c r="Q20" cm="1">
        <f t="array" ref="Q20">[1]!PropsSI("D","T",J20+273.15,"P",101325,"Water")</f>
        <v>983.91299678317318</v>
      </c>
      <c r="R20" cm="1">
        <f t="array" ref="R20">[1]!PropsSI("D","T",K20+273.15,"P",101325,"Water")</f>
        <v>986.54908574310218</v>
      </c>
      <c r="S20">
        <f t="shared" si="11"/>
        <v>985.23104126313774</v>
      </c>
      <c r="T20" cm="1">
        <f t="array" ref="T20">[1]!PropsSI("H","T",J20+273.15,"P",101325,"Water")</f>
        <v>245367.50501716376</v>
      </c>
      <c r="U20" cm="1">
        <f t="array" ref="U20">[1]!PropsSI("H","T",K20+273.15,"P",101325,"Water")</f>
        <v>222848.32918469189</v>
      </c>
      <c r="V20">
        <f t="shared" si="12"/>
        <v>831.15185539887273</v>
      </c>
      <c r="X20">
        <f t="shared" si="13"/>
        <v>0.26718916199999998</v>
      </c>
      <c r="Y20">
        <f t="shared" si="14"/>
        <v>0.25642295599999998</v>
      </c>
      <c r="Z20">
        <f t="shared" si="15"/>
        <v>0.37032793663730007</v>
      </c>
      <c r="AA20">
        <f t="shared" si="16"/>
        <v>5.3831029999999984</v>
      </c>
      <c r="AB20">
        <f t="shared" si="17"/>
        <v>6.9517513584003501E-2</v>
      </c>
      <c r="AC20">
        <f t="shared" si="18"/>
        <v>57.779610398060846</v>
      </c>
    </row>
    <row r="21" spans="1:29" x14ac:dyDescent="0.2">
      <c r="A21">
        <v>46137.088195439814</v>
      </c>
      <c r="B21">
        <v>17.977995</v>
      </c>
      <c r="C21">
        <v>18.568213</v>
      </c>
      <c r="D21">
        <v>19.203319</v>
      </c>
      <c r="E21">
        <v>19.467881999999999</v>
      </c>
      <c r="F21">
        <v>30.576789999999999</v>
      </c>
      <c r="G21">
        <v>33.032842000000002</v>
      </c>
      <c r="H21">
        <v>27.169191999999999</v>
      </c>
      <c r="I21">
        <v>24.355920999999999</v>
      </c>
      <c r="J21">
        <v>58.589962</v>
      </c>
      <c r="K21">
        <v>53.210841000000002</v>
      </c>
      <c r="L21">
        <v>277.69288599999999</v>
      </c>
      <c r="M21">
        <v>-622.474287</v>
      </c>
      <c r="N21">
        <v>2.2508409999999999</v>
      </c>
      <c r="O21">
        <v>5.4378250000000001</v>
      </c>
      <c r="P21">
        <f t="shared" si="10"/>
        <v>3.7514016666666664E-5</v>
      </c>
      <c r="Q21" cm="1">
        <f t="array" ref="Q21">[1]!PropsSI("D","T",J21+273.15,"P",101325,"Water")</f>
        <v>983.91533441051956</v>
      </c>
      <c r="R21" cm="1">
        <f t="array" ref="R21">[1]!PropsSI("D","T",K21+273.15,"P",101325,"Water")</f>
        <v>986.54938703294738</v>
      </c>
      <c r="S21">
        <f t="shared" si="11"/>
        <v>985.23236072173347</v>
      </c>
      <c r="T21" cm="1">
        <f t="array" ref="T21">[1]!PropsSI("H","T",J21+273.15,"P",101325,"Water")</f>
        <v>245348.17748909115</v>
      </c>
      <c r="U21" cm="1">
        <f t="array" ref="U21">[1]!PropsSI("H","T",K21+273.15,"P",101325,"Water")</f>
        <v>222845.66503795539</v>
      </c>
      <c r="V21">
        <f t="shared" si="12"/>
        <v>831.69338226699324</v>
      </c>
      <c r="X21">
        <f t="shared" si="13"/>
        <v>0.26717992400000001</v>
      </c>
      <c r="Y21">
        <f t="shared" si="14"/>
        <v>0.25642168199999998</v>
      </c>
      <c r="Z21">
        <f t="shared" si="15"/>
        <v>0.37032038937702971</v>
      </c>
      <c r="AA21">
        <f t="shared" si="16"/>
        <v>5.3791209999999978</v>
      </c>
      <c r="AB21">
        <f t="shared" si="17"/>
        <v>6.9566522312694529E-2</v>
      </c>
      <c r="AC21">
        <f t="shared" si="18"/>
        <v>57.858016234797162</v>
      </c>
    </row>
    <row r="22" spans="1:29" x14ac:dyDescent="0.2">
      <c r="A22">
        <v>46137.088230162037</v>
      </c>
      <c r="B22">
        <v>17.969266000000001</v>
      </c>
      <c r="C22">
        <v>18.468129999999999</v>
      </c>
      <c r="D22">
        <v>19.200344999999999</v>
      </c>
      <c r="E22">
        <v>19.513704000000001</v>
      </c>
      <c r="F22">
        <v>30.481273999999999</v>
      </c>
      <c r="G22">
        <v>33.006827000000001</v>
      </c>
      <c r="H22">
        <v>27.433727000000001</v>
      </c>
      <c r="I22">
        <v>24.907644999999999</v>
      </c>
      <c r="J22">
        <v>58.586934999999997</v>
      </c>
      <c r="K22">
        <v>53.206387999999997</v>
      </c>
      <c r="L22">
        <v>288.75518899999997</v>
      </c>
      <c r="M22">
        <v>-622.50244899999996</v>
      </c>
      <c r="N22">
        <v>2.252205</v>
      </c>
      <c r="O22">
        <v>5.3406609999999999</v>
      </c>
      <c r="P22">
        <f t="shared" si="10"/>
        <v>3.7536750000000006E-5</v>
      </c>
      <c r="Q22" cm="1">
        <f t="array" ref="Q22">[1]!PropsSI("D","T",J22+273.15,"P",101325,"Water")</f>
        <v>983.916866274119</v>
      </c>
      <c r="R22" cm="1">
        <f t="array" ref="R22">[1]!PropsSI("D","T",K22+273.15,"P",101325,"Water")</f>
        <v>986.55149315220979</v>
      </c>
      <c r="S22">
        <f t="shared" si="11"/>
        <v>985.23417971316439</v>
      </c>
      <c r="T22" cm="1">
        <f t="array" ref="T22">[1]!PropsSI("H","T",J22+273.15,"P",101325,"Water")</f>
        <v>245335.51145634698</v>
      </c>
      <c r="U22" cm="1">
        <f t="array" ref="U22">[1]!PropsSI("H","T",K22+273.15,"P",101325,"Water")</f>
        <v>222827.04110879073</v>
      </c>
      <c r="V22">
        <f t="shared" si="12"/>
        <v>832.41925918146603</v>
      </c>
      <c r="X22">
        <f t="shared" si="13"/>
        <v>0.26717386999999998</v>
      </c>
      <c r="Y22">
        <f t="shared" si="14"/>
        <v>0.25641277600000001</v>
      </c>
      <c r="Z22">
        <f t="shared" si="15"/>
        <v>0.3703098547254759</v>
      </c>
      <c r="AA22">
        <f t="shared" si="16"/>
        <v>5.380547</v>
      </c>
      <c r="AB22">
        <f t="shared" si="17"/>
        <v>6.9546528631540275E-2</v>
      </c>
      <c r="AC22">
        <f t="shared" si="18"/>
        <v>57.891869842109372</v>
      </c>
    </row>
    <row r="23" spans="1:29" x14ac:dyDescent="0.2">
      <c r="A23">
        <v>46137.08826488426</v>
      </c>
      <c r="B23">
        <v>17.726547</v>
      </c>
      <c r="C23">
        <v>18.317792000000001</v>
      </c>
      <c r="D23">
        <v>19.230384999999998</v>
      </c>
      <c r="E23">
        <v>19.511897000000001</v>
      </c>
      <c r="F23">
        <v>30.365058999999999</v>
      </c>
      <c r="G23">
        <v>33.688347</v>
      </c>
      <c r="H23">
        <v>26.966063999999999</v>
      </c>
      <c r="I23">
        <v>23.874894999999999</v>
      </c>
      <c r="J23">
        <v>58.583590000000001</v>
      </c>
      <c r="K23">
        <v>53.201298999999999</v>
      </c>
      <c r="L23">
        <v>269.14923199999998</v>
      </c>
      <c r="M23">
        <v>-622.48612300000002</v>
      </c>
      <c r="N23">
        <v>2.2493609999999999</v>
      </c>
      <c r="O23">
        <v>5.5973459999999999</v>
      </c>
      <c r="P23">
        <f t="shared" si="10"/>
        <v>3.7489350000000004E-5</v>
      </c>
      <c r="Q23" cm="1">
        <f t="array" ref="Q23">[1]!PropsSI("D","T",J23+273.15,"P",101325,"Water")</f>
        <v>983.91855900309554</v>
      </c>
      <c r="R23" cm="1">
        <f t="array" ref="R23">[1]!PropsSI("D","T",K23+273.15,"P",101325,"Water")</f>
        <v>986.55389992443781</v>
      </c>
      <c r="S23">
        <f t="shared" si="11"/>
        <v>985.23622946376668</v>
      </c>
      <c r="T23" cm="1">
        <f t="array" ref="T23">[1]!PropsSI("H","T",J23+273.15,"P",101325,"Water")</f>
        <v>245321.51480418167</v>
      </c>
      <c r="U23" cm="1">
        <f t="array" ref="U23">[1]!PropsSI("H","T",K23+273.15,"P",101325,"Water")</f>
        <v>222805.75722390419</v>
      </c>
      <c r="V23">
        <f t="shared" si="12"/>
        <v>831.63900124964493</v>
      </c>
      <c r="X23">
        <f t="shared" si="13"/>
        <v>0.26716718</v>
      </c>
      <c r="Y23">
        <f t="shared" si="14"/>
        <v>0.25640259799999998</v>
      </c>
      <c r="Z23">
        <f t="shared" si="15"/>
        <v>0.37029798045668844</v>
      </c>
      <c r="AA23">
        <f t="shared" si="16"/>
        <v>5.3822910000000022</v>
      </c>
      <c r="AB23">
        <f t="shared" si="17"/>
        <v>6.9522276529974211E-2</v>
      </c>
      <c r="AC23">
        <f t="shared" si="18"/>
        <v>57.817436617989387</v>
      </c>
    </row>
    <row r="24" spans="1:29" x14ac:dyDescent="0.2">
      <c r="A24">
        <v>46137.088300185183</v>
      </c>
      <c r="B24">
        <v>18.137195999999999</v>
      </c>
      <c r="C24">
        <v>18.779184000000001</v>
      </c>
      <c r="D24">
        <v>19.135964999999999</v>
      </c>
      <c r="E24">
        <v>19.434660999999998</v>
      </c>
      <c r="F24">
        <v>31.045259000000001</v>
      </c>
      <c r="G24">
        <v>33.713673999999997</v>
      </c>
      <c r="H24">
        <v>27.651420000000002</v>
      </c>
      <c r="I24">
        <v>24.818294999999999</v>
      </c>
      <c r="J24">
        <v>58.579608</v>
      </c>
      <c r="K24">
        <v>53.194142999999997</v>
      </c>
      <c r="L24">
        <v>273.83226300000001</v>
      </c>
      <c r="M24">
        <v>-622.50163299999997</v>
      </c>
      <c r="N24">
        <v>2.2501190000000002</v>
      </c>
      <c r="O24">
        <v>5.7517849999999999</v>
      </c>
      <c r="P24">
        <f t="shared" si="10"/>
        <v>3.7501983333333338E-5</v>
      </c>
      <c r="Q24" cm="1">
        <f t="array" ref="Q24">[1]!PropsSI("D","T",J24+273.15,"P",101325,"Water")</f>
        <v>983.92057399701559</v>
      </c>
      <c r="R24" cm="1">
        <f t="array" ref="R24">[1]!PropsSI("D","T",K24+273.15,"P",101325,"Water")</f>
        <v>986.55728397850385</v>
      </c>
      <c r="S24">
        <f t="shared" si="11"/>
        <v>985.23892898775966</v>
      </c>
      <c r="T24" cm="1">
        <f t="array" ref="T24">[1]!PropsSI("H","T",J24+273.15,"P",101325,"Water")</f>
        <v>245304.85272683619</v>
      </c>
      <c r="U24" cm="1">
        <f t="array" ref="U24">[1]!PropsSI("H","T",K24+273.15,"P",101325,"Water")</f>
        <v>222775.8284744625</v>
      </c>
      <c r="V24">
        <f t="shared" si="12"/>
        <v>832.41171271030294</v>
      </c>
      <c r="X24">
        <f t="shared" si="13"/>
        <v>0.26715921599999998</v>
      </c>
      <c r="Y24">
        <f t="shared" si="14"/>
        <v>0.25638828599999997</v>
      </c>
      <c r="Z24">
        <f t="shared" si="15"/>
        <v>0.37028232457376686</v>
      </c>
      <c r="AA24">
        <f t="shared" si="16"/>
        <v>5.3854650000000035</v>
      </c>
      <c r="AB24">
        <f t="shared" si="17"/>
        <v>6.9479273775725742E-2</v>
      </c>
      <c r="AC24">
        <f t="shared" si="18"/>
        <v>57.835361281519901</v>
      </c>
    </row>
    <row r="25" spans="1:29" x14ac:dyDescent="0.2">
      <c r="A25">
        <v>46137.088334907407</v>
      </c>
      <c r="B25">
        <v>18.062018999999999</v>
      </c>
      <c r="C25">
        <v>18.599305000000001</v>
      </c>
      <c r="D25">
        <v>19.551055999999999</v>
      </c>
      <c r="E25">
        <v>19.453195000000001</v>
      </c>
      <c r="F25">
        <v>30.621371</v>
      </c>
      <c r="G25">
        <v>33.120424</v>
      </c>
      <c r="H25">
        <v>27.252967000000002</v>
      </c>
      <c r="I25">
        <v>24.765753</v>
      </c>
      <c r="J25">
        <v>58.576104000000001</v>
      </c>
      <c r="K25">
        <v>53.190325999999999</v>
      </c>
      <c r="L25">
        <v>264.34049299999998</v>
      </c>
      <c r="M25">
        <v>-622.50857099999996</v>
      </c>
      <c r="N25">
        <v>2.252869</v>
      </c>
      <c r="O25">
        <v>5.5644580000000001</v>
      </c>
      <c r="P25">
        <f t="shared" si="10"/>
        <v>3.754781666666667E-5</v>
      </c>
      <c r="Q25" cm="1">
        <f t="array" ref="Q25">[1]!PropsSI("D","T",J25+273.15,"P",101325,"Water")</f>
        <v>983.92234703215263</v>
      </c>
      <c r="R25" cm="1">
        <f t="array" ref="R25">[1]!PropsSI("D","T",K25+273.15,"P",101325,"Water")</f>
        <v>986.55908889547175</v>
      </c>
      <c r="S25">
        <f t="shared" si="11"/>
        <v>985.24071796381213</v>
      </c>
      <c r="T25" cm="1">
        <f t="array" ref="T25">[1]!PropsSI("H","T",J25+273.15,"P",101325,"Water")</f>
        <v>245290.19077376684</v>
      </c>
      <c r="U25" cm="1">
        <f t="array" ref="U25">[1]!PropsSI("H","T",K25+273.15,"P",101325,"Water")</f>
        <v>222759.86452998951</v>
      </c>
      <c r="V25">
        <f t="shared" si="12"/>
        <v>833.47872971907441</v>
      </c>
      <c r="X25">
        <f t="shared" si="13"/>
        <v>0.267152208</v>
      </c>
      <c r="Y25">
        <f t="shared" si="14"/>
        <v>0.25638065199999999</v>
      </c>
      <c r="Z25">
        <f t="shared" si="15"/>
        <v>0.37027198241187564</v>
      </c>
      <c r="AA25">
        <f t="shared" si="16"/>
        <v>5.385778000000002</v>
      </c>
      <c r="AB25">
        <f t="shared" si="17"/>
        <v>6.9473419287889596E-2</v>
      </c>
      <c r="AC25">
        <f t="shared" si="18"/>
        <v>57.904617257310861</v>
      </c>
    </row>
    <row r="26" spans="1:29" x14ac:dyDescent="0.2">
      <c r="A26">
        <v>46137.08836962963</v>
      </c>
      <c r="B26">
        <v>18.011797999999999</v>
      </c>
      <c r="C26">
        <v>18.585488000000002</v>
      </c>
      <c r="D26">
        <v>19.268871000000001</v>
      </c>
      <c r="E26">
        <v>19.271815</v>
      </c>
      <c r="F26">
        <v>30.667186000000001</v>
      </c>
      <c r="G26">
        <v>33.586737999999997</v>
      </c>
      <c r="H26">
        <v>26.690061</v>
      </c>
      <c r="I26">
        <v>24.404802</v>
      </c>
      <c r="J26">
        <v>58.571483999999998</v>
      </c>
      <c r="K26">
        <v>53.187781000000001</v>
      </c>
      <c r="L26">
        <v>265.58165600000001</v>
      </c>
      <c r="M26">
        <v>-622.47796000000005</v>
      </c>
      <c r="N26">
        <v>2.2492670000000001</v>
      </c>
      <c r="O26">
        <v>5.8475380000000001</v>
      </c>
      <c r="P26">
        <f t="shared" si="10"/>
        <v>3.7487783333333334E-5</v>
      </c>
      <c r="Q26" cm="1">
        <f t="array" ref="Q26">[1]!PropsSI("D","T",J26+273.15,"P",101325,"Water")</f>
        <v>983.92468465450668</v>
      </c>
      <c r="R26" cm="1">
        <f t="array" ref="R26">[1]!PropsSI("D","T",K26+273.15,"P",101325,"Water")</f>
        <v>986.5602922798314</v>
      </c>
      <c r="S26">
        <f t="shared" si="11"/>
        <v>985.2424884671691</v>
      </c>
      <c r="T26" cm="1">
        <f t="array" ref="T26">[1]!PropsSI("H","T",J26+273.15,"P",101325,"Water")</f>
        <v>245270.85909678886</v>
      </c>
      <c r="U26" cm="1">
        <f t="array" ref="U26">[1]!PropsSI("H","T",K26+273.15,"P",101325,"Water")</f>
        <v>222749.22050898135</v>
      </c>
      <c r="V26">
        <f t="shared" si="12"/>
        <v>831.82674276860064</v>
      </c>
      <c r="X26">
        <f t="shared" si="13"/>
        <v>0.26714296799999998</v>
      </c>
      <c r="Y26">
        <f t="shared" si="14"/>
        <v>0.256375562</v>
      </c>
      <c r="Z26">
        <f t="shared" si="15"/>
        <v>0.37026179136209136</v>
      </c>
      <c r="AA26">
        <f t="shared" si="16"/>
        <v>5.383702999999997</v>
      </c>
      <c r="AB26">
        <f t="shared" si="17"/>
        <v>6.9497767984783479E-2</v>
      </c>
      <c r="AC26">
        <f t="shared" si="18"/>
        <v>57.810101972470378</v>
      </c>
    </row>
    <row r="27" spans="1:29" x14ac:dyDescent="0.2">
      <c r="A27">
        <v>46137.088404930553</v>
      </c>
      <c r="B27">
        <v>17.612439999999999</v>
      </c>
      <c r="C27">
        <v>18.23199</v>
      </c>
      <c r="D27">
        <v>18.926402</v>
      </c>
      <c r="E27">
        <v>19.113962999999998</v>
      </c>
      <c r="F27">
        <v>30.368677000000002</v>
      </c>
      <c r="G27">
        <v>31.531244999999998</v>
      </c>
      <c r="H27">
        <v>25.854666000000002</v>
      </c>
      <c r="I27">
        <v>24.426427</v>
      </c>
      <c r="J27">
        <v>58.568458</v>
      </c>
      <c r="K27">
        <v>53.183328000000003</v>
      </c>
      <c r="L27">
        <v>286.76671800000003</v>
      </c>
      <c r="M27">
        <v>-622.51102000000003</v>
      </c>
      <c r="N27">
        <v>2.2506029999999999</v>
      </c>
      <c r="O27">
        <v>6.139856</v>
      </c>
      <c r="P27">
        <f t="shared" si="10"/>
        <v>3.7510049999999995E-5</v>
      </c>
      <c r="Q27" cm="1">
        <f t="array" ref="Q27">[1]!PropsSI("D","T",J27+273.15,"P",101325,"Water")</f>
        <v>983.92621567727167</v>
      </c>
      <c r="R27" cm="1">
        <f t="array" ref="R27">[1]!PropsSI("D","T",K27+273.15,"P",101325,"Water")</f>
        <v>986.56239774922096</v>
      </c>
      <c r="S27">
        <f t="shared" si="11"/>
        <v>985.24430671324626</v>
      </c>
      <c r="T27" cm="1">
        <f t="array" ref="T27">[1]!PropsSI("H","T",J27+273.15,"P",101325,"Water")</f>
        <v>245258.1972716646</v>
      </c>
      <c r="U27" cm="1">
        <f t="array" ref="U27">[1]!PropsSI("H","T",K27+273.15,"P",101325,"Water")</f>
        <v>222730.59661409684</v>
      </c>
      <c r="V27">
        <f t="shared" si="12"/>
        <v>832.54269760411546</v>
      </c>
      <c r="X27">
        <f t="shared" si="13"/>
        <v>0.267136916</v>
      </c>
      <c r="Y27">
        <f t="shared" si="14"/>
        <v>0.25636665599999997</v>
      </c>
      <c r="Z27">
        <f t="shared" si="15"/>
        <v>0.3702512581999059</v>
      </c>
      <c r="AA27">
        <f t="shared" si="16"/>
        <v>5.3851299999999966</v>
      </c>
      <c r="AB27">
        <f t="shared" si="17"/>
        <v>6.9477797578060788E-2</v>
      </c>
      <c r="AC27">
        <f t="shared" si="18"/>
        <v>57.843233019231405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E9BB-2784-2F46-8584-E297C8D93EA0}">
  <dimension ref="A1:AC41"/>
  <sheetViews>
    <sheetView topLeftCell="N1" workbookViewId="0">
      <selection activeCell="W4" sqref="W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23" max="23" width="33.83203125" customWidth="1"/>
    <col min="24" max="24" width="12.33203125" customWidth="1"/>
    <col min="25" max="25" width="12.83203125" customWidth="1"/>
    <col min="26" max="26" width="12" customWidth="1"/>
  </cols>
  <sheetData>
    <row r="1" spans="1:2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</row>
    <row r="2" spans="1:29" x14ac:dyDescent="0.2">
      <c r="A2">
        <v>44675.089035719902</v>
      </c>
      <c r="B2">
        <v>18.312995000000001</v>
      </c>
      <c r="C2">
        <v>18.355301999999998</v>
      </c>
      <c r="D2">
        <v>19.534106999999999</v>
      </c>
      <c r="E2">
        <v>19.731666000000001</v>
      </c>
      <c r="F2">
        <v>29.375495000000001</v>
      </c>
      <c r="G2">
        <v>32.448701</v>
      </c>
      <c r="H2">
        <v>25.814212999999999</v>
      </c>
      <c r="I2">
        <v>23.161090999999999</v>
      </c>
      <c r="J2">
        <v>58.503467999999998</v>
      </c>
      <c r="K2">
        <v>52.788311</v>
      </c>
      <c r="L2">
        <v>378.10296099999999</v>
      </c>
      <c r="M2">
        <v>-622.48204199999998</v>
      </c>
      <c r="N2">
        <v>2.250759</v>
      </c>
      <c r="O2">
        <v>5.0949039999999997</v>
      </c>
      <c r="P2">
        <f t="shared" ref="P2:P65" si="0" xml:space="preserve"> N2*0.001/60</f>
        <v>3.7512650000000001E-5</v>
      </c>
      <c r="Q2" cm="1">
        <f t="array" ref="Q2">[1]!PropsSI("D","T",J2+273.15,"P",101325,"Water")</f>
        <v>983.95908451898003</v>
      </c>
      <c r="R2" cm="1">
        <f t="array" ref="R2">[1]!PropsSI("D","T",K2+273.15,"P",101325,"Water")</f>
        <v>986.74866975844589</v>
      </c>
      <c r="S2">
        <f t="shared" ref="S2:S65" si="1">(Q2+R2)/2</f>
        <v>985.35387713871296</v>
      </c>
      <c r="T2" cm="1">
        <f t="array" ref="T2">[1]!PropsSI("H","T",J2+273.15,"P",101325,"Water")</f>
        <v>244986.25766786345</v>
      </c>
      <c r="U2" cm="1">
        <f t="array" ref="U2">[1]!PropsSI("H","T",K2+273.15,"P",101325,"Water")</f>
        <v>221078.53316788361</v>
      </c>
      <c r="V2">
        <f t="shared" ref="V2:V65" si="2">S2*P2*(T2-U2)</f>
        <v>883.7068418589497</v>
      </c>
      <c r="W2" s="3">
        <f>AVERAGE(V2:V41)</f>
        <v>884.13154295629647</v>
      </c>
      <c r="X2">
        <f>(0.15+0.002*ABS(J2))</f>
        <v>0.26700693599999997</v>
      </c>
      <c r="Y2">
        <f>(0.15+0.002*ABS(K2))</f>
        <v>0.25557662199999998</v>
      </c>
      <c r="Z2">
        <f>SQRT((X2)^2 + (Y2)^2)</f>
        <v>0.36961075956340739</v>
      </c>
      <c r="AA2">
        <f>J2-K2</f>
        <v>5.7151569999999978</v>
      </c>
      <c r="AB2">
        <f>SQRT((0.01)^2 + (Z2/ABS(AA2))^2)</f>
        <v>6.544058707671703E-2</v>
      </c>
      <c r="AC2">
        <f>ABS(V2*AB2)</f>
        <v>57.830294534961205</v>
      </c>
    </row>
    <row r="3" spans="1:29" x14ac:dyDescent="0.2">
      <c r="A3">
        <v>44675.089071020899</v>
      </c>
      <c r="B3">
        <v>18.300597</v>
      </c>
      <c r="C3">
        <v>18.394123</v>
      </c>
      <c r="D3">
        <v>19.497461000000001</v>
      </c>
      <c r="E3">
        <v>19.709793999999999</v>
      </c>
      <c r="F3">
        <v>28.923857999999999</v>
      </c>
      <c r="G3">
        <v>31.49145</v>
      </c>
      <c r="H3">
        <v>25.905331</v>
      </c>
      <c r="I3">
        <v>23.784441000000001</v>
      </c>
      <c r="J3">
        <v>58.498052999999999</v>
      </c>
      <c r="K3">
        <v>52.786244000000003</v>
      </c>
      <c r="L3">
        <v>374.96883200000002</v>
      </c>
      <c r="M3">
        <v>-622.51632600000005</v>
      </c>
      <c r="N3">
        <v>2.25325</v>
      </c>
      <c r="O3">
        <v>5.6494479999999996</v>
      </c>
      <c r="P3">
        <f t="shared" si="0"/>
        <v>3.7554166666666667E-5</v>
      </c>
      <c r="Q3" cm="1">
        <f t="array" ref="Q3">[1]!PropsSI("D","T",J3+273.15,"P",101325,"Water")</f>
        <v>983.96182202574823</v>
      </c>
      <c r="R3" cm="1">
        <f t="array" ref="R3">[1]!PropsSI("D","T",K3+273.15,"P",101325,"Water")</f>
        <v>986.74964185638089</v>
      </c>
      <c r="S3">
        <f t="shared" si="1"/>
        <v>985.35573194106451</v>
      </c>
      <c r="T3" cm="1">
        <f t="array" ref="T3">[1]!PropsSI("H","T",J3+273.15,"P",101325,"Water")</f>
        <v>244963.59960019166</v>
      </c>
      <c r="U3" cm="1">
        <f t="array" ref="U3">[1]!PropsSI("H","T",K3+273.15,"P",101325,"Water")</f>
        <v>221069.88857357739</v>
      </c>
      <c r="V3">
        <f t="shared" si="2"/>
        <v>884.16798134702719</v>
      </c>
      <c r="W3" s="3" t="s">
        <v>33</v>
      </c>
      <c r="X3">
        <f t="shared" ref="X3:Y55" si="3">(0.15+0.002*ABS(J3))</f>
        <v>0.26699610600000001</v>
      </c>
      <c r="Y3">
        <f t="shared" si="3"/>
        <v>0.25557248799999999</v>
      </c>
      <c r="Z3">
        <f t="shared" ref="Z3:Z55" si="4">SQRT((X3)^2 + (Y3)^2)</f>
        <v>0.3696000774373206</v>
      </c>
      <c r="AA3">
        <f>J3-K3</f>
        <v>5.7118089999999953</v>
      </c>
      <c r="AB3">
        <f t="shared" ref="AB3:AB66" si="5">SQRT((0.01)^2 + (Z3/ABS(AA3))^2)</f>
        <v>6.5476201651203589E-2</v>
      </c>
      <c r="AC3">
        <f t="shared" ref="AC3:AC66" si="6">ABS(V3*AB3)</f>
        <v>57.891961040215563</v>
      </c>
    </row>
    <row r="4" spans="1:29" x14ac:dyDescent="0.2">
      <c r="A4">
        <v>44675.089106321801</v>
      </c>
      <c r="B4">
        <v>17.967552000000001</v>
      </c>
      <c r="C4">
        <v>18.509983999999999</v>
      </c>
      <c r="D4">
        <v>19.499134999999999</v>
      </c>
      <c r="E4">
        <v>19.716457999999999</v>
      </c>
      <c r="F4">
        <v>29.089824</v>
      </c>
      <c r="G4">
        <v>32.846674999999998</v>
      </c>
      <c r="H4">
        <v>26.442481999999998</v>
      </c>
      <c r="I4">
        <v>23.647863999999998</v>
      </c>
      <c r="J4">
        <v>58.492317999999997</v>
      </c>
      <c r="K4">
        <v>52.779724999999999</v>
      </c>
      <c r="L4">
        <v>374.45906100000002</v>
      </c>
      <c r="M4">
        <v>-622.47020599999996</v>
      </c>
      <c r="N4">
        <v>2.2504270000000002</v>
      </c>
      <c r="O4">
        <v>5.4716909999999999</v>
      </c>
      <c r="P4">
        <f t="shared" si="0"/>
        <v>3.7507116666666669E-5</v>
      </c>
      <c r="Q4" cm="1">
        <f t="array" ref="Q4">[1]!PropsSI("D","T",J4+273.15,"P",101325,"Water")</f>
        <v>983.96472111418325</v>
      </c>
      <c r="R4" cm="1">
        <f t="array" ref="R4">[1]!PropsSI("D","T",K4+273.15,"P",101325,"Water")</f>
        <v>986.75270752579615</v>
      </c>
      <c r="S4">
        <f t="shared" si="1"/>
        <v>985.35871431998976</v>
      </c>
      <c r="T4" cm="1">
        <f t="array" ref="T4">[1]!PropsSI("H","T",J4+273.15,"P",101325,"Water")</f>
        <v>244939.60256489686</v>
      </c>
      <c r="U4" cm="1">
        <f t="array" ref="U4">[1]!PropsSI("H","T",K4+273.15,"P",101325,"Water")</f>
        <v>221042.62486225824</v>
      </c>
      <c r="V4">
        <f t="shared" si="2"/>
        <v>883.18364777289082</v>
      </c>
      <c r="W4" s="3">
        <f>SQRT((AVERAGE(AC2:AC41))^2 + (_xlfn.STDEV.S(V2:V41)/SQRT(COUNT(V2:V41)))^2)</f>
        <v>57.759564994727384</v>
      </c>
      <c r="X4">
        <f t="shared" si="3"/>
        <v>0.266984636</v>
      </c>
      <c r="Y4">
        <f t="shared" si="3"/>
        <v>0.25555945000000002</v>
      </c>
      <c r="Z4">
        <f t="shared" si="4"/>
        <v>0.36958277603854189</v>
      </c>
      <c r="AA4">
        <f t="shared" ref="AA4:AA67" si="7">J4-K4</f>
        <v>5.7125929999999983</v>
      </c>
      <c r="AB4">
        <f t="shared" si="5"/>
        <v>6.5464432172535003E-2</v>
      </c>
      <c r="AC4">
        <f t="shared" si="6"/>
        <v>57.817116005520454</v>
      </c>
    </row>
    <row r="5" spans="1:29" x14ac:dyDescent="0.2">
      <c r="A5">
        <v>44675.089141044002</v>
      </c>
      <c r="B5">
        <v>17.999099999999999</v>
      </c>
      <c r="C5">
        <v>18.620446999999999</v>
      </c>
      <c r="D5">
        <v>19.573843</v>
      </c>
      <c r="E5">
        <v>19.725480000000001</v>
      </c>
      <c r="F5">
        <v>29.185787999999999</v>
      </c>
      <c r="G5">
        <v>32.126787999999998</v>
      </c>
      <c r="H5">
        <v>26.380962</v>
      </c>
      <c r="I5">
        <v>23.629397000000001</v>
      </c>
      <c r="J5">
        <v>58.487220999999998</v>
      </c>
      <c r="K5">
        <v>52.772886999999997</v>
      </c>
      <c r="L5">
        <v>402.06053700000001</v>
      </c>
      <c r="M5">
        <v>-622.49020499999995</v>
      </c>
      <c r="N5">
        <v>2.2482389999999999</v>
      </c>
      <c r="O5">
        <v>5.7447569999999999</v>
      </c>
      <c r="P5">
        <f t="shared" si="0"/>
        <v>3.7470649999999997E-5</v>
      </c>
      <c r="Q5" cm="1">
        <f t="array" ref="Q5">[1]!PropsSI("D","T",J5+273.15,"P",101325,"Water")</f>
        <v>983.96729752310716</v>
      </c>
      <c r="R5" cm="1">
        <f t="array" ref="R5">[1]!PropsSI("D","T",K5+273.15,"P",101325,"Water")</f>
        <v>986.75592291998782</v>
      </c>
      <c r="S5">
        <f t="shared" si="1"/>
        <v>985.36161022154749</v>
      </c>
      <c r="T5" cm="1">
        <f t="array" ref="T5">[1]!PropsSI("H","T",J5+273.15,"P",101325,"Water")</f>
        <v>244918.27513271145</v>
      </c>
      <c r="U5" cm="1">
        <f t="array" ref="U5">[1]!PropsSI("H","T",K5+273.15,"P",101325,"Water")</f>
        <v>221014.02704667786</v>
      </c>
      <c r="V5">
        <f t="shared" si="2"/>
        <v>882.59599490649737</v>
      </c>
      <c r="W5" s="3"/>
      <c r="X5">
        <f t="shared" si="3"/>
        <v>0.26697444199999998</v>
      </c>
      <c r="Y5">
        <f t="shared" si="3"/>
        <v>0.255545774</v>
      </c>
      <c r="Z5">
        <f t="shared" si="4"/>
        <v>0.36956595526437558</v>
      </c>
      <c r="AA5">
        <f t="shared" si="7"/>
        <v>5.7143340000000009</v>
      </c>
      <c r="AB5">
        <f t="shared" si="5"/>
        <v>6.5442043393374949E-2</v>
      </c>
      <c r="AC5">
        <f t="shared" si="6"/>
        <v>57.758885397489934</v>
      </c>
    </row>
    <row r="6" spans="1:29" x14ac:dyDescent="0.2">
      <c r="A6">
        <v>46137.08917634259</v>
      </c>
      <c r="B6">
        <v>18.106314999999999</v>
      </c>
      <c r="C6">
        <v>18.501676</v>
      </c>
      <c r="D6">
        <v>19.702103000000001</v>
      </c>
      <c r="E6">
        <v>19.72081</v>
      </c>
      <c r="F6">
        <v>29.059593</v>
      </c>
      <c r="G6">
        <v>31.150531000000001</v>
      </c>
      <c r="H6">
        <v>26.100653000000001</v>
      </c>
      <c r="I6">
        <v>23.966101999999999</v>
      </c>
      <c r="J6">
        <v>58.478938999999997</v>
      </c>
      <c r="K6">
        <v>52.767004</v>
      </c>
      <c r="L6">
        <v>398.72152</v>
      </c>
      <c r="M6">
        <v>-622.51020400000004</v>
      </c>
      <c r="N6">
        <v>2.2532459999999999</v>
      </c>
      <c r="O6">
        <v>5.9561260000000003</v>
      </c>
      <c r="P6">
        <f t="shared" si="0"/>
        <v>3.75541E-5</v>
      </c>
      <c r="Q6" cm="1">
        <f t="array" ref="Q6">[1]!PropsSI("D","T",J6+273.15,"P",101325,"Water")</f>
        <v>983.97148353964599</v>
      </c>
      <c r="R6" cm="1">
        <f t="array" ref="R6">[1]!PropsSI("D","T",K6+273.15,"P",101325,"Water")</f>
        <v>986.75868901203012</v>
      </c>
      <c r="S6">
        <f t="shared" si="1"/>
        <v>985.36508627583805</v>
      </c>
      <c r="T6" cm="1">
        <f t="array" ref="T6">[1]!PropsSI("H","T",J6+273.15,"P",101325,"Water")</f>
        <v>244883.62069358755</v>
      </c>
      <c r="U6" cm="1">
        <f t="array" ref="U6">[1]!PropsSI("H","T",K6+273.15,"P",101325,"Water")</f>
        <v>220989.42323476958</v>
      </c>
      <c r="V6">
        <f t="shared" si="2"/>
        <v>884.19280564833423</v>
      </c>
      <c r="W6" s="3"/>
      <c r="X6">
        <f t="shared" si="3"/>
        <v>0.26695787799999998</v>
      </c>
      <c r="Y6">
        <f t="shared" si="3"/>
        <v>0.25553400799999998</v>
      </c>
      <c r="Z6">
        <f t="shared" si="4"/>
        <v>0.36954585354297637</v>
      </c>
      <c r="AA6">
        <f>J6-K6</f>
        <v>5.7119349999999969</v>
      </c>
      <c r="AB6">
        <f t="shared" si="5"/>
        <v>6.5465409300823771E-2</v>
      </c>
      <c r="AC6">
        <f t="shared" si="6"/>
        <v>57.884043922611923</v>
      </c>
    </row>
    <row r="7" spans="1:29" x14ac:dyDescent="0.2">
      <c r="A7">
        <v>46137.089211064813</v>
      </c>
      <c r="B7">
        <v>18.029468000000001</v>
      </c>
      <c r="C7">
        <v>18.706250000000001</v>
      </c>
      <c r="D7">
        <v>19.376256000000001</v>
      </c>
      <c r="E7">
        <v>19.704609999999999</v>
      </c>
      <c r="F7">
        <v>28.840622</v>
      </c>
      <c r="G7">
        <v>32.404178000000002</v>
      </c>
      <c r="H7">
        <v>26.002075000000001</v>
      </c>
      <c r="I7">
        <v>22.995988000000001</v>
      </c>
      <c r="J7">
        <v>58.473363999999997</v>
      </c>
      <c r="K7">
        <v>52.760165999999998</v>
      </c>
      <c r="L7">
        <v>384.90547700000002</v>
      </c>
      <c r="M7">
        <v>-622.48122499999999</v>
      </c>
      <c r="N7">
        <v>2.2517830000000001</v>
      </c>
      <c r="O7">
        <v>5.0730849999999998</v>
      </c>
      <c r="P7">
        <f t="shared" si="0"/>
        <v>3.7529716666666671E-5</v>
      </c>
      <c r="Q7" cm="1">
        <f t="array" ref="Q7">[1]!PropsSI("D","T",J7+273.15,"P",101325,"Water")</f>
        <v>983.97430111089818</v>
      </c>
      <c r="R7" cm="1">
        <f t="array" ref="R7">[1]!PropsSI("D","T",K7+273.15,"P",101325,"Water")</f>
        <v>986.76190385315999</v>
      </c>
      <c r="S7">
        <f t="shared" si="1"/>
        <v>985.36810248202914</v>
      </c>
      <c r="T7" cm="1">
        <f t="array" ref="T7">[1]!PropsSI("H","T",J7+273.15,"P",101325,"Water")</f>
        <v>244860.2931923107</v>
      </c>
      <c r="U7" cm="1">
        <f t="array" ref="U7">[1]!PropsSI("H","T",K7+273.15,"P",101325,"Water")</f>
        <v>220960.82544760301</v>
      </c>
      <c r="V7">
        <f t="shared" si="2"/>
        <v>883.81631508221335</v>
      </c>
      <c r="W7" s="3"/>
      <c r="X7">
        <f t="shared" si="3"/>
        <v>0.26694672799999997</v>
      </c>
      <c r="Y7">
        <f t="shared" si="3"/>
        <v>0.25552033200000002</v>
      </c>
      <c r="Z7">
        <f t="shared" si="4"/>
        <v>0.36952834215428754</v>
      </c>
      <c r="AA7">
        <f t="shared" ref="AA7:AA70" si="8">J7-K7</f>
        <v>5.7131979999999984</v>
      </c>
      <c r="AB7">
        <f t="shared" si="5"/>
        <v>6.5448245686819534E-2</v>
      </c>
      <c r="AC7">
        <f t="shared" si="6"/>
        <v>57.844227331520202</v>
      </c>
    </row>
    <row r="8" spans="1:29" x14ac:dyDescent="0.2">
      <c r="A8">
        <v>46137.089246365744</v>
      </c>
      <c r="B8">
        <v>18.074432999999999</v>
      </c>
      <c r="C8">
        <v>18.826059999999998</v>
      </c>
      <c r="D8">
        <v>19.504214999999999</v>
      </c>
      <c r="E8">
        <v>19.735358000000002</v>
      </c>
      <c r="F8">
        <v>29.023952000000001</v>
      </c>
      <c r="G8">
        <v>31.803159000000001</v>
      </c>
      <c r="H8">
        <v>26.044848999999999</v>
      </c>
      <c r="I8">
        <v>23.511566999999999</v>
      </c>
      <c r="J8">
        <v>58.467629000000002</v>
      </c>
      <c r="K8">
        <v>52.750306999999999</v>
      </c>
      <c r="L8">
        <v>374.47497900000002</v>
      </c>
      <c r="M8">
        <v>-622.46041000000002</v>
      </c>
      <c r="N8">
        <v>2.248964</v>
      </c>
      <c r="O8">
        <v>5.1275000000000004</v>
      </c>
      <c r="P8">
        <f t="shared" si="0"/>
        <v>3.7482733333333333E-5</v>
      </c>
      <c r="Q8" cm="1">
        <f t="array" ref="Q8">[1]!PropsSI("D","T",J8+273.15,"P",101325,"Water")</f>
        <v>983.97719935079249</v>
      </c>
      <c r="R8" cm="1">
        <f t="array" ref="R8">[1]!PropsSI("D","T",K8+273.15,"P",101325,"Water")</f>
        <v>986.76653847438035</v>
      </c>
      <c r="S8">
        <f t="shared" si="1"/>
        <v>985.37186891258648</v>
      </c>
      <c r="T8" cm="1">
        <f t="array" ref="T8">[1]!PropsSI("H","T",J8+273.15,"P",101325,"Water")</f>
        <v>244836.29621563022</v>
      </c>
      <c r="U8" cm="1">
        <f t="array" ref="U8">[1]!PropsSI("H","T",K8+273.15,"P",101325,"Water")</f>
        <v>220919.59330372885</v>
      </c>
      <c r="V8">
        <f t="shared" si="2"/>
        <v>883.34981336625253</v>
      </c>
      <c r="W8" s="3"/>
      <c r="X8">
        <f t="shared" si="3"/>
        <v>0.26693525800000001</v>
      </c>
      <c r="Y8">
        <f t="shared" si="3"/>
        <v>0.25550061400000001</v>
      </c>
      <c r="Z8">
        <f>SQRT((X8)^2 + (Y8)^2)</f>
        <v>0.36950642175462062</v>
      </c>
      <c r="AA8">
        <f t="shared" si="8"/>
        <v>5.7173220000000029</v>
      </c>
      <c r="AB8">
        <f t="shared" si="5"/>
        <v>6.5398350330443583E-2</v>
      </c>
      <c r="AC8">
        <f t="shared" si="6"/>
        <v>57.769620558858136</v>
      </c>
    </row>
    <row r="9" spans="1:29" x14ac:dyDescent="0.2">
      <c r="A9">
        <v>46137.08928108796</v>
      </c>
      <c r="B9">
        <v>18.302648000000001</v>
      </c>
      <c r="C9">
        <v>18.935859000000001</v>
      </c>
      <c r="D9">
        <v>19.521339000000001</v>
      </c>
      <c r="E9">
        <v>19.706989</v>
      </c>
      <c r="F9">
        <v>29.38937</v>
      </c>
      <c r="G9">
        <v>32.625126000000002</v>
      </c>
      <c r="H9">
        <v>25.865432999999999</v>
      </c>
      <c r="I9">
        <v>22.668278000000001</v>
      </c>
      <c r="J9">
        <v>58.463647000000002</v>
      </c>
      <c r="K9">
        <v>52.744742000000002</v>
      </c>
      <c r="L9">
        <v>367.60471100000001</v>
      </c>
      <c r="M9">
        <v>-622.49469399999998</v>
      </c>
      <c r="N9">
        <v>2.249206</v>
      </c>
      <c r="O9">
        <v>5.038214</v>
      </c>
      <c r="P9">
        <f t="shared" si="0"/>
        <v>3.7486766666666668E-5</v>
      </c>
      <c r="Q9" cm="1">
        <f t="array" ref="Q9">[1]!PropsSI("D","T",J9+273.15,"P",101325,"Water")</f>
        <v>983.97921157857206</v>
      </c>
      <c r="R9" cm="1">
        <f t="array" ref="R9">[1]!PropsSI("D","T",K9+273.15,"P",101325,"Water")</f>
        <v>986.76915425450682</v>
      </c>
      <c r="S9">
        <f t="shared" si="1"/>
        <v>985.37418291653944</v>
      </c>
      <c r="T9" cm="1">
        <f t="array" ref="T9">[1]!PropsSI("H","T",J9+273.15,"P",101325,"Water")</f>
        <v>244819.63432980285</v>
      </c>
      <c r="U9" cm="1">
        <f t="array" ref="U9">[1]!PropsSI("H","T",K9+273.15,"P",101325,"Water")</f>
        <v>220896.31946844165</v>
      </c>
      <c r="V9">
        <f t="shared" si="2"/>
        <v>883.69117639856142</v>
      </c>
      <c r="W9" s="3"/>
      <c r="X9">
        <f t="shared" si="3"/>
        <v>0.26692729399999998</v>
      </c>
      <c r="Y9">
        <f t="shared" si="3"/>
        <v>0.25548948399999999</v>
      </c>
      <c r="Z9">
        <f t="shared" ref="Z9:Z72" si="9">SQRT((X9)^2 + (Y9)^2)</f>
        <v>0.36949297248628249</v>
      </c>
      <c r="AA9">
        <f t="shared" si="8"/>
        <v>5.7189049999999995</v>
      </c>
      <c r="AB9">
        <f t="shared" si="5"/>
        <v>6.537834724807956E-2</v>
      </c>
      <c r="AC9">
        <f t="shared" si="6"/>
        <v>57.774268590649079</v>
      </c>
    </row>
    <row r="10" spans="1:29" x14ac:dyDescent="0.2">
      <c r="A10">
        <v>44675.089316391197</v>
      </c>
      <c r="B10">
        <v>18.131029999999999</v>
      </c>
      <c r="C10">
        <v>18.673192</v>
      </c>
      <c r="D10">
        <v>19.544091000000002</v>
      </c>
      <c r="E10">
        <v>19.813192999999998</v>
      </c>
      <c r="F10">
        <v>29.126196</v>
      </c>
      <c r="G10">
        <v>31.653071000000001</v>
      </c>
      <c r="H10">
        <v>26.542945</v>
      </c>
      <c r="I10">
        <v>23.300035999999999</v>
      </c>
      <c r="J10">
        <v>58.458390999999999</v>
      </c>
      <c r="K10">
        <v>52.743628999999999</v>
      </c>
      <c r="L10">
        <v>373.71501699999999</v>
      </c>
      <c r="M10">
        <v>-622.48408199999994</v>
      </c>
      <c r="N10">
        <v>2.249943</v>
      </c>
      <c r="O10">
        <v>5.2744150000000003</v>
      </c>
      <c r="P10">
        <f t="shared" si="0"/>
        <v>3.7499049999999998E-5</v>
      </c>
      <c r="Q10" cm="1">
        <f t="array" ref="Q10">[1]!PropsSI("D","T",J10+273.15,"P",101325,"Water")</f>
        <v>983.9818674524347</v>
      </c>
      <c r="R10" cm="1">
        <f t="array" ref="R10">[1]!PropsSI("D","T",K10+273.15,"P",101325,"Water")</f>
        <v>986.76967738688199</v>
      </c>
      <c r="S10">
        <f t="shared" si="1"/>
        <v>985.37577241965835</v>
      </c>
      <c r="T10" cm="1">
        <f t="array" ref="T10">[1]!PropsSI("H","T",J10+273.15,"P",101325,"Water")</f>
        <v>244797.64165474422</v>
      </c>
      <c r="U10" cm="1">
        <f t="array" ref="U10">[1]!PropsSI("H","T",K10+273.15,"P",101325,"Water")</f>
        <v>220891.66470261232</v>
      </c>
      <c r="V10">
        <f t="shared" si="2"/>
        <v>883.3415153725274</v>
      </c>
      <c r="X10">
        <f t="shared" si="3"/>
        <v>0.26691678200000002</v>
      </c>
      <c r="Y10">
        <f t="shared" si="3"/>
        <v>0.25548725799999999</v>
      </c>
      <c r="Z10">
        <f t="shared" si="9"/>
        <v>0.36948383931316142</v>
      </c>
      <c r="AA10">
        <f t="shared" si="8"/>
        <v>5.7147620000000003</v>
      </c>
      <c r="AB10">
        <f t="shared" si="5"/>
        <v>6.5423056357628726E-2</v>
      </c>
      <c r="AC10">
        <f t="shared" si="6"/>
        <v>57.790901743250018</v>
      </c>
    </row>
    <row r="11" spans="1:29" x14ac:dyDescent="0.2">
      <c r="A11">
        <v>44675.089351692201</v>
      </c>
      <c r="B11">
        <v>18.258262999999999</v>
      </c>
      <c r="C11">
        <v>18.613154000000002</v>
      </c>
      <c r="D11">
        <v>19.384395999999999</v>
      </c>
      <c r="E11">
        <v>19.842510000000001</v>
      </c>
      <c r="F11">
        <v>29.229095000000001</v>
      </c>
      <c r="G11">
        <v>30.873204000000001</v>
      </c>
      <c r="H11">
        <v>26.260591999999999</v>
      </c>
      <c r="I11">
        <v>23.382142999999999</v>
      </c>
      <c r="J11">
        <v>58.452497000000001</v>
      </c>
      <c r="K11">
        <v>52.735996</v>
      </c>
      <c r="L11">
        <v>380.99750999999998</v>
      </c>
      <c r="M11">
        <v>-622.47591999999997</v>
      </c>
      <c r="N11">
        <v>2.251849</v>
      </c>
      <c r="O11">
        <v>5.4556290000000001</v>
      </c>
      <c r="P11">
        <f t="shared" si="0"/>
        <v>3.7530816666666673E-5</v>
      </c>
      <c r="Q11" cm="1">
        <f t="array" ref="Q11">[1]!PropsSI("D","T",J11+273.15,"P",101325,"Water")</f>
        <v>983.98484551279444</v>
      </c>
      <c r="R11" cm="1">
        <f t="array" ref="R11">[1]!PropsSI("D","T",K11+273.15,"P",101325,"Water")</f>
        <v>986.7732648381226</v>
      </c>
      <c r="S11">
        <f t="shared" si="1"/>
        <v>985.37905517545846</v>
      </c>
      <c r="T11" cm="1">
        <f t="array" ref="T11">[1]!PropsSI("H","T",J11+273.15,"P",101325,"Water")</f>
        <v>244772.97941058711</v>
      </c>
      <c r="U11" cm="1">
        <f t="array" ref="U11">[1]!PropsSI("H","T",K11+273.15,"P",101325,"Water")</f>
        <v>220859.74213702217</v>
      </c>
      <c r="V11">
        <f t="shared" si="2"/>
        <v>884.36126985921339</v>
      </c>
      <c r="X11">
        <f t="shared" si="3"/>
        <v>0.26690499400000001</v>
      </c>
      <c r="Y11">
        <f t="shared" si="3"/>
        <v>0.25547199199999998</v>
      </c>
      <c r="Z11">
        <f t="shared" si="9"/>
        <v>0.36946476762823821</v>
      </c>
      <c r="AA11">
        <f t="shared" si="8"/>
        <v>5.7165010000000009</v>
      </c>
      <c r="AB11">
        <f t="shared" si="5"/>
        <v>6.5400322232742267E-2</v>
      </c>
      <c r="AC11">
        <f t="shared" si="6"/>
        <v>57.837512018949695</v>
      </c>
    </row>
    <row r="12" spans="1:29" x14ac:dyDescent="0.2">
      <c r="A12">
        <v>44675.089386993102</v>
      </c>
      <c r="B12">
        <v>18.301266999999999</v>
      </c>
      <c r="C12">
        <v>18.797315000000001</v>
      </c>
      <c r="D12">
        <v>19.322758</v>
      </c>
      <c r="E12">
        <v>19.756422000000001</v>
      </c>
      <c r="F12">
        <v>29.136263</v>
      </c>
      <c r="G12">
        <v>32.447043000000001</v>
      </c>
      <c r="H12">
        <v>26.314487</v>
      </c>
      <c r="I12">
        <v>22.576049999999999</v>
      </c>
      <c r="J12">
        <v>58.448037999999997</v>
      </c>
      <c r="K12">
        <v>52.731862</v>
      </c>
      <c r="L12">
        <v>371.31921899999998</v>
      </c>
      <c r="M12">
        <v>-622.46204299999999</v>
      </c>
      <c r="N12">
        <v>2.2496559999999999</v>
      </c>
      <c r="O12">
        <v>5.6923750000000002</v>
      </c>
      <c r="P12">
        <f t="shared" si="0"/>
        <v>3.7494266666666664E-5</v>
      </c>
      <c r="Q12" cm="1">
        <f t="array" ref="Q12">[1]!PropsSI("D","T",J12+273.15,"P",101325,"Water")</f>
        <v>983.98709837258764</v>
      </c>
      <c r="R12" cm="1">
        <f t="array" ref="R12">[1]!PropsSI("D","T",K12+273.15,"P",101325,"Water")</f>
        <v>986.77520763162261</v>
      </c>
      <c r="S12">
        <f t="shared" si="1"/>
        <v>985.38115300210507</v>
      </c>
      <c r="T12" cm="1">
        <f t="array" ref="T12">[1]!PropsSI("H","T",J12+273.15,"P",101325,"Water")</f>
        <v>244754.32164166565</v>
      </c>
      <c r="U12" cm="1">
        <f t="array" ref="U12">[1]!PropsSI("H","T",K12+273.15,"P",101325,"Water")</f>
        <v>220842.45302054545</v>
      </c>
      <c r="V12">
        <f t="shared" si="2"/>
        <v>883.45133466499749</v>
      </c>
      <c r="X12">
        <f t="shared" si="3"/>
        <v>0.26689607599999998</v>
      </c>
      <c r="Y12">
        <f t="shared" si="3"/>
        <v>0.255463724</v>
      </c>
      <c r="Z12">
        <f t="shared" si="9"/>
        <v>0.36945260814365077</v>
      </c>
      <c r="AA12">
        <f t="shared" si="8"/>
        <v>5.7161759999999973</v>
      </c>
      <c r="AB12">
        <f t="shared" si="5"/>
        <v>6.5401851518541804E-2</v>
      </c>
      <c r="AC12">
        <f t="shared" si="6"/>
        <v>57.779353013617751</v>
      </c>
    </row>
    <row r="13" spans="1:29" x14ac:dyDescent="0.2">
      <c r="A13">
        <v>44675.089421715304</v>
      </c>
      <c r="B13">
        <v>18.500641000000002</v>
      </c>
      <c r="C13">
        <v>18.926413</v>
      </c>
      <c r="D13">
        <v>19.445281000000001</v>
      </c>
      <c r="E13">
        <v>19.696673000000001</v>
      </c>
      <c r="F13">
        <v>29.302206000000002</v>
      </c>
      <c r="G13">
        <v>31.808095000000002</v>
      </c>
      <c r="H13">
        <v>25.996229</v>
      </c>
      <c r="I13">
        <v>23.286733999999999</v>
      </c>
      <c r="J13">
        <v>58.441985000000003</v>
      </c>
      <c r="K13">
        <v>52.726773999999999</v>
      </c>
      <c r="L13">
        <v>388.57182399999999</v>
      </c>
      <c r="M13">
        <v>-622.49020499999995</v>
      </c>
      <c r="N13">
        <v>2.2534139999999998</v>
      </c>
      <c r="O13">
        <v>5.7384029999999999</v>
      </c>
      <c r="P13">
        <f t="shared" si="0"/>
        <v>3.75569E-5</v>
      </c>
      <c r="Q13" cm="1">
        <f t="array" ref="Q13">[1]!PropsSI("D","T",J13+273.15,"P",101325,"Water")</f>
        <v>983.99015639228298</v>
      </c>
      <c r="R13" cm="1">
        <f t="array" ref="R13">[1]!PropsSI("D","T",K13+273.15,"P",101325,"Water")</f>
        <v>986.77759861280242</v>
      </c>
      <c r="S13">
        <f t="shared" si="1"/>
        <v>985.38387750254265</v>
      </c>
      <c r="T13" cm="1">
        <f t="array" ref="T13">[1]!PropsSI("H","T",J13+273.15,"P",101325,"Water")</f>
        <v>244728.9941204671</v>
      </c>
      <c r="U13" cm="1">
        <f t="array" ref="U13">[1]!PropsSI("H","T",K13+273.15,"P",101325,"Water")</f>
        <v>220821.17411576369</v>
      </c>
      <c r="V13">
        <f t="shared" si="2"/>
        <v>884.77973605108923</v>
      </c>
      <c r="X13">
        <f t="shared" si="3"/>
        <v>0.26688396999999997</v>
      </c>
      <c r="Y13">
        <f t="shared" si="3"/>
        <v>0.25545354799999997</v>
      </c>
      <c r="Z13">
        <f t="shared" si="9"/>
        <v>0.36943682630288655</v>
      </c>
      <c r="AA13">
        <f t="shared" si="8"/>
        <v>5.7152110000000036</v>
      </c>
      <c r="AB13">
        <f t="shared" si="5"/>
        <v>6.5409907404966189E-2</v>
      </c>
      <c r="AC13">
        <f t="shared" si="6"/>
        <v>57.87336060889217</v>
      </c>
    </row>
    <row r="14" spans="1:29" x14ac:dyDescent="0.2">
      <c r="A14">
        <v>44675.089456437498</v>
      </c>
      <c r="B14">
        <v>18.518789000000002</v>
      </c>
      <c r="C14">
        <v>18.824051000000001</v>
      </c>
      <c r="D14">
        <v>19.569655999999998</v>
      </c>
      <c r="E14">
        <v>19.784662000000001</v>
      </c>
      <c r="F14">
        <v>29.360526</v>
      </c>
      <c r="G14">
        <v>31.922087999999999</v>
      </c>
      <c r="H14">
        <v>26.136102999999999</v>
      </c>
      <c r="I14">
        <v>22.619053999999998</v>
      </c>
      <c r="J14">
        <v>58.437206000000003</v>
      </c>
      <c r="K14">
        <v>52.725023999999998</v>
      </c>
      <c r="L14">
        <v>400.20389499999999</v>
      </c>
      <c r="M14">
        <v>-622.45673699999998</v>
      </c>
      <c r="N14">
        <v>2.247411</v>
      </c>
      <c r="O14">
        <v>5.6919050000000002</v>
      </c>
      <c r="P14">
        <f t="shared" si="0"/>
        <v>3.745685E-5</v>
      </c>
      <c r="Q14" cm="1">
        <f t="array" ref="Q14">[1]!PropsSI("D","T",J14+273.15,"P",101325,"Water")</f>
        <v>983.99257062272841</v>
      </c>
      <c r="R14" cm="1">
        <f t="array" ref="R14">[1]!PropsSI("D","T",K14+273.15,"P",101325,"Water")</f>
        <v>986.77842094447703</v>
      </c>
      <c r="S14">
        <f t="shared" si="1"/>
        <v>985.38549578360266</v>
      </c>
      <c r="T14" cm="1">
        <f t="array" ref="T14">[1]!PropsSI("H","T",J14+273.15,"P",101325,"Water")</f>
        <v>244708.99739839431</v>
      </c>
      <c r="U14" cm="1">
        <f t="array" ref="U14">[1]!PropsSI("H","T",K14+273.15,"P",101325,"Water")</f>
        <v>220813.85531198044</v>
      </c>
      <c r="V14">
        <f t="shared" si="2"/>
        <v>881.95623446099546</v>
      </c>
      <c r="X14">
        <f t="shared" si="3"/>
        <v>0.26687441200000001</v>
      </c>
      <c r="Y14">
        <f t="shared" si="3"/>
        <v>0.25545004799999999</v>
      </c>
      <c r="Z14">
        <f t="shared" si="9"/>
        <v>0.36942750141746089</v>
      </c>
      <c r="AA14">
        <f t="shared" si="8"/>
        <v>5.7121820000000056</v>
      </c>
      <c r="AB14">
        <f t="shared" si="5"/>
        <v>6.5442168567761208E-2</v>
      </c>
      <c r="AC14">
        <f t="shared" si="6"/>
        <v>57.717128564984392</v>
      </c>
    </row>
    <row r="15" spans="1:29" x14ac:dyDescent="0.2">
      <c r="A15">
        <v>46137.089491736115</v>
      </c>
      <c r="B15">
        <v>18.414021000000002</v>
      </c>
      <c r="C15">
        <v>18.973427000000001</v>
      </c>
      <c r="D15">
        <v>19.444683000000001</v>
      </c>
      <c r="E15">
        <v>19.665264000000001</v>
      </c>
      <c r="F15">
        <v>29.43299</v>
      </c>
      <c r="G15">
        <v>32.563400999999999</v>
      </c>
      <c r="H15">
        <v>25.989015999999999</v>
      </c>
      <c r="I15">
        <v>23.230775999999999</v>
      </c>
      <c r="J15">
        <v>58.432428000000002</v>
      </c>
      <c r="K15">
        <v>52.721525999999997</v>
      </c>
      <c r="L15">
        <v>389.82441499999999</v>
      </c>
      <c r="M15">
        <v>-622.50653</v>
      </c>
      <c r="N15">
        <v>2.2482920000000002</v>
      </c>
      <c r="O15">
        <v>5.3367089999999999</v>
      </c>
      <c r="P15">
        <f t="shared" ref="P15:P41" si="10" xml:space="preserve"> N15*0.001/60</f>
        <v>3.7471533333333335E-5</v>
      </c>
      <c r="Q15" cm="1">
        <f t="array" ref="Q15">[1]!PropsSI("D","T",J15+273.15,"P",101325,"Water")</f>
        <v>983.99498421112412</v>
      </c>
      <c r="R15" cm="1">
        <f t="array" ref="R15">[1]!PropsSI("D","T",K15+273.15,"P",101325,"Water")</f>
        <v>986.7800646096058</v>
      </c>
      <c r="S15">
        <f t="shared" ref="S15:S41" si="11">(Q15+R15)/2</f>
        <v>985.3875244103649</v>
      </c>
      <c r="T15" cm="1">
        <f t="array" ref="T15">[1]!PropsSI("H","T",J15+273.15,"P",101325,"Water")</f>
        <v>244689.0048699996</v>
      </c>
      <c r="U15" cm="1">
        <f t="array" ref="U15">[1]!PropsSI("H","T",K15+273.15,"P",101325,"Water")</f>
        <v>220799.22607179813</v>
      </c>
      <c r="V15">
        <f t="shared" ref="V15:V41" si="12">S15*P15*(T15-U15)</f>
        <v>882.1057496001506</v>
      </c>
      <c r="X15">
        <f t="shared" ref="X15:X41" si="13">(0.15+0.002*ABS(J15))</f>
        <v>0.26686485599999998</v>
      </c>
      <c r="Y15">
        <f t="shared" ref="Y15:Y41" si="14">(0.15+0.002*ABS(K15))</f>
        <v>0.255443052</v>
      </c>
      <c r="Z15">
        <f t="shared" ref="Z15:Z41" si="15">SQRT((X15)^2 + (Y15)^2)</f>
        <v>0.36941576060446507</v>
      </c>
      <c r="AA15">
        <f t="shared" ref="AA15:AA41" si="16">J15-K15</f>
        <v>5.7109020000000044</v>
      </c>
      <c r="AB15">
        <f t="shared" ref="AB15:AB41" si="17">SQRT((0.01)^2 + (Z15/ABS(AA15))^2)</f>
        <v>6.5454462121024515E-2</v>
      </c>
      <c r="AC15">
        <f t="shared" ref="AC15:AC41" si="18">ABS(V15*AB15)</f>
        <v>57.737757373940994</v>
      </c>
    </row>
    <row r="16" spans="1:29" x14ac:dyDescent="0.2">
      <c r="A16">
        <v>46137.089527037038</v>
      </c>
      <c r="B16">
        <v>18.425751000000002</v>
      </c>
      <c r="C16">
        <v>18.844179</v>
      </c>
      <c r="D16">
        <v>19.293289000000001</v>
      </c>
      <c r="E16">
        <v>19.58389</v>
      </c>
      <c r="F16">
        <v>29.203063</v>
      </c>
      <c r="G16">
        <v>32.199026000000003</v>
      </c>
      <c r="H16">
        <v>25.868622999999999</v>
      </c>
      <c r="I16">
        <v>23.103952</v>
      </c>
      <c r="J16">
        <v>58.424622999999997</v>
      </c>
      <c r="K16">
        <v>52.715961</v>
      </c>
      <c r="L16">
        <v>389.72768500000001</v>
      </c>
      <c r="M16">
        <v>-622.50204099999996</v>
      </c>
      <c r="N16">
        <v>2.2541069999999999</v>
      </c>
      <c r="O16">
        <v>5.4827849999999998</v>
      </c>
      <c r="P16">
        <f t="shared" si="10"/>
        <v>3.7568450000000001E-5</v>
      </c>
      <c r="Q16" cm="1">
        <f t="array" ref="Q16">[1]!PropsSI("D","T",J16+273.15,"P",101325,"Water")</f>
        <v>983.99892658252668</v>
      </c>
      <c r="R16" cm="1">
        <f t="array" ref="R16">[1]!PropsSI("D","T",K16+273.15,"P",101325,"Water")</f>
        <v>986.78267937094552</v>
      </c>
      <c r="S16">
        <f t="shared" si="11"/>
        <v>985.39080297673604</v>
      </c>
      <c r="T16" cm="1">
        <f t="array" ref="T16">[1]!PropsSI("H","T",J16+273.15,"P",101325,"Water")</f>
        <v>244656.34652192239</v>
      </c>
      <c r="U16" cm="1">
        <f t="array" ref="U16">[1]!PropsSI("H","T",K16+273.15,"P",101325,"Water")</f>
        <v>220775.9522888459</v>
      </c>
      <c r="V16">
        <f t="shared" si="12"/>
        <v>884.04276442955529</v>
      </c>
      <c r="X16">
        <f t="shared" si="13"/>
        <v>0.26684924599999998</v>
      </c>
      <c r="Y16">
        <f t="shared" si="14"/>
        <v>0.25543192199999998</v>
      </c>
      <c r="Z16">
        <f t="shared" si="15"/>
        <v>0.36939678784118113</v>
      </c>
      <c r="AA16">
        <f t="shared" si="16"/>
        <v>5.7086619999999968</v>
      </c>
      <c r="AB16">
        <f t="shared" si="17"/>
        <v>6.5476261665369059E-2</v>
      </c>
      <c r="AC16">
        <f t="shared" si="18"/>
        <v>57.883815367165781</v>
      </c>
    </row>
    <row r="17" spans="1:29" x14ac:dyDescent="0.2">
      <c r="A17">
        <v>46137.089562337962</v>
      </c>
      <c r="B17">
        <v>18.192802</v>
      </c>
      <c r="C17">
        <v>18.541440000000001</v>
      </c>
      <c r="D17">
        <v>19.171009000000002</v>
      </c>
      <c r="E17">
        <v>19.494468999999999</v>
      </c>
      <c r="F17">
        <v>29.085193</v>
      </c>
      <c r="G17">
        <v>31.713595000000002</v>
      </c>
      <c r="H17">
        <v>26.003292999999999</v>
      </c>
      <c r="I17">
        <v>23.311171999999999</v>
      </c>
      <c r="J17">
        <v>58.419207</v>
      </c>
      <c r="K17">
        <v>52.708168999999998</v>
      </c>
      <c r="L17">
        <v>372.45467200000002</v>
      </c>
      <c r="M17">
        <v>-622.50816299999997</v>
      </c>
      <c r="N17">
        <v>2.2505009999999999</v>
      </c>
      <c r="O17">
        <v>5.2851020000000002</v>
      </c>
      <c r="P17">
        <f t="shared" si="10"/>
        <v>3.7508349999999998E-5</v>
      </c>
      <c r="Q17" cm="1">
        <f t="array" ref="Q17">[1]!PropsSI("D","T",J17+273.15,"P",101325,"Water")</f>
        <v>984.00166203518711</v>
      </c>
      <c r="R17" cm="1">
        <f t="array" ref="R17">[1]!PropsSI("D","T",K17+273.15,"P",101325,"Water")</f>
        <v>986.78634017561956</v>
      </c>
      <c r="S17">
        <f t="shared" si="11"/>
        <v>985.39400110540328</v>
      </c>
      <c r="T17" cm="1">
        <f t="array" ref="T17">[1]!PropsSI("H","T",J17+273.15,"P",101325,"Water")</f>
        <v>244633.68444669392</v>
      </c>
      <c r="U17" cm="1">
        <f t="array" ref="U17">[1]!PropsSI("H","T",K17+273.15,"P",101325,"Water")</f>
        <v>220743.36482751736</v>
      </c>
      <c r="V17">
        <f t="shared" si="12"/>
        <v>882.99823189929475</v>
      </c>
      <c r="X17">
        <f t="shared" si="13"/>
        <v>0.26683841399999997</v>
      </c>
      <c r="Y17">
        <f t="shared" si="14"/>
        <v>0.25541633799999997</v>
      </c>
      <c r="Z17">
        <f t="shared" si="15"/>
        <v>0.36937818682667983</v>
      </c>
      <c r="AA17">
        <f t="shared" si="16"/>
        <v>5.7110380000000021</v>
      </c>
      <c r="AB17">
        <f t="shared" si="17"/>
        <v>6.5446437897841561E-2</v>
      </c>
      <c r="AC17">
        <f t="shared" si="18"/>
        <v>57.789088947901092</v>
      </c>
    </row>
    <row r="18" spans="1:29" x14ac:dyDescent="0.2">
      <c r="A18">
        <v>46137.089597638886</v>
      </c>
      <c r="B18">
        <v>18.153423</v>
      </c>
      <c r="C18">
        <v>18.684093000000001</v>
      </c>
      <c r="D18">
        <v>19.146633999999999</v>
      </c>
      <c r="E18">
        <v>19.493296999999998</v>
      </c>
      <c r="F18">
        <v>29.019759000000001</v>
      </c>
      <c r="G18">
        <v>31.305392999999999</v>
      </c>
      <c r="H18">
        <v>25.838892000000001</v>
      </c>
      <c r="I18">
        <v>23.346848000000001</v>
      </c>
      <c r="J18">
        <v>58.411881000000001</v>
      </c>
      <c r="K18">
        <v>52.697198</v>
      </c>
      <c r="L18">
        <v>383.42922499999997</v>
      </c>
      <c r="M18">
        <v>-622.50734699999998</v>
      </c>
      <c r="N18">
        <v>2.2499639999999999</v>
      </c>
      <c r="O18">
        <v>5.6424849999999998</v>
      </c>
      <c r="P18">
        <f t="shared" si="10"/>
        <v>3.7499399999999995E-5</v>
      </c>
      <c r="Q18" cm="1">
        <f t="array" ref="Q18">[1]!PropsSI("D","T",J18+273.15,"P",101325,"Water")</f>
        <v>984.00536188938588</v>
      </c>
      <c r="R18" cm="1">
        <f t="array" ref="R18">[1]!PropsSI("D","T",K18+273.15,"P",101325,"Water")</f>
        <v>986.79149386986069</v>
      </c>
      <c r="S18">
        <f t="shared" si="11"/>
        <v>985.39842787962334</v>
      </c>
      <c r="T18" cm="1">
        <f t="array" ref="T18">[1]!PropsSI("H","T",J18+273.15,"P",101325,"Water")</f>
        <v>244603.03041063339</v>
      </c>
      <c r="U18" cm="1">
        <f t="array" ref="U18">[1]!PropsSI("H","T",K18+273.15,"P",101325,"Water")</f>
        <v>220697.48228433874</v>
      </c>
      <c r="V18">
        <f t="shared" si="12"/>
        <v>883.35422390320366</v>
      </c>
      <c r="X18">
        <f t="shared" si="13"/>
        <v>0.26682376200000002</v>
      </c>
      <c r="Y18">
        <f t="shared" si="14"/>
        <v>0.25539439600000002</v>
      </c>
      <c r="Z18">
        <f t="shared" si="15"/>
        <v>0.3693524299040653</v>
      </c>
      <c r="AA18">
        <f t="shared" si="16"/>
        <v>5.7146830000000008</v>
      </c>
      <c r="AB18">
        <f t="shared" si="17"/>
        <v>6.5401214887931269E-2</v>
      </c>
      <c r="AC18">
        <f t="shared" si="18"/>
        <v>57.772439419655178</v>
      </c>
    </row>
    <row r="19" spans="1:29" x14ac:dyDescent="0.2">
      <c r="A19">
        <v>46137.089632361109</v>
      </c>
      <c r="B19">
        <v>18.281169999999999</v>
      </c>
      <c r="C19">
        <v>18.791585999999999</v>
      </c>
      <c r="D19">
        <v>19.205214999999999</v>
      </c>
      <c r="E19">
        <v>19.605392999999999</v>
      </c>
      <c r="F19">
        <v>29.020852000000001</v>
      </c>
      <c r="G19">
        <v>31.313313000000001</v>
      </c>
      <c r="H19">
        <v>26.300937999999999</v>
      </c>
      <c r="I19">
        <v>23.239395999999999</v>
      </c>
      <c r="J19">
        <v>58.406464999999997</v>
      </c>
      <c r="K19">
        <v>52.688293000000002</v>
      </c>
      <c r="L19">
        <v>372.34733</v>
      </c>
      <c r="M19">
        <v>-622.48897999999997</v>
      </c>
      <c r="N19">
        <v>2.2498369999999999</v>
      </c>
      <c r="O19">
        <v>5.6746860000000003</v>
      </c>
      <c r="P19">
        <f t="shared" si="10"/>
        <v>3.7497283333333327E-5</v>
      </c>
      <c r="Q19" cm="1">
        <f t="array" ref="Q19">[1]!PropsSI("D","T",J19+273.15,"P",101325,"Water")</f>
        <v>984.00809692816892</v>
      </c>
      <c r="R19" cm="1">
        <f t="array" ref="R19">[1]!PropsSI("D","T",K19+273.15,"P",101325,"Water")</f>
        <v>986.79567648487671</v>
      </c>
      <c r="S19">
        <f t="shared" si="11"/>
        <v>985.40188670652287</v>
      </c>
      <c r="T19" cm="1">
        <f t="array" ref="T19">[1]!PropsSI("H","T",J19+273.15,"P",101325,"Water")</f>
        <v>244580.36836389959</v>
      </c>
      <c r="U19" cm="1">
        <f t="array" ref="U19">[1]!PropsSI("H","T",K19+273.15,"P",101325,"Water")</f>
        <v>220660.24012500985</v>
      </c>
      <c r="V19">
        <f t="shared" si="12"/>
        <v>883.84619674676378</v>
      </c>
      <c r="X19">
        <f t="shared" si="13"/>
        <v>0.26681293</v>
      </c>
      <c r="Y19">
        <f t="shared" si="14"/>
        <v>0.25537658600000002</v>
      </c>
      <c r="Z19">
        <f t="shared" si="15"/>
        <v>0.36933228980445282</v>
      </c>
      <c r="AA19">
        <f t="shared" si="16"/>
        <v>5.7181719999999956</v>
      </c>
      <c r="AB19">
        <f t="shared" si="17"/>
        <v>6.5358762253348815E-2</v>
      </c>
      <c r="AC19">
        <f t="shared" si="18"/>
        <v>57.767093441698293</v>
      </c>
    </row>
    <row r="20" spans="1:29" x14ac:dyDescent="0.2">
      <c r="A20">
        <v>46137.08966766204</v>
      </c>
      <c r="B20">
        <v>18.501543000000002</v>
      </c>
      <c r="C20">
        <v>18.831875</v>
      </c>
      <c r="D20">
        <v>19.215288000000001</v>
      </c>
      <c r="E20">
        <v>19.644326</v>
      </c>
      <c r="F20">
        <v>29.087485999999998</v>
      </c>
      <c r="G20">
        <v>32.020865999999998</v>
      </c>
      <c r="H20">
        <v>26.021388999999999</v>
      </c>
      <c r="I20">
        <v>23.077824</v>
      </c>
      <c r="J20">
        <v>58.398978999999997</v>
      </c>
      <c r="K20">
        <v>52.681773999999997</v>
      </c>
      <c r="L20">
        <v>366.28763400000003</v>
      </c>
      <c r="M20">
        <v>-622.49428599999999</v>
      </c>
      <c r="N20">
        <v>2.247493</v>
      </c>
      <c r="O20">
        <v>5.6626770000000004</v>
      </c>
      <c r="P20">
        <f t="shared" si="10"/>
        <v>3.745821666666667E-5</v>
      </c>
      <c r="Q20" cm="1">
        <f t="array" ref="Q20">[1]!PropsSI("D","T",J20+273.15,"P",101325,"Water")</f>
        <v>984.01187701161859</v>
      </c>
      <c r="R20" cm="1">
        <f t="array" ref="R20">[1]!PropsSI("D","T",K20+273.15,"P",101325,"Water")</f>
        <v>986.79873809273431</v>
      </c>
      <c r="S20">
        <f t="shared" si="11"/>
        <v>985.40530755217651</v>
      </c>
      <c r="T20" cm="1">
        <f t="array" ref="T20">[1]!PropsSI("H","T",J20+273.15,"P",101325,"Water")</f>
        <v>244549.04488268719</v>
      </c>
      <c r="U20" cm="1">
        <f t="array" ref="U20">[1]!PropsSI("H","T",K20+273.15,"P",101325,"Water")</f>
        <v>220632.97662240334</v>
      </c>
      <c r="V20">
        <f t="shared" si="12"/>
        <v>882.77856380251364</v>
      </c>
      <c r="X20">
        <f t="shared" si="13"/>
        <v>0.266797958</v>
      </c>
      <c r="Y20">
        <f t="shared" si="14"/>
        <v>0.255363548</v>
      </c>
      <c r="Z20">
        <f t="shared" si="15"/>
        <v>0.36931245854982753</v>
      </c>
      <c r="AA20">
        <f t="shared" si="16"/>
        <v>5.7172049999999999</v>
      </c>
      <c r="AB20">
        <f t="shared" si="17"/>
        <v>6.5366130310605619E-2</v>
      </c>
      <c r="AC20">
        <f t="shared" si="18"/>
        <v>57.703818636924382</v>
      </c>
    </row>
    <row r="21" spans="1:29" x14ac:dyDescent="0.2">
      <c r="A21">
        <v>46137.089702962963</v>
      </c>
      <c r="B21">
        <v>18.230471999999999</v>
      </c>
      <c r="C21">
        <v>18.862787999999998</v>
      </c>
      <c r="D21">
        <v>19.415700999999999</v>
      </c>
      <c r="E21">
        <v>19.709631000000002</v>
      </c>
      <c r="F21">
        <v>29.138646999999999</v>
      </c>
      <c r="G21">
        <v>31.540922999999999</v>
      </c>
      <c r="H21">
        <v>25.855927000000001</v>
      </c>
      <c r="I21">
        <v>22.846685000000001</v>
      </c>
      <c r="J21">
        <v>58.394519000000003</v>
      </c>
      <c r="K21">
        <v>52.679229999999997</v>
      </c>
      <c r="L21">
        <v>375.75287400000002</v>
      </c>
      <c r="M21">
        <v>-622.50816299999997</v>
      </c>
      <c r="N21">
        <v>2.251423</v>
      </c>
      <c r="O21">
        <v>5.2794350000000003</v>
      </c>
      <c r="P21">
        <f t="shared" si="10"/>
        <v>3.7523716666666665E-5</v>
      </c>
      <c r="Q21" cm="1">
        <f t="array" ref="Q21">[1]!PropsSI("D","T",J21+273.15,"P",101325,"Water")</f>
        <v>984.01412894536077</v>
      </c>
      <c r="R21" cm="1">
        <f t="array" ref="R21">[1]!PropsSI("D","T",K21+273.15,"P",101325,"Water")</f>
        <v>986.79993279319694</v>
      </c>
      <c r="S21">
        <f t="shared" si="11"/>
        <v>985.40703086927886</v>
      </c>
      <c r="T21" cm="1">
        <f t="array" ref="T21">[1]!PropsSI("H","T",J21+273.15,"P",101325,"Water")</f>
        <v>244530.38302805726</v>
      </c>
      <c r="U21" cm="1">
        <f t="array" ref="U21">[1]!PropsSI("H","T",K21+273.15,"P",101325,"Water")</f>
        <v>220622.33721049543</v>
      </c>
      <c r="V21">
        <f t="shared" si="12"/>
        <v>884.02711127169118</v>
      </c>
      <c r="X21">
        <f t="shared" si="13"/>
        <v>0.26678903799999998</v>
      </c>
      <c r="Y21">
        <f t="shared" si="14"/>
        <v>0.25535846000000001</v>
      </c>
      <c r="Z21">
        <f t="shared" si="15"/>
        <v>0.36930249645857666</v>
      </c>
      <c r="AA21">
        <f t="shared" si="16"/>
        <v>5.7152890000000056</v>
      </c>
      <c r="AB21">
        <f t="shared" si="17"/>
        <v>6.5385808389200689E-2</v>
      </c>
      <c r="AC21">
        <f t="shared" si="18"/>
        <v>57.802827308469396</v>
      </c>
    </row>
    <row r="22" spans="1:29" x14ac:dyDescent="0.2">
      <c r="A22">
        <v>46137.089738263887</v>
      </c>
      <c r="B22">
        <v>18.173539000000002</v>
      </c>
      <c r="C22">
        <v>18.824387000000002</v>
      </c>
      <c r="D22">
        <v>19.341732</v>
      </c>
      <c r="E22">
        <v>19.494567</v>
      </c>
      <c r="F22">
        <v>29.1052</v>
      </c>
      <c r="G22">
        <v>32.119486999999999</v>
      </c>
      <c r="H22">
        <v>25.649061</v>
      </c>
      <c r="I22">
        <v>23.233568000000002</v>
      </c>
      <c r="J22">
        <v>58.387191999999999</v>
      </c>
      <c r="K22">
        <v>52.673346000000002</v>
      </c>
      <c r="L22">
        <v>405.95381099999997</v>
      </c>
      <c r="M22">
        <v>-622.52040699999998</v>
      </c>
      <c r="N22">
        <v>2.2517870000000002</v>
      </c>
      <c r="O22">
        <v>5.4883509999999998</v>
      </c>
      <c r="P22">
        <f t="shared" si="10"/>
        <v>3.7529783333333338E-5</v>
      </c>
      <c r="Q22" cm="1">
        <f t="array" ref="Q22">[1]!PropsSI("D","T",J22+273.15,"P",101325,"Water")</f>
        <v>984.01782821965821</v>
      </c>
      <c r="R22" cm="1">
        <f t="array" ref="R22">[1]!PropsSI("D","T",K22+273.15,"P",101325,"Water")</f>
        <v>986.80269584975861</v>
      </c>
      <c r="S22">
        <f t="shared" si="11"/>
        <v>985.41026203470847</v>
      </c>
      <c r="T22" cm="1">
        <f t="array" ref="T22">[1]!PropsSI("H","T",J22+273.15,"P",101325,"Water")</f>
        <v>244499.7248824634</v>
      </c>
      <c r="U22" cm="1">
        <f t="array" ref="U22">[1]!PropsSI("H","T",K22+273.15,"P",101325,"Water")</f>
        <v>220597.7293964125</v>
      </c>
      <c r="V22">
        <f t="shared" si="12"/>
        <v>883.94918125501658</v>
      </c>
      <c r="X22">
        <f t="shared" si="13"/>
        <v>0.26677438399999998</v>
      </c>
      <c r="Y22">
        <f t="shared" si="14"/>
        <v>0.25534669199999999</v>
      </c>
      <c r="Z22">
        <f t="shared" si="15"/>
        <v>0.36928377309857835</v>
      </c>
      <c r="AA22">
        <f t="shared" si="16"/>
        <v>5.7138459999999966</v>
      </c>
      <c r="AB22">
        <f t="shared" si="17"/>
        <v>6.5398696713654822E-2</v>
      </c>
      <c r="AC22">
        <f t="shared" si="18"/>
        <v>57.809124415180321</v>
      </c>
    </row>
    <row r="23" spans="1:29" x14ac:dyDescent="0.2">
      <c r="A23">
        <v>46137.089773564818</v>
      </c>
      <c r="B23">
        <v>18.400238999999999</v>
      </c>
      <c r="C23">
        <v>18.883400000000002</v>
      </c>
      <c r="D23">
        <v>19.347988000000001</v>
      </c>
      <c r="E23">
        <v>19.548501999999999</v>
      </c>
      <c r="F23">
        <v>29.133158000000002</v>
      </c>
      <c r="G23">
        <v>32.058534999999999</v>
      </c>
      <c r="H23">
        <v>25.765688000000001</v>
      </c>
      <c r="I23">
        <v>23.377592</v>
      </c>
      <c r="J23">
        <v>58.380502</v>
      </c>
      <c r="K23">
        <v>52.666986000000001</v>
      </c>
      <c r="L23">
        <v>368.997702</v>
      </c>
      <c r="M23">
        <v>-622.474695</v>
      </c>
      <c r="N23">
        <v>2.2475049999999999</v>
      </c>
      <c r="O23">
        <v>5.3663819999999998</v>
      </c>
      <c r="P23">
        <f t="shared" si="10"/>
        <v>3.7458416666666664E-5</v>
      </c>
      <c r="Q23" cm="1">
        <f t="array" ref="Q23">[1]!PropsSI("D","T",J23+273.15,"P",101325,"Water")</f>
        <v>984.02120560254093</v>
      </c>
      <c r="R23" cm="1">
        <f t="array" ref="R23">[1]!PropsSI("D","T",K23+273.15,"P",101325,"Water")</f>
        <v>986.8056821824506</v>
      </c>
      <c r="S23">
        <f t="shared" si="11"/>
        <v>985.41344389249571</v>
      </c>
      <c r="T23" cm="1">
        <f t="array" ref="T23">[1]!PropsSI("H","T",J23+273.15,"P",101325,"Water")</f>
        <v>244471.73213611817</v>
      </c>
      <c r="U23" cm="1">
        <f t="array" ref="U23">[1]!PropsSI("H","T",K23+273.15,"P",101325,"Water")</f>
        <v>220571.13088809059</v>
      </c>
      <c r="V23">
        <f t="shared" si="12"/>
        <v>882.21964743286583</v>
      </c>
      <c r="X23">
        <f t="shared" si="13"/>
        <v>0.26676100400000002</v>
      </c>
      <c r="Y23">
        <f t="shared" si="14"/>
        <v>0.25533397200000002</v>
      </c>
      <c r="Z23">
        <f t="shared" si="15"/>
        <v>0.36926531181846045</v>
      </c>
      <c r="AA23">
        <f t="shared" si="16"/>
        <v>5.7135159999999985</v>
      </c>
      <c r="AB23">
        <f t="shared" si="17"/>
        <v>6.5399192518741975E-2</v>
      </c>
      <c r="AC23">
        <f t="shared" si="18"/>
        <v>57.696452566278658</v>
      </c>
    </row>
    <row r="24" spans="1:29" x14ac:dyDescent="0.2">
      <c r="A24">
        <v>46137.089808287034</v>
      </c>
      <c r="B24">
        <v>18.176635999999998</v>
      </c>
      <c r="C24">
        <v>18.854772000000001</v>
      </c>
      <c r="D24">
        <v>19.257088</v>
      </c>
      <c r="E24">
        <v>19.392385999999998</v>
      </c>
      <c r="F24">
        <v>29.187436000000002</v>
      </c>
      <c r="G24">
        <v>31.908818</v>
      </c>
      <c r="H24">
        <v>25.787709</v>
      </c>
      <c r="I24">
        <v>23.208447</v>
      </c>
      <c r="J24">
        <v>58.373812999999998</v>
      </c>
      <c r="K24">
        <v>52.662056999999997</v>
      </c>
      <c r="L24">
        <v>403.192317</v>
      </c>
      <c r="M24">
        <v>-622.48040900000001</v>
      </c>
      <c r="N24">
        <v>2.249943</v>
      </c>
      <c r="O24">
        <v>5.6806590000000003</v>
      </c>
      <c r="P24">
        <f t="shared" si="10"/>
        <v>3.7499049999999998E-5</v>
      </c>
      <c r="Q24" cm="1">
        <f t="array" ref="Q24">[1]!PropsSI("D","T",J24+273.15,"P",101325,"Water")</f>
        <v>984.02458221216705</v>
      </c>
      <c r="R24" cm="1">
        <f t="array" ref="R24">[1]!PropsSI("D","T",K24+273.15,"P",101325,"Water")</f>
        <v>986.80799641320687</v>
      </c>
      <c r="S24">
        <f t="shared" si="11"/>
        <v>985.41628931268701</v>
      </c>
      <c r="T24" cm="1">
        <f t="array" ref="T24">[1]!PropsSI("H","T",J24+273.15,"P",101325,"Water")</f>
        <v>244443.74359254766</v>
      </c>
      <c r="U24" cm="1">
        <f t="array" ref="U24">[1]!PropsSI("H","T",K24+273.15,"P",101325,"Water")</f>
        <v>220550.51705317531</v>
      </c>
      <c r="V24">
        <f t="shared" si="12"/>
        <v>882.90668131918494</v>
      </c>
      <c r="X24">
        <f t="shared" si="13"/>
        <v>0.26674762600000002</v>
      </c>
      <c r="Y24">
        <f t="shared" si="14"/>
        <v>0.25532411399999999</v>
      </c>
      <c r="Z24">
        <f t="shared" si="15"/>
        <v>0.36924883096161709</v>
      </c>
      <c r="AA24">
        <f t="shared" si="16"/>
        <v>5.7117560000000012</v>
      </c>
      <c r="AB24">
        <f t="shared" si="17"/>
        <v>6.5416021784342943E-2</v>
      </c>
      <c r="AC24">
        <f t="shared" si="18"/>
        <v>57.756242698717735</v>
      </c>
    </row>
    <row r="25" spans="1:29" x14ac:dyDescent="0.2">
      <c r="A25">
        <v>46137.089843587964</v>
      </c>
      <c r="B25">
        <v>18.101082999999999</v>
      </c>
      <c r="C25">
        <v>18.641589</v>
      </c>
      <c r="D25">
        <v>19.251594999999998</v>
      </c>
      <c r="E25">
        <v>19.483284999999999</v>
      </c>
      <c r="F25">
        <v>29.269841</v>
      </c>
      <c r="G25">
        <v>32.099082000000003</v>
      </c>
      <c r="H25">
        <v>25.843605</v>
      </c>
      <c r="I25">
        <v>23.245289</v>
      </c>
      <c r="J25">
        <v>58.369830999999998</v>
      </c>
      <c r="K25">
        <v>52.653469999999999</v>
      </c>
      <c r="L25">
        <v>398.56683399999997</v>
      </c>
      <c r="M25">
        <v>-622.47796000000005</v>
      </c>
      <c r="N25">
        <v>2.2521230000000001</v>
      </c>
      <c r="O25">
        <v>5.6045639999999999</v>
      </c>
      <c r="P25">
        <f t="shared" si="10"/>
        <v>3.753538333333333E-5</v>
      </c>
      <c r="Q25" cm="1">
        <f t="array" ref="Q25">[1]!PropsSI("D","T",J25+273.15,"P",101325,"Water")</f>
        <v>984.02659219974942</v>
      </c>
      <c r="R25" cm="1">
        <f t="array" ref="R25">[1]!PropsSI("D","T",K25+273.15,"P",101325,"Water")</f>
        <v>986.81202775395604</v>
      </c>
      <c r="S25">
        <f t="shared" si="11"/>
        <v>985.41930997685267</v>
      </c>
      <c r="T25" cm="1">
        <f t="array" ref="T25">[1]!PropsSI("H","T",J25+273.15,"P",101325,"Water")</f>
        <v>244427.08186103537</v>
      </c>
      <c r="U25" cm="1">
        <f t="array" ref="U25">[1]!PropsSI("H","T",K25+273.15,"P",101325,"Water")</f>
        <v>220514.60491950219</v>
      </c>
      <c r="V25">
        <f t="shared" si="12"/>
        <v>884.47688615841378</v>
      </c>
      <c r="X25">
        <f t="shared" si="13"/>
        <v>0.26673966199999999</v>
      </c>
      <c r="Y25">
        <f t="shared" si="14"/>
        <v>0.25530693999999998</v>
      </c>
      <c r="Z25">
        <f t="shared" si="15"/>
        <v>0.3692312024951816</v>
      </c>
      <c r="AA25">
        <f t="shared" si="16"/>
        <v>5.7163609999999991</v>
      </c>
      <c r="AB25">
        <f t="shared" si="17"/>
        <v>6.5361508190119308E-2</v>
      </c>
      <c r="AC25">
        <f t="shared" si="18"/>
        <v>57.810743238614386</v>
      </c>
    </row>
    <row r="26" spans="1:29" x14ac:dyDescent="0.2">
      <c r="A26">
        <v>46137.089878310187</v>
      </c>
      <c r="B26">
        <v>17.847128999999999</v>
      </c>
      <c r="C26">
        <v>18.367999000000001</v>
      </c>
      <c r="D26">
        <v>19.257638</v>
      </c>
      <c r="E26">
        <v>19.415182000000001</v>
      </c>
      <c r="F26">
        <v>29.031624999999998</v>
      </c>
      <c r="G26">
        <v>31.850393</v>
      </c>
      <c r="H26">
        <v>25.974205999999999</v>
      </c>
      <c r="I26">
        <v>22.981086999999999</v>
      </c>
      <c r="J26">
        <v>58.363778000000003</v>
      </c>
      <c r="K26">
        <v>52.643929999999997</v>
      </c>
      <c r="L26">
        <v>412.26900499999999</v>
      </c>
      <c r="M26">
        <v>-622.50734699999998</v>
      </c>
      <c r="N26">
        <v>2.2499560000000001</v>
      </c>
      <c r="O26">
        <v>4.9643059999999997</v>
      </c>
      <c r="P26">
        <f t="shared" si="10"/>
        <v>3.7499266666666669E-5</v>
      </c>
      <c r="Q26" cm="1">
        <f t="array" ref="Q26">[1]!PropsSI("D","T",J26+273.15,"P",101325,"Water")</f>
        <v>984.02964738039452</v>
      </c>
      <c r="R26" cm="1">
        <f t="array" ref="R26">[1]!PropsSI("D","T",K26+273.15,"P",101325,"Water")</f>
        <v>986.81650594937901</v>
      </c>
      <c r="S26">
        <f t="shared" si="11"/>
        <v>985.42307666488682</v>
      </c>
      <c r="T26" cm="1">
        <f t="array" ref="T26">[1]!PropsSI("H","T",J26+273.15,"P",101325,"Water")</f>
        <v>244401.7545353458</v>
      </c>
      <c r="U26" cm="1">
        <f t="array" ref="U26">[1]!PropsSI("H","T",K26+273.15,"P",101325,"Water")</f>
        <v>220474.70722364544</v>
      </c>
      <c r="V26">
        <f t="shared" si="12"/>
        <v>884.16763092522103</v>
      </c>
      <c r="X26">
        <f t="shared" si="13"/>
        <v>0.26672755599999998</v>
      </c>
      <c r="Y26">
        <f t="shared" si="14"/>
        <v>0.25528785999999998</v>
      </c>
      <c r="Z26">
        <f t="shared" si="15"/>
        <v>0.3692092639589542</v>
      </c>
      <c r="AA26">
        <f t="shared" si="16"/>
        <v>5.719848000000006</v>
      </c>
      <c r="AB26">
        <f t="shared" si="17"/>
        <v>6.5318804437636865E-2</v>
      </c>
      <c r="AC26">
        <f t="shared" si="18"/>
        <v>57.7527725744932</v>
      </c>
    </row>
    <row r="27" spans="1:29" x14ac:dyDescent="0.2">
      <c r="A27">
        <v>46137.089913611111</v>
      </c>
      <c r="B27">
        <v>17.738194</v>
      </c>
      <c r="C27">
        <v>18.050927000000001</v>
      </c>
      <c r="D27">
        <v>19.281099000000001</v>
      </c>
      <c r="E27">
        <v>19.567228</v>
      </c>
      <c r="F27">
        <v>28.727819</v>
      </c>
      <c r="G27">
        <v>31.978538</v>
      </c>
      <c r="H27">
        <v>25.773356</v>
      </c>
      <c r="I27">
        <v>23.399325999999999</v>
      </c>
      <c r="J27">
        <v>58.358522000000001</v>
      </c>
      <c r="K27">
        <v>52.631526999999998</v>
      </c>
      <c r="L27">
        <v>409.13732499999998</v>
      </c>
      <c r="M27">
        <v>-622.47673599999996</v>
      </c>
      <c r="N27">
        <v>2.2471770000000002</v>
      </c>
      <c r="O27">
        <v>5.4339360000000001</v>
      </c>
      <c r="P27">
        <f t="shared" si="10"/>
        <v>3.7452950000000005E-5</v>
      </c>
      <c r="Q27" cm="1">
        <f t="array" ref="Q27">[1]!PropsSI("D","T",J27+273.15,"P",101325,"Water")</f>
        <v>984.03230010628647</v>
      </c>
      <c r="R27" cm="1">
        <f t="array" ref="R27">[1]!PropsSI("D","T",K27+273.15,"P",101325,"Water")</f>
        <v>986.82232720642355</v>
      </c>
      <c r="S27">
        <f t="shared" si="11"/>
        <v>985.42731365635495</v>
      </c>
      <c r="T27" cm="1">
        <f t="array" ref="T27">[1]!PropsSI("H","T",J27+273.15,"P",101325,"Water")</f>
        <v>244379.76207714615</v>
      </c>
      <c r="U27" cm="1">
        <f t="array" ref="U27">[1]!PropsSI("H","T",K27+273.15,"P",101325,"Water")</f>
        <v>220422.83608123066</v>
      </c>
      <c r="V27">
        <f t="shared" si="12"/>
        <v>884.18209861155674</v>
      </c>
      <c r="X27">
        <f t="shared" si="13"/>
        <v>0.26671704400000001</v>
      </c>
      <c r="Y27">
        <f t="shared" si="14"/>
        <v>0.25526305399999999</v>
      </c>
      <c r="Z27">
        <f t="shared" si="15"/>
        <v>0.36918451795478213</v>
      </c>
      <c r="AA27">
        <f t="shared" si="16"/>
        <v>5.7269950000000023</v>
      </c>
      <c r="AB27">
        <f t="shared" si="17"/>
        <v>6.523493171741894E-2</v>
      </c>
      <c r="AC27">
        <f t="shared" si="18"/>
        <v>57.679558828689082</v>
      </c>
    </row>
    <row r="28" spans="1:29" x14ac:dyDescent="0.2">
      <c r="A28">
        <v>46137.089948912035</v>
      </c>
      <c r="B28">
        <v>18.213277000000001</v>
      </c>
      <c r="C28">
        <v>18.797477000000001</v>
      </c>
      <c r="D28">
        <v>19.274343999999999</v>
      </c>
      <c r="E28">
        <v>19.670849</v>
      </c>
      <c r="F28">
        <v>29.271915</v>
      </c>
      <c r="G28">
        <v>31.932286000000001</v>
      </c>
      <c r="H28">
        <v>25.854156</v>
      </c>
      <c r="I28">
        <v>23.177344000000002</v>
      </c>
      <c r="J28">
        <v>58.352310000000003</v>
      </c>
      <c r="K28">
        <v>52.620396999999997</v>
      </c>
      <c r="L28">
        <v>390.08031999999997</v>
      </c>
      <c r="M28">
        <v>-622.51020400000004</v>
      </c>
      <c r="N28">
        <v>2.2497419999999999</v>
      </c>
      <c r="O28">
        <v>5.3964990000000004</v>
      </c>
      <c r="P28">
        <f t="shared" si="10"/>
        <v>3.7495700000000001E-5</v>
      </c>
      <c r="Q28" cm="1">
        <f t="array" ref="Q28">[1]!PropsSI("D","T",J28+273.15,"P",101325,"Water")</f>
        <v>984.03543511585974</v>
      </c>
      <c r="R28" cm="1">
        <f t="array" ref="R28">[1]!PropsSI("D","T",K28+273.15,"P",101325,"Water")</f>
        <v>986.82755015631972</v>
      </c>
      <c r="S28">
        <f t="shared" si="11"/>
        <v>985.43149263608973</v>
      </c>
      <c r="T28" cm="1">
        <f t="array" ref="T28">[1]!PropsSI("H","T",J28+273.15,"P",101325,"Water")</f>
        <v>244353.76948327792</v>
      </c>
      <c r="U28" cm="1">
        <f t="array" ref="U28">[1]!PropsSI("H","T",K28+273.15,"P",101325,"Water")</f>
        <v>220376.28885175328</v>
      </c>
      <c r="V28">
        <f t="shared" si="12"/>
        <v>885.95456870663759</v>
      </c>
      <c r="X28">
        <f t="shared" si="13"/>
        <v>0.26670462</v>
      </c>
      <c r="Y28">
        <f t="shared" si="14"/>
        <v>0.25524079399999999</v>
      </c>
      <c r="Z28">
        <f t="shared" si="15"/>
        <v>0.36916015122314438</v>
      </c>
      <c r="AA28">
        <f t="shared" si="16"/>
        <v>5.7319130000000058</v>
      </c>
      <c r="AB28">
        <f t="shared" si="17"/>
        <v>6.5176075003767986E-2</v>
      </c>
      <c r="AC28">
        <f t="shared" si="18"/>
        <v>57.743041419954729</v>
      </c>
    </row>
    <row r="29" spans="1:29" x14ac:dyDescent="0.2">
      <c r="A29">
        <v>46137.089984212966</v>
      </c>
      <c r="B29">
        <v>18.381567</v>
      </c>
      <c r="C29">
        <v>18.963673</v>
      </c>
      <c r="D29">
        <v>19.375247999999999</v>
      </c>
      <c r="E29">
        <v>19.559601000000001</v>
      </c>
      <c r="F29">
        <v>29.088505000000001</v>
      </c>
      <c r="G29">
        <v>31.417957000000001</v>
      </c>
      <c r="H29">
        <v>26.149723000000002</v>
      </c>
      <c r="I29">
        <v>22.633671</v>
      </c>
      <c r="J29">
        <v>58.345779999999998</v>
      </c>
      <c r="K29">
        <v>52.615945000000004</v>
      </c>
      <c r="L29">
        <v>374.38886100000002</v>
      </c>
      <c r="M29">
        <v>-622.52775399999996</v>
      </c>
      <c r="N29">
        <v>2.2423700000000002</v>
      </c>
      <c r="O29">
        <v>5.6180089999999998</v>
      </c>
      <c r="P29">
        <f t="shared" si="10"/>
        <v>3.7372833333333336E-5</v>
      </c>
      <c r="Q29" cm="1">
        <f t="array" ref="Q29">[1]!PropsSI("D","T",J29+273.15,"P",101325,"Water")</f>
        <v>984.03873036077619</v>
      </c>
      <c r="R29" cm="1">
        <f t="array" ref="R29">[1]!PropsSI("D","T",K29+273.15,"P",101325,"Water")</f>
        <v>986.82963911537865</v>
      </c>
      <c r="S29">
        <f t="shared" si="11"/>
        <v>985.43418473807742</v>
      </c>
      <c r="T29" cm="1">
        <f t="array" ref="T29">[1]!PropsSI("H","T",J29+273.15,"P",101325,"Water")</f>
        <v>244326.4463133651</v>
      </c>
      <c r="U29" cm="1">
        <f t="array" ref="U29">[1]!PropsSI("H","T",K29+273.15,"P",101325,"Water")</f>
        <v>220357.66997126889</v>
      </c>
      <c r="V29">
        <f t="shared" si="12"/>
        <v>882.73330166063511</v>
      </c>
      <c r="X29">
        <f t="shared" si="13"/>
        <v>0.26669155999999999</v>
      </c>
      <c r="Y29">
        <f t="shared" si="14"/>
        <v>0.25523189000000002</v>
      </c>
      <c r="Z29">
        <f t="shared" si="15"/>
        <v>0.36914455955384973</v>
      </c>
      <c r="AA29">
        <f t="shared" si="16"/>
        <v>5.7298349999999942</v>
      </c>
      <c r="AB29">
        <f t="shared" si="17"/>
        <v>6.5196466687426555E-2</v>
      </c>
      <c r="AC29">
        <f t="shared" si="18"/>
        <v>57.551092295599652</v>
      </c>
    </row>
    <row r="30" spans="1:29" x14ac:dyDescent="0.2">
      <c r="A30">
        <v>46137.090019513889</v>
      </c>
      <c r="B30">
        <v>18.126933000000001</v>
      </c>
      <c r="C30">
        <v>18.612648</v>
      </c>
      <c r="D30">
        <v>19.444662000000001</v>
      </c>
      <c r="E30">
        <v>19.555516000000001</v>
      </c>
      <c r="F30">
        <v>29.007950000000001</v>
      </c>
      <c r="G30">
        <v>31.294329999999999</v>
      </c>
      <c r="H30">
        <v>25.417017999999999</v>
      </c>
      <c r="I30">
        <v>23.463127</v>
      </c>
      <c r="J30">
        <v>58.338133999999997</v>
      </c>
      <c r="K30">
        <v>52.61356</v>
      </c>
      <c r="L30">
        <v>377.52747900000003</v>
      </c>
      <c r="M30">
        <v>-622.46245099999999</v>
      </c>
      <c r="N30">
        <v>2.2427269999999999</v>
      </c>
      <c r="O30">
        <v>5.4886819999999998</v>
      </c>
      <c r="P30">
        <f t="shared" si="10"/>
        <v>3.7378783333333332E-5</v>
      </c>
      <c r="Q30" cm="1">
        <f t="array" ref="Q30">[1]!PropsSI("D","T",J30+273.15,"P",101325,"Water")</f>
        <v>984.0425884494565</v>
      </c>
      <c r="R30" cm="1">
        <f t="array" ref="R30">[1]!PropsSI("D","T",K30+273.15,"P",101325,"Water")</f>
        <v>986.83075814866743</v>
      </c>
      <c r="S30">
        <f t="shared" si="11"/>
        <v>985.43667329906202</v>
      </c>
      <c r="T30" cm="1">
        <f t="array" ref="T30">[1]!PropsSI("H","T",J30+273.15,"P",101325,"Water")</f>
        <v>244294.45353982053</v>
      </c>
      <c r="U30" cm="1">
        <f t="array" ref="U30">[1]!PropsSI("H","T",K30+273.15,"P",101325,"Water")</f>
        <v>220347.6955736079</v>
      </c>
      <c r="V30">
        <f t="shared" si="12"/>
        <v>882.06503395737411</v>
      </c>
      <c r="X30">
        <f t="shared" si="13"/>
        <v>0.26667626799999999</v>
      </c>
      <c r="Y30">
        <f t="shared" si="14"/>
        <v>0.25522712000000003</v>
      </c>
      <c r="Z30">
        <f t="shared" si="15"/>
        <v>0.36913021374293142</v>
      </c>
      <c r="AA30">
        <f t="shared" si="16"/>
        <v>5.7245739999999969</v>
      </c>
      <c r="AB30">
        <f t="shared" si="17"/>
        <v>6.5252498178700796E-2</v>
      </c>
      <c r="AC30">
        <f t="shared" si="18"/>
        <v>57.556947021799211</v>
      </c>
    </row>
    <row r="31" spans="1:29" x14ac:dyDescent="0.2">
      <c r="A31">
        <v>46137.090054236112</v>
      </c>
      <c r="B31">
        <v>17.878091000000001</v>
      </c>
      <c r="C31">
        <v>18.509861000000001</v>
      </c>
      <c r="D31">
        <v>19.309979999999999</v>
      </c>
      <c r="E31">
        <v>19.565943999999998</v>
      </c>
      <c r="F31">
        <v>28.706909</v>
      </c>
      <c r="G31">
        <v>30.971620000000001</v>
      </c>
      <c r="H31">
        <v>25.558413000000002</v>
      </c>
      <c r="I31">
        <v>23.250512000000001</v>
      </c>
      <c r="J31">
        <v>58.334311999999997</v>
      </c>
      <c r="K31">
        <v>52.608947999999998</v>
      </c>
      <c r="L31">
        <v>362.598839</v>
      </c>
      <c r="M31">
        <v>-622.48040900000001</v>
      </c>
      <c r="N31">
        <v>2.2513860000000001</v>
      </c>
      <c r="O31">
        <v>5.1423040000000002</v>
      </c>
      <c r="P31">
        <f t="shared" si="10"/>
        <v>3.75231E-5</v>
      </c>
      <c r="Q31" cm="1">
        <f t="array" ref="Q31">[1]!PropsSI("D","T",J31+273.15,"P",101325,"Water")</f>
        <v>984.04451685768004</v>
      </c>
      <c r="R31" cm="1">
        <f t="array" ref="R31">[1]!PropsSI("D","T",K31+273.15,"P",101325,"Water")</f>
        <v>986.83292197944843</v>
      </c>
      <c r="S31">
        <f t="shared" si="11"/>
        <v>985.43871941856423</v>
      </c>
      <c r="T31" cm="1">
        <f t="array" ref="T31">[1]!PropsSI("H","T",J31+273.15,"P",101325,"Water")</f>
        <v>244278.46134638804</v>
      </c>
      <c r="U31" cm="1">
        <f t="array" ref="U31">[1]!PropsSI("H","T",K31+273.15,"P",101325,"Water")</f>
        <v>220328.4075613282</v>
      </c>
      <c r="V31">
        <f t="shared" si="12"/>
        <v>885.59432771698448</v>
      </c>
      <c r="X31">
        <f t="shared" si="13"/>
        <v>0.26666862400000002</v>
      </c>
      <c r="Y31">
        <f t="shared" si="14"/>
        <v>0.255217896</v>
      </c>
      <c r="Z31">
        <f t="shared" si="15"/>
        <v>0.36911831364038306</v>
      </c>
      <c r="AA31">
        <f t="shared" si="16"/>
        <v>5.725363999999999</v>
      </c>
      <c r="AB31">
        <f t="shared" si="17"/>
        <v>6.5241652021451615E-2</v>
      </c>
      <c r="AC31">
        <f t="shared" si="18"/>
        <v>57.777636961082884</v>
      </c>
    </row>
    <row r="32" spans="1:29" x14ac:dyDescent="0.2">
      <c r="A32">
        <v>46137.090089537036</v>
      </c>
      <c r="B32">
        <v>17.971076</v>
      </c>
      <c r="C32">
        <v>18.722988000000001</v>
      </c>
      <c r="D32">
        <v>19.225655</v>
      </c>
      <c r="E32">
        <v>19.5383</v>
      </c>
      <c r="F32">
        <v>29.016368</v>
      </c>
      <c r="G32">
        <v>31.149887</v>
      </c>
      <c r="H32">
        <v>25.635301999999999</v>
      </c>
      <c r="I32">
        <v>22.793869000000001</v>
      </c>
      <c r="J32">
        <v>58.327941000000003</v>
      </c>
      <c r="K32">
        <v>52.603383000000001</v>
      </c>
      <c r="L32">
        <v>375.92796700000002</v>
      </c>
      <c r="M32">
        <v>-622.519183</v>
      </c>
      <c r="N32">
        <v>2.2499310000000001</v>
      </c>
      <c r="O32">
        <v>5.4059920000000004</v>
      </c>
      <c r="P32">
        <f t="shared" si="10"/>
        <v>3.7498850000000004E-5</v>
      </c>
      <c r="Q32" cm="1">
        <f t="array" ref="Q32">[1]!PropsSI("D","T",J32+273.15,"P",101325,"Water")</f>
        <v>984.04773118108926</v>
      </c>
      <c r="R32" cm="1">
        <f t="array" ref="R32">[1]!PropsSI("D","T",K32+273.15,"P",101325,"Water")</f>
        <v>986.8355327527579</v>
      </c>
      <c r="S32">
        <f t="shared" si="11"/>
        <v>985.44163196692352</v>
      </c>
      <c r="T32" cm="1">
        <f t="array" ref="T32">[1]!PropsSI("H","T",J32+273.15,"P",101325,"Water")</f>
        <v>244251.80351966247</v>
      </c>
      <c r="U32" cm="1">
        <f t="array" ref="U32">[1]!PropsSI("H","T",K32+273.15,"P",101325,"Water")</f>
        <v>220305.13398237125</v>
      </c>
      <c r="V32">
        <f t="shared" si="12"/>
        <v>884.89955383565757</v>
      </c>
      <c r="X32">
        <f t="shared" si="13"/>
        <v>0.26665588200000001</v>
      </c>
      <c r="Y32">
        <f t="shared" si="14"/>
        <v>0.25520676600000003</v>
      </c>
      <c r="Z32">
        <f t="shared" si="15"/>
        <v>0.36910141264614083</v>
      </c>
      <c r="AA32">
        <f t="shared" si="16"/>
        <v>5.7245580000000018</v>
      </c>
      <c r="AB32">
        <f t="shared" si="17"/>
        <v>6.5247704562391887E-2</v>
      </c>
      <c r="AC32">
        <f t="shared" si="18"/>
        <v>57.737664656061376</v>
      </c>
    </row>
    <row r="33" spans="1:29" x14ac:dyDescent="0.2">
      <c r="A33">
        <v>46137.09012483796</v>
      </c>
      <c r="B33">
        <v>18.028856000000001</v>
      </c>
      <c r="C33">
        <v>18.633375000000001</v>
      </c>
      <c r="D33">
        <v>19.242100000000001</v>
      </c>
      <c r="E33">
        <v>19.580045999999999</v>
      </c>
      <c r="F33">
        <v>28.965254000000002</v>
      </c>
      <c r="G33">
        <v>31.846995</v>
      </c>
      <c r="H33">
        <v>25.704875000000001</v>
      </c>
      <c r="I33">
        <v>22.817572999999999</v>
      </c>
      <c r="J33">
        <v>58.322685</v>
      </c>
      <c r="K33">
        <v>52.591140000000003</v>
      </c>
      <c r="L33">
        <v>386.57437299999998</v>
      </c>
      <c r="M33">
        <v>-622.46408299999996</v>
      </c>
      <c r="N33">
        <v>2.247595</v>
      </c>
      <c r="O33">
        <v>5.4930019999999997</v>
      </c>
      <c r="P33">
        <f t="shared" si="10"/>
        <v>3.7459916666666674E-5</v>
      </c>
      <c r="Q33" cm="1">
        <f t="array" ref="Q33">[1]!PropsSI("D","T",J33+273.15,"P",101325,"Water")</f>
        <v>984.05038277666085</v>
      </c>
      <c r="R33" cm="1">
        <f t="array" ref="R33">[1]!PropsSI("D","T",K33+273.15,"P",101325,"Water")</f>
        <v>986.84127575964794</v>
      </c>
      <c r="S33">
        <f t="shared" si="11"/>
        <v>985.4458292681544</v>
      </c>
      <c r="T33" cm="1">
        <f t="array" ref="T33">[1]!PropsSI("H","T",J33+273.15,"P",101325,"Water")</f>
        <v>244229.81113905009</v>
      </c>
      <c r="U33" cm="1">
        <f t="array" ref="U33">[1]!PropsSI("H","T",K33+273.15,"P",101325,"Water")</f>
        <v>220253.93214409397</v>
      </c>
      <c r="V33">
        <f t="shared" si="12"/>
        <v>885.06282733898024</v>
      </c>
      <c r="X33">
        <f t="shared" si="13"/>
        <v>0.26664536999999999</v>
      </c>
      <c r="Y33">
        <f t="shared" si="14"/>
        <v>0.25518227999999998</v>
      </c>
      <c r="Z33">
        <f t="shared" si="15"/>
        <v>0.36907688815263856</v>
      </c>
      <c r="AA33">
        <f t="shared" si="16"/>
        <v>5.731544999999997</v>
      </c>
      <c r="AB33">
        <f t="shared" si="17"/>
        <v>6.5165806061316389E-2</v>
      </c>
      <c r="AC33">
        <f t="shared" si="18"/>
        <v>57.675832558452342</v>
      </c>
    </row>
    <row r="34" spans="1:29" x14ac:dyDescent="0.2">
      <c r="A34">
        <v>46137.090159560183</v>
      </c>
      <c r="B34">
        <v>18.054288</v>
      </c>
      <c r="C34">
        <v>18.458538000000001</v>
      </c>
      <c r="D34">
        <v>19.083915999999999</v>
      </c>
      <c r="E34">
        <v>19.654012999999999</v>
      </c>
      <c r="F34">
        <v>28.920162000000001</v>
      </c>
      <c r="G34">
        <v>31.959665000000001</v>
      </c>
      <c r="H34">
        <v>25.948353999999998</v>
      </c>
      <c r="I34">
        <v>22.987531000000001</v>
      </c>
      <c r="J34">
        <v>58.315038999999999</v>
      </c>
      <c r="K34">
        <v>52.584462000000002</v>
      </c>
      <c r="L34">
        <v>386.89598999999998</v>
      </c>
      <c r="M34">
        <v>-622.50204099999996</v>
      </c>
      <c r="N34">
        <v>2.2455340000000001</v>
      </c>
      <c r="O34">
        <v>5.6878640000000003</v>
      </c>
      <c r="P34">
        <f t="shared" si="10"/>
        <v>3.742556666666667E-5</v>
      </c>
      <c r="Q34" cm="1">
        <f t="array" ref="Q34">[1]!PropsSI("D","T",J34+273.15,"P",101325,"Water")</f>
        <v>984.05423980550029</v>
      </c>
      <c r="R34" cm="1">
        <f t="array" ref="R34">[1]!PropsSI("D","T",K34+273.15,"P",101325,"Water")</f>
        <v>986.84440790636609</v>
      </c>
      <c r="S34">
        <f t="shared" si="11"/>
        <v>985.44932385593324</v>
      </c>
      <c r="T34" cm="1">
        <f t="array" ref="T34">[1]!PropsSI("H","T",J34+273.15,"P",101325,"Water")</f>
        <v>244197.81843823002</v>
      </c>
      <c r="U34" cm="1">
        <f t="array" ref="U34">[1]!PropsSI("H","T",K34+273.15,"P",101325,"Water")</f>
        <v>220226.00388919702</v>
      </c>
      <c r="V34">
        <f t="shared" si="12"/>
        <v>884.10447719894296</v>
      </c>
      <c r="X34">
        <f t="shared" si="13"/>
        <v>0.26663007799999999</v>
      </c>
      <c r="Y34">
        <f t="shared" si="14"/>
        <v>0.25516892400000002</v>
      </c>
      <c r="Z34">
        <f t="shared" si="15"/>
        <v>0.36905660577966065</v>
      </c>
      <c r="AA34">
        <f t="shared" si="16"/>
        <v>5.7305769999999967</v>
      </c>
      <c r="AB34">
        <f t="shared" si="17"/>
        <v>6.5173057158772058E-2</v>
      </c>
      <c r="AC34">
        <f t="shared" si="18"/>
        <v>57.619791626812997</v>
      </c>
    </row>
    <row r="35" spans="1:29" x14ac:dyDescent="0.2">
      <c r="A35">
        <v>46137.090194861114</v>
      </c>
      <c r="B35">
        <v>17.789815000000001</v>
      </c>
      <c r="C35">
        <v>18.192243000000001</v>
      </c>
      <c r="D35">
        <v>19.134225000000001</v>
      </c>
      <c r="E35">
        <v>19.633035</v>
      </c>
      <c r="F35">
        <v>28.947223000000001</v>
      </c>
      <c r="G35">
        <v>31.994986000000001</v>
      </c>
      <c r="H35">
        <v>25.910153999999999</v>
      </c>
      <c r="I35">
        <v>22.451266</v>
      </c>
      <c r="J35">
        <v>58.312013</v>
      </c>
      <c r="K35">
        <v>52.574444</v>
      </c>
      <c r="L35">
        <v>385.62584900000002</v>
      </c>
      <c r="M35">
        <v>-622.51387699999998</v>
      </c>
      <c r="N35">
        <v>2.2486320000000002</v>
      </c>
      <c r="O35">
        <v>5.1027189999999996</v>
      </c>
      <c r="P35">
        <f t="shared" si="10"/>
        <v>3.7477200000000008E-5</v>
      </c>
      <c r="Q35" cm="1">
        <f t="array" ref="Q35">[1]!PropsSI("D","T",J35+273.15,"P",101325,"Water")</f>
        <v>984.0557661759201</v>
      </c>
      <c r="R35" cm="1">
        <f t="array" ref="R35">[1]!PropsSI("D","T",K35+273.15,"P",101325,"Water")</f>
        <v>986.84910606269409</v>
      </c>
      <c r="S35">
        <f t="shared" si="11"/>
        <v>985.45243611930709</v>
      </c>
      <c r="T35" cm="1">
        <f t="array" ref="T35">[1]!PropsSI("H","T",J35+273.15,"P",101325,"Water")</f>
        <v>244185.15693393772</v>
      </c>
      <c r="U35" cm="1">
        <f t="array" ref="U35">[1]!PropsSI("H","T",K35+273.15,"P",101325,"Water")</f>
        <v>220184.10735178165</v>
      </c>
      <c r="V35">
        <f t="shared" si="12"/>
        <v>886.40671610046149</v>
      </c>
      <c r="X35">
        <f t="shared" si="13"/>
        <v>0.26662402600000001</v>
      </c>
      <c r="Y35">
        <f t="shared" si="14"/>
        <v>0.25514888800000002</v>
      </c>
      <c r="Z35">
        <f t="shared" si="15"/>
        <v>0.36903838050815962</v>
      </c>
      <c r="AA35">
        <f t="shared" si="16"/>
        <v>5.7375690000000006</v>
      </c>
      <c r="AB35">
        <f t="shared" si="17"/>
        <v>6.5092367202614368E-2</v>
      </c>
      <c r="AC35">
        <f t="shared" si="18"/>
        <v>57.698311455274784</v>
      </c>
    </row>
    <row r="36" spans="1:29" x14ac:dyDescent="0.2">
      <c r="A36">
        <v>46137.090229583337</v>
      </c>
      <c r="B36">
        <v>18.334382999999999</v>
      </c>
      <c r="C36">
        <v>18.485081000000001</v>
      </c>
      <c r="D36">
        <v>19.330658</v>
      </c>
      <c r="E36">
        <v>19.715973000000002</v>
      </c>
      <c r="F36">
        <v>29.303802000000001</v>
      </c>
      <c r="G36">
        <v>32.210439999999998</v>
      </c>
      <c r="H36">
        <v>25.667323</v>
      </c>
      <c r="I36">
        <v>22.948557999999998</v>
      </c>
      <c r="J36">
        <v>58.305801000000002</v>
      </c>
      <c r="K36">
        <v>52.572377000000003</v>
      </c>
      <c r="L36">
        <v>364.73750699999999</v>
      </c>
      <c r="M36">
        <v>-622.46898099999999</v>
      </c>
      <c r="N36">
        <v>2.2491150000000002</v>
      </c>
      <c r="O36">
        <v>6.0986700000000003</v>
      </c>
      <c r="P36">
        <f t="shared" si="10"/>
        <v>3.7485250000000008E-5</v>
      </c>
      <c r="Q36" cm="1">
        <f t="array" ref="Q36">[1]!PropsSI("D","T",J36+273.15,"P",101325,"Water")</f>
        <v>984.0588994514809</v>
      </c>
      <c r="R36" cm="1">
        <f t="array" ref="R36">[1]!PropsSI("D","T",K36+273.15,"P",101325,"Water")</f>
        <v>986.85007534717192</v>
      </c>
      <c r="S36">
        <f t="shared" si="11"/>
        <v>985.45448739932635</v>
      </c>
      <c r="T36" cm="1">
        <f t="array" ref="T36">[1]!PropsSI("H","T",J36+273.15,"P",101325,"Water")</f>
        <v>244159.16445906955</v>
      </c>
      <c r="U36" cm="1">
        <f t="array" ref="U36">[1]!PropsSI("H","T",K36+273.15,"P",101325,"Water")</f>
        <v>220175.46290159327</v>
      </c>
      <c r="V36">
        <f t="shared" si="12"/>
        <v>885.95812317651269</v>
      </c>
      <c r="X36">
        <f t="shared" si="13"/>
        <v>0.266611602</v>
      </c>
      <c r="Y36">
        <f t="shared" si="14"/>
        <v>0.25514475400000003</v>
      </c>
      <c r="Z36">
        <f t="shared" si="15"/>
        <v>0.36902654621954628</v>
      </c>
      <c r="AA36">
        <f t="shared" si="16"/>
        <v>5.7334239999999994</v>
      </c>
      <c r="AB36">
        <f t="shared" si="17"/>
        <v>6.5136276084602207E-2</v>
      </c>
      <c r="AC36">
        <f t="shared" si="18"/>
        <v>57.708012910621342</v>
      </c>
    </row>
    <row r="37" spans="1:29" x14ac:dyDescent="0.2">
      <c r="A37">
        <v>46137.09026488426</v>
      </c>
      <c r="B37">
        <v>18.100988000000001</v>
      </c>
      <c r="C37">
        <v>18.703797000000002</v>
      </c>
      <c r="D37">
        <v>19.140453999999998</v>
      </c>
      <c r="E37">
        <v>19.664459999999998</v>
      </c>
      <c r="F37">
        <v>28.877172999999999</v>
      </c>
      <c r="G37">
        <v>31.872320999999999</v>
      </c>
      <c r="H37">
        <v>26.051456999999999</v>
      </c>
      <c r="I37">
        <v>23.036781999999999</v>
      </c>
      <c r="J37">
        <v>58.300066999999999</v>
      </c>
      <c r="K37">
        <v>52.573013000000003</v>
      </c>
      <c r="L37">
        <v>403.25476200000003</v>
      </c>
      <c r="M37">
        <v>-622.49142900000004</v>
      </c>
      <c r="N37">
        <v>2.2490869999999998</v>
      </c>
      <c r="O37">
        <v>5.5727440000000001</v>
      </c>
      <c r="P37">
        <f t="shared" si="10"/>
        <v>3.7484783333333334E-5</v>
      </c>
      <c r="Q37" cm="1">
        <f t="array" ref="Q37">[1]!PropsSI("D","T",J37+273.15,"P",101325,"Water")</f>
        <v>984.06179142262454</v>
      </c>
      <c r="R37" cm="1">
        <f t="array" ref="R37">[1]!PropsSI("D","T",K37+273.15,"P",101325,"Water")</f>
        <v>986.8497771086827</v>
      </c>
      <c r="S37">
        <f t="shared" si="11"/>
        <v>985.45578426565362</v>
      </c>
      <c r="T37" cm="1">
        <f t="array" ref="T37">[1]!PropsSI("H","T",J37+273.15,"P",101325,"Water")</f>
        <v>244135.17206320618</v>
      </c>
      <c r="U37" cm="1">
        <f t="array" ref="U37">[1]!PropsSI("H","T",K37+273.15,"P",101325,"Water")</f>
        <v>220178.12273230049</v>
      </c>
      <c r="V37">
        <f t="shared" si="12"/>
        <v>884.96373699844401</v>
      </c>
      <c r="X37">
        <f t="shared" si="13"/>
        <v>0.26660013399999999</v>
      </c>
      <c r="Y37">
        <f t="shared" si="14"/>
        <v>0.25514602600000003</v>
      </c>
      <c r="Z37">
        <f t="shared" si="15"/>
        <v>0.36901914046890666</v>
      </c>
      <c r="AA37">
        <f t="shared" si="16"/>
        <v>5.7270539999999954</v>
      </c>
      <c r="AB37">
        <f t="shared" si="17"/>
        <v>6.5205740375022386E-2</v>
      </c>
      <c r="AC37">
        <f t="shared" si="18"/>
        <v>57.704715676030133</v>
      </c>
    </row>
    <row r="38" spans="1:29" x14ac:dyDescent="0.2">
      <c r="A38">
        <v>44675.090299608797</v>
      </c>
      <c r="B38">
        <v>17.888003000000001</v>
      </c>
      <c r="C38">
        <v>18.507608000000001</v>
      </c>
      <c r="D38">
        <v>18.933627000000001</v>
      </c>
      <c r="E38">
        <v>19.461403000000001</v>
      </c>
      <c r="F38">
        <v>28.795864999999999</v>
      </c>
      <c r="G38">
        <v>32.087811000000002</v>
      </c>
      <c r="H38">
        <v>25.646266000000001</v>
      </c>
      <c r="I38">
        <v>23.175301999999999</v>
      </c>
      <c r="J38">
        <v>58.295926000000001</v>
      </c>
      <c r="K38">
        <v>52.566335000000002</v>
      </c>
      <c r="L38">
        <v>381.77542999999997</v>
      </c>
      <c r="M38">
        <v>-622.51591800000006</v>
      </c>
      <c r="N38">
        <v>2.2521230000000001</v>
      </c>
      <c r="O38">
        <v>5.2405229999999996</v>
      </c>
      <c r="P38">
        <f t="shared" si="10"/>
        <v>3.753538333333333E-5</v>
      </c>
      <c r="Q38" cm="1">
        <f t="array" ref="Q38">[1]!PropsSI("D","T",J38+273.15,"P",101325,"Water")</f>
        <v>984.06387983364903</v>
      </c>
      <c r="R38" cm="1">
        <f t="array" ref="R38">[1]!PropsSI("D","T",K38+273.15,"P",101325,"Water")</f>
        <v>986.85290848414354</v>
      </c>
      <c r="S38">
        <f t="shared" si="11"/>
        <v>985.45839415889623</v>
      </c>
      <c r="T38" cm="1">
        <f t="array" ref="T38">[1]!PropsSI("H","T",J38+273.15,"P",101325,"Water")</f>
        <v>244117.84515992561</v>
      </c>
      <c r="U38" cm="1">
        <f t="array" ref="U38">[1]!PropsSI("H","T",K38+273.15,"P",101325,"Water")</f>
        <v>220150.19451666318</v>
      </c>
      <c r="V38">
        <f t="shared" si="12"/>
        <v>886.55281758513343</v>
      </c>
      <c r="X38">
        <f t="shared" si="13"/>
        <v>0.26659185200000002</v>
      </c>
      <c r="Y38">
        <f t="shared" si="14"/>
        <v>0.25513267000000001</v>
      </c>
      <c r="Z38">
        <f t="shared" si="15"/>
        <v>0.36900392254570796</v>
      </c>
      <c r="AA38">
        <f t="shared" si="16"/>
        <v>5.7295909999999992</v>
      </c>
      <c r="AB38">
        <f t="shared" si="17"/>
        <v>6.5174922626357851E-2</v>
      </c>
      <c r="AC38">
        <f t="shared" si="18"/>
        <v>57.781011290290614</v>
      </c>
    </row>
    <row r="39" spans="1:29" x14ac:dyDescent="0.2">
      <c r="A39">
        <v>44675.090334909801</v>
      </c>
      <c r="B39">
        <v>18.078443</v>
      </c>
      <c r="C39">
        <v>18.904268999999999</v>
      </c>
      <c r="D39">
        <v>19.321453999999999</v>
      </c>
      <c r="E39">
        <v>19.640613999999999</v>
      </c>
      <c r="F39">
        <v>29.052838999999999</v>
      </c>
      <c r="G39">
        <v>31.948868999999998</v>
      </c>
      <c r="H39">
        <v>26.197161999999999</v>
      </c>
      <c r="I39">
        <v>23.056349999999998</v>
      </c>
      <c r="J39">
        <v>58.290033000000001</v>
      </c>
      <c r="K39">
        <v>52.558703000000001</v>
      </c>
      <c r="L39">
        <v>391.94512500000002</v>
      </c>
      <c r="M39">
        <v>-622.48040900000001</v>
      </c>
      <c r="N39">
        <v>2.2503160000000002</v>
      </c>
      <c r="O39">
        <v>5.1898569999999999</v>
      </c>
      <c r="P39">
        <f t="shared" si="10"/>
        <v>3.7505266666666675E-5</v>
      </c>
      <c r="Q39" cm="1">
        <f t="array" ref="Q39">[1]!PropsSI("D","T",J39+273.15,"P",101325,"Water")</f>
        <v>984.06685164502835</v>
      </c>
      <c r="R39" cm="1">
        <f t="array" ref="R39">[1]!PropsSI("D","T",K39+273.15,"P",101325,"Water")</f>
        <v>986.85648685097556</v>
      </c>
      <c r="S39">
        <f t="shared" si="11"/>
        <v>985.46166924800195</v>
      </c>
      <c r="T39" cm="1">
        <f t="array" ref="T39">[1]!PropsSI("H","T",J39+273.15,"P",101325,"Water")</f>
        <v>244093.18749504472</v>
      </c>
      <c r="U39" cm="1">
        <f t="array" ref="U39">[1]!PropsSI("H","T",K39+273.15,"P",101325,"Water")</f>
        <v>220118.27657358919</v>
      </c>
      <c r="V39">
        <f t="shared" si="12"/>
        <v>886.11277226757841</v>
      </c>
      <c r="X39">
        <f t="shared" si="13"/>
        <v>0.266580066</v>
      </c>
      <c r="Y39">
        <f t="shared" si="14"/>
        <v>0.25511740599999999</v>
      </c>
      <c r="Z39">
        <f t="shared" si="15"/>
        <v>0.36898485393405134</v>
      </c>
      <c r="AA39">
        <f t="shared" si="16"/>
        <v>5.7313299999999998</v>
      </c>
      <c r="AB39">
        <f t="shared" si="17"/>
        <v>6.5152325207383913E-2</v>
      </c>
      <c r="AC39">
        <f t="shared" si="18"/>
        <v>57.732307509193788</v>
      </c>
    </row>
    <row r="40" spans="1:29" x14ac:dyDescent="0.2">
      <c r="A40">
        <v>44675.090370210703</v>
      </c>
      <c r="B40">
        <v>18.035080000000001</v>
      </c>
      <c r="C40">
        <v>18.728770000000001</v>
      </c>
      <c r="D40">
        <v>19.095799</v>
      </c>
      <c r="E40">
        <v>19.504801</v>
      </c>
      <c r="F40">
        <v>28.897645000000001</v>
      </c>
      <c r="G40">
        <v>31.759746</v>
      </c>
      <c r="H40">
        <v>26.141772</v>
      </c>
      <c r="I40">
        <v>22.640156000000001</v>
      </c>
      <c r="J40">
        <v>58.284140000000001</v>
      </c>
      <c r="K40">
        <v>52.553933000000001</v>
      </c>
      <c r="L40">
        <v>382.04276299999998</v>
      </c>
      <c r="M40">
        <v>-622.480817</v>
      </c>
      <c r="N40">
        <v>2.252599</v>
      </c>
      <c r="O40">
        <v>5.5142369999999996</v>
      </c>
      <c r="P40">
        <f t="shared" si="10"/>
        <v>3.7543316666666667E-5</v>
      </c>
      <c r="Q40" cm="1">
        <f t="array" ref="Q40">[1]!PropsSI("D","T",J40+273.15,"P",101325,"Water")</f>
        <v>984.06982324792011</v>
      </c>
      <c r="R40" cm="1">
        <f t="array" ref="R40">[1]!PropsSI("D","T",K40+273.15,"P",101325,"Water")</f>
        <v>986.85872314173776</v>
      </c>
      <c r="S40">
        <f t="shared" si="11"/>
        <v>985.46427319482893</v>
      </c>
      <c r="T40" cm="1">
        <f t="array" ref="T40">[1]!PropsSI("H","T",J40+273.15,"P",101325,"Water")</f>
        <v>244068.52984436532</v>
      </c>
      <c r="U40" cm="1">
        <f t="array" ref="U40">[1]!PropsSI("H","T",K40+273.15,"P",101325,"Water")</f>
        <v>220098.32786877648</v>
      </c>
      <c r="V40">
        <f t="shared" si="12"/>
        <v>886.83987922708661</v>
      </c>
      <c r="X40">
        <f t="shared" si="13"/>
        <v>0.26656827999999999</v>
      </c>
      <c r="Y40">
        <f t="shared" si="14"/>
        <v>0.25510786600000002</v>
      </c>
      <c r="Z40">
        <f t="shared" si="15"/>
        <v>0.36896974292918971</v>
      </c>
      <c r="AA40">
        <f t="shared" si="16"/>
        <v>5.7302070000000001</v>
      </c>
      <c r="AB40">
        <f t="shared" si="17"/>
        <v>6.5162187078097802E-2</v>
      </c>
      <c r="AC40">
        <f t="shared" si="18"/>
        <v>57.78842611851308</v>
      </c>
    </row>
    <row r="41" spans="1:29" x14ac:dyDescent="0.2">
      <c r="A41">
        <v>44675.090405511597</v>
      </c>
      <c r="B41">
        <v>17.922858000000002</v>
      </c>
      <c r="C41">
        <v>18.51529</v>
      </c>
      <c r="D41">
        <v>19.207775999999999</v>
      </c>
      <c r="E41">
        <v>19.667133</v>
      </c>
      <c r="F41">
        <v>29.037265999999999</v>
      </c>
      <c r="G41">
        <v>31.739688000000001</v>
      </c>
      <c r="H41">
        <v>25.163588000000001</v>
      </c>
      <c r="I41">
        <v>22.855979000000001</v>
      </c>
      <c r="J41">
        <v>58.276494999999997</v>
      </c>
      <c r="K41">
        <v>52.547096000000003</v>
      </c>
      <c r="L41">
        <v>393.51443399999999</v>
      </c>
      <c r="M41">
        <v>-622.51836600000001</v>
      </c>
      <c r="N41">
        <v>2.2517010000000002</v>
      </c>
      <c r="O41">
        <v>5.7050450000000001</v>
      </c>
      <c r="P41">
        <f t="shared" si="10"/>
        <v>3.7528350000000001E-5</v>
      </c>
      <c r="Q41" cm="1">
        <f t="array" ref="Q41">[1]!PropsSI("D","T",J41+273.15,"P",101325,"Water")</f>
        <v>984.07367800322231</v>
      </c>
      <c r="R41" cm="1">
        <f t="array" ref="R41">[1]!PropsSI("D","T",K41+273.15,"P",101325,"Water")</f>
        <v>986.86192823896738</v>
      </c>
      <c r="S41">
        <f t="shared" si="11"/>
        <v>985.4678031210949</v>
      </c>
      <c r="T41" cm="1">
        <f t="array" ref="T41">[1]!PropsSI("H","T",J41+273.15,"P",101325,"Water")</f>
        <v>244036.54144898953</v>
      </c>
      <c r="U41" cm="1">
        <f t="array" ref="U41">[1]!PropsSI("H","T",K41+273.15,"P",101325,"Water")</f>
        <v>220069.73473803466</v>
      </c>
      <c r="V41">
        <f t="shared" si="12"/>
        <v>886.3639483364517</v>
      </c>
      <c r="X41">
        <f t="shared" si="13"/>
        <v>0.26655298999999999</v>
      </c>
      <c r="Y41">
        <f t="shared" si="14"/>
        <v>0.255094192</v>
      </c>
      <c r="Z41">
        <f t="shared" si="15"/>
        <v>0.36894924213240088</v>
      </c>
      <c r="AA41">
        <f t="shared" si="16"/>
        <v>5.7293989999999937</v>
      </c>
      <c r="AB41">
        <f t="shared" si="17"/>
        <v>6.5167624497254231E-2</v>
      </c>
      <c r="AC41">
        <f t="shared" si="18"/>
        <v>57.76223295309353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5BE2EB-F4DC-0945-BEFB-E018B7026F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2026-04-26T21:13:32Z</dcterms:created>
  <dcterms:modified xsi:type="dcterms:W3CDTF">2026-04-26T21:25:29Z</dcterms:modified>
</cp:coreProperties>
</file>