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8_4_2026_Redo_front/15gps/"/>
    </mc:Choice>
  </mc:AlternateContent>
  <xr:revisionPtr revIDLastSave="0" documentId="13_ncr:1_{3D299CCC-F164-4746-B839-497E78F21BA0}" xr6:coauthVersionLast="47" xr6:coauthVersionMax="47" xr10:uidLastSave="{00000000-0000-0000-0000-000000000000}"/>
  <bookViews>
    <workbookView xWindow="1500" yWindow="1400" windowWidth="27640" windowHeight="16660" xr2:uid="{788A7A40-5597-4F4A-A979-09447138C0A1}"/>
  </bookViews>
  <sheets>
    <sheet name="Results" sheetId="1" r:id="rId1"/>
    <sheet name="1mps" sheetId="3" r:id="rId2"/>
    <sheet name="2mps" sheetId="4" r:id="rId3"/>
    <sheet name="3mps" sheetId="5" r:id="rId4"/>
    <sheet name="4mps" sheetId="6" r:id="rId5"/>
    <sheet name="5mps" sheetId="7" r:id="rId6"/>
    <sheet name="6mps" sheetId="8" r:id="rId7"/>
    <sheet name="7mps" sheetId="9" r:id="rId8"/>
    <sheet name="8mps" sheetId="10" r:id="rId9"/>
  </sheets>
  <externalReferences>
    <externalReference r:id="rId10"/>
  </externalReferences>
  <definedNames>
    <definedName name="ExternalData_1" localSheetId="1" hidden="1">'1mps'!$A$1:$O$109</definedName>
    <definedName name="ExternalData_1" localSheetId="2" hidden="1">'2mps'!$A$1:$O$132</definedName>
    <definedName name="ExternalData_1" localSheetId="3" hidden="1">'3mps'!$A$1:$O$44</definedName>
    <definedName name="ExternalData_1" localSheetId="4" hidden="1">'4mps'!$A$1:$O$72</definedName>
    <definedName name="ExternalData_1" localSheetId="5" hidden="1">'5mps'!$A$1:$O$92</definedName>
    <definedName name="ExternalData_1" localSheetId="6" hidden="1">'6mps'!$A$1:$O$103</definedName>
    <definedName name="ExternalData_1" localSheetId="7" hidden="1">'7mps'!$A$1:$O$58</definedName>
    <definedName name="ExternalData_1" localSheetId="8" hidden="1">'8mps'!$A$1:$O$57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" l="1"/>
  <c r="W2" i="4"/>
  <c r="W2" i="5"/>
  <c r="W2" i="6"/>
  <c r="W2" i="7"/>
  <c r="W2" i="8"/>
  <c r="W2" i="9"/>
  <c r="W2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2" i="9"/>
  <c r="P3" i="9"/>
  <c r="P4" i="9"/>
  <c r="P5" i="9"/>
  <c r="P6" i="9"/>
  <c r="P7" i="9"/>
  <c r="P8" i="9"/>
  <c r="P9" i="9"/>
  <c r="P10" i="9"/>
  <c r="P11" i="9"/>
  <c r="P12" i="9"/>
  <c r="P13" i="9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2" i="8"/>
  <c r="P3" i="8"/>
  <c r="P4" i="8"/>
  <c r="P5" i="8"/>
  <c r="P6" i="8"/>
  <c r="P7" i="8"/>
  <c r="P8" i="8"/>
  <c r="P9" i="8"/>
  <c r="P10" i="8"/>
  <c r="P11" i="8"/>
  <c r="P12" i="8"/>
  <c r="P13" i="8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2" i="3"/>
  <c r="P3" i="3"/>
  <c r="P4" i="3"/>
  <c r="P5" i="3"/>
  <c r="P6" i="3"/>
  <c r="P7" i="3"/>
  <c r="P8" i="3"/>
  <c r="P9" i="3"/>
  <c r="Q21" i="10" a="1"/>
  <c r="R23" i="10" a="1"/>
  <c r="T26" i="10" a="1"/>
  <c r="U28" i="10" a="1"/>
  <c r="Q33" i="10" a="1"/>
  <c r="R35" i="10" a="1"/>
  <c r="T38" i="10" a="1"/>
  <c r="U40" i="10" a="1"/>
  <c r="Q45" i="10" a="1"/>
  <c r="R47" i="10" a="1"/>
  <c r="T50" i="10" a="1"/>
  <c r="U52" i="10" a="1"/>
  <c r="Q57" i="10" a="1"/>
  <c r="Q44" i="10" a="1"/>
  <c r="T49" i="10" a="1"/>
  <c r="R57" i="10" a="1"/>
  <c r="R44" i="10" a="1"/>
  <c r="R56" i="10" a="1"/>
  <c r="R30" i="10" a="1"/>
  <c r="Q40" i="10" a="1"/>
  <c r="T57" i="10" a="1"/>
  <c r="Q20" i="10" a="1"/>
  <c r="R22" i="10" a="1"/>
  <c r="T25" i="10" a="1"/>
  <c r="U27" i="10" a="1"/>
  <c r="Q32" i="10" a="1"/>
  <c r="R34" i="10" a="1"/>
  <c r="T37" i="10" a="1"/>
  <c r="R21" i="10" a="1"/>
  <c r="T24" i="10" a="1"/>
  <c r="U26" i="10" a="1"/>
  <c r="Q31" i="10" a="1"/>
  <c r="R33" i="10" a="1"/>
  <c r="T36" i="10" a="1"/>
  <c r="U38" i="10" a="1"/>
  <c r="Q43" i="10" a="1"/>
  <c r="R45" i="10" a="1"/>
  <c r="T48" i="10" a="1"/>
  <c r="U50" i="10" a="1"/>
  <c r="Q55" i="10" a="1"/>
  <c r="R20" i="10" a="1"/>
  <c r="T23" i="10" a="1"/>
  <c r="U25" i="10" a="1"/>
  <c r="T22" i="10" a="1"/>
  <c r="U24" i="10" a="1"/>
  <c r="Q29" i="10" a="1"/>
  <c r="R31" i="10" a="1"/>
  <c r="T34" i="10" a="1"/>
  <c r="U36" i="10" a="1"/>
  <c r="Q41" i="10" a="1"/>
  <c r="R43" i="10" a="1"/>
  <c r="T46" i="10" a="1"/>
  <c r="U48" i="10" a="1"/>
  <c r="Q53" i="10" a="1"/>
  <c r="R55" i="10" a="1"/>
  <c r="R53" i="10" a="1"/>
  <c r="T21" i="10" a="1"/>
  <c r="U23" i="10" a="1"/>
  <c r="T20" i="10" a="1"/>
  <c r="U22" i="10" a="1"/>
  <c r="Q27" i="10" a="1"/>
  <c r="R29" i="10" a="1"/>
  <c r="T32" i="10" a="1"/>
  <c r="U34" i="10" a="1"/>
  <c r="Q39" i="10" a="1"/>
  <c r="R41" i="10" a="1"/>
  <c r="T44" i="10" a="1"/>
  <c r="U46" i="10" a="1"/>
  <c r="Q51" i="10" a="1"/>
  <c r="U21" i="10" a="1"/>
  <c r="Q26" i="10" a="1"/>
  <c r="R28" i="10" a="1"/>
  <c r="T31" i="10" a="1"/>
  <c r="U33" i="10" a="1"/>
  <c r="Q38" i="10" a="1"/>
  <c r="R40" i="10" a="1"/>
  <c r="T43" i="10" a="1"/>
  <c r="U45" i="10" a="1"/>
  <c r="Q50" i="10" a="1"/>
  <c r="R52" i="10" a="1"/>
  <c r="T55" i="10" a="1"/>
  <c r="U57" i="10" a="1"/>
  <c r="R26" i="10" a="1"/>
  <c r="T29" i="10" a="1"/>
  <c r="U31" i="10" a="1"/>
  <c r="Q36" i="10" a="1"/>
  <c r="R38" i="10" a="1"/>
  <c r="T41" i="10" a="1"/>
  <c r="U43" i="10" a="1"/>
  <c r="Q48" i="10" a="1"/>
  <c r="R50" i="10" a="1"/>
  <c r="T53" i="10" a="1"/>
  <c r="U55" i="10" a="1"/>
  <c r="Q28" i="10" a="1"/>
  <c r="U35" i="10" a="1"/>
  <c r="T45" i="10" a="1"/>
  <c r="R54" i="10" a="1"/>
  <c r="U20" i="10" a="1"/>
  <c r="Q25" i="10" a="1"/>
  <c r="R27" i="10" a="1"/>
  <c r="T30" i="10" a="1"/>
  <c r="U32" i="10" a="1"/>
  <c r="Q37" i="10" a="1"/>
  <c r="R39" i="10" a="1"/>
  <c r="T42" i="10" a="1"/>
  <c r="U44" i="10" a="1"/>
  <c r="Q49" i="10" a="1"/>
  <c r="R51" i="10" a="1"/>
  <c r="T54" i="10" a="1"/>
  <c r="U56" i="10" a="1"/>
  <c r="Q24" i="10" a="1"/>
  <c r="Q23" i="10" a="1"/>
  <c r="R25" i="10" a="1"/>
  <c r="T28" i="10" a="1"/>
  <c r="U30" i="10" a="1"/>
  <c r="Q35" i="10" a="1"/>
  <c r="R37" i="10" a="1"/>
  <c r="T40" i="10" a="1"/>
  <c r="U42" i="10" a="1"/>
  <c r="Q47" i="10" a="1"/>
  <c r="R49" i="10" a="1"/>
  <c r="T52" i="10" a="1"/>
  <c r="U54" i="10" a="1"/>
  <c r="U39" i="10" a="1"/>
  <c r="Q56" i="10" a="1"/>
  <c r="R32" i="10" a="1"/>
  <c r="U37" i="10" a="1"/>
  <c r="T47" i="10" a="1"/>
  <c r="Q54" i="10" a="1"/>
  <c r="R42" i="10" a="1"/>
  <c r="Q52" i="10" a="1"/>
  <c r="Q22" i="10" a="1"/>
  <c r="R24" i="10" a="1"/>
  <c r="T27" i="10" a="1"/>
  <c r="U29" i="10" a="1"/>
  <c r="Q34" i="10" a="1"/>
  <c r="R36" i="10" a="1"/>
  <c r="T39" i="10" a="1"/>
  <c r="U41" i="10" a="1"/>
  <c r="Q46" i="10" a="1"/>
  <c r="R48" i="10" a="1"/>
  <c r="T51" i="10" a="1"/>
  <c r="U53" i="10" a="1"/>
  <c r="R46" i="10" a="1"/>
  <c r="U51" i="10" a="1"/>
  <c r="Q30" i="10" a="1"/>
  <c r="T35" i="10" a="1"/>
  <c r="Q42" i="10" a="1"/>
  <c r="U49" i="10" a="1"/>
  <c r="T33" i="10" a="1"/>
  <c r="U47" i="10" a="1"/>
  <c r="T56" i="10" a="1"/>
  <c r="Q5" i="10" a="1"/>
  <c r="Q11" i="10" a="1"/>
  <c r="Q17" i="10" a="1"/>
  <c r="R5" i="10" a="1"/>
  <c r="R11" i="10" a="1"/>
  <c r="R17" i="10" a="1"/>
  <c r="T2" i="10" a="1"/>
  <c r="T8" i="10" a="1"/>
  <c r="U11" i="10" a="1"/>
  <c r="Q6" i="10" a="1"/>
  <c r="Q12" i="10" a="1"/>
  <c r="Q18" i="10" a="1"/>
  <c r="R6" i="10" a="1"/>
  <c r="R12" i="10" a="1"/>
  <c r="R18" i="10" a="1"/>
  <c r="T3" i="10" a="1"/>
  <c r="T9" i="10" a="1"/>
  <c r="T15" i="10" a="1"/>
  <c r="U3" i="10" a="1"/>
  <c r="U9" i="10" a="1"/>
  <c r="U15" i="10" a="1"/>
  <c r="U5" i="10" a="1"/>
  <c r="U17" i="10" a="1"/>
  <c r="U8" i="10" a="1"/>
  <c r="Q7" i="10" a="1"/>
  <c r="Q13" i="10" a="1"/>
  <c r="Q19" i="10" a="1"/>
  <c r="R7" i="10" a="1"/>
  <c r="R13" i="10" a="1"/>
  <c r="R19" i="10" a="1"/>
  <c r="T4" i="10" a="1"/>
  <c r="T10" i="10" a="1"/>
  <c r="T16" i="10" a="1"/>
  <c r="U4" i="10" a="1"/>
  <c r="U10" i="10" a="1"/>
  <c r="U16" i="10" a="1"/>
  <c r="Q2" i="10" a="1"/>
  <c r="Q8" i="10" a="1"/>
  <c r="Q14" i="10" a="1"/>
  <c r="R2" i="10" a="1"/>
  <c r="R8" i="10" a="1"/>
  <c r="R14" i="10" a="1"/>
  <c r="T5" i="10" a="1"/>
  <c r="T11" i="10" a="1"/>
  <c r="T17" i="10" a="1"/>
  <c r="U18" i="10" a="1"/>
  <c r="T14" i="10" a="1"/>
  <c r="U14" i="10" a="1"/>
  <c r="Q3" i="10" a="1"/>
  <c r="Q9" i="10" a="1"/>
  <c r="Q15" i="10" a="1"/>
  <c r="R3" i="10" a="1"/>
  <c r="R9" i="10" a="1"/>
  <c r="R15" i="10" a="1"/>
  <c r="T6" i="10" a="1"/>
  <c r="T12" i="10" a="1"/>
  <c r="T18" i="10" a="1"/>
  <c r="U6" i="10" a="1"/>
  <c r="U12" i="10" a="1"/>
  <c r="U2" i="10" a="1"/>
  <c r="Q4" i="10" a="1"/>
  <c r="Q10" i="10" a="1"/>
  <c r="Q16" i="10" a="1"/>
  <c r="R4" i="10" a="1"/>
  <c r="R10" i="10" a="1"/>
  <c r="R16" i="10" a="1"/>
  <c r="T7" i="10" a="1"/>
  <c r="T13" i="10" a="1"/>
  <c r="T19" i="10" a="1"/>
  <c r="U7" i="10" a="1"/>
  <c r="U13" i="10" a="1"/>
  <c r="U19" i="10" a="1"/>
  <c r="Q15" i="9" a="1"/>
  <c r="R17" i="9" a="1"/>
  <c r="T20" i="9" a="1"/>
  <c r="U22" i="9" a="1"/>
  <c r="Q27" i="9" a="1"/>
  <c r="R29" i="9" a="1"/>
  <c r="T32" i="9" a="1"/>
  <c r="U34" i="9" a="1"/>
  <c r="Q39" i="9" a="1"/>
  <c r="R41" i="9" a="1"/>
  <c r="T44" i="9" a="1"/>
  <c r="U46" i="9" a="1"/>
  <c r="Q14" i="9" a="1"/>
  <c r="R16" i="9" a="1"/>
  <c r="T19" i="9" a="1"/>
  <c r="U21" i="9" a="1"/>
  <c r="Q26" i="9" a="1"/>
  <c r="R28" i="9" a="1"/>
  <c r="T31" i="9" a="1"/>
  <c r="U33" i="9" a="1"/>
  <c r="Q38" i="9" a="1"/>
  <c r="R40" i="9" a="1"/>
  <c r="T43" i="9" a="1"/>
  <c r="U45" i="9" a="1"/>
  <c r="Q50" i="9" a="1"/>
  <c r="R52" i="9" a="1"/>
  <c r="T55" i="9" a="1"/>
  <c r="U57" i="9" a="1"/>
  <c r="R23" i="9" a="1"/>
  <c r="U28" i="9" a="1"/>
  <c r="U40" i="9" a="1"/>
  <c r="Q45" i="9" a="1"/>
  <c r="R15" i="9" a="1"/>
  <c r="T18" i="9" a="1"/>
  <c r="U20" i="9" a="1"/>
  <c r="Q25" i="9" a="1"/>
  <c r="R27" i="9" a="1"/>
  <c r="T30" i="9" a="1"/>
  <c r="U32" i="9" a="1"/>
  <c r="Q37" i="9" a="1"/>
  <c r="R39" i="9" a="1"/>
  <c r="T42" i="9" a="1"/>
  <c r="U44" i="9" a="1"/>
  <c r="Q49" i="9" a="1"/>
  <c r="R51" i="9" a="1"/>
  <c r="T54" i="9" a="1"/>
  <c r="U56" i="9" a="1"/>
  <c r="R14" i="9" a="1"/>
  <c r="T17" i="9" a="1"/>
  <c r="U19" i="9" a="1"/>
  <c r="Q24" i="9" a="1"/>
  <c r="R26" i="9" a="1"/>
  <c r="T29" i="9" a="1"/>
  <c r="U31" i="9" a="1"/>
  <c r="Q36" i="9" a="1"/>
  <c r="R38" i="9" a="1"/>
  <c r="T41" i="9" a="1"/>
  <c r="U43" i="9" a="1"/>
  <c r="Q48" i="9" a="1"/>
  <c r="R50" i="9" a="1"/>
  <c r="T53" i="9" a="1"/>
  <c r="U55" i="9" a="1"/>
  <c r="T16" i="9" a="1"/>
  <c r="U18" i="9" a="1"/>
  <c r="Q23" i="9" a="1"/>
  <c r="R25" i="9" a="1"/>
  <c r="T28" i="9" a="1"/>
  <c r="U30" i="9" a="1"/>
  <c r="Q35" i="9" a="1"/>
  <c r="R37" i="9" a="1"/>
  <c r="T40" i="9" a="1"/>
  <c r="U42" i="9" a="1"/>
  <c r="Q47" i="9" a="1"/>
  <c r="R49" i="9" a="1"/>
  <c r="T52" i="9" a="1"/>
  <c r="U54" i="9" a="1"/>
  <c r="Q21" i="9" a="1"/>
  <c r="T26" i="9" a="1"/>
  <c r="Q33" i="9" a="1"/>
  <c r="R35" i="9" a="1"/>
  <c r="T38" i="9" a="1"/>
  <c r="R47" i="9" a="1"/>
  <c r="T15" i="9" a="1"/>
  <c r="U17" i="9" a="1"/>
  <c r="Q22" i="9" a="1"/>
  <c r="R24" i="9" a="1"/>
  <c r="T27" i="9" a="1"/>
  <c r="U29" i="9" a="1"/>
  <c r="Q34" i="9" a="1"/>
  <c r="R36" i="9" a="1"/>
  <c r="T39" i="9" a="1"/>
  <c r="U41" i="9" a="1"/>
  <c r="Q46" i="9" a="1"/>
  <c r="R48" i="9" a="1"/>
  <c r="T51" i="9" a="1"/>
  <c r="U53" i="9" a="1"/>
  <c r="Q58" i="9" a="1"/>
  <c r="T14" i="9" a="1"/>
  <c r="U16" i="9" a="1"/>
  <c r="U52" i="9" a="1"/>
  <c r="Q57" i="9" a="1"/>
  <c r="U15" i="9" a="1"/>
  <c r="Q20" i="9" a="1"/>
  <c r="R22" i="9" a="1"/>
  <c r="T25" i="9" a="1"/>
  <c r="U27" i="9" a="1"/>
  <c r="Q32" i="9" a="1"/>
  <c r="R34" i="9" a="1"/>
  <c r="T37" i="9" a="1"/>
  <c r="U39" i="9" a="1"/>
  <c r="Q44" i="9" a="1"/>
  <c r="R46" i="9" a="1"/>
  <c r="T49" i="9" a="1"/>
  <c r="U51" i="9" a="1"/>
  <c r="Q56" i="9" a="1"/>
  <c r="R58" i="9" a="1"/>
  <c r="Q54" i="9" a="1"/>
  <c r="R56" i="9" a="1"/>
  <c r="T56" i="9" a="1"/>
  <c r="U58" i="9" a="1"/>
  <c r="U14" i="9" a="1"/>
  <c r="Q19" i="9" a="1"/>
  <c r="R21" i="9" a="1"/>
  <c r="T24" i="9" a="1"/>
  <c r="U26" i="9" a="1"/>
  <c r="Q31" i="9" a="1"/>
  <c r="R33" i="9" a="1"/>
  <c r="T36" i="9" a="1"/>
  <c r="U38" i="9" a="1"/>
  <c r="Q43" i="9" a="1"/>
  <c r="R45" i="9" a="1"/>
  <c r="T48" i="9" a="1"/>
  <c r="U50" i="9" a="1"/>
  <c r="Q55" i="9" a="1"/>
  <c r="R57" i="9" a="1"/>
  <c r="Q18" i="9" a="1"/>
  <c r="R20" i="9" a="1"/>
  <c r="T23" i="9" a="1"/>
  <c r="U25" i="9" a="1"/>
  <c r="Q30" i="9" a="1"/>
  <c r="R32" i="9" a="1"/>
  <c r="T35" i="9" a="1"/>
  <c r="U37" i="9" a="1"/>
  <c r="Q42" i="9" a="1"/>
  <c r="R44" i="9" a="1"/>
  <c r="T47" i="9" a="1"/>
  <c r="U49" i="9" a="1"/>
  <c r="Q17" i="9" a="1"/>
  <c r="R19" i="9" a="1"/>
  <c r="T22" i="9" a="1"/>
  <c r="U24" i="9" a="1"/>
  <c r="Q29" i="9" a="1"/>
  <c r="R31" i="9" a="1"/>
  <c r="T34" i="9" a="1"/>
  <c r="U36" i="9" a="1"/>
  <c r="Q41" i="9" a="1"/>
  <c r="R43" i="9" a="1"/>
  <c r="T46" i="9" a="1"/>
  <c r="U48" i="9" a="1"/>
  <c r="Q53" i="9" a="1"/>
  <c r="R55" i="9" a="1"/>
  <c r="T58" i="9" a="1"/>
  <c r="Q51" i="9" a="1"/>
  <c r="R53" i="9" a="1"/>
  <c r="Q16" i="9" a="1"/>
  <c r="R18" i="9" a="1"/>
  <c r="T21" i="9" a="1"/>
  <c r="U23" i="9" a="1"/>
  <c r="Q28" i="9" a="1"/>
  <c r="R30" i="9" a="1"/>
  <c r="T33" i="9" a="1"/>
  <c r="U35" i="9" a="1"/>
  <c r="Q40" i="9" a="1"/>
  <c r="R42" i="9" a="1"/>
  <c r="T45" i="9" a="1"/>
  <c r="U47" i="9" a="1"/>
  <c r="Q52" i="9" a="1"/>
  <c r="R54" i="9" a="1"/>
  <c r="T57" i="9" a="1"/>
  <c r="T50" i="9" a="1"/>
  <c r="Q2" i="9" a="1"/>
  <c r="Q8" i="9" a="1"/>
  <c r="R2" i="9" a="1"/>
  <c r="R8" i="9" a="1"/>
  <c r="T2" i="9" a="1"/>
  <c r="T8" i="9" a="1"/>
  <c r="U2" i="9" a="1"/>
  <c r="U8" i="9" a="1"/>
  <c r="T6" i="9" a="1"/>
  <c r="U12" i="9" a="1"/>
  <c r="T7" i="9" a="1"/>
  <c r="U13" i="9" a="1"/>
  <c r="T12" i="9" a="1"/>
  <c r="Q7" i="9" a="1"/>
  <c r="U7" i="9" a="1"/>
  <c r="Q3" i="9" a="1"/>
  <c r="Q9" i="9" a="1"/>
  <c r="R3" i="9" a="1"/>
  <c r="R9" i="9" a="1"/>
  <c r="T3" i="9" a="1"/>
  <c r="T9" i="9" a="1"/>
  <c r="U3" i="9" a="1"/>
  <c r="U9" i="9" a="1"/>
  <c r="U6" i="9" a="1"/>
  <c r="R13" i="9" a="1"/>
  <c r="R6" i="9" a="1"/>
  <c r="Q4" i="9" a="1"/>
  <c r="Q10" i="9" a="1"/>
  <c r="R4" i="9" a="1"/>
  <c r="R10" i="9" a="1"/>
  <c r="T4" i="9" a="1"/>
  <c r="T10" i="9" a="1"/>
  <c r="U4" i="9" a="1"/>
  <c r="U10" i="9" a="1"/>
  <c r="Q12" i="9" a="1"/>
  <c r="Q13" i="9" a="1"/>
  <c r="Q6" i="9" a="1"/>
  <c r="Q5" i="9" a="1"/>
  <c r="Q11" i="9" a="1"/>
  <c r="R5" i="9" a="1"/>
  <c r="R11" i="9" a="1"/>
  <c r="T5" i="9" a="1"/>
  <c r="T11" i="9" a="1"/>
  <c r="U5" i="9" a="1"/>
  <c r="U11" i="9" a="1"/>
  <c r="R12" i="9" a="1"/>
  <c r="R7" i="9" a="1"/>
  <c r="T13" i="9" a="1"/>
  <c r="Q15" i="8" a="1"/>
  <c r="R17" i="8" a="1"/>
  <c r="T20" i="8" a="1"/>
  <c r="U22" i="8" a="1"/>
  <c r="Q27" i="8" a="1"/>
  <c r="R29" i="8" a="1"/>
  <c r="T32" i="8" a="1"/>
  <c r="U34" i="8" a="1"/>
  <c r="Q39" i="8" a="1"/>
  <c r="R41" i="8" a="1"/>
  <c r="T44" i="8" a="1"/>
  <c r="U46" i="8" a="1"/>
  <c r="Q51" i="8" a="1"/>
  <c r="R53" i="8" a="1"/>
  <c r="T56" i="8" a="1"/>
  <c r="U58" i="8" a="1"/>
  <c r="Q63" i="8" a="1"/>
  <c r="R65" i="8" a="1"/>
  <c r="T68" i="8" a="1"/>
  <c r="U70" i="8" a="1"/>
  <c r="Q75" i="8" a="1"/>
  <c r="R77" i="8" a="1"/>
  <c r="T80" i="8" a="1"/>
  <c r="U82" i="8" a="1"/>
  <c r="Q87" i="8" a="1"/>
  <c r="R89" i="8" a="1"/>
  <c r="T92" i="8" a="1"/>
  <c r="U94" i="8" a="1"/>
  <c r="Q99" i="8" a="1"/>
  <c r="R101" i="8" a="1"/>
  <c r="Q14" i="8" a="1"/>
  <c r="R16" i="8" a="1"/>
  <c r="T19" i="8" a="1"/>
  <c r="U21" i="8" a="1"/>
  <c r="Q26" i="8" a="1"/>
  <c r="R28" i="8" a="1"/>
  <c r="T31" i="8" a="1"/>
  <c r="U33" i="8" a="1"/>
  <c r="Q38" i="8" a="1"/>
  <c r="R40" i="8" a="1"/>
  <c r="T43" i="8" a="1"/>
  <c r="U45" i="8" a="1"/>
  <c r="Q50" i="8" a="1"/>
  <c r="R52" i="8" a="1"/>
  <c r="T55" i="8" a="1"/>
  <c r="U57" i="8" a="1"/>
  <c r="Q62" i="8" a="1"/>
  <c r="R64" i="8" a="1"/>
  <c r="T67" i="8" a="1"/>
  <c r="U69" i="8" a="1"/>
  <c r="Q74" i="8" a="1"/>
  <c r="R76" i="8" a="1"/>
  <c r="T79" i="8" a="1"/>
  <c r="U81" i="8" a="1"/>
  <c r="Q86" i="8" a="1"/>
  <c r="R88" i="8" a="1"/>
  <c r="T91" i="8" a="1"/>
  <c r="U93" i="8" a="1"/>
  <c r="Q98" i="8" a="1"/>
  <c r="R100" i="8" a="1"/>
  <c r="T103" i="8" a="1"/>
  <c r="R26" i="8" a="1"/>
  <c r="T29" i="8" a="1"/>
  <c r="U31" i="8" a="1"/>
  <c r="Q36" i="8" a="1"/>
  <c r="R38" i="8" a="1"/>
  <c r="T41" i="8" a="1"/>
  <c r="U43" i="8" a="1"/>
  <c r="Q48" i="8" a="1"/>
  <c r="R15" i="8" a="1"/>
  <c r="T18" i="8" a="1"/>
  <c r="U20" i="8" a="1"/>
  <c r="Q25" i="8" a="1"/>
  <c r="R27" i="8" a="1"/>
  <c r="T30" i="8" a="1"/>
  <c r="U32" i="8" a="1"/>
  <c r="Q37" i="8" a="1"/>
  <c r="R39" i="8" a="1"/>
  <c r="T42" i="8" a="1"/>
  <c r="U44" i="8" a="1"/>
  <c r="Q49" i="8" a="1"/>
  <c r="R51" i="8" a="1"/>
  <c r="T54" i="8" a="1"/>
  <c r="U56" i="8" a="1"/>
  <c r="Q61" i="8" a="1"/>
  <c r="R63" i="8" a="1"/>
  <c r="T66" i="8" a="1"/>
  <c r="U68" i="8" a="1"/>
  <c r="Q73" i="8" a="1"/>
  <c r="R75" i="8" a="1"/>
  <c r="T78" i="8" a="1"/>
  <c r="U80" i="8" a="1"/>
  <c r="Q85" i="8" a="1"/>
  <c r="R87" i="8" a="1"/>
  <c r="T90" i="8" a="1"/>
  <c r="U92" i="8" a="1"/>
  <c r="Q97" i="8" a="1"/>
  <c r="R99" i="8" a="1"/>
  <c r="T102" i="8" a="1"/>
  <c r="U19" i="8" a="1"/>
  <c r="Q24" i="8" a="1"/>
  <c r="R14" i="8" a="1"/>
  <c r="R50" i="8" a="1"/>
  <c r="T16" i="8" a="1"/>
  <c r="U18" i="8" a="1"/>
  <c r="Q23" i="8" a="1"/>
  <c r="R25" i="8" a="1"/>
  <c r="T28" i="8" a="1"/>
  <c r="U30" i="8" a="1"/>
  <c r="Q35" i="8" a="1"/>
  <c r="R37" i="8" a="1"/>
  <c r="T40" i="8" a="1"/>
  <c r="U42" i="8" a="1"/>
  <c r="Q47" i="8" a="1"/>
  <c r="R49" i="8" a="1"/>
  <c r="T52" i="8" a="1"/>
  <c r="U54" i="8" a="1"/>
  <c r="T15" i="8" a="1"/>
  <c r="U17" i="8" a="1"/>
  <c r="Q22" i="8" a="1"/>
  <c r="R24" i="8" a="1"/>
  <c r="T27" i="8" a="1"/>
  <c r="U29" i="8" a="1"/>
  <c r="Q34" i="8" a="1"/>
  <c r="R36" i="8" a="1"/>
  <c r="T39" i="8" a="1"/>
  <c r="U41" i="8" a="1"/>
  <c r="Q46" i="8" a="1"/>
  <c r="R48" i="8" a="1"/>
  <c r="T51" i="8" a="1"/>
  <c r="U53" i="8" a="1"/>
  <c r="Q58" i="8" a="1"/>
  <c r="R60" i="8" a="1"/>
  <c r="T63" i="8" a="1"/>
  <c r="U65" i="8" a="1"/>
  <c r="Q70" i="8" a="1"/>
  <c r="R72" i="8" a="1"/>
  <c r="T75" i="8" a="1"/>
  <c r="U77" i="8" a="1"/>
  <c r="Q82" i="8" a="1"/>
  <c r="R84" i="8" a="1"/>
  <c r="T87" i="8" a="1"/>
  <c r="U89" i="8" a="1"/>
  <c r="Q94" i="8" a="1"/>
  <c r="R96" i="8" a="1"/>
  <c r="T99" i="8" a="1"/>
  <c r="U101" i="8" a="1"/>
  <c r="R35" i="8" a="1"/>
  <c r="T14" i="8" a="1"/>
  <c r="U16" i="8" a="1"/>
  <c r="Q21" i="8" a="1"/>
  <c r="R23" i="8" a="1"/>
  <c r="T26" i="8" a="1"/>
  <c r="U28" i="8" a="1"/>
  <c r="Q33" i="8" a="1"/>
  <c r="U15" i="8" a="1"/>
  <c r="Q20" i="8" a="1"/>
  <c r="R22" i="8" a="1"/>
  <c r="T25" i="8" a="1"/>
  <c r="U27" i="8" a="1"/>
  <c r="Q32" i="8" a="1"/>
  <c r="R34" i="8" a="1"/>
  <c r="T37" i="8" a="1"/>
  <c r="U39" i="8" a="1"/>
  <c r="Q44" i="8" a="1"/>
  <c r="R46" i="8" a="1"/>
  <c r="T49" i="8" a="1"/>
  <c r="U51" i="8" a="1"/>
  <c r="Q56" i="8" a="1"/>
  <c r="R58" i="8" a="1"/>
  <c r="T61" i="8" a="1"/>
  <c r="U14" i="8" a="1"/>
  <c r="Q19" i="8" a="1"/>
  <c r="R21" i="8" a="1"/>
  <c r="T24" i="8" a="1"/>
  <c r="U26" i="8" a="1"/>
  <c r="Q31" i="8" a="1"/>
  <c r="R33" i="8" a="1"/>
  <c r="T36" i="8" a="1"/>
  <c r="U38" i="8" a="1"/>
  <c r="Q43" i="8" a="1"/>
  <c r="R45" i="8" a="1"/>
  <c r="T48" i="8" a="1"/>
  <c r="U50" i="8" a="1"/>
  <c r="Q55" i="8" a="1"/>
  <c r="R57" i="8" a="1"/>
  <c r="T60" i="8" a="1"/>
  <c r="U62" i="8" a="1"/>
  <c r="Q67" i="8" a="1"/>
  <c r="R69" i="8" a="1"/>
  <c r="T72" i="8" a="1"/>
  <c r="U74" i="8" a="1"/>
  <c r="Q79" i="8" a="1"/>
  <c r="R81" i="8" a="1"/>
  <c r="T84" i="8" a="1"/>
  <c r="U86" i="8" a="1"/>
  <c r="Q91" i="8" a="1"/>
  <c r="R93" i="8" a="1"/>
  <c r="T96" i="8" a="1"/>
  <c r="U98" i="8" a="1"/>
  <c r="Q103" i="8" a="1"/>
  <c r="T34" i="8" a="1"/>
  <c r="U36" i="8" a="1"/>
  <c r="Q41" i="8" a="1"/>
  <c r="R43" i="8" a="1"/>
  <c r="T46" i="8" a="1"/>
  <c r="U48" i="8" a="1"/>
  <c r="R55" i="8" a="1"/>
  <c r="U60" i="8" a="1"/>
  <c r="Q18" i="8" a="1"/>
  <c r="R20" i="8" a="1"/>
  <c r="T23" i="8" a="1"/>
  <c r="U25" i="8" a="1"/>
  <c r="Q30" i="8" a="1"/>
  <c r="R32" i="8" a="1"/>
  <c r="T35" i="8" a="1"/>
  <c r="U37" i="8" a="1"/>
  <c r="Q42" i="8" a="1"/>
  <c r="R44" i="8" a="1"/>
  <c r="T47" i="8" a="1"/>
  <c r="U49" i="8" a="1"/>
  <c r="Q54" i="8" a="1"/>
  <c r="R56" i="8" a="1"/>
  <c r="T59" i="8" a="1"/>
  <c r="U61" i="8" a="1"/>
  <c r="Q66" i="8" a="1"/>
  <c r="R68" i="8" a="1"/>
  <c r="T71" i="8" a="1"/>
  <c r="U73" i="8" a="1"/>
  <c r="Q78" i="8" a="1"/>
  <c r="R80" i="8" a="1"/>
  <c r="T83" i="8" a="1"/>
  <c r="U85" i="8" a="1"/>
  <c r="Q90" i="8" a="1"/>
  <c r="R92" i="8" a="1"/>
  <c r="T95" i="8" a="1"/>
  <c r="U97" i="8" a="1"/>
  <c r="Q102" i="8" a="1"/>
  <c r="Q17" i="8" a="1"/>
  <c r="R19" i="8" a="1"/>
  <c r="T22" i="8" a="1"/>
  <c r="U24" i="8" a="1"/>
  <c r="Q29" i="8" a="1"/>
  <c r="Q53" i="8" a="1"/>
  <c r="T58" i="8" a="1"/>
  <c r="Q65" i="8" a="1"/>
  <c r="Q16" i="8" a="1"/>
  <c r="R18" i="8" a="1"/>
  <c r="T21" i="8" a="1"/>
  <c r="U23" i="8" a="1"/>
  <c r="Q28" i="8" a="1"/>
  <c r="R30" i="8" a="1"/>
  <c r="T33" i="8" a="1"/>
  <c r="U35" i="8" a="1"/>
  <c r="U40" i="8" a="1"/>
  <c r="Q45" i="8" a="1"/>
  <c r="R59" i="8" a="1"/>
  <c r="U72" i="8" a="1"/>
  <c r="T74" i="8" a="1"/>
  <c r="U76" i="8" a="1"/>
  <c r="U84" i="8" a="1"/>
  <c r="T86" i="8" a="1"/>
  <c r="U88" i="8" a="1"/>
  <c r="U96" i="8" a="1"/>
  <c r="T98" i="8" a="1"/>
  <c r="U100" i="8" a="1"/>
  <c r="T62" i="8" a="1"/>
  <c r="R83" i="8" a="1"/>
  <c r="R95" i="8" a="1"/>
  <c r="T17" i="8" a="1"/>
  <c r="R67" i="8" a="1"/>
  <c r="R85" i="8" a="1"/>
  <c r="R103" i="8" a="1"/>
  <c r="T89" i="8" a="1"/>
  <c r="U55" i="8" a="1"/>
  <c r="Q76" i="8" a="1"/>
  <c r="Q80" i="8" a="1"/>
  <c r="Q92" i="8" a="1"/>
  <c r="R74" i="8" a="1"/>
  <c r="R86" i="8" a="1"/>
  <c r="Q40" i="8" a="1"/>
  <c r="T45" i="8" a="1"/>
  <c r="T53" i="8" a="1"/>
  <c r="U59" i="8" a="1"/>
  <c r="R62" i="8" a="1"/>
  <c r="T64" i="8" a="1"/>
  <c r="U66" i="8" a="1"/>
  <c r="U78" i="8" a="1"/>
  <c r="U90" i="8" a="1"/>
  <c r="U102" i="8" a="1"/>
  <c r="Q81" i="8" a="1"/>
  <c r="Q93" i="8" a="1"/>
  <c r="Q57" i="8" a="1"/>
  <c r="R79" i="8" a="1"/>
  <c r="R97" i="8" a="1"/>
  <c r="R42" i="8" a="1"/>
  <c r="T77" i="8" a="1"/>
  <c r="T101" i="8" a="1"/>
  <c r="U63" i="8" a="1"/>
  <c r="U64" i="8" a="1"/>
  <c r="Q71" i="8" a="1"/>
  <c r="Q83" i="8" a="1"/>
  <c r="Q95" i="8" a="1"/>
  <c r="T50" i="8" a="1"/>
  <c r="Q60" i="8" a="1"/>
  <c r="Q69" i="8" a="1"/>
  <c r="R71" i="8" a="1"/>
  <c r="Q77" i="8" a="1"/>
  <c r="Q89" i="8" a="1"/>
  <c r="Q101" i="8" a="1"/>
  <c r="R54" i="8" a="1"/>
  <c r="R73" i="8" a="1"/>
  <c r="R91" i="8" a="1"/>
  <c r="T57" i="8" a="1"/>
  <c r="R61" i="8" a="1"/>
  <c r="Q100" i="8" a="1"/>
  <c r="U52" i="8" a="1"/>
  <c r="R70" i="8" a="1"/>
  <c r="R94" i="8" a="1"/>
  <c r="T70" i="8" a="1"/>
  <c r="T76" i="8" a="1"/>
  <c r="R90" i="8" a="1"/>
  <c r="R102" i="8" a="1"/>
  <c r="T94" i="8" a="1"/>
  <c r="R82" i="8" a="1"/>
  <c r="T82" i="8" a="1"/>
  <c r="R47" i="8" a="1"/>
  <c r="T65" i="8" a="1"/>
  <c r="U67" i="8" a="1"/>
  <c r="T69" i="8" a="1"/>
  <c r="U71" i="8" a="1"/>
  <c r="T73" i="8" a="1"/>
  <c r="U79" i="8" a="1"/>
  <c r="T81" i="8" a="1"/>
  <c r="U83" i="8" a="1"/>
  <c r="T85" i="8" a="1"/>
  <c r="U91" i="8" a="1"/>
  <c r="T93" i="8" a="1"/>
  <c r="U95" i="8" a="1"/>
  <c r="T97" i="8" a="1"/>
  <c r="U103" i="8" a="1"/>
  <c r="R31" i="8" a="1"/>
  <c r="T38" i="8" a="1"/>
  <c r="U47" i="8" a="1"/>
  <c r="U75" i="8" a="1"/>
  <c r="U87" i="8" a="1"/>
  <c r="U99" i="8" a="1"/>
  <c r="Q52" i="8" a="1"/>
  <c r="Q72" i="8" a="1"/>
  <c r="Q84" i="8" a="1"/>
  <c r="Q96" i="8" a="1"/>
  <c r="Q68" i="8" a="1"/>
  <c r="Q88" i="8" a="1"/>
  <c r="Q59" i="8" a="1"/>
  <c r="R98" i="8" a="1"/>
  <c r="Q64" i="8" a="1"/>
  <c r="R66" i="8" a="1"/>
  <c r="R78" i="8" a="1"/>
  <c r="T88" i="8" a="1"/>
  <c r="T100" i="8" a="1"/>
  <c r="Q2" i="8" a="1"/>
  <c r="Q8" i="8" a="1"/>
  <c r="R2" i="8" a="1"/>
  <c r="R8" i="8" a="1"/>
  <c r="T2" i="8" a="1"/>
  <c r="T8" i="8" a="1"/>
  <c r="U2" i="8" a="1"/>
  <c r="U8" i="8" a="1"/>
  <c r="Q3" i="8" a="1"/>
  <c r="Q9" i="8" a="1"/>
  <c r="R3" i="8" a="1"/>
  <c r="R9" i="8" a="1"/>
  <c r="T3" i="8" a="1"/>
  <c r="T9" i="8" a="1"/>
  <c r="U3" i="8" a="1"/>
  <c r="U9" i="8" a="1"/>
  <c r="Q4" i="8" a="1"/>
  <c r="Q10" i="8" a="1"/>
  <c r="R4" i="8" a="1"/>
  <c r="R10" i="8" a="1"/>
  <c r="T4" i="8" a="1"/>
  <c r="T10" i="8" a="1"/>
  <c r="U4" i="8" a="1"/>
  <c r="U10" i="8" a="1"/>
  <c r="Q5" i="8" a="1"/>
  <c r="Q11" i="8" a="1"/>
  <c r="R5" i="8" a="1"/>
  <c r="R11" i="8" a="1"/>
  <c r="T5" i="8" a="1"/>
  <c r="T11" i="8" a="1"/>
  <c r="U5" i="8" a="1"/>
  <c r="U11" i="8" a="1"/>
  <c r="Q6" i="8" a="1"/>
  <c r="Q12" i="8" a="1"/>
  <c r="R6" i="8" a="1"/>
  <c r="R12" i="8" a="1"/>
  <c r="T6" i="8" a="1"/>
  <c r="T12" i="8" a="1"/>
  <c r="U6" i="8" a="1"/>
  <c r="U12" i="8" a="1"/>
  <c r="Q7" i="8" a="1"/>
  <c r="Q13" i="8" a="1"/>
  <c r="R7" i="8" a="1"/>
  <c r="R13" i="8" a="1"/>
  <c r="T7" i="8" a="1"/>
  <c r="T13" i="8" a="1"/>
  <c r="U7" i="8" a="1"/>
  <c r="U13" i="8" a="1"/>
  <c r="Q23" i="7" a="1"/>
  <c r="R25" i="7" a="1"/>
  <c r="T28" i="7" a="1"/>
  <c r="U30" i="7" a="1"/>
  <c r="Q35" i="7" a="1"/>
  <c r="R37" i="7" a="1"/>
  <c r="T40" i="7" a="1"/>
  <c r="U42" i="7" a="1"/>
  <c r="Q47" i="7" a="1"/>
  <c r="R49" i="7" a="1"/>
  <c r="T52" i="7" a="1"/>
  <c r="U54" i="7" a="1"/>
  <c r="Q59" i="7" a="1"/>
  <c r="R61" i="7" a="1"/>
  <c r="T64" i="7" a="1"/>
  <c r="U66" i="7" a="1"/>
  <c r="Q71" i="7" a="1"/>
  <c r="R73" i="7" a="1"/>
  <c r="T76" i="7" a="1"/>
  <c r="U78" i="7" a="1"/>
  <c r="Q83" i="7" a="1"/>
  <c r="R85" i="7" a="1"/>
  <c r="T88" i="7" a="1"/>
  <c r="U90" i="7" a="1"/>
  <c r="R58" i="7" a="1"/>
  <c r="Q68" i="7" a="1"/>
  <c r="R70" i="7" a="1"/>
  <c r="T73" i="7" a="1"/>
  <c r="Q80" i="7" a="1"/>
  <c r="R82" i="7" a="1"/>
  <c r="Q67" i="7" a="1"/>
  <c r="T72" i="7" a="1"/>
  <c r="Q86" i="7" a="1"/>
  <c r="Q22" i="7" a="1"/>
  <c r="R24" i="7" a="1"/>
  <c r="T27" i="7" a="1"/>
  <c r="U29" i="7" a="1"/>
  <c r="Q34" i="7" a="1"/>
  <c r="R36" i="7" a="1"/>
  <c r="T39" i="7" a="1"/>
  <c r="U41" i="7" a="1"/>
  <c r="Q46" i="7" a="1"/>
  <c r="R48" i="7" a="1"/>
  <c r="T51" i="7" a="1"/>
  <c r="U53" i="7" a="1"/>
  <c r="Q58" i="7" a="1"/>
  <c r="R60" i="7" a="1"/>
  <c r="T63" i="7" a="1"/>
  <c r="U65" i="7" a="1"/>
  <c r="Q70" i="7" a="1"/>
  <c r="R72" i="7" a="1"/>
  <c r="T75" i="7" a="1"/>
  <c r="U77" i="7" a="1"/>
  <c r="Q82" i="7" a="1"/>
  <c r="R84" i="7" a="1"/>
  <c r="T87" i="7" a="1"/>
  <c r="U89" i="7" a="1"/>
  <c r="T49" i="7" a="1"/>
  <c r="T61" i="7" a="1"/>
  <c r="R92" i="7" a="1"/>
  <c r="Q77" i="7" a="1"/>
  <c r="R23" i="7" a="1"/>
  <c r="T26" i="7" a="1"/>
  <c r="U28" i="7" a="1"/>
  <c r="Q33" i="7" a="1"/>
  <c r="R35" i="7" a="1"/>
  <c r="T38" i="7" a="1"/>
  <c r="U40" i="7" a="1"/>
  <c r="Q45" i="7" a="1"/>
  <c r="R47" i="7" a="1"/>
  <c r="T50" i="7" a="1"/>
  <c r="U52" i="7" a="1"/>
  <c r="Q57" i="7" a="1"/>
  <c r="R59" i="7" a="1"/>
  <c r="T62" i="7" a="1"/>
  <c r="U64" i="7" a="1"/>
  <c r="Q69" i="7" a="1"/>
  <c r="R71" i="7" a="1"/>
  <c r="T74" i="7" a="1"/>
  <c r="U76" i="7" a="1"/>
  <c r="Q81" i="7" a="1"/>
  <c r="R83" i="7" a="1"/>
  <c r="T86" i="7" a="1"/>
  <c r="U88" i="7" a="1"/>
  <c r="U51" i="7" a="1"/>
  <c r="U63" i="7" a="1"/>
  <c r="Q79" i="7" a="1"/>
  <c r="Q91" i="7" a="1"/>
  <c r="Q78" i="7" a="1"/>
  <c r="U85" i="7" a="1"/>
  <c r="Q89" i="7" a="1"/>
  <c r="R90" i="7" a="1"/>
  <c r="R22" i="7" a="1"/>
  <c r="T25" i="7" a="1"/>
  <c r="U27" i="7" a="1"/>
  <c r="Q32" i="7" a="1"/>
  <c r="R34" i="7" a="1"/>
  <c r="T37" i="7" a="1"/>
  <c r="U39" i="7" a="1"/>
  <c r="Q44" i="7" a="1"/>
  <c r="R46" i="7" a="1"/>
  <c r="Q56" i="7" a="1"/>
  <c r="U62" i="7" a="1"/>
  <c r="U74" i="7" a="1"/>
  <c r="R81" i="7" a="1"/>
  <c r="U86" i="7" a="1"/>
  <c r="R80" i="7" a="1"/>
  <c r="T83" i="7" a="1"/>
  <c r="U84" i="7" a="1"/>
  <c r="T81" i="7" a="1"/>
  <c r="T24" i="7" a="1"/>
  <c r="U26" i="7" a="1"/>
  <c r="Q31" i="7" a="1"/>
  <c r="R33" i="7" a="1"/>
  <c r="T36" i="7" a="1"/>
  <c r="U38" i="7" a="1"/>
  <c r="Q43" i="7" a="1"/>
  <c r="R45" i="7" a="1"/>
  <c r="T48" i="7" a="1"/>
  <c r="U50" i="7" a="1"/>
  <c r="Q55" i="7" a="1"/>
  <c r="R57" i="7" a="1"/>
  <c r="T60" i="7" a="1"/>
  <c r="T23" i="7" a="1"/>
  <c r="U25" i="7" a="1"/>
  <c r="Q30" i="7" a="1"/>
  <c r="R32" i="7" a="1"/>
  <c r="T35" i="7" a="1"/>
  <c r="U37" i="7" a="1"/>
  <c r="Q42" i="7" a="1"/>
  <c r="R44" i="7" a="1"/>
  <c r="T47" i="7" a="1"/>
  <c r="U49" i="7" a="1"/>
  <c r="Q54" i="7" a="1"/>
  <c r="R56" i="7" a="1"/>
  <c r="T59" i="7" a="1"/>
  <c r="U61" i="7" a="1"/>
  <c r="Q66" i="7" a="1"/>
  <c r="R68" i="7" a="1"/>
  <c r="T71" i="7" a="1"/>
  <c r="U73" i="7" a="1"/>
  <c r="R91" i="7" a="1"/>
  <c r="R88" i="7" a="1"/>
  <c r="T22" i="7" a="1"/>
  <c r="U24" i="7" a="1"/>
  <c r="Q29" i="7" a="1"/>
  <c r="R31" i="7" a="1"/>
  <c r="T34" i="7" a="1"/>
  <c r="U36" i="7" a="1"/>
  <c r="Q41" i="7" a="1"/>
  <c r="R43" i="7" a="1"/>
  <c r="T46" i="7" a="1"/>
  <c r="U48" i="7" a="1"/>
  <c r="Q53" i="7" a="1"/>
  <c r="R55" i="7" a="1"/>
  <c r="T58" i="7" a="1"/>
  <c r="U60" i="7" a="1"/>
  <c r="Q65" i="7" a="1"/>
  <c r="R67" i="7" a="1"/>
  <c r="T70" i="7" a="1"/>
  <c r="U23" i="7" a="1"/>
  <c r="Q28" i="7" a="1"/>
  <c r="R30" i="7" a="1"/>
  <c r="T33" i="7" a="1"/>
  <c r="U35" i="7" a="1"/>
  <c r="Q40" i="7" a="1"/>
  <c r="R42" i="7" a="1"/>
  <c r="T45" i="7" a="1"/>
  <c r="U47" i="7" a="1"/>
  <c r="Q52" i="7" a="1"/>
  <c r="R54" i="7" a="1"/>
  <c r="T57" i="7" a="1"/>
  <c r="U59" i="7" a="1"/>
  <c r="Q64" i="7" a="1"/>
  <c r="R66" i="7" a="1"/>
  <c r="T69" i="7" a="1"/>
  <c r="U71" i="7" a="1"/>
  <c r="Q76" i="7" a="1"/>
  <c r="R78" i="7" a="1"/>
  <c r="T91" i="7" a="1"/>
  <c r="U22" i="7" a="1"/>
  <c r="Q27" i="7" a="1"/>
  <c r="R29" i="7" a="1"/>
  <c r="T32" i="7" a="1"/>
  <c r="U34" i="7" a="1"/>
  <c r="Q39" i="7" a="1"/>
  <c r="R41" i="7" a="1"/>
  <c r="T44" i="7" a="1"/>
  <c r="U46" i="7" a="1"/>
  <c r="Q51" i="7" a="1"/>
  <c r="R53" i="7" a="1"/>
  <c r="T56" i="7" a="1"/>
  <c r="U58" i="7" a="1"/>
  <c r="Q63" i="7" a="1"/>
  <c r="R65" i="7" a="1"/>
  <c r="T68" i="7" a="1"/>
  <c r="U70" i="7" a="1"/>
  <c r="Q75" i="7" a="1"/>
  <c r="R77" i="7" a="1"/>
  <c r="T80" i="7" a="1"/>
  <c r="U82" i="7" a="1"/>
  <c r="Q87" i="7" a="1"/>
  <c r="R89" i="7" a="1"/>
  <c r="T92" i="7" a="1"/>
  <c r="Q26" i="7" a="1"/>
  <c r="R28" i="7" a="1"/>
  <c r="T31" i="7" a="1"/>
  <c r="U33" i="7" a="1"/>
  <c r="Q38" i="7" a="1"/>
  <c r="R40" i="7" a="1"/>
  <c r="T43" i="7" a="1"/>
  <c r="U45" i="7" a="1"/>
  <c r="Q50" i="7" a="1"/>
  <c r="R52" i="7" a="1"/>
  <c r="T55" i="7" a="1"/>
  <c r="U57" i="7" a="1"/>
  <c r="Q62" i="7" a="1"/>
  <c r="R64" i="7" a="1"/>
  <c r="T67" i="7" a="1"/>
  <c r="U69" i="7" a="1"/>
  <c r="Q74" i="7" a="1"/>
  <c r="R76" i="7" a="1"/>
  <c r="T79" i="7" a="1"/>
  <c r="Q25" i="7" a="1"/>
  <c r="R27" i="7" a="1"/>
  <c r="T30" i="7" a="1"/>
  <c r="U32" i="7" a="1"/>
  <c r="Q37" i="7" a="1"/>
  <c r="R39" i="7" a="1"/>
  <c r="T42" i="7" a="1"/>
  <c r="U44" i="7" a="1"/>
  <c r="Q49" i="7" a="1"/>
  <c r="R51" i="7" a="1"/>
  <c r="T54" i="7" a="1"/>
  <c r="U56" i="7" a="1"/>
  <c r="Q61" i="7" a="1"/>
  <c r="R63" i="7" a="1"/>
  <c r="T66" i="7" a="1"/>
  <c r="U68" i="7" a="1"/>
  <c r="Q73" i="7" a="1"/>
  <c r="R75" i="7" a="1"/>
  <c r="T78" i="7" a="1"/>
  <c r="U80" i="7" a="1"/>
  <c r="Q85" i="7" a="1"/>
  <c r="R87" i="7" a="1"/>
  <c r="T90" i="7" a="1"/>
  <c r="U92" i="7" a="1"/>
  <c r="T85" i="7" a="1"/>
  <c r="U87" i="7" a="1"/>
  <c r="Q92" i="7" a="1"/>
  <c r="T84" i="7" a="1"/>
  <c r="Q90" i="7" a="1"/>
  <c r="R79" i="7" a="1"/>
  <c r="T82" i="7" a="1"/>
  <c r="U83" i="7" a="1"/>
  <c r="Q88" i="7" a="1"/>
  <c r="U81" i="7" a="1"/>
  <c r="Q24" i="7" a="1"/>
  <c r="R26" i="7" a="1"/>
  <c r="T29" i="7" a="1"/>
  <c r="U31" i="7" a="1"/>
  <c r="Q36" i="7" a="1"/>
  <c r="R38" i="7" a="1"/>
  <c r="T41" i="7" a="1"/>
  <c r="U43" i="7" a="1"/>
  <c r="Q48" i="7" a="1"/>
  <c r="R50" i="7" a="1"/>
  <c r="T53" i="7" a="1"/>
  <c r="U55" i="7" a="1"/>
  <c r="Q60" i="7" a="1"/>
  <c r="R62" i="7" a="1"/>
  <c r="T65" i="7" a="1"/>
  <c r="U67" i="7" a="1"/>
  <c r="Q72" i="7" a="1"/>
  <c r="R74" i="7" a="1"/>
  <c r="T77" i="7" a="1"/>
  <c r="U79" i="7" a="1"/>
  <c r="Q84" i="7" a="1"/>
  <c r="R86" i="7" a="1"/>
  <c r="T89" i="7" a="1"/>
  <c r="U91" i="7" a="1"/>
  <c r="U75" i="7" a="1"/>
  <c r="R69" i="7" a="1"/>
  <c r="U72" i="7" a="1"/>
  <c r="Q4" i="7" a="1"/>
  <c r="Q10" i="7" a="1"/>
  <c r="Q16" i="7" a="1"/>
  <c r="R2" i="7" a="1"/>
  <c r="R8" i="7" a="1"/>
  <c r="R14" i="7" a="1"/>
  <c r="R20" i="7" a="1"/>
  <c r="T2" i="7" a="1"/>
  <c r="T8" i="7" a="1"/>
  <c r="T14" i="7" a="1"/>
  <c r="T20" i="7" a="1"/>
  <c r="U6" i="7" a="1"/>
  <c r="U12" i="7" a="1"/>
  <c r="U18" i="7" a="1"/>
  <c r="Q12" i="7" a="1"/>
  <c r="R4" i="7" a="1"/>
  <c r="R16" i="7" a="1"/>
  <c r="T10" i="7" a="1"/>
  <c r="U2" i="7" a="1"/>
  <c r="U14" i="7" a="1"/>
  <c r="Q15" i="7" a="1"/>
  <c r="Q18" i="7" a="1"/>
  <c r="U20" i="7" a="1"/>
  <c r="Q3" i="7" a="1"/>
  <c r="R7" i="7" a="1"/>
  <c r="R19" i="7" a="1"/>
  <c r="T7" i="7" a="1"/>
  <c r="T19" i="7" a="1"/>
  <c r="U11" i="7" a="1"/>
  <c r="Q5" i="7" a="1"/>
  <c r="Q11" i="7" a="1"/>
  <c r="Q17" i="7" a="1"/>
  <c r="R3" i="7" a="1"/>
  <c r="R9" i="7" a="1"/>
  <c r="R15" i="7" a="1"/>
  <c r="R21" i="7" a="1"/>
  <c r="T3" i="7" a="1"/>
  <c r="T9" i="7" a="1"/>
  <c r="T15" i="7" a="1"/>
  <c r="T21" i="7" a="1"/>
  <c r="U7" i="7" a="1"/>
  <c r="U13" i="7" a="1"/>
  <c r="U19" i="7" a="1"/>
  <c r="Q6" i="7" a="1"/>
  <c r="R10" i="7" a="1"/>
  <c r="T4" i="7" a="1"/>
  <c r="T16" i="7" a="1"/>
  <c r="U8" i="7" a="1"/>
  <c r="Q21" i="7" a="1"/>
  <c r="R13" i="7" a="1"/>
  <c r="T13" i="7" a="1"/>
  <c r="U5" i="7" a="1"/>
  <c r="U17" i="7" a="1"/>
  <c r="Q7" i="7" a="1"/>
  <c r="Q13" i="7" a="1"/>
  <c r="Q19" i="7" a="1"/>
  <c r="R5" i="7" a="1"/>
  <c r="R11" i="7" a="1"/>
  <c r="R17" i="7" a="1"/>
  <c r="T5" i="7" a="1"/>
  <c r="T11" i="7" a="1"/>
  <c r="T17" i="7" a="1"/>
  <c r="U3" i="7" a="1"/>
  <c r="U9" i="7" a="1"/>
  <c r="U15" i="7" a="1"/>
  <c r="U21" i="7" a="1"/>
  <c r="Q2" i="7" a="1"/>
  <c r="Q8" i="7" a="1"/>
  <c r="Q14" i="7" a="1"/>
  <c r="Q20" i="7" a="1"/>
  <c r="R6" i="7" a="1"/>
  <c r="R12" i="7" a="1"/>
  <c r="R18" i="7" a="1"/>
  <c r="T6" i="7" a="1"/>
  <c r="T12" i="7" a="1"/>
  <c r="T18" i="7" a="1"/>
  <c r="U4" i="7" a="1"/>
  <c r="U10" i="7" a="1"/>
  <c r="U16" i="7" a="1"/>
  <c r="Q9" i="7" a="1"/>
  <c r="Q23" i="6" a="1"/>
  <c r="R25" i="6" a="1"/>
  <c r="T28" i="6" a="1"/>
  <c r="U30" i="6" a="1"/>
  <c r="Q35" i="6" a="1"/>
  <c r="R37" i="6" a="1"/>
  <c r="T40" i="6" a="1"/>
  <c r="U42" i="6" a="1"/>
  <c r="Q47" i="6" a="1"/>
  <c r="R49" i="6" a="1"/>
  <c r="T52" i="6" a="1"/>
  <c r="U54" i="6" a="1"/>
  <c r="Q59" i="6" a="1"/>
  <c r="R61" i="6" a="1"/>
  <c r="T64" i="6" a="1"/>
  <c r="U66" i="6" a="1"/>
  <c r="Q71" i="6" a="1"/>
  <c r="T63" i="6" a="1"/>
  <c r="Q22" i="6" a="1"/>
  <c r="R24" i="6" a="1"/>
  <c r="T27" i="6" a="1"/>
  <c r="U29" i="6" a="1"/>
  <c r="Q34" i="6" a="1"/>
  <c r="R36" i="6" a="1"/>
  <c r="T39" i="6" a="1"/>
  <c r="U41" i="6" a="1"/>
  <c r="Q46" i="6" a="1"/>
  <c r="R48" i="6" a="1"/>
  <c r="T51" i="6" a="1"/>
  <c r="U53" i="6" a="1"/>
  <c r="Q58" i="6" a="1"/>
  <c r="R60" i="6" a="1"/>
  <c r="U65" i="6" a="1"/>
  <c r="Q70" i="6" a="1"/>
  <c r="R72" i="6" a="1"/>
  <c r="U50" i="6" a="1"/>
  <c r="R23" i="6" a="1"/>
  <c r="T26" i="6" a="1"/>
  <c r="U28" i="6" a="1"/>
  <c r="Q33" i="6" a="1"/>
  <c r="R35" i="6" a="1"/>
  <c r="T38" i="6" a="1"/>
  <c r="U40" i="6" a="1"/>
  <c r="Q45" i="6" a="1"/>
  <c r="R47" i="6" a="1"/>
  <c r="T50" i="6" a="1"/>
  <c r="U52" i="6" a="1"/>
  <c r="Q57" i="6" a="1"/>
  <c r="R59" i="6" a="1"/>
  <c r="T62" i="6" a="1"/>
  <c r="U64" i="6" a="1"/>
  <c r="Q69" i="6" a="1"/>
  <c r="R71" i="6" a="1"/>
  <c r="T61" i="6" a="1"/>
  <c r="Q68" i="6" a="1"/>
  <c r="R70" i="6" a="1"/>
  <c r="T48" i="6" a="1"/>
  <c r="T71" i="6" a="1"/>
  <c r="R55" i="6" a="1"/>
  <c r="R67" i="6" a="1"/>
  <c r="R66" i="6" a="1"/>
  <c r="T69" i="6" a="1"/>
  <c r="R22" i="6" a="1"/>
  <c r="T25" i="6" a="1"/>
  <c r="U27" i="6" a="1"/>
  <c r="Q32" i="6" a="1"/>
  <c r="R34" i="6" a="1"/>
  <c r="T37" i="6" a="1"/>
  <c r="U39" i="6" a="1"/>
  <c r="Q44" i="6" a="1"/>
  <c r="R46" i="6" a="1"/>
  <c r="T49" i="6" a="1"/>
  <c r="U51" i="6" a="1"/>
  <c r="Q56" i="6" a="1"/>
  <c r="R58" i="6" a="1"/>
  <c r="U63" i="6" a="1"/>
  <c r="Q55" i="6" a="1"/>
  <c r="R57" i="6" a="1"/>
  <c r="T60" i="6" a="1"/>
  <c r="U62" i="6" a="1"/>
  <c r="Q67" i="6" a="1"/>
  <c r="T58" i="6" a="1"/>
  <c r="T24" i="6" a="1"/>
  <c r="U26" i="6" a="1"/>
  <c r="Q31" i="6" a="1"/>
  <c r="R33" i="6" a="1"/>
  <c r="T36" i="6" a="1"/>
  <c r="U38" i="6" a="1"/>
  <c r="Q43" i="6" a="1"/>
  <c r="R45" i="6" a="1"/>
  <c r="Q64" i="6" a="1"/>
  <c r="T23" i="6" a="1"/>
  <c r="U25" i="6" a="1"/>
  <c r="Q30" i="6" a="1"/>
  <c r="R32" i="6" a="1"/>
  <c r="T35" i="6" a="1"/>
  <c r="U37" i="6" a="1"/>
  <c r="Q42" i="6" a="1"/>
  <c r="R44" i="6" a="1"/>
  <c r="T47" i="6" a="1"/>
  <c r="U49" i="6" a="1"/>
  <c r="Q54" i="6" a="1"/>
  <c r="R56" i="6" a="1"/>
  <c r="T59" i="6" a="1"/>
  <c r="U61" i="6" a="1"/>
  <c r="T22" i="6" a="1"/>
  <c r="U24" i="6" a="1"/>
  <c r="Q29" i="6" a="1"/>
  <c r="R31" i="6" a="1"/>
  <c r="T34" i="6" a="1"/>
  <c r="U36" i="6" a="1"/>
  <c r="Q41" i="6" a="1"/>
  <c r="R43" i="6" a="1"/>
  <c r="T46" i="6" a="1"/>
  <c r="U48" i="6" a="1"/>
  <c r="U59" i="6" a="1"/>
  <c r="U23" i="6" a="1"/>
  <c r="Q28" i="6" a="1"/>
  <c r="R30" i="6" a="1"/>
  <c r="T33" i="6" a="1"/>
  <c r="U35" i="6" a="1"/>
  <c r="Q40" i="6" a="1"/>
  <c r="R42" i="6" a="1"/>
  <c r="T45" i="6" a="1"/>
  <c r="U47" i="6" a="1"/>
  <c r="Q52" i="6" a="1"/>
  <c r="R54" i="6" a="1"/>
  <c r="T57" i="6" a="1"/>
  <c r="U22" i="6" a="1"/>
  <c r="Q27" i="6" a="1"/>
  <c r="R29" i="6" a="1"/>
  <c r="T32" i="6" a="1"/>
  <c r="U34" i="6" a="1"/>
  <c r="Q39" i="6" a="1"/>
  <c r="R41" i="6" a="1"/>
  <c r="T44" i="6" a="1"/>
  <c r="U46" i="6" a="1"/>
  <c r="Q51" i="6" a="1"/>
  <c r="R53" i="6" a="1"/>
  <c r="T56" i="6" a="1"/>
  <c r="U58" i="6" a="1"/>
  <c r="Q63" i="6" a="1"/>
  <c r="R65" i="6" a="1"/>
  <c r="T68" i="6" a="1"/>
  <c r="U70" i="6" a="1"/>
  <c r="U72" i="6" a="1"/>
  <c r="Q26" i="6" a="1"/>
  <c r="R28" i="6" a="1"/>
  <c r="T31" i="6" a="1"/>
  <c r="U33" i="6" a="1"/>
  <c r="Q38" i="6" a="1"/>
  <c r="R40" i="6" a="1"/>
  <c r="T43" i="6" a="1"/>
  <c r="U45" i="6" a="1"/>
  <c r="Q50" i="6" a="1"/>
  <c r="R52" i="6" a="1"/>
  <c r="T55" i="6" a="1"/>
  <c r="U57" i="6" a="1"/>
  <c r="Q62" i="6" a="1"/>
  <c r="R64" i="6" a="1"/>
  <c r="T67" i="6" a="1"/>
  <c r="U69" i="6" a="1"/>
  <c r="Q49" i="6" a="1"/>
  <c r="R51" i="6" a="1"/>
  <c r="U56" i="6" a="1"/>
  <c r="Q61" i="6" a="1"/>
  <c r="U68" i="6" a="1"/>
  <c r="R69" i="6" a="1"/>
  <c r="Q65" i="6" a="1"/>
  <c r="Q25" i="6" a="1"/>
  <c r="R27" i="6" a="1"/>
  <c r="T30" i="6" a="1"/>
  <c r="U32" i="6" a="1"/>
  <c r="Q37" i="6" a="1"/>
  <c r="R39" i="6" a="1"/>
  <c r="T42" i="6" a="1"/>
  <c r="U44" i="6" a="1"/>
  <c r="T54" i="6" a="1"/>
  <c r="R63" i="6" a="1"/>
  <c r="T66" i="6" a="1"/>
  <c r="T72" i="6" a="1"/>
  <c r="Q66" i="6" a="1"/>
  <c r="R68" i="6" a="1"/>
  <c r="Q53" i="6" a="1"/>
  <c r="U60" i="6" a="1"/>
  <c r="U71" i="6" a="1"/>
  <c r="Q24" i="6" a="1"/>
  <c r="R26" i="6" a="1"/>
  <c r="T29" i="6" a="1"/>
  <c r="U31" i="6" a="1"/>
  <c r="Q36" i="6" a="1"/>
  <c r="R38" i="6" a="1"/>
  <c r="T41" i="6" a="1"/>
  <c r="U43" i="6" a="1"/>
  <c r="Q48" i="6" a="1"/>
  <c r="R50" i="6" a="1"/>
  <c r="T53" i="6" a="1"/>
  <c r="U55" i="6" a="1"/>
  <c r="Q60" i="6" a="1"/>
  <c r="R62" i="6" a="1"/>
  <c r="T65" i="6" a="1"/>
  <c r="U67" i="6" a="1"/>
  <c r="Q72" i="6" a="1"/>
  <c r="T70" i="6" a="1"/>
  <c r="Q4" i="6" a="1"/>
  <c r="Q10" i="6" a="1"/>
  <c r="Q16" i="6" a="1"/>
  <c r="R2" i="6" a="1"/>
  <c r="R8" i="6" a="1"/>
  <c r="R14" i="6" a="1"/>
  <c r="R20" i="6" a="1"/>
  <c r="T2" i="6" a="1"/>
  <c r="T8" i="6" a="1"/>
  <c r="T14" i="6" a="1"/>
  <c r="T20" i="6" a="1"/>
  <c r="U6" i="6" a="1"/>
  <c r="U12" i="6" a="1"/>
  <c r="U18" i="6" a="1"/>
  <c r="R10" i="6" a="1"/>
  <c r="T10" i="6" a="1"/>
  <c r="U2" i="6" a="1"/>
  <c r="U20" i="6" a="1"/>
  <c r="Q7" i="6" a="1"/>
  <c r="R11" i="6" a="1"/>
  <c r="T5" i="6" a="1"/>
  <c r="T17" i="6" a="1"/>
  <c r="U9" i="6" a="1"/>
  <c r="U15" i="6" a="1"/>
  <c r="T13" i="6" a="1"/>
  <c r="Q12" i="6" a="1"/>
  <c r="R12" i="6" a="1"/>
  <c r="Q15" i="6" a="1"/>
  <c r="T7" i="6" a="1"/>
  <c r="Q5" i="6" a="1"/>
  <c r="Q11" i="6" a="1"/>
  <c r="Q17" i="6" a="1"/>
  <c r="R3" i="6" a="1"/>
  <c r="R9" i="6" a="1"/>
  <c r="R15" i="6" a="1"/>
  <c r="R21" i="6" a="1"/>
  <c r="T3" i="6" a="1"/>
  <c r="T9" i="6" a="1"/>
  <c r="T15" i="6" a="1"/>
  <c r="T21" i="6" a="1"/>
  <c r="U7" i="6" a="1"/>
  <c r="U13" i="6" a="1"/>
  <c r="U19" i="6" a="1"/>
  <c r="R4" i="6" a="1"/>
  <c r="T4" i="6" a="1"/>
  <c r="T16" i="6" a="1"/>
  <c r="U14" i="6" a="1"/>
  <c r="Q13" i="6" a="1"/>
  <c r="R5" i="6" a="1"/>
  <c r="R17" i="6" a="1"/>
  <c r="Q2" i="6" a="1"/>
  <c r="Q14" i="6" a="1"/>
  <c r="Q20" i="6" a="1"/>
  <c r="Q18" i="6" a="1"/>
  <c r="Q19" i="6" a="1"/>
  <c r="T11" i="6" a="1"/>
  <c r="U3" i="6" a="1"/>
  <c r="U21" i="6" a="1"/>
  <c r="Q8" i="6" a="1"/>
  <c r="T12" i="6" a="1"/>
  <c r="U4" i="6" a="1"/>
  <c r="R19" i="6" a="1"/>
  <c r="Q6" i="6" a="1"/>
  <c r="R16" i="6" a="1"/>
  <c r="U8" i="6" a="1"/>
  <c r="U16" i="6" a="1"/>
  <c r="R7" i="6" a="1"/>
  <c r="Q21" i="6" a="1"/>
  <c r="U10" i="6" a="1"/>
  <c r="U17" i="6" a="1"/>
  <c r="R6" i="6" a="1"/>
  <c r="R18" i="6" a="1"/>
  <c r="T6" i="6" a="1"/>
  <c r="T18" i="6" a="1"/>
  <c r="R13" i="6" a="1"/>
  <c r="U5" i="6" a="1"/>
  <c r="U11" i="6" a="1"/>
  <c r="Q3" i="6" a="1"/>
  <c r="T19" i="6" a="1"/>
  <c r="Q9" i="6" a="1"/>
  <c r="Q23" i="5" a="1"/>
  <c r="R25" i="5" a="1"/>
  <c r="T28" i="5" a="1"/>
  <c r="U30" i="5" a="1"/>
  <c r="Q35" i="5" a="1"/>
  <c r="R37" i="5" a="1"/>
  <c r="T40" i="5" a="1"/>
  <c r="U42" i="5" a="1"/>
  <c r="T39" i="5" a="1"/>
  <c r="R34" i="5" a="1"/>
  <c r="T37" i="5" a="1"/>
  <c r="U39" i="5" a="1"/>
  <c r="Q44" i="5" a="1"/>
  <c r="R32" i="5" a="1"/>
  <c r="T35" i="5" a="1"/>
  <c r="U37" i="5" a="1"/>
  <c r="Q42" i="5" a="1"/>
  <c r="Q37" i="5" a="1"/>
  <c r="Q22" i="5" a="1"/>
  <c r="R24" i="5" a="1"/>
  <c r="T27" i="5" a="1"/>
  <c r="U29" i="5" a="1"/>
  <c r="Q34" i="5" a="1"/>
  <c r="R36" i="5" a="1"/>
  <c r="R23" i="5" a="1"/>
  <c r="T26" i="5" a="1"/>
  <c r="U28" i="5" a="1"/>
  <c r="Q33" i="5" a="1"/>
  <c r="R35" i="5" a="1"/>
  <c r="T38" i="5" a="1"/>
  <c r="U40" i="5" a="1"/>
  <c r="Q32" i="5" a="1"/>
  <c r="R44" i="5" a="1"/>
  <c r="R22" i="5" a="1"/>
  <c r="T25" i="5" a="1"/>
  <c r="U27" i="5" a="1"/>
  <c r="R39" i="5" a="1"/>
  <c r="T24" i="5" a="1"/>
  <c r="U26" i="5" a="1"/>
  <c r="Q31" i="5" a="1"/>
  <c r="R33" i="5" a="1"/>
  <c r="T36" i="5" a="1"/>
  <c r="U38" i="5" a="1"/>
  <c r="Q43" i="5" a="1"/>
  <c r="Q30" i="5" a="1"/>
  <c r="U44" i="5" a="1"/>
  <c r="T23" i="5" a="1"/>
  <c r="U25" i="5" a="1"/>
  <c r="T22" i="5" a="1"/>
  <c r="U24" i="5" a="1"/>
  <c r="Q29" i="5" a="1"/>
  <c r="R31" i="5" a="1"/>
  <c r="T34" i="5" a="1"/>
  <c r="U36" i="5" a="1"/>
  <c r="Q41" i="5" a="1"/>
  <c r="R43" i="5" a="1"/>
  <c r="U33" i="5" a="1"/>
  <c r="U23" i="5" a="1"/>
  <c r="Q28" i="5" a="1"/>
  <c r="R30" i="5" a="1"/>
  <c r="T33" i="5" a="1"/>
  <c r="U35" i="5" a="1"/>
  <c r="Q40" i="5" a="1"/>
  <c r="R42" i="5" a="1"/>
  <c r="R28" i="5" a="1"/>
  <c r="R40" i="5" a="1"/>
  <c r="U22" i="5" a="1"/>
  <c r="Q27" i="5" a="1"/>
  <c r="R29" i="5" a="1"/>
  <c r="T32" i="5" a="1"/>
  <c r="U34" i="5" a="1"/>
  <c r="Q39" i="5" a="1"/>
  <c r="R41" i="5" a="1"/>
  <c r="T44" i="5" a="1"/>
  <c r="T31" i="5" a="1"/>
  <c r="Q38" i="5" a="1"/>
  <c r="T43" i="5" a="1"/>
  <c r="Q25" i="5" a="1"/>
  <c r="R27" i="5" a="1"/>
  <c r="T30" i="5" a="1"/>
  <c r="Q26" i="5" a="1"/>
  <c r="U32" i="5" a="1"/>
  <c r="Q24" i="5" a="1"/>
  <c r="R26" i="5" a="1"/>
  <c r="T29" i="5" a="1"/>
  <c r="U31" i="5" a="1"/>
  <c r="Q36" i="5" a="1"/>
  <c r="R38" i="5" a="1"/>
  <c r="T41" i="5" a="1"/>
  <c r="U43" i="5" a="1"/>
  <c r="U41" i="5" a="1"/>
  <c r="T42" i="5" a="1"/>
  <c r="Q4" i="5" a="1"/>
  <c r="Q10" i="5" a="1"/>
  <c r="Q16" i="5" a="1"/>
  <c r="R2" i="5" a="1"/>
  <c r="R8" i="5" a="1"/>
  <c r="R14" i="5" a="1"/>
  <c r="R20" i="5" a="1"/>
  <c r="T2" i="5" a="1"/>
  <c r="T8" i="5" a="1"/>
  <c r="T14" i="5" a="1"/>
  <c r="T20" i="5" a="1"/>
  <c r="U6" i="5" a="1"/>
  <c r="U12" i="5" a="1"/>
  <c r="U18" i="5" a="1"/>
  <c r="R21" i="5" a="1"/>
  <c r="T9" i="5" a="1"/>
  <c r="T21" i="5" a="1"/>
  <c r="R4" i="5" a="1"/>
  <c r="R15" i="5" a="1"/>
  <c r="U7" i="5" a="1"/>
  <c r="U13" i="5" a="1"/>
  <c r="U19" i="5" a="1"/>
  <c r="Q18" i="5" a="1"/>
  <c r="R10" i="5" a="1"/>
  <c r="R16" i="5" a="1"/>
  <c r="T4" i="5" a="1"/>
  <c r="T10" i="5" a="1"/>
  <c r="T16" i="5" a="1"/>
  <c r="U8" i="5" a="1"/>
  <c r="U14" i="5" a="1"/>
  <c r="U20" i="5" a="1"/>
  <c r="U10" i="5" a="1"/>
  <c r="Q5" i="5" a="1"/>
  <c r="Q11" i="5" a="1"/>
  <c r="Q17" i="5" a="1"/>
  <c r="R3" i="5" a="1"/>
  <c r="R9" i="5" a="1"/>
  <c r="T3" i="5" a="1"/>
  <c r="T15" i="5" a="1"/>
  <c r="U2" i="5" a="1"/>
  <c r="U11" i="5" a="1"/>
  <c r="Q6" i="5" a="1"/>
  <c r="Q12" i="5" a="1"/>
  <c r="T18" i="5" a="1"/>
  <c r="Q7" i="5" a="1"/>
  <c r="Q13" i="5" a="1"/>
  <c r="Q19" i="5" a="1"/>
  <c r="R5" i="5" a="1"/>
  <c r="R11" i="5" a="1"/>
  <c r="R17" i="5" a="1"/>
  <c r="T5" i="5" a="1"/>
  <c r="T11" i="5" a="1"/>
  <c r="T17" i="5" a="1"/>
  <c r="U3" i="5" a="1"/>
  <c r="U9" i="5" a="1"/>
  <c r="U15" i="5" a="1"/>
  <c r="U21" i="5" a="1"/>
  <c r="Q14" i="5" a="1"/>
  <c r="Q20" i="5" a="1"/>
  <c r="R6" i="5" a="1"/>
  <c r="R12" i="5" a="1"/>
  <c r="R18" i="5" a="1"/>
  <c r="T6" i="5" a="1"/>
  <c r="T12" i="5" a="1"/>
  <c r="U16" i="5" a="1"/>
  <c r="Q2" i="5" a="1"/>
  <c r="Q8" i="5" a="1"/>
  <c r="Q9" i="5" a="1"/>
  <c r="R13" i="5" a="1"/>
  <c r="U17" i="5" a="1"/>
  <c r="Q3" i="5" a="1"/>
  <c r="Q15" i="5" a="1"/>
  <c r="Q21" i="5" a="1"/>
  <c r="R7" i="5" a="1"/>
  <c r="R19" i="5" a="1"/>
  <c r="T7" i="5" a="1"/>
  <c r="T13" i="5" a="1"/>
  <c r="T19" i="5" a="1"/>
  <c r="U5" i="5" a="1"/>
  <c r="U4" i="5" a="1"/>
  <c r="Q28" i="4" a="1"/>
  <c r="R30" i="4" a="1"/>
  <c r="T33" i="4" a="1"/>
  <c r="U35" i="4" a="1"/>
  <c r="Q40" i="4" a="1"/>
  <c r="R42" i="4" a="1"/>
  <c r="T45" i="4" a="1"/>
  <c r="U47" i="4" a="1"/>
  <c r="Q52" i="4" a="1"/>
  <c r="R54" i="4" a="1"/>
  <c r="T57" i="4" a="1"/>
  <c r="U59" i="4" a="1"/>
  <c r="Q64" i="4" a="1"/>
  <c r="R66" i="4" a="1"/>
  <c r="T69" i="4" a="1"/>
  <c r="U71" i="4" a="1"/>
  <c r="Q76" i="4" a="1"/>
  <c r="R78" i="4" a="1"/>
  <c r="T81" i="4" a="1"/>
  <c r="U83" i="4" a="1"/>
  <c r="Q88" i="4" a="1"/>
  <c r="R90" i="4" a="1"/>
  <c r="Q27" i="4" a="1"/>
  <c r="R29" i="4" a="1"/>
  <c r="T32" i="4" a="1"/>
  <c r="U34" i="4" a="1"/>
  <c r="Q39" i="4" a="1"/>
  <c r="R41" i="4" a="1"/>
  <c r="T44" i="4" a="1"/>
  <c r="U46" i="4" a="1"/>
  <c r="Q51" i="4" a="1"/>
  <c r="R53" i="4" a="1"/>
  <c r="T56" i="4" a="1"/>
  <c r="U58" i="4" a="1"/>
  <c r="Q63" i="4" a="1"/>
  <c r="R65" i="4" a="1"/>
  <c r="T68" i="4" a="1"/>
  <c r="U70" i="4" a="1"/>
  <c r="Q75" i="4" a="1"/>
  <c r="R77" i="4" a="1"/>
  <c r="T80" i="4" a="1"/>
  <c r="U82" i="4" a="1"/>
  <c r="Q87" i="4" a="1"/>
  <c r="R89" i="4" a="1"/>
  <c r="T92" i="4" a="1"/>
  <c r="U94" i="4" a="1"/>
  <c r="Q99" i="4" a="1"/>
  <c r="R101" i="4" a="1"/>
  <c r="T104" i="4" a="1"/>
  <c r="U106" i="4" a="1"/>
  <c r="Q111" i="4" a="1"/>
  <c r="R28" i="4" a="1"/>
  <c r="T31" i="4" a="1"/>
  <c r="U33" i="4" a="1"/>
  <c r="Q38" i="4" a="1"/>
  <c r="R40" i="4" a="1"/>
  <c r="T43" i="4" a="1"/>
  <c r="U45" i="4" a="1"/>
  <c r="Q50" i="4" a="1"/>
  <c r="R52" i="4" a="1"/>
  <c r="R27" i="4" a="1"/>
  <c r="T30" i="4" a="1"/>
  <c r="U32" i="4" a="1"/>
  <c r="Q37" i="4" a="1"/>
  <c r="R39" i="4" a="1"/>
  <c r="T42" i="4" a="1"/>
  <c r="U44" i="4" a="1"/>
  <c r="Q49" i="4" a="1"/>
  <c r="R51" i="4" a="1"/>
  <c r="T54" i="4" a="1"/>
  <c r="U56" i="4" a="1"/>
  <c r="Q61" i="4" a="1"/>
  <c r="R63" i="4" a="1"/>
  <c r="T66" i="4" a="1"/>
  <c r="U68" i="4" a="1"/>
  <c r="Q73" i="4" a="1"/>
  <c r="R75" i="4" a="1"/>
  <c r="T78" i="4" a="1"/>
  <c r="U80" i="4" a="1"/>
  <c r="Q85" i="4" a="1"/>
  <c r="R87" i="4" a="1"/>
  <c r="T90" i="4" a="1"/>
  <c r="U92" i="4" a="1"/>
  <c r="Q97" i="4" a="1"/>
  <c r="R99" i="4" a="1"/>
  <c r="T102" i="4" a="1"/>
  <c r="U104" i="4" a="1"/>
  <c r="Q109" i="4" a="1"/>
  <c r="R111" i="4" a="1"/>
  <c r="T114" i="4" a="1"/>
  <c r="U116" i="4" a="1"/>
  <c r="Q121" i="4" a="1"/>
  <c r="R123" i="4" a="1"/>
  <c r="T126" i="4" a="1"/>
  <c r="U128" i="4" a="1"/>
  <c r="R98" i="4" a="1"/>
  <c r="T101" i="4" a="1"/>
  <c r="U103" i="4" a="1"/>
  <c r="Q108" i="4" a="1"/>
  <c r="T29" i="4" a="1"/>
  <c r="U31" i="4" a="1"/>
  <c r="Q36" i="4" a="1"/>
  <c r="R38" i="4" a="1"/>
  <c r="T41" i="4" a="1"/>
  <c r="U43" i="4" a="1"/>
  <c r="Q48" i="4" a="1"/>
  <c r="R50" i="4" a="1"/>
  <c r="T53" i="4" a="1"/>
  <c r="U55" i="4" a="1"/>
  <c r="Q60" i="4" a="1"/>
  <c r="R62" i="4" a="1"/>
  <c r="T65" i="4" a="1"/>
  <c r="U67" i="4" a="1"/>
  <c r="Q72" i="4" a="1"/>
  <c r="R74" i="4" a="1"/>
  <c r="T77" i="4" a="1"/>
  <c r="U79" i="4" a="1"/>
  <c r="Q84" i="4" a="1"/>
  <c r="R86" i="4" a="1"/>
  <c r="T89" i="4" a="1"/>
  <c r="U91" i="4" a="1"/>
  <c r="Q96" i="4" a="1"/>
  <c r="T28" i="4" a="1"/>
  <c r="U30" i="4" a="1"/>
  <c r="Q35" i="4" a="1"/>
  <c r="R37" i="4" a="1"/>
  <c r="T40" i="4" a="1"/>
  <c r="U42" i="4" a="1"/>
  <c r="T27" i="4" a="1"/>
  <c r="U29" i="4" a="1"/>
  <c r="Q34" i="4" a="1"/>
  <c r="R36" i="4" a="1"/>
  <c r="T39" i="4" a="1"/>
  <c r="U41" i="4" a="1"/>
  <c r="Q46" i="4" a="1"/>
  <c r="R48" i="4" a="1"/>
  <c r="T51" i="4" a="1"/>
  <c r="U53" i="4" a="1"/>
  <c r="Q58" i="4" a="1"/>
  <c r="U28" i="4" a="1"/>
  <c r="Q33" i="4" a="1"/>
  <c r="R35" i="4" a="1"/>
  <c r="T38" i="4" a="1"/>
  <c r="U40" i="4" a="1"/>
  <c r="Q45" i="4" a="1"/>
  <c r="R47" i="4" a="1"/>
  <c r="T50" i="4" a="1"/>
  <c r="U52" i="4" a="1"/>
  <c r="Q57" i="4" a="1"/>
  <c r="R59" i="4" a="1"/>
  <c r="T62" i="4" a="1"/>
  <c r="U64" i="4" a="1"/>
  <c r="Q69" i="4" a="1"/>
  <c r="R71" i="4" a="1"/>
  <c r="T74" i="4" a="1"/>
  <c r="U76" i="4" a="1"/>
  <c r="Q81" i="4" a="1"/>
  <c r="R83" i="4" a="1"/>
  <c r="T86" i="4" a="1"/>
  <c r="U88" i="4" a="1"/>
  <c r="Q93" i="4" a="1"/>
  <c r="R95" i="4" a="1"/>
  <c r="T98" i="4" a="1"/>
  <c r="U100" i="4" a="1"/>
  <c r="Q105" i="4" a="1"/>
  <c r="R107" i="4" a="1"/>
  <c r="U27" i="4" a="1"/>
  <c r="Q32" i="4" a="1"/>
  <c r="R34" i="4" a="1"/>
  <c r="T37" i="4" a="1"/>
  <c r="U39" i="4" a="1"/>
  <c r="Q44" i="4" a="1"/>
  <c r="R46" i="4" a="1"/>
  <c r="T49" i="4" a="1"/>
  <c r="U51" i="4" a="1"/>
  <c r="Q56" i="4" a="1"/>
  <c r="R58" i="4" a="1"/>
  <c r="T61" i="4" a="1"/>
  <c r="U63" i="4" a="1"/>
  <c r="Q68" i="4" a="1"/>
  <c r="R70" i="4" a="1"/>
  <c r="T73" i="4" a="1"/>
  <c r="U75" i="4" a="1"/>
  <c r="Q80" i="4" a="1"/>
  <c r="R82" i="4" a="1"/>
  <c r="T85" i="4" a="1"/>
  <c r="U87" i="4" a="1"/>
  <c r="Q92" i="4" a="1"/>
  <c r="R94" i="4" a="1"/>
  <c r="T97" i="4" a="1"/>
  <c r="U99" i="4" a="1"/>
  <c r="Q104" i="4" a="1"/>
  <c r="R106" i="4" a="1"/>
  <c r="T109" i="4" a="1"/>
  <c r="U111" i="4" a="1"/>
  <c r="Q116" i="4" a="1"/>
  <c r="Q31" i="4" a="1"/>
  <c r="R33" i="4" a="1"/>
  <c r="T36" i="4" a="1"/>
  <c r="U38" i="4" a="1"/>
  <c r="Q43" i="4" a="1"/>
  <c r="Q30" i="4" a="1"/>
  <c r="R32" i="4" a="1"/>
  <c r="T35" i="4" a="1"/>
  <c r="U37" i="4" a="1"/>
  <c r="Q42" i="4" a="1"/>
  <c r="R44" i="4" a="1"/>
  <c r="T47" i="4" a="1"/>
  <c r="U49" i="4" a="1"/>
  <c r="Q54" i="4" a="1"/>
  <c r="R56" i="4" a="1"/>
  <c r="T59" i="4" a="1"/>
  <c r="U61" i="4" a="1"/>
  <c r="Q66" i="4" a="1"/>
  <c r="R68" i="4" a="1"/>
  <c r="T71" i="4" a="1"/>
  <c r="U73" i="4" a="1"/>
  <c r="Q78" i="4" a="1"/>
  <c r="R80" i="4" a="1"/>
  <c r="Q29" i="4" a="1"/>
  <c r="T34" i="4" a="1"/>
  <c r="Q41" i="4" a="1"/>
  <c r="T52" i="4" a="1"/>
  <c r="R55" i="4" a="1"/>
  <c r="R60" i="4" a="1"/>
  <c r="U62" i="4" a="1"/>
  <c r="R67" i="4" a="1"/>
  <c r="U69" i="4" a="1"/>
  <c r="R81" i="4" a="1"/>
  <c r="R85" i="4" a="1"/>
  <c r="Q89" i="4" a="1"/>
  <c r="R96" i="4" a="1"/>
  <c r="U101" i="4" a="1"/>
  <c r="R105" i="4" a="1"/>
  <c r="T108" i="4" a="1"/>
  <c r="T123" i="4" a="1"/>
  <c r="U124" i="4" a="1"/>
  <c r="Q127" i="4" a="1"/>
  <c r="R128" i="4" a="1"/>
  <c r="T91" i="4" a="1"/>
  <c r="T105" i="4" a="1"/>
  <c r="R120" i="4" a="1"/>
  <c r="T128" i="4" a="1"/>
  <c r="U129" i="4" a="1"/>
  <c r="Q132" i="4" a="1"/>
  <c r="U98" i="4" a="1"/>
  <c r="T107" i="4" a="1"/>
  <c r="Q118" i="4" a="1"/>
  <c r="R126" i="4" a="1"/>
  <c r="Q131" i="4" a="1"/>
  <c r="R49" i="4" a="1"/>
  <c r="T55" i="4" a="1"/>
  <c r="T60" i="4" a="1"/>
  <c r="Q65" i="4" a="1"/>
  <c r="T67" i="4" a="1"/>
  <c r="Q79" i="4" a="1"/>
  <c r="R91" i="4" a="1"/>
  <c r="T96" i="4" a="1"/>
  <c r="Q98" i="4" a="1"/>
  <c r="T70" i="4" a="1"/>
  <c r="T100" i="4" a="1"/>
  <c r="Q113" i="4" a="1"/>
  <c r="U122" i="4" a="1"/>
  <c r="U115" i="4" a="1"/>
  <c r="U93" i="4" a="1"/>
  <c r="U102" i="4" a="1"/>
  <c r="U107" i="4" a="1"/>
  <c r="Q117" i="4" a="1"/>
  <c r="U121" i="4" a="1"/>
  <c r="R131" i="4" a="1"/>
  <c r="T58" i="4" a="1"/>
  <c r="U60" i="4" a="1"/>
  <c r="Q70" i="4" a="1"/>
  <c r="R72" i="4" a="1"/>
  <c r="U74" i="4" a="1"/>
  <c r="R79" i="4" a="1"/>
  <c r="T83" i="4" a="1"/>
  <c r="R93" i="4" a="1"/>
  <c r="Q100" i="4" a="1"/>
  <c r="Q102" i="4" a="1"/>
  <c r="U108" i="4" a="1"/>
  <c r="Q110" i="4" a="1"/>
  <c r="T111" i="4" a="1"/>
  <c r="Q119" i="4" a="1"/>
  <c r="T122" i="4" a="1"/>
  <c r="U123" i="4" a="1"/>
  <c r="Q126" i="4" a="1"/>
  <c r="R127" i="4" a="1"/>
  <c r="Q53" i="4" a="1"/>
  <c r="T72" i="4" a="1"/>
  <c r="Q77" i="4" a="1"/>
  <c r="T79" i="4" a="1"/>
  <c r="U81" i="4" a="1"/>
  <c r="T87" i="4" a="1"/>
  <c r="Q95" i="4" a="1"/>
  <c r="R110" i="4" a="1"/>
  <c r="T46" i="4" a="1"/>
  <c r="U85" i="4" a="1"/>
  <c r="U36" i="4" a="1"/>
  <c r="R43" i="4" a="1"/>
  <c r="R61" i="4" a="1"/>
  <c r="U65" i="4" a="1"/>
  <c r="Q47" i="4" a="1"/>
  <c r="Q59" i="4" a="1"/>
  <c r="T63" i="4" a="1"/>
  <c r="Q82" i="4" a="1"/>
  <c r="Q71" i="4" a="1"/>
  <c r="T75" i="4" a="1"/>
  <c r="R84" i="4" a="1"/>
  <c r="R88" i="4" a="1"/>
  <c r="U110" i="4" a="1"/>
  <c r="Q112" i="4" a="1"/>
  <c r="U114" i="4" a="1"/>
  <c r="T119" i="4" a="1"/>
  <c r="T110" i="4" a="1"/>
  <c r="R125" i="4" a="1"/>
  <c r="R64" i="4" a="1"/>
  <c r="U66" i="4" a="1"/>
  <c r="T82" i="4" a="1"/>
  <c r="T84" i="4" a="1"/>
  <c r="T88" i="4" a="1"/>
  <c r="U90" i="4" a="1"/>
  <c r="R92" i="4" a="1"/>
  <c r="Q94" i="4" a="1"/>
  <c r="U95" i="4" a="1"/>
  <c r="Q101" i="4" a="1"/>
  <c r="T113" i="4" a="1"/>
  <c r="R117" i="4" a="1"/>
  <c r="U120" i="4" a="1"/>
  <c r="Q123" i="4" a="1"/>
  <c r="R124" i="4" a="1"/>
  <c r="T125" i="4" a="1"/>
  <c r="U126" i="4" a="1"/>
  <c r="Q129" i="4" a="1"/>
  <c r="R130" i="4" a="1"/>
  <c r="T132" i="4" a="1"/>
  <c r="T118" i="4" a="1"/>
  <c r="U119" i="4" a="1"/>
  <c r="T131" i="4" a="1"/>
  <c r="Q107" i="4" a="1"/>
  <c r="T116" i="4" a="1"/>
  <c r="U117" i="4" a="1"/>
  <c r="Q120" i="4" a="1"/>
  <c r="R121" i="4" a="1"/>
  <c r="T129" i="4" a="1"/>
  <c r="U130" i="4" a="1"/>
  <c r="U89" i="4" a="1"/>
  <c r="U96" i="4" a="1"/>
  <c r="R100" i="4" a="1"/>
  <c r="R114" i="4" a="1"/>
  <c r="Q106" i="4" a="1"/>
  <c r="R113" i="4" a="1"/>
  <c r="T120" i="4" a="1"/>
  <c r="Q130" i="4" a="1"/>
  <c r="U54" i="4" a="1"/>
  <c r="R57" i="4" a="1"/>
  <c r="Q62" i="4" a="1"/>
  <c r="T64" i="4" a="1"/>
  <c r="U86" i="4" a="1"/>
  <c r="U97" i="4" a="1"/>
  <c r="Q103" i="4" a="1"/>
  <c r="T106" i="4" a="1"/>
  <c r="R112" i="4" a="1"/>
  <c r="R102" i="4" a="1"/>
  <c r="R119" i="4" a="1"/>
  <c r="Q125" i="4" a="1"/>
  <c r="Q90" i="4" a="1"/>
  <c r="T93" i="4" a="1"/>
  <c r="T127" i="4" a="1"/>
  <c r="R132" i="4" a="1"/>
  <c r="R31" i="4" a="1"/>
  <c r="U50" i="4" a="1"/>
  <c r="R73" i="4" a="1"/>
  <c r="U77" i="4" a="1"/>
  <c r="Q86" i="4" a="1"/>
  <c r="T95" i="4" a="1"/>
  <c r="R97" i="4" a="1"/>
  <c r="R104" i="4" a="1"/>
  <c r="R109" i="4" a="1"/>
  <c r="R118" i="4" a="1"/>
  <c r="Q124" i="4" a="1"/>
  <c r="U127" i="4" a="1"/>
  <c r="T48" i="4" a="1"/>
  <c r="R69" i="4" a="1"/>
  <c r="R76" i="4" a="1"/>
  <c r="U78" i="4" a="1"/>
  <c r="U84" i="4" a="1"/>
  <c r="T99" i="4" a="1"/>
  <c r="R108" i="4" a="1"/>
  <c r="U109" i="4" a="1"/>
  <c r="U113" i="4" a="1"/>
  <c r="R116" i="4" a="1"/>
  <c r="Q122" i="4" a="1"/>
  <c r="T124" i="4" a="1"/>
  <c r="U125" i="4" a="1"/>
  <c r="Q128" i="4" a="1"/>
  <c r="R129" i="4" a="1"/>
  <c r="U132" i="4" a="1"/>
  <c r="T103" i="4" a="1"/>
  <c r="R45" i="4" a="1"/>
  <c r="U48" i="4" a="1"/>
  <c r="Q55" i="4" a="1"/>
  <c r="U57" i="4" a="1"/>
  <c r="Q67" i="4" a="1"/>
  <c r="Q74" i="4" a="1"/>
  <c r="T76" i="4" a="1"/>
  <c r="Q83" i="4" a="1"/>
  <c r="Q91" i="4" a="1"/>
  <c r="T94" i="4" a="1"/>
  <c r="R103" i="4" a="1"/>
  <c r="T112" i="4" a="1"/>
  <c r="Q115" i="4" a="1"/>
  <c r="T117" i="4" a="1"/>
  <c r="U118" i="4" a="1"/>
  <c r="R122" i="4" a="1"/>
  <c r="T130" i="4" a="1"/>
  <c r="U131" i="4" a="1"/>
  <c r="U112" i="4" a="1"/>
  <c r="Q114" i="4" a="1"/>
  <c r="R115" i="4" a="1"/>
  <c r="U72" i="4" a="1"/>
  <c r="U105" i="4" a="1"/>
  <c r="T115" i="4" a="1"/>
  <c r="T121" i="4" a="1"/>
  <c r="T5" i="4" a="1"/>
  <c r="T11" i="4" a="1"/>
  <c r="T17" i="4" a="1"/>
  <c r="T23" i="4" a="1"/>
  <c r="U4" i="4" a="1"/>
  <c r="U10" i="4" a="1"/>
  <c r="U16" i="4" a="1"/>
  <c r="U22" i="4" a="1"/>
  <c r="Q23" i="4" a="1"/>
  <c r="Q2" i="4" a="1"/>
  <c r="Q8" i="4" a="1"/>
  <c r="Q14" i="4" a="1"/>
  <c r="Q20" i="4" a="1"/>
  <c r="Q26" i="4" a="1"/>
  <c r="R7" i="4" a="1"/>
  <c r="R13" i="4" a="1"/>
  <c r="R19" i="4" a="1"/>
  <c r="R25" i="4" a="1"/>
  <c r="R4" i="4" a="1"/>
  <c r="U14" i="4" a="1"/>
  <c r="T6" i="4" a="1"/>
  <c r="T12" i="4" a="1"/>
  <c r="T18" i="4" a="1"/>
  <c r="T24" i="4" a="1"/>
  <c r="U5" i="4" a="1"/>
  <c r="U11" i="4" a="1"/>
  <c r="U17" i="4" a="1"/>
  <c r="U23" i="4" a="1"/>
  <c r="R21" i="4" a="1"/>
  <c r="U8" i="4" a="1"/>
  <c r="Q3" i="4" a="1"/>
  <c r="Q9" i="4" a="1"/>
  <c r="Q15" i="4" a="1"/>
  <c r="Q21" i="4" a="1"/>
  <c r="R2" i="4" a="1"/>
  <c r="R8" i="4" a="1"/>
  <c r="R14" i="4" a="1"/>
  <c r="R20" i="4" a="1"/>
  <c r="R26" i="4" a="1"/>
  <c r="R15" i="4" a="1"/>
  <c r="T7" i="4" a="1"/>
  <c r="T13" i="4" a="1"/>
  <c r="T19" i="4" a="1"/>
  <c r="T25" i="4" a="1"/>
  <c r="U6" i="4" a="1"/>
  <c r="U12" i="4" a="1"/>
  <c r="U18" i="4" a="1"/>
  <c r="U24" i="4" a="1"/>
  <c r="R22" i="4" a="1"/>
  <c r="Q4" i="4" a="1"/>
  <c r="Q10" i="4" a="1"/>
  <c r="Q16" i="4" a="1"/>
  <c r="Q22" i="4" a="1"/>
  <c r="R3" i="4" a="1"/>
  <c r="R9" i="4" a="1"/>
  <c r="U9" i="4" a="1"/>
  <c r="T2" i="4" a="1"/>
  <c r="T8" i="4" a="1"/>
  <c r="T14" i="4" a="1"/>
  <c r="T20" i="4" a="1"/>
  <c r="T26" i="4" a="1"/>
  <c r="U7" i="4" a="1"/>
  <c r="U13" i="4" a="1"/>
  <c r="U19" i="4" a="1"/>
  <c r="U25" i="4" a="1"/>
  <c r="R10" i="4" a="1"/>
  <c r="Q5" i="4" a="1"/>
  <c r="Q11" i="4" a="1"/>
  <c r="Q17" i="4" a="1"/>
  <c r="R16" i="4" a="1"/>
  <c r="U20" i="4" a="1"/>
  <c r="U26" i="4" a="1"/>
  <c r="T22" i="4" a="1"/>
  <c r="U3" i="4" a="1"/>
  <c r="U15" i="4" a="1"/>
  <c r="U21" i="4" a="1"/>
  <c r="T3" i="4" a="1"/>
  <c r="T9" i="4" a="1"/>
  <c r="T15" i="4" a="1"/>
  <c r="T21" i="4" a="1"/>
  <c r="U2" i="4" a="1"/>
  <c r="Q6" i="4" a="1"/>
  <c r="Q12" i="4" a="1"/>
  <c r="Q18" i="4" a="1"/>
  <c r="Q24" i="4" a="1"/>
  <c r="R5" i="4" a="1"/>
  <c r="R11" i="4" a="1"/>
  <c r="R17" i="4" a="1"/>
  <c r="R23" i="4" a="1"/>
  <c r="T16" i="4" a="1"/>
  <c r="T4" i="4" a="1"/>
  <c r="T10" i="4" a="1"/>
  <c r="R24" i="4" a="1"/>
  <c r="Q7" i="4" a="1"/>
  <c r="Q13" i="4" a="1"/>
  <c r="Q19" i="4" a="1"/>
  <c r="Q25" i="4" a="1"/>
  <c r="R6" i="4" a="1"/>
  <c r="R12" i="4" a="1"/>
  <c r="R18" i="4" a="1"/>
  <c r="Q11" i="3" a="1"/>
  <c r="R13" i="3" a="1"/>
  <c r="T16" i="3" a="1"/>
  <c r="U18" i="3" a="1"/>
  <c r="Q23" i="3" a="1"/>
  <c r="R25" i="3" a="1"/>
  <c r="T28" i="3" a="1"/>
  <c r="U30" i="3" a="1"/>
  <c r="Q35" i="3" a="1"/>
  <c r="R37" i="3" a="1"/>
  <c r="T40" i="3" a="1"/>
  <c r="U42" i="3" a="1"/>
  <c r="Q47" i="3" a="1"/>
  <c r="R49" i="3" a="1"/>
  <c r="T52" i="3" a="1"/>
  <c r="U54" i="3" a="1"/>
  <c r="Q59" i="3" a="1"/>
  <c r="R61" i="3" a="1"/>
  <c r="T64" i="3" a="1"/>
  <c r="U66" i="3" a="1"/>
  <c r="Q71" i="3" a="1"/>
  <c r="R73" i="3" a="1"/>
  <c r="T76" i="3" a="1"/>
  <c r="U78" i="3" a="1"/>
  <c r="Q83" i="3" a="1"/>
  <c r="R85" i="3" a="1"/>
  <c r="T88" i="3" a="1"/>
  <c r="U90" i="3" a="1"/>
  <c r="Q95" i="3" a="1"/>
  <c r="R97" i="3" a="1"/>
  <c r="T100" i="3" a="1"/>
  <c r="U102" i="3" a="1"/>
  <c r="Q107" i="3" a="1"/>
  <c r="R109" i="3" a="1"/>
  <c r="T99" i="3" a="1"/>
  <c r="U101" i="3" a="1"/>
  <c r="Q106" i="3" a="1"/>
  <c r="Q56" i="3" a="1"/>
  <c r="Q10" i="3" a="1"/>
  <c r="R12" i="3" a="1"/>
  <c r="T15" i="3" a="1"/>
  <c r="U17" i="3" a="1"/>
  <c r="Q22" i="3" a="1"/>
  <c r="R24" i="3" a="1"/>
  <c r="T27" i="3" a="1"/>
  <c r="U29" i="3" a="1"/>
  <c r="Q34" i="3" a="1"/>
  <c r="R36" i="3" a="1"/>
  <c r="T39" i="3" a="1"/>
  <c r="U41" i="3" a="1"/>
  <c r="Q46" i="3" a="1"/>
  <c r="R48" i="3" a="1"/>
  <c r="T51" i="3" a="1"/>
  <c r="U53" i="3" a="1"/>
  <c r="Q58" i="3" a="1"/>
  <c r="R60" i="3" a="1"/>
  <c r="T63" i="3" a="1"/>
  <c r="U65" i="3" a="1"/>
  <c r="Q70" i="3" a="1"/>
  <c r="R72" i="3" a="1"/>
  <c r="T75" i="3" a="1"/>
  <c r="U77" i="3" a="1"/>
  <c r="R11" i="3" a="1"/>
  <c r="T14" i="3" a="1"/>
  <c r="U16" i="3" a="1"/>
  <c r="Q21" i="3" a="1"/>
  <c r="R23" i="3" a="1"/>
  <c r="T26" i="3" a="1"/>
  <c r="U28" i="3" a="1"/>
  <c r="Q33" i="3" a="1"/>
  <c r="R35" i="3" a="1"/>
  <c r="T38" i="3" a="1"/>
  <c r="U40" i="3" a="1"/>
  <c r="Q45" i="3" a="1"/>
  <c r="R47" i="3" a="1"/>
  <c r="T50" i="3" a="1"/>
  <c r="U52" i="3" a="1"/>
  <c r="Q57" i="3" a="1"/>
  <c r="R59" i="3" a="1"/>
  <c r="T62" i="3" a="1"/>
  <c r="U64" i="3" a="1"/>
  <c r="Q69" i="3" a="1"/>
  <c r="R71" i="3" a="1"/>
  <c r="T74" i="3" a="1"/>
  <c r="U76" i="3" a="1"/>
  <c r="Q81" i="3" a="1"/>
  <c r="R83" i="3" a="1"/>
  <c r="T86" i="3" a="1"/>
  <c r="U88" i="3" a="1"/>
  <c r="Q93" i="3" a="1"/>
  <c r="R95" i="3" a="1"/>
  <c r="T98" i="3" a="1"/>
  <c r="U100" i="3" a="1"/>
  <c r="Q105" i="3" a="1"/>
  <c r="R107" i="3" a="1"/>
  <c r="R46" i="3" a="1"/>
  <c r="T49" i="3" a="1"/>
  <c r="U51" i="3" a="1"/>
  <c r="R58" i="3" a="1"/>
  <c r="T61" i="3" a="1"/>
  <c r="U63" i="3" a="1"/>
  <c r="R10" i="3" a="1"/>
  <c r="T13" i="3" a="1"/>
  <c r="U15" i="3" a="1"/>
  <c r="Q20" i="3" a="1"/>
  <c r="R22" i="3" a="1"/>
  <c r="T25" i="3" a="1"/>
  <c r="U27" i="3" a="1"/>
  <c r="Q32" i="3" a="1"/>
  <c r="R34" i="3" a="1"/>
  <c r="T37" i="3" a="1"/>
  <c r="U39" i="3" a="1"/>
  <c r="Q44" i="3" a="1"/>
  <c r="T12" i="3" a="1"/>
  <c r="U14" i="3" a="1"/>
  <c r="Q19" i="3" a="1"/>
  <c r="R21" i="3" a="1"/>
  <c r="T24" i="3" a="1"/>
  <c r="U26" i="3" a="1"/>
  <c r="Q31" i="3" a="1"/>
  <c r="R33" i="3" a="1"/>
  <c r="T36" i="3" a="1"/>
  <c r="U38" i="3" a="1"/>
  <c r="Q43" i="3" a="1"/>
  <c r="R45" i="3" a="1"/>
  <c r="T48" i="3" a="1"/>
  <c r="U50" i="3" a="1"/>
  <c r="Q55" i="3" a="1"/>
  <c r="R57" i="3" a="1"/>
  <c r="T60" i="3" a="1"/>
  <c r="U62" i="3" a="1"/>
  <c r="Q67" i="3" a="1"/>
  <c r="R69" i="3" a="1"/>
  <c r="T72" i="3" a="1"/>
  <c r="U74" i="3" a="1"/>
  <c r="Q79" i="3" a="1"/>
  <c r="R81" i="3" a="1"/>
  <c r="T84" i="3" a="1"/>
  <c r="U86" i="3" a="1"/>
  <c r="Q91" i="3" a="1"/>
  <c r="R93" i="3" a="1"/>
  <c r="T96" i="3" a="1"/>
  <c r="U98" i="3" a="1"/>
  <c r="Q103" i="3" a="1"/>
  <c r="R105" i="3" a="1"/>
  <c r="T108" i="3" a="1"/>
  <c r="U73" i="3" a="1"/>
  <c r="Q78" i="3" a="1"/>
  <c r="R80" i="3" a="1"/>
  <c r="T83" i="3" a="1"/>
  <c r="T11" i="3" a="1"/>
  <c r="U13" i="3" a="1"/>
  <c r="Q18" i="3" a="1"/>
  <c r="R20" i="3" a="1"/>
  <c r="T23" i="3" a="1"/>
  <c r="U25" i="3" a="1"/>
  <c r="Q30" i="3" a="1"/>
  <c r="R32" i="3" a="1"/>
  <c r="T35" i="3" a="1"/>
  <c r="U37" i="3" a="1"/>
  <c r="Q42" i="3" a="1"/>
  <c r="R44" i="3" a="1"/>
  <c r="T47" i="3" a="1"/>
  <c r="U49" i="3" a="1"/>
  <c r="Q54" i="3" a="1"/>
  <c r="R56" i="3" a="1"/>
  <c r="T59" i="3" a="1"/>
  <c r="U61" i="3" a="1"/>
  <c r="Q66" i="3" a="1"/>
  <c r="R68" i="3" a="1"/>
  <c r="T71" i="3" a="1"/>
  <c r="T10" i="3" a="1"/>
  <c r="U12" i="3" a="1"/>
  <c r="Q17" i="3" a="1"/>
  <c r="R19" i="3" a="1"/>
  <c r="T22" i="3" a="1"/>
  <c r="U24" i="3" a="1"/>
  <c r="Q29" i="3" a="1"/>
  <c r="R31" i="3" a="1"/>
  <c r="T34" i="3" a="1"/>
  <c r="U36" i="3" a="1"/>
  <c r="Q41" i="3" a="1"/>
  <c r="R43" i="3" a="1"/>
  <c r="T46" i="3" a="1"/>
  <c r="U48" i="3" a="1"/>
  <c r="Q53" i="3" a="1"/>
  <c r="R55" i="3" a="1"/>
  <c r="T58" i="3" a="1"/>
  <c r="U60" i="3" a="1"/>
  <c r="Q65" i="3" a="1"/>
  <c r="R67" i="3" a="1"/>
  <c r="T70" i="3" a="1"/>
  <c r="U72" i="3" a="1"/>
  <c r="Q77" i="3" a="1"/>
  <c r="R79" i="3" a="1"/>
  <c r="T82" i="3" a="1"/>
  <c r="U84" i="3" a="1"/>
  <c r="Q89" i="3" a="1"/>
  <c r="R91" i="3" a="1"/>
  <c r="T94" i="3" a="1"/>
  <c r="U96" i="3" a="1"/>
  <c r="Q101" i="3" a="1"/>
  <c r="R103" i="3" a="1"/>
  <c r="U11" i="3" a="1"/>
  <c r="Q16" i="3" a="1"/>
  <c r="R18" i="3" a="1"/>
  <c r="T21" i="3" a="1"/>
  <c r="U23" i="3" a="1"/>
  <c r="Q28" i="3" a="1"/>
  <c r="R30" i="3" a="1"/>
  <c r="T33" i="3" a="1"/>
  <c r="U35" i="3" a="1"/>
  <c r="Q40" i="3" a="1"/>
  <c r="R42" i="3" a="1"/>
  <c r="T45" i="3" a="1"/>
  <c r="U47" i="3" a="1"/>
  <c r="Q52" i="3" a="1"/>
  <c r="R54" i="3" a="1"/>
  <c r="T57" i="3" a="1"/>
  <c r="U59" i="3" a="1"/>
  <c r="Q64" i="3" a="1"/>
  <c r="R66" i="3" a="1"/>
  <c r="T69" i="3" a="1"/>
  <c r="U71" i="3" a="1"/>
  <c r="Q76" i="3" a="1"/>
  <c r="R78" i="3" a="1"/>
  <c r="T81" i="3" a="1"/>
  <c r="U83" i="3" a="1"/>
  <c r="Q88" i="3" a="1"/>
  <c r="R90" i="3" a="1"/>
  <c r="T93" i="3" a="1"/>
  <c r="U95" i="3" a="1"/>
  <c r="Q100" i="3" a="1"/>
  <c r="R102" i="3" a="1"/>
  <c r="T105" i="3" a="1"/>
  <c r="U107" i="3" a="1"/>
  <c r="R77" i="3" a="1"/>
  <c r="U10" i="3" a="1"/>
  <c r="Q15" i="3" a="1"/>
  <c r="R17" i="3" a="1"/>
  <c r="T20" i="3" a="1"/>
  <c r="U22" i="3" a="1"/>
  <c r="Q27" i="3" a="1"/>
  <c r="R29" i="3" a="1"/>
  <c r="T32" i="3" a="1"/>
  <c r="U34" i="3" a="1"/>
  <c r="Q39" i="3" a="1"/>
  <c r="R41" i="3" a="1"/>
  <c r="T44" i="3" a="1"/>
  <c r="U46" i="3" a="1"/>
  <c r="Q51" i="3" a="1"/>
  <c r="R53" i="3" a="1"/>
  <c r="T56" i="3" a="1"/>
  <c r="U58" i="3" a="1"/>
  <c r="Q63" i="3" a="1"/>
  <c r="R65" i="3" a="1"/>
  <c r="T68" i="3" a="1"/>
  <c r="U70" i="3" a="1"/>
  <c r="Q75" i="3" a="1"/>
  <c r="T80" i="3" a="1"/>
  <c r="Q14" i="3" a="1"/>
  <c r="R16" i="3" a="1"/>
  <c r="T19" i="3" a="1"/>
  <c r="U21" i="3" a="1"/>
  <c r="Q26" i="3" a="1"/>
  <c r="R28" i="3" a="1"/>
  <c r="T31" i="3" a="1"/>
  <c r="U33" i="3" a="1"/>
  <c r="Q38" i="3" a="1"/>
  <c r="R40" i="3" a="1"/>
  <c r="T43" i="3" a="1"/>
  <c r="U45" i="3" a="1"/>
  <c r="Q50" i="3" a="1"/>
  <c r="R52" i="3" a="1"/>
  <c r="T55" i="3" a="1"/>
  <c r="U57" i="3" a="1"/>
  <c r="Q62" i="3" a="1"/>
  <c r="R64" i="3" a="1"/>
  <c r="T67" i="3" a="1"/>
  <c r="U69" i="3" a="1"/>
  <c r="Q74" i="3" a="1"/>
  <c r="R76" i="3" a="1"/>
  <c r="T79" i="3" a="1"/>
  <c r="U81" i="3" a="1"/>
  <c r="Q86" i="3" a="1"/>
  <c r="R88" i="3" a="1"/>
  <c r="T91" i="3" a="1"/>
  <c r="U93" i="3" a="1"/>
  <c r="Q98" i="3" a="1"/>
  <c r="R100" i="3" a="1"/>
  <c r="T103" i="3" a="1"/>
  <c r="U105" i="3" a="1"/>
  <c r="Q82" i="3" a="1"/>
  <c r="T87" i="3" a="1"/>
  <c r="R96" i="3" a="1"/>
  <c r="R70" i="3" a="1"/>
  <c r="U75" i="3" a="1"/>
  <c r="R82" i="3" a="1"/>
  <c r="Q13" i="3" a="1"/>
  <c r="R15" i="3" a="1"/>
  <c r="T18" i="3" a="1"/>
  <c r="U20" i="3" a="1"/>
  <c r="Q25" i="3" a="1"/>
  <c r="R27" i="3" a="1"/>
  <c r="T30" i="3" a="1"/>
  <c r="U32" i="3" a="1"/>
  <c r="Q37" i="3" a="1"/>
  <c r="R39" i="3" a="1"/>
  <c r="T42" i="3" a="1"/>
  <c r="U44" i="3" a="1"/>
  <c r="Q49" i="3" a="1"/>
  <c r="R51" i="3" a="1"/>
  <c r="T54" i="3" a="1"/>
  <c r="U56" i="3" a="1"/>
  <c r="Q61" i="3" a="1"/>
  <c r="R63" i="3" a="1"/>
  <c r="T66" i="3" a="1"/>
  <c r="U68" i="3" a="1"/>
  <c r="Q73" i="3" a="1"/>
  <c r="R75" i="3" a="1"/>
  <c r="T78" i="3" a="1"/>
  <c r="U80" i="3" a="1"/>
  <c r="Q85" i="3" a="1"/>
  <c r="R87" i="3" a="1"/>
  <c r="T90" i="3" a="1"/>
  <c r="U92" i="3" a="1"/>
  <c r="Q97" i="3" a="1"/>
  <c r="R99" i="3" a="1"/>
  <c r="T102" i="3" a="1"/>
  <c r="U104" i="3" a="1"/>
  <c r="Q109" i="3" a="1"/>
  <c r="U89" i="3" a="1"/>
  <c r="R108" i="3" a="1"/>
  <c r="Q68" i="3" a="1"/>
  <c r="Q12" i="3" a="1"/>
  <c r="R14" i="3" a="1"/>
  <c r="T17" i="3" a="1"/>
  <c r="U19" i="3" a="1"/>
  <c r="Q24" i="3" a="1"/>
  <c r="R26" i="3" a="1"/>
  <c r="T29" i="3" a="1"/>
  <c r="U31" i="3" a="1"/>
  <c r="Q36" i="3" a="1"/>
  <c r="R38" i="3" a="1"/>
  <c r="T41" i="3" a="1"/>
  <c r="U43" i="3" a="1"/>
  <c r="Q48" i="3" a="1"/>
  <c r="R50" i="3" a="1"/>
  <c r="T53" i="3" a="1"/>
  <c r="U55" i="3" a="1"/>
  <c r="Q60" i="3" a="1"/>
  <c r="R62" i="3" a="1"/>
  <c r="T65" i="3" a="1"/>
  <c r="U67" i="3" a="1"/>
  <c r="Q72" i="3" a="1"/>
  <c r="R74" i="3" a="1"/>
  <c r="T77" i="3" a="1"/>
  <c r="U79" i="3" a="1"/>
  <c r="Q84" i="3" a="1"/>
  <c r="R86" i="3" a="1"/>
  <c r="T89" i="3" a="1"/>
  <c r="U91" i="3" a="1"/>
  <c r="Q96" i="3" a="1"/>
  <c r="R98" i="3" a="1"/>
  <c r="T101" i="3" a="1"/>
  <c r="U103" i="3" a="1"/>
  <c r="Q108" i="3" a="1"/>
  <c r="R84" i="3" a="1"/>
  <c r="Q94" i="3" a="1"/>
  <c r="T73" i="3" a="1"/>
  <c r="Q80" i="3" a="1"/>
  <c r="R106" i="3" a="1"/>
  <c r="U108" i="3" a="1"/>
  <c r="U106" i="3" a="1"/>
  <c r="T109" i="3" a="1"/>
  <c r="R94" i="3" a="1"/>
  <c r="U97" i="3" a="1"/>
  <c r="Q92" i="3" a="1"/>
  <c r="U99" i="3" a="1"/>
  <c r="R104" i="3" a="1"/>
  <c r="Q87" i="3" a="1"/>
  <c r="T97" i="3" a="1"/>
  <c r="U87" i="3" a="1"/>
  <c r="T104" i="3" a="1"/>
  <c r="R92" i="3" a="1"/>
  <c r="Q99" i="3" a="1"/>
  <c r="U85" i="3" a="1"/>
  <c r="U82" i="3" a="1"/>
  <c r="Q90" i="3" a="1"/>
  <c r="Q104" i="3" a="1"/>
  <c r="T106" i="3" a="1"/>
  <c r="U109" i="3" a="1"/>
  <c r="R101" i="3" a="1"/>
  <c r="T95" i="3" a="1"/>
  <c r="T92" i="3" a="1"/>
  <c r="U94" i="3" a="1"/>
  <c r="T107" i="3" a="1"/>
  <c r="Q102" i="3" a="1"/>
  <c r="T85" i="3" a="1"/>
  <c r="R89" i="3" a="1"/>
  <c r="Q4" i="3" a="1"/>
  <c r="R2" i="3" a="1"/>
  <c r="R8" i="3" a="1"/>
  <c r="T2" i="3" a="1"/>
  <c r="T8" i="3" a="1"/>
  <c r="U6" i="3" a="1"/>
  <c r="R4" i="3" a="1"/>
  <c r="U4" i="3" a="1"/>
  <c r="R7" i="3" a="1"/>
  <c r="T7" i="3" a="1"/>
  <c r="T4" i="3" a="1"/>
  <c r="Q3" i="3" a="1"/>
  <c r="Q5" i="3" a="1"/>
  <c r="R3" i="3" a="1"/>
  <c r="R9" i="3" a="1"/>
  <c r="T3" i="3" a="1"/>
  <c r="T9" i="3" a="1"/>
  <c r="U7" i="3" a="1"/>
  <c r="Q6" i="3" a="1"/>
  <c r="U8" i="3" a="1"/>
  <c r="T6" i="3" a="1"/>
  <c r="Q9" i="3" a="1"/>
  <c r="U2" i="3" a="1"/>
  <c r="Q7" i="3" a="1"/>
  <c r="R5" i="3" a="1"/>
  <c r="T5" i="3" a="1"/>
  <c r="U3" i="3" a="1"/>
  <c r="U9" i="3" a="1"/>
  <c r="Q2" i="3" a="1"/>
  <c r="R6" i="3" a="1"/>
  <c r="U5" i="3" a="1"/>
  <c r="Q8" i="3" a="1"/>
  <c r="T56" i="10" l="1"/>
  <c r="U47" i="10"/>
  <c r="T33" i="10"/>
  <c r="U49" i="10"/>
  <c r="Q42" i="10"/>
  <c r="T35" i="10"/>
  <c r="Q30" i="10"/>
  <c r="S30" i="10" s="1"/>
  <c r="U51" i="10"/>
  <c r="R46" i="10"/>
  <c r="U53" i="10"/>
  <c r="T51" i="10"/>
  <c r="R48" i="10"/>
  <c r="Q46" i="10"/>
  <c r="U41" i="10"/>
  <c r="T39" i="10"/>
  <c r="R36" i="10"/>
  <c r="Q34" i="10"/>
  <c r="U29" i="10"/>
  <c r="T27" i="10"/>
  <c r="R24" i="10"/>
  <c r="Q22" i="10"/>
  <c r="Q52" i="10"/>
  <c r="S52" i="10" s="1"/>
  <c r="V52" i="10" s="1"/>
  <c r="R42" i="10"/>
  <c r="Q54" i="10"/>
  <c r="S54" i="10" s="1"/>
  <c r="V54" i="10" s="1"/>
  <c r="T47" i="10"/>
  <c r="U37" i="10"/>
  <c r="R32" i="10"/>
  <c r="Q56" i="10"/>
  <c r="S56" i="10" s="1"/>
  <c r="U39" i="10"/>
  <c r="U54" i="10"/>
  <c r="T52" i="10"/>
  <c r="R49" i="10"/>
  <c r="Q47" i="10"/>
  <c r="U42" i="10"/>
  <c r="T40" i="10"/>
  <c r="R37" i="10"/>
  <c r="Q35" i="10"/>
  <c r="U30" i="10"/>
  <c r="T28" i="10"/>
  <c r="R25" i="10"/>
  <c r="Q23" i="10"/>
  <c r="Q24" i="10"/>
  <c r="S24" i="10" s="1"/>
  <c r="U56" i="10"/>
  <c r="T54" i="10"/>
  <c r="R51" i="10"/>
  <c r="Q49" i="10"/>
  <c r="S49" i="10" s="1"/>
  <c r="V49" i="10" s="1"/>
  <c r="U44" i="10"/>
  <c r="T42" i="10"/>
  <c r="R39" i="10"/>
  <c r="Q37" i="10"/>
  <c r="U32" i="10"/>
  <c r="T30" i="10"/>
  <c r="R27" i="10"/>
  <c r="Q25" i="10"/>
  <c r="S25" i="10" s="1"/>
  <c r="V25" i="10" s="1"/>
  <c r="U20" i="10"/>
  <c r="R54" i="10"/>
  <c r="T45" i="10"/>
  <c r="U35" i="10"/>
  <c r="Q28" i="10"/>
  <c r="S28" i="10" s="1"/>
  <c r="V28" i="10" s="1"/>
  <c r="U55" i="10"/>
  <c r="T53" i="10"/>
  <c r="R50" i="10"/>
  <c r="Q48" i="10"/>
  <c r="U43" i="10"/>
  <c r="T41" i="10"/>
  <c r="R38" i="10"/>
  <c r="Q36" i="10"/>
  <c r="S36" i="10" s="1"/>
  <c r="U31" i="10"/>
  <c r="T29" i="10"/>
  <c r="R26" i="10"/>
  <c r="U57" i="10"/>
  <c r="T55" i="10"/>
  <c r="R52" i="10"/>
  <c r="Q50" i="10"/>
  <c r="S50" i="10" s="1"/>
  <c r="U45" i="10"/>
  <c r="T43" i="10"/>
  <c r="R40" i="10"/>
  <c r="Q38" i="10"/>
  <c r="S38" i="10" s="1"/>
  <c r="U33" i="10"/>
  <c r="T31" i="10"/>
  <c r="R28" i="10"/>
  <c r="Q26" i="10"/>
  <c r="S26" i="10" s="1"/>
  <c r="V26" i="10" s="1"/>
  <c r="U21" i="10"/>
  <c r="Q51" i="10"/>
  <c r="S51" i="10" s="1"/>
  <c r="V51" i="10" s="1"/>
  <c r="U46" i="10"/>
  <c r="T44" i="10"/>
  <c r="R41" i="10"/>
  <c r="Q39" i="10"/>
  <c r="S39" i="10" s="1"/>
  <c r="V39" i="10" s="1"/>
  <c r="U34" i="10"/>
  <c r="T32" i="10"/>
  <c r="R29" i="10"/>
  <c r="Q27" i="10"/>
  <c r="U22" i="10"/>
  <c r="T20" i="10"/>
  <c r="U23" i="10"/>
  <c r="T21" i="10"/>
  <c r="R53" i="10"/>
  <c r="R55" i="10"/>
  <c r="Q53" i="10"/>
  <c r="S53" i="10" s="1"/>
  <c r="U48" i="10"/>
  <c r="T46" i="10"/>
  <c r="R43" i="10"/>
  <c r="Q41" i="10"/>
  <c r="S41" i="10" s="1"/>
  <c r="V41" i="10" s="1"/>
  <c r="U36" i="10"/>
  <c r="T34" i="10"/>
  <c r="R31" i="10"/>
  <c r="Q29" i="10"/>
  <c r="S29" i="10" s="1"/>
  <c r="V29" i="10" s="1"/>
  <c r="U24" i="10"/>
  <c r="T22" i="10"/>
  <c r="U25" i="10"/>
  <c r="T23" i="10"/>
  <c r="R20" i="10"/>
  <c r="Q55" i="10"/>
  <c r="S55" i="10" s="1"/>
  <c r="U50" i="10"/>
  <c r="T48" i="10"/>
  <c r="R45" i="10"/>
  <c r="Q43" i="10"/>
  <c r="U38" i="10"/>
  <c r="T36" i="10"/>
  <c r="R33" i="10"/>
  <c r="Q31" i="10"/>
  <c r="U26" i="10"/>
  <c r="T24" i="10"/>
  <c r="R21" i="10"/>
  <c r="T37" i="10"/>
  <c r="R34" i="10"/>
  <c r="Q32" i="10"/>
  <c r="S32" i="10" s="1"/>
  <c r="V32" i="10" s="1"/>
  <c r="U27" i="10"/>
  <c r="T25" i="10"/>
  <c r="R22" i="10"/>
  <c r="Q20" i="10"/>
  <c r="S20" i="10" s="1"/>
  <c r="V20" i="10" s="1"/>
  <c r="T57" i="10"/>
  <c r="Q40" i="10"/>
  <c r="R30" i="10"/>
  <c r="R56" i="10"/>
  <c r="R44" i="10"/>
  <c r="R57" i="10"/>
  <c r="T49" i="10"/>
  <c r="Q44" i="10"/>
  <c r="S44" i="10" s="1"/>
  <c r="Q57" i="10"/>
  <c r="U52" i="10"/>
  <c r="T50" i="10"/>
  <c r="R47" i="10"/>
  <c r="Q45" i="10"/>
  <c r="S45" i="10" s="1"/>
  <c r="V45" i="10" s="1"/>
  <c r="U40" i="10"/>
  <c r="T38" i="10"/>
  <c r="R35" i="10"/>
  <c r="Q33" i="10"/>
  <c r="U28" i="10"/>
  <c r="T26" i="10"/>
  <c r="R23" i="10"/>
  <c r="Q21" i="10"/>
  <c r="U19" i="10"/>
  <c r="U13" i="10"/>
  <c r="U7" i="10"/>
  <c r="T19" i="10"/>
  <c r="T13" i="10"/>
  <c r="T7" i="10"/>
  <c r="R16" i="10"/>
  <c r="R10" i="10"/>
  <c r="R4" i="10"/>
  <c r="Q16" i="10"/>
  <c r="S16" i="10" s="1"/>
  <c r="V16" i="10" s="1"/>
  <c r="Q10" i="10"/>
  <c r="S10" i="10" s="1"/>
  <c r="V10" i="10" s="1"/>
  <c r="Q4" i="10"/>
  <c r="S4" i="10" s="1"/>
  <c r="V4" i="10" s="1"/>
  <c r="U2" i="10"/>
  <c r="U12" i="10"/>
  <c r="U6" i="10"/>
  <c r="T18" i="10"/>
  <c r="T12" i="10"/>
  <c r="T6" i="10"/>
  <c r="R15" i="10"/>
  <c r="R9" i="10"/>
  <c r="R3" i="10"/>
  <c r="Q15" i="10"/>
  <c r="S15" i="10" s="1"/>
  <c r="V15" i="10" s="1"/>
  <c r="Q9" i="10"/>
  <c r="S9" i="10" s="1"/>
  <c r="V9" i="10" s="1"/>
  <c r="Q3" i="10"/>
  <c r="S3" i="10" s="1"/>
  <c r="V3" i="10" s="1"/>
  <c r="U14" i="10"/>
  <c r="T14" i="10"/>
  <c r="U18" i="10"/>
  <c r="T17" i="10"/>
  <c r="T11" i="10"/>
  <c r="T5" i="10"/>
  <c r="R14" i="10"/>
  <c r="R8" i="10"/>
  <c r="R2" i="10"/>
  <c r="Q14" i="10"/>
  <c r="S14" i="10" s="1"/>
  <c r="V14" i="10" s="1"/>
  <c r="Q8" i="10"/>
  <c r="S8" i="10" s="1"/>
  <c r="V8" i="10" s="1"/>
  <c r="Q2" i="10"/>
  <c r="S2" i="10" s="1"/>
  <c r="V2" i="10" s="1"/>
  <c r="U16" i="10"/>
  <c r="U10" i="10"/>
  <c r="U4" i="10"/>
  <c r="T16" i="10"/>
  <c r="T10" i="10"/>
  <c r="T4" i="10"/>
  <c r="R19" i="10"/>
  <c r="R13" i="10"/>
  <c r="R7" i="10"/>
  <c r="Q19" i="10"/>
  <c r="S19" i="10" s="1"/>
  <c r="V19" i="10" s="1"/>
  <c r="Q13" i="10"/>
  <c r="S13" i="10" s="1"/>
  <c r="V13" i="10" s="1"/>
  <c r="Q7" i="10"/>
  <c r="S7" i="10" s="1"/>
  <c r="V7" i="10" s="1"/>
  <c r="U8" i="10"/>
  <c r="U17" i="10"/>
  <c r="U5" i="10"/>
  <c r="U15" i="10"/>
  <c r="U9" i="10"/>
  <c r="U3" i="10"/>
  <c r="T15" i="10"/>
  <c r="T9" i="10"/>
  <c r="T3" i="10"/>
  <c r="R18" i="10"/>
  <c r="R12" i="10"/>
  <c r="R6" i="10"/>
  <c r="Q18" i="10"/>
  <c r="Q12" i="10"/>
  <c r="Q6" i="10"/>
  <c r="U11" i="10"/>
  <c r="T8" i="10"/>
  <c r="T2" i="10"/>
  <c r="R17" i="10"/>
  <c r="R11" i="10"/>
  <c r="R5" i="10"/>
  <c r="Q17" i="10"/>
  <c r="S17" i="10" s="1"/>
  <c r="V17" i="10" s="1"/>
  <c r="Q11" i="10"/>
  <c r="S11" i="10" s="1"/>
  <c r="V11" i="10" s="1"/>
  <c r="Q5" i="10"/>
  <c r="S5" i="10" s="1"/>
  <c r="V5" i="10" s="1"/>
  <c r="T50" i="9"/>
  <c r="T57" i="9"/>
  <c r="R54" i="9"/>
  <c r="Q52" i="9"/>
  <c r="U47" i="9"/>
  <c r="T45" i="9"/>
  <c r="R42" i="9"/>
  <c r="Q40" i="9"/>
  <c r="S40" i="9" s="1"/>
  <c r="V40" i="9" s="1"/>
  <c r="U35" i="9"/>
  <c r="T33" i="9"/>
  <c r="R30" i="9"/>
  <c r="Q28" i="9"/>
  <c r="S28" i="9" s="1"/>
  <c r="V28" i="9" s="1"/>
  <c r="U23" i="9"/>
  <c r="T21" i="9"/>
  <c r="R18" i="9"/>
  <c r="Q16" i="9"/>
  <c r="R53" i="9"/>
  <c r="Q51" i="9"/>
  <c r="S51" i="9" s="1"/>
  <c r="T58" i="9"/>
  <c r="R55" i="9"/>
  <c r="Q53" i="9"/>
  <c r="S53" i="9" s="1"/>
  <c r="V53" i="9" s="1"/>
  <c r="U48" i="9"/>
  <c r="T46" i="9"/>
  <c r="R43" i="9"/>
  <c r="Q41" i="9"/>
  <c r="U36" i="9"/>
  <c r="T34" i="9"/>
  <c r="R31" i="9"/>
  <c r="Q29" i="9"/>
  <c r="U24" i="9"/>
  <c r="T22" i="9"/>
  <c r="R19" i="9"/>
  <c r="Q17" i="9"/>
  <c r="U49" i="9"/>
  <c r="T47" i="9"/>
  <c r="R44" i="9"/>
  <c r="Q42" i="9"/>
  <c r="U37" i="9"/>
  <c r="T35" i="9"/>
  <c r="R32" i="9"/>
  <c r="Q30" i="9"/>
  <c r="U25" i="9"/>
  <c r="T23" i="9"/>
  <c r="R20" i="9"/>
  <c r="Q18" i="9"/>
  <c r="S18" i="9" s="1"/>
  <c r="V18" i="9" s="1"/>
  <c r="R57" i="9"/>
  <c r="Q55" i="9"/>
  <c r="S55" i="9" s="1"/>
  <c r="V55" i="9" s="1"/>
  <c r="U50" i="9"/>
  <c r="T48" i="9"/>
  <c r="R45" i="9"/>
  <c r="Q43" i="9"/>
  <c r="U38" i="9"/>
  <c r="T36" i="9"/>
  <c r="R33" i="9"/>
  <c r="Q31" i="9"/>
  <c r="S31" i="9" s="1"/>
  <c r="U26" i="9"/>
  <c r="T24" i="9"/>
  <c r="R21" i="9"/>
  <c r="Q19" i="9"/>
  <c r="S19" i="9" s="1"/>
  <c r="V19" i="9" s="1"/>
  <c r="U14" i="9"/>
  <c r="U58" i="9"/>
  <c r="T56" i="9"/>
  <c r="R56" i="9"/>
  <c r="Q54" i="9"/>
  <c r="S54" i="9" s="1"/>
  <c r="R58" i="9"/>
  <c r="Q56" i="9"/>
  <c r="S56" i="9" s="1"/>
  <c r="V56" i="9" s="1"/>
  <c r="U51" i="9"/>
  <c r="T49" i="9"/>
  <c r="R46" i="9"/>
  <c r="Q44" i="9"/>
  <c r="S44" i="9" s="1"/>
  <c r="V44" i="9" s="1"/>
  <c r="U39" i="9"/>
  <c r="T37" i="9"/>
  <c r="R34" i="9"/>
  <c r="Q32" i="9"/>
  <c r="U27" i="9"/>
  <c r="T25" i="9"/>
  <c r="R22" i="9"/>
  <c r="Q20" i="9"/>
  <c r="U15" i="9"/>
  <c r="Q57" i="9"/>
  <c r="U52" i="9"/>
  <c r="U16" i="9"/>
  <c r="T14" i="9"/>
  <c r="Q58" i="9"/>
  <c r="S58" i="9" s="1"/>
  <c r="V58" i="9" s="1"/>
  <c r="U53" i="9"/>
  <c r="T51" i="9"/>
  <c r="R48" i="9"/>
  <c r="Q46" i="9"/>
  <c r="U41" i="9"/>
  <c r="T39" i="9"/>
  <c r="R36" i="9"/>
  <c r="Q34" i="9"/>
  <c r="S34" i="9" s="1"/>
  <c r="V34" i="9" s="1"/>
  <c r="U29" i="9"/>
  <c r="T27" i="9"/>
  <c r="R24" i="9"/>
  <c r="Q22" i="9"/>
  <c r="S22" i="9" s="1"/>
  <c r="U17" i="9"/>
  <c r="T15" i="9"/>
  <c r="R47" i="9"/>
  <c r="T38" i="9"/>
  <c r="R35" i="9"/>
  <c r="Q33" i="9"/>
  <c r="S33" i="9" s="1"/>
  <c r="T26" i="9"/>
  <c r="Q21" i="9"/>
  <c r="U54" i="9"/>
  <c r="T52" i="9"/>
  <c r="R49" i="9"/>
  <c r="Q47" i="9"/>
  <c r="S47" i="9" s="1"/>
  <c r="U42" i="9"/>
  <c r="T40" i="9"/>
  <c r="R37" i="9"/>
  <c r="Q35" i="9"/>
  <c r="S35" i="9" s="1"/>
  <c r="U30" i="9"/>
  <c r="T28" i="9"/>
  <c r="R25" i="9"/>
  <c r="Q23" i="9"/>
  <c r="U18" i="9"/>
  <c r="T16" i="9"/>
  <c r="U55" i="9"/>
  <c r="T53" i="9"/>
  <c r="R50" i="9"/>
  <c r="Q48" i="9"/>
  <c r="U43" i="9"/>
  <c r="T41" i="9"/>
  <c r="R38" i="9"/>
  <c r="Q36" i="9"/>
  <c r="U31" i="9"/>
  <c r="T29" i="9"/>
  <c r="R26" i="9"/>
  <c r="Q24" i="9"/>
  <c r="U19" i="9"/>
  <c r="T17" i="9"/>
  <c r="R14" i="9"/>
  <c r="U56" i="9"/>
  <c r="T54" i="9"/>
  <c r="R51" i="9"/>
  <c r="Q49" i="9"/>
  <c r="U44" i="9"/>
  <c r="T42" i="9"/>
  <c r="R39" i="9"/>
  <c r="Q37" i="9"/>
  <c r="S37" i="9" s="1"/>
  <c r="V37" i="9" s="1"/>
  <c r="U32" i="9"/>
  <c r="T30" i="9"/>
  <c r="R27" i="9"/>
  <c r="Q25" i="9"/>
  <c r="U20" i="9"/>
  <c r="T18" i="9"/>
  <c r="R15" i="9"/>
  <c r="Q45" i="9"/>
  <c r="S45" i="9" s="1"/>
  <c r="U40" i="9"/>
  <c r="U28" i="9"/>
  <c r="R23" i="9"/>
  <c r="U57" i="9"/>
  <c r="T55" i="9"/>
  <c r="R52" i="9"/>
  <c r="Q50" i="9"/>
  <c r="S50" i="9" s="1"/>
  <c r="V50" i="9" s="1"/>
  <c r="U45" i="9"/>
  <c r="T43" i="9"/>
  <c r="R40" i="9"/>
  <c r="Q38" i="9"/>
  <c r="S38" i="9" s="1"/>
  <c r="V38" i="9" s="1"/>
  <c r="U33" i="9"/>
  <c r="T31" i="9"/>
  <c r="R28" i="9"/>
  <c r="Q26" i="9"/>
  <c r="U21" i="9"/>
  <c r="T19" i="9"/>
  <c r="R16" i="9"/>
  <c r="Q14" i="9"/>
  <c r="S14" i="9" s="1"/>
  <c r="U46" i="9"/>
  <c r="T44" i="9"/>
  <c r="R41" i="9"/>
  <c r="Q39" i="9"/>
  <c r="U34" i="9"/>
  <c r="T32" i="9"/>
  <c r="R29" i="9"/>
  <c r="Q27" i="9"/>
  <c r="S27" i="9" s="1"/>
  <c r="U22" i="9"/>
  <c r="T20" i="9"/>
  <c r="R17" i="9"/>
  <c r="Q15" i="9"/>
  <c r="S15" i="9" s="1"/>
  <c r="V15" i="9" s="1"/>
  <c r="T13" i="9"/>
  <c r="R7" i="9"/>
  <c r="R12" i="9"/>
  <c r="U11" i="9"/>
  <c r="U5" i="9"/>
  <c r="T11" i="9"/>
  <c r="T5" i="9"/>
  <c r="R11" i="9"/>
  <c r="R5" i="9"/>
  <c r="Q11" i="9"/>
  <c r="Q5" i="9"/>
  <c r="S5" i="9" s="1"/>
  <c r="V5" i="9" s="1"/>
  <c r="Q6" i="9"/>
  <c r="S6" i="9" s="1"/>
  <c r="V6" i="9" s="1"/>
  <c r="Q13" i="9"/>
  <c r="Q12" i="9"/>
  <c r="S12" i="9" s="1"/>
  <c r="U10" i="9"/>
  <c r="U4" i="9"/>
  <c r="T10" i="9"/>
  <c r="T4" i="9"/>
  <c r="R10" i="9"/>
  <c r="R4" i="9"/>
  <c r="Q10" i="9"/>
  <c r="S10" i="9" s="1"/>
  <c r="V10" i="9" s="1"/>
  <c r="Q4" i="9"/>
  <c r="R6" i="9"/>
  <c r="R13" i="9"/>
  <c r="U6" i="9"/>
  <c r="U9" i="9"/>
  <c r="U3" i="9"/>
  <c r="T9" i="9"/>
  <c r="T3" i="9"/>
  <c r="R9" i="9"/>
  <c r="R3" i="9"/>
  <c r="Q9" i="9"/>
  <c r="S9" i="9" s="1"/>
  <c r="V9" i="9" s="1"/>
  <c r="Q3" i="9"/>
  <c r="S3" i="9" s="1"/>
  <c r="V3" i="9" s="1"/>
  <c r="U7" i="9"/>
  <c r="Q7" i="9"/>
  <c r="S7" i="9" s="1"/>
  <c r="T12" i="9"/>
  <c r="U13" i="9"/>
  <c r="T7" i="9"/>
  <c r="U12" i="9"/>
  <c r="T6" i="9"/>
  <c r="U8" i="9"/>
  <c r="U2" i="9"/>
  <c r="T8" i="9"/>
  <c r="T2" i="9"/>
  <c r="R8" i="9"/>
  <c r="R2" i="9"/>
  <c r="Q8" i="9"/>
  <c r="S8" i="9" s="1"/>
  <c r="V8" i="9" s="1"/>
  <c r="Q2" i="9"/>
  <c r="S2" i="9" s="1"/>
  <c r="V2" i="9" s="1"/>
  <c r="T100" i="8"/>
  <c r="T88" i="8"/>
  <c r="R78" i="8"/>
  <c r="R66" i="8"/>
  <c r="Q64" i="8"/>
  <c r="S64" i="8" s="1"/>
  <c r="V64" i="8" s="1"/>
  <c r="R98" i="8"/>
  <c r="Q59" i="8"/>
  <c r="S59" i="8" s="1"/>
  <c r="V59" i="8" s="1"/>
  <c r="Q88" i="8"/>
  <c r="Q68" i="8"/>
  <c r="S68" i="8" s="1"/>
  <c r="Q96" i="8"/>
  <c r="Q84" i="8"/>
  <c r="S84" i="8" s="1"/>
  <c r="V84" i="8" s="1"/>
  <c r="Q72" i="8"/>
  <c r="S72" i="8" s="1"/>
  <c r="V72" i="8" s="1"/>
  <c r="Q52" i="8"/>
  <c r="U99" i="8"/>
  <c r="U87" i="8"/>
  <c r="U75" i="8"/>
  <c r="U47" i="8"/>
  <c r="T38" i="8"/>
  <c r="R31" i="8"/>
  <c r="U103" i="8"/>
  <c r="T97" i="8"/>
  <c r="U95" i="8"/>
  <c r="T93" i="8"/>
  <c r="U91" i="8"/>
  <c r="T85" i="8"/>
  <c r="U83" i="8"/>
  <c r="T81" i="8"/>
  <c r="U79" i="8"/>
  <c r="T73" i="8"/>
  <c r="U71" i="8"/>
  <c r="T69" i="8"/>
  <c r="U67" i="8"/>
  <c r="T65" i="8"/>
  <c r="R47" i="8"/>
  <c r="T82" i="8"/>
  <c r="R82" i="8"/>
  <c r="T94" i="8"/>
  <c r="R102" i="8"/>
  <c r="R90" i="8"/>
  <c r="T76" i="8"/>
  <c r="T70" i="8"/>
  <c r="R94" i="8"/>
  <c r="R70" i="8"/>
  <c r="U52" i="8"/>
  <c r="Q100" i="8"/>
  <c r="S100" i="8" s="1"/>
  <c r="R61" i="8"/>
  <c r="T57" i="8"/>
  <c r="R91" i="8"/>
  <c r="R73" i="8"/>
  <c r="R54" i="8"/>
  <c r="Q101" i="8"/>
  <c r="Q89" i="8"/>
  <c r="Q77" i="8"/>
  <c r="S77" i="8" s="1"/>
  <c r="V77" i="8" s="1"/>
  <c r="R71" i="8"/>
  <c r="Q69" i="8"/>
  <c r="S69" i="8" s="1"/>
  <c r="Q60" i="8"/>
  <c r="T50" i="8"/>
  <c r="Q95" i="8"/>
  <c r="S95" i="8" s="1"/>
  <c r="Q83" i="8"/>
  <c r="S83" i="8" s="1"/>
  <c r="V83" i="8" s="1"/>
  <c r="Q71" i="8"/>
  <c r="S71" i="8" s="1"/>
  <c r="V71" i="8" s="1"/>
  <c r="U64" i="8"/>
  <c r="U63" i="8"/>
  <c r="T101" i="8"/>
  <c r="T77" i="8"/>
  <c r="R42" i="8"/>
  <c r="R97" i="8"/>
  <c r="R79" i="8"/>
  <c r="Q57" i="8"/>
  <c r="Q93" i="8"/>
  <c r="S93" i="8" s="1"/>
  <c r="Q81" i="8"/>
  <c r="U102" i="8"/>
  <c r="U90" i="8"/>
  <c r="U78" i="8"/>
  <c r="U66" i="8"/>
  <c r="T64" i="8"/>
  <c r="R62" i="8"/>
  <c r="U59" i="8"/>
  <c r="T53" i="8"/>
  <c r="T45" i="8"/>
  <c r="Q40" i="8"/>
  <c r="R86" i="8"/>
  <c r="R74" i="8"/>
  <c r="Q92" i="8"/>
  <c r="S92" i="8" s="1"/>
  <c r="V92" i="8" s="1"/>
  <c r="Q80" i="8"/>
  <c r="S80" i="8" s="1"/>
  <c r="V80" i="8" s="1"/>
  <c r="Q76" i="8"/>
  <c r="U55" i="8"/>
  <c r="T89" i="8"/>
  <c r="R103" i="8"/>
  <c r="R85" i="8"/>
  <c r="R67" i="8"/>
  <c r="T17" i="8"/>
  <c r="R95" i="8"/>
  <c r="R83" i="8"/>
  <c r="T62" i="8"/>
  <c r="U100" i="8"/>
  <c r="T98" i="8"/>
  <c r="U96" i="8"/>
  <c r="U88" i="8"/>
  <c r="T86" i="8"/>
  <c r="U84" i="8"/>
  <c r="U76" i="8"/>
  <c r="T74" i="8"/>
  <c r="U72" i="8"/>
  <c r="R59" i="8"/>
  <c r="Q45" i="8"/>
  <c r="U40" i="8"/>
  <c r="U35" i="8"/>
  <c r="T33" i="8"/>
  <c r="R30" i="8"/>
  <c r="Q28" i="8"/>
  <c r="U23" i="8"/>
  <c r="T21" i="8"/>
  <c r="R18" i="8"/>
  <c r="Q16" i="8"/>
  <c r="Q65" i="8"/>
  <c r="T58" i="8"/>
  <c r="Q53" i="8"/>
  <c r="Q29" i="8"/>
  <c r="S29" i="8" s="1"/>
  <c r="U24" i="8"/>
  <c r="T22" i="8"/>
  <c r="R19" i="8"/>
  <c r="Q17" i="8"/>
  <c r="Q102" i="8"/>
  <c r="S102" i="8" s="1"/>
  <c r="U97" i="8"/>
  <c r="T95" i="8"/>
  <c r="R92" i="8"/>
  <c r="Q90" i="8"/>
  <c r="S90" i="8" s="1"/>
  <c r="U85" i="8"/>
  <c r="T83" i="8"/>
  <c r="R80" i="8"/>
  <c r="Q78" i="8"/>
  <c r="S78" i="8" s="1"/>
  <c r="V78" i="8" s="1"/>
  <c r="U73" i="8"/>
  <c r="T71" i="8"/>
  <c r="R68" i="8"/>
  <c r="Q66" i="8"/>
  <c r="U61" i="8"/>
  <c r="T59" i="8"/>
  <c r="R56" i="8"/>
  <c r="Q54" i="8"/>
  <c r="S54" i="8" s="1"/>
  <c r="V54" i="8" s="1"/>
  <c r="U49" i="8"/>
  <c r="T47" i="8"/>
  <c r="R44" i="8"/>
  <c r="Q42" i="8"/>
  <c r="S42" i="8" s="1"/>
  <c r="V42" i="8" s="1"/>
  <c r="U37" i="8"/>
  <c r="T35" i="8"/>
  <c r="R32" i="8"/>
  <c r="Q30" i="8"/>
  <c r="S30" i="8" s="1"/>
  <c r="U25" i="8"/>
  <c r="T23" i="8"/>
  <c r="R20" i="8"/>
  <c r="Q18" i="8"/>
  <c r="S18" i="8" s="1"/>
  <c r="V18" i="8" s="1"/>
  <c r="U60" i="8"/>
  <c r="R55" i="8"/>
  <c r="U48" i="8"/>
  <c r="T46" i="8"/>
  <c r="R43" i="8"/>
  <c r="Q41" i="8"/>
  <c r="U36" i="8"/>
  <c r="T34" i="8"/>
  <c r="Q103" i="8"/>
  <c r="S103" i="8" s="1"/>
  <c r="U98" i="8"/>
  <c r="T96" i="8"/>
  <c r="R93" i="8"/>
  <c r="Q91" i="8"/>
  <c r="U86" i="8"/>
  <c r="T84" i="8"/>
  <c r="R81" i="8"/>
  <c r="Q79" i="8"/>
  <c r="S79" i="8" s="1"/>
  <c r="V79" i="8" s="1"/>
  <c r="U74" i="8"/>
  <c r="T72" i="8"/>
  <c r="R69" i="8"/>
  <c r="Q67" i="8"/>
  <c r="U62" i="8"/>
  <c r="T60" i="8"/>
  <c r="R57" i="8"/>
  <c r="Q55" i="8"/>
  <c r="U50" i="8"/>
  <c r="T48" i="8"/>
  <c r="R45" i="8"/>
  <c r="Q43" i="8"/>
  <c r="S43" i="8" s="1"/>
  <c r="V43" i="8" s="1"/>
  <c r="U38" i="8"/>
  <c r="T36" i="8"/>
  <c r="R33" i="8"/>
  <c r="Q31" i="8"/>
  <c r="U26" i="8"/>
  <c r="T24" i="8"/>
  <c r="R21" i="8"/>
  <c r="Q19" i="8"/>
  <c r="S19" i="8" s="1"/>
  <c r="U14" i="8"/>
  <c r="T61" i="8"/>
  <c r="R58" i="8"/>
  <c r="Q56" i="8"/>
  <c r="S56" i="8" s="1"/>
  <c r="V56" i="8" s="1"/>
  <c r="U51" i="8"/>
  <c r="T49" i="8"/>
  <c r="R46" i="8"/>
  <c r="Q44" i="8"/>
  <c r="U39" i="8"/>
  <c r="T37" i="8"/>
  <c r="R34" i="8"/>
  <c r="Q32" i="8"/>
  <c r="S32" i="8" s="1"/>
  <c r="U27" i="8"/>
  <c r="T25" i="8"/>
  <c r="R22" i="8"/>
  <c r="Q20" i="8"/>
  <c r="S20" i="8" s="1"/>
  <c r="V20" i="8" s="1"/>
  <c r="U15" i="8"/>
  <c r="Q33" i="8"/>
  <c r="U28" i="8"/>
  <c r="T26" i="8"/>
  <c r="R23" i="8"/>
  <c r="Q21" i="8"/>
  <c r="U16" i="8"/>
  <c r="T14" i="8"/>
  <c r="R35" i="8"/>
  <c r="U101" i="8"/>
  <c r="T99" i="8"/>
  <c r="R96" i="8"/>
  <c r="Q94" i="8"/>
  <c r="U89" i="8"/>
  <c r="T87" i="8"/>
  <c r="R84" i="8"/>
  <c r="Q82" i="8"/>
  <c r="U77" i="8"/>
  <c r="T75" i="8"/>
  <c r="R72" i="8"/>
  <c r="Q70" i="8"/>
  <c r="S70" i="8" s="1"/>
  <c r="V70" i="8" s="1"/>
  <c r="U65" i="8"/>
  <c r="T63" i="8"/>
  <c r="R60" i="8"/>
  <c r="Q58" i="8"/>
  <c r="U53" i="8"/>
  <c r="T51" i="8"/>
  <c r="R48" i="8"/>
  <c r="Q46" i="8"/>
  <c r="S46" i="8" s="1"/>
  <c r="U41" i="8"/>
  <c r="T39" i="8"/>
  <c r="R36" i="8"/>
  <c r="Q34" i="8"/>
  <c r="S34" i="8" s="1"/>
  <c r="V34" i="8" s="1"/>
  <c r="U29" i="8"/>
  <c r="T27" i="8"/>
  <c r="R24" i="8"/>
  <c r="Q22" i="8"/>
  <c r="U17" i="8"/>
  <c r="T15" i="8"/>
  <c r="U54" i="8"/>
  <c r="T52" i="8"/>
  <c r="R49" i="8"/>
  <c r="Q47" i="8"/>
  <c r="U42" i="8"/>
  <c r="T40" i="8"/>
  <c r="R37" i="8"/>
  <c r="Q35" i="8"/>
  <c r="S35" i="8" s="1"/>
  <c r="V35" i="8" s="1"/>
  <c r="U30" i="8"/>
  <c r="T28" i="8"/>
  <c r="R25" i="8"/>
  <c r="Q23" i="8"/>
  <c r="U18" i="8"/>
  <c r="T16" i="8"/>
  <c r="R50" i="8"/>
  <c r="R14" i="8"/>
  <c r="Q24" i="8"/>
  <c r="U19" i="8"/>
  <c r="T102" i="8"/>
  <c r="R99" i="8"/>
  <c r="Q97" i="8"/>
  <c r="S97" i="8" s="1"/>
  <c r="V97" i="8" s="1"/>
  <c r="U92" i="8"/>
  <c r="T90" i="8"/>
  <c r="R87" i="8"/>
  <c r="Q85" i="8"/>
  <c r="U80" i="8"/>
  <c r="T78" i="8"/>
  <c r="R75" i="8"/>
  <c r="Q73" i="8"/>
  <c r="S73" i="8" s="1"/>
  <c r="U68" i="8"/>
  <c r="T66" i="8"/>
  <c r="R63" i="8"/>
  <c r="Q61" i="8"/>
  <c r="S61" i="8" s="1"/>
  <c r="V61" i="8" s="1"/>
  <c r="U56" i="8"/>
  <c r="T54" i="8"/>
  <c r="R51" i="8"/>
  <c r="Q49" i="8"/>
  <c r="U44" i="8"/>
  <c r="T42" i="8"/>
  <c r="R39" i="8"/>
  <c r="Q37" i="8"/>
  <c r="U32" i="8"/>
  <c r="T30" i="8"/>
  <c r="R27" i="8"/>
  <c r="Q25" i="8"/>
  <c r="S25" i="8" s="1"/>
  <c r="V25" i="8" s="1"/>
  <c r="U20" i="8"/>
  <c r="T18" i="8"/>
  <c r="R15" i="8"/>
  <c r="Q48" i="8"/>
  <c r="S48" i="8" s="1"/>
  <c r="U43" i="8"/>
  <c r="T41" i="8"/>
  <c r="R38" i="8"/>
  <c r="Q36" i="8"/>
  <c r="S36" i="8" s="1"/>
  <c r="V36" i="8" s="1"/>
  <c r="U31" i="8"/>
  <c r="T29" i="8"/>
  <c r="R26" i="8"/>
  <c r="T103" i="8"/>
  <c r="R100" i="8"/>
  <c r="Q98" i="8"/>
  <c r="U93" i="8"/>
  <c r="T91" i="8"/>
  <c r="R88" i="8"/>
  <c r="Q86" i="8"/>
  <c r="U81" i="8"/>
  <c r="T79" i="8"/>
  <c r="R76" i="8"/>
  <c r="Q74" i="8"/>
  <c r="S74" i="8" s="1"/>
  <c r="V74" i="8" s="1"/>
  <c r="U69" i="8"/>
  <c r="T67" i="8"/>
  <c r="R64" i="8"/>
  <c r="Q62" i="8"/>
  <c r="U57" i="8"/>
  <c r="T55" i="8"/>
  <c r="R52" i="8"/>
  <c r="Q50" i="8"/>
  <c r="S50" i="8" s="1"/>
  <c r="U45" i="8"/>
  <c r="T43" i="8"/>
  <c r="R40" i="8"/>
  <c r="Q38" i="8"/>
  <c r="S38" i="8" s="1"/>
  <c r="V38" i="8" s="1"/>
  <c r="U33" i="8"/>
  <c r="T31" i="8"/>
  <c r="R28" i="8"/>
  <c r="Q26" i="8"/>
  <c r="U21" i="8"/>
  <c r="T19" i="8"/>
  <c r="R16" i="8"/>
  <c r="Q14" i="8"/>
  <c r="R101" i="8"/>
  <c r="Q99" i="8"/>
  <c r="U94" i="8"/>
  <c r="T92" i="8"/>
  <c r="R89" i="8"/>
  <c r="Q87" i="8"/>
  <c r="S87" i="8" s="1"/>
  <c r="V87" i="8" s="1"/>
  <c r="U82" i="8"/>
  <c r="T80" i="8"/>
  <c r="R77" i="8"/>
  <c r="Q75" i="8"/>
  <c r="U70" i="8"/>
  <c r="T68" i="8"/>
  <c r="R65" i="8"/>
  <c r="Q63" i="8"/>
  <c r="U58" i="8"/>
  <c r="T56" i="8"/>
  <c r="R53" i="8"/>
  <c r="Q51" i="8"/>
  <c r="S51" i="8" s="1"/>
  <c r="V51" i="8" s="1"/>
  <c r="U46" i="8"/>
  <c r="T44" i="8"/>
  <c r="R41" i="8"/>
  <c r="Q39" i="8"/>
  <c r="U34" i="8"/>
  <c r="T32" i="8"/>
  <c r="R29" i="8"/>
  <c r="Q27" i="8"/>
  <c r="U22" i="8"/>
  <c r="T20" i="8"/>
  <c r="R17" i="8"/>
  <c r="Q15" i="8"/>
  <c r="S15" i="8" s="1"/>
  <c r="V15" i="8" s="1"/>
  <c r="U13" i="8"/>
  <c r="U7" i="8"/>
  <c r="T13" i="8"/>
  <c r="T7" i="8"/>
  <c r="R13" i="8"/>
  <c r="R7" i="8"/>
  <c r="Q13" i="8"/>
  <c r="S13" i="8" s="1"/>
  <c r="V13" i="8" s="1"/>
  <c r="Q7" i="8"/>
  <c r="S7" i="8" s="1"/>
  <c r="V7" i="8" s="1"/>
  <c r="U12" i="8"/>
  <c r="U6" i="8"/>
  <c r="T12" i="8"/>
  <c r="T6" i="8"/>
  <c r="R12" i="8"/>
  <c r="R6" i="8"/>
  <c r="Q12" i="8"/>
  <c r="S12" i="8" s="1"/>
  <c r="Q6" i="8"/>
  <c r="S6" i="8" s="1"/>
  <c r="U11" i="8"/>
  <c r="U5" i="8"/>
  <c r="T11" i="8"/>
  <c r="T5" i="8"/>
  <c r="R11" i="8"/>
  <c r="R5" i="8"/>
  <c r="Q11" i="8"/>
  <c r="S11" i="8" s="1"/>
  <c r="V11" i="8" s="1"/>
  <c r="Q5" i="8"/>
  <c r="S5" i="8" s="1"/>
  <c r="V5" i="8" s="1"/>
  <c r="U10" i="8"/>
  <c r="U4" i="8"/>
  <c r="T10" i="8"/>
  <c r="T4" i="8"/>
  <c r="R10" i="8"/>
  <c r="R4" i="8"/>
  <c r="Q10" i="8"/>
  <c r="S10" i="8" s="1"/>
  <c r="V10" i="8" s="1"/>
  <c r="Q4" i="8"/>
  <c r="S4" i="8" s="1"/>
  <c r="V4" i="8" s="1"/>
  <c r="U9" i="8"/>
  <c r="U3" i="8"/>
  <c r="T9" i="8"/>
  <c r="T3" i="8"/>
  <c r="R9" i="8"/>
  <c r="R3" i="8"/>
  <c r="Q9" i="8"/>
  <c r="S9" i="8" s="1"/>
  <c r="Q3" i="8"/>
  <c r="S3" i="8" s="1"/>
  <c r="U8" i="8"/>
  <c r="U2" i="8"/>
  <c r="T8" i="8"/>
  <c r="T2" i="8"/>
  <c r="R8" i="8"/>
  <c r="R2" i="8"/>
  <c r="Q8" i="8"/>
  <c r="S8" i="8" s="1"/>
  <c r="V8" i="8" s="1"/>
  <c r="Q2" i="8"/>
  <c r="S2" i="8" s="1"/>
  <c r="V2" i="8" s="1"/>
  <c r="U72" i="7"/>
  <c r="R69" i="7"/>
  <c r="U75" i="7"/>
  <c r="U91" i="7"/>
  <c r="T89" i="7"/>
  <c r="R86" i="7"/>
  <c r="Q84" i="7"/>
  <c r="S84" i="7" s="1"/>
  <c r="U79" i="7"/>
  <c r="T77" i="7"/>
  <c r="R74" i="7"/>
  <c r="Q72" i="7"/>
  <c r="S72" i="7" s="1"/>
  <c r="V72" i="7" s="1"/>
  <c r="U67" i="7"/>
  <c r="T65" i="7"/>
  <c r="R62" i="7"/>
  <c r="Q60" i="7"/>
  <c r="U55" i="7"/>
  <c r="T53" i="7"/>
  <c r="R50" i="7"/>
  <c r="Q48" i="7"/>
  <c r="S48" i="7" s="1"/>
  <c r="U43" i="7"/>
  <c r="T41" i="7"/>
  <c r="R38" i="7"/>
  <c r="Q36" i="7"/>
  <c r="S36" i="7" s="1"/>
  <c r="V36" i="7" s="1"/>
  <c r="U31" i="7"/>
  <c r="T29" i="7"/>
  <c r="R26" i="7"/>
  <c r="Q24" i="7"/>
  <c r="U81" i="7"/>
  <c r="Q88" i="7"/>
  <c r="U83" i="7"/>
  <c r="T82" i="7"/>
  <c r="R79" i="7"/>
  <c r="Q90" i="7"/>
  <c r="S90" i="7" s="1"/>
  <c r="T84" i="7"/>
  <c r="Q92" i="7"/>
  <c r="S92" i="7" s="1"/>
  <c r="V92" i="7" s="1"/>
  <c r="U87" i="7"/>
  <c r="T85" i="7"/>
  <c r="U92" i="7"/>
  <c r="T90" i="7"/>
  <c r="R87" i="7"/>
  <c r="Q85" i="7"/>
  <c r="U80" i="7"/>
  <c r="T78" i="7"/>
  <c r="R75" i="7"/>
  <c r="Q73" i="7"/>
  <c r="S73" i="7" s="1"/>
  <c r="U68" i="7"/>
  <c r="T66" i="7"/>
  <c r="R63" i="7"/>
  <c r="Q61" i="7"/>
  <c r="U56" i="7"/>
  <c r="T54" i="7"/>
  <c r="R51" i="7"/>
  <c r="Q49" i="7"/>
  <c r="U44" i="7"/>
  <c r="T42" i="7"/>
  <c r="R39" i="7"/>
  <c r="Q37" i="7"/>
  <c r="S37" i="7" s="1"/>
  <c r="U32" i="7"/>
  <c r="T30" i="7"/>
  <c r="R27" i="7"/>
  <c r="Q25" i="7"/>
  <c r="T79" i="7"/>
  <c r="R76" i="7"/>
  <c r="Q74" i="7"/>
  <c r="U69" i="7"/>
  <c r="T67" i="7"/>
  <c r="R64" i="7"/>
  <c r="Q62" i="7"/>
  <c r="S62" i="7" s="1"/>
  <c r="V62" i="7" s="1"/>
  <c r="U57" i="7"/>
  <c r="T55" i="7"/>
  <c r="R52" i="7"/>
  <c r="Q50" i="7"/>
  <c r="S50" i="7" s="1"/>
  <c r="V50" i="7" s="1"/>
  <c r="U45" i="7"/>
  <c r="T43" i="7"/>
  <c r="R40" i="7"/>
  <c r="Q38" i="7"/>
  <c r="U33" i="7"/>
  <c r="T31" i="7"/>
  <c r="R28" i="7"/>
  <c r="Q26" i="7"/>
  <c r="S26" i="7" s="1"/>
  <c r="V26" i="7" s="1"/>
  <c r="T92" i="7"/>
  <c r="R89" i="7"/>
  <c r="Q87" i="7"/>
  <c r="S87" i="7" s="1"/>
  <c r="U82" i="7"/>
  <c r="T80" i="7"/>
  <c r="R77" i="7"/>
  <c r="Q75" i="7"/>
  <c r="U70" i="7"/>
  <c r="T68" i="7"/>
  <c r="R65" i="7"/>
  <c r="Q63" i="7"/>
  <c r="U58" i="7"/>
  <c r="T56" i="7"/>
  <c r="R53" i="7"/>
  <c r="Q51" i="7"/>
  <c r="S51" i="7" s="1"/>
  <c r="V51" i="7" s="1"/>
  <c r="U46" i="7"/>
  <c r="T44" i="7"/>
  <c r="R41" i="7"/>
  <c r="Q39" i="7"/>
  <c r="U34" i="7"/>
  <c r="T32" i="7"/>
  <c r="R29" i="7"/>
  <c r="Q27" i="7"/>
  <c r="U22" i="7"/>
  <c r="T91" i="7"/>
  <c r="R78" i="7"/>
  <c r="Q76" i="7"/>
  <c r="S76" i="7" s="1"/>
  <c r="V76" i="7" s="1"/>
  <c r="U71" i="7"/>
  <c r="T69" i="7"/>
  <c r="R66" i="7"/>
  <c r="Q64" i="7"/>
  <c r="U59" i="7"/>
  <c r="T57" i="7"/>
  <c r="R54" i="7"/>
  <c r="Q52" i="7"/>
  <c r="U47" i="7"/>
  <c r="T45" i="7"/>
  <c r="R42" i="7"/>
  <c r="Q40" i="7"/>
  <c r="S40" i="7" s="1"/>
  <c r="V40" i="7" s="1"/>
  <c r="U35" i="7"/>
  <c r="T33" i="7"/>
  <c r="R30" i="7"/>
  <c r="Q28" i="7"/>
  <c r="U23" i="7"/>
  <c r="T70" i="7"/>
  <c r="R67" i="7"/>
  <c r="Q65" i="7"/>
  <c r="S65" i="7" s="1"/>
  <c r="U60" i="7"/>
  <c r="T58" i="7"/>
  <c r="R55" i="7"/>
  <c r="Q53" i="7"/>
  <c r="S53" i="7" s="1"/>
  <c r="U48" i="7"/>
  <c r="T46" i="7"/>
  <c r="R43" i="7"/>
  <c r="Q41" i="7"/>
  <c r="S41" i="7" s="1"/>
  <c r="U36" i="7"/>
  <c r="T34" i="7"/>
  <c r="R31" i="7"/>
  <c r="Q29" i="7"/>
  <c r="S29" i="7" s="1"/>
  <c r="U24" i="7"/>
  <c r="T22" i="7"/>
  <c r="R88" i="7"/>
  <c r="R91" i="7"/>
  <c r="U73" i="7"/>
  <c r="T71" i="7"/>
  <c r="R68" i="7"/>
  <c r="Q66" i="7"/>
  <c r="S66" i="7" s="1"/>
  <c r="U61" i="7"/>
  <c r="T59" i="7"/>
  <c r="R56" i="7"/>
  <c r="Q54" i="7"/>
  <c r="S54" i="7" s="1"/>
  <c r="U49" i="7"/>
  <c r="T47" i="7"/>
  <c r="R44" i="7"/>
  <c r="Q42" i="7"/>
  <c r="S42" i="7" s="1"/>
  <c r="V42" i="7" s="1"/>
  <c r="U37" i="7"/>
  <c r="T35" i="7"/>
  <c r="R32" i="7"/>
  <c r="Q30" i="7"/>
  <c r="S30" i="7" s="1"/>
  <c r="U25" i="7"/>
  <c r="T23" i="7"/>
  <c r="T60" i="7"/>
  <c r="R57" i="7"/>
  <c r="Q55" i="7"/>
  <c r="U50" i="7"/>
  <c r="T48" i="7"/>
  <c r="R45" i="7"/>
  <c r="Q43" i="7"/>
  <c r="S43" i="7" s="1"/>
  <c r="V43" i="7" s="1"/>
  <c r="U38" i="7"/>
  <c r="T36" i="7"/>
  <c r="R33" i="7"/>
  <c r="Q31" i="7"/>
  <c r="S31" i="7" s="1"/>
  <c r="U26" i="7"/>
  <c r="T24" i="7"/>
  <c r="T81" i="7"/>
  <c r="U84" i="7"/>
  <c r="T83" i="7"/>
  <c r="R80" i="7"/>
  <c r="U86" i="7"/>
  <c r="R81" i="7"/>
  <c r="U74" i="7"/>
  <c r="U62" i="7"/>
  <c r="Q56" i="7"/>
  <c r="R46" i="7"/>
  <c r="Q44" i="7"/>
  <c r="U39" i="7"/>
  <c r="T37" i="7"/>
  <c r="R34" i="7"/>
  <c r="Q32" i="7"/>
  <c r="S32" i="7" s="1"/>
  <c r="U27" i="7"/>
  <c r="T25" i="7"/>
  <c r="R22" i="7"/>
  <c r="R90" i="7"/>
  <c r="Q89" i="7"/>
  <c r="U85" i="7"/>
  <c r="Q78" i="7"/>
  <c r="Q91" i="7"/>
  <c r="Q79" i="7"/>
  <c r="U63" i="7"/>
  <c r="U51" i="7"/>
  <c r="U88" i="7"/>
  <c r="T86" i="7"/>
  <c r="R83" i="7"/>
  <c r="Q81" i="7"/>
  <c r="S81" i="7" s="1"/>
  <c r="V81" i="7" s="1"/>
  <c r="U76" i="7"/>
  <c r="T74" i="7"/>
  <c r="R71" i="7"/>
  <c r="Q69" i="7"/>
  <c r="S69" i="7" s="1"/>
  <c r="V69" i="7" s="1"/>
  <c r="U64" i="7"/>
  <c r="T62" i="7"/>
  <c r="R59" i="7"/>
  <c r="Q57" i="7"/>
  <c r="S57" i="7" s="1"/>
  <c r="U52" i="7"/>
  <c r="T50" i="7"/>
  <c r="R47" i="7"/>
  <c r="Q45" i="7"/>
  <c r="S45" i="7" s="1"/>
  <c r="V45" i="7" s="1"/>
  <c r="U40" i="7"/>
  <c r="T38" i="7"/>
  <c r="R35" i="7"/>
  <c r="Q33" i="7"/>
  <c r="S33" i="7" s="1"/>
  <c r="V33" i="7" s="1"/>
  <c r="U28" i="7"/>
  <c r="T26" i="7"/>
  <c r="R23" i="7"/>
  <c r="Q77" i="7"/>
  <c r="S77" i="7" s="1"/>
  <c r="R92" i="7"/>
  <c r="T61" i="7"/>
  <c r="T49" i="7"/>
  <c r="U89" i="7"/>
  <c r="T87" i="7"/>
  <c r="R84" i="7"/>
  <c r="Q82" i="7"/>
  <c r="U77" i="7"/>
  <c r="T75" i="7"/>
  <c r="R72" i="7"/>
  <c r="Q70" i="7"/>
  <c r="S70" i="7" s="1"/>
  <c r="U65" i="7"/>
  <c r="T63" i="7"/>
  <c r="R60" i="7"/>
  <c r="Q58" i="7"/>
  <c r="S58" i="7" s="1"/>
  <c r="V58" i="7" s="1"/>
  <c r="U53" i="7"/>
  <c r="T51" i="7"/>
  <c r="R48" i="7"/>
  <c r="Q46" i="7"/>
  <c r="U41" i="7"/>
  <c r="T39" i="7"/>
  <c r="R36" i="7"/>
  <c r="Q34" i="7"/>
  <c r="U29" i="7"/>
  <c r="T27" i="7"/>
  <c r="R24" i="7"/>
  <c r="Q22" i="7"/>
  <c r="Q86" i="7"/>
  <c r="S86" i="7" s="1"/>
  <c r="V86" i="7" s="1"/>
  <c r="T72" i="7"/>
  <c r="Q67" i="7"/>
  <c r="R82" i="7"/>
  <c r="Q80" i="7"/>
  <c r="T73" i="7"/>
  <c r="R70" i="7"/>
  <c r="Q68" i="7"/>
  <c r="S68" i="7" s="1"/>
  <c r="R58" i="7"/>
  <c r="U90" i="7"/>
  <c r="T88" i="7"/>
  <c r="R85" i="7"/>
  <c r="Q83" i="7"/>
  <c r="S83" i="7" s="1"/>
  <c r="V83" i="7" s="1"/>
  <c r="U78" i="7"/>
  <c r="T76" i="7"/>
  <c r="R73" i="7"/>
  <c r="Q71" i="7"/>
  <c r="S71" i="7" s="1"/>
  <c r="U66" i="7"/>
  <c r="T64" i="7"/>
  <c r="R61" i="7"/>
  <c r="Q59" i="7"/>
  <c r="S59" i="7" s="1"/>
  <c r="U54" i="7"/>
  <c r="T52" i="7"/>
  <c r="R49" i="7"/>
  <c r="Q47" i="7"/>
  <c r="S47" i="7" s="1"/>
  <c r="V47" i="7" s="1"/>
  <c r="U42" i="7"/>
  <c r="T40" i="7"/>
  <c r="R37" i="7"/>
  <c r="Q35" i="7"/>
  <c r="S35" i="7" s="1"/>
  <c r="U30" i="7"/>
  <c r="T28" i="7"/>
  <c r="R25" i="7"/>
  <c r="Q23" i="7"/>
  <c r="S23" i="7" s="1"/>
  <c r="V23" i="7" s="1"/>
  <c r="Q9" i="7"/>
  <c r="U16" i="7"/>
  <c r="U10" i="7"/>
  <c r="U4" i="7"/>
  <c r="T18" i="7"/>
  <c r="T12" i="7"/>
  <c r="T6" i="7"/>
  <c r="R18" i="7"/>
  <c r="R12" i="7"/>
  <c r="R6" i="7"/>
  <c r="Q20" i="7"/>
  <c r="S20" i="7" s="1"/>
  <c r="V20" i="7" s="1"/>
  <c r="Q14" i="7"/>
  <c r="S14" i="7" s="1"/>
  <c r="V14" i="7" s="1"/>
  <c r="Q8" i="7"/>
  <c r="Q2" i="7"/>
  <c r="U21" i="7"/>
  <c r="U15" i="7"/>
  <c r="U9" i="7"/>
  <c r="U3" i="7"/>
  <c r="T17" i="7"/>
  <c r="T11" i="7"/>
  <c r="T5" i="7"/>
  <c r="R17" i="7"/>
  <c r="R11" i="7"/>
  <c r="R5" i="7"/>
  <c r="Q19" i="7"/>
  <c r="Q13" i="7"/>
  <c r="Q7" i="7"/>
  <c r="U17" i="7"/>
  <c r="U5" i="7"/>
  <c r="T13" i="7"/>
  <c r="R13" i="7"/>
  <c r="Q21" i="7"/>
  <c r="U8" i="7"/>
  <c r="T16" i="7"/>
  <c r="T4" i="7"/>
  <c r="R10" i="7"/>
  <c r="Q6" i="7"/>
  <c r="U19" i="7"/>
  <c r="U13" i="7"/>
  <c r="U7" i="7"/>
  <c r="T21" i="7"/>
  <c r="T15" i="7"/>
  <c r="T9" i="7"/>
  <c r="T3" i="7"/>
  <c r="R21" i="7"/>
  <c r="R15" i="7"/>
  <c r="R9" i="7"/>
  <c r="R3" i="7"/>
  <c r="Q17" i="7"/>
  <c r="Q11" i="7"/>
  <c r="Q5" i="7"/>
  <c r="U11" i="7"/>
  <c r="T19" i="7"/>
  <c r="T7" i="7"/>
  <c r="R19" i="7"/>
  <c r="R7" i="7"/>
  <c r="Q3" i="7"/>
  <c r="U20" i="7"/>
  <c r="Q18" i="7"/>
  <c r="S18" i="7" s="1"/>
  <c r="V18" i="7" s="1"/>
  <c r="Q15" i="7"/>
  <c r="S15" i="7" s="1"/>
  <c r="V15" i="7" s="1"/>
  <c r="U14" i="7"/>
  <c r="U2" i="7"/>
  <c r="T10" i="7"/>
  <c r="R16" i="7"/>
  <c r="R4" i="7"/>
  <c r="Q12" i="7"/>
  <c r="U18" i="7"/>
  <c r="U12" i="7"/>
  <c r="U6" i="7"/>
  <c r="T20" i="7"/>
  <c r="T14" i="7"/>
  <c r="T8" i="7"/>
  <c r="T2" i="7"/>
  <c r="R20" i="7"/>
  <c r="R14" i="7"/>
  <c r="R8" i="7"/>
  <c r="R2" i="7"/>
  <c r="Q16" i="7"/>
  <c r="Q10" i="7"/>
  <c r="Q4" i="7"/>
  <c r="S4" i="7" s="1"/>
  <c r="T70" i="6"/>
  <c r="Q72" i="6"/>
  <c r="U67" i="6"/>
  <c r="T65" i="6"/>
  <c r="R62" i="6"/>
  <c r="Q60" i="6"/>
  <c r="S60" i="6" s="1"/>
  <c r="U55" i="6"/>
  <c r="T53" i="6"/>
  <c r="R50" i="6"/>
  <c r="Q48" i="6"/>
  <c r="S48" i="6" s="1"/>
  <c r="V48" i="6" s="1"/>
  <c r="U43" i="6"/>
  <c r="T41" i="6"/>
  <c r="R38" i="6"/>
  <c r="Q36" i="6"/>
  <c r="U31" i="6"/>
  <c r="T29" i="6"/>
  <c r="R26" i="6"/>
  <c r="Q24" i="6"/>
  <c r="S24" i="6" s="1"/>
  <c r="V24" i="6" s="1"/>
  <c r="U71" i="6"/>
  <c r="U60" i="6"/>
  <c r="Q53" i="6"/>
  <c r="S53" i="6" s="1"/>
  <c r="V53" i="6" s="1"/>
  <c r="R68" i="6"/>
  <c r="Q66" i="6"/>
  <c r="T72" i="6"/>
  <c r="T66" i="6"/>
  <c r="R63" i="6"/>
  <c r="T54" i="6"/>
  <c r="U44" i="6"/>
  <c r="T42" i="6"/>
  <c r="R39" i="6"/>
  <c r="Q37" i="6"/>
  <c r="U32" i="6"/>
  <c r="T30" i="6"/>
  <c r="R27" i="6"/>
  <c r="Q25" i="6"/>
  <c r="Q65" i="6"/>
  <c r="S65" i="6" s="1"/>
  <c r="V65" i="6" s="1"/>
  <c r="R69" i="6"/>
  <c r="U68" i="6"/>
  <c r="Q61" i="6"/>
  <c r="U56" i="6"/>
  <c r="R51" i="6"/>
  <c r="Q49" i="6"/>
  <c r="S49" i="6" s="1"/>
  <c r="U69" i="6"/>
  <c r="T67" i="6"/>
  <c r="R64" i="6"/>
  <c r="Q62" i="6"/>
  <c r="S62" i="6" s="1"/>
  <c r="U57" i="6"/>
  <c r="T55" i="6"/>
  <c r="R52" i="6"/>
  <c r="Q50" i="6"/>
  <c r="U45" i="6"/>
  <c r="T43" i="6"/>
  <c r="R40" i="6"/>
  <c r="Q38" i="6"/>
  <c r="S38" i="6" s="1"/>
  <c r="U33" i="6"/>
  <c r="T31" i="6"/>
  <c r="R28" i="6"/>
  <c r="Q26" i="6"/>
  <c r="S26" i="6" s="1"/>
  <c r="U72" i="6"/>
  <c r="U70" i="6"/>
  <c r="T68" i="6"/>
  <c r="R65" i="6"/>
  <c r="Q63" i="6"/>
  <c r="S63" i="6" s="1"/>
  <c r="U58" i="6"/>
  <c r="T56" i="6"/>
  <c r="R53" i="6"/>
  <c r="Q51" i="6"/>
  <c r="S51" i="6" s="1"/>
  <c r="U46" i="6"/>
  <c r="T44" i="6"/>
  <c r="R41" i="6"/>
  <c r="Q39" i="6"/>
  <c r="S39" i="6" s="1"/>
  <c r="U34" i="6"/>
  <c r="T32" i="6"/>
  <c r="R29" i="6"/>
  <c r="Q27" i="6"/>
  <c r="U22" i="6"/>
  <c r="T57" i="6"/>
  <c r="R54" i="6"/>
  <c r="Q52" i="6"/>
  <c r="S52" i="6" s="1"/>
  <c r="V52" i="6" s="1"/>
  <c r="U47" i="6"/>
  <c r="T45" i="6"/>
  <c r="R42" i="6"/>
  <c r="Q40" i="6"/>
  <c r="S40" i="6" s="1"/>
  <c r="V40" i="6" s="1"/>
  <c r="U35" i="6"/>
  <c r="T33" i="6"/>
  <c r="R30" i="6"/>
  <c r="Q28" i="6"/>
  <c r="U23" i="6"/>
  <c r="U59" i="6"/>
  <c r="U48" i="6"/>
  <c r="T46" i="6"/>
  <c r="R43" i="6"/>
  <c r="Q41" i="6"/>
  <c r="U36" i="6"/>
  <c r="T34" i="6"/>
  <c r="R31" i="6"/>
  <c r="Q29" i="6"/>
  <c r="U24" i="6"/>
  <c r="T22" i="6"/>
  <c r="U61" i="6"/>
  <c r="T59" i="6"/>
  <c r="R56" i="6"/>
  <c r="Q54" i="6"/>
  <c r="S54" i="6" s="1"/>
  <c r="V54" i="6" s="1"/>
  <c r="U49" i="6"/>
  <c r="T47" i="6"/>
  <c r="R44" i="6"/>
  <c r="Q42" i="6"/>
  <c r="S42" i="6" s="1"/>
  <c r="V42" i="6" s="1"/>
  <c r="U37" i="6"/>
  <c r="T35" i="6"/>
  <c r="R32" i="6"/>
  <c r="Q30" i="6"/>
  <c r="S30" i="6" s="1"/>
  <c r="U25" i="6"/>
  <c r="T23" i="6"/>
  <c r="Q64" i="6"/>
  <c r="R45" i="6"/>
  <c r="Q43" i="6"/>
  <c r="S43" i="6" s="1"/>
  <c r="U38" i="6"/>
  <c r="T36" i="6"/>
  <c r="R33" i="6"/>
  <c r="Q31" i="6"/>
  <c r="S31" i="6" s="1"/>
  <c r="V31" i="6" s="1"/>
  <c r="U26" i="6"/>
  <c r="T24" i="6"/>
  <c r="T58" i="6"/>
  <c r="Q67" i="6"/>
  <c r="S67" i="6" s="1"/>
  <c r="U62" i="6"/>
  <c r="T60" i="6"/>
  <c r="R57" i="6"/>
  <c r="Q55" i="6"/>
  <c r="S55" i="6" s="1"/>
  <c r="U63" i="6"/>
  <c r="R58" i="6"/>
  <c r="Q56" i="6"/>
  <c r="S56" i="6" s="1"/>
  <c r="V56" i="6" s="1"/>
  <c r="U51" i="6"/>
  <c r="T49" i="6"/>
  <c r="R46" i="6"/>
  <c r="Q44" i="6"/>
  <c r="U39" i="6"/>
  <c r="T37" i="6"/>
  <c r="R34" i="6"/>
  <c r="Q32" i="6"/>
  <c r="S32" i="6" s="1"/>
  <c r="U27" i="6"/>
  <c r="T25" i="6"/>
  <c r="R22" i="6"/>
  <c r="T69" i="6"/>
  <c r="R66" i="6"/>
  <c r="R67" i="6"/>
  <c r="R55" i="6"/>
  <c r="T71" i="6"/>
  <c r="T48" i="6"/>
  <c r="R70" i="6"/>
  <c r="Q68" i="6"/>
  <c r="T61" i="6"/>
  <c r="R71" i="6"/>
  <c r="Q69" i="6"/>
  <c r="S69" i="6" s="1"/>
  <c r="U64" i="6"/>
  <c r="T62" i="6"/>
  <c r="R59" i="6"/>
  <c r="Q57" i="6"/>
  <c r="U52" i="6"/>
  <c r="T50" i="6"/>
  <c r="R47" i="6"/>
  <c r="Q45" i="6"/>
  <c r="U40" i="6"/>
  <c r="T38" i="6"/>
  <c r="R35" i="6"/>
  <c r="Q33" i="6"/>
  <c r="U28" i="6"/>
  <c r="T26" i="6"/>
  <c r="R23" i="6"/>
  <c r="U50" i="6"/>
  <c r="R72" i="6"/>
  <c r="Q70" i="6"/>
  <c r="U65" i="6"/>
  <c r="R60" i="6"/>
  <c r="Q58" i="6"/>
  <c r="U53" i="6"/>
  <c r="T51" i="6"/>
  <c r="R48" i="6"/>
  <c r="Q46" i="6"/>
  <c r="S46" i="6" s="1"/>
  <c r="V46" i="6" s="1"/>
  <c r="U41" i="6"/>
  <c r="T39" i="6"/>
  <c r="R36" i="6"/>
  <c r="Q34" i="6"/>
  <c r="U29" i="6"/>
  <c r="T27" i="6"/>
  <c r="R24" i="6"/>
  <c r="Q22" i="6"/>
  <c r="T63" i="6"/>
  <c r="Q71" i="6"/>
  <c r="S71" i="6" s="1"/>
  <c r="V71" i="6" s="1"/>
  <c r="U66" i="6"/>
  <c r="T64" i="6"/>
  <c r="R61" i="6"/>
  <c r="Q59" i="6"/>
  <c r="S59" i="6" s="1"/>
  <c r="V59" i="6" s="1"/>
  <c r="U54" i="6"/>
  <c r="T52" i="6"/>
  <c r="R49" i="6"/>
  <c r="Q47" i="6"/>
  <c r="S47" i="6" s="1"/>
  <c r="U42" i="6"/>
  <c r="T40" i="6"/>
  <c r="R37" i="6"/>
  <c r="Q35" i="6"/>
  <c r="S35" i="6" s="1"/>
  <c r="U30" i="6"/>
  <c r="T28" i="6"/>
  <c r="R25" i="6"/>
  <c r="Q23" i="6"/>
  <c r="S23" i="6" s="1"/>
  <c r="V23" i="6" s="1"/>
  <c r="Q9" i="6"/>
  <c r="T19" i="6"/>
  <c r="Q3" i="6"/>
  <c r="U11" i="6"/>
  <c r="U5" i="6"/>
  <c r="R13" i="6"/>
  <c r="T18" i="6"/>
  <c r="T6" i="6"/>
  <c r="R18" i="6"/>
  <c r="R6" i="6"/>
  <c r="U17" i="6"/>
  <c r="U10" i="6"/>
  <c r="Q21" i="6"/>
  <c r="R7" i="6"/>
  <c r="U16" i="6"/>
  <c r="U8" i="6"/>
  <c r="R16" i="6"/>
  <c r="Q6" i="6"/>
  <c r="R19" i="6"/>
  <c r="U4" i="6"/>
  <c r="T12" i="6"/>
  <c r="Q8" i="6"/>
  <c r="S8" i="6" s="1"/>
  <c r="U21" i="6"/>
  <c r="U3" i="6"/>
  <c r="T11" i="6"/>
  <c r="Q19" i="6"/>
  <c r="Q18" i="6"/>
  <c r="Q20" i="6"/>
  <c r="S20" i="6" s="1"/>
  <c r="Q14" i="6"/>
  <c r="S14" i="6" s="1"/>
  <c r="Q2" i="6"/>
  <c r="R17" i="6"/>
  <c r="R5" i="6"/>
  <c r="Q13" i="6"/>
  <c r="S13" i="6" s="1"/>
  <c r="V13" i="6" s="1"/>
  <c r="U14" i="6"/>
  <c r="T16" i="6"/>
  <c r="T4" i="6"/>
  <c r="R4" i="6"/>
  <c r="U19" i="6"/>
  <c r="U13" i="6"/>
  <c r="U7" i="6"/>
  <c r="T21" i="6"/>
  <c r="T15" i="6"/>
  <c r="T9" i="6"/>
  <c r="T3" i="6"/>
  <c r="R21" i="6"/>
  <c r="R15" i="6"/>
  <c r="R9" i="6"/>
  <c r="R3" i="6"/>
  <c r="Q17" i="6"/>
  <c r="Q11" i="6"/>
  <c r="S11" i="6" s="1"/>
  <c r="Q5" i="6"/>
  <c r="T7" i="6"/>
  <c r="Q15" i="6"/>
  <c r="R12" i="6"/>
  <c r="Q12" i="6"/>
  <c r="T13" i="6"/>
  <c r="U15" i="6"/>
  <c r="U9" i="6"/>
  <c r="T17" i="6"/>
  <c r="T5" i="6"/>
  <c r="R11" i="6"/>
  <c r="Q7" i="6"/>
  <c r="S7" i="6" s="1"/>
  <c r="U20" i="6"/>
  <c r="U2" i="6"/>
  <c r="T10" i="6"/>
  <c r="R10" i="6"/>
  <c r="U18" i="6"/>
  <c r="U12" i="6"/>
  <c r="U6" i="6"/>
  <c r="T20" i="6"/>
  <c r="T14" i="6"/>
  <c r="T8" i="6"/>
  <c r="T2" i="6"/>
  <c r="R20" i="6"/>
  <c r="R14" i="6"/>
  <c r="R8" i="6"/>
  <c r="R2" i="6"/>
  <c r="Q16" i="6"/>
  <c r="S16" i="6" s="1"/>
  <c r="Q10" i="6"/>
  <c r="Q4" i="6"/>
  <c r="S4" i="6" s="1"/>
  <c r="T42" i="5"/>
  <c r="U41" i="5"/>
  <c r="U43" i="5"/>
  <c r="T41" i="5"/>
  <c r="R38" i="5"/>
  <c r="Q36" i="5"/>
  <c r="U31" i="5"/>
  <c r="T29" i="5"/>
  <c r="R26" i="5"/>
  <c r="Q24" i="5"/>
  <c r="S24" i="5" s="1"/>
  <c r="V24" i="5" s="1"/>
  <c r="U32" i="5"/>
  <c r="Q26" i="5"/>
  <c r="S26" i="5" s="1"/>
  <c r="V26" i="5" s="1"/>
  <c r="T30" i="5"/>
  <c r="R27" i="5"/>
  <c r="Q25" i="5"/>
  <c r="T43" i="5"/>
  <c r="Q38" i="5"/>
  <c r="S38" i="5" s="1"/>
  <c r="V38" i="5" s="1"/>
  <c r="T31" i="5"/>
  <c r="T44" i="5"/>
  <c r="R41" i="5"/>
  <c r="Q39" i="5"/>
  <c r="S39" i="5" s="1"/>
  <c r="U34" i="5"/>
  <c r="T32" i="5"/>
  <c r="R29" i="5"/>
  <c r="Q27" i="5"/>
  <c r="S27" i="5" s="1"/>
  <c r="U22" i="5"/>
  <c r="R40" i="5"/>
  <c r="R28" i="5"/>
  <c r="R42" i="5"/>
  <c r="Q40" i="5"/>
  <c r="S40" i="5" s="1"/>
  <c r="V40" i="5" s="1"/>
  <c r="U35" i="5"/>
  <c r="T33" i="5"/>
  <c r="R30" i="5"/>
  <c r="Q28" i="5"/>
  <c r="S28" i="5" s="1"/>
  <c r="V28" i="5" s="1"/>
  <c r="U23" i="5"/>
  <c r="U33" i="5"/>
  <c r="R43" i="5"/>
  <c r="Q41" i="5"/>
  <c r="U36" i="5"/>
  <c r="T34" i="5"/>
  <c r="R31" i="5"/>
  <c r="Q29" i="5"/>
  <c r="U24" i="5"/>
  <c r="T22" i="5"/>
  <c r="U25" i="5"/>
  <c r="T23" i="5"/>
  <c r="U44" i="5"/>
  <c r="Q30" i="5"/>
  <c r="S30" i="5" s="1"/>
  <c r="V30" i="5" s="1"/>
  <c r="Q43" i="5"/>
  <c r="S43" i="5" s="1"/>
  <c r="U38" i="5"/>
  <c r="T36" i="5"/>
  <c r="R33" i="5"/>
  <c r="Q31" i="5"/>
  <c r="S31" i="5" s="1"/>
  <c r="V31" i="5" s="1"/>
  <c r="U26" i="5"/>
  <c r="T24" i="5"/>
  <c r="R39" i="5"/>
  <c r="U27" i="5"/>
  <c r="T25" i="5"/>
  <c r="R22" i="5"/>
  <c r="R44" i="5"/>
  <c r="Q32" i="5"/>
  <c r="U40" i="5"/>
  <c r="T38" i="5"/>
  <c r="R35" i="5"/>
  <c r="Q33" i="5"/>
  <c r="S33" i="5" s="1"/>
  <c r="U28" i="5"/>
  <c r="T26" i="5"/>
  <c r="R23" i="5"/>
  <c r="R36" i="5"/>
  <c r="Q34" i="5"/>
  <c r="U29" i="5"/>
  <c r="T27" i="5"/>
  <c r="R24" i="5"/>
  <c r="Q22" i="5"/>
  <c r="Q37" i="5"/>
  <c r="Q42" i="5"/>
  <c r="U37" i="5"/>
  <c r="T35" i="5"/>
  <c r="R32" i="5"/>
  <c r="Q44" i="5"/>
  <c r="U39" i="5"/>
  <c r="T37" i="5"/>
  <c r="R34" i="5"/>
  <c r="T39" i="5"/>
  <c r="U42" i="5"/>
  <c r="T40" i="5"/>
  <c r="R37" i="5"/>
  <c r="Q35" i="5"/>
  <c r="S35" i="5" s="1"/>
  <c r="U30" i="5"/>
  <c r="T28" i="5"/>
  <c r="R25" i="5"/>
  <c r="Q23" i="5"/>
  <c r="S23" i="5" s="1"/>
  <c r="U4" i="5"/>
  <c r="U5" i="5"/>
  <c r="T19" i="5"/>
  <c r="T13" i="5"/>
  <c r="T7" i="5"/>
  <c r="R19" i="5"/>
  <c r="R7" i="5"/>
  <c r="Q21" i="5"/>
  <c r="S21" i="5" s="1"/>
  <c r="Q15" i="5"/>
  <c r="S15" i="5" s="1"/>
  <c r="V15" i="5" s="1"/>
  <c r="Q3" i="5"/>
  <c r="U17" i="5"/>
  <c r="R13" i="5"/>
  <c r="Q9" i="5"/>
  <c r="Q8" i="5"/>
  <c r="Q2" i="5"/>
  <c r="S2" i="5" s="1"/>
  <c r="V2" i="5" s="1"/>
  <c r="U16" i="5"/>
  <c r="T12" i="5"/>
  <c r="T6" i="5"/>
  <c r="R18" i="5"/>
  <c r="R12" i="5"/>
  <c r="R6" i="5"/>
  <c r="Q20" i="5"/>
  <c r="S20" i="5" s="1"/>
  <c r="Q14" i="5"/>
  <c r="S14" i="5" s="1"/>
  <c r="U21" i="5"/>
  <c r="U15" i="5"/>
  <c r="U9" i="5"/>
  <c r="U3" i="5"/>
  <c r="T17" i="5"/>
  <c r="T11" i="5"/>
  <c r="T5" i="5"/>
  <c r="R17" i="5"/>
  <c r="R11" i="5"/>
  <c r="R5" i="5"/>
  <c r="Q19" i="5"/>
  <c r="S19" i="5" s="1"/>
  <c r="Q13" i="5"/>
  <c r="Q7" i="5"/>
  <c r="S7" i="5" s="1"/>
  <c r="V7" i="5" s="1"/>
  <c r="T18" i="5"/>
  <c r="Q12" i="5"/>
  <c r="Q6" i="5"/>
  <c r="S6" i="5" s="1"/>
  <c r="V6" i="5" s="1"/>
  <c r="U11" i="5"/>
  <c r="U2" i="5"/>
  <c r="T15" i="5"/>
  <c r="T3" i="5"/>
  <c r="R9" i="5"/>
  <c r="R3" i="5"/>
  <c r="Q17" i="5"/>
  <c r="Q11" i="5"/>
  <c r="S11" i="5" s="1"/>
  <c r="V11" i="5" s="1"/>
  <c r="Q5" i="5"/>
  <c r="S5" i="5" s="1"/>
  <c r="V5" i="5" s="1"/>
  <c r="U10" i="5"/>
  <c r="U20" i="5"/>
  <c r="U14" i="5"/>
  <c r="U8" i="5"/>
  <c r="T16" i="5"/>
  <c r="T10" i="5"/>
  <c r="T4" i="5"/>
  <c r="R16" i="5"/>
  <c r="R10" i="5"/>
  <c r="Q18" i="5"/>
  <c r="S18" i="5" s="1"/>
  <c r="U19" i="5"/>
  <c r="U13" i="5"/>
  <c r="U7" i="5"/>
  <c r="R15" i="5"/>
  <c r="R4" i="5"/>
  <c r="T21" i="5"/>
  <c r="T9" i="5"/>
  <c r="R21" i="5"/>
  <c r="U18" i="5"/>
  <c r="U12" i="5"/>
  <c r="U6" i="5"/>
  <c r="T20" i="5"/>
  <c r="T14" i="5"/>
  <c r="T8" i="5"/>
  <c r="T2" i="5"/>
  <c r="R20" i="5"/>
  <c r="R14" i="5"/>
  <c r="R8" i="5"/>
  <c r="R2" i="5"/>
  <c r="Q16" i="5"/>
  <c r="Q10" i="5"/>
  <c r="Q4" i="5"/>
  <c r="S4" i="5" s="1"/>
  <c r="V4" i="5" s="1"/>
  <c r="T121" i="4"/>
  <c r="T115" i="4"/>
  <c r="U105" i="4"/>
  <c r="U72" i="4"/>
  <c r="R115" i="4"/>
  <c r="Q114" i="4"/>
  <c r="S114" i="4" s="1"/>
  <c r="U112" i="4"/>
  <c r="U131" i="4"/>
  <c r="T130" i="4"/>
  <c r="R122" i="4"/>
  <c r="U118" i="4"/>
  <c r="T117" i="4"/>
  <c r="Q115" i="4"/>
  <c r="T112" i="4"/>
  <c r="R103" i="4"/>
  <c r="T94" i="4"/>
  <c r="Q91" i="4"/>
  <c r="Q83" i="4"/>
  <c r="S83" i="4" s="1"/>
  <c r="T76" i="4"/>
  <c r="Q74" i="4"/>
  <c r="Q67" i="4"/>
  <c r="U57" i="4"/>
  <c r="Q55" i="4"/>
  <c r="S55" i="4" s="1"/>
  <c r="V55" i="4" s="1"/>
  <c r="U48" i="4"/>
  <c r="R45" i="4"/>
  <c r="T103" i="4"/>
  <c r="U132" i="4"/>
  <c r="R129" i="4"/>
  <c r="Q128" i="4"/>
  <c r="S128" i="4" s="1"/>
  <c r="V128" i="4" s="1"/>
  <c r="U125" i="4"/>
  <c r="T124" i="4"/>
  <c r="Q122" i="4"/>
  <c r="R116" i="4"/>
  <c r="U113" i="4"/>
  <c r="U109" i="4"/>
  <c r="R108" i="4"/>
  <c r="T99" i="4"/>
  <c r="U84" i="4"/>
  <c r="U78" i="4"/>
  <c r="R76" i="4"/>
  <c r="R69" i="4"/>
  <c r="T48" i="4"/>
  <c r="U127" i="4"/>
  <c r="Q124" i="4"/>
  <c r="R118" i="4"/>
  <c r="R109" i="4"/>
  <c r="R104" i="4"/>
  <c r="R97" i="4"/>
  <c r="T95" i="4"/>
  <c r="Q86" i="4"/>
  <c r="U77" i="4"/>
  <c r="R73" i="4"/>
  <c r="U50" i="4"/>
  <c r="R31" i="4"/>
  <c r="R132" i="4"/>
  <c r="T127" i="4"/>
  <c r="T93" i="4"/>
  <c r="Q90" i="4"/>
  <c r="S90" i="4" s="1"/>
  <c r="V90" i="4" s="1"/>
  <c r="Q125" i="4"/>
  <c r="S125" i="4" s="1"/>
  <c r="V125" i="4" s="1"/>
  <c r="R119" i="4"/>
  <c r="R102" i="4"/>
  <c r="R112" i="4"/>
  <c r="T106" i="4"/>
  <c r="Q103" i="4"/>
  <c r="S103" i="4" s="1"/>
  <c r="V103" i="4" s="1"/>
  <c r="U97" i="4"/>
  <c r="U86" i="4"/>
  <c r="T64" i="4"/>
  <c r="Q62" i="4"/>
  <c r="S62" i="4" s="1"/>
  <c r="R57" i="4"/>
  <c r="U54" i="4"/>
  <c r="Q130" i="4"/>
  <c r="S130" i="4" s="1"/>
  <c r="V130" i="4" s="1"/>
  <c r="T120" i="4"/>
  <c r="R113" i="4"/>
  <c r="Q106" i="4"/>
  <c r="R114" i="4"/>
  <c r="R100" i="4"/>
  <c r="U96" i="4"/>
  <c r="U89" i="4"/>
  <c r="U130" i="4"/>
  <c r="T129" i="4"/>
  <c r="R121" i="4"/>
  <c r="Q120" i="4"/>
  <c r="S120" i="4" s="1"/>
  <c r="U117" i="4"/>
  <c r="T116" i="4"/>
  <c r="Q107" i="4"/>
  <c r="T131" i="4"/>
  <c r="U119" i="4"/>
  <c r="T118" i="4"/>
  <c r="T132" i="4"/>
  <c r="R130" i="4"/>
  <c r="Q129" i="4"/>
  <c r="U126" i="4"/>
  <c r="T125" i="4"/>
  <c r="R124" i="4"/>
  <c r="Q123" i="4"/>
  <c r="S123" i="4" s="1"/>
  <c r="V123" i="4" s="1"/>
  <c r="U120" i="4"/>
  <c r="R117" i="4"/>
  <c r="T113" i="4"/>
  <c r="Q101" i="4"/>
  <c r="U95" i="4"/>
  <c r="Q94" i="4"/>
  <c r="S94" i="4" s="1"/>
  <c r="V94" i="4" s="1"/>
  <c r="R92" i="4"/>
  <c r="U90" i="4"/>
  <c r="T88" i="4"/>
  <c r="T84" i="4"/>
  <c r="T82" i="4"/>
  <c r="U66" i="4"/>
  <c r="R64" i="4"/>
  <c r="R125" i="4"/>
  <c r="T110" i="4"/>
  <c r="T119" i="4"/>
  <c r="U114" i="4"/>
  <c r="Q112" i="4"/>
  <c r="S112" i="4" s="1"/>
  <c r="V112" i="4" s="1"/>
  <c r="U110" i="4"/>
  <c r="R88" i="4"/>
  <c r="R84" i="4"/>
  <c r="T75" i="4"/>
  <c r="Q71" i="4"/>
  <c r="S71" i="4" s="1"/>
  <c r="V71" i="4" s="1"/>
  <c r="Q82" i="4"/>
  <c r="T63" i="4"/>
  <c r="Q59" i="4"/>
  <c r="Q47" i="4"/>
  <c r="U65" i="4"/>
  <c r="R61" i="4"/>
  <c r="R43" i="4"/>
  <c r="U36" i="4"/>
  <c r="U85" i="4"/>
  <c r="T46" i="4"/>
  <c r="R110" i="4"/>
  <c r="Q95" i="4"/>
  <c r="T87" i="4"/>
  <c r="U81" i="4"/>
  <c r="T79" i="4"/>
  <c r="Q77" i="4"/>
  <c r="T72" i="4"/>
  <c r="Q53" i="4"/>
  <c r="R127" i="4"/>
  <c r="Q126" i="4"/>
  <c r="S126" i="4" s="1"/>
  <c r="U123" i="4"/>
  <c r="T122" i="4"/>
  <c r="Q119" i="4"/>
  <c r="T111" i="4"/>
  <c r="Q110" i="4"/>
  <c r="S110" i="4" s="1"/>
  <c r="V110" i="4" s="1"/>
  <c r="U108" i="4"/>
  <c r="Q102" i="4"/>
  <c r="S102" i="4" s="1"/>
  <c r="Q100" i="4"/>
  <c r="R93" i="4"/>
  <c r="T83" i="4"/>
  <c r="R79" i="4"/>
  <c r="U74" i="4"/>
  <c r="R72" i="4"/>
  <c r="Q70" i="4"/>
  <c r="U60" i="4"/>
  <c r="T58" i="4"/>
  <c r="R131" i="4"/>
  <c r="U121" i="4"/>
  <c r="Q117" i="4"/>
  <c r="S117" i="4" s="1"/>
  <c r="U107" i="4"/>
  <c r="U102" i="4"/>
  <c r="U93" i="4"/>
  <c r="U115" i="4"/>
  <c r="U122" i="4"/>
  <c r="Q113" i="4"/>
  <c r="S113" i="4" s="1"/>
  <c r="T100" i="4"/>
  <c r="T70" i="4"/>
  <c r="Q98" i="4"/>
  <c r="S98" i="4" s="1"/>
  <c r="T96" i="4"/>
  <c r="R91" i="4"/>
  <c r="Q79" i="4"/>
  <c r="T67" i="4"/>
  <c r="Q65" i="4"/>
  <c r="T60" i="4"/>
  <c r="T55" i="4"/>
  <c r="R49" i="4"/>
  <c r="Q131" i="4"/>
  <c r="R126" i="4"/>
  <c r="Q118" i="4"/>
  <c r="S118" i="4" s="1"/>
  <c r="T107" i="4"/>
  <c r="U98" i="4"/>
  <c r="Q132" i="4"/>
  <c r="S132" i="4" s="1"/>
  <c r="V132" i="4" s="1"/>
  <c r="U129" i="4"/>
  <c r="T128" i="4"/>
  <c r="R120" i="4"/>
  <c r="T105" i="4"/>
  <c r="T91" i="4"/>
  <c r="R128" i="4"/>
  <c r="Q127" i="4"/>
  <c r="U124" i="4"/>
  <c r="T123" i="4"/>
  <c r="T108" i="4"/>
  <c r="R105" i="4"/>
  <c r="U101" i="4"/>
  <c r="R96" i="4"/>
  <c r="Q89" i="4"/>
  <c r="R85" i="4"/>
  <c r="R81" i="4"/>
  <c r="U69" i="4"/>
  <c r="R67" i="4"/>
  <c r="U62" i="4"/>
  <c r="R60" i="4"/>
  <c r="R55" i="4"/>
  <c r="T52" i="4"/>
  <c r="Q41" i="4"/>
  <c r="S41" i="4" s="1"/>
  <c r="V41" i="4" s="1"/>
  <c r="T34" i="4"/>
  <c r="Q29" i="4"/>
  <c r="R80" i="4"/>
  <c r="Q78" i="4"/>
  <c r="U73" i="4"/>
  <c r="T71" i="4"/>
  <c r="R68" i="4"/>
  <c r="Q66" i="4"/>
  <c r="S66" i="4" s="1"/>
  <c r="U61" i="4"/>
  <c r="T59" i="4"/>
  <c r="R56" i="4"/>
  <c r="Q54" i="4"/>
  <c r="S54" i="4" s="1"/>
  <c r="V54" i="4" s="1"/>
  <c r="U49" i="4"/>
  <c r="T47" i="4"/>
  <c r="R44" i="4"/>
  <c r="Q42" i="4"/>
  <c r="U37" i="4"/>
  <c r="T35" i="4"/>
  <c r="R32" i="4"/>
  <c r="Q30" i="4"/>
  <c r="S30" i="4" s="1"/>
  <c r="V30" i="4" s="1"/>
  <c r="Q43" i="4"/>
  <c r="U38" i="4"/>
  <c r="T36" i="4"/>
  <c r="R33" i="4"/>
  <c r="Q31" i="4"/>
  <c r="S31" i="4" s="1"/>
  <c r="Q116" i="4"/>
  <c r="U111" i="4"/>
  <c r="T109" i="4"/>
  <c r="R106" i="4"/>
  <c r="Q104" i="4"/>
  <c r="U99" i="4"/>
  <c r="T97" i="4"/>
  <c r="R94" i="4"/>
  <c r="Q92" i="4"/>
  <c r="S92" i="4" s="1"/>
  <c r="U87" i="4"/>
  <c r="T85" i="4"/>
  <c r="R82" i="4"/>
  <c r="Q80" i="4"/>
  <c r="S80" i="4" s="1"/>
  <c r="U75" i="4"/>
  <c r="T73" i="4"/>
  <c r="R70" i="4"/>
  <c r="Q68" i="4"/>
  <c r="S68" i="4" s="1"/>
  <c r="V68" i="4" s="1"/>
  <c r="U63" i="4"/>
  <c r="T61" i="4"/>
  <c r="R58" i="4"/>
  <c r="Q56" i="4"/>
  <c r="U51" i="4"/>
  <c r="T49" i="4"/>
  <c r="R46" i="4"/>
  <c r="Q44" i="4"/>
  <c r="S44" i="4" s="1"/>
  <c r="U39" i="4"/>
  <c r="T37" i="4"/>
  <c r="R34" i="4"/>
  <c r="Q32" i="4"/>
  <c r="S32" i="4" s="1"/>
  <c r="V32" i="4" s="1"/>
  <c r="U27" i="4"/>
  <c r="R107" i="4"/>
  <c r="Q105" i="4"/>
  <c r="U100" i="4"/>
  <c r="T98" i="4"/>
  <c r="R95" i="4"/>
  <c r="Q93" i="4"/>
  <c r="S93" i="4" s="1"/>
  <c r="V93" i="4" s="1"/>
  <c r="U88" i="4"/>
  <c r="T86" i="4"/>
  <c r="R83" i="4"/>
  <c r="Q81" i="4"/>
  <c r="S81" i="4" s="1"/>
  <c r="U76" i="4"/>
  <c r="T74" i="4"/>
  <c r="R71" i="4"/>
  <c r="Q69" i="4"/>
  <c r="U64" i="4"/>
  <c r="T62" i="4"/>
  <c r="R59" i="4"/>
  <c r="Q57" i="4"/>
  <c r="S57" i="4" s="1"/>
  <c r="V57" i="4" s="1"/>
  <c r="U52" i="4"/>
  <c r="T50" i="4"/>
  <c r="R47" i="4"/>
  <c r="Q45" i="4"/>
  <c r="S45" i="4" s="1"/>
  <c r="U40" i="4"/>
  <c r="T38" i="4"/>
  <c r="R35" i="4"/>
  <c r="Q33" i="4"/>
  <c r="U28" i="4"/>
  <c r="Q58" i="4"/>
  <c r="S58" i="4" s="1"/>
  <c r="V58" i="4" s="1"/>
  <c r="U53" i="4"/>
  <c r="T51" i="4"/>
  <c r="R48" i="4"/>
  <c r="Q46" i="4"/>
  <c r="U41" i="4"/>
  <c r="T39" i="4"/>
  <c r="R36" i="4"/>
  <c r="Q34" i="4"/>
  <c r="S34" i="4" s="1"/>
  <c r="U29" i="4"/>
  <c r="T27" i="4"/>
  <c r="U42" i="4"/>
  <c r="T40" i="4"/>
  <c r="R37" i="4"/>
  <c r="Q35" i="4"/>
  <c r="S35" i="4" s="1"/>
  <c r="V35" i="4" s="1"/>
  <c r="U30" i="4"/>
  <c r="T28" i="4"/>
  <c r="Q96" i="4"/>
  <c r="S96" i="4" s="1"/>
  <c r="U91" i="4"/>
  <c r="T89" i="4"/>
  <c r="R86" i="4"/>
  <c r="Q84" i="4"/>
  <c r="S84" i="4" s="1"/>
  <c r="V84" i="4" s="1"/>
  <c r="U79" i="4"/>
  <c r="T77" i="4"/>
  <c r="R74" i="4"/>
  <c r="Q72" i="4"/>
  <c r="S72" i="4" s="1"/>
  <c r="V72" i="4" s="1"/>
  <c r="U67" i="4"/>
  <c r="T65" i="4"/>
  <c r="R62" i="4"/>
  <c r="Q60" i="4"/>
  <c r="U55" i="4"/>
  <c r="T53" i="4"/>
  <c r="R50" i="4"/>
  <c r="Q48" i="4"/>
  <c r="S48" i="4" s="1"/>
  <c r="U43" i="4"/>
  <c r="T41" i="4"/>
  <c r="R38" i="4"/>
  <c r="Q36" i="4"/>
  <c r="S36" i="4" s="1"/>
  <c r="V36" i="4" s="1"/>
  <c r="U31" i="4"/>
  <c r="T29" i="4"/>
  <c r="Q108" i="4"/>
  <c r="U103" i="4"/>
  <c r="T101" i="4"/>
  <c r="R98" i="4"/>
  <c r="U128" i="4"/>
  <c r="T126" i="4"/>
  <c r="R123" i="4"/>
  <c r="Q121" i="4"/>
  <c r="S121" i="4" s="1"/>
  <c r="U116" i="4"/>
  <c r="T114" i="4"/>
  <c r="R111" i="4"/>
  <c r="Q109" i="4"/>
  <c r="U104" i="4"/>
  <c r="T102" i="4"/>
  <c r="R99" i="4"/>
  <c r="Q97" i="4"/>
  <c r="U92" i="4"/>
  <c r="T90" i="4"/>
  <c r="R87" i="4"/>
  <c r="Q85" i="4"/>
  <c r="S85" i="4" s="1"/>
  <c r="U80" i="4"/>
  <c r="T78" i="4"/>
  <c r="R75" i="4"/>
  <c r="Q73" i="4"/>
  <c r="U68" i="4"/>
  <c r="T66" i="4"/>
  <c r="R63" i="4"/>
  <c r="Q61" i="4"/>
  <c r="S61" i="4" s="1"/>
  <c r="V61" i="4" s="1"/>
  <c r="U56" i="4"/>
  <c r="T54" i="4"/>
  <c r="R51" i="4"/>
  <c r="Q49" i="4"/>
  <c r="S49" i="4" s="1"/>
  <c r="U44" i="4"/>
  <c r="T42" i="4"/>
  <c r="R39" i="4"/>
  <c r="Q37" i="4"/>
  <c r="U32" i="4"/>
  <c r="T30" i="4"/>
  <c r="R27" i="4"/>
  <c r="R52" i="4"/>
  <c r="Q50" i="4"/>
  <c r="S50" i="4" s="1"/>
  <c r="U45" i="4"/>
  <c r="T43" i="4"/>
  <c r="R40" i="4"/>
  <c r="Q38" i="4"/>
  <c r="S38" i="4" s="1"/>
  <c r="V38" i="4" s="1"/>
  <c r="U33" i="4"/>
  <c r="T31" i="4"/>
  <c r="R28" i="4"/>
  <c r="Q111" i="4"/>
  <c r="U106" i="4"/>
  <c r="T104" i="4"/>
  <c r="R101" i="4"/>
  <c r="Q99" i="4"/>
  <c r="S99" i="4" s="1"/>
  <c r="V99" i="4" s="1"/>
  <c r="U94" i="4"/>
  <c r="T92" i="4"/>
  <c r="R89" i="4"/>
  <c r="Q87" i="4"/>
  <c r="S87" i="4" s="1"/>
  <c r="U82" i="4"/>
  <c r="T80" i="4"/>
  <c r="R77" i="4"/>
  <c r="Q75" i="4"/>
  <c r="U70" i="4"/>
  <c r="T68" i="4"/>
  <c r="R65" i="4"/>
  <c r="Q63" i="4"/>
  <c r="S63" i="4" s="1"/>
  <c r="U58" i="4"/>
  <c r="T56" i="4"/>
  <c r="R53" i="4"/>
  <c r="Q51" i="4"/>
  <c r="S51" i="4" s="1"/>
  <c r="U46" i="4"/>
  <c r="T44" i="4"/>
  <c r="R41" i="4"/>
  <c r="Q39" i="4"/>
  <c r="U34" i="4"/>
  <c r="T32" i="4"/>
  <c r="R29" i="4"/>
  <c r="Q27" i="4"/>
  <c r="S27" i="4" s="1"/>
  <c r="V27" i="4" s="1"/>
  <c r="R90" i="4"/>
  <c r="Q88" i="4"/>
  <c r="U83" i="4"/>
  <c r="T81" i="4"/>
  <c r="R78" i="4"/>
  <c r="Q76" i="4"/>
  <c r="S76" i="4" s="1"/>
  <c r="V76" i="4" s="1"/>
  <c r="U71" i="4"/>
  <c r="T69" i="4"/>
  <c r="R66" i="4"/>
  <c r="Q64" i="4"/>
  <c r="U59" i="4"/>
  <c r="T57" i="4"/>
  <c r="R54" i="4"/>
  <c r="Q52" i="4"/>
  <c r="U47" i="4"/>
  <c r="T45" i="4"/>
  <c r="R42" i="4"/>
  <c r="Q40" i="4"/>
  <c r="S40" i="4" s="1"/>
  <c r="V40" i="4" s="1"/>
  <c r="U35" i="4"/>
  <c r="T33" i="4"/>
  <c r="R30" i="4"/>
  <c r="Q28" i="4"/>
  <c r="S28" i="4" s="1"/>
  <c r="R18" i="4"/>
  <c r="R12" i="4"/>
  <c r="R6" i="4"/>
  <c r="Q25" i="4"/>
  <c r="Q19" i="4"/>
  <c r="Q13" i="4"/>
  <c r="S13" i="4" s="1"/>
  <c r="Q7" i="4"/>
  <c r="S7" i="4" s="1"/>
  <c r="R24" i="4"/>
  <c r="T10" i="4"/>
  <c r="T4" i="4"/>
  <c r="T16" i="4"/>
  <c r="R23" i="4"/>
  <c r="R17" i="4"/>
  <c r="R11" i="4"/>
  <c r="R5" i="4"/>
  <c r="Q24" i="4"/>
  <c r="Q18" i="4"/>
  <c r="S18" i="4" s="1"/>
  <c r="Q12" i="4"/>
  <c r="S12" i="4" s="1"/>
  <c r="V12" i="4" s="1"/>
  <c r="Q6" i="4"/>
  <c r="S6" i="4" s="1"/>
  <c r="U2" i="4"/>
  <c r="T21" i="4"/>
  <c r="T15" i="4"/>
  <c r="T9" i="4"/>
  <c r="T3" i="4"/>
  <c r="U21" i="4"/>
  <c r="U15" i="4"/>
  <c r="U3" i="4"/>
  <c r="T22" i="4"/>
  <c r="U26" i="4"/>
  <c r="U20" i="4"/>
  <c r="R16" i="4"/>
  <c r="Q17" i="4"/>
  <c r="S17" i="4" s="1"/>
  <c r="V17" i="4" s="1"/>
  <c r="Q11" i="4"/>
  <c r="S11" i="4" s="1"/>
  <c r="V11" i="4" s="1"/>
  <c r="Q5" i="4"/>
  <c r="S5" i="4" s="1"/>
  <c r="V5" i="4" s="1"/>
  <c r="R10" i="4"/>
  <c r="U25" i="4"/>
  <c r="U19" i="4"/>
  <c r="U13" i="4"/>
  <c r="U7" i="4"/>
  <c r="T26" i="4"/>
  <c r="T20" i="4"/>
  <c r="T14" i="4"/>
  <c r="T8" i="4"/>
  <c r="T2" i="4"/>
  <c r="U9" i="4"/>
  <c r="R9" i="4"/>
  <c r="R3" i="4"/>
  <c r="Q22" i="4"/>
  <c r="S22" i="4" s="1"/>
  <c r="V22" i="4" s="1"/>
  <c r="Q16" i="4"/>
  <c r="Q10" i="4"/>
  <c r="Q4" i="4"/>
  <c r="R22" i="4"/>
  <c r="U24" i="4"/>
  <c r="U18" i="4"/>
  <c r="U12" i="4"/>
  <c r="U6" i="4"/>
  <c r="T25" i="4"/>
  <c r="T19" i="4"/>
  <c r="T13" i="4"/>
  <c r="T7" i="4"/>
  <c r="R15" i="4"/>
  <c r="R26" i="4"/>
  <c r="R20" i="4"/>
  <c r="R14" i="4"/>
  <c r="R8" i="4"/>
  <c r="R2" i="4"/>
  <c r="Q21" i="4"/>
  <c r="Q15" i="4"/>
  <c r="S15" i="4" s="1"/>
  <c r="Q9" i="4"/>
  <c r="Q3" i="4"/>
  <c r="U8" i="4"/>
  <c r="R21" i="4"/>
  <c r="U23" i="4"/>
  <c r="U17" i="4"/>
  <c r="U11" i="4"/>
  <c r="U5" i="4"/>
  <c r="T24" i="4"/>
  <c r="T18" i="4"/>
  <c r="T12" i="4"/>
  <c r="T6" i="4"/>
  <c r="U14" i="4"/>
  <c r="R4" i="4"/>
  <c r="R25" i="4"/>
  <c r="R19" i="4"/>
  <c r="R13" i="4"/>
  <c r="R7" i="4"/>
  <c r="Q26" i="4"/>
  <c r="S26" i="4" s="1"/>
  <c r="Q20" i="4"/>
  <c r="S20" i="4" s="1"/>
  <c r="Q14" i="4"/>
  <c r="S14" i="4" s="1"/>
  <c r="Q8" i="4"/>
  <c r="Q2" i="4"/>
  <c r="Q23" i="4"/>
  <c r="U22" i="4"/>
  <c r="U16" i="4"/>
  <c r="U10" i="4"/>
  <c r="U4" i="4"/>
  <c r="T23" i="4"/>
  <c r="T17" i="4"/>
  <c r="T11" i="4"/>
  <c r="T5" i="4"/>
  <c r="R89" i="3"/>
  <c r="T85" i="3"/>
  <c r="Q102" i="3"/>
  <c r="T107" i="3"/>
  <c r="U94" i="3"/>
  <c r="T92" i="3"/>
  <c r="T95" i="3"/>
  <c r="R101" i="3"/>
  <c r="U109" i="3"/>
  <c r="T106" i="3"/>
  <c r="Q104" i="3"/>
  <c r="S104" i="3" s="1"/>
  <c r="V104" i="3" s="1"/>
  <c r="Q90" i="3"/>
  <c r="S90" i="3" s="1"/>
  <c r="V90" i="3" s="1"/>
  <c r="U82" i="3"/>
  <c r="U85" i="3"/>
  <c r="Q99" i="3"/>
  <c r="S99" i="3" s="1"/>
  <c r="R92" i="3"/>
  <c r="T104" i="3"/>
  <c r="U87" i="3"/>
  <c r="T97" i="3"/>
  <c r="Q87" i="3"/>
  <c r="R104" i="3"/>
  <c r="U99" i="3"/>
  <c r="Q92" i="3"/>
  <c r="S92" i="3" s="1"/>
  <c r="V92" i="3" s="1"/>
  <c r="U97" i="3"/>
  <c r="R94" i="3"/>
  <c r="T109" i="3"/>
  <c r="U106" i="3"/>
  <c r="U108" i="3"/>
  <c r="R106" i="3"/>
  <c r="Q80" i="3"/>
  <c r="T73" i="3"/>
  <c r="Q94" i="3"/>
  <c r="S94" i="3" s="1"/>
  <c r="R84" i="3"/>
  <c r="Q108" i="3"/>
  <c r="S108" i="3" s="1"/>
  <c r="V108" i="3" s="1"/>
  <c r="U103" i="3"/>
  <c r="T101" i="3"/>
  <c r="R98" i="3"/>
  <c r="Q96" i="3"/>
  <c r="U91" i="3"/>
  <c r="T89" i="3"/>
  <c r="R86" i="3"/>
  <c r="Q84" i="3"/>
  <c r="U79" i="3"/>
  <c r="T77" i="3"/>
  <c r="R74" i="3"/>
  <c r="Q72" i="3"/>
  <c r="S72" i="3" s="1"/>
  <c r="V72" i="3" s="1"/>
  <c r="U67" i="3"/>
  <c r="T65" i="3"/>
  <c r="R62" i="3"/>
  <c r="Q60" i="3"/>
  <c r="U55" i="3"/>
  <c r="T53" i="3"/>
  <c r="R50" i="3"/>
  <c r="Q48" i="3"/>
  <c r="S48" i="3" s="1"/>
  <c r="U43" i="3"/>
  <c r="T41" i="3"/>
  <c r="R38" i="3"/>
  <c r="Q36" i="3"/>
  <c r="S36" i="3" s="1"/>
  <c r="V36" i="3" s="1"/>
  <c r="U31" i="3"/>
  <c r="T29" i="3"/>
  <c r="R26" i="3"/>
  <c r="Q24" i="3"/>
  <c r="U19" i="3"/>
  <c r="T17" i="3"/>
  <c r="R14" i="3"/>
  <c r="Q12" i="3"/>
  <c r="S12" i="3" s="1"/>
  <c r="Q68" i="3"/>
  <c r="S68" i="3" s="1"/>
  <c r="R108" i="3"/>
  <c r="U89" i="3"/>
  <c r="Q109" i="3"/>
  <c r="S109" i="3" s="1"/>
  <c r="V109" i="3" s="1"/>
  <c r="U104" i="3"/>
  <c r="T102" i="3"/>
  <c r="R99" i="3"/>
  <c r="Q97" i="3"/>
  <c r="U92" i="3"/>
  <c r="T90" i="3"/>
  <c r="R87" i="3"/>
  <c r="Q85" i="3"/>
  <c r="S85" i="3" s="1"/>
  <c r="V85" i="3" s="1"/>
  <c r="U80" i="3"/>
  <c r="T78" i="3"/>
  <c r="R75" i="3"/>
  <c r="Q73" i="3"/>
  <c r="S73" i="3" s="1"/>
  <c r="V73" i="3" s="1"/>
  <c r="U68" i="3"/>
  <c r="T66" i="3"/>
  <c r="R63" i="3"/>
  <c r="Q61" i="3"/>
  <c r="U56" i="3"/>
  <c r="T54" i="3"/>
  <c r="R51" i="3"/>
  <c r="Q49" i="3"/>
  <c r="S49" i="3" s="1"/>
  <c r="V49" i="3" s="1"/>
  <c r="U44" i="3"/>
  <c r="T42" i="3"/>
  <c r="R39" i="3"/>
  <c r="Q37" i="3"/>
  <c r="S37" i="3" s="1"/>
  <c r="V37" i="3" s="1"/>
  <c r="U32" i="3"/>
  <c r="T30" i="3"/>
  <c r="R27" i="3"/>
  <c r="Q25" i="3"/>
  <c r="U20" i="3"/>
  <c r="T18" i="3"/>
  <c r="R15" i="3"/>
  <c r="Q13" i="3"/>
  <c r="S13" i="3" s="1"/>
  <c r="R82" i="3"/>
  <c r="U75" i="3"/>
  <c r="R70" i="3"/>
  <c r="R96" i="3"/>
  <c r="T87" i="3"/>
  <c r="Q82" i="3"/>
  <c r="S82" i="3" s="1"/>
  <c r="V82" i="3" s="1"/>
  <c r="U105" i="3"/>
  <c r="T103" i="3"/>
  <c r="R100" i="3"/>
  <c r="Q98" i="3"/>
  <c r="S98" i="3" s="1"/>
  <c r="U93" i="3"/>
  <c r="T91" i="3"/>
  <c r="R88" i="3"/>
  <c r="Q86" i="3"/>
  <c r="U81" i="3"/>
  <c r="T79" i="3"/>
  <c r="R76" i="3"/>
  <c r="Q74" i="3"/>
  <c r="S74" i="3" s="1"/>
  <c r="V74" i="3" s="1"/>
  <c r="U69" i="3"/>
  <c r="T67" i="3"/>
  <c r="R64" i="3"/>
  <c r="Q62" i="3"/>
  <c r="S62" i="3" s="1"/>
  <c r="U57" i="3"/>
  <c r="T55" i="3"/>
  <c r="R52" i="3"/>
  <c r="Q50" i="3"/>
  <c r="U45" i="3"/>
  <c r="T43" i="3"/>
  <c r="R40" i="3"/>
  <c r="Q38" i="3"/>
  <c r="S38" i="3" s="1"/>
  <c r="V38" i="3" s="1"/>
  <c r="U33" i="3"/>
  <c r="T31" i="3"/>
  <c r="R28" i="3"/>
  <c r="Q26" i="3"/>
  <c r="S26" i="3" s="1"/>
  <c r="U21" i="3"/>
  <c r="T19" i="3"/>
  <c r="R16" i="3"/>
  <c r="Q14" i="3"/>
  <c r="T80" i="3"/>
  <c r="Q75" i="3"/>
  <c r="S75" i="3" s="1"/>
  <c r="V75" i="3" s="1"/>
  <c r="U70" i="3"/>
  <c r="T68" i="3"/>
  <c r="R65" i="3"/>
  <c r="Q63" i="3"/>
  <c r="S63" i="3" s="1"/>
  <c r="U58" i="3"/>
  <c r="T56" i="3"/>
  <c r="R53" i="3"/>
  <c r="Q51" i="3"/>
  <c r="S51" i="3" s="1"/>
  <c r="U46" i="3"/>
  <c r="T44" i="3"/>
  <c r="R41" i="3"/>
  <c r="Q39" i="3"/>
  <c r="S39" i="3" s="1"/>
  <c r="V39" i="3" s="1"/>
  <c r="U34" i="3"/>
  <c r="T32" i="3"/>
  <c r="R29" i="3"/>
  <c r="Q27" i="3"/>
  <c r="S27" i="3" s="1"/>
  <c r="U22" i="3"/>
  <c r="T20" i="3"/>
  <c r="R17" i="3"/>
  <c r="Q15" i="3"/>
  <c r="S15" i="3" s="1"/>
  <c r="U10" i="3"/>
  <c r="R77" i="3"/>
  <c r="U107" i="3"/>
  <c r="T105" i="3"/>
  <c r="R102" i="3"/>
  <c r="Q100" i="3"/>
  <c r="S100" i="3" s="1"/>
  <c r="V100" i="3" s="1"/>
  <c r="U95" i="3"/>
  <c r="T93" i="3"/>
  <c r="R90" i="3"/>
  <c r="Q88" i="3"/>
  <c r="U83" i="3"/>
  <c r="T81" i="3"/>
  <c r="R78" i="3"/>
  <c r="Q76" i="3"/>
  <c r="U71" i="3"/>
  <c r="T69" i="3"/>
  <c r="R66" i="3"/>
  <c r="Q64" i="3"/>
  <c r="S64" i="3" s="1"/>
  <c r="V64" i="3" s="1"/>
  <c r="U59" i="3"/>
  <c r="T57" i="3"/>
  <c r="R54" i="3"/>
  <c r="Q52" i="3"/>
  <c r="U47" i="3"/>
  <c r="T45" i="3"/>
  <c r="R42" i="3"/>
  <c r="Q40" i="3"/>
  <c r="U35" i="3"/>
  <c r="T33" i="3"/>
  <c r="R30" i="3"/>
  <c r="Q28" i="3"/>
  <c r="S28" i="3" s="1"/>
  <c r="V28" i="3" s="1"/>
  <c r="U23" i="3"/>
  <c r="T21" i="3"/>
  <c r="R18" i="3"/>
  <c r="Q16" i="3"/>
  <c r="U11" i="3"/>
  <c r="R103" i="3"/>
  <c r="Q101" i="3"/>
  <c r="S101" i="3" s="1"/>
  <c r="U96" i="3"/>
  <c r="T94" i="3"/>
  <c r="R91" i="3"/>
  <c r="Q89" i="3"/>
  <c r="S89" i="3" s="1"/>
  <c r="V89" i="3" s="1"/>
  <c r="U84" i="3"/>
  <c r="T82" i="3"/>
  <c r="R79" i="3"/>
  <c r="Q77" i="3"/>
  <c r="U72" i="3"/>
  <c r="T70" i="3"/>
  <c r="R67" i="3"/>
  <c r="Q65" i="3"/>
  <c r="S65" i="3" s="1"/>
  <c r="U60" i="3"/>
  <c r="T58" i="3"/>
  <c r="R55" i="3"/>
  <c r="Q53" i="3"/>
  <c r="S53" i="3" s="1"/>
  <c r="U48" i="3"/>
  <c r="T46" i="3"/>
  <c r="R43" i="3"/>
  <c r="Q41" i="3"/>
  <c r="U36" i="3"/>
  <c r="T34" i="3"/>
  <c r="R31" i="3"/>
  <c r="Q29" i="3"/>
  <c r="S29" i="3" s="1"/>
  <c r="U24" i="3"/>
  <c r="T22" i="3"/>
  <c r="R19" i="3"/>
  <c r="Q17" i="3"/>
  <c r="S17" i="3" s="1"/>
  <c r="U12" i="3"/>
  <c r="T10" i="3"/>
  <c r="T71" i="3"/>
  <c r="R68" i="3"/>
  <c r="Q66" i="3"/>
  <c r="U61" i="3"/>
  <c r="T59" i="3"/>
  <c r="R56" i="3"/>
  <c r="Q54" i="3"/>
  <c r="S54" i="3" s="1"/>
  <c r="U49" i="3"/>
  <c r="T47" i="3"/>
  <c r="R44" i="3"/>
  <c r="Q42" i="3"/>
  <c r="S42" i="3" s="1"/>
  <c r="V42" i="3" s="1"/>
  <c r="U37" i="3"/>
  <c r="T35" i="3"/>
  <c r="R32" i="3"/>
  <c r="Q30" i="3"/>
  <c r="U25" i="3"/>
  <c r="T23" i="3"/>
  <c r="R20" i="3"/>
  <c r="Q18" i="3"/>
  <c r="S18" i="3" s="1"/>
  <c r="U13" i="3"/>
  <c r="T11" i="3"/>
  <c r="T83" i="3"/>
  <c r="R80" i="3"/>
  <c r="Q78" i="3"/>
  <c r="U73" i="3"/>
  <c r="T108" i="3"/>
  <c r="R105" i="3"/>
  <c r="Q103" i="3"/>
  <c r="U98" i="3"/>
  <c r="T96" i="3"/>
  <c r="R93" i="3"/>
  <c r="Q91" i="3"/>
  <c r="U86" i="3"/>
  <c r="T84" i="3"/>
  <c r="R81" i="3"/>
  <c r="Q79" i="3"/>
  <c r="U74" i="3"/>
  <c r="T72" i="3"/>
  <c r="R69" i="3"/>
  <c r="Q67" i="3"/>
  <c r="U62" i="3"/>
  <c r="T60" i="3"/>
  <c r="R57" i="3"/>
  <c r="Q55" i="3"/>
  <c r="U50" i="3"/>
  <c r="T48" i="3"/>
  <c r="R45" i="3"/>
  <c r="Q43" i="3"/>
  <c r="U38" i="3"/>
  <c r="T36" i="3"/>
  <c r="R33" i="3"/>
  <c r="Q31" i="3"/>
  <c r="U26" i="3"/>
  <c r="T24" i="3"/>
  <c r="R21" i="3"/>
  <c r="Q19" i="3"/>
  <c r="U14" i="3"/>
  <c r="T12" i="3"/>
  <c r="Q44" i="3"/>
  <c r="S44" i="3" s="1"/>
  <c r="V44" i="3" s="1"/>
  <c r="U39" i="3"/>
  <c r="T37" i="3"/>
  <c r="R34" i="3"/>
  <c r="Q32" i="3"/>
  <c r="S32" i="3" s="1"/>
  <c r="U27" i="3"/>
  <c r="T25" i="3"/>
  <c r="R22" i="3"/>
  <c r="Q20" i="3"/>
  <c r="U15" i="3"/>
  <c r="T13" i="3"/>
  <c r="R10" i="3"/>
  <c r="U63" i="3"/>
  <c r="T61" i="3"/>
  <c r="R58" i="3"/>
  <c r="U51" i="3"/>
  <c r="T49" i="3"/>
  <c r="R46" i="3"/>
  <c r="R107" i="3"/>
  <c r="Q105" i="3"/>
  <c r="S105" i="3" s="1"/>
  <c r="U100" i="3"/>
  <c r="T98" i="3"/>
  <c r="R95" i="3"/>
  <c r="Q93" i="3"/>
  <c r="S93" i="3" s="1"/>
  <c r="V93" i="3" s="1"/>
  <c r="U88" i="3"/>
  <c r="T86" i="3"/>
  <c r="R83" i="3"/>
  <c r="Q81" i="3"/>
  <c r="U76" i="3"/>
  <c r="T74" i="3"/>
  <c r="R71" i="3"/>
  <c r="Q69" i="3"/>
  <c r="S69" i="3" s="1"/>
  <c r="U64" i="3"/>
  <c r="T62" i="3"/>
  <c r="R59" i="3"/>
  <c r="Q57" i="3"/>
  <c r="S57" i="3" s="1"/>
  <c r="V57" i="3" s="1"/>
  <c r="U52" i="3"/>
  <c r="T50" i="3"/>
  <c r="R47" i="3"/>
  <c r="Q45" i="3"/>
  <c r="U40" i="3"/>
  <c r="T38" i="3"/>
  <c r="R35" i="3"/>
  <c r="Q33" i="3"/>
  <c r="S33" i="3" s="1"/>
  <c r="U28" i="3"/>
  <c r="T26" i="3"/>
  <c r="R23" i="3"/>
  <c r="Q21" i="3"/>
  <c r="S21" i="3" s="1"/>
  <c r="V21" i="3" s="1"/>
  <c r="U16" i="3"/>
  <c r="T14" i="3"/>
  <c r="R11" i="3"/>
  <c r="U77" i="3"/>
  <c r="T75" i="3"/>
  <c r="R72" i="3"/>
  <c r="Q70" i="3"/>
  <c r="S70" i="3" s="1"/>
  <c r="U65" i="3"/>
  <c r="T63" i="3"/>
  <c r="R60" i="3"/>
  <c r="Q58" i="3"/>
  <c r="S58" i="3" s="1"/>
  <c r="V58" i="3" s="1"/>
  <c r="U53" i="3"/>
  <c r="T51" i="3"/>
  <c r="R48" i="3"/>
  <c r="Q46" i="3"/>
  <c r="U41" i="3"/>
  <c r="T39" i="3"/>
  <c r="R36" i="3"/>
  <c r="Q34" i="3"/>
  <c r="S34" i="3" s="1"/>
  <c r="U29" i="3"/>
  <c r="T27" i="3"/>
  <c r="R24" i="3"/>
  <c r="Q22" i="3"/>
  <c r="S22" i="3" s="1"/>
  <c r="V22" i="3" s="1"/>
  <c r="U17" i="3"/>
  <c r="T15" i="3"/>
  <c r="R12" i="3"/>
  <c r="Q10" i="3"/>
  <c r="Q56" i="3"/>
  <c r="Q106" i="3"/>
  <c r="S106" i="3" s="1"/>
  <c r="U101" i="3"/>
  <c r="T99" i="3"/>
  <c r="R109" i="3"/>
  <c r="Q107" i="3"/>
  <c r="U102" i="3"/>
  <c r="T100" i="3"/>
  <c r="R97" i="3"/>
  <c r="Q95" i="3"/>
  <c r="S95" i="3" s="1"/>
  <c r="V95" i="3" s="1"/>
  <c r="U90" i="3"/>
  <c r="T88" i="3"/>
  <c r="R85" i="3"/>
  <c r="Q83" i="3"/>
  <c r="S83" i="3" s="1"/>
  <c r="U78" i="3"/>
  <c r="T76" i="3"/>
  <c r="R73" i="3"/>
  <c r="Q71" i="3"/>
  <c r="U66" i="3"/>
  <c r="T64" i="3"/>
  <c r="R61" i="3"/>
  <c r="Q59" i="3"/>
  <c r="S59" i="3" s="1"/>
  <c r="V59" i="3" s="1"/>
  <c r="U54" i="3"/>
  <c r="T52" i="3"/>
  <c r="R49" i="3"/>
  <c r="Q47" i="3"/>
  <c r="S47" i="3" s="1"/>
  <c r="U42" i="3"/>
  <c r="T40" i="3"/>
  <c r="R37" i="3"/>
  <c r="Q35" i="3"/>
  <c r="U30" i="3"/>
  <c r="T28" i="3"/>
  <c r="R25" i="3"/>
  <c r="Q23" i="3"/>
  <c r="S23" i="3" s="1"/>
  <c r="V23" i="3" s="1"/>
  <c r="U18" i="3"/>
  <c r="T16" i="3"/>
  <c r="R13" i="3"/>
  <c r="Q11" i="3"/>
  <c r="S11" i="3" s="1"/>
  <c r="Q8" i="3"/>
  <c r="U5" i="3"/>
  <c r="R6" i="3"/>
  <c r="Q2" i="3"/>
  <c r="S2" i="3" s="1"/>
  <c r="V2" i="3" s="1"/>
  <c r="U9" i="3"/>
  <c r="U3" i="3"/>
  <c r="T5" i="3"/>
  <c r="R5" i="3"/>
  <c r="Q7" i="3"/>
  <c r="U2" i="3"/>
  <c r="Q9" i="3"/>
  <c r="S9" i="3" s="1"/>
  <c r="T6" i="3"/>
  <c r="U8" i="3"/>
  <c r="Q6" i="3"/>
  <c r="S6" i="3" s="1"/>
  <c r="U7" i="3"/>
  <c r="T9" i="3"/>
  <c r="T3" i="3"/>
  <c r="R9" i="3"/>
  <c r="R3" i="3"/>
  <c r="Q5" i="3"/>
  <c r="S5" i="3" s="1"/>
  <c r="V5" i="3" s="1"/>
  <c r="Q3" i="3"/>
  <c r="S3" i="3" s="1"/>
  <c r="V3" i="3" s="1"/>
  <c r="T4" i="3"/>
  <c r="T7" i="3"/>
  <c r="R7" i="3"/>
  <c r="U4" i="3"/>
  <c r="R4" i="3"/>
  <c r="U6" i="3"/>
  <c r="T8" i="3"/>
  <c r="T2" i="3"/>
  <c r="R8" i="3"/>
  <c r="R2" i="3"/>
  <c r="Q4" i="3"/>
  <c r="S4" i="3" s="1"/>
  <c r="V4" i="3" s="1"/>
  <c r="S43" i="10" l="1"/>
  <c r="V43" i="10" s="1"/>
  <c r="S47" i="10"/>
  <c r="V47" i="10" s="1"/>
  <c r="S22" i="10"/>
  <c r="V22" i="10" s="1"/>
  <c r="S21" i="10"/>
  <c r="V21" i="10" s="1"/>
  <c r="S57" i="10"/>
  <c r="V57" i="10" s="1"/>
  <c r="S27" i="10"/>
  <c r="V27" i="10" s="1"/>
  <c r="V44" i="10"/>
  <c r="V36" i="10"/>
  <c r="V30" i="10"/>
  <c r="V38" i="10"/>
  <c r="V24" i="10"/>
  <c r="V55" i="10"/>
  <c r="S23" i="10"/>
  <c r="V23" i="10" s="1"/>
  <c r="S34" i="10"/>
  <c r="V34" i="10" s="1"/>
  <c r="S42" i="10"/>
  <c r="V42" i="10" s="1"/>
  <c r="S33" i="10"/>
  <c r="V33" i="10" s="1"/>
  <c r="V56" i="10"/>
  <c r="V53" i="10"/>
  <c r="S48" i="10"/>
  <c r="V48" i="10" s="1"/>
  <c r="V50" i="10"/>
  <c r="S37" i="10"/>
  <c r="V37" i="10" s="1"/>
  <c r="S40" i="10"/>
  <c r="V40" i="10" s="1"/>
  <c r="S31" i="10"/>
  <c r="V31" i="10" s="1"/>
  <c r="S35" i="10"/>
  <c r="V35" i="10" s="1"/>
  <c r="S46" i="10"/>
  <c r="V46" i="10" s="1"/>
  <c r="S6" i="10"/>
  <c r="V6" i="10" s="1"/>
  <c r="S12" i="10"/>
  <c r="V12" i="10" s="1"/>
  <c r="S18" i="10"/>
  <c r="V18" i="10" s="1"/>
  <c r="V14" i="9"/>
  <c r="V47" i="9"/>
  <c r="V22" i="9"/>
  <c r="V31" i="9"/>
  <c r="S17" i="9"/>
  <c r="V17" i="9" s="1"/>
  <c r="S36" i="9"/>
  <c r="V36" i="9" s="1"/>
  <c r="V33" i="9"/>
  <c r="S20" i="9"/>
  <c r="V20" i="9" s="1"/>
  <c r="V51" i="9"/>
  <c r="S24" i="9"/>
  <c r="V24" i="9" s="1"/>
  <c r="V45" i="9"/>
  <c r="S49" i="9"/>
  <c r="V49" i="9" s="1"/>
  <c r="S30" i="9"/>
  <c r="V30" i="9" s="1"/>
  <c r="S29" i="9"/>
  <c r="V29" i="9" s="1"/>
  <c r="S39" i="9"/>
  <c r="V39" i="9" s="1"/>
  <c r="V35" i="9"/>
  <c r="S46" i="9"/>
  <c r="V46" i="9" s="1"/>
  <c r="V54" i="9"/>
  <c r="S16" i="9"/>
  <c r="V16" i="9" s="1"/>
  <c r="S52" i="9"/>
  <c r="V52" i="9" s="1"/>
  <c r="S57" i="9"/>
  <c r="V57" i="9" s="1"/>
  <c r="S43" i="9"/>
  <c r="V43" i="9" s="1"/>
  <c r="S48" i="9"/>
  <c r="V48" i="9" s="1"/>
  <c r="S32" i="9"/>
  <c r="V32" i="9" s="1"/>
  <c r="V27" i="9"/>
  <c r="S26" i="9"/>
  <c r="V26" i="9" s="1"/>
  <c r="S23" i="9"/>
  <c r="V23" i="9" s="1"/>
  <c r="S21" i="9"/>
  <c r="V21" i="9" s="1"/>
  <c r="S25" i="9"/>
  <c r="V25" i="9" s="1"/>
  <c r="S42" i="9"/>
  <c r="V42" i="9" s="1"/>
  <c r="S41" i="9"/>
  <c r="V41" i="9" s="1"/>
  <c r="V7" i="9"/>
  <c r="S4" i="9"/>
  <c r="V4" i="9" s="1"/>
  <c r="S11" i="9"/>
  <c r="V11" i="9" s="1"/>
  <c r="V12" i="9"/>
  <c r="S13" i="9"/>
  <c r="V13" i="9" s="1"/>
  <c r="V29" i="8"/>
  <c r="S81" i="8"/>
  <c r="V81" i="8" s="1"/>
  <c r="V95" i="8"/>
  <c r="S96" i="8"/>
  <c r="V96" i="8" s="1"/>
  <c r="S53" i="8"/>
  <c r="V53" i="8" s="1"/>
  <c r="S45" i="8"/>
  <c r="V45" i="8" s="1"/>
  <c r="V93" i="8"/>
  <c r="V100" i="8"/>
  <c r="V68" i="8"/>
  <c r="S27" i="8"/>
  <c r="V27" i="8" s="1"/>
  <c r="S63" i="8"/>
  <c r="V63" i="8" s="1"/>
  <c r="S99" i="8"/>
  <c r="V99" i="8" s="1"/>
  <c r="S37" i="8"/>
  <c r="V37" i="8" s="1"/>
  <c r="V73" i="8"/>
  <c r="S24" i="8"/>
  <c r="V24" i="8" s="1"/>
  <c r="V32" i="8"/>
  <c r="V19" i="8"/>
  <c r="S55" i="8"/>
  <c r="V55" i="8" s="1"/>
  <c r="S91" i="8"/>
  <c r="V91" i="8" s="1"/>
  <c r="S40" i="8"/>
  <c r="V40" i="8" s="1"/>
  <c r="S57" i="8"/>
  <c r="V57" i="8" s="1"/>
  <c r="S60" i="8"/>
  <c r="V60" i="8" s="1"/>
  <c r="S88" i="8"/>
  <c r="V88" i="8" s="1"/>
  <c r="S47" i="8"/>
  <c r="V47" i="8" s="1"/>
  <c r="V90" i="8"/>
  <c r="S65" i="8"/>
  <c r="V65" i="8" s="1"/>
  <c r="V69" i="8"/>
  <c r="S14" i="8"/>
  <c r="V14" i="8" s="1"/>
  <c r="V50" i="8"/>
  <c r="S86" i="8"/>
  <c r="V86" i="8" s="1"/>
  <c r="S21" i="8"/>
  <c r="V21" i="8" s="1"/>
  <c r="S16" i="8"/>
  <c r="V16" i="8" s="1"/>
  <c r="V46" i="8"/>
  <c r="S82" i="8"/>
  <c r="V82" i="8" s="1"/>
  <c r="S39" i="8"/>
  <c r="V39" i="8" s="1"/>
  <c r="S75" i="8"/>
  <c r="V75" i="8" s="1"/>
  <c r="V48" i="8"/>
  <c r="S49" i="8"/>
  <c r="V49" i="8" s="1"/>
  <c r="S85" i="8"/>
  <c r="V85" i="8" s="1"/>
  <c r="S44" i="8"/>
  <c r="V44" i="8" s="1"/>
  <c r="S31" i="8"/>
  <c r="V31" i="8" s="1"/>
  <c r="S67" i="8"/>
  <c r="V67" i="8" s="1"/>
  <c r="V103" i="8"/>
  <c r="S89" i="8"/>
  <c r="V89" i="8" s="1"/>
  <c r="S23" i="8"/>
  <c r="V23" i="8" s="1"/>
  <c r="V30" i="8"/>
  <c r="S66" i="8"/>
  <c r="V66" i="8" s="1"/>
  <c r="V102" i="8"/>
  <c r="S101" i="8"/>
  <c r="V101" i="8" s="1"/>
  <c r="S26" i="8"/>
  <c r="V26" i="8" s="1"/>
  <c r="S62" i="8"/>
  <c r="V62" i="8" s="1"/>
  <c r="S98" i="8"/>
  <c r="V98" i="8" s="1"/>
  <c r="S33" i="8"/>
  <c r="V33" i="8" s="1"/>
  <c r="S17" i="8"/>
  <c r="V17" i="8" s="1"/>
  <c r="S28" i="8"/>
  <c r="V28" i="8" s="1"/>
  <c r="S22" i="8"/>
  <c r="V22" i="8" s="1"/>
  <c r="S58" i="8"/>
  <c r="V58" i="8" s="1"/>
  <c r="S94" i="8"/>
  <c r="V94" i="8" s="1"/>
  <c r="S41" i="8"/>
  <c r="V41" i="8" s="1"/>
  <c r="S76" i="8"/>
  <c r="V76" i="8" s="1"/>
  <c r="S52" i="8"/>
  <c r="V52" i="8" s="1"/>
  <c r="V3" i="8"/>
  <c r="V6" i="8"/>
  <c r="V9" i="8"/>
  <c r="V12" i="8"/>
  <c r="V87" i="7"/>
  <c r="V59" i="7"/>
  <c r="V77" i="7"/>
  <c r="V57" i="7"/>
  <c r="S55" i="7"/>
  <c r="V55" i="7" s="1"/>
  <c r="V68" i="7"/>
  <c r="S34" i="7"/>
  <c r="V34" i="7" s="1"/>
  <c r="V70" i="7"/>
  <c r="V54" i="7"/>
  <c r="V29" i="7"/>
  <c r="V65" i="7"/>
  <c r="S52" i="7"/>
  <c r="V52" i="7" s="1"/>
  <c r="S27" i="7"/>
  <c r="V27" i="7" s="1"/>
  <c r="S63" i="7"/>
  <c r="V63" i="7" s="1"/>
  <c r="V48" i="7"/>
  <c r="V84" i="7"/>
  <c r="S79" i="7"/>
  <c r="V79" i="7" s="1"/>
  <c r="V53" i="7"/>
  <c r="V37" i="7"/>
  <c r="S91" i="7"/>
  <c r="V91" i="7" s="1"/>
  <c r="S44" i="7"/>
  <c r="V44" i="7" s="1"/>
  <c r="S49" i="7"/>
  <c r="V49" i="7" s="1"/>
  <c r="S85" i="7"/>
  <c r="V85" i="7" s="1"/>
  <c r="S88" i="7"/>
  <c r="V88" i="7" s="1"/>
  <c r="V35" i="7"/>
  <c r="V71" i="7"/>
  <c r="S80" i="7"/>
  <c r="V80" i="7" s="1"/>
  <c r="S78" i="7"/>
  <c r="V78" i="7" s="1"/>
  <c r="V31" i="7"/>
  <c r="S38" i="7"/>
  <c r="V38" i="7" s="1"/>
  <c r="S74" i="7"/>
  <c r="V74" i="7" s="1"/>
  <c r="S22" i="7"/>
  <c r="V22" i="7" s="1"/>
  <c r="V90" i="7"/>
  <c r="S46" i="7"/>
  <c r="V46" i="7" s="1"/>
  <c r="S82" i="7"/>
  <c r="V82" i="7" s="1"/>
  <c r="S56" i="7"/>
  <c r="V56" i="7" s="1"/>
  <c r="V30" i="7"/>
  <c r="V66" i="7"/>
  <c r="V41" i="7"/>
  <c r="S28" i="7"/>
  <c r="V28" i="7" s="1"/>
  <c r="S64" i="7"/>
  <c r="V64" i="7" s="1"/>
  <c r="S39" i="7"/>
  <c r="V39" i="7" s="1"/>
  <c r="S75" i="7"/>
  <c r="V75" i="7" s="1"/>
  <c r="S24" i="7"/>
  <c r="V24" i="7" s="1"/>
  <c r="S60" i="7"/>
  <c r="V60" i="7" s="1"/>
  <c r="V32" i="7"/>
  <c r="S67" i="7"/>
  <c r="V67" i="7" s="1"/>
  <c r="S89" i="7"/>
  <c r="V89" i="7" s="1"/>
  <c r="V73" i="7"/>
  <c r="S25" i="7"/>
  <c r="V25" i="7" s="1"/>
  <c r="S61" i="7"/>
  <c r="V61" i="7" s="1"/>
  <c r="S10" i="7"/>
  <c r="V10" i="7" s="1"/>
  <c r="S16" i="7"/>
  <c r="V16" i="7" s="1"/>
  <c r="S12" i="7"/>
  <c r="V12" i="7" s="1"/>
  <c r="S5" i="7"/>
  <c r="V5" i="7" s="1"/>
  <c r="S7" i="7"/>
  <c r="V7" i="7" s="1"/>
  <c r="S3" i="7"/>
  <c r="V3" i="7" s="1"/>
  <c r="V4" i="7"/>
  <c r="S11" i="7"/>
  <c r="V11" i="7" s="1"/>
  <c r="S13" i="7"/>
  <c r="V13" i="7" s="1"/>
  <c r="S2" i="7"/>
  <c r="V2" i="7" s="1"/>
  <c r="S21" i="7"/>
  <c r="V21" i="7" s="1"/>
  <c r="S17" i="7"/>
  <c r="V17" i="7" s="1"/>
  <c r="S6" i="7"/>
  <c r="V6" i="7" s="1"/>
  <c r="S19" i="7"/>
  <c r="V19" i="7" s="1"/>
  <c r="S8" i="7"/>
  <c r="V8" i="7" s="1"/>
  <c r="S9" i="7"/>
  <c r="V9" i="7" s="1"/>
  <c r="V32" i="6"/>
  <c r="V51" i="6"/>
  <c r="S37" i="6"/>
  <c r="V37" i="6" s="1"/>
  <c r="V26" i="6"/>
  <c r="S25" i="6"/>
  <c r="V25" i="6" s="1"/>
  <c r="V62" i="6"/>
  <c r="S22" i="6"/>
  <c r="V22" i="6" s="1"/>
  <c r="S58" i="6"/>
  <c r="V58" i="6" s="1"/>
  <c r="S68" i="6"/>
  <c r="V68" i="6" s="1"/>
  <c r="S64" i="6"/>
  <c r="V64" i="6" s="1"/>
  <c r="V38" i="6"/>
  <c r="V49" i="6"/>
  <c r="V60" i="6"/>
  <c r="S45" i="6"/>
  <c r="V45" i="6" s="1"/>
  <c r="V39" i="6"/>
  <c r="S70" i="6"/>
  <c r="V70" i="6" s="1"/>
  <c r="S44" i="6"/>
  <c r="V44" i="6" s="1"/>
  <c r="V30" i="6"/>
  <c r="S28" i="6"/>
  <c r="V28" i="6" s="1"/>
  <c r="S27" i="6"/>
  <c r="V27" i="6" s="1"/>
  <c r="V63" i="6"/>
  <c r="S61" i="6"/>
  <c r="V61" i="6" s="1"/>
  <c r="S66" i="6"/>
  <c r="V66" i="6" s="1"/>
  <c r="S34" i="6"/>
  <c r="V34" i="6" s="1"/>
  <c r="S50" i="6"/>
  <c r="V50" i="6" s="1"/>
  <c r="S36" i="6"/>
  <c r="V36" i="6" s="1"/>
  <c r="S72" i="6"/>
  <c r="V72" i="6" s="1"/>
  <c r="S33" i="6"/>
  <c r="V33" i="6" s="1"/>
  <c r="V69" i="6"/>
  <c r="S41" i="6"/>
  <c r="V41" i="6" s="1"/>
  <c r="V35" i="6"/>
  <c r="V55" i="6"/>
  <c r="V43" i="6"/>
  <c r="V47" i="6"/>
  <c r="V67" i="6"/>
  <c r="S57" i="6"/>
  <c r="V57" i="6" s="1"/>
  <c r="S29" i="6"/>
  <c r="V29" i="6" s="1"/>
  <c r="V4" i="6"/>
  <c r="S10" i="6"/>
  <c r="V10" i="6" s="1"/>
  <c r="S12" i="6"/>
  <c r="V12" i="6" s="1"/>
  <c r="V16" i="6"/>
  <c r="S2" i="6"/>
  <c r="V2" i="6" s="1"/>
  <c r="S6" i="6"/>
  <c r="V6" i="6" s="1"/>
  <c r="S15" i="6"/>
  <c r="V15" i="6" s="1"/>
  <c r="V14" i="6"/>
  <c r="S5" i="6"/>
  <c r="V5" i="6" s="1"/>
  <c r="S18" i="6"/>
  <c r="V18" i="6" s="1"/>
  <c r="S3" i="6"/>
  <c r="V3" i="6" s="1"/>
  <c r="V8" i="6"/>
  <c r="V7" i="6"/>
  <c r="V11" i="6"/>
  <c r="S19" i="6"/>
  <c r="V19" i="6" s="1"/>
  <c r="V20" i="6"/>
  <c r="S17" i="6"/>
  <c r="V17" i="6" s="1"/>
  <c r="S21" i="6"/>
  <c r="V21" i="6" s="1"/>
  <c r="S9" i="6"/>
  <c r="V9" i="6" s="1"/>
  <c r="S34" i="5"/>
  <c r="V34" i="5" s="1"/>
  <c r="V39" i="5"/>
  <c r="V23" i="5"/>
  <c r="S44" i="5"/>
  <c r="V44" i="5" s="1"/>
  <c r="S29" i="5"/>
  <c r="V29" i="5" s="1"/>
  <c r="S36" i="5"/>
  <c r="V36" i="5" s="1"/>
  <c r="V33" i="5"/>
  <c r="V35" i="5"/>
  <c r="S42" i="5"/>
  <c r="V42" i="5" s="1"/>
  <c r="S37" i="5"/>
  <c r="V37" i="5" s="1"/>
  <c r="S25" i="5"/>
  <c r="V25" i="5" s="1"/>
  <c r="S22" i="5"/>
  <c r="V22" i="5" s="1"/>
  <c r="S41" i="5"/>
  <c r="V41" i="5" s="1"/>
  <c r="S32" i="5"/>
  <c r="V32" i="5" s="1"/>
  <c r="V43" i="5"/>
  <c r="V27" i="5"/>
  <c r="S13" i="5"/>
  <c r="V13" i="5" s="1"/>
  <c r="V14" i="5"/>
  <c r="V18" i="5"/>
  <c r="S17" i="5"/>
  <c r="V17" i="5" s="1"/>
  <c r="V19" i="5"/>
  <c r="V20" i="5"/>
  <c r="S3" i="5"/>
  <c r="V3" i="5" s="1"/>
  <c r="V21" i="5"/>
  <c r="S10" i="5"/>
  <c r="V10" i="5" s="1"/>
  <c r="S16" i="5"/>
  <c r="V16" i="5" s="1"/>
  <c r="S12" i="5"/>
  <c r="V12" i="5" s="1"/>
  <c r="S8" i="5"/>
  <c r="V8" i="5" s="1"/>
  <c r="S9" i="5"/>
  <c r="V9" i="5" s="1"/>
  <c r="V31" i="4"/>
  <c r="V51" i="4"/>
  <c r="V87" i="4"/>
  <c r="V98" i="4"/>
  <c r="S95" i="4"/>
  <c r="V95" i="4" s="1"/>
  <c r="V120" i="4"/>
  <c r="V49" i="4"/>
  <c r="V85" i="4"/>
  <c r="V121" i="4"/>
  <c r="S56" i="4"/>
  <c r="V56" i="4" s="1"/>
  <c r="V92" i="4"/>
  <c r="V118" i="4"/>
  <c r="S119" i="4"/>
  <c r="V119" i="4" s="1"/>
  <c r="S67" i="4"/>
  <c r="V67" i="4" s="1"/>
  <c r="S52" i="4"/>
  <c r="V52" i="4" s="1"/>
  <c r="S88" i="4"/>
  <c r="V88" i="4" s="1"/>
  <c r="S33" i="4"/>
  <c r="V33" i="4" s="1"/>
  <c r="S69" i="4"/>
  <c r="V69" i="4" s="1"/>
  <c r="S105" i="4"/>
  <c r="V105" i="4" s="1"/>
  <c r="S43" i="4"/>
  <c r="V43" i="4" s="1"/>
  <c r="S70" i="4"/>
  <c r="V70" i="4" s="1"/>
  <c r="V62" i="4"/>
  <c r="S124" i="4"/>
  <c r="V124" i="4" s="1"/>
  <c r="S122" i="4"/>
  <c r="V122" i="4" s="1"/>
  <c r="S74" i="4"/>
  <c r="V74" i="4" s="1"/>
  <c r="V48" i="4"/>
  <c r="V66" i="4"/>
  <c r="S127" i="4"/>
  <c r="V127" i="4" s="1"/>
  <c r="S131" i="4"/>
  <c r="V131" i="4" s="1"/>
  <c r="V113" i="4"/>
  <c r="S129" i="4"/>
  <c r="V129" i="4" s="1"/>
  <c r="V63" i="4"/>
  <c r="V50" i="4"/>
  <c r="V34" i="4"/>
  <c r="V126" i="4"/>
  <c r="V83" i="4"/>
  <c r="V114" i="4"/>
  <c r="S91" i="4"/>
  <c r="V91" i="4" s="1"/>
  <c r="S60" i="4"/>
  <c r="V60" i="4" s="1"/>
  <c r="V96" i="4"/>
  <c r="S42" i="4"/>
  <c r="V42" i="4" s="1"/>
  <c r="S78" i="4"/>
  <c r="V78" i="4" s="1"/>
  <c r="S65" i="4"/>
  <c r="V65" i="4" s="1"/>
  <c r="S101" i="4"/>
  <c r="V101" i="4" s="1"/>
  <c r="S82" i="4"/>
  <c r="V82" i="4" s="1"/>
  <c r="S97" i="4"/>
  <c r="V97" i="4" s="1"/>
  <c r="S104" i="4"/>
  <c r="V104" i="4" s="1"/>
  <c r="V28" i="4"/>
  <c r="S64" i="4"/>
  <c r="V64" i="4" s="1"/>
  <c r="V45" i="4"/>
  <c r="V81" i="4"/>
  <c r="S53" i="4"/>
  <c r="V53" i="4" s="1"/>
  <c r="S39" i="4"/>
  <c r="V39" i="4" s="1"/>
  <c r="S75" i="4"/>
  <c r="V75" i="4" s="1"/>
  <c r="S111" i="4"/>
  <c r="V111" i="4" s="1"/>
  <c r="S108" i="4"/>
  <c r="V108" i="4" s="1"/>
  <c r="S46" i="4"/>
  <c r="V46" i="4" s="1"/>
  <c r="S89" i="4"/>
  <c r="V89" i="4" s="1"/>
  <c r="S100" i="4"/>
  <c r="V100" i="4" s="1"/>
  <c r="S77" i="4"/>
  <c r="V77" i="4" s="1"/>
  <c r="S47" i="4"/>
  <c r="V47" i="4" s="1"/>
  <c r="S106" i="4"/>
  <c r="V106" i="4" s="1"/>
  <c r="S86" i="4"/>
  <c r="V86" i="4" s="1"/>
  <c r="S37" i="4"/>
  <c r="V37" i="4" s="1"/>
  <c r="S73" i="4"/>
  <c r="V73" i="4" s="1"/>
  <c r="S109" i="4"/>
  <c r="V109" i="4" s="1"/>
  <c r="V44" i="4"/>
  <c r="V80" i="4"/>
  <c r="S116" i="4"/>
  <c r="V116" i="4" s="1"/>
  <c r="S29" i="4"/>
  <c r="V29" i="4" s="1"/>
  <c r="S79" i="4"/>
  <c r="V79" i="4" s="1"/>
  <c r="V117" i="4"/>
  <c r="V102" i="4"/>
  <c r="S59" i="4"/>
  <c r="V59" i="4" s="1"/>
  <c r="S107" i="4"/>
  <c r="V107" i="4" s="1"/>
  <c r="S115" i="4"/>
  <c r="V115" i="4" s="1"/>
  <c r="S9" i="4"/>
  <c r="V9" i="4" s="1"/>
  <c r="S23" i="4"/>
  <c r="V23" i="4" s="1"/>
  <c r="V15" i="4"/>
  <c r="S2" i="4"/>
  <c r="V2" i="4" s="1"/>
  <c r="S21" i="4"/>
  <c r="V21" i="4" s="1"/>
  <c r="V6" i="4"/>
  <c r="V7" i="4"/>
  <c r="S8" i="4"/>
  <c r="V8" i="4" s="1"/>
  <c r="V13" i="4"/>
  <c r="V14" i="4"/>
  <c r="V18" i="4"/>
  <c r="S19" i="4"/>
  <c r="V19" i="4" s="1"/>
  <c r="V20" i="4"/>
  <c r="S25" i="4"/>
  <c r="V25" i="4" s="1"/>
  <c r="V26" i="4"/>
  <c r="S4" i="4"/>
  <c r="V4" i="4" s="1"/>
  <c r="S24" i="4"/>
  <c r="V24" i="4" s="1"/>
  <c r="S10" i="4"/>
  <c r="V10" i="4" s="1"/>
  <c r="S3" i="4"/>
  <c r="V3" i="4" s="1"/>
  <c r="S16" i="4"/>
  <c r="V16" i="4" s="1"/>
  <c r="V53" i="3"/>
  <c r="S19" i="3"/>
  <c r="V19" i="3" s="1"/>
  <c r="S55" i="3"/>
  <c r="V55" i="3" s="1"/>
  <c r="S91" i="3"/>
  <c r="V91" i="3" s="1"/>
  <c r="S35" i="3"/>
  <c r="V35" i="3" s="1"/>
  <c r="S71" i="3"/>
  <c r="V71" i="3" s="1"/>
  <c r="S107" i="3"/>
  <c r="V107" i="3" s="1"/>
  <c r="S20" i="3"/>
  <c r="V20" i="3" s="1"/>
  <c r="V18" i="3"/>
  <c r="V54" i="3"/>
  <c r="S40" i="3"/>
  <c r="V40" i="3" s="1"/>
  <c r="S76" i="3"/>
  <c r="V76" i="3" s="1"/>
  <c r="S14" i="3"/>
  <c r="V14" i="3" s="1"/>
  <c r="S50" i="3"/>
  <c r="V50" i="3" s="1"/>
  <c r="S86" i="3"/>
  <c r="V86" i="3" s="1"/>
  <c r="V94" i="3"/>
  <c r="S87" i="3"/>
  <c r="V87" i="3" s="1"/>
  <c r="V33" i="3"/>
  <c r="V69" i="3"/>
  <c r="V105" i="3"/>
  <c r="V29" i="3"/>
  <c r="V65" i="3"/>
  <c r="V101" i="3"/>
  <c r="V68" i="3"/>
  <c r="V34" i="3"/>
  <c r="V70" i="3"/>
  <c r="V15" i="3"/>
  <c r="V51" i="3"/>
  <c r="V13" i="3"/>
  <c r="V12" i="3"/>
  <c r="V48" i="3"/>
  <c r="S84" i="3"/>
  <c r="V84" i="3" s="1"/>
  <c r="S80" i="3"/>
  <c r="V80" i="3" s="1"/>
  <c r="S31" i="3"/>
  <c r="V31" i="3" s="1"/>
  <c r="S67" i="3"/>
  <c r="V67" i="3" s="1"/>
  <c r="S103" i="3"/>
  <c r="V103" i="3" s="1"/>
  <c r="S30" i="3"/>
  <c r="V30" i="3" s="1"/>
  <c r="S66" i="3"/>
  <c r="V66" i="3" s="1"/>
  <c r="S16" i="3"/>
  <c r="V16" i="3" s="1"/>
  <c r="S52" i="3"/>
  <c r="V52" i="3" s="1"/>
  <c r="S88" i="3"/>
  <c r="V88" i="3" s="1"/>
  <c r="V98" i="3"/>
  <c r="V26" i="3"/>
  <c r="S56" i="3"/>
  <c r="V56" i="3" s="1"/>
  <c r="S45" i="3"/>
  <c r="V45" i="3" s="1"/>
  <c r="S81" i="3"/>
  <c r="V81" i="3" s="1"/>
  <c r="S41" i="3"/>
  <c r="V41" i="3" s="1"/>
  <c r="S77" i="3"/>
  <c r="V77" i="3" s="1"/>
  <c r="V99" i="3"/>
  <c r="S102" i="3"/>
  <c r="V102" i="3" s="1"/>
  <c r="V17" i="3"/>
  <c r="V83" i="3"/>
  <c r="S10" i="3"/>
  <c r="V10" i="3" s="1"/>
  <c r="S46" i="3"/>
  <c r="V46" i="3" s="1"/>
  <c r="V27" i="3"/>
  <c r="V63" i="3"/>
  <c r="S25" i="3"/>
  <c r="V25" i="3" s="1"/>
  <c r="S61" i="3"/>
  <c r="V61" i="3" s="1"/>
  <c r="S97" i="3"/>
  <c r="V97" i="3" s="1"/>
  <c r="S24" i="3"/>
  <c r="V24" i="3" s="1"/>
  <c r="S60" i="3"/>
  <c r="V60" i="3" s="1"/>
  <c r="S96" i="3"/>
  <c r="V96" i="3" s="1"/>
  <c r="V11" i="3"/>
  <c r="V47" i="3"/>
  <c r="V106" i="3"/>
  <c r="V32" i="3"/>
  <c r="V62" i="3"/>
  <c r="S43" i="3"/>
  <c r="V43" i="3" s="1"/>
  <c r="S79" i="3"/>
  <c r="V79" i="3" s="1"/>
  <c r="S78" i="3"/>
  <c r="V78" i="3" s="1"/>
  <c r="V9" i="3"/>
  <c r="S7" i="3"/>
  <c r="V7" i="3" s="1"/>
  <c r="V6" i="3"/>
  <c r="S8" i="3"/>
  <c r="V8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8EFF87-A9DD-8449-BDE2-ACC737FDD1A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D4B09F0-D8ED-0849-A026-CCB0B8787931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86C83CCF-920E-7A44-AA70-6A596CCC6D0D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C47BED5E-B436-0543-B2B7-C061DE8AFDBA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54CF0D19-223F-3A4C-8891-08AD2439E595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6" xr16:uid="{60695552-7A31-8948-8CEF-F59E3B2E8662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7" xr16:uid="{F670C116-00AF-1044-AF1B-9E79CB413808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8" xr16:uid="{DF5F93B8-C510-924D-BB07-4B19184965D5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<sst xmlns="http://schemas.openxmlformats.org/spreadsheetml/2006/main" count="193" uniqueCount="32">
  <si>
    <t>Velocity (m/s)</t>
  </si>
  <si>
    <t>Q_steady (W)</t>
  </si>
  <si>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</si>
  <si>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</si>
  <si>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</si>
  <si>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</si>
  <si>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</si>
  <si>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</si>
  <si>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</si>
  <si>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</si>
  <si>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</si>
  <si>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</si>
  <si>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</si>
  <si>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</si>
  <si>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</si>
  <si>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</si>
  <si>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</si>
  <si>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44660.7127870372</t>
  </si>
  <si>
    <t>44660.7022465280</t>
  </si>
  <si>
    <t>44660.6936979168</t>
  </si>
  <si>
    <t>44660.6868859955</t>
  </si>
  <si>
    <t>44660.6795092594</t>
  </si>
  <si>
    <t>44660.6747094909</t>
  </si>
  <si>
    <t>44660.6704288196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</si>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</sst>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681DA0-01BC-304F-B5A6-32CA42936976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C05BEF7-0C16-124A-9061-97E0DF0CBE28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1A46D31-1329-8340-8B24-FE6340AD2828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B0007D1-AFFF-704F-9C6F-7C695BAF24A4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B4F8D1D-F8DD-9345-B22C-1EEC30F4C4E9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093027C-AA68-0647-87A2-68BEE0C17804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9BC953A-11EF-814E-89B5-30C6059542E4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BDBD347-E01F-384D-A096-6FAF71B9161F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90A80-F2AA-A740-BFDA-7961594FC64B}" name="sheet1" displayName="sheet1" ref="A1:O109" tableType="queryTable" totalsRowShown="0">
  <autoFilter ref="A1:O109" xr:uid="{EBF90A80-F2AA-A740-BFDA-7961594FC64B}"/>
  <tableColumns count="15">
    <tableColumn id="1" xr3:uid="{29A2BB00-5769-C24E-AE78-723997BB666D}" uniqueName="1" name="Time" queryTableFieldId="1"/>
    <tableColumn id="2" xr3:uid="{E3E67196-7171-6047-80B9-E4ECE7F7EE1E}" uniqueName="2" name="T1" queryTableFieldId="2"/>
    <tableColumn id="3" xr3:uid="{69B60A23-710A-8A4F-ADFF-67035D979F9E}" uniqueName="3" name="T2" queryTableFieldId="3"/>
    <tableColumn id="4" xr3:uid="{E3F5B0C8-7B15-8742-8EAC-7C9DA08A21CB}" uniqueName="4" name="T3" queryTableFieldId="4"/>
    <tableColumn id="5" xr3:uid="{1D17CA06-2702-EA43-B291-BFFEF66240C4}" uniqueName="5" name="T4" queryTableFieldId="5"/>
    <tableColumn id="6" xr3:uid="{E8B5B9AF-8258-FE41-9B24-D8F6F9B62999}" uniqueName="6" name="T5" queryTableFieldId="6"/>
    <tableColumn id="7" xr3:uid="{68CB79AB-2851-7F49-8B78-B4CB2BD4CFF5}" uniqueName="7" name="T6" queryTableFieldId="7"/>
    <tableColumn id="8" xr3:uid="{ABBB1C8D-A065-A249-9FF4-EDA680E20548}" uniqueName="8" name="T7" queryTableFieldId="8"/>
    <tableColumn id="9" xr3:uid="{00A81CBB-438F-DD44-BF9C-449BDEE20F4F}" uniqueName="9" name="T8" queryTableFieldId="9"/>
    <tableColumn id="10" xr3:uid="{5826C6CC-C8AA-7049-96F9-C48E7BCB9E32}" uniqueName="10" name="RTD_IN" queryTableFieldId="10"/>
    <tableColumn id="11" xr3:uid="{8115894A-6BFC-2140-9A48-D8403BE809BE}" uniqueName="11" name="RTD_OUT" queryTableFieldId="11"/>
    <tableColumn id="12" xr3:uid="{FD775FFD-AA90-7B42-A88C-0394F5606FBA}" uniqueName="12" name="DPT_TS" queryTableFieldId="12"/>
    <tableColumn id="13" xr3:uid="{8E319C0F-8C08-504E-8C62-70FA74458D69}" uniqueName="13" name="DPT_nozzle" queryTableFieldId="13"/>
    <tableColumn id="14" xr3:uid="{9FB09CC4-C0C4-4444-81BC-1B6C40953002}" uniqueName="14" name="Flow_gps" queryTableFieldId="14"/>
    <tableColumn id="15" xr3:uid="{FE0B22E5-E34E-D84C-9CB1-DD32E1050CBA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05D2E2-FC9C-BC4D-8349-42D04F1C7FCB}" name="sheet1__2" displayName="sheet1__2" ref="A1:O132" tableType="queryTable" totalsRowShown="0">
  <autoFilter ref="A1:O132" xr:uid="{3905D2E2-FC9C-BC4D-8349-42D04F1C7FCB}"/>
  <tableColumns count="15">
    <tableColumn id="1" xr3:uid="{A36092A0-E600-0744-9FB0-D3041C188186}" uniqueName="1" name="Time" queryTableFieldId="1"/>
    <tableColumn id="2" xr3:uid="{AD2E0DF3-1BDE-874A-BAC4-038E465432BD}" uniqueName="2" name="T1" queryTableFieldId="2"/>
    <tableColumn id="3" xr3:uid="{961F2C7F-BD4E-9D4E-A5C8-6CA24897B55C}" uniqueName="3" name="T2" queryTableFieldId="3"/>
    <tableColumn id="4" xr3:uid="{24F1BE69-4C67-924D-BDFB-2E045CFBA1D1}" uniqueName="4" name="T3" queryTableFieldId="4"/>
    <tableColumn id="5" xr3:uid="{83C75626-0BBF-C844-8768-FFF74BC1C400}" uniqueName="5" name="T4" queryTableFieldId="5"/>
    <tableColumn id="6" xr3:uid="{0B2D5FB0-9992-7B4F-953E-A1784A6B116C}" uniqueName="6" name="T5" queryTableFieldId="6"/>
    <tableColumn id="7" xr3:uid="{894D7036-9F36-FD46-A648-0966AFE6634B}" uniqueName="7" name="T6" queryTableFieldId="7"/>
    <tableColumn id="8" xr3:uid="{4B0DFFCA-19ED-2049-823E-3A64FC0E6535}" uniqueName="8" name="T7" queryTableFieldId="8"/>
    <tableColumn id="9" xr3:uid="{B3D458CE-B2B5-DB40-8F26-A69A9866FB30}" uniqueName="9" name="T8" queryTableFieldId="9"/>
    <tableColumn id="10" xr3:uid="{A4067895-4DDC-F149-8C65-AC6C24EEDD88}" uniqueName="10" name="RTD_IN" queryTableFieldId="10"/>
    <tableColumn id="11" xr3:uid="{A116C886-76DA-9843-B460-ECB08C98677D}" uniqueName="11" name="RTD_OUT" queryTableFieldId="11"/>
    <tableColumn id="12" xr3:uid="{E1884682-3E54-FB40-AF15-53E3B0E5927A}" uniqueName="12" name="DPT_TS" queryTableFieldId="12"/>
    <tableColumn id="13" xr3:uid="{D2AFE346-0D00-AF4C-8C9B-7728E2066227}" uniqueName="13" name="DPT_nozzle" queryTableFieldId="13"/>
    <tableColumn id="14" xr3:uid="{5F456976-0A99-5649-8BDF-D3A7F48E345F}" uniqueName="14" name="Flow_gps" queryTableFieldId="14"/>
    <tableColumn id="15" xr3:uid="{5F78E7A1-97F8-6E43-A96F-20F22F812BFB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97330-C6A0-B748-873C-1D0102EDAD5B}" name="sheet1__3" displayName="sheet1__3" ref="A1:O44" tableType="queryTable" totalsRowShown="0">
  <autoFilter ref="A1:O44" xr:uid="{8DE97330-C6A0-B748-873C-1D0102EDAD5B}"/>
  <tableColumns count="15">
    <tableColumn id="1" xr3:uid="{93795172-A077-3842-BB3F-38F740D2EFA2}" uniqueName="1" name="Time" queryTableFieldId="1"/>
    <tableColumn id="2" xr3:uid="{C06B91DD-84B3-334E-9D80-EA5CF7430AE8}" uniqueName="2" name="T1" queryTableFieldId="2"/>
    <tableColumn id="3" xr3:uid="{EA464ABA-6733-1A4D-AC65-DD86E63C2A57}" uniqueName="3" name="T2" queryTableFieldId="3"/>
    <tableColumn id="4" xr3:uid="{5FF401E5-804E-EE48-A140-65F97F05795A}" uniqueName="4" name="T3" queryTableFieldId="4"/>
    <tableColumn id="5" xr3:uid="{27AB3C89-4C2A-0548-8F82-0AAD822DB168}" uniqueName="5" name="T4" queryTableFieldId="5"/>
    <tableColumn id="6" xr3:uid="{F5F79C97-F0BF-3049-8FEA-06727FE049F7}" uniqueName="6" name="T5" queryTableFieldId="6"/>
    <tableColumn id="7" xr3:uid="{55774692-6FD3-CE4D-805D-8499C89498CC}" uniqueName="7" name="T6" queryTableFieldId="7"/>
    <tableColumn id="8" xr3:uid="{7B037496-2912-AB44-9F56-340086B4EC54}" uniqueName="8" name="T7" queryTableFieldId="8"/>
    <tableColumn id="9" xr3:uid="{EB3EC91A-739C-1043-8D8C-57AAC613A3EC}" uniqueName="9" name="T8" queryTableFieldId="9"/>
    <tableColumn id="10" xr3:uid="{4C91FE4C-996C-9F41-BFB7-DEEEFAB6DD62}" uniqueName="10" name="RTD_IN" queryTableFieldId="10"/>
    <tableColumn id="11" xr3:uid="{52D92D7B-E7A3-8647-AB1C-22F91E9778C5}" uniqueName="11" name="RTD_OUT" queryTableFieldId="11"/>
    <tableColumn id="12" xr3:uid="{A19D6A86-8341-1C41-ABD3-FC80FBDED86F}" uniqueName="12" name="DPT_TS" queryTableFieldId="12"/>
    <tableColumn id="13" xr3:uid="{CA641C3D-B802-F543-8EAB-639A9938C4F6}" uniqueName="13" name="DPT_nozzle" queryTableFieldId="13"/>
    <tableColumn id="14" xr3:uid="{91553527-762A-DD4A-B6C5-0289A6A30075}" uniqueName="14" name="Flow_gps" queryTableFieldId="14"/>
    <tableColumn id="15" xr3:uid="{1BAA486B-EA8B-A444-AC93-CC6322803824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F6EEAC-8500-F84C-B401-5A859D26C963}" name="sheet1__4" displayName="sheet1__4" ref="A1:O72" tableType="queryTable" totalsRowShown="0">
  <autoFilter ref="A1:O72" xr:uid="{32F6EEAC-8500-F84C-B401-5A859D26C963}"/>
  <tableColumns count="15">
    <tableColumn id="1" xr3:uid="{C857E4DA-3238-284C-AD16-5E6AD8E0428D}" uniqueName="1" name="Time" queryTableFieldId="1"/>
    <tableColumn id="2" xr3:uid="{7BBDB38C-B8A6-9C48-AC87-E88AE4CB0CBB}" uniqueName="2" name="T1" queryTableFieldId="2"/>
    <tableColumn id="3" xr3:uid="{7FDD8216-EFCC-C941-AD39-C889D5F4FDB2}" uniqueName="3" name="T2" queryTableFieldId="3"/>
    <tableColumn id="4" xr3:uid="{0E56F88D-858E-4940-A5D7-0491659FA263}" uniqueName="4" name="T3" queryTableFieldId="4"/>
    <tableColumn id="5" xr3:uid="{FE896BF0-CA94-EE44-B1A5-3092EC4DE91A}" uniqueName="5" name="T4" queryTableFieldId="5"/>
    <tableColumn id="6" xr3:uid="{BBC9E35D-9DAF-294C-827A-E1A94D76FE89}" uniqueName="6" name="T5" queryTableFieldId="6"/>
    <tableColumn id="7" xr3:uid="{969C8EBA-B642-4442-9A1C-332CA010D091}" uniqueName="7" name="T6" queryTableFieldId="7"/>
    <tableColumn id="8" xr3:uid="{D825D5D3-A56E-7846-932C-8224ADE1D37A}" uniqueName="8" name="T7" queryTableFieldId="8"/>
    <tableColumn id="9" xr3:uid="{44396278-ACC9-774C-9EA8-0EC80AFAD9A6}" uniqueName="9" name="T8" queryTableFieldId="9"/>
    <tableColumn id="10" xr3:uid="{4668EF04-92DE-7A41-8D8A-34DDE3E134EF}" uniqueName="10" name="RTD_IN" queryTableFieldId="10"/>
    <tableColumn id="11" xr3:uid="{943873BE-300F-9640-8D84-5E24AEB7BD63}" uniqueName="11" name="RTD_OUT" queryTableFieldId="11"/>
    <tableColumn id="12" xr3:uid="{F9740725-24A1-EC45-9E4B-79B37D095522}" uniqueName="12" name="DPT_TS" queryTableFieldId="12"/>
    <tableColumn id="13" xr3:uid="{E2037F25-CB80-4E43-BAD3-FC92B58D6583}" uniqueName="13" name="DPT_nozzle" queryTableFieldId="13"/>
    <tableColumn id="14" xr3:uid="{A985ABB5-DBF0-204B-A3E9-E68A1FEC2E43}" uniqueName="14" name="Flow_gps" queryTableFieldId="14"/>
    <tableColumn id="15" xr3:uid="{B47130F7-489C-E543-ACB1-C0552DCEB677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4C174E-F0B5-0944-A4CF-01D77F31452F}" name="sheet1__5" displayName="sheet1__5" ref="A1:O92" tableType="queryTable" totalsRowShown="0">
  <autoFilter ref="A1:O92" xr:uid="{4D4C174E-F0B5-0944-A4CF-01D77F31452F}"/>
  <tableColumns count="15">
    <tableColumn id="1" xr3:uid="{8356EA37-476F-1642-84C9-553B85657D4F}" uniqueName="1" name="Time" queryTableFieldId="1"/>
    <tableColumn id="2" xr3:uid="{26565362-2D36-0445-877A-68BD8373C8A2}" uniqueName="2" name="T1" queryTableFieldId="2"/>
    <tableColumn id="3" xr3:uid="{04E12A47-248E-F34F-B1CF-81C70255FEA5}" uniqueName="3" name="T2" queryTableFieldId="3"/>
    <tableColumn id="4" xr3:uid="{8477F1F5-07FC-0746-AEC0-05C5A88625B7}" uniqueName="4" name="T3" queryTableFieldId="4"/>
    <tableColumn id="5" xr3:uid="{54A704F9-EBF4-7C49-8399-15D5EADA0B8D}" uniqueName="5" name="T4" queryTableFieldId="5"/>
    <tableColumn id="6" xr3:uid="{704AC813-CF0B-B848-B1D5-6E51D3054D08}" uniqueName="6" name="T5" queryTableFieldId="6"/>
    <tableColumn id="7" xr3:uid="{8935216C-3070-F441-AEA5-396FC795DB66}" uniqueName="7" name="T6" queryTableFieldId="7"/>
    <tableColumn id="8" xr3:uid="{CB32462E-BB5B-F148-8A83-9FB17E0A9725}" uniqueName="8" name="T7" queryTableFieldId="8"/>
    <tableColumn id="9" xr3:uid="{6713945B-AFBE-374F-A011-6873363C7134}" uniqueName="9" name="T8" queryTableFieldId="9"/>
    <tableColumn id="10" xr3:uid="{72154A86-029E-CC49-917B-C3EA9A3AE596}" uniqueName="10" name="RTD_IN" queryTableFieldId="10"/>
    <tableColumn id="11" xr3:uid="{0072151B-3D16-DD42-ADD2-9174F7D90B18}" uniqueName="11" name="RTD_OUT" queryTableFieldId="11"/>
    <tableColumn id="12" xr3:uid="{51030C37-0552-AD4B-AA6E-F94959AD465A}" uniqueName="12" name="DPT_TS" queryTableFieldId="12"/>
    <tableColumn id="13" xr3:uid="{03A3C150-2FC6-B747-A2A4-DEE909CE5823}" uniqueName="13" name="DPT_nozzle" queryTableFieldId="13"/>
    <tableColumn id="14" xr3:uid="{551340DD-AD1B-4949-A0FC-E1CFCB129924}" uniqueName="14" name="Flow_gps" queryTableFieldId="14"/>
    <tableColumn id="15" xr3:uid="{C1D84408-4036-FF48-8F2A-69395D3B4203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674445-1DE4-EA43-BF8D-52D401544D91}" name="sheet1__6" displayName="sheet1__6" ref="A1:O103" tableType="queryTable" totalsRowShown="0">
  <autoFilter ref="A1:O103" xr:uid="{6B674445-1DE4-EA43-BF8D-52D401544D91}"/>
  <tableColumns count="15">
    <tableColumn id="1" xr3:uid="{B7731548-4CC6-E54A-8C39-1A20C4CC196D}" uniqueName="1" name="Time" queryTableFieldId="1"/>
    <tableColumn id="2" xr3:uid="{D84DC70A-1A27-7E41-B55E-0CE96D5D0995}" uniqueName="2" name="T1" queryTableFieldId="2"/>
    <tableColumn id="3" xr3:uid="{464ACC21-DC23-1340-8F55-3120E9684C70}" uniqueName="3" name="T2" queryTableFieldId="3"/>
    <tableColumn id="4" xr3:uid="{4FD2EE2D-F32A-7548-B501-0F44C7BB16C6}" uniqueName="4" name="T3" queryTableFieldId="4"/>
    <tableColumn id="5" xr3:uid="{65B37861-CEAC-3442-8BF3-253308F8A8A8}" uniqueName="5" name="T4" queryTableFieldId="5"/>
    <tableColumn id="6" xr3:uid="{F2B3F7CD-3D2B-424B-BB90-79CB31E08A67}" uniqueName="6" name="T5" queryTableFieldId="6"/>
    <tableColumn id="7" xr3:uid="{73E5337D-0786-8941-AB50-5485206CA307}" uniqueName="7" name="T6" queryTableFieldId="7"/>
    <tableColumn id="8" xr3:uid="{D2C9076B-E6C5-3547-99CF-7C7F3BB6917B}" uniqueName="8" name="T7" queryTableFieldId="8"/>
    <tableColumn id="9" xr3:uid="{9D4CF9A6-3867-3242-80F7-0C7ECBC1E539}" uniqueName="9" name="T8" queryTableFieldId="9"/>
    <tableColumn id="10" xr3:uid="{97134355-9884-DA41-A1E9-6FBAE8000B35}" uniqueName="10" name="RTD_IN" queryTableFieldId="10"/>
    <tableColumn id="11" xr3:uid="{D8035C6A-F1DA-8843-A910-FD1C7B3BA993}" uniqueName="11" name="RTD_OUT" queryTableFieldId="11"/>
    <tableColumn id="12" xr3:uid="{8125463E-939E-B845-BD6C-D24C46878B4C}" uniqueName="12" name="DPT_TS" queryTableFieldId="12"/>
    <tableColumn id="13" xr3:uid="{1CB98017-581E-CC4E-B684-66F89F5848E1}" uniqueName="13" name="DPT_nozzle" queryTableFieldId="13"/>
    <tableColumn id="14" xr3:uid="{27E11D04-1E02-2644-B659-3514159E48F5}" uniqueName="14" name="Flow_gps" queryTableFieldId="14"/>
    <tableColumn id="15" xr3:uid="{79EE9717-207A-824A-931A-CE73D5FAC25C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25B125-1710-B344-8BB1-E75A5A97EE69}" name="sheet1__7" displayName="sheet1__7" ref="A1:O58" tableType="queryTable" totalsRowShown="0">
  <autoFilter ref="A1:O58" xr:uid="{EA25B125-1710-B344-8BB1-E75A5A97EE69}"/>
  <tableColumns count="15">
    <tableColumn id="1" xr3:uid="{359FC02B-488B-674C-B638-47870417BF78}" uniqueName="1" name="Time" queryTableFieldId="1"/>
    <tableColumn id="2" xr3:uid="{9DE89EBC-6DE7-074D-91B8-C668420CDEAB}" uniqueName="2" name="T1" queryTableFieldId="2"/>
    <tableColumn id="3" xr3:uid="{5B8439D8-2E5B-6244-A8FD-CB680A113DCD}" uniqueName="3" name="T2" queryTableFieldId="3"/>
    <tableColumn id="4" xr3:uid="{DBACA0AA-E185-5945-887B-EE1EBAAE82B4}" uniqueName="4" name="T3" queryTableFieldId="4"/>
    <tableColumn id="5" xr3:uid="{D6BB25F1-F5A7-BC40-A929-86246E67C2DD}" uniqueName="5" name="T4" queryTableFieldId="5"/>
    <tableColumn id="6" xr3:uid="{B6AAE7F2-B167-4846-ABC9-AECF6E3E1A92}" uniqueName="6" name="T5" queryTableFieldId="6"/>
    <tableColumn id="7" xr3:uid="{EFE9B609-91E7-FB49-816A-C25B9402348D}" uniqueName="7" name="T6" queryTableFieldId="7"/>
    <tableColumn id="8" xr3:uid="{D4BF8E09-10CC-D141-B8D0-FA688E8A52BC}" uniqueName="8" name="T7" queryTableFieldId="8"/>
    <tableColumn id="9" xr3:uid="{4593D971-A616-A64E-90CF-E5E114957E58}" uniqueName="9" name="T8" queryTableFieldId="9"/>
    <tableColumn id="10" xr3:uid="{6F68A81D-E37B-BA49-BD5E-5C09B8D545B7}" uniqueName="10" name="RTD_IN" queryTableFieldId="10"/>
    <tableColumn id="11" xr3:uid="{A85F5489-DA9F-E94D-BF0E-0284D40C454C}" uniqueName="11" name="RTD_OUT" queryTableFieldId="11"/>
    <tableColumn id="12" xr3:uid="{6FBB6B24-96A1-5D40-95FE-92568809AB25}" uniqueName="12" name="DPT_TS" queryTableFieldId="12"/>
    <tableColumn id="13" xr3:uid="{824414E5-F4F7-114E-A612-71FDB2B00F43}" uniqueName="13" name="DPT_nozzle" queryTableFieldId="13"/>
    <tableColumn id="14" xr3:uid="{C77F7715-1821-F34F-A0C7-1BB66E5A52C1}" uniqueName="14" name="Flow_gps" queryTableFieldId="14"/>
    <tableColumn id="15" xr3:uid="{AB92C1CD-60D3-4047-8912-2DD8444349AF}" uniqueName="15" name="DP_liquid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61CB34-6EDE-5F46-A36E-9783932E52B0}" name="sheet1__8" displayName="sheet1__8" ref="A1:O57" tableType="queryTable" totalsRowShown="0">
  <autoFilter ref="A1:O57" xr:uid="{5F61CB34-6EDE-5F46-A36E-9783932E52B0}"/>
  <tableColumns count="15">
    <tableColumn id="1" xr3:uid="{9F5ACDF5-1C1B-F24D-AC2F-7FE707717A4E}" uniqueName="1" name="Time" queryTableFieldId="1"/>
    <tableColumn id="2" xr3:uid="{68D34188-BDD1-E948-B912-2D9D7051A808}" uniqueName="2" name="T1" queryTableFieldId="2"/>
    <tableColumn id="3" xr3:uid="{5F60DB4B-A068-F14D-A0DE-223BED0F730A}" uniqueName="3" name="T2" queryTableFieldId="3"/>
    <tableColumn id="4" xr3:uid="{AE968166-CE92-984F-8E56-4B75ACE94D8E}" uniqueName="4" name="T3" queryTableFieldId="4"/>
    <tableColumn id="5" xr3:uid="{4235B58E-41C8-A94E-878B-E516498B6963}" uniqueName="5" name="T4" queryTableFieldId="5"/>
    <tableColumn id="6" xr3:uid="{28D5B5AB-585E-554D-B001-838A8C93B0C8}" uniqueName="6" name="T5" queryTableFieldId="6"/>
    <tableColumn id="7" xr3:uid="{D191BEF3-B3E3-3246-8CB4-4FD339000BFD}" uniqueName="7" name="T6" queryTableFieldId="7"/>
    <tableColumn id="8" xr3:uid="{8773E20F-68CD-2F44-A168-693F40D186BD}" uniqueName="8" name="T7" queryTableFieldId="8"/>
    <tableColumn id="9" xr3:uid="{DD88BC66-D454-544F-8F53-E65A10F0D99A}" uniqueName="9" name="T8" queryTableFieldId="9"/>
    <tableColumn id="10" xr3:uid="{E4DD9ECE-0EA2-1049-B181-F129D3281885}" uniqueName="10" name="RTD_IN" queryTableFieldId="10"/>
    <tableColumn id="11" xr3:uid="{913127AE-ED82-FD49-B3AF-0BC0ADE46C38}" uniqueName="11" name="RTD_OUT" queryTableFieldId="11"/>
    <tableColumn id="12" xr3:uid="{BBF5C5A4-F6DB-014D-A98F-7BFAB3439F3C}" uniqueName="12" name="DPT_TS" queryTableFieldId="12"/>
    <tableColumn id="13" xr3:uid="{240DC584-4A11-2947-8DBF-1EC91BF4CD55}" uniqueName="13" name="DPT_nozzle" queryTableFieldId="13"/>
    <tableColumn id="14" xr3:uid="{BA1EBB89-27FD-7F44-A3F3-F04C94905200}" uniqueName="14" name="Flow_gps" queryTableFieldId="14"/>
    <tableColumn id="15" xr3:uid="{39CAA56F-116E-A740-AA29-851B2E2AB30F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ACE7-1B72-FF47-A33D-DB8E636D21A4}">
  <dimension ref="A1:B9"/>
  <sheetViews>
    <sheetView tabSelected="1" workbookViewId="0">
      <selection activeCell="B2" sqref="B2"/>
    </sheetView>
  </sheetViews>
  <sheetFormatPr baseColWidth="10" defaultRowHeight="16" x14ac:dyDescent="0.2"/>
  <cols>
    <col min="1" max="1" width="16.33203125" customWidth="1"/>
    <col min="2" max="2" width="24.33203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1</v>
      </c>
      <c r="B2" s="1">
        <v>251.55574494983756</v>
      </c>
    </row>
    <row r="3" spans="1:2" x14ac:dyDescent="0.2">
      <c r="A3" s="1">
        <v>2</v>
      </c>
      <c r="B3" s="1">
        <v>366.62032570384673</v>
      </c>
    </row>
    <row r="4" spans="1:2" x14ac:dyDescent="0.2">
      <c r="A4" s="1">
        <v>3</v>
      </c>
      <c r="B4" s="1">
        <v>439.2488853887557</v>
      </c>
    </row>
    <row r="5" spans="1:2" x14ac:dyDescent="0.2">
      <c r="A5" s="1">
        <v>4</v>
      </c>
      <c r="B5" s="1">
        <v>488.04787482254898</v>
      </c>
    </row>
    <row r="6" spans="1:2" x14ac:dyDescent="0.2">
      <c r="A6" s="1">
        <v>5</v>
      </c>
      <c r="B6" s="1">
        <v>533.07599203128348</v>
      </c>
    </row>
    <row r="7" spans="1:2" x14ac:dyDescent="0.2">
      <c r="A7" s="1">
        <v>6</v>
      </c>
      <c r="B7" s="1">
        <v>565.46470910515723</v>
      </c>
    </row>
    <row r="8" spans="1:2" x14ac:dyDescent="0.2">
      <c r="A8" s="1">
        <v>7</v>
      </c>
      <c r="B8" s="1">
        <v>594.85752849688924</v>
      </c>
    </row>
    <row r="9" spans="1:2" x14ac:dyDescent="0.2">
      <c r="A9" s="1">
        <v>8</v>
      </c>
      <c r="B9" s="1">
        <v>621.79760957890971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793B-8C73-CB4E-BB3E-09DCBBF7638D}">
  <dimension ref="A1:W109"/>
  <sheetViews>
    <sheetView topLeftCell="J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9.6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2">
      <c r="A2">
        <v>44660.709994791803</v>
      </c>
      <c r="B2">
        <v>20.730202999999999</v>
      </c>
      <c r="C2">
        <v>20.702959</v>
      </c>
      <c r="D2">
        <v>20.587302999999999</v>
      </c>
      <c r="E2">
        <v>20.643325000000001</v>
      </c>
      <c r="F2">
        <v>45.467069000000002</v>
      </c>
      <c r="G2">
        <v>44.494695999999998</v>
      </c>
      <c r="H2">
        <v>36.539450000000002</v>
      </c>
      <c r="I2">
        <v>29.794267000000001</v>
      </c>
      <c r="J2">
        <v>55.842785999999997</v>
      </c>
      <c r="K2">
        <v>52.915685000000003</v>
      </c>
      <c r="L2">
        <v>6.5664619999999996</v>
      </c>
      <c r="M2">
        <v>-622.51510099999996</v>
      </c>
      <c r="N2">
        <v>1.261258</v>
      </c>
      <c r="O2">
        <v>5.9284739999999996</v>
      </c>
      <c r="P2">
        <f t="shared" ref="P2:P9" si="0" xml:space="preserve"> N2*0.001/60</f>
        <v>2.1020966666666664E-5</v>
      </c>
      <c r="Q2" cm="1">
        <f t="array" ref="Q2">[1]!PropsSI("D","T",J2+273.15,"P",101325,"Water")</f>
        <v>985.28281685806871</v>
      </c>
      <c r="R2" cm="1">
        <f t="array" ref="R2">[1]!PropsSI("D","T",K2+273.15,"P",101325,"Water")</f>
        <v>986.68871413590671</v>
      </c>
      <c r="S2">
        <f t="shared" ref="S2:S9" si="1">(Q2+R2)/2</f>
        <v>985.98576549698771</v>
      </c>
      <c r="T2" cm="1">
        <f t="array" ref="T2">[1]!PropsSI("H","T",J2+273.15,"P",101325,"Water")</f>
        <v>233854.54209811569</v>
      </c>
      <c r="U2" cm="1">
        <f t="array" ref="U2">[1]!PropsSI("H","T",K2+273.15,"P",101325,"Water")</f>
        <v>221611.23860874079</v>
      </c>
      <c r="V2">
        <f t="shared" ref="V2:V9" si="2">S2*P2*(T2-U2)</f>
        <v>253.75928601830964</v>
      </c>
      <c r="W2" s="1">
        <f>AVERAGE(V2:V109)</f>
        <v>251.55574494983756</v>
      </c>
    </row>
    <row r="3" spans="1:23" x14ac:dyDescent="0.2">
      <c r="A3">
        <v>44660.710052662202</v>
      </c>
      <c r="B3">
        <v>20.721321</v>
      </c>
      <c r="C3">
        <v>20.686724999999999</v>
      </c>
      <c r="D3">
        <v>20.577105</v>
      </c>
      <c r="E3">
        <v>20.620370999999999</v>
      </c>
      <c r="F3">
        <v>45.076107</v>
      </c>
      <c r="G3">
        <v>44.209864000000003</v>
      </c>
      <c r="H3">
        <v>36.956639000000003</v>
      </c>
      <c r="I3">
        <v>29.232761</v>
      </c>
      <c r="J3">
        <v>55.839284999999997</v>
      </c>
      <c r="K3">
        <v>52.912027000000002</v>
      </c>
      <c r="L3">
        <v>6.5713590000000002</v>
      </c>
      <c r="M3">
        <v>-622.51346899999999</v>
      </c>
      <c r="N3">
        <v>1.2575540000000001</v>
      </c>
      <c r="O3">
        <v>5.8215510000000004</v>
      </c>
      <c r="P3">
        <f t="shared" si="0"/>
        <v>2.0959233333333334E-5</v>
      </c>
      <c r="Q3" cm="1">
        <f t="array" ref="Q3">[1]!PropsSI("D","T",J3+273.15,"P",101325,"Water")</f>
        <v>985.2845302195002</v>
      </c>
      <c r="R3" cm="1">
        <f t="array" ref="R3">[1]!PropsSI("D","T",K3+273.15,"P",101325,"Water")</f>
        <v>986.69043741315829</v>
      </c>
      <c r="S3">
        <f t="shared" si="1"/>
        <v>985.98748381632925</v>
      </c>
      <c r="T3" cm="1">
        <f t="array" ref="T3">[1]!PropsSI("H","T",J3+273.15,"P",101325,"Water")</f>
        <v>233839.89648336009</v>
      </c>
      <c r="U3" cm="1">
        <f t="array" ref="U3">[1]!PropsSI("H","T",K3+273.15,"P",101325,"Water")</f>
        <v>221595.93999221022</v>
      </c>
      <c r="V3">
        <f t="shared" si="2"/>
        <v>253.02799389451468</v>
      </c>
      <c r="W3" s="1"/>
    </row>
    <row r="4" spans="1:23" x14ac:dyDescent="0.2">
      <c r="A4">
        <v>44660.710111111301</v>
      </c>
      <c r="B4">
        <v>20.73263</v>
      </c>
      <c r="C4">
        <v>20.695153000000001</v>
      </c>
      <c r="D4">
        <v>20.585996000000002</v>
      </c>
      <c r="E4">
        <v>20.643409999999999</v>
      </c>
      <c r="F4">
        <v>45.702919000000001</v>
      </c>
      <c r="G4">
        <v>44.363931000000001</v>
      </c>
      <c r="H4">
        <v>37.070625</v>
      </c>
      <c r="I4">
        <v>29.552661000000001</v>
      </c>
      <c r="J4">
        <v>55.836261</v>
      </c>
      <c r="K4">
        <v>52.907893000000001</v>
      </c>
      <c r="L4">
        <v>6.2897410000000002</v>
      </c>
      <c r="M4">
        <v>-622.474287</v>
      </c>
      <c r="N4">
        <v>1.259304</v>
      </c>
      <c r="O4">
        <v>6.2132310000000004</v>
      </c>
      <c r="P4">
        <f t="shared" si="0"/>
        <v>2.0988400000000001E-5</v>
      </c>
      <c r="Q4" cm="1">
        <f t="array" ref="Q4">[1]!PropsSI("D","T",J4+273.15,"P",101325,"Water")</f>
        <v>985.28601008023668</v>
      </c>
      <c r="R4" cm="1">
        <f t="array" ref="R4">[1]!PropsSI("D","T",K4+273.15,"P",101325,"Water")</f>
        <v>986.69238483090908</v>
      </c>
      <c r="S4">
        <f t="shared" si="1"/>
        <v>985.98919745557282</v>
      </c>
      <c r="T4" cm="1">
        <f t="array" ref="T4">[1]!PropsSI("H","T",J4+273.15,"P",101325,"Water")</f>
        <v>233827.24629032504</v>
      </c>
      <c r="U4" cm="1">
        <f t="array" ref="U4">[1]!PropsSI("H","T",K4+273.15,"P",101325,"Water")</f>
        <v>221578.65063698051</v>
      </c>
      <c r="V4">
        <f t="shared" si="2"/>
        <v>253.47654995939965</v>
      </c>
      <c r="W4" s="1"/>
    </row>
    <row r="5" spans="1:23" x14ac:dyDescent="0.2">
      <c r="A5">
        <v>44660.710168981699</v>
      </c>
      <c r="B5">
        <v>20.754580000000001</v>
      </c>
      <c r="C5">
        <v>20.710654000000002</v>
      </c>
      <c r="D5">
        <v>20.607063</v>
      </c>
      <c r="E5">
        <v>20.642672000000001</v>
      </c>
      <c r="F5">
        <v>46.220764000000003</v>
      </c>
      <c r="G5">
        <v>44.414228000000001</v>
      </c>
      <c r="H5">
        <v>36.757798000000001</v>
      </c>
      <c r="I5">
        <v>29.967711000000001</v>
      </c>
      <c r="J5">
        <v>55.833714999999998</v>
      </c>
      <c r="K5">
        <v>52.906939000000001</v>
      </c>
      <c r="L5">
        <v>6.2701500000000001</v>
      </c>
      <c r="M5">
        <v>-622.50489800000003</v>
      </c>
      <c r="N5">
        <v>1.2592380000000001</v>
      </c>
      <c r="O5">
        <v>5.8485040000000001</v>
      </c>
      <c r="P5">
        <f t="shared" si="0"/>
        <v>2.0987300000000005E-5</v>
      </c>
      <c r="Q5" cm="1">
        <f t="array" ref="Q5">[1]!PropsSI("D","T",J5+273.15,"P",101325,"Water")</f>
        <v>985.28725597753385</v>
      </c>
      <c r="R5" cm="1">
        <f t="array" ref="R5">[1]!PropsSI("D","T",K5+273.15,"P",101325,"Water")</f>
        <v>986.69283421959381</v>
      </c>
      <c r="S5">
        <f t="shared" si="1"/>
        <v>985.99004509856377</v>
      </c>
      <c r="T5" cm="1">
        <f t="array" ref="T5">[1]!PropsSI("H","T",J5+273.15,"P",101325,"Water")</f>
        <v>233816.59570052355</v>
      </c>
      <c r="U5" cm="1">
        <f t="array" ref="U5">[1]!PropsSI("H","T",K5+273.15,"P",101325,"Water")</f>
        <v>221574.66078660349</v>
      </c>
      <c r="V5">
        <f t="shared" si="2"/>
        <v>253.32565070559934</v>
      </c>
      <c r="W5" s="1"/>
    </row>
    <row r="6" spans="1:23" x14ac:dyDescent="0.2">
      <c r="A6">
        <v>46122.71022685185</v>
      </c>
      <c r="B6">
        <v>20.77216</v>
      </c>
      <c r="C6">
        <v>20.721589000000002</v>
      </c>
      <c r="D6">
        <v>20.600822999999998</v>
      </c>
      <c r="E6">
        <v>20.659231999999999</v>
      </c>
      <c r="F6">
        <v>45.971373999999997</v>
      </c>
      <c r="G6">
        <v>44.697001</v>
      </c>
      <c r="H6">
        <v>37.178798</v>
      </c>
      <c r="I6">
        <v>29.102295999999999</v>
      </c>
      <c r="J6">
        <v>55.834510000000002</v>
      </c>
      <c r="K6">
        <v>52.911073000000002</v>
      </c>
      <c r="L6">
        <v>7.0056229999999999</v>
      </c>
      <c r="M6">
        <v>-622.51550899999995</v>
      </c>
      <c r="N6">
        <v>1.2580739999999999</v>
      </c>
      <c r="O6">
        <v>6.001252</v>
      </c>
      <c r="P6">
        <f t="shared" si="0"/>
        <v>2.0967899999999996E-5</v>
      </c>
      <c r="Q6" cm="1">
        <f t="array" ref="Q6">[1]!PropsSI("D","T",J6+273.15,"P",101325,"Water")</f>
        <v>985.28686694474754</v>
      </c>
      <c r="R6" cm="1">
        <f t="array" ref="R6">[1]!PropsSI("D","T",K6+273.15,"P",101325,"Water")</f>
        <v>986.69088682687891</v>
      </c>
      <c r="S6">
        <f t="shared" si="1"/>
        <v>985.98887688581317</v>
      </c>
      <c r="T6" cm="1">
        <f t="array" ref="T6">[1]!PropsSI("H","T",J6+273.15,"P",101325,"Water")</f>
        <v>233819.92139503732</v>
      </c>
      <c r="U6" cm="1">
        <f t="array" ref="U6">[1]!PropsSI("H","T",K6+273.15,"P",101325,"Water")</f>
        <v>221591.95014049538</v>
      </c>
      <c r="V6">
        <f t="shared" si="2"/>
        <v>252.80249826004635</v>
      </c>
      <c r="W6" s="1"/>
    </row>
    <row r="7" spans="1:23" x14ac:dyDescent="0.2">
      <c r="A7">
        <v>46122.710285300927</v>
      </c>
      <c r="B7">
        <v>20.784193999999999</v>
      </c>
      <c r="C7">
        <v>20.733291000000001</v>
      </c>
      <c r="D7">
        <v>20.619019999999999</v>
      </c>
      <c r="E7">
        <v>20.67173</v>
      </c>
      <c r="F7">
        <v>44.695017</v>
      </c>
      <c r="G7">
        <v>44.237451</v>
      </c>
      <c r="H7">
        <v>37.438383999999999</v>
      </c>
      <c r="I7">
        <v>29.590823</v>
      </c>
      <c r="J7">
        <v>55.837375000000002</v>
      </c>
      <c r="K7">
        <v>52.908369999999998</v>
      </c>
      <c r="L7">
        <v>6.2183159999999997</v>
      </c>
      <c r="M7">
        <v>-622.47551099999998</v>
      </c>
      <c r="N7">
        <v>1.261865</v>
      </c>
      <c r="O7">
        <v>5.8943029999999998</v>
      </c>
      <c r="P7">
        <f t="shared" si="0"/>
        <v>2.1031083333333333E-5</v>
      </c>
      <c r="Q7" cm="1">
        <f t="array" ref="Q7">[1]!PropsSI("D","T",J7+273.15,"P",101325,"Water")</f>
        <v>985.28546492644352</v>
      </c>
      <c r="R7" cm="1">
        <f t="array" ref="R7">[1]!PropsSI("D","T",K7+273.15,"P",101325,"Water")</f>
        <v>986.69216013441053</v>
      </c>
      <c r="S7">
        <f t="shared" si="1"/>
        <v>985.98881253042703</v>
      </c>
      <c r="T7" cm="1">
        <f t="array" ref="T7">[1]!PropsSI("H","T",J7+273.15,"P",101325,"Water")</f>
        <v>233831.90644700092</v>
      </c>
      <c r="U7" cm="1">
        <f t="array" ref="U7">[1]!PropsSI("H","T",K7+273.15,"P",101325,"Water")</f>
        <v>221580.6455622857</v>
      </c>
      <c r="V7">
        <f t="shared" si="2"/>
        <v>254.04720403130827</v>
      </c>
      <c r="W7" s="1"/>
    </row>
    <row r="8" spans="1:23" x14ac:dyDescent="0.2">
      <c r="A8">
        <v>46122.710343171297</v>
      </c>
      <c r="B8">
        <v>20.784784999999999</v>
      </c>
      <c r="C8">
        <v>20.746176999999999</v>
      </c>
      <c r="D8">
        <v>20.620533999999999</v>
      </c>
      <c r="E8">
        <v>20.661057</v>
      </c>
      <c r="F8">
        <v>45.409602</v>
      </c>
      <c r="G8">
        <v>44.370246000000002</v>
      </c>
      <c r="H8">
        <v>37.600512000000002</v>
      </c>
      <c r="I8">
        <v>30.396484999999998</v>
      </c>
      <c r="J8">
        <v>55.834032999999998</v>
      </c>
      <c r="K8">
        <v>52.911391000000002</v>
      </c>
      <c r="L8">
        <v>5.3110140000000001</v>
      </c>
      <c r="M8">
        <v>-622.49428599999999</v>
      </c>
      <c r="N8">
        <v>1.259533</v>
      </c>
      <c r="O8">
        <v>5.9388180000000004</v>
      </c>
      <c r="P8">
        <f t="shared" si="0"/>
        <v>2.0992216666666665E-5</v>
      </c>
      <c r="Q8" cm="1">
        <f t="array" ref="Q8">[1]!PropsSI("D","T",J8+273.15,"P",101325,"Water")</f>
        <v>985.28710036488826</v>
      </c>
      <c r="R8" cm="1">
        <f t="array" ref="R8">[1]!PropsSI("D","T",K8+273.15,"P",101325,"Water")</f>
        <v>986.69073702294054</v>
      </c>
      <c r="S8">
        <f t="shared" si="1"/>
        <v>985.98891869391446</v>
      </c>
      <c r="T8" cm="1">
        <f t="array" ref="T8">[1]!PropsSI("H","T",J8+273.15,"P",101325,"Water")</f>
        <v>233817.92597829699</v>
      </c>
      <c r="U8" cm="1">
        <f t="array" ref="U8">[1]!PropsSI("H","T",K8+273.15,"P",101325,"Water")</f>
        <v>221593.28009105241</v>
      </c>
      <c r="V8">
        <f t="shared" si="2"/>
        <v>253.02685761484682</v>
      </c>
      <c r="W8" s="1"/>
    </row>
    <row r="9" spans="1:23" x14ac:dyDescent="0.2">
      <c r="A9">
        <v>46122.710401620374</v>
      </c>
      <c r="B9">
        <v>20.803066000000001</v>
      </c>
      <c r="C9">
        <v>20.774284999999999</v>
      </c>
      <c r="D9">
        <v>20.657685000000001</v>
      </c>
      <c r="E9">
        <v>20.678076000000001</v>
      </c>
      <c r="F9">
        <v>45.462558999999999</v>
      </c>
      <c r="G9">
        <v>44.439436999999998</v>
      </c>
      <c r="H9">
        <v>37.362765000000003</v>
      </c>
      <c r="I9">
        <v>30.171415</v>
      </c>
      <c r="J9">
        <v>55.831645999999999</v>
      </c>
      <c r="K9">
        <v>52.914253000000002</v>
      </c>
      <c r="L9">
        <v>5.2816280000000004</v>
      </c>
      <c r="M9">
        <v>-622.50081599999999</v>
      </c>
      <c r="N9">
        <v>1.260254</v>
      </c>
      <c r="O9">
        <v>6.0848190000000004</v>
      </c>
      <c r="P9">
        <f t="shared" si="0"/>
        <v>2.1004233333333331E-5</v>
      </c>
      <c r="Q9" cm="1">
        <f t="array" ref="Q9">[1]!PropsSI("D","T",J9+273.15,"P",101325,"Water")</f>
        <v>985.288268423212</v>
      </c>
      <c r="R9" cm="1">
        <f t="array" ref="R9">[1]!PropsSI("D","T",K9+273.15,"P",101325,"Water")</f>
        <v>986.68938875868378</v>
      </c>
      <c r="S9">
        <f t="shared" si="1"/>
        <v>985.98882859094783</v>
      </c>
      <c r="T9" cm="1">
        <f t="array" ref="T9">[1]!PropsSI("H","T",J9+273.15,"P",101325,"Water")</f>
        <v>233807.94052940764</v>
      </c>
      <c r="U9" cm="1">
        <f t="array" ref="U9">[1]!PropsSI("H","T",K9+273.15,"P",101325,"Water")</f>
        <v>221605.24964732389</v>
      </c>
      <c r="V9">
        <f t="shared" si="2"/>
        <v>252.71698892630846</v>
      </c>
      <c r="W9" s="1"/>
    </row>
    <row r="10" spans="1:23" x14ac:dyDescent="0.2">
      <c r="A10">
        <v>44660.710460069597</v>
      </c>
      <c r="B10">
        <v>20.828367</v>
      </c>
      <c r="C10">
        <v>20.788931000000002</v>
      </c>
      <c r="D10">
        <v>20.660261999999999</v>
      </c>
      <c r="E10">
        <v>20.700147000000001</v>
      </c>
      <c r="F10">
        <v>45.634658999999999</v>
      </c>
      <c r="G10">
        <v>44.524272000000003</v>
      </c>
      <c r="H10">
        <v>37.310071000000001</v>
      </c>
      <c r="I10">
        <v>30.545666000000001</v>
      </c>
      <c r="J10">
        <v>55.829258000000003</v>
      </c>
      <c r="K10">
        <v>52.914572</v>
      </c>
      <c r="L10">
        <v>6.5174839999999996</v>
      </c>
      <c r="M10">
        <v>-622.48244999999997</v>
      </c>
      <c r="N10">
        <v>1.2622660000000001</v>
      </c>
      <c r="O10">
        <v>5.6888680000000003</v>
      </c>
      <c r="P10">
        <f t="shared" ref="P10:P73" si="3" xml:space="preserve"> N10*0.001/60</f>
        <v>2.103776666666667E-5</v>
      </c>
      <c r="Q10" cm="1">
        <f t="array" ref="Q10">[1]!PropsSI("D","T",J10+273.15,"P",101325,"Water")</f>
        <v>985.28943693579822</v>
      </c>
      <c r="R10" cm="1">
        <f t="array" ref="R10">[1]!PropsSI("D","T",K10+273.15,"P",101325,"Water")</f>
        <v>986.68923847721123</v>
      </c>
      <c r="S10">
        <f t="shared" ref="S10:S73" si="4">(Q10+R10)/2</f>
        <v>985.98933770650478</v>
      </c>
      <c r="T10" cm="1">
        <f t="array" ref="T10">[1]!PropsSI("H","T",J10+273.15,"P",101325,"Water")</f>
        <v>233797.95089938067</v>
      </c>
      <c r="U10" cm="1">
        <f t="array" ref="U10">[1]!PropsSI("H","T",K10+273.15,"P",101325,"Water")</f>
        <v>221606.58378042749</v>
      </c>
      <c r="V10">
        <f t="shared" ref="V10:V73" si="5">S10*P10*(T10-U10)</f>
        <v>252.88569422523034</v>
      </c>
    </row>
    <row r="11" spans="1:23" x14ac:dyDescent="0.2">
      <c r="A11">
        <v>44660.710517940002</v>
      </c>
      <c r="B11">
        <v>20.82865</v>
      </c>
      <c r="C11">
        <v>20.799423000000001</v>
      </c>
      <c r="D11">
        <v>20.670055999999999</v>
      </c>
      <c r="E11">
        <v>20.718336999999998</v>
      </c>
      <c r="F11">
        <v>45.041400000000003</v>
      </c>
      <c r="G11">
        <v>44.312964999999998</v>
      </c>
      <c r="H11">
        <v>36.315756</v>
      </c>
      <c r="I11">
        <v>29.365217000000001</v>
      </c>
      <c r="J11">
        <v>55.828940000000003</v>
      </c>
      <c r="K11">
        <v>52.913457999999999</v>
      </c>
      <c r="L11">
        <v>6.6962510000000002</v>
      </c>
      <c r="M11">
        <v>-622.480817</v>
      </c>
      <c r="N11">
        <v>1.2590209999999999</v>
      </c>
      <c r="O11">
        <v>5.3190580000000001</v>
      </c>
      <c r="P11">
        <f t="shared" si="3"/>
        <v>2.0983683333333334E-5</v>
      </c>
      <c r="Q11" cm="1">
        <f t="array" ref="Q11">[1]!PropsSI("D","T",J11+273.15,"P",101325,"Water")</f>
        <v>985.28959253910512</v>
      </c>
      <c r="R11" cm="1">
        <f t="array" ref="R11">[1]!PropsSI("D","T",K11+273.15,"P",101325,"Water")</f>
        <v>986.6897632817379</v>
      </c>
      <c r="S11">
        <f t="shared" si="4"/>
        <v>985.98967791042151</v>
      </c>
      <c r="T11" cm="1">
        <f t="array" ref="T11">[1]!PropsSI("H","T",J11+273.15,"P",101325,"Water")</f>
        <v>233796.62062214481</v>
      </c>
      <c r="U11" cm="1">
        <f t="array" ref="U11">[1]!PropsSI("H","T",K11+273.15,"P",101325,"Water")</f>
        <v>221601.92477029181</v>
      </c>
      <c r="V11">
        <f t="shared" si="5"/>
        <v>252.30453988042856</v>
      </c>
    </row>
    <row r="12" spans="1:23" x14ac:dyDescent="0.2">
      <c r="A12">
        <v>44660.710576389101</v>
      </c>
      <c r="B12">
        <v>20.833121999999999</v>
      </c>
      <c r="C12">
        <v>20.810587999999999</v>
      </c>
      <c r="D12">
        <v>20.666833</v>
      </c>
      <c r="E12">
        <v>20.712391</v>
      </c>
      <c r="F12">
        <v>45.809761999999999</v>
      </c>
      <c r="G12">
        <v>44.432276999999999</v>
      </c>
      <c r="H12">
        <v>36.929400999999999</v>
      </c>
      <c r="I12">
        <v>28.928742</v>
      </c>
      <c r="J12">
        <v>55.828462999999999</v>
      </c>
      <c r="K12">
        <v>52.912981000000002</v>
      </c>
      <c r="L12">
        <v>5.2481600000000004</v>
      </c>
      <c r="M12">
        <v>-622.47959300000002</v>
      </c>
      <c r="N12">
        <v>1.25959</v>
      </c>
      <c r="O12">
        <v>6.2329920000000003</v>
      </c>
      <c r="P12">
        <f t="shared" si="3"/>
        <v>2.0993166666666667E-5</v>
      </c>
      <c r="Q12" cm="1">
        <f t="array" ref="Q12">[1]!PropsSI("D","T",J12+273.15,"P",101325,"Water")</f>
        <v>985.28982594288198</v>
      </c>
      <c r="R12" cm="1">
        <f t="array" ref="R12">[1]!PropsSI("D","T",K12+273.15,"P",101325,"Water")</f>
        <v>986.68998799365534</v>
      </c>
      <c r="S12">
        <f t="shared" si="4"/>
        <v>985.98990696826866</v>
      </c>
      <c r="T12" cm="1">
        <f t="array" ref="T12">[1]!PropsSI("H","T",J12+273.15,"P",101325,"Water")</f>
        <v>233794.62520641173</v>
      </c>
      <c r="U12" cm="1">
        <f t="array" ref="U12">[1]!PropsSI("H","T",K12+273.15,"P",101325,"Water")</f>
        <v>221599.92984420512</v>
      </c>
      <c r="V12">
        <f t="shared" si="5"/>
        <v>252.41861450806235</v>
      </c>
    </row>
    <row r="13" spans="1:23" x14ac:dyDescent="0.2">
      <c r="A13">
        <v>44660.710634259398</v>
      </c>
      <c r="B13">
        <v>20.826174999999999</v>
      </c>
      <c r="C13">
        <v>20.811821999999999</v>
      </c>
      <c r="D13">
        <v>20.673171</v>
      </c>
      <c r="E13">
        <v>20.714759999999998</v>
      </c>
      <c r="F13">
        <v>45.500767000000003</v>
      </c>
      <c r="G13">
        <v>44.538248000000003</v>
      </c>
      <c r="H13">
        <v>37.055489999999999</v>
      </c>
      <c r="I13">
        <v>29.759008000000001</v>
      </c>
      <c r="J13">
        <v>55.826870999999997</v>
      </c>
      <c r="K13">
        <v>52.910595999999998</v>
      </c>
      <c r="L13">
        <v>6.4656500000000001</v>
      </c>
      <c r="M13">
        <v>-622.47020599999996</v>
      </c>
      <c r="N13">
        <v>1.257841</v>
      </c>
      <c r="O13">
        <v>5.2686460000000004</v>
      </c>
      <c r="P13">
        <f t="shared" si="3"/>
        <v>2.0964016666666668E-5</v>
      </c>
      <c r="Q13" cm="1">
        <f t="array" ref="Q13">[1]!PropsSI("D","T",J13+273.15,"P",101325,"Water")</f>
        <v>985.29060492397696</v>
      </c>
      <c r="R13" cm="1">
        <f t="array" ref="R13">[1]!PropsSI("D","T",K13+273.15,"P",101325,"Water")</f>
        <v>986.69111153157178</v>
      </c>
      <c r="S13">
        <f t="shared" si="4"/>
        <v>985.99085822777442</v>
      </c>
      <c r="T13" cm="1">
        <f t="array" ref="T13">[1]!PropsSI("H","T",J13+273.15,"P",101325,"Water")</f>
        <v>233787.96545471688</v>
      </c>
      <c r="U13" cm="1">
        <f t="array" ref="U13">[1]!PropsSI("H","T",K13+273.15,"P",101325,"Water")</f>
        <v>221589.95521476615</v>
      </c>
      <c r="V13">
        <f t="shared" si="5"/>
        <v>252.1368821834082</v>
      </c>
    </row>
    <row r="14" spans="1:23" x14ac:dyDescent="0.2">
      <c r="A14">
        <v>44660.710692708497</v>
      </c>
      <c r="B14">
        <v>20.825966999999999</v>
      </c>
      <c r="C14">
        <v>20.807670000000002</v>
      </c>
      <c r="D14">
        <v>20.661363000000001</v>
      </c>
      <c r="E14">
        <v>20.7056</v>
      </c>
      <c r="F14">
        <v>44.950291</v>
      </c>
      <c r="G14">
        <v>44.228034999999998</v>
      </c>
      <c r="H14">
        <v>36.832008999999999</v>
      </c>
      <c r="I14">
        <v>29.565844999999999</v>
      </c>
      <c r="J14">
        <v>55.825597999999999</v>
      </c>
      <c r="K14">
        <v>52.906779</v>
      </c>
      <c r="L14">
        <v>6.6187040000000001</v>
      </c>
      <c r="M14">
        <v>-622.53061100000002</v>
      </c>
      <c r="N14">
        <v>1.2606189999999999</v>
      </c>
      <c r="O14">
        <v>5.3701299999999996</v>
      </c>
      <c r="P14">
        <f t="shared" si="3"/>
        <v>2.1010316666666664E-5</v>
      </c>
      <c r="Q14" cm="1">
        <f t="array" ref="Q14">[1]!PropsSI("D","T",J14+273.15,"P",101325,"Water")</f>
        <v>985.29122780404145</v>
      </c>
      <c r="R14" cm="1">
        <f t="array" ref="R14">[1]!PropsSI("D","T",K14+273.15,"P",101325,"Water")</f>
        <v>986.69290958820329</v>
      </c>
      <c r="S14">
        <f t="shared" si="4"/>
        <v>985.99206869612237</v>
      </c>
      <c r="T14" cm="1">
        <f t="array" ref="T14">[1]!PropsSI("H","T",J14+273.15,"P",101325,"Water")</f>
        <v>233782.64016402216</v>
      </c>
      <c r="U14" cm="1">
        <f t="array" ref="U14">[1]!PropsSI("H","T",K14+273.15,"P",101325,"Water")</f>
        <v>221573.99162932194</v>
      </c>
      <c r="V14">
        <f t="shared" si="5"/>
        <v>252.91443134158351</v>
      </c>
    </row>
    <row r="15" spans="1:23" x14ac:dyDescent="0.2">
      <c r="A15">
        <v>46122.710751157407</v>
      </c>
      <c r="B15">
        <v>20.846328</v>
      </c>
      <c r="C15">
        <v>20.820667</v>
      </c>
      <c r="D15">
        <v>20.682013999999999</v>
      </c>
      <c r="E15">
        <v>20.726727</v>
      </c>
      <c r="F15">
        <v>45.414864000000001</v>
      </c>
      <c r="G15">
        <v>44.524895000000001</v>
      </c>
      <c r="H15">
        <v>37.001184000000002</v>
      </c>
      <c r="I15">
        <v>29.442444999999999</v>
      </c>
      <c r="J15">
        <v>55.826552999999997</v>
      </c>
      <c r="K15">
        <v>52.908687999999998</v>
      </c>
      <c r="L15">
        <v>6.3583090000000002</v>
      </c>
      <c r="M15">
        <v>-622.51346899999999</v>
      </c>
      <c r="N15">
        <v>1.258189</v>
      </c>
      <c r="O15">
        <v>6.3239419999999997</v>
      </c>
      <c r="P15">
        <f t="shared" si="3"/>
        <v>2.0969816666666667E-5</v>
      </c>
      <c r="Q15" cm="1">
        <f t="array" ref="Q15">[1]!PropsSI("D","T",J15+273.15,"P",101325,"Water")</f>
        <v>985.29076052258438</v>
      </c>
      <c r="R15" cm="1">
        <f t="array" ref="R15">[1]!PropsSI("D","T",K15+273.15,"P",101325,"Water")</f>
        <v>986.69201033592219</v>
      </c>
      <c r="S15">
        <f t="shared" si="4"/>
        <v>985.99138542925334</v>
      </c>
      <c r="T15" cm="1">
        <f t="array" ref="T15">[1]!PropsSI("H","T",J15+273.15,"P",101325,"Water")</f>
        <v>233786.63517781932</v>
      </c>
      <c r="U15" cm="1">
        <f t="array" ref="U15">[1]!PropsSI("H","T",K15+273.15,"P",101325,"Water")</f>
        <v>221581.97551255298</v>
      </c>
      <c r="V15">
        <f t="shared" si="5"/>
        <v>252.34425827788658</v>
      </c>
    </row>
    <row r="16" spans="1:23" x14ac:dyDescent="0.2">
      <c r="A16">
        <v>46122.710809027776</v>
      </c>
      <c r="B16">
        <v>20.836068000000001</v>
      </c>
      <c r="C16">
        <v>20.822096999999999</v>
      </c>
      <c r="D16">
        <v>20.671610000000001</v>
      </c>
      <c r="E16">
        <v>20.720794000000001</v>
      </c>
      <c r="F16">
        <v>45.497622</v>
      </c>
      <c r="G16">
        <v>44.367778999999999</v>
      </c>
      <c r="H16">
        <v>36.619914000000001</v>
      </c>
      <c r="I16">
        <v>30.769304000000002</v>
      </c>
      <c r="J16">
        <v>55.827030000000001</v>
      </c>
      <c r="K16">
        <v>52.908211000000001</v>
      </c>
      <c r="L16">
        <v>6.2762719999999996</v>
      </c>
      <c r="M16">
        <v>-622.50734699999998</v>
      </c>
      <c r="N16">
        <v>1.2578530000000001</v>
      </c>
      <c r="O16">
        <v>5.9131489999999998</v>
      </c>
      <c r="P16">
        <f t="shared" si="3"/>
        <v>2.0964216666666668E-5</v>
      </c>
      <c r="Q16" cm="1">
        <f t="array" ref="Q16">[1]!PropsSI("D","T",J16+273.15,"P",101325,"Water")</f>
        <v>985.29052712444354</v>
      </c>
      <c r="R16" cm="1">
        <f t="array" ref="R16">[1]!PropsSI("D","T",K16+273.15,"P",101325,"Water")</f>
        <v>986.69223503339515</v>
      </c>
      <c r="S16">
        <f t="shared" si="4"/>
        <v>985.9913810789194</v>
      </c>
      <c r="T16" cm="1">
        <f t="array" ref="T16">[1]!PropsSI("H","T",J16+273.15,"P",101325,"Water")</f>
        <v>233788.6305931432</v>
      </c>
      <c r="U16" cm="1">
        <f t="array" ref="U16">[1]!PropsSI("H","T",K16+273.15,"P",101325,"Water")</f>
        <v>221579.98058717203</v>
      </c>
      <c r="V16">
        <f t="shared" si="5"/>
        <v>252.35935098972965</v>
      </c>
    </row>
    <row r="17" spans="1:22" x14ac:dyDescent="0.2">
      <c r="A17">
        <v>46122.710867476853</v>
      </c>
      <c r="B17">
        <v>20.833137000000001</v>
      </c>
      <c r="C17">
        <v>20.829865000000002</v>
      </c>
      <c r="D17">
        <v>20.680537000000001</v>
      </c>
      <c r="E17">
        <v>20.72251</v>
      </c>
      <c r="F17">
        <v>45.378574</v>
      </c>
      <c r="G17">
        <v>44.146526000000001</v>
      </c>
      <c r="H17">
        <v>36.441653000000002</v>
      </c>
      <c r="I17">
        <v>30.117730999999999</v>
      </c>
      <c r="J17">
        <v>55.826394000000001</v>
      </c>
      <c r="K17">
        <v>52.912027000000002</v>
      </c>
      <c r="L17">
        <v>6.0158769999999997</v>
      </c>
      <c r="M17">
        <v>-622.51224400000001</v>
      </c>
      <c r="N17">
        <v>1.25807</v>
      </c>
      <c r="O17">
        <v>6.138916</v>
      </c>
      <c r="P17">
        <f t="shared" si="3"/>
        <v>2.0967833333333333E-5</v>
      </c>
      <c r="Q17" cm="1">
        <f t="array" ref="Q17">[1]!PropsSI("D","T",J17+273.15,"P",101325,"Water")</f>
        <v>985.29083832168556</v>
      </c>
      <c r="R17" cm="1">
        <f t="array" ref="R17">[1]!PropsSI("D","T",K17+273.15,"P",101325,"Water")</f>
        <v>986.69043741315829</v>
      </c>
      <c r="S17">
        <f t="shared" si="4"/>
        <v>985.99063786742192</v>
      </c>
      <c r="T17" cm="1">
        <f t="array" ref="T17">[1]!PropsSI("H","T",J17+273.15,"P",101325,"Water")</f>
        <v>233785.97003934727</v>
      </c>
      <c r="U17" cm="1">
        <f t="array" ref="U17">[1]!PropsSI("H","T",K17+273.15,"P",101325,"Water")</f>
        <v>221595.93999221022</v>
      </c>
      <c r="V17">
        <f t="shared" si="5"/>
        <v>252.01774615248593</v>
      </c>
    </row>
    <row r="18" spans="1:22" x14ac:dyDescent="0.2">
      <c r="A18">
        <v>46122.710925925923</v>
      </c>
      <c r="B18">
        <v>20.838901</v>
      </c>
      <c r="C18">
        <v>20.825834</v>
      </c>
      <c r="D18">
        <v>20.666530000000002</v>
      </c>
      <c r="E18">
        <v>20.718292000000002</v>
      </c>
      <c r="F18">
        <v>45.411028999999999</v>
      </c>
      <c r="G18">
        <v>44.725914000000003</v>
      </c>
      <c r="H18">
        <v>36.652822</v>
      </c>
      <c r="I18">
        <v>29.160064999999999</v>
      </c>
      <c r="J18">
        <v>55.825757000000003</v>
      </c>
      <c r="K18">
        <v>52.908847000000002</v>
      </c>
      <c r="L18">
        <v>6.9235870000000004</v>
      </c>
      <c r="M18">
        <v>-622.48816399999998</v>
      </c>
      <c r="N18">
        <v>1.2603439999999999</v>
      </c>
      <c r="O18">
        <v>6.2734920000000001</v>
      </c>
      <c r="P18">
        <f t="shared" si="3"/>
        <v>2.1005733333333331E-5</v>
      </c>
      <c r="Q18" cm="1">
        <f t="array" ref="Q18">[1]!PropsSI("D","T",J18+273.15,"P",101325,"Water")</f>
        <v>985.2911500057437</v>
      </c>
      <c r="R18" cm="1">
        <f t="array" ref="R18">[1]!PropsSI("D","T",K18+273.15,"P",101325,"Water")</f>
        <v>986.69193543643701</v>
      </c>
      <c r="S18">
        <f t="shared" si="4"/>
        <v>985.99154272109035</v>
      </c>
      <c r="T18" cm="1">
        <f t="array" ref="T18">[1]!PropsSI("H","T",J18+273.15,"P",101325,"Water")</f>
        <v>233783.30530241263</v>
      </c>
      <c r="U18" cm="1">
        <f t="array" ref="U18">[1]!PropsSI("H","T",K18+273.15,"P",101325,"Water")</f>
        <v>221582.64048767707</v>
      </c>
      <c r="V18">
        <f t="shared" si="5"/>
        <v>252.69376936096947</v>
      </c>
    </row>
    <row r="19" spans="1:22" x14ac:dyDescent="0.2">
      <c r="A19">
        <v>46122.710984375</v>
      </c>
      <c r="B19">
        <v>20.847314999999998</v>
      </c>
      <c r="C19">
        <v>20.840675000000001</v>
      </c>
      <c r="D19">
        <v>20.685313000000001</v>
      </c>
      <c r="E19">
        <v>20.727236000000001</v>
      </c>
      <c r="F19">
        <v>44.639691999999997</v>
      </c>
      <c r="G19">
        <v>44.372781000000003</v>
      </c>
      <c r="H19">
        <v>37.435578999999997</v>
      </c>
      <c r="I19">
        <v>28.310679</v>
      </c>
      <c r="J19">
        <v>55.823211000000001</v>
      </c>
      <c r="K19">
        <v>52.912503999999998</v>
      </c>
      <c r="L19">
        <v>6.0073059999999998</v>
      </c>
      <c r="M19">
        <v>-622.493878</v>
      </c>
      <c r="N19">
        <v>1.2590859999999999</v>
      </c>
      <c r="O19">
        <v>6.0262609999999999</v>
      </c>
      <c r="P19">
        <f t="shared" si="3"/>
        <v>2.0984766666666666E-5</v>
      </c>
      <c r="Q19" cm="1">
        <f t="array" ref="Q19">[1]!PropsSI("D","T",J19+273.15,"P",101325,"Water")</f>
        <v>985.29239573844541</v>
      </c>
      <c r="R19" cm="1">
        <f t="array" ref="R19">[1]!PropsSI("D","T",K19+273.15,"P",101325,"Water")</f>
        <v>986.69021270412122</v>
      </c>
      <c r="S19">
        <f t="shared" si="4"/>
        <v>985.99130422128337</v>
      </c>
      <c r="T19" cm="1">
        <f t="array" ref="T19">[1]!PropsSI("H","T",J19+273.15,"P",101325,"Water")</f>
        <v>233772.6547226414</v>
      </c>
      <c r="U19" cm="1">
        <f t="array" ref="U19">[1]!PropsSI("H","T",K19+273.15,"P",101325,"Water")</f>
        <v>221597.93491820901</v>
      </c>
      <c r="V19">
        <f t="shared" si="5"/>
        <v>251.9046615381427</v>
      </c>
    </row>
    <row r="20" spans="1:22" x14ac:dyDescent="0.2">
      <c r="A20">
        <v>46122.711042824078</v>
      </c>
      <c r="B20">
        <v>20.844421000000001</v>
      </c>
      <c r="C20">
        <v>20.828754</v>
      </c>
      <c r="D20">
        <v>20.67409</v>
      </c>
      <c r="E20">
        <v>20.724395999999999</v>
      </c>
      <c r="F20">
        <v>45.154946000000002</v>
      </c>
      <c r="G20">
        <v>43.956480999999997</v>
      </c>
      <c r="H20">
        <v>37.874915000000001</v>
      </c>
      <c r="I20">
        <v>29.052039000000001</v>
      </c>
      <c r="J20">
        <v>55.820664000000001</v>
      </c>
      <c r="K20">
        <v>52.909959999999998</v>
      </c>
      <c r="L20">
        <v>5.736707</v>
      </c>
      <c r="M20">
        <v>-622.49061300000005</v>
      </c>
      <c r="N20">
        <v>1.261082</v>
      </c>
      <c r="O20">
        <v>6.2245160000000004</v>
      </c>
      <c r="P20">
        <f t="shared" si="3"/>
        <v>2.1018033333333331E-5</v>
      </c>
      <c r="Q20" cm="1">
        <f t="array" ref="Q20">[1]!PropsSI("D","T",J20+273.15,"P",101325,"Water")</f>
        <v>985.29364192052833</v>
      </c>
      <c r="R20" cm="1">
        <f t="array" ref="R20">[1]!PropsSI("D","T",K20+273.15,"P",101325,"Water")</f>
        <v>986.69141113558157</v>
      </c>
      <c r="S20">
        <f t="shared" si="4"/>
        <v>985.9925265280549</v>
      </c>
      <c r="T20" cm="1">
        <f t="array" ref="T20">[1]!PropsSI("H","T",J20+273.15,"P",101325,"Water")</f>
        <v>233761.99996200716</v>
      </c>
      <c r="U20" cm="1">
        <f t="array" ref="U20">[1]!PropsSI("H","T",K20+273.15,"P",101325,"Water")</f>
        <v>221587.29531389126</v>
      </c>
      <c r="V20">
        <f t="shared" si="5"/>
        <v>252.30399886955138</v>
      </c>
    </row>
    <row r="21" spans="1:22" x14ac:dyDescent="0.2">
      <c r="A21">
        <v>46122.711100694447</v>
      </c>
      <c r="B21">
        <v>20.828249</v>
      </c>
      <c r="C21">
        <v>20.822697000000002</v>
      </c>
      <c r="D21">
        <v>20.671745999999999</v>
      </c>
      <c r="E21">
        <v>20.722995000000001</v>
      </c>
      <c r="F21">
        <v>45.615985000000002</v>
      </c>
      <c r="G21">
        <v>44.722386</v>
      </c>
      <c r="H21">
        <v>37.029662000000002</v>
      </c>
      <c r="I21">
        <v>29.734103999999999</v>
      </c>
      <c r="J21">
        <v>55.821778999999999</v>
      </c>
      <c r="K21">
        <v>52.913299000000002</v>
      </c>
      <c r="L21">
        <v>7.1966340000000004</v>
      </c>
      <c r="M21">
        <v>-622.51755000000003</v>
      </c>
      <c r="N21">
        <v>1.2604470000000001</v>
      </c>
      <c r="O21">
        <v>5.9484640000000004</v>
      </c>
      <c r="P21">
        <f t="shared" si="3"/>
        <v>2.1007450000000002E-5</v>
      </c>
      <c r="Q21" cm="1">
        <f t="array" ref="Q21">[1]!PropsSI("D","T",J21+273.15,"P",101325,"Water")</f>
        <v>985.29309638440873</v>
      </c>
      <c r="R21" cm="1">
        <f t="array" ref="R21">[1]!PropsSI("D","T",K21+273.15,"P",101325,"Water")</f>
        <v>986.68983818587196</v>
      </c>
      <c r="S21">
        <f t="shared" si="4"/>
        <v>985.99146728514029</v>
      </c>
      <c r="T21" cm="1">
        <f t="array" ref="T21">[1]!PropsSI("H","T",J21+273.15,"P",101325,"Water")</f>
        <v>233766.66429544715</v>
      </c>
      <c r="U21" cm="1">
        <f t="array" ref="U21">[1]!PropsSI("H","T",K21+273.15,"P",101325,"Water")</f>
        <v>221601.25979493867</v>
      </c>
      <c r="V21">
        <f t="shared" si="5"/>
        <v>251.98404834354579</v>
      </c>
    </row>
    <row r="22" spans="1:22" x14ac:dyDescent="0.2">
      <c r="A22">
        <v>46122.711158564816</v>
      </c>
      <c r="B22">
        <v>20.809920999999999</v>
      </c>
      <c r="C22">
        <v>20.790133999999998</v>
      </c>
      <c r="D22">
        <v>20.648935000000002</v>
      </c>
      <c r="E22">
        <v>20.704552</v>
      </c>
      <c r="F22">
        <v>45.319634000000001</v>
      </c>
      <c r="G22">
        <v>44.988961000000003</v>
      </c>
      <c r="H22">
        <v>36.745800000000003</v>
      </c>
      <c r="I22">
        <v>29.741495</v>
      </c>
      <c r="J22">
        <v>55.821938000000003</v>
      </c>
      <c r="K22">
        <v>52.912821999999998</v>
      </c>
      <c r="L22">
        <v>5.5008010000000001</v>
      </c>
      <c r="M22">
        <v>-622.48326599999996</v>
      </c>
      <c r="N22">
        <v>1.260332</v>
      </c>
      <c r="O22">
        <v>5.4771939999999999</v>
      </c>
      <c r="P22">
        <f t="shared" si="3"/>
        <v>2.1005533333333334E-5</v>
      </c>
      <c r="Q22" cm="1">
        <f t="array" ref="Q22">[1]!PropsSI("D","T",J22+273.15,"P",101325,"Water")</f>
        <v>985.29301858982922</v>
      </c>
      <c r="R22" cm="1">
        <f t="array" ref="R22">[1]!PropsSI("D","T",K22+273.15,"P",101325,"Water")</f>
        <v>986.69006289730783</v>
      </c>
      <c r="S22">
        <f t="shared" si="4"/>
        <v>985.99154074356852</v>
      </c>
      <c r="T22" cm="1">
        <f t="array" ref="T22">[1]!PropsSI("H","T",J22+273.15,"P",101325,"Water")</f>
        <v>233767.32943365854</v>
      </c>
      <c r="U22" cm="1">
        <f t="array" ref="U22">[1]!PropsSI("H","T",K22+273.15,"P",101325,"Water")</f>
        <v>221599.26486885434</v>
      </c>
      <c r="V22">
        <f t="shared" si="5"/>
        <v>252.01617005878433</v>
      </c>
    </row>
    <row r="23" spans="1:22" x14ac:dyDescent="0.2">
      <c r="A23">
        <v>46122.711216435186</v>
      </c>
      <c r="B23">
        <v>20.816486999999999</v>
      </c>
      <c r="C23">
        <v>20.802911000000002</v>
      </c>
      <c r="D23">
        <v>20.638041999999999</v>
      </c>
      <c r="E23">
        <v>20.703645999999999</v>
      </c>
      <c r="F23">
        <v>45.478679</v>
      </c>
      <c r="G23">
        <v>44.430898999999997</v>
      </c>
      <c r="H23">
        <v>37.508662000000001</v>
      </c>
      <c r="I23">
        <v>28.889925000000002</v>
      </c>
      <c r="J23">
        <v>55.822574000000003</v>
      </c>
      <c r="K23">
        <v>52.909801000000002</v>
      </c>
      <c r="L23">
        <v>4.9873570000000003</v>
      </c>
      <c r="M23">
        <v>-622.50979500000005</v>
      </c>
      <c r="N23">
        <v>1.2602709999999999</v>
      </c>
      <c r="O23">
        <v>5.4290180000000001</v>
      </c>
      <c r="P23">
        <f t="shared" si="3"/>
        <v>2.1004516666666665E-5</v>
      </c>
      <c r="Q23" cm="1">
        <f t="array" ref="Q23">[1]!PropsSI("D","T",J23+273.15,"P",101325,"Water")</f>
        <v>985.29270741003302</v>
      </c>
      <c r="R23" cm="1">
        <f t="array" ref="R23">[1]!PropsSI("D","T",K23+273.15,"P",101325,"Water")</f>
        <v>986.69148603618714</v>
      </c>
      <c r="S23">
        <f t="shared" si="4"/>
        <v>985.99209672311008</v>
      </c>
      <c r="T23" cm="1">
        <f t="array" ref="T23">[1]!PropsSI("H","T",J23+273.15,"P",101325,"Water")</f>
        <v>233769.989986439</v>
      </c>
      <c r="U23" cm="1">
        <f t="array" ref="U23">[1]!PropsSI("H","T",K23+273.15,"P",101325,"Water")</f>
        <v>221586.63033871306</v>
      </c>
      <c r="V23">
        <f t="shared" si="5"/>
        <v>252.32088015311794</v>
      </c>
    </row>
    <row r="24" spans="1:22" x14ac:dyDescent="0.2">
      <c r="A24">
        <v>46122.711274884263</v>
      </c>
      <c r="B24">
        <v>20.806018000000002</v>
      </c>
      <c r="C24">
        <v>20.791370000000001</v>
      </c>
      <c r="D24">
        <v>20.647386000000001</v>
      </c>
      <c r="E24">
        <v>20.705316</v>
      </c>
      <c r="F24">
        <v>46.127960999999999</v>
      </c>
      <c r="G24">
        <v>44.547288999999999</v>
      </c>
      <c r="H24">
        <v>36.909582</v>
      </c>
      <c r="I24">
        <v>28.684787</v>
      </c>
      <c r="J24">
        <v>55.819710000000001</v>
      </c>
      <c r="K24">
        <v>52.911709000000002</v>
      </c>
      <c r="L24">
        <v>5.5807969999999996</v>
      </c>
      <c r="M24">
        <v>-622.47265400000003</v>
      </c>
      <c r="N24">
        <v>1.2635449999999999</v>
      </c>
      <c r="O24">
        <v>6.4575649999999998</v>
      </c>
      <c r="P24">
        <f t="shared" si="3"/>
        <v>2.1059083333333333E-5</v>
      </c>
      <c r="Q24" cm="1">
        <f t="array" ref="Q24">[1]!PropsSI("D","T",J24+273.15,"P",101325,"Water")</f>
        <v>985.29410867810429</v>
      </c>
      <c r="R24" cm="1">
        <f t="array" ref="R24">[1]!PropsSI("D","T",K24+273.15,"P",101325,"Water")</f>
        <v>986.69058721836416</v>
      </c>
      <c r="S24">
        <f t="shared" si="4"/>
        <v>985.99234794823428</v>
      </c>
      <c r="T24" cm="1">
        <f t="array" ref="T24">[1]!PropsSI("H","T",J24+273.15,"P",101325,"Water")</f>
        <v>233758.00913357813</v>
      </c>
      <c r="U24" cm="1">
        <f t="array" ref="U24">[1]!PropsSI("H","T",K24+273.15,"P",101325,"Water")</f>
        <v>221594.61004159917</v>
      </c>
      <c r="V24">
        <f t="shared" si="5"/>
        <v>252.56197452992359</v>
      </c>
    </row>
    <row r="25" spans="1:22" x14ac:dyDescent="0.2">
      <c r="A25">
        <v>46122.711332754632</v>
      </c>
      <c r="B25">
        <v>20.799761</v>
      </c>
      <c r="C25">
        <v>20.794912</v>
      </c>
      <c r="D25">
        <v>20.639094</v>
      </c>
      <c r="E25">
        <v>20.697109000000001</v>
      </c>
      <c r="F25">
        <v>45.553955999999999</v>
      </c>
      <c r="G25">
        <v>44.242784</v>
      </c>
      <c r="H25">
        <v>36.296467</v>
      </c>
      <c r="I25">
        <v>30.042998000000001</v>
      </c>
      <c r="J25">
        <v>55.818913999999999</v>
      </c>
      <c r="K25">
        <v>52.912345000000002</v>
      </c>
      <c r="L25">
        <v>5.3824389999999998</v>
      </c>
      <c r="M25">
        <v>-622.51673400000004</v>
      </c>
      <c r="N25">
        <v>1.263881</v>
      </c>
      <c r="O25">
        <v>6.2233720000000003</v>
      </c>
      <c r="P25">
        <f t="shared" si="3"/>
        <v>2.1064683333333335E-5</v>
      </c>
      <c r="Q25" cm="1">
        <f t="array" ref="Q25">[1]!PropsSI("D","T",J25+273.15,"P",101325,"Water")</f>
        <v>985.29449812772498</v>
      </c>
      <c r="R25" cm="1">
        <f t="array" ref="R25">[1]!PropsSI("D","T",K25+273.15,"P",101325,"Water")</f>
        <v>986.69028760728008</v>
      </c>
      <c r="S25">
        <f t="shared" si="4"/>
        <v>985.99239286750253</v>
      </c>
      <c r="T25" cm="1">
        <f t="array" ref="T25">[1]!PropsSI("H","T",J25+273.15,"P",101325,"Water")</f>
        <v>233754.67926021057</v>
      </c>
      <c r="U25" cm="1">
        <f t="array" ref="U25">[1]!PropsSI("H","T",K25+273.15,"P",101325,"Water")</f>
        <v>221597.2699428378</v>
      </c>
      <c r="V25">
        <f t="shared" si="5"/>
        <v>252.50474161463143</v>
      </c>
    </row>
    <row r="26" spans="1:22" x14ac:dyDescent="0.2">
      <c r="A26">
        <v>46122.711390625002</v>
      </c>
      <c r="B26">
        <v>20.791778999999998</v>
      </c>
      <c r="C26">
        <v>20.791174000000002</v>
      </c>
      <c r="D26">
        <v>20.646495000000002</v>
      </c>
      <c r="E26">
        <v>20.687899000000002</v>
      </c>
      <c r="F26">
        <v>45.880625999999999</v>
      </c>
      <c r="G26">
        <v>44.394485000000003</v>
      </c>
      <c r="H26">
        <v>36.565733999999999</v>
      </c>
      <c r="I26">
        <v>29.737760000000002</v>
      </c>
      <c r="J26">
        <v>55.803795000000001</v>
      </c>
      <c r="K26">
        <v>52.911231999999998</v>
      </c>
      <c r="L26">
        <v>6.1138310000000002</v>
      </c>
      <c r="M26">
        <v>-622.48938799999996</v>
      </c>
      <c r="N26">
        <v>1.25278</v>
      </c>
      <c r="O26">
        <v>6.0741440000000004</v>
      </c>
      <c r="P26">
        <f t="shared" si="3"/>
        <v>2.0879666666666666E-5</v>
      </c>
      <c r="Q26" cm="1">
        <f t="array" ref="Q26">[1]!PropsSI("D","T",J26+273.15,"P",101325,"Water")</f>
        <v>985.30189448348301</v>
      </c>
      <c r="R26" cm="1">
        <f t="array" ref="R26">[1]!PropsSI("D","T",K26+273.15,"P",101325,"Water")</f>
        <v>986.69081192499209</v>
      </c>
      <c r="S26">
        <f t="shared" si="4"/>
        <v>985.99635320423749</v>
      </c>
      <c r="T26" cm="1">
        <f t="array" ref="T26">[1]!PropsSI("H","T",J26+273.15,"P",101325,"Water")</f>
        <v>233691.43262767204</v>
      </c>
      <c r="U26" cm="1">
        <f t="array" ref="U26">[1]!PropsSI("H","T",K26+273.15,"P",101325,"Water")</f>
        <v>221592.61511575221</v>
      </c>
      <c r="V26">
        <f t="shared" si="5"/>
        <v>249.08168558487151</v>
      </c>
    </row>
    <row r="27" spans="1:22" x14ac:dyDescent="0.2">
      <c r="A27">
        <v>46122.711449074071</v>
      </c>
      <c r="B27">
        <v>20.795362999999998</v>
      </c>
      <c r="C27">
        <v>20.792176000000001</v>
      </c>
      <c r="D27">
        <v>20.642855000000001</v>
      </c>
      <c r="E27">
        <v>20.686823</v>
      </c>
      <c r="F27">
        <v>45.873137999999997</v>
      </c>
      <c r="G27">
        <v>44.382989999999999</v>
      </c>
      <c r="H27">
        <v>36.227069</v>
      </c>
      <c r="I27">
        <v>30.099782999999999</v>
      </c>
      <c r="J27">
        <v>55.801566999999999</v>
      </c>
      <c r="K27">
        <v>52.882607999999998</v>
      </c>
      <c r="L27">
        <v>5.8011939999999997</v>
      </c>
      <c r="M27">
        <v>-622.47591999999997</v>
      </c>
      <c r="N27">
        <v>1.2494609999999999</v>
      </c>
      <c r="O27">
        <v>6.0781219999999996</v>
      </c>
      <c r="P27">
        <f t="shared" si="3"/>
        <v>2.0824349999999997E-5</v>
      </c>
      <c r="Q27" cm="1">
        <f t="array" ref="Q27">[1]!PropsSI("D","T",J27+273.15,"P",101325,"Water")</f>
        <v>985.3029843229142</v>
      </c>
      <c r="R27" cm="1">
        <f t="array" ref="R27">[1]!PropsSI("D","T",K27+273.15,"P",101325,"Water")</f>
        <v>986.70429356229658</v>
      </c>
      <c r="S27">
        <f t="shared" si="4"/>
        <v>986.00363894260545</v>
      </c>
      <c r="T27" cm="1">
        <f t="array" ref="T27">[1]!PropsSI("H","T",J27+273.15,"P",101325,"Water")</f>
        <v>233682.1123427274</v>
      </c>
      <c r="U27" cm="1">
        <f t="array" ref="U27">[1]!PropsSI("H","T",K27+273.15,"P",101325,"Water")</f>
        <v>221472.90297366233</v>
      </c>
      <c r="V27">
        <f t="shared" si="5"/>
        <v>250.69029043391387</v>
      </c>
    </row>
    <row r="28" spans="1:22" x14ac:dyDescent="0.2">
      <c r="A28">
        <v>46122.711506944448</v>
      </c>
      <c r="B28">
        <v>20.785717999999999</v>
      </c>
      <c r="C28">
        <v>20.791661999999999</v>
      </c>
      <c r="D28">
        <v>20.635380000000001</v>
      </c>
      <c r="E28">
        <v>20.681951000000002</v>
      </c>
      <c r="F28">
        <v>45.384391000000001</v>
      </c>
      <c r="G28">
        <v>44.242328999999998</v>
      </c>
      <c r="H28">
        <v>37.474783000000002</v>
      </c>
      <c r="I28">
        <v>30.477377000000001</v>
      </c>
      <c r="J28">
        <v>55.808250999999998</v>
      </c>
      <c r="K28">
        <v>52.875611999999997</v>
      </c>
      <c r="L28">
        <v>6.8611409999999999</v>
      </c>
      <c r="M28">
        <v>-622.51550899999995</v>
      </c>
      <c r="N28">
        <v>1.2560009999999999</v>
      </c>
      <c r="O28">
        <v>5.9767130000000002</v>
      </c>
      <c r="P28">
        <f t="shared" si="3"/>
        <v>2.0933349999999998E-5</v>
      </c>
      <c r="Q28" cm="1">
        <f t="array" ref="Q28">[1]!PropsSI("D","T",J28+273.15,"P",101325,"Water")</f>
        <v>985.29971471298052</v>
      </c>
      <c r="R28" cm="1">
        <f t="array" ref="R28">[1]!PropsSI("D","T",K28+273.15,"P",101325,"Water")</f>
        <v>986.70758782194741</v>
      </c>
      <c r="S28">
        <f t="shared" si="4"/>
        <v>986.00365126746397</v>
      </c>
      <c r="T28" cm="1">
        <f t="array" ref="T28">[1]!PropsSI("H","T",J28+273.15,"P",101325,"Water")</f>
        <v>233710.07320314861</v>
      </c>
      <c r="U28" cm="1">
        <f t="array" ref="U28">[1]!PropsSI("H","T",K28+273.15,"P",101325,"Water")</f>
        <v>221443.64413595162</v>
      </c>
      <c r="V28">
        <f t="shared" si="5"/>
        <v>253.18350613617417</v>
      </c>
    </row>
    <row r="29" spans="1:22" x14ac:dyDescent="0.2">
      <c r="A29">
        <v>46122.711565393518</v>
      </c>
      <c r="B29">
        <v>20.793095999999998</v>
      </c>
      <c r="C29">
        <v>20.795961999999999</v>
      </c>
      <c r="D29">
        <v>20.637127</v>
      </c>
      <c r="E29">
        <v>20.688503000000001</v>
      </c>
      <c r="F29">
        <v>45.827396</v>
      </c>
      <c r="G29">
        <v>44.576037999999997</v>
      </c>
      <c r="H29">
        <v>37.145805000000003</v>
      </c>
      <c r="I29">
        <v>29.363412</v>
      </c>
      <c r="J29">
        <v>55.812548</v>
      </c>
      <c r="K29">
        <v>52.876407</v>
      </c>
      <c r="L29">
        <v>6.4546299999999999</v>
      </c>
      <c r="M29">
        <v>-622.51428499999997</v>
      </c>
      <c r="N29">
        <v>1.254739</v>
      </c>
      <c r="O29">
        <v>5.8285650000000002</v>
      </c>
      <c r="P29">
        <f t="shared" si="3"/>
        <v>2.091231666666667E-5</v>
      </c>
      <c r="Q29" cm="1">
        <f t="array" ref="Q29">[1]!PropsSI("D","T",J29+273.15,"P",101325,"Water")</f>
        <v>985.29761260577368</v>
      </c>
      <c r="R29" cm="1">
        <f t="array" ref="R29">[1]!PropsSI("D","T",K29+273.15,"P",101325,"Water")</f>
        <v>986.70721348992367</v>
      </c>
      <c r="S29">
        <f t="shared" si="4"/>
        <v>986.00241304784868</v>
      </c>
      <c r="T29" cm="1">
        <f t="array" ref="T29">[1]!PropsSI("H","T",J29+273.15,"P",101325,"Water")</f>
        <v>233728.04864840067</v>
      </c>
      <c r="U29" cm="1">
        <f t="array" ref="U29">[1]!PropsSI("H","T",K29+273.15,"P",101325,"Water")</f>
        <v>221446.96900304646</v>
      </c>
      <c r="V29">
        <f t="shared" si="5"/>
        <v>253.23088471347916</v>
      </c>
    </row>
    <row r="30" spans="1:22" x14ac:dyDescent="0.2">
      <c r="A30">
        <v>46122.711623842595</v>
      </c>
      <c r="B30">
        <v>20.780199</v>
      </c>
      <c r="C30">
        <v>20.78735</v>
      </c>
      <c r="D30">
        <v>20.638494000000001</v>
      </c>
      <c r="E30">
        <v>20.694219</v>
      </c>
      <c r="F30">
        <v>45.333384000000002</v>
      </c>
      <c r="G30">
        <v>44.696171</v>
      </c>
      <c r="H30">
        <v>36.798318000000002</v>
      </c>
      <c r="I30">
        <v>30.059819999999998</v>
      </c>
      <c r="J30">
        <v>55.811751999999998</v>
      </c>
      <c r="K30">
        <v>52.878791999999997</v>
      </c>
      <c r="L30">
        <v>4.9857240000000003</v>
      </c>
      <c r="M30">
        <v>-622.50081599999999</v>
      </c>
      <c r="N30">
        <v>1.2605980000000001</v>
      </c>
      <c r="O30">
        <v>5.6776600000000004</v>
      </c>
      <c r="P30">
        <f t="shared" si="3"/>
        <v>2.100996666666667E-5</v>
      </c>
      <c r="Q30" cm="1">
        <f t="array" ref="Q30">[1]!PropsSI("D","T",J30+273.15,"P",101325,"Water")</f>
        <v>985.29800202030367</v>
      </c>
      <c r="R30" cm="1">
        <f t="array" ref="R30">[1]!PropsSI("D","T",K30+273.15,"P",101325,"Water")</f>
        <v>986.7060904697297</v>
      </c>
      <c r="S30">
        <f t="shared" si="4"/>
        <v>986.00204624501669</v>
      </c>
      <c r="T30" cm="1">
        <f t="array" ref="T30">[1]!PropsSI("H","T",J30+273.15,"P",101325,"Water")</f>
        <v>233724.7187771574</v>
      </c>
      <c r="U30" cm="1">
        <f t="array" ref="U30">[1]!PropsSI("H","T",K30+273.15,"P",101325,"Water")</f>
        <v>221456.94360564146</v>
      </c>
      <c r="V30">
        <f t="shared" si="5"/>
        <v>254.13763717426491</v>
      </c>
    </row>
    <row r="31" spans="1:22" x14ac:dyDescent="0.2">
      <c r="A31">
        <v>46122.711681712964</v>
      </c>
      <c r="B31">
        <v>20.782934000000001</v>
      </c>
      <c r="C31">
        <v>20.779617999999999</v>
      </c>
      <c r="D31">
        <v>20.635869</v>
      </c>
      <c r="E31">
        <v>20.690702000000002</v>
      </c>
      <c r="F31">
        <v>45.902205000000002</v>
      </c>
      <c r="G31">
        <v>44.502927</v>
      </c>
      <c r="H31">
        <v>35.461468000000004</v>
      </c>
      <c r="I31">
        <v>30.766359000000001</v>
      </c>
      <c r="J31">
        <v>55.809683</v>
      </c>
      <c r="K31">
        <v>52.886107000000003</v>
      </c>
      <c r="L31">
        <v>6.8076739999999996</v>
      </c>
      <c r="M31">
        <v>-622.49428599999999</v>
      </c>
      <c r="N31">
        <v>1.2583120000000001</v>
      </c>
      <c r="O31">
        <v>6.0505459999999998</v>
      </c>
      <c r="P31">
        <f t="shared" si="3"/>
        <v>2.0971866666666668E-5</v>
      </c>
      <c r="Q31" cm="1">
        <f t="array" ref="Q31">[1]!PropsSI("D","T",J31+273.15,"P",101325,"Water")</f>
        <v>985.29901418630459</v>
      </c>
      <c r="R31" cm="1">
        <f t="array" ref="R31">[1]!PropsSI("D","T",K31+273.15,"P",101325,"Water")</f>
        <v>986.70264584500126</v>
      </c>
      <c r="S31">
        <f t="shared" si="4"/>
        <v>986.00083001565292</v>
      </c>
      <c r="T31" cm="1">
        <f t="array" ref="T31">[1]!PropsSI("H","T",J31+273.15,"P",101325,"Water")</f>
        <v>233716.06362299086</v>
      </c>
      <c r="U31" cm="1">
        <f t="array" ref="U31">[1]!PropsSI("H","T",K31+273.15,"P",101325,"Water")</f>
        <v>221487.53658089868</v>
      </c>
      <c r="V31">
        <f t="shared" si="5"/>
        <v>252.86488097699035</v>
      </c>
    </row>
    <row r="32" spans="1:22" x14ac:dyDescent="0.2">
      <c r="A32">
        <v>46122.711740162034</v>
      </c>
      <c r="B32">
        <v>20.770602</v>
      </c>
      <c r="C32">
        <v>20.783867999999998</v>
      </c>
      <c r="D32">
        <v>20.622019000000002</v>
      </c>
      <c r="E32">
        <v>20.670105</v>
      </c>
      <c r="F32">
        <v>45.707098000000002</v>
      </c>
      <c r="G32">
        <v>44.799154999999999</v>
      </c>
      <c r="H32">
        <v>37.310341000000001</v>
      </c>
      <c r="I32">
        <v>30.242222999999999</v>
      </c>
      <c r="J32">
        <v>55.807614000000001</v>
      </c>
      <c r="K32">
        <v>52.891514000000001</v>
      </c>
      <c r="L32">
        <v>5.9444520000000001</v>
      </c>
      <c r="M32">
        <v>-622.49347</v>
      </c>
      <c r="N32">
        <v>1.2552669999999999</v>
      </c>
      <c r="O32">
        <v>5.594449</v>
      </c>
      <c r="P32">
        <f t="shared" si="3"/>
        <v>2.0921116666666665E-5</v>
      </c>
      <c r="Q32" cm="1">
        <f t="array" ref="Q32">[1]!PropsSI("D","T",J32+273.15,"P",101325,"Water")</f>
        <v>985.30002632591436</v>
      </c>
      <c r="R32" cm="1">
        <f t="array" ref="R32">[1]!PropsSI("D","T",K32+273.15,"P",101325,"Water")</f>
        <v>986.70009947678057</v>
      </c>
      <c r="S32">
        <f t="shared" si="4"/>
        <v>986.00006290134752</v>
      </c>
      <c r="T32" cm="1">
        <f t="array" ref="T32">[1]!PropsSI("H","T",J32+273.15,"P",101325,"Water")</f>
        <v>233707.40847048009</v>
      </c>
      <c r="U32" cm="1">
        <f t="array" ref="U32">[1]!PropsSI("H","T",K32+273.15,"P",101325,"Water")</f>
        <v>221510.14988221612</v>
      </c>
      <c r="V32">
        <f t="shared" si="5"/>
        <v>251.60776221061525</v>
      </c>
    </row>
    <row r="33" spans="1:22" x14ac:dyDescent="0.2">
      <c r="A33">
        <v>46122.711798032411</v>
      </c>
      <c r="B33">
        <v>20.772362999999999</v>
      </c>
      <c r="C33">
        <v>20.767744</v>
      </c>
      <c r="D33">
        <v>20.616340000000001</v>
      </c>
      <c r="E33">
        <v>20.66724</v>
      </c>
      <c r="F33">
        <v>45.728524999999998</v>
      </c>
      <c r="G33">
        <v>44.389732000000002</v>
      </c>
      <c r="H33">
        <v>36.687919999999998</v>
      </c>
      <c r="I33">
        <v>29.522500000000001</v>
      </c>
      <c r="J33">
        <v>55.807932999999998</v>
      </c>
      <c r="K33">
        <v>52.893740000000001</v>
      </c>
      <c r="L33">
        <v>5.3289730000000004</v>
      </c>
      <c r="M33">
        <v>-622.48489900000004</v>
      </c>
      <c r="N33">
        <v>1.257468</v>
      </c>
      <c r="O33">
        <v>6.15794</v>
      </c>
      <c r="P33">
        <f t="shared" si="3"/>
        <v>2.0957800000000001E-5</v>
      </c>
      <c r="Q33" cm="1">
        <f t="array" ref="Q33">[1]!PropsSI("D","T",J33+273.15,"P",101325,"Water")</f>
        <v>985.29987027516552</v>
      </c>
      <c r="R33" cm="1">
        <f t="array" ref="R33">[1]!PropsSI("D","T",K33+273.15,"P",101325,"Water")</f>
        <v>986.69905111217747</v>
      </c>
      <c r="S33">
        <f t="shared" si="4"/>
        <v>985.99946069367149</v>
      </c>
      <c r="T33" cm="1">
        <f t="array" ref="T33">[1]!PropsSI("H","T",J33+273.15,"P",101325,"Water")</f>
        <v>233708.74292838949</v>
      </c>
      <c r="U33" cm="1">
        <f t="array" ref="U33">[1]!PropsSI("H","T",K33+273.15,"P",101325,"Water")</f>
        <v>221519.45952235829</v>
      </c>
      <c r="V33">
        <f t="shared" si="5"/>
        <v>251.88397810268512</v>
      </c>
    </row>
    <row r="34" spans="1:22" x14ac:dyDescent="0.2">
      <c r="A34">
        <v>46122.711856481481</v>
      </c>
      <c r="B34">
        <v>20.777056999999999</v>
      </c>
      <c r="C34">
        <v>20.765203</v>
      </c>
      <c r="D34">
        <v>20.627258000000001</v>
      </c>
      <c r="E34">
        <v>20.672075</v>
      </c>
      <c r="F34">
        <v>45.465049999999998</v>
      </c>
      <c r="G34">
        <v>44.366385000000001</v>
      </c>
      <c r="H34">
        <v>36.671033000000001</v>
      </c>
      <c r="I34">
        <v>29.894469999999998</v>
      </c>
      <c r="J34">
        <v>55.810637999999997</v>
      </c>
      <c r="K34">
        <v>52.896124999999998</v>
      </c>
      <c r="L34">
        <v>5.7652770000000002</v>
      </c>
      <c r="M34">
        <v>-622.47387900000001</v>
      </c>
      <c r="N34">
        <v>1.254497</v>
      </c>
      <c r="O34">
        <v>6.3123779999999998</v>
      </c>
      <c r="P34">
        <f t="shared" si="3"/>
        <v>2.0908283333333334E-5</v>
      </c>
      <c r="Q34" cm="1">
        <f t="array" ref="Q34">[1]!PropsSI("D","T",J34+273.15,"P",101325,"Water")</f>
        <v>985.29854699841007</v>
      </c>
      <c r="R34" cm="1">
        <f t="array" ref="R34">[1]!PropsSI("D","T",K34+273.15,"P",101325,"Water")</f>
        <v>986.69792782950572</v>
      </c>
      <c r="S34">
        <f t="shared" si="4"/>
        <v>985.9982374139579</v>
      </c>
      <c r="T34" cm="1">
        <f t="array" ref="T34">[1]!PropsSI("H","T",J34+273.15,"P",101325,"Water")</f>
        <v>233720.05863111676</v>
      </c>
      <c r="U34" cm="1">
        <f t="array" ref="U34">[1]!PropsSI("H","T",K34+273.15,"P",101325,"Water")</f>
        <v>221529.43413852406</v>
      </c>
      <c r="V34">
        <f t="shared" si="5"/>
        <v>251.31619121198372</v>
      </c>
    </row>
    <row r="35" spans="1:22" x14ac:dyDescent="0.2">
      <c r="A35">
        <v>46122.71191435185</v>
      </c>
      <c r="B35">
        <v>20.763089000000001</v>
      </c>
      <c r="C35">
        <v>20.761099999999999</v>
      </c>
      <c r="D35">
        <v>20.607841000000001</v>
      </c>
      <c r="E35">
        <v>20.656762000000001</v>
      </c>
      <c r="F35">
        <v>45.363610000000001</v>
      </c>
      <c r="G35">
        <v>44.920065000000001</v>
      </c>
      <c r="H35">
        <v>37.566127000000002</v>
      </c>
      <c r="I35">
        <v>30.462083</v>
      </c>
      <c r="J35">
        <v>55.807136999999997</v>
      </c>
      <c r="K35">
        <v>52.895806999999998</v>
      </c>
      <c r="L35">
        <v>5.9395540000000002</v>
      </c>
      <c r="M35">
        <v>-622.47265400000003</v>
      </c>
      <c r="N35">
        <v>1.2558039999999999</v>
      </c>
      <c r="O35">
        <v>6.570398</v>
      </c>
      <c r="P35">
        <f t="shared" si="3"/>
        <v>2.0930066666666665E-5</v>
      </c>
      <c r="Q35" cm="1">
        <f t="array" ref="Q35">[1]!PropsSI("D","T",J35+273.15,"P",101325,"Water")</f>
        <v>985.30025966708899</v>
      </c>
      <c r="R35" cm="1">
        <f t="array" ref="R35">[1]!PropsSI("D","T",K35+273.15,"P",101325,"Water")</f>
        <v>986.69807760261881</v>
      </c>
      <c r="S35">
        <f t="shared" si="4"/>
        <v>985.99916863485396</v>
      </c>
      <c r="T35" cm="1">
        <f t="array" ref="T35">[1]!PropsSI("H","T",J35+273.15,"P",101325,"Water")</f>
        <v>233705.41305852783</v>
      </c>
      <c r="U35" cm="1">
        <f t="array" ref="U35">[1]!PropsSI("H","T",K35+273.15,"P",101325,"Water")</f>
        <v>221528.10418958127</v>
      </c>
      <c r="V35">
        <f t="shared" si="5"/>
        <v>251.30346814577274</v>
      </c>
    </row>
    <row r="36" spans="1:22" x14ac:dyDescent="0.2">
      <c r="A36">
        <v>46122.711972800927</v>
      </c>
      <c r="B36">
        <v>20.756288999999999</v>
      </c>
      <c r="C36">
        <v>20.749019000000001</v>
      </c>
      <c r="D36">
        <v>20.596226999999999</v>
      </c>
      <c r="E36">
        <v>20.650549000000002</v>
      </c>
      <c r="F36">
        <v>44.882272</v>
      </c>
      <c r="G36">
        <v>43.757607</v>
      </c>
      <c r="H36">
        <v>37.382649999999998</v>
      </c>
      <c r="I36">
        <v>29.161894</v>
      </c>
      <c r="J36">
        <v>55.809683</v>
      </c>
      <c r="K36">
        <v>52.896442999999998</v>
      </c>
      <c r="L36">
        <v>6.0146519999999999</v>
      </c>
      <c r="M36">
        <v>-622.49714300000005</v>
      </c>
      <c r="N36">
        <v>1.256718</v>
      </c>
      <c r="O36">
        <v>6.7656790000000004</v>
      </c>
      <c r="P36">
        <f t="shared" si="3"/>
        <v>2.0945300000000001E-5</v>
      </c>
      <c r="Q36" cm="1">
        <f t="array" ref="Q36">[1]!PropsSI("D","T",J36+273.15,"P",101325,"Water")</f>
        <v>985.29901418630459</v>
      </c>
      <c r="R36" cm="1">
        <f t="array" ref="R36">[1]!PropsSI("D","T",K36+273.15,"P",101325,"Water")</f>
        <v>986.69777805576337</v>
      </c>
      <c r="S36">
        <f t="shared" si="4"/>
        <v>985.99839612103392</v>
      </c>
      <c r="T36" cm="1">
        <f t="array" ref="T36">[1]!PropsSI("H","T",J36+273.15,"P",101325,"Water")</f>
        <v>233716.06362299086</v>
      </c>
      <c r="U36" cm="1">
        <f t="array" ref="U36">[1]!PropsSI("H","T",K36+273.15,"P",101325,"Water")</f>
        <v>221530.76408749656</v>
      </c>
      <c r="V36">
        <f t="shared" si="5"/>
        <v>251.65119845012254</v>
      </c>
    </row>
    <row r="37" spans="1:22" x14ac:dyDescent="0.2">
      <c r="A37">
        <v>46122.712030671297</v>
      </c>
      <c r="B37">
        <v>20.773854</v>
      </c>
      <c r="C37">
        <v>20.763884000000001</v>
      </c>
      <c r="D37">
        <v>20.615497999999999</v>
      </c>
      <c r="E37">
        <v>20.677430000000001</v>
      </c>
      <c r="F37">
        <v>45.555630999999998</v>
      </c>
      <c r="G37">
        <v>44.654541000000002</v>
      </c>
      <c r="H37">
        <v>36.221150999999999</v>
      </c>
      <c r="I37">
        <v>29.427008000000001</v>
      </c>
      <c r="J37">
        <v>55.808410000000002</v>
      </c>
      <c r="K37">
        <v>52.893262999999997</v>
      </c>
      <c r="L37">
        <v>6.5546249999999997</v>
      </c>
      <c r="M37">
        <v>-622.50979500000005</v>
      </c>
      <c r="N37">
        <v>1.2559929999999999</v>
      </c>
      <c r="O37">
        <v>7.1831310000000004</v>
      </c>
      <c r="P37">
        <f t="shared" si="3"/>
        <v>2.0933216666666665E-5</v>
      </c>
      <c r="Q37" cm="1">
        <f t="array" ref="Q37">[1]!PropsSI("D","T",J37+273.15,"P",101325,"Water")</f>
        <v>985.29963693167701</v>
      </c>
      <c r="R37" cm="1">
        <f t="array" ref="R37">[1]!PropsSI("D","T",K37+273.15,"P",101325,"Water")</f>
        <v>986.69927576440023</v>
      </c>
      <c r="S37">
        <f t="shared" si="4"/>
        <v>985.99945634803862</v>
      </c>
      <c r="T37" cm="1">
        <f t="array" ref="T37">[1]!PropsSI("H","T",J37+273.15,"P",101325,"Water")</f>
        <v>233710.73834045086</v>
      </c>
      <c r="U37" cm="1">
        <f t="array" ref="U37">[1]!PropsSI("H","T",K37+273.15,"P",101325,"Water")</f>
        <v>221517.46459930085</v>
      </c>
      <c r="V37">
        <f t="shared" si="5"/>
        <v>251.67088015993681</v>
      </c>
    </row>
    <row r="38" spans="1:22" x14ac:dyDescent="0.2">
      <c r="A38">
        <v>44660.712088541797</v>
      </c>
      <c r="B38">
        <v>20.755807999999998</v>
      </c>
      <c r="C38">
        <v>20.740417999999998</v>
      </c>
      <c r="D38">
        <v>20.603406</v>
      </c>
      <c r="E38">
        <v>20.646172</v>
      </c>
      <c r="F38">
        <v>45.394291000000003</v>
      </c>
      <c r="G38">
        <v>44.22786</v>
      </c>
      <c r="H38">
        <v>36.943477000000001</v>
      </c>
      <c r="I38">
        <v>30.011621999999999</v>
      </c>
      <c r="J38">
        <v>55.807296000000001</v>
      </c>
      <c r="K38">
        <v>52.8904</v>
      </c>
      <c r="L38">
        <v>6.3366769999999999</v>
      </c>
      <c r="M38">
        <v>-622.53142700000001</v>
      </c>
      <c r="N38">
        <v>1.256599</v>
      </c>
      <c r="O38">
        <v>5.7793349999999997</v>
      </c>
      <c r="P38">
        <f t="shared" si="3"/>
        <v>2.0943316666666667E-5</v>
      </c>
      <c r="Q38" cm="1">
        <f t="array" ref="Q38">[1]!PropsSI("D","T",J38+273.15,"P",101325,"Water")</f>
        <v>985.30018188687336</v>
      </c>
      <c r="R38" cm="1">
        <f t="array" ref="R38">[1]!PropsSI("D","T",K38+273.15,"P",101325,"Water")</f>
        <v>986.70062411823289</v>
      </c>
      <c r="S38">
        <f t="shared" si="4"/>
        <v>986.00040300255318</v>
      </c>
      <c r="T38" cm="1">
        <f t="array" ref="T38">[1]!PropsSI("H","T",J38+273.15,"P",101325,"Water")</f>
        <v>233706.0781958203</v>
      </c>
      <c r="U38" cm="1">
        <f t="array" ref="U38">[1]!PropsSI("H","T",K38+273.15,"P",101325,"Water")</f>
        <v>221505.49088055574</v>
      </c>
      <c r="V38">
        <f t="shared" si="5"/>
        <v>251.9435759471418</v>
      </c>
    </row>
    <row r="39" spans="1:22" x14ac:dyDescent="0.2">
      <c r="A39">
        <v>44660.712146990903</v>
      </c>
      <c r="B39">
        <v>20.765328</v>
      </c>
      <c r="C39">
        <v>20.752877000000002</v>
      </c>
      <c r="D39">
        <v>20.61795</v>
      </c>
      <c r="E39">
        <v>20.667915000000001</v>
      </c>
      <c r="F39">
        <v>45.990799000000003</v>
      </c>
      <c r="G39">
        <v>44.516708999999999</v>
      </c>
      <c r="H39">
        <v>36.362226999999997</v>
      </c>
      <c r="I39">
        <v>28.891617</v>
      </c>
      <c r="J39">
        <v>55.805227000000002</v>
      </c>
      <c r="K39">
        <v>52.892944999999997</v>
      </c>
      <c r="L39">
        <v>6.0187340000000003</v>
      </c>
      <c r="M39">
        <v>-622.51714200000004</v>
      </c>
      <c r="N39">
        <v>1.2570539999999999</v>
      </c>
      <c r="O39">
        <v>6.6438620000000004</v>
      </c>
      <c r="P39">
        <f t="shared" si="3"/>
        <v>2.0950899999999996E-5</v>
      </c>
      <c r="Q39" cm="1">
        <f t="array" ref="Q39">[1]!PropsSI("D","T",J39+273.15,"P",101325,"Water")</f>
        <v>985.30119399606065</v>
      </c>
      <c r="R39" cm="1">
        <f t="array" ref="R39">[1]!PropsSI("D","T",K39+273.15,"P",101325,"Water")</f>
        <v>986.69942553173144</v>
      </c>
      <c r="S39">
        <f t="shared" si="4"/>
        <v>986.00030976389598</v>
      </c>
      <c r="T39" cm="1">
        <f t="array" ref="T39">[1]!PropsSI("H","T",J39+273.15,"P",101325,"Water")</f>
        <v>233697.42304518996</v>
      </c>
      <c r="U39" cm="1">
        <f t="array" ref="U39">[1]!PropsSI("H","T",K39+273.15,"P",101325,"Water")</f>
        <v>221516.13465067447</v>
      </c>
      <c r="V39">
        <f t="shared" si="5"/>
        <v>251.63610870882957</v>
      </c>
    </row>
    <row r="40" spans="1:22" x14ac:dyDescent="0.2">
      <c r="A40">
        <v>44660.712205440002</v>
      </c>
      <c r="B40">
        <v>20.755092000000001</v>
      </c>
      <c r="C40">
        <v>20.745975999999999</v>
      </c>
      <c r="D40">
        <v>20.613603000000001</v>
      </c>
      <c r="E40">
        <v>20.668206000000001</v>
      </c>
      <c r="F40">
        <v>45.268695999999998</v>
      </c>
      <c r="G40">
        <v>44.651547999999998</v>
      </c>
      <c r="H40">
        <v>36.928852999999997</v>
      </c>
      <c r="I40">
        <v>29.953057999999999</v>
      </c>
      <c r="J40">
        <v>55.805385999999999</v>
      </c>
      <c r="K40">
        <v>52.891354999999997</v>
      </c>
      <c r="L40">
        <v>6.2187239999999999</v>
      </c>
      <c r="M40">
        <v>-622.50897899999995</v>
      </c>
      <c r="N40">
        <v>1.25607</v>
      </c>
      <c r="O40">
        <v>5.196618</v>
      </c>
      <c r="P40">
        <f t="shared" si="3"/>
        <v>2.0934500000000001E-5</v>
      </c>
      <c r="Q40" cm="1">
        <f t="array" ref="Q40">[1]!PropsSI("D","T",J40+273.15,"P",101325,"Water")</f>
        <v>985.30111621772096</v>
      </c>
      <c r="R40" cm="1">
        <f t="array" ref="R40">[1]!PropsSI("D","T",K40+273.15,"P",101325,"Water")</f>
        <v>986.70017435876468</v>
      </c>
      <c r="S40">
        <f t="shared" si="4"/>
        <v>986.00064528824282</v>
      </c>
      <c r="T40" cm="1">
        <f t="array" ref="T40">[1]!PropsSI("H","T",J40+273.15,"P",101325,"Water")</f>
        <v>233698.08818234465</v>
      </c>
      <c r="U40" cm="1">
        <f t="array" ref="U40">[1]!PropsSI("H","T",K40+273.15,"P",101325,"Water")</f>
        <v>221509.48490797851</v>
      </c>
      <c r="V40">
        <f t="shared" si="5"/>
        <v>251.59020748699913</v>
      </c>
    </row>
    <row r="41" spans="1:22" x14ac:dyDescent="0.2">
      <c r="A41">
        <v>44660.712263310401</v>
      </c>
      <c r="B41">
        <v>20.748871000000001</v>
      </c>
      <c r="C41">
        <v>20.751874999999998</v>
      </c>
      <c r="D41">
        <v>20.618341000000001</v>
      </c>
      <c r="E41">
        <v>20.666236000000001</v>
      </c>
      <c r="F41">
        <v>45.063203999999999</v>
      </c>
      <c r="G41">
        <v>44.483530999999999</v>
      </c>
      <c r="H41">
        <v>36.807028000000003</v>
      </c>
      <c r="I41">
        <v>30.002887999999999</v>
      </c>
      <c r="J41">
        <v>55.807774000000002</v>
      </c>
      <c r="K41">
        <v>52.889764</v>
      </c>
      <c r="L41">
        <v>6.0228149999999996</v>
      </c>
      <c r="M41">
        <v>-622.49265300000002</v>
      </c>
      <c r="N41">
        <v>1.2554559999999999</v>
      </c>
      <c r="O41">
        <v>6.1331720000000001</v>
      </c>
      <c r="P41">
        <f t="shared" si="3"/>
        <v>2.0924266666666665E-5</v>
      </c>
      <c r="Q41" cm="1">
        <f t="array" ref="Q41">[1]!PropsSI("D","T",J41+273.15,"P",101325,"Water")</f>
        <v>985.29994805603656</v>
      </c>
      <c r="R41" cm="1">
        <f t="array" ref="R41">[1]!PropsSI("D","T",K41+273.15,"P",101325,"Water")</f>
        <v>986.70092364069535</v>
      </c>
      <c r="S41">
        <f t="shared" si="4"/>
        <v>986.0004358483659</v>
      </c>
      <c r="T41" cm="1">
        <f t="array" ref="T41">[1]!PropsSI("H","T",J41+273.15,"P",101325,"Water")</f>
        <v>233708.07779105959</v>
      </c>
      <c r="U41" cm="1">
        <f t="array" ref="U41">[1]!PropsSI("H","T",K41+273.15,"P",101325,"Water")</f>
        <v>221502.83098393618</v>
      </c>
      <c r="V41">
        <f t="shared" si="5"/>
        <v>251.81054848928659</v>
      </c>
    </row>
    <row r="42" spans="1:22" x14ac:dyDescent="0.2">
      <c r="A42">
        <v>46122.71232175926</v>
      </c>
      <c r="B42">
        <v>20.74887</v>
      </c>
      <c r="C42">
        <v>20.751642</v>
      </c>
      <c r="D42">
        <v>20.62623</v>
      </c>
      <c r="E42">
        <v>20.675421</v>
      </c>
      <c r="F42">
        <v>45.482365999999999</v>
      </c>
      <c r="G42">
        <v>45.001268000000003</v>
      </c>
      <c r="H42">
        <v>36.489148999999998</v>
      </c>
      <c r="I42">
        <v>29.340606999999999</v>
      </c>
      <c r="J42">
        <v>55.806659000000003</v>
      </c>
      <c r="K42">
        <v>52.891990999999997</v>
      </c>
      <c r="L42">
        <v>5.6403850000000002</v>
      </c>
      <c r="M42">
        <v>-622.48408199999994</v>
      </c>
      <c r="N42">
        <v>1.255161</v>
      </c>
      <c r="O42">
        <v>5.5589810000000002</v>
      </c>
      <c r="P42">
        <f t="shared" si="3"/>
        <v>2.0919350000000002E-5</v>
      </c>
      <c r="Q42" cm="1">
        <f t="array" ref="Q42">[1]!PropsSI("D","T",J42+273.15,"P",101325,"Water")</f>
        <v>985.30049349603121</v>
      </c>
      <c r="R42" cm="1">
        <f t="array" ref="R42">[1]!PropsSI("D","T",K42+273.15,"P",101325,"Water")</f>
        <v>986.69987482988176</v>
      </c>
      <c r="S42">
        <f t="shared" si="4"/>
        <v>986.00018416295643</v>
      </c>
      <c r="T42" cm="1">
        <f t="array" ref="T42">[1]!PropsSI("H","T",J42+273.15,"P",101325,"Water")</f>
        <v>233703.41346344069</v>
      </c>
      <c r="U42" cm="1">
        <f t="array" ref="U42">[1]!PropsSI("H","T",K42+273.15,"P",101325,"Water")</f>
        <v>221512.14480496824</v>
      </c>
      <c r="V42">
        <f t="shared" si="5"/>
        <v>251.4629951541751</v>
      </c>
    </row>
    <row r="43" spans="1:22" x14ac:dyDescent="0.2">
      <c r="A43">
        <v>46122.712379629629</v>
      </c>
      <c r="B43">
        <v>20.750533000000001</v>
      </c>
      <c r="C43">
        <v>20.755842999999999</v>
      </c>
      <c r="D43">
        <v>20.613258999999999</v>
      </c>
      <c r="E43">
        <v>20.677052</v>
      </c>
      <c r="F43">
        <v>45.807268000000001</v>
      </c>
      <c r="G43">
        <v>44.364269999999998</v>
      </c>
      <c r="H43">
        <v>36.213236000000002</v>
      </c>
      <c r="I43">
        <v>29.586756999999999</v>
      </c>
      <c r="J43">
        <v>55.803317</v>
      </c>
      <c r="K43">
        <v>52.894058000000001</v>
      </c>
      <c r="L43">
        <v>5.400398</v>
      </c>
      <c r="M43">
        <v>-622.51591800000006</v>
      </c>
      <c r="N43">
        <v>1.2588569999999999</v>
      </c>
      <c r="O43">
        <v>5.854705</v>
      </c>
      <c r="P43">
        <f t="shared" si="3"/>
        <v>2.0980949999999998E-5</v>
      </c>
      <c r="Q43" cm="1">
        <f t="array" ref="Q43">[1]!PropsSI("D","T",J43+273.15,"P",101325,"Water")</f>
        <v>985.3021283026211</v>
      </c>
      <c r="R43" cm="1">
        <f t="array" ref="R43">[1]!PropsSI("D","T",K43+273.15,"P",101325,"Water")</f>
        <v>986.6989013432684</v>
      </c>
      <c r="S43">
        <f t="shared" si="4"/>
        <v>986.00051482294475</v>
      </c>
      <c r="T43" cm="1">
        <f t="array" ref="T43">[1]!PropsSI("H","T",J43+273.15,"P",101325,"Water")</f>
        <v>233689.43303314096</v>
      </c>
      <c r="U43" cm="1">
        <f t="array" ref="U43">[1]!PropsSI("H","T",K43+273.15,"P",101325,"Water")</f>
        <v>221520.78947102587</v>
      </c>
      <c r="V43">
        <f t="shared" si="5"/>
        <v>251.73549775382742</v>
      </c>
    </row>
    <row r="44" spans="1:22" x14ac:dyDescent="0.2">
      <c r="A44">
        <v>46122.712438078706</v>
      </c>
      <c r="B44">
        <v>20.742363999999998</v>
      </c>
      <c r="C44">
        <v>20.744494</v>
      </c>
      <c r="D44">
        <v>20.60284</v>
      </c>
      <c r="E44">
        <v>20.665592</v>
      </c>
      <c r="F44">
        <v>45.662731999999998</v>
      </c>
      <c r="G44">
        <v>44.393320000000003</v>
      </c>
      <c r="H44">
        <v>36.955247999999997</v>
      </c>
      <c r="I44">
        <v>28.851648000000001</v>
      </c>
      <c r="J44">
        <v>55.802840000000003</v>
      </c>
      <c r="K44">
        <v>52.889764</v>
      </c>
      <c r="L44">
        <v>5.4359060000000001</v>
      </c>
      <c r="M44">
        <v>-622.51673400000004</v>
      </c>
      <c r="N44">
        <v>1.2583610000000001</v>
      </c>
      <c r="O44">
        <v>6.8069160000000002</v>
      </c>
      <c r="P44">
        <f t="shared" si="3"/>
        <v>2.0972683333333337E-5</v>
      </c>
      <c r="Q44" cm="1">
        <f t="array" ref="Q44">[1]!PropsSI("D","T",J44+273.15,"P",101325,"Water")</f>
        <v>985.30236163114989</v>
      </c>
      <c r="R44" cm="1">
        <f t="array" ref="R44">[1]!PropsSI("D","T",K44+273.15,"P",101325,"Water")</f>
        <v>986.70092364069535</v>
      </c>
      <c r="S44">
        <f t="shared" si="4"/>
        <v>986.00164263592262</v>
      </c>
      <c r="T44" cm="1">
        <f t="array" ref="T44">[1]!PropsSI("H","T",J44+273.15,"P",101325,"Water")</f>
        <v>233687.43762196932</v>
      </c>
      <c r="U44" cm="1">
        <f t="array" ref="U44">[1]!PropsSI("H","T",K44+273.15,"P",101325,"Water")</f>
        <v>221502.83098393618</v>
      </c>
      <c r="V44">
        <f t="shared" si="5"/>
        <v>251.96670177443499</v>
      </c>
    </row>
    <row r="45" spans="1:22" x14ac:dyDescent="0.2">
      <c r="A45">
        <v>46122.712496527776</v>
      </c>
      <c r="B45">
        <v>20.753547999999999</v>
      </c>
      <c r="C45">
        <v>20.758602</v>
      </c>
      <c r="D45">
        <v>20.636436</v>
      </c>
      <c r="E45">
        <v>20.688738000000001</v>
      </c>
      <c r="F45">
        <v>45.527503000000003</v>
      </c>
      <c r="G45">
        <v>44.167831999999997</v>
      </c>
      <c r="H45">
        <v>37.630522999999997</v>
      </c>
      <c r="I45">
        <v>28.953161999999999</v>
      </c>
      <c r="J45">
        <v>55.803795000000001</v>
      </c>
      <c r="K45">
        <v>52.893580999999998</v>
      </c>
      <c r="L45">
        <v>6.5774809999999997</v>
      </c>
      <c r="M45">
        <v>-622.49510199999997</v>
      </c>
      <c r="N45">
        <v>1.2595000000000001</v>
      </c>
      <c r="O45">
        <v>6.8650029999999997</v>
      </c>
      <c r="P45">
        <f t="shared" si="3"/>
        <v>2.0991666666666668E-5</v>
      </c>
      <c r="Q45" cm="1">
        <f t="array" ref="Q45">[1]!PropsSI("D","T",J45+273.15,"P",101325,"Water")</f>
        <v>985.30189448348301</v>
      </c>
      <c r="R45" cm="1">
        <f t="array" ref="R45">[1]!PropsSI("D","T",K45+273.15,"P",101325,"Water")</f>
        <v>986.69912599644442</v>
      </c>
      <c r="S45">
        <f t="shared" si="4"/>
        <v>986.00051023996366</v>
      </c>
      <c r="T45" cm="1">
        <f t="array" ref="T45">[1]!PropsSI("H","T",J45+273.15,"P",101325,"Water")</f>
        <v>233691.43262767204</v>
      </c>
      <c r="U45" cm="1">
        <f t="array" ref="U45">[1]!PropsSI("H","T",K45+273.15,"P",101325,"Water")</f>
        <v>221518.79454795379</v>
      </c>
      <c r="V45">
        <f t="shared" si="5"/>
        <v>251.94675594762765</v>
      </c>
    </row>
    <row r="46" spans="1:22" x14ac:dyDescent="0.2">
      <c r="A46">
        <v>46122.712554398146</v>
      </c>
      <c r="B46">
        <v>20.744087</v>
      </c>
      <c r="C46">
        <v>20.765930000000001</v>
      </c>
      <c r="D46">
        <v>20.625433000000001</v>
      </c>
      <c r="E46">
        <v>20.678766</v>
      </c>
      <c r="F46">
        <v>45.455227999999998</v>
      </c>
      <c r="G46">
        <v>44.691785000000003</v>
      </c>
      <c r="H46">
        <v>37.248424999999997</v>
      </c>
      <c r="I46">
        <v>29.706154999999999</v>
      </c>
      <c r="J46">
        <v>55.804749999999999</v>
      </c>
      <c r="K46">
        <v>52.894376000000001</v>
      </c>
      <c r="L46">
        <v>5.4277430000000004</v>
      </c>
      <c r="M46">
        <v>-622.47714399999995</v>
      </c>
      <c r="N46">
        <v>1.259398</v>
      </c>
      <c r="O46">
        <v>5.7926780000000004</v>
      </c>
      <c r="P46">
        <f t="shared" si="3"/>
        <v>2.0989966666666667E-5</v>
      </c>
      <c r="Q46" cm="1">
        <f t="array" ref="Q46">[1]!PropsSI("D","T",J46+273.15,"P",101325,"Water")</f>
        <v>985.30142733024411</v>
      </c>
      <c r="R46" cm="1">
        <f t="array" ref="R46">[1]!PropsSI("D","T",K46+273.15,"P",101325,"Water")</f>
        <v>986.6987515736655</v>
      </c>
      <c r="S46">
        <f t="shared" si="4"/>
        <v>986.00008945195486</v>
      </c>
      <c r="T46" cm="1">
        <f t="array" ref="T46">[1]!PropsSI("H","T",J46+273.15,"P",101325,"Water")</f>
        <v>233695.42763364949</v>
      </c>
      <c r="U46" cm="1">
        <f t="array" ref="U46">[1]!PropsSI("H","T",K46+273.15,"P",101325,"Water")</f>
        <v>221522.11941979622</v>
      </c>
      <c r="V46">
        <f t="shared" si="5"/>
        <v>251.94011381751909</v>
      </c>
    </row>
    <row r="47" spans="1:22" x14ac:dyDescent="0.2">
      <c r="A47">
        <v>46122.712612268515</v>
      </c>
      <c r="B47">
        <v>20.761679000000001</v>
      </c>
      <c r="C47">
        <v>20.778268000000001</v>
      </c>
      <c r="D47">
        <v>20.638695999999999</v>
      </c>
      <c r="E47">
        <v>20.689826</v>
      </c>
      <c r="F47">
        <v>44.765127999999997</v>
      </c>
      <c r="G47">
        <v>44.236044</v>
      </c>
      <c r="H47">
        <v>37.831679000000001</v>
      </c>
      <c r="I47">
        <v>29.661935</v>
      </c>
      <c r="J47">
        <v>55.804591000000002</v>
      </c>
      <c r="K47">
        <v>52.895966000000001</v>
      </c>
      <c r="L47">
        <v>6.96685</v>
      </c>
      <c r="M47">
        <v>-622.49265300000002</v>
      </c>
      <c r="N47">
        <v>1.2592950000000001</v>
      </c>
      <c r="O47">
        <v>5.1989179999999999</v>
      </c>
      <c r="P47">
        <f t="shared" si="3"/>
        <v>2.0988250000000004E-5</v>
      </c>
      <c r="Q47" cm="1">
        <f t="array" ref="Q47">[1]!PropsSI("D","T",J47+273.15,"P",101325,"Water")</f>
        <v>985.30150510797171</v>
      </c>
      <c r="R47" cm="1">
        <f t="array" ref="R47">[1]!PropsSI("D","T",K47+273.15,"P",101325,"Water")</f>
        <v>986.69800271614213</v>
      </c>
      <c r="S47">
        <f t="shared" si="4"/>
        <v>985.99975391205692</v>
      </c>
      <c r="T47" cm="1">
        <f t="array" ref="T47">[1]!PropsSI("H","T",J47+273.15,"P",101325,"Water")</f>
        <v>233694.76249650275</v>
      </c>
      <c r="U47" cm="1">
        <f t="array" ref="U47">[1]!PropsSI("H","T",K47+273.15,"P",101325,"Water")</f>
        <v>221528.76916404488</v>
      </c>
      <c r="V47">
        <f t="shared" si="5"/>
        <v>251.76804598930821</v>
      </c>
    </row>
    <row r="48" spans="1:22" x14ac:dyDescent="0.2">
      <c r="A48">
        <v>46122.712670717592</v>
      </c>
      <c r="B48">
        <v>20.749396000000001</v>
      </c>
      <c r="C48">
        <v>20.755181</v>
      </c>
      <c r="D48">
        <v>20.625126999999999</v>
      </c>
      <c r="E48">
        <v>20.696145999999999</v>
      </c>
      <c r="F48">
        <v>45.534207000000002</v>
      </c>
      <c r="G48">
        <v>44.400360999999997</v>
      </c>
      <c r="H48">
        <v>36.758904999999999</v>
      </c>
      <c r="I48">
        <v>29.217006999999999</v>
      </c>
      <c r="J48">
        <v>55.801884999999999</v>
      </c>
      <c r="K48">
        <v>52.894694000000001</v>
      </c>
      <c r="L48">
        <v>5.7277279999999999</v>
      </c>
      <c r="M48">
        <v>-622.525713</v>
      </c>
      <c r="N48">
        <v>1.2594920000000001</v>
      </c>
      <c r="O48">
        <v>6.1968639999999997</v>
      </c>
      <c r="P48">
        <f t="shared" si="3"/>
        <v>2.0991533333333334E-5</v>
      </c>
      <c r="Q48" cm="1">
        <f t="array" ref="Q48">[1]!PropsSI("D","T",J48+273.15,"P",101325,"Water")</f>
        <v>985.30282877320292</v>
      </c>
      <c r="R48" cm="1">
        <f t="array" ref="R48">[1]!PropsSI("D","T",K48+273.15,"P",101325,"Water")</f>
        <v>986.69860180344881</v>
      </c>
      <c r="S48">
        <f t="shared" si="4"/>
        <v>986.00071528832586</v>
      </c>
      <c r="T48" cm="1">
        <f t="array" ref="T48">[1]!PropsSI("H","T",J48+273.15,"P",101325,"Water")</f>
        <v>233683.44261663547</v>
      </c>
      <c r="U48" cm="1">
        <f t="array" ref="U48">[1]!PropsSI("H","T",K48+273.15,"P",101325,"Water")</f>
        <v>221523.44936859384</v>
      </c>
      <c r="V48">
        <f t="shared" si="5"/>
        <v>251.68348953126622</v>
      </c>
    </row>
    <row r="49" spans="1:22" x14ac:dyDescent="0.2">
      <c r="A49">
        <v>44660.7127285881</v>
      </c>
      <c r="B49">
        <v>20.754200000000001</v>
      </c>
      <c r="C49">
        <v>20.773173</v>
      </c>
      <c r="D49">
        <v>20.631513000000002</v>
      </c>
      <c r="E49">
        <v>20.706371000000001</v>
      </c>
      <c r="F49">
        <v>45.277676</v>
      </c>
      <c r="G49">
        <v>44.515450999999999</v>
      </c>
      <c r="H49">
        <v>37.025005999999998</v>
      </c>
      <c r="I49">
        <v>29.320250000000001</v>
      </c>
      <c r="J49">
        <v>55.802840000000003</v>
      </c>
      <c r="K49">
        <v>52.892626999999997</v>
      </c>
      <c r="L49">
        <v>5.44611</v>
      </c>
      <c r="M49">
        <v>-622.48163399999999</v>
      </c>
      <c r="N49">
        <v>1.256005</v>
      </c>
      <c r="O49">
        <v>4.7762549999999999</v>
      </c>
      <c r="P49">
        <f t="shared" si="3"/>
        <v>2.0933416666666669E-5</v>
      </c>
      <c r="Q49" cm="1">
        <f t="array" ref="Q49">[1]!PropsSI("D","T",J49+273.15,"P",101325,"Water")</f>
        <v>985.30236163114989</v>
      </c>
      <c r="R49" cm="1">
        <f t="array" ref="R49">[1]!PropsSI("D","T",K49+273.15,"P",101325,"Water")</f>
        <v>986.6995752984385</v>
      </c>
      <c r="S49">
        <f t="shared" si="4"/>
        <v>986.00096846479414</v>
      </c>
      <c r="T49" cm="1">
        <f t="array" ref="T49">[1]!PropsSI("H","T",J49+273.15,"P",101325,"Water")</f>
        <v>233687.43762196932</v>
      </c>
      <c r="U49" cm="1">
        <f t="array" ref="U49">[1]!PropsSI("H","T",K49+273.15,"P",101325,"Water")</f>
        <v>221514.80470201207</v>
      </c>
      <c r="V49">
        <f t="shared" si="5"/>
        <v>251.24763646719433</v>
      </c>
    </row>
    <row r="50" spans="1:22" x14ac:dyDescent="0.2">
      <c r="A50" t="s">
        <v>17</v>
      </c>
      <c r="B50">
        <v>20.766850000000002</v>
      </c>
      <c r="C50">
        <v>20.766454</v>
      </c>
      <c r="D50">
        <v>20.639182000000002</v>
      </c>
      <c r="E50">
        <v>20.689617999999999</v>
      </c>
      <c r="F50">
        <v>45.421143000000001</v>
      </c>
      <c r="G50">
        <v>44.293447</v>
      </c>
      <c r="H50">
        <v>37.265600999999997</v>
      </c>
      <c r="I50">
        <v>29.093924000000001</v>
      </c>
      <c r="J50">
        <v>55.801248000000001</v>
      </c>
      <c r="K50">
        <v>52.888969000000003</v>
      </c>
      <c r="L50">
        <v>5.889761</v>
      </c>
      <c r="M50">
        <v>-622.50122399999998</v>
      </c>
      <c r="N50">
        <v>1.255603</v>
      </c>
      <c r="O50">
        <v>6.9039400000000004</v>
      </c>
      <c r="P50">
        <f t="shared" si="3"/>
        <v>2.0926716666666667E-5</v>
      </c>
      <c r="Q50" cm="1">
        <f t="array" ref="Q50">[1]!PropsSI("D","T",J50+273.15,"P",101325,"Water")</f>
        <v>985.3031403611609</v>
      </c>
      <c r="R50" cm="1">
        <f t="array" ref="R50">[1]!PropsSI("D","T",K50+273.15,"P",101325,"Water")</f>
        <v>986.70129804014698</v>
      </c>
      <c r="S50">
        <f t="shared" si="4"/>
        <v>986.00221920065394</v>
      </c>
      <c r="T50" cm="1">
        <f t="array" ref="T50">[1]!PropsSI("H","T",J50+273.15,"P",101325,"Water")</f>
        <v>233680.77788551626</v>
      </c>
      <c r="U50" cm="1">
        <f t="array" ref="U50">[1]!PropsSI("H","T",K50+273.15,"P",101325,"Water")</f>
        <v>221499.50611331957</v>
      </c>
      <c r="V50">
        <f t="shared" si="5"/>
        <v>251.34579239956136</v>
      </c>
    </row>
    <row r="51" spans="1:22" x14ac:dyDescent="0.2">
      <c r="A51">
        <v>46122.712844907408</v>
      </c>
      <c r="B51">
        <v>20.771025999999999</v>
      </c>
      <c r="C51">
        <v>20.770595</v>
      </c>
      <c r="D51">
        <v>20.639842000000002</v>
      </c>
      <c r="E51">
        <v>20.689352</v>
      </c>
      <c r="F51">
        <v>46.022029000000003</v>
      </c>
      <c r="G51">
        <v>43.685898000000002</v>
      </c>
      <c r="H51">
        <v>36.70534</v>
      </c>
      <c r="I51">
        <v>30.114704</v>
      </c>
      <c r="J51">
        <v>55.804591000000002</v>
      </c>
      <c r="K51">
        <v>52.888969000000003</v>
      </c>
      <c r="L51">
        <v>5.7946629999999999</v>
      </c>
      <c r="M51">
        <v>-622.52081499999997</v>
      </c>
      <c r="N51">
        <v>1.257628</v>
      </c>
      <c r="O51">
        <v>6.7085189999999999</v>
      </c>
      <c r="P51">
        <f t="shared" si="3"/>
        <v>2.0960466666666667E-5</v>
      </c>
      <c r="Q51" cm="1">
        <f t="array" ref="Q51">[1]!PropsSI("D","T",J51+273.15,"P",101325,"Water")</f>
        <v>985.30150510797171</v>
      </c>
      <c r="R51" cm="1">
        <f t="array" ref="R51">[1]!PropsSI("D","T",K51+273.15,"P",101325,"Water")</f>
        <v>986.70129804014698</v>
      </c>
      <c r="S51">
        <f t="shared" si="4"/>
        <v>986.0014015740594</v>
      </c>
      <c r="T51" cm="1">
        <f t="array" ref="T51">[1]!PropsSI("H","T",J51+273.15,"P",101325,"Water")</f>
        <v>233694.76249650275</v>
      </c>
      <c r="U51" cm="1">
        <f t="array" ref="U51">[1]!PropsSI("H","T",K51+273.15,"P",101325,"Water")</f>
        <v>221499.50611331957</v>
      </c>
      <c r="V51">
        <f t="shared" si="5"/>
        <v>252.03996747033781</v>
      </c>
    </row>
    <row r="52" spans="1:22" x14ac:dyDescent="0.2">
      <c r="A52">
        <v>46122.712902777777</v>
      </c>
      <c r="B52">
        <v>20.764275000000001</v>
      </c>
      <c r="C52">
        <v>20.773184000000001</v>
      </c>
      <c r="D52">
        <v>20.640806000000001</v>
      </c>
      <c r="E52">
        <v>20.68824</v>
      </c>
      <c r="F52">
        <v>45.825071999999999</v>
      </c>
      <c r="G52">
        <v>44.187981000000001</v>
      </c>
      <c r="H52">
        <v>36.188727</v>
      </c>
      <c r="I52">
        <v>29.990186999999999</v>
      </c>
      <c r="J52">
        <v>55.802202999999999</v>
      </c>
      <c r="K52">
        <v>52.889923000000003</v>
      </c>
      <c r="L52">
        <v>5.9024130000000001</v>
      </c>
      <c r="M52">
        <v>-622.48163399999999</v>
      </c>
      <c r="N52">
        <v>1.2574920000000001</v>
      </c>
      <c r="O52">
        <v>6.2373890000000003</v>
      </c>
      <c r="P52">
        <f t="shared" si="3"/>
        <v>2.0958200000000002E-5</v>
      </c>
      <c r="Q52" cm="1">
        <f t="array" ref="Q52">[1]!PropsSI("D","T",J52+273.15,"P",101325,"Water")</f>
        <v>985.30267322284715</v>
      </c>
      <c r="R52" cm="1">
        <f t="array" ref="R52">[1]!PropsSI("D","T",K52+273.15,"P",101325,"Water")</f>
        <v>986.70084876031524</v>
      </c>
      <c r="S52">
        <f t="shared" si="4"/>
        <v>986.00176099158125</v>
      </c>
      <c r="T52" cm="1">
        <f t="array" ref="T52">[1]!PropsSI("H","T",J52+273.15,"P",101325,"Water")</f>
        <v>233684.77289062543</v>
      </c>
      <c r="U52" cm="1">
        <f t="array" ref="U52">[1]!PropsSI("H","T",K52+273.15,"P",101325,"Water")</f>
        <v>221503.49595809419</v>
      </c>
      <c r="V52">
        <f t="shared" si="5"/>
        <v>251.7239208494646</v>
      </c>
    </row>
    <row r="53" spans="1:22" x14ac:dyDescent="0.2">
      <c r="A53">
        <v>46122.712961226855</v>
      </c>
      <c r="B53">
        <v>20.771640999999999</v>
      </c>
      <c r="C53">
        <v>20.778168000000001</v>
      </c>
      <c r="D53">
        <v>20.645789000000001</v>
      </c>
      <c r="E53">
        <v>20.685593000000001</v>
      </c>
      <c r="F53">
        <v>45.712927000000001</v>
      </c>
      <c r="G53">
        <v>44.030214000000001</v>
      </c>
      <c r="H53">
        <v>36.671002000000001</v>
      </c>
      <c r="I53">
        <v>30.214071000000001</v>
      </c>
      <c r="J53">
        <v>55.802044000000002</v>
      </c>
      <c r="K53">
        <v>52.887219999999999</v>
      </c>
      <c r="L53">
        <v>5.4946780000000004</v>
      </c>
      <c r="M53">
        <v>-622.48938799999996</v>
      </c>
      <c r="N53">
        <v>1.2576149999999999</v>
      </c>
      <c r="O53">
        <v>4.5089079999999999</v>
      </c>
      <c r="P53">
        <f t="shared" si="3"/>
        <v>2.096025E-5</v>
      </c>
      <c r="Q53" cm="1">
        <f t="array" ref="Q53">[1]!PropsSI("D","T",J53+273.15,"P",101325,"Water")</f>
        <v>985.3027509981091</v>
      </c>
      <c r="R53" cm="1">
        <f t="array" ref="R53">[1]!PropsSI("D","T",K53+273.15,"P",101325,"Water")</f>
        <v>986.70212170484501</v>
      </c>
      <c r="S53">
        <f t="shared" si="4"/>
        <v>986.00243635147706</v>
      </c>
      <c r="T53" cm="1">
        <f t="array" ref="T53">[1]!PropsSI("H","T",J53+273.15,"P",101325,"Water")</f>
        <v>233684.10775363559</v>
      </c>
      <c r="U53" cm="1">
        <f t="array" ref="U53">[1]!PropsSI("H","T",K53+273.15,"P",101325,"Water")</f>
        <v>221492.1913986892</v>
      </c>
      <c r="V53">
        <f t="shared" si="5"/>
        <v>251.96859877079828</v>
      </c>
    </row>
    <row r="54" spans="1:22" x14ac:dyDescent="0.2">
      <c r="A54">
        <v>46122.713019675924</v>
      </c>
      <c r="B54">
        <v>20.773069</v>
      </c>
      <c r="C54">
        <v>20.763801000000001</v>
      </c>
      <c r="D54">
        <v>20.640011000000001</v>
      </c>
      <c r="E54">
        <v>20.686534000000002</v>
      </c>
      <c r="F54">
        <v>45.348173000000003</v>
      </c>
      <c r="G54">
        <v>44.840877999999996</v>
      </c>
      <c r="H54">
        <v>37.799438000000002</v>
      </c>
      <c r="I54">
        <v>29.530486</v>
      </c>
      <c r="J54">
        <v>55.800770999999997</v>
      </c>
      <c r="K54">
        <v>52.8904</v>
      </c>
      <c r="L54">
        <v>5.8146620000000002</v>
      </c>
      <c r="M54">
        <v>-622.48612300000002</v>
      </c>
      <c r="N54">
        <v>1.258205</v>
      </c>
      <c r="O54">
        <v>5.468718</v>
      </c>
      <c r="P54">
        <f t="shared" si="3"/>
        <v>2.0970083333333334E-5</v>
      </c>
      <c r="Q54" cm="1">
        <f t="array" ref="Q54">[1]!PropsSI("D","T",J54+273.15,"P",101325,"Water")</f>
        <v>985.30337368362666</v>
      </c>
      <c r="R54" cm="1">
        <f t="array" ref="R54">[1]!PropsSI("D","T",K54+273.15,"P",101325,"Water")</f>
        <v>986.70062411823289</v>
      </c>
      <c r="S54">
        <f t="shared" si="4"/>
        <v>986.00199890092972</v>
      </c>
      <c r="T54" cm="1">
        <f t="array" ref="T54">[1]!PropsSI("H","T",J54+273.15,"P",101325,"Water")</f>
        <v>233678.78247473948</v>
      </c>
      <c r="U54" cm="1">
        <f t="array" ref="U54">[1]!PropsSI("H","T",K54+273.15,"P",101325,"Water")</f>
        <v>221505.49088055574</v>
      </c>
      <c r="V54">
        <f t="shared" si="5"/>
        <v>251.70160029191854</v>
      </c>
    </row>
    <row r="55" spans="1:22" x14ac:dyDescent="0.2">
      <c r="A55">
        <v>46122.713078125002</v>
      </c>
      <c r="B55">
        <v>20.762695999999998</v>
      </c>
      <c r="C55">
        <v>20.765352</v>
      </c>
      <c r="D55">
        <v>20.617660999999998</v>
      </c>
      <c r="E55">
        <v>20.679341999999998</v>
      </c>
      <c r="F55">
        <v>45.266286999999998</v>
      </c>
      <c r="G55">
        <v>44.425947000000001</v>
      </c>
      <c r="H55">
        <v>36.413792000000001</v>
      </c>
      <c r="I55">
        <v>29.887606000000002</v>
      </c>
      <c r="J55">
        <v>55.801248000000001</v>
      </c>
      <c r="K55">
        <v>52.887697000000003</v>
      </c>
      <c r="L55">
        <v>6.7076789999999997</v>
      </c>
      <c r="M55">
        <v>-622.47918500000003</v>
      </c>
      <c r="N55">
        <v>1.2567299999999999</v>
      </c>
      <c r="O55">
        <v>5.2244599999999997</v>
      </c>
      <c r="P55">
        <f t="shared" si="3"/>
        <v>2.0945499999999998E-5</v>
      </c>
      <c r="Q55" cm="1">
        <f t="array" ref="Q55">[1]!PropsSI("D","T",J55+273.15,"P",101325,"Water")</f>
        <v>985.3031403611609</v>
      </c>
      <c r="R55" cm="1">
        <f t="array" ref="R55">[1]!PropsSI("D","T",K55+273.15,"P",101325,"Water")</f>
        <v>986.70189707097688</v>
      </c>
      <c r="S55">
        <f t="shared" si="4"/>
        <v>986.00251871606883</v>
      </c>
      <c r="T55" cm="1">
        <f t="array" ref="T55">[1]!PropsSI("H","T",J55+273.15,"P",101325,"Water")</f>
        <v>233680.77788551626</v>
      </c>
      <c r="U55" cm="1">
        <f t="array" ref="U55">[1]!PropsSI("H","T",K55+273.15,"P",101325,"Water")</f>
        <v>221494.18632074361</v>
      </c>
      <c r="V55">
        <f t="shared" si="5"/>
        <v>251.68133698225654</v>
      </c>
    </row>
    <row r="56" spans="1:22" x14ac:dyDescent="0.2">
      <c r="A56">
        <v>46122.713136574072</v>
      </c>
      <c r="B56">
        <v>20.752556999999999</v>
      </c>
      <c r="C56">
        <v>20.762957</v>
      </c>
      <c r="D56">
        <v>20.615265999999998</v>
      </c>
      <c r="E56">
        <v>20.687076000000001</v>
      </c>
      <c r="F56">
        <v>45.576253000000001</v>
      </c>
      <c r="G56">
        <v>44.449685000000002</v>
      </c>
      <c r="H56">
        <v>37.022263000000002</v>
      </c>
      <c r="I56">
        <v>29.952192</v>
      </c>
      <c r="J56">
        <v>55.798861000000002</v>
      </c>
      <c r="K56">
        <v>52.890082</v>
      </c>
      <c r="L56">
        <v>6.0962810000000003</v>
      </c>
      <c r="M56">
        <v>-622.45918600000005</v>
      </c>
      <c r="N56">
        <v>1.257644</v>
      </c>
      <c r="O56">
        <v>7.1116239999999999</v>
      </c>
      <c r="P56">
        <f t="shared" si="3"/>
        <v>2.0960733333333334E-5</v>
      </c>
      <c r="Q56" cm="1">
        <f t="array" ref="Q56">[1]!PropsSI("D","T",J56+273.15,"P",101325,"Water")</f>
        <v>985.30430793777009</v>
      </c>
      <c r="R56" cm="1">
        <f t="array" ref="R56">[1]!PropsSI("D","T",K56+273.15,"P",101325,"Water")</f>
        <v>986.70077387978824</v>
      </c>
      <c r="S56">
        <f t="shared" si="4"/>
        <v>986.00254090877911</v>
      </c>
      <c r="T56" cm="1">
        <f t="array" ref="T56">[1]!PropsSI("H","T",J56+273.15,"P",101325,"Water")</f>
        <v>233670.79246589827</v>
      </c>
      <c r="U56" cm="1">
        <f t="array" ref="U56">[1]!PropsSI("H","T",K56+273.15,"P",101325,"Water")</f>
        <v>221504.16093220594</v>
      </c>
      <c r="V56">
        <f t="shared" si="5"/>
        <v>251.45186586106902</v>
      </c>
    </row>
    <row r="57" spans="1:22" x14ac:dyDescent="0.2">
      <c r="A57">
        <v>46122.713194444441</v>
      </c>
      <c r="B57">
        <v>20.759910999999999</v>
      </c>
      <c r="C57">
        <v>20.760037000000001</v>
      </c>
      <c r="D57">
        <v>20.619076</v>
      </c>
      <c r="E57">
        <v>20.680282999999999</v>
      </c>
      <c r="F57">
        <v>46.095208</v>
      </c>
      <c r="G57">
        <v>43.998880999999997</v>
      </c>
      <c r="H57">
        <v>35.870977000000003</v>
      </c>
      <c r="I57">
        <v>30.152339999999999</v>
      </c>
      <c r="J57">
        <v>55.798383999999999</v>
      </c>
      <c r="K57">
        <v>52.887855999999999</v>
      </c>
      <c r="L57">
        <v>7.2513249999999996</v>
      </c>
      <c r="M57">
        <v>-622.49428599999999</v>
      </c>
      <c r="N57">
        <v>1.2566600000000001</v>
      </c>
      <c r="O57">
        <v>5.0215930000000002</v>
      </c>
      <c r="P57">
        <f t="shared" si="3"/>
        <v>2.0944333333333335E-5</v>
      </c>
      <c r="Q57" cm="1">
        <f t="array" ref="Q57">[1]!PropsSI("D","T",J57+273.15,"P",101325,"Water")</f>
        <v>985.30454125323911</v>
      </c>
      <c r="R57" cm="1">
        <f t="array" ref="R57">[1]!PropsSI("D","T",K57+273.15,"P",101325,"Water")</f>
        <v>986.70182219267042</v>
      </c>
      <c r="S57">
        <f t="shared" si="4"/>
        <v>986.00318172295476</v>
      </c>
      <c r="T57" cm="1">
        <f t="array" ref="T57">[1]!PropsSI("H","T",J57+273.15,"P",101325,"Water")</f>
        <v>233668.79705554899</v>
      </c>
      <c r="U57" cm="1">
        <f t="array" ref="U57">[1]!PropsSI("H","T",K57+273.15,"P",101325,"Water")</f>
        <v>221494.85129478428</v>
      </c>
      <c r="V57">
        <f t="shared" si="5"/>
        <v>251.40633676381773</v>
      </c>
    </row>
    <row r="58" spans="1:22" x14ac:dyDescent="0.2">
      <c r="A58">
        <v>46122.713252893518</v>
      </c>
      <c r="B58">
        <v>20.754145000000001</v>
      </c>
      <c r="C58">
        <v>20.752230999999998</v>
      </c>
      <c r="D58">
        <v>20.594563999999998</v>
      </c>
      <c r="E58">
        <v>20.670031999999999</v>
      </c>
      <c r="F58">
        <v>46.016272999999998</v>
      </c>
      <c r="G58">
        <v>43.861938000000002</v>
      </c>
      <c r="H58">
        <v>36.310651999999997</v>
      </c>
      <c r="I58">
        <v>30.322607000000001</v>
      </c>
      <c r="J58">
        <v>55.795518999999999</v>
      </c>
      <c r="K58">
        <v>52.886743000000003</v>
      </c>
      <c r="L58">
        <v>7.2321429999999998</v>
      </c>
      <c r="M58">
        <v>-622.506122</v>
      </c>
      <c r="N58">
        <v>1.256488</v>
      </c>
      <c r="O58">
        <v>4.5230009999999998</v>
      </c>
      <c r="P58">
        <f t="shared" si="3"/>
        <v>2.0941466666666666E-5</v>
      </c>
      <c r="Q58" cm="1">
        <f t="array" ref="Q58">[1]!PropsSI("D","T",J58+273.15,"P",101325,"Water")</f>
        <v>985.30594258390579</v>
      </c>
      <c r="R58" cm="1">
        <f t="array" ref="R58">[1]!PropsSI("D","T",K58+273.15,"P",101325,"Water")</f>
        <v>986.70234633730024</v>
      </c>
      <c r="S58">
        <f t="shared" si="4"/>
        <v>986.00414446060302</v>
      </c>
      <c r="T58" cm="1">
        <f t="array" ref="T58">[1]!PropsSI("H","T",J58+273.15,"P",101325,"Water")</f>
        <v>233656.8120453493</v>
      </c>
      <c r="U58" cm="1">
        <f t="array" ref="U58">[1]!PropsSI("H","T",K58+273.15,"P",101325,"Water")</f>
        <v>221490.19647672941</v>
      </c>
      <c r="V58">
        <f t="shared" si="5"/>
        <v>251.22081548888011</v>
      </c>
    </row>
    <row r="59" spans="1:22" x14ac:dyDescent="0.2">
      <c r="A59">
        <v>46122.713311342595</v>
      </c>
      <c r="B59">
        <v>20.734817</v>
      </c>
      <c r="C59">
        <v>20.745132999999999</v>
      </c>
      <c r="D59">
        <v>20.599302999999999</v>
      </c>
      <c r="E59">
        <v>20.660253000000001</v>
      </c>
      <c r="F59">
        <v>46.177607999999999</v>
      </c>
      <c r="G59">
        <v>44.392356999999997</v>
      </c>
      <c r="H59">
        <v>36.014659999999999</v>
      </c>
      <c r="I59">
        <v>29.447358000000001</v>
      </c>
      <c r="J59">
        <v>55.795518999999999</v>
      </c>
      <c r="K59">
        <v>52.886265999999999</v>
      </c>
      <c r="L59">
        <v>6.9227699999999999</v>
      </c>
      <c r="M59">
        <v>-622.50285699999995</v>
      </c>
      <c r="N59">
        <v>1.2568980000000001</v>
      </c>
      <c r="O59">
        <v>4.5445919999999997</v>
      </c>
      <c r="P59">
        <f t="shared" si="3"/>
        <v>2.0948300000000001E-5</v>
      </c>
      <c r="Q59" cm="1">
        <f t="array" ref="Q59">[1]!PropsSI("D","T",J59+273.15,"P",101325,"Water")</f>
        <v>985.30594258390579</v>
      </c>
      <c r="R59" cm="1">
        <f t="array" ref="R59">[1]!PropsSI("D","T",K59+273.15,"P",101325,"Water")</f>
        <v>986.70257096830835</v>
      </c>
      <c r="S59">
        <f t="shared" si="4"/>
        <v>986.00425677610701</v>
      </c>
      <c r="T59" cm="1">
        <f t="array" ref="T59">[1]!PropsSI("H","T",J59+273.15,"P",101325,"Water")</f>
        <v>233656.8120453493</v>
      </c>
      <c r="U59" cm="1">
        <f t="array" ref="U59">[1]!PropsSI("H","T",K59+273.15,"P",101325,"Water")</f>
        <v>221488.20155480257</v>
      </c>
      <c r="V59">
        <f t="shared" si="5"/>
        <v>251.34402439721984</v>
      </c>
    </row>
    <row r="60" spans="1:22" x14ac:dyDescent="0.2">
      <c r="A60">
        <v>46122.713369212965</v>
      </c>
      <c r="B60">
        <v>20.719861999999999</v>
      </c>
      <c r="C60">
        <v>20.726126000000001</v>
      </c>
      <c r="D60">
        <v>20.597470999999999</v>
      </c>
      <c r="E60">
        <v>20.662804000000001</v>
      </c>
      <c r="F60">
        <v>45.822606999999998</v>
      </c>
      <c r="G60">
        <v>44.046494000000003</v>
      </c>
      <c r="H60">
        <v>36.804529000000002</v>
      </c>
      <c r="I60">
        <v>29.584239</v>
      </c>
      <c r="J60">
        <v>55.801408000000002</v>
      </c>
      <c r="K60">
        <v>52.890718</v>
      </c>
      <c r="L60">
        <v>6.1407689999999997</v>
      </c>
      <c r="M60">
        <v>-622.49755100000004</v>
      </c>
      <c r="N60">
        <v>1.2516940000000001</v>
      </c>
      <c r="O60">
        <v>6.4765249999999996</v>
      </c>
      <c r="P60">
        <f t="shared" si="3"/>
        <v>2.0861566666666667E-5</v>
      </c>
      <c r="Q60" cm="1">
        <f t="array" ref="Q60">[1]!PropsSI("D","T",J60+273.15,"P",101325,"Water")</f>
        <v>985.3030620975195</v>
      </c>
      <c r="R60" cm="1">
        <f t="array" ref="R60">[1]!PropsSI("D","T",K60+273.15,"P",101325,"Water")</f>
        <v>986.7004743560542</v>
      </c>
      <c r="S60">
        <f t="shared" si="4"/>
        <v>986.00176822678691</v>
      </c>
      <c r="T60" cm="1">
        <f t="array" ref="T60">[1]!PropsSI("H","T",J60+273.15,"P",101325,"Water")</f>
        <v>233681.44720572481</v>
      </c>
      <c r="U60" cm="1">
        <f t="array" ref="U60">[1]!PropsSI("H","T",K60+273.15,"P",101325,"Water")</f>
        <v>221506.82082894113</v>
      </c>
      <c r="V60">
        <f t="shared" si="5"/>
        <v>250.42648398120318</v>
      </c>
    </row>
    <row r="61" spans="1:22" x14ac:dyDescent="0.2">
      <c r="A61">
        <v>46122.713427662035</v>
      </c>
      <c r="B61">
        <v>20.730518</v>
      </c>
      <c r="C61">
        <v>20.725784999999998</v>
      </c>
      <c r="D61">
        <v>20.595737</v>
      </c>
      <c r="E61">
        <v>20.658791000000001</v>
      </c>
      <c r="F61">
        <v>44.811636999999997</v>
      </c>
      <c r="G61">
        <v>43.943623000000002</v>
      </c>
      <c r="H61">
        <v>37.579551000000002</v>
      </c>
      <c r="I61">
        <v>30.063601999999999</v>
      </c>
      <c r="J61">
        <v>55.803158000000003</v>
      </c>
      <c r="K61">
        <v>52.893580999999998</v>
      </c>
      <c r="L61">
        <v>6.0987299999999998</v>
      </c>
      <c r="M61">
        <v>-622.48612300000002</v>
      </c>
      <c r="N61">
        <v>1.2546200000000001</v>
      </c>
      <c r="O61">
        <v>7.7155259999999997</v>
      </c>
      <c r="P61">
        <f t="shared" si="3"/>
        <v>2.0910333333333335E-5</v>
      </c>
      <c r="Q61" cm="1">
        <f t="array" ref="Q61">[1]!PropsSI("D","T",J61+273.15,"P",101325,"Water")</f>
        <v>985.30220607894171</v>
      </c>
      <c r="R61" cm="1">
        <f t="array" ref="R61">[1]!PropsSI("D","T",K61+273.15,"P",101325,"Water")</f>
        <v>986.69912599644442</v>
      </c>
      <c r="S61">
        <f t="shared" si="4"/>
        <v>986.00066603769301</v>
      </c>
      <c r="T61" cm="1">
        <f t="array" ref="T61">[1]!PropsSI("H","T",J61+273.15,"P",101325,"Water")</f>
        <v>233688.76789608187</v>
      </c>
      <c r="U61" cm="1">
        <f t="array" ref="U61">[1]!PropsSI("H","T",K61+273.15,"P",101325,"Water")</f>
        <v>221518.79454795379</v>
      </c>
      <c r="V61">
        <f t="shared" si="5"/>
        <v>250.91567406807386</v>
      </c>
    </row>
    <row r="62" spans="1:22" x14ac:dyDescent="0.2">
      <c r="A62">
        <v>46122.713485532404</v>
      </c>
      <c r="B62">
        <v>20.721328</v>
      </c>
      <c r="C62">
        <v>20.722473999999998</v>
      </c>
      <c r="D62">
        <v>20.593354999999999</v>
      </c>
      <c r="E62">
        <v>20.651381000000001</v>
      </c>
      <c r="F62">
        <v>45.556908</v>
      </c>
      <c r="G62">
        <v>44.632390000000001</v>
      </c>
      <c r="H62">
        <v>36.751615999999999</v>
      </c>
      <c r="I62">
        <v>30.02647</v>
      </c>
      <c r="J62">
        <v>55.805385999999999</v>
      </c>
      <c r="K62">
        <v>52.894376000000001</v>
      </c>
      <c r="L62">
        <v>6.3746340000000004</v>
      </c>
      <c r="M62">
        <v>-622.49102100000005</v>
      </c>
      <c r="N62">
        <v>1.2552669999999999</v>
      </c>
      <c r="O62">
        <v>7.3494000000000002</v>
      </c>
      <c r="P62">
        <f t="shared" si="3"/>
        <v>2.0921116666666665E-5</v>
      </c>
      <c r="Q62" cm="1">
        <f t="array" ref="Q62">[1]!PropsSI("D","T",J62+273.15,"P",101325,"Water")</f>
        <v>985.30111621772096</v>
      </c>
      <c r="R62" cm="1">
        <f t="array" ref="R62">[1]!PropsSI("D","T",K62+273.15,"P",101325,"Water")</f>
        <v>986.6987515736655</v>
      </c>
      <c r="S62">
        <f t="shared" si="4"/>
        <v>985.99993389569318</v>
      </c>
      <c r="T62" cm="1">
        <f t="array" ref="T62">[1]!PropsSI("H","T",J62+273.15,"P",101325,"Water")</f>
        <v>233698.08818234465</v>
      </c>
      <c r="U62" cm="1">
        <f t="array" ref="U62">[1]!PropsSI("H","T",K62+273.15,"P",101325,"Water")</f>
        <v>221522.11941979622</v>
      </c>
      <c r="V62">
        <f t="shared" si="5"/>
        <v>251.16855808973975</v>
      </c>
    </row>
    <row r="63" spans="1:22" x14ac:dyDescent="0.2">
      <c r="A63">
        <v>46122.71354340278</v>
      </c>
      <c r="B63">
        <v>20.722387000000001</v>
      </c>
      <c r="C63">
        <v>20.719577999999998</v>
      </c>
      <c r="D63">
        <v>20.589300000000001</v>
      </c>
      <c r="E63">
        <v>20.643923000000001</v>
      </c>
      <c r="F63">
        <v>44.906376000000002</v>
      </c>
      <c r="G63">
        <v>44.135137999999998</v>
      </c>
      <c r="H63">
        <v>37.435398999999997</v>
      </c>
      <c r="I63">
        <v>28.905659</v>
      </c>
      <c r="J63">
        <v>55.805067999999999</v>
      </c>
      <c r="K63">
        <v>52.894852999999998</v>
      </c>
      <c r="L63">
        <v>5.3714190000000004</v>
      </c>
      <c r="M63">
        <v>-622.49347</v>
      </c>
      <c r="N63">
        <v>1.254345</v>
      </c>
      <c r="O63">
        <v>6.8687899999999997</v>
      </c>
      <c r="P63">
        <f t="shared" si="3"/>
        <v>2.0905749999999999E-5</v>
      </c>
      <c r="Q63" cm="1">
        <f t="array" ref="Q63">[1]!PropsSI("D","T",J63+273.15,"P",101325,"Water")</f>
        <v>985.30127177429108</v>
      </c>
      <c r="R63" cm="1">
        <f t="array" ref="R63">[1]!PropsSI("D","T",K63+273.15,"P",101325,"Water")</f>
        <v>986.69852691810183</v>
      </c>
      <c r="S63">
        <f t="shared" si="4"/>
        <v>985.99989934619646</v>
      </c>
      <c r="T63" cm="1">
        <f t="array" ref="T63">[1]!PropsSI("H","T",J63+273.15,"P",101325,"Water")</f>
        <v>233696.75790801112</v>
      </c>
      <c r="U63" cm="1">
        <f t="array" ref="U63">[1]!PropsSI("H","T",K63+273.15,"P",101325,"Water")</f>
        <v>221524.11434300046</v>
      </c>
      <c r="V63">
        <f t="shared" si="5"/>
        <v>250.91552219008935</v>
      </c>
    </row>
    <row r="64" spans="1:22" x14ac:dyDescent="0.2">
      <c r="A64">
        <v>46122.71360127315</v>
      </c>
      <c r="B64">
        <v>20.708738</v>
      </c>
      <c r="C64">
        <v>20.717184</v>
      </c>
      <c r="D64">
        <v>20.591083000000001</v>
      </c>
      <c r="E64">
        <v>20.635124000000001</v>
      </c>
      <c r="F64">
        <v>45.978251</v>
      </c>
      <c r="G64">
        <v>44.736792000000001</v>
      </c>
      <c r="H64">
        <v>36.021417999999997</v>
      </c>
      <c r="I64">
        <v>29.024031000000001</v>
      </c>
      <c r="J64">
        <v>55.806659000000003</v>
      </c>
      <c r="K64">
        <v>52.894852999999998</v>
      </c>
      <c r="L64">
        <v>5.7003820000000003</v>
      </c>
      <c r="M64">
        <v>-622.468165</v>
      </c>
      <c r="N64">
        <v>1.257107</v>
      </c>
      <c r="O64">
        <v>6.4683279999999996</v>
      </c>
      <c r="P64">
        <f t="shared" si="3"/>
        <v>2.0951783333333331E-5</v>
      </c>
      <c r="Q64" cm="1">
        <f t="array" ref="Q64">[1]!PropsSI("D","T",J64+273.15,"P",101325,"Water")</f>
        <v>985.30049349603121</v>
      </c>
      <c r="R64" cm="1">
        <f t="array" ref="R64">[1]!PropsSI("D","T",K64+273.15,"P",101325,"Water")</f>
        <v>986.69852691810183</v>
      </c>
      <c r="S64">
        <f t="shared" si="4"/>
        <v>985.99951020706658</v>
      </c>
      <c r="T64" cm="1">
        <f t="array" ref="T64">[1]!PropsSI("H","T",J64+273.15,"P",101325,"Water")</f>
        <v>233703.41346344069</v>
      </c>
      <c r="U64" cm="1">
        <f t="array" ref="U64">[1]!PropsSI("H","T",K64+273.15,"P",101325,"Water")</f>
        <v>221524.11434300046</v>
      </c>
      <c r="V64">
        <f t="shared" si="5"/>
        <v>251.60541883039556</v>
      </c>
    </row>
    <row r="65" spans="1:22" x14ac:dyDescent="0.2">
      <c r="A65">
        <v>46122.71365972222</v>
      </c>
      <c r="B65">
        <v>20.709489000000001</v>
      </c>
      <c r="C65">
        <v>20.709341999999999</v>
      </c>
      <c r="D65">
        <v>20.579297</v>
      </c>
      <c r="E65">
        <v>20.639765000000001</v>
      </c>
      <c r="F65">
        <v>45.577167000000003</v>
      </c>
      <c r="G65">
        <v>43.786886000000003</v>
      </c>
      <c r="H65">
        <v>36.883454999999998</v>
      </c>
      <c r="I65">
        <v>29.996950999999999</v>
      </c>
      <c r="J65">
        <v>55.812069999999999</v>
      </c>
      <c r="K65">
        <v>52.899306000000003</v>
      </c>
      <c r="L65">
        <v>5.326524</v>
      </c>
      <c r="M65">
        <v>-622.47673599999996</v>
      </c>
      <c r="N65">
        <v>1.2593240000000001</v>
      </c>
      <c r="O65">
        <v>6.555542</v>
      </c>
      <c r="P65">
        <f t="shared" si="3"/>
        <v>2.0988733333333335E-5</v>
      </c>
      <c r="Q65" cm="1">
        <f t="array" ref="Q65">[1]!PropsSI("D","T",J65+273.15,"P",101325,"Water")</f>
        <v>985.29784645064944</v>
      </c>
      <c r="R65" cm="1">
        <f t="array" ref="R65">[1]!PropsSI("D","T",K65+273.15,"P",101325,"Water")</f>
        <v>986.69642959206135</v>
      </c>
      <c r="S65">
        <f t="shared" si="4"/>
        <v>985.99713802135534</v>
      </c>
      <c r="T65" cm="1">
        <f t="array" ref="T65">[1]!PropsSI("H","T",J65+273.15,"P",101325,"Water")</f>
        <v>233726.04905228593</v>
      </c>
      <c r="U65" cm="1">
        <f t="array" ref="U65">[1]!PropsSI("H","T",K65+273.15,"P",101325,"Water")</f>
        <v>221542.73781195105</v>
      </c>
      <c r="V65">
        <f t="shared" si="5"/>
        <v>252.13156710696782</v>
      </c>
    </row>
    <row r="66" spans="1:22" x14ac:dyDescent="0.2">
      <c r="A66">
        <v>46122.713717592589</v>
      </c>
      <c r="B66">
        <v>20.695271999999999</v>
      </c>
      <c r="C66">
        <v>20.696404000000001</v>
      </c>
      <c r="D66">
        <v>20.571932</v>
      </c>
      <c r="E66">
        <v>20.617777</v>
      </c>
      <c r="F66">
        <v>45.643441000000003</v>
      </c>
      <c r="G66">
        <v>44.256518999999997</v>
      </c>
      <c r="H66">
        <v>36.759534000000002</v>
      </c>
      <c r="I66">
        <v>29.698112999999999</v>
      </c>
      <c r="J66">
        <v>55.811751999999998</v>
      </c>
      <c r="K66">
        <v>52.903122000000003</v>
      </c>
      <c r="L66">
        <v>5.8167030000000004</v>
      </c>
      <c r="M66">
        <v>-622.49265300000002</v>
      </c>
      <c r="N66">
        <v>1.257255</v>
      </c>
      <c r="O66">
        <v>6.1641029999999999</v>
      </c>
      <c r="P66">
        <f t="shared" si="3"/>
        <v>2.095425E-5</v>
      </c>
      <c r="Q66" cm="1">
        <f t="array" ref="Q66">[1]!PropsSI("D","T",J66+273.15,"P",101325,"Water")</f>
        <v>985.29800202030367</v>
      </c>
      <c r="R66" cm="1">
        <f t="array" ref="R66">[1]!PropsSI("D","T",K66+273.15,"P",101325,"Water")</f>
        <v>986.69463218758449</v>
      </c>
      <c r="S66">
        <f t="shared" si="4"/>
        <v>985.99631710394408</v>
      </c>
      <c r="T66" cm="1">
        <f t="array" ref="T66">[1]!PropsSI("H","T",J66+273.15,"P",101325,"Water")</f>
        <v>233724.7187771574</v>
      </c>
      <c r="U66" cm="1">
        <f t="array" ref="U66">[1]!PropsSI("H","T",K66+273.15,"P",101325,"Water")</f>
        <v>221558.6972057574</v>
      </c>
      <c r="V66">
        <f t="shared" si="5"/>
        <v>251.35990062716644</v>
      </c>
    </row>
    <row r="67" spans="1:22" x14ac:dyDescent="0.2">
      <c r="A67">
        <v>46122.713776041666</v>
      </c>
      <c r="B67">
        <v>20.699719999999999</v>
      </c>
      <c r="C67">
        <v>20.698726000000001</v>
      </c>
      <c r="D67">
        <v>20.574020999999998</v>
      </c>
      <c r="E67">
        <v>20.615711000000001</v>
      </c>
      <c r="F67">
        <v>44.889678000000004</v>
      </c>
      <c r="G67">
        <v>44.075744</v>
      </c>
      <c r="H67">
        <v>37.309005999999997</v>
      </c>
      <c r="I67">
        <v>29.588103</v>
      </c>
      <c r="J67">
        <v>55.808888000000003</v>
      </c>
      <c r="K67">
        <v>52.905189</v>
      </c>
      <c r="L67">
        <v>6.7529830000000004</v>
      </c>
      <c r="M67">
        <v>-622.480817</v>
      </c>
      <c r="N67">
        <v>1.2578199999999999</v>
      </c>
      <c r="O67">
        <v>5.4701919999999999</v>
      </c>
      <c r="P67">
        <f t="shared" si="3"/>
        <v>2.0963666666666667E-5</v>
      </c>
      <c r="Q67" cm="1">
        <f t="array" ref="Q67">[1]!PropsSI("D","T",J67+273.15,"P",101325,"Water")</f>
        <v>985.29940309757376</v>
      </c>
      <c r="R67" cm="1">
        <f t="array" ref="R67">[1]!PropsSI("D","T",K67+273.15,"P",101325,"Water")</f>
        <v>986.69365855489707</v>
      </c>
      <c r="S67">
        <f t="shared" si="4"/>
        <v>985.99653082623536</v>
      </c>
      <c r="T67" cm="1">
        <f t="array" ref="T67">[1]!PropsSI("H","T",J67+273.15,"P",101325,"Water")</f>
        <v>233712.73793590514</v>
      </c>
      <c r="U67" cm="1">
        <f t="array" ref="U67">[1]!PropsSI("H","T",K67+273.15,"P",101325,"Water")</f>
        <v>221567.34187938849</v>
      </c>
      <c r="V67">
        <f t="shared" si="5"/>
        <v>251.04658268758425</v>
      </c>
    </row>
    <row r="68" spans="1:22" x14ac:dyDescent="0.2">
      <c r="A68">
        <v>46122.713834490743</v>
      </c>
      <c r="B68">
        <v>20.701813999999999</v>
      </c>
      <c r="C68">
        <v>20.690823000000002</v>
      </c>
      <c r="D68">
        <v>20.559158</v>
      </c>
      <c r="E68">
        <v>20.627870999999999</v>
      </c>
      <c r="F68">
        <v>45.737133</v>
      </c>
      <c r="G68">
        <v>44.703468000000001</v>
      </c>
      <c r="H68">
        <v>36.765687999999997</v>
      </c>
      <c r="I68">
        <v>29.855248</v>
      </c>
      <c r="J68">
        <v>55.808092000000002</v>
      </c>
      <c r="K68">
        <v>52.902009</v>
      </c>
      <c r="L68">
        <v>6.9321580000000003</v>
      </c>
      <c r="M68">
        <v>-622.50122399999998</v>
      </c>
      <c r="N68">
        <v>1.259361</v>
      </c>
      <c r="O68">
        <v>7.2891519999999996</v>
      </c>
      <c r="P68">
        <f t="shared" si="3"/>
        <v>2.0989350000000003E-5</v>
      </c>
      <c r="Q68" cm="1">
        <f t="array" ref="Q68">[1]!PropsSI("D","T",J68+273.15,"P",101325,"Water")</f>
        <v>985.29979249416078</v>
      </c>
      <c r="R68" cm="1">
        <f t="array" ref="R68">[1]!PropsSI("D","T",K68+273.15,"P",101325,"Water")</f>
        <v>986.69515644011858</v>
      </c>
      <c r="S68">
        <f t="shared" si="4"/>
        <v>985.99747446713968</v>
      </c>
      <c r="T68" cm="1">
        <f t="array" ref="T68">[1]!PropsSI("H","T",J68+273.15,"P",101325,"Water")</f>
        <v>233709.40806571583</v>
      </c>
      <c r="U68" cm="1">
        <f t="array" ref="U68">[1]!PropsSI("H","T",K68+273.15,"P",101325,"Water")</f>
        <v>221554.04238206812</v>
      </c>
      <c r="V68">
        <f t="shared" si="5"/>
        <v>251.56071521875947</v>
      </c>
    </row>
    <row r="69" spans="1:22" x14ac:dyDescent="0.2">
      <c r="A69">
        <v>46122.713892361113</v>
      </c>
      <c r="B69">
        <v>20.677792</v>
      </c>
      <c r="C69">
        <v>20.674661</v>
      </c>
      <c r="D69">
        <v>20.559242999999999</v>
      </c>
      <c r="E69">
        <v>20.607516</v>
      </c>
      <c r="F69">
        <v>45.599066000000001</v>
      </c>
      <c r="G69">
        <v>44.095550000000003</v>
      </c>
      <c r="H69">
        <v>36.653880999999998</v>
      </c>
      <c r="I69">
        <v>29.491921000000001</v>
      </c>
      <c r="J69">
        <v>55.808728000000002</v>
      </c>
      <c r="K69">
        <v>52.904235</v>
      </c>
      <c r="L69">
        <v>6.9154239999999998</v>
      </c>
      <c r="M69">
        <v>-622.50571400000001</v>
      </c>
      <c r="N69">
        <v>1.258513</v>
      </c>
      <c r="O69">
        <v>4.620635</v>
      </c>
      <c r="P69">
        <f t="shared" si="3"/>
        <v>2.0975216666666665E-5</v>
      </c>
      <c r="Q69" cm="1">
        <f t="array" ref="Q69">[1]!PropsSI("D","T",J69+273.15,"P",101325,"Water")</f>
        <v>985.2994813685591</v>
      </c>
      <c r="R69" cm="1">
        <f t="array" ref="R69">[1]!PropsSI("D","T",K69+273.15,"P",101325,"Water")</f>
        <v>986.69410792719225</v>
      </c>
      <c r="S69">
        <f t="shared" si="4"/>
        <v>985.99679464787573</v>
      </c>
      <c r="T69" cm="1">
        <f t="array" ref="T69">[1]!PropsSI("H","T",J69+273.15,"P",101325,"Water")</f>
        <v>233712.06861525128</v>
      </c>
      <c r="U69" cm="1">
        <f t="array" ref="U69">[1]!PropsSI("H","T",K69+273.15,"P",101325,"Water")</f>
        <v>221563.3520298698</v>
      </c>
      <c r="V69">
        <f t="shared" si="5"/>
        <v>251.25363832977999</v>
      </c>
    </row>
    <row r="70" spans="1:22" x14ac:dyDescent="0.2">
      <c r="A70">
        <v>46122.713950810183</v>
      </c>
      <c r="B70">
        <v>20.695592000000001</v>
      </c>
      <c r="C70">
        <v>20.676065000000001</v>
      </c>
      <c r="D70">
        <v>20.552757</v>
      </c>
      <c r="E70">
        <v>20.610513000000001</v>
      </c>
      <c r="F70">
        <v>45.424934999999998</v>
      </c>
      <c r="G70">
        <v>44.624670000000002</v>
      </c>
      <c r="H70">
        <v>36.903689999999997</v>
      </c>
      <c r="I70">
        <v>29.068263999999999</v>
      </c>
      <c r="J70">
        <v>55.810955999999997</v>
      </c>
      <c r="K70">
        <v>52.902327</v>
      </c>
      <c r="L70">
        <v>5.8211930000000001</v>
      </c>
      <c r="M70">
        <v>-622.49265300000002</v>
      </c>
      <c r="N70">
        <v>1.2585040000000001</v>
      </c>
      <c r="O70">
        <v>5.7198630000000001</v>
      </c>
      <c r="P70">
        <f t="shared" si="3"/>
        <v>2.0975066666666668E-5</v>
      </c>
      <c r="Q70" cm="1">
        <f t="array" ref="Q70">[1]!PropsSI("D","T",J70+273.15,"P",101325,"Water")</f>
        <v>985.29839143092317</v>
      </c>
      <c r="R70" cm="1">
        <f t="array" ref="R70">[1]!PropsSI("D","T",K70+273.15,"P",101325,"Water")</f>
        <v>986.69500665448561</v>
      </c>
      <c r="S70">
        <f t="shared" si="4"/>
        <v>985.99669904270445</v>
      </c>
      <c r="T70" cm="1">
        <f t="array" ref="T70">[1]!PropsSI("H","T",J70+273.15,"P",101325,"Water")</f>
        <v>233721.38890616212</v>
      </c>
      <c r="U70" cm="1">
        <f t="array" ref="U70">[1]!PropsSI("H","T",K70+273.15,"P",101325,"Water")</f>
        <v>221555.37233160756</v>
      </c>
      <c r="V70">
        <f t="shared" si="5"/>
        <v>251.60960424877231</v>
      </c>
    </row>
    <row r="71" spans="1:22" x14ac:dyDescent="0.2">
      <c r="A71">
        <v>46122.71400925926</v>
      </c>
      <c r="B71">
        <v>20.691206000000001</v>
      </c>
      <c r="C71">
        <v>20.672875999999999</v>
      </c>
      <c r="D71">
        <v>20.553514</v>
      </c>
      <c r="E71">
        <v>20.617003</v>
      </c>
      <c r="F71">
        <v>45.674743999999997</v>
      </c>
      <c r="G71">
        <v>44.477777000000003</v>
      </c>
      <c r="H71">
        <v>36.663542999999997</v>
      </c>
      <c r="I71">
        <v>28.885525000000001</v>
      </c>
      <c r="J71">
        <v>55.810637999999997</v>
      </c>
      <c r="K71">
        <v>52.902327</v>
      </c>
      <c r="L71">
        <v>5.3975410000000004</v>
      </c>
      <c r="M71">
        <v>-622.49673499999994</v>
      </c>
      <c r="N71">
        <v>1.2598199999999999</v>
      </c>
      <c r="O71">
        <v>5.2382099999999996</v>
      </c>
      <c r="P71">
        <f t="shared" si="3"/>
        <v>2.0996999999999999E-5</v>
      </c>
      <c r="Q71" cm="1">
        <f t="array" ref="Q71">[1]!PropsSI("D","T",J71+273.15,"P",101325,"Water")</f>
        <v>985.29854699841007</v>
      </c>
      <c r="R71" cm="1">
        <f t="array" ref="R71">[1]!PropsSI("D","T",K71+273.15,"P",101325,"Water")</f>
        <v>986.69500665448561</v>
      </c>
      <c r="S71">
        <f t="shared" si="4"/>
        <v>985.99677682644779</v>
      </c>
      <c r="T71" cm="1">
        <f t="array" ref="T71">[1]!PropsSI("H","T",J71+273.15,"P",101325,"Water")</f>
        <v>233720.05863111676</v>
      </c>
      <c r="U71" cm="1">
        <f t="array" ref="U71">[1]!PropsSI("H","T",K71+273.15,"P",101325,"Water")</f>
        <v>221555.37233160756</v>
      </c>
      <c r="V71">
        <f t="shared" si="5"/>
        <v>251.8451881063919</v>
      </c>
    </row>
    <row r="72" spans="1:22" x14ac:dyDescent="0.2">
      <c r="A72">
        <v>46122.714067129629</v>
      </c>
      <c r="B72">
        <v>20.714131999999999</v>
      </c>
      <c r="C72">
        <v>20.685396999999998</v>
      </c>
      <c r="D72">
        <v>20.565104000000002</v>
      </c>
      <c r="E72">
        <v>20.619976999999999</v>
      </c>
      <c r="F72">
        <v>45.604165999999999</v>
      </c>
      <c r="G72">
        <v>44.423566999999998</v>
      </c>
      <c r="H72">
        <v>35.575775999999998</v>
      </c>
      <c r="I72">
        <v>28.434885999999999</v>
      </c>
      <c r="J72">
        <v>55.809047</v>
      </c>
      <c r="K72">
        <v>52.905347999999996</v>
      </c>
      <c r="L72">
        <v>5.1073510000000004</v>
      </c>
      <c r="M72">
        <v>-622.51102000000003</v>
      </c>
      <c r="N72">
        <v>1.2572380000000001</v>
      </c>
      <c r="O72">
        <v>5.2488849999999996</v>
      </c>
      <c r="P72">
        <f t="shared" si="3"/>
        <v>2.095396666666667E-5</v>
      </c>
      <c r="Q72" cm="1">
        <f t="array" ref="Q72">[1]!PropsSI("D","T",J72+273.15,"P",101325,"Water")</f>
        <v>985.29932531563838</v>
      </c>
      <c r="R72" cm="1">
        <f t="array" ref="R72">[1]!PropsSI("D","T",K72+273.15,"P",101325,"Water")</f>
        <v>986.6935836589364</v>
      </c>
      <c r="S72">
        <f t="shared" si="4"/>
        <v>985.99645448728734</v>
      </c>
      <c r="T72" cm="1">
        <f t="array" ref="T72">[1]!PropsSI("H","T",J72+273.15,"P",101325,"Water")</f>
        <v>233713.40307333344</v>
      </c>
      <c r="U72" cm="1">
        <f t="array" ref="U72">[1]!PropsSI("H","T",K72+273.15,"P",101325,"Water")</f>
        <v>221568.00685432725</v>
      </c>
      <c r="V72">
        <f t="shared" si="5"/>
        <v>250.93040602862482</v>
      </c>
    </row>
    <row r="73" spans="1:22" x14ac:dyDescent="0.2">
      <c r="A73">
        <v>46122.714125578706</v>
      </c>
      <c r="B73">
        <v>20.699151000000001</v>
      </c>
      <c r="C73">
        <v>20.678898</v>
      </c>
      <c r="D73">
        <v>20.574154</v>
      </c>
      <c r="E73">
        <v>20.615152999999999</v>
      </c>
      <c r="F73">
        <v>45.346153000000001</v>
      </c>
      <c r="G73">
        <v>44.23601</v>
      </c>
      <c r="H73">
        <v>36.611691999999998</v>
      </c>
      <c r="I73">
        <v>30.298435000000001</v>
      </c>
      <c r="J73">
        <v>55.810319999999997</v>
      </c>
      <c r="K73">
        <v>52.904553</v>
      </c>
      <c r="L73">
        <v>6.6884959999999998</v>
      </c>
      <c r="M73">
        <v>-622.50040799999999</v>
      </c>
      <c r="N73">
        <v>1.2555050000000001</v>
      </c>
      <c r="O73">
        <v>5.9050789999999997</v>
      </c>
      <c r="P73">
        <f t="shared" si="3"/>
        <v>2.0925083333333334E-5</v>
      </c>
      <c r="Q73" cm="1">
        <f t="array" ref="Q73">[1]!PropsSI("D","T",J73+273.15,"P",101325,"Water")</f>
        <v>985.29870256526033</v>
      </c>
      <c r="R73" cm="1">
        <f t="array" ref="R73">[1]!PropsSI("D","T",K73+273.15,"P",101325,"Water")</f>
        <v>986.69395813707433</v>
      </c>
      <c r="S73">
        <f t="shared" si="4"/>
        <v>985.99633035116733</v>
      </c>
      <c r="T73" cm="1">
        <f t="array" ref="T73">[1]!PropsSI("H","T",J73+273.15,"P",101325,"Water")</f>
        <v>233718.72835612352</v>
      </c>
      <c r="U73" cm="1">
        <f t="array" ref="U73">[1]!PropsSI("H","T",K73+273.15,"P",101325,"Water")</f>
        <v>221564.6819796667</v>
      </c>
      <c r="V73">
        <f t="shared" si="5"/>
        <v>250.76295791749371</v>
      </c>
    </row>
    <row r="74" spans="1:22" x14ac:dyDescent="0.2">
      <c r="A74">
        <v>46122.714184027776</v>
      </c>
      <c r="B74">
        <v>20.694727</v>
      </c>
      <c r="C74">
        <v>20.676368</v>
      </c>
      <c r="D74">
        <v>20.577193000000001</v>
      </c>
      <c r="E74">
        <v>20.619769000000002</v>
      </c>
      <c r="F74">
        <v>44.753194000000001</v>
      </c>
      <c r="G74">
        <v>44.411116</v>
      </c>
      <c r="H74">
        <v>37.234755999999997</v>
      </c>
      <c r="I74">
        <v>31.027263999999999</v>
      </c>
      <c r="J74">
        <v>55.813184999999997</v>
      </c>
      <c r="K74">
        <v>52.906779</v>
      </c>
      <c r="L74">
        <v>5.8167030000000004</v>
      </c>
      <c r="M74">
        <v>-622.48775599999999</v>
      </c>
      <c r="N74">
        <v>1.2568079999999999</v>
      </c>
      <c r="O74">
        <v>5.2783800000000003</v>
      </c>
      <c r="P74">
        <f t="shared" ref="P74:P109" si="6" xml:space="preserve"> N74*0.001/60</f>
        <v>2.0946799999999997E-5</v>
      </c>
      <c r="Q74" cm="1">
        <f t="array" ref="Q74">[1]!PropsSI("D","T",J74+273.15,"P",101325,"Water")</f>
        <v>985.29730097352069</v>
      </c>
      <c r="R74" cm="1">
        <f t="array" ref="R74">[1]!PropsSI("D","T",K74+273.15,"P",101325,"Water")</f>
        <v>986.69290958820329</v>
      </c>
      <c r="S74">
        <f t="shared" ref="S74:S109" si="7">(Q74+R74)/2</f>
        <v>985.99510528086194</v>
      </c>
      <c r="T74" cm="1">
        <f t="array" ref="T74">[1]!PropsSI("H","T",J74+273.15,"P",101325,"Water")</f>
        <v>233730.71338217834</v>
      </c>
      <c r="U74" cm="1">
        <f t="array" ref="U74">[1]!PropsSI("H","T",K74+273.15,"P",101325,"Water")</f>
        <v>221573.99162932194</v>
      </c>
      <c r="V74">
        <f t="shared" ref="V74:V109" si="8">S74*P74*(T74-U74)</f>
        <v>251.07815093084187</v>
      </c>
    </row>
    <row r="75" spans="1:22" x14ac:dyDescent="0.2">
      <c r="A75">
        <v>46122.714241898146</v>
      </c>
      <c r="B75">
        <v>20.716813999999999</v>
      </c>
      <c r="C75">
        <v>20.686199999999999</v>
      </c>
      <c r="D75">
        <v>20.590503999999999</v>
      </c>
      <c r="E75">
        <v>20.631564999999998</v>
      </c>
      <c r="F75">
        <v>45.488103000000002</v>
      </c>
      <c r="G75">
        <v>44.181907000000002</v>
      </c>
      <c r="H75">
        <v>36.380893</v>
      </c>
      <c r="I75">
        <v>29.404491</v>
      </c>
      <c r="J75">
        <v>55.811593000000002</v>
      </c>
      <c r="K75">
        <v>52.902168000000003</v>
      </c>
      <c r="L75">
        <v>5.8481300000000003</v>
      </c>
      <c r="M75">
        <v>-622.46530800000005</v>
      </c>
      <c r="N75">
        <v>1.254837</v>
      </c>
      <c r="O75">
        <v>4.6975300000000004</v>
      </c>
      <c r="P75">
        <f t="shared" si="6"/>
        <v>2.091395E-5</v>
      </c>
      <c r="Q75" cm="1">
        <f t="array" ref="Q75">[1]!PropsSI("D","T",J75+273.15,"P",101325,"Water")</f>
        <v>985.29807980491876</v>
      </c>
      <c r="R75" cm="1">
        <f t="array" ref="R75">[1]!PropsSI("D","T",K75+273.15,"P",101325,"Water")</f>
        <v>986.69508154736729</v>
      </c>
      <c r="S75">
        <f t="shared" si="7"/>
        <v>985.99658067614303</v>
      </c>
      <c r="T75" cm="1">
        <f t="array" ref="T75">[1]!PropsSI("H","T",J75+273.15,"P",101325,"Water")</f>
        <v>233724.05363953824</v>
      </c>
      <c r="U75" cm="1">
        <f t="array" ref="U75">[1]!PropsSI("H","T",K75+273.15,"P",101325,"Water")</f>
        <v>221554.70735683641</v>
      </c>
      <c r="V75">
        <f t="shared" si="8"/>
        <v>250.94510204442784</v>
      </c>
    </row>
    <row r="76" spans="1:22" x14ac:dyDescent="0.2">
      <c r="A76">
        <v>46122.714299768515</v>
      </c>
      <c r="B76">
        <v>20.716259000000001</v>
      </c>
      <c r="C76">
        <v>20.688668</v>
      </c>
      <c r="D76">
        <v>20.594363000000001</v>
      </c>
      <c r="E76">
        <v>20.639289000000002</v>
      </c>
      <c r="F76">
        <v>45.573025999999999</v>
      </c>
      <c r="G76">
        <v>44.700674999999997</v>
      </c>
      <c r="H76">
        <v>37.494459999999997</v>
      </c>
      <c r="I76">
        <v>29.595552999999999</v>
      </c>
      <c r="J76">
        <v>55.810479000000001</v>
      </c>
      <c r="K76">
        <v>52.901214000000003</v>
      </c>
      <c r="L76">
        <v>5.65916</v>
      </c>
      <c r="M76">
        <v>-622.46612400000004</v>
      </c>
      <c r="N76">
        <v>1.25766</v>
      </c>
      <c r="O76">
        <v>5.6710260000000003</v>
      </c>
      <c r="P76">
        <f t="shared" si="6"/>
        <v>2.0961000000000001E-5</v>
      </c>
      <c r="Q76" cm="1">
        <f t="array" ref="Q76">[1]!PropsSI("D","T",J76+273.15,"P",101325,"Water")</f>
        <v>985.29862478191251</v>
      </c>
      <c r="R76" cm="1">
        <f t="array" ref="R76">[1]!PropsSI("D","T",K76+273.15,"P",101325,"Water")</f>
        <v>986.69553090137879</v>
      </c>
      <c r="S76">
        <f t="shared" si="7"/>
        <v>985.99707784164571</v>
      </c>
      <c r="T76" cm="1">
        <f t="array" ref="T76">[1]!PropsSI("H","T",J76+273.15,"P",101325,"Water")</f>
        <v>233719.39349365121</v>
      </c>
      <c r="U76" cm="1">
        <f t="array" ref="U76">[1]!PropsSI("H","T",K76+273.15,"P",101325,"Water")</f>
        <v>221550.71750821386</v>
      </c>
      <c r="V76">
        <f t="shared" si="8"/>
        <v>251.49592534015295</v>
      </c>
    </row>
    <row r="77" spans="1:22" x14ac:dyDescent="0.2">
      <c r="A77">
        <v>46122.714358217592</v>
      </c>
      <c r="B77">
        <v>20.71191</v>
      </c>
      <c r="C77">
        <v>20.687604</v>
      </c>
      <c r="D77">
        <v>20.591211000000001</v>
      </c>
      <c r="E77">
        <v>20.627672</v>
      </c>
      <c r="F77">
        <v>45.06964</v>
      </c>
      <c r="G77">
        <v>44.147666999999998</v>
      </c>
      <c r="H77">
        <v>36.254353000000002</v>
      </c>
      <c r="I77">
        <v>29.348839000000002</v>
      </c>
      <c r="J77">
        <v>55.805864</v>
      </c>
      <c r="K77">
        <v>52.898828000000002</v>
      </c>
      <c r="L77">
        <v>5.3979489999999997</v>
      </c>
      <c r="M77">
        <v>-622.49591899999996</v>
      </c>
      <c r="N77">
        <v>1.254116</v>
      </c>
      <c r="O77">
        <v>5.5432740000000003</v>
      </c>
      <c r="P77">
        <f t="shared" si="6"/>
        <v>2.0901933333333334E-5</v>
      </c>
      <c r="Q77" cm="1">
        <f t="array" ref="Q77">[1]!PropsSI("D","T",J77+273.15,"P",101325,"Water")</f>
        <v>985.30088239251029</v>
      </c>
      <c r="R77" cm="1">
        <f t="array" ref="R77">[1]!PropsSI("D","T",K77+273.15,"P",101325,"Water")</f>
        <v>986.69665473212865</v>
      </c>
      <c r="S77">
        <f t="shared" si="7"/>
        <v>985.99876856231947</v>
      </c>
      <c r="T77" cm="1">
        <f t="array" ref="T77">[1]!PropsSI("H","T",J77+273.15,"P",101325,"Water")</f>
        <v>233700.0877772455</v>
      </c>
      <c r="U77" cm="1">
        <f t="array" ref="U77">[1]!PropsSI("H","T",K77+273.15,"P",101325,"Water")</f>
        <v>221540.73870581909</v>
      </c>
      <c r="V77">
        <f t="shared" si="8"/>
        <v>250.5954360416421</v>
      </c>
    </row>
    <row r="78" spans="1:22" x14ac:dyDescent="0.2">
      <c r="A78">
        <v>46122.714416666669</v>
      </c>
      <c r="B78">
        <v>20.719743999999999</v>
      </c>
      <c r="C78">
        <v>20.694676000000001</v>
      </c>
      <c r="D78">
        <v>20.597586</v>
      </c>
      <c r="E78">
        <v>20.642938000000001</v>
      </c>
      <c r="F78">
        <v>45.820200999999997</v>
      </c>
      <c r="G78">
        <v>44.156846999999999</v>
      </c>
      <c r="H78">
        <v>36.537466000000002</v>
      </c>
      <c r="I78">
        <v>28.757462</v>
      </c>
      <c r="J78">
        <v>55.808728000000002</v>
      </c>
      <c r="K78">
        <v>52.898986999999998</v>
      </c>
      <c r="L78">
        <v>6.4342230000000002</v>
      </c>
      <c r="M78">
        <v>-622.51183600000002</v>
      </c>
      <c r="N78">
        <v>1.2563200000000001</v>
      </c>
      <c r="O78">
        <v>4.344608</v>
      </c>
      <c r="P78">
        <f t="shared" si="6"/>
        <v>2.093866666666667E-5</v>
      </c>
      <c r="Q78" cm="1">
        <f t="array" ref="Q78">[1]!PropsSI("D","T",J78+273.15,"P",101325,"Water")</f>
        <v>985.2994813685591</v>
      </c>
      <c r="R78" cm="1">
        <f t="array" ref="R78">[1]!PropsSI("D","T",K78+273.15,"P",101325,"Water")</f>
        <v>986.69657984260482</v>
      </c>
      <c r="S78">
        <f t="shared" si="7"/>
        <v>985.99803060558202</v>
      </c>
      <c r="T78" cm="1">
        <f t="array" ref="T78">[1]!PropsSI("H","T",J78+273.15,"P",101325,"Water")</f>
        <v>233712.06861525128</v>
      </c>
      <c r="U78" cm="1">
        <f t="array" ref="U78">[1]!PropsSI("H","T",K78+273.15,"P",101325,"Water")</f>
        <v>221541.40368042007</v>
      </c>
      <c r="V78">
        <f t="shared" si="8"/>
        <v>251.2692693600269</v>
      </c>
    </row>
    <row r="79" spans="1:22" x14ac:dyDescent="0.2">
      <c r="A79">
        <v>46122.714475115739</v>
      </c>
      <c r="B79">
        <v>20.722415999999999</v>
      </c>
      <c r="C79">
        <v>20.709859000000002</v>
      </c>
      <c r="D79">
        <v>20.605803999999999</v>
      </c>
      <c r="E79">
        <v>20.648544999999999</v>
      </c>
      <c r="F79">
        <v>45.449134000000001</v>
      </c>
      <c r="G79">
        <v>44.402340000000002</v>
      </c>
      <c r="H79">
        <v>36.107885000000003</v>
      </c>
      <c r="I79">
        <v>29.240445000000001</v>
      </c>
      <c r="J79">
        <v>55.808568999999999</v>
      </c>
      <c r="K79">
        <v>52.902009</v>
      </c>
      <c r="L79">
        <v>7.2603039999999996</v>
      </c>
      <c r="M79">
        <v>-622.51959099999999</v>
      </c>
      <c r="N79">
        <v>1.2540709999999999</v>
      </c>
      <c r="O79">
        <v>5.4179750000000002</v>
      </c>
      <c r="P79">
        <f t="shared" si="6"/>
        <v>2.0901183333333336E-5</v>
      </c>
      <c r="Q79" cm="1">
        <f t="array" ref="Q79">[1]!PropsSI("D","T",J79+273.15,"P",101325,"Water")</f>
        <v>985.29955915019207</v>
      </c>
      <c r="R79" cm="1">
        <f t="array" ref="R79">[1]!PropsSI("D","T",K79+273.15,"P",101325,"Water")</f>
        <v>986.69515644011858</v>
      </c>
      <c r="S79">
        <f t="shared" si="7"/>
        <v>985.99735779515527</v>
      </c>
      <c r="T79" cm="1">
        <f t="array" ref="T79">[1]!PropsSI("H","T",J79+273.15,"P",101325,"Water")</f>
        <v>233711.40347787016</v>
      </c>
      <c r="U79" cm="1">
        <f t="array" ref="U79">[1]!PropsSI("H","T",K79+273.15,"P",101325,"Water")</f>
        <v>221554.04238206812</v>
      </c>
      <c r="V79">
        <f t="shared" si="8"/>
        <v>250.54511645651868</v>
      </c>
    </row>
    <row r="80" spans="1:22" x14ac:dyDescent="0.2">
      <c r="A80">
        <v>46122.714532986109</v>
      </c>
      <c r="B80">
        <v>20.711635999999999</v>
      </c>
      <c r="C80">
        <v>20.710077999999999</v>
      </c>
      <c r="D80">
        <v>20.608574999999998</v>
      </c>
      <c r="E80">
        <v>20.658407</v>
      </c>
      <c r="F80">
        <v>45.306584999999998</v>
      </c>
      <c r="G80">
        <v>43.729975000000003</v>
      </c>
      <c r="H80">
        <v>36.746955999999997</v>
      </c>
      <c r="I80">
        <v>29.254577999999999</v>
      </c>
      <c r="J80">
        <v>55.810637999999997</v>
      </c>
      <c r="K80">
        <v>52.900736999999999</v>
      </c>
      <c r="L80">
        <v>6.0828119999999997</v>
      </c>
      <c r="M80">
        <v>-622.46571600000004</v>
      </c>
      <c r="N80">
        <v>1.2547630000000001</v>
      </c>
      <c r="O80">
        <v>6.3180709999999998</v>
      </c>
      <c r="P80">
        <f t="shared" si="6"/>
        <v>2.0912716666666667E-5</v>
      </c>
      <c r="Q80" cm="1">
        <f t="array" ref="Q80">[1]!PropsSI("D","T",J80+273.15,"P",101325,"Water")</f>
        <v>985.29854699841007</v>
      </c>
      <c r="R80" cm="1">
        <f t="array" ref="R80">[1]!PropsSI("D","T",K80+273.15,"P",101325,"Water")</f>
        <v>986.69575557622977</v>
      </c>
      <c r="S80">
        <f t="shared" si="7"/>
        <v>985.99715128731987</v>
      </c>
      <c r="T80" cm="1">
        <f t="array" ref="T80">[1]!PropsSI("H","T",J80+273.15,"P",101325,"Water")</f>
        <v>233720.05863111676</v>
      </c>
      <c r="U80" cm="1">
        <f t="array" ref="U80">[1]!PropsSI("H","T",K80+273.15,"P",101325,"Water")</f>
        <v>221548.72258403504</v>
      </c>
      <c r="V80">
        <f t="shared" si="8"/>
        <v>250.97147727742041</v>
      </c>
    </row>
    <row r="81" spans="1:22" x14ac:dyDescent="0.2">
      <c r="A81">
        <v>46122.714590856478</v>
      </c>
      <c r="B81">
        <v>20.71123</v>
      </c>
      <c r="C81">
        <v>20.721512000000001</v>
      </c>
      <c r="D81">
        <v>20.602139000000001</v>
      </c>
      <c r="E81">
        <v>20.651119000000001</v>
      </c>
      <c r="F81">
        <v>45.984811999999998</v>
      </c>
      <c r="G81">
        <v>44.355215999999999</v>
      </c>
      <c r="H81">
        <v>36.543089000000002</v>
      </c>
      <c r="I81">
        <v>29.512874</v>
      </c>
      <c r="J81">
        <v>55.810479000000001</v>
      </c>
      <c r="K81">
        <v>52.903122000000003</v>
      </c>
      <c r="L81">
        <v>6.7958379999999998</v>
      </c>
      <c r="M81">
        <v>-622.48408199999994</v>
      </c>
      <c r="N81">
        <v>1.2557469999999999</v>
      </c>
      <c r="O81">
        <v>5.2955990000000002</v>
      </c>
      <c r="P81">
        <f t="shared" si="6"/>
        <v>2.0929116666666666E-5</v>
      </c>
      <c r="Q81" cm="1">
        <f t="array" ref="Q81">[1]!PropsSI("D","T",J81+273.15,"P",101325,"Water")</f>
        <v>985.29862478191251</v>
      </c>
      <c r="R81" cm="1">
        <f t="array" ref="R81">[1]!PropsSI("D","T",K81+273.15,"P",101325,"Water")</f>
        <v>986.69463218758449</v>
      </c>
      <c r="S81">
        <f t="shared" si="7"/>
        <v>985.9966284847485</v>
      </c>
      <c r="T81" cm="1">
        <f t="array" ref="T81">[1]!PropsSI("H","T",J81+273.15,"P",101325,"Water")</f>
        <v>233719.39349365121</v>
      </c>
      <c r="U81" cm="1">
        <f t="array" ref="U81">[1]!PropsSI("H","T",K81+273.15,"P",101325,"Water")</f>
        <v>221558.6972057574</v>
      </c>
      <c r="V81">
        <f t="shared" si="8"/>
        <v>250.94859642501018</v>
      </c>
    </row>
    <row r="82" spans="1:22" x14ac:dyDescent="0.2">
      <c r="A82">
        <v>46122.714649305555</v>
      </c>
      <c r="B82">
        <v>20.72186</v>
      </c>
      <c r="C82">
        <v>20.712326000000001</v>
      </c>
      <c r="D82">
        <v>20.602236999999999</v>
      </c>
      <c r="E82">
        <v>20.658104999999999</v>
      </c>
      <c r="F82">
        <v>45.910465000000002</v>
      </c>
      <c r="G82">
        <v>44.179766000000001</v>
      </c>
      <c r="H82">
        <v>36.861961000000001</v>
      </c>
      <c r="I82">
        <v>29.607398</v>
      </c>
      <c r="J82">
        <v>55.810319999999997</v>
      </c>
      <c r="K82">
        <v>52.904712000000004</v>
      </c>
      <c r="L82">
        <v>6.6950269999999996</v>
      </c>
      <c r="M82">
        <v>-622.48040900000001</v>
      </c>
      <c r="N82">
        <v>1.257234</v>
      </c>
      <c r="O82">
        <v>5.5187739999999996</v>
      </c>
      <c r="P82">
        <f t="shared" si="6"/>
        <v>2.0953900000000003E-5</v>
      </c>
      <c r="Q82" cm="1">
        <f t="array" ref="Q82">[1]!PropsSI("D","T",J82+273.15,"P",101325,"Water")</f>
        <v>985.29870256526033</v>
      </c>
      <c r="R82" cm="1">
        <f t="array" ref="R82">[1]!PropsSI("D","T",K82+273.15,"P",101325,"Water")</f>
        <v>986.69388324178374</v>
      </c>
      <c r="S82">
        <f t="shared" si="7"/>
        <v>985.99629290352209</v>
      </c>
      <c r="T82" cm="1">
        <f t="array" ref="T82">[1]!PropsSI("H","T",J82+273.15,"P",101325,"Water")</f>
        <v>233718.72835612352</v>
      </c>
      <c r="U82" cm="1">
        <f t="array" ref="U82">[1]!PropsSI("H","T",K82+273.15,"P",101325,"Water")</f>
        <v>221565.34695457391</v>
      </c>
      <c r="V82">
        <f t="shared" si="8"/>
        <v>251.09454415830459</v>
      </c>
    </row>
    <row r="83" spans="1:22" x14ac:dyDescent="0.2">
      <c r="A83">
        <v>46122.714707175925</v>
      </c>
      <c r="B83">
        <v>20.724323999999999</v>
      </c>
      <c r="C83">
        <v>20.721962999999999</v>
      </c>
      <c r="D83">
        <v>20.616281000000001</v>
      </c>
      <c r="E83">
        <v>20.650417000000001</v>
      </c>
      <c r="F83">
        <v>45.541969000000002</v>
      </c>
      <c r="G83">
        <v>44.07441</v>
      </c>
      <c r="H83">
        <v>36.275835000000001</v>
      </c>
      <c r="I83">
        <v>29.867722000000001</v>
      </c>
      <c r="J83">
        <v>55.810955999999997</v>
      </c>
      <c r="K83">
        <v>52.903122000000003</v>
      </c>
      <c r="L83">
        <v>6.2832100000000004</v>
      </c>
      <c r="M83">
        <v>-622.5</v>
      </c>
      <c r="N83">
        <v>1.2574920000000001</v>
      </c>
      <c r="O83">
        <v>6.8675699999999997</v>
      </c>
      <c r="P83">
        <f t="shared" si="6"/>
        <v>2.0958200000000002E-5</v>
      </c>
      <c r="Q83" cm="1">
        <f t="array" ref="Q83">[1]!PropsSI("D","T",J83+273.15,"P",101325,"Water")</f>
        <v>985.29839143092317</v>
      </c>
      <c r="R83" cm="1">
        <f t="array" ref="R83">[1]!PropsSI("D","T",K83+273.15,"P",101325,"Water")</f>
        <v>986.69463218758449</v>
      </c>
      <c r="S83">
        <f t="shared" si="7"/>
        <v>985.99651180925389</v>
      </c>
      <c r="T83" cm="1">
        <f t="array" ref="T83">[1]!PropsSI("H","T",J83+273.15,"P",101325,"Water")</f>
        <v>233721.38890616212</v>
      </c>
      <c r="U83" cm="1">
        <f t="array" ref="U83">[1]!PropsSI("H","T",K83+273.15,"P",101325,"Water")</f>
        <v>221558.6972057574</v>
      </c>
      <c r="V83">
        <f t="shared" si="8"/>
        <v>251.3385222745228</v>
      </c>
    </row>
    <row r="84" spans="1:22" x14ac:dyDescent="0.2">
      <c r="A84">
        <v>46122.714765625002</v>
      </c>
      <c r="B84">
        <v>20.719581000000002</v>
      </c>
      <c r="C84">
        <v>20.707744000000002</v>
      </c>
      <c r="D84">
        <v>20.599744000000001</v>
      </c>
      <c r="E84">
        <v>20.648519</v>
      </c>
      <c r="F84">
        <v>45.821185999999997</v>
      </c>
      <c r="G84">
        <v>44.273269999999997</v>
      </c>
      <c r="H84">
        <v>36.782563000000003</v>
      </c>
      <c r="I84">
        <v>29.011098</v>
      </c>
      <c r="J84">
        <v>55.811911000000002</v>
      </c>
      <c r="K84">
        <v>52.900736999999999</v>
      </c>
      <c r="L84">
        <v>6.9872569999999996</v>
      </c>
      <c r="M84">
        <v>-622.47918500000003</v>
      </c>
      <c r="N84">
        <v>1.2523</v>
      </c>
      <c r="O84">
        <v>6.6124479999999997</v>
      </c>
      <c r="P84">
        <f t="shared" si="6"/>
        <v>2.0871666666666669E-5</v>
      </c>
      <c r="Q84" cm="1">
        <f t="array" ref="Q84">[1]!PropsSI("D","T",J84+273.15,"P",101325,"Water")</f>
        <v>985.29792423556921</v>
      </c>
      <c r="R84" cm="1">
        <f t="array" ref="R84">[1]!PropsSI("D","T",K84+273.15,"P",101325,"Water")</f>
        <v>986.69575557622977</v>
      </c>
      <c r="S84">
        <f t="shared" si="7"/>
        <v>985.99683990589949</v>
      </c>
      <c r="T84" cm="1">
        <f t="array" ref="T84">[1]!PropsSI("H","T",J84+273.15,"P",101325,"Water")</f>
        <v>233725.38391472292</v>
      </c>
      <c r="U84" cm="1">
        <f t="array" ref="U84">[1]!PropsSI("H","T",K84+273.15,"P",101325,"Water")</f>
        <v>221548.72258403504</v>
      </c>
      <c r="V84">
        <f t="shared" si="8"/>
        <v>250.58835224818972</v>
      </c>
    </row>
    <row r="85" spans="1:22" x14ac:dyDescent="0.2">
      <c r="A85">
        <v>46122.714823495371</v>
      </c>
      <c r="B85">
        <v>20.731466999999999</v>
      </c>
      <c r="C85">
        <v>20.719066999999999</v>
      </c>
      <c r="D85">
        <v>20.605263999999998</v>
      </c>
      <c r="E85">
        <v>20.656967000000002</v>
      </c>
      <c r="F85">
        <v>45.283147999999997</v>
      </c>
      <c r="G85">
        <v>44.270954000000003</v>
      </c>
      <c r="H85">
        <v>36.835715</v>
      </c>
      <c r="I85">
        <v>29.827143</v>
      </c>
      <c r="J85">
        <v>55.811433999999998</v>
      </c>
      <c r="K85">
        <v>52.903281</v>
      </c>
      <c r="L85">
        <v>6.5407489999999999</v>
      </c>
      <c r="M85">
        <v>-622.48326599999996</v>
      </c>
      <c r="N85">
        <v>1.254616</v>
      </c>
      <c r="O85">
        <v>5.6025179999999999</v>
      </c>
      <c r="P85">
        <f t="shared" si="6"/>
        <v>2.0910266666666669E-5</v>
      </c>
      <c r="Q85" cm="1">
        <f t="array" ref="Q85">[1]!PropsSI("D","T",J85+273.15,"P",101325,"Water")</f>
        <v>985.29815758932421</v>
      </c>
      <c r="R85" cm="1">
        <f t="array" ref="R85">[1]!PropsSI("D","T",K85+273.15,"P",101325,"Water")</f>
        <v>986.69455729373226</v>
      </c>
      <c r="S85">
        <f t="shared" si="7"/>
        <v>985.99635744152829</v>
      </c>
      <c r="T85" cm="1">
        <f t="array" ref="T85">[1]!PropsSI("H","T",J85+273.15,"P",101325,"Water")</f>
        <v>233723.388502018</v>
      </c>
      <c r="U85" cm="1">
        <f t="array" ref="U85">[1]!PropsSI("H","T",K85+273.15,"P",101325,"Water")</f>
        <v>221559.36218057928</v>
      </c>
      <c r="V85">
        <f t="shared" si="8"/>
        <v>250.79116514813398</v>
      </c>
    </row>
    <row r="86" spans="1:22" x14ac:dyDescent="0.2">
      <c r="A86">
        <v>46122.71488136574</v>
      </c>
      <c r="B86">
        <v>20.733031</v>
      </c>
      <c r="C86">
        <v>20.715512</v>
      </c>
      <c r="D86">
        <v>20.621200999999999</v>
      </c>
      <c r="E86">
        <v>20.648855999999999</v>
      </c>
      <c r="F86">
        <v>46.197387999999997</v>
      </c>
      <c r="G86">
        <v>44.535077999999999</v>
      </c>
      <c r="H86">
        <v>36.954591999999998</v>
      </c>
      <c r="I86">
        <v>29.173901999999998</v>
      </c>
      <c r="J86">
        <v>55.813184999999997</v>
      </c>
      <c r="K86">
        <v>52.907575000000001</v>
      </c>
      <c r="L86">
        <v>5.9689399999999999</v>
      </c>
      <c r="M86">
        <v>-622.50938699999995</v>
      </c>
      <c r="N86">
        <v>1.253849</v>
      </c>
      <c r="O86">
        <v>5.0047930000000003</v>
      </c>
      <c r="P86">
        <f t="shared" si="6"/>
        <v>2.0897483333333334E-5</v>
      </c>
      <c r="Q86" cm="1">
        <f t="array" ref="Q86">[1]!PropsSI("D","T",J86+273.15,"P",101325,"Water")</f>
        <v>985.29730097352069</v>
      </c>
      <c r="R86" cm="1">
        <f t="array" ref="R86">[1]!PropsSI("D","T",K86+273.15,"P",101325,"Water")</f>
        <v>986.69253462776385</v>
      </c>
      <c r="S86">
        <f t="shared" si="7"/>
        <v>985.99491780064227</v>
      </c>
      <c r="T86" cm="1">
        <f t="array" ref="T86">[1]!PropsSI("H","T",J86+273.15,"P",101325,"Water")</f>
        <v>233730.71338217834</v>
      </c>
      <c r="U86" cm="1">
        <f t="array" ref="U86">[1]!PropsSI("H","T",K86+273.15,"P",101325,"Water")</f>
        <v>221577.32068685471</v>
      </c>
      <c r="V86">
        <f t="shared" si="8"/>
        <v>250.41837604265001</v>
      </c>
    </row>
    <row r="87" spans="1:22" x14ac:dyDescent="0.2">
      <c r="A87">
        <v>46122.714939814818</v>
      </c>
      <c r="B87">
        <v>20.740310000000001</v>
      </c>
      <c r="C87">
        <v>20.723890000000001</v>
      </c>
      <c r="D87">
        <v>20.622152</v>
      </c>
      <c r="E87">
        <v>20.648879000000001</v>
      </c>
      <c r="F87">
        <v>45.931499000000002</v>
      </c>
      <c r="G87">
        <v>44.228490999999998</v>
      </c>
      <c r="H87">
        <v>36.651394000000003</v>
      </c>
      <c r="I87">
        <v>29.146543999999999</v>
      </c>
      <c r="J87">
        <v>55.811593000000002</v>
      </c>
      <c r="K87">
        <v>52.906461</v>
      </c>
      <c r="L87">
        <v>5.5563079999999996</v>
      </c>
      <c r="M87">
        <v>-622.525713</v>
      </c>
      <c r="N87">
        <v>1.256451</v>
      </c>
      <c r="O87">
        <v>5.5298040000000004</v>
      </c>
      <c r="P87">
        <f t="shared" si="6"/>
        <v>2.0940850000000001E-5</v>
      </c>
      <c r="Q87" cm="1">
        <f t="array" ref="Q87">[1]!PropsSI("D","T",J87+273.15,"P",101325,"Water")</f>
        <v>985.29807980491876</v>
      </c>
      <c r="R87" cm="1">
        <f t="array" ref="R87">[1]!PropsSI("D","T",K87+273.15,"P",101325,"Water")</f>
        <v>986.69305938281298</v>
      </c>
      <c r="S87">
        <f t="shared" si="7"/>
        <v>985.99556959386587</v>
      </c>
      <c r="T87" cm="1">
        <f t="array" ref="T87">[1]!PropsSI("H","T",J87+273.15,"P",101325,"Water")</f>
        <v>233724.05363953824</v>
      </c>
      <c r="U87" cm="1">
        <f t="array" ref="U87">[1]!PropsSI("H","T",K87+273.15,"P",101325,"Water")</f>
        <v>221572.66167927958</v>
      </c>
      <c r="V87">
        <f t="shared" si="8"/>
        <v>250.89690229909345</v>
      </c>
    </row>
    <row r="88" spans="1:22" x14ac:dyDescent="0.2">
      <c r="A88">
        <v>46122.714997685187</v>
      </c>
      <c r="B88">
        <v>20.725328999999999</v>
      </c>
      <c r="C88">
        <v>20.720870999999999</v>
      </c>
      <c r="D88">
        <v>20.614028999999999</v>
      </c>
      <c r="E88">
        <v>20.655536999999999</v>
      </c>
      <c r="F88">
        <v>45.783974000000001</v>
      </c>
      <c r="G88">
        <v>44.336219999999997</v>
      </c>
      <c r="H88">
        <v>36.716929999999998</v>
      </c>
      <c r="I88">
        <v>30.072831999999998</v>
      </c>
      <c r="J88">
        <v>55.812707000000003</v>
      </c>
      <c r="K88">
        <v>52.909483000000002</v>
      </c>
      <c r="L88">
        <v>6.9129750000000003</v>
      </c>
      <c r="M88">
        <v>-622.44775800000002</v>
      </c>
      <c r="N88">
        <v>1.258947</v>
      </c>
      <c r="O88">
        <v>6.6584880000000002</v>
      </c>
      <c r="P88">
        <f t="shared" si="6"/>
        <v>2.0982450000000001E-5</v>
      </c>
      <c r="Q88" cm="1">
        <f t="array" ref="Q88">[1]!PropsSI("D","T",J88+273.15,"P",101325,"Water")</f>
        <v>985.29753482026206</v>
      </c>
      <c r="R88" cm="1">
        <f t="array" ref="R88">[1]!PropsSI("D","T",K88+273.15,"P",101325,"Water")</f>
        <v>986.69163583692136</v>
      </c>
      <c r="S88">
        <f t="shared" si="7"/>
        <v>985.99458532859171</v>
      </c>
      <c r="T88" cm="1">
        <f t="array" ref="T88">[1]!PropsSI("H","T",J88+273.15,"P",101325,"Water")</f>
        <v>233728.71378598374</v>
      </c>
      <c r="U88" cm="1">
        <f t="array" ref="U88">[1]!PropsSI("H","T",K88+273.15,"P",101325,"Water")</f>
        <v>221585.30038836476</v>
      </c>
      <c r="V88">
        <f t="shared" si="8"/>
        <v>251.23000489214036</v>
      </c>
    </row>
    <row r="89" spans="1:22" x14ac:dyDescent="0.2">
      <c r="A89">
        <v>46122.715056134257</v>
      </c>
      <c r="B89">
        <v>20.726707999999999</v>
      </c>
      <c r="C89">
        <v>20.706223999999999</v>
      </c>
      <c r="D89">
        <v>20.623982000000002</v>
      </c>
      <c r="E89">
        <v>20.652985999999999</v>
      </c>
      <c r="F89">
        <v>45.492978000000001</v>
      </c>
      <c r="G89">
        <v>44.523282999999999</v>
      </c>
      <c r="H89">
        <v>36.331615999999997</v>
      </c>
      <c r="I89">
        <v>31.008889</v>
      </c>
      <c r="J89">
        <v>55.816845000000001</v>
      </c>
      <c r="K89">
        <v>52.907097999999998</v>
      </c>
      <c r="L89">
        <v>6.8427740000000004</v>
      </c>
      <c r="M89">
        <v>-622.49836700000003</v>
      </c>
      <c r="N89">
        <v>1.256472</v>
      </c>
      <c r="O89">
        <v>6.2302220000000004</v>
      </c>
      <c r="P89">
        <f t="shared" si="6"/>
        <v>2.0941199999999999E-5</v>
      </c>
      <c r="Q89" cm="1">
        <f t="array" ref="Q89">[1]!PropsSI("D","T",J89+273.15,"P",101325,"Water")</f>
        <v>985.29551038491388</v>
      </c>
      <c r="R89" cm="1">
        <f t="array" ref="R89">[1]!PropsSI("D","T",K89+273.15,"P",101325,"Water")</f>
        <v>986.69275932186815</v>
      </c>
      <c r="S89">
        <f t="shared" si="7"/>
        <v>985.99413485339096</v>
      </c>
      <c r="T89" cm="1">
        <f t="array" ref="T89">[1]!PropsSI("H","T",J89+273.15,"P",101325,"Water")</f>
        <v>233746.02410053776</v>
      </c>
      <c r="U89" cm="1">
        <f t="array" ref="U89">[1]!PropsSI("H","T",K89+273.15,"P",101325,"Water")</f>
        <v>221575.32576165372</v>
      </c>
      <c r="V89">
        <f t="shared" si="8"/>
        <v>251.29936681726358</v>
      </c>
    </row>
    <row r="90" spans="1:22" x14ac:dyDescent="0.2">
      <c r="A90">
        <v>46122.715114583334</v>
      </c>
      <c r="B90">
        <v>20.7272</v>
      </c>
      <c r="C90">
        <v>20.707640999999999</v>
      </c>
      <c r="D90">
        <v>20.599640999999998</v>
      </c>
      <c r="E90">
        <v>20.644053</v>
      </c>
      <c r="F90">
        <v>45.788553999999998</v>
      </c>
      <c r="G90">
        <v>44.372503999999999</v>
      </c>
      <c r="H90">
        <v>37.251586000000003</v>
      </c>
      <c r="I90">
        <v>29.569721999999999</v>
      </c>
      <c r="J90">
        <v>55.816367</v>
      </c>
      <c r="K90">
        <v>52.906619999999997</v>
      </c>
      <c r="L90">
        <v>6.6178879999999998</v>
      </c>
      <c r="M90">
        <v>-622.49877600000002</v>
      </c>
      <c r="N90">
        <v>1.2555540000000001</v>
      </c>
      <c r="O90">
        <v>5.3790639999999996</v>
      </c>
      <c r="P90">
        <f t="shared" si="6"/>
        <v>2.0925900000000002E-5</v>
      </c>
      <c r="Q90" cm="1">
        <f t="array" ref="Q90">[1]!PropsSI("D","T",J90+273.15,"P",101325,"Water")</f>
        <v>985.29574424242026</v>
      </c>
      <c r="R90" cm="1">
        <f t="array" ref="R90">[1]!PropsSI("D","T",K90+273.15,"P",101325,"Water")</f>
        <v>986.69298448556981</v>
      </c>
      <c r="S90">
        <f t="shared" si="7"/>
        <v>985.99436436399503</v>
      </c>
      <c r="T90" cm="1">
        <f t="array" ref="T90">[1]!PropsSI("H","T",J90+273.15,"P",101325,"Water")</f>
        <v>233744.02450372771</v>
      </c>
      <c r="U90" cm="1">
        <f t="array" ref="U90">[1]!PropsSI("H","T",K90+273.15,"P",101325,"Water")</f>
        <v>221573.32665430458</v>
      </c>
      <c r="V90">
        <f t="shared" si="8"/>
        <v>251.11581154187002</v>
      </c>
    </row>
    <row r="91" spans="1:22" x14ac:dyDescent="0.2">
      <c r="A91">
        <v>46122.715172453703</v>
      </c>
      <c r="B91">
        <v>20.737005</v>
      </c>
      <c r="C91">
        <v>20.716667000000001</v>
      </c>
      <c r="D91">
        <v>20.632100999999999</v>
      </c>
      <c r="E91">
        <v>20.658266999999999</v>
      </c>
      <c r="F91">
        <v>45.752105</v>
      </c>
      <c r="G91">
        <v>44.406269999999999</v>
      </c>
      <c r="H91">
        <v>36.468890999999999</v>
      </c>
      <c r="I91">
        <v>29.953900000000001</v>
      </c>
      <c r="J91">
        <v>55.813025000000003</v>
      </c>
      <c r="K91">
        <v>52.906939000000001</v>
      </c>
      <c r="L91">
        <v>6.2550489999999996</v>
      </c>
      <c r="M91">
        <v>-622.49836700000003</v>
      </c>
      <c r="N91">
        <v>1.253452</v>
      </c>
      <c r="O91">
        <v>5.0120490000000002</v>
      </c>
      <c r="P91">
        <f t="shared" si="6"/>
        <v>2.0890866666666667E-5</v>
      </c>
      <c r="Q91" cm="1">
        <f t="array" ref="Q91">[1]!PropsSI("D","T",J91+273.15,"P",101325,"Water")</f>
        <v>985.29737924873223</v>
      </c>
      <c r="R91" cm="1">
        <f t="array" ref="R91">[1]!PropsSI("D","T",K91+273.15,"P",101325,"Water")</f>
        <v>986.69283421959381</v>
      </c>
      <c r="S91">
        <f t="shared" si="7"/>
        <v>985.99510673416307</v>
      </c>
      <c r="T91" cm="1">
        <f t="array" ref="T91">[1]!PropsSI("H","T",J91+273.15,"P",101325,"Water")</f>
        <v>233730.04406126833</v>
      </c>
      <c r="U91" cm="1">
        <f t="array" ref="U91">[1]!PropsSI("H","T",K91+273.15,"P",101325,"Water")</f>
        <v>221574.66078660349</v>
      </c>
      <c r="V91">
        <f t="shared" si="8"/>
        <v>250.38013781667019</v>
      </c>
    </row>
    <row r="92" spans="1:22" x14ac:dyDescent="0.2">
      <c r="A92">
        <v>46122.715230902781</v>
      </c>
      <c r="B92">
        <v>20.732581</v>
      </c>
      <c r="C92">
        <v>20.708103000000001</v>
      </c>
      <c r="D92">
        <v>20.607759999999999</v>
      </c>
      <c r="E92">
        <v>20.663112000000002</v>
      </c>
      <c r="F92">
        <v>46.150686</v>
      </c>
      <c r="G92">
        <v>44.801780999999998</v>
      </c>
      <c r="H92">
        <v>36.623072000000001</v>
      </c>
      <c r="I92">
        <v>30.163694</v>
      </c>
      <c r="J92">
        <v>55.814298999999998</v>
      </c>
      <c r="K92">
        <v>52.909323999999998</v>
      </c>
      <c r="L92">
        <v>6.1460739999999996</v>
      </c>
      <c r="M92">
        <v>-622.51959099999999</v>
      </c>
      <c r="N92">
        <v>1.25539</v>
      </c>
      <c r="O92">
        <v>6.6437090000000003</v>
      </c>
      <c r="P92">
        <f t="shared" si="6"/>
        <v>2.092316666666667E-5</v>
      </c>
      <c r="Q92" cm="1">
        <f t="array" ref="Q92">[1]!PropsSI("D","T",J92+273.15,"P",101325,"Water")</f>
        <v>985.29675597794824</v>
      </c>
      <c r="R92" cm="1">
        <f t="array" ref="R92">[1]!PropsSI("D","T",K92+273.15,"P",101325,"Water")</f>
        <v>986.69171073704501</v>
      </c>
      <c r="S92">
        <f t="shared" si="7"/>
        <v>985.99423335749657</v>
      </c>
      <c r="T92" cm="1">
        <f t="array" ref="T92">[1]!PropsSI("H","T",J92+273.15,"P",101325,"Water")</f>
        <v>233735.37352925699</v>
      </c>
      <c r="U92" cm="1">
        <f t="array" ref="U92">[1]!PropsSI("H","T",K92+273.15,"P",101325,"Water")</f>
        <v>221584.63541316427</v>
      </c>
      <c r="V92">
        <f t="shared" si="8"/>
        <v>250.67120579927467</v>
      </c>
    </row>
    <row r="93" spans="1:22" x14ac:dyDescent="0.2">
      <c r="A93">
        <v>46122.715289351851</v>
      </c>
      <c r="B93">
        <v>20.715125</v>
      </c>
      <c r="C93">
        <v>20.688703</v>
      </c>
      <c r="D93">
        <v>20.609945</v>
      </c>
      <c r="E93">
        <v>20.652184999999999</v>
      </c>
      <c r="F93">
        <v>45.834006000000002</v>
      </c>
      <c r="G93">
        <v>44.570563</v>
      </c>
      <c r="H93">
        <v>36.811323999999999</v>
      </c>
      <c r="I93">
        <v>29.018391999999999</v>
      </c>
      <c r="J93">
        <v>55.815731</v>
      </c>
      <c r="K93">
        <v>52.910277999999998</v>
      </c>
      <c r="L93">
        <v>6.8211430000000002</v>
      </c>
      <c r="M93">
        <v>-622.51102000000003</v>
      </c>
      <c r="N93">
        <v>1.2560210000000001</v>
      </c>
      <c r="O93">
        <v>5.4816289999999999</v>
      </c>
      <c r="P93">
        <f t="shared" si="6"/>
        <v>2.0933683333333336E-5</v>
      </c>
      <c r="Q93" cm="1">
        <f t="array" ref="Q93">[1]!PropsSI("D","T",J93+273.15,"P",101325,"Water")</f>
        <v>985.29605539793465</v>
      </c>
      <c r="R93" cm="1">
        <f t="array" ref="R93">[1]!PropsSI("D","T",K93+273.15,"P",101325,"Water")</f>
        <v>986.69126133390444</v>
      </c>
      <c r="S93">
        <f t="shared" si="7"/>
        <v>985.9936583659196</v>
      </c>
      <c r="T93" cm="1">
        <f t="array" ref="T93">[1]!PropsSI("H","T",J93+273.15,"P",101325,"Water")</f>
        <v>233741.36395237976</v>
      </c>
      <c r="U93" cm="1">
        <f t="array" ref="U93">[1]!PropsSI("H","T",K93+273.15,"P",101325,"Water")</f>
        <v>221588.62526430187</v>
      </c>
      <c r="V93">
        <f t="shared" si="8"/>
        <v>250.83834784061492</v>
      </c>
    </row>
    <row r="94" spans="1:22" x14ac:dyDescent="0.2">
      <c r="A94">
        <v>46122.71534722222</v>
      </c>
      <c r="B94">
        <v>20.734722999999999</v>
      </c>
      <c r="C94">
        <v>20.695837000000001</v>
      </c>
      <c r="D94">
        <v>20.612203999999998</v>
      </c>
      <c r="E94">
        <v>20.650974999999999</v>
      </c>
      <c r="F94">
        <v>45.923282</v>
      </c>
      <c r="G94">
        <v>44.176127000000001</v>
      </c>
      <c r="H94">
        <v>37.111472999999997</v>
      </c>
      <c r="I94">
        <v>28.948270000000001</v>
      </c>
      <c r="J94">
        <v>55.813502999999997</v>
      </c>
      <c r="K94">
        <v>52.907575000000001</v>
      </c>
      <c r="L94">
        <v>5.7032389999999999</v>
      </c>
      <c r="M94">
        <v>-622.48000100000002</v>
      </c>
      <c r="N94">
        <v>1.2563329999999999</v>
      </c>
      <c r="O94">
        <v>6.13917</v>
      </c>
      <c r="P94">
        <f t="shared" si="6"/>
        <v>2.093888333333333E-5</v>
      </c>
      <c r="Q94" cm="1">
        <f t="array" ref="Q94">[1]!PropsSI("D","T",J94+273.15,"P",101325,"Water")</f>
        <v>985.29714540105113</v>
      </c>
      <c r="R94" cm="1">
        <f t="array" ref="R94">[1]!PropsSI("D","T",K94+273.15,"P",101325,"Water")</f>
        <v>986.69253462776385</v>
      </c>
      <c r="S94">
        <f t="shared" si="7"/>
        <v>985.99484001440749</v>
      </c>
      <c r="T94" cm="1">
        <f t="array" ref="T94">[1]!PropsSI("H","T",J94+273.15,"P",101325,"Water")</f>
        <v>233732.04365749235</v>
      </c>
      <c r="U94" cm="1">
        <f t="array" ref="U94">[1]!PropsSI("H","T",K94+273.15,"P",101325,"Water")</f>
        <v>221577.32068685471</v>
      </c>
      <c r="V94">
        <f t="shared" si="8"/>
        <v>250.94192441495531</v>
      </c>
    </row>
    <row r="95" spans="1:22" x14ac:dyDescent="0.2">
      <c r="A95">
        <v>46122.715405092589</v>
      </c>
      <c r="B95">
        <v>20.717217999999999</v>
      </c>
      <c r="C95">
        <v>20.704936</v>
      </c>
      <c r="D95">
        <v>20.602737999999999</v>
      </c>
      <c r="E95">
        <v>20.644133</v>
      </c>
      <c r="F95">
        <v>45.621850000000002</v>
      </c>
      <c r="G95">
        <v>44.406374</v>
      </c>
      <c r="H95">
        <v>37.158997999999997</v>
      </c>
      <c r="I95">
        <v>28.893771999999998</v>
      </c>
      <c r="J95">
        <v>55.813344000000001</v>
      </c>
      <c r="K95">
        <v>52.908847000000002</v>
      </c>
      <c r="L95">
        <v>6.8146120000000003</v>
      </c>
      <c r="M95">
        <v>-622.52326400000004</v>
      </c>
      <c r="N95">
        <v>1.2561770000000001</v>
      </c>
      <c r="O95">
        <v>6.2195729999999996</v>
      </c>
      <c r="P95">
        <f t="shared" si="6"/>
        <v>2.0936283333333335E-5</v>
      </c>
      <c r="Q95" cm="1">
        <f t="array" ref="Q95">[1]!PropsSI("D","T",J95+273.15,"P",101325,"Water")</f>
        <v>985.29722318736276</v>
      </c>
      <c r="R95" cm="1">
        <f t="array" ref="R95">[1]!PropsSI("D","T",K95+273.15,"P",101325,"Water")</f>
        <v>986.69193543643701</v>
      </c>
      <c r="S95">
        <f t="shared" si="7"/>
        <v>985.99457931189988</v>
      </c>
      <c r="T95" cm="1">
        <f t="array" ref="T95">[1]!PropsSI("H","T",J95+273.15,"P",101325,"Water")</f>
        <v>233731.37851983693</v>
      </c>
      <c r="U95" cm="1">
        <f t="array" ref="U95">[1]!PropsSI("H","T",K95+273.15,"P",101325,"Water")</f>
        <v>221582.64048767707</v>
      </c>
      <c r="V95">
        <f t="shared" si="8"/>
        <v>250.7871509326861</v>
      </c>
    </row>
    <row r="96" spans="1:22" x14ac:dyDescent="0.2">
      <c r="A96">
        <v>46122.715463541666</v>
      </c>
      <c r="B96">
        <v>20.739539000000001</v>
      </c>
      <c r="C96">
        <v>20.708967000000001</v>
      </c>
      <c r="D96">
        <v>20.615586</v>
      </c>
      <c r="E96">
        <v>20.651796000000001</v>
      </c>
      <c r="F96">
        <v>45.624912000000002</v>
      </c>
      <c r="G96">
        <v>44.380377000000003</v>
      </c>
      <c r="H96">
        <v>37.430670999999997</v>
      </c>
      <c r="I96">
        <v>28.639119000000001</v>
      </c>
      <c r="J96">
        <v>55.816208000000003</v>
      </c>
      <c r="K96">
        <v>52.908051999999998</v>
      </c>
      <c r="L96">
        <v>7.7517079999999998</v>
      </c>
      <c r="M96">
        <v>-622.50449000000003</v>
      </c>
      <c r="N96">
        <v>1.2501610000000001</v>
      </c>
      <c r="O96">
        <v>5.1006989999999996</v>
      </c>
      <c r="P96">
        <f t="shared" si="6"/>
        <v>2.0836016666666668E-5</v>
      </c>
      <c r="Q96" cm="1">
        <f t="array" ref="Q96">[1]!PropsSI("D","T",J96+273.15,"P",101325,"Water")</f>
        <v>985.29582203153109</v>
      </c>
      <c r="R96" cm="1">
        <f t="array" ref="R96">[1]!PropsSI("D","T",K96+273.15,"P",101325,"Water")</f>
        <v>986.69230993224255</v>
      </c>
      <c r="S96">
        <f t="shared" si="7"/>
        <v>985.99406598188682</v>
      </c>
      <c r="T96" cm="1">
        <f t="array" ref="T96">[1]!PropsSI("H","T",J96+273.15,"P",101325,"Water")</f>
        <v>233743.35936586975</v>
      </c>
      <c r="U96" cm="1">
        <f t="array" ref="U96">[1]!PropsSI("H","T",K96+273.15,"P",101325,"Water")</f>
        <v>221579.31561207731</v>
      </c>
      <c r="V96">
        <f t="shared" si="8"/>
        <v>249.9004113524621</v>
      </c>
    </row>
    <row r="97" spans="1:22" x14ac:dyDescent="0.2">
      <c r="A97">
        <v>46122.715521412036</v>
      </c>
      <c r="B97">
        <v>20.734093000000001</v>
      </c>
      <c r="C97">
        <v>20.72167</v>
      </c>
      <c r="D97">
        <v>20.629446000000002</v>
      </c>
      <c r="E97">
        <v>20.670335999999999</v>
      </c>
      <c r="F97">
        <v>45.683503000000002</v>
      </c>
      <c r="G97">
        <v>44.289374000000002</v>
      </c>
      <c r="H97">
        <v>36.380623999999997</v>
      </c>
      <c r="I97">
        <v>29.436615</v>
      </c>
      <c r="J97">
        <v>55.815731</v>
      </c>
      <c r="K97">
        <v>52.908051999999998</v>
      </c>
      <c r="L97">
        <v>5.65916</v>
      </c>
      <c r="M97">
        <v>-622.48163399999999</v>
      </c>
      <c r="N97">
        <v>1.255107</v>
      </c>
      <c r="O97">
        <v>5.4934979999999998</v>
      </c>
      <c r="P97">
        <f t="shared" si="6"/>
        <v>2.0918450000000003E-5</v>
      </c>
      <c r="Q97" cm="1">
        <f t="array" ref="Q97">[1]!PropsSI("D","T",J97+273.15,"P",101325,"Water")</f>
        <v>985.29605539793465</v>
      </c>
      <c r="R97" cm="1">
        <f t="array" ref="R97">[1]!PropsSI("D","T",K97+273.15,"P",101325,"Water")</f>
        <v>986.69230993224255</v>
      </c>
      <c r="S97">
        <f t="shared" si="7"/>
        <v>985.9941826650886</v>
      </c>
      <c r="T97" cm="1">
        <f t="array" ref="T97">[1]!PropsSI("H","T",J97+273.15,"P",101325,"Water")</f>
        <v>233741.36395237976</v>
      </c>
      <c r="U97" cm="1">
        <f t="array" ref="U97">[1]!PropsSI("H","T",K97+273.15,"P",101325,"Water")</f>
        <v>221579.31561207731</v>
      </c>
      <c r="V97">
        <f t="shared" si="8"/>
        <v>250.84796330758493</v>
      </c>
    </row>
    <row r="98" spans="1:22" x14ac:dyDescent="0.2">
      <c r="A98">
        <v>46122.715579282405</v>
      </c>
      <c r="B98">
        <v>20.767831999999999</v>
      </c>
      <c r="C98">
        <v>20.729365999999999</v>
      </c>
      <c r="D98">
        <v>20.639692</v>
      </c>
      <c r="E98">
        <v>20.676113999999998</v>
      </c>
      <c r="F98">
        <v>45.365274999999997</v>
      </c>
      <c r="G98">
        <v>44.109318000000002</v>
      </c>
      <c r="H98">
        <v>37.154035</v>
      </c>
      <c r="I98">
        <v>30.308478999999998</v>
      </c>
      <c r="J98">
        <v>55.813184999999997</v>
      </c>
      <c r="K98">
        <v>52.907415999999998</v>
      </c>
      <c r="L98">
        <v>5.900372</v>
      </c>
      <c r="M98">
        <v>-622.50204099999996</v>
      </c>
      <c r="N98">
        <v>1.2554019999999999</v>
      </c>
      <c r="O98">
        <v>6.0283709999999999</v>
      </c>
      <c r="P98">
        <f t="shared" si="6"/>
        <v>2.0923366666666663E-5</v>
      </c>
      <c r="Q98" cm="1">
        <f t="array" ref="Q98">[1]!PropsSI("D","T",J98+273.15,"P",101325,"Water")</f>
        <v>985.29730097352069</v>
      </c>
      <c r="R98" cm="1">
        <f t="array" ref="R98">[1]!PropsSI("D","T",K98+273.15,"P",101325,"Water")</f>
        <v>986.69260952596494</v>
      </c>
      <c r="S98">
        <f t="shared" si="7"/>
        <v>985.99495524974282</v>
      </c>
      <c r="T98" cm="1">
        <f t="array" ref="T98">[1]!PropsSI("H","T",J98+273.15,"P",101325,"Water")</f>
        <v>233730.71338217834</v>
      </c>
      <c r="U98" cm="1">
        <f t="array" ref="U98">[1]!PropsSI("H","T",K98+273.15,"P",101325,"Water")</f>
        <v>221576.65571174465</v>
      </c>
      <c r="V98">
        <f t="shared" si="8"/>
        <v>250.74226895534198</v>
      </c>
    </row>
    <row r="99" spans="1:22" x14ac:dyDescent="0.2">
      <c r="A99">
        <v>46122.715637731482</v>
      </c>
      <c r="B99">
        <v>20.764727000000001</v>
      </c>
      <c r="C99">
        <v>20.738354999999999</v>
      </c>
      <c r="D99">
        <v>20.631508</v>
      </c>
      <c r="E99">
        <v>20.673984999999998</v>
      </c>
      <c r="F99">
        <v>45.809936</v>
      </c>
      <c r="G99">
        <v>44.797085000000003</v>
      </c>
      <c r="H99">
        <v>36.387678999999999</v>
      </c>
      <c r="I99">
        <v>30.211689</v>
      </c>
      <c r="J99">
        <v>55.809683</v>
      </c>
      <c r="K99">
        <v>52.907097999999998</v>
      </c>
      <c r="L99">
        <v>7.1917359999999997</v>
      </c>
      <c r="M99">
        <v>-622.50408100000004</v>
      </c>
      <c r="N99">
        <v>1.2597579999999999</v>
      </c>
      <c r="O99">
        <v>5.9218789999999997</v>
      </c>
      <c r="P99">
        <f t="shared" si="6"/>
        <v>2.0995966666666667E-5</v>
      </c>
      <c r="Q99" cm="1">
        <f t="array" ref="Q99">[1]!PropsSI("D","T",J99+273.15,"P",101325,"Water")</f>
        <v>985.29901418630459</v>
      </c>
      <c r="R99" cm="1">
        <f t="array" ref="R99">[1]!PropsSI("D","T",K99+273.15,"P",101325,"Water")</f>
        <v>986.69275932186815</v>
      </c>
      <c r="S99">
        <f t="shared" si="7"/>
        <v>985.99588675408631</v>
      </c>
      <c r="T99" cm="1">
        <f t="array" ref="T99">[1]!PropsSI("H","T",J99+273.15,"P",101325,"Water")</f>
        <v>233716.06362299086</v>
      </c>
      <c r="U99" cm="1">
        <f t="array" ref="U99">[1]!PropsSI("H","T",K99+273.15,"P",101325,"Water")</f>
        <v>221575.32576165372</v>
      </c>
      <c r="V99">
        <f t="shared" si="8"/>
        <v>251.33678756790493</v>
      </c>
    </row>
    <row r="100" spans="1:22" x14ac:dyDescent="0.2">
      <c r="A100">
        <v>46122.715696180552</v>
      </c>
      <c r="B100">
        <v>20.756793999999999</v>
      </c>
      <c r="C100">
        <v>20.748591000000001</v>
      </c>
      <c r="D100">
        <v>20.622714999999999</v>
      </c>
      <c r="E100">
        <v>20.677225</v>
      </c>
      <c r="F100">
        <v>45.565508000000001</v>
      </c>
      <c r="G100">
        <v>44.463087999999999</v>
      </c>
      <c r="H100">
        <v>36.959049999999998</v>
      </c>
      <c r="I100">
        <v>30.228888999999999</v>
      </c>
      <c r="J100">
        <v>55.813662000000001</v>
      </c>
      <c r="K100">
        <v>52.908687999999998</v>
      </c>
      <c r="L100">
        <v>6.5713590000000002</v>
      </c>
      <c r="M100">
        <v>-622.48775599999999</v>
      </c>
      <c r="N100">
        <v>1.2568779999999999</v>
      </c>
      <c r="O100">
        <v>5.997757</v>
      </c>
      <c r="P100">
        <f t="shared" si="6"/>
        <v>2.0947966666666667E-5</v>
      </c>
      <c r="Q100" cm="1">
        <f t="array" ref="Q100">[1]!PropsSI("D","T",J100+273.15,"P",101325,"Water")</f>
        <v>985.29706761458931</v>
      </c>
      <c r="R100" cm="1">
        <f t="array" ref="R100">[1]!PropsSI("D","T",K100+273.15,"P",101325,"Water")</f>
        <v>986.69201033592219</v>
      </c>
      <c r="S100">
        <f t="shared" si="7"/>
        <v>985.99453897525575</v>
      </c>
      <c r="T100" cm="1">
        <f t="array" ref="T100">[1]!PropsSI("H","T",J100+273.15,"P",101325,"Water")</f>
        <v>233732.70879516256</v>
      </c>
      <c r="U100" cm="1">
        <f t="array" ref="U100">[1]!PropsSI("H","T",K100+273.15,"P",101325,"Water")</f>
        <v>221581.97551255298</v>
      </c>
      <c r="V100">
        <f t="shared" si="8"/>
        <v>250.9683015868855</v>
      </c>
    </row>
    <row r="101" spans="1:22" x14ac:dyDescent="0.2">
      <c r="A101">
        <v>46122.715754050929</v>
      </c>
      <c r="B101">
        <v>20.772438000000001</v>
      </c>
      <c r="C101">
        <v>20.758766999999999</v>
      </c>
      <c r="D101">
        <v>20.650987000000001</v>
      </c>
      <c r="E101">
        <v>20.683159</v>
      </c>
      <c r="F101">
        <v>46.127392999999998</v>
      </c>
      <c r="G101">
        <v>44.263480999999999</v>
      </c>
      <c r="H101">
        <v>37.146886000000002</v>
      </c>
      <c r="I101">
        <v>30.008018</v>
      </c>
      <c r="J101">
        <v>55.812548</v>
      </c>
      <c r="K101">
        <v>52.909641999999998</v>
      </c>
      <c r="L101">
        <v>5.766502</v>
      </c>
      <c r="M101">
        <v>-622.46979699999997</v>
      </c>
      <c r="N101">
        <v>1.259185</v>
      </c>
      <c r="O101">
        <v>5.9438380000000004</v>
      </c>
      <c r="P101">
        <f t="shared" si="6"/>
        <v>2.098641666666667E-5</v>
      </c>
      <c r="Q101" cm="1">
        <f t="array" ref="Q101">[1]!PropsSI("D","T",J101+273.15,"P",101325,"Water")</f>
        <v>985.29761260577368</v>
      </c>
      <c r="R101" cm="1">
        <f t="array" ref="R101">[1]!PropsSI("D","T",K101+273.15,"P",101325,"Water")</f>
        <v>986.69156093663059</v>
      </c>
      <c r="S101">
        <f t="shared" si="7"/>
        <v>985.99458677120219</v>
      </c>
      <c r="T101" cm="1">
        <f t="array" ref="T101">[1]!PropsSI("H","T",J101+273.15,"P",101325,"Water")</f>
        <v>233728.04864840067</v>
      </c>
      <c r="U101" cm="1">
        <f t="array" ref="U101">[1]!PropsSI("H","T",K101+273.15,"P",101325,"Water")</f>
        <v>221585.96536350879</v>
      </c>
      <c r="V101">
        <f t="shared" si="8"/>
        <v>251.24997615928689</v>
      </c>
    </row>
    <row r="102" spans="1:22" x14ac:dyDescent="0.2">
      <c r="A102">
        <v>46122.715811921298</v>
      </c>
      <c r="B102">
        <v>20.769456999999999</v>
      </c>
      <c r="C102">
        <v>20.775537</v>
      </c>
      <c r="D102">
        <v>20.651976000000001</v>
      </c>
      <c r="E102">
        <v>20.680923</v>
      </c>
      <c r="F102">
        <v>45.800134</v>
      </c>
      <c r="G102">
        <v>44.561298000000001</v>
      </c>
      <c r="H102">
        <v>37.064770000000003</v>
      </c>
      <c r="I102">
        <v>29.082318000000001</v>
      </c>
      <c r="J102">
        <v>55.811751999999998</v>
      </c>
      <c r="K102">
        <v>52.909959999999998</v>
      </c>
      <c r="L102">
        <v>5.5089629999999996</v>
      </c>
      <c r="M102">
        <v>-622.50449000000003</v>
      </c>
      <c r="N102">
        <v>1.255374</v>
      </c>
      <c r="O102">
        <v>5.8267100000000003</v>
      </c>
      <c r="P102">
        <f t="shared" si="6"/>
        <v>2.0922900000000003E-5</v>
      </c>
      <c r="Q102" cm="1">
        <f t="array" ref="Q102">[1]!PropsSI("D","T",J102+273.15,"P",101325,"Water")</f>
        <v>985.29800202030367</v>
      </c>
      <c r="R102" cm="1">
        <f t="array" ref="R102">[1]!PropsSI("D","T",K102+273.15,"P",101325,"Water")</f>
        <v>986.69141113558157</v>
      </c>
      <c r="S102">
        <f t="shared" si="7"/>
        <v>985.99470657794268</v>
      </c>
      <c r="T102" cm="1">
        <f t="array" ref="T102">[1]!PropsSI("H","T",J102+273.15,"P",101325,"Water")</f>
        <v>233724.7187771574</v>
      </c>
      <c r="U102" cm="1">
        <f t="array" ref="U102">[1]!PropsSI("H","T",K102+273.15,"P",101325,"Water")</f>
        <v>221587.29531389126</v>
      </c>
      <c r="V102">
        <f t="shared" si="8"/>
        <v>250.39345175121019</v>
      </c>
    </row>
    <row r="103" spans="1:22" x14ac:dyDescent="0.2">
      <c r="A103">
        <v>46122.715870370368</v>
      </c>
      <c r="B103">
        <v>20.7851</v>
      </c>
      <c r="C103">
        <v>20.787568</v>
      </c>
      <c r="D103">
        <v>20.661916000000002</v>
      </c>
      <c r="E103">
        <v>20.696732000000001</v>
      </c>
      <c r="F103">
        <v>45.751531</v>
      </c>
      <c r="G103">
        <v>44.771861999999999</v>
      </c>
      <c r="H103">
        <v>36.58137</v>
      </c>
      <c r="I103">
        <v>29.920552000000001</v>
      </c>
      <c r="J103">
        <v>55.809365</v>
      </c>
      <c r="K103">
        <v>52.912027000000002</v>
      </c>
      <c r="L103">
        <v>5.8118049999999997</v>
      </c>
      <c r="M103">
        <v>-622.49550999999997</v>
      </c>
      <c r="N103">
        <v>1.256607</v>
      </c>
      <c r="O103">
        <v>6.0393499999999998</v>
      </c>
      <c r="P103">
        <f t="shared" si="6"/>
        <v>2.094345E-5</v>
      </c>
      <c r="Q103" cm="1">
        <f t="array" ref="Q103">[1]!PropsSI("D","T",J103+273.15,"P",101325,"Water")</f>
        <v>985.29916975127708</v>
      </c>
      <c r="R103" cm="1">
        <f t="array" ref="R103">[1]!PropsSI("D","T",K103+273.15,"P",101325,"Water")</f>
        <v>986.69043741315829</v>
      </c>
      <c r="S103">
        <f t="shared" si="7"/>
        <v>985.99480358221763</v>
      </c>
      <c r="T103" cm="1">
        <f t="array" ref="T103">[1]!PropsSI("H","T",J103+273.15,"P",101325,"Water")</f>
        <v>233714.73334811028</v>
      </c>
      <c r="U103" cm="1">
        <f t="array" ref="U103">[1]!PropsSI("H","T",K103+273.15,"P",101325,"Water")</f>
        <v>221595.93999221022</v>
      </c>
      <c r="V103">
        <f t="shared" si="8"/>
        <v>250.25469301230873</v>
      </c>
    </row>
    <row r="104" spans="1:22" x14ac:dyDescent="0.2">
      <c r="A104">
        <v>46122.715928240737</v>
      </c>
      <c r="B104">
        <v>20.792847999999999</v>
      </c>
      <c r="C104">
        <v>20.795715999999999</v>
      </c>
      <c r="D104">
        <v>20.655908</v>
      </c>
      <c r="E104">
        <v>20.709385999999999</v>
      </c>
      <c r="F104">
        <v>45.716273999999999</v>
      </c>
      <c r="G104">
        <v>44.650255999999999</v>
      </c>
      <c r="H104">
        <v>36.757914</v>
      </c>
      <c r="I104">
        <v>29.949513</v>
      </c>
      <c r="J104">
        <v>55.811275000000002</v>
      </c>
      <c r="K104">
        <v>52.914731000000003</v>
      </c>
      <c r="L104">
        <v>6.035876</v>
      </c>
      <c r="M104">
        <v>-622.50449000000003</v>
      </c>
      <c r="N104">
        <v>1.2578119999999999</v>
      </c>
      <c r="O104">
        <v>5.7757769999999997</v>
      </c>
      <c r="P104">
        <f t="shared" si="6"/>
        <v>2.096353333333333E-5</v>
      </c>
      <c r="Q104" cm="1">
        <f t="array" ref="Q104">[1]!PropsSI("D","T",J104+273.15,"P",101325,"Water")</f>
        <v>985.29823537362074</v>
      </c>
      <c r="R104" cm="1">
        <f t="array" ref="R104">[1]!PropsSI("D","T",K104+273.15,"P",101325,"Water")</f>
        <v>986.68916357178773</v>
      </c>
      <c r="S104">
        <f t="shared" si="7"/>
        <v>985.99369947270429</v>
      </c>
      <c r="T104" cm="1">
        <f t="array" ref="T104">[1]!PropsSI("H","T",J104+273.15,"P",101325,"Water")</f>
        <v>233722.72336446698</v>
      </c>
      <c r="U104" cm="1">
        <f t="array" ref="U104">[1]!PropsSI("H","T",K104+273.15,"P",101325,"Water")</f>
        <v>221607.24875589719</v>
      </c>
      <c r="V104">
        <f t="shared" si="8"/>
        <v>250.42579139681774</v>
      </c>
    </row>
    <row r="105" spans="1:22" x14ac:dyDescent="0.2">
      <c r="A105">
        <v>46122.715986111114</v>
      </c>
      <c r="B105">
        <v>20.772461</v>
      </c>
      <c r="C105">
        <v>20.784319</v>
      </c>
      <c r="D105">
        <v>20.628502999999998</v>
      </c>
      <c r="E105">
        <v>20.687315999999999</v>
      </c>
      <c r="F105">
        <v>45.679822000000001</v>
      </c>
      <c r="G105">
        <v>44.470331000000002</v>
      </c>
      <c r="H105">
        <v>37.316946999999999</v>
      </c>
      <c r="I105">
        <v>29.51484</v>
      </c>
      <c r="J105">
        <v>55.813025000000003</v>
      </c>
      <c r="K105">
        <v>52.913139999999999</v>
      </c>
      <c r="L105">
        <v>7.3370350000000002</v>
      </c>
      <c r="M105">
        <v>-622.49265300000002</v>
      </c>
      <c r="N105">
        <v>1.254739</v>
      </c>
      <c r="O105">
        <v>5.7117680000000002</v>
      </c>
      <c r="P105">
        <f t="shared" si="6"/>
        <v>2.091231666666667E-5</v>
      </c>
      <c r="Q105" cm="1">
        <f t="array" ref="Q105">[1]!PropsSI("D","T",J105+273.15,"P",101325,"Water")</f>
        <v>985.29737924873223</v>
      </c>
      <c r="R105" cm="1">
        <f t="array" ref="R105">[1]!PropsSI("D","T",K105+273.15,"P",101325,"Water")</f>
        <v>986.689913089843</v>
      </c>
      <c r="S105">
        <f t="shared" si="7"/>
        <v>985.99364616928756</v>
      </c>
      <c r="T105" cm="1">
        <f t="array" ref="T105">[1]!PropsSI("H","T",J105+273.15,"P",101325,"Water")</f>
        <v>233730.04406126833</v>
      </c>
      <c r="U105" cm="1">
        <f t="array" ref="U105">[1]!PropsSI("H","T",K105+273.15,"P",101325,"Water")</f>
        <v>221600.59481956737</v>
      </c>
      <c r="V105">
        <f t="shared" si="8"/>
        <v>250.10210348503512</v>
      </c>
    </row>
    <row r="106" spans="1:22" x14ac:dyDescent="0.2">
      <c r="A106">
        <v>46122.716044560184</v>
      </c>
      <c r="B106">
        <v>20.774049999999999</v>
      </c>
      <c r="C106">
        <v>20.794249000000001</v>
      </c>
      <c r="D106">
        <v>20.659545999999999</v>
      </c>
      <c r="E106">
        <v>20.695993000000001</v>
      </c>
      <c r="F106">
        <v>45.681376999999998</v>
      </c>
      <c r="G106">
        <v>44.466200999999998</v>
      </c>
      <c r="H106">
        <v>37.165576000000001</v>
      </c>
      <c r="I106">
        <v>30.445323999999999</v>
      </c>
      <c r="J106">
        <v>55.815252999999998</v>
      </c>
      <c r="K106">
        <v>52.913935000000002</v>
      </c>
      <c r="L106">
        <v>6.1183209999999999</v>
      </c>
      <c r="M106">
        <v>-622.50653</v>
      </c>
      <c r="N106">
        <v>1.2535419999999999</v>
      </c>
      <c r="O106">
        <v>5.5277580000000004</v>
      </c>
      <c r="P106">
        <f t="shared" si="6"/>
        <v>2.0892366666666667E-5</v>
      </c>
      <c r="Q106" cm="1">
        <f t="array" ref="Q106">[1]!PropsSI("D","T",J106+273.15,"P",101325,"Water")</f>
        <v>985.296289252164</v>
      </c>
      <c r="R106" cm="1">
        <f t="array" ref="R106">[1]!PropsSI("D","T",K106+273.15,"P",101325,"Water")</f>
        <v>986.68953856838107</v>
      </c>
      <c r="S106">
        <f t="shared" si="7"/>
        <v>985.99291391027259</v>
      </c>
      <c r="T106" cm="1">
        <f t="array" ref="T106">[1]!PropsSI("H","T",J106+273.15,"P",101325,"Water")</f>
        <v>233739.36435572468</v>
      </c>
      <c r="U106" cm="1">
        <f t="array" ref="U106">[1]!PropsSI("H","T",K106+273.15,"P",101325,"Water")</f>
        <v>221603.91969648385</v>
      </c>
      <c r="V106">
        <f t="shared" si="8"/>
        <v>249.98682865697918</v>
      </c>
    </row>
    <row r="107" spans="1:22" x14ac:dyDescent="0.2">
      <c r="A107">
        <v>46122.716103009261</v>
      </c>
      <c r="B107">
        <v>20.785900000000002</v>
      </c>
      <c r="C107">
        <v>20.784184</v>
      </c>
      <c r="D107">
        <v>20.646699000000002</v>
      </c>
      <c r="E107">
        <v>20.690626999999999</v>
      </c>
      <c r="F107">
        <v>45.486769000000002</v>
      </c>
      <c r="G107">
        <v>44.938355000000001</v>
      </c>
      <c r="H107">
        <v>36.700214000000003</v>
      </c>
      <c r="I107">
        <v>29.919968000000001</v>
      </c>
      <c r="J107">
        <v>55.815731</v>
      </c>
      <c r="K107">
        <v>52.913935000000002</v>
      </c>
      <c r="L107">
        <v>7.389278</v>
      </c>
      <c r="M107">
        <v>-622.50040799999999</v>
      </c>
      <c r="N107">
        <v>1.258459</v>
      </c>
      <c r="O107">
        <v>5.9388820000000004</v>
      </c>
      <c r="P107">
        <f t="shared" si="6"/>
        <v>2.0974316666666667E-5</v>
      </c>
      <c r="Q107" cm="1">
        <f t="array" ref="Q107">[1]!PropsSI("D","T",J107+273.15,"P",101325,"Water")</f>
        <v>985.29605539793465</v>
      </c>
      <c r="R107" cm="1">
        <f t="array" ref="R107">[1]!PropsSI("D","T",K107+273.15,"P",101325,"Water")</f>
        <v>986.68953856838107</v>
      </c>
      <c r="S107">
        <f t="shared" si="7"/>
        <v>985.99279698315786</v>
      </c>
      <c r="T107" cm="1">
        <f t="array" ref="T107">[1]!PropsSI("H","T",J107+273.15,"P",101325,"Water")</f>
        <v>233741.36395237976</v>
      </c>
      <c r="U107" cm="1">
        <f t="array" ref="U107">[1]!PropsSI("H","T",K107+273.15,"P",101325,"Water")</f>
        <v>221603.91969648385</v>
      </c>
      <c r="V107">
        <f t="shared" si="8"/>
        <v>251.00872125118809</v>
      </c>
    </row>
    <row r="108" spans="1:22" x14ac:dyDescent="0.2">
      <c r="A108">
        <v>46122.716161458331</v>
      </c>
      <c r="B108">
        <v>20.781305</v>
      </c>
      <c r="C108">
        <v>20.789607</v>
      </c>
      <c r="D108">
        <v>20.635878000000002</v>
      </c>
      <c r="E108">
        <v>20.686347999999999</v>
      </c>
      <c r="F108">
        <v>44.916860999999997</v>
      </c>
      <c r="G108">
        <v>44.229661</v>
      </c>
      <c r="H108">
        <v>36.348582</v>
      </c>
      <c r="I108">
        <v>28.924769999999999</v>
      </c>
      <c r="J108">
        <v>55.815412999999999</v>
      </c>
      <c r="K108">
        <v>52.917752</v>
      </c>
      <c r="L108">
        <v>6.1019949999999996</v>
      </c>
      <c r="M108">
        <v>-622.48571500000003</v>
      </c>
      <c r="N108">
        <v>1.256947</v>
      </c>
      <c r="O108">
        <v>5.5771280000000001</v>
      </c>
      <c r="P108">
        <f t="shared" si="6"/>
        <v>2.0949116666666666E-5</v>
      </c>
      <c r="Q108" cm="1">
        <f t="array" ref="Q108">[1]!PropsSI("D","T",J108+273.15,"P",101325,"Water")</f>
        <v>985.29621097475172</v>
      </c>
      <c r="R108" cm="1">
        <f t="array" ref="R108">[1]!PropsSI("D","T",K108+273.15,"P",101325,"Water")</f>
        <v>986.68774033835825</v>
      </c>
      <c r="S108">
        <f t="shared" si="7"/>
        <v>985.99197565655504</v>
      </c>
      <c r="T108" cm="1">
        <f t="array" ref="T108">[1]!PropsSI("H","T",J108+273.15,"P",101325,"Water")</f>
        <v>233740.03367680477</v>
      </c>
      <c r="U108" cm="1">
        <f t="array" ref="U108">[1]!PropsSI("H","T",K108+273.15,"P",101325,"Water")</f>
        <v>221619.88329098932</v>
      </c>
      <c r="V108">
        <f t="shared" si="8"/>
        <v>250.34971679517972</v>
      </c>
    </row>
    <row r="109" spans="1:22" x14ac:dyDescent="0.2">
      <c r="A109">
        <v>46122.7162193287</v>
      </c>
      <c r="B109">
        <v>20.779875000000001</v>
      </c>
      <c r="C109">
        <v>20.781459000000002</v>
      </c>
      <c r="D109">
        <v>20.663464999999999</v>
      </c>
      <c r="E109">
        <v>20.705843000000002</v>
      </c>
      <c r="F109">
        <v>46.003661999999998</v>
      </c>
      <c r="G109">
        <v>44.162725999999999</v>
      </c>
      <c r="H109">
        <v>36.712831999999999</v>
      </c>
      <c r="I109">
        <v>30.310164</v>
      </c>
      <c r="J109">
        <v>55.813344000000001</v>
      </c>
      <c r="K109">
        <v>52.91966</v>
      </c>
      <c r="L109">
        <v>6.0407739999999999</v>
      </c>
      <c r="M109">
        <v>-622.49836700000003</v>
      </c>
      <c r="N109">
        <v>1.2548410000000001</v>
      </c>
      <c r="O109">
        <v>5.9163759999999996</v>
      </c>
      <c r="P109">
        <f t="shared" si="6"/>
        <v>2.0914016666666667E-5</v>
      </c>
      <c r="Q109" cm="1">
        <f t="array" ref="Q109">[1]!PropsSI("D","T",J109+273.15,"P",101325,"Water")</f>
        <v>985.29722318736276</v>
      </c>
      <c r="R109" cm="1">
        <f t="array" ref="R109">[1]!PropsSI("D","T",K109+273.15,"P",101325,"Water")</f>
        <v>986.68684142424843</v>
      </c>
      <c r="S109">
        <f t="shared" si="7"/>
        <v>985.99203230580565</v>
      </c>
      <c r="T109" cm="1">
        <f t="array" ref="T109">[1]!PropsSI("H","T",J109+273.15,"P",101325,"Water")</f>
        <v>233731.37851983693</v>
      </c>
      <c r="U109" cm="1">
        <f t="array" ref="U109">[1]!PropsSI("H","T",K109+273.15,"P",101325,"Water")</f>
        <v>221627.86299884765</v>
      </c>
      <c r="V109">
        <f t="shared" si="8"/>
        <v>249.58724468925826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BB3D-57B9-2F47-B9E3-744ACF83893C}">
  <dimension ref="A1:W132"/>
  <sheetViews>
    <sheetView topLeftCell="H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2">
      <c r="A2">
        <v>44660.6994542826</v>
      </c>
      <c r="B2">
        <v>20.847397000000001</v>
      </c>
      <c r="C2">
        <v>20.886937</v>
      </c>
      <c r="D2">
        <v>20.596989000000001</v>
      </c>
      <c r="E2">
        <v>20.697921999999998</v>
      </c>
      <c r="F2">
        <v>39.047528</v>
      </c>
      <c r="G2">
        <v>34.475154000000003</v>
      </c>
      <c r="H2">
        <v>33.892263</v>
      </c>
      <c r="I2">
        <v>27.194872</v>
      </c>
      <c r="J2">
        <v>55.749526000000003</v>
      </c>
      <c r="K2">
        <v>51.486733000000001</v>
      </c>
      <c r="L2">
        <v>19.052367</v>
      </c>
      <c r="M2">
        <v>-622.49510199999997</v>
      </c>
      <c r="N2">
        <v>1.259004</v>
      </c>
      <c r="O2">
        <v>5.9566350000000003</v>
      </c>
      <c r="P2">
        <f t="shared" ref="P2:P26" si="0" xml:space="preserve"> N2*0.001/60</f>
        <v>2.09834E-5</v>
      </c>
      <c r="Q2" cm="1">
        <f t="array" ref="Q2">[1]!PropsSI("D","T",J2+273.15,"P",101325,"Water")</f>
        <v>985.32843179157521</v>
      </c>
      <c r="R2" cm="1">
        <f t="array" ref="R2">[1]!PropsSI("D","T",K2+273.15,"P",101325,"Water")</f>
        <v>987.35539236506054</v>
      </c>
      <c r="S2">
        <f t="shared" ref="S2:S26" si="1">(Q2+R2)/2</f>
        <v>986.34191207831782</v>
      </c>
      <c r="T2" cm="1">
        <f t="array" ref="T2">[1]!PropsSI("H","T",J2+273.15,"P",101325,"Water")</f>
        <v>233464.41226495139</v>
      </c>
      <c r="U2" cm="1">
        <f t="array" ref="U2">[1]!PropsSI("H","T",K2+273.15,"P",101325,"Water")</f>
        <v>215635.3531992604</v>
      </c>
      <c r="V2">
        <f t="shared" ref="V2:V26" si="2">S2*P2*(T2-U2)</f>
        <v>369.0045922973531</v>
      </c>
      <c r="W2" s="1">
        <f>AVERAGE(V2:V77)</f>
        <v>366.62032570384673</v>
      </c>
    </row>
    <row r="3" spans="1:23" x14ac:dyDescent="0.2">
      <c r="A3">
        <v>44660.699512731699</v>
      </c>
      <c r="B3">
        <v>20.830766000000001</v>
      </c>
      <c r="C3">
        <v>20.886226000000001</v>
      </c>
      <c r="D3">
        <v>20.59883</v>
      </c>
      <c r="E3">
        <v>20.697448000000001</v>
      </c>
      <c r="F3">
        <v>39.042012</v>
      </c>
      <c r="G3">
        <v>35.751503999999997</v>
      </c>
      <c r="H3">
        <v>33.142847000000003</v>
      </c>
      <c r="I3">
        <v>27.354406999999998</v>
      </c>
      <c r="J3">
        <v>55.750799000000001</v>
      </c>
      <c r="K3">
        <v>51.496110999999999</v>
      </c>
      <c r="L3">
        <v>16.939003</v>
      </c>
      <c r="M3">
        <v>-622.45428800000002</v>
      </c>
      <c r="N3">
        <v>1.2587950000000001</v>
      </c>
      <c r="O3">
        <v>5.6176919999999999</v>
      </c>
      <c r="P3">
        <f t="shared" si="0"/>
        <v>2.0979916666666669E-5</v>
      </c>
      <c r="Q3" cm="1">
        <f t="array" ref="Q3">[1]!PropsSI("D","T",J3+273.15,"P",101325,"Water")</f>
        <v>985.32780950778704</v>
      </c>
      <c r="R3" cm="1">
        <f t="array" ref="R3">[1]!PropsSI("D","T",K3+273.15,"P",101325,"Water")</f>
        <v>987.35105975478973</v>
      </c>
      <c r="S3">
        <f t="shared" si="1"/>
        <v>986.33943463128844</v>
      </c>
      <c r="T3" cm="1">
        <f t="array" ref="T3">[1]!PropsSI("H","T",J3+273.15,"P",101325,"Water")</f>
        <v>233469.73751948259</v>
      </c>
      <c r="U3" cm="1">
        <f t="array" ref="U3">[1]!PropsSI("H","T",K3+273.15,"P",101325,"Water")</f>
        <v>215674.56995431037</v>
      </c>
      <c r="V3">
        <f t="shared" si="2"/>
        <v>368.24108164015354</v>
      </c>
      <c r="W3" s="1"/>
    </row>
    <row r="4" spans="1:23" x14ac:dyDescent="0.2">
      <c r="A4">
        <v>44660.699570602002</v>
      </c>
      <c r="B4">
        <v>20.802592000000001</v>
      </c>
      <c r="C4">
        <v>20.880568</v>
      </c>
      <c r="D4">
        <v>20.588066999999999</v>
      </c>
      <c r="E4">
        <v>20.681743999999998</v>
      </c>
      <c r="F4">
        <v>39.450809999999997</v>
      </c>
      <c r="G4">
        <v>34.202565999999997</v>
      </c>
      <c r="H4">
        <v>34.150686999999998</v>
      </c>
      <c r="I4">
        <v>27.127331000000002</v>
      </c>
      <c r="J4">
        <v>55.754460000000002</v>
      </c>
      <c r="K4">
        <v>51.496588000000003</v>
      </c>
      <c r="L4">
        <v>18.468315</v>
      </c>
      <c r="M4">
        <v>-622.48938799999996</v>
      </c>
      <c r="N4">
        <v>1.259558</v>
      </c>
      <c r="O4">
        <v>6.2797190000000001</v>
      </c>
      <c r="P4">
        <f t="shared" si="0"/>
        <v>2.0992633333333333E-5</v>
      </c>
      <c r="Q4" cm="1">
        <f t="array" ref="Q4">[1]!PropsSI("D","T",J4+273.15,"P",101325,"Water")</f>
        <v>985.32601983630627</v>
      </c>
      <c r="R4" cm="1">
        <f t="array" ref="R4">[1]!PropsSI("D","T",K4+273.15,"P",101325,"Water")</f>
        <v>987.35083936693979</v>
      </c>
      <c r="S4">
        <f t="shared" si="1"/>
        <v>986.33842960162303</v>
      </c>
      <c r="T4" cm="1">
        <f t="array" ref="T4">[1]!PropsSI("H","T",J4+273.15,"P",101325,"Water")</f>
        <v>233485.05233577447</v>
      </c>
      <c r="U4" cm="1">
        <f t="array" ref="U4">[1]!PropsSI("H","T",K4+273.15,"P",101325,"Water")</f>
        <v>215676.5646652336</v>
      </c>
      <c r="V4">
        <f t="shared" si="2"/>
        <v>368.73971407124662</v>
      </c>
      <c r="W4" s="1"/>
    </row>
    <row r="5" spans="1:23" x14ac:dyDescent="0.2">
      <c r="A5">
        <v>44660.699628472401</v>
      </c>
      <c r="B5">
        <v>20.781427000000001</v>
      </c>
      <c r="C5">
        <v>20.86608</v>
      </c>
      <c r="D5">
        <v>20.579381999999999</v>
      </c>
      <c r="E5">
        <v>20.664192</v>
      </c>
      <c r="F5">
        <v>39.100738</v>
      </c>
      <c r="G5">
        <v>33.417994999999998</v>
      </c>
      <c r="H5">
        <v>33.816761999999997</v>
      </c>
      <c r="I5">
        <v>27.605841000000002</v>
      </c>
      <c r="J5">
        <v>55.758437999999998</v>
      </c>
      <c r="K5">
        <v>51.500242999999998</v>
      </c>
      <c r="L5">
        <v>17.178991</v>
      </c>
      <c r="M5">
        <v>-622.53020300000003</v>
      </c>
      <c r="N5">
        <v>1.2585329999999999</v>
      </c>
      <c r="O5">
        <v>5.9590870000000002</v>
      </c>
      <c r="P5">
        <f t="shared" si="0"/>
        <v>2.0975549999999996E-5</v>
      </c>
      <c r="Q5" cm="1">
        <f t="array" ref="Q5">[1]!PropsSI("D","T",J5+273.15,"P",101325,"Water")</f>
        <v>985.32407510653138</v>
      </c>
      <c r="R5" cm="1">
        <f t="array" ref="R5">[1]!PropsSI("D","T",K5+273.15,"P",101325,"Water")</f>
        <v>987.34915060211893</v>
      </c>
      <c r="S5">
        <f t="shared" si="1"/>
        <v>986.33661285432515</v>
      </c>
      <c r="T5" cm="1">
        <f t="array" ref="T5">[1]!PropsSI("H","T",J5+273.15,"P",101325,"Water")</f>
        <v>233501.69324258197</v>
      </c>
      <c r="U5" cm="1">
        <f t="array" ref="U5">[1]!PropsSI("H","T",K5+273.15,"P",101325,"Water")</f>
        <v>215691.84908763992</v>
      </c>
      <c r="V5">
        <f t="shared" si="2"/>
        <v>368.46702758599417</v>
      </c>
      <c r="W5" s="1"/>
    </row>
    <row r="6" spans="1:23" x14ac:dyDescent="0.2">
      <c r="A6">
        <v>46122.699686921296</v>
      </c>
      <c r="B6">
        <v>20.742868999999999</v>
      </c>
      <c r="C6">
        <v>20.834578</v>
      </c>
      <c r="D6">
        <v>20.562733000000001</v>
      </c>
      <c r="E6">
        <v>20.652767999999998</v>
      </c>
      <c r="F6">
        <v>39.008643999999997</v>
      </c>
      <c r="G6">
        <v>35.792485999999997</v>
      </c>
      <c r="H6">
        <v>33.709074000000001</v>
      </c>
      <c r="I6">
        <v>27.258963000000001</v>
      </c>
      <c r="J6">
        <v>55.761302999999998</v>
      </c>
      <c r="K6">
        <v>51.505965000000003</v>
      </c>
      <c r="L6">
        <v>18.163432</v>
      </c>
      <c r="M6">
        <v>-622.50163299999997</v>
      </c>
      <c r="N6">
        <v>1.2571190000000001</v>
      </c>
      <c r="O6">
        <v>6.2478980000000002</v>
      </c>
      <c r="P6">
        <f t="shared" si="0"/>
        <v>2.0951983333333335E-5</v>
      </c>
      <c r="Q6" cm="1">
        <f t="array" ref="Q6">[1]!PropsSI("D","T",J6+273.15,"P",101325,"Water")</f>
        <v>985.32267443003229</v>
      </c>
      <c r="R6" cm="1">
        <f t="array" ref="R6">[1]!PropsSI("D","T",K6+273.15,"P",101325,"Water")</f>
        <v>987.34650662278113</v>
      </c>
      <c r="S6">
        <f t="shared" si="1"/>
        <v>986.33459052640671</v>
      </c>
      <c r="T6" cm="1">
        <f t="array" ref="T6">[1]!PropsSI("H","T",J6+273.15,"P",101325,"Water")</f>
        <v>233513.67821311229</v>
      </c>
      <c r="U6" cm="1">
        <f t="array" ref="U6">[1]!PropsSI("H","T",K6+273.15,"P",101325,"Water")</f>
        <v>215715.77726689438</v>
      </c>
      <c r="V6">
        <f t="shared" si="2"/>
        <v>367.80547470785933</v>
      </c>
      <c r="W6" s="1"/>
    </row>
    <row r="7" spans="1:23" x14ac:dyDescent="0.2">
      <c r="A7">
        <v>46122.699745370373</v>
      </c>
      <c r="B7">
        <v>20.737863000000001</v>
      </c>
      <c r="C7">
        <v>20.828686000000001</v>
      </c>
      <c r="D7">
        <v>20.570069</v>
      </c>
      <c r="E7">
        <v>20.661864999999999</v>
      </c>
      <c r="F7">
        <v>39.143571999999999</v>
      </c>
      <c r="G7">
        <v>34.971490000000003</v>
      </c>
      <c r="H7">
        <v>34.155774000000001</v>
      </c>
      <c r="I7">
        <v>27.681673</v>
      </c>
      <c r="J7">
        <v>55.763849</v>
      </c>
      <c r="K7">
        <v>51.511369999999999</v>
      </c>
      <c r="L7">
        <v>19.046244999999999</v>
      </c>
      <c r="M7">
        <v>-622.52244800000005</v>
      </c>
      <c r="N7">
        <v>1.261012</v>
      </c>
      <c r="O7">
        <v>6.1622469999999998</v>
      </c>
      <c r="P7">
        <f t="shared" si="0"/>
        <v>2.1016866666666665E-5</v>
      </c>
      <c r="Q7" cm="1">
        <f t="array" ref="Q7">[1]!PropsSI("D","T",J7+273.15,"P",101325,"Water")</f>
        <v>985.32142966779804</v>
      </c>
      <c r="R7" cm="1">
        <f t="array" ref="R7">[1]!PropsSI("D","T",K7+273.15,"P",101325,"Water")</f>
        <v>987.34400892656981</v>
      </c>
      <c r="S7">
        <f t="shared" si="1"/>
        <v>986.33271929718398</v>
      </c>
      <c r="T7" cm="1">
        <f t="array" ref="T7">[1]!PropsSI("H","T",J7+273.15,"P",101325,"Water")</f>
        <v>233524.32873395502</v>
      </c>
      <c r="U7" cm="1">
        <f t="array" ref="U7">[1]!PropsSI("H","T",K7+273.15,"P",101325,"Water")</f>
        <v>215738.37982921174</v>
      </c>
      <c r="V7">
        <f t="shared" si="2"/>
        <v>368.69601994689822</v>
      </c>
      <c r="W7" s="1"/>
    </row>
    <row r="8" spans="1:23" x14ac:dyDescent="0.2">
      <c r="A8">
        <v>46122.699803240743</v>
      </c>
      <c r="B8">
        <v>20.756080000000001</v>
      </c>
      <c r="C8">
        <v>20.836537</v>
      </c>
      <c r="D8">
        <v>20.581168000000002</v>
      </c>
      <c r="E8">
        <v>20.671471</v>
      </c>
      <c r="F8">
        <v>39.162557999999997</v>
      </c>
      <c r="G8">
        <v>34.869857000000003</v>
      </c>
      <c r="H8">
        <v>33.661082999999998</v>
      </c>
      <c r="I8">
        <v>27.456772999999998</v>
      </c>
      <c r="J8">
        <v>55.769418999999999</v>
      </c>
      <c r="K8">
        <v>51.516137999999998</v>
      </c>
      <c r="L8">
        <v>19.113588</v>
      </c>
      <c r="M8">
        <v>-622.53142700000001</v>
      </c>
      <c r="N8">
        <v>1.259676</v>
      </c>
      <c r="O8">
        <v>6.0336819999999998</v>
      </c>
      <c r="P8">
        <f t="shared" si="0"/>
        <v>2.0994600000000001E-5</v>
      </c>
      <c r="Q8" cm="1">
        <f t="array" ref="Q8">[1]!PropsSI("D","T",J8+273.15,"P",101325,"Water")</f>
        <v>985.31870630558308</v>
      </c>
      <c r="R8" cm="1">
        <f t="array" ref="R8">[1]!PropsSI("D","T",K8+273.15,"P",101325,"Water")</f>
        <v>987.34180543705202</v>
      </c>
      <c r="S8">
        <f t="shared" si="1"/>
        <v>986.3302558713176</v>
      </c>
      <c r="T8" cm="1">
        <f t="array" ref="T8">[1]!PropsSI("H","T",J8+273.15,"P",101325,"Water")</f>
        <v>233547.62937131559</v>
      </c>
      <c r="U8" cm="1">
        <f t="array" ref="U8">[1]!PropsSI("H","T",K8+273.15,"P",101325,"Water")</f>
        <v>215758.31860026545</v>
      </c>
      <c r="V8">
        <f t="shared" si="2"/>
        <v>368.37409520486887</v>
      </c>
      <c r="W8" s="1"/>
    </row>
    <row r="9" spans="1:23" x14ac:dyDescent="0.2">
      <c r="A9">
        <v>46122.699861689813</v>
      </c>
      <c r="B9">
        <v>20.767854</v>
      </c>
      <c r="C9">
        <v>20.829646</v>
      </c>
      <c r="D9">
        <v>20.581007</v>
      </c>
      <c r="E9">
        <v>20.662126000000001</v>
      </c>
      <c r="F9">
        <v>38.910466</v>
      </c>
      <c r="G9">
        <v>34.772922000000001</v>
      </c>
      <c r="H9">
        <v>33.689736000000003</v>
      </c>
      <c r="I9">
        <v>27.951749</v>
      </c>
      <c r="J9">
        <v>55.767508999999997</v>
      </c>
      <c r="K9">
        <v>51.521543000000001</v>
      </c>
      <c r="L9">
        <v>19.542138000000001</v>
      </c>
      <c r="M9">
        <v>-622.47632799999997</v>
      </c>
      <c r="N9">
        <v>1.26166</v>
      </c>
      <c r="O9">
        <v>5.7863879999999996</v>
      </c>
      <c r="P9">
        <f t="shared" si="0"/>
        <v>2.1027666666666665E-5</v>
      </c>
      <c r="Q9" cm="1">
        <f t="array" ref="Q9">[1]!PropsSI("D","T",J9+273.15,"P",101325,"Water")</f>
        <v>985.3196401910028</v>
      </c>
      <c r="R9" cm="1">
        <f t="array" ref="R9">[1]!PropsSI("D","T",K9+273.15,"P",101325,"Water")</f>
        <v>987.33930738632409</v>
      </c>
      <c r="S9">
        <f t="shared" si="1"/>
        <v>986.32947378866345</v>
      </c>
      <c r="T9" cm="1">
        <f t="array" ref="T9">[1]!PropsSI("H","T",J9+273.15,"P",101325,"Water")</f>
        <v>233539.63938483823</v>
      </c>
      <c r="U9" cm="1">
        <f t="array" ref="U9">[1]!PropsSI("H","T",K9+273.15,"P",101325,"Water")</f>
        <v>215780.92117950268</v>
      </c>
      <c r="V9">
        <f t="shared" si="2"/>
        <v>368.31949870727789</v>
      </c>
      <c r="W9" s="1"/>
    </row>
    <row r="10" spans="1:23" x14ac:dyDescent="0.2">
      <c r="A10">
        <v>44660.699920139101</v>
      </c>
      <c r="B10">
        <v>20.799312</v>
      </c>
      <c r="C10">
        <v>20.825099999999999</v>
      </c>
      <c r="D10">
        <v>20.581799</v>
      </c>
      <c r="E10">
        <v>20.649360000000001</v>
      </c>
      <c r="F10">
        <v>39.102666999999997</v>
      </c>
      <c r="G10">
        <v>35.018273000000001</v>
      </c>
      <c r="H10">
        <v>33.344963999999997</v>
      </c>
      <c r="I10">
        <v>27.361173000000001</v>
      </c>
      <c r="J10">
        <v>55.766554999999997</v>
      </c>
      <c r="K10">
        <v>51.521543000000001</v>
      </c>
      <c r="L10">
        <v>19.315211000000001</v>
      </c>
      <c r="M10">
        <v>-622.49510199999997</v>
      </c>
      <c r="N10">
        <v>1.260934</v>
      </c>
      <c r="O10">
        <v>5.8906559999999999</v>
      </c>
      <c r="P10">
        <f t="shared" si="0"/>
        <v>2.1015566666666666E-5</v>
      </c>
      <c r="Q10" cm="1">
        <f t="array" ref="Q10">[1]!PropsSI("D","T",J10+273.15,"P",101325,"Water")</f>
        <v>985.32010663632809</v>
      </c>
      <c r="R10" cm="1">
        <f t="array" ref="R10">[1]!PropsSI("D","T",K10+273.15,"P",101325,"Water")</f>
        <v>987.33930738632409</v>
      </c>
      <c r="S10">
        <f t="shared" si="1"/>
        <v>986.32970701132604</v>
      </c>
      <c r="T10" cm="1">
        <f t="array" ref="T10">[1]!PropsSI("H","T",J10+273.15,"P",101325,"Water")</f>
        <v>233535.6485753665</v>
      </c>
      <c r="U10" cm="1">
        <f t="array" ref="U10">[1]!PropsSI("H","T",K10+273.15,"P",101325,"Water")</f>
        <v>215780.92117950268</v>
      </c>
      <c r="V10">
        <f t="shared" si="2"/>
        <v>368.02492018025788</v>
      </c>
    </row>
    <row r="11" spans="1:23" x14ac:dyDescent="0.2">
      <c r="A11">
        <v>44660.699978588098</v>
      </c>
      <c r="B11">
        <v>20.788802</v>
      </c>
      <c r="C11">
        <v>20.789149999999999</v>
      </c>
      <c r="D11">
        <v>20.576947000000001</v>
      </c>
      <c r="E11">
        <v>20.650300000000001</v>
      </c>
      <c r="F11">
        <v>39.359161999999998</v>
      </c>
      <c r="G11">
        <v>34.000216999999999</v>
      </c>
      <c r="H11">
        <v>33.487029</v>
      </c>
      <c r="I11">
        <v>27.638862</v>
      </c>
      <c r="J11">
        <v>55.763849</v>
      </c>
      <c r="K11">
        <v>51.524245000000001</v>
      </c>
      <c r="L11">
        <v>19.434797</v>
      </c>
      <c r="M11">
        <v>-622.50897899999995</v>
      </c>
      <c r="N11">
        <v>1.2601309999999999</v>
      </c>
      <c r="O11">
        <v>6.00406</v>
      </c>
      <c r="P11">
        <f t="shared" si="0"/>
        <v>2.100218333333333E-5</v>
      </c>
      <c r="Q11" cm="1">
        <f t="array" ref="Q11">[1]!PropsSI("D","T",J11+273.15,"P",101325,"Water")</f>
        <v>985.32142966779804</v>
      </c>
      <c r="R11" cm="1">
        <f t="array" ref="R11">[1]!PropsSI("D","T",K11+273.15,"P",101325,"Water")</f>
        <v>987.33805852142621</v>
      </c>
      <c r="S11">
        <f t="shared" si="1"/>
        <v>986.32974409461212</v>
      </c>
      <c r="T11" cm="1">
        <f t="array" ref="T11">[1]!PropsSI("H","T",J11+273.15,"P",101325,"Water")</f>
        <v>233524.32873395502</v>
      </c>
      <c r="U11" cm="1">
        <f t="array" ref="U11">[1]!PropsSI("H","T",K11+273.15,"P",101325,"Water")</f>
        <v>215792.22038158373</v>
      </c>
      <c r="V11">
        <f t="shared" si="2"/>
        <v>367.32200962036575</v>
      </c>
    </row>
    <row r="12" spans="1:23" x14ac:dyDescent="0.2">
      <c r="A12">
        <v>44660.700036458496</v>
      </c>
      <c r="B12">
        <v>20.786570999999999</v>
      </c>
      <c r="C12">
        <v>20.771621</v>
      </c>
      <c r="D12">
        <v>20.562204999999999</v>
      </c>
      <c r="E12">
        <v>20.643287999999998</v>
      </c>
      <c r="F12">
        <v>39.316870999999999</v>
      </c>
      <c r="G12">
        <v>33.603881000000001</v>
      </c>
      <c r="H12">
        <v>33.887976000000002</v>
      </c>
      <c r="I12">
        <v>27.351929999999999</v>
      </c>
      <c r="J12">
        <v>55.763213</v>
      </c>
      <c r="K12">
        <v>51.519793999999997</v>
      </c>
      <c r="L12">
        <v>18.287507000000002</v>
      </c>
      <c r="M12">
        <v>-622.48285799999996</v>
      </c>
      <c r="N12">
        <v>1.2579469999999999</v>
      </c>
      <c r="O12">
        <v>6.0187379999999999</v>
      </c>
      <c r="P12">
        <f t="shared" si="0"/>
        <v>2.0965783333333332E-5</v>
      </c>
      <c r="Q12" cm="1">
        <f t="array" ref="Q12">[1]!PropsSI("D","T",J12+273.15,"P",101325,"Water")</f>
        <v>985.32174061764704</v>
      </c>
      <c r="R12" cm="1">
        <f t="array" ref="R12">[1]!PropsSI("D","T",K12+273.15,"P",101325,"Water")</f>
        <v>987.34011574933913</v>
      </c>
      <c r="S12">
        <f t="shared" si="1"/>
        <v>986.33092818349314</v>
      </c>
      <c r="T12" cm="1">
        <f t="array" ref="T12">[1]!PropsSI("H","T",J12+273.15,"P",101325,"Water")</f>
        <v>233521.66819515356</v>
      </c>
      <c r="U12" cm="1">
        <f t="array" ref="U12">[1]!PropsSI("H","T",K12+273.15,"P",101325,"Water")</f>
        <v>215773.60722643082</v>
      </c>
      <c r="V12">
        <f t="shared" si="2"/>
        <v>367.01571188425038</v>
      </c>
    </row>
    <row r="13" spans="1:23" x14ac:dyDescent="0.2">
      <c r="A13">
        <v>44660.700094328902</v>
      </c>
      <c r="B13">
        <v>20.768484999999998</v>
      </c>
      <c r="C13">
        <v>20.770629</v>
      </c>
      <c r="D13">
        <v>20.573975999999998</v>
      </c>
      <c r="E13">
        <v>20.639551000000001</v>
      </c>
      <c r="F13">
        <v>39.122216999999999</v>
      </c>
      <c r="G13">
        <v>34.953985000000003</v>
      </c>
      <c r="H13">
        <v>33.934860999999998</v>
      </c>
      <c r="I13">
        <v>27.876750999999999</v>
      </c>
      <c r="J13">
        <v>55.765441000000003</v>
      </c>
      <c r="K13">
        <v>51.520111999999997</v>
      </c>
      <c r="L13">
        <v>19.827021999999999</v>
      </c>
      <c r="M13">
        <v>-622.48979599999996</v>
      </c>
      <c r="N13">
        <v>1.2571639999999999</v>
      </c>
      <c r="O13">
        <v>5.9685800000000002</v>
      </c>
      <c r="P13">
        <f t="shared" si="0"/>
        <v>2.0952733333333334E-5</v>
      </c>
      <c r="Q13" cm="1">
        <f t="array" ref="Q13">[1]!PropsSI("D","T",J13+273.15,"P",101325,"Water")</f>
        <v>985.32065130443038</v>
      </c>
      <c r="R13" cm="1">
        <f t="array" ref="R13">[1]!PropsSI("D","T",K13+273.15,"P",101325,"Water")</f>
        <v>987.33996877572542</v>
      </c>
      <c r="S13">
        <f t="shared" si="1"/>
        <v>986.33031004007785</v>
      </c>
      <c r="T13" cm="1">
        <f t="array" ref="T13">[1]!PropsSI("H","T",J13+273.15,"P",101325,"Water")</f>
        <v>233530.98844815313</v>
      </c>
      <c r="U13" cm="1">
        <f t="array" ref="U13">[1]!PropsSI("H","T",K13+273.15,"P",101325,"Water")</f>
        <v>215774.93703600328</v>
      </c>
      <c r="V13">
        <f t="shared" si="2"/>
        <v>366.95216877167638</v>
      </c>
    </row>
    <row r="14" spans="1:23" x14ac:dyDescent="0.2">
      <c r="A14">
        <v>44660.700152778001</v>
      </c>
      <c r="B14">
        <v>20.746015</v>
      </c>
      <c r="C14">
        <v>20.750436000000001</v>
      </c>
      <c r="D14">
        <v>20.565387999999999</v>
      </c>
      <c r="E14">
        <v>20.638401000000002</v>
      </c>
      <c r="F14">
        <v>39.243237000000001</v>
      </c>
      <c r="G14">
        <v>33.669711999999997</v>
      </c>
      <c r="H14">
        <v>34.267743000000003</v>
      </c>
      <c r="I14">
        <v>27.139050999999998</v>
      </c>
      <c r="J14">
        <v>55.769736999999999</v>
      </c>
      <c r="K14">
        <v>51.525993</v>
      </c>
      <c r="L14">
        <v>20.469031000000001</v>
      </c>
      <c r="M14">
        <v>-622.53673300000003</v>
      </c>
      <c r="N14">
        <v>1.259504</v>
      </c>
      <c r="O14">
        <v>6.1243530000000002</v>
      </c>
      <c r="P14">
        <f t="shared" si="0"/>
        <v>2.0991733333333334E-5</v>
      </c>
      <c r="Q14" cm="1">
        <f t="array" ref="Q14">[1]!PropsSI("D","T",J14+273.15,"P",101325,"Water")</f>
        <v>985.31855081883305</v>
      </c>
      <c r="R14" cm="1">
        <f t="array" ref="R14">[1]!PropsSI("D","T",K14+273.15,"P",101325,"Water")</f>
        <v>987.33725057045172</v>
      </c>
      <c r="S14">
        <f t="shared" si="1"/>
        <v>986.32790069464238</v>
      </c>
      <c r="T14" cm="1">
        <f t="array" ref="T14">[1]!PropsSI("H","T",J14+273.15,"P",101325,"Water")</f>
        <v>233548.95964140334</v>
      </c>
      <c r="U14" cm="1">
        <f t="array" ref="U14">[1]!PropsSI("H","T",K14+273.15,"P",101325,"Water")</f>
        <v>215799.53015532452</v>
      </c>
      <c r="V14">
        <f t="shared" si="2"/>
        <v>367.49718546530471</v>
      </c>
    </row>
    <row r="15" spans="1:23" x14ac:dyDescent="0.2">
      <c r="A15">
        <v>46122.700211226853</v>
      </c>
      <c r="B15">
        <v>20.7257</v>
      </c>
      <c r="C15">
        <v>20.741199000000002</v>
      </c>
      <c r="D15">
        <v>20.549655999999999</v>
      </c>
      <c r="E15">
        <v>20.631328</v>
      </c>
      <c r="F15">
        <v>39.204549</v>
      </c>
      <c r="G15">
        <v>35.301267000000003</v>
      </c>
      <c r="H15">
        <v>33.911999000000002</v>
      </c>
      <c r="I15">
        <v>27.173615999999999</v>
      </c>
      <c r="J15">
        <v>55.773398</v>
      </c>
      <c r="K15">
        <v>51.525834000000003</v>
      </c>
      <c r="L15">
        <v>18.882171</v>
      </c>
      <c r="M15">
        <v>-622.53510000000006</v>
      </c>
      <c r="N15">
        <v>1.256955</v>
      </c>
      <c r="O15">
        <v>6.0848060000000004</v>
      </c>
      <c r="P15">
        <f t="shared" si="0"/>
        <v>2.0949250000000003E-5</v>
      </c>
      <c r="Q15" cm="1">
        <f t="array" ref="Q15">[1]!PropsSI("D","T",J15+273.15,"P",101325,"Water")</f>
        <v>985.31676072033679</v>
      </c>
      <c r="R15" cm="1">
        <f t="array" ref="R15">[1]!PropsSI("D","T",K15+273.15,"P",101325,"Water")</f>
        <v>987.33732406337731</v>
      </c>
      <c r="S15">
        <f t="shared" si="1"/>
        <v>986.32704239185705</v>
      </c>
      <c r="T15" cm="1">
        <f t="array" ref="T15">[1]!PropsSI("H","T",J15+273.15,"P",101325,"Water")</f>
        <v>233564.27448358596</v>
      </c>
      <c r="U15" cm="1">
        <f t="array" ref="U15">[1]!PropsSI("H","T",K15+273.15,"P",101325,"Water")</f>
        <v>215798.86525017538</v>
      </c>
      <c r="V15">
        <f t="shared" si="2"/>
        <v>367.08330741252468</v>
      </c>
    </row>
    <row r="16" spans="1:23" x14ac:dyDescent="0.2">
      <c r="A16">
        <v>46122.700269675923</v>
      </c>
      <c r="B16">
        <v>20.697081000000001</v>
      </c>
      <c r="C16">
        <v>20.732316000000001</v>
      </c>
      <c r="D16">
        <v>20.546111</v>
      </c>
      <c r="E16">
        <v>20.606921</v>
      </c>
      <c r="F16">
        <v>39.129075</v>
      </c>
      <c r="G16">
        <v>32.855949000000003</v>
      </c>
      <c r="H16">
        <v>33.812821</v>
      </c>
      <c r="I16">
        <v>27.355964</v>
      </c>
      <c r="J16">
        <v>55.772125000000003</v>
      </c>
      <c r="K16">
        <v>51.528376999999999</v>
      </c>
      <c r="L16">
        <v>18.600145000000001</v>
      </c>
      <c r="M16">
        <v>-622.54693599999996</v>
      </c>
      <c r="N16">
        <v>1.2593319999999999</v>
      </c>
      <c r="O16">
        <v>5.9319309999999996</v>
      </c>
      <c r="P16">
        <f t="shared" si="0"/>
        <v>2.0988866666666665E-5</v>
      </c>
      <c r="Q16" cm="1">
        <f t="array" ref="Q16">[1]!PropsSI("D","T",J16+273.15,"P",101325,"Water")</f>
        <v>985.31738318130408</v>
      </c>
      <c r="R16" cm="1">
        <f t="array" ref="R16">[1]!PropsSI("D","T",K16+273.15,"P",101325,"Water")</f>
        <v>987.33614861927595</v>
      </c>
      <c r="S16">
        <f t="shared" si="1"/>
        <v>986.32676590028996</v>
      </c>
      <c r="T16" cm="1">
        <f t="array" ref="T16">[1]!PropsSI("H","T",J16+273.15,"P",101325,"Water")</f>
        <v>233558.94921833929</v>
      </c>
      <c r="U16" cm="1">
        <f t="array" ref="U16">[1]!PropsSI("H","T",K16+273.15,"P",101325,"Water")</f>
        <v>215809.49955067999</v>
      </c>
      <c r="V16">
        <f t="shared" si="2"/>
        <v>367.44699446699548</v>
      </c>
    </row>
    <row r="17" spans="1:22" x14ac:dyDescent="0.2">
      <c r="A17">
        <v>46122.700328125</v>
      </c>
      <c r="B17">
        <v>20.699273000000002</v>
      </c>
      <c r="C17">
        <v>20.725670000000001</v>
      </c>
      <c r="D17">
        <v>20.546195999999998</v>
      </c>
      <c r="E17">
        <v>20.615041999999999</v>
      </c>
      <c r="F17">
        <v>39.196317999999998</v>
      </c>
      <c r="G17">
        <v>36.173374000000003</v>
      </c>
      <c r="H17">
        <v>33.340781999999997</v>
      </c>
      <c r="I17">
        <v>27.353304000000001</v>
      </c>
      <c r="J17">
        <v>55.77308</v>
      </c>
      <c r="K17">
        <v>51.528376999999999</v>
      </c>
      <c r="L17">
        <v>19.620094000000002</v>
      </c>
      <c r="M17">
        <v>-622.45714499999997</v>
      </c>
      <c r="N17">
        <v>1.2586850000000001</v>
      </c>
      <c r="O17">
        <v>5.9822030000000002</v>
      </c>
      <c r="P17">
        <f t="shared" si="0"/>
        <v>2.0978083333333335E-5</v>
      </c>
      <c r="Q17" cm="1">
        <f t="array" ref="Q17">[1]!PropsSI("D","T",J17+273.15,"P",101325,"Water")</f>
        <v>985.31691621426228</v>
      </c>
      <c r="R17" cm="1">
        <f t="array" ref="R17">[1]!PropsSI("D","T",K17+273.15,"P",101325,"Water")</f>
        <v>987.33614861927595</v>
      </c>
      <c r="S17">
        <f t="shared" si="1"/>
        <v>986.32653241676917</v>
      </c>
      <c r="T17" cm="1">
        <f t="array" ref="T17">[1]!PropsSI("H","T",J17+273.15,"P",101325,"Water")</f>
        <v>233562.94421304305</v>
      </c>
      <c r="U17" cm="1">
        <f t="array" ref="U17">[1]!PropsSI("H","T",K17+273.15,"P",101325,"Water")</f>
        <v>215809.49955067999</v>
      </c>
      <c r="V17">
        <f t="shared" si="2"/>
        <v>367.34078772510196</v>
      </c>
    </row>
    <row r="18" spans="1:22" x14ac:dyDescent="0.2">
      <c r="A18">
        <v>46122.700385995369</v>
      </c>
      <c r="B18">
        <v>20.672563</v>
      </c>
      <c r="C18">
        <v>20.708701000000001</v>
      </c>
      <c r="D18">
        <v>20.539439999999999</v>
      </c>
      <c r="E18">
        <v>20.602844000000001</v>
      </c>
      <c r="F18">
        <v>39.231589</v>
      </c>
      <c r="G18">
        <v>34.199714</v>
      </c>
      <c r="H18">
        <v>33.958939999999998</v>
      </c>
      <c r="I18">
        <v>27.420017000000001</v>
      </c>
      <c r="J18">
        <v>55.773716</v>
      </c>
      <c r="K18">
        <v>51.532668999999999</v>
      </c>
      <c r="L18">
        <v>19.551117999999999</v>
      </c>
      <c r="M18">
        <v>-622.47673599999996</v>
      </c>
      <c r="N18">
        <v>1.2594259999999999</v>
      </c>
      <c r="O18">
        <v>5.871963</v>
      </c>
      <c r="P18">
        <f t="shared" si="0"/>
        <v>2.0990433333333332E-5</v>
      </c>
      <c r="Q18" cm="1">
        <f t="array" ref="Q18">[1]!PropsSI("D","T",J18+273.15,"P",101325,"Water")</f>
        <v>985.31660522577147</v>
      </c>
      <c r="R18" cm="1">
        <f t="array" ref="R18">[1]!PropsSI("D","T",K18+273.15,"P",101325,"Water")</f>
        <v>987.33416464501556</v>
      </c>
      <c r="S18">
        <f t="shared" si="1"/>
        <v>986.32538493539346</v>
      </c>
      <c r="T18" cm="1">
        <f t="array" ref="T18">[1]!PropsSI("H","T",J18+273.15,"P",101325,"Water")</f>
        <v>233565.60475420469</v>
      </c>
      <c r="U18" cm="1">
        <f t="array" ref="U18">[1]!PropsSI("H","T",K18+273.15,"P",101325,"Water")</f>
        <v>215827.44781220827</v>
      </c>
      <c r="V18">
        <f t="shared" si="2"/>
        <v>367.24010943057328</v>
      </c>
    </row>
    <row r="19" spans="1:22" x14ac:dyDescent="0.2">
      <c r="A19">
        <v>46122.700444444446</v>
      </c>
      <c r="B19">
        <v>20.672241</v>
      </c>
      <c r="C19">
        <v>20.711399</v>
      </c>
      <c r="D19">
        <v>20.531462999999999</v>
      </c>
      <c r="E19">
        <v>20.58783</v>
      </c>
      <c r="F19">
        <v>39.195289000000002</v>
      </c>
      <c r="G19">
        <v>34.785679000000002</v>
      </c>
      <c r="H19">
        <v>34.515931999999999</v>
      </c>
      <c r="I19">
        <v>27.067677</v>
      </c>
      <c r="J19">
        <v>55.777057999999997</v>
      </c>
      <c r="K19">
        <v>51.532668999999999</v>
      </c>
      <c r="L19">
        <v>19.439695</v>
      </c>
      <c r="M19">
        <v>-622.52612099999999</v>
      </c>
      <c r="N19">
        <v>1.261082</v>
      </c>
      <c r="O19">
        <v>6.0843230000000004</v>
      </c>
      <c r="P19">
        <f t="shared" si="0"/>
        <v>2.1018033333333331E-5</v>
      </c>
      <c r="Q19" cm="1">
        <f t="array" ref="Q19">[1]!PropsSI("D","T",J19+273.15,"P",101325,"Water")</f>
        <v>985.31497102830156</v>
      </c>
      <c r="R19" cm="1">
        <f t="array" ref="R19">[1]!PropsSI("D","T",K19+273.15,"P",101325,"Water")</f>
        <v>987.33416464501556</v>
      </c>
      <c r="S19">
        <f t="shared" si="1"/>
        <v>986.32456783665862</v>
      </c>
      <c r="T19" cm="1">
        <f t="array" ref="T19">[1]!PropsSI("H","T",J19+273.15,"P",101325,"Water")</f>
        <v>233579.58514752414</v>
      </c>
      <c r="U19" cm="1">
        <f t="array" ref="U19">[1]!PropsSI("H","T",K19+273.15,"P",101325,"Water")</f>
        <v>215827.44781220827</v>
      </c>
      <c r="V19">
        <f t="shared" si="2"/>
        <v>368.0125051850585</v>
      </c>
    </row>
    <row r="20" spans="1:22" x14ac:dyDescent="0.2">
      <c r="A20">
        <v>46122.700502893516</v>
      </c>
      <c r="B20">
        <v>20.695989999999998</v>
      </c>
      <c r="C20">
        <v>20.725432000000001</v>
      </c>
      <c r="D20">
        <v>20.533659</v>
      </c>
      <c r="E20">
        <v>20.598731000000001</v>
      </c>
      <c r="F20">
        <v>39.248570000000001</v>
      </c>
      <c r="G20">
        <v>32.41798</v>
      </c>
      <c r="H20">
        <v>33.974609000000001</v>
      </c>
      <c r="I20">
        <v>27.203578</v>
      </c>
      <c r="J20">
        <v>55.776421999999997</v>
      </c>
      <c r="K20">
        <v>51.532510000000002</v>
      </c>
      <c r="L20">
        <v>19.262561000000002</v>
      </c>
      <c r="M20">
        <v>-622.49959200000001</v>
      </c>
      <c r="N20">
        <v>1.2606930000000001</v>
      </c>
      <c r="O20">
        <v>6.008127</v>
      </c>
      <c r="P20">
        <f t="shared" si="0"/>
        <v>2.101155E-5</v>
      </c>
      <c r="Q20" cm="1">
        <f t="array" ref="Q20">[1]!PropsSI("D","T",J20+273.15,"P",101325,"Water")</f>
        <v>985.31528202988852</v>
      </c>
      <c r="R20" cm="1">
        <f t="array" ref="R20">[1]!PropsSI("D","T",K20+273.15,"P",101325,"Water")</f>
        <v>987.33423814478624</v>
      </c>
      <c r="S20">
        <f t="shared" si="1"/>
        <v>986.32476008733738</v>
      </c>
      <c r="T20" cm="1">
        <f t="array" ref="T20">[1]!PropsSI("H","T",J20+273.15,"P",101325,"Water")</f>
        <v>233576.92460556744</v>
      </c>
      <c r="U20" cm="1">
        <f t="array" ref="U20">[1]!PropsSI("H","T",K20+273.15,"P",101325,"Water")</f>
        <v>215826.7829067664</v>
      </c>
      <c r="V20">
        <f t="shared" si="2"/>
        <v>367.85769982342725</v>
      </c>
    </row>
    <row r="21" spans="1:22" x14ac:dyDescent="0.2">
      <c r="A21">
        <v>46122.700560763886</v>
      </c>
      <c r="B21">
        <v>20.722646000000001</v>
      </c>
      <c r="C21">
        <v>20.732137000000002</v>
      </c>
      <c r="D21">
        <v>20.520406000000001</v>
      </c>
      <c r="E21">
        <v>20.589748</v>
      </c>
      <c r="F21">
        <v>38.838209999999997</v>
      </c>
      <c r="G21">
        <v>35.265872000000002</v>
      </c>
      <c r="H21">
        <v>34.046698999999997</v>
      </c>
      <c r="I21">
        <v>27.435552999999999</v>
      </c>
      <c r="J21">
        <v>55.775466999999999</v>
      </c>
      <c r="K21">
        <v>51.532350999999998</v>
      </c>
      <c r="L21">
        <v>19.345821999999998</v>
      </c>
      <c r="M21">
        <v>-622.45632899999998</v>
      </c>
      <c r="N21">
        <v>1.257681</v>
      </c>
      <c r="O21">
        <v>5.8446410000000002</v>
      </c>
      <c r="P21">
        <f t="shared" si="0"/>
        <v>2.0961350000000002E-5</v>
      </c>
      <c r="Q21" cm="1">
        <f t="array" ref="Q21">[1]!PropsSI("D","T",J21+273.15,"P",101325,"Water")</f>
        <v>985.31574901657007</v>
      </c>
      <c r="R21" cm="1">
        <f t="array" ref="R21">[1]!PropsSI("D","T",K21+273.15,"P",101325,"Water")</f>
        <v>987.33431164440276</v>
      </c>
      <c r="S21">
        <f t="shared" si="1"/>
        <v>986.32503033048647</v>
      </c>
      <c r="T21" cm="1">
        <f t="array" ref="T21">[1]!PropsSI("H","T",J21+273.15,"P",101325,"Water")</f>
        <v>233572.9296096584</v>
      </c>
      <c r="U21" cm="1">
        <f t="array" ref="U21">[1]!PropsSI("H","T",K21+273.15,"P",101325,"Water")</f>
        <v>215826.11800134787</v>
      </c>
      <c r="V21">
        <f t="shared" si="2"/>
        <v>366.91008004272118</v>
      </c>
    </row>
    <row r="22" spans="1:22" x14ac:dyDescent="0.2">
      <c r="A22">
        <v>46122.700619212963</v>
      </c>
      <c r="B22">
        <v>20.734359999999999</v>
      </c>
      <c r="C22">
        <v>20.741896000000001</v>
      </c>
      <c r="D22">
        <v>20.542463000000001</v>
      </c>
      <c r="E22">
        <v>20.602160999999999</v>
      </c>
      <c r="F22">
        <v>39.204549</v>
      </c>
      <c r="G22">
        <v>34.459493000000002</v>
      </c>
      <c r="H22">
        <v>34.055326999999998</v>
      </c>
      <c r="I22">
        <v>27.292027000000001</v>
      </c>
      <c r="J22">
        <v>55.775626000000003</v>
      </c>
      <c r="K22">
        <v>51.532668999999999</v>
      </c>
      <c r="L22">
        <v>17.840591</v>
      </c>
      <c r="M22">
        <v>-622.47183800000005</v>
      </c>
      <c r="N22">
        <v>1.2609589999999999</v>
      </c>
      <c r="O22">
        <v>5.9982150000000001</v>
      </c>
      <c r="P22">
        <f t="shared" si="0"/>
        <v>2.101598333333333E-5</v>
      </c>
      <c r="Q22" cm="1">
        <f t="array" ref="Q22">[1]!PropsSI("D","T",J22+273.15,"P",101325,"Water")</f>
        <v>985.31567126734808</v>
      </c>
      <c r="R22" cm="1">
        <f t="array" ref="R22">[1]!PropsSI("D","T",K22+273.15,"P",101325,"Water")</f>
        <v>987.33416464501556</v>
      </c>
      <c r="S22">
        <f t="shared" si="1"/>
        <v>986.32491795618182</v>
      </c>
      <c r="T22" cm="1">
        <f t="array" ref="T22">[1]!PropsSI("H","T",J22+273.15,"P",101325,"Water")</f>
        <v>233573.59474510566</v>
      </c>
      <c r="U22" cm="1">
        <f t="array" ref="U22">[1]!PropsSI("H","T",K22+273.15,"P",101325,"Water")</f>
        <v>215827.44781220827</v>
      </c>
      <c r="V22">
        <f t="shared" si="2"/>
        <v>367.85256901642907</v>
      </c>
    </row>
    <row r="23" spans="1:22" x14ac:dyDescent="0.2">
      <c r="A23">
        <v>46122.700677083332</v>
      </c>
      <c r="B23">
        <v>20.726143</v>
      </c>
      <c r="C23">
        <v>20.747209000000002</v>
      </c>
      <c r="D23">
        <v>20.531067</v>
      </c>
      <c r="E23">
        <v>20.607189000000002</v>
      </c>
      <c r="F23">
        <v>38.935865</v>
      </c>
      <c r="G23">
        <v>34.404068000000002</v>
      </c>
      <c r="H23">
        <v>34.195889999999999</v>
      </c>
      <c r="I23">
        <v>27.353487999999999</v>
      </c>
      <c r="J23">
        <v>55.779285999999999</v>
      </c>
      <c r="K23">
        <v>51.532986999999999</v>
      </c>
      <c r="L23">
        <v>19.338474999999999</v>
      </c>
      <c r="M23">
        <v>-622.50857099999996</v>
      </c>
      <c r="N23">
        <v>1.2605249999999999</v>
      </c>
      <c r="O23">
        <v>6.1598579999999998</v>
      </c>
      <c r="P23">
        <f t="shared" si="0"/>
        <v>2.1008750000000001E-5</v>
      </c>
      <c r="Q23" cm="1">
        <f t="array" ref="Q23">[1]!PropsSI("D","T",J23+273.15,"P",101325,"Water")</f>
        <v>985.31388152509351</v>
      </c>
      <c r="R23" cm="1">
        <f t="array" ref="R23">[1]!PropsSI("D","T",K23+273.15,"P",101325,"Water")</f>
        <v>987.33401764498399</v>
      </c>
      <c r="S23">
        <f t="shared" si="1"/>
        <v>986.32394958503869</v>
      </c>
      <c r="T23" cm="1">
        <f t="array" ref="T23">[1]!PropsSI("H","T",J23+273.15,"P",101325,"Water")</f>
        <v>233588.90541207232</v>
      </c>
      <c r="U23" cm="1">
        <f t="array" ref="U23">[1]!PropsSI("H","T",K23+273.15,"P",101325,"Water")</f>
        <v>215828.7776230177</v>
      </c>
      <c r="V23">
        <f t="shared" si="2"/>
        <v>368.01530295137019</v>
      </c>
    </row>
    <row r="24" spans="1:22" x14ac:dyDescent="0.2">
      <c r="A24">
        <v>46122.700734953702</v>
      </c>
      <c r="B24">
        <v>20.694383999999999</v>
      </c>
      <c r="C24">
        <v>20.748208999999999</v>
      </c>
      <c r="D24">
        <v>20.52</v>
      </c>
      <c r="E24">
        <v>20.597843999999998</v>
      </c>
      <c r="F24">
        <v>39.207346000000001</v>
      </c>
      <c r="G24">
        <v>34.113236999999998</v>
      </c>
      <c r="H24">
        <v>33.805897999999999</v>
      </c>
      <c r="I24">
        <v>27.273786999999999</v>
      </c>
      <c r="J24">
        <v>55.778491000000002</v>
      </c>
      <c r="K24">
        <v>51.539026999999997</v>
      </c>
      <c r="L24">
        <v>19.392758000000001</v>
      </c>
      <c r="M24">
        <v>-622.48897999999997</v>
      </c>
      <c r="N24">
        <v>1.2616430000000001</v>
      </c>
      <c r="O24">
        <v>5.8763339999999999</v>
      </c>
      <c r="P24">
        <f t="shared" si="0"/>
        <v>2.1027383333333335E-5</v>
      </c>
      <c r="Q24" cm="1">
        <f t="array" ref="Q24">[1]!PropsSI("D","T",J24+273.15,"P",101325,"Water")</f>
        <v>985.31427028761755</v>
      </c>
      <c r="R24" cm="1">
        <f t="array" ref="R24">[1]!PropsSI("D","T",K24+273.15,"P",101325,"Water")</f>
        <v>987.33122544535263</v>
      </c>
      <c r="S24">
        <f t="shared" si="1"/>
        <v>986.32274786648509</v>
      </c>
      <c r="T24" cm="1">
        <f t="array" ref="T24">[1]!PropsSI("H","T",J24+273.15,"P",101325,"Water")</f>
        <v>233585.57973396842</v>
      </c>
      <c r="U24" cm="1">
        <f t="array" ref="U24">[1]!PropsSI("H","T",K24+273.15,"P",101325,"Water")</f>
        <v>215854.03567130229</v>
      </c>
      <c r="V24">
        <f t="shared" si="2"/>
        <v>367.74843834836872</v>
      </c>
    </row>
    <row r="25" spans="1:22" x14ac:dyDescent="0.2">
      <c r="A25">
        <v>46122.700793402779</v>
      </c>
      <c r="B25">
        <v>20.688126</v>
      </c>
      <c r="C25">
        <v>20.731559000000001</v>
      </c>
      <c r="D25">
        <v>20.527487000000001</v>
      </c>
      <c r="E25">
        <v>20.580679</v>
      </c>
      <c r="F25">
        <v>39.234223</v>
      </c>
      <c r="G25">
        <v>33.842078999999998</v>
      </c>
      <c r="H25">
        <v>33.902126000000003</v>
      </c>
      <c r="I25">
        <v>27.501718</v>
      </c>
      <c r="J25">
        <v>55.777853999999998</v>
      </c>
      <c r="K25">
        <v>51.544589999999999</v>
      </c>
      <c r="L25">
        <v>19.769065999999999</v>
      </c>
      <c r="M25">
        <v>-622.5</v>
      </c>
      <c r="N25">
        <v>1.2585329999999999</v>
      </c>
      <c r="O25">
        <v>6.1851219999999998</v>
      </c>
      <c r="P25">
        <f t="shared" si="0"/>
        <v>2.0975549999999996E-5</v>
      </c>
      <c r="Q25" cm="1">
        <f t="array" ref="Q25">[1]!PropsSI("D","T",J25+273.15,"P",101325,"Water")</f>
        <v>985.31458178382024</v>
      </c>
      <c r="R25" cm="1">
        <f t="array" ref="R25">[1]!PropsSI("D","T",K25+273.15,"P",101325,"Water")</f>
        <v>987.32865354749651</v>
      </c>
      <c r="S25">
        <f t="shared" si="1"/>
        <v>986.32161766565832</v>
      </c>
      <c r="T25" cm="1">
        <f t="array" ref="T25">[1]!PropsSI("H","T",J25+273.15,"P",101325,"Water")</f>
        <v>233582.91500842653</v>
      </c>
      <c r="U25" cm="1">
        <f t="array" ref="U25">[1]!PropsSI("H","T",K25+273.15,"P",101325,"Water")</f>
        <v>215877.29901283453</v>
      </c>
      <c r="V25">
        <f t="shared" si="2"/>
        <v>366.30508711355668</v>
      </c>
    </row>
    <row r="26" spans="1:22" x14ac:dyDescent="0.2">
      <c r="A26">
        <v>46122.700851273148</v>
      </c>
      <c r="B26">
        <v>20.666875000000001</v>
      </c>
      <c r="C26">
        <v>20.707469</v>
      </c>
      <c r="D26">
        <v>20.514771</v>
      </c>
      <c r="E26">
        <v>20.585550000000001</v>
      </c>
      <c r="F26">
        <v>39.04081</v>
      </c>
      <c r="G26">
        <v>33.70581</v>
      </c>
      <c r="H26">
        <v>33.792166999999999</v>
      </c>
      <c r="I26">
        <v>27.329438</v>
      </c>
      <c r="J26">
        <v>55.778809000000003</v>
      </c>
      <c r="K26">
        <v>51.539026999999997</v>
      </c>
      <c r="L26">
        <v>18.802174999999998</v>
      </c>
      <c r="M26">
        <v>-622.480817</v>
      </c>
      <c r="N26">
        <v>1.2525630000000001</v>
      </c>
      <c r="O26">
        <v>5.9173039999999997</v>
      </c>
      <c r="P26">
        <f t="shared" si="0"/>
        <v>2.0876050000000001E-5</v>
      </c>
      <c r="Q26" cm="1">
        <f t="array" ref="Q26">[1]!PropsSI("D","T",J26+273.15,"P",101325,"Water")</f>
        <v>985.31411478306836</v>
      </c>
      <c r="R26" cm="1">
        <f t="array" ref="R26">[1]!PropsSI("D","T",K26+273.15,"P",101325,"Water")</f>
        <v>987.33122544535263</v>
      </c>
      <c r="S26">
        <f t="shared" si="1"/>
        <v>986.3226701142105</v>
      </c>
      <c r="T26" cm="1">
        <f t="array" ref="T26">[1]!PropsSI("H","T",J26+273.15,"P",101325,"Water")</f>
        <v>233586.91000519673</v>
      </c>
      <c r="U26" cm="1">
        <f t="array" ref="U26">[1]!PropsSI("H","T",K26+273.15,"P",101325,"Water")</f>
        <v>215854.03567130229</v>
      </c>
      <c r="V26">
        <f t="shared" si="2"/>
        <v>365.1291280554708</v>
      </c>
    </row>
    <row r="27" spans="1:22" x14ac:dyDescent="0.2">
      <c r="A27">
        <v>46122.700909143517</v>
      </c>
      <c r="B27">
        <v>20.676914</v>
      </c>
      <c r="C27">
        <v>20.696767999999999</v>
      </c>
      <c r="D27">
        <v>20.530294000000001</v>
      </c>
      <c r="E27">
        <v>20.581620000000001</v>
      </c>
      <c r="F27">
        <v>39.195281000000001</v>
      </c>
      <c r="G27">
        <v>34.530456999999998</v>
      </c>
      <c r="H27">
        <v>34.318021000000002</v>
      </c>
      <c r="I27">
        <v>27.315241</v>
      </c>
      <c r="J27">
        <v>55.778331000000001</v>
      </c>
      <c r="K27">
        <v>51.539980999999997</v>
      </c>
      <c r="L27">
        <v>18.864212999999999</v>
      </c>
      <c r="M27">
        <v>-622.50489800000003</v>
      </c>
      <c r="N27">
        <v>1.2561070000000001</v>
      </c>
      <c r="O27">
        <v>6.1699869999999999</v>
      </c>
      <c r="P27">
        <f t="shared" ref="P27:P90" si="3" xml:space="preserve"> N27*0.001/60</f>
        <v>2.0935116666666666E-5</v>
      </c>
      <c r="Q27" cm="1">
        <f t="array" ref="Q27">[1]!PropsSI("D","T",J27+273.15,"P",101325,"Water")</f>
        <v>985.31434852865368</v>
      </c>
      <c r="R27" cm="1">
        <f t="array" ref="R27">[1]!PropsSI("D","T",K27+273.15,"P",101325,"Water")</f>
        <v>987.33078440422867</v>
      </c>
      <c r="S27">
        <f t="shared" ref="S27:S90" si="4">(Q27+R27)/2</f>
        <v>986.32256646644123</v>
      </c>
      <c r="T27" cm="1">
        <f t="array" ref="T27">[1]!PropsSI("H","T",J27+273.15,"P",101325,"Water")</f>
        <v>233584.91041514263</v>
      </c>
      <c r="U27" cm="1">
        <f t="array" ref="U27">[1]!PropsSI("H","T",K27+273.15,"P",101325,"Water")</f>
        <v>215858.02510579786</v>
      </c>
      <c r="V27">
        <f t="shared" ref="V27:V90" si="5">S27*P27*(T27-U27)</f>
        <v>366.03851938307616</v>
      </c>
    </row>
    <row r="28" spans="1:22" x14ac:dyDescent="0.2">
      <c r="A28">
        <v>46122.700967592595</v>
      </c>
      <c r="B28">
        <v>20.675101999999999</v>
      </c>
      <c r="C28">
        <v>20.695899000000001</v>
      </c>
      <c r="D28">
        <v>20.517358999999999</v>
      </c>
      <c r="E28">
        <v>20.576626999999998</v>
      </c>
      <c r="F28">
        <v>39.041761000000001</v>
      </c>
      <c r="G28">
        <v>34.754925999999998</v>
      </c>
      <c r="H28">
        <v>33.977728999999997</v>
      </c>
      <c r="I28">
        <v>27.421810000000001</v>
      </c>
      <c r="J28">
        <v>55.777853999999998</v>
      </c>
      <c r="K28">
        <v>51.542206</v>
      </c>
      <c r="L28">
        <v>19.386635999999999</v>
      </c>
      <c r="M28">
        <v>-622.48938799999996</v>
      </c>
      <c r="N28">
        <v>1.255226</v>
      </c>
      <c r="O28">
        <v>5.8558240000000001</v>
      </c>
      <c r="P28">
        <f t="shared" si="3"/>
        <v>2.092043333333333E-5</v>
      </c>
      <c r="Q28" cm="1">
        <f t="array" ref="Q28">[1]!PropsSI("D","T",J28+273.15,"P",101325,"Water")</f>
        <v>985.31458178382024</v>
      </c>
      <c r="R28" cm="1">
        <f t="array" ref="R28">[1]!PropsSI("D","T",K28+273.15,"P",101325,"Water")</f>
        <v>987.3297557478204</v>
      </c>
      <c r="S28">
        <f t="shared" si="4"/>
        <v>986.32216876582038</v>
      </c>
      <c r="T28" cm="1">
        <f t="array" ref="T28">[1]!PropsSI("H","T",J28+273.15,"P",101325,"Water")</f>
        <v>233582.91500842653</v>
      </c>
      <c r="U28" cm="1">
        <f t="array" ref="U28">[1]!PropsSI("H","T",K28+273.15,"P",101325,"Water")</f>
        <v>215867.32960552748</v>
      </c>
      <c r="V28">
        <f t="shared" si="5"/>
        <v>365.54847670950323</v>
      </c>
    </row>
    <row r="29" spans="1:22" x14ac:dyDescent="0.2">
      <c r="A29">
        <v>46122.701026041665</v>
      </c>
      <c r="B29">
        <v>20.67568</v>
      </c>
      <c r="C29">
        <v>20.69276</v>
      </c>
      <c r="D29">
        <v>20.510971000000001</v>
      </c>
      <c r="E29">
        <v>20.571223</v>
      </c>
      <c r="F29">
        <v>38.917157000000003</v>
      </c>
      <c r="G29">
        <v>34.926744999999997</v>
      </c>
      <c r="H29">
        <v>33.751252000000001</v>
      </c>
      <c r="I29">
        <v>27.218945999999999</v>
      </c>
      <c r="J29">
        <v>55.777057999999997</v>
      </c>
      <c r="K29">
        <v>51.539186000000001</v>
      </c>
      <c r="L29">
        <v>19.256437999999999</v>
      </c>
      <c r="M29">
        <v>-622.49877600000002</v>
      </c>
      <c r="N29">
        <v>1.2602789999999999</v>
      </c>
      <c r="O29">
        <v>5.8371430000000002</v>
      </c>
      <c r="P29">
        <f t="shared" si="3"/>
        <v>2.1004649999999999E-5</v>
      </c>
      <c r="Q29" cm="1">
        <f t="array" ref="Q29">[1]!PropsSI("D","T",J29+273.15,"P",101325,"Water")</f>
        <v>985.31497102830156</v>
      </c>
      <c r="R29" cm="1">
        <f t="array" ref="R29">[1]!PropsSI("D","T",K29+273.15,"P",101325,"Water")</f>
        <v>987.33115193892024</v>
      </c>
      <c r="S29">
        <f t="shared" si="4"/>
        <v>986.3230614836109</v>
      </c>
      <c r="T29" cm="1">
        <f t="array" ref="T29">[1]!PropsSI("H","T",J29+273.15,"P",101325,"Water")</f>
        <v>233579.58514752414</v>
      </c>
      <c r="U29" cm="1">
        <f t="array" ref="U29">[1]!PropsSI("H","T",K29+273.15,"P",101325,"Water")</f>
        <v>215854.70057702644</v>
      </c>
      <c r="V29">
        <f t="shared" si="5"/>
        <v>367.21300414458028</v>
      </c>
    </row>
    <row r="30" spans="1:22" x14ac:dyDescent="0.2">
      <c r="A30">
        <v>46122.701083912034</v>
      </c>
      <c r="B30">
        <v>20.675360000000001</v>
      </c>
      <c r="C30">
        <v>20.700797000000001</v>
      </c>
      <c r="D30">
        <v>20.517382000000001</v>
      </c>
      <c r="E30">
        <v>20.570449</v>
      </c>
      <c r="F30">
        <v>39.390400999999997</v>
      </c>
      <c r="G30">
        <v>34.212646999999997</v>
      </c>
      <c r="H30">
        <v>33.628897000000002</v>
      </c>
      <c r="I30">
        <v>27.382065000000001</v>
      </c>
      <c r="J30">
        <v>55.773874999999997</v>
      </c>
      <c r="K30">
        <v>51.540934</v>
      </c>
      <c r="L30">
        <v>20.034358999999998</v>
      </c>
      <c r="M30">
        <v>-622.46612400000004</v>
      </c>
      <c r="N30">
        <v>1.259385</v>
      </c>
      <c r="O30">
        <v>5.8183230000000004</v>
      </c>
      <c r="P30">
        <f t="shared" si="3"/>
        <v>2.098975E-5</v>
      </c>
      <c r="Q30" cm="1">
        <f t="array" ref="Q30">[1]!PropsSI("D","T",J30+273.15,"P",101325,"Water")</f>
        <v>985.31652747825808</v>
      </c>
      <c r="R30" cm="1">
        <f t="array" ref="R30">[1]!PropsSI("D","T",K30+273.15,"P",101325,"Water")</f>
        <v>987.33034381957702</v>
      </c>
      <c r="S30">
        <f t="shared" si="4"/>
        <v>986.32343564891755</v>
      </c>
      <c r="T30" cm="1">
        <f t="array" ref="T30">[1]!PropsSI("H","T",J30+273.15,"P",101325,"Water")</f>
        <v>233566.26988953378</v>
      </c>
      <c r="U30" cm="1">
        <f t="array" ref="U30">[1]!PropsSI("H","T",K30+273.15,"P",101325,"Water")</f>
        <v>215862.01035872143</v>
      </c>
      <c r="V30">
        <f t="shared" si="5"/>
        <v>366.52566101468767</v>
      </c>
    </row>
    <row r="31" spans="1:22" x14ac:dyDescent="0.2">
      <c r="A31">
        <v>46122.701141782411</v>
      </c>
      <c r="B31">
        <v>20.661487000000001</v>
      </c>
      <c r="C31">
        <v>20.672419000000001</v>
      </c>
      <c r="D31">
        <v>20.498524</v>
      </c>
      <c r="E31">
        <v>20.565564999999999</v>
      </c>
      <c r="F31">
        <v>39.066021999999997</v>
      </c>
      <c r="G31">
        <v>34.753968</v>
      </c>
      <c r="H31">
        <v>33.282136000000001</v>
      </c>
      <c r="I31">
        <v>27.418572999999999</v>
      </c>
      <c r="J31">
        <v>55.773874999999997</v>
      </c>
      <c r="K31">
        <v>51.542046999999997</v>
      </c>
      <c r="L31">
        <v>17.954463000000001</v>
      </c>
      <c r="M31">
        <v>-622.46694000000002</v>
      </c>
      <c r="N31">
        <v>1.2587010000000001</v>
      </c>
      <c r="O31">
        <v>5.7990959999999996</v>
      </c>
      <c r="P31">
        <f t="shared" si="3"/>
        <v>2.0978350000000002E-5</v>
      </c>
      <c r="Q31" cm="1">
        <f t="array" ref="Q31">[1]!PropsSI("D","T",J31+273.15,"P",101325,"Water")</f>
        <v>985.31652747825808</v>
      </c>
      <c r="R31" cm="1">
        <f t="array" ref="R31">[1]!PropsSI("D","T",K31+273.15,"P",101325,"Water")</f>
        <v>987.32982925735064</v>
      </c>
      <c r="S31">
        <f t="shared" si="4"/>
        <v>986.3231783678043</v>
      </c>
      <c r="T31" cm="1">
        <f t="array" ref="T31">[1]!PropsSI("H","T",J31+273.15,"P",101325,"Water")</f>
        <v>233566.26988953378</v>
      </c>
      <c r="U31" cm="1">
        <f t="array" ref="U31">[1]!PropsSI("H","T",K31+273.15,"P",101325,"Water")</f>
        <v>215866.66469968323</v>
      </c>
      <c r="V31">
        <f t="shared" si="5"/>
        <v>366.23019223805107</v>
      </c>
    </row>
    <row r="32" spans="1:22" x14ac:dyDescent="0.2">
      <c r="A32">
        <v>46122.70120023148</v>
      </c>
      <c r="B32">
        <v>20.671033999999999</v>
      </c>
      <c r="C32">
        <v>20.676546999999999</v>
      </c>
      <c r="D32">
        <v>20.512398000000001</v>
      </c>
      <c r="E32">
        <v>20.576540000000001</v>
      </c>
      <c r="F32">
        <v>38.884864999999998</v>
      </c>
      <c r="G32">
        <v>33.898867000000003</v>
      </c>
      <c r="H32">
        <v>34.329329000000001</v>
      </c>
      <c r="I32">
        <v>27.207550999999999</v>
      </c>
      <c r="J32">
        <v>55.773716</v>
      </c>
      <c r="K32">
        <v>51.538232000000001</v>
      </c>
      <c r="L32">
        <v>19.673152000000002</v>
      </c>
      <c r="M32">
        <v>-622.48816399999998</v>
      </c>
      <c r="N32">
        <v>1.260303</v>
      </c>
      <c r="O32">
        <v>5.9712870000000002</v>
      </c>
      <c r="P32">
        <f t="shared" si="3"/>
        <v>2.100505E-5</v>
      </c>
      <c r="Q32" cm="1">
        <f t="array" ref="Q32">[1]!PropsSI("D","T",J32+273.15,"P",101325,"Water")</f>
        <v>985.31660522577147</v>
      </c>
      <c r="R32" cm="1">
        <f t="array" ref="R32">[1]!PropsSI("D","T",K32+273.15,"P",101325,"Water")</f>
        <v>987.33159297513271</v>
      </c>
      <c r="S32">
        <f t="shared" si="4"/>
        <v>986.32409910045203</v>
      </c>
      <c r="T32" cm="1">
        <f t="array" ref="T32">[1]!PropsSI("H","T",J32+273.15,"P",101325,"Water")</f>
        <v>233565.60475420469</v>
      </c>
      <c r="U32" cm="1">
        <f t="array" ref="U32">[1]!PropsSI("H","T",K32+273.15,"P",101325,"Water")</f>
        <v>215850.7111427988</v>
      </c>
      <c r="V32">
        <f t="shared" si="5"/>
        <v>367.01339288426931</v>
      </c>
    </row>
    <row r="33" spans="1:22" x14ac:dyDescent="0.2">
      <c r="A33">
        <v>46122.70125810185</v>
      </c>
      <c r="B33">
        <v>20.640716999999999</v>
      </c>
      <c r="C33">
        <v>20.677354000000001</v>
      </c>
      <c r="D33">
        <v>20.506243000000001</v>
      </c>
      <c r="E33">
        <v>20.570678000000001</v>
      </c>
      <c r="F33">
        <v>39.077544000000003</v>
      </c>
      <c r="G33">
        <v>33.311813999999998</v>
      </c>
      <c r="H33">
        <v>34.553404</v>
      </c>
      <c r="I33">
        <v>27.232348000000002</v>
      </c>
      <c r="J33">
        <v>55.776262000000003</v>
      </c>
      <c r="K33">
        <v>51.533782000000002</v>
      </c>
      <c r="L33">
        <v>19.658051</v>
      </c>
      <c r="M33">
        <v>-622.49102100000005</v>
      </c>
      <c r="N33">
        <v>1.260521</v>
      </c>
      <c r="O33">
        <v>5.6314919999999997</v>
      </c>
      <c r="P33">
        <f t="shared" si="3"/>
        <v>2.1008683333333334E-5</v>
      </c>
      <c r="Q33" cm="1">
        <f t="array" ref="Q33">[1]!PropsSI("D","T",J33+273.15,"P",101325,"Water")</f>
        <v>985.31536026889523</v>
      </c>
      <c r="R33" cm="1">
        <f t="array" ref="R33">[1]!PropsSI("D","T",K33+273.15,"P",101325,"Water")</f>
        <v>987.33365014207732</v>
      </c>
      <c r="S33">
        <f t="shared" si="4"/>
        <v>986.32450520548628</v>
      </c>
      <c r="T33" cm="1">
        <f t="array" ref="T33">[1]!PropsSI("H","T",J33+273.15,"P",101325,"Water")</f>
        <v>233576.25528685754</v>
      </c>
      <c r="U33" cm="1">
        <f t="array" ref="U33">[1]!PropsSI("H","T",K33+273.15,"P",101325,"Water")</f>
        <v>215832.10215025517</v>
      </c>
      <c r="V33">
        <f t="shared" si="5"/>
        <v>367.68332561583878</v>
      </c>
    </row>
    <row r="34" spans="1:22" x14ac:dyDescent="0.2">
      <c r="A34">
        <v>46122.701316550927</v>
      </c>
      <c r="B34">
        <v>20.622619</v>
      </c>
      <c r="C34">
        <v>20.669620999999999</v>
      </c>
      <c r="D34">
        <v>20.509416999999999</v>
      </c>
      <c r="E34">
        <v>20.565552</v>
      </c>
      <c r="F34">
        <v>39.076782999999999</v>
      </c>
      <c r="G34">
        <v>34.655560000000001</v>
      </c>
      <c r="H34">
        <v>34.599797000000002</v>
      </c>
      <c r="I34">
        <v>27.127575</v>
      </c>
      <c r="J34">
        <v>55.774352999999998</v>
      </c>
      <c r="K34">
        <v>51.537596000000001</v>
      </c>
      <c r="L34">
        <v>18.911966</v>
      </c>
      <c r="M34">
        <v>-622.49347</v>
      </c>
      <c r="N34">
        <v>1.257849</v>
      </c>
      <c r="O34">
        <v>5.9370139999999996</v>
      </c>
      <c r="P34">
        <f t="shared" si="3"/>
        <v>2.0964150000000002E-5</v>
      </c>
      <c r="Q34" cm="1">
        <f t="array" ref="Q34">[1]!PropsSI("D","T",J34+273.15,"P",101325,"Water")</f>
        <v>985.31629374578642</v>
      </c>
      <c r="R34" cm="1">
        <f t="array" ref="R34">[1]!PropsSI("D","T",K34+273.15,"P",101325,"Water")</f>
        <v>987.33188699603738</v>
      </c>
      <c r="S34">
        <f t="shared" si="4"/>
        <v>986.3240903709119</v>
      </c>
      <c r="T34" cm="1">
        <f t="array" ref="T34">[1]!PropsSI("H","T",J34+273.15,"P",101325,"Water")</f>
        <v>233568.26947876083</v>
      </c>
      <c r="U34" cm="1">
        <f t="array" ref="U34">[1]!PropsSI("H","T",K34+273.15,"P",101325,"Water")</f>
        <v>215848.05152010481</v>
      </c>
      <c r="V34">
        <f t="shared" si="5"/>
        <v>366.40885312290573</v>
      </c>
    </row>
    <row r="35" spans="1:22" x14ac:dyDescent="0.2">
      <c r="A35">
        <v>46122.701374421296</v>
      </c>
      <c r="B35">
        <v>20.636797999999999</v>
      </c>
      <c r="C35">
        <v>20.664415999999999</v>
      </c>
      <c r="D35">
        <v>20.513263999999999</v>
      </c>
      <c r="E35">
        <v>20.581531999999999</v>
      </c>
      <c r="F35">
        <v>39.232323000000001</v>
      </c>
      <c r="G35">
        <v>34.648192000000002</v>
      </c>
      <c r="H35">
        <v>32.914782000000002</v>
      </c>
      <c r="I35">
        <v>27.464400999999999</v>
      </c>
      <c r="J35">
        <v>55.774512000000001</v>
      </c>
      <c r="K35">
        <v>51.536484000000002</v>
      </c>
      <c r="L35">
        <v>18.123434</v>
      </c>
      <c r="M35">
        <v>-622.48122499999999</v>
      </c>
      <c r="N35">
        <v>1.2587870000000001</v>
      </c>
      <c r="O35">
        <v>5.8179290000000004</v>
      </c>
      <c r="P35">
        <f t="shared" si="3"/>
        <v>2.0979783333333335E-5</v>
      </c>
      <c r="Q35" cm="1">
        <f t="array" ref="Q35">[1]!PropsSI("D","T",J35+273.15,"P",101325,"Water")</f>
        <v>985.31621599767811</v>
      </c>
      <c r="R35" cm="1">
        <f t="array" ref="R35">[1]!PropsSI("D","T",K35+273.15,"P",101325,"Water")</f>
        <v>987.33240106404048</v>
      </c>
      <c r="S35">
        <f t="shared" si="4"/>
        <v>986.3243085308593</v>
      </c>
      <c r="T35" cm="1">
        <f t="array" ref="T35">[1]!PropsSI("H","T",J35+273.15,"P",101325,"Water")</f>
        <v>233568.93461409782</v>
      </c>
      <c r="U35" cm="1">
        <f t="array" ref="U35">[1]!PropsSI("H","T",K35+273.15,"P",101325,"Water")</f>
        <v>215843.4013625081</v>
      </c>
      <c r="V35">
        <f t="shared" si="5"/>
        <v>366.79216038518939</v>
      </c>
    </row>
    <row r="36" spans="1:22" x14ac:dyDescent="0.2">
      <c r="A36">
        <v>46122.701432291666</v>
      </c>
      <c r="B36">
        <v>20.616212000000001</v>
      </c>
      <c r="C36">
        <v>20.682997</v>
      </c>
      <c r="D36">
        <v>20.512812</v>
      </c>
      <c r="E36">
        <v>20.604050999999998</v>
      </c>
      <c r="F36">
        <v>38.916226000000002</v>
      </c>
      <c r="G36">
        <v>35.041418999999998</v>
      </c>
      <c r="H36">
        <v>34.219774000000001</v>
      </c>
      <c r="I36">
        <v>27.260078</v>
      </c>
      <c r="J36">
        <v>55.774034</v>
      </c>
      <c r="K36">
        <v>51.539504000000001</v>
      </c>
      <c r="L36">
        <v>18.583003000000001</v>
      </c>
      <c r="M36">
        <v>-622.50571400000001</v>
      </c>
      <c r="N36">
        <v>1.2595000000000001</v>
      </c>
      <c r="O36">
        <v>6.1719689999999998</v>
      </c>
      <c r="P36">
        <f t="shared" si="3"/>
        <v>2.0991666666666668E-5</v>
      </c>
      <c r="Q36" cm="1">
        <f t="array" ref="Q36">[1]!PropsSI("D","T",J36+273.15,"P",101325,"Water")</f>
        <v>985.31644973060145</v>
      </c>
      <c r="R36" cm="1">
        <f t="array" ref="R36">[1]!PropsSI("D","T",K36+273.15,"P",101325,"Water")</f>
        <v>987.33100492554706</v>
      </c>
      <c r="S36">
        <f t="shared" si="4"/>
        <v>986.32372732807426</v>
      </c>
      <c r="T36" cm="1">
        <f t="array" ref="T36">[1]!PropsSI("H","T",J36+273.15,"P",101325,"Water")</f>
        <v>233566.93502483092</v>
      </c>
      <c r="U36" cm="1">
        <f t="array" ref="U36">[1]!PropsSI("H","T",K36+273.15,"P",101325,"Water")</f>
        <v>215856.03038850753</v>
      </c>
      <c r="V36">
        <f t="shared" si="5"/>
        <v>366.69682260130139</v>
      </c>
    </row>
    <row r="37" spans="1:22" x14ac:dyDescent="0.2">
      <c r="A37">
        <v>46122.701490740743</v>
      </c>
      <c r="B37">
        <v>20.624908000000001</v>
      </c>
      <c r="C37">
        <v>20.690691000000001</v>
      </c>
      <c r="D37">
        <v>20.530483</v>
      </c>
      <c r="E37">
        <v>20.604085000000001</v>
      </c>
      <c r="F37">
        <v>39.100802000000002</v>
      </c>
      <c r="G37">
        <v>34.444367</v>
      </c>
      <c r="H37">
        <v>33.542789999999997</v>
      </c>
      <c r="I37">
        <v>27.006810000000002</v>
      </c>
      <c r="J37">
        <v>55.774352999999998</v>
      </c>
      <c r="K37">
        <v>51.537596000000001</v>
      </c>
      <c r="L37">
        <v>18.246285</v>
      </c>
      <c r="M37">
        <v>-622.48979599999996</v>
      </c>
      <c r="N37">
        <v>1.2578689999999999</v>
      </c>
      <c r="O37">
        <v>5.5369460000000004</v>
      </c>
      <c r="P37">
        <f t="shared" si="3"/>
        <v>2.0964483333333332E-5</v>
      </c>
      <c r="Q37" cm="1">
        <f t="array" ref="Q37">[1]!PropsSI("D","T",J37+273.15,"P",101325,"Water")</f>
        <v>985.31629374578642</v>
      </c>
      <c r="R37" cm="1">
        <f t="array" ref="R37">[1]!PropsSI("D","T",K37+273.15,"P",101325,"Water")</f>
        <v>987.33188699603738</v>
      </c>
      <c r="S37">
        <f t="shared" si="4"/>
        <v>986.3240903709119</v>
      </c>
      <c r="T37" cm="1">
        <f t="array" ref="T37">[1]!PropsSI("H","T",J37+273.15,"P",101325,"Water")</f>
        <v>233568.26947876083</v>
      </c>
      <c r="U37" cm="1">
        <f t="array" ref="U37">[1]!PropsSI("H","T",K37+273.15,"P",101325,"Water")</f>
        <v>215848.05152010481</v>
      </c>
      <c r="V37">
        <f t="shared" si="5"/>
        <v>366.41467908219209</v>
      </c>
    </row>
    <row r="38" spans="1:22" x14ac:dyDescent="0.2">
      <c r="A38">
        <v>44660.701548611301</v>
      </c>
      <c r="B38">
        <v>20.651579999999999</v>
      </c>
      <c r="C38">
        <v>20.697409</v>
      </c>
      <c r="D38">
        <v>20.553677</v>
      </c>
      <c r="E38">
        <v>20.627040000000001</v>
      </c>
      <c r="F38">
        <v>38.930461999999999</v>
      </c>
      <c r="G38">
        <v>33.928372000000003</v>
      </c>
      <c r="H38">
        <v>33.788006000000003</v>
      </c>
      <c r="I38">
        <v>27.133914000000001</v>
      </c>
      <c r="J38">
        <v>55.769736999999999</v>
      </c>
      <c r="K38">
        <v>51.538232000000001</v>
      </c>
      <c r="L38">
        <v>20.075581</v>
      </c>
      <c r="M38">
        <v>-622.46041000000002</v>
      </c>
      <c r="N38">
        <v>1.259603</v>
      </c>
      <c r="O38">
        <v>5.8355160000000001</v>
      </c>
      <c r="P38">
        <f t="shared" si="3"/>
        <v>2.0993383333333335E-5</v>
      </c>
      <c r="Q38" cm="1">
        <f t="array" ref="Q38">[1]!PropsSI("D","T",J38+273.15,"P",101325,"Water")</f>
        <v>985.31855081883305</v>
      </c>
      <c r="R38" cm="1">
        <f t="array" ref="R38">[1]!PropsSI("D","T",K38+273.15,"P",101325,"Water")</f>
        <v>987.33159297513271</v>
      </c>
      <c r="S38">
        <f t="shared" si="4"/>
        <v>986.32507189698288</v>
      </c>
      <c r="T38" cm="1">
        <f t="array" ref="T38">[1]!PropsSI("H","T",J38+273.15,"P",101325,"Water")</f>
        <v>233548.95964140334</v>
      </c>
      <c r="U38" cm="1">
        <f t="array" ref="U38">[1]!PropsSI("H","T",K38+273.15,"P",101325,"Water")</f>
        <v>215850.7111427988</v>
      </c>
      <c r="V38">
        <f t="shared" si="5"/>
        <v>366.46524864939835</v>
      </c>
    </row>
    <row r="39" spans="1:22" x14ac:dyDescent="0.2">
      <c r="A39">
        <v>44660.7016064817</v>
      </c>
      <c r="B39">
        <v>20.636143000000001</v>
      </c>
      <c r="C39">
        <v>20.726897999999998</v>
      </c>
      <c r="D39">
        <v>20.554617</v>
      </c>
      <c r="E39">
        <v>20.624065999999999</v>
      </c>
      <c r="F39">
        <v>39.252308999999997</v>
      </c>
      <c r="G39">
        <v>33.867730999999999</v>
      </c>
      <c r="H39">
        <v>33.738342000000003</v>
      </c>
      <c r="I39">
        <v>27.352228</v>
      </c>
      <c r="J39">
        <v>55.764963000000002</v>
      </c>
      <c r="K39">
        <v>51.535848000000001</v>
      </c>
      <c r="L39">
        <v>19.520914999999999</v>
      </c>
      <c r="M39">
        <v>-622.49673499999994</v>
      </c>
      <c r="N39">
        <v>1.2604880000000001</v>
      </c>
      <c r="O39">
        <v>5.7729049999999997</v>
      </c>
      <c r="P39">
        <f t="shared" si="3"/>
        <v>2.1008133333333336E-5</v>
      </c>
      <c r="Q39" cm="1">
        <f t="array" ref="Q39">[1]!PropsSI("D","T",J39+273.15,"P",101325,"Water")</f>
        <v>985.32088501064061</v>
      </c>
      <c r="R39" cm="1">
        <f t="array" ref="R39">[1]!PropsSI("D","T",K39+273.15,"P",101325,"Water")</f>
        <v>987.33269507774651</v>
      </c>
      <c r="S39">
        <f t="shared" si="4"/>
        <v>986.32679004419356</v>
      </c>
      <c r="T39" cm="1">
        <f t="array" ref="T39">[1]!PropsSI("H","T",J39+273.15,"P",101325,"Water")</f>
        <v>233528.98886054207</v>
      </c>
      <c r="U39" cm="1">
        <f t="array" ref="U39">[1]!PropsSI("H","T",K39+273.15,"P",101325,"Water")</f>
        <v>215840.74174019022</v>
      </c>
      <c r="V39">
        <f t="shared" si="5"/>
        <v>366.51612939985728</v>
      </c>
    </row>
    <row r="40" spans="1:22" x14ac:dyDescent="0.2">
      <c r="A40">
        <v>44660.701664930697</v>
      </c>
      <c r="B40">
        <v>20.689546</v>
      </c>
      <c r="C40">
        <v>20.756872999999999</v>
      </c>
      <c r="D40">
        <v>20.577393000000001</v>
      </c>
      <c r="E40">
        <v>20.64546</v>
      </c>
      <c r="F40">
        <v>39.203754000000004</v>
      </c>
      <c r="G40">
        <v>33.732588999999997</v>
      </c>
      <c r="H40">
        <v>34.423884000000001</v>
      </c>
      <c r="I40">
        <v>27.442771</v>
      </c>
      <c r="J40">
        <v>55.764007999999997</v>
      </c>
      <c r="K40">
        <v>51.533622999999999</v>
      </c>
      <c r="L40">
        <v>19.495609999999999</v>
      </c>
      <c r="M40">
        <v>-622.54367100000002</v>
      </c>
      <c r="N40">
        <v>1.2601230000000001</v>
      </c>
      <c r="O40">
        <v>5.8140020000000003</v>
      </c>
      <c r="P40">
        <f t="shared" si="3"/>
        <v>2.1002050000000003E-5</v>
      </c>
      <c r="Q40" cm="1">
        <f t="array" ref="Q40">[1]!PropsSI("D","T",J40+273.15,"P",101325,"Water")</f>
        <v>985.32135192995361</v>
      </c>
      <c r="R40" cm="1">
        <f t="array" ref="R40">[1]!PropsSI("D","T",K40+273.15,"P",101325,"Water")</f>
        <v>987.33372364301192</v>
      </c>
      <c r="S40">
        <f t="shared" si="4"/>
        <v>986.32753778648271</v>
      </c>
      <c r="T40" cm="1">
        <f t="array" ref="T40">[1]!PropsSI("H","T",J40+273.15,"P",101325,"Water")</f>
        <v>233524.99386870608</v>
      </c>
      <c r="U40" cm="1">
        <f t="array" ref="U40">[1]!PropsSI("H","T",K40+273.15,"P",101325,"Water")</f>
        <v>215831.43724478286</v>
      </c>
      <c r="V40">
        <f t="shared" si="5"/>
        <v>366.52026079714398</v>
      </c>
    </row>
    <row r="41" spans="1:22" x14ac:dyDescent="0.2">
      <c r="A41">
        <v>44660.701722801103</v>
      </c>
      <c r="B41">
        <v>20.701297</v>
      </c>
      <c r="C41">
        <v>20.765972000000001</v>
      </c>
      <c r="D41">
        <v>20.583707</v>
      </c>
      <c r="E41">
        <v>20.646426000000002</v>
      </c>
      <c r="F41">
        <v>39.291353999999998</v>
      </c>
      <c r="G41">
        <v>34.731687999999998</v>
      </c>
      <c r="H41">
        <v>33.624772</v>
      </c>
      <c r="I41">
        <v>27.688932000000001</v>
      </c>
      <c r="J41">
        <v>55.767190999999997</v>
      </c>
      <c r="K41">
        <v>51.536484000000002</v>
      </c>
      <c r="L41">
        <v>20.143740999999999</v>
      </c>
      <c r="M41">
        <v>-622.44775800000002</v>
      </c>
      <c r="N41">
        <v>1.2598320000000001</v>
      </c>
      <c r="O41">
        <v>5.8913419999999999</v>
      </c>
      <c r="P41">
        <f t="shared" si="3"/>
        <v>2.0997199999999999E-5</v>
      </c>
      <c r="Q41" cm="1">
        <f t="array" ref="Q41">[1]!PropsSI("D","T",J41+273.15,"P",101325,"Water")</f>
        <v>985.31979567341205</v>
      </c>
      <c r="R41" cm="1">
        <f t="array" ref="R41">[1]!PropsSI("D","T",K41+273.15,"P",101325,"Water")</f>
        <v>987.33240106404048</v>
      </c>
      <c r="S41">
        <f t="shared" si="4"/>
        <v>986.32609836872621</v>
      </c>
      <c r="T41" cm="1">
        <f t="array" ref="T41">[1]!PropsSI("H","T",J41+273.15,"P",101325,"Water")</f>
        <v>233538.30911499046</v>
      </c>
      <c r="U41" cm="1">
        <f t="array" ref="U41">[1]!PropsSI("H","T",K41+273.15,"P",101325,"Water")</f>
        <v>215843.4013625081</v>
      </c>
      <c r="V41">
        <f t="shared" si="5"/>
        <v>366.46306755640103</v>
      </c>
    </row>
    <row r="42" spans="1:22" x14ac:dyDescent="0.2">
      <c r="A42">
        <v>46122.701781249998</v>
      </c>
      <c r="B42">
        <v>20.678495000000002</v>
      </c>
      <c r="C42">
        <v>20.744057999999999</v>
      </c>
      <c r="D42">
        <v>20.578735999999999</v>
      </c>
      <c r="E42">
        <v>20.622674</v>
      </c>
      <c r="F42">
        <v>39.169553000000001</v>
      </c>
      <c r="G42">
        <v>33.864308999999999</v>
      </c>
      <c r="H42">
        <v>33.855142999999998</v>
      </c>
      <c r="I42">
        <v>27.777944999999999</v>
      </c>
      <c r="J42">
        <v>55.764803999999998</v>
      </c>
      <c r="K42">
        <v>51.536642999999998</v>
      </c>
      <c r="L42">
        <v>19.812328999999998</v>
      </c>
      <c r="M42">
        <v>-622.48326599999996</v>
      </c>
      <c r="N42">
        <v>1.2563979999999999</v>
      </c>
      <c r="O42">
        <v>5.9550840000000003</v>
      </c>
      <c r="P42">
        <f t="shared" si="3"/>
        <v>2.0939966666666666E-5</v>
      </c>
      <c r="Q42" cm="1">
        <f t="array" ref="Q42">[1]!PropsSI("D","T",J42+273.15,"P",101325,"Water")</f>
        <v>985.32096274943001</v>
      </c>
      <c r="R42" cm="1">
        <f t="array" ref="R42">[1]!PropsSI("D","T",K42+273.15,"P",101325,"Water")</f>
        <v>987.33232756019038</v>
      </c>
      <c r="S42">
        <f t="shared" si="4"/>
        <v>986.32664515481019</v>
      </c>
      <c r="T42" cm="1">
        <f t="array" ref="T42">[1]!PropsSI("H","T",J42+273.15,"P",101325,"Water")</f>
        <v>233528.32372572293</v>
      </c>
      <c r="U42" cm="1">
        <f t="array" ref="U42">[1]!PropsSI("H","T",K42+273.15,"P",101325,"Water")</f>
        <v>215844.0662681043</v>
      </c>
      <c r="V42">
        <f t="shared" si="5"/>
        <v>365.24441225980729</v>
      </c>
    </row>
    <row r="43" spans="1:22" x14ac:dyDescent="0.2">
      <c r="A43">
        <v>46122.701839120367</v>
      </c>
      <c r="B43">
        <v>20.667629999999999</v>
      </c>
      <c r="C43">
        <v>20.737463000000002</v>
      </c>
      <c r="D43">
        <v>20.565180000000002</v>
      </c>
      <c r="E43">
        <v>20.626942</v>
      </c>
      <c r="F43">
        <v>38.979883000000001</v>
      </c>
      <c r="G43">
        <v>34.520090000000003</v>
      </c>
      <c r="H43">
        <v>34.166415999999998</v>
      </c>
      <c r="I43">
        <v>27.315546999999999</v>
      </c>
      <c r="J43">
        <v>55.763849</v>
      </c>
      <c r="K43">
        <v>51.537596000000001</v>
      </c>
      <c r="L43">
        <v>18.831154000000002</v>
      </c>
      <c r="M43">
        <v>-622.48163399999999</v>
      </c>
      <c r="N43">
        <v>1.259803</v>
      </c>
      <c r="O43">
        <v>6.2133459999999996</v>
      </c>
      <c r="P43">
        <f t="shared" si="3"/>
        <v>2.0996716666666668E-5</v>
      </c>
      <c r="Q43" cm="1">
        <f t="array" ref="Q43">[1]!PropsSI("D","T",J43+273.15,"P",101325,"Water")</f>
        <v>985.32142966779804</v>
      </c>
      <c r="R43" cm="1">
        <f t="array" ref="R43">[1]!PropsSI("D","T",K43+273.15,"P",101325,"Water")</f>
        <v>987.33188699603738</v>
      </c>
      <c r="S43">
        <f t="shared" si="4"/>
        <v>986.32665833191777</v>
      </c>
      <c r="T43" cm="1">
        <f t="array" ref="T43">[1]!PropsSI("H","T",J43+273.15,"P",101325,"Water")</f>
        <v>233524.32873395502</v>
      </c>
      <c r="U43" cm="1">
        <f t="array" ref="U43">[1]!PropsSI("H","T",K43+273.15,"P",101325,"Water")</f>
        <v>215848.05152010481</v>
      </c>
      <c r="V43">
        <f t="shared" si="5"/>
        <v>366.06900860884696</v>
      </c>
    </row>
    <row r="44" spans="1:22" x14ac:dyDescent="0.2">
      <c r="A44">
        <v>46122.701897569445</v>
      </c>
      <c r="B44">
        <v>20.682596</v>
      </c>
      <c r="C44">
        <v>20.70983</v>
      </c>
      <c r="D44">
        <v>20.548227000000001</v>
      </c>
      <c r="E44">
        <v>20.620038000000001</v>
      </c>
      <c r="F44">
        <v>38.912927000000003</v>
      </c>
      <c r="G44">
        <v>33.870561000000002</v>
      </c>
      <c r="H44">
        <v>34.199506</v>
      </c>
      <c r="I44">
        <v>27.452210999999998</v>
      </c>
      <c r="J44">
        <v>55.761780000000002</v>
      </c>
      <c r="K44">
        <v>51.539344999999997</v>
      </c>
      <c r="L44">
        <v>19.383779000000001</v>
      </c>
      <c r="M44">
        <v>-622.47265400000003</v>
      </c>
      <c r="N44">
        <v>1.260111</v>
      </c>
      <c r="O44">
        <v>6.0801420000000004</v>
      </c>
      <c r="P44">
        <f t="shared" si="3"/>
        <v>2.100185E-5</v>
      </c>
      <c r="Q44" cm="1">
        <f t="array" ref="Q44">[1]!PropsSI("D","T",J44+273.15,"P",101325,"Water")</f>
        <v>985.32244122351733</v>
      </c>
      <c r="R44" cm="1">
        <f t="array" ref="R44">[1]!PropsSI("D","T",K44+273.15,"P",101325,"Water")</f>
        <v>987.331078432298</v>
      </c>
      <c r="S44">
        <f t="shared" si="4"/>
        <v>986.32675982790761</v>
      </c>
      <c r="T44" cm="1">
        <f t="array" ref="T44">[1]!PropsSI("H","T",J44+273.15,"P",101325,"Water")</f>
        <v>233515.67361683855</v>
      </c>
      <c r="U44" cm="1">
        <f t="array" ref="U44">[1]!PropsSI("H","T",K44+273.15,"P",101325,"Water")</f>
        <v>215855.36548276836</v>
      </c>
      <c r="V44">
        <f t="shared" si="5"/>
        <v>365.82774933206167</v>
      </c>
    </row>
    <row r="45" spans="1:22" x14ac:dyDescent="0.2">
      <c r="A45">
        <v>46122.701955439814</v>
      </c>
      <c r="B45">
        <v>20.670497999999998</v>
      </c>
      <c r="C45">
        <v>20.698993000000002</v>
      </c>
      <c r="D45">
        <v>20.538784</v>
      </c>
      <c r="E45">
        <v>20.600818</v>
      </c>
      <c r="F45">
        <v>39.227274999999999</v>
      </c>
      <c r="G45">
        <v>33.768625999999998</v>
      </c>
      <c r="H45">
        <v>33.222109000000003</v>
      </c>
      <c r="I45">
        <v>27.516729000000002</v>
      </c>
      <c r="J45">
        <v>55.760188999999997</v>
      </c>
      <c r="K45">
        <v>51.534416999999998</v>
      </c>
      <c r="L45">
        <v>18.658508999999999</v>
      </c>
      <c r="M45">
        <v>-622.48326599999996</v>
      </c>
      <c r="N45">
        <v>1.2446250000000001</v>
      </c>
      <c r="O45">
        <v>6.146261</v>
      </c>
      <c r="P45">
        <f t="shared" si="3"/>
        <v>2.0743750000000003E-5</v>
      </c>
      <c r="Q45" cm="1">
        <f t="array" ref="Q45">[1]!PropsSI("D","T",J45+273.15,"P",101325,"Water")</f>
        <v>985.32321906209165</v>
      </c>
      <c r="R45" cm="1">
        <f t="array" ref="R45">[1]!PropsSI("D","T",K45+273.15,"P",101325,"Water")</f>
        <v>987.33335659910438</v>
      </c>
      <c r="S45">
        <f t="shared" si="4"/>
        <v>986.32828783059801</v>
      </c>
      <c r="T45" cm="1">
        <f t="array" ref="T45">[1]!PropsSI("H","T",J45+273.15,"P",101325,"Water")</f>
        <v>233509.01808807359</v>
      </c>
      <c r="U45" cm="1">
        <f t="array" ref="U45">[1]!PropsSI("H","T",K45+273.15,"P",101325,"Water")</f>
        <v>215834.75759039039</v>
      </c>
      <c r="V45">
        <f t="shared" si="5"/>
        <v>361.61797533420474</v>
      </c>
    </row>
    <row r="46" spans="1:22" x14ac:dyDescent="0.2">
      <c r="A46">
        <v>46122.702013310183</v>
      </c>
      <c r="B46">
        <v>20.658114999999999</v>
      </c>
      <c r="C46">
        <v>20.702265000000001</v>
      </c>
      <c r="D46">
        <v>20.546697000000002</v>
      </c>
      <c r="E46">
        <v>20.59395</v>
      </c>
      <c r="F46">
        <v>39.047361000000002</v>
      </c>
      <c r="G46">
        <v>34.537424000000001</v>
      </c>
      <c r="H46">
        <v>34.523784999999997</v>
      </c>
      <c r="I46">
        <v>27.297340999999999</v>
      </c>
      <c r="J46">
        <v>55.756368999999999</v>
      </c>
      <c r="K46">
        <v>51.525993</v>
      </c>
      <c r="L46">
        <v>20.258429</v>
      </c>
      <c r="M46">
        <v>-622.49877600000002</v>
      </c>
      <c r="N46">
        <v>1.252632</v>
      </c>
      <c r="O46">
        <v>5.5504930000000003</v>
      </c>
      <c r="P46">
        <f t="shared" si="3"/>
        <v>2.0877200000000001E-5</v>
      </c>
      <c r="Q46" cm="1">
        <f t="array" ref="Q46">[1]!PropsSI("D","T",J46+273.15,"P",101325,"Water")</f>
        <v>985.3250865932888</v>
      </c>
      <c r="R46" cm="1">
        <f t="array" ref="R46">[1]!PropsSI("D","T",K46+273.15,"P",101325,"Water")</f>
        <v>987.33725057045172</v>
      </c>
      <c r="S46">
        <f t="shared" si="4"/>
        <v>986.33116858187032</v>
      </c>
      <c r="T46" cm="1">
        <f t="array" ref="T46">[1]!PropsSI("H","T",J46+273.15,"P",101325,"Water")</f>
        <v>233493.03812966231</v>
      </c>
      <c r="U46" cm="1">
        <f t="array" ref="U46">[1]!PropsSI("H","T",K46+273.15,"P",101325,"Water")</f>
        <v>215799.53015532452</v>
      </c>
      <c r="V46">
        <f t="shared" si="5"/>
        <v>364.34176267835829</v>
      </c>
    </row>
    <row r="47" spans="1:22" x14ac:dyDescent="0.2">
      <c r="A47">
        <v>46122.70207175926</v>
      </c>
      <c r="B47">
        <v>20.658162999999998</v>
      </c>
      <c r="C47">
        <v>20.737359000000001</v>
      </c>
      <c r="D47">
        <v>20.533750000000001</v>
      </c>
      <c r="E47">
        <v>20.584810999999998</v>
      </c>
      <c r="F47">
        <v>39.162019999999998</v>
      </c>
      <c r="G47">
        <v>33.676904999999998</v>
      </c>
      <c r="H47">
        <v>34.097155000000001</v>
      </c>
      <c r="I47">
        <v>27.398871</v>
      </c>
      <c r="J47">
        <v>55.755574000000003</v>
      </c>
      <c r="K47">
        <v>51.519953000000001</v>
      </c>
      <c r="L47">
        <v>18.720139</v>
      </c>
      <c r="M47">
        <v>-622.46775700000001</v>
      </c>
      <c r="N47">
        <v>1.2576639999999999</v>
      </c>
      <c r="O47">
        <v>6.1165250000000002</v>
      </c>
      <c r="P47">
        <f t="shared" si="3"/>
        <v>2.0961066666666665E-5</v>
      </c>
      <c r="Q47" cm="1">
        <f t="array" ref="Q47">[1]!PropsSI("D","T",J47+273.15,"P",101325,"Water")</f>
        <v>985.32547524357642</v>
      </c>
      <c r="R47" cm="1">
        <f t="array" ref="R47">[1]!PropsSI("D","T",K47+273.15,"P",101325,"Water")</f>
        <v>987.34004226260322</v>
      </c>
      <c r="S47">
        <f t="shared" si="4"/>
        <v>986.33275875308982</v>
      </c>
      <c r="T47" cm="1">
        <f t="array" ref="T47">[1]!PropsSI("H","T",J47+273.15,"P",101325,"Water")</f>
        <v>233489.71245841496</v>
      </c>
      <c r="U47" cm="1">
        <f t="array" ref="U47">[1]!PropsSI("H","T",K47+273.15,"P",101325,"Water")</f>
        <v>215774.27213123746</v>
      </c>
      <c r="V47">
        <f t="shared" si="5"/>
        <v>366.25940718090027</v>
      </c>
    </row>
    <row r="48" spans="1:22" x14ac:dyDescent="0.2">
      <c r="A48">
        <v>46122.70212962963</v>
      </c>
      <c r="B48">
        <v>20.672008999999999</v>
      </c>
      <c r="C48">
        <v>20.758514999999999</v>
      </c>
      <c r="D48">
        <v>20.537497999999999</v>
      </c>
      <c r="E48">
        <v>20.596558999999999</v>
      </c>
      <c r="F48">
        <v>39.151052999999997</v>
      </c>
      <c r="G48">
        <v>35.026567999999997</v>
      </c>
      <c r="H48">
        <v>33.718659000000002</v>
      </c>
      <c r="I48">
        <v>27.559111000000001</v>
      </c>
      <c r="J48">
        <v>55.750003999999997</v>
      </c>
      <c r="K48">
        <v>51.521543000000001</v>
      </c>
      <c r="L48">
        <v>18.864212999999999</v>
      </c>
      <c r="M48">
        <v>-622.52163199999995</v>
      </c>
      <c r="N48">
        <v>1.2609999999999999</v>
      </c>
      <c r="O48">
        <v>5.8956879999999998</v>
      </c>
      <c r="P48">
        <f t="shared" si="3"/>
        <v>2.1016666666666665E-5</v>
      </c>
      <c r="Q48" cm="1">
        <f t="array" ref="Q48">[1]!PropsSI("D","T",J48+273.15,"P",101325,"Water")</f>
        <v>985.32819813080027</v>
      </c>
      <c r="R48" cm="1">
        <f t="array" ref="R48">[1]!PropsSI("D","T",K48+273.15,"P",101325,"Water")</f>
        <v>987.33930738632409</v>
      </c>
      <c r="S48">
        <f t="shared" si="4"/>
        <v>986.33375275856224</v>
      </c>
      <c r="T48" cm="1">
        <f t="array" ref="T48">[1]!PropsSI("H","T",J48+273.15,"P",101325,"Water")</f>
        <v>233466.41184986822</v>
      </c>
      <c r="U48" cm="1">
        <f t="array" ref="U48">[1]!PropsSI("H","T",K48+273.15,"P",101325,"Water")</f>
        <v>215780.92117950268</v>
      </c>
      <c r="V48">
        <f t="shared" si="5"/>
        <v>366.6104539675465</v>
      </c>
    </row>
    <row r="49" spans="1:22" x14ac:dyDescent="0.2">
      <c r="A49">
        <v>44660.702188078903</v>
      </c>
      <c r="B49">
        <v>20.664259999999999</v>
      </c>
      <c r="C49">
        <v>20.746421000000002</v>
      </c>
      <c r="D49">
        <v>20.537704999999999</v>
      </c>
      <c r="E49">
        <v>20.591252000000001</v>
      </c>
      <c r="F49">
        <v>39.202142000000002</v>
      </c>
      <c r="G49">
        <v>36.282286999999997</v>
      </c>
      <c r="H49">
        <v>33.282781999999997</v>
      </c>
      <c r="I49">
        <v>27.330541</v>
      </c>
      <c r="J49">
        <v>55.750003999999997</v>
      </c>
      <c r="K49">
        <v>51.521701</v>
      </c>
      <c r="L49">
        <v>18.922986000000002</v>
      </c>
      <c r="M49">
        <v>-622.52040699999998</v>
      </c>
      <c r="N49">
        <v>1.261066</v>
      </c>
      <c r="O49">
        <v>6.2272610000000004</v>
      </c>
      <c r="P49">
        <f t="shared" si="3"/>
        <v>2.1017766666666671E-5</v>
      </c>
      <c r="Q49" cm="1">
        <f t="array" ref="Q49">[1]!PropsSI("D","T",J49+273.15,"P",101325,"Water")</f>
        <v>985.32819813080027</v>
      </c>
      <c r="R49" cm="1">
        <f t="array" ref="R49">[1]!PropsSI("D","T",K49+273.15,"P",101325,"Water")</f>
        <v>987.33923435998383</v>
      </c>
      <c r="S49">
        <f t="shared" si="4"/>
        <v>986.333716245392</v>
      </c>
      <c r="T49" cm="1">
        <f t="array" ref="T49">[1]!PropsSI("H","T",J49+273.15,"P",101325,"Water")</f>
        <v>233466.41184986822</v>
      </c>
      <c r="U49" cm="1">
        <f t="array" ref="U49">[1]!PropsSI("H","T",K49+273.15,"P",101325,"Water")</f>
        <v>215781.58190260374</v>
      </c>
      <c r="V49">
        <f t="shared" si="5"/>
        <v>366.61593142994843</v>
      </c>
    </row>
    <row r="50" spans="1:22" x14ac:dyDescent="0.2">
      <c r="A50" t="s">
        <v>18</v>
      </c>
      <c r="B50">
        <v>20.644054000000001</v>
      </c>
      <c r="C50">
        <v>20.731259999999999</v>
      </c>
      <c r="D50">
        <v>20.52974</v>
      </c>
      <c r="E50">
        <v>20.562929</v>
      </c>
      <c r="F50">
        <v>38.889619000000003</v>
      </c>
      <c r="G50">
        <v>35.106216000000003</v>
      </c>
      <c r="H50">
        <v>33.401389000000002</v>
      </c>
      <c r="I50">
        <v>27.294353000000001</v>
      </c>
      <c r="J50">
        <v>55.751913000000002</v>
      </c>
      <c r="K50">
        <v>51.525675</v>
      </c>
      <c r="L50">
        <v>18.468315</v>
      </c>
      <c r="M50">
        <v>-622.46489999999994</v>
      </c>
      <c r="N50">
        <v>1.2649589999999999</v>
      </c>
      <c r="O50">
        <v>5.9736380000000002</v>
      </c>
      <c r="P50">
        <f t="shared" si="3"/>
        <v>2.108265E-5</v>
      </c>
      <c r="Q50" cm="1">
        <f t="array" ref="Q50">[1]!PropsSI("D","T",J50+273.15,"P",101325,"Water")</f>
        <v>985.3272649401797</v>
      </c>
      <c r="R50" cm="1">
        <f t="array" ref="R50">[1]!PropsSI("D","T",K50+273.15,"P",101325,"Water")</f>
        <v>987.33739755613237</v>
      </c>
      <c r="S50">
        <f t="shared" si="4"/>
        <v>986.33233124815604</v>
      </c>
      <c r="T50" cm="1">
        <f t="array" ref="T50">[1]!PropsSI("H","T",J50+273.15,"P",101325,"Water")</f>
        <v>233474.39764059501</v>
      </c>
      <c r="U50" cm="1">
        <f t="array" ref="U50">[1]!PropsSI("H","T",K50+273.15,"P",101325,"Water")</f>
        <v>215798.20034511638</v>
      </c>
      <c r="V50">
        <f t="shared" si="5"/>
        <v>367.56767270091979</v>
      </c>
    </row>
    <row r="51" spans="1:22" x14ac:dyDescent="0.2">
      <c r="A51">
        <v>46122.702304976854</v>
      </c>
      <c r="B51">
        <v>20.635255999999998</v>
      </c>
      <c r="C51">
        <v>20.724625</v>
      </c>
      <c r="D51">
        <v>20.514520000000001</v>
      </c>
      <c r="E51">
        <v>20.561185999999999</v>
      </c>
      <c r="F51">
        <v>39.193911</v>
      </c>
      <c r="G51">
        <v>34.619683000000002</v>
      </c>
      <c r="H51">
        <v>33.921432000000003</v>
      </c>
      <c r="I51">
        <v>27.384502999999999</v>
      </c>
      <c r="J51">
        <v>55.754460000000002</v>
      </c>
      <c r="K51">
        <v>51.533782000000002</v>
      </c>
      <c r="L51">
        <v>20.598004</v>
      </c>
      <c r="M51">
        <v>-622.49265300000002</v>
      </c>
      <c r="N51">
        <v>1.266446</v>
      </c>
      <c r="O51">
        <v>6.2900369999999999</v>
      </c>
      <c r="P51">
        <f t="shared" si="3"/>
        <v>2.1107433333333334E-5</v>
      </c>
      <c r="Q51" cm="1">
        <f t="array" ref="Q51">[1]!PropsSI("D","T",J51+273.15,"P",101325,"Water")</f>
        <v>985.32601983630627</v>
      </c>
      <c r="R51" cm="1">
        <f t="array" ref="R51">[1]!PropsSI("D","T",K51+273.15,"P",101325,"Water")</f>
        <v>987.33365014207732</v>
      </c>
      <c r="S51">
        <f t="shared" si="4"/>
        <v>986.3298349891918</v>
      </c>
      <c r="T51" cm="1">
        <f t="array" ref="T51">[1]!PropsSI("H","T",J51+273.15,"P",101325,"Water")</f>
        <v>233485.05233577447</v>
      </c>
      <c r="U51" cm="1">
        <f t="array" ref="U51">[1]!PropsSI("H","T",K51+273.15,"P",101325,"Water")</f>
        <v>215832.10215025517</v>
      </c>
      <c r="V51">
        <f t="shared" si="5"/>
        <v>367.51484991942169</v>
      </c>
    </row>
    <row r="52" spans="1:22" x14ac:dyDescent="0.2">
      <c r="A52">
        <v>46122.702362847223</v>
      </c>
      <c r="B52">
        <v>20.613401</v>
      </c>
      <c r="C52">
        <v>20.71781</v>
      </c>
      <c r="D52">
        <v>20.503992</v>
      </c>
      <c r="E52">
        <v>20.554210999999999</v>
      </c>
      <c r="F52">
        <v>39.260066000000002</v>
      </c>
      <c r="G52">
        <v>34.561937</v>
      </c>
      <c r="H52">
        <v>33.457670999999998</v>
      </c>
      <c r="I52">
        <v>27.147378</v>
      </c>
      <c r="J52">
        <v>55.754300000000001</v>
      </c>
      <c r="K52">
        <v>51.539822000000001</v>
      </c>
      <c r="L52">
        <v>18.972778999999999</v>
      </c>
      <c r="M52">
        <v>-622.52652899999998</v>
      </c>
      <c r="N52">
        <v>1.266278</v>
      </c>
      <c r="O52">
        <v>6.0139089999999999</v>
      </c>
      <c r="P52">
        <f t="shared" si="3"/>
        <v>2.1104633333333335E-5</v>
      </c>
      <c r="Q52" cm="1">
        <f t="array" ref="Q52">[1]!PropsSI("D","T",J52+273.15,"P",101325,"Water")</f>
        <v>985.32609805367156</v>
      </c>
      <c r="R52" cm="1">
        <f t="array" ref="R52">[1]!PropsSI("D","T",K52+273.15,"P",101325,"Water")</f>
        <v>987.33085791149881</v>
      </c>
      <c r="S52">
        <f t="shared" si="4"/>
        <v>986.32847798258513</v>
      </c>
      <c r="T52" cm="1">
        <f t="array" ref="T52">[1]!PropsSI("H","T",J52+273.15,"P",101325,"Water")</f>
        <v>233484.38301836455</v>
      </c>
      <c r="U52" cm="1">
        <f t="array" ref="U52">[1]!PropsSI("H","T",K52+273.15,"P",101325,"Water")</f>
        <v>215857.36020002537</v>
      </c>
      <c r="V52">
        <f t="shared" si="5"/>
        <v>366.92588509568003</v>
      </c>
    </row>
    <row r="53" spans="1:22" x14ac:dyDescent="0.2">
      <c r="A53">
        <v>46122.702420717593</v>
      </c>
      <c r="B53">
        <v>20.597003000000001</v>
      </c>
      <c r="C53">
        <v>20.703406999999999</v>
      </c>
      <c r="D53">
        <v>20.475667999999999</v>
      </c>
      <c r="E53">
        <v>20.530771000000001</v>
      </c>
      <c r="F53">
        <v>39.145909000000003</v>
      </c>
      <c r="G53">
        <v>34.569189000000001</v>
      </c>
      <c r="H53">
        <v>33.948551000000002</v>
      </c>
      <c r="I53">
        <v>27.393319999999999</v>
      </c>
      <c r="J53">
        <v>55.757323999999997</v>
      </c>
      <c r="K53">
        <v>51.545067000000003</v>
      </c>
      <c r="L53">
        <v>17.988747</v>
      </c>
      <c r="M53">
        <v>-622.50489800000003</v>
      </c>
      <c r="N53">
        <v>1.262975</v>
      </c>
      <c r="O53">
        <v>5.9077349999999997</v>
      </c>
      <c r="P53">
        <f t="shared" si="3"/>
        <v>2.1049583333333332E-5</v>
      </c>
      <c r="Q53" cm="1">
        <f t="array" ref="Q53">[1]!PropsSI("D","T",J53+273.15,"P",101325,"Water")</f>
        <v>985.32461971891803</v>
      </c>
      <c r="R53" cm="1">
        <f t="array" ref="R53">[1]!PropsSI("D","T",K53+273.15,"P",101325,"Water")</f>
        <v>987.32843301056312</v>
      </c>
      <c r="S53">
        <f t="shared" si="4"/>
        <v>986.32652636474063</v>
      </c>
      <c r="T53" cm="1">
        <f t="array" ref="T53">[1]!PropsSI("H","T",J53+273.15,"P",101325,"Water")</f>
        <v>233497.03311878038</v>
      </c>
      <c r="U53" cm="1">
        <f t="array" ref="U53">[1]!PropsSI("H","T",K53+273.15,"P",101325,"Water")</f>
        <v>215879.29373084745</v>
      </c>
      <c r="V53">
        <f t="shared" si="5"/>
        <v>365.77531938398857</v>
      </c>
    </row>
    <row r="54" spans="1:22" x14ac:dyDescent="0.2">
      <c r="A54">
        <v>46122.70247916667</v>
      </c>
      <c r="B54">
        <v>20.586148000000001</v>
      </c>
      <c r="C54">
        <v>20.684056000000002</v>
      </c>
      <c r="D54">
        <v>20.452838</v>
      </c>
      <c r="E54">
        <v>20.513688999999999</v>
      </c>
      <c r="F54">
        <v>39.218482999999999</v>
      </c>
      <c r="G54">
        <v>34.003438000000003</v>
      </c>
      <c r="H54">
        <v>34.059134999999998</v>
      </c>
      <c r="I54">
        <v>27.243290999999999</v>
      </c>
      <c r="J54">
        <v>55.757641999999997</v>
      </c>
      <c r="K54">
        <v>51.547134</v>
      </c>
      <c r="L54">
        <v>19.838042000000002</v>
      </c>
      <c r="M54">
        <v>-622.47183800000005</v>
      </c>
      <c r="N54">
        <v>1.264545</v>
      </c>
      <c r="O54">
        <v>5.9766120000000003</v>
      </c>
      <c r="P54">
        <f t="shared" si="3"/>
        <v>2.1075749999999999E-5</v>
      </c>
      <c r="Q54" cm="1">
        <f t="array" ref="Q54">[1]!PropsSI("D","T",J54+273.15,"P",101325,"Water")</f>
        <v>985.32446425583225</v>
      </c>
      <c r="R54" cm="1">
        <f t="array" ref="R54">[1]!PropsSI("D","T",K54+273.15,"P",101325,"Water")</f>
        <v>987.3274773336168</v>
      </c>
      <c r="S54">
        <f t="shared" si="4"/>
        <v>986.32597079472453</v>
      </c>
      <c r="T54" cm="1">
        <f t="array" ref="T54">[1]!PropsSI("H","T",J54+273.15,"P",101325,"Water")</f>
        <v>233498.36338747182</v>
      </c>
      <c r="U54" cm="1">
        <f t="array" ref="U54">[1]!PropsSI("H","T",K54+273.15,"P",101325,"Water")</f>
        <v>215887.93750974751</v>
      </c>
      <c r="V54">
        <f t="shared" si="5"/>
        <v>366.07777714435093</v>
      </c>
    </row>
    <row r="55" spans="1:22" x14ac:dyDescent="0.2">
      <c r="A55">
        <v>46122.702537037039</v>
      </c>
      <c r="B55">
        <v>20.562480999999998</v>
      </c>
      <c r="C55">
        <v>20.656874999999999</v>
      </c>
      <c r="D55">
        <v>20.434944000000002</v>
      </c>
      <c r="E55">
        <v>20.487939999999998</v>
      </c>
      <c r="F55">
        <v>39.152447000000002</v>
      </c>
      <c r="G55">
        <v>33.425629000000001</v>
      </c>
      <c r="H55">
        <v>34.369739000000003</v>
      </c>
      <c r="I55">
        <v>27.115707</v>
      </c>
      <c r="J55">
        <v>55.761620999999998</v>
      </c>
      <c r="K55">
        <v>51.547451000000002</v>
      </c>
      <c r="L55">
        <v>19.310721000000001</v>
      </c>
      <c r="M55">
        <v>-622.48938799999996</v>
      </c>
      <c r="N55">
        <v>1.268737</v>
      </c>
      <c r="O55">
        <v>5.9833210000000001</v>
      </c>
      <c r="P55">
        <f t="shared" si="3"/>
        <v>2.1145616666666666E-5</v>
      </c>
      <c r="Q55" cm="1">
        <f t="array" ref="Q55">[1]!PropsSI("D","T",J55+273.15,"P",101325,"Water")</f>
        <v>985.32251895918739</v>
      </c>
      <c r="R55" cm="1">
        <f t="array" ref="R55">[1]!PropsSI("D","T",K55+273.15,"P",101325,"Water")</f>
        <v>987.32733076630814</v>
      </c>
      <c r="S55">
        <f t="shared" si="4"/>
        <v>986.32492486274782</v>
      </c>
      <c r="T55" cm="1">
        <f t="array" ref="T55">[1]!PropsSI("H","T",J55+273.15,"P",101325,"Water")</f>
        <v>233515.00848228723</v>
      </c>
      <c r="U55" cm="1">
        <f t="array" ref="U55">[1]!PropsSI("H","T",K55+273.15,"P",101325,"Water")</f>
        <v>215889.2631401899</v>
      </c>
      <c r="V55">
        <f t="shared" si="5"/>
        <v>367.61045475922305</v>
      </c>
    </row>
    <row r="56" spans="1:22" x14ac:dyDescent="0.2">
      <c r="A56">
        <v>46122.702595486109</v>
      </c>
      <c r="B56">
        <v>20.542162999999999</v>
      </c>
      <c r="C56">
        <v>20.638586</v>
      </c>
      <c r="D56">
        <v>20.430814000000002</v>
      </c>
      <c r="E56">
        <v>20.471219999999999</v>
      </c>
      <c r="F56">
        <v>39.158223999999997</v>
      </c>
      <c r="G56">
        <v>34.192881999999997</v>
      </c>
      <c r="H56">
        <v>34.017659000000002</v>
      </c>
      <c r="I56">
        <v>27.378858000000001</v>
      </c>
      <c r="J56">
        <v>55.760824999999997</v>
      </c>
      <c r="K56">
        <v>51.549677000000003</v>
      </c>
      <c r="L56">
        <v>19.973545000000001</v>
      </c>
      <c r="M56">
        <v>-622.50489800000003</v>
      </c>
      <c r="N56">
        <v>1.2661260000000001</v>
      </c>
      <c r="O56">
        <v>6.1337820000000001</v>
      </c>
      <c r="P56">
        <f t="shared" si="3"/>
        <v>2.1102099999999999E-5</v>
      </c>
      <c r="Q56" cm="1">
        <f t="array" ref="Q56">[1]!PropsSI("D","T",J56+273.15,"P",101325,"Water")</f>
        <v>985.32290812408814</v>
      </c>
      <c r="R56" cm="1">
        <f t="array" ref="R56">[1]!PropsSI("D","T",K56+273.15,"P",101325,"Water")</f>
        <v>987.32630154038577</v>
      </c>
      <c r="S56">
        <f t="shared" si="4"/>
        <v>986.3246048322369</v>
      </c>
      <c r="T56" cm="1">
        <f t="array" ref="T56">[1]!PropsSI("H","T",J56+273.15,"P",101325,"Water")</f>
        <v>233511.67862620772</v>
      </c>
      <c r="U56" cm="1">
        <f t="array" ref="U56">[1]!PropsSI("H","T",K56+273.15,"P",101325,"Water")</f>
        <v>215898.57182685263</v>
      </c>
      <c r="V56">
        <f t="shared" si="5"/>
        <v>366.59075844422199</v>
      </c>
    </row>
    <row r="57" spans="1:22" x14ac:dyDescent="0.2">
      <c r="A57">
        <v>46122.702653935186</v>
      </c>
      <c r="B57">
        <v>20.526392999999999</v>
      </c>
      <c r="C57">
        <v>20.631769999999999</v>
      </c>
      <c r="D57">
        <v>20.436762999999999</v>
      </c>
      <c r="E57">
        <v>20.481472</v>
      </c>
      <c r="F57">
        <v>39.333703999999997</v>
      </c>
      <c r="G57">
        <v>34.850026</v>
      </c>
      <c r="H57">
        <v>33.267128999999997</v>
      </c>
      <c r="I57">
        <v>27.248487999999998</v>
      </c>
      <c r="J57">
        <v>55.763052999999999</v>
      </c>
      <c r="K57">
        <v>51.550789000000002</v>
      </c>
      <c r="L57">
        <v>18.227101999999999</v>
      </c>
      <c r="M57">
        <v>-622.48857199999998</v>
      </c>
      <c r="N57">
        <v>1.266106</v>
      </c>
      <c r="O57">
        <v>5.6381379999999996</v>
      </c>
      <c r="P57">
        <f t="shared" si="3"/>
        <v>2.1101766666666665E-5</v>
      </c>
      <c r="Q57" cm="1">
        <f t="array" ref="Q57">[1]!PropsSI("D","T",J57+273.15,"P",101325,"Water")</f>
        <v>985.32181884363843</v>
      </c>
      <c r="R57" cm="1">
        <f t="array" ref="R57">[1]!PropsSI("D","T",K57+273.15,"P",101325,"Water")</f>
        <v>987.32578737783217</v>
      </c>
      <c r="S57">
        <f t="shared" si="4"/>
        <v>986.3238031107353</v>
      </c>
      <c r="T57" cm="1">
        <f t="array" ref="T57">[1]!PropsSI("H","T",J57+273.15,"P",101325,"Water")</f>
        <v>233520.99887724637</v>
      </c>
      <c r="U57" cm="1">
        <f t="array" ref="U57">[1]!PropsSI("H","T",K57+273.15,"P",101325,"Water")</f>
        <v>215903.22198896192</v>
      </c>
      <c r="V57">
        <f t="shared" si="5"/>
        <v>366.68186910038111</v>
      </c>
    </row>
    <row r="58" spans="1:22" x14ac:dyDescent="0.2">
      <c r="A58">
        <v>46122.702712384256</v>
      </c>
      <c r="B58">
        <v>20.512001999999999</v>
      </c>
      <c r="C58">
        <v>20.611698000000001</v>
      </c>
      <c r="D58">
        <v>20.409268000000001</v>
      </c>
      <c r="E58">
        <v>20.479296000000001</v>
      </c>
      <c r="F58">
        <v>38.859785000000002</v>
      </c>
      <c r="G58">
        <v>34.361415999999998</v>
      </c>
      <c r="H58">
        <v>34.126314999999998</v>
      </c>
      <c r="I58">
        <v>27.390094000000001</v>
      </c>
      <c r="J58">
        <v>55.764803999999998</v>
      </c>
      <c r="K58">
        <v>51.550947999999998</v>
      </c>
      <c r="L58">
        <v>19.285416999999999</v>
      </c>
      <c r="M58">
        <v>-622.50367300000005</v>
      </c>
      <c r="N58">
        <v>1.2663519999999999</v>
      </c>
      <c r="O58">
        <v>6.1643189999999999</v>
      </c>
      <c r="P58">
        <f t="shared" si="3"/>
        <v>2.1105866666666664E-5</v>
      </c>
      <c r="Q58" cm="1">
        <f t="array" ref="Q58">[1]!PropsSI("D","T",J58+273.15,"P",101325,"Water")</f>
        <v>985.32096274943001</v>
      </c>
      <c r="R58" cm="1">
        <f t="array" ref="R58">[1]!PropsSI("D","T",K58+273.15,"P",101325,"Water")</f>
        <v>987.32571385933932</v>
      </c>
      <c r="S58">
        <f t="shared" si="4"/>
        <v>986.32333830438461</v>
      </c>
      <c r="T58" cm="1">
        <f t="array" ref="T58">[1]!PropsSI("H","T",J58+273.15,"P",101325,"Water")</f>
        <v>233528.32372572293</v>
      </c>
      <c r="U58" cm="1">
        <f t="array" ref="U58">[1]!PropsSI("H","T",K58+273.15,"P",101325,"Water")</f>
        <v>215903.88689526237</v>
      </c>
      <c r="V58">
        <f t="shared" si="5"/>
        <v>366.89158268892152</v>
      </c>
    </row>
    <row r="59" spans="1:22" x14ac:dyDescent="0.2">
      <c r="A59">
        <v>46122.702770254633</v>
      </c>
      <c r="B59">
        <v>20.496514000000001</v>
      </c>
      <c r="C59">
        <v>20.608643000000001</v>
      </c>
      <c r="D59">
        <v>20.394145000000002</v>
      </c>
      <c r="E59">
        <v>20.469382</v>
      </c>
      <c r="F59">
        <v>39.069056000000003</v>
      </c>
      <c r="G59">
        <v>33.782879999999999</v>
      </c>
      <c r="H59">
        <v>34.137616000000001</v>
      </c>
      <c r="I59">
        <v>27.206510000000002</v>
      </c>
      <c r="J59">
        <v>55.766554999999997</v>
      </c>
      <c r="K59">
        <v>51.552379000000002</v>
      </c>
      <c r="L59">
        <v>17.989155</v>
      </c>
      <c r="M59">
        <v>-622.50081599999999</v>
      </c>
      <c r="N59">
        <v>1.2665439999999999</v>
      </c>
      <c r="O59">
        <v>6.2403500000000003</v>
      </c>
      <c r="P59">
        <f t="shared" si="3"/>
        <v>2.1109066666666664E-5</v>
      </c>
      <c r="Q59" cm="1">
        <f t="array" ref="Q59">[1]!PropsSI("D","T",J59+273.15,"P",101325,"Water")</f>
        <v>985.32010663632809</v>
      </c>
      <c r="R59" cm="1">
        <f t="array" ref="R59">[1]!PropsSI("D","T",K59+273.15,"P",101325,"Water")</f>
        <v>987.32505218551057</v>
      </c>
      <c r="S59">
        <f t="shared" si="4"/>
        <v>986.32257941091939</v>
      </c>
      <c r="T59" cm="1">
        <f t="array" ref="T59">[1]!PropsSI("H","T",J59+273.15,"P",101325,"Water")</f>
        <v>233535.6485753665</v>
      </c>
      <c r="U59" cm="1">
        <f t="array" ref="U59">[1]!PropsSI("H","T",K59+273.15,"P",101325,"Water")</f>
        <v>215909.87105236636</v>
      </c>
      <c r="V59">
        <f t="shared" si="5"/>
        <v>366.97484089915162</v>
      </c>
    </row>
    <row r="60" spans="1:22" x14ac:dyDescent="0.2">
      <c r="A60">
        <v>46122.702828703703</v>
      </c>
      <c r="B60">
        <v>20.498916000000001</v>
      </c>
      <c r="C60">
        <v>20.603829000000001</v>
      </c>
      <c r="D60">
        <v>20.410684</v>
      </c>
      <c r="E60">
        <v>20.468063999999998</v>
      </c>
      <c r="F60">
        <v>39.000115000000001</v>
      </c>
      <c r="G60">
        <v>34.764657</v>
      </c>
      <c r="H60">
        <v>34.258074000000001</v>
      </c>
      <c r="I60">
        <v>27.366118</v>
      </c>
      <c r="J60">
        <v>55.764803999999998</v>
      </c>
      <c r="K60">
        <v>51.547769000000002</v>
      </c>
      <c r="L60">
        <v>19.981300000000001</v>
      </c>
      <c r="M60">
        <v>-622.43224799999996</v>
      </c>
      <c r="N60">
        <v>1.2688189999999999</v>
      </c>
      <c r="O60">
        <v>5.87087</v>
      </c>
      <c r="P60">
        <f t="shared" si="3"/>
        <v>2.1146983333333333E-5</v>
      </c>
      <c r="Q60" cm="1">
        <f t="array" ref="Q60">[1]!PropsSI("D","T",J60+273.15,"P",101325,"Water")</f>
        <v>985.32096274943001</v>
      </c>
      <c r="R60" cm="1">
        <f t="array" ref="R60">[1]!PropsSI("D","T",K60+273.15,"P",101325,"Water")</f>
        <v>987.32718373598004</v>
      </c>
      <c r="S60">
        <f t="shared" si="4"/>
        <v>986.32407324270503</v>
      </c>
      <c r="T60" cm="1">
        <f t="array" ref="T60">[1]!PropsSI("H","T",J60+273.15,"P",101325,"Water")</f>
        <v>233528.32372572293</v>
      </c>
      <c r="U60" cm="1">
        <f t="array" ref="U60">[1]!PropsSI("H","T",K60+273.15,"P",101325,"Water")</f>
        <v>215890.59295251418</v>
      </c>
      <c r="V60">
        <f t="shared" si="5"/>
        <v>367.88388591027581</v>
      </c>
    </row>
    <row r="61" spans="1:22" x14ac:dyDescent="0.2">
      <c r="A61">
        <v>46122.70288715278</v>
      </c>
      <c r="B61">
        <v>20.510028999999999</v>
      </c>
      <c r="C61">
        <v>20.612991000000001</v>
      </c>
      <c r="D61">
        <v>20.421004</v>
      </c>
      <c r="E61">
        <v>20.484020000000001</v>
      </c>
      <c r="F61">
        <v>39.343350999999998</v>
      </c>
      <c r="G61">
        <v>33.156492999999998</v>
      </c>
      <c r="H61">
        <v>33.935273000000002</v>
      </c>
      <c r="I61">
        <v>27.010752</v>
      </c>
      <c r="J61">
        <v>55.765599999999999</v>
      </c>
      <c r="K61">
        <v>51.549359000000003</v>
      </c>
      <c r="L61">
        <v>18.062621</v>
      </c>
      <c r="M61">
        <v>-622.50081599999999</v>
      </c>
      <c r="N61">
        <v>1.264721</v>
      </c>
      <c r="O61">
        <v>6.2158749999999996</v>
      </c>
      <c r="P61">
        <f t="shared" si="3"/>
        <v>2.1078683333333335E-5</v>
      </c>
      <c r="Q61" cm="1">
        <f t="array" ref="Q61">[1]!PropsSI("D","T",J61+273.15,"P",101325,"Water")</f>
        <v>985.32057356502889</v>
      </c>
      <c r="R61" cm="1">
        <f t="array" ref="R61">[1]!PropsSI("D","T",K61+273.15,"P",101325,"Water")</f>
        <v>987.32644857461628</v>
      </c>
      <c r="S61">
        <f t="shared" si="4"/>
        <v>986.32351106982264</v>
      </c>
      <c r="T61" cm="1">
        <f t="array" ref="T61">[1]!PropsSI("H","T",J61+273.15,"P",101325,"Water")</f>
        <v>233531.65358296808</v>
      </c>
      <c r="U61" cm="1">
        <f t="array" ref="U61">[1]!PropsSI("H","T",K61+273.15,"P",101325,"Water")</f>
        <v>215897.24201439807</v>
      </c>
      <c r="V61">
        <f t="shared" si="5"/>
        <v>366.62648709952498</v>
      </c>
    </row>
    <row r="62" spans="1:22" x14ac:dyDescent="0.2">
      <c r="A62">
        <v>46122.70294560185</v>
      </c>
      <c r="B62">
        <v>20.561366</v>
      </c>
      <c r="C62">
        <v>20.624435999999999</v>
      </c>
      <c r="D62">
        <v>20.444979</v>
      </c>
      <c r="E62">
        <v>20.523136999999998</v>
      </c>
      <c r="F62">
        <v>38.980119000000002</v>
      </c>
      <c r="G62">
        <v>35.008944</v>
      </c>
      <c r="H62">
        <v>33.275390000000002</v>
      </c>
      <c r="I62">
        <v>27.474627999999999</v>
      </c>
      <c r="J62">
        <v>55.765759000000003</v>
      </c>
      <c r="K62">
        <v>51.551901999999998</v>
      </c>
      <c r="L62">
        <v>18.783809000000002</v>
      </c>
      <c r="M62">
        <v>-622.46530800000005</v>
      </c>
      <c r="N62">
        <v>1.262229</v>
      </c>
      <c r="O62">
        <v>5.8511850000000001</v>
      </c>
      <c r="P62">
        <f t="shared" si="3"/>
        <v>2.1037150000000002E-5</v>
      </c>
      <c r="Q62" cm="1">
        <f t="array" ref="Q62">[1]!PropsSI("D","T",J62+273.15,"P",101325,"Water")</f>
        <v>985.32049582544983</v>
      </c>
      <c r="R62" cm="1">
        <f t="array" ref="R62">[1]!PropsSI("D","T",K62+273.15,"P",101325,"Water")</f>
        <v>987.32527274491133</v>
      </c>
      <c r="S62">
        <f t="shared" si="4"/>
        <v>986.32288428518063</v>
      </c>
      <c r="T62" cm="1">
        <f t="array" ref="T62">[1]!PropsSI("H","T",J62+273.15,"P",101325,"Water")</f>
        <v>233532.31871781065</v>
      </c>
      <c r="U62" cm="1">
        <f t="array" ref="U62">[1]!PropsSI("H","T",K62+273.15,"P",101325,"Water")</f>
        <v>215907.87633325407</v>
      </c>
      <c r="V62">
        <f t="shared" si="5"/>
        <v>365.69700074968364</v>
      </c>
    </row>
    <row r="63" spans="1:22" x14ac:dyDescent="0.2">
      <c r="A63">
        <v>46122.703003472219</v>
      </c>
      <c r="B63">
        <v>20.605263000000001</v>
      </c>
      <c r="C63">
        <v>20.696743000000001</v>
      </c>
      <c r="D63">
        <v>20.452760000000001</v>
      </c>
      <c r="E63">
        <v>20.537958</v>
      </c>
      <c r="F63">
        <v>39.130389000000001</v>
      </c>
      <c r="G63">
        <v>34.458688000000002</v>
      </c>
      <c r="H63">
        <v>33.737679</v>
      </c>
      <c r="I63">
        <v>26.983962999999999</v>
      </c>
      <c r="J63">
        <v>55.771011000000001</v>
      </c>
      <c r="K63">
        <v>51.550471000000002</v>
      </c>
      <c r="L63">
        <v>19.709477</v>
      </c>
      <c r="M63">
        <v>-622.51102000000003</v>
      </c>
      <c r="N63">
        <v>1.2632829999999999</v>
      </c>
      <c r="O63">
        <v>6.0375459999999999</v>
      </c>
      <c r="P63">
        <f t="shared" si="3"/>
        <v>2.1054716666666667E-5</v>
      </c>
      <c r="Q63" cm="1">
        <f t="array" ref="Q63">[1]!PropsSI("D","T",J63+273.15,"P",101325,"Water")</f>
        <v>985.3179278876014</v>
      </c>
      <c r="R63" cm="1">
        <f t="array" ref="R63">[1]!PropsSI("D","T",K63+273.15,"P",101325,"Water")</f>
        <v>987.32593441435665</v>
      </c>
      <c r="S63">
        <f t="shared" si="4"/>
        <v>986.32193115097903</v>
      </c>
      <c r="T63" cm="1">
        <f t="array" ref="T63">[1]!PropsSI("H","T",J63+273.15,"P",101325,"Water")</f>
        <v>233554.28908877249</v>
      </c>
      <c r="U63" cm="1">
        <f t="array" ref="U63">[1]!PropsSI("H","T",K63+273.15,"P",101325,"Water")</f>
        <v>215901.89217636478</v>
      </c>
      <c r="V63">
        <f t="shared" si="5"/>
        <v>366.58253939411878</v>
      </c>
    </row>
    <row r="64" spans="1:22" x14ac:dyDescent="0.2">
      <c r="A64">
        <v>46122.703061342596</v>
      </c>
      <c r="B64">
        <v>20.649895999999998</v>
      </c>
      <c r="C64">
        <v>20.735892</v>
      </c>
      <c r="D64">
        <v>20.472643000000001</v>
      </c>
      <c r="E64">
        <v>20.539950999999999</v>
      </c>
      <c r="F64">
        <v>39.125731000000002</v>
      </c>
      <c r="G64">
        <v>34.386184999999998</v>
      </c>
      <c r="H64">
        <v>34.156492</v>
      </c>
      <c r="I64">
        <v>27.037161999999999</v>
      </c>
      <c r="J64">
        <v>55.768464000000002</v>
      </c>
      <c r="K64">
        <v>51.550629999999998</v>
      </c>
      <c r="L64">
        <v>19.668662999999999</v>
      </c>
      <c r="M64">
        <v>-622.47796000000005</v>
      </c>
      <c r="N64">
        <v>1.2649999999999999</v>
      </c>
      <c r="O64">
        <v>6.4353509999999998</v>
      </c>
      <c r="P64">
        <f t="shared" si="3"/>
        <v>2.1083333333333332E-5</v>
      </c>
      <c r="Q64" cm="1">
        <f t="array" ref="Q64">[1]!PropsSI("D","T",J64+273.15,"P",101325,"Water")</f>
        <v>985.31917325111772</v>
      </c>
      <c r="R64" cm="1">
        <f t="array" ref="R64">[1]!PropsSI("D","T",K64+273.15,"P",101325,"Water")</f>
        <v>987.32586089615745</v>
      </c>
      <c r="S64">
        <f t="shared" si="4"/>
        <v>986.32251707363753</v>
      </c>
      <c r="T64" cm="1">
        <f t="array" ref="T64">[1]!PropsSI("H","T",J64+273.15,"P",101325,"Water")</f>
        <v>233543.63437789556</v>
      </c>
      <c r="U64" cm="1">
        <f t="array" ref="U64">[1]!PropsSI("H","T",K64+273.15,"P",101325,"Water")</f>
        <v>215902.5570826866</v>
      </c>
      <c r="V64">
        <f t="shared" si="5"/>
        <v>366.84560964253154</v>
      </c>
    </row>
    <row r="65" spans="1:22" x14ac:dyDescent="0.2">
      <c r="A65">
        <v>46122.703119791666</v>
      </c>
      <c r="B65">
        <v>20.683095000000002</v>
      </c>
      <c r="C65">
        <v>20.741655999999999</v>
      </c>
      <c r="D65">
        <v>20.481888000000001</v>
      </c>
      <c r="E65">
        <v>20.545884999999998</v>
      </c>
      <c r="F65">
        <v>39.015431999999997</v>
      </c>
      <c r="G65">
        <v>35.294826999999998</v>
      </c>
      <c r="H65">
        <v>34.011099000000002</v>
      </c>
      <c r="I65">
        <v>27.201727000000002</v>
      </c>
      <c r="J65">
        <v>55.766554999999997</v>
      </c>
      <c r="K65">
        <v>51.550313000000003</v>
      </c>
      <c r="L65">
        <v>19.458877000000001</v>
      </c>
      <c r="M65">
        <v>-622.49959200000001</v>
      </c>
      <c r="N65">
        <v>1.252632</v>
      </c>
      <c r="O65">
        <v>6.0826330000000004</v>
      </c>
      <c r="P65">
        <f t="shared" si="3"/>
        <v>2.0877200000000001E-5</v>
      </c>
      <c r="Q65" cm="1">
        <f t="array" ref="Q65">[1]!PropsSI("D","T",J65+273.15,"P",101325,"Water")</f>
        <v>985.32010663632809</v>
      </c>
      <c r="R65" cm="1">
        <f t="array" ref="R65">[1]!PropsSI("D","T",K65+273.15,"P",101325,"Water")</f>
        <v>987.32600746997207</v>
      </c>
      <c r="S65">
        <f t="shared" si="4"/>
        <v>986.32305705315002</v>
      </c>
      <c r="T65" cm="1">
        <f t="array" ref="T65">[1]!PropsSI("H","T",J65+273.15,"P",101325,"Water")</f>
        <v>233535.6485753665</v>
      </c>
      <c r="U65" cm="1">
        <f t="array" ref="U65">[1]!PropsSI("H","T",K65+273.15,"P",101325,"Water")</f>
        <v>215901.2314518955</v>
      </c>
      <c r="V65">
        <f t="shared" si="5"/>
        <v>363.12198742305213</v>
      </c>
    </row>
    <row r="66" spans="1:22" x14ac:dyDescent="0.2">
      <c r="A66">
        <v>46122.703177662035</v>
      </c>
      <c r="B66">
        <v>20.684004999999999</v>
      </c>
      <c r="C66">
        <v>20.76275</v>
      </c>
      <c r="D66">
        <v>20.486270999999999</v>
      </c>
      <c r="E66">
        <v>20.567907999999999</v>
      </c>
      <c r="F66">
        <v>39.063088</v>
      </c>
      <c r="G66">
        <v>34.240564999999997</v>
      </c>
      <c r="H66">
        <v>33.989530000000002</v>
      </c>
      <c r="I66">
        <v>27.289480000000001</v>
      </c>
      <c r="J66">
        <v>55.767032</v>
      </c>
      <c r="K66">
        <v>51.544589999999999</v>
      </c>
      <c r="L66">
        <v>18.699732000000001</v>
      </c>
      <c r="M66">
        <v>-622.49428599999999</v>
      </c>
      <c r="N66">
        <v>1.2612829999999999</v>
      </c>
      <c r="O66">
        <v>6.1664159999999999</v>
      </c>
      <c r="P66">
        <f t="shared" si="3"/>
        <v>2.1021383333333332E-5</v>
      </c>
      <c r="Q66" cm="1">
        <f t="array" ref="Q66">[1]!PropsSI("D","T",J66+273.15,"P",101325,"Water")</f>
        <v>985.31987341436979</v>
      </c>
      <c r="R66" cm="1">
        <f t="array" ref="R66">[1]!PropsSI("D","T",K66+273.15,"P",101325,"Water")</f>
        <v>987.32865354749651</v>
      </c>
      <c r="S66">
        <f t="shared" si="4"/>
        <v>986.32426348093315</v>
      </c>
      <c r="T66" cm="1">
        <f t="array" ref="T66">[1]!PropsSI("H","T",J66+273.15,"P",101325,"Water")</f>
        <v>233537.64398003329</v>
      </c>
      <c r="U66" cm="1">
        <f t="array" ref="U66">[1]!PropsSI("H","T",K66+273.15,"P",101325,"Water")</f>
        <v>215877.29901283453</v>
      </c>
      <c r="V66">
        <f t="shared" si="5"/>
        <v>366.16783417293442</v>
      </c>
    </row>
    <row r="67" spans="1:22" x14ac:dyDescent="0.2">
      <c r="A67">
        <v>46122.703236111112</v>
      </c>
      <c r="B67">
        <v>20.680923</v>
      </c>
      <c r="C67">
        <v>20.762944000000001</v>
      </c>
      <c r="D67">
        <v>20.495283000000001</v>
      </c>
      <c r="E67">
        <v>20.576138</v>
      </c>
      <c r="F67">
        <v>39.20975</v>
      </c>
      <c r="G67">
        <v>34.824548999999998</v>
      </c>
      <c r="H67">
        <v>33.563733999999997</v>
      </c>
      <c r="I67">
        <v>27.571698999999999</v>
      </c>
      <c r="J67">
        <v>55.763531</v>
      </c>
      <c r="K67">
        <v>51.545385000000003</v>
      </c>
      <c r="L67">
        <v>19.099302999999999</v>
      </c>
      <c r="M67">
        <v>-622.47755199999995</v>
      </c>
      <c r="N67">
        <v>1.2595700000000001</v>
      </c>
      <c r="O67">
        <v>5.8032389999999996</v>
      </c>
      <c r="P67">
        <f t="shared" si="3"/>
        <v>2.0992833333333333E-5</v>
      </c>
      <c r="Q67" cm="1">
        <f t="array" ref="Q67">[1]!PropsSI("D","T",J67+273.15,"P",101325,"Water")</f>
        <v>985.32158514303751</v>
      </c>
      <c r="R67" cm="1">
        <f t="array" ref="R67">[1]!PropsSI("D","T",K67+273.15,"P",101325,"Water")</f>
        <v>987.32828598513856</v>
      </c>
      <c r="S67">
        <f t="shared" si="4"/>
        <v>986.32493556408804</v>
      </c>
      <c r="T67" cm="1">
        <f t="array" ref="T67">[1]!PropsSI("H","T",J67+273.15,"P",101325,"Water")</f>
        <v>233522.99846455906</v>
      </c>
      <c r="U67" cm="1">
        <f t="array" ref="U67">[1]!PropsSI("H","T",K67+273.15,"P",101325,"Water")</f>
        <v>215880.62354289525</v>
      </c>
      <c r="V67">
        <f t="shared" si="5"/>
        <v>365.29869247808568</v>
      </c>
    </row>
    <row r="68" spans="1:22" x14ac:dyDescent="0.2">
      <c r="A68">
        <v>46122.703294560182</v>
      </c>
      <c r="B68">
        <v>20.664021000000002</v>
      </c>
      <c r="C68">
        <v>20.762893999999999</v>
      </c>
      <c r="D68">
        <v>20.486183</v>
      </c>
      <c r="E68">
        <v>20.560701000000002</v>
      </c>
      <c r="F68">
        <v>39.069879</v>
      </c>
      <c r="G68">
        <v>34.248882000000002</v>
      </c>
      <c r="H68">
        <v>33.998061999999997</v>
      </c>
      <c r="I68">
        <v>27.65437</v>
      </c>
      <c r="J68">
        <v>55.757961000000002</v>
      </c>
      <c r="K68">
        <v>51.535212000000001</v>
      </c>
      <c r="L68">
        <v>18.191593999999998</v>
      </c>
      <c r="M68">
        <v>-622.46081800000002</v>
      </c>
      <c r="N68">
        <v>1.2573570000000001</v>
      </c>
      <c r="O68">
        <v>5.8908839999999998</v>
      </c>
      <c r="P68">
        <f t="shared" si="3"/>
        <v>2.0955950000000004E-5</v>
      </c>
      <c r="Q68" cm="1">
        <f t="array" ref="Q68">[1]!PropsSI("D","T",J68+273.15,"P",101325,"Water")</f>
        <v>985.32430830323563</v>
      </c>
      <c r="R68" cm="1">
        <f t="array" ref="R68">[1]!PropsSI("D","T",K68+273.15,"P",101325,"Water")</f>
        <v>987.33298908887366</v>
      </c>
      <c r="S68">
        <f t="shared" si="4"/>
        <v>986.32864869605464</v>
      </c>
      <c r="T68" cm="1">
        <f t="array" ref="T68">[1]!PropsSI("H","T",J68+273.15,"P",101325,"Water")</f>
        <v>233499.69783948068</v>
      </c>
      <c r="U68" cm="1">
        <f t="array" ref="U68">[1]!PropsSI("H","T",K68+273.15,"P",101325,"Water")</f>
        <v>215838.08211796303</v>
      </c>
      <c r="V68">
        <f t="shared" si="5"/>
        <v>365.05595099537578</v>
      </c>
    </row>
    <row r="69" spans="1:22" x14ac:dyDescent="0.2">
      <c r="A69">
        <v>46122.703352430559</v>
      </c>
      <c r="B69">
        <v>20.661961999999999</v>
      </c>
      <c r="C69">
        <v>20.774314</v>
      </c>
      <c r="D69">
        <v>20.488783000000002</v>
      </c>
      <c r="E69">
        <v>20.561896000000001</v>
      </c>
      <c r="F69">
        <v>38.919310000000003</v>
      </c>
      <c r="G69">
        <v>35.147238000000002</v>
      </c>
      <c r="H69">
        <v>34.195162000000003</v>
      </c>
      <c r="I69">
        <v>27.187488999999999</v>
      </c>
      <c r="J69">
        <v>55.754618999999998</v>
      </c>
      <c r="K69">
        <v>51.530444000000003</v>
      </c>
      <c r="L69">
        <v>19.341332000000001</v>
      </c>
      <c r="M69">
        <v>-622.51632600000005</v>
      </c>
      <c r="N69">
        <v>1.2559389999999999</v>
      </c>
      <c r="O69">
        <v>5.9620100000000003</v>
      </c>
      <c r="P69">
        <f t="shared" si="3"/>
        <v>2.0932316666666666E-5</v>
      </c>
      <c r="Q69" cm="1">
        <f t="array" ref="Q69">[1]!PropsSI("D","T",J69+273.15,"P",101325,"Water")</f>
        <v>985.32594210765717</v>
      </c>
      <c r="R69" cm="1">
        <f t="array" ref="R69">[1]!PropsSI("D","T",K69+273.15,"P",101325,"Water")</f>
        <v>987.33519316466959</v>
      </c>
      <c r="S69">
        <f t="shared" si="4"/>
        <v>986.33056763616332</v>
      </c>
      <c r="T69" cm="1">
        <f t="array" ref="T69">[1]!PropsSI("H","T",J69+273.15,"P",101325,"Water")</f>
        <v>233485.71746995251</v>
      </c>
      <c r="U69" cm="1">
        <f t="array" ref="U69">[1]!PropsSI("H","T",K69+273.15,"P",101325,"Water")</f>
        <v>215818.14331895162</v>
      </c>
      <c r="V69">
        <f t="shared" si="5"/>
        <v>364.76798286433564</v>
      </c>
    </row>
    <row r="70" spans="1:22" x14ac:dyDescent="0.2">
      <c r="A70">
        <v>46122.703410879629</v>
      </c>
      <c r="B70">
        <v>20.647523</v>
      </c>
      <c r="C70">
        <v>20.743518999999999</v>
      </c>
      <c r="D70">
        <v>20.482821999999999</v>
      </c>
      <c r="E70">
        <v>20.564954</v>
      </c>
      <c r="F70">
        <v>38.90746</v>
      </c>
      <c r="G70">
        <v>34.776575000000001</v>
      </c>
      <c r="H70">
        <v>34.238087</v>
      </c>
      <c r="I70">
        <v>27.110519</v>
      </c>
      <c r="J70">
        <v>55.751117999999998</v>
      </c>
      <c r="K70">
        <v>51.530920999999999</v>
      </c>
      <c r="L70">
        <v>19.795186999999999</v>
      </c>
      <c r="M70">
        <v>-622.47020599999996</v>
      </c>
      <c r="N70">
        <v>1.257574</v>
      </c>
      <c r="O70">
        <v>6.0655150000000004</v>
      </c>
      <c r="P70">
        <f t="shared" si="3"/>
        <v>2.0959566666666668E-5</v>
      </c>
      <c r="Q70" cm="1">
        <f t="array" ref="Q70">[1]!PropsSI("D","T",J70+273.15,"P",101325,"Water")</f>
        <v>985.32765356864252</v>
      </c>
      <c r="R70" cm="1">
        <f t="array" ref="R70">[1]!PropsSI("D","T",K70+273.15,"P",101325,"Water")</f>
        <v>987.33497267123437</v>
      </c>
      <c r="S70">
        <f t="shared" si="4"/>
        <v>986.33131311993839</v>
      </c>
      <c r="T70" cm="1">
        <f t="array" ref="T70">[1]!PropsSI("H","T",J70+273.15,"P",101325,"Water")</f>
        <v>233471.07197064254</v>
      </c>
      <c r="U70" cm="1">
        <f t="array" ref="U70">[1]!PropsSI("H","T",K70+273.15,"P",101325,"Water")</f>
        <v>215820.13803489323</v>
      </c>
      <c r="V70">
        <f t="shared" si="5"/>
        <v>364.89911483575986</v>
      </c>
    </row>
    <row r="71" spans="1:22" x14ac:dyDescent="0.2">
      <c r="A71">
        <v>46122.703468749998</v>
      </c>
      <c r="B71">
        <v>20.662970000000001</v>
      </c>
      <c r="C71">
        <v>20.737483000000001</v>
      </c>
      <c r="D71">
        <v>20.484908999999998</v>
      </c>
      <c r="E71">
        <v>20.592513</v>
      </c>
      <c r="F71">
        <v>39.114007000000001</v>
      </c>
      <c r="G71">
        <v>34.147255000000001</v>
      </c>
      <c r="H71">
        <v>34.166209000000002</v>
      </c>
      <c r="I71">
        <v>27.353052999999999</v>
      </c>
      <c r="J71">
        <v>55.750003999999997</v>
      </c>
      <c r="K71">
        <v>51.527106000000003</v>
      </c>
      <c r="L71">
        <v>19.978850999999999</v>
      </c>
      <c r="M71">
        <v>-622.49469399999998</v>
      </c>
      <c r="N71">
        <v>1.2594259999999999</v>
      </c>
      <c r="O71">
        <v>6.1590959999999999</v>
      </c>
      <c r="P71">
        <f t="shared" si="3"/>
        <v>2.0990433333333332E-5</v>
      </c>
      <c r="Q71" cm="1">
        <f t="array" ref="Q71">[1]!PropsSI("D","T",J71+273.15,"P",101325,"Water")</f>
        <v>985.32819813080027</v>
      </c>
      <c r="R71" cm="1">
        <f t="array" ref="R71">[1]!PropsSI("D","T",K71+273.15,"P",101325,"Water")</f>
        <v>987.33673611540803</v>
      </c>
      <c r="S71">
        <f t="shared" si="4"/>
        <v>986.33246712310415</v>
      </c>
      <c r="T71" cm="1">
        <f t="array" ref="T71">[1]!PropsSI("H","T",J71+273.15,"P",101325,"Water")</f>
        <v>233466.41184986822</v>
      </c>
      <c r="U71" cm="1">
        <f t="array" ref="U71">[1]!PropsSI("H","T",K71+273.15,"P",101325,"Water")</f>
        <v>215804.18449108198</v>
      </c>
      <c r="V71">
        <f t="shared" si="5"/>
        <v>365.6707347420309</v>
      </c>
    </row>
    <row r="72" spans="1:22" x14ac:dyDescent="0.2">
      <c r="A72">
        <v>46122.703527199075</v>
      </c>
      <c r="B72">
        <v>20.664940000000001</v>
      </c>
      <c r="C72">
        <v>20.752433</v>
      </c>
      <c r="D72">
        <v>20.524688000000001</v>
      </c>
      <c r="E72">
        <v>20.604780000000002</v>
      </c>
      <c r="F72">
        <v>39.027453000000001</v>
      </c>
      <c r="G72">
        <v>34.248638</v>
      </c>
      <c r="H72">
        <v>33.630822000000002</v>
      </c>
      <c r="I72">
        <v>27.381717999999999</v>
      </c>
      <c r="J72">
        <v>55.750481000000001</v>
      </c>
      <c r="K72">
        <v>51.525198000000003</v>
      </c>
      <c r="L72">
        <v>18.973595</v>
      </c>
      <c r="M72">
        <v>-622.46245099999999</v>
      </c>
      <c r="N72">
        <v>1.260103</v>
      </c>
      <c r="O72">
        <v>6.13185</v>
      </c>
      <c r="P72">
        <f t="shared" si="3"/>
        <v>2.1001716666666666E-5</v>
      </c>
      <c r="Q72" cm="1">
        <f t="array" ref="Q72">[1]!PropsSI("D","T",J72+273.15,"P",101325,"Water")</f>
        <v>985.32796495746391</v>
      </c>
      <c r="R72" cm="1">
        <f t="array" ref="R72">[1]!PropsSI("D","T",K72+273.15,"P",101325,"Water")</f>
        <v>987.33761803343134</v>
      </c>
      <c r="S72">
        <f t="shared" si="4"/>
        <v>986.33279149544762</v>
      </c>
      <c r="T72" cm="1">
        <f t="array" ref="T72">[1]!PropsSI("H","T",J72+273.15,"P",101325,"Water")</f>
        <v>233468.40725159715</v>
      </c>
      <c r="U72" cm="1">
        <f t="array" ref="U72">[1]!PropsSI("H","T",K72+273.15,"P",101325,"Water")</f>
        <v>215796.20562996241</v>
      </c>
      <c r="V72">
        <f t="shared" si="5"/>
        <v>366.07403375761152</v>
      </c>
    </row>
    <row r="73" spans="1:22" x14ac:dyDescent="0.2">
      <c r="A73">
        <v>46122.703585648145</v>
      </c>
      <c r="B73">
        <v>20.677098000000001</v>
      </c>
      <c r="C73">
        <v>20.770059</v>
      </c>
      <c r="D73">
        <v>20.502396999999998</v>
      </c>
      <c r="E73">
        <v>20.609819999999999</v>
      </c>
      <c r="F73">
        <v>39.234653999999999</v>
      </c>
      <c r="G73">
        <v>34.200935000000001</v>
      </c>
      <c r="H73">
        <v>33.880325999999997</v>
      </c>
      <c r="I73">
        <v>27.081337000000001</v>
      </c>
      <c r="J73">
        <v>55.748252999999998</v>
      </c>
      <c r="K73">
        <v>51.522019</v>
      </c>
      <c r="L73">
        <v>17.510403</v>
      </c>
      <c r="M73">
        <v>-622.5</v>
      </c>
      <c r="N73">
        <v>1.257992</v>
      </c>
      <c r="O73">
        <v>5.9361499999999996</v>
      </c>
      <c r="P73">
        <f t="shared" si="3"/>
        <v>2.0966533333333333E-5</v>
      </c>
      <c r="Q73" cm="1">
        <f t="array" ref="Q73">[1]!PropsSI("D","T",J73+273.15,"P",101325,"Water")</f>
        <v>985.32905406537066</v>
      </c>
      <c r="R73" cm="1">
        <f t="array" ref="R73">[1]!PropsSI("D","T",K73+273.15,"P",101325,"Water")</f>
        <v>987.33908738243463</v>
      </c>
      <c r="S73">
        <f t="shared" si="4"/>
        <v>986.33407072390264</v>
      </c>
      <c r="T73" cm="1">
        <f t="array" ref="T73">[1]!PropsSI("H","T",J73+273.15,"P",101325,"Water")</f>
        <v>233459.08701104645</v>
      </c>
      <c r="U73" cm="1">
        <f t="array" ref="U73">[1]!PropsSI("H","T",K73+273.15,"P",101325,"Water")</f>
        <v>215782.911712339</v>
      </c>
      <c r="V73">
        <f t="shared" si="5"/>
        <v>365.54341426817314</v>
      </c>
    </row>
    <row r="74" spans="1:22" x14ac:dyDescent="0.2">
      <c r="A74">
        <v>46122.703644097222</v>
      </c>
      <c r="B74">
        <v>20.701218000000001</v>
      </c>
      <c r="C74">
        <v>20.790958</v>
      </c>
      <c r="D74">
        <v>20.546500000000002</v>
      </c>
      <c r="E74">
        <v>20.653696</v>
      </c>
      <c r="F74">
        <v>39.183323999999999</v>
      </c>
      <c r="G74">
        <v>34.539501000000001</v>
      </c>
      <c r="H74">
        <v>34.239992000000001</v>
      </c>
      <c r="I74">
        <v>26.932275000000001</v>
      </c>
      <c r="J74">
        <v>55.749048999999999</v>
      </c>
      <c r="K74">
        <v>51.523609</v>
      </c>
      <c r="L74">
        <v>20.280469</v>
      </c>
      <c r="M74">
        <v>-622.50979500000005</v>
      </c>
      <c r="N74">
        <v>1.260648</v>
      </c>
      <c r="O74">
        <v>6.125712</v>
      </c>
      <c r="P74">
        <f t="shared" si="3"/>
        <v>2.1010800000000002E-5</v>
      </c>
      <c r="Q74" cm="1">
        <f t="array" ref="Q74">[1]!PropsSI("D","T",J74+273.15,"P",101325,"Water")</f>
        <v>985.32866496211375</v>
      </c>
      <c r="R74" cm="1">
        <f t="array" ref="R74">[1]!PropsSI("D","T",K74+273.15,"P",101325,"Water")</f>
        <v>987.33835248498463</v>
      </c>
      <c r="S74">
        <f t="shared" si="4"/>
        <v>986.33350872354913</v>
      </c>
      <c r="T74" cm="1">
        <f t="array" ref="T74">[1]!PropsSI("H","T",J74+273.15,"P",101325,"Water")</f>
        <v>233462.4168633557</v>
      </c>
      <c r="U74" cm="1">
        <f t="array" ref="U74">[1]!PropsSI("H","T",K74+273.15,"P",101325,"Water")</f>
        <v>215789.56076170827</v>
      </c>
      <c r="V74">
        <f t="shared" si="5"/>
        <v>366.24619189180351</v>
      </c>
    </row>
    <row r="75" spans="1:22" x14ac:dyDescent="0.2">
      <c r="A75">
        <v>46122.7037025463</v>
      </c>
      <c r="B75">
        <v>20.709568000000001</v>
      </c>
      <c r="C75">
        <v>20.797381000000001</v>
      </c>
      <c r="D75">
        <v>20.55153</v>
      </c>
      <c r="E75">
        <v>20.644206000000001</v>
      </c>
      <c r="F75">
        <v>39.167664000000002</v>
      </c>
      <c r="G75">
        <v>35.641520999999997</v>
      </c>
      <c r="H75">
        <v>33.352352000000003</v>
      </c>
      <c r="I75">
        <v>28.037402</v>
      </c>
      <c r="J75">
        <v>55.747456999999997</v>
      </c>
      <c r="K75">
        <v>51.526152000000003</v>
      </c>
      <c r="L75">
        <v>19.486222999999999</v>
      </c>
      <c r="M75">
        <v>-622.49265300000002</v>
      </c>
      <c r="N75">
        <v>1.2595000000000001</v>
      </c>
      <c r="O75">
        <v>6.005128</v>
      </c>
      <c r="P75">
        <f t="shared" si="3"/>
        <v>2.0991666666666668E-5</v>
      </c>
      <c r="Q75" cm="1">
        <f t="array" ref="Q75">[1]!PropsSI("D","T",J75+273.15,"P",101325,"Water")</f>
        <v>985.32944316477642</v>
      </c>
      <c r="R75" cm="1">
        <f t="array" ref="R75">[1]!PropsSI("D","T",K75+273.15,"P",101325,"Water")</f>
        <v>987.33717707736071</v>
      </c>
      <c r="S75">
        <f t="shared" si="4"/>
        <v>986.33331012106851</v>
      </c>
      <c r="T75" cm="1">
        <f t="array" ref="T75">[1]!PropsSI("H","T",J75+273.15,"P",101325,"Water")</f>
        <v>233455.75715889898</v>
      </c>
      <c r="U75" cm="1">
        <f t="array" ref="U75">[1]!PropsSI("H","T",K75+273.15,"P",101325,"Water")</f>
        <v>215800.19506040891</v>
      </c>
      <c r="V75">
        <f t="shared" si="5"/>
        <v>365.55453023129894</v>
      </c>
    </row>
    <row r="76" spans="1:22" x14ac:dyDescent="0.2">
      <c r="A76">
        <v>46122.70376099537</v>
      </c>
      <c r="B76">
        <v>20.698566</v>
      </c>
      <c r="C76">
        <v>20.802949000000002</v>
      </c>
      <c r="D76">
        <v>20.555008999999998</v>
      </c>
      <c r="E76">
        <v>20.642827</v>
      </c>
      <c r="F76">
        <v>38.992302000000002</v>
      </c>
      <c r="G76">
        <v>34.896352999999998</v>
      </c>
      <c r="H76">
        <v>33.813806</v>
      </c>
      <c r="I76">
        <v>27.162887999999999</v>
      </c>
      <c r="J76">
        <v>55.751913000000002</v>
      </c>
      <c r="K76">
        <v>51.528058999999999</v>
      </c>
      <c r="L76">
        <v>19.692335</v>
      </c>
      <c r="M76">
        <v>-622.46489999999994</v>
      </c>
      <c r="N76">
        <v>1.258005</v>
      </c>
      <c r="O76">
        <v>5.9409029999999996</v>
      </c>
      <c r="P76">
        <f t="shared" si="3"/>
        <v>2.096675E-5</v>
      </c>
      <c r="Q76" cm="1">
        <f t="array" ref="Q76">[1]!PropsSI("D","T",J76+273.15,"P",101325,"Water")</f>
        <v>985.3272649401797</v>
      </c>
      <c r="R76" cm="1">
        <f t="array" ref="R76">[1]!PropsSI("D","T",K76+273.15,"P",101325,"Water")</f>
        <v>987.33629560983775</v>
      </c>
      <c r="S76">
        <f t="shared" si="4"/>
        <v>986.33178027500867</v>
      </c>
      <c r="T76" cm="1">
        <f t="array" ref="T76">[1]!PropsSI("H","T",J76+273.15,"P",101325,"Water")</f>
        <v>233474.39764059501</v>
      </c>
      <c r="U76" cm="1">
        <f t="array" ref="U76">[1]!PropsSI("H","T",K76+273.15,"P",101325,"Water")</f>
        <v>215808.16974025854</v>
      </c>
      <c r="V76">
        <f t="shared" si="5"/>
        <v>365.34062899231941</v>
      </c>
    </row>
    <row r="77" spans="1:22" x14ac:dyDescent="0.2">
      <c r="A77">
        <v>46122.703818865739</v>
      </c>
      <c r="B77">
        <v>20.691666000000001</v>
      </c>
      <c r="C77">
        <v>20.807016000000001</v>
      </c>
      <c r="D77">
        <v>20.553505999999999</v>
      </c>
      <c r="E77">
        <v>20.655806999999999</v>
      </c>
      <c r="F77">
        <v>39.076321999999998</v>
      </c>
      <c r="G77">
        <v>34.885669999999998</v>
      </c>
      <c r="H77">
        <v>33.587079000000003</v>
      </c>
      <c r="I77">
        <v>27.174894999999999</v>
      </c>
      <c r="J77">
        <v>55.752867999999999</v>
      </c>
      <c r="K77">
        <v>51.531714999999998</v>
      </c>
      <c r="L77">
        <v>18.720139</v>
      </c>
      <c r="M77">
        <v>-622.47714399999995</v>
      </c>
      <c r="N77">
        <v>1.256394</v>
      </c>
      <c r="O77">
        <v>5.8178140000000003</v>
      </c>
      <c r="P77">
        <f t="shared" si="3"/>
        <v>2.0939900000000003E-5</v>
      </c>
      <c r="Q77" cm="1">
        <f t="array" ref="Q77">[1]!PropsSI("D","T",J77+273.15,"P",101325,"Water")</f>
        <v>985.32679809201511</v>
      </c>
      <c r="R77" cm="1">
        <f t="array" ref="R77">[1]!PropsSI("D","T",K77+273.15,"P",101325,"Water")</f>
        <v>987.33460564116831</v>
      </c>
      <c r="S77">
        <f t="shared" si="4"/>
        <v>986.33070186659165</v>
      </c>
      <c r="T77" cm="1">
        <f t="array" ref="T77">[1]!PropsSI("H","T",J77+273.15,"P",101325,"Water")</f>
        <v>233478.39262808362</v>
      </c>
      <c r="U77" cm="1">
        <f t="array" ref="U77">[1]!PropsSI("H","T",K77+273.15,"P",101325,"Water")</f>
        <v>215823.45837985806</v>
      </c>
      <c r="V77">
        <f t="shared" si="5"/>
        <v>364.63911987600125</v>
      </c>
    </row>
    <row r="78" spans="1:22" x14ac:dyDescent="0.2">
      <c r="A78">
        <v>46122.703877314816</v>
      </c>
      <c r="B78">
        <v>20.683793000000001</v>
      </c>
      <c r="C78">
        <v>20.786677000000001</v>
      </c>
      <c r="D78">
        <v>20.548717</v>
      </c>
      <c r="E78">
        <v>20.633614000000001</v>
      </c>
      <c r="F78">
        <v>39.204537999999999</v>
      </c>
      <c r="G78">
        <v>34.733576999999997</v>
      </c>
      <c r="H78">
        <v>33.154885</v>
      </c>
      <c r="I78">
        <v>27.292016</v>
      </c>
      <c r="J78">
        <v>55.753504999999997</v>
      </c>
      <c r="K78">
        <v>51.532192000000002</v>
      </c>
      <c r="L78">
        <v>19.336026</v>
      </c>
      <c r="M78">
        <v>-622.53020300000003</v>
      </c>
      <c r="N78">
        <v>1.252899</v>
      </c>
      <c r="O78">
        <v>5.7835539999999996</v>
      </c>
      <c r="P78">
        <f t="shared" si="3"/>
        <v>2.088165E-5</v>
      </c>
      <c r="Q78" cm="1">
        <f t="array" ref="Q78">[1]!PropsSI("D","T",J78+273.15,"P",101325,"Water")</f>
        <v>985.3264866938573</v>
      </c>
      <c r="R78" cm="1">
        <f t="array" ref="R78">[1]!PropsSI("D","T",K78+273.15,"P",101325,"Water")</f>
        <v>987.33438514385148</v>
      </c>
      <c r="S78">
        <f t="shared" si="4"/>
        <v>986.33043591885439</v>
      </c>
      <c r="T78" cm="1">
        <f t="array" ref="T78">[1]!PropsSI("H","T",J78+273.15,"P",101325,"Water")</f>
        <v>233481.05734765859</v>
      </c>
      <c r="U78" cm="1">
        <f t="array" ref="U78">[1]!PropsSI("H","T",K78+273.15,"P",101325,"Water")</f>
        <v>215825.4530959969</v>
      </c>
      <c r="V78">
        <f t="shared" si="5"/>
        <v>363.63847894517562</v>
      </c>
    </row>
    <row r="79" spans="1:22" x14ac:dyDescent="0.2">
      <c r="A79">
        <v>46122.703935763886</v>
      </c>
      <c r="B79">
        <v>20.681797</v>
      </c>
      <c r="C79">
        <v>20.755687000000002</v>
      </c>
      <c r="D79">
        <v>20.534438999999999</v>
      </c>
      <c r="E79">
        <v>20.606393000000001</v>
      </c>
      <c r="F79">
        <v>39.170036000000003</v>
      </c>
      <c r="G79">
        <v>33.984955999999997</v>
      </c>
      <c r="H79">
        <v>34.320937000000001</v>
      </c>
      <c r="I79">
        <v>27.517021</v>
      </c>
      <c r="J79">
        <v>55.754936999999998</v>
      </c>
      <c r="K79">
        <v>51.535688999999998</v>
      </c>
      <c r="L79">
        <v>18.376891000000001</v>
      </c>
      <c r="M79">
        <v>-622.47143000000005</v>
      </c>
      <c r="N79">
        <v>1.2597670000000001</v>
      </c>
      <c r="O79">
        <v>5.882091</v>
      </c>
      <c r="P79">
        <f t="shared" si="3"/>
        <v>2.0996116666666671E-5</v>
      </c>
      <c r="Q79" cm="1">
        <f t="array" ref="Q79">[1]!PropsSI("D","T",J79+273.15,"P",101325,"Water")</f>
        <v>985.32578664986534</v>
      </c>
      <c r="R79" cm="1">
        <f t="array" ref="R79">[1]!PropsSI("D","T",K79+273.15,"P",101325,"Water")</f>
        <v>987.33276858076965</v>
      </c>
      <c r="S79">
        <f t="shared" si="4"/>
        <v>986.32927761531755</v>
      </c>
      <c r="T79" cm="1">
        <f t="array" ref="T79">[1]!PropsSI("H","T",J79+273.15,"P",101325,"Water")</f>
        <v>233487.0477383071</v>
      </c>
      <c r="U79" cm="1">
        <f t="array" ref="U79">[1]!PropsSI("H","T",K79+273.15,"P",101325,"Water")</f>
        <v>215840.07683463875</v>
      </c>
      <c r="V79">
        <f t="shared" si="5"/>
        <v>365.45261310534175</v>
      </c>
    </row>
    <row r="80" spans="1:22" x14ac:dyDescent="0.2">
      <c r="A80">
        <v>46122.703994212963</v>
      </c>
      <c r="B80">
        <v>20.688041999999999</v>
      </c>
      <c r="C80">
        <v>20.763968999999999</v>
      </c>
      <c r="D80">
        <v>20.537845999999998</v>
      </c>
      <c r="E80">
        <v>20.616425</v>
      </c>
      <c r="F80">
        <v>39.456899999999997</v>
      </c>
      <c r="G80">
        <v>34.680965999999998</v>
      </c>
      <c r="H80">
        <v>34.139705999999997</v>
      </c>
      <c r="I80">
        <v>27.765101999999999</v>
      </c>
      <c r="J80">
        <v>55.753346000000001</v>
      </c>
      <c r="K80">
        <v>51.537914000000001</v>
      </c>
      <c r="L80">
        <v>18.978085</v>
      </c>
      <c r="M80">
        <v>-622.50163299999997</v>
      </c>
      <c r="N80">
        <v>1.2566600000000001</v>
      </c>
      <c r="O80">
        <v>5.739954</v>
      </c>
      <c r="P80">
        <f t="shared" si="3"/>
        <v>2.0944333333333335E-5</v>
      </c>
      <c r="Q80" cm="1">
        <f t="array" ref="Q80">[1]!PropsSI("D","T",J80+273.15,"P",101325,"Water")</f>
        <v>985.3265644214149</v>
      </c>
      <c r="R80" cm="1">
        <f t="array" ref="R80">[1]!PropsSI("D","T",K80+273.15,"P",101325,"Water")</f>
        <v>987.3317399859186</v>
      </c>
      <c r="S80">
        <f t="shared" si="4"/>
        <v>986.32915220366681</v>
      </c>
      <c r="T80" cm="1">
        <f t="array" ref="T80">[1]!PropsSI("H","T",J80+273.15,"P",101325,"Water")</f>
        <v>233480.39221358573</v>
      </c>
      <c r="U80" cm="1">
        <f t="array" ref="U80">[1]!PropsSI("H","T",K80+273.15,"P",101325,"Water")</f>
        <v>215849.38133143907</v>
      </c>
      <c r="V80">
        <f t="shared" si="5"/>
        <v>364.22153811262399</v>
      </c>
    </row>
    <row r="81" spans="1:22" x14ac:dyDescent="0.2">
      <c r="A81">
        <v>46122.70405266204</v>
      </c>
      <c r="B81">
        <v>20.708701000000001</v>
      </c>
      <c r="C81">
        <v>20.730609000000001</v>
      </c>
      <c r="D81">
        <v>20.535122000000001</v>
      </c>
      <c r="E81">
        <v>20.604772000000001</v>
      </c>
      <c r="F81">
        <v>39.300894999999997</v>
      </c>
      <c r="G81">
        <v>34.771602999999999</v>
      </c>
      <c r="H81">
        <v>33.794820999999999</v>
      </c>
      <c r="I81">
        <v>27.650461</v>
      </c>
      <c r="J81">
        <v>55.754460000000002</v>
      </c>
      <c r="K81">
        <v>51.540458000000001</v>
      </c>
      <c r="L81">
        <v>18.214041999999999</v>
      </c>
      <c r="M81">
        <v>-622.50163299999997</v>
      </c>
      <c r="N81">
        <v>1.2632049999999999</v>
      </c>
      <c r="O81">
        <v>6.0602159999999996</v>
      </c>
      <c r="P81">
        <f t="shared" si="3"/>
        <v>2.1053416666666664E-5</v>
      </c>
      <c r="Q81" cm="1">
        <f t="array" ref="Q81">[1]!PropsSI("D","T",J81+273.15,"P",101325,"Water")</f>
        <v>985.32601983630627</v>
      </c>
      <c r="R81" cm="1">
        <f t="array" ref="R81">[1]!PropsSI("D","T",K81+273.15,"P",101325,"Water")</f>
        <v>987.33056388148839</v>
      </c>
      <c r="S81">
        <f t="shared" si="4"/>
        <v>986.32829185889727</v>
      </c>
      <c r="T81" cm="1">
        <f t="array" ref="T81">[1]!PropsSI("H","T",J81+273.15,"P",101325,"Water")</f>
        <v>233485.05233577447</v>
      </c>
      <c r="U81" cm="1">
        <f t="array" ref="U81">[1]!PropsSI("H","T",K81+273.15,"P",101325,"Water")</f>
        <v>215860.01982309081</v>
      </c>
      <c r="V81">
        <f t="shared" si="5"/>
        <v>365.99403143304994</v>
      </c>
    </row>
    <row r="82" spans="1:22" x14ac:dyDescent="0.2">
      <c r="A82">
        <v>46122.70411053241</v>
      </c>
      <c r="B82">
        <v>20.746369999999999</v>
      </c>
      <c r="C82">
        <v>20.737093999999999</v>
      </c>
      <c r="D82">
        <v>20.558547000000001</v>
      </c>
      <c r="E82">
        <v>20.638059999999999</v>
      </c>
      <c r="F82">
        <v>39.211267999999997</v>
      </c>
      <c r="G82">
        <v>34.742395000000002</v>
      </c>
      <c r="H82">
        <v>34.11345</v>
      </c>
      <c r="I82">
        <v>27.344899000000002</v>
      </c>
      <c r="J82">
        <v>55.752709000000003</v>
      </c>
      <c r="K82">
        <v>51.540458000000001</v>
      </c>
      <c r="L82">
        <v>18.420154</v>
      </c>
      <c r="M82">
        <v>-622.51306099999999</v>
      </c>
      <c r="N82">
        <v>1.2584960000000001</v>
      </c>
      <c r="O82">
        <v>6.0271889999999999</v>
      </c>
      <c r="P82">
        <f t="shared" si="3"/>
        <v>2.0974933333333335E-5</v>
      </c>
      <c r="Q82" cm="1">
        <f t="array" ref="Q82">[1]!PropsSI("D","T",J82+273.15,"P",101325,"Water")</f>
        <v>985.32687581895141</v>
      </c>
      <c r="R82" cm="1">
        <f t="array" ref="R82">[1]!PropsSI("D","T",K82+273.15,"P",101325,"Water")</f>
        <v>987.33056388148839</v>
      </c>
      <c r="S82">
        <f t="shared" si="4"/>
        <v>986.32871985021984</v>
      </c>
      <c r="T82" cm="1">
        <f t="array" ref="T82">[1]!PropsSI("H","T",J82+273.15,"P",101325,"Water")</f>
        <v>233477.72749404507</v>
      </c>
      <c r="U82" cm="1">
        <f t="array" ref="U82">[1]!PropsSI("H","T",K82+273.15,"P",101325,"Water")</f>
        <v>215860.01982309081</v>
      </c>
      <c r="V82">
        <f t="shared" si="5"/>
        <v>364.47829239646035</v>
      </c>
    </row>
    <row r="83" spans="1:22" x14ac:dyDescent="0.2">
      <c r="A83">
        <v>46122.70416898148</v>
      </c>
      <c r="B83">
        <v>20.845085999999998</v>
      </c>
      <c r="C83">
        <v>20.825005000000001</v>
      </c>
      <c r="D83">
        <v>20.592608999999999</v>
      </c>
      <c r="E83">
        <v>20.666488999999999</v>
      </c>
      <c r="F83">
        <v>39.381045999999998</v>
      </c>
      <c r="G83">
        <v>34.089593000000001</v>
      </c>
      <c r="H83">
        <v>34.355777000000003</v>
      </c>
      <c r="I83">
        <v>27.240618999999999</v>
      </c>
      <c r="J83">
        <v>55.753027000000003</v>
      </c>
      <c r="K83">
        <v>51.536802000000002</v>
      </c>
      <c r="L83">
        <v>19.459285000000001</v>
      </c>
      <c r="M83">
        <v>-622.49061300000005</v>
      </c>
      <c r="N83">
        <v>1.2588859999999999</v>
      </c>
      <c r="O83">
        <v>6.0350679999999999</v>
      </c>
      <c r="P83">
        <f t="shared" si="3"/>
        <v>2.0981433333333336E-5</v>
      </c>
      <c r="Q83" cm="1">
        <f t="array" ref="Q83">[1]!PropsSI("D","T",J83+273.15,"P",101325,"Water")</f>
        <v>985.32672036492545</v>
      </c>
      <c r="R83" cm="1">
        <f t="array" ref="R83">[1]!PropsSI("D","T",K83+273.15,"P",101325,"Water")</f>
        <v>987.33225405617918</v>
      </c>
      <c r="S83">
        <f t="shared" si="4"/>
        <v>986.32948721055232</v>
      </c>
      <c r="T83" cm="1">
        <f t="array" ref="T83">[1]!PropsSI("H","T",J83+273.15,"P",101325,"Water")</f>
        <v>233479.05776215624</v>
      </c>
      <c r="U83" cm="1">
        <f t="array" ref="U83">[1]!PropsSI("H","T",K83+273.15,"P",101325,"Water")</f>
        <v>215844.73117374824</v>
      </c>
      <c r="V83">
        <f t="shared" si="5"/>
        <v>364.93544753421224</v>
      </c>
    </row>
    <row r="84" spans="1:22" x14ac:dyDescent="0.2">
      <c r="A84">
        <v>46122.704227430557</v>
      </c>
      <c r="B84">
        <v>20.891248999999998</v>
      </c>
      <c r="C84">
        <v>20.867764999999999</v>
      </c>
      <c r="D84">
        <v>20.578050000000001</v>
      </c>
      <c r="E84">
        <v>20.678031000000001</v>
      </c>
      <c r="F84">
        <v>39.308456999999997</v>
      </c>
      <c r="G84">
        <v>33.695287999999998</v>
      </c>
      <c r="H84">
        <v>34.126159000000001</v>
      </c>
      <c r="I84">
        <v>27.267651000000001</v>
      </c>
      <c r="J84">
        <v>55.752709000000003</v>
      </c>
      <c r="K84">
        <v>51.531714999999998</v>
      </c>
      <c r="L84">
        <v>18.126290999999998</v>
      </c>
      <c r="M84">
        <v>-622.48775599999999</v>
      </c>
      <c r="N84">
        <v>1.2570330000000001</v>
      </c>
      <c r="O84">
        <v>5.998151</v>
      </c>
      <c r="P84">
        <f t="shared" si="3"/>
        <v>2.0950550000000002E-5</v>
      </c>
      <c r="Q84" cm="1">
        <f t="array" ref="Q84">[1]!PropsSI("D","T",J84+273.15,"P",101325,"Water")</f>
        <v>985.32687581895141</v>
      </c>
      <c r="R84" cm="1">
        <f t="array" ref="R84">[1]!PropsSI("D","T",K84+273.15,"P",101325,"Water")</f>
        <v>987.33460564116831</v>
      </c>
      <c r="S84">
        <f t="shared" si="4"/>
        <v>986.33074073005992</v>
      </c>
      <c r="T84" cm="1">
        <f t="array" ref="T84">[1]!PropsSI("H","T",J84+273.15,"P",101325,"Water")</f>
        <v>233477.72749404507</v>
      </c>
      <c r="U84" cm="1">
        <f t="array" ref="U84">[1]!PropsSI("H","T",K84+273.15,"P",101325,"Water")</f>
        <v>215823.45837985806</v>
      </c>
      <c r="V84">
        <f t="shared" si="5"/>
        <v>364.81084468628256</v>
      </c>
    </row>
    <row r="85" spans="1:22" x14ac:dyDescent="0.2">
      <c r="A85">
        <v>46122.704285879627</v>
      </c>
      <c r="B85">
        <v>20.958952</v>
      </c>
      <c r="C85">
        <v>20.923300000000001</v>
      </c>
      <c r="D85">
        <v>20.576730000000001</v>
      </c>
      <c r="E85">
        <v>20.676953999999999</v>
      </c>
      <c r="F85">
        <v>39.381177000000001</v>
      </c>
      <c r="G85">
        <v>34.244157000000001</v>
      </c>
      <c r="H85">
        <v>33.540360999999997</v>
      </c>
      <c r="I85">
        <v>27.513877999999998</v>
      </c>
      <c r="J85">
        <v>55.753982000000001</v>
      </c>
      <c r="K85">
        <v>51.535848000000001</v>
      </c>
      <c r="L85">
        <v>18.378115000000001</v>
      </c>
      <c r="M85">
        <v>-622.48693900000001</v>
      </c>
      <c r="N85">
        <v>1.2565329999999999</v>
      </c>
      <c r="O85">
        <v>6.1242380000000001</v>
      </c>
      <c r="P85">
        <f t="shared" si="3"/>
        <v>2.0942216666666668E-5</v>
      </c>
      <c r="Q85" cm="1">
        <f t="array" ref="Q85">[1]!PropsSI("D","T",J85+273.15,"P",101325,"Water")</f>
        <v>985.32625351020761</v>
      </c>
      <c r="R85" cm="1">
        <f t="array" ref="R85">[1]!PropsSI("D","T",K85+273.15,"P",101325,"Water")</f>
        <v>987.33269507774651</v>
      </c>
      <c r="S85">
        <f t="shared" si="4"/>
        <v>986.329474293977</v>
      </c>
      <c r="T85" cm="1">
        <f t="array" ref="T85">[1]!PropsSI("H","T",J85+273.15,"P",101325,"Water")</f>
        <v>233483.0527500954</v>
      </c>
      <c r="U85" cm="1">
        <f t="array" ref="U85">[1]!PropsSI("H","T",K85+273.15,"P",101325,"Water")</f>
        <v>215840.74174019022</v>
      </c>
      <c r="V85">
        <f t="shared" si="5"/>
        <v>364.41826284553122</v>
      </c>
    </row>
    <row r="86" spans="1:22" x14ac:dyDescent="0.2">
      <c r="A86">
        <v>46122.704344328704</v>
      </c>
      <c r="B86">
        <v>20.975455</v>
      </c>
      <c r="C86">
        <v>20.958228999999999</v>
      </c>
      <c r="D86">
        <v>20.604233000000001</v>
      </c>
      <c r="E86">
        <v>20.695675999999999</v>
      </c>
      <c r="F86">
        <v>39.326754000000001</v>
      </c>
      <c r="G86">
        <v>35.347726000000002</v>
      </c>
      <c r="H86">
        <v>33.699057000000003</v>
      </c>
      <c r="I86">
        <v>27.302358000000002</v>
      </c>
      <c r="J86">
        <v>55.750957999999997</v>
      </c>
      <c r="K86">
        <v>51.541092999999996</v>
      </c>
      <c r="L86">
        <v>18.329138</v>
      </c>
      <c r="M86">
        <v>-622.49877600000002</v>
      </c>
      <c r="N86">
        <v>1.2573859999999999</v>
      </c>
      <c r="O86">
        <v>5.9828000000000001</v>
      </c>
      <c r="P86">
        <f t="shared" si="3"/>
        <v>2.0956433333333332E-5</v>
      </c>
      <c r="Q86" cm="1">
        <f t="array" ref="Q86">[1]!PropsSI("D","T",J86+273.15,"P",101325,"Water")</f>
        <v>985.32773178272225</v>
      </c>
      <c r="R86" cm="1">
        <f t="array" ref="R86">[1]!PropsSI("D","T",K86+273.15,"P",101325,"Water")</f>
        <v>987.33027031118399</v>
      </c>
      <c r="S86">
        <f t="shared" si="4"/>
        <v>986.32900104695318</v>
      </c>
      <c r="T86" cm="1">
        <f t="array" ref="T86">[1]!PropsSI("H","T",J86+273.15,"P",101325,"Water")</f>
        <v>233470.40265343193</v>
      </c>
      <c r="U86" cm="1">
        <f t="array" ref="U86">[1]!PropsSI("H","T",K86+273.15,"P",101325,"Water")</f>
        <v>215862.67526455023</v>
      </c>
      <c r="V86">
        <f t="shared" si="5"/>
        <v>363.95063265979798</v>
      </c>
    </row>
    <row r="87" spans="1:22" x14ac:dyDescent="0.2">
      <c r="A87">
        <v>46122.704402777781</v>
      </c>
      <c r="B87">
        <v>20.998546999999999</v>
      </c>
      <c r="C87">
        <v>20.985536</v>
      </c>
      <c r="D87">
        <v>20.625506999999999</v>
      </c>
      <c r="E87">
        <v>20.730509000000001</v>
      </c>
      <c r="F87">
        <v>39.107793000000001</v>
      </c>
      <c r="G87">
        <v>34.241250999999998</v>
      </c>
      <c r="H87">
        <v>33.530652000000003</v>
      </c>
      <c r="I87">
        <v>27.356456000000001</v>
      </c>
      <c r="J87">
        <v>55.751595000000002</v>
      </c>
      <c r="K87">
        <v>51.545226</v>
      </c>
      <c r="L87">
        <v>18.061395999999998</v>
      </c>
      <c r="M87">
        <v>-622.49510199999997</v>
      </c>
      <c r="N87">
        <v>1.255177</v>
      </c>
      <c r="O87">
        <v>6.1232470000000001</v>
      </c>
      <c r="P87">
        <f t="shared" si="3"/>
        <v>2.0919616666666669E-5</v>
      </c>
      <c r="Q87" cm="1">
        <f t="array" ref="Q87">[1]!PropsSI("D","T",J87+273.15,"P",101325,"Water")</f>
        <v>985.32742039202822</v>
      </c>
      <c r="R87" cm="1">
        <f t="array" ref="R87">[1]!PropsSI("D","T",K87+273.15,"P",101325,"Water")</f>
        <v>987.3283594979381</v>
      </c>
      <c r="S87">
        <f t="shared" si="4"/>
        <v>986.3278899449831</v>
      </c>
      <c r="T87" cm="1">
        <f t="array" ref="T87">[1]!PropsSI("H","T",J87+273.15,"P",101325,"Water")</f>
        <v>233473.06737262176</v>
      </c>
      <c r="U87" cm="1">
        <f t="array" ref="U87">[1]!PropsSI("H","T",K87+273.15,"P",101325,"Water")</f>
        <v>215879.95863683778</v>
      </c>
      <c r="V87">
        <f t="shared" si="5"/>
        <v>363.00919243038965</v>
      </c>
    </row>
    <row r="88" spans="1:22" x14ac:dyDescent="0.2">
      <c r="A88">
        <v>46122.70446064815</v>
      </c>
      <c r="B88">
        <v>20.986858999999999</v>
      </c>
      <c r="C88">
        <v>20.980906999999998</v>
      </c>
      <c r="D88">
        <v>20.635961000000002</v>
      </c>
      <c r="E88">
        <v>20.735803000000001</v>
      </c>
      <c r="F88">
        <v>39.261375000000001</v>
      </c>
      <c r="G88">
        <v>34.954244000000003</v>
      </c>
      <c r="H88">
        <v>33.943961999999999</v>
      </c>
      <c r="I88">
        <v>27.224806999999998</v>
      </c>
      <c r="J88">
        <v>55.749684999999999</v>
      </c>
      <c r="K88">
        <v>51.543954999999997</v>
      </c>
      <c r="L88">
        <v>19.005431000000002</v>
      </c>
      <c r="M88">
        <v>-622.48612300000002</v>
      </c>
      <c r="N88">
        <v>1.255665</v>
      </c>
      <c r="O88">
        <v>6.0652869999999997</v>
      </c>
      <c r="P88">
        <f t="shared" si="3"/>
        <v>2.092775E-5</v>
      </c>
      <c r="Q88" cm="1">
        <f t="array" ref="Q88">[1]!PropsSI("D","T",J88+273.15,"P",101325,"Water")</f>
        <v>985.32835406775325</v>
      </c>
      <c r="R88" cm="1">
        <f t="array" ref="R88">[1]!PropsSI("D","T",K88+273.15,"P",101325,"Water")</f>
        <v>987.32894713212454</v>
      </c>
      <c r="S88">
        <f t="shared" si="4"/>
        <v>986.3286505999389</v>
      </c>
      <c r="T88" cm="1">
        <f t="array" ref="T88">[1]!PropsSI("H","T",J88+273.15,"P",101325,"Water")</f>
        <v>233465.07739880375</v>
      </c>
      <c r="U88" cm="1">
        <f t="array" ref="U88">[1]!PropsSI("H","T",K88+273.15,"P",101325,"Water")</f>
        <v>215874.64357071614</v>
      </c>
      <c r="V88">
        <f t="shared" si="5"/>
        <v>363.09539227841225</v>
      </c>
    </row>
    <row r="89" spans="1:22" x14ac:dyDescent="0.2">
      <c r="A89">
        <v>46122.70451851852</v>
      </c>
      <c r="B89">
        <v>20.978211999999999</v>
      </c>
      <c r="C89">
        <v>20.989736000000001</v>
      </c>
      <c r="D89">
        <v>20.623442000000001</v>
      </c>
      <c r="E89">
        <v>20.705731</v>
      </c>
      <c r="F89">
        <v>39.373227</v>
      </c>
      <c r="G89">
        <v>34.092745000000001</v>
      </c>
      <c r="H89">
        <v>34.08775</v>
      </c>
      <c r="I89">
        <v>27.623866</v>
      </c>
      <c r="J89">
        <v>55.753027000000003</v>
      </c>
      <c r="K89">
        <v>51.540458000000001</v>
      </c>
      <c r="L89">
        <v>17.696517</v>
      </c>
      <c r="M89">
        <v>-622.47265400000003</v>
      </c>
      <c r="N89">
        <v>1.2592950000000001</v>
      </c>
      <c r="O89">
        <v>6.152399</v>
      </c>
      <c r="P89">
        <f t="shared" si="3"/>
        <v>2.0988250000000004E-5</v>
      </c>
      <c r="Q89" cm="1">
        <f t="array" ref="Q89">[1]!PropsSI("D","T",J89+273.15,"P",101325,"Water")</f>
        <v>985.32672036492545</v>
      </c>
      <c r="R89" cm="1">
        <f t="array" ref="R89">[1]!PropsSI("D","T",K89+273.15,"P",101325,"Water")</f>
        <v>987.33056388148839</v>
      </c>
      <c r="S89">
        <f t="shared" si="4"/>
        <v>986.32864212320692</v>
      </c>
      <c r="T89" cm="1">
        <f t="array" ref="T89">[1]!PropsSI("H","T",J89+273.15,"P",101325,"Water")</f>
        <v>233479.05776215624</v>
      </c>
      <c r="U89" cm="1">
        <f t="array" ref="U89">[1]!PropsSI("H","T",K89+273.15,"P",101325,"Water")</f>
        <v>215860.01982309081</v>
      </c>
      <c r="V89">
        <f t="shared" si="5"/>
        <v>364.73720368431913</v>
      </c>
    </row>
    <row r="90" spans="1:22" x14ac:dyDescent="0.2">
      <c r="A90">
        <v>46122.70457696759</v>
      </c>
      <c r="B90">
        <v>20.961537</v>
      </c>
      <c r="C90">
        <v>20.963455</v>
      </c>
      <c r="D90">
        <v>20.614332000000001</v>
      </c>
      <c r="E90">
        <v>20.677654</v>
      </c>
      <c r="F90">
        <v>39.325955999999998</v>
      </c>
      <c r="G90">
        <v>34.716740999999999</v>
      </c>
      <c r="H90">
        <v>33.836862000000004</v>
      </c>
      <c r="I90">
        <v>27.269103999999999</v>
      </c>
      <c r="J90">
        <v>55.750163000000001</v>
      </c>
      <c r="K90">
        <v>51.536642999999998</v>
      </c>
      <c r="L90">
        <v>19.912731999999998</v>
      </c>
      <c r="M90">
        <v>-622.49714300000005</v>
      </c>
      <c r="N90">
        <v>1.25587</v>
      </c>
      <c r="O90">
        <v>6.0499869999999998</v>
      </c>
      <c r="P90">
        <f t="shared" si="3"/>
        <v>2.0931166666666667E-5</v>
      </c>
      <c r="Q90" cm="1">
        <f t="array" ref="Q90">[1]!PropsSI("D","T",J90+273.15,"P",101325,"Water")</f>
        <v>985.32812040650072</v>
      </c>
      <c r="R90" cm="1">
        <f t="array" ref="R90">[1]!PropsSI("D","T",K90+273.15,"P",101325,"Water")</f>
        <v>987.33232756019038</v>
      </c>
      <c r="S90">
        <f t="shared" si="4"/>
        <v>986.3302239833456</v>
      </c>
      <c r="T90" cm="1">
        <f t="array" ref="T90">[1]!PropsSI("H","T",J90+273.15,"P",101325,"Water")</f>
        <v>233467.07698377187</v>
      </c>
      <c r="U90" cm="1">
        <f t="array" ref="U90">[1]!PropsSI("H","T",K90+273.15,"P",101325,"Water")</f>
        <v>215844.0662681043</v>
      </c>
      <c r="V90">
        <f t="shared" si="5"/>
        <v>363.82780179402408</v>
      </c>
    </row>
    <row r="91" spans="1:22" x14ac:dyDescent="0.2">
      <c r="A91">
        <v>46122.704635416667</v>
      </c>
      <c r="B91">
        <v>20.94172</v>
      </c>
      <c r="C91">
        <v>20.950997000000001</v>
      </c>
      <c r="D91">
        <v>20.59909</v>
      </c>
      <c r="E91">
        <v>20.677267000000001</v>
      </c>
      <c r="F91">
        <v>39.355134</v>
      </c>
      <c r="G91">
        <v>34.626821</v>
      </c>
      <c r="H91">
        <v>34.247618000000003</v>
      </c>
      <c r="I91">
        <v>27.520130999999999</v>
      </c>
      <c r="J91">
        <v>55.749684999999999</v>
      </c>
      <c r="K91">
        <v>51.539186000000001</v>
      </c>
      <c r="L91">
        <v>19.346229999999998</v>
      </c>
      <c r="M91">
        <v>-622.49755100000004</v>
      </c>
      <c r="N91">
        <v>1.2555289999999999</v>
      </c>
      <c r="O91">
        <v>5.9536480000000003</v>
      </c>
      <c r="P91">
        <f t="shared" ref="P91:P132" si="6" xml:space="preserve"> N91*0.001/60</f>
        <v>2.0925483333333335E-5</v>
      </c>
      <c r="Q91" cm="1">
        <f t="array" ref="Q91">[1]!PropsSI("D","T",J91+273.15,"P",101325,"Water")</f>
        <v>985.32835406775325</v>
      </c>
      <c r="R91" cm="1">
        <f t="array" ref="R91">[1]!PropsSI("D","T",K91+273.15,"P",101325,"Water")</f>
        <v>987.33115193892024</v>
      </c>
      <c r="S91">
        <f t="shared" ref="S91:S132" si="7">(Q91+R91)/2</f>
        <v>986.32975300333669</v>
      </c>
      <c r="T91" cm="1">
        <f t="array" ref="T91">[1]!PropsSI("H","T",J91+273.15,"P",101325,"Water")</f>
        <v>233465.07739880375</v>
      </c>
      <c r="U91" cm="1">
        <f t="array" ref="U91">[1]!PropsSI("H","T",K91+273.15,"P",101325,"Water")</f>
        <v>215854.70057702644</v>
      </c>
      <c r="V91">
        <f t="shared" ref="V91:V132" si="8">S91*P91*(T91-U91)</f>
        <v>363.46808346807001</v>
      </c>
    </row>
    <row r="92" spans="1:22" x14ac:dyDescent="0.2">
      <c r="A92">
        <v>46122.704693287036</v>
      </c>
      <c r="B92">
        <v>20.90934</v>
      </c>
      <c r="C92">
        <v>20.922370000000001</v>
      </c>
      <c r="D92">
        <v>20.570695000000001</v>
      </c>
      <c r="E92">
        <v>20.663174000000001</v>
      </c>
      <c r="F92">
        <v>39.168486999999999</v>
      </c>
      <c r="G92">
        <v>34.587918000000002</v>
      </c>
      <c r="H92">
        <v>33.92848</v>
      </c>
      <c r="I92">
        <v>27.798128999999999</v>
      </c>
      <c r="J92">
        <v>55.749208000000003</v>
      </c>
      <c r="K92">
        <v>51.538232000000001</v>
      </c>
      <c r="L92">
        <v>18.097313</v>
      </c>
      <c r="M92">
        <v>-622.48612300000002</v>
      </c>
      <c r="N92">
        <v>1.257361</v>
      </c>
      <c r="O92">
        <v>6.3017789999999998</v>
      </c>
      <c r="P92">
        <f t="shared" si="6"/>
        <v>2.0956016666666667E-5</v>
      </c>
      <c r="Q92" cm="1">
        <f t="array" ref="Q92">[1]!PropsSI("D","T",J92+273.15,"P",101325,"Water")</f>
        <v>985.32858723876336</v>
      </c>
      <c r="R92" cm="1">
        <f t="array" ref="R92">[1]!PropsSI("D","T",K92+273.15,"P",101325,"Water")</f>
        <v>987.33159297513271</v>
      </c>
      <c r="S92">
        <f t="shared" si="7"/>
        <v>986.33009010694809</v>
      </c>
      <c r="T92" cm="1">
        <f t="array" ref="T92">[1]!PropsSI("H","T",J92+273.15,"P",101325,"Water")</f>
        <v>233463.08199721092</v>
      </c>
      <c r="U92" cm="1">
        <f t="array" ref="U92">[1]!PropsSI("H","T",K92+273.15,"P",101325,"Water")</f>
        <v>215850.7111427988</v>
      </c>
      <c r="V92">
        <f t="shared" si="8"/>
        <v>364.03977659667015</v>
      </c>
    </row>
    <row r="93" spans="1:22" x14ac:dyDescent="0.2">
      <c r="A93">
        <v>46122.704751157406</v>
      </c>
      <c r="B93">
        <v>20.871834</v>
      </c>
      <c r="C93">
        <v>20.883322</v>
      </c>
      <c r="D93">
        <v>20.564136000000001</v>
      </c>
      <c r="E93">
        <v>20.638998999999998</v>
      </c>
      <c r="F93">
        <v>39.207850000000001</v>
      </c>
      <c r="G93">
        <v>33.184176999999998</v>
      </c>
      <c r="H93">
        <v>34.191698000000002</v>
      </c>
      <c r="I93">
        <v>26.887229999999999</v>
      </c>
      <c r="J93">
        <v>55.749366999999999</v>
      </c>
      <c r="K93">
        <v>51.537754999999997</v>
      </c>
      <c r="L93">
        <v>19.124199999999998</v>
      </c>
      <c r="M93">
        <v>-622.50122399999998</v>
      </c>
      <c r="N93">
        <v>1.2570699999999999</v>
      </c>
      <c r="O93">
        <v>6.0712590000000004</v>
      </c>
      <c r="P93">
        <f t="shared" si="6"/>
        <v>2.0951166666666663E-5</v>
      </c>
      <c r="Q93" cm="1">
        <f t="array" ref="Q93">[1]!PropsSI("D","T",J93+273.15,"P",101325,"Water")</f>
        <v>985.32850951523744</v>
      </c>
      <c r="R93" cm="1">
        <f t="array" ref="R93">[1]!PropsSI("D","T",K93+273.15,"P",101325,"Water")</f>
        <v>987.33181349105894</v>
      </c>
      <c r="S93">
        <f t="shared" si="7"/>
        <v>986.33016150314825</v>
      </c>
      <c r="T93" cm="1">
        <f t="array" ref="T93">[1]!PropsSI("H","T",J93+273.15,"P",101325,"Water")</f>
        <v>233463.74713109172</v>
      </c>
      <c r="U93" cm="1">
        <f t="array" ref="U93">[1]!PropsSI("H","T",K93+273.15,"P",101325,"Water")</f>
        <v>215848.7164257477</v>
      </c>
      <c r="V93">
        <f t="shared" si="8"/>
        <v>364.01051582825215</v>
      </c>
    </row>
    <row r="94" spans="1:22" x14ac:dyDescent="0.2">
      <c r="A94">
        <v>46122.704809027775</v>
      </c>
      <c r="B94">
        <v>20.855834000000002</v>
      </c>
      <c r="C94">
        <v>20.867688000000001</v>
      </c>
      <c r="D94">
        <v>20.547574999999998</v>
      </c>
      <c r="E94">
        <v>20.625133999999999</v>
      </c>
      <c r="F94">
        <v>39.349632999999997</v>
      </c>
      <c r="G94">
        <v>34.424306999999999</v>
      </c>
      <c r="H94">
        <v>34.061684</v>
      </c>
      <c r="I94">
        <v>27.278089999999999</v>
      </c>
      <c r="J94">
        <v>55.747138999999997</v>
      </c>
      <c r="K94">
        <v>51.534734999999998</v>
      </c>
      <c r="L94">
        <v>19.183789000000001</v>
      </c>
      <c r="M94">
        <v>-622.51142800000002</v>
      </c>
      <c r="N94">
        <v>1.2562340000000001</v>
      </c>
      <c r="O94">
        <v>6.1239080000000001</v>
      </c>
      <c r="P94">
        <f t="shared" si="6"/>
        <v>2.0937233333333337E-5</v>
      </c>
      <c r="Q94" cm="1">
        <f t="array" ref="Q94">[1]!PropsSI("D","T",J94+273.15,"P",101325,"Water")</f>
        <v>985.32959860789185</v>
      </c>
      <c r="R94" cm="1">
        <f t="array" ref="R94">[1]!PropsSI("D","T",K94+273.15,"P",101325,"Water")</f>
        <v>987.3332095955061</v>
      </c>
      <c r="S94">
        <f t="shared" si="7"/>
        <v>986.33140410169904</v>
      </c>
      <c r="T94" cm="1">
        <f t="array" ref="T94">[1]!PropsSI("H","T",J94+273.15,"P",101325,"Water")</f>
        <v>233454.42689145141</v>
      </c>
      <c r="U94" cm="1">
        <f t="array" ref="U94">[1]!PropsSI("H","T",K94+273.15,"P",101325,"Water")</f>
        <v>215836.08740138766</v>
      </c>
      <c r="V94">
        <f t="shared" si="8"/>
        <v>363.83722296948582</v>
      </c>
    </row>
    <row r="95" spans="1:22" x14ac:dyDescent="0.2">
      <c r="A95">
        <v>46122.704867476852</v>
      </c>
      <c r="B95">
        <v>20.825803000000001</v>
      </c>
      <c r="C95">
        <v>20.840927000000001</v>
      </c>
      <c r="D95">
        <v>20.534506</v>
      </c>
      <c r="E95">
        <v>20.627817</v>
      </c>
      <c r="F95">
        <v>39.304183000000002</v>
      </c>
      <c r="G95">
        <v>34.718578000000001</v>
      </c>
      <c r="H95">
        <v>33.293495999999998</v>
      </c>
      <c r="I95">
        <v>27.681614</v>
      </c>
      <c r="J95">
        <v>55.747298000000001</v>
      </c>
      <c r="K95">
        <v>51.530920999999999</v>
      </c>
      <c r="L95">
        <v>20.643308000000001</v>
      </c>
      <c r="M95">
        <v>-622.48530700000003</v>
      </c>
      <c r="N95">
        <v>1.2564470000000001</v>
      </c>
      <c r="O95">
        <v>6.0742330000000004</v>
      </c>
      <c r="P95">
        <f t="shared" si="6"/>
        <v>2.0940783333333334E-5</v>
      </c>
      <c r="Q95" cm="1">
        <f t="array" ref="Q95">[1]!PropsSI("D","T",J95+273.15,"P",101325,"Water")</f>
        <v>985.3295208863899</v>
      </c>
      <c r="R95" cm="1">
        <f t="array" ref="R95">[1]!PropsSI("D","T",K95+273.15,"P",101325,"Water")</f>
        <v>987.33497267123437</v>
      </c>
      <c r="S95">
        <f t="shared" si="7"/>
        <v>986.33224677881208</v>
      </c>
      <c r="T95" cm="1">
        <f t="array" ref="T95">[1]!PropsSI("H","T",J95+273.15,"P",101325,"Water")</f>
        <v>233455.09202517587</v>
      </c>
      <c r="U95" cm="1">
        <f t="array" ref="U95">[1]!PropsSI("H","T",K95+273.15,"P",101325,"Water")</f>
        <v>215820.13803489323</v>
      </c>
      <c r="V95">
        <f t="shared" si="8"/>
        <v>364.24238942544389</v>
      </c>
    </row>
    <row r="96" spans="1:22" x14ac:dyDescent="0.2">
      <c r="A96">
        <v>46122.704925347221</v>
      </c>
      <c r="B96">
        <v>20.798717</v>
      </c>
      <c r="C96">
        <v>20.831008000000001</v>
      </c>
      <c r="D96">
        <v>20.536655</v>
      </c>
      <c r="E96">
        <v>20.611111999999999</v>
      </c>
      <c r="F96">
        <v>39.103230000000003</v>
      </c>
      <c r="G96">
        <v>34.518971999999998</v>
      </c>
      <c r="H96">
        <v>34.205658999999997</v>
      </c>
      <c r="I96">
        <v>27.262761999999999</v>
      </c>
      <c r="J96">
        <v>55.748412000000002</v>
      </c>
      <c r="K96">
        <v>51.533782000000002</v>
      </c>
      <c r="L96">
        <v>19.565403</v>
      </c>
      <c r="M96">
        <v>-622.50367300000005</v>
      </c>
      <c r="N96">
        <v>1.256427</v>
      </c>
      <c r="O96">
        <v>5.9554020000000003</v>
      </c>
      <c r="P96">
        <f t="shared" si="6"/>
        <v>2.094045E-5</v>
      </c>
      <c r="Q96" cm="1">
        <f t="array" ref="Q96">[1]!PropsSI("D","T",J96+273.15,"P",101325,"Water")</f>
        <v>985.32897634281471</v>
      </c>
      <c r="R96" cm="1">
        <f t="array" ref="R96">[1]!PropsSI("D","T",K96+273.15,"P",101325,"Water")</f>
        <v>987.33365014207732</v>
      </c>
      <c r="S96">
        <f t="shared" si="7"/>
        <v>986.33131324244596</v>
      </c>
      <c r="T96" cm="1">
        <f t="array" ref="T96">[1]!PropsSI("H","T",J96+273.15,"P",101325,"Water")</f>
        <v>233459.75214487882</v>
      </c>
      <c r="U96" cm="1">
        <f t="array" ref="U96">[1]!PropsSI("H","T",K96+273.15,"P",101325,"Water")</f>
        <v>215832.10215025517</v>
      </c>
      <c r="V96">
        <f t="shared" si="8"/>
        <v>364.08538836639332</v>
      </c>
    </row>
    <row r="97" spans="1:22" x14ac:dyDescent="0.2">
      <c r="A97">
        <v>46122.704983796299</v>
      </c>
      <c r="B97">
        <v>20.782653</v>
      </c>
      <c r="C97">
        <v>20.808118</v>
      </c>
      <c r="D97">
        <v>20.513534</v>
      </c>
      <c r="E97">
        <v>20.586850999999999</v>
      </c>
      <c r="F97">
        <v>39.065719999999999</v>
      </c>
      <c r="G97">
        <v>33.048215999999996</v>
      </c>
      <c r="H97">
        <v>33.827249000000002</v>
      </c>
      <c r="I97">
        <v>27.427413000000001</v>
      </c>
      <c r="J97">
        <v>55.752071999999998</v>
      </c>
      <c r="K97">
        <v>51.535370999999998</v>
      </c>
      <c r="L97">
        <v>19.967831</v>
      </c>
      <c r="M97">
        <v>-622.48449100000005</v>
      </c>
      <c r="N97">
        <v>1.2526120000000001</v>
      </c>
      <c r="O97">
        <v>5.9227809999999996</v>
      </c>
      <c r="P97">
        <f t="shared" si="6"/>
        <v>2.087686666666667E-5</v>
      </c>
      <c r="Q97" cm="1">
        <f t="array" ref="Q97">[1]!PropsSI("D","T",J97+273.15,"P",101325,"Water")</f>
        <v>985.32718721401125</v>
      </c>
      <c r="R97" cm="1">
        <f t="array" ref="R97">[1]!PropsSI("D","T",K97+273.15,"P",101325,"Water")</f>
        <v>987.33291558632743</v>
      </c>
      <c r="S97">
        <f t="shared" si="7"/>
        <v>986.3300514001694</v>
      </c>
      <c r="T97" cm="1">
        <f t="array" ref="T97">[1]!PropsSI("H","T",J97+273.15,"P",101325,"Water")</f>
        <v>233475.06277460934</v>
      </c>
      <c r="U97" cm="1">
        <f t="array" ref="U97">[1]!PropsSI("H","T",K97+273.15,"P",101325,"Water")</f>
        <v>215838.74702354113</v>
      </c>
      <c r="V97">
        <f t="shared" si="8"/>
        <v>363.15786021149728</v>
      </c>
    </row>
    <row r="98" spans="1:22" x14ac:dyDescent="0.2">
      <c r="A98">
        <v>46122.705041666668</v>
      </c>
      <c r="B98">
        <v>20.750786000000002</v>
      </c>
      <c r="C98">
        <v>20.789283000000001</v>
      </c>
      <c r="D98">
        <v>20.496092999999998</v>
      </c>
      <c r="E98">
        <v>20.577169000000001</v>
      </c>
      <c r="F98">
        <v>39.023046000000001</v>
      </c>
      <c r="G98">
        <v>34.555115999999998</v>
      </c>
      <c r="H98">
        <v>34.147432000000002</v>
      </c>
      <c r="I98">
        <v>27.727191000000001</v>
      </c>
      <c r="J98">
        <v>55.751753999999998</v>
      </c>
      <c r="K98">
        <v>51.534734999999998</v>
      </c>
      <c r="L98">
        <v>19.687844999999999</v>
      </c>
      <c r="M98">
        <v>-622.49020499999995</v>
      </c>
      <c r="N98">
        <v>1.257517</v>
      </c>
      <c r="O98">
        <v>5.7907590000000004</v>
      </c>
      <c r="P98">
        <f t="shared" si="6"/>
        <v>2.095861666666667E-5</v>
      </c>
      <c r="Q98" cm="1">
        <f t="array" ref="Q98">[1]!PropsSI("D","T",J98+273.15,"P",101325,"Water")</f>
        <v>985.32734266617706</v>
      </c>
      <c r="R98" cm="1">
        <f t="array" ref="R98">[1]!PropsSI("D","T",K98+273.15,"P",101325,"Water")</f>
        <v>987.3332095955061</v>
      </c>
      <c r="S98">
        <f t="shared" si="7"/>
        <v>986.33027613084164</v>
      </c>
      <c r="T98" cm="1">
        <f t="array" ref="T98">[1]!PropsSI("H","T",J98+273.15,"P",101325,"Water")</f>
        <v>233473.73250657853</v>
      </c>
      <c r="U98" cm="1">
        <f t="array" ref="U98">[1]!PropsSI("H","T",K98+273.15,"P",101325,"Water")</f>
        <v>215836.08740138766</v>
      </c>
      <c r="V98">
        <f t="shared" si="8"/>
        <v>364.60748375191434</v>
      </c>
    </row>
    <row r="99" spans="1:22" x14ac:dyDescent="0.2">
      <c r="A99">
        <v>46122.705099537037</v>
      </c>
      <c r="B99">
        <v>20.759273</v>
      </c>
      <c r="C99">
        <v>20.793057000000001</v>
      </c>
      <c r="D99">
        <v>20.499169999999999</v>
      </c>
      <c r="E99">
        <v>20.585267999999999</v>
      </c>
      <c r="F99">
        <v>39.002015999999998</v>
      </c>
      <c r="G99">
        <v>35.379258999999998</v>
      </c>
      <c r="H99">
        <v>33.575021</v>
      </c>
      <c r="I99">
        <v>27.522051999999999</v>
      </c>
      <c r="J99">
        <v>55.752231999999999</v>
      </c>
      <c r="K99">
        <v>51.532350999999998</v>
      </c>
      <c r="L99">
        <v>19.690294000000002</v>
      </c>
      <c r="M99">
        <v>-622.47061399999996</v>
      </c>
      <c r="N99">
        <v>1.2588360000000001</v>
      </c>
      <c r="O99">
        <v>5.9140639999999998</v>
      </c>
      <c r="P99">
        <f t="shared" si="6"/>
        <v>2.0980600000000004E-5</v>
      </c>
      <c r="Q99" cm="1">
        <f t="array" ref="Q99">[1]!PropsSI("D","T",J99+273.15,"P",101325,"Water")</f>
        <v>985.32710899885103</v>
      </c>
      <c r="R99" cm="1">
        <f t="array" ref="R99">[1]!PropsSI("D","T",K99+273.15,"P",101325,"Water")</f>
        <v>987.33431164440276</v>
      </c>
      <c r="S99">
        <f t="shared" si="7"/>
        <v>986.33071032162684</v>
      </c>
      <c r="T99" cm="1">
        <f t="array" ref="T99">[1]!PropsSI("H","T",J99+273.15,"P",101325,"Water")</f>
        <v>233475.73209188177</v>
      </c>
      <c r="U99" cm="1">
        <f t="array" ref="U99">[1]!PropsSI("H","T",K99+273.15,"P",101325,"Water")</f>
        <v>215826.11800134787</v>
      </c>
      <c r="V99">
        <f t="shared" si="8"/>
        <v>365.23776234498212</v>
      </c>
    </row>
    <row r="100" spans="1:22" x14ac:dyDescent="0.2">
      <c r="A100">
        <v>46122.705157986115</v>
      </c>
      <c r="B100">
        <v>20.714863999999999</v>
      </c>
      <c r="C100">
        <v>20.770140999999999</v>
      </c>
      <c r="D100">
        <v>20.472311000000001</v>
      </c>
      <c r="E100">
        <v>20.568791000000001</v>
      </c>
      <c r="F100">
        <v>39.164828</v>
      </c>
      <c r="G100">
        <v>33.341538999999997</v>
      </c>
      <c r="H100">
        <v>33.549897000000001</v>
      </c>
      <c r="I100">
        <v>27.293101</v>
      </c>
      <c r="J100">
        <v>55.753504999999997</v>
      </c>
      <c r="K100">
        <v>51.536324999999998</v>
      </c>
      <c r="L100">
        <v>18.581778</v>
      </c>
      <c r="M100">
        <v>-622.46245099999999</v>
      </c>
      <c r="N100">
        <v>1.25641</v>
      </c>
      <c r="O100">
        <v>6.2161670000000004</v>
      </c>
      <c r="P100">
        <f t="shared" si="6"/>
        <v>2.094016666666667E-5</v>
      </c>
      <c r="Q100" cm="1">
        <f t="array" ref="Q100">[1]!PropsSI("D","T",J100+273.15,"P",101325,"Water")</f>
        <v>985.3264866938573</v>
      </c>
      <c r="R100" cm="1">
        <f t="array" ref="R100">[1]!PropsSI("D","T",K100+273.15,"P",101325,"Water")</f>
        <v>987.33247456771221</v>
      </c>
      <c r="S100">
        <f t="shared" si="7"/>
        <v>986.3294806307847</v>
      </c>
      <c r="T100" cm="1">
        <f t="array" ref="T100">[1]!PropsSI("H","T",J100+273.15,"P",101325,"Water")</f>
        <v>233481.05734765859</v>
      </c>
      <c r="U100" cm="1">
        <f t="array" ref="U100">[1]!PropsSI("H","T",K100+273.15,"P",101325,"Water")</f>
        <v>215842.73645691769</v>
      </c>
      <c r="V100">
        <f t="shared" si="8"/>
        <v>364.30018133028091</v>
      </c>
    </row>
    <row r="101" spans="1:22" x14ac:dyDescent="0.2">
      <c r="A101">
        <v>46122.705215856484</v>
      </c>
      <c r="B101">
        <v>20.707336000000002</v>
      </c>
      <c r="C101">
        <v>20.750374999999998</v>
      </c>
      <c r="D101">
        <v>20.483875999999999</v>
      </c>
      <c r="E101">
        <v>20.567834000000001</v>
      </c>
      <c r="F101">
        <v>39.220258000000001</v>
      </c>
      <c r="G101">
        <v>34.636696999999998</v>
      </c>
      <c r="H101">
        <v>33.814366</v>
      </c>
      <c r="I101">
        <v>27.368262999999999</v>
      </c>
      <c r="J101">
        <v>55.756368999999999</v>
      </c>
      <c r="K101">
        <v>51.538550000000001</v>
      </c>
      <c r="L101">
        <v>19.134812</v>
      </c>
      <c r="M101">
        <v>-622.50285699999995</v>
      </c>
      <c r="N101">
        <v>1.257414</v>
      </c>
      <c r="O101">
        <v>6.0604199999999997</v>
      </c>
      <c r="P101">
        <f t="shared" si="6"/>
        <v>2.0956900000000003E-5</v>
      </c>
      <c r="Q101" cm="1">
        <f t="array" ref="Q101">[1]!PropsSI("D","T",J101+273.15,"P",101325,"Water")</f>
        <v>985.3250865932888</v>
      </c>
      <c r="R101" cm="1">
        <f t="array" ref="R101">[1]!PropsSI("D","T",K101+273.15,"P",101325,"Water")</f>
        <v>987.33144596370914</v>
      </c>
      <c r="S101">
        <f t="shared" si="7"/>
        <v>986.32826627849897</v>
      </c>
      <c r="T101" cm="1">
        <f t="array" ref="T101">[1]!PropsSI("H","T",J101+273.15,"P",101325,"Water")</f>
        <v>233493.03812966231</v>
      </c>
      <c r="U101" cm="1">
        <f t="array" ref="U101">[1]!PropsSI("H","T",K101+273.15,"P",101325,"Water")</f>
        <v>215852.04095417389</v>
      </c>
      <c r="V101">
        <f t="shared" si="8"/>
        <v>364.64616535971572</v>
      </c>
    </row>
    <row r="102" spans="1:22" x14ac:dyDescent="0.2">
      <c r="A102">
        <v>46122.705273726853</v>
      </c>
      <c r="B102">
        <v>20.690189</v>
      </c>
      <c r="C102">
        <v>20.742656</v>
      </c>
      <c r="D102">
        <v>20.481031000000002</v>
      </c>
      <c r="E102">
        <v>20.561803000000001</v>
      </c>
      <c r="F102">
        <v>39.183297000000003</v>
      </c>
      <c r="G102">
        <v>34.64481</v>
      </c>
      <c r="H102">
        <v>33.832906000000001</v>
      </c>
      <c r="I102">
        <v>27.18854</v>
      </c>
      <c r="J102">
        <v>55.758755999999998</v>
      </c>
      <c r="K102">
        <v>51.539344999999997</v>
      </c>
      <c r="L102">
        <v>19.894366000000002</v>
      </c>
      <c r="M102">
        <v>-622.47510299999999</v>
      </c>
      <c r="N102">
        <v>1.260148</v>
      </c>
      <c r="O102">
        <v>5.9584390000000003</v>
      </c>
      <c r="P102">
        <f t="shared" si="6"/>
        <v>2.1002466666666668E-5</v>
      </c>
      <c r="Q102" cm="1">
        <f t="array" ref="Q102">[1]!PropsSI("D","T",J102+273.15,"P",101325,"Water")</f>
        <v>985.32391964127316</v>
      </c>
      <c r="R102" cm="1">
        <f t="array" ref="R102">[1]!PropsSI("D","T",K102+273.15,"P",101325,"Water")</f>
        <v>987.331078432298</v>
      </c>
      <c r="S102">
        <f t="shared" si="7"/>
        <v>986.32749903678564</v>
      </c>
      <c r="T102" cm="1">
        <f t="array" ref="T102">[1]!PropsSI("H","T",J102+273.15,"P",101325,"Water")</f>
        <v>233503.02351144666</v>
      </c>
      <c r="U102" cm="1">
        <f t="array" ref="U102">[1]!PropsSI("H","T",K102+273.15,"P",101325,"Water")</f>
        <v>215855.36548276836</v>
      </c>
      <c r="V102">
        <f t="shared" si="8"/>
        <v>365.57671426660835</v>
      </c>
    </row>
    <row r="103" spans="1:22" x14ac:dyDescent="0.2">
      <c r="A103">
        <v>46122.705331597223</v>
      </c>
      <c r="B103">
        <v>20.665291</v>
      </c>
      <c r="C103">
        <v>20.711701999999999</v>
      </c>
      <c r="D103">
        <v>20.467717</v>
      </c>
      <c r="E103">
        <v>20.556895000000001</v>
      </c>
      <c r="F103">
        <v>39.280850000000001</v>
      </c>
      <c r="G103">
        <v>34.126797000000003</v>
      </c>
      <c r="H103">
        <v>33.482785</v>
      </c>
      <c r="I103">
        <v>26.933764</v>
      </c>
      <c r="J103">
        <v>55.756687999999997</v>
      </c>
      <c r="K103">
        <v>51.538072999999997</v>
      </c>
      <c r="L103">
        <v>18.658916999999999</v>
      </c>
      <c r="M103">
        <v>-622.52081499999997</v>
      </c>
      <c r="N103">
        <v>1.2579640000000001</v>
      </c>
      <c r="O103">
        <v>5.8636900000000001</v>
      </c>
      <c r="P103">
        <f t="shared" si="6"/>
        <v>2.0966066666666669E-5</v>
      </c>
      <c r="Q103" cm="1">
        <f t="array" ref="Q103">[1]!PropsSI("D","T",J103+273.15,"P",101325,"Water")</f>
        <v>985.3249306432017</v>
      </c>
      <c r="R103" cm="1">
        <f t="array" ref="R103">[1]!PropsSI("D","T",K103+273.15,"P",101325,"Water")</f>
        <v>987.33166648061638</v>
      </c>
      <c r="S103">
        <f t="shared" si="7"/>
        <v>986.32829856190904</v>
      </c>
      <c r="T103" cm="1">
        <f t="array" ref="T103">[1]!PropsSI("H","T",J103+273.15,"P",101325,"Water")</f>
        <v>233494.37258151124</v>
      </c>
      <c r="U103" cm="1">
        <f t="array" ref="U103">[1]!PropsSI("H","T",K103+273.15,"P",101325,"Water")</f>
        <v>215850.04623709622</v>
      </c>
      <c r="V103">
        <f t="shared" si="8"/>
        <v>364.87452089526857</v>
      </c>
    </row>
    <row r="104" spans="1:22" x14ac:dyDescent="0.2">
      <c r="A104">
        <v>46122.7053900463</v>
      </c>
      <c r="B104">
        <v>20.642759999999999</v>
      </c>
      <c r="C104">
        <v>20.665452999999999</v>
      </c>
      <c r="D104">
        <v>20.469745</v>
      </c>
      <c r="E104">
        <v>20.558672000000001</v>
      </c>
      <c r="F104">
        <v>39.140289000000003</v>
      </c>
      <c r="G104">
        <v>35.412159000000003</v>
      </c>
      <c r="H104">
        <v>32.769589000000003</v>
      </c>
      <c r="I104">
        <v>27.414456000000001</v>
      </c>
      <c r="J104">
        <v>55.757323999999997</v>
      </c>
      <c r="K104">
        <v>51.540298999999997</v>
      </c>
      <c r="L104">
        <v>19.772739000000001</v>
      </c>
      <c r="M104">
        <v>-622.50285699999995</v>
      </c>
      <c r="N104">
        <v>1.2594350000000001</v>
      </c>
      <c r="O104">
        <v>6.2994029999999999</v>
      </c>
      <c r="P104">
        <f t="shared" si="6"/>
        <v>2.0990583333333335E-5</v>
      </c>
      <c r="Q104" cm="1">
        <f t="array" ref="Q104">[1]!PropsSI("D","T",J104+273.15,"P",101325,"Water")</f>
        <v>985.32461971891803</v>
      </c>
      <c r="R104" cm="1">
        <f t="array" ref="R104">[1]!PropsSI("D","T",K104+273.15,"P",101325,"Water")</f>
        <v>987.33063738921999</v>
      </c>
      <c r="S104">
        <f t="shared" si="7"/>
        <v>986.32762855406895</v>
      </c>
      <c r="T104" cm="1">
        <f t="array" ref="T104">[1]!PropsSI("H","T",J104+273.15,"P",101325,"Water")</f>
        <v>233497.03311878038</v>
      </c>
      <c r="U104" cm="1">
        <f t="array" ref="U104">[1]!PropsSI("H","T",K104+273.15,"P",101325,"Water")</f>
        <v>215859.35491735413</v>
      </c>
      <c r="V104">
        <f t="shared" si="8"/>
        <v>365.16329826816053</v>
      </c>
    </row>
    <row r="105" spans="1:22" x14ac:dyDescent="0.2">
      <c r="A105">
        <v>46122.705447916669</v>
      </c>
      <c r="B105">
        <v>20.631793999999999</v>
      </c>
      <c r="C105">
        <v>20.651795</v>
      </c>
      <c r="D105">
        <v>20.477903000000001</v>
      </c>
      <c r="E105">
        <v>20.565138999999999</v>
      </c>
      <c r="F105">
        <v>39.116714000000002</v>
      </c>
      <c r="G105">
        <v>35.058328000000003</v>
      </c>
      <c r="H105">
        <v>33.727322000000001</v>
      </c>
      <c r="I105">
        <v>27.898223999999999</v>
      </c>
      <c r="J105">
        <v>55.759075000000003</v>
      </c>
      <c r="K105">
        <v>51.537754999999997</v>
      </c>
      <c r="L105">
        <v>20.659632999999999</v>
      </c>
      <c r="M105">
        <v>-622.47714399999995</v>
      </c>
      <c r="N105">
        <v>1.261676</v>
      </c>
      <c r="O105">
        <v>6.009423</v>
      </c>
      <c r="P105">
        <f t="shared" si="6"/>
        <v>2.1027933333333332E-5</v>
      </c>
      <c r="Q105" cm="1">
        <f t="array" ref="Q105">[1]!PropsSI("D","T",J105+273.15,"P",101325,"Water")</f>
        <v>985.32376368649238</v>
      </c>
      <c r="R105" cm="1">
        <f t="array" ref="R105">[1]!PropsSI("D","T",K105+273.15,"P",101325,"Water")</f>
        <v>987.33181349105894</v>
      </c>
      <c r="S105">
        <f t="shared" si="7"/>
        <v>986.32778858877566</v>
      </c>
      <c r="T105" cm="1">
        <f t="array" ref="T105">[1]!PropsSI("H","T",J105+273.15,"P",101325,"Water")</f>
        <v>233504.3579635176</v>
      </c>
      <c r="U105" cm="1">
        <f t="array" ref="U105">[1]!PropsSI("H","T",K105+273.15,"P",101325,"Water")</f>
        <v>215848.7164257477</v>
      </c>
      <c r="V105">
        <f t="shared" si="8"/>
        <v>366.18568540184128</v>
      </c>
    </row>
    <row r="106" spans="1:22" x14ac:dyDescent="0.2">
      <c r="A106">
        <v>46122.705506365739</v>
      </c>
      <c r="B106">
        <v>20.629663999999998</v>
      </c>
      <c r="C106">
        <v>20.666162</v>
      </c>
      <c r="D106">
        <v>20.503639</v>
      </c>
      <c r="E106">
        <v>20.567181999999999</v>
      </c>
      <c r="F106">
        <v>39.280343999999999</v>
      </c>
      <c r="G106">
        <v>34.973956999999999</v>
      </c>
      <c r="H106">
        <v>33.785822000000003</v>
      </c>
      <c r="I106">
        <v>27.358929</v>
      </c>
      <c r="J106">
        <v>55.757961000000002</v>
      </c>
      <c r="K106">
        <v>51.539662999999997</v>
      </c>
      <c r="L106">
        <v>18.307506</v>
      </c>
      <c r="M106">
        <v>-622.51224400000001</v>
      </c>
      <c r="N106">
        <v>1.2550539999999999</v>
      </c>
      <c r="O106">
        <v>5.9720490000000002</v>
      </c>
      <c r="P106">
        <f t="shared" si="6"/>
        <v>2.0917566666666668E-5</v>
      </c>
      <c r="Q106" cm="1">
        <f t="array" ref="Q106">[1]!PropsSI("D","T",J106+273.15,"P",101325,"Water")</f>
        <v>985.32430830323563</v>
      </c>
      <c r="R106" cm="1">
        <f t="array" ref="R106">[1]!PropsSI("D","T",K106+273.15,"P",101325,"Water")</f>
        <v>987.33093141859342</v>
      </c>
      <c r="S106">
        <f t="shared" si="7"/>
        <v>986.32761986091452</v>
      </c>
      <c r="T106" cm="1">
        <f t="array" ref="T106">[1]!PropsSI("H","T",J106+273.15,"P",101325,"Water")</f>
        <v>233499.69783948068</v>
      </c>
      <c r="U106" cm="1">
        <f t="array" ref="U106">[1]!PropsSI("H","T",K106+273.15,"P",101325,"Water")</f>
        <v>215856.69529428828</v>
      </c>
      <c r="V106">
        <f t="shared" si="8"/>
        <v>364.00290806993007</v>
      </c>
    </row>
    <row r="107" spans="1:22" x14ac:dyDescent="0.2">
      <c r="A107">
        <v>46122.705564814816</v>
      </c>
      <c r="B107">
        <v>20.638349000000002</v>
      </c>
      <c r="C107">
        <v>20.658294999999999</v>
      </c>
      <c r="D107">
        <v>20.497862000000001</v>
      </c>
      <c r="E107">
        <v>20.576853</v>
      </c>
      <c r="F107">
        <v>39.386018999999997</v>
      </c>
      <c r="G107">
        <v>34.495094000000002</v>
      </c>
      <c r="H107">
        <v>33.702143999999997</v>
      </c>
      <c r="I107">
        <v>27.248550999999999</v>
      </c>
      <c r="J107">
        <v>55.754618999999998</v>
      </c>
      <c r="K107">
        <v>51.535530000000001</v>
      </c>
      <c r="L107">
        <v>18.954820999999999</v>
      </c>
      <c r="M107">
        <v>-622.50938699999995</v>
      </c>
      <c r="N107">
        <v>1.253185</v>
      </c>
      <c r="O107">
        <v>6.0646259999999996</v>
      </c>
      <c r="P107">
        <f t="shared" si="6"/>
        <v>2.0886416666666667E-5</v>
      </c>
      <c r="Q107" cm="1">
        <f t="array" ref="Q107">[1]!PropsSI("D","T",J107+273.15,"P",101325,"Water")</f>
        <v>985.32594210765717</v>
      </c>
      <c r="R107" cm="1">
        <f t="array" ref="R107">[1]!PropsSI("D","T",K107+273.15,"P",101325,"Water")</f>
        <v>987.33284208363682</v>
      </c>
      <c r="S107">
        <f t="shared" si="7"/>
        <v>986.32939209564699</v>
      </c>
      <c r="T107" cm="1">
        <f t="array" ref="T107">[1]!PropsSI("H","T",J107+273.15,"P",101325,"Water")</f>
        <v>233485.71746995251</v>
      </c>
      <c r="U107" cm="1">
        <f t="array" ref="U107">[1]!PropsSI("H","T",K107+273.15,"P",101325,"Water")</f>
        <v>215839.41192907345</v>
      </c>
      <c r="V107">
        <f t="shared" si="8"/>
        <v>363.52954030755552</v>
      </c>
    </row>
    <row r="108" spans="1:22" x14ac:dyDescent="0.2">
      <c r="A108">
        <v>46122.705622685186</v>
      </c>
      <c r="B108">
        <v>20.665883000000001</v>
      </c>
      <c r="C108">
        <v>20.681652</v>
      </c>
      <c r="D108">
        <v>20.503114</v>
      </c>
      <c r="E108">
        <v>20.582509999999999</v>
      </c>
      <c r="F108">
        <v>39.228485999999997</v>
      </c>
      <c r="G108">
        <v>34.511811000000002</v>
      </c>
      <c r="H108">
        <v>34.137059999999998</v>
      </c>
      <c r="I108">
        <v>27.501483</v>
      </c>
      <c r="J108">
        <v>55.755096000000002</v>
      </c>
      <c r="K108">
        <v>51.528376999999999</v>
      </c>
      <c r="L108">
        <v>19.295211999999999</v>
      </c>
      <c r="M108">
        <v>-622.506122</v>
      </c>
      <c r="N108">
        <v>1.2565459999999999</v>
      </c>
      <c r="O108">
        <v>5.7755859999999997</v>
      </c>
      <c r="P108">
        <f t="shared" si="6"/>
        <v>2.0942433333333331E-5</v>
      </c>
      <c r="Q108" cm="1">
        <f t="array" ref="Q108">[1]!PropsSI("D","T",J108+273.15,"P",101325,"Water")</f>
        <v>985.32570892076467</v>
      </c>
      <c r="R108" cm="1">
        <f t="array" ref="R108">[1]!PropsSI("D","T",K108+273.15,"P",101325,"Water")</f>
        <v>987.33614861927595</v>
      </c>
      <c r="S108">
        <f t="shared" si="7"/>
        <v>986.33092877002036</v>
      </c>
      <c r="T108" cm="1">
        <f t="array" ref="T108">[1]!PropsSI("H","T",J108+273.15,"P",101325,"Water")</f>
        <v>233487.71287250484</v>
      </c>
      <c r="U108" cm="1">
        <f t="array" ref="U108">[1]!PropsSI("H","T",K108+273.15,"P",101325,"Water")</f>
        <v>215809.49955067999</v>
      </c>
      <c r="V108">
        <f t="shared" si="8"/>
        <v>365.16417472853584</v>
      </c>
    </row>
    <row r="109" spans="1:22" x14ac:dyDescent="0.2">
      <c r="A109">
        <v>46122.705681134263</v>
      </c>
      <c r="B109">
        <v>20.715799000000001</v>
      </c>
      <c r="C109">
        <v>20.714206000000001</v>
      </c>
      <c r="D109">
        <v>20.526845000000002</v>
      </c>
      <c r="E109">
        <v>20.582799999999999</v>
      </c>
      <c r="F109">
        <v>39.240006000000001</v>
      </c>
      <c r="G109">
        <v>34.346122000000001</v>
      </c>
      <c r="H109">
        <v>33.811</v>
      </c>
      <c r="I109">
        <v>27.524395999999999</v>
      </c>
      <c r="J109">
        <v>55.755892000000003</v>
      </c>
      <c r="K109">
        <v>51.531874000000002</v>
      </c>
      <c r="L109">
        <v>20.035174999999999</v>
      </c>
      <c r="M109">
        <v>-622.47591999999997</v>
      </c>
      <c r="N109">
        <v>1.258246</v>
      </c>
      <c r="O109">
        <v>6.0496049999999997</v>
      </c>
      <c r="P109">
        <f t="shared" si="6"/>
        <v>2.0970766666666666E-5</v>
      </c>
      <c r="Q109" cm="1">
        <f t="array" ref="Q109">[1]!PropsSI("D","T",J109+273.15,"P",101325,"Water")</f>
        <v>985.32531978392456</v>
      </c>
      <c r="R109" cm="1">
        <f t="array" ref="R109">[1]!PropsSI("D","T",K109+273.15,"P",101325,"Water")</f>
        <v>987.33453214222277</v>
      </c>
      <c r="S109">
        <f t="shared" si="7"/>
        <v>986.32992596307372</v>
      </c>
      <c r="T109" cm="1">
        <f t="array" ref="T109">[1]!PropsSI("H","T",J109+273.15,"P",101325,"Water")</f>
        <v>233491.04272688142</v>
      </c>
      <c r="U109" cm="1">
        <f t="array" ref="U109">[1]!PropsSI("H","T",K109+273.15,"P",101325,"Water")</f>
        <v>215824.12328518159</v>
      </c>
      <c r="V109">
        <f t="shared" si="8"/>
        <v>365.4242353851584</v>
      </c>
    </row>
    <row r="110" spans="1:22" x14ac:dyDescent="0.2">
      <c r="A110">
        <v>46122.705739004632</v>
      </c>
      <c r="B110">
        <v>20.747754</v>
      </c>
      <c r="C110">
        <v>20.728950999999999</v>
      </c>
      <c r="D110">
        <v>20.537178000000001</v>
      </c>
      <c r="E110">
        <v>20.600376000000001</v>
      </c>
      <c r="F110">
        <v>39.437218999999999</v>
      </c>
      <c r="G110">
        <v>33.165042</v>
      </c>
      <c r="H110">
        <v>34.260131000000001</v>
      </c>
      <c r="I110">
        <v>27.213673</v>
      </c>
      <c r="J110">
        <v>55.753982000000001</v>
      </c>
      <c r="K110">
        <v>51.530126000000003</v>
      </c>
      <c r="L110">
        <v>18.517292000000001</v>
      </c>
      <c r="M110">
        <v>-622.49061300000005</v>
      </c>
      <c r="N110">
        <v>1.2580290000000001</v>
      </c>
      <c r="O110">
        <v>5.9622900000000003</v>
      </c>
      <c r="P110">
        <f t="shared" si="6"/>
        <v>2.0967150000000001E-5</v>
      </c>
      <c r="Q110" cm="1">
        <f t="array" ref="Q110">[1]!PropsSI("D","T",J110+273.15,"P",101325,"Water")</f>
        <v>985.32625351020761</v>
      </c>
      <c r="R110" cm="1">
        <f t="array" ref="R110">[1]!PropsSI("D","T",K110+273.15,"P",101325,"Water")</f>
        <v>987.33534015947089</v>
      </c>
      <c r="S110">
        <f t="shared" si="7"/>
        <v>986.33079683483925</v>
      </c>
      <c r="T110" cm="1">
        <f t="array" ref="T110">[1]!PropsSI("H","T",J110+273.15,"P",101325,"Water")</f>
        <v>233483.0527500954</v>
      </c>
      <c r="U110" cm="1">
        <f t="array" ref="U110">[1]!PropsSI("H","T",K110+273.15,"P",101325,"Water")</f>
        <v>215816.81350836178</v>
      </c>
      <c r="V110">
        <f t="shared" si="8"/>
        <v>365.34746916689261</v>
      </c>
    </row>
    <row r="111" spans="1:22" x14ac:dyDescent="0.2">
      <c r="A111">
        <v>46122.705796875001</v>
      </c>
      <c r="B111">
        <v>20.752397999999999</v>
      </c>
      <c r="C111">
        <v>20.746320999999998</v>
      </c>
      <c r="D111">
        <v>20.548743999999999</v>
      </c>
      <c r="E111">
        <v>20.598731999999998</v>
      </c>
      <c r="F111">
        <v>39.433974999999997</v>
      </c>
      <c r="G111">
        <v>33.306620000000002</v>
      </c>
      <c r="H111">
        <v>33.986176</v>
      </c>
      <c r="I111">
        <v>27.474432</v>
      </c>
      <c r="J111">
        <v>55.755732999999999</v>
      </c>
      <c r="K111">
        <v>51.535688999999998</v>
      </c>
      <c r="L111">
        <v>19.346637999999999</v>
      </c>
      <c r="M111">
        <v>-622.49755100000004</v>
      </c>
      <c r="N111">
        <v>1.2568820000000001</v>
      </c>
      <c r="O111">
        <v>5.8238380000000003</v>
      </c>
      <c r="P111">
        <f t="shared" si="6"/>
        <v>2.0948033333333337E-5</v>
      </c>
      <c r="Q111" cm="1">
        <f t="array" ref="Q111">[1]!PropsSI("D","T",J111+273.15,"P",101325,"Water")</f>
        <v>985.32539751384627</v>
      </c>
      <c r="R111" cm="1">
        <f t="array" ref="R111">[1]!PropsSI("D","T",K111+273.15,"P",101325,"Water")</f>
        <v>987.33276858076965</v>
      </c>
      <c r="S111">
        <f t="shared" si="7"/>
        <v>986.3290830473079</v>
      </c>
      <c r="T111" cm="1">
        <f t="array" ref="T111">[1]!PropsSI("H","T",J111+273.15,"P",101325,"Water")</f>
        <v>233490.37759261733</v>
      </c>
      <c r="U111" cm="1">
        <f t="array" ref="U111">[1]!PropsSI("H","T",K111+273.15,"P",101325,"Water")</f>
        <v>215840.07683463875</v>
      </c>
      <c r="V111">
        <f t="shared" si="8"/>
        <v>364.68441624678542</v>
      </c>
    </row>
    <row r="112" spans="1:22" x14ac:dyDescent="0.2">
      <c r="A112">
        <v>46122.705854745371</v>
      </c>
      <c r="B112">
        <v>20.798321000000001</v>
      </c>
      <c r="C112">
        <v>20.781182999999999</v>
      </c>
      <c r="D112">
        <v>20.550650000000001</v>
      </c>
      <c r="E112">
        <v>20.606590000000001</v>
      </c>
      <c r="F112">
        <v>39.510102000000003</v>
      </c>
      <c r="G112">
        <v>33.255754000000003</v>
      </c>
      <c r="H112">
        <v>34.336320999999998</v>
      </c>
      <c r="I112">
        <v>27.574576</v>
      </c>
      <c r="J112">
        <v>55.757641999999997</v>
      </c>
      <c r="K112">
        <v>51.534258999999999</v>
      </c>
      <c r="L112">
        <v>19.534383999999999</v>
      </c>
      <c r="M112">
        <v>-622.49347</v>
      </c>
      <c r="N112">
        <v>1.254087</v>
      </c>
      <c r="O112">
        <v>5.9754810000000003</v>
      </c>
      <c r="P112">
        <f t="shared" si="6"/>
        <v>2.0901450000000003E-5</v>
      </c>
      <c r="Q112" cm="1">
        <f t="array" ref="Q112">[1]!PropsSI("D","T",J112+273.15,"P",101325,"Water")</f>
        <v>985.32446425583225</v>
      </c>
      <c r="R112" cm="1">
        <f t="array" ref="R112">[1]!PropsSI("D","T",K112+273.15,"P",101325,"Water")</f>
        <v>987.33342963839357</v>
      </c>
      <c r="S112">
        <f t="shared" si="7"/>
        <v>986.32894694711285</v>
      </c>
      <c r="T112" cm="1">
        <f t="array" ref="T112">[1]!PropsSI("H","T",J112+273.15,"P",101325,"Water")</f>
        <v>233498.36338747182</v>
      </c>
      <c r="U112" cm="1">
        <f t="array" ref="U112">[1]!PropsSI("H","T",K112+273.15,"P",101325,"Water")</f>
        <v>215834.09686670708</v>
      </c>
      <c r="V112">
        <f t="shared" si="8"/>
        <v>364.16131060402188</v>
      </c>
    </row>
    <row r="113" spans="1:22" x14ac:dyDescent="0.2">
      <c r="A113">
        <v>46122.705913194448</v>
      </c>
      <c r="B113">
        <v>20.826958000000001</v>
      </c>
      <c r="C113">
        <v>20.822346</v>
      </c>
      <c r="D113">
        <v>20.579972000000001</v>
      </c>
      <c r="E113">
        <v>20.615400000000001</v>
      </c>
      <c r="F113">
        <v>39.167107000000001</v>
      </c>
      <c r="G113">
        <v>34.252780000000001</v>
      </c>
      <c r="H113">
        <v>33.196803000000003</v>
      </c>
      <c r="I113">
        <v>27.65258</v>
      </c>
      <c r="J113">
        <v>55.758755999999998</v>
      </c>
      <c r="K113">
        <v>51.538550000000001</v>
      </c>
      <c r="L113">
        <v>19.405002</v>
      </c>
      <c r="M113">
        <v>-622.52163199999995</v>
      </c>
      <c r="N113">
        <v>1.2542390000000001</v>
      </c>
      <c r="O113">
        <v>5.9254369999999996</v>
      </c>
      <c r="P113">
        <f t="shared" si="6"/>
        <v>2.0903983333333335E-5</v>
      </c>
      <c r="Q113" cm="1">
        <f t="array" ref="Q113">[1]!PropsSI("D","T",J113+273.15,"P",101325,"Water")</f>
        <v>985.32391964127316</v>
      </c>
      <c r="R113" cm="1">
        <f t="array" ref="R113">[1]!PropsSI("D","T",K113+273.15,"P",101325,"Water")</f>
        <v>987.33144596370914</v>
      </c>
      <c r="S113">
        <f t="shared" si="7"/>
        <v>986.32768280249115</v>
      </c>
      <c r="T113" cm="1">
        <f t="array" ref="T113">[1]!PropsSI("H","T",J113+273.15,"P",101325,"Water")</f>
        <v>233503.02351144666</v>
      </c>
      <c r="U113" cm="1">
        <f t="array" ref="U113">[1]!PropsSI("H","T",K113+273.15,"P",101325,"Water")</f>
        <v>215852.04095417389</v>
      </c>
      <c r="V113">
        <f t="shared" si="8"/>
        <v>363.93109040047358</v>
      </c>
    </row>
    <row r="114" spans="1:22" x14ac:dyDescent="0.2">
      <c r="A114">
        <v>46122.705971064817</v>
      </c>
      <c r="B114">
        <v>20.816462999999999</v>
      </c>
      <c r="C114">
        <v>20.812170999999999</v>
      </c>
      <c r="D114">
        <v>20.587433999999998</v>
      </c>
      <c r="E114">
        <v>20.636334999999999</v>
      </c>
      <c r="F114">
        <v>39.250343999999998</v>
      </c>
      <c r="G114">
        <v>34.019340999999997</v>
      </c>
      <c r="H114">
        <v>34.150748</v>
      </c>
      <c r="I114">
        <v>27.914445000000001</v>
      </c>
      <c r="J114">
        <v>55.758119999999998</v>
      </c>
      <c r="K114">
        <v>51.538232000000001</v>
      </c>
      <c r="L114">
        <v>18.116904000000002</v>
      </c>
      <c r="M114">
        <v>-622.53224299999999</v>
      </c>
      <c r="N114">
        <v>1.2560500000000001</v>
      </c>
      <c r="O114">
        <v>6.002624</v>
      </c>
      <c r="P114">
        <f t="shared" si="6"/>
        <v>2.0934166666666667E-5</v>
      </c>
      <c r="Q114" cm="1">
        <f t="array" ref="Q114">[1]!PropsSI("D","T",J114+273.15,"P",101325,"Water")</f>
        <v>985.3242305711691</v>
      </c>
      <c r="R114" cm="1">
        <f t="array" ref="R114">[1]!PropsSI("D","T",K114+273.15,"P",101325,"Water")</f>
        <v>987.33159297513271</v>
      </c>
      <c r="S114">
        <f t="shared" si="7"/>
        <v>986.32791177315084</v>
      </c>
      <c r="T114" cm="1">
        <f t="array" ref="T114">[1]!PropsSI("H","T",J114+273.15,"P",101325,"Water")</f>
        <v>233500.36297381873</v>
      </c>
      <c r="U114" cm="1">
        <f t="array" ref="U114">[1]!PropsSI("H","T",K114+273.15,"P",101325,"Water")</f>
        <v>215850.7111427988</v>
      </c>
      <c r="V114">
        <f t="shared" si="8"/>
        <v>364.429179585535</v>
      </c>
    </row>
    <row r="115" spans="1:22" x14ac:dyDescent="0.2">
      <c r="A115">
        <v>46122.706029513887</v>
      </c>
      <c r="B115">
        <v>20.803984</v>
      </c>
      <c r="C115">
        <v>20.794922</v>
      </c>
      <c r="D115">
        <v>20.582023</v>
      </c>
      <c r="E115">
        <v>20.630749999999999</v>
      </c>
      <c r="F115">
        <v>39.096699000000001</v>
      </c>
      <c r="G115">
        <v>34.189155</v>
      </c>
      <c r="H115">
        <v>33.676664000000002</v>
      </c>
      <c r="I115">
        <v>27.19773</v>
      </c>
      <c r="J115">
        <v>55.756210000000003</v>
      </c>
      <c r="K115">
        <v>51.537438000000002</v>
      </c>
      <c r="L115">
        <v>19.664580999999998</v>
      </c>
      <c r="M115">
        <v>-622.480817</v>
      </c>
      <c r="N115">
        <v>1.25587</v>
      </c>
      <c r="O115">
        <v>5.9764720000000002</v>
      </c>
      <c r="P115">
        <f t="shared" si="6"/>
        <v>2.0931166666666667E-5</v>
      </c>
      <c r="Q115" cm="1">
        <f t="array" ref="Q115">[1]!PropsSI("D","T",J115+273.15,"P",101325,"Water")</f>
        <v>985.3251643236523</v>
      </c>
      <c r="R115" cm="1">
        <f t="array" ref="R115">[1]!PropsSI("D","T",K115+273.15,"P",101325,"Water")</f>
        <v>987.33196003854596</v>
      </c>
      <c r="S115">
        <f t="shared" si="7"/>
        <v>986.32856218109919</v>
      </c>
      <c r="T115" cm="1">
        <f t="array" ref="T115">[1]!PropsSI("H","T",J115+273.15,"P",101325,"Water")</f>
        <v>233492.37299540691</v>
      </c>
      <c r="U115" cm="1">
        <f t="array" ref="U115">[1]!PropsSI("H","T",K115+273.15,"P",101325,"Water")</f>
        <v>215847.3907962807</v>
      </c>
      <c r="V115">
        <f t="shared" si="8"/>
        <v>364.28079024603716</v>
      </c>
    </row>
    <row r="116" spans="1:22" x14ac:dyDescent="0.2">
      <c r="A116">
        <v>46122.706087384257</v>
      </c>
      <c r="B116">
        <v>20.772103999999999</v>
      </c>
      <c r="C116">
        <v>20.785125000000001</v>
      </c>
      <c r="D116">
        <v>20.560624000000001</v>
      </c>
      <c r="E116">
        <v>20.620365</v>
      </c>
      <c r="F116">
        <v>39.212403000000002</v>
      </c>
      <c r="G116">
        <v>33.450305</v>
      </c>
      <c r="H116">
        <v>34.202323999999997</v>
      </c>
      <c r="I116">
        <v>27.262371999999999</v>
      </c>
      <c r="J116">
        <v>55.758597000000002</v>
      </c>
      <c r="K116">
        <v>51.534258999999999</v>
      </c>
      <c r="L116">
        <v>20.920437</v>
      </c>
      <c r="M116">
        <v>-622.48816399999998</v>
      </c>
      <c r="N116">
        <v>1.2556609999999999</v>
      </c>
      <c r="O116">
        <v>6.1629209999999999</v>
      </c>
      <c r="P116">
        <f t="shared" si="6"/>
        <v>2.0927683333333333E-5</v>
      </c>
      <c r="Q116" cm="1">
        <f t="array" ref="Q116">[1]!PropsSI("D","T",J116+273.15,"P",101325,"Water")</f>
        <v>985.32399737396372</v>
      </c>
      <c r="R116" cm="1">
        <f t="array" ref="R116">[1]!PropsSI("D","T",K116+273.15,"P",101325,"Water")</f>
        <v>987.33342963839357</v>
      </c>
      <c r="S116">
        <f t="shared" si="7"/>
        <v>986.3287135061787</v>
      </c>
      <c r="T116" cm="1">
        <f t="array" ref="T116">[1]!PropsSI("H","T",J116+273.15,"P",101325,"Water")</f>
        <v>233502.35837702398</v>
      </c>
      <c r="U116" cm="1">
        <f t="array" ref="U116">[1]!PropsSI("H","T",K116+273.15,"P",101325,"Water")</f>
        <v>215834.09686670708</v>
      </c>
      <c r="V116">
        <f t="shared" si="8"/>
        <v>364.70074471080642</v>
      </c>
    </row>
    <row r="117" spans="1:22" x14ac:dyDescent="0.2">
      <c r="A117">
        <v>46122.706145254633</v>
      </c>
      <c r="B117">
        <v>20.767420999999999</v>
      </c>
      <c r="C117">
        <v>20.783034000000001</v>
      </c>
      <c r="D117">
        <v>20.562711</v>
      </c>
      <c r="E117">
        <v>20.638507000000001</v>
      </c>
      <c r="F117">
        <v>39.132176999999999</v>
      </c>
      <c r="G117">
        <v>34.341707999999997</v>
      </c>
      <c r="H117">
        <v>34.170805000000001</v>
      </c>
      <c r="I117">
        <v>27.572285000000001</v>
      </c>
      <c r="J117">
        <v>55.756210000000003</v>
      </c>
      <c r="K117">
        <v>51.539026999999997</v>
      </c>
      <c r="L117">
        <v>18.408318000000001</v>
      </c>
      <c r="M117">
        <v>-622.474695</v>
      </c>
      <c r="N117">
        <v>1.255784</v>
      </c>
      <c r="O117">
        <v>5.9268980000000004</v>
      </c>
      <c r="P117">
        <f t="shared" si="6"/>
        <v>2.0929733333333334E-5</v>
      </c>
      <c r="Q117" cm="1">
        <f t="array" ref="Q117">[1]!PropsSI("D","T",J117+273.15,"P",101325,"Water")</f>
        <v>985.3251643236523</v>
      </c>
      <c r="R117" cm="1">
        <f t="array" ref="R117">[1]!PropsSI("D","T",K117+273.15,"P",101325,"Water")</f>
        <v>987.33122544535263</v>
      </c>
      <c r="S117">
        <f t="shared" si="7"/>
        <v>986.32819488450241</v>
      </c>
      <c r="T117" cm="1">
        <f t="array" ref="T117">[1]!PropsSI("H","T",J117+273.15,"P",101325,"Water")</f>
        <v>233492.37299540691</v>
      </c>
      <c r="U117" cm="1">
        <f t="array" ref="U117">[1]!PropsSI("H","T",K117+273.15,"P",101325,"Water")</f>
        <v>215854.03567130229</v>
      </c>
      <c r="V117">
        <f t="shared" si="8"/>
        <v>364.11853517714349</v>
      </c>
    </row>
    <row r="118" spans="1:22" x14ac:dyDescent="0.2">
      <c r="A118">
        <v>46122.706203703703</v>
      </c>
      <c r="B118">
        <v>20.761042</v>
      </c>
      <c r="C118">
        <v>20.772531000000001</v>
      </c>
      <c r="D118">
        <v>20.556384999999999</v>
      </c>
      <c r="E118">
        <v>20.619385999999999</v>
      </c>
      <c r="F118">
        <v>39.191254999999998</v>
      </c>
      <c r="G118">
        <v>33.911487999999999</v>
      </c>
      <c r="H118">
        <v>34.313811999999999</v>
      </c>
      <c r="I118">
        <v>27.365625999999999</v>
      </c>
      <c r="J118">
        <v>55.754618999999998</v>
      </c>
      <c r="K118">
        <v>51.54157</v>
      </c>
      <c r="L118">
        <v>20.860032</v>
      </c>
      <c r="M118">
        <v>-622.48693900000001</v>
      </c>
      <c r="N118">
        <v>1.257185</v>
      </c>
      <c r="O118">
        <v>6.0585129999999996</v>
      </c>
      <c r="P118">
        <f t="shared" si="6"/>
        <v>2.0953083333333334E-5</v>
      </c>
      <c r="Q118" cm="1">
        <f t="array" ref="Q118">[1]!PropsSI("D","T",J118+273.15,"P",101325,"Water")</f>
        <v>985.32594210765717</v>
      </c>
      <c r="R118" cm="1">
        <f t="array" ref="R118">[1]!PropsSI("D","T",K118+273.15,"P",101325,"Water")</f>
        <v>987.33004978499696</v>
      </c>
      <c r="S118">
        <f t="shared" si="7"/>
        <v>986.32799594632706</v>
      </c>
      <c r="T118" cm="1">
        <f t="array" ref="T118">[1]!PropsSI("H","T",J118+273.15,"P",101325,"Water")</f>
        <v>233485.71746995251</v>
      </c>
      <c r="U118" cm="1">
        <f t="array" ref="U118">[1]!PropsSI("H","T",K118+273.15,"P",101325,"Water")</f>
        <v>215864.66998204662</v>
      </c>
      <c r="V118">
        <f t="shared" si="8"/>
        <v>364.16736367862273</v>
      </c>
    </row>
    <row r="119" spans="1:22" x14ac:dyDescent="0.2">
      <c r="A119">
        <v>46122.70626215278</v>
      </c>
      <c r="B119">
        <v>20.750990000000002</v>
      </c>
      <c r="C119">
        <v>20.778576999999999</v>
      </c>
      <c r="D119">
        <v>20.552220999999999</v>
      </c>
      <c r="E119">
        <v>20.623532000000001</v>
      </c>
      <c r="F119">
        <v>39.049149999999997</v>
      </c>
      <c r="G119">
        <v>33.271385000000002</v>
      </c>
      <c r="H119">
        <v>34.097743999999999</v>
      </c>
      <c r="I119">
        <v>27.327466999999999</v>
      </c>
      <c r="J119">
        <v>55.754936999999998</v>
      </c>
      <c r="K119">
        <v>51.543478</v>
      </c>
      <c r="L119">
        <v>19.644174</v>
      </c>
      <c r="M119">
        <v>-622.47836800000005</v>
      </c>
      <c r="N119">
        <v>1.2551110000000001</v>
      </c>
      <c r="O119">
        <v>6.0780709999999996</v>
      </c>
      <c r="P119">
        <f t="shared" si="6"/>
        <v>2.091851666666667E-5</v>
      </c>
      <c r="Q119" cm="1">
        <f t="array" ref="Q119">[1]!PropsSI("D","T",J119+273.15,"P",101325,"Water")</f>
        <v>985.32578664986534</v>
      </c>
      <c r="R119" cm="1">
        <f t="array" ref="R119">[1]!PropsSI("D","T",K119+273.15,"P",101325,"Water")</f>
        <v>987.32916766563551</v>
      </c>
      <c r="S119">
        <f t="shared" si="7"/>
        <v>986.32747715775042</v>
      </c>
      <c r="T119" cm="1">
        <f t="array" ref="T119">[1]!PropsSI("H","T",J119+273.15,"P",101325,"Water")</f>
        <v>233487.0477383071</v>
      </c>
      <c r="U119" cm="1">
        <f t="array" ref="U119">[1]!PropsSI("H","T",K119+273.15,"P",101325,"Water")</f>
        <v>215872.64885283503</v>
      </c>
      <c r="V119">
        <f t="shared" si="8"/>
        <v>363.42922186337381</v>
      </c>
    </row>
    <row r="120" spans="1:22" x14ac:dyDescent="0.2">
      <c r="A120">
        <v>46122.70632060185</v>
      </c>
      <c r="B120">
        <v>20.720945</v>
      </c>
      <c r="C120">
        <v>20.760387999999999</v>
      </c>
      <c r="D120">
        <v>20.540299999999998</v>
      </c>
      <c r="E120">
        <v>20.614260000000002</v>
      </c>
      <c r="F120">
        <v>39.482238000000002</v>
      </c>
      <c r="G120">
        <v>34.02908</v>
      </c>
      <c r="H120">
        <v>34.403289000000001</v>
      </c>
      <c r="I120">
        <v>27.418120999999999</v>
      </c>
      <c r="J120">
        <v>55.755254999999998</v>
      </c>
      <c r="K120">
        <v>51.540616999999997</v>
      </c>
      <c r="L120">
        <v>19.744168999999999</v>
      </c>
      <c r="M120">
        <v>-622.48000100000002</v>
      </c>
      <c r="N120">
        <v>1.2587379999999999</v>
      </c>
      <c r="O120">
        <v>6.1709649999999998</v>
      </c>
      <c r="P120">
        <f t="shared" si="6"/>
        <v>2.0978966666666667E-5</v>
      </c>
      <c r="Q120" cm="1">
        <f t="array" ref="Q120">[1]!PropsSI("D","T",J120+273.15,"P",101325,"Water")</f>
        <v>985.32563119147278</v>
      </c>
      <c r="R120" cm="1">
        <f t="array" ref="R120">[1]!PropsSI("D","T",K120+273.15,"P",101325,"Water")</f>
        <v>987.33049037357023</v>
      </c>
      <c r="S120">
        <f t="shared" si="7"/>
        <v>986.32806078252156</v>
      </c>
      <c r="T120" cm="1">
        <f t="array" ref="T120">[1]!PropsSI("H","T",J120+273.15,"P",101325,"Water")</f>
        <v>233488.37800671731</v>
      </c>
      <c r="U120" cm="1">
        <f t="array" ref="U120">[1]!PropsSI("H","T",K120+273.15,"P",101325,"Water")</f>
        <v>215860.68472897494</v>
      </c>
      <c r="V120">
        <f t="shared" si="8"/>
        <v>364.75475904545408</v>
      </c>
    </row>
    <row r="121" spans="1:22" x14ac:dyDescent="0.2">
      <c r="A121">
        <v>46122.70637847222</v>
      </c>
      <c r="B121">
        <v>20.720475</v>
      </c>
      <c r="C121">
        <v>20.754816999999999</v>
      </c>
      <c r="D121">
        <v>20.546332</v>
      </c>
      <c r="E121">
        <v>20.636306000000001</v>
      </c>
      <c r="F121">
        <v>39.061442</v>
      </c>
      <c r="G121">
        <v>35.318655</v>
      </c>
      <c r="H121">
        <v>33.481825000000001</v>
      </c>
      <c r="I121">
        <v>27.688003999999999</v>
      </c>
      <c r="J121">
        <v>55.757641999999997</v>
      </c>
      <c r="K121">
        <v>51.541252</v>
      </c>
      <c r="L121">
        <v>20.346588000000001</v>
      </c>
      <c r="M121">
        <v>-622.48040900000001</v>
      </c>
      <c r="N121">
        <v>1.258861</v>
      </c>
      <c r="O121">
        <v>5.9609300000000003</v>
      </c>
      <c r="P121">
        <f t="shared" si="6"/>
        <v>2.0981016666666668E-5</v>
      </c>
      <c r="Q121" cm="1">
        <f t="array" ref="Q121">[1]!PropsSI("D","T",J121+273.15,"P",101325,"Water")</f>
        <v>985.32446425583225</v>
      </c>
      <c r="R121" cm="1">
        <f t="array" ref="R121">[1]!PropsSI("D","T",K121+273.15,"P",101325,"Water")</f>
        <v>987.330196802621</v>
      </c>
      <c r="S121">
        <f t="shared" si="7"/>
        <v>986.32733052922663</v>
      </c>
      <c r="T121" cm="1">
        <f t="array" ref="T121">[1]!PropsSI("H","T",J121+273.15,"P",101325,"Water")</f>
        <v>233498.36338747182</v>
      </c>
      <c r="U121" cm="1">
        <f t="array" ref="U121">[1]!PropsSI("H","T",K121+273.15,"P",101325,"Water")</f>
        <v>215863.34017037775</v>
      </c>
      <c r="V121">
        <f t="shared" si="8"/>
        <v>364.94181854060969</v>
      </c>
    </row>
    <row r="122" spans="1:22" x14ac:dyDescent="0.2">
      <c r="A122">
        <v>46122.706436921297</v>
      </c>
      <c r="B122">
        <v>20.715989</v>
      </c>
      <c r="C122">
        <v>20.775898000000002</v>
      </c>
      <c r="D122">
        <v>20.533763</v>
      </c>
      <c r="E122">
        <v>20.624326</v>
      </c>
      <c r="F122">
        <v>39.141404000000001</v>
      </c>
      <c r="G122">
        <v>34.160545999999997</v>
      </c>
      <c r="H122">
        <v>33.407817999999999</v>
      </c>
      <c r="I122">
        <v>27.493500999999998</v>
      </c>
      <c r="J122">
        <v>55.755732999999999</v>
      </c>
      <c r="K122">
        <v>51.541252</v>
      </c>
      <c r="L122">
        <v>19.012777</v>
      </c>
      <c r="M122">
        <v>-622.48979599999996</v>
      </c>
      <c r="N122">
        <v>1.2578819999999999</v>
      </c>
      <c r="O122">
        <v>6.1208580000000001</v>
      </c>
      <c r="P122">
        <f t="shared" si="6"/>
        <v>2.0964699999999999E-5</v>
      </c>
      <c r="Q122" cm="1">
        <f t="array" ref="Q122">[1]!PropsSI("D","T",J122+273.15,"P",101325,"Water")</f>
        <v>985.32539751384627</v>
      </c>
      <c r="R122" cm="1">
        <f t="array" ref="R122">[1]!PropsSI("D","T",K122+273.15,"P",101325,"Water")</f>
        <v>987.330196802621</v>
      </c>
      <c r="S122">
        <f t="shared" si="7"/>
        <v>986.32779715823358</v>
      </c>
      <c r="T122" cm="1">
        <f t="array" ref="T122">[1]!PropsSI("H","T",J122+273.15,"P",101325,"Water")</f>
        <v>233490.37759261733</v>
      </c>
      <c r="U122" cm="1">
        <f t="array" ref="U122">[1]!PropsSI("H","T",K122+273.15,"P",101325,"Water")</f>
        <v>215863.34017037775</v>
      </c>
      <c r="V122">
        <f t="shared" si="8"/>
        <v>364.49304970738353</v>
      </c>
    </row>
    <row r="123" spans="1:22" x14ac:dyDescent="0.2">
      <c r="A123">
        <v>46122.706494791666</v>
      </c>
      <c r="B123">
        <v>20.710975000000001</v>
      </c>
      <c r="C123">
        <v>20.765356000000001</v>
      </c>
      <c r="D123">
        <v>20.528327000000001</v>
      </c>
      <c r="E123">
        <v>20.629511000000001</v>
      </c>
      <c r="F123">
        <v>39.214654000000003</v>
      </c>
      <c r="G123">
        <v>33.416629</v>
      </c>
      <c r="H123">
        <v>33.873462000000004</v>
      </c>
      <c r="I123">
        <v>27.400615999999999</v>
      </c>
      <c r="J123">
        <v>55.755254999999998</v>
      </c>
      <c r="K123">
        <v>51.539186000000001</v>
      </c>
      <c r="L123">
        <v>18.697690999999999</v>
      </c>
      <c r="M123">
        <v>-622.47143000000005</v>
      </c>
      <c r="N123">
        <v>1.2589269999999999</v>
      </c>
      <c r="O123">
        <v>5.9252849999999997</v>
      </c>
      <c r="P123">
        <f t="shared" si="6"/>
        <v>2.0982116666666667E-5</v>
      </c>
      <c r="Q123" cm="1">
        <f t="array" ref="Q123">[1]!PropsSI("D","T",J123+273.15,"P",101325,"Water")</f>
        <v>985.32563119147278</v>
      </c>
      <c r="R123" cm="1">
        <f t="array" ref="R123">[1]!PropsSI("D","T",K123+273.15,"P",101325,"Water")</f>
        <v>987.33115193892024</v>
      </c>
      <c r="S123">
        <f t="shared" si="7"/>
        <v>986.32839156519651</v>
      </c>
      <c r="T123" cm="1">
        <f t="array" ref="T123">[1]!PropsSI("H","T",J123+273.15,"P",101325,"Water")</f>
        <v>233488.37800671731</v>
      </c>
      <c r="U123" cm="1">
        <f t="array" ref="U123">[1]!PropsSI("H","T",K123+273.15,"P",101325,"Water")</f>
        <v>215854.70057702644</v>
      </c>
      <c r="V123">
        <f t="shared" si="8"/>
        <v>364.93349302447893</v>
      </c>
    </row>
    <row r="124" spans="1:22" x14ac:dyDescent="0.2">
      <c r="A124">
        <v>46122.706553240743</v>
      </c>
      <c r="B124">
        <v>20.718107</v>
      </c>
      <c r="C124">
        <v>20.758966999999998</v>
      </c>
      <c r="D124">
        <v>20.524954999999999</v>
      </c>
      <c r="E124">
        <v>20.624566000000002</v>
      </c>
      <c r="F124">
        <v>38.698250999999999</v>
      </c>
      <c r="G124">
        <v>36.156033000000001</v>
      </c>
      <c r="H124">
        <v>32.877637</v>
      </c>
      <c r="I124">
        <v>27.656673000000001</v>
      </c>
      <c r="J124">
        <v>55.757323999999997</v>
      </c>
      <c r="K124">
        <v>51.536166000000001</v>
      </c>
      <c r="L124">
        <v>18.262201999999998</v>
      </c>
      <c r="M124">
        <v>-622.50775499999997</v>
      </c>
      <c r="N124">
        <v>1.2586189999999999</v>
      </c>
      <c r="O124">
        <v>5.9199849999999996</v>
      </c>
      <c r="P124">
        <f t="shared" si="6"/>
        <v>2.0976983333333333E-5</v>
      </c>
      <c r="Q124" cm="1">
        <f t="array" ref="Q124">[1]!PropsSI("D","T",J124+273.15,"P",101325,"Water")</f>
        <v>985.32461971891803</v>
      </c>
      <c r="R124" cm="1">
        <f t="array" ref="R124">[1]!PropsSI("D","T",K124+273.15,"P",101325,"Water")</f>
        <v>987.33254807121932</v>
      </c>
      <c r="S124">
        <f t="shared" si="7"/>
        <v>986.32858389506873</v>
      </c>
      <c r="T124" cm="1">
        <f t="array" ref="T124">[1]!PropsSI("H","T",J124+273.15,"P",101325,"Water")</f>
        <v>233497.03311878038</v>
      </c>
      <c r="U124" cm="1">
        <f t="array" ref="U124">[1]!PropsSI("H","T",K124+273.15,"P",101325,"Water")</f>
        <v>215842.07155130964</v>
      </c>
      <c r="V124">
        <f t="shared" si="8"/>
        <v>365.28465520176093</v>
      </c>
    </row>
    <row r="125" spans="1:22" x14ac:dyDescent="0.2">
      <c r="A125">
        <v>46122.706611689813</v>
      </c>
      <c r="B125">
        <v>20.704961000000001</v>
      </c>
      <c r="C125">
        <v>20.771229000000002</v>
      </c>
      <c r="D125">
        <v>20.536752</v>
      </c>
      <c r="E125">
        <v>20.605466</v>
      </c>
      <c r="F125">
        <v>39.102637999999999</v>
      </c>
      <c r="G125">
        <v>35.748168</v>
      </c>
      <c r="H125">
        <v>33.309308000000001</v>
      </c>
      <c r="I125">
        <v>27.262629</v>
      </c>
      <c r="J125">
        <v>55.759393000000003</v>
      </c>
      <c r="K125">
        <v>51.538072999999997</v>
      </c>
      <c r="L125">
        <v>19.66703</v>
      </c>
      <c r="M125">
        <v>-622.47347100000002</v>
      </c>
      <c r="N125">
        <v>1.2563</v>
      </c>
      <c r="O125">
        <v>5.9249799999999997</v>
      </c>
      <c r="P125">
        <f t="shared" si="6"/>
        <v>2.0938333333333332E-5</v>
      </c>
      <c r="Q125" cm="1">
        <f t="array" ref="Q125">[1]!PropsSI("D","T",J125+273.15,"P",101325,"Water")</f>
        <v>985.32360821999373</v>
      </c>
      <c r="R125" cm="1">
        <f t="array" ref="R125">[1]!PropsSI("D","T",K125+273.15,"P",101325,"Water")</f>
        <v>987.33166648061638</v>
      </c>
      <c r="S125">
        <f t="shared" si="7"/>
        <v>986.32763735030505</v>
      </c>
      <c r="T125" cm="1">
        <f t="array" ref="T125">[1]!PropsSI("H","T",J125+273.15,"P",101325,"Water")</f>
        <v>233505.6882324029</v>
      </c>
      <c r="U125" cm="1">
        <f t="array" ref="U125">[1]!PropsSI("H","T",K125+273.15,"P",101325,"Water")</f>
        <v>215850.04623709622</v>
      </c>
      <c r="V125">
        <f t="shared" si="8"/>
        <v>364.62532215240702</v>
      </c>
    </row>
    <row r="126" spans="1:22" x14ac:dyDescent="0.2">
      <c r="A126">
        <v>46122.706669560182</v>
      </c>
      <c r="B126">
        <v>20.715259</v>
      </c>
      <c r="C126">
        <v>20.758232</v>
      </c>
      <c r="D126">
        <v>20.528862</v>
      </c>
      <c r="E126">
        <v>20.619475999999999</v>
      </c>
      <c r="F126">
        <v>39.179425999999999</v>
      </c>
      <c r="G126">
        <v>34.255673999999999</v>
      </c>
      <c r="H126">
        <v>33.637624000000002</v>
      </c>
      <c r="I126">
        <v>27.069229</v>
      </c>
      <c r="J126">
        <v>55.759711000000003</v>
      </c>
      <c r="K126">
        <v>51.535370999999998</v>
      </c>
      <c r="L126">
        <v>20.072724000000001</v>
      </c>
      <c r="M126">
        <v>-622.49428599999999</v>
      </c>
      <c r="N126">
        <v>1.2560089999999999</v>
      </c>
      <c r="O126">
        <v>5.9773610000000001</v>
      </c>
      <c r="P126">
        <f t="shared" si="6"/>
        <v>2.0933483333333332E-5</v>
      </c>
      <c r="Q126" cm="1">
        <f t="array" ref="Q126">[1]!PropsSI("D","T",J126+273.15,"P",101325,"Water")</f>
        <v>985.32345275284979</v>
      </c>
      <c r="R126" cm="1">
        <f t="array" ref="R126">[1]!PropsSI("D","T",K126+273.15,"P",101325,"Water")</f>
        <v>987.33291558632743</v>
      </c>
      <c r="S126">
        <f t="shared" si="7"/>
        <v>986.32818416958867</v>
      </c>
      <c r="T126" cm="1">
        <f t="array" ref="T126">[1]!PropsSI("H","T",J126+273.15,"P",101325,"Water")</f>
        <v>233507.01850137065</v>
      </c>
      <c r="U126" cm="1">
        <f t="array" ref="U126">[1]!PropsSI("H","T",K126+273.15,"P",101325,"Water")</f>
        <v>215838.74702354113</v>
      </c>
      <c r="V126">
        <f t="shared" si="8"/>
        <v>364.80182967251045</v>
      </c>
    </row>
    <row r="127" spans="1:22" x14ac:dyDescent="0.2">
      <c r="A127">
        <v>46122.70672800926</v>
      </c>
      <c r="B127">
        <v>20.684522999999999</v>
      </c>
      <c r="C127">
        <v>20.768138</v>
      </c>
      <c r="D127">
        <v>20.536909999999999</v>
      </c>
      <c r="E127">
        <v>20.625143999999999</v>
      </c>
      <c r="F127">
        <v>39.119298999999998</v>
      </c>
      <c r="G127">
        <v>35.213968000000001</v>
      </c>
      <c r="H127">
        <v>33.221184000000001</v>
      </c>
      <c r="I127">
        <v>27.406555000000001</v>
      </c>
      <c r="J127">
        <v>55.764485999999998</v>
      </c>
      <c r="K127">
        <v>51.539026999999997</v>
      </c>
      <c r="L127">
        <v>20.700040000000001</v>
      </c>
      <c r="M127">
        <v>-622.49550999999997</v>
      </c>
      <c r="N127">
        <v>1.2558530000000001</v>
      </c>
      <c r="O127">
        <v>5.9872860000000001</v>
      </c>
      <c r="P127">
        <f t="shared" si="6"/>
        <v>2.0930883333333336E-5</v>
      </c>
      <c r="Q127" cm="1">
        <f t="array" ref="Q127">[1]!PropsSI("D","T",J127+273.15,"P",101325,"Water")</f>
        <v>985.32111822653371</v>
      </c>
      <c r="R127" cm="1">
        <f t="array" ref="R127">[1]!PropsSI("D","T",K127+273.15,"P",101325,"Water")</f>
        <v>987.33122544535263</v>
      </c>
      <c r="S127">
        <f t="shared" si="7"/>
        <v>986.32617183594311</v>
      </c>
      <c r="T127" cm="1">
        <f t="array" ref="T127">[1]!PropsSI("H","T",J127+273.15,"P",101325,"Water")</f>
        <v>233526.99345617421</v>
      </c>
      <c r="U127" cm="1">
        <f t="array" ref="U127">[1]!PropsSI("H","T",K127+273.15,"P",101325,"Water")</f>
        <v>215854.03567130229</v>
      </c>
      <c r="V127">
        <f t="shared" si="8"/>
        <v>364.85252332963938</v>
      </c>
    </row>
    <row r="128" spans="1:22" x14ac:dyDescent="0.2">
      <c r="A128">
        <v>46122.706786458337</v>
      </c>
      <c r="B128">
        <v>20.694279000000002</v>
      </c>
      <c r="C128">
        <v>20.758780999999999</v>
      </c>
      <c r="D128">
        <v>20.532658999999999</v>
      </c>
      <c r="E128">
        <v>20.612669</v>
      </c>
      <c r="F128">
        <v>39.059396999999997</v>
      </c>
      <c r="G128">
        <v>34.657893999999999</v>
      </c>
      <c r="H128">
        <v>33.707804000000003</v>
      </c>
      <c r="I128">
        <v>27.401682000000001</v>
      </c>
      <c r="J128">
        <v>55.766395000000003</v>
      </c>
      <c r="K128">
        <v>51.542046999999997</v>
      </c>
      <c r="L128">
        <v>19.115220999999998</v>
      </c>
      <c r="M128">
        <v>-622.50734699999998</v>
      </c>
      <c r="N128">
        <v>1.253366</v>
      </c>
      <c r="O128">
        <v>5.8441960000000002</v>
      </c>
      <c r="P128">
        <f t="shared" si="6"/>
        <v>2.088943333333333E-5</v>
      </c>
      <c r="Q128" cm="1">
        <f t="array" ref="Q128">[1]!PropsSI("D","T",J128+273.15,"P",101325,"Water")</f>
        <v>985.32018486562038</v>
      </c>
      <c r="R128" cm="1">
        <f t="array" ref="R128">[1]!PropsSI("D","T",K128+273.15,"P",101325,"Water")</f>
        <v>987.32982925735064</v>
      </c>
      <c r="S128">
        <f t="shared" si="7"/>
        <v>986.32500706148551</v>
      </c>
      <c r="T128" cm="1">
        <f t="array" ref="T128">[1]!PropsSI("H","T",J128+273.15,"P",101325,"Water")</f>
        <v>233534.97925725611</v>
      </c>
      <c r="U128" cm="1">
        <f t="array" ref="U128">[1]!PropsSI("H","T",K128+273.15,"P",101325,"Water")</f>
        <v>215866.66469968323</v>
      </c>
      <c r="V128">
        <f t="shared" si="8"/>
        <v>364.03389791285872</v>
      </c>
    </row>
    <row r="129" spans="1:22" x14ac:dyDescent="0.2">
      <c r="A129">
        <v>46122.706844328706</v>
      </c>
      <c r="B129">
        <v>20.667532999999999</v>
      </c>
      <c r="C129">
        <v>20.739687</v>
      </c>
      <c r="D129">
        <v>20.524474999999999</v>
      </c>
      <c r="E129">
        <v>20.598597999999999</v>
      </c>
      <c r="F129">
        <v>39.319715000000002</v>
      </c>
      <c r="G129">
        <v>35.789071</v>
      </c>
      <c r="H129">
        <v>33.064670999999997</v>
      </c>
      <c r="I129">
        <v>27.548114000000002</v>
      </c>
      <c r="J129">
        <v>55.766395000000003</v>
      </c>
      <c r="K129">
        <v>51.543000999999997</v>
      </c>
      <c r="L129">
        <v>19.876816000000002</v>
      </c>
      <c r="M129">
        <v>-622.47632799999997</v>
      </c>
      <c r="N129">
        <v>1.2552019999999999</v>
      </c>
      <c r="O129">
        <v>5.7920809999999996</v>
      </c>
      <c r="P129">
        <f t="shared" si="6"/>
        <v>2.0920033333333333E-5</v>
      </c>
      <c r="Q129" cm="1">
        <f t="array" ref="Q129">[1]!PropsSI("D","T",J129+273.15,"P",101325,"Water")</f>
        <v>985.32018486562038</v>
      </c>
      <c r="R129" cm="1">
        <f t="array" ref="R129">[1]!PropsSI("D","T",K129+273.15,"P",101325,"Water")</f>
        <v>987.32938819767878</v>
      </c>
      <c r="S129">
        <f t="shared" si="7"/>
        <v>986.32478653164958</v>
      </c>
      <c r="T129" cm="1">
        <f t="array" ref="T129">[1]!PropsSI("H","T",J129+273.15,"P",101325,"Water")</f>
        <v>233534.97925725611</v>
      </c>
      <c r="U129" cm="1">
        <f t="array" ref="U129">[1]!PropsSI("H","T",K129+273.15,"P",101325,"Water")</f>
        <v>215870.65413502959</v>
      </c>
      <c r="V129">
        <f t="shared" si="8"/>
        <v>364.48475563581138</v>
      </c>
    </row>
    <row r="130" spans="1:22" x14ac:dyDescent="0.2">
      <c r="A130">
        <v>46122.706902199076</v>
      </c>
      <c r="B130">
        <v>20.672719000000001</v>
      </c>
      <c r="C130">
        <v>20.718603000000002</v>
      </c>
      <c r="D130">
        <v>20.501304999999999</v>
      </c>
      <c r="E130">
        <v>20.583245999999999</v>
      </c>
      <c r="F130">
        <v>39.137307999999997</v>
      </c>
      <c r="G130">
        <v>33.702167000000003</v>
      </c>
      <c r="H130">
        <v>33.944122999999998</v>
      </c>
      <c r="I130">
        <v>26.954509999999999</v>
      </c>
      <c r="J130">
        <v>55.767668999999998</v>
      </c>
      <c r="K130">
        <v>51.544113000000003</v>
      </c>
      <c r="L130">
        <v>19.238479999999999</v>
      </c>
      <c r="M130">
        <v>-622.49959200000001</v>
      </c>
      <c r="N130">
        <v>1.2565869999999999</v>
      </c>
      <c r="O130">
        <v>5.8496220000000001</v>
      </c>
      <c r="P130">
        <f t="shared" si="6"/>
        <v>2.0943116666666666E-5</v>
      </c>
      <c r="Q130" cm="1">
        <f t="array" ref="Q130">[1]!PropsSI("D","T",J130+273.15,"P",101325,"Water")</f>
        <v>985.31956196061344</v>
      </c>
      <c r="R130" cm="1">
        <f t="array" ref="R130">[1]!PropsSI("D","T",K130+273.15,"P",101325,"Water")</f>
        <v>987.32887408295483</v>
      </c>
      <c r="S130">
        <f t="shared" si="7"/>
        <v>986.32421802178419</v>
      </c>
      <c r="T130" cm="1">
        <f t="array" ref="T130">[1]!PropsSI("H","T",J130+273.15,"P",101325,"Water")</f>
        <v>233540.3087030545</v>
      </c>
      <c r="U130" cm="1">
        <f t="array" ref="U130">[1]!PropsSI("H","T",K130+273.15,"P",101325,"Water")</f>
        <v>215875.30429487766</v>
      </c>
      <c r="V130">
        <f t="shared" si="8"/>
        <v>364.90075254212417</v>
      </c>
    </row>
    <row r="131" spans="1:22" x14ac:dyDescent="0.2">
      <c r="A131">
        <v>46122.706960069445</v>
      </c>
      <c r="B131">
        <v>20.661064</v>
      </c>
      <c r="C131">
        <v>20.69312</v>
      </c>
      <c r="D131">
        <v>20.502513</v>
      </c>
      <c r="E131">
        <v>20.558717999999999</v>
      </c>
      <c r="F131">
        <v>39.143773000000003</v>
      </c>
      <c r="G131">
        <v>34.144271000000003</v>
      </c>
      <c r="H131">
        <v>34.183863000000002</v>
      </c>
      <c r="I131">
        <v>27.387989999999999</v>
      </c>
      <c r="J131">
        <v>55.767190999999997</v>
      </c>
      <c r="K131">
        <v>51.538550000000001</v>
      </c>
      <c r="L131">
        <v>18.794013</v>
      </c>
      <c r="M131">
        <v>-622.50204099999996</v>
      </c>
      <c r="N131">
        <v>1.255779</v>
      </c>
      <c r="O131">
        <v>6.000515</v>
      </c>
      <c r="P131">
        <f t="shared" si="6"/>
        <v>2.092965E-5</v>
      </c>
      <c r="Q131" cm="1">
        <f t="array" ref="Q131">[1]!PropsSI("D","T",J131+273.15,"P",101325,"Water")</f>
        <v>985.31979567341205</v>
      </c>
      <c r="R131" cm="1">
        <f t="array" ref="R131">[1]!PropsSI("D","T",K131+273.15,"P",101325,"Water")</f>
        <v>987.33144596370914</v>
      </c>
      <c r="S131">
        <f t="shared" si="7"/>
        <v>986.32562081856054</v>
      </c>
      <c r="T131" cm="1">
        <f t="array" ref="T131">[1]!PropsSI("H","T",J131+273.15,"P",101325,"Water")</f>
        <v>233538.30911499046</v>
      </c>
      <c r="U131" cm="1">
        <f t="array" ref="U131">[1]!PropsSI("H","T",K131+273.15,"P",101325,"Water")</f>
        <v>215852.04095417389</v>
      </c>
      <c r="V131">
        <f t="shared" si="8"/>
        <v>365.105592990844</v>
      </c>
    </row>
    <row r="132" spans="1:22" x14ac:dyDescent="0.2">
      <c r="A132">
        <v>46122.707018518522</v>
      </c>
      <c r="B132">
        <v>20.652685000000002</v>
      </c>
      <c r="C132">
        <v>20.668564</v>
      </c>
      <c r="D132">
        <v>20.492581000000001</v>
      </c>
      <c r="E132">
        <v>20.550267000000002</v>
      </c>
      <c r="F132">
        <v>39.032186000000003</v>
      </c>
      <c r="G132">
        <v>34.345294000000003</v>
      </c>
      <c r="H132">
        <v>34.284351000000001</v>
      </c>
      <c r="I132">
        <v>27.056805000000001</v>
      </c>
      <c r="J132">
        <v>55.766235999999999</v>
      </c>
      <c r="K132">
        <v>51.539504000000001</v>
      </c>
      <c r="L132">
        <v>18.899312999999999</v>
      </c>
      <c r="M132">
        <v>-622.50530600000002</v>
      </c>
      <c r="N132">
        <v>1.2582260000000001</v>
      </c>
      <c r="O132">
        <v>6.154979</v>
      </c>
      <c r="P132">
        <f t="shared" si="6"/>
        <v>2.0970433333333335E-5</v>
      </c>
      <c r="Q132" cm="1">
        <f t="array" ref="Q132">[1]!PropsSI("D","T",J132+273.15,"P",101325,"Water")</f>
        <v>985.32026260579676</v>
      </c>
      <c r="R132" cm="1">
        <f t="array" ref="R132">[1]!PropsSI("D","T",K132+273.15,"P",101325,"Water")</f>
        <v>987.33100492554706</v>
      </c>
      <c r="S132">
        <f t="shared" si="7"/>
        <v>986.32563376567191</v>
      </c>
      <c r="T132" cm="1">
        <f t="array" ref="T132">[1]!PropsSI("H","T",J132+273.15,"P",101325,"Water")</f>
        <v>233534.31412236695</v>
      </c>
      <c r="U132" cm="1">
        <f t="array" ref="U132">[1]!PropsSI("H","T",K132+273.15,"P",101325,"Water")</f>
        <v>215856.03038850753</v>
      </c>
      <c r="V132">
        <f t="shared" si="8"/>
        <v>365.65189206513298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49B7-D47A-474A-BC79-56045731CD9B}">
  <dimension ref="A1:W44"/>
  <sheetViews>
    <sheetView topLeftCell="F1" workbookViewId="0">
      <selection activeCell="W2" sqref="W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2">
      <c r="A2">
        <v>44660.695946759399</v>
      </c>
      <c r="B2">
        <v>20.622157000000001</v>
      </c>
      <c r="C2">
        <v>20.551943999999999</v>
      </c>
      <c r="D2">
        <v>20.467652000000001</v>
      </c>
      <c r="E2">
        <v>20.500329000000001</v>
      </c>
      <c r="F2">
        <v>34.958171999999998</v>
      </c>
      <c r="G2">
        <v>31.326746</v>
      </c>
      <c r="H2">
        <v>29.651859999999999</v>
      </c>
      <c r="I2">
        <v>25.205953000000001</v>
      </c>
      <c r="J2">
        <v>55.7395</v>
      </c>
      <c r="K2">
        <v>50.613276999999997</v>
      </c>
      <c r="L2">
        <v>40.824337999999997</v>
      </c>
      <c r="M2">
        <v>-622.51632600000005</v>
      </c>
      <c r="N2">
        <v>1.257628</v>
      </c>
      <c r="O2">
        <v>5.8557220000000001</v>
      </c>
      <c r="P2">
        <f t="shared" ref="P2:P21" si="0" xml:space="preserve"> N2*0.001/60</f>
        <v>2.0960466666666667E-5</v>
      </c>
      <c r="Q2" cm="1">
        <f t="array" ref="Q2">[1]!PropsSI("D","T",J2+273.15,"P",101325,"Water")</f>
        <v>985.3333324774859</v>
      </c>
      <c r="R2" cm="1">
        <f t="array" ref="R2">[1]!PropsSI("D","T",K2+273.15,"P",101325,"Water")</f>
        <v>987.75643198675868</v>
      </c>
      <c r="S2">
        <f t="shared" ref="S2:S21" si="1">(Q2+R2)/2</f>
        <v>986.54488223212229</v>
      </c>
      <c r="T2" cm="1">
        <f t="array" ref="T2">[1]!PropsSI("H","T",J2+273.15,"P",101325,"Water")</f>
        <v>233422.47120049782</v>
      </c>
      <c r="U2" cm="1">
        <f t="array" ref="U2">[1]!PropsSI("H","T",K2+273.15,"P",101325,"Water")</f>
        <v>211982.86689234801</v>
      </c>
      <c r="V2">
        <f t="shared" ref="V2:V21" si="2">S2*P2*(T2-U2)</f>
        <v>443.33759530495792</v>
      </c>
      <c r="W2" s="1">
        <f>AVERAGE(V2:V44)</f>
        <v>439.2488853887557</v>
      </c>
    </row>
    <row r="3" spans="1:23" x14ac:dyDescent="0.2">
      <c r="A3">
        <v>44660.696004629797</v>
      </c>
      <c r="B3">
        <v>20.640547999999999</v>
      </c>
      <c r="C3">
        <v>20.556255</v>
      </c>
      <c r="D3">
        <v>20.473122</v>
      </c>
      <c r="E3">
        <v>20.525955</v>
      </c>
      <c r="F3">
        <v>34.920797999999998</v>
      </c>
      <c r="G3">
        <v>31.188412</v>
      </c>
      <c r="H3">
        <v>30.004508000000001</v>
      </c>
      <c r="I3">
        <v>25.386312</v>
      </c>
      <c r="J3">
        <v>55.741886999999998</v>
      </c>
      <c r="K3">
        <v>50.624876999999998</v>
      </c>
      <c r="L3">
        <v>41.505119999999998</v>
      </c>
      <c r="M3">
        <v>-622.48816399999998</v>
      </c>
      <c r="N3">
        <v>1.259504</v>
      </c>
      <c r="O3">
        <v>5.879613</v>
      </c>
      <c r="P3">
        <f t="shared" si="0"/>
        <v>2.0991733333333334E-5</v>
      </c>
      <c r="Q3" cm="1">
        <f t="array" ref="Q3">[1]!PropsSI("D","T",J3+273.15,"P",101325,"Water")</f>
        <v>985.33216577349003</v>
      </c>
      <c r="R3" cm="1">
        <f t="array" ref="R3">[1]!PropsSI("D","T",K3+273.15,"P",101325,"Water")</f>
        <v>987.75113839874507</v>
      </c>
      <c r="S3">
        <f t="shared" si="1"/>
        <v>986.54165208611755</v>
      </c>
      <c r="T3" cm="1">
        <f t="array" ref="T3">[1]!PropsSI("H","T",J3+273.15,"P",101325,"Water")</f>
        <v>233432.45656724292</v>
      </c>
      <c r="U3" cm="1">
        <f t="array" ref="U3">[1]!PropsSI("H","T",K3+273.15,"P",101325,"Water")</f>
        <v>212031.37253113778</v>
      </c>
      <c r="V3">
        <f t="shared" si="2"/>
        <v>443.19974219371466</v>
      </c>
      <c r="W3" s="1"/>
    </row>
    <row r="4" spans="1:23" x14ac:dyDescent="0.2">
      <c r="A4">
        <v>44660.696063078904</v>
      </c>
      <c r="B4">
        <v>20.675557999999999</v>
      </c>
      <c r="C4">
        <v>20.619757</v>
      </c>
      <c r="D4">
        <v>20.49971</v>
      </c>
      <c r="E4">
        <v>20.566969</v>
      </c>
      <c r="F4">
        <v>34.872379000000002</v>
      </c>
      <c r="G4">
        <v>31.483440000000002</v>
      </c>
      <c r="H4">
        <v>29.851194</v>
      </c>
      <c r="I4">
        <v>25.357589999999998</v>
      </c>
      <c r="J4">
        <v>55.744273999999997</v>
      </c>
      <c r="K4">
        <v>50.632027999999998</v>
      </c>
      <c r="L4">
        <v>41.294110000000003</v>
      </c>
      <c r="M4">
        <v>-622.461635</v>
      </c>
      <c r="N4">
        <v>1.256292</v>
      </c>
      <c r="O4">
        <v>5.7130000000000001</v>
      </c>
      <c r="P4">
        <f t="shared" si="0"/>
        <v>2.0938199999999999E-5</v>
      </c>
      <c r="Q4" cm="1">
        <f t="array" ref="Q4">[1]!PropsSI("D","T",J4+273.15,"P",101325,"Water")</f>
        <v>985.33099903440768</v>
      </c>
      <c r="R4" cm="1">
        <f t="array" ref="R4">[1]!PropsSI("D","T",K4+273.15,"P",101325,"Water")</f>
        <v>987.74787464763563</v>
      </c>
      <c r="S4">
        <f t="shared" si="1"/>
        <v>986.5394368410216</v>
      </c>
      <c r="T4" cm="1">
        <f t="array" ref="T4">[1]!PropsSI("H","T",J4+273.15,"P",101325,"Water")</f>
        <v>233442.44193608162</v>
      </c>
      <c r="U4" cm="1">
        <f t="array" ref="U4">[1]!PropsSI("H","T",K4+273.15,"P",101325,"Water")</f>
        <v>212061.27460450164</v>
      </c>
      <c r="V4">
        <f t="shared" si="2"/>
        <v>441.65709040101291</v>
      </c>
      <c r="W4" s="1"/>
    </row>
    <row r="5" spans="1:23" x14ac:dyDescent="0.2">
      <c r="A5">
        <v>44660.696121528003</v>
      </c>
      <c r="B5">
        <v>20.690978000000001</v>
      </c>
      <c r="C5">
        <v>20.612766000000001</v>
      </c>
      <c r="D5">
        <v>20.480654000000001</v>
      </c>
      <c r="E5">
        <v>20.57544</v>
      </c>
      <c r="F5">
        <v>34.935167999999997</v>
      </c>
      <c r="G5">
        <v>31.434687</v>
      </c>
      <c r="H5">
        <v>29.498494999999998</v>
      </c>
      <c r="I5">
        <v>25.279931999999999</v>
      </c>
      <c r="J5">
        <v>55.746661000000003</v>
      </c>
      <c r="K5">
        <v>50.644739999999999</v>
      </c>
      <c r="L5">
        <v>40.168453</v>
      </c>
      <c r="M5">
        <v>-622.48897999999997</v>
      </c>
      <c r="N5">
        <v>1.258267</v>
      </c>
      <c r="O5">
        <v>6.1743449999999998</v>
      </c>
      <c r="P5">
        <f t="shared" si="0"/>
        <v>2.0971116666666667E-5</v>
      </c>
      <c r="Q5" cm="1">
        <f t="array" ref="Q5">[1]!PropsSI("D","T",J5+273.15,"P",101325,"Water")</f>
        <v>985.32983226022895</v>
      </c>
      <c r="R5" cm="1">
        <f t="array" ref="R5">[1]!PropsSI("D","T",K5+273.15,"P",101325,"Water")</f>
        <v>987.74207200703711</v>
      </c>
      <c r="S5">
        <f t="shared" si="1"/>
        <v>986.53595213363303</v>
      </c>
      <c r="T5" cm="1">
        <f t="array" ref="T5">[1]!PropsSI("H","T",J5+273.15,"P",101325,"Water")</f>
        <v>233452.42730705315</v>
      </c>
      <c r="U5" cm="1">
        <f t="array" ref="U5">[1]!PropsSI("H","T",K5+273.15,"P",101325,"Water")</f>
        <v>212114.43016620615</v>
      </c>
      <c r="V5">
        <f t="shared" si="2"/>
        <v>441.45671342207652</v>
      </c>
      <c r="W5" s="1"/>
    </row>
    <row r="6" spans="1:23" x14ac:dyDescent="0.2">
      <c r="A6">
        <v>46122.696179976854</v>
      </c>
      <c r="B6">
        <v>20.720665</v>
      </c>
      <c r="C6">
        <v>20.650561</v>
      </c>
      <c r="D6">
        <v>20.526795</v>
      </c>
      <c r="E6">
        <v>20.589182000000001</v>
      </c>
      <c r="F6">
        <v>35.004615000000001</v>
      </c>
      <c r="G6">
        <v>31.844199</v>
      </c>
      <c r="H6">
        <v>29.493435999999999</v>
      </c>
      <c r="I6">
        <v>25.532689999999999</v>
      </c>
      <c r="J6">
        <v>55.746820999999997</v>
      </c>
      <c r="K6">
        <v>50.650461</v>
      </c>
      <c r="L6">
        <v>38.240386000000001</v>
      </c>
      <c r="M6">
        <v>-622.49469399999998</v>
      </c>
      <c r="N6">
        <v>1.257136</v>
      </c>
      <c r="O6">
        <v>6.3732230000000003</v>
      </c>
      <c r="P6">
        <f t="shared" si="0"/>
        <v>2.0952266666666669E-5</v>
      </c>
      <c r="Q6" cm="1">
        <f t="array" ref="Q6">[1]!PropsSI("D","T",J6+273.15,"P",101325,"Water")</f>
        <v>985.32975405039235</v>
      </c>
      <c r="R6" cm="1">
        <f t="array" ref="R6">[1]!PropsSI("D","T",K6+273.15,"P",101325,"Water")</f>
        <v>987.73946020156245</v>
      </c>
      <c r="S6">
        <f t="shared" si="1"/>
        <v>986.53460712597735</v>
      </c>
      <c r="T6" cm="1">
        <f t="array" ref="T6">[1]!PropsSI("H","T",J6+273.15,"P",101325,"Water")</f>
        <v>233453.09662396068</v>
      </c>
      <c r="U6" cm="1">
        <f t="array" ref="U6">[1]!PropsSI("H","T",K6+273.15,"P",101325,"Water")</f>
        <v>212138.35269336792</v>
      </c>
      <c r="V6">
        <f t="shared" si="2"/>
        <v>440.57865935464326</v>
      </c>
      <c r="W6" s="1"/>
    </row>
    <row r="7" spans="1:23" x14ac:dyDescent="0.2">
      <c r="A7">
        <v>46122.696237847224</v>
      </c>
      <c r="B7">
        <v>20.710830000000001</v>
      </c>
      <c r="C7">
        <v>20.669589999999999</v>
      </c>
      <c r="D7">
        <v>20.496623</v>
      </c>
      <c r="E7">
        <v>20.548296000000001</v>
      </c>
      <c r="F7">
        <v>34.899690999999997</v>
      </c>
      <c r="G7">
        <v>31.283442000000001</v>
      </c>
      <c r="H7">
        <v>29.859093999999999</v>
      </c>
      <c r="I7">
        <v>25.338514</v>
      </c>
      <c r="J7">
        <v>55.750799000000001</v>
      </c>
      <c r="K7">
        <v>50.652368000000003</v>
      </c>
      <c r="L7">
        <v>37.383693999999998</v>
      </c>
      <c r="M7">
        <v>-622.52081499999997</v>
      </c>
      <c r="N7">
        <v>1.2559880000000001</v>
      </c>
      <c r="O7">
        <v>5.5269830000000004</v>
      </c>
      <c r="P7">
        <f t="shared" si="0"/>
        <v>2.0933133333333338E-5</v>
      </c>
      <c r="Q7" cm="1">
        <f t="array" ref="Q7">[1]!PropsSI("D","T",J7+273.15,"P",101325,"Water")</f>
        <v>985.32780950778704</v>
      </c>
      <c r="R7" cm="1">
        <f t="array" ref="R7">[1]!PropsSI("D","T",K7+273.15,"P",101325,"Water")</f>
        <v>987.73858955238393</v>
      </c>
      <c r="S7">
        <f t="shared" si="1"/>
        <v>986.53319953008554</v>
      </c>
      <c r="T7" cm="1">
        <f t="array" ref="T7">[1]!PropsSI("H","T",J7+273.15,"P",101325,"Water")</f>
        <v>233469.73751948259</v>
      </c>
      <c r="U7" cm="1">
        <f t="array" ref="U7">[1]!PropsSI("H","T",K7+273.15,"P",101325,"Water")</f>
        <v>212146.3268711908</v>
      </c>
      <c r="V7">
        <f t="shared" si="2"/>
        <v>440.35467908086054</v>
      </c>
      <c r="W7" s="1"/>
    </row>
    <row r="8" spans="1:23" x14ac:dyDescent="0.2">
      <c r="A8">
        <v>46122.696296296293</v>
      </c>
      <c r="B8">
        <v>20.710728</v>
      </c>
      <c r="C8">
        <v>20.715444000000002</v>
      </c>
      <c r="D8">
        <v>20.467514000000001</v>
      </c>
      <c r="E8">
        <v>20.530740000000002</v>
      </c>
      <c r="F8">
        <v>34.897979999999997</v>
      </c>
      <c r="G8">
        <v>31.498070999999999</v>
      </c>
      <c r="H8">
        <v>29.566369000000002</v>
      </c>
      <c r="I8">
        <v>24.867265</v>
      </c>
      <c r="J8">
        <v>55.756050999999999</v>
      </c>
      <c r="K8">
        <v>50.656816999999997</v>
      </c>
      <c r="L8">
        <v>42.614044</v>
      </c>
      <c r="M8">
        <v>-622.45714499999997</v>
      </c>
      <c r="N8">
        <v>1.2560249999999999</v>
      </c>
      <c r="O8">
        <v>5.8016500000000004</v>
      </c>
      <c r="P8">
        <f t="shared" si="0"/>
        <v>2.0933749999999999E-5</v>
      </c>
      <c r="Q8" cm="1">
        <f t="array" ref="Q8">[1]!PropsSI("D","T",J8+273.15,"P",101325,"Water")</f>
        <v>985.32524205386881</v>
      </c>
      <c r="R8" cm="1">
        <f t="array" ref="R8">[1]!PropsSI("D","T",K8+273.15,"P",101325,"Water")</f>
        <v>987.73655824995456</v>
      </c>
      <c r="S8">
        <f t="shared" si="1"/>
        <v>986.53090015191174</v>
      </c>
      <c r="T8" cm="1">
        <f t="array" ref="T8">[1]!PropsSI("H","T",J8+273.15,"P",101325,"Water")</f>
        <v>233491.707861136</v>
      </c>
      <c r="U8" cm="1">
        <f t="array" ref="U8">[1]!PropsSI("H","T",K8+273.15,"P",101325,"Water")</f>
        <v>212164.930502623</v>
      </c>
      <c r="V8">
        <f t="shared" si="2"/>
        <v>440.43615363920293</v>
      </c>
      <c r="W8" s="1"/>
    </row>
    <row r="9" spans="1:23" x14ac:dyDescent="0.2">
      <c r="A9">
        <v>46122.69635416667</v>
      </c>
      <c r="B9">
        <v>20.661152000000001</v>
      </c>
      <c r="C9">
        <v>20.68694</v>
      </c>
      <c r="D9">
        <v>20.494014</v>
      </c>
      <c r="E9">
        <v>20.555819</v>
      </c>
      <c r="F9">
        <v>34.896183000000001</v>
      </c>
      <c r="G9">
        <v>31.406354</v>
      </c>
      <c r="H9">
        <v>29.825796</v>
      </c>
      <c r="I9">
        <v>25.516145000000002</v>
      </c>
      <c r="J9">
        <v>55.756687999999997</v>
      </c>
      <c r="K9">
        <v>50.662379000000001</v>
      </c>
      <c r="L9">
        <v>38.362828999999998</v>
      </c>
      <c r="M9">
        <v>-622.47102199999995</v>
      </c>
      <c r="N9">
        <v>1.262049</v>
      </c>
      <c r="O9">
        <v>6.0905370000000003</v>
      </c>
      <c r="P9">
        <f t="shared" si="0"/>
        <v>2.1034149999999999E-5</v>
      </c>
      <c r="Q9" cm="1">
        <f t="array" ref="Q9">[1]!PropsSI("D","T",J9+273.15,"P",101325,"Water")</f>
        <v>985.3249306432017</v>
      </c>
      <c r="R9" cm="1">
        <f t="array" ref="R9">[1]!PropsSI("D","T",K9+273.15,"P",101325,"Water")</f>
        <v>987.73401859824014</v>
      </c>
      <c r="S9">
        <f t="shared" si="1"/>
        <v>986.52947462072098</v>
      </c>
      <c r="T9" cm="1">
        <f t="array" ref="T9">[1]!PropsSI("H","T",J9+273.15,"P",101325,"Water")</f>
        <v>233494.37258151124</v>
      </c>
      <c r="U9" cm="1">
        <f t="array" ref="U9">[1]!PropsSI("H","T",K9+273.15,"P",101325,"Water")</f>
        <v>212188.18818625328</v>
      </c>
      <c r="V9">
        <f t="shared" si="2"/>
        <v>442.12056180950088</v>
      </c>
      <c r="W9" s="1"/>
    </row>
    <row r="10" spans="1:23" x14ac:dyDescent="0.2">
      <c r="A10">
        <v>44660.6964126159</v>
      </c>
      <c r="B10">
        <v>20.696677000000001</v>
      </c>
      <c r="C10">
        <v>20.693387000000001</v>
      </c>
      <c r="D10">
        <v>20.498602999999999</v>
      </c>
      <c r="E10">
        <v>20.558523999999998</v>
      </c>
      <c r="F10">
        <v>34.944451999999998</v>
      </c>
      <c r="G10">
        <v>31.493054999999998</v>
      </c>
      <c r="H10">
        <v>29.533266999999999</v>
      </c>
      <c r="I10">
        <v>25.410539</v>
      </c>
      <c r="J10">
        <v>55.757323999999997</v>
      </c>
      <c r="K10">
        <v>50.664921</v>
      </c>
      <c r="L10">
        <v>37.558379000000002</v>
      </c>
      <c r="M10">
        <v>-622.45796099999995</v>
      </c>
      <c r="N10">
        <v>1.259279</v>
      </c>
      <c r="O10">
        <v>5.6396629999999996</v>
      </c>
      <c r="P10">
        <f t="shared" si="0"/>
        <v>2.0987983333333336E-5</v>
      </c>
      <c r="Q10" cm="1">
        <f t="array" ref="Q10">[1]!PropsSI("D","T",J10+273.15,"P",101325,"Water")</f>
        <v>985.32461971891803</v>
      </c>
      <c r="R10" cm="1">
        <f t="array" ref="R10">[1]!PropsSI("D","T",K10+273.15,"P",101325,"Water")</f>
        <v>987.73285783455549</v>
      </c>
      <c r="S10">
        <f t="shared" si="1"/>
        <v>986.52873877673676</v>
      </c>
      <c r="T10" cm="1">
        <f t="array" ref="T10">[1]!PropsSI("H","T",J10+273.15,"P",101325,"Water")</f>
        <v>233497.03311878038</v>
      </c>
      <c r="U10" cm="1">
        <f t="array" ref="U10">[1]!PropsSI("H","T",K10+273.15,"P",101325,"Water")</f>
        <v>212198.81764483079</v>
      </c>
      <c r="V10">
        <f t="shared" si="2"/>
        <v>440.98484883576668</v>
      </c>
    </row>
    <row r="11" spans="1:23" x14ac:dyDescent="0.2">
      <c r="A11">
        <v>44660.696471064999</v>
      </c>
      <c r="B11">
        <v>20.69463</v>
      </c>
      <c r="C11">
        <v>20.639133999999999</v>
      </c>
      <c r="D11">
        <v>20.494948999999998</v>
      </c>
      <c r="E11">
        <v>20.538599999999999</v>
      </c>
      <c r="F11">
        <v>34.827618999999999</v>
      </c>
      <c r="G11">
        <v>31.025113000000001</v>
      </c>
      <c r="H11">
        <v>30.109005</v>
      </c>
      <c r="I11">
        <v>25.547060999999999</v>
      </c>
      <c r="J11">
        <v>55.757005999999997</v>
      </c>
      <c r="K11">
        <v>50.669848000000002</v>
      </c>
      <c r="L11">
        <v>40.507618999999998</v>
      </c>
      <c r="M11">
        <v>-622.50489800000003</v>
      </c>
      <c r="N11">
        <v>1.254718</v>
      </c>
      <c r="O11">
        <v>6.1633149999999999</v>
      </c>
      <c r="P11">
        <f t="shared" si="0"/>
        <v>2.0911966666666666E-5</v>
      </c>
      <c r="Q11" cm="1">
        <f t="array" ref="Q11">[1]!PropsSI("D","T",J11+273.15,"P",101325,"Water")</f>
        <v>985.32477518136238</v>
      </c>
      <c r="R11" cm="1">
        <f t="array" ref="R11">[1]!PropsSI("D","T",K11+273.15,"P",101325,"Water")</f>
        <v>987.73060787896179</v>
      </c>
      <c r="S11">
        <f t="shared" si="1"/>
        <v>986.52769153016209</v>
      </c>
      <c r="T11" cm="1">
        <f t="array" ref="T11">[1]!PropsSI("H","T",J11+273.15,"P",101325,"Water")</f>
        <v>233495.70285013187</v>
      </c>
      <c r="U11" cm="1">
        <f t="array" ref="U11">[1]!PropsSI("H","T",K11+273.15,"P",101325,"Water")</f>
        <v>212219.42006661536</v>
      </c>
      <c r="V11">
        <f t="shared" si="2"/>
        <v>438.93469675112556</v>
      </c>
    </row>
    <row r="12" spans="1:23" x14ac:dyDescent="0.2">
      <c r="A12">
        <v>44660.696528935398</v>
      </c>
      <c r="B12">
        <v>20.711663000000001</v>
      </c>
      <c r="C12">
        <v>20.716370999999999</v>
      </c>
      <c r="D12">
        <v>20.478186999999998</v>
      </c>
      <c r="E12">
        <v>20.526605</v>
      </c>
      <c r="F12">
        <v>34.942847</v>
      </c>
      <c r="G12">
        <v>31.436820999999998</v>
      </c>
      <c r="H12">
        <v>29.947783000000001</v>
      </c>
      <c r="I12">
        <v>25.192074000000002</v>
      </c>
      <c r="J12">
        <v>55.754778000000002</v>
      </c>
      <c r="K12">
        <v>50.671436999999997</v>
      </c>
      <c r="L12">
        <v>40.408441000000003</v>
      </c>
      <c r="M12">
        <v>-622.48204199999998</v>
      </c>
      <c r="N12">
        <v>1.255152</v>
      </c>
      <c r="O12">
        <v>5.6966330000000003</v>
      </c>
      <c r="P12">
        <f t="shared" si="0"/>
        <v>2.0919200000000001E-5</v>
      </c>
      <c r="Q12" cm="1">
        <f t="array" ref="Q12">[1]!PropsSI("D","T",J12+273.15,"P",101325,"Water")</f>
        <v>985.32586437884311</v>
      </c>
      <c r="R12" cm="1">
        <f t="array" ref="R12">[1]!PropsSI("D","T",K12+273.15,"P",101325,"Water")</f>
        <v>987.72988221518438</v>
      </c>
      <c r="S12">
        <f t="shared" si="1"/>
        <v>986.52787329701368</v>
      </c>
      <c r="T12" cm="1">
        <f t="array" ref="T12">[1]!PropsSI("H","T",J12+273.15,"P",101325,"Water")</f>
        <v>233486.38260411291</v>
      </c>
      <c r="U12" cm="1">
        <f t="array" ref="U12">[1]!PropsSI("H","T",K12+273.15,"P",101325,"Water")</f>
        <v>212226.0645268404</v>
      </c>
      <c r="V12">
        <f t="shared" si="2"/>
        <v>438.75713311880975</v>
      </c>
    </row>
    <row r="13" spans="1:23" x14ac:dyDescent="0.2">
      <c r="A13">
        <v>44660.696586805701</v>
      </c>
      <c r="B13">
        <v>20.661276000000001</v>
      </c>
      <c r="C13">
        <v>20.657819</v>
      </c>
      <c r="D13">
        <v>20.473251000000001</v>
      </c>
      <c r="E13">
        <v>20.529758000000001</v>
      </c>
      <c r="F13">
        <v>34.971085000000002</v>
      </c>
      <c r="G13">
        <v>31.345220000000001</v>
      </c>
      <c r="H13">
        <v>29.728463000000001</v>
      </c>
      <c r="I13">
        <v>25.469787</v>
      </c>
      <c r="J13">
        <v>55.756528000000003</v>
      </c>
      <c r="K13">
        <v>50.673501999999999</v>
      </c>
      <c r="L13">
        <v>40.925966000000003</v>
      </c>
      <c r="M13">
        <v>-622.51877500000001</v>
      </c>
      <c r="N13">
        <v>1.2624919999999999</v>
      </c>
      <c r="O13">
        <v>6.0497199999999998</v>
      </c>
      <c r="P13">
        <f t="shared" si="0"/>
        <v>2.1041533333333335E-5</v>
      </c>
      <c r="Q13" cm="1">
        <f t="array" ref="Q13">[1]!PropsSI("D","T",J13+273.15,"P",101325,"Water")</f>
        <v>985.32500886274136</v>
      </c>
      <c r="R13" cm="1">
        <f t="array" ref="R13">[1]!PropsSI("D","T",K13+273.15,"P",101325,"Water")</f>
        <v>987.72893914736699</v>
      </c>
      <c r="S13">
        <f t="shared" si="1"/>
        <v>986.52697400505417</v>
      </c>
      <c r="T13" cm="1">
        <f t="array" ref="T13">[1]!PropsSI("H","T",J13+273.15,"P",101325,"Water")</f>
        <v>233493.70326399911</v>
      </c>
      <c r="U13" cm="1">
        <f t="array" ref="U13">[1]!PropsSI("H","T",K13+273.15,"P",101325,"Water")</f>
        <v>212234.69939927495</v>
      </c>
      <c r="V13">
        <f t="shared" si="2"/>
        <v>441.29525700086543</v>
      </c>
    </row>
    <row r="14" spans="1:23" x14ac:dyDescent="0.2">
      <c r="A14">
        <v>44660.6966452548</v>
      </c>
      <c r="B14">
        <v>20.674849999999999</v>
      </c>
      <c r="C14">
        <v>20.66919</v>
      </c>
      <c r="D14">
        <v>20.482996</v>
      </c>
      <c r="E14">
        <v>20.532741999999999</v>
      </c>
      <c r="F14">
        <v>34.915861999999997</v>
      </c>
      <c r="G14">
        <v>31.817399999999999</v>
      </c>
      <c r="H14">
        <v>29.842991000000001</v>
      </c>
      <c r="I14">
        <v>25.450780000000002</v>
      </c>
      <c r="J14">
        <v>55.758755999999998</v>
      </c>
      <c r="K14">
        <v>50.676363000000002</v>
      </c>
      <c r="L14">
        <v>37.703677999999996</v>
      </c>
      <c r="M14">
        <v>-622.46857299999999</v>
      </c>
      <c r="N14">
        <v>1.2568079999999999</v>
      </c>
      <c r="O14">
        <v>5.9611590000000003</v>
      </c>
      <c r="P14">
        <f t="shared" si="0"/>
        <v>2.0946799999999997E-5</v>
      </c>
      <c r="Q14" cm="1">
        <f t="array" ref="Q14">[1]!PropsSI("D","T",J14+273.15,"P",101325,"Water")</f>
        <v>985.32391964127316</v>
      </c>
      <c r="R14" cm="1">
        <f t="array" ref="R14">[1]!PropsSI("D","T",K14+273.15,"P",101325,"Water")</f>
        <v>987.72763250732203</v>
      </c>
      <c r="S14">
        <f t="shared" si="1"/>
        <v>986.5257760742976</v>
      </c>
      <c r="T14" cm="1">
        <f t="array" ref="T14">[1]!PropsSI("H","T",J14+273.15,"P",101325,"Water")</f>
        <v>233503.02351144666</v>
      </c>
      <c r="U14" cm="1">
        <f t="array" ref="U14">[1]!PropsSI("H","T",K14+273.15,"P",101325,"Water")</f>
        <v>212246.66277655947</v>
      </c>
      <c r="V14">
        <f t="shared" si="2"/>
        <v>439.25330195910539</v>
      </c>
    </row>
    <row r="15" spans="1:23" x14ac:dyDescent="0.2">
      <c r="A15">
        <v>46122.696703125002</v>
      </c>
      <c r="B15">
        <v>20.68985</v>
      </c>
      <c r="C15">
        <v>20.738838999999999</v>
      </c>
      <c r="D15">
        <v>20.514112000000001</v>
      </c>
      <c r="E15">
        <v>20.596150999999999</v>
      </c>
      <c r="F15">
        <v>34.842478999999997</v>
      </c>
      <c r="G15">
        <v>31.455904</v>
      </c>
      <c r="H15">
        <v>30.151247000000001</v>
      </c>
      <c r="I15">
        <v>25.235772999999998</v>
      </c>
      <c r="J15">
        <v>55.757323999999997</v>
      </c>
      <c r="K15">
        <v>50.677157000000001</v>
      </c>
      <c r="L15">
        <v>41.452469999999998</v>
      </c>
      <c r="M15">
        <v>-622.49347</v>
      </c>
      <c r="N15">
        <v>1.255185</v>
      </c>
      <c r="O15">
        <v>6.1709519999999998</v>
      </c>
      <c r="P15">
        <f t="shared" si="0"/>
        <v>2.0919749999999999E-5</v>
      </c>
      <c r="Q15" cm="1">
        <f t="array" ref="Q15">[1]!PropsSI("D","T",J15+273.15,"P",101325,"Water")</f>
        <v>985.32461971891803</v>
      </c>
      <c r="R15" cm="1">
        <f t="array" ref="R15">[1]!PropsSI("D","T",K15+273.15,"P",101325,"Water")</f>
        <v>987.72726987216072</v>
      </c>
      <c r="S15">
        <f t="shared" si="1"/>
        <v>986.52594479553932</v>
      </c>
      <c r="T15" cm="1">
        <f t="array" ref="T15">[1]!PropsSI("H","T",J15+273.15,"P",101325,"Water")</f>
        <v>233497.03311878038</v>
      </c>
      <c r="U15" cm="1">
        <f t="array" ref="U15">[1]!PropsSI("H","T",K15+273.15,"P",101325,"Water")</f>
        <v>212249.98291729455</v>
      </c>
      <c r="V15">
        <f t="shared" si="2"/>
        <v>438.49399026342076</v>
      </c>
    </row>
    <row r="16" spans="1:23" x14ac:dyDescent="0.2">
      <c r="A16">
        <v>46122.696761574072</v>
      </c>
      <c r="B16">
        <v>20.660799999999998</v>
      </c>
      <c r="C16">
        <v>20.680092999999999</v>
      </c>
      <c r="D16">
        <v>20.492968000000001</v>
      </c>
      <c r="E16">
        <v>20.551338999999999</v>
      </c>
      <c r="F16">
        <v>34.902740999999999</v>
      </c>
      <c r="G16">
        <v>31.483884</v>
      </c>
      <c r="H16">
        <v>29.882373999999999</v>
      </c>
      <c r="I16">
        <v>25.383454</v>
      </c>
      <c r="J16">
        <v>55.757005999999997</v>
      </c>
      <c r="K16">
        <v>50.678745999999997</v>
      </c>
      <c r="L16">
        <v>41.083917</v>
      </c>
      <c r="M16">
        <v>-622.474287</v>
      </c>
      <c r="N16">
        <v>1.2547550000000001</v>
      </c>
      <c r="O16">
        <v>6.2299550000000004</v>
      </c>
      <c r="P16">
        <f t="shared" si="0"/>
        <v>2.0912583333333337E-5</v>
      </c>
      <c r="Q16" cm="1">
        <f t="array" ref="Q16">[1]!PropsSI("D","T",J16+273.15,"P",101325,"Water")</f>
        <v>985.32477518136238</v>
      </c>
      <c r="R16" cm="1">
        <f t="array" ref="R16">[1]!PropsSI("D","T",K16+273.15,"P",101325,"Water")</f>
        <v>987.7265441327736</v>
      </c>
      <c r="S16">
        <f t="shared" si="1"/>
        <v>986.52565965706799</v>
      </c>
      <c r="T16" cm="1">
        <f t="array" ref="T16">[1]!PropsSI("H","T",J16+273.15,"P",101325,"Water")</f>
        <v>233495.70285013187</v>
      </c>
      <c r="U16" cm="1">
        <f t="array" ref="U16">[1]!PropsSI("H","T",K16+273.15,"P",101325,"Water")</f>
        <v>212256.62738100952</v>
      </c>
      <c r="V16">
        <f t="shared" si="2"/>
        <v>438.17911963369022</v>
      </c>
    </row>
    <row r="17" spans="1:22" x14ac:dyDescent="0.2">
      <c r="A17">
        <v>46122.696819444442</v>
      </c>
      <c r="B17">
        <v>20.756920999999998</v>
      </c>
      <c r="C17">
        <v>20.77796</v>
      </c>
      <c r="D17">
        <v>20.522829000000002</v>
      </c>
      <c r="E17">
        <v>20.576988</v>
      </c>
      <c r="F17">
        <v>34.887709999999998</v>
      </c>
      <c r="G17">
        <v>31.482899</v>
      </c>
      <c r="H17">
        <v>29.903473000000002</v>
      </c>
      <c r="I17">
        <v>25.388646999999999</v>
      </c>
      <c r="J17">
        <v>55.756368999999999</v>
      </c>
      <c r="K17">
        <v>50.677475000000001</v>
      </c>
      <c r="L17">
        <v>39.303598000000001</v>
      </c>
      <c r="M17">
        <v>-622.49550999999997</v>
      </c>
      <c r="N17">
        <v>1.2597989999999999</v>
      </c>
      <c r="O17">
        <v>5.85806</v>
      </c>
      <c r="P17">
        <f t="shared" si="0"/>
        <v>2.0996649999999998E-5</v>
      </c>
      <c r="Q17" cm="1">
        <f t="array" ref="Q17">[1]!PropsSI("D","T",J17+273.15,"P",101325,"Water")</f>
        <v>985.3250865932888</v>
      </c>
      <c r="R17" cm="1">
        <f t="array" ref="R17">[1]!PropsSI("D","T",K17+273.15,"P",101325,"Water")</f>
        <v>987.72712463424466</v>
      </c>
      <c r="S17">
        <f t="shared" si="1"/>
        <v>986.52610561376673</v>
      </c>
      <c r="T17" cm="1">
        <f t="array" ref="T17">[1]!PropsSI("H","T",J17+273.15,"P",101325,"Water")</f>
        <v>233493.03812966231</v>
      </c>
      <c r="U17" cm="1">
        <f t="array" ref="U17">[1]!PropsSI("H","T",K17+273.15,"P",101325,"Water")</f>
        <v>212251.31264630953</v>
      </c>
      <c r="V17">
        <f t="shared" si="2"/>
        <v>439.99565008877926</v>
      </c>
    </row>
    <row r="18" spans="1:22" x14ac:dyDescent="0.2">
      <c r="A18">
        <v>46122.696877893519</v>
      </c>
      <c r="B18">
        <v>20.907957</v>
      </c>
      <c r="C18">
        <v>20.930513000000001</v>
      </c>
      <c r="D18">
        <v>20.551919999999999</v>
      </c>
      <c r="E18">
        <v>20.636555000000001</v>
      </c>
      <c r="F18">
        <v>35.009279999999997</v>
      </c>
      <c r="G18">
        <v>31.700856999999999</v>
      </c>
      <c r="H18">
        <v>29.930876000000001</v>
      </c>
      <c r="I18">
        <v>25.346596000000002</v>
      </c>
      <c r="J18">
        <v>55.753185999999999</v>
      </c>
      <c r="K18">
        <v>50.677475000000001</v>
      </c>
      <c r="L18">
        <v>40.439458999999999</v>
      </c>
      <c r="M18">
        <v>-622.47224600000004</v>
      </c>
      <c r="N18">
        <v>1.254845</v>
      </c>
      <c r="O18">
        <v>5.9188039999999997</v>
      </c>
      <c r="P18">
        <f t="shared" si="0"/>
        <v>2.0914083333333334E-5</v>
      </c>
      <c r="Q18" cm="1">
        <f t="array" ref="Q18">[1]!PropsSI("D","T",J18+273.15,"P",101325,"Water")</f>
        <v>985.32664263765457</v>
      </c>
      <c r="R18" cm="1">
        <f t="array" ref="R18">[1]!PropsSI("D","T",K18+273.15,"P",101325,"Water")</f>
        <v>987.72712463424466</v>
      </c>
      <c r="S18">
        <f t="shared" si="1"/>
        <v>986.52688363594962</v>
      </c>
      <c r="T18" cm="1">
        <f t="array" ref="T18">[1]!PropsSI("H","T",J18+273.15,"P",101325,"Water")</f>
        <v>233479.72289626667</v>
      </c>
      <c r="U18" cm="1">
        <f t="array" ref="U18">[1]!PropsSI("H","T",K18+273.15,"P",101325,"Water")</f>
        <v>212251.31264630953</v>
      </c>
      <c r="V18">
        <f t="shared" si="2"/>
        <v>437.99104459980771</v>
      </c>
    </row>
    <row r="19" spans="1:22" x14ac:dyDescent="0.2">
      <c r="A19">
        <v>46122.696935763888</v>
      </c>
      <c r="B19">
        <v>20.856639999999999</v>
      </c>
      <c r="C19">
        <v>20.884035000000001</v>
      </c>
      <c r="D19">
        <v>20.546748999999998</v>
      </c>
      <c r="E19">
        <v>20.601811000000001</v>
      </c>
      <c r="F19">
        <v>34.873001000000002</v>
      </c>
      <c r="G19">
        <v>31.203506000000001</v>
      </c>
      <c r="H19">
        <v>30.027791000000001</v>
      </c>
      <c r="I19">
        <v>25.070098000000002</v>
      </c>
      <c r="J19">
        <v>55.748888999999998</v>
      </c>
      <c r="K19">
        <v>50.681607</v>
      </c>
      <c r="L19">
        <v>38.612203999999998</v>
      </c>
      <c r="M19">
        <v>-622.49224500000003</v>
      </c>
      <c r="N19">
        <v>1.255247</v>
      </c>
      <c r="O19">
        <v>6.1620819999999998</v>
      </c>
      <c r="P19">
        <f t="shared" si="0"/>
        <v>2.0920783333333335E-5</v>
      </c>
      <c r="Q19" cm="1">
        <f t="array" ref="Q19">[1]!PropsSI("D","T",J19+273.15,"P",101325,"Water")</f>
        <v>985.32874317414746</v>
      </c>
      <c r="R19" cm="1">
        <f t="array" ref="R19">[1]!PropsSI("D","T",K19+273.15,"P",101325,"Water")</f>
        <v>987.725237395112</v>
      </c>
      <c r="S19">
        <f t="shared" si="1"/>
        <v>986.52699028462973</v>
      </c>
      <c r="T19" cm="1">
        <f t="array" ref="T19">[1]!PropsSI("H","T",J19+273.15,"P",101325,"Water")</f>
        <v>233461.74754631554</v>
      </c>
      <c r="U19" cm="1">
        <f t="array" ref="U19">[1]!PropsSI("H","T",K19+273.15,"P",101325,"Water")</f>
        <v>212268.59076269632</v>
      </c>
      <c r="V19">
        <f t="shared" si="2"/>
        <v>437.40381264633561</v>
      </c>
    </row>
    <row r="20" spans="1:22" x14ac:dyDescent="0.2">
      <c r="A20">
        <v>46122.696993634258</v>
      </c>
      <c r="B20">
        <v>20.832114000000001</v>
      </c>
      <c r="C20">
        <v>20.851129</v>
      </c>
      <c r="D20">
        <v>20.481123</v>
      </c>
      <c r="E20">
        <v>20.557531000000001</v>
      </c>
      <c r="F20">
        <v>35.018923999999998</v>
      </c>
      <c r="G20">
        <v>31.364785999999999</v>
      </c>
      <c r="H20">
        <v>30.051055999999999</v>
      </c>
      <c r="I20">
        <v>25.376804</v>
      </c>
      <c r="J20">
        <v>55.753346000000001</v>
      </c>
      <c r="K20">
        <v>50.680334999999999</v>
      </c>
      <c r="L20">
        <v>39.584400000000002</v>
      </c>
      <c r="M20">
        <v>-622.50693799999999</v>
      </c>
      <c r="N20">
        <v>1.2581640000000001</v>
      </c>
      <c r="O20">
        <v>6.265638</v>
      </c>
      <c r="P20">
        <f t="shared" si="0"/>
        <v>2.09694E-5</v>
      </c>
      <c r="Q20" cm="1">
        <f t="array" ref="Q20">[1]!PropsSI("D","T",J20+273.15,"P",101325,"Water")</f>
        <v>985.3265644214149</v>
      </c>
      <c r="R20" cm="1">
        <f t="array" ref="R20">[1]!PropsSI("D","T",K20+273.15,"P",101325,"Water")</f>
        <v>987.72581837696475</v>
      </c>
      <c r="S20">
        <f t="shared" si="1"/>
        <v>986.52619139918988</v>
      </c>
      <c r="T20" cm="1">
        <f t="array" ref="T20">[1]!PropsSI("H","T",J20+273.15,"P",101325,"Water")</f>
        <v>233480.39221358573</v>
      </c>
      <c r="U20" cm="1">
        <f t="array" ref="U20">[1]!PropsSI("H","T",K20+273.15,"P",101325,"Water")</f>
        <v>212263.27184542923</v>
      </c>
      <c r="V20">
        <f t="shared" si="2"/>
        <v>438.91564783892045</v>
      </c>
    </row>
    <row r="21" spans="1:22" x14ac:dyDescent="0.2">
      <c r="A21">
        <v>46122.697051504627</v>
      </c>
      <c r="B21">
        <v>20.772715000000002</v>
      </c>
      <c r="C21">
        <v>20.787818999999999</v>
      </c>
      <c r="D21">
        <v>20.473976</v>
      </c>
      <c r="E21">
        <v>20.563089000000002</v>
      </c>
      <c r="F21">
        <v>34.883448000000001</v>
      </c>
      <c r="G21">
        <v>31.117505000000001</v>
      </c>
      <c r="H21">
        <v>29.929991999999999</v>
      </c>
      <c r="I21">
        <v>25.161808000000001</v>
      </c>
      <c r="J21">
        <v>55.755096000000002</v>
      </c>
      <c r="K21">
        <v>50.685102999999998</v>
      </c>
      <c r="L21">
        <v>40.904741999999999</v>
      </c>
      <c r="M21">
        <v>-622.45265500000005</v>
      </c>
      <c r="N21">
        <v>1.2550619999999999</v>
      </c>
      <c r="O21">
        <v>6.0783250000000004</v>
      </c>
      <c r="P21">
        <f t="shared" si="0"/>
        <v>2.0917699999999998E-5</v>
      </c>
      <c r="Q21" cm="1">
        <f t="array" ref="Q21">[1]!PropsSI("D","T",J21+273.15,"P",101325,"Water")</f>
        <v>985.32570892076467</v>
      </c>
      <c r="R21" cm="1">
        <f t="array" ref="R21">[1]!PropsSI("D","T",K21+273.15,"P",101325,"Water")</f>
        <v>987.72364055416904</v>
      </c>
      <c r="S21">
        <f t="shared" si="1"/>
        <v>986.52467473746685</v>
      </c>
      <c r="T21" cm="1">
        <f t="array" ref="T21">[1]!PropsSI("H","T",J21+273.15,"P",101325,"Water")</f>
        <v>233487.71287250484</v>
      </c>
      <c r="U21" cm="1">
        <f t="array" ref="U21">[1]!PropsSI("H","T",K21+273.15,"P",101325,"Water")</f>
        <v>212283.20942464302</v>
      </c>
      <c r="V21">
        <f t="shared" si="2"/>
        <v>437.57246877345534</v>
      </c>
    </row>
    <row r="22" spans="1:22" x14ac:dyDescent="0.2">
      <c r="A22">
        <v>46122.697109953704</v>
      </c>
      <c r="B22">
        <v>20.730115999999999</v>
      </c>
      <c r="C22">
        <v>20.746274</v>
      </c>
      <c r="D22">
        <v>20.482327999999999</v>
      </c>
      <c r="E22">
        <v>20.575948</v>
      </c>
      <c r="F22">
        <v>35.068432000000001</v>
      </c>
      <c r="G22">
        <v>30.636119000000001</v>
      </c>
      <c r="H22">
        <v>29.877853999999999</v>
      </c>
      <c r="I22">
        <v>25.252958</v>
      </c>
      <c r="J22">
        <v>55.757165000000001</v>
      </c>
      <c r="K22">
        <v>50.686692000000001</v>
      </c>
      <c r="L22">
        <v>42.554864000000002</v>
      </c>
      <c r="M22">
        <v>-622.52816199999995</v>
      </c>
      <c r="N22">
        <v>1.259676</v>
      </c>
      <c r="O22">
        <v>5.6949680000000003</v>
      </c>
      <c r="P22">
        <f t="shared" ref="P22:P44" si="3" xml:space="preserve"> N22*0.001/60</f>
        <v>2.0994600000000001E-5</v>
      </c>
      <c r="Q22" cm="1">
        <f t="array" ref="Q22">[1]!PropsSI("D","T",J22+273.15,"P",101325,"Water")</f>
        <v>985.32469745021729</v>
      </c>
      <c r="R22" cm="1">
        <f t="array" ref="R22">[1]!PropsSI("D","T",K22+273.15,"P",101325,"Water")</f>
        <v>987.72291473260805</v>
      </c>
      <c r="S22">
        <f t="shared" ref="S22:S44" si="4">(Q22+R22)/2</f>
        <v>986.52380609141267</v>
      </c>
      <c r="T22" cm="1">
        <f t="array" ref="T22">[1]!PropsSI("H","T",J22+273.15,"P",101325,"Water")</f>
        <v>233496.36798444041</v>
      </c>
      <c r="U22" cm="1">
        <f t="array" ref="U22">[1]!PropsSI("H","T",K22+273.15,"P",101325,"Water")</f>
        <v>212289.85389206582</v>
      </c>
      <c r="V22">
        <f t="shared" ref="V22:V44" si="5">S22*P22*(T22-U22)</f>
        <v>439.22237897577162</v>
      </c>
    </row>
    <row r="23" spans="1:22" x14ac:dyDescent="0.2">
      <c r="A23">
        <v>46122.697168402781</v>
      </c>
      <c r="B23">
        <v>20.770655000000001</v>
      </c>
      <c r="C23">
        <v>20.756997999999999</v>
      </c>
      <c r="D23">
        <v>20.503492999999999</v>
      </c>
      <c r="E23">
        <v>20.586559999999999</v>
      </c>
      <c r="F23">
        <v>34.929053000000003</v>
      </c>
      <c r="G23">
        <v>31.412468000000001</v>
      </c>
      <c r="H23">
        <v>29.748802000000001</v>
      </c>
      <c r="I23">
        <v>25.164372</v>
      </c>
      <c r="J23">
        <v>55.752391000000003</v>
      </c>
      <c r="K23">
        <v>50.687486</v>
      </c>
      <c r="L23">
        <v>37.865302999999997</v>
      </c>
      <c r="M23">
        <v>-622.47714399999995</v>
      </c>
      <c r="N23">
        <v>1.25739</v>
      </c>
      <c r="O23">
        <v>5.9676140000000002</v>
      </c>
      <c r="P23">
        <f t="shared" si="3"/>
        <v>2.0956499999999998E-5</v>
      </c>
      <c r="Q23" cm="1">
        <f t="array" ref="Q23">[1]!PropsSI("D","T",J23+273.15,"P",101325,"Water")</f>
        <v>985.32703127236982</v>
      </c>
      <c r="R23" cm="1">
        <f t="array" ref="R23">[1]!PropsSI("D","T",K23+273.15,"P",101325,"Water")</f>
        <v>987.72255204407008</v>
      </c>
      <c r="S23">
        <f t="shared" si="4"/>
        <v>986.52479165822001</v>
      </c>
      <c r="T23" cm="1">
        <f t="array" ref="T23">[1]!PropsSI("H","T",J23+273.15,"P",101325,"Water")</f>
        <v>233476.39722591569</v>
      </c>
      <c r="U23" cm="1">
        <f t="array" ref="U23">[1]!PropsSI("H","T",K23+273.15,"P",101325,"Water")</f>
        <v>212293.17403522774</v>
      </c>
      <c r="V23">
        <f t="shared" si="5"/>
        <v>437.9442185359523</v>
      </c>
    </row>
    <row r="24" spans="1:22" x14ac:dyDescent="0.2">
      <c r="A24">
        <v>46122.697226851851</v>
      </c>
      <c r="B24">
        <v>20.73509</v>
      </c>
      <c r="C24">
        <v>20.754456000000001</v>
      </c>
      <c r="D24">
        <v>20.482619</v>
      </c>
      <c r="E24">
        <v>20.561537000000001</v>
      </c>
      <c r="F24">
        <v>34.981062999999999</v>
      </c>
      <c r="G24">
        <v>31.337105999999999</v>
      </c>
      <c r="H24">
        <v>29.663155</v>
      </c>
      <c r="I24">
        <v>25.452698000000002</v>
      </c>
      <c r="J24">
        <v>55.751913000000002</v>
      </c>
      <c r="K24">
        <v>50.684308000000001</v>
      </c>
      <c r="L24">
        <v>41.154525999999997</v>
      </c>
      <c r="M24">
        <v>-622.48857199999998</v>
      </c>
      <c r="N24">
        <v>1.260283</v>
      </c>
      <c r="O24">
        <v>5.868417</v>
      </c>
      <c r="P24">
        <f t="shared" si="3"/>
        <v>2.1004716666666669E-5</v>
      </c>
      <c r="Q24" cm="1">
        <f t="array" ref="Q24">[1]!PropsSI("D","T",J24+273.15,"P",101325,"Water")</f>
        <v>985.3272649401797</v>
      </c>
      <c r="R24" cm="1">
        <f t="array" ref="R24">[1]!PropsSI("D","T",K24+273.15,"P",101325,"Water")</f>
        <v>987.72400368716342</v>
      </c>
      <c r="S24">
        <f t="shared" si="4"/>
        <v>986.52563431367162</v>
      </c>
      <c r="T24" cm="1">
        <f t="array" ref="T24">[1]!PropsSI("H","T",J24+273.15,"P",101325,"Water")</f>
        <v>233474.39764059501</v>
      </c>
      <c r="U24" cm="1">
        <f t="array" ref="U24">[1]!PropsSI("H","T",K24+273.15,"P",101325,"Water")</f>
        <v>212279.88510047618</v>
      </c>
      <c r="V24">
        <f t="shared" si="5"/>
        <v>439.18614893263089</v>
      </c>
    </row>
    <row r="25" spans="1:22" x14ac:dyDescent="0.2">
      <c r="A25">
        <v>46122.697285300928</v>
      </c>
      <c r="B25">
        <v>20.676832000000001</v>
      </c>
      <c r="C25">
        <v>20.702024999999999</v>
      </c>
      <c r="D25">
        <v>20.457809000000001</v>
      </c>
      <c r="E25">
        <v>20.522742999999998</v>
      </c>
      <c r="F25">
        <v>34.777673999999998</v>
      </c>
      <c r="G25">
        <v>31.772210000000001</v>
      </c>
      <c r="H25">
        <v>29.778206999999998</v>
      </c>
      <c r="I25">
        <v>25.456382999999999</v>
      </c>
      <c r="J25">
        <v>55.751117999999998</v>
      </c>
      <c r="K25">
        <v>50.682718999999999</v>
      </c>
      <c r="L25">
        <v>42.176107000000002</v>
      </c>
      <c r="M25">
        <v>-622.46245099999999</v>
      </c>
      <c r="N25">
        <v>1.253206</v>
      </c>
      <c r="O25">
        <v>6.150709</v>
      </c>
      <c r="P25">
        <f t="shared" si="3"/>
        <v>2.0886766666666668E-5</v>
      </c>
      <c r="Q25" cm="1">
        <f t="array" ref="Q25">[1]!PropsSI("D","T",J25+273.15,"P",101325,"Water")</f>
        <v>985.32765356864252</v>
      </c>
      <c r="R25" cm="1">
        <f t="array" ref="R25">[1]!PropsSI("D","T",K25+273.15,"P",101325,"Water")</f>
        <v>987.72472948406221</v>
      </c>
      <c r="S25">
        <f t="shared" si="4"/>
        <v>986.52619152635236</v>
      </c>
      <c r="T25" cm="1">
        <f t="array" ref="T25">[1]!PropsSI("H","T",J25+273.15,"P",101325,"Water")</f>
        <v>233471.07197064254</v>
      </c>
      <c r="U25" cm="1">
        <f t="array" ref="U25">[1]!PropsSI("H","T",K25+273.15,"P",101325,"Water")</f>
        <v>212273.24063418675</v>
      </c>
      <c r="V25">
        <f t="shared" si="5"/>
        <v>436.78857225206411</v>
      </c>
    </row>
    <row r="26" spans="1:22" x14ac:dyDescent="0.2">
      <c r="A26">
        <v>46122.697343749998</v>
      </c>
      <c r="B26">
        <v>20.640105999999999</v>
      </c>
      <c r="C26">
        <v>20.682783000000001</v>
      </c>
      <c r="D26">
        <v>20.430910999999998</v>
      </c>
      <c r="E26">
        <v>20.519779</v>
      </c>
      <c r="F26">
        <v>34.840747999999998</v>
      </c>
      <c r="G26">
        <v>30.828299000000001</v>
      </c>
      <c r="H26">
        <v>29.859057</v>
      </c>
      <c r="I26">
        <v>25.559436999999999</v>
      </c>
      <c r="J26">
        <v>55.752071999999998</v>
      </c>
      <c r="K26">
        <v>50.683830999999998</v>
      </c>
      <c r="L26">
        <v>38.820765000000002</v>
      </c>
      <c r="M26">
        <v>-622.47755199999995</v>
      </c>
      <c r="N26">
        <v>1.2587459999999999</v>
      </c>
      <c r="O26">
        <v>6.1732779999999998</v>
      </c>
      <c r="P26">
        <f t="shared" si="3"/>
        <v>2.09791E-5</v>
      </c>
      <c r="Q26" cm="1">
        <f t="array" ref="Q26">[1]!PropsSI("D","T",J26+273.15,"P",101325,"Water")</f>
        <v>985.32718721401125</v>
      </c>
      <c r="R26" cm="1">
        <f t="array" ref="R26">[1]!PropsSI("D","T",K26+273.15,"P",101325,"Water")</f>
        <v>987.72422156498658</v>
      </c>
      <c r="S26">
        <f t="shared" si="4"/>
        <v>986.52570438949897</v>
      </c>
      <c r="T26" cm="1">
        <f t="array" ref="T26">[1]!PropsSI("H","T",J26+273.15,"P",101325,"Water")</f>
        <v>233475.06277460934</v>
      </c>
      <c r="U26" cm="1">
        <f t="array" ref="U26">[1]!PropsSI("H","T",K26+273.15,"P",101325,"Water")</f>
        <v>212277.89050603344</v>
      </c>
      <c r="V26">
        <f t="shared" si="5"/>
        <v>438.70560986393082</v>
      </c>
    </row>
    <row r="27" spans="1:22" x14ac:dyDescent="0.2">
      <c r="A27">
        <v>46122.697401620368</v>
      </c>
      <c r="B27">
        <v>20.684994</v>
      </c>
      <c r="C27">
        <v>20.695264999999999</v>
      </c>
      <c r="D27">
        <v>20.437821</v>
      </c>
      <c r="E27">
        <v>20.522485</v>
      </c>
      <c r="F27">
        <v>34.642083</v>
      </c>
      <c r="G27">
        <v>31.685908000000001</v>
      </c>
      <c r="H27">
        <v>29.696204000000002</v>
      </c>
      <c r="I27">
        <v>25.319877999999999</v>
      </c>
      <c r="J27">
        <v>55.748570999999998</v>
      </c>
      <c r="K27">
        <v>50.681448000000003</v>
      </c>
      <c r="L27">
        <v>39.102792000000001</v>
      </c>
      <c r="M27">
        <v>-622.45592099999999</v>
      </c>
      <c r="N27">
        <v>1.2605329999999999</v>
      </c>
      <c r="O27">
        <v>5.9044819999999998</v>
      </c>
      <c r="P27">
        <f t="shared" si="3"/>
        <v>2.1008883333333331E-5</v>
      </c>
      <c r="Q27" cm="1">
        <f t="array" ref="Q27">[1]!PropsSI("D","T",J27+273.15,"P",101325,"Water")</f>
        <v>985.32889862007744</v>
      </c>
      <c r="R27" cm="1">
        <f t="array" ref="R27">[1]!PropsSI("D","T",K27+273.15,"P",101325,"Water")</f>
        <v>987.72531001840196</v>
      </c>
      <c r="S27">
        <f t="shared" si="4"/>
        <v>986.5271043192397</v>
      </c>
      <c r="T27" cm="1">
        <f t="array" ref="T27">[1]!PropsSI("H","T",J27+273.15,"P",101325,"Water")</f>
        <v>233460.41727864783</v>
      </c>
      <c r="U27" cm="1">
        <f t="array" ref="U27">[1]!PropsSI("H","T",K27+273.15,"P",101325,"Water")</f>
        <v>212267.92589803532</v>
      </c>
      <c r="V27">
        <f t="shared" si="5"/>
        <v>439.23203381377539</v>
      </c>
    </row>
    <row r="28" spans="1:22" x14ac:dyDescent="0.2">
      <c r="A28">
        <v>46122.697460069445</v>
      </c>
      <c r="B28">
        <v>20.626673</v>
      </c>
      <c r="C28">
        <v>20.641842</v>
      </c>
      <c r="D28">
        <v>20.454955999999999</v>
      </c>
      <c r="E28">
        <v>20.538065</v>
      </c>
      <c r="F28">
        <v>34.856535999999998</v>
      </c>
      <c r="G28">
        <v>31.343437000000002</v>
      </c>
      <c r="H28">
        <v>29.895624999999999</v>
      </c>
      <c r="I28">
        <v>25.102497</v>
      </c>
      <c r="J28">
        <v>55.750163000000001</v>
      </c>
      <c r="K28">
        <v>50.680971</v>
      </c>
      <c r="L28">
        <v>39.931730000000002</v>
      </c>
      <c r="M28">
        <v>-622.48653100000001</v>
      </c>
      <c r="N28">
        <v>1.2593160000000001</v>
      </c>
      <c r="O28">
        <v>6.0180899999999999</v>
      </c>
      <c r="P28">
        <f t="shared" si="3"/>
        <v>2.0988600000000001E-5</v>
      </c>
      <c r="Q28" cm="1">
        <f t="array" ref="Q28">[1]!PropsSI("D","T",J28+273.15,"P",101325,"Water")</f>
        <v>985.32812040650072</v>
      </c>
      <c r="R28" cm="1">
        <f t="array" ref="R28">[1]!PropsSI("D","T",K28+273.15,"P",101325,"Water")</f>
        <v>987.7255278873389</v>
      </c>
      <c r="S28">
        <f t="shared" si="4"/>
        <v>986.52682414691981</v>
      </c>
      <c r="T28" cm="1">
        <f t="array" ref="T28">[1]!PropsSI("H","T",J28+273.15,"P",101325,"Water")</f>
        <v>233467.07698377187</v>
      </c>
      <c r="U28" cm="1">
        <f t="array" ref="U28">[1]!PropsSI("H","T",K28+273.15,"P",101325,"Water")</f>
        <v>212265.93130398795</v>
      </c>
      <c r="V28">
        <f t="shared" si="5"/>
        <v>438.98704054318222</v>
      </c>
    </row>
    <row r="29" spans="1:22" x14ac:dyDescent="0.2">
      <c r="A29">
        <v>46122.697517939814</v>
      </c>
      <c r="B29">
        <v>20.599074999999999</v>
      </c>
      <c r="C29">
        <v>20.600549000000001</v>
      </c>
      <c r="D29">
        <v>20.447320999999999</v>
      </c>
      <c r="E29">
        <v>20.537168999999999</v>
      </c>
      <c r="F29">
        <v>34.832168000000003</v>
      </c>
      <c r="G29">
        <v>31.575479000000001</v>
      </c>
      <c r="H29">
        <v>29.735354999999998</v>
      </c>
      <c r="I29">
        <v>25.642019000000001</v>
      </c>
      <c r="J29">
        <v>55.744911000000002</v>
      </c>
      <c r="K29">
        <v>50.674137999999999</v>
      </c>
      <c r="L29">
        <v>38.583226000000003</v>
      </c>
      <c r="M29">
        <v>-622.49224500000003</v>
      </c>
      <c r="N29">
        <v>1.255771</v>
      </c>
      <c r="O29">
        <v>5.8894359999999999</v>
      </c>
      <c r="P29">
        <f t="shared" si="3"/>
        <v>2.0929516666666667E-5</v>
      </c>
      <c r="Q29" cm="1">
        <f t="array" ref="Q29">[1]!PropsSI("D","T",J29+273.15,"P",101325,"Water")</f>
        <v>985.33068766996371</v>
      </c>
      <c r="R29" cm="1">
        <f t="array" ref="R29">[1]!PropsSI("D","T",K29+273.15,"P",101325,"Water")</f>
        <v>987.72864868604495</v>
      </c>
      <c r="S29">
        <f t="shared" si="4"/>
        <v>986.52966817800439</v>
      </c>
      <c r="T29" cm="1">
        <f t="array" ref="T29">[1]!PropsSI("H","T",J29+273.15,"P",101325,"Water")</f>
        <v>233445.10665364302</v>
      </c>
      <c r="U29" cm="1">
        <f t="array" ref="U29">[1]!PropsSI("H","T",K29+273.15,"P",101325,"Water")</f>
        <v>212237.35885655583</v>
      </c>
      <c r="V29">
        <f t="shared" si="5"/>
        <v>437.88886293554134</v>
      </c>
    </row>
    <row r="30" spans="1:22" x14ac:dyDescent="0.2">
      <c r="A30">
        <v>46122.697576388891</v>
      </c>
      <c r="B30">
        <v>20.646024000000001</v>
      </c>
      <c r="C30">
        <v>20.685402</v>
      </c>
      <c r="D30">
        <v>20.487369999999999</v>
      </c>
      <c r="E30">
        <v>20.581398</v>
      </c>
      <c r="F30">
        <v>34.713785000000001</v>
      </c>
      <c r="G30">
        <v>32.089103999999999</v>
      </c>
      <c r="H30">
        <v>29.764631999999999</v>
      </c>
      <c r="I30">
        <v>25.332131</v>
      </c>
      <c r="J30">
        <v>55.742046000000002</v>
      </c>
      <c r="K30">
        <v>50.67239</v>
      </c>
      <c r="L30">
        <v>40.993309000000004</v>
      </c>
      <c r="M30">
        <v>-622.48204199999998</v>
      </c>
      <c r="N30">
        <v>1.2606109999999999</v>
      </c>
      <c r="O30">
        <v>5.6592840000000004</v>
      </c>
      <c r="P30">
        <f t="shared" si="3"/>
        <v>2.1010183333333334E-5</v>
      </c>
      <c r="Q30" cm="1">
        <f t="array" ref="Q30">[1]!PropsSI("D","T",J30+273.15,"P",101325,"Water")</f>
        <v>985.33208805714366</v>
      </c>
      <c r="R30" cm="1">
        <f t="array" ref="R30">[1]!PropsSI("D","T",K30+273.15,"P",101325,"Water")</f>
        <v>987.72944699170068</v>
      </c>
      <c r="S30">
        <f t="shared" si="4"/>
        <v>986.53076752442212</v>
      </c>
      <c r="T30" cm="1">
        <f t="array" ref="T30">[1]!PropsSI("H","T",J30+273.15,"P",101325,"Water")</f>
        <v>233433.12170066414</v>
      </c>
      <c r="U30" cm="1">
        <f t="array" ref="U30">[1]!PropsSI("H","T",K30+273.15,"P",101325,"Water")</f>
        <v>212230.04953074668</v>
      </c>
      <c r="V30">
        <f t="shared" si="5"/>
        <v>439.48015399746345</v>
      </c>
    </row>
    <row r="31" spans="1:22" x14ac:dyDescent="0.2">
      <c r="A31">
        <v>46122.697634259261</v>
      </c>
      <c r="B31">
        <v>20.656517999999998</v>
      </c>
      <c r="C31">
        <v>20.739442</v>
      </c>
      <c r="D31">
        <v>20.519819999999999</v>
      </c>
      <c r="E31">
        <v>20.617647000000002</v>
      </c>
      <c r="F31">
        <v>34.671401000000003</v>
      </c>
      <c r="G31">
        <v>30.863866999999999</v>
      </c>
      <c r="H31">
        <v>30.026187</v>
      </c>
      <c r="I31">
        <v>25.267056</v>
      </c>
      <c r="J31">
        <v>55.741886999999998</v>
      </c>
      <c r="K31">
        <v>50.671596000000001</v>
      </c>
      <c r="L31">
        <v>40.443949000000003</v>
      </c>
      <c r="M31">
        <v>-622.47836800000005</v>
      </c>
      <c r="N31">
        <v>1.25766</v>
      </c>
      <c r="O31">
        <v>6.2749280000000001</v>
      </c>
      <c r="P31">
        <f t="shared" si="3"/>
        <v>2.0961000000000001E-5</v>
      </c>
      <c r="Q31" cm="1">
        <f t="array" ref="Q31">[1]!PropsSI("D","T",J31+273.15,"P",101325,"Water")</f>
        <v>985.33216577349003</v>
      </c>
      <c r="R31" cm="1">
        <f t="array" ref="R31">[1]!PropsSI("D","T",K31+273.15,"P",101325,"Water")</f>
        <v>987.72980960223856</v>
      </c>
      <c r="S31">
        <f t="shared" si="4"/>
        <v>986.53098768786435</v>
      </c>
      <c r="T31" cm="1">
        <f t="array" ref="T31">[1]!PropsSI("H","T",J31+273.15,"P",101325,"Water")</f>
        <v>233432.45656724292</v>
      </c>
      <c r="U31" cm="1">
        <f t="array" ref="U31">[1]!PropsSI("H","T",K31+273.15,"P",101325,"Water")</f>
        <v>212226.72939112302</v>
      </c>
      <c r="V31">
        <f t="shared" si="5"/>
        <v>438.50636231758369</v>
      </c>
    </row>
    <row r="32" spans="1:22" x14ac:dyDescent="0.2">
      <c r="A32">
        <v>46122.697692708331</v>
      </c>
      <c r="B32">
        <v>20.641252999999999</v>
      </c>
      <c r="C32">
        <v>20.677188999999998</v>
      </c>
      <c r="D32">
        <v>20.502133000000001</v>
      </c>
      <c r="E32">
        <v>20.574190000000002</v>
      </c>
      <c r="F32">
        <v>34.867187999999999</v>
      </c>
      <c r="G32">
        <v>31.520652999999999</v>
      </c>
      <c r="H32">
        <v>29.756347000000002</v>
      </c>
      <c r="I32">
        <v>25.352423999999999</v>
      </c>
      <c r="J32">
        <v>55.743637999999997</v>
      </c>
      <c r="K32">
        <v>50.674933000000003</v>
      </c>
      <c r="L32">
        <v>41.032899</v>
      </c>
      <c r="M32">
        <v>-622.50244899999996</v>
      </c>
      <c r="N32">
        <v>1.2609919999999999</v>
      </c>
      <c r="O32">
        <v>5.7947119999999996</v>
      </c>
      <c r="P32">
        <f t="shared" si="3"/>
        <v>2.1016533333333331E-5</v>
      </c>
      <c r="Q32" cm="1">
        <f t="array" ref="Q32">[1]!PropsSI("D","T",J32+273.15,"P",101325,"Water")</f>
        <v>985.33130990757843</v>
      </c>
      <c r="R32" cm="1">
        <f t="array" ref="R32">[1]!PropsSI("D","T",K32+273.15,"P",101325,"Water")</f>
        <v>987.72828560566916</v>
      </c>
      <c r="S32">
        <f t="shared" si="4"/>
        <v>986.52979775662379</v>
      </c>
      <c r="T32" cm="1">
        <f t="array" ref="T32">[1]!PropsSI("H","T",J32+273.15,"P",101325,"Water")</f>
        <v>233439.78140192642</v>
      </c>
      <c r="U32" cm="1">
        <f t="array" ref="U32">[1]!PropsSI("H","T",K32+273.15,"P",101325,"Water")</f>
        <v>212240.68317836142</v>
      </c>
      <c r="V32">
        <f t="shared" si="5"/>
        <v>439.5301543078848</v>
      </c>
    </row>
    <row r="33" spans="1:22" x14ac:dyDescent="0.2">
      <c r="A33">
        <v>46122.697750578707</v>
      </c>
      <c r="B33">
        <v>20.650762</v>
      </c>
      <c r="C33">
        <v>20.709828000000002</v>
      </c>
      <c r="D33">
        <v>20.466771999999999</v>
      </c>
      <c r="E33">
        <v>20.525872</v>
      </c>
      <c r="F33">
        <v>34.830744000000003</v>
      </c>
      <c r="G33">
        <v>31.424937</v>
      </c>
      <c r="H33">
        <v>29.702750999999999</v>
      </c>
      <c r="I33">
        <v>25.158591999999999</v>
      </c>
      <c r="J33">
        <v>55.745069999999998</v>
      </c>
      <c r="K33">
        <v>50.677157000000001</v>
      </c>
      <c r="L33">
        <v>39.768064000000003</v>
      </c>
      <c r="M33">
        <v>-622.45959400000004</v>
      </c>
      <c r="N33">
        <v>1.2585040000000001</v>
      </c>
      <c r="O33">
        <v>6.1643699999999999</v>
      </c>
      <c r="P33">
        <f t="shared" si="3"/>
        <v>2.0975066666666668E-5</v>
      </c>
      <c r="Q33" cm="1">
        <f t="array" ref="Q33">[1]!PropsSI("D","T",J33+273.15,"P",101325,"Water")</f>
        <v>985.33060995066342</v>
      </c>
      <c r="R33" cm="1">
        <f t="array" ref="R33">[1]!PropsSI("D","T",K33+273.15,"P",101325,"Water")</f>
        <v>987.72726987216072</v>
      </c>
      <c r="S33">
        <f t="shared" si="4"/>
        <v>986.52893991141207</v>
      </c>
      <c r="T33" cm="1">
        <f t="array" ref="T33">[1]!PropsSI("H","T",J33+273.15,"P",101325,"Water")</f>
        <v>233445.77178722402</v>
      </c>
      <c r="U33" cm="1">
        <f t="array" ref="U33">[1]!PropsSI("H","T",K33+273.15,"P",101325,"Water")</f>
        <v>212249.98291729455</v>
      </c>
      <c r="V33">
        <f t="shared" si="5"/>
        <v>438.59407915235425</v>
      </c>
    </row>
    <row r="34" spans="1:22" x14ac:dyDescent="0.2">
      <c r="A34">
        <v>46122.697809027777</v>
      </c>
      <c r="B34">
        <v>20.618275000000001</v>
      </c>
      <c r="C34">
        <v>20.68806</v>
      </c>
      <c r="D34">
        <v>20.431080999999999</v>
      </c>
      <c r="E34">
        <v>20.494223999999999</v>
      </c>
      <c r="F34">
        <v>35.010266000000001</v>
      </c>
      <c r="G34">
        <v>31.387414</v>
      </c>
      <c r="H34">
        <v>29.412533</v>
      </c>
      <c r="I34">
        <v>25.169404</v>
      </c>
      <c r="J34">
        <v>55.743637999999997</v>
      </c>
      <c r="K34">
        <v>50.674773999999999</v>
      </c>
      <c r="L34">
        <v>40.830868000000002</v>
      </c>
      <c r="M34">
        <v>-622.50693799999999</v>
      </c>
      <c r="N34">
        <v>1.255997</v>
      </c>
      <c r="O34">
        <v>6.1907129999999997</v>
      </c>
      <c r="P34">
        <f t="shared" si="3"/>
        <v>2.0933283333333335E-5</v>
      </c>
      <c r="Q34" cm="1">
        <f t="array" ref="Q34">[1]!PropsSI("D","T",J34+273.15,"P",101325,"Water")</f>
        <v>985.33130990757843</v>
      </c>
      <c r="R34" cm="1">
        <f t="array" ref="R34">[1]!PropsSI("D","T",K34+273.15,"P",101325,"Water")</f>
        <v>987.7283582220681</v>
      </c>
      <c r="S34">
        <f t="shared" si="4"/>
        <v>986.52983406482326</v>
      </c>
      <c r="T34" cm="1">
        <f t="array" ref="T34">[1]!PropsSI("H","T",J34+273.15,"P",101325,"Water")</f>
        <v>233439.78140192642</v>
      </c>
      <c r="U34" cm="1">
        <f t="array" ref="U34">[1]!PropsSI("H","T",K34+273.15,"P",101325,"Water")</f>
        <v>212240.01831395685</v>
      </c>
      <c r="V34">
        <f t="shared" si="5"/>
        <v>437.80284836178788</v>
      </c>
    </row>
    <row r="35" spans="1:22" x14ac:dyDescent="0.2">
      <c r="A35">
        <v>46122.697866898146</v>
      </c>
      <c r="B35">
        <v>20.562908</v>
      </c>
      <c r="C35">
        <v>20.666582999999999</v>
      </c>
      <c r="D35">
        <v>20.400556000000002</v>
      </c>
      <c r="E35">
        <v>20.451609000000001</v>
      </c>
      <c r="F35">
        <v>34.777973000000003</v>
      </c>
      <c r="G35">
        <v>31.0992</v>
      </c>
      <c r="H35">
        <v>29.572641000000001</v>
      </c>
      <c r="I35">
        <v>25.360966000000001</v>
      </c>
      <c r="J35">
        <v>55.742842000000003</v>
      </c>
      <c r="K35">
        <v>50.673819999999999</v>
      </c>
      <c r="L35">
        <v>40.641081999999997</v>
      </c>
      <c r="M35">
        <v>-622.5</v>
      </c>
      <c r="N35">
        <v>1.2558450000000001</v>
      </c>
      <c r="O35">
        <v>6.001506</v>
      </c>
      <c r="P35">
        <f t="shared" si="3"/>
        <v>2.0930750000000003E-5</v>
      </c>
      <c r="Q35" cm="1">
        <f t="array" ref="Q35">[1]!PropsSI("D","T",J35+273.15,"P",101325,"Water")</f>
        <v>985.33169898431436</v>
      </c>
      <c r="R35" cm="1">
        <f t="array" ref="R35">[1]!PropsSI("D","T",K35+273.15,"P",101325,"Water")</f>
        <v>987.72879391701383</v>
      </c>
      <c r="S35">
        <f t="shared" si="4"/>
        <v>986.53024645066409</v>
      </c>
      <c r="T35" cm="1">
        <f t="array" ref="T35">[1]!PropsSI("H","T",J35+273.15,"P",101325,"Water")</f>
        <v>233436.45155116197</v>
      </c>
      <c r="U35" cm="1">
        <f t="array" ref="U35">[1]!PropsSI("H","T",K35+273.15,"P",101325,"Water")</f>
        <v>212236.02912791146</v>
      </c>
      <c r="V35">
        <f t="shared" si="5"/>
        <v>437.76366320582156</v>
      </c>
    </row>
    <row r="36" spans="1:22" x14ac:dyDescent="0.2">
      <c r="A36">
        <v>46122.697925347224</v>
      </c>
      <c r="B36">
        <v>20.556994</v>
      </c>
      <c r="C36">
        <v>20.665129</v>
      </c>
      <c r="D36">
        <v>20.384017</v>
      </c>
      <c r="E36">
        <v>20.431335000000001</v>
      </c>
      <c r="F36">
        <v>34.923800999999997</v>
      </c>
      <c r="G36">
        <v>31.463968000000001</v>
      </c>
      <c r="H36">
        <v>29.534693999999998</v>
      </c>
      <c r="I36">
        <v>25.235869000000001</v>
      </c>
      <c r="J36">
        <v>55.740772999999997</v>
      </c>
      <c r="K36">
        <v>50.671754</v>
      </c>
      <c r="L36">
        <v>40.362319999999997</v>
      </c>
      <c r="M36">
        <v>-622.49183700000003</v>
      </c>
      <c r="N36">
        <v>1.256173</v>
      </c>
      <c r="O36">
        <v>6.0542689999999997</v>
      </c>
      <c r="P36">
        <f t="shared" si="3"/>
        <v>2.0936216666666665E-5</v>
      </c>
      <c r="Q36" cm="1">
        <f t="array" ref="Q36">[1]!PropsSI("D","T",J36+273.15,"P",101325,"Water")</f>
        <v>985.33271027230023</v>
      </c>
      <c r="R36" cm="1">
        <f t="array" ref="R36">[1]!PropsSI("D","T",K36+273.15,"P",101325,"Water")</f>
        <v>987.72973744581145</v>
      </c>
      <c r="S36">
        <f t="shared" si="4"/>
        <v>986.5312238590559</v>
      </c>
      <c r="T36" cm="1">
        <f t="array" ref="T36">[1]!PropsSI("H","T",J36+273.15,"P",101325,"Water")</f>
        <v>233427.79645027671</v>
      </c>
      <c r="U36" cm="1">
        <f t="array" ref="U36">[1]!PropsSI("H","T",K36+273.15,"P",101325,"Water")</f>
        <v>212227.39007375698</v>
      </c>
      <c r="V36">
        <f t="shared" si="5"/>
        <v>437.87810015896957</v>
      </c>
    </row>
    <row r="37" spans="1:22" x14ac:dyDescent="0.2">
      <c r="A37">
        <v>46122.697983796294</v>
      </c>
      <c r="B37">
        <v>20.534274</v>
      </c>
      <c r="C37">
        <v>20.685773000000001</v>
      </c>
      <c r="D37">
        <v>20.353135999999999</v>
      </c>
      <c r="E37">
        <v>20.449009</v>
      </c>
      <c r="F37">
        <v>34.886051999999999</v>
      </c>
      <c r="G37">
        <v>31.537268999999998</v>
      </c>
      <c r="H37">
        <v>30.018166000000001</v>
      </c>
      <c r="I37">
        <v>25.244558999999999</v>
      </c>
      <c r="J37">
        <v>55.742683</v>
      </c>
      <c r="K37">
        <v>50.671754</v>
      </c>
      <c r="L37">
        <v>38.080801999999998</v>
      </c>
      <c r="M37">
        <v>-622.50489800000003</v>
      </c>
      <c r="N37">
        <v>1.2569760000000001</v>
      </c>
      <c r="O37">
        <v>6.0647529999999996</v>
      </c>
      <c r="P37">
        <f t="shared" si="3"/>
        <v>2.0949600000000004E-5</v>
      </c>
      <c r="Q37" cm="1">
        <f t="array" ref="Q37">[1]!PropsSI("D","T",J37+273.15,"P",101325,"Water")</f>
        <v>985.33177670145142</v>
      </c>
      <c r="R37" cm="1">
        <f t="array" ref="R37">[1]!PropsSI("D","T",K37+273.15,"P",101325,"Water")</f>
        <v>987.72973744581145</v>
      </c>
      <c r="S37">
        <f t="shared" si="4"/>
        <v>986.53075707363143</v>
      </c>
      <c r="T37" cm="1">
        <f t="array" ref="T37">[1]!PropsSI("H","T",J37+273.15,"P",101325,"Water")</f>
        <v>233435.78641768338</v>
      </c>
      <c r="U37" cm="1">
        <f t="array" ref="U37">[1]!PropsSI("H","T",K37+273.15,"P",101325,"Water")</f>
        <v>212227.39007375698</v>
      </c>
      <c r="V37">
        <f t="shared" si="5"/>
        <v>438.32293547212333</v>
      </c>
    </row>
    <row r="38" spans="1:22" x14ac:dyDescent="0.2">
      <c r="A38">
        <v>44660.698042245502</v>
      </c>
      <c r="B38">
        <v>20.515349000000001</v>
      </c>
      <c r="C38">
        <v>20.698806999999999</v>
      </c>
      <c r="D38">
        <v>20.376149000000002</v>
      </c>
      <c r="E38">
        <v>20.454787</v>
      </c>
      <c r="F38">
        <v>34.753542000000003</v>
      </c>
      <c r="G38">
        <v>31.082764000000001</v>
      </c>
      <c r="H38">
        <v>29.830833999999999</v>
      </c>
      <c r="I38">
        <v>25.213677000000001</v>
      </c>
      <c r="J38">
        <v>55.742524000000003</v>
      </c>
      <c r="K38">
        <v>50.669848000000002</v>
      </c>
      <c r="L38">
        <v>40.535373</v>
      </c>
      <c r="M38">
        <v>-622.493878</v>
      </c>
      <c r="N38">
        <v>1.255943</v>
      </c>
      <c r="O38">
        <v>6.2113759999999996</v>
      </c>
      <c r="P38">
        <f t="shared" si="3"/>
        <v>2.0932383333333333E-5</v>
      </c>
      <c r="Q38" cm="1">
        <f t="array" ref="Q38">[1]!PropsSI("D","T",J38+273.15,"P",101325,"Water")</f>
        <v>985.33185441841135</v>
      </c>
      <c r="R38" cm="1">
        <f t="array" ref="R38">[1]!PropsSI("D","T",K38+273.15,"P",101325,"Water")</f>
        <v>987.73060787896179</v>
      </c>
      <c r="S38">
        <f t="shared" si="4"/>
        <v>986.53123114868663</v>
      </c>
      <c r="T38" cm="1">
        <f t="array" ref="T38">[1]!PropsSI("H","T",J38+273.15,"P",101325,"Water")</f>
        <v>233435.12128419173</v>
      </c>
      <c r="U38" cm="1">
        <f t="array" ref="U38">[1]!PropsSI("H","T",K38+273.15,"P",101325,"Water")</f>
        <v>212219.42006661536</v>
      </c>
      <c r="V38">
        <f t="shared" si="5"/>
        <v>438.113775101984</v>
      </c>
    </row>
    <row r="39" spans="1:22" x14ac:dyDescent="0.2">
      <c r="A39">
        <v>44660.698100694601</v>
      </c>
      <c r="B39">
        <v>20.524073000000001</v>
      </c>
      <c r="C39">
        <v>20.722774999999999</v>
      </c>
      <c r="D39">
        <v>20.365071</v>
      </c>
      <c r="E39">
        <v>20.463577000000001</v>
      </c>
      <c r="F39">
        <v>34.817117000000003</v>
      </c>
      <c r="G39">
        <v>30.952528999999998</v>
      </c>
      <c r="H39">
        <v>29.891002</v>
      </c>
      <c r="I39">
        <v>25.344044</v>
      </c>
      <c r="J39">
        <v>55.743637999999997</v>
      </c>
      <c r="K39">
        <v>50.671436999999997</v>
      </c>
      <c r="L39">
        <v>41.509610000000002</v>
      </c>
      <c r="M39">
        <v>-622.50408100000004</v>
      </c>
      <c r="N39">
        <v>1.2601640000000001</v>
      </c>
      <c r="O39">
        <v>6.147761</v>
      </c>
      <c r="P39">
        <f t="shared" si="3"/>
        <v>2.1002733333333335E-5</v>
      </c>
      <c r="Q39" cm="1">
        <f t="array" ref="Q39">[1]!PropsSI("D","T",J39+273.15,"P",101325,"Water")</f>
        <v>985.33130990757843</v>
      </c>
      <c r="R39" cm="1">
        <f t="array" ref="R39">[1]!PropsSI("D","T",K39+273.15,"P",101325,"Water")</f>
        <v>987.72988221518438</v>
      </c>
      <c r="S39">
        <f t="shared" si="4"/>
        <v>986.5305960613814</v>
      </c>
      <c r="T39" cm="1">
        <f t="array" ref="T39">[1]!PropsSI("H","T",J39+273.15,"P",101325,"Water")</f>
        <v>233439.78140192642</v>
      </c>
      <c r="U39" cm="1">
        <f t="array" ref="U39">[1]!PropsSI("H","T",K39+273.15,"P",101325,"Water")</f>
        <v>212226.0645268404</v>
      </c>
      <c r="V39">
        <f t="shared" si="5"/>
        <v>439.54479896996861</v>
      </c>
    </row>
    <row r="40" spans="1:22" x14ac:dyDescent="0.2">
      <c r="A40">
        <v>44660.698158564999</v>
      </c>
      <c r="B40">
        <v>20.550391000000001</v>
      </c>
      <c r="C40">
        <v>20.768827000000002</v>
      </c>
      <c r="D40">
        <v>20.352636</v>
      </c>
      <c r="E40">
        <v>20.447825000000002</v>
      </c>
      <c r="F40">
        <v>34.796503999999999</v>
      </c>
      <c r="G40">
        <v>30.955587000000001</v>
      </c>
      <c r="H40">
        <v>29.667016</v>
      </c>
      <c r="I40">
        <v>25.111228000000001</v>
      </c>
      <c r="J40">
        <v>55.739977000000003</v>
      </c>
      <c r="K40">
        <v>50.670800999999997</v>
      </c>
      <c r="L40">
        <v>41.44594</v>
      </c>
      <c r="M40">
        <v>-622.53510000000006</v>
      </c>
      <c r="N40">
        <v>1.2589509999999999</v>
      </c>
      <c r="O40">
        <v>5.7869089999999996</v>
      </c>
      <c r="P40">
        <f t="shared" si="3"/>
        <v>2.0982516666666664E-5</v>
      </c>
      <c r="Q40" cm="1">
        <f t="array" ref="Q40">[1]!PropsSI("D","T",J40+273.15,"P",101325,"Water")</f>
        <v>985.33309933500345</v>
      </c>
      <c r="R40" cm="1">
        <f t="array" ref="R40">[1]!PropsSI("D","T",K40+273.15,"P",101325,"Water")</f>
        <v>987.73017266535533</v>
      </c>
      <c r="S40">
        <f t="shared" si="4"/>
        <v>986.53163600017933</v>
      </c>
      <c r="T40" cm="1">
        <f t="array" ref="T40">[1]!PropsSI("H","T",J40+273.15,"P",101325,"Water")</f>
        <v>233424.46660039967</v>
      </c>
      <c r="U40" cm="1">
        <f t="array" ref="U40">[1]!PropsSI("H","T",K40+273.15,"P",101325,"Water")</f>
        <v>212223.40507006677</v>
      </c>
      <c r="V40">
        <f t="shared" si="5"/>
        <v>438.86020327408249</v>
      </c>
    </row>
    <row r="41" spans="1:22" x14ac:dyDescent="0.2">
      <c r="A41">
        <v>44660.698217014098</v>
      </c>
      <c r="B41">
        <v>20.488343</v>
      </c>
      <c r="C41">
        <v>20.690366999999998</v>
      </c>
      <c r="D41">
        <v>20.340091000000001</v>
      </c>
      <c r="E41">
        <v>20.446204999999999</v>
      </c>
      <c r="F41">
        <v>34.701447999999999</v>
      </c>
      <c r="G41">
        <v>31.286975999999999</v>
      </c>
      <c r="H41">
        <v>29.393345</v>
      </c>
      <c r="I41">
        <v>24.940334</v>
      </c>
      <c r="J41">
        <v>55.738067999999998</v>
      </c>
      <c r="K41">
        <v>50.670006000000001</v>
      </c>
      <c r="L41">
        <v>40.462314999999997</v>
      </c>
      <c r="M41">
        <v>-622.487348</v>
      </c>
      <c r="N41">
        <v>1.261598</v>
      </c>
      <c r="O41">
        <v>6.1701639999999998</v>
      </c>
      <c r="P41">
        <f t="shared" si="3"/>
        <v>2.1026633333333333E-5</v>
      </c>
      <c r="Q41" cm="1">
        <f t="array" ref="Q41">[1]!PropsSI("D","T",J41+273.15,"P",101325,"Water")</f>
        <v>985.33403238526785</v>
      </c>
      <c r="R41" cm="1">
        <f t="array" ref="R41">[1]!PropsSI("D","T",K41+273.15,"P",101325,"Water")</f>
        <v>987.73053572432298</v>
      </c>
      <c r="S41">
        <f t="shared" si="4"/>
        <v>986.53228405479535</v>
      </c>
      <c r="T41" cm="1">
        <f t="array" ref="T41">[1]!PropsSI("H","T",J41+273.15,"P",101325,"Water")</f>
        <v>233416.48081816186</v>
      </c>
      <c r="U41" cm="1">
        <f t="array" ref="U41">[1]!PropsSI("H","T",K41+273.15,"P",101325,"Water")</f>
        <v>212220.08074920945</v>
      </c>
      <c r="V41">
        <f t="shared" si="5"/>
        <v>439.68652029722091</v>
      </c>
    </row>
    <row r="42" spans="1:22" x14ac:dyDescent="0.2">
      <c r="A42">
        <v>46122.698274884257</v>
      </c>
      <c r="B42">
        <v>20.484114999999999</v>
      </c>
      <c r="C42">
        <v>20.663429000000001</v>
      </c>
      <c r="D42">
        <v>20.36375</v>
      </c>
      <c r="E42">
        <v>20.450785</v>
      </c>
      <c r="F42">
        <v>34.606290000000001</v>
      </c>
      <c r="G42">
        <v>31.055333999999998</v>
      </c>
      <c r="H42">
        <v>29.317772000000001</v>
      </c>
      <c r="I42">
        <v>25.234878999999999</v>
      </c>
      <c r="J42">
        <v>55.739977000000003</v>
      </c>
      <c r="K42">
        <v>50.675727000000002</v>
      </c>
      <c r="L42">
        <v>39.592562999999998</v>
      </c>
      <c r="M42">
        <v>-622.50204099999996</v>
      </c>
      <c r="N42">
        <v>1.258586</v>
      </c>
      <c r="O42">
        <v>6.1785389999999998</v>
      </c>
      <c r="P42">
        <f t="shared" si="3"/>
        <v>2.0976433333333331E-5</v>
      </c>
      <c r="Q42" cm="1">
        <f t="array" ref="Q42">[1]!PropsSI("D","T",J42+273.15,"P",101325,"Water")</f>
        <v>985.33309933500345</v>
      </c>
      <c r="R42" cm="1">
        <f t="array" ref="R42">[1]!PropsSI("D","T",K42+273.15,"P",101325,"Water")</f>
        <v>987.72792297787805</v>
      </c>
      <c r="S42">
        <f t="shared" si="4"/>
        <v>986.53051115644075</v>
      </c>
      <c r="T42" cm="1">
        <f t="array" ref="T42">[1]!PropsSI("H","T",J42+273.15,"P",101325,"Water")</f>
        <v>233424.46660039967</v>
      </c>
      <c r="U42" cm="1">
        <f t="array" ref="U42">[1]!PropsSI("H","T",K42+273.15,"P",101325,"Water")</f>
        <v>212244.00331881153</v>
      </c>
      <c r="V42">
        <f t="shared" si="5"/>
        <v>438.30620903868021</v>
      </c>
    </row>
    <row r="43" spans="1:22" x14ac:dyDescent="0.2">
      <c r="A43">
        <v>46122.698333333334</v>
      </c>
      <c r="B43">
        <v>20.547972999999999</v>
      </c>
      <c r="C43">
        <v>20.692625</v>
      </c>
      <c r="D43">
        <v>20.388069999999999</v>
      </c>
      <c r="E43">
        <v>20.495066000000001</v>
      </c>
      <c r="F43">
        <v>34.885711999999998</v>
      </c>
      <c r="G43">
        <v>31.937339999999999</v>
      </c>
      <c r="H43">
        <v>29.560818999999999</v>
      </c>
      <c r="I43">
        <v>25.354371</v>
      </c>
      <c r="J43">
        <v>55.738385999999998</v>
      </c>
      <c r="K43">
        <v>50.680334999999999</v>
      </c>
      <c r="L43">
        <v>39.020755000000001</v>
      </c>
      <c r="M43">
        <v>-622.50081599999999</v>
      </c>
      <c r="N43">
        <v>1.2576400000000001</v>
      </c>
      <c r="O43">
        <v>6.1565669999999999</v>
      </c>
      <c r="P43">
        <f t="shared" si="3"/>
        <v>2.0960666666666671E-5</v>
      </c>
      <c r="Q43" cm="1">
        <f t="array" ref="Q43">[1]!PropsSI("D","T",J43+273.15,"P",101325,"Water")</f>
        <v>985.33387695992246</v>
      </c>
      <c r="R43" cm="1">
        <f t="array" ref="R43">[1]!PropsSI("D","T",K43+273.15,"P",101325,"Water")</f>
        <v>987.72581837696475</v>
      </c>
      <c r="S43">
        <f t="shared" si="4"/>
        <v>986.52984766844361</v>
      </c>
      <c r="T43" cm="1">
        <f t="array" ref="T43">[1]!PropsSI("H","T",J43+273.15,"P",101325,"Water")</f>
        <v>233417.81108453605</v>
      </c>
      <c r="U43" cm="1">
        <f t="array" ref="U43">[1]!PropsSI("H","T",K43+273.15,"P",101325,"Water")</f>
        <v>212263.27184542923</v>
      </c>
      <c r="V43">
        <f t="shared" si="5"/>
        <v>437.44040151542208</v>
      </c>
    </row>
    <row r="44" spans="1:22" x14ac:dyDescent="0.2">
      <c r="A44">
        <v>46122.698391203703</v>
      </c>
      <c r="B44">
        <v>20.551987</v>
      </c>
      <c r="C44">
        <v>20.704727999999999</v>
      </c>
      <c r="D44">
        <v>20.412472999999999</v>
      </c>
      <c r="E44">
        <v>20.504977</v>
      </c>
      <c r="F44">
        <v>34.852150999999999</v>
      </c>
      <c r="G44">
        <v>30.991993999999998</v>
      </c>
      <c r="H44">
        <v>29.893107000000001</v>
      </c>
      <c r="I44">
        <v>25.419895</v>
      </c>
      <c r="J44">
        <v>55.735999</v>
      </c>
      <c r="K44">
        <v>50.678111000000001</v>
      </c>
      <c r="L44">
        <v>38.995041999999998</v>
      </c>
      <c r="M44">
        <v>-622.48449100000005</v>
      </c>
      <c r="N44">
        <v>1.2621599999999999</v>
      </c>
      <c r="O44">
        <v>6.1014660000000003</v>
      </c>
      <c r="P44">
        <f t="shared" si="3"/>
        <v>2.1036E-5</v>
      </c>
      <c r="Q44" cm="1">
        <f t="array" ref="Q44">[1]!PropsSI("D","T",J44+273.15,"P",101325,"Water")</f>
        <v>985.33504361239818</v>
      </c>
      <c r="R44" cm="1">
        <f t="array" ref="R44">[1]!PropsSI("D","T",K44+273.15,"P",101325,"Water")</f>
        <v>987.72683415646611</v>
      </c>
      <c r="S44">
        <f t="shared" si="4"/>
        <v>986.53093888443209</v>
      </c>
      <c r="T44" cm="1">
        <f t="array" ref="T44">[1]!PropsSI("H","T",J44+273.15,"P",101325,"Water")</f>
        <v>233407.82572097194</v>
      </c>
      <c r="U44" cm="1">
        <f t="array" ref="U44">[1]!PropsSI("H","T",K44+273.15,"P",101325,"Water")</f>
        <v>212253.97210436332</v>
      </c>
      <c r="V44">
        <f t="shared" si="5"/>
        <v>438.99883397625069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6068-2496-2F41-9DA4-A4B4C251BDEB}">
  <dimension ref="A1:W72"/>
  <sheetViews>
    <sheetView topLeftCell="E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2">
      <c r="A2">
        <v>44660.690906250202</v>
      </c>
      <c r="B2">
        <v>20.692682999999999</v>
      </c>
      <c r="C2">
        <v>20.701727999999999</v>
      </c>
      <c r="D2">
        <v>20.425253999999999</v>
      </c>
      <c r="E2">
        <v>20.537379000000001</v>
      </c>
      <c r="F2">
        <v>32.322848</v>
      </c>
      <c r="G2">
        <v>29.305748999999999</v>
      </c>
      <c r="H2">
        <v>28.124077</v>
      </c>
      <c r="I2">
        <v>23.839300000000001</v>
      </c>
      <c r="J2">
        <v>55.686664999999998</v>
      </c>
      <c r="K2">
        <v>50.038894999999997</v>
      </c>
      <c r="L2">
        <v>67.849515999999994</v>
      </c>
      <c r="M2">
        <v>-622.50897899999995</v>
      </c>
      <c r="N2">
        <v>1.258894</v>
      </c>
      <c r="O2">
        <v>6.1692369999999999</v>
      </c>
      <c r="P2">
        <f t="shared" ref="P2:P21" si="0" xml:space="preserve"> N2*0.001/60</f>
        <v>2.0981566666666666E-5</v>
      </c>
      <c r="Q2" cm="1">
        <f t="array" ref="Q2">[1]!PropsSI("D","T",J2+273.15,"P",101325,"Water")</f>
        <v>985.35914787304478</v>
      </c>
      <c r="R2" cm="1">
        <f t="array" ref="R2">[1]!PropsSI("D","T",K2+273.15,"P",101325,"Water")</f>
        <v>988.01744916668872</v>
      </c>
      <c r="S2">
        <f t="shared" ref="S2:S21" si="1">(Q2+R2)/2</f>
        <v>986.68829851986675</v>
      </c>
      <c r="T2" cm="1">
        <f t="array" ref="T2">[1]!PropsSI("H","T",J2+273.15,"P",101325,"Water")</f>
        <v>233201.45086011916</v>
      </c>
      <c r="U2" cm="1">
        <f t="array" ref="U2">[1]!PropsSI("H","T",K2+273.15,"P",101325,"Water")</f>
        <v>209581.12551818287</v>
      </c>
      <c r="V2">
        <f t="shared" ref="V2:V21" si="2">S2*P2*(T2-U2)</f>
        <v>488.99426566660247</v>
      </c>
      <c r="W2" s="1">
        <f>AVERAGE(V2:V72)</f>
        <v>488.04787482254898</v>
      </c>
    </row>
    <row r="3" spans="1:23" x14ac:dyDescent="0.2">
      <c r="A3">
        <v>44660.690964120498</v>
      </c>
      <c r="B3">
        <v>20.638193999999999</v>
      </c>
      <c r="C3">
        <v>20.721039999999999</v>
      </c>
      <c r="D3">
        <v>20.459648999999999</v>
      </c>
      <c r="E3">
        <v>20.557637</v>
      </c>
      <c r="F3">
        <v>32.353059000000002</v>
      </c>
      <c r="G3">
        <v>29.782907000000002</v>
      </c>
      <c r="H3">
        <v>27.855778000000001</v>
      </c>
      <c r="I3">
        <v>24.477319999999999</v>
      </c>
      <c r="J3">
        <v>55.687142000000001</v>
      </c>
      <c r="K3">
        <v>50.038894999999997</v>
      </c>
      <c r="L3">
        <v>67.431577000000004</v>
      </c>
      <c r="M3">
        <v>-622.47959300000002</v>
      </c>
      <c r="N3">
        <v>1.2548410000000001</v>
      </c>
      <c r="O3">
        <v>6.2137140000000004</v>
      </c>
      <c r="P3">
        <f t="shared" si="0"/>
        <v>2.0914016666666667E-5</v>
      </c>
      <c r="Q3" cm="1">
        <f t="array" ref="Q3">[1]!PropsSI("D","T",J3+273.15,"P",101325,"Water")</f>
        <v>985.35891488586503</v>
      </c>
      <c r="R3" cm="1">
        <f t="array" ref="R3">[1]!PropsSI("D","T",K3+273.15,"P",101325,"Water")</f>
        <v>988.01744916668872</v>
      </c>
      <c r="S3">
        <f t="shared" si="1"/>
        <v>986.68818202627688</v>
      </c>
      <c r="T3" cm="1">
        <f t="array" ref="T3">[1]!PropsSI("H","T",J3+273.15,"P",101325,"Water")</f>
        <v>233203.44625055385</v>
      </c>
      <c r="U3" cm="1">
        <f t="array" ref="U3">[1]!PropsSI("H","T",K3+273.15,"P",101325,"Water")</f>
        <v>209581.12551818287</v>
      </c>
      <c r="V3">
        <f t="shared" si="2"/>
        <v>487.46107077228623</v>
      </c>
      <c r="W3" s="1"/>
    </row>
    <row r="4" spans="1:23" x14ac:dyDescent="0.2">
      <c r="A4">
        <v>44660.691022569597</v>
      </c>
      <c r="B4">
        <v>20.621473999999999</v>
      </c>
      <c r="C4">
        <v>20.746469999999999</v>
      </c>
      <c r="D4">
        <v>20.472545</v>
      </c>
      <c r="E4">
        <v>20.549959999999999</v>
      </c>
      <c r="F4">
        <v>32.379950000000001</v>
      </c>
      <c r="G4">
        <v>29.507760999999999</v>
      </c>
      <c r="H4">
        <v>28.169048</v>
      </c>
      <c r="I4">
        <v>24.168842999999999</v>
      </c>
      <c r="J4">
        <v>55.690801999999998</v>
      </c>
      <c r="K4">
        <v>50.038100999999997</v>
      </c>
      <c r="L4">
        <v>69.280463999999995</v>
      </c>
      <c r="M4">
        <v>-622.52448900000002</v>
      </c>
      <c r="N4">
        <v>1.2574879999999999</v>
      </c>
      <c r="O4">
        <v>5.9188159999999996</v>
      </c>
      <c r="P4">
        <f t="shared" si="0"/>
        <v>2.0958133333333332E-5</v>
      </c>
      <c r="Q4" cm="1">
        <f t="array" ref="Q4">[1]!PropsSI("D","T",J4+273.15,"P",101325,"Water")</f>
        <v>985.35712713881458</v>
      </c>
      <c r="R4" cm="1">
        <f t="array" ref="R4">[1]!PropsSI("D","T",K4+273.15,"P",101325,"Water")</f>
        <v>988.0178084913349</v>
      </c>
      <c r="S4">
        <f t="shared" si="1"/>
        <v>986.6874678150748</v>
      </c>
      <c r="T4" cm="1">
        <f t="array" ref="T4">[1]!PropsSI("H","T",J4+273.15,"P",101325,"Water")</f>
        <v>233218.75679679558</v>
      </c>
      <c r="U4" cm="1">
        <f t="array" ref="U4">[1]!PropsSI("H","T",K4+273.15,"P",101325,"Water")</f>
        <v>209577.80552373975</v>
      </c>
      <c r="V4">
        <f t="shared" si="2"/>
        <v>488.87424580478728</v>
      </c>
      <c r="W4" s="1"/>
    </row>
    <row r="5" spans="1:23" x14ac:dyDescent="0.2">
      <c r="A5">
        <v>44660.691080440003</v>
      </c>
      <c r="B5">
        <v>20.670455</v>
      </c>
      <c r="C5">
        <v>20.883686000000001</v>
      </c>
      <c r="D5">
        <v>20.501844999999999</v>
      </c>
      <c r="E5">
        <v>20.588374000000002</v>
      </c>
      <c r="F5">
        <v>32.312196</v>
      </c>
      <c r="G5">
        <v>29.394604999999999</v>
      </c>
      <c r="H5">
        <v>28.23995</v>
      </c>
      <c r="I5">
        <v>23.916491000000001</v>
      </c>
      <c r="J5">
        <v>55.689051999999997</v>
      </c>
      <c r="K5">
        <v>50.039054</v>
      </c>
      <c r="L5">
        <v>73.472907000000006</v>
      </c>
      <c r="M5">
        <v>-622.49265300000002</v>
      </c>
      <c r="N5">
        <v>1.259045</v>
      </c>
      <c r="O5">
        <v>6.1734689999999999</v>
      </c>
      <c r="P5">
        <f t="shared" si="0"/>
        <v>2.0984083333333335E-5</v>
      </c>
      <c r="Q5" cm="1">
        <f t="array" ref="Q5">[1]!PropsSI("D","T",J5+273.15,"P",101325,"Water")</f>
        <v>985.35798194621066</v>
      </c>
      <c r="R5" cm="1">
        <f t="array" ref="R5">[1]!PropsSI("D","T",K5+273.15,"P",101325,"Water")</f>
        <v>988.01737721073994</v>
      </c>
      <c r="S5">
        <f t="shared" si="1"/>
        <v>986.68767957847535</v>
      </c>
      <c r="T5" cm="1">
        <f t="array" ref="T5">[1]!PropsSI("H","T",J5+273.15,"P",101325,"Water")</f>
        <v>233211.43617980165</v>
      </c>
      <c r="U5" cm="1">
        <f t="array" ref="U5">[1]!PropsSI("H","T",K5+273.15,"P",101325,"Water")</f>
        <v>209581.79035341088</v>
      </c>
      <c r="V5">
        <f t="shared" si="2"/>
        <v>489.24559024056919</v>
      </c>
      <c r="W5" s="1"/>
    </row>
    <row r="6" spans="1:23" x14ac:dyDescent="0.2">
      <c r="A6">
        <v>46122.691138888891</v>
      </c>
      <c r="B6">
        <v>20.897473000000002</v>
      </c>
      <c r="C6">
        <v>21.02732</v>
      </c>
      <c r="D6">
        <v>20.614387000000001</v>
      </c>
      <c r="E6">
        <v>20.741548999999999</v>
      </c>
      <c r="F6">
        <v>32.525367000000003</v>
      </c>
      <c r="G6">
        <v>29.874995999999999</v>
      </c>
      <c r="H6">
        <v>27.809329000000002</v>
      </c>
      <c r="I6">
        <v>23.83408</v>
      </c>
      <c r="J6">
        <v>55.688732999999999</v>
      </c>
      <c r="K6">
        <v>50.045250000000003</v>
      </c>
      <c r="L6">
        <v>74.867531999999997</v>
      </c>
      <c r="M6">
        <v>-622.49224500000003</v>
      </c>
      <c r="N6">
        <v>1.2601309999999999</v>
      </c>
      <c r="O6">
        <v>5.9829400000000001</v>
      </c>
      <c r="P6">
        <f t="shared" si="0"/>
        <v>2.100218333333333E-5</v>
      </c>
      <c r="Q6" cm="1">
        <f t="array" ref="Q6">[1]!PropsSI("D","T",J6+273.15,"P",101325,"Water")</f>
        <v>985.3581377633443</v>
      </c>
      <c r="R6" cm="1">
        <f t="array" ref="R6">[1]!PropsSI("D","T",K6+273.15,"P",101325,"Water")</f>
        <v>988.01457306297959</v>
      </c>
      <c r="S6">
        <f t="shared" si="1"/>
        <v>986.68635541316189</v>
      </c>
      <c r="T6" cm="1">
        <f t="array" ref="T6">[1]!PropsSI("H","T",J6+273.15,"P",101325,"Water")</f>
        <v>233210.1017359996</v>
      </c>
      <c r="U6" cm="1">
        <f t="array" ref="U6">[1]!PropsSI("H","T",K6+273.15,"P",101325,"Water")</f>
        <v>209607.69802424446</v>
      </c>
      <c r="V6">
        <f t="shared" si="2"/>
        <v>489.1024094813497</v>
      </c>
      <c r="W6" s="1"/>
    </row>
    <row r="7" spans="1:23" x14ac:dyDescent="0.2">
      <c r="A7">
        <v>46122.691197337961</v>
      </c>
      <c r="B7">
        <v>20.851478</v>
      </c>
      <c r="C7">
        <v>21.108172</v>
      </c>
      <c r="D7">
        <v>20.653244000000001</v>
      </c>
      <c r="E7">
        <v>20.770818999999999</v>
      </c>
      <c r="F7">
        <v>32.392130000000002</v>
      </c>
      <c r="G7">
        <v>28.774432000000001</v>
      </c>
      <c r="H7">
        <v>28.244166</v>
      </c>
      <c r="I7">
        <v>24.319054000000001</v>
      </c>
      <c r="J7">
        <v>55.691279999999999</v>
      </c>
      <c r="K7">
        <v>50.057164999999998</v>
      </c>
      <c r="L7">
        <v>69.189447999999999</v>
      </c>
      <c r="M7">
        <v>-622.51673400000004</v>
      </c>
      <c r="N7">
        <v>1.2579469999999999</v>
      </c>
      <c r="O7">
        <v>6.273517</v>
      </c>
      <c r="P7">
        <f t="shared" si="0"/>
        <v>2.0965783333333332E-5</v>
      </c>
      <c r="Q7" cm="1">
        <f t="array" ref="Q7">[1]!PropsSI("D","T",J7+273.15,"P",101325,"Water")</f>
        <v>985.35689365100154</v>
      </c>
      <c r="R7" cm="1">
        <f t="array" ref="R7">[1]!PropsSI("D","T",K7+273.15,"P",101325,"Water")</f>
        <v>988.0091799378514</v>
      </c>
      <c r="S7">
        <f t="shared" si="1"/>
        <v>986.68303679442647</v>
      </c>
      <c r="T7" cm="1">
        <f t="array" ref="T7">[1]!PropsSI("H","T",J7+273.15,"P",101325,"Water")</f>
        <v>233220.75637122346</v>
      </c>
      <c r="U7" cm="1">
        <f t="array" ref="U7">[1]!PropsSI("H","T",K7+273.15,"P",101325,"Water")</f>
        <v>209657.51889065417</v>
      </c>
      <c r="V7">
        <f t="shared" si="2"/>
        <v>487.44286242636468</v>
      </c>
      <c r="W7" s="1"/>
    </row>
    <row r="8" spans="1:23" x14ac:dyDescent="0.2">
      <c r="A8">
        <v>46122.69125520833</v>
      </c>
      <c r="B8">
        <v>20.792375</v>
      </c>
      <c r="C8">
        <v>20.983910999999999</v>
      </c>
      <c r="D8">
        <v>20.563783000000001</v>
      </c>
      <c r="E8">
        <v>20.670570999999999</v>
      </c>
      <c r="F8">
        <v>32.463895999999998</v>
      </c>
      <c r="G8">
        <v>29.619862999999999</v>
      </c>
      <c r="H8">
        <v>28.225076000000001</v>
      </c>
      <c r="I8">
        <v>24.149414</v>
      </c>
      <c r="J8">
        <v>55.693508000000001</v>
      </c>
      <c r="K8">
        <v>50.063361999999998</v>
      </c>
      <c r="L8">
        <v>71.557085000000001</v>
      </c>
      <c r="M8">
        <v>-622.50367300000005</v>
      </c>
      <c r="N8">
        <v>1.257951</v>
      </c>
      <c r="O8">
        <v>5.5749550000000001</v>
      </c>
      <c r="P8">
        <f t="shared" si="0"/>
        <v>2.0965849999999998E-5</v>
      </c>
      <c r="Q8" cm="1">
        <f t="array" ref="Q8">[1]!PropsSI("D","T",J8+273.15,"P",101325,"Water")</f>
        <v>985.35580532519043</v>
      </c>
      <c r="R8" cm="1">
        <f t="array" ref="R8">[1]!PropsSI("D","T",K8+273.15,"P",101325,"Water")</f>
        <v>988.00637460172481</v>
      </c>
      <c r="S8">
        <f t="shared" si="1"/>
        <v>986.68108996345768</v>
      </c>
      <c r="T8" cm="1">
        <f t="array" ref="T8">[1]!PropsSI("H","T",J8+273.15,"P",101325,"Water")</f>
        <v>233230.07656449266</v>
      </c>
      <c r="U8" cm="1">
        <f t="array" ref="U8">[1]!PropsSI("H","T",K8+273.15,"P",101325,"Water")</f>
        <v>209683.43077476334</v>
      </c>
      <c r="V8">
        <f t="shared" si="2"/>
        <v>487.10022480963028</v>
      </c>
      <c r="W8" s="1"/>
    </row>
    <row r="9" spans="1:23" x14ac:dyDescent="0.2">
      <c r="A9">
        <v>46122.691313657408</v>
      </c>
      <c r="B9">
        <v>20.731593</v>
      </c>
      <c r="C9">
        <v>20.844515999999999</v>
      </c>
      <c r="D9">
        <v>20.479846999999999</v>
      </c>
      <c r="E9">
        <v>20.591867000000001</v>
      </c>
      <c r="F9">
        <v>32.434257000000002</v>
      </c>
      <c r="G9">
        <v>29.642934</v>
      </c>
      <c r="H9">
        <v>27.898077000000001</v>
      </c>
      <c r="I9">
        <v>24.184149000000001</v>
      </c>
      <c r="J9">
        <v>55.694144000000001</v>
      </c>
      <c r="K9">
        <v>50.060025000000003</v>
      </c>
      <c r="L9">
        <v>67.081799000000004</v>
      </c>
      <c r="M9">
        <v>-622.51306099999999</v>
      </c>
      <c r="N9">
        <v>1.25587</v>
      </c>
      <c r="O9">
        <v>5.8359490000000003</v>
      </c>
      <c r="P9">
        <f t="shared" si="0"/>
        <v>2.0931166666666667E-5</v>
      </c>
      <c r="Q9" cm="1">
        <f t="array" ref="Q9">[1]!PropsSI("D","T",J9+273.15,"P",101325,"Water")</f>
        <v>985.35549464848225</v>
      </c>
      <c r="R9" cm="1">
        <f t="array" ref="R9">[1]!PropsSI("D","T",K9+273.15,"P",101325,"Water")</f>
        <v>988.00788526826477</v>
      </c>
      <c r="S9">
        <f t="shared" si="1"/>
        <v>986.68168995837345</v>
      </c>
      <c r="T9" cm="1">
        <f t="array" ref="T9">[1]!PropsSI("H","T",J9+273.15,"P",101325,"Water")</f>
        <v>233232.7370867987</v>
      </c>
      <c r="U9" cm="1">
        <f t="array" ref="U9">[1]!PropsSI("H","T",K9+273.15,"P",101325,"Water")</f>
        <v>209669.47757712085</v>
      </c>
      <c r="V9">
        <f t="shared" si="2"/>
        <v>486.6378347655272</v>
      </c>
      <c r="W9" s="1"/>
    </row>
    <row r="10" spans="1:23" x14ac:dyDescent="0.2">
      <c r="A10">
        <v>44660.691371528002</v>
      </c>
      <c r="B10">
        <v>20.678190000000001</v>
      </c>
      <c r="C10">
        <v>20.821270999999999</v>
      </c>
      <c r="D10">
        <v>20.501391999999999</v>
      </c>
      <c r="E10">
        <v>20.603771999999999</v>
      </c>
      <c r="F10">
        <v>32.355752000000003</v>
      </c>
      <c r="G10">
        <v>28.873491000000001</v>
      </c>
      <c r="H10">
        <v>28.291833</v>
      </c>
      <c r="I10">
        <v>23.835519000000001</v>
      </c>
      <c r="J10">
        <v>55.691597999999999</v>
      </c>
      <c r="K10">
        <v>50.059707000000003</v>
      </c>
      <c r="L10">
        <v>69.944104999999993</v>
      </c>
      <c r="M10">
        <v>-622.51673400000004</v>
      </c>
      <c r="N10">
        <v>1.2568820000000001</v>
      </c>
      <c r="O10">
        <v>6.1739389999999998</v>
      </c>
      <c r="P10">
        <f t="shared" si="0"/>
        <v>2.0948033333333337E-5</v>
      </c>
      <c r="Q10" cm="1">
        <f t="array" ref="Q10">[1]!PropsSI("D","T",J10+273.15,"P",101325,"Water")</f>
        <v>985.35673831732618</v>
      </c>
      <c r="R10" cm="1">
        <f t="array" ref="R10">[1]!PropsSI("D","T",K10+273.15,"P",101325,"Water")</f>
        <v>988.00802922368757</v>
      </c>
      <c r="S10">
        <f t="shared" si="1"/>
        <v>986.68238377050693</v>
      </c>
      <c r="T10" cm="1">
        <f t="array" ref="T10">[1]!PropsSI("H","T",J10+273.15,"P",101325,"Water")</f>
        <v>233222.0866320901</v>
      </c>
      <c r="U10" cm="1">
        <f t="array" ref="U10">[1]!PropsSI("H","T",K10+273.15,"P",101325,"Water")</f>
        <v>209668.14790487353</v>
      </c>
      <c r="V10">
        <f t="shared" si="2"/>
        <v>486.83766596350938</v>
      </c>
    </row>
    <row r="11" spans="1:23" x14ac:dyDescent="0.2">
      <c r="A11">
        <v>44660.691429977</v>
      </c>
      <c r="B11">
        <v>20.720343</v>
      </c>
      <c r="C11">
        <v>20.895322</v>
      </c>
      <c r="D11">
        <v>20.553626000000001</v>
      </c>
      <c r="E11">
        <v>20.633189999999999</v>
      </c>
      <c r="F11">
        <v>32.343527000000002</v>
      </c>
      <c r="G11">
        <v>29.374818000000001</v>
      </c>
      <c r="H11">
        <v>27.927092999999999</v>
      </c>
      <c r="I11">
        <v>24.583646000000002</v>
      </c>
      <c r="J11">
        <v>55.693188999999997</v>
      </c>
      <c r="K11">
        <v>50.060184</v>
      </c>
      <c r="L11">
        <v>66.594476</v>
      </c>
      <c r="M11">
        <v>-622.49020499999995</v>
      </c>
      <c r="N11">
        <v>1.2555050000000001</v>
      </c>
      <c r="O11">
        <v>6.7437069999999997</v>
      </c>
      <c r="P11">
        <f t="shared" si="0"/>
        <v>2.0925083333333334E-5</v>
      </c>
      <c r="Q11" cm="1">
        <f t="array" ref="Q11">[1]!PropsSI("D","T",J11+273.15,"P",101325,"Water")</f>
        <v>985.35596115110798</v>
      </c>
      <c r="R11" cm="1">
        <f t="array" ref="R11">[1]!PropsSI("D","T",K11+273.15,"P",101325,"Water")</f>
        <v>988.00781329028132</v>
      </c>
      <c r="S11">
        <f t="shared" si="1"/>
        <v>986.68188722069465</v>
      </c>
      <c r="T11" cm="1">
        <f t="array" ref="T11">[1]!PropsSI("H","T",J11+273.15,"P",101325,"Water")</f>
        <v>233228.74212018176</v>
      </c>
      <c r="U11" cm="1">
        <f t="array" ref="U11">[1]!PropsSI("H","T",K11+273.15,"P",101325,"Water")</f>
        <v>209670.1424132878</v>
      </c>
      <c r="V11">
        <f t="shared" si="2"/>
        <v>486.4002897994468</v>
      </c>
    </row>
    <row r="12" spans="1:23" x14ac:dyDescent="0.2">
      <c r="A12">
        <v>44660.691487847398</v>
      </c>
      <c r="B12">
        <v>20.694396999999999</v>
      </c>
      <c r="C12">
        <v>20.887466</v>
      </c>
      <c r="D12">
        <v>20.463156999999999</v>
      </c>
      <c r="E12">
        <v>20.536304000000001</v>
      </c>
      <c r="F12">
        <v>32.431553000000001</v>
      </c>
      <c r="G12">
        <v>29.629514</v>
      </c>
      <c r="H12">
        <v>27.972843000000001</v>
      </c>
      <c r="I12">
        <v>24.251830999999999</v>
      </c>
      <c r="J12">
        <v>55.691757000000003</v>
      </c>
      <c r="K12">
        <v>50.059548999999997</v>
      </c>
      <c r="L12">
        <v>65.893694999999994</v>
      </c>
      <c r="M12">
        <v>-622.50530600000002</v>
      </c>
      <c r="N12">
        <v>1.259873</v>
      </c>
      <c r="O12">
        <v>6.3702240000000003</v>
      </c>
      <c r="P12">
        <f t="shared" si="0"/>
        <v>2.0997883333333334E-5</v>
      </c>
      <c r="Q12" cm="1">
        <f t="array" ref="Q12">[1]!PropsSI("D","T",J12+273.15,"P",101325,"Water")</f>
        <v>985.3566606502377</v>
      </c>
      <c r="R12" cm="1">
        <f t="array" ref="R12">[1]!PropsSI("D","T",K12+273.15,"P",101325,"Water")</f>
        <v>988.00810074844151</v>
      </c>
      <c r="S12">
        <f t="shared" si="1"/>
        <v>986.68238069933955</v>
      </c>
      <c r="T12" cm="1">
        <f t="array" ref="T12">[1]!PropsSI("H","T",J12+273.15,"P",101325,"Water")</f>
        <v>233222.75176255216</v>
      </c>
      <c r="U12" cm="1">
        <f t="array" ref="U12">[1]!PropsSI("H","T",K12+273.15,"P",101325,"Water")</f>
        <v>209667.48725008866</v>
      </c>
      <c r="V12">
        <f t="shared" si="2"/>
        <v>488.02365916557449</v>
      </c>
    </row>
    <row r="13" spans="1:23" x14ac:dyDescent="0.2">
      <c r="A13">
        <v>44660.691545717797</v>
      </c>
      <c r="B13">
        <v>20.679857999999999</v>
      </c>
      <c r="C13">
        <v>20.825012999999998</v>
      </c>
      <c r="D13">
        <v>20.440155000000001</v>
      </c>
      <c r="E13">
        <v>20.562460999999999</v>
      </c>
      <c r="F13">
        <v>32.273224999999996</v>
      </c>
      <c r="G13">
        <v>29.190282</v>
      </c>
      <c r="H13">
        <v>28.001844999999999</v>
      </c>
      <c r="I13">
        <v>24.231624</v>
      </c>
      <c r="J13">
        <v>55.692552999999997</v>
      </c>
      <c r="K13">
        <v>50.057324000000001</v>
      </c>
      <c r="L13">
        <v>66.519378000000003</v>
      </c>
      <c r="M13">
        <v>-622.47673599999996</v>
      </c>
      <c r="N13">
        <v>1.257136</v>
      </c>
      <c r="O13">
        <v>5.8393540000000002</v>
      </c>
      <c r="P13">
        <f t="shared" si="0"/>
        <v>2.0952266666666669E-5</v>
      </c>
      <c r="Q13" cm="1">
        <f t="array" ref="Q13">[1]!PropsSI("D","T",J13+273.15,"P",101325,"Water")</f>
        <v>985.35627182406927</v>
      </c>
      <c r="R13" cm="1">
        <f t="array" ref="R13">[1]!PropsSI("D","T",K13+273.15,"P",101325,"Water")</f>
        <v>988.00910796287303</v>
      </c>
      <c r="S13">
        <f t="shared" si="1"/>
        <v>986.68268989347121</v>
      </c>
      <c r="T13" cm="1">
        <f t="array" ref="T13">[1]!PropsSI("H","T",J13+273.15,"P",101325,"Water")</f>
        <v>233226.08159813142</v>
      </c>
      <c r="U13" cm="1">
        <f t="array" ref="U13">[1]!PropsSI("H","T",K13+273.15,"P",101325,"Water")</f>
        <v>209658.18372663987</v>
      </c>
      <c r="V13">
        <f t="shared" si="2"/>
        <v>487.22478151341898</v>
      </c>
    </row>
    <row r="14" spans="1:23" x14ac:dyDescent="0.2">
      <c r="A14">
        <v>44660.6916035881</v>
      </c>
      <c r="B14">
        <v>20.666733000000001</v>
      </c>
      <c r="C14">
        <v>20.810607999999998</v>
      </c>
      <c r="D14">
        <v>20.484231000000001</v>
      </c>
      <c r="E14">
        <v>20.615497000000001</v>
      </c>
      <c r="F14">
        <v>32.307456000000002</v>
      </c>
      <c r="G14">
        <v>29.037365000000001</v>
      </c>
      <c r="H14">
        <v>28.029485000000001</v>
      </c>
      <c r="I14">
        <v>24.11598</v>
      </c>
      <c r="J14">
        <v>55.691121000000003</v>
      </c>
      <c r="K14">
        <v>50.057164999999998</v>
      </c>
      <c r="L14">
        <v>71.710547000000005</v>
      </c>
      <c r="M14">
        <v>-622.48938799999996</v>
      </c>
      <c r="N14">
        <v>1.2579389999999999</v>
      </c>
      <c r="O14">
        <v>6.2119220000000004</v>
      </c>
      <c r="P14">
        <f t="shared" si="0"/>
        <v>2.0965650000000001E-5</v>
      </c>
      <c r="Q14" cm="1">
        <f t="array" ref="Q14">[1]!PropsSI("D","T",J14+273.15,"P",101325,"Water")</f>
        <v>985.35697131760185</v>
      </c>
      <c r="R14" cm="1">
        <f t="array" ref="R14">[1]!PropsSI("D","T",K14+273.15,"P",101325,"Water")</f>
        <v>988.0091799378514</v>
      </c>
      <c r="S14">
        <f t="shared" si="1"/>
        <v>986.68307562772657</v>
      </c>
      <c r="T14" cm="1">
        <f t="array" ref="T14">[1]!PropsSI("H","T",J14+273.15,"P",101325,"Water")</f>
        <v>233220.09124081058</v>
      </c>
      <c r="U14" cm="1">
        <f t="array" ref="U14">[1]!PropsSI("H","T",K14+273.15,"P",101325,"Water")</f>
        <v>209657.51889065417</v>
      </c>
      <c r="V14">
        <f t="shared" si="2"/>
        <v>487.42602249613242</v>
      </c>
    </row>
    <row r="15" spans="1:23" x14ac:dyDescent="0.2">
      <c r="A15">
        <v>46122.691662037039</v>
      </c>
      <c r="B15">
        <v>20.646270000000001</v>
      </c>
      <c r="C15">
        <v>20.752489000000001</v>
      </c>
      <c r="D15">
        <v>20.490863000000001</v>
      </c>
      <c r="E15">
        <v>20.625964</v>
      </c>
      <c r="F15">
        <v>32.384017</v>
      </c>
      <c r="G15">
        <v>29.372433999999998</v>
      </c>
      <c r="H15">
        <v>28.048815999999999</v>
      </c>
      <c r="I15">
        <v>24.353529999999999</v>
      </c>
      <c r="J15">
        <v>55.689529</v>
      </c>
      <c r="K15">
        <v>50.054147</v>
      </c>
      <c r="L15">
        <v>72.670907</v>
      </c>
      <c r="M15">
        <v>-622.48408199999994</v>
      </c>
      <c r="N15">
        <v>1.2571319999999999</v>
      </c>
      <c r="O15">
        <v>6.3213369999999998</v>
      </c>
      <c r="P15">
        <f t="shared" si="0"/>
        <v>2.0952199999999999E-5</v>
      </c>
      <c r="Q15" cm="1">
        <f t="array" ref="Q15">[1]!PropsSI("D","T",J15+273.15,"P",101325,"Water")</f>
        <v>985.35774895200188</v>
      </c>
      <c r="R15" cm="1">
        <f t="array" ref="R15">[1]!PropsSI("D","T",K15+273.15,"P",101325,"Water")</f>
        <v>988.01054607298022</v>
      </c>
      <c r="S15">
        <f t="shared" si="1"/>
        <v>986.68414751249111</v>
      </c>
      <c r="T15" cm="1">
        <f t="array" ref="T15">[1]!PropsSI("H","T",J15+273.15,"P",101325,"Water")</f>
        <v>233213.43157074222</v>
      </c>
      <c r="U15" cm="1">
        <f t="array" ref="U15">[1]!PropsSI("H","T",K15+273.15,"P",101325,"Water")</f>
        <v>209644.89955200662</v>
      </c>
      <c r="V15">
        <f t="shared" si="2"/>
        <v>487.23706087064591</v>
      </c>
    </row>
    <row r="16" spans="1:23" x14ac:dyDescent="0.2">
      <c r="A16">
        <v>46122.691720486109</v>
      </c>
      <c r="B16">
        <v>20.707481999999999</v>
      </c>
      <c r="C16">
        <v>20.908097000000001</v>
      </c>
      <c r="D16">
        <v>20.574987</v>
      </c>
      <c r="E16">
        <v>20.706461000000001</v>
      </c>
      <c r="F16">
        <v>32.423141000000001</v>
      </c>
      <c r="G16">
        <v>29.718140999999999</v>
      </c>
      <c r="H16">
        <v>27.617324</v>
      </c>
      <c r="I16">
        <v>24.180347000000001</v>
      </c>
      <c r="J16">
        <v>55.690643000000001</v>
      </c>
      <c r="K16">
        <v>50.054622999999999</v>
      </c>
      <c r="L16">
        <v>71.768911000000003</v>
      </c>
      <c r="M16">
        <v>-622.45469600000001</v>
      </c>
      <c r="N16">
        <v>1.255755</v>
      </c>
      <c r="O16">
        <v>6.3628410000000004</v>
      </c>
      <c r="P16">
        <f t="shared" si="0"/>
        <v>2.092925E-5</v>
      </c>
      <c r="Q16" cm="1">
        <f t="array" ref="Q16">[1]!PropsSI("D","T",J16+273.15,"P",101325,"Water")</f>
        <v>985.35720480496502</v>
      </c>
      <c r="R16" cm="1">
        <f t="array" ref="R16">[1]!PropsSI("D","T",K16+273.15,"P",101325,"Water")</f>
        <v>988.01033060964869</v>
      </c>
      <c r="S16">
        <f t="shared" si="1"/>
        <v>986.68376770730686</v>
      </c>
      <c r="T16" cm="1">
        <f t="array" ref="T16">[1]!PropsSI("H","T",J16+273.15,"P",101325,"Water")</f>
        <v>233218.09166642878</v>
      </c>
      <c r="U16" cm="1">
        <f t="array" ref="U16">[1]!PropsSI("H","T",K16+273.15,"P",101325,"Water")</f>
        <v>209646.8898782928</v>
      </c>
      <c r="V16">
        <f t="shared" si="2"/>
        <v>486.7583104389297</v>
      </c>
    </row>
    <row r="17" spans="1:22" x14ac:dyDescent="0.2">
      <c r="A17">
        <v>46122.691778356479</v>
      </c>
      <c r="B17">
        <v>20.667209</v>
      </c>
      <c r="C17">
        <v>20.932216</v>
      </c>
      <c r="D17">
        <v>20.548750999999999</v>
      </c>
      <c r="E17">
        <v>20.75536</v>
      </c>
      <c r="F17">
        <v>32.286597</v>
      </c>
      <c r="G17">
        <v>29.081353</v>
      </c>
      <c r="H17">
        <v>28.004349999999999</v>
      </c>
      <c r="I17">
        <v>24.064225</v>
      </c>
      <c r="J17">
        <v>55.688256000000003</v>
      </c>
      <c r="K17">
        <v>50.055259</v>
      </c>
      <c r="L17">
        <v>68.344184999999996</v>
      </c>
      <c r="M17">
        <v>-622.51224400000001</v>
      </c>
      <c r="N17">
        <v>1.2612540000000001</v>
      </c>
      <c r="O17">
        <v>6.5871079999999997</v>
      </c>
      <c r="P17">
        <f t="shared" si="0"/>
        <v>2.1020900000000001E-5</v>
      </c>
      <c r="Q17" cm="1">
        <f t="array" ref="Q17">[1]!PropsSI("D","T",J17+273.15,"P",101325,"Water")</f>
        <v>985.35837075521181</v>
      </c>
      <c r="R17" cm="1">
        <f t="array" ref="R17">[1]!PropsSI("D","T",K17+273.15,"P",101325,"Water")</f>
        <v>988.01004271935005</v>
      </c>
      <c r="S17">
        <f t="shared" si="1"/>
        <v>986.68420673728087</v>
      </c>
      <c r="T17" cm="1">
        <f t="array" ref="T17">[1]!PropsSI("H","T",J17+273.15,"P",101325,"Water")</f>
        <v>233208.10634526229</v>
      </c>
      <c r="U17" cm="1">
        <f t="array" ref="U17">[1]!PropsSI("H","T",K17+273.15,"P",101325,"Water")</f>
        <v>209649.54922187782</v>
      </c>
      <c r="V17">
        <f t="shared" si="2"/>
        <v>488.6277986859576</v>
      </c>
    </row>
    <row r="18" spans="1:22" x14ac:dyDescent="0.2">
      <c r="A18">
        <v>46122.691836226855</v>
      </c>
      <c r="B18">
        <v>20.680119000000001</v>
      </c>
      <c r="C18">
        <v>20.950817000000001</v>
      </c>
      <c r="D18">
        <v>20.594269000000001</v>
      </c>
      <c r="E18">
        <v>20.736336999999999</v>
      </c>
      <c r="F18">
        <v>32.372135999999998</v>
      </c>
      <c r="G18">
        <v>29.827404000000001</v>
      </c>
      <c r="H18">
        <v>27.742868999999999</v>
      </c>
      <c r="I18">
        <v>24.194852000000001</v>
      </c>
      <c r="J18">
        <v>55.684437000000003</v>
      </c>
      <c r="K18">
        <v>50.058754</v>
      </c>
      <c r="L18">
        <v>72.238275000000002</v>
      </c>
      <c r="M18">
        <v>-622.49795900000004</v>
      </c>
      <c r="N18">
        <v>1.2560579999999999</v>
      </c>
      <c r="O18">
        <v>6.2316830000000003</v>
      </c>
      <c r="P18">
        <f t="shared" si="0"/>
        <v>2.09343E-5</v>
      </c>
      <c r="Q18" cm="1">
        <f t="array" ref="Q18">[1]!PropsSI("D","T",J18+273.15,"P",101325,"Water")</f>
        <v>985.36023610486234</v>
      </c>
      <c r="R18" cm="1">
        <f t="array" ref="R18">[1]!PropsSI("D","T",K18+273.15,"P",101325,"Water")</f>
        <v>988.00846063326969</v>
      </c>
      <c r="S18">
        <f t="shared" si="1"/>
        <v>986.68434836906602</v>
      </c>
      <c r="T18" cm="1">
        <f t="array" ref="T18">[1]!PropsSI("H","T",J18+273.15,"P",101325,"Water")</f>
        <v>233192.13067249436</v>
      </c>
      <c r="U18" cm="1">
        <f t="array" ref="U18">[1]!PropsSI("H","T",K18+273.15,"P",101325,"Water")</f>
        <v>209664.1630696613</v>
      </c>
      <c r="V18">
        <f t="shared" si="2"/>
        <v>485.98302073160642</v>
      </c>
    </row>
    <row r="19" spans="1:22" x14ac:dyDescent="0.2">
      <c r="A19">
        <v>46122.691894675925</v>
      </c>
      <c r="B19">
        <v>20.705765</v>
      </c>
      <c r="C19">
        <v>20.961158999999999</v>
      </c>
      <c r="D19">
        <v>20.596025999999998</v>
      </c>
      <c r="E19">
        <v>20.747489999999999</v>
      </c>
      <c r="F19">
        <v>32.355029000000002</v>
      </c>
      <c r="G19">
        <v>29.418265000000002</v>
      </c>
      <c r="H19">
        <v>28.084969999999998</v>
      </c>
      <c r="I19">
        <v>24.218966999999999</v>
      </c>
      <c r="J19">
        <v>55.685391000000003</v>
      </c>
      <c r="K19">
        <v>50.056688999999999</v>
      </c>
      <c r="L19">
        <v>71.736260000000001</v>
      </c>
      <c r="M19">
        <v>-622.51428499999997</v>
      </c>
      <c r="N19">
        <v>1.259172</v>
      </c>
      <c r="O19">
        <v>5.3798519999999996</v>
      </c>
      <c r="P19">
        <f t="shared" si="0"/>
        <v>2.0986199999999999E-5</v>
      </c>
      <c r="Q19" cm="1">
        <f t="array" ref="Q19">[1]!PropsSI("D","T",J19+273.15,"P",101325,"Water")</f>
        <v>985.35977014219873</v>
      </c>
      <c r="R19" cm="1">
        <f t="array" ref="R19">[1]!PropsSI("D","T",K19+273.15,"P",101325,"Water")</f>
        <v>988.00939540909962</v>
      </c>
      <c r="S19">
        <f t="shared" si="1"/>
        <v>986.68458277564923</v>
      </c>
      <c r="T19" cm="1">
        <f t="array" ref="T19">[1]!PropsSI("H","T",J19+273.15,"P",101325,"Water")</f>
        <v>233196.12145272476</v>
      </c>
      <c r="U19" cm="1">
        <f t="array" ref="U19">[1]!PropsSI("H","T",K19+273.15,"P",101325,"Water")</f>
        <v>209655.52856403927</v>
      </c>
      <c r="V19">
        <f t="shared" si="2"/>
        <v>487.44940699294261</v>
      </c>
    </row>
    <row r="20" spans="1:22" x14ac:dyDescent="0.2">
      <c r="A20">
        <v>46122.691953125002</v>
      </c>
      <c r="B20">
        <v>20.707353999999999</v>
      </c>
      <c r="C20">
        <v>20.973872</v>
      </c>
      <c r="D20">
        <v>20.532162</v>
      </c>
      <c r="E20">
        <v>20.662701999999999</v>
      </c>
      <c r="F20">
        <v>32.314836999999997</v>
      </c>
      <c r="G20">
        <v>29.545095</v>
      </c>
      <c r="H20">
        <v>28.129031000000001</v>
      </c>
      <c r="I20">
        <v>24.334769000000001</v>
      </c>
      <c r="J20">
        <v>55.689211</v>
      </c>
      <c r="K20">
        <v>50.056530000000002</v>
      </c>
      <c r="L20">
        <v>66.365508000000005</v>
      </c>
      <c r="M20">
        <v>-622.47673599999996</v>
      </c>
      <c r="N20">
        <v>1.2573780000000001</v>
      </c>
      <c r="O20">
        <v>5.1935169999999999</v>
      </c>
      <c r="P20">
        <f t="shared" si="0"/>
        <v>2.0956300000000005E-5</v>
      </c>
      <c r="Q20" cm="1">
        <f t="array" ref="Q20">[1]!PropsSI("D","T",J20+273.15,"P",101325,"Water")</f>
        <v>985.35790428161897</v>
      </c>
      <c r="R20" cm="1">
        <f t="array" ref="R20">[1]!PropsSI("D","T",K20+273.15,"P",101325,"Water")</f>
        <v>988.00946738340656</v>
      </c>
      <c r="S20">
        <f t="shared" si="1"/>
        <v>986.68368583251277</v>
      </c>
      <c r="T20" cm="1">
        <f t="array" ref="T20">[1]!PropsSI("H","T",J20+273.15,"P",101325,"Water")</f>
        <v>233212.10131009933</v>
      </c>
      <c r="U20" cm="1">
        <f t="array" ref="U20">[1]!PropsSI("H","T",K20+273.15,"P",101325,"Water")</f>
        <v>209654.86372807986</v>
      </c>
      <c r="V20">
        <f t="shared" si="2"/>
        <v>487.09863932900396</v>
      </c>
    </row>
    <row r="21" spans="1:22" x14ac:dyDescent="0.2">
      <c r="A21">
        <v>46122.692010995372</v>
      </c>
      <c r="B21">
        <v>20.645990000000001</v>
      </c>
      <c r="C21">
        <v>20.864768000000002</v>
      </c>
      <c r="D21">
        <v>20.536764999999999</v>
      </c>
      <c r="E21">
        <v>20.700326</v>
      </c>
      <c r="F21">
        <v>32.309356000000001</v>
      </c>
      <c r="G21">
        <v>29.751504000000001</v>
      </c>
      <c r="H21">
        <v>28.023629</v>
      </c>
      <c r="I21">
        <v>24.3155</v>
      </c>
      <c r="J21">
        <v>55.688574000000003</v>
      </c>
      <c r="K21">
        <v>50.059072</v>
      </c>
      <c r="L21">
        <v>69.820845000000006</v>
      </c>
      <c r="M21">
        <v>-622.48326599999996</v>
      </c>
      <c r="N21">
        <v>1.256456</v>
      </c>
      <c r="O21">
        <v>6.1115430000000002</v>
      </c>
      <c r="P21">
        <f t="shared" si="0"/>
        <v>2.0940933333333331E-5</v>
      </c>
      <c r="Q21" cm="1">
        <f t="array" ref="Q21">[1]!PropsSI("D","T",J21+273.15,"P",101325,"Water")</f>
        <v>985.35821542744418</v>
      </c>
      <c r="R21" cm="1">
        <f t="array" ref="R21">[1]!PropsSI("D","T",K21+273.15,"P",101325,"Water")</f>
        <v>988.00831667983562</v>
      </c>
      <c r="S21">
        <f t="shared" si="1"/>
        <v>986.68326605363995</v>
      </c>
      <c r="T21" cm="1">
        <f t="array" ref="T21">[1]!PropsSI("H","T",J21+273.15,"P",101325,"Water")</f>
        <v>233209.43660581572</v>
      </c>
      <c r="U21" cm="1">
        <f t="array" ref="U21">[1]!PropsSI("H","T",K21+273.15,"P",101325,"Water")</f>
        <v>209665.49274184724</v>
      </c>
      <c r="V21">
        <f t="shared" si="2"/>
        <v>486.46658077258007</v>
      </c>
    </row>
    <row r="22" spans="1:22" x14ac:dyDescent="0.2">
      <c r="A22">
        <v>46122.692068865741</v>
      </c>
      <c r="B22">
        <v>20.642084000000001</v>
      </c>
      <c r="C22">
        <v>20.785008000000001</v>
      </c>
      <c r="D22">
        <v>20.590209000000002</v>
      </c>
      <c r="E22">
        <v>20.683634000000001</v>
      </c>
      <c r="F22">
        <v>32.351159000000003</v>
      </c>
      <c r="G22">
        <v>29.711663999999999</v>
      </c>
      <c r="H22">
        <v>27.975929000000001</v>
      </c>
      <c r="I22">
        <v>24.233908</v>
      </c>
      <c r="J22">
        <v>55.688256000000003</v>
      </c>
      <c r="K22">
        <v>50.057642000000001</v>
      </c>
      <c r="L22">
        <v>70.966093999999998</v>
      </c>
      <c r="M22">
        <v>-622.50122399999998</v>
      </c>
      <c r="N22">
        <v>1.2579309999999999</v>
      </c>
      <c r="O22">
        <v>6.0900920000000003</v>
      </c>
      <c r="P22">
        <f t="shared" ref="P22:P72" si="3" xml:space="preserve"> N22*0.001/60</f>
        <v>2.0965516666666664E-5</v>
      </c>
      <c r="Q22" cm="1">
        <f t="array" ref="Q22">[1]!PropsSI("D","T",J22+273.15,"P",101325,"Water")</f>
        <v>985.35837075521181</v>
      </c>
      <c r="R22" cm="1">
        <f t="array" ref="R22">[1]!PropsSI("D","T",K22+273.15,"P",101325,"Water")</f>
        <v>988.00896401239777</v>
      </c>
      <c r="S22">
        <f t="shared" ref="S22:S72" si="4">(Q22+R22)/2</f>
        <v>986.68366738380473</v>
      </c>
      <c r="T22" cm="1">
        <f t="array" ref="T22">[1]!PropsSI("H","T",J22+273.15,"P",101325,"Water")</f>
        <v>233208.10634526229</v>
      </c>
      <c r="U22" cm="1">
        <f t="array" ref="U22">[1]!PropsSI("H","T",K22+273.15,"P",101325,"Water")</f>
        <v>209659.51339875176</v>
      </c>
      <c r="V22">
        <f t="shared" ref="V22:V72" si="5">S22*P22*(T22-U22)</f>
        <v>487.13403238848872</v>
      </c>
    </row>
    <row r="23" spans="1:22" x14ac:dyDescent="0.2">
      <c r="A23">
        <v>46122.692127314818</v>
      </c>
      <c r="B23">
        <v>20.636094</v>
      </c>
      <c r="C23">
        <v>20.722670999999998</v>
      </c>
      <c r="D23">
        <v>20.572900000000001</v>
      </c>
      <c r="E23">
        <v>20.643998</v>
      </c>
      <c r="F23">
        <v>32.386631000000001</v>
      </c>
      <c r="G23">
        <v>29.356835</v>
      </c>
      <c r="H23">
        <v>28.311748999999999</v>
      </c>
      <c r="I23">
        <v>24.363862000000001</v>
      </c>
      <c r="J23">
        <v>55.690165999999998</v>
      </c>
      <c r="K23">
        <v>50.056370999999999</v>
      </c>
      <c r="L23">
        <v>65.990425000000002</v>
      </c>
      <c r="M23">
        <v>-622.50693799999999</v>
      </c>
      <c r="N23">
        <v>1.2597499999999999</v>
      </c>
      <c r="O23">
        <v>5.9610440000000002</v>
      </c>
      <c r="P23">
        <f t="shared" si="3"/>
        <v>2.0995833333333333E-5</v>
      </c>
      <c r="Q23" cm="1">
        <f t="array" ref="Q23">[1]!PropsSI("D","T",J23+273.15,"P",101325,"Water")</f>
        <v>985.35743780241762</v>
      </c>
      <c r="R23" cm="1">
        <f t="array" ref="R23">[1]!PropsSI("D","T",K23+273.15,"P",101325,"Water")</f>
        <v>988.00953935757457</v>
      </c>
      <c r="S23">
        <f t="shared" si="4"/>
        <v>986.68348857999604</v>
      </c>
      <c r="T23" cm="1">
        <f t="array" ref="T23">[1]!PropsSI("H","T",J23+273.15,"P",101325,"Water")</f>
        <v>233216.09627529857</v>
      </c>
      <c r="U23" cm="1">
        <f t="array" ref="U23">[1]!PropsSI("H","T",K23+273.15,"P",101325,"Water")</f>
        <v>209654.19889205726</v>
      </c>
      <c r="V23">
        <f t="shared" si="5"/>
        <v>488.11397003125336</v>
      </c>
    </row>
    <row r="24" spans="1:22" x14ac:dyDescent="0.2">
      <c r="A24">
        <v>46122.692185763888</v>
      </c>
      <c r="B24">
        <v>20.693266999999999</v>
      </c>
      <c r="C24">
        <v>20.712751999999998</v>
      </c>
      <c r="D24">
        <v>20.511002999999999</v>
      </c>
      <c r="E24">
        <v>20.585494000000001</v>
      </c>
      <c r="F24">
        <v>32.321145999999999</v>
      </c>
      <c r="G24">
        <v>29.088949</v>
      </c>
      <c r="H24">
        <v>28.215833</v>
      </c>
      <c r="I24">
        <v>24.284872</v>
      </c>
      <c r="J24">
        <v>55.692234999999997</v>
      </c>
      <c r="K24">
        <v>50.058118999999998</v>
      </c>
      <c r="L24">
        <v>68.190723000000006</v>
      </c>
      <c r="M24">
        <v>-622.480817</v>
      </c>
      <c r="N24">
        <v>1.2576689999999999</v>
      </c>
      <c r="O24">
        <v>6.160507</v>
      </c>
      <c r="P24">
        <f t="shared" si="3"/>
        <v>2.0961149999999998E-5</v>
      </c>
      <c r="Q24" cm="1">
        <f t="array" ref="Q24">[1]!PropsSI("D","T",J24+273.15,"P",101325,"Water")</f>
        <v>985.35642715962183</v>
      </c>
      <c r="R24" cm="1">
        <f t="array" ref="R24">[1]!PropsSI("D","T",K24+273.15,"P",101325,"Water")</f>
        <v>988.00874808547781</v>
      </c>
      <c r="S24">
        <f t="shared" si="4"/>
        <v>986.68258762254982</v>
      </c>
      <c r="T24" cm="1">
        <f t="array" ref="T24">[1]!PropsSI("H","T",J24+273.15,"P",101325,"Water")</f>
        <v>233224.75133713032</v>
      </c>
      <c r="U24" cm="1">
        <f t="array" ref="U24">[1]!PropsSI("H","T",K24+273.15,"P",101325,"Water")</f>
        <v>209661.50790678905</v>
      </c>
      <c r="V24">
        <f t="shared" si="5"/>
        <v>487.33504119148824</v>
      </c>
    </row>
    <row r="25" spans="1:22" x14ac:dyDescent="0.2">
      <c r="A25">
        <v>46122.692243634257</v>
      </c>
      <c r="B25">
        <v>20.680958</v>
      </c>
      <c r="C25">
        <v>20.679656999999999</v>
      </c>
      <c r="D25">
        <v>20.512025999999999</v>
      </c>
      <c r="E25">
        <v>20.538734999999999</v>
      </c>
      <c r="F25">
        <v>32.289712999999999</v>
      </c>
      <c r="G25">
        <v>29.299121</v>
      </c>
      <c r="H25">
        <v>27.955376000000001</v>
      </c>
      <c r="I25">
        <v>24.390608</v>
      </c>
      <c r="J25">
        <v>55.693666999999998</v>
      </c>
      <c r="K25">
        <v>50.058594999999997</v>
      </c>
      <c r="L25">
        <v>73.008848999999998</v>
      </c>
      <c r="M25">
        <v>-622.45388000000003</v>
      </c>
      <c r="N25">
        <v>1.259533</v>
      </c>
      <c r="O25">
        <v>6.2535910000000001</v>
      </c>
      <c r="P25">
        <f t="shared" si="3"/>
        <v>2.0992216666666665E-5</v>
      </c>
      <c r="Q25" cm="1">
        <f t="array" ref="Q25">[1]!PropsSI("D","T",J25+273.15,"P",101325,"Water")</f>
        <v>985.35572765625977</v>
      </c>
      <c r="R25" cm="1">
        <f t="array" ref="R25">[1]!PropsSI("D","T",K25+273.15,"P",101325,"Water")</f>
        <v>988.00853260974384</v>
      </c>
      <c r="S25">
        <f t="shared" si="4"/>
        <v>986.68213013300181</v>
      </c>
      <c r="T25" cm="1">
        <f t="array" ref="T25">[1]!PropsSI("H","T",J25+273.15,"P",101325,"Water")</f>
        <v>233230.74169505347</v>
      </c>
      <c r="U25" cm="1">
        <f t="array" ref="U25">[1]!PropsSI("H","T",K25+273.15,"P",101325,"Water")</f>
        <v>209663.49823362255</v>
      </c>
      <c r="V25">
        <f t="shared" si="5"/>
        <v>488.13994878569855</v>
      </c>
    </row>
    <row r="26" spans="1:22" x14ac:dyDescent="0.2">
      <c r="A26">
        <v>46122.692302083335</v>
      </c>
      <c r="B26">
        <v>20.742735</v>
      </c>
      <c r="C26">
        <v>20.722349000000001</v>
      </c>
      <c r="D26">
        <v>20.517118</v>
      </c>
      <c r="E26">
        <v>20.613365000000002</v>
      </c>
      <c r="F26">
        <v>32.408994999999997</v>
      </c>
      <c r="G26">
        <v>29.060316</v>
      </c>
      <c r="H26">
        <v>27.919246000000001</v>
      </c>
      <c r="I26">
        <v>24.303709999999999</v>
      </c>
      <c r="J26">
        <v>55.699396</v>
      </c>
      <c r="K26">
        <v>50.059072</v>
      </c>
      <c r="L26">
        <v>69.281281000000007</v>
      </c>
      <c r="M26">
        <v>-622.48979599999996</v>
      </c>
      <c r="N26">
        <v>1.2568779999999999</v>
      </c>
      <c r="O26">
        <v>5.6748130000000003</v>
      </c>
      <c r="P26">
        <f t="shared" si="3"/>
        <v>2.0947966666666667E-5</v>
      </c>
      <c r="Q26" cm="1">
        <f t="array" ref="Q26">[1]!PropsSI("D","T",J26+273.15,"P",101325,"Water")</f>
        <v>985.35292902788638</v>
      </c>
      <c r="R26" cm="1">
        <f t="array" ref="R26">[1]!PropsSI("D","T",K26+273.15,"P",101325,"Water")</f>
        <v>988.00831667983562</v>
      </c>
      <c r="S26">
        <f t="shared" si="4"/>
        <v>986.680622853861</v>
      </c>
      <c r="T26" cm="1">
        <f t="array" ref="T26">[1]!PropsSI("H","T",J26+273.15,"P",101325,"Water")</f>
        <v>233254.70731755006</v>
      </c>
      <c r="U26" cm="1">
        <f t="array" ref="U26">[1]!PropsSI("H","T",K26+273.15,"P",101325,"Water")</f>
        <v>209665.49274184724</v>
      </c>
      <c r="V26">
        <f t="shared" si="5"/>
        <v>487.56436261154374</v>
      </c>
    </row>
    <row r="27" spans="1:22" x14ac:dyDescent="0.2">
      <c r="A27">
        <v>46122.692360532405</v>
      </c>
      <c r="B27">
        <v>20.737646000000002</v>
      </c>
      <c r="C27">
        <v>20.673667999999999</v>
      </c>
      <c r="D27">
        <v>20.486312999999999</v>
      </c>
      <c r="E27">
        <v>20.569098</v>
      </c>
      <c r="F27">
        <v>32.414949</v>
      </c>
      <c r="G27">
        <v>29.407378999999999</v>
      </c>
      <c r="H27">
        <v>27.791972999999999</v>
      </c>
      <c r="I27">
        <v>24.103864000000002</v>
      </c>
      <c r="J27">
        <v>55.702100999999999</v>
      </c>
      <c r="K27">
        <v>50.059072</v>
      </c>
      <c r="L27">
        <v>71.694220999999999</v>
      </c>
      <c r="M27">
        <v>-622.45265500000005</v>
      </c>
      <c r="N27">
        <v>1.257746</v>
      </c>
      <c r="O27">
        <v>5.9761540000000002</v>
      </c>
      <c r="P27">
        <f t="shared" si="3"/>
        <v>2.0962433333333335E-5</v>
      </c>
      <c r="Q27" cm="1">
        <f t="array" ref="Q27">[1]!PropsSI("D","T",J27+273.15,"P",101325,"Water")</f>
        <v>985.35160755950164</v>
      </c>
      <c r="R27" cm="1">
        <f t="array" ref="R27">[1]!PropsSI("D","T",K27+273.15,"P",101325,"Water")</f>
        <v>988.00831667983562</v>
      </c>
      <c r="S27">
        <f t="shared" si="4"/>
        <v>986.67996211966863</v>
      </c>
      <c r="T27" cm="1">
        <f t="array" ref="T27">[1]!PropsSI("H","T",J27+273.15,"P",101325,"Water")</f>
        <v>233266.02291069238</v>
      </c>
      <c r="U27" cm="1">
        <f t="array" ref="U27">[1]!PropsSI("H","T",K27+273.15,"P",101325,"Water")</f>
        <v>209665.49274184724</v>
      </c>
      <c r="V27">
        <f t="shared" si="5"/>
        <v>488.13479067866967</v>
      </c>
    </row>
    <row r="28" spans="1:22" x14ac:dyDescent="0.2">
      <c r="A28">
        <v>46122.692418981482</v>
      </c>
      <c r="B28">
        <v>20.721015999999999</v>
      </c>
      <c r="C28">
        <v>20.765332999999998</v>
      </c>
      <c r="D28">
        <v>20.465415</v>
      </c>
      <c r="E28">
        <v>20.514652999999999</v>
      </c>
      <c r="F28">
        <v>32.317870999999997</v>
      </c>
      <c r="G28">
        <v>29.182955</v>
      </c>
      <c r="H28">
        <v>28.025580999999999</v>
      </c>
      <c r="I28">
        <v>23.872561000000001</v>
      </c>
      <c r="J28">
        <v>55.703055999999997</v>
      </c>
      <c r="K28">
        <v>50.062091000000002</v>
      </c>
      <c r="L28">
        <v>68.265821000000003</v>
      </c>
      <c r="M28">
        <v>-622.47306300000002</v>
      </c>
      <c r="N28">
        <v>1.2614019999999999</v>
      </c>
      <c r="O28">
        <v>6.1750819999999997</v>
      </c>
      <c r="P28">
        <f t="shared" si="3"/>
        <v>2.1023366666666666E-5</v>
      </c>
      <c r="Q28" cm="1">
        <f t="array" ref="Q28">[1]!PropsSI("D","T",J28+273.15,"P",101325,"Water")</f>
        <v>985.35114100443491</v>
      </c>
      <c r="R28" cm="1">
        <f t="array" ref="R28">[1]!PropsSI("D","T",K28+273.15,"P",101325,"Water")</f>
        <v>988.00694999455823</v>
      </c>
      <c r="S28">
        <f t="shared" si="4"/>
        <v>986.67904549949662</v>
      </c>
      <c r="T28" cm="1">
        <f t="array" ref="T28">[1]!PropsSI("H","T",J28+273.15,"P",101325,"Water")</f>
        <v>233270.01788045454</v>
      </c>
      <c r="U28" cm="1">
        <f t="array" ref="U28">[1]!PropsSI("H","T",K28+273.15,"P",101325,"Water")</f>
        <v>209678.11626610925</v>
      </c>
      <c r="V28">
        <f t="shared" si="5"/>
        <v>489.3742550306124</v>
      </c>
    </row>
    <row r="29" spans="1:22" x14ac:dyDescent="0.2">
      <c r="A29">
        <v>46122.692477430559</v>
      </c>
      <c r="B29">
        <v>20.805244999999999</v>
      </c>
      <c r="C29">
        <v>20.708442999999999</v>
      </c>
      <c r="D29">
        <v>20.451695000000001</v>
      </c>
      <c r="E29">
        <v>20.499466000000002</v>
      </c>
      <c r="F29">
        <v>32.412641999999998</v>
      </c>
      <c r="G29">
        <v>29.459278000000001</v>
      </c>
      <c r="H29">
        <v>27.903034999999999</v>
      </c>
      <c r="I29">
        <v>23.924541999999999</v>
      </c>
      <c r="J29">
        <v>55.703533999999998</v>
      </c>
      <c r="K29">
        <v>50.066062000000002</v>
      </c>
      <c r="L29">
        <v>74.681010000000001</v>
      </c>
      <c r="M29">
        <v>-622.538365</v>
      </c>
      <c r="N29">
        <v>1.2555750000000001</v>
      </c>
      <c r="O29">
        <v>5.9561010000000003</v>
      </c>
      <c r="P29">
        <f t="shared" si="3"/>
        <v>2.0926250000000003E-5</v>
      </c>
      <c r="Q29" cm="1">
        <f t="array" ref="Q29">[1]!PropsSI("D","T",J29+273.15,"P",101325,"Water")</f>
        <v>985.35090748051471</v>
      </c>
      <c r="R29" cm="1">
        <f t="array" ref="R29">[1]!PropsSI("D","T",K29+273.15,"P",101325,"Water")</f>
        <v>988.00515225293395</v>
      </c>
      <c r="S29">
        <f t="shared" si="4"/>
        <v>986.67802986672427</v>
      </c>
      <c r="T29" cm="1">
        <f t="array" ref="T29">[1]!PropsSI("H","T",J29+273.15,"P",101325,"Water")</f>
        <v>233272.01745708118</v>
      </c>
      <c r="U29" cm="1">
        <f t="array" ref="U29">[1]!PropsSI("H","T",K29+273.15,"P",101325,"Water")</f>
        <v>209694.720448509</v>
      </c>
      <c r="V29">
        <f t="shared" si="5"/>
        <v>486.81155913106528</v>
      </c>
    </row>
    <row r="30" spans="1:22" x14ac:dyDescent="0.2">
      <c r="A30">
        <v>46122.692535300928</v>
      </c>
      <c r="B30">
        <v>20.774077999999999</v>
      </c>
      <c r="C30">
        <v>20.780584000000001</v>
      </c>
      <c r="D30">
        <v>20.432162000000002</v>
      </c>
      <c r="E30">
        <v>20.504480999999998</v>
      </c>
      <c r="F30">
        <v>32.518279</v>
      </c>
      <c r="G30">
        <v>29.378598</v>
      </c>
      <c r="H30">
        <v>27.826644000000002</v>
      </c>
      <c r="I30">
        <v>24.457751999999999</v>
      </c>
      <c r="J30">
        <v>55.709104000000004</v>
      </c>
      <c r="K30">
        <v>50.069398999999997</v>
      </c>
      <c r="L30">
        <v>72.092160000000007</v>
      </c>
      <c r="M30">
        <v>-622.45714499999997</v>
      </c>
      <c r="N30">
        <v>1.2583279999999999</v>
      </c>
      <c r="O30">
        <v>6.0568229999999996</v>
      </c>
      <c r="P30">
        <f t="shared" si="3"/>
        <v>2.0972133333333332E-5</v>
      </c>
      <c r="Q30" cm="1">
        <f t="array" ref="Q30">[1]!PropsSI("D","T",J30+273.15,"P",101325,"Water")</f>
        <v>985.34818618800227</v>
      </c>
      <c r="R30" cm="1">
        <f t="array" ref="R30">[1]!PropsSI("D","T",K30+273.15,"P",101325,"Water")</f>
        <v>988.00364145437629</v>
      </c>
      <c r="S30">
        <f t="shared" si="4"/>
        <v>986.67591382118928</v>
      </c>
      <c r="T30" cm="1">
        <f t="array" ref="T30">[1]!PropsSI("H","T",J30+273.15,"P",101325,"Water")</f>
        <v>233295.31796912896</v>
      </c>
      <c r="U30" cm="1">
        <f t="array" ref="U30">[1]!PropsSI("H","T",K30+273.15,"P",101325,"Water")</f>
        <v>209708.67365184755</v>
      </c>
      <c r="V30">
        <f t="shared" si="5"/>
        <v>488.07132706608644</v>
      </c>
    </row>
    <row r="31" spans="1:22" x14ac:dyDescent="0.2">
      <c r="A31">
        <v>46122.692593171298</v>
      </c>
      <c r="B31">
        <v>20.714898999999999</v>
      </c>
      <c r="C31">
        <v>20.787582</v>
      </c>
      <c r="D31">
        <v>20.429179999999999</v>
      </c>
      <c r="E31">
        <v>20.442729</v>
      </c>
      <c r="F31">
        <v>32.414225999999999</v>
      </c>
      <c r="G31">
        <v>29.729474</v>
      </c>
      <c r="H31">
        <v>27.374851</v>
      </c>
      <c r="I31">
        <v>24.308949999999999</v>
      </c>
      <c r="J31">
        <v>55.711809000000002</v>
      </c>
      <c r="K31">
        <v>50.076866000000003</v>
      </c>
      <c r="L31">
        <v>67.809926000000004</v>
      </c>
      <c r="M31">
        <v>-622.48122499999999</v>
      </c>
      <c r="N31">
        <v>1.258742</v>
      </c>
      <c r="O31">
        <v>6.127148</v>
      </c>
      <c r="P31">
        <f t="shared" si="3"/>
        <v>2.0979033333333334E-5</v>
      </c>
      <c r="Q31" cm="1">
        <f t="array" ref="Q31">[1]!PropsSI("D","T",J31+273.15,"P",101325,"Water")</f>
        <v>985.34686455777489</v>
      </c>
      <c r="R31" cm="1">
        <f t="array" ref="R31">[1]!PropsSI("D","T",K31+273.15,"P",101325,"Water")</f>
        <v>988.00026056880688</v>
      </c>
      <c r="S31">
        <f t="shared" si="4"/>
        <v>986.67356256329094</v>
      </c>
      <c r="T31" cm="1">
        <f t="array" ref="T31">[1]!PropsSI("H","T",J31+273.15,"P",101325,"Water")</f>
        <v>233306.63357205907</v>
      </c>
      <c r="U31" cm="1">
        <f t="array" ref="U31">[1]!PropsSI("H","T",K31+273.15,"P",101325,"Water")</f>
        <v>209739.89588959739</v>
      </c>
      <c r="V31">
        <f t="shared" si="5"/>
        <v>487.81868644179355</v>
      </c>
    </row>
    <row r="32" spans="1:22" x14ac:dyDescent="0.2">
      <c r="A32">
        <v>46122.692651620368</v>
      </c>
      <c r="B32">
        <v>20.613423000000001</v>
      </c>
      <c r="C32">
        <v>20.725954000000002</v>
      </c>
      <c r="D32">
        <v>20.392386999999999</v>
      </c>
      <c r="E32">
        <v>20.409299000000001</v>
      </c>
      <c r="F32">
        <v>32.298893</v>
      </c>
      <c r="G32">
        <v>29.227688000000001</v>
      </c>
      <c r="H32">
        <v>27.727792000000001</v>
      </c>
      <c r="I32">
        <v>24.347041999999998</v>
      </c>
      <c r="J32">
        <v>55.713560000000001</v>
      </c>
      <c r="K32">
        <v>50.073529999999998</v>
      </c>
      <c r="L32">
        <v>69.406171999999998</v>
      </c>
      <c r="M32">
        <v>-622.51102000000003</v>
      </c>
      <c r="N32">
        <v>1.2597419999999999</v>
      </c>
      <c r="O32">
        <v>6.1260940000000002</v>
      </c>
      <c r="P32">
        <f t="shared" si="3"/>
        <v>2.09957E-5</v>
      </c>
      <c r="Q32" cm="1">
        <f t="array" ref="Q32">[1]!PropsSI("D","T",J32+273.15,"P",101325,"Water")</f>
        <v>985.34600901634394</v>
      </c>
      <c r="R32" cm="1">
        <f t="array" ref="R32">[1]!PropsSI("D","T",K32+273.15,"P",101325,"Water")</f>
        <v>988.00177107793309</v>
      </c>
      <c r="S32">
        <f t="shared" si="4"/>
        <v>986.67389004713846</v>
      </c>
      <c r="T32" cm="1">
        <f t="array" ref="T32">[1]!PropsSI("H","T",J32+273.15,"P",101325,"Water")</f>
        <v>233313.95838708844</v>
      </c>
      <c r="U32" cm="1">
        <f t="array" ref="U32">[1]!PropsSI("H","T",K32+273.15,"P",101325,"Water")</f>
        <v>209725.94686053006</v>
      </c>
      <c r="V32">
        <f t="shared" si="5"/>
        <v>488.64710011621492</v>
      </c>
    </row>
    <row r="33" spans="1:22" x14ac:dyDescent="0.2">
      <c r="A33">
        <v>46122.692710069445</v>
      </c>
      <c r="B33">
        <v>20.573715</v>
      </c>
      <c r="C33">
        <v>20.717452000000002</v>
      </c>
      <c r="D33">
        <v>20.414752</v>
      </c>
      <c r="E33">
        <v>20.449121000000002</v>
      </c>
      <c r="F33">
        <v>32.317574</v>
      </c>
      <c r="G33">
        <v>29.522103999999999</v>
      </c>
      <c r="H33">
        <v>27.715073</v>
      </c>
      <c r="I33">
        <v>24.273772999999998</v>
      </c>
      <c r="J33">
        <v>55.714832999999999</v>
      </c>
      <c r="K33">
        <v>50.073371000000002</v>
      </c>
      <c r="L33">
        <v>69.364134000000007</v>
      </c>
      <c r="M33">
        <v>-622.49877600000002</v>
      </c>
      <c r="N33">
        <v>1.262713</v>
      </c>
      <c r="O33">
        <v>6.0895080000000004</v>
      </c>
      <c r="P33">
        <f t="shared" si="3"/>
        <v>2.1045216666666666E-5</v>
      </c>
      <c r="Q33" cm="1">
        <f t="array" ref="Q33">[1]!PropsSI("D","T",J33+273.15,"P",101325,"Water")</f>
        <v>985.34538701464146</v>
      </c>
      <c r="R33" cm="1">
        <f t="array" ref="R33">[1]!PropsSI("D","T",K33+273.15,"P",101325,"Water")</f>
        <v>988.00184306978997</v>
      </c>
      <c r="S33">
        <f t="shared" si="4"/>
        <v>986.67361504221572</v>
      </c>
      <c r="T33" cm="1">
        <f t="array" ref="T33">[1]!PropsSI("H","T",J33+273.15,"P",101325,"Water")</f>
        <v>233319.28362453336</v>
      </c>
      <c r="U33" cm="1">
        <f t="array" ref="U33">[1]!PropsSI("H","T",K33+273.15,"P",101325,"Water")</f>
        <v>209725.28202383404</v>
      </c>
      <c r="V33">
        <f t="shared" si="5"/>
        <v>489.9237808632721</v>
      </c>
    </row>
    <row r="34" spans="1:22" x14ac:dyDescent="0.2">
      <c r="A34">
        <v>46122.692767939814</v>
      </c>
      <c r="B34">
        <v>20.58756</v>
      </c>
      <c r="C34">
        <v>20.675243999999999</v>
      </c>
      <c r="D34">
        <v>20.419194999999998</v>
      </c>
      <c r="E34">
        <v>20.448236000000001</v>
      </c>
      <c r="F34">
        <v>32.376801</v>
      </c>
      <c r="G34">
        <v>29.207070999999999</v>
      </c>
      <c r="H34">
        <v>27.546818999999999</v>
      </c>
      <c r="I34">
        <v>24.315828</v>
      </c>
      <c r="J34">
        <v>55.716424000000004</v>
      </c>
      <c r="K34">
        <v>50.080044000000001</v>
      </c>
      <c r="L34">
        <v>69.122921000000005</v>
      </c>
      <c r="M34">
        <v>-622.50530600000002</v>
      </c>
      <c r="N34">
        <v>1.263147</v>
      </c>
      <c r="O34">
        <v>6.4410449999999999</v>
      </c>
      <c r="P34">
        <f t="shared" si="3"/>
        <v>2.1052450000000002E-5</v>
      </c>
      <c r="Q34" cm="1">
        <f t="array" ref="Q34">[1]!PropsSI("D","T",J34+273.15,"P",101325,"Water")</f>
        <v>985.34460962060166</v>
      </c>
      <c r="R34" cm="1">
        <f t="array" ref="R34">[1]!PropsSI("D","T",K34+273.15,"P",101325,"Water")</f>
        <v>987.99882153278315</v>
      </c>
      <c r="S34">
        <f t="shared" si="4"/>
        <v>986.67171557669235</v>
      </c>
      <c r="T34" cm="1">
        <f t="array" ref="T34">[1]!PropsSI("H","T",J34+273.15,"P",101325,"Water")</f>
        <v>233325.93912640816</v>
      </c>
      <c r="U34" cm="1">
        <f t="array" ref="U34">[1]!PropsSI("H","T",K34+273.15,"P",101325,"Water")</f>
        <v>209753.18426614898</v>
      </c>
      <c r="V34">
        <f t="shared" si="5"/>
        <v>489.64989207727086</v>
      </c>
    </row>
    <row r="35" spans="1:22" x14ac:dyDescent="0.2">
      <c r="A35">
        <v>46122.692825810183</v>
      </c>
      <c r="B35">
        <v>20.578923</v>
      </c>
      <c r="C35">
        <v>20.66018</v>
      </c>
      <c r="D35">
        <v>20.434303</v>
      </c>
      <c r="E35">
        <v>20.465716</v>
      </c>
      <c r="F35">
        <v>32.266824999999997</v>
      </c>
      <c r="G35">
        <v>29.369309000000001</v>
      </c>
      <c r="H35">
        <v>27.758569000000001</v>
      </c>
      <c r="I35">
        <v>24.289974999999998</v>
      </c>
      <c r="J35">
        <v>55.71913</v>
      </c>
      <c r="K35">
        <v>50.087828000000002</v>
      </c>
      <c r="L35">
        <v>72.663560000000004</v>
      </c>
      <c r="M35">
        <v>-622.50489800000003</v>
      </c>
      <c r="N35">
        <v>1.265225</v>
      </c>
      <c r="O35">
        <v>6.2068269999999997</v>
      </c>
      <c r="P35">
        <f t="shared" si="3"/>
        <v>2.1087083333333333E-5</v>
      </c>
      <c r="Q35" cm="1">
        <f t="array" ref="Q35">[1]!PropsSI("D","T",J35+273.15,"P",101325,"Water")</f>
        <v>985.3432873797085</v>
      </c>
      <c r="R35" cm="1">
        <f t="array" ref="R35">[1]!PropsSI("D","T",K35+273.15,"P",101325,"Water")</f>
        <v>987.99529656581853</v>
      </c>
      <c r="S35">
        <f t="shared" si="4"/>
        <v>986.66929197276352</v>
      </c>
      <c r="T35" cm="1">
        <f t="array" ref="T35">[1]!PropsSI("H","T",J35+273.15,"P",101325,"Water")</f>
        <v>233337.25891995375</v>
      </c>
      <c r="U35" cm="1">
        <f t="array" ref="U35">[1]!PropsSI("H","T",K35+273.15,"P",101325,"Water")</f>
        <v>209785.73201993428</v>
      </c>
      <c r="V35">
        <f t="shared" si="5"/>
        <v>490.01254071004951</v>
      </c>
    </row>
    <row r="36" spans="1:22" x14ac:dyDescent="0.2">
      <c r="A36">
        <v>46122.692883680553</v>
      </c>
      <c r="B36">
        <v>20.579179</v>
      </c>
      <c r="C36">
        <v>20.819416</v>
      </c>
      <c r="D36">
        <v>20.457533000000002</v>
      </c>
      <c r="E36">
        <v>20.501339000000002</v>
      </c>
      <c r="F36">
        <v>32.290661999999998</v>
      </c>
      <c r="G36">
        <v>29.143087999999999</v>
      </c>
      <c r="H36">
        <v>27.843634999999999</v>
      </c>
      <c r="I36">
        <v>24.124755</v>
      </c>
      <c r="J36">
        <v>55.717219999999998</v>
      </c>
      <c r="K36">
        <v>50.092753999999999</v>
      </c>
      <c r="L36">
        <v>70.307760000000002</v>
      </c>
      <c r="M36">
        <v>-622.46898099999999</v>
      </c>
      <c r="N36">
        <v>1.2639009999999999</v>
      </c>
      <c r="O36">
        <v>5.2318819999999997</v>
      </c>
      <c r="P36">
        <f t="shared" si="3"/>
        <v>2.1065016666666666E-5</v>
      </c>
      <c r="Q36" cm="1">
        <f t="array" ref="Q36">[1]!PropsSI("D","T",J36+273.15,"P",101325,"Water")</f>
        <v>985.3442206734095</v>
      </c>
      <c r="R36" cm="1">
        <f t="array" ref="R36">[1]!PropsSI("D","T",K36+273.15,"P",101325,"Water")</f>
        <v>987.99306563264565</v>
      </c>
      <c r="S36">
        <f t="shared" si="4"/>
        <v>986.66864315302757</v>
      </c>
      <c r="T36" cm="1">
        <f t="array" ref="T36">[1]!PropsSI("H","T",J36+273.15,"P",101325,"Water")</f>
        <v>233329.26896929744</v>
      </c>
      <c r="U36" cm="1">
        <f t="array" ref="U36">[1]!PropsSI("H","T",K36+273.15,"P",101325,"Water")</f>
        <v>209806.32943824577</v>
      </c>
      <c r="V36">
        <f t="shared" si="5"/>
        <v>488.90527779794468</v>
      </c>
    </row>
    <row r="37" spans="1:22" x14ac:dyDescent="0.2">
      <c r="A37">
        <v>46122.692941550929</v>
      </c>
      <c r="B37">
        <v>20.599160000000001</v>
      </c>
      <c r="C37">
        <v>20.750803999999999</v>
      </c>
      <c r="D37">
        <v>20.501245000000001</v>
      </c>
      <c r="E37">
        <v>20.511068999999999</v>
      </c>
      <c r="F37">
        <v>32.330433999999997</v>
      </c>
      <c r="G37">
        <v>29.455522999999999</v>
      </c>
      <c r="H37">
        <v>27.761416000000001</v>
      </c>
      <c r="I37">
        <v>24.210314</v>
      </c>
      <c r="J37">
        <v>55.712605000000003</v>
      </c>
      <c r="K37">
        <v>50.092595000000003</v>
      </c>
      <c r="L37">
        <v>68.568663000000001</v>
      </c>
      <c r="M37">
        <v>-622.512652</v>
      </c>
      <c r="N37">
        <v>1.265045</v>
      </c>
      <c r="O37">
        <v>6.0556919999999996</v>
      </c>
      <c r="P37">
        <f t="shared" si="3"/>
        <v>2.1084083333333334E-5</v>
      </c>
      <c r="Q37" cm="1">
        <f t="array" ref="Q37">[1]!PropsSI("D","T",J37+273.15,"P",101325,"Water")</f>
        <v>985.34647563321846</v>
      </c>
      <c r="R37" cm="1">
        <f t="array" ref="R37">[1]!PropsSI("D","T",K37+273.15,"P",101325,"Water")</f>
        <v>987.99313764452677</v>
      </c>
      <c r="S37">
        <f t="shared" si="4"/>
        <v>986.66980663887261</v>
      </c>
      <c r="T37" cm="1">
        <f t="array" ref="T37">[1]!PropsSI("H","T",J37+273.15,"P",101325,"Water")</f>
        <v>233309.96341360666</v>
      </c>
      <c r="U37" cm="1">
        <f t="array" ref="U37">[1]!PropsSI("H","T",K37+273.15,"P",101325,"Water")</f>
        <v>209805.66460067412</v>
      </c>
      <c r="V37">
        <f t="shared" si="5"/>
        <v>488.9605963305923</v>
      </c>
    </row>
    <row r="38" spans="1:22" x14ac:dyDescent="0.2">
      <c r="A38">
        <v>44660.693000000203</v>
      </c>
      <c r="B38">
        <v>20.581160000000001</v>
      </c>
      <c r="C38">
        <v>20.687465</v>
      </c>
      <c r="D38">
        <v>20.443019</v>
      </c>
      <c r="E38">
        <v>20.446090000000002</v>
      </c>
      <c r="F38">
        <v>32.301200000000001</v>
      </c>
      <c r="G38">
        <v>29.476958</v>
      </c>
      <c r="H38">
        <v>27.633174</v>
      </c>
      <c r="I38">
        <v>24.484285</v>
      </c>
      <c r="J38">
        <v>55.713560000000001</v>
      </c>
      <c r="K38">
        <v>50.094341999999997</v>
      </c>
      <c r="L38">
        <v>68.958848000000003</v>
      </c>
      <c r="M38">
        <v>-622.49836700000003</v>
      </c>
      <c r="N38">
        <v>1.261082</v>
      </c>
      <c r="O38">
        <v>6.0265529999999998</v>
      </c>
      <c r="P38">
        <f t="shared" si="3"/>
        <v>2.1018033333333331E-5</v>
      </c>
      <c r="Q38" cm="1">
        <f t="array" ref="Q38">[1]!PropsSI("D","T",J38+273.15,"P",101325,"Water")</f>
        <v>985.34600901634394</v>
      </c>
      <c r="R38" cm="1">
        <f t="array" ref="R38">[1]!PropsSI("D","T",K38+273.15,"P",101325,"Water")</f>
        <v>987.99234641036855</v>
      </c>
      <c r="S38">
        <f t="shared" si="4"/>
        <v>986.66917771335625</v>
      </c>
      <c r="T38" cm="1">
        <f t="array" ref="T38">[1]!PropsSI("H","T",J38+273.15,"P",101325,"Water")</f>
        <v>233313.95838708844</v>
      </c>
      <c r="U38" cm="1">
        <f t="array" ref="U38">[1]!PropsSI("H","T",K38+273.15,"P",101325,"Water")</f>
        <v>209812.96945203628</v>
      </c>
      <c r="V38">
        <f t="shared" si="5"/>
        <v>487.35988153705529</v>
      </c>
    </row>
    <row r="39" spans="1:22" x14ac:dyDescent="0.2">
      <c r="A39">
        <v>44660.693058449302</v>
      </c>
      <c r="B39">
        <v>20.541215999999999</v>
      </c>
      <c r="C39">
        <v>20.686620999999999</v>
      </c>
      <c r="D39">
        <v>20.419896000000001</v>
      </c>
      <c r="E39">
        <v>20.461562000000001</v>
      </c>
      <c r="F39">
        <v>32.294251000000003</v>
      </c>
      <c r="G39">
        <v>29.638076000000002</v>
      </c>
      <c r="H39">
        <v>27.627998000000002</v>
      </c>
      <c r="I39">
        <v>24.340996000000001</v>
      </c>
      <c r="J39">
        <v>55.712605000000003</v>
      </c>
      <c r="K39">
        <v>50.088622999999998</v>
      </c>
      <c r="L39">
        <v>68.564989999999995</v>
      </c>
      <c r="M39">
        <v>-622.52734599999997</v>
      </c>
      <c r="N39">
        <v>1.258</v>
      </c>
      <c r="O39">
        <v>6.1925559999999997</v>
      </c>
      <c r="P39">
        <f t="shared" si="3"/>
        <v>2.0966666666666667E-5</v>
      </c>
      <c r="Q39" cm="1">
        <f t="array" ref="Q39">[1]!PropsSI("D","T",J39+273.15,"P",101325,"Water")</f>
        <v>985.34647563321846</v>
      </c>
      <c r="R39" cm="1">
        <f t="array" ref="R39">[1]!PropsSI("D","T",K39+273.15,"P",101325,"Water")</f>
        <v>987.99493652951003</v>
      </c>
      <c r="S39">
        <f t="shared" si="4"/>
        <v>986.67070608136419</v>
      </c>
      <c r="T39" cm="1">
        <f t="array" ref="T39">[1]!PropsSI("H","T",J39+273.15,"P",101325,"Water")</f>
        <v>233309.96341360666</v>
      </c>
      <c r="U39" cm="1">
        <f t="array" ref="U39">[1]!PropsSI("H","T",K39+273.15,"P",101325,"Water")</f>
        <v>209789.05620695394</v>
      </c>
      <c r="V39">
        <f t="shared" si="5"/>
        <v>486.58161287579918</v>
      </c>
    </row>
    <row r="40" spans="1:22" x14ac:dyDescent="0.2">
      <c r="A40">
        <v>44660.693116319599</v>
      </c>
      <c r="B40">
        <v>20.541547000000001</v>
      </c>
      <c r="C40">
        <v>20.693680000000001</v>
      </c>
      <c r="D40">
        <v>20.409084</v>
      </c>
      <c r="E40">
        <v>20.439606999999999</v>
      </c>
      <c r="F40">
        <v>32.303190000000001</v>
      </c>
      <c r="G40">
        <v>29.403100999999999</v>
      </c>
      <c r="H40">
        <v>27.724350000000001</v>
      </c>
      <c r="I40">
        <v>24.401153000000001</v>
      </c>
      <c r="J40">
        <v>55.710853999999998</v>
      </c>
      <c r="K40">
        <v>50.080361000000003</v>
      </c>
      <c r="L40">
        <v>70.219193000000004</v>
      </c>
      <c r="M40">
        <v>-622.46449199999995</v>
      </c>
      <c r="N40">
        <v>1.259558</v>
      </c>
      <c r="O40">
        <v>6.157025</v>
      </c>
      <c r="P40">
        <f t="shared" si="3"/>
        <v>2.0992633333333333E-5</v>
      </c>
      <c r="Q40" cm="1">
        <f t="array" ref="Q40">[1]!PropsSI("D","T",J40+273.15,"P",101325,"Water")</f>
        <v>985.34733116434847</v>
      </c>
      <c r="R40" cm="1">
        <f t="array" ref="R40">[1]!PropsSI("D","T",K40+273.15,"P",101325,"Water")</f>
        <v>987.99867798779667</v>
      </c>
      <c r="S40">
        <f t="shared" si="4"/>
        <v>986.67300457607257</v>
      </c>
      <c r="T40" cm="1">
        <f t="array" ref="T40">[1]!PropsSI("H","T",J40+273.15,"P",101325,"Water")</f>
        <v>233302.63859916548</v>
      </c>
      <c r="U40" cm="1">
        <f t="array" ref="U40">[1]!PropsSI("H","T",K40+273.15,"P",101325,"Water")</f>
        <v>209754.50975888976</v>
      </c>
      <c r="V40">
        <f t="shared" si="5"/>
        <v>487.74920436887453</v>
      </c>
    </row>
    <row r="41" spans="1:22" x14ac:dyDescent="0.2">
      <c r="A41">
        <v>44660.693174768698</v>
      </c>
      <c r="B41">
        <v>20.485016000000002</v>
      </c>
      <c r="C41">
        <v>20.630434999999999</v>
      </c>
      <c r="D41">
        <v>20.369980999999999</v>
      </c>
      <c r="E41">
        <v>20.470963000000001</v>
      </c>
      <c r="F41">
        <v>32.198743999999998</v>
      </c>
      <c r="G41">
        <v>29.423492</v>
      </c>
      <c r="H41">
        <v>27.853408000000002</v>
      </c>
      <c r="I41">
        <v>24.214205</v>
      </c>
      <c r="J41">
        <v>55.710535999999998</v>
      </c>
      <c r="K41">
        <v>50.074483000000001</v>
      </c>
      <c r="L41">
        <v>64.209698000000003</v>
      </c>
      <c r="M41">
        <v>-622.48122499999999</v>
      </c>
      <c r="N41">
        <v>1.2589220000000001</v>
      </c>
      <c r="O41">
        <v>5.9305839999999996</v>
      </c>
      <c r="P41">
        <f t="shared" si="3"/>
        <v>2.0982033333333337E-5</v>
      </c>
      <c r="Q41" cm="1">
        <f t="array" ref="Q41">[1]!PropsSI("D","T",J41+273.15,"P",101325,"Water")</f>
        <v>985.34748653577526</v>
      </c>
      <c r="R41" cm="1">
        <f t="array" ref="R41">[1]!PropsSI("D","T",K41+273.15,"P",101325,"Water")</f>
        <v>988.00133957601679</v>
      </c>
      <c r="S41">
        <f t="shared" si="4"/>
        <v>986.67441305589603</v>
      </c>
      <c r="T41" cm="1">
        <f t="array" ref="T41">[1]!PropsSI("H","T",J41+273.15,"P",101325,"Water")</f>
        <v>233301.30833601797</v>
      </c>
      <c r="U41" cm="1">
        <f t="array" ref="U41">[1]!PropsSI("H","T",K41+273.15,"P",101325,"Water")</f>
        <v>209729.93169983351</v>
      </c>
      <c r="V41">
        <f t="shared" si="5"/>
        <v>487.98490266270198</v>
      </c>
    </row>
    <row r="42" spans="1:22" x14ac:dyDescent="0.2">
      <c r="A42">
        <v>46122.693232638892</v>
      </c>
      <c r="B42">
        <v>20.522002000000001</v>
      </c>
      <c r="C42">
        <v>20.638093000000001</v>
      </c>
      <c r="D42">
        <v>20.433337999999999</v>
      </c>
      <c r="E42">
        <v>20.524018999999999</v>
      </c>
      <c r="F42">
        <v>32.223694000000002</v>
      </c>
      <c r="G42">
        <v>29.215944</v>
      </c>
      <c r="H42">
        <v>27.851120999999999</v>
      </c>
      <c r="I42">
        <v>24.023541999999999</v>
      </c>
      <c r="J42">
        <v>55.709739999999996</v>
      </c>
      <c r="K42">
        <v>50.071781999999999</v>
      </c>
      <c r="L42">
        <v>70.789776000000003</v>
      </c>
      <c r="M42">
        <v>-622.49183700000003</v>
      </c>
      <c r="N42">
        <v>1.2596810000000001</v>
      </c>
      <c r="O42">
        <v>6.2200550000000003</v>
      </c>
      <c r="P42">
        <f t="shared" si="3"/>
        <v>2.0994683333333334E-5</v>
      </c>
      <c r="Q42" cm="1">
        <f t="array" ref="Q42">[1]!PropsSI("D","T",J42+273.15,"P",101325,"Water")</f>
        <v>985.3478754501773</v>
      </c>
      <c r="R42" cm="1">
        <f t="array" ref="R42">[1]!PropsSI("D","T",K42+273.15,"P",101325,"Water")</f>
        <v>988.00256252658585</v>
      </c>
      <c r="S42">
        <f t="shared" si="4"/>
        <v>986.67521898838163</v>
      </c>
      <c r="T42" cm="1">
        <f t="array" ref="T42">[1]!PropsSI("H","T",J42+273.15,"P",101325,"Water")</f>
        <v>233297.97849514947</v>
      </c>
      <c r="U42" cm="1">
        <f t="array" ref="U42">[1]!PropsSI("H","T",K42+273.15,"P",101325,"Water")</f>
        <v>209718.63783822648</v>
      </c>
      <c r="V42">
        <f t="shared" si="5"/>
        <v>488.44448017831223</v>
      </c>
    </row>
    <row r="43" spans="1:22" x14ac:dyDescent="0.2">
      <c r="A43">
        <v>46122.693291087962</v>
      </c>
      <c r="B43">
        <v>20.546973999999999</v>
      </c>
      <c r="C43">
        <v>20.659604000000002</v>
      </c>
      <c r="D43">
        <v>20.427461000000001</v>
      </c>
      <c r="E43">
        <v>20.529686999999999</v>
      </c>
      <c r="F43">
        <v>32.293478999999998</v>
      </c>
      <c r="G43">
        <v>29.205389</v>
      </c>
      <c r="H43">
        <v>27.934484000000001</v>
      </c>
      <c r="I43">
        <v>24.35277</v>
      </c>
      <c r="J43">
        <v>55.708784999999999</v>
      </c>
      <c r="K43">
        <v>50.067492000000001</v>
      </c>
      <c r="L43">
        <v>67.334030999999996</v>
      </c>
      <c r="M43">
        <v>-622.47347100000002</v>
      </c>
      <c r="N43">
        <v>1.2577419999999999</v>
      </c>
      <c r="O43">
        <v>5.3875780000000004</v>
      </c>
      <c r="P43">
        <f t="shared" si="3"/>
        <v>2.0962366666666664E-5</v>
      </c>
      <c r="Q43" cm="1">
        <f t="array" ref="Q43">[1]!PropsSI("D","T",J43+273.15,"P",101325,"Water")</f>
        <v>985.34834204455785</v>
      </c>
      <c r="R43" cm="1">
        <f t="array" ref="R43">[1]!PropsSI("D","T",K43+273.15,"P",101325,"Water")</f>
        <v>988.00450484143619</v>
      </c>
      <c r="S43">
        <f t="shared" si="4"/>
        <v>986.67642344299702</v>
      </c>
      <c r="T43" cm="1">
        <f t="array" ref="T43">[1]!PropsSI("H","T",J43+273.15,"P",101325,"Water")</f>
        <v>233293.98352295277</v>
      </c>
      <c r="U43" cm="1">
        <f t="array" ref="U43">[1]!PropsSI("H","T",K43+273.15,"P",101325,"Water")</f>
        <v>209700.69979504173</v>
      </c>
      <c r="V43">
        <f t="shared" si="5"/>
        <v>487.98160893609037</v>
      </c>
    </row>
    <row r="44" spans="1:22" x14ac:dyDescent="0.2">
      <c r="A44">
        <v>46122.693348958332</v>
      </c>
      <c r="B44">
        <v>20.566092999999999</v>
      </c>
      <c r="C44">
        <v>20.687149000000002</v>
      </c>
      <c r="D44">
        <v>20.422512000000001</v>
      </c>
      <c r="E44">
        <v>20.508482000000001</v>
      </c>
      <c r="F44">
        <v>32.223092999999999</v>
      </c>
      <c r="G44">
        <v>29.472546999999999</v>
      </c>
      <c r="H44">
        <v>27.636292000000001</v>
      </c>
      <c r="I44">
        <v>24.321833000000002</v>
      </c>
      <c r="J44">
        <v>55.712764</v>
      </c>
      <c r="K44">
        <v>50.075436000000003</v>
      </c>
      <c r="L44">
        <v>72.275416000000007</v>
      </c>
      <c r="M44">
        <v>-622.51591800000006</v>
      </c>
      <c r="N44">
        <v>1.2639590000000001</v>
      </c>
      <c r="O44">
        <v>5.8538670000000002</v>
      </c>
      <c r="P44">
        <f t="shared" si="3"/>
        <v>2.1065983333333335E-5</v>
      </c>
      <c r="Q44" cm="1">
        <f t="array" ref="Q44">[1]!PropsSI("D","T",J44+273.15,"P",101325,"Water")</f>
        <v>985.34639794557154</v>
      </c>
      <c r="R44" cm="1">
        <f t="array" ref="R44">[1]!PropsSI("D","T",K44+273.15,"P",101325,"Water")</f>
        <v>988.00090806815683</v>
      </c>
      <c r="S44">
        <f t="shared" si="4"/>
        <v>986.67365300686424</v>
      </c>
      <c r="T44" cm="1">
        <f t="array" ref="T44">[1]!PropsSI("H","T",J44+273.15,"P",101325,"Water")</f>
        <v>233310.62854528837</v>
      </c>
      <c r="U44" cm="1">
        <f t="array" ref="U44">[1]!PropsSI("H","T",K44+273.15,"P",101325,"Water")</f>
        <v>209733.91653925221</v>
      </c>
      <c r="V44">
        <f t="shared" si="5"/>
        <v>490.04787042695892</v>
      </c>
    </row>
    <row r="45" spans="1:22" x14ac:dyDescent="0.2">
      <c r="A45">
        <v>46122.693406828701</v>
      </c>
      <c r="B45">
        <v>20.555579999999999</v>
      </c>
      <c r="C45">
        <v>20.669530000000002</v>
      </c>
      <c r="D45">
        <v>20.392827</v>
      </c>
      <c r="E45">
        <v>20.513784999999999</v>
      </c>
      <c r="F45">
        <v>32.264394000000003</v>
      </c>
      <c r="G45">
        <v>29.506053000000001</v>
      </c>
      <c r="H45">
        <v>27.564971</v>
      </c>
      <c r="I45">
        <v>24.374791999999999</v>
      </c>
      <c r="J45">
        <v>55.714514000000001</v>
      </c>
      <c r="K45">
        <v>50.076072000000003</v>
      </c>
      <c r="L45">
        <v>72.548463999999996</v>
      </c>
      <c r="M45">
        <v>-622.48693900000001</v>
      </c>
      <c r="N45">
        <v>1.2562340000000001</v>
      </c>
      <c r="O45">
        <v>6.1203620000000001</v>
      </c>
      <c r="P45">
        <f t="shared" si="3"/>
        <v>2.0937233333333337E-5</v>
      </c>
      <c r="Q45" cm="1">
        <f t="array" ref="Q45">[1]!PropsSI("D","T",J45+273.15,"P",101325,"Water")</f>
        <v>985.34554288244703</v>
      </c>
      <c r="R45" cm="1">
        <f t="array" ref="R45">[1]!PropsSI("D","T",K45+273.15,"P",101325,"Water")</f>
        <v>988.00062009107853</v>
      </c>
      <c r="S45">
        <f t="shared" si="4"/>
        <v>986.67308148676284</v>
      </c>
      <c r="T45" cm="1">
        <f t="array" ref="T45">[1]!PropsSI("H","T",J45+273.15,"P",101325,"Water")</f>
        <v>233317.94917770248</v>
      </c>
      <c r="U45" cm="1">
        <f t="array" ref="U45">[1]!PropsSI("H","T",K45+273.15,"P",101325,"Water")</f>
        <v>209736.57588664233</v>
      </c>
      <c r="V45">
        <f t="shared" si="5"/>
        <v>487.14883256403874</v>
      </c>
    </row>
    <row r="46" spans="1:22" x14ac:dyDescent="0.2">
      <c r="A46">
        <v>46122.693465277778</v>
      </c>
      <c r="B46">
        <v>20.61581</v>
      </c>
      <c r="C46">
        <v>20.684687</v>
      </c>
      <c r="D46">
        <v>20.435832000000001</v>
      </c>
      <c r="E46">
        <v>20.479862000000001</v>
      </c>
      <c r="F46">
        <v>32.270361000000001</v>
      </c>
      <c r="G46">
        <v>29.285603999999999</v>
      </c>
      <c r="H46">
        <v>27.583334000000001</v>
      </c>
      <c r="I46">
        <v>23.971715</v>
      </c>
      <c r="J46">
        <v>55.717219999999998</v>
      </c>
      <c r="K46">
        <v>50.077342999999999</v>
      </c>
      <c r="L46">
        <v>66.545907</v>
      </c>
      <c r="M46">
        <v>-622.48571500000003</v>
      </c>
      <c r="N46">
        <v>1.2575210000000001</v>
      </c>
      <c r="O46">
        <v>6.1574439999999999</v>
      </c>
      <c r="P46">
        <f t="shared" si="3"/>
        <v>2.0958683333333336E-5</v>
      </c>
      <c r="Q46" cm="1">
        <f t="array" ref="Q46">[1]!PropsSI("D","T",J46+273.15,"P",101325,"Water")</f>
        <v>985.3442206734095</v>
      </c>
      <c r="R46" cm="1">
        <f t="array" ref="R46">[1]!PropsSI("D","T",K46+273.15,"P",101325,"Water")</f>
        <v>988.00004458178205</v>
      </c>
      <c r="S46">
        <f t="shared" si="4"/>
        <v>986.67213262759583</v>
      </c>
      <c r="T46" cm="1">
        <f t="array" ref="T46">[1]!PropsSI("H","T",J46+273.15,"P",101325,"Water")</f>
        <v>233329.26896929744</v>
      </c>
      <c r="U46" cm="1">
        <f t="array" ref="U46">[1]!PropsSI("H","T",K46+273.15,"P",101325,"Water")</f>
        <v>209741.89040035184</v>
      </c>
      <c r="V46">
        <f t="shared" si="5"/>
        <v>487.77162827007174</v>
      </c>
    </row>
    <row r="47" spans="1:22" x14ac:dyDescent="0.2">
      <c r="A47">
        <v>46122.693523726855</v>
      </c>
      <c r="B47">
        <v>20.726865</v>
      </c>
      <c r="C47">
        <v>20.710557000000001</v>
      </c>
      <c r="D47">
        <v>20.492564000000002</v>
      </c>
      <c r="E47">
        <v>20.547035000000001</v>
      </c>
      <c r="F47">
        <v>32.414481000000002</v>
      </c>
      <c r="G47">
        <v>29.229662000000001</v>
      </c>
      <c r="H47">
        <v>27.754235999999999</v>
      </c>
      <c r="I47">
        <v>23.996046</v>
      </c>
      <c r="J47">
        <v>55.716424000000004</v>
      </c>
      <c r="K47">
        <v>50.075754000000003</v>
      </c>
      <c r="L47">
        <v>74.045940000000002</v>
      </c>
      <c r="M47">
        <v>-622.506122</v>
      </c>
      <c r="N47">
        <v>1.257255</v>
      </c>
      <c r="O47">
        <v>6.1950849999999997</v>
      </c>
      <c r="P47">
        <f t="shared" si="3"/>
        <v>2.095425E-5</v>
      </c>
      <c r="Q47" cm="1">
        <f t="array" ref="Q47">[1]!PropsSI("D","T",J47+273.15,"P",101325,"Water")</f>
        <v>985.34460962060166</v>
      </c>
      <c r="R47" cm="1">
        <f t="array" ref="R47">[1]!PropsSI("D","T",K47+273.15,"P",101325,"Water")</f>
        <v>988.00076407997074</v>
      </c>
      <c r="S47">
        <f t="shared" si="4"/>
        <v>986.67268685028625</v>
      </c>
      <c r="T47" cm="1">
        <f t="array" ref="T47">[1]!PropsSI("H","T",J47+273.15,"P",101325,"Water")</f>
        <v>233325.93912640816</v>
      </c>
      <c r="U47" cm="1">
        <f t="array" ref="U47">[1]!PropsSI("H","T",K47+273.15,"P",101325,"Water")</f>
        <v>209735.24621289648</v>
      </c>
      <c r="V47">
        <f t="shared" si="5"/>
        <v>487.7372492187813</v>
      </c>
    </row>
    <row r="48" spans="1:22" x14ac:dyDescent="0.2">
      <c r="A48">
        <v>46122.693582175925</v>
      </c>
      <c r="B48">
        <v>20.725657999999999</v>
      </c>
      <c r="C48">
        <v>20.673849000000001</v>
      </c>
      <c r="D48">
        <v>20.483245</v>
      </c>
      <c r="E48">
        <v>20.552510999999999</v>
      </c>
      <c r="F48">
        <v>32.278595000000003</v>
      </c>
      <c r="G48">
        <v>29.322126000000001</v>
      </c>
      <c r="H48">
        <v>27.786663999999998</v>
      </c>
      <c r="I48">
        <v>23.905768999999999</v>
      </c>
      <c r="J48">
        <v>55.715628000000002</v>
      </c>
      <c r="K48">
        <v>50.076072000000003</v>
      </c>
      <c r="L48">
        <v>68.107054000000005</v>
      </c>
      <c r="M48">
        <v>-622.52367200000003</v>
      </c>
      <c r="N48">
        <v>1.2577670000000001</v>
      </c>
      <c r="O48">
        <v>6.0324749999999998</v>
      </c>
      <c r="P48">
        <f t="shared" si="3"/>
        <v>2.0962783333333335E-5</v>
      </c>
      <c r="Q48" cm="1">
        <f t="array" ref="Q48">[1]!PropsSI("D","T",J48+273.15,"P",101325,"Water")</f>
        <v>985.34499856387447</v>
      </c>
      <c r="R48" cm="1">
        <f t="array" ref="R48">[1]!PropsSI("D","T",K48+273.15,"P",101325,"Water")</f>
        <v>988.00062009107853</v>
      </c>
      <c r="S48">
        <f t="shared" si="4"/>
        <v>986.67280932747644</v>
      </c>
      <c r="T48" cm="1">
        <f t="array" ref="T48">[1]!PropsSI("H","T",J48+273.15,"P",101325,"Water")</f>
        <v>233322.60928374701</v>
      </c>
      <c r="U48" cm="1">
        <f t="array" ref="U48">[1]!PropsSI("H","T",K48+273.15,"P",101325,"Water")</f>
        <v>209736.57588664233</v>
      </c>
      <c r="V48">
        <f t="shared" si="5"/>
        <v>487.83955946806094</v>
      </c>
    </row>
    <row r="49" spans="1:22" x14ac:dyDescent="0.2">
      <c r="A49">
        <v>44660.693640046498</v>
      </c>
      <c r="B49">
        <v>20.637193</v>
      </c>
      <c r="C49">
        <v>20.609334</v>
      </c>
      <c r="D49">
        <v>20.467476000000001</v>
      </c>
      <c r="E49">
        <v>20.499466000000002</v>
      </c>
      <c r="F49">
        <v>32.326234999999997</v>
      </c>
      <c r="G49">
        <v>29.204574000000001</v>
      </c>
      <c r="H49">
        <v>27.794218999999998</v>
      </c>
      <c r="I49">
        <v>24.223724000000001</v>
      </c>
      <c r="J49">
        <v>55.713718999999998</v>
      </c>
      <c r="K49">
        <v>50.078454999999998</v>
      </c>
      <c r="L49">
        <v>68.115217000000001</v>
      </c>
      <c r="M49">
        <v>-622.52693699999998</v>
      </c>
      <c r="N49">
        <v>1.255849</v>
      </c>
      <c r="O49">
        <v>5.9514750000000003</v>
      </c>
      <c r="P49">
        <f t="shared" si="3"/>
        <v>2.0930816666666666E-5</v>
      </c>
      <c r="Q49" cm="1">
        <f t="array" ref="Q49">[1]!PropsSI("D","T",J49+273.15,"P",101325,"Water")</f>
        <v>985.34593132775194</v>
      </c>
      <c r="R49" cm="1">
        <f t="array" ref="R49">[1]!PropsSI("D","T",K49+273.15,"P",101325,"Water")</f>
        <v>987.99954105907557</v>
      </c>
      <c r="S49">
        <f t="shared" si="4"/>
        <v>986.67273619341381</v>
      </c>
      <c r="T49" cm="1">
        <f t="array" ref="T49">[1]!PropsSI("H","T",J49+273.15,"P",101325,"Water")</f>
        <v>233314.62351883185</v>
      </c>
      <c r="U49" cm="1">
        <f t="array" ref="U49">[1]!PropsSI("H","T",K49+273.15,"P",101325,"Water")</f>
        <v>209746.54007749804</v>
      </c>
      <c r="V49">
        <f t="shared" si="5"/>
        <v>486.72490467221695</v>
      </c>
    </row>
    <row r="50" spans="1:22" x14ac:dyDescent="0.2">
      <c r="A50" t="s">
        <v>19</v>
      </c>
      <c r="B50">
        <v>20.646256000000001</v>
      </c>
      <c r="C50">
        <v>20.679365000000001</v>
      </c>
      <c r="D50">
        <v>20.469035000000002</v>
      </c>
      <c r="E50">
        <v>20.519613</v>
      </c>
      <c r="F50">
        <v>32.384230000000002</v>
      </c>
      <c r="G50">
        <v>29.506594</v>
      </c>
      <c r="H50">
        <v>27.65812</v>
      </c>
      <c r="I50">
        <v>24.146732</v>
      </c>
      <c r="J50">
        <v>55.718493000000002</v>
      </c>
      <c r="K50">
        <v>50.079408000000001</v>
      </c>
      <c r="L50">
        <v>68.657229999999998</v>
      </c>
      <c r="M50">
        <v>-622.47632799999997</v>
      </c>
      <c r="N50">
        <v>1.258734</v>
      </c>
      <c r="O50">
        <v>5.9464430000000004</v>
      </c>
      <c r="P50">
        <f t="shared" si="3"/>
        <v>2.09789E-5</v>
      </c>
      <c r="Q50" cm="1">
        <f t="array" ref="Q50">[1]!PropsSI("D","T",J50+273.15,"P",101325,"Water")</f>
        <v>985.34359864298244</v>
      </c>
      <c r="R50" cm="1">
        <f t="array" ref="R50">[1]!PropsSI("D","T",K50+273.15,"P",101325,"Water")</f>
        <v>987.99910952641346</v>
      </c>
      <c r="S50">
        <f t="shared" si="4"/>
        <v>986.6713540846979</v>
      </c>
      <c r="T50" cm="1">
        <f t="array" ref="T50">[1]!PropsSI("H","T",J50+273.15,"P",101325,"Water")</f>
        <v>233334.59420850445</v>
      </c>
      <c r="U50" cm="1">
        <f t="array" ref="U50">[1]!PropsSI("H","T",K50+273.15,"P",101325,"Water")</f>
        <v>209750.52491809864</v>
      </c>
      <c r="V50">
        <f t="shared" si="5"/>
        <v>488.17324600366129</v>
      </c>
    </row>
    <row r="51" spans="1:22" x14ac:dyDescent="0.2">
      <c r="A51">
        <v>46122.693755787041</v>
      </c>
      <c r="B51">
        <v>20.594118000000002</v>
      </c>
      <c r="C51">
        <v>20.705652000000001</v>
      </c>
      <c r="D51">
        <v>20.403649000000001</v>
      </c>
      <c r="E51">
        <v>20.448239000000001</v>
      </c>
      <c r="F51">
        <v>32.336207999999999</v>
      </c>
      <c r="G51">
        <v>28.976011</v>
      </c>
      <c r="H51">
        <v>27.816617999999998</v>
      </c>
      <c r="I51">
        <v>24.350254</v>
      </c>
      <c r="J51">
        <v>55.721358000000002</v>
      </c>
      <c r="K51">
        <v>50.081631999999999</v>
      </c>
      <c r="L51">
        <v>71.537902000000003</v>
      </c>
      <c r="M51">
        <v>-622.50326500000006</v>
      </c>
      <c r="N51">
        <v>1.2578119999999999</v>
      </c>
      <c r="O51">
        <v>6.2436160000000003</v>
      </c>
      <c r="P51">
        <f t="shared" si="3"/>
        <v>2.096353333333333E-5</v>
      </c>
      <c r="Q51" cm="1">
        <f t="array" ref="Q51">[1]!PropsSI("D","T",J51+273.15,"P",101325,"Water")</f>
        <v>985.34219867151796</v>
      </c>
      <c r="R51" cm="1">
        <f t="array" ref="R51">[1]!PropsSI("D","T",K51+273.15,"P",101325,"Water")</f>
        <v>987.99810244275966</v>
      </c>
      <c r="S51">
        <f t="shared" si="4"/>
        <v>986.67015055713887</v>
      </c>
      <c r="T51" cm="1">
        <f t="array" ref="T51">[1]!PropsSI("H","T",J51+273.15,"P",101325,"Water")</f>
        <v>233346.57913632094</v>
      </c>
      <c r="U51" cm="1">
        <f t="array" ref="U51">[1]!PropsSI("H","T",K51+273.15,"P",101325,"Water")</f>
        <v>209759.82427413866</v>
      </c>
      <c r="V51">
        <f t="shared" si="5"/>
        <v>487.87062147195468</v>
      </c>
    </row>
    <row r="52" spans="1:22" x14ac:dyDescent="0.2">
      <c r="A52">
        <v>46122.69381423611</v>
      </c>
      <c r="B52">
        <v>20.576041</v>
      </c>
      <c r="C52">
        <v>20.676819999999999</v>
      </c>
      <c r="D52">
        <v>20.390369</v>
      </c>
      <c r="E52">
        <v>20.447958</v>
      </c>
      <c r="F52">
        <v>32.249744</v>
      </c>
      <c r="G52">
        <v>29.249858</v>
      </c>
      <c r="H52">
        <v>27.665215</v>
      </c>
      <c r="I52">
        <v>24.113737</v>
      </c>
      <c r="J52">
        <v>55.722949</v>
      </c>
      <c r="K52">
        <v>50.083857000000002</v>
      </c>
      <c r="L52">
        <v>71.239549999999994</v>
      </c>
      <c r="M52">
        <v>-622.47102199999995</v>
      </c>
      <c r="N52">
        <v>1.259484</v>
      </c>
      <c r="O52">
        <v>5.7021610000000003</v>
      </c>
      <c r="P52">
        <f t="shared" si="3"/>
        <v>2.0991400000000004E-5</v>
      </c>
      <c r="Q52" cm="1">
        <f t="array" ref="Q52">[1]!PropsSI("D","T",J52+273.15,"P",101325,"Water")</f>
        <v>985.34142121350931</v>
      </c>
      <c r="R52" cm="1">
        <f t="array" ref="R52">[1]!PropsSI("D","T",K52+273.15,"P",101325,"Water")</f>
        <v>987.9970948738777</v>
      </c>
      <c r="S52">
        <f t="shared" si="4"/>
        <v>986.6692580436935</v>
      </c>
      <c r="T52" cm="1">
        <f t="array" ref="T52">[1]!PropsSI("H","T",J52+273.15,"P",101325,"Water")</f>
        <v>233353.23464204106</v>
      </c>
      <c r="U52" cm="1">
        <f t="array" ref="U52">[1]!PropsSI("H","T",K52+273.15,"P",101325,"Water")</f>
        <v>209769.12781298236</v>
      </c>
      <c r="V52">
        <f t="shared" si="5"/>
        <v>488.46385738625645</v>
      </c>
    </row>
    <row r="53" spans="1:22" x14ac:dyDescent="0.2">
      <c r="A53">
        <v>46122.69387210648</v>
      </c>
      <c r="B53">
        <v>20.547629000000001</v>
      </c>
      <c r="C53">
        <v>20.656307000000002</v>
      </c>
      <c r="D53">
        <v>20.366377</v>
      </c>
      <c r="E53">
        <v>20.447872</v>
      </c>
      <c r="F53">
        <v>32.316566999999999</v>
      </c>
      <c r="G53">
        <v>29.587147999999999</v>
      </c>
      <c r="H53">
        <v>27.612997</v>
      </c>
      <c r="I53">
        <v>24.091802999999999</v>
      </c>
      <c r="J53">
        <v>55.724859000000002</v>
      </c>
      <c r="K53">
        <v>50.082585999999999</v>
      </c>
      <c r="L53">
        <v>75.885031999999995</v>
      </c>
      <c r="M53">
        <v>-622.51061200000004</v>
      </c>
      <c r="N53">
        <v>1.257058</v>
      </c>
      <c r="O53">
        <v>6.0801679999999996</v>
      </c>
      <c r="P53">
        <f t="shared" si="3"/>
        <v>2.095096666666667E-5</v>
      </c>
      <c r="Q53" cm="1">
        <f t="array" ref="Q53">[1]!PropsSI("D","T",J53+273.15,"P",101325,"Water")</f>
        <v>985.34048785239372</v>
      </c>
      <c r="R53" cm="1">
        <f t="array" ref="R53">[1]!PropsSI("D","T",K53+273.15,"P",101325,"Water")</f>
        <v>987.99767043742997</v>
      </c>
      <c r="S53">
        <f t="shared" si="4"/>
        <v>986.66907914491185</v>
      </c>
      <c r="T53" cm="1">
        <f t="array" ref="T53">[1]!PropsSI("H","T",J53+273.15,"P",101325,"Water")</f>
        <v>233361.22459675025</v>
      </c>
      <c r="U53" cm="1">
        <f t="array" ref="U53">[1]!PropsSI("H","T",K53+273.15,"P",101325,"Water")</f>
        <v>209763.81329693363</v>
      </c>
      <c r="V53">
        <f t="shared" si="5"/>
        <v>487.79792256294178</v>
      </c>
    </row>
    <row r="54" spans="1:22" x14ac:dyDescent="0.2">
      <c r="A54">
        <v>46122.693929976849</v>
      </c>
      <c r="B54">
        <v>20.549178000000001</v>
      </c>
      <c r="C54">
        <v>20.652505000000001</v>
      </c>
      <c r="D54">
        <v>20.349114</v>
      </c>
      <c r="E54">
        <v>20.410343000000001</v>
      </c>
      <c r="F54">
        <v>32.357531000000002</v>
      </c>
      <c r="G54">
        <v>29.430346</v>
      </c>
      <c r="H54">
        <v>27.351524999999999</v>
      </c>
      <c r="I54">
        <v>24.369249</v>
      </c>
      <c r="J54">
        <v>55.724063000000001</v>
      </c>
      <c r="K54">
        <v>50.080997000000004</v>
      </c>
      <c r="L54">
        <v>66.856911999999994</v>
      </c>
      <c r="M54">
        <v>-622.49755100000004</v>
      </c>
      <c r="N54">
        <v>1.2597910000000001</v>
      </c>
      <c r="O54">
        <v>6.1706849999999998</v>
      </c>
      <c r="P54">
        <f t="shared" si="3"/>
        <v>2.0996516666666668E-5</v>
      </c>
      <c r="Q54" cm="1">
        <f t="array" ref="Q54">[1]!PropsSI("D","T",J54+273.15,"P",101325,"Water")</f>
        <v>985.34087683704024</v>
      </c>
      <c r="R54" cm="1">
        <f t="array" ref="R54">[1]!PropsSI("D","T",K54+273.15,"P",101325,"Water")</f>
        <v>987.99838999020369</v>
      </c>
      <c r="S54">
        <f t="shared" si="4"/>
        <v>986.66963341362202</v>
      </c>
      <c r="T54" cm="1">
        <f t="array" ref="T54">[1]!PropsSI("H","T",J54+273.15,"P",101325,"Water")</f>
        <v>233357.89475160028</v>
      </c>
      <c r="U54" cm="1">
        <f t="array" ref="U54">[1]!PropsSI("H","T",K54+273.15,"P",101325,"Water")</f>
        <v>209757.16910711979</v>
      </c>
      <c r="V54">
        <f t="shared" si="5"/>
        <v>488.92739240300472</v>
      </c>
    </row>
    <row r="55" spans="1:22" x14ac:dyDescent="0.2">
      <c r="A55">
        <v>46122.693988425926</v>
      </c>
      <c r="B55">
        <v>20.611035000000001</v>
      </c>
      <c r="C55">
        <v>20.715230999999999</v>
      </c>
      <c r="D55">
        <v>20.406497000000002</v>
      </c>
      <c r="E55">
        <v>20.494468999999999</v>
      </c>
      <c r="F55">
        <v>32.309733999999999</v>
      </c>
      <c r="G55">
        <v>29.303056000000002</v>
      </c>
      <c r="H55">
        <v>28.051666000000001</v>
      </c>
      <c r="I55">
        <v>24.305451000000001</v>
      </c>
      <c r="J55">
        <v>55.722472000000003</v>
      </c>
      <c r="K55">
        <v>50.082427000000003</v>
      </c>
      <c r="L55">
        <v>67.825027000000006</v>
      </c>
      <c r="M55">
        <v>-622.48244999999997</v>
      </c>
      <c r="N55">
        <v>1.2595000000000001</v>
      </c>
      <c r="O55">
        <v>5.9908950000000001</v>
      </c>
      <c r="P55">
        <f t="shared" si="3"/>
        <v>2.0991666666666668E-5</v>
      </c>
      <c r="Q55" cm="1">
        <f t="array" ref="Q55">[1]!PropsSI("D","T",J55+273.15,"P",101325,"Water")</f>
        <v>985.34165430595976</v>
      </c>
      <c r="R55" cm="1">
        <f t="array" ref="R55">[1]!PropsSI("D","T",K55+273.15,"P",101325,"Water")</f>
        <v>987.99774243874094</v>
      </c>
      <c r="S55">
        <f t="shared" si="4"/>
        <v>986.66969837235035</v>
      </c>
      <c r="T55" cm="1">
        <f t="array" ref="T55">[1]!PropsSI("H","T",J55+273.15,"P",101325,"Water")</f>
        <v>233351.23924517154</v>
      </c>
      <c r="U55" cm="1">
        <f t="array" ref="U55">[1]!PropsSI("H","T",K55+273.15,"P",101325,"Water")</f>
        <v>209763.14845976717</v>
      </c>
      <c r="V55">
        <f t="shared" si="5"/>
        <v>488.55279570853548</v>
      </c>
    </row>
    <row r="56" spans="1:22" x14ac:dyDescent="0.2">
      <c r="A56">
        <v>46122.694046296296</v>
      </c>
      <c r="B56">
        <v>20.698217</v>
      </c>
      <c r="C56">
        <v>20.661491999999999</v>
      </c>
      <c r="D56">
        <v>20.410782999999999</v>
      </c>
      <c r="E56">
        <v>20.41694</v>
      </c>
      <c r="F56">
        <v>32.365405000000003</v>
      </c>
      <c r="G56">
        <v>29.558752999999999</v>
      </c>
      <c r="H56">
        <v>27.604157000000001</v>
      </c>
      <c r="I56">
        <v>24.092594999999999</v>
      </c>
      <c r="J56">
        <v>55.722152999999999</v>
      </c>
      <c r="K56">
        <v>50.083857000000002</v>
      </c>
      <c r="L56">
        <v>69.801663000000005</v>
      </c>
      <c r="M56">
        <v>-622.487348</v>
      </c>
      <c r="N56">
        <v>1.258988</v>
      </c>
      <c r="O56">
        <v>5.8905289999999999</v>
      </c>
      <c r="P56">
        <f t="shared" si="3"/>
        <v>2.0983133333333332E-5</v>
      </c>
      <c r="Q56" cm="1">
        <f t="array" ref="Q56">[1]!PropsSI("D","T",J56+273.15,"P",101325,"Water")</f>
        <v>985.34181018880361</v>
      </c>
      <c r="R56" cm="1">
        <f t="array" ref="R56">[1]!PropsSI("D","T",K56+273.15,"P",101325,"Water")</f>
        <v>987.9970948738777</v>
      </c>
      <c r="S56">
        <f t="shared" si="4"/>
        <v>986.66945253134065</v>
      </c>
      <c r="T56" cm="1">
        <f t="array" ref="T56">[1]!PropsSI("H","T",J56+273.15,"P",101325,"Water")</f>
        <v>233349.90479747794</v>
      </c>
      <c r="U56" cm="1">
        <f t="array" ref="U56">[1]!PropsSI("H","T",K56+273.15,"P",101325,"Water")</f>
        <v>209769.12781298236</v>
      </c>
      <c r="V56">
        <f t="shared" si="5"/>
        <v>488.2026515102508</v>
      </c>
    </row>
    <row r="57" spans="1:22" x14ac:dyDescent="0.2">
      <c r="A57">
        <v>46122.694104166665</v>
      </c>
      <c r="B57">
        <v>20.717936999999999</v>
      </c>
      <c r="C57">
        <v>20.644143</v>
      </c>
      <c r="D57">
        <v>20.359318999999999</v>
      </c>
      <c r="E57">
        <v>20.386448000000001</v>
      </c>
      <c r="F57">
        <v>32.365915999999999</v>
      </c>
      <c r="G57">
        <v>29.638300000000001</v>
      </c>
      <c r="H57">
        <v>27.558710999999999</v>
      </c>
      <c r="I57">
        <v>24.137768000000001</v>
      </c>
      <c r="J57">
        <v>55.723267</v>
      </c>
      <c r="K57">
        <v>50.084651000000001</v>
      </c>
      <c r="L57">
        <v>71.650958000000003</v>
      </c>
      <c r="M57">
        <v>-622.48449100000005</v>
      </c>
      <c r="N57">
        <v>1.255808</v>
      </c>
      <c r="O57">
        <v>5.9545250000000003</v>
      </c>
      <c r="P57">
        <f t="shared" si="3"/>
        <v>2.0930133333333331E-5</v>
      </c>
      <c r="Q57" cm="1">
        <f t="array" ref="Q57">[1]!PropsSI("D","T",J57+273.15,"P",101325,"Water")</f>
        <v>985.34126581778276</v>
      </c>
      <c r="R57" cm="1">
        <f t="array" ref="R57">[1]!PropsSI("D","T",K57+273.15,"P",101325,"Water")</f>
        <v>987.99673531111216</v>
      </c>
      <c r="S57">
        <f t="shared" si="4"/>
        <v>986.66900056444751</v>
      </c>
      <c r="T57" cm="1">
        <f t="array" ref="T57">[1]!PropsSI("H","T",J57+273.15,"P",101325,"Water")</f>
        <v>233354.56490669414</v>
      </c>
      <c r="U57" cm="1">
        <f t="array" ref="U57">[1]!PropsSI("H","T",K57+273.15,"P",101325,"Water")</f>
        <v>209772.44781778203</v>
      </c>
      <c r="V57">
        <f t="shared" si="5"/>
        <v>486.99698217842604</v>
      </c>
    </row>
    <row r="58" spans="1:22" x14ac:dyDescent="0.2">
      <c r="A58">
        <v>46122.694162615742</v>
      </c>
      <c r="B58">
        <v>20.655736000000001</v>
      </c>
      <c r="C58">
        <v>20.622847</v>
      </c>
      <c r="D58">
        <v>20.341971000000001</v>
      </c>
      <c r="E58">
        <v>20.388573000000001</v>
      </c>
      <c r="F58">
        <v>32.382302000000003</v>
      </c>
      <c r="G58">
        <v>29.669104000000001</v>
      </c>
      <c r="H58">
        <v>27.574546000000002</v>
      </c>
      <c r="I58">
        <v>24.058523000000001</v>
      </c>
      <c r="J58">
        <v>55.722631</v>
      </c>
      <c r="K58">
        <v>50.087192999999999</v>
      </c>
      <c r="L58">
        <v>66.405506000000003</v>
      </c>
      <c r="M58">
        <v>-622.49673499999994</v>
      </c>
      <c r="N58">
        <v>1.2600290000000001</v>
      </c>
      <c r="O58">
        <v>6.14283</v>
      </c>
      <c r="P58">
        <f t="shared" si="3"/>
        <v>2.1000483333333337E-5</v>
      </c>
      <c r="Q58" cm="1">
        <f t="array" ref="Q58">[1]!PropsSI("D","T",J58+273.15,"P",101325,"Water")</f>
        <v>985.34157660863605</v>
      </c>
      <c r="R58" cm="1">
        <f t="array" ref="R58">[1]!PropsSI("D","T",K58+273.15,"P",101325,"Water")</f>
        <v>987.99558413903981</v>
      </c>
      <c r="S58">
        <f t="shared" si="4"/>
        <v>986.66858037383793</v>
      </c>
      <c r="T58" cm="1">
        <f t="array" ref="T58">[1]!PropsSI("H","T",J58+273.15,"P",101325,"Water")</f>
        <v>233351.90437748126</v>
      </c>
      <c r="U58" cm="1">
        <f t="array" ref="U58">[1]!PropsSI("H","T",K58+273.15,"P",101325,"Water")</f>
        <v>209783.07685176498</v>
      </c>
      <c r="V58">
        <f t="shared" si="5"/>
        <v>488.358293247132</v>
      </c>
    </row>
    <row r="59" spans="1:22" x14ac:dyDescent="0.2">
      <c r="A59">
        <v>46122.694221064812</v>
      </c>
      <c r="B59">
        <v>20.646507</v>
      </c>
      <c r="C59">
        <v>20.624372000000001</v>
      </c>
      <c r="D59">
        <v>20.362759</v>
      </c>
      <c r="E59">
        <v>20.388704000000001</v>
      </c>
      <c r="F59">
        <v>32.39105</v>
      </c>
      <c r="G59">
        <v>29.448751000000001</v>
      </c>
      <c r="H59">
        <v>27.655849</v>
      </c>
      <c r="I59">
        <v>24.390090000000001</v>
      </c>
      <c r="J59">
        <v>55.727246000000001</v>
      </c>
      <c r="K59">
        <v>50.081949999999999</v>
      </c>
      <c r="L59">
        <v>73.865540999999993</v>
      </c>
      <c r="M59">
        <v>-622.47877700000004</v>
      </c>
      <c r="N59">
        <v>1.2575000000000001</v>
      </c>
      <c r="O59">
        <v>5.9688340000000002</v>
      </c>
      <c r="P59">
        <f t="shared" si="3"/>
        <v>2.0958333333333336E-5</v>
      </c>
      <c r="Q59" cm="1">
        <f t="array" ref="Q59">[1]!PropsSI("D","T",J59+273.15,"P",101325,"Water")</f>
        <v>985.33932136372312</v>
      </c>
      <c r="R59" cm="1">
        <f t="array" ref="R59">[1]!PropsSI("D","T",K59+273.15,"P",101325,"Water")</f>
        <v>987.99795844165931</v>
      </c>
      <c r="S59">
        <f t="shared" si="4"/>
        <v>986.66863990269121</v>
      </c>
      <c r="T59" cm="1">
        <f t="array" ref="T59">[1]!PropsSI("H","T",J59+273.15,"P",101325,"Water")</f>
        <v>233371.20995047755</v>
      </c>
      <c r="U59" cm="1">
        <f t="array" ref="U59">[1]!PropsSI("H","T",K59+273.15,"P",101325,"Water")</f>
        <v>209761.1539483862</v>
      </c>
      <c r="V59">
        <f t="shared" si="5"/>
        <v>488.23070113898979</v>
      </c>
    </row>
    <row r="60" spans="1:22" x14ac:dyDescent="0.2">
      <c r="A60">
        <v>46122.694278935189</v>
      </c>
      <c r="B60">
        <v>20.635059999999999</v>
      </c>
      <c r="C60">
        <v>20.714915000000001</v>
      </c>
      <c r="D60">
        <v>20.351409</v>
      </c>
      <c r="E60">
        <v>20.348296999999999</v>
      </c>
      <c r="F60">
        <v>32.307156999999997</v>
      </c>
      <c r="G60">
        <v>29.405035000000002</v>
      </c>
      <c r="H60">
        <v>27.551604000000001</v>
      </c>
      <c r="I60">
        <v>24.266193000000001</v>
      </c>
      <c r="J60">
        <v>55.730269999999997</v>
      </c>
      <c r="K60">
        <v>50.084333000000001</v>
      </c>
      <c r="L60">
        <v>69.107820000000004</v>
      </c>
      <c r="M60">
        <v>-622.50040799999999</v>
      </c>
      <c r="N60">
        <v>1.260418</v>
      </c>
      <c r="O60">
        <v>6.1087350000000002</v>
      </c>
      <c r="P60">
        <f t="shared" si="3"/>
        <v>2.1006966666666667E-5</v>
      </c>
      <c r="Q60" cm="1">
        <f t="array" ref="Q60">[1]!PropsSI("D","T",J60+273.15,"P",101325,"Water")</f>
        <v>985.33784353293981</v>
      </c>
      <c r="R60" cm="1">
        <f t="array" ref="R60">[1]!PropsSI("D","T",K60+273.15,"P",101325,"Water")</f>
        <v>987.9968793178366</v>
      </c>
      <c r="S60">
        <f t="shared" si="4"/>
        <v>986.66736142538821</v>
      </c>
      <c r="T60" cm="1">
        <f t="array" ref="T60">[1]!PropsSI("H","T",J60+273.15,"P",101325,"Water")</f>
        <v>233383.8600203215</v>
      </c>
      <c r="U60" cm="1">
        <f t="array" ref="U60">[1]!PropsSI("H","T",K60+273.15,"P",101325,"Water")</f>
        <v>209771.11814328952</v>
      </c>
      <c r="V60">
        <f t="shared" si="5"/>
        <v>489.41866505510416</v>
      </c>
    </row>
    <row r="61" spans="1:22" x14ac:dyDescent="0.2">
      <c r="A61">
        <v>46122.694336805558</v>
      </c>
      <c r="B61">
        <v>20.556370000000001</v>
      </c>
      <c r="C61">
        <v>20.594412999999999</v>
      </c>
      <c r="D61">
        <v>20.374811000000001</v>
      </c>
      <c r="E61">
        <v>20.340219000000001</v>
      </c>
      <c r="F61">
        <v>32.226374</v>
      </c>
      <c r="G61">
        <v>29.356245999999999</v>
      </c>
      <c r="H61">
        <v>27.414812999999999</v>
      </c>
      <c r="I61">
        <v>24.089034999999999</v>
      </c>
      <c r="J61">
        <v>55.731065000000001</v>
      </c>
      <c r="K61">
        <v>50.087986999999998</v>
      </c>
      <c r="L61">
        <v>71.637080999999995</v>
      </c>
      <c r="M61">
        <v>-622.50449000000003</v>
      </c>
      <c r="N61">
        <v>1.258148</v>
      </c>
      <c r="O61">
        <v>6.1572789999999999</v>
      </c>
      <c r="P61">
        <f t="shared" si="3"/>
        <v>2.0969133333333336E-5</v>
      </c>
      <c r="Q61" cm="1">
        <f t="array" ref="Q61">[1]!PropsSI("D","T",J61+273.15,"P",101325,"Water")</f>
        <v>985.33745500654732</v>
      </c>
      <c r="R61" cm="1">
        <f t="array" ref="R61">[1]!PropsSI("D","T",K61+273.15,"P",101325,"Water")</f>
        <v>987.99522455887347</v>
      </c>
      <c r="S61">
        <f t="shared" si="4"/>
        <v>986.66633978271034</v>
      </c>
      <c r="T61" cm="1">
        <f t="array" ref="T61">[1]!PropsSI("H","T",J61+273.15,"P",101325,"Water")</f>
        <v>233387.185684155</v>
      </c>
      <c r="U61" cm="1">
        <f t="array" ref="U61">[1]!PropsSI("H","T",K61+273.15,"P",101325,"Water")</f>
        <v>209786.39685736818</v>
      </c>
      <c r="V61">
        <f t="shared" si="5"/>
        <v>488.28941807401742</v>
      </c>
    </row>
    <row r="62" spans="1:22" x14ac:dyDescent="0.2">
      <c r="A62">
        <v>46122.694395254628</v>
      </c>
      <c r="B62">
        <v>20.509575000000002</v>
      </c>
      <c r="C62">
        <v>20.579348</v>
      </c>
      <c r="D62">
        <v>20.318899999999999</v>
      </c>
      <c r="E62">
        <v>20.363672999999999</v>
      </c>
      <c r="F62">
        <v>32.238872000000001</v>
      </c>
      <c r="G62">
        <v>29.375177000000001</v>
      </c>
      <c r="H62">
        <v>27.567824000000002</v>
      </c>
      <c r="I62">
        <v>24.284458000000001</v>
      </c>
      <c r="J62">
        <v>55.731543000000002</v>
      </c>
      <c r="K62">
        <v>50.084651000000001</v>
      </c>
      <c r="L62">
        <v>69.185366999999999</v>
      </c>
      <c r="M62">
        <v>-622.51061200000004</v>
      </c>
      <c r="N62">
        <v>1.257603</v>
      </c>
      <c r="O62">
        <v>6.1498699999999999</v>
      </c>
      <c r="P62">
        <f t="shared" si="3"/>
        <v>2.0960050000000003E-5</v>
      </c>
      <c r="Q62" cm="1">
        <f t="array" ref="Q62">[1]!PropsSI("D","T",J62+273.15,"P",101325,"Water")</f>
        <v>985.3372214001572</v>
      </c>
      <c r="R62" cm="1">
        <f t="array" ref="R62">[1]!PropsSI("D","T",K62+273.15,"P",101325,"Water")</f>
        <v>987.99673531111216</v>
      </c>
      <c r="S62">
        <f t="shared" si="4"/>
        <v>986.66697835563468</v>
      </c>
      <c r="T62" cm="1">
        <f t="array" ref="T62">[1]!PropsSI("H","T",J62+273.15,"P",101325,"Water")</f>
        <v>233389.18526570848</v>
      </c>
      <c r="U62" cm="1">
        <f t="array" ref="U62">[1]!PropsSI("H","T",K62+273.15,"P",101325,"Water")</f>
        <v>209772.44781778203</v>
      </c>
      <c r="V62">
        <f t="shared" si="5"/>
        <v>488.40804539733745</v>
      </c>
    </row>
    <row r="63" spans="1:22" x14ac:dyDescent="0.2">
      <c r="A63">
        <v>46122.694453124997</v>
      </c>
      <c r="B63">
        <v>20.519480000000001</v>
      </c>
      <c r="C63">
        <v>20.569671</v>
      </c>
      <c r="D63">
        <v>20.329184000000001</v>
      </c>
      <c r="E63">
        <v>20.339164</v>
      </c>
      <c r="F63">
        <v>32.199021000000002</v>
      </c>
      <c r="G63">
        <v>29.623532999999998</v>
      </c>
      <c r="H63">
        <v>27.520330999999999</v>
      </c>
      <c r="I63">
        <v>24.222093000000001</v>
      </c>
      <c r="J63">
        <v>55.731543000000002</v>
      </c>
      <c r="K63">
        <v>50.084491999999997</v>
      </c>
      <c r="L63">
        <v>72.911303000000004</v>
      </c>
      <c r="M63">
        <v>-622.53142700000001</v>
      </c>
      <c r="N63">
        <v>1.259795</v>
      </c>
      <c r="O63">
        <v>6.0887580000000003</v>
      </c>
      <c r="P63">
        <f t="shared" si="3"/>
        <v>2.0996583333333331E-5</v>
      </c>
      <c r="Q63" cm="1">
        <f t="array" ref="Q63">[1]!PropsSI("D","T",J63+273.15,"P",101325,"Water")</f>
        <v>985.3372214001572</v>
      </c>
      <c r="R63" cm="1">
        <f t="array" ref="R63">[1]!PropsSI("D","T",K63+273.15,"P",101325,"Water")</f>
        <v>987.99680731456249</v>
      </c>
      <c r="S63">
        <f t="shared" si="4"/>
        <v>986.6670143573599</v>
      </c>
      <c r="T63" cm="1">
        <f t="array" ref="T63">[1]!PropsSI("H","T",J63+273.15,"P",101325,"Water")</f>
        <v>233389.18526570848</v>
      </c>
      <c r="U63" cm="1">
        <f t="array" ref="U63">[1]!PropsSI("H","T",K63+273.15,"P",101325,"Water")</f>
        <v>209771.78298051248</v>
      </c>
      <c r="V63">
        <f t="shared" si="5"/>
        <v>489.27313087651623</v>
      </c>
    </row>
    <row r="64" spans="1:22" x14ac:dyDescent="0.2">
      <c r="A64">
        <v>46122.694511574075</v>
      </c>
      <c r="B64">
        <v>20.512985</v>
      </c>
      <c r="C64">
        <v>20.602924000000002</v>
      </c>
      <c r="D64">
        <v>20.312996999999999</v>
      </c>
      <c r="E64">
        <v>20.353694999999998</v>
      </c>
      <c r="F64">
        <v>32.258279999999999</v>
      </c>
      <c r="G64">
        <v>29.526789999999998</v>
      </c>
      <c r="H64">
        <v>27.441723</v>
      </c>
      <c r="I64">
        <v>24.210045000000001</v>
      </c>
      <c r="J64">
        <v>55.729315</v>
      </c>
      <c r="K64">
        <v>50.084809999999997</v>
      </c>
      <c r="L64">
        <v>69.555960999999996</v>
      </c>
      <c r="M64">
        <v>-622.493878</v>
      </c>
      <c r="N64">
        <v>1.2627010000000001</v>
      </c>
      <c r="O64">
        <v>6.1762519999999999</v>
      </c>
      <c r="P64">
        <f t="shared" si="3"/>
        <v>2.1045016666666669E-5</v>
      </c>
      <c r="Q64" cm="1">
        <f t="array" ref="Q64">[1]!PropsSI("D","T",J64+273.15,"P",101325,"Water")</f>
        <v>985.338310248158</v>
      </c>
      <c r="R64" cm="1">
        <f t="array" ref="R64">[1]!PropsSI("D","T",K64+273.15,"P",101325,"Water")</f>
        <v>987.99666330749767</v>
      </c>
      <c r="S64">
        <f t="shared" si="4"/>
        <v>986.66748677782789</v>
      </c>
      <c r="T64" cm="1">
        <f t="array" ref="T64">[1]!PropsSI("H","T",J64+273.15,"P",101325,"Water")</f>
        <v>233379.86504086989</v>
      </c>
      <c r="U64" cm="1">
        <f t="array" ref="U64">[1]!PropsSI("H","T",K64+273.15,"P",101325,"Water")</f>
        <v>209773.11265500463</v>
      </c>
      <c r="V64">
        <f t="shared" si="5"/>
        <v>490.18084487590193</v>
      </c>
    </row>
    <row r="65" spans="1:22" x14ac:dyDescent="0.2">
      <c r="A65">
        <v>46122.694570023152</v>
      </c>
      <c r="B65">
        <v>20.522113999999998</v>
      </c>
      <c r="C65">
        <v>20.594567000000001</v>
      </c>
      <c r="D65">
        <v>20.331332</v>
      </c>
      <c r="E65">
        <v>20.374368</v>
      </c>
      <c r="F65">
        <v>32.282547999999998</v>
      </c>
      <c r="G65">
        <v>29.447975</v>
      </c>
      <c r="H65">
        <v>27.678391999999999</v>
      </c>
      <c r="I65">
        <v>24.171344000000001</v>
      </c>
      <c r="J65">
        <v>55.728042000000002</v>
      </c>
      <c r="K65">
        <v>50.087670000000003</v>
      </c>
      <c r="L65">
        <v>71.013030999999998</v>
      </c>
      <c r="M65">
        <v>-622.50775499999997</v>
      </c>
      <c r="N65">
        <v>1.2641469999999999</v>
      </c>
      <c r="O65">
        <v>6.3047399999999998</v>
      </c>
      <c r="P65">
        <f t="shared" si="3"/>
        <v>2.1069116666666665E-5</v>
      </c>
      <c r="Q65" cm="1">
        <f t="array" ref="Q65">[1]!PropsSI("D","T",J65+273.15,"P",101325,"Water")</f>
        <v>985.33893236345466</v>
      </c>
      <c r="R65" cm="1">
        <f t="array" ref="R65">[1]!PropsSI("D","T",K65+273.15,"P",101325,"Water")</f>
        <v>987.99536811970756</v>
      </c>
      <c r="S65">
        <f t="shared" si="4"/>
        <v>986.66715024158111</v>
      </c>
      <c r="T65" cm="1">
        <f t="array" ref="T65">[1]!PropsSI("H","T",J65+273.15,"P",101325,"Water")</f>
        <v>233374.539796547</v>
      </c>
      <c r="U65" cm="1">
        <f t="array" ref="U65">[1]!PropsSI("H","T",K65+273.15,"P",101325,"Water")</f>
        <v>209785.07136392413</v>
      </c>
      <c r="V65">
        <f t="shared" si="5"/>
        <v>490.38271268597225</v>
      </c>
    </row>
    <row r="66" spans="1:22" x14ac:dyDescent="0.2">
      <c r="A66">
        <v>46122.694628472222</v>
      </c>
      <c r="B66">
        <v>20.527546000000001</v>
      </c>
      <c r="C66">
        <v>20.567456</v>
      </c>
      <c r="D66">
        <v>20.337645999999999</v>
      </c>
      <c r="E66">
        <v>20.396927000000002</v>
      </c>
      <c r="F66">
        <v>32.318202999999997</v>
      </c>
      <c r="G66">
        <v>29.32227</v>
      </c>
      <c r="H66">
        <v>27.709076</v>
      </c>
      <c r="I66">
        <v>24.107761</v>
      </c>
      <c r="J66">
        <v>55.727404999999997</v>
      </c>
      <c r="K66">
        <v>50.092117999999999</v>
      </c>
      <c r="L66">
        <v>69.731461999999993</v>
      </c>
      <c r="M66">
        <v>-622.43959500000005</v>
      </c>
      <c r="N66">
        <v>1.2604139999999999</v>
      </c>
      <c r="O66">
        <v>6.1749679999999998</v>
      </c>
      <c r="P66">
        <f t="shared" si="3"/>
        <v>2.1006899999999997E-5</v>
      </c>
      <c r="Q66" cm="1">
        <f t="array" ref="Q66">[1]!PropsSI("D","T",J66+273.15,"P",101325,"Water")</f>
        <v>985.33924366171539</v>
      </c>
      <c r="R66" cm="1">
        <f t="array" ref="R66">[1]!PropsSI("D","T",K66+273.15,"P",101325,"Water")</f>
        <v>987.99335367921572</v>
      </c>
      <c r="S66">
        <f t="shared" si="4"/>
        <v>986.66629867046549</v>
      </c>
      <c r="T66" cm="1">
        <f t="array" ref="T66">[1]!PropsSI("H","T",J66+273.15,"P",101325,"Water")</f>
        <v>233371.87508301742</v>
      </c>
      <c r="U66" cm="1">
        <f t="array" ref="U66">[1]!PropsSI("H","T",K66+273.15,"P",101325,"Water")</f>
        <v>209803.67008789891</v>
      </c>
      <c r="V66">
        <f t="shared" si="5"/>
        <v>488.49347764541056</v>
      </c>
    </row>
    <row r="67" spans="1:22" x14ac:dyDescent="0.2">
      <c r="A67">
        <v>46122.694686921299</v>
      </c>
      <c r="B67">
        <v>20.566168999999999</v>
      </c>
      <c r="C67">
        <v>20.572561</v>
      </c>
      <c r="D67">
        <v>20.345535000000002</v>
      </c>
      <c r="E67">
        <v>20.431609000000002</v>
      </c>
      <c r="F67">
        <v>32.347911000000003</v>
      </c>
      <c r="G67">
        <v>29.176679</v>
      </c>
      <c r="H67">
        <v>27.699928</v>
      </c>
      <c r="I67">
        <v>24.297457000000001</v>
      </c>
      <c r="J67">
        <v>55.724221999999997</v>
      </c>
      <c r="K67">
        <v>50.091959000000003</v>
      </c>
      <c r="L67">
        <v>75.809117000000001</v>
      </c>
      <c r="M67">
        <v>-622.49469399999998</v>
      </c>
      <c r="N67">
        <v>1.262397</v>
      </c>
      <c r="O67">
        <v>6.3103569999999998</v>
      </c>
      <c r="P67">
        <f t="shared" si="3"/>
        <v>2.1039949999999998E-5</v>
      </c>
      <c r="Q67" cm="1">
        <f t="array" ref="Q67">[1]!PropsSI("D","T",J67+273.15,"P",101325,"Water")</f>
        <v>985.34079913817254</v>
      </c>
      <c r="R67" cm="1">
        <f t="array" ref="R67">[1]!PropsSI("D","T",K67+273.15,"P",101325,"Water")</f>
        <v>987.99342569044359</v>
      </c>
      <c r="S67">
        <f t="shared" si="4"/>
        <v>986.66711241430812</v>
      </c>
      <c r="T67" cm="1">
        <f t="array" ref="T67">[1]!PropsSI("H","T",J67+273.15,"P",101325,"Water")</f>
        <v>233358.5598839536</v>
      </c>
      <c r="U67" cm="1">
        <f t="array" ref="U67">[1]!PropsSI("H","T",K67+273.15,"P",101325,"Water")</f>
        <v>209803.00525033387</v>
      </c>
      <c r="V67">
        <f t="shared" si="5"/>
        <v>488.99981007340534</v>
      </c>
    </row>
    <row r="68" spans="1:22" x14ac:dyDescent="0.2">
      <c r="A68">
        <v>46122.694744791668</v>
      </c>
      <c r="B68">
        <v>20.569481</v>
      </c>
      <c r="C68">
        <v>20.656853999999999</v>
      </c>
      <c r="D68">
        <v>20.411947000000001</v>
      </c>
      <c r="E68">
        <v>20.483325000000001</v>
      </c>
      <c r="F68">
        <v>32.264707999999999</v>
      </c>
      <c r="G68">
        <v>29.465821999999999</v>
      </c>
      <c r="H68">
        <v>27.609418999999999</v>
      </c>
      <c r="I68">
        <v>24.148634000000001</v>
      </c>
      <c r="J68">
        <v>55.724699999999999</v>
      </c>
      <c r="K68">
        <v>50.093071000000002</v>
      </c>
      <c r="L68">
        <v>69.394744000000003</v>
      </c>
      <c r="M68">
        <v>-622.47143000000005</v>
      </c>
      <c r="N68">
        <v>1.2616970000000001</v>
      </c>
      <c r="O68">
        <v>6.1898869999999997</v>
      </c>
      <c r="P68">
        <f t="shared" si="3"/>
        <v>2.1028283333333333E-5</v>
      </c>
      <c r="Q68" cm="1">
        <f t="array" ref="Q68">[1]!PropsSI("D","T",J68+273.15,"P",101325,"Water")</f>
        <v>985.34056555191023</v>
      </c>
      <c r="R68" cm="1">
        <f t="array" ref="R68">[1]!PropsSI("D","T",K68+273.15,"P",101325,"Water")</f>
        <v>987.99292206121493</v>
      </c>
      <c r="S68">
        <f t="shared" si="4"/>
        <v>986.66674380656264</v>
      </c>
      <c r="T68" cm="1">
        <f t="array" ref="T68">[1]!PropsSI("H","T",J68+273.15,"P",101325,"Water")</f>
        <v>233360.55946436911</v>
      </c>
      <c r="U68" cm="1">
        <f t="array" ref="U68">[1]!PropsSI("H","T",K68+273.15,"P",101325,"Water")</f>
        <v>209807.6549321388</v>
      </c>
      <c r="V68">
        <f t="shared" si="5"/>
        <v>488.67349270129512</v>
      </c>
    </row>
    <row r="69" spans="1:22" x14ac:dyDescent="0.2">
      <c r="A69">
        <v>46122.694802662038</v>
      </c>
      <c r="B69">
        <v>20.699894</v>
      </c>
      <c r="C69">
        <v>20.694255999999999</v>
      </c>
      <c r="D69">
        <v>20.434260999999999</v>
      </c>
      <c r="E69">
        <v>20.461998000000001</v>
      </c>
      <c r="F69">
        <v>32.384265999999997</v>
      </c>
      <c r="G69">
        <v>29.572911999999999</v>
      </c>
      <c r="H69">
        <v>27.781846000000002</v>
      </c>
      <c r="I69">
        <v>24.148194</v>
      </c>
      <c r="J69">
        <v>55.726768</v>
      </c>
      <c r="K69">
        <v>50.092753999999999</v>
      </c>
      <c r="L69">
        <v>69.102106000000006</v>
      </c>
      <c r="M69">
        <v>-622.54897700000004</v>
      </c>
      <c r="N69">
        <v>1.257509</v>
      </c>
      <c r="O69">
        <v>6.1060790000000003</v>
      </c>
      <c r="P69">
        <f t="shared" si="3"/>
        <v>2.0958483333333333E-5</v>
      </c>
      <c r="Q69" cm="1">
        <f t="array" ref="Q69">[1]!PropsSI("D","T",J69+273.15,"P",101325,"Water")</f>
        <v>985.33955495746557</v>
      </c>
      <c r="R69" cm="1">
        <f t="array" ref="R69">[1]!PropsSI("D","T",K69+273.15,"P",101325,"Water")</f>
        <v>987.99306563264565</v>
      </c>
      <c r="S69">
        <f t="shared" si="4"/>
        <v>986.66631029505561</v>
      </c>
      <c r="T69" cm="1">
        <f t="array" ref="T69">[1]!PropsSI("H","T",J69+273.15,"P",101325,"Water")</f>
        <v>233369.21036960126</v>
      </c>
      <c r="U69" cm="1">
        <f t="array" ref="U69">[1]!PropsSI("H","T",K69+273.15,"P",101325,"Water")</f>
        <v>209806.32943824577</v>
      </c>
      <c r="V69">
        <f t="shared" si="5"/>
        <v>487.25750799663956</v>
      </c>
    </row>
    <row r="70" spans="1:22" x14ac:dyDescent="0.2">
      <c r="A70">
        <v>46122.694861111115</v>
      </c>
      <c r="B70">
        <v>20.646070000000002</v>
      </c>
      <c r="C70">
        <v>20.736509000000002</v>
      </c>
      <c r="D70">
        <v>20.360468999999998</v>
      </c>
      <c r="E70">
        <v>20.468440000000001</v>
      </c>
      <c r="F70">
        <v>32.360236999999998</v>
      </c>
      <c r="G70">
        <v>29.789669</v>
      </c>
      <c r="H70">
        <v>27.777740999999999</v>
      </c>
      <c r="I70">
        <v>24.041830999999998</v>
      </c>
      <c r="J70">
        <v>55.725973000000003</v>
      </c>
      <c r="K70">
        <v>50.089894000000001</v>
      </c>
      <c r="L70">
        <v>69.846149999999994</v>
      </c>
      <c r="M70">
        <v>-622.45020699999998</v>
      </c>
      <c r="N70">
        <v>1.257644</v>
      </c>
      <c r="O70">
        <v>6.009118</v>
      </c>
      <c r="P70">
        <f t="shared" si="3"/>
        <v>2.0960733333333334E-5</v>
      </c>
      <c r="Q70" cm="1">
        <f t="array" ref="Q70">[1]!PropsSI("D","T",J70+273.15,"P",101325,"Water")</f>
        <v>985.33994346280838</v>
      </c>
      <c r="R70" cm="1">
        <f t="array" ref="R70">[1]!PropsSI("D","T",K70+273.15,"P",101325,"Water")</f>
        <v>987.99436091567452</v>
      </c>
      <c r="S70">
        <f t="shared" si="4"/>
        <v>986.66715218924151</v>
      </c>
      <c r="T70" cm="1">
        <f t="array" ref="T70">[1]!PropsSI("H","T",J70+273.15,"P",101325,"Water")</f>
        <v>233365.88470710948</v>
      </c>
      <c r="U70" cm="1">
        <f t="array" ref="U70">[1]!PropsSI("H","T",K70+273.15,"P",101325,"Water")</f>
        <v>209794.37072521535</v>
      </c>
      <c r="V70">
        <f t="shared" si="5"/>
        <v>487.48877580474664</v>
      </c>
    </row>
    <row r="71" spans="1:22" x14ac:dyDescent="0.2">
      <c r="A71">
        <v>46122.694918981484</v>
      </c>
      <c r="B71">
        <v>20.587721999999999</v>
      </c>
      <c r="C71">
        <v>20.748049999999999</v>
      </c>
      <c r="D71">
        <v>20.377580999999999</v>
      </c>
      <c r="E71">
        <v>20.495252000000001</v>
      </c>
      <c r="F71">
        <v>32.283290000000001</v>
      </c>
      <c r="G71">
        <v>29.605432</v>
      </c>
      <c r="H71">
        <v>27.739957</v>
      </c>
      <c r="I71">
        <v>24.064325</v>
      </c>
      <c r="J71">
        <v>55.725973000000003</v>
      </c>
      <c r="K71">
        <v>50.092435999999999</v>
      </c>
      <c r="L71">
        <v>72.019103000000001</v>
      </c>
      <c r="M71">
        <v>-622.48367399999995</v>
      </c>
      <c r="N71">
        <v>1.2581929999999999</v>
      </c>
      <c r="O71">
        <v>6.1058630000000003</v>
      </c>
      <c r="P71">
        <f t="shared" si="3"/>
        <v>2.0969883333333331E-5</v>
      </c>
      <c r="Q71" cm="1">
        <f t="array" ref="Q71">[1]!PropsSI("D","T",J71+273.15,"P",101325,"Water")</f>
        <v>985.33994346280838</v>
      </c>
      <c r="R71" cm="1">
        <f t="array" ref="R71">[1]!PropsSI("D","T",K71+273.15,"P",101325,"Water")</f>
        <v>987.99320965625122</v>
      </c>
      <c r="S71">
        <f t="shared" si="4"/>
        <v>986.66657655952986</v>
      </c>
      <c r="T71" cm="1">
        <f t="array" ref="T71">[1]!PropsSI("H","T",J71+273.15,"P",101325,"Water")</f>
        <v>233365.88470710948</v>
      </c>
      <c r="U71" cm="1">
        <f t="array" ref="U71">[1]!PropsSI("H","T",K71+273.15,"P",101325,"Water")</f>
        <v>209804.99976310978</v>
      </c>
      <c r="V71">
        <f t="shared" si="5"/>
        <v>487.4813772065429</v>
      </c>
    </row>
    <row r="72" spans="1:22" x14ac:dyDescent="0.2">
      <c r="A72">
        <v>46122.694977430554</v>
      </c>
      <c r="B72">
        <v>20.606200999999999</v>
      </c>
      <c r="C72">
        <v>20.725756000000001</v>
      </c>
      <c r="D72">
        <v>20.458794999999999</v>
      </c>
      <c r="E72">
        <v>20.592161999999998</v>
      </c>
      <c r="F72">
        <v>32.317977999999997</v>
      </c>
      <c r="G72">
        <v>29.401097</v>
      </c>
      <c r="H72">
        <v>27.582636000000001</v>
      </c>
      <c r="I72">
        <v>24.245232999999999</v>
      </c>
      <c r="J72">
        <v>55.728200999999999</v>
      </c>
      <c r="K72">
        <v>50.091641000000003</v>
      </c>
      <c r="L72">
        <v>71.740341000000001</v>
      </c>
      <c r="M72">
        <v>-622.47918500000003</v>
      </c>
      <c r="N72">
        <v>1.256578</v>
      </c>
      <c r="O72">
        <v>6.1213920000000002</v>
      </c>
      <c r="P72">
        <f t="shared" si="3"/>
        <v>2.0942966666666666E-5</v>
      </c>
      <c r="Q72" cm="1">
        <f t="array" ref="Q72">[1]!PropsSI("D","T",J72+273.15,"P",101325,"Water")</f>
        <v>985.33885466068148</v>
      </c>
      <c r="R72" cm="1">
        <f t="array" ref="R72">[1]!PropsSI("D","T",K72+273.15,"P",101325,"Water")</f>
        <v>987.993569712419</v>
      </c>
      <c r="S72">
        <f t="shared" si="4"/>
        <v>986.66621218655018</v>
      </c>
      <c r="T72" cm="1">
        <f t="array" ref="T72">[1]!PropsSI("H","T",J72+273.15,"P",101325,"Water")</f>
        <v>233375.20492916816</v>
      </c>
      <c r="U72" cm="1">
        <f t="array" ref="U72">[1]!PropsSI("H","T",K72+273.15,"P",101325,"Water")</f>
        <v>209801.67557522125</v>
      </c>
      <c r="V72">
        <f t="shared" si="5"/>
        <v>487.11675323905678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16D7-73CA-2E4B-893E-B6CA049ADD8F}">
  <dimension ref="A1:W92"/>
  <sheetViews>
    <sheetView topLeftCell="E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2">
      <c r="A2">
        <v>44660.684090856703</v>
      </c>
      <c r="B2">
        <v>20.782354999999999</v>
      </c>
      <c r="C2">
        <v>20.750962000000001</v>
      </c>
      <c r="D2">
        <v>20.568467999999999</v>
      </c>
      <c r="E2">
        <v>20.535342</v>
      </c>
      <c r="F2">
        <v>30.598907000000001</v>
      </c>
      <c r="G2">
        <v>27.818838</v>
      </c>
      <c r="H2">
        <v>26.629740000000002</v>
      </c>
      <c r="I2">
        <v>23.322424000000002</v>
      </c>
      <c r="J2">
        <v>55.671705000000003</v>
      </c>
      <c r="K2">
        <v>49.496704999999999</v>
      </c>
      <c r="L2">
        <v>110.91388999999999</v>
      </c>
      <c r="M2">
        <v>-622.44857400000001</v>
      </c>
      <c r="N2">
        <v>1.258402</v>
      </c>
      <c r="O2">
        <v>6.0648799999999996</v>
      </c>
      <c r="P2">
        <f t="shared" ref="P2:P21" si="0" xml:space="preserve"> N2*0.001/60</f>
        <v>2.0973366666666668E-5</v>
      </c>
      <c r="Q2" cm="1">
        <f t="array" ref="Q2">[1]!PropsSI("D","T",J2+273.15,"P",101325,"Water")</f>
        <v>985.36645426448786</v>
      </c>
      <c r="R2" cm="1">
        <f t="array" ref="R2">[1]!PropsSI("D","T",K2+273.15,"P",101325,"Water")</f>
        <v>988.26185290163812</v>
      </c>
      <c r="S2">
        <f t="shared" ref="S2:S21" si="1">(Q2+R2)/2</f>
        <v>986.81415358306299</v>
      </c>
      <c r="T2" cm="1">
        <f t="array" ref="T2">[1]!PropsSI("H","T",J2+273.15,"P",101325,"Water")</f>
        <v>233138.87010270281</v>
      </c>
      <c r="U2" cm="1">
        <f t="array" ref="U2">[1]!PropsSI("H","T",K2+273.15,"P",101325,"Water")</f>
        <v>207314.07880130329</v>
      </c>
      <c r="V2">
        <f t="shared" ref="V2:V21" si="2">S2*P2*(T2-U2)</f>
        <v>534.49092991434395</v>
      </c>
      <c r="W2" s="1">
        <f>AVERAGE(V2:V73)</f>
        <v>533.07599203128348</v>
      </c>
    </row>
    <row r="3" spans="1:23" x14ac:dyDescent="0.2">
      <c r="A3">
        <v>44660.684148726999</v>
      </c>
      <c r="B3">
        <v>20.815760000000001</v>
      </c>
      <c r="C3">
        <v>20.842338999999999</v>
      </c>
      <c r="D3">
        <v>20.417100000000001</v>
      </c>
      <c r="E3">
        <v>20.445473</v>
      </c>
      <c r="F3">
        <v>30.498429999999999</v>
      </c>
      <c r="G3">
        <v>27.938548999999998</v>
      </c>
      <c r="H3">
        <v>26.648675000000001</v>
      </c>
      <c r="I3">
        <v>23.488669999999999</v>
      </c>
      <c r="J3">
        <v>55.676479999999998</v>
      </c>
      <c r="K3">
        <v>49.504488000000002</v>
      </c>
      <c r="L3">
        <v>106.565944</v>
      </c>
      <c r="M3">
        <v>-622.50040799999999</v>
      </c>
      <c r="N3">
        <v>1.2586930000000001</v>
      </c>
      <c r="O3">
        <v>5.8404730000000002</v>
      </c>
      <c r="P3">
        <f t="shared" si="0"/>
        <v>2.0978216666666669E-5</v>
      </c>
      <c r="Q3" cm="1">
        <f t="array" ref="Q3">[1]!PropsSI("D","T",J3+273.15,"P",101325,"Water")</f>
        <v>985.36412232754435</v>
      </c>
      <c r="R3" cm="1">
        <f t="array" ref="R3">[1]!PropsSI("D","T",K3+273.15,"P",101325,"Water")</f>
        <v>988.25835823992713</v>
      </c>
      <c r="S3">
        <f t="shared" si="1"/>
        <v>986.81124028373574</v>
      </c>
      <c r="T3" cm="1">
        <f t="array" ref="T3">[1]!PropsSI("H","T",J3+273.15,"P",101325,"Water")</f>
        <v>233158.84490091656</v>
      </c>
      <c r="U3" cm="1">
        <f t="array" ref="U3">[1]!PropsSI("H","T",K3+273.15,"P",101325,"Water")</f>
        <v>207346.62110485844</v>
      </c>
      <c r="V3">
        <f t="shared" si="2"/>
        <v>534.35278360372035</v>
      </c>
      <c r="W3" s="1"/>
    </row>
    <row r="4" spans="1:23" x14ac:dyDescent="0.2">
      <c r="A4">
        <v>44660.684207176098</v>
      </c>
      <c r="B4">
        <v>20.678553000000001</v>
      </c>
      <c r="C4">
        <v>20.776606999999998</v>
      </c>
      <c r="D4">
        <v>20.389427999999999</v>
      </c>
      <c r="E4">
        <v>20.455067</v>
      </c>
      <c r="F4">
        <v>30.436803999999999</v>
      </c>
      <c r="G4">
        <v>27.974081999999999</v>
      </c>
      <c r="H4">
        <v>26.95411</v>
      </c>
      <c r="I4">
        <v>23.647300000000001</v>
      </c>
      <c r="J4">
        <v>55.679026</v>
      </c>
      <c r="K4">
        <v>49.516561000000003</v>
      </c>
      <c r="L4">
        <v>118.61228</v>
      </c>
      <c r="M4">
        <v>-622.49959200000001</v>
      </c>
      <c r="N4">
        <v>1.262918</v>
      </c>
      <c r="O4">
        <v>6.014913</v>
      </c>
      <c r="P4">
        <f t="shared" si="0"/>
        <v>2.1048633333333334E-5</v>
      </c>
      <c r="Q4" cm="1">
        <f t="array" ref="Q4">[1]!PropsSI("D","T",J4+273.15,"P",101325,"Water")</f>
        <v>985.36287889596997</v>
      </c>
      <c r="R4" cm="1">
        <f t="array" ref="R4">[1]!PropsSI("D","T",K4+273.15,"P",101325,"Water")</f>
        <v>988.25293652529388</v>
      </c>
      <c r="S4">
        <f t="shared" si="1"/>
        <v>986.80790771063198</v>
      </c>
      <c r="T4" cm="1">
        <f t="array" ref="T4">[1]!PropsSI("H","T",J4+273.15,"P",101325,"Water")</f>
        <v>233169.49534127381</v>
      </c>
      <c r="U4" cm="1">
        <f t="array" ref="U4">[1]!PropsSI("H","T",K4+273.15,"P",101325,"Water")</f>
        <v>207397.10080253845</v>
      </c>
      <c r="V4">
        <f t="shared" si="2"/>
        <v>535.31731988021636</v>
      </c>
      <c r="W4" s="1"/>
    </row>
    <row r="5" spans="1:23" x14ac:dyDescent="0.2">
      <c r="A5">
        <v>44660.684265625197</v>
      </c>
      <c r="B5">
        <v>20.658961999999999</v>
      </c>
      <c r="C5">
        <v>20.763912999999999</v>
      </c>
      <c r="D5">
        <v>20.396692999999999</v>
      </c>
      <c r="E5">
        <v>20.499006000000001</v>
      </c>
      <c r="F5">
        <v>30.532978</v>
      </c>
      <c r="G5">
        <v>28.159137000000001</v>
      </c>
      <c r="H5">
        <v>26.64068</v>
      </c>
      <c r="I5">
        <v>23.377023999999999</v>
      </c>
      <c r="J5">
        <v>55.682527</v>
      </c>
      <c r="K5">
        <v>49.521484999999998</v>
      </c>
      <c r="L5">
        <v>116.57279</v>
      </c>
      <c r="M5">
        <v>-622.49347</v>
      </c>
      <c r="N5">
        <v>1.2623150000000001</v>
      </c>
      <c r="O5">
        <v>6.0986320000000003</v>
      </c>
      <c r="P5">
        <f t="shared" si="0"/>
        <v>2.1038583333333335E-5</v>
      </c>
      <c r="Q5" cm="1">
        <f t="array" ref="Q5">[1]!PropsSI("D","T",J5+273.15,"P",101325,"Water")</f>
        <v>985.36116899020851</v>
      </c>
      <c r="R5" cm="1">
        <f t="array" ref="R5">[1]!PropsSI("D","T",K5+273.15,"P",101325,"Water")</f>
        <v>988.25072499085627</v>
      </c>
      <c r="S5">
        <f t="shared" si="1"/>
        <v>986.80594699053245</v>
      </c>
      <c r="T5" cm="1">
        <f t="array" ref="T5">[1]!PropsSI("H","T",J5+273.15,"P",101325,"Water")</f>
        <v>233184.14074651833</v>
      </c>
      <c r="U5" cm="1">
        <f t="array" ref="U5">[1]!PropsSI("H","T",K5+273.15,"P",101325,"Water")</f>
        <v>207417.68907141627</v>
      </c>
      <c r="V5">
        <f t="shared" si="2"/>
        <v>534.93728131472596</v>
      </c>
      <c r="W5" s="1"/>
    </row>
    <row r="6" spans="1:23" x14ac:dyDescent="0.2">
      <c r="A6">
        <v>46122.684324074071</v>
      </c>
      <c r="B6">
        <v>20.612120000000001</v>
      </c>
      <c r="C6">
        <v>20.718164000000002</v>
      </c>
      <c r="D6">
        <v>20.459790000000002</v>
      </c>
      <c r="E6">
        <v>20.542847999999999</v>
      </c>
      <c r="F6">
        <v>30.533405999999999</v>
      </c>
      <c r="G6">
        <v>28.166409000000002</v>
      </c>
      <c r="H6">
        <v>27.194590999999999</v>
      </c>
      <c r="I6">
        <v>23.338505000000001</v>
      </c>
      <c r="J6">
        <v>55.679822000000001</v>
      </c>
      <c r="K6">
        <v>49.525933000000002</v>
      </c>
      <c r="L6">
        <v>114.35902400000001</v>
      </c>
      <c r="M6">
        <v>-622.52856999999995</v>
      </c>
      <c r="N6">
        <v>1.264483</v>
      </c>
      <c r="O6">
        <v>6.2287730000000003</v>
      </c>
      <c r="P6">
        <f t="shared" si="0"/>
        <v>2.1074716666666667E-5</v>
      </c>
      <c r="Q6" cm="1">
        <f t="array" ref="Q6">[1]!PropsSI("D","T",J6+273.15,"P",101325,"Water")</f>
        <v>985.36249013225813</v>
      </c>
      <c r="R6" cm="1">
        <f t="array" ref="R6">[1]!PropsSI("D","T",K6+273.15,"P",101325,"Water")</f>
        <v>988.24872710656484</v>
      </c>
      <c r="S6">
        <f t="shared" si="1"/>
        <v>986.80560861941149</v>
      </c>
      <c r="T6" cm="1">
        <f t="array" ref="T6">[1]!PropsSI("H","T",J6+273.15,"P",101325,"Water")</f>
        <v>233172.8251731082</v>
      </c>
      <c r="U6" cm="1">
        <f t="array" ref="U6">[1]!PropsSI("H","T",K6+273.15,"P",101325,"Water")</f>
        <v>207436.28709093697</v>
      </c>
      <c r="V6">
        <f t="shared" si="2"/>
        <v>535.23373884868249</v>
      </c>
      <c r="W6" s="1"/>
    </row>
    <row r="7" spans="1:23" x14ac:dyDescent="0.2">
      <c r="A7">
        <v>46122.684381944448</v>
      </c>
      <c r="B7">
        <v>20.658179000000001</v>
      </c>
      <c r="C7">
        <v>20.709059</v>
      </c>
      <c r="D7">
        <v>20.481784000000001</v>
      </c>
      <c r="E7">
        <v>20.541876999999999</v>
      </c>
      <c r="F7">
        <v>30.478373000000001</v>
      </c>
      <c r="G7">
        <v>28.087668000000001</v>
      </c>
      <c r="H7">
        <v>26.569649999999999</v>
      </c>
      <c r="I7">
        <v>23.440377000000002</v>
      </c>
      <c r="J7">
        <v>55.681412999999999</v>
      </c>
      <c r="K7">
        <v>49.526091999999998</v>
      </c>
      <c r="L7">
        <v>111.011436</v>
      </c>
      <c r="M7">
        <v>-622.50285699999995</v>
      </c>
      <c r="N7">
        <v>1.260672</v>
      </c>
      <c r="O7">
        <v>6.0580939999999996</v>
      </c>
      <c r="P7">
        <f t="shared" si="0"/>
        <v>2.10112E-5</v>
      </c>
      <c r="Q7" cm="1">
        <f t="array" ref="Q7">[1]!PropsSI("D","T",J7+273.15,"P",101325,"Water")</f>
        <v>985.3617130815237</v>
      </c>
      <c r="R7" cm="1">
        <f t="array" ref="R7">[1]!PropsSI("D","T",K7+273.15,"P",101325,"Water")</f>
        <v>988.24865568696589</v>
      </c>
      <c r="S7">
        <f t="shared" si="1"/>
        <v>986.80518438424474</v>
      </c>
      <c r="T7" cm="1">
        <f t="array" ref="T7">[1]!PropsSI("H","T",J7+273.15,"P",101325,"Water")</f>
        <v>233179.48065423811</v>
      </c>
      <c r="U7" cm="1">
        <f t="array" ref="U7">[1]!PropsSI("H","T",K7+273.15,"P",101325,"Water")</f>
        <v>207436.951903337</v>
      </c>
      <c r="V7">
        <f t="shared" si="2"/>
        <v>533.74458948284564</v>
      </c>
      <c r="W7" s="1"/>
    </row>
    <row r="8" spans="1:23" x14ac:dyDescent="0.2">
      <c r="A8">
        <v>46122.684440393517</v>
      </c>
      <c r="B8">
        <v>20.714803</v>
      </c>
      <c r="C8">
        <v>20.727609000000001</v>
      </c>
      <c r="D8">
        <v>20.430710000000001</v>
      </c>
      <c r="E8">
        <v>20.486736000000001</v>
      </c>
      <c r="F8">
        <v>30.488351999999999</v>
      </c>
      <c r="G8">
        <v>28.046365000000002</v>
      </c>
      <c r="H8">
        <v>26.486775000000002</v>
      </c>
      <c r="I8">
        <v>23.296852000000001</v>
      </c>
      <c r="J8">
        <v>55.678389000000003</v>
      </c>
      <c r="K8">
        <v>49.527997999999997</v>
      </c>
      <c r="L8">
        <v>115.402237</v>
      </c>
      <c r="M8">
        <v>-622.50938699999995</v>
      </c>
      <c r="N8">
        <v>1.261725</v>
      </c>
      <c r="O8">
        <v>5.9748830000000002</v>
      </c>
      <c r="P8">
        <f t="shared" si="0"/>
        <v>2.1028750000000001E-5</v>
      </c>
      <c r="Q8" cm="1">
        <f t="array" ref="Q8">[1]!PropsSI("D","T",J8+273.15,"P",101325,"Water")</f>
        <v>985.36319000179719</v>
      </c>
      <c r="R8" cm="1">
        <f t="array" ref="R8">[1]!PropsSI("D","T",K8+273.15,"P",101325,"Water")</f>
        <v>988.24779953724942</v>
      </c>
      <c r="S8">
        <f t="shared" si="1"/>
        <v>986.80549476952331</v>
      </c>
      <c r="T8" cm="1">
        <f t="array" ref="T8">[1]!PropsSI("H","T",J8+273.15,"P",101325,"Water")</f>
        <v>233166.83063936085</v>
      </c>
      <c r="U8" cm="1">
        <f t="array" ref="U8">[1]!PropsSI("H","T",K8+273.15,"P",101325,"Water")</f>
        <v>207444.92129026481</v>
      </c>
      <c r="V8">
        <f t="shared" si="2"/>
        <v>533.76269860727996</v>
      </c>
      <c r="W8" s="1"/>
    </row>
    <row r="9" spans="1:23" x14ac:dyDescent="0.2">
      <c r="A9">
        <v>46122.684498263887</v>
      </c>
      <c r="B9">
        <v>20.800115000000002</v>
      </c>
      <c r="C9">
        <v>20.639759999999999</v>
      </c>
      <c r="D9">
        <v>20.418063</v>
      </c>
      <c r="E9">
        <v>20.467558</v>
      </c>
      <c r="F9">
        <v>30.665212</v>
      </c>
      <c r="G9">
        <v>27.976679000000001</v>
      </c>
      <c r="H9">
        <v>26.412267</v>
      </c>
      <c r="I9">
        <v>23.275348999999999</v>
      </c>
      <c r="J9">
        <v>55.681890000000003</v>
      </c>
      <c r="K9">
        <v>49.529586000000002</v>
      </c>
      <c r="L9">
        <v>115.798951</v>
      </c>
      <c r="M9">
        <v>-622.45836899999995</v>
      </c>
      <c r="N9">
        <v>1.2627699999999999</v>
      </c>
      <c r="O9">
        <v>5.9453379999999996</v>
      </c>
      <c r="P9">
        <f t="shared" si="0"/>
        <v>2.1046166666666668E-5</v>
      </c>
      <c r="Q9" cm="1">
        <f t="array" ref="Q9">[1]!PropsSI("D","T",J9+273.15,"P",101325,"Water")</f>
        <v>985.36148010977229</v>
      </c>
      <c r="R9" cm="1">
        <f t="array" ref="R9">[1]!PropsSI("D","T",K9+273.15,"P",101325,"Water")</f>
        <v>988.24708621057425</v>
      </c>
      <c r="S9">
        <f t="shared" si="1"/>
        <v>986.80428316017333</v>
      </c>
      <c r="T9" cm="1">
        <f t="array" ref="T9">[1]!PropsSI("H","T",J9+273.15,"P",101325,"Water")</f>
        <v>233181.47604376727</v>
      </c>
      <c r="U9" cm="1">
        <f t="array" ref="U9">[1]!PropsSI("H","T",K9+273.15,"P",101325,"Water")</f>
        <v>207451.56105306547</v>
      </c>
      <c r="V9">
        <f t="shared" si="2"/>
        <v>534.37038636796103</v>
      </c>
      <c r="W9" s="1"/>
    </row>
    <row r="10" spans="1:23" x14ac:dyDescent="0.2">
      <c r="A10">
        <v>44660.684556713102</v>
      </c>
      <c r="B10">
        <v>20.713930000000001</v>
      </c>
      <c r="C10">
        <v>20.674289000000002</v>
      </c>
      <c r="D10">
        <v>20.387374000000001</v>
      </c>
      <c r="E10">
        <v>20.438333</v>
      </c>
      <c r="F10">
        <v>30.549527999999999</v>
      </c>
      <c r="G10">
        <v>28.003771</v>
      </c>
      <c r="H10">
        <v>26.837451000000001</v>
      </c>
      <c r="I10">
        <v>23.218026999999999</v>
      </c>
      <c r="J10">
        <v>55.686664999999998</v>
      </c>
      <c r="K10">
        <v>49.530538999999997</v>
      </c>
      <c r="L10">
        <v>106.462276</v>
      </c>
      <c r="M10">
        <v>-622.51061200000004</v>
      </c>
      <c r="N10">
        <v>1.2592829999999999</v>
      </c>
      <c r="O10">
        <v>6.006297</v>
      </c>
      <c r="P10">
        <f t="shared" si="0"/>
        <v>2.098805E-5</v>
      </c>
      <c r="Q10" cm="1">
        <f t="array" ref="Q10">[1]!PropsSI("D","T",J10+273.15,"P",101325,"Water")</f>
        <v>985.35914787304478</v>
      </c>
      <c r="R10" cm="1">
        <f t="array" ref="R10">[1]!PropsSI("D","T",K10+273.15,"P",101325,"Water")</f>
        <v>988.24665811674186</v>
      </c>
      <c r="S10">
        <f t="shared" si="1"/>
        <v>986.80290299489332</v>
      </c>
      <c r="T10" cm="1">
        <f t="array" ref="T10">[1]!PropsSI("H","T",J10+273.15,"P",101325,"Water")</f>
        <v>233201.45086011916</v>
      </c>
      <c r="U10" cm="1">
        <f t="array" ref="U10">[1]!PropsSI("H","T",K10+273.15,"P",101325,"Water")</f>
        <v>207455.54574733827</v>
      </c>
      <c r="V10">
        <f t="shared" si="2"/>
        <v>533.2252087158173</v>
      </c>
    </row>
    <row r="11" spans="1:23" x14ac:dyDescent="0.2">
      <c r="A11">
        <v>44660.684614583501</v>
      </c>
      <c r="B11">
        <v>20.685023999999999</v>
      </c>
      <c r="C11">
        <v>20.681135999999999</v>
      </c>
      <c r="D11">
        <v>20.374956999999998</v>
      </c>
      <c r="E11">
        <v>20.402614</v>
      </c>
      <c r="F11">
        <v>30.572132</v>
      </c>
      <c r="G11">
        <v>27.967386999999999</v>
      </c>
      <c r="H11">
        <v>26.591781000000001</v>
      </c>
      <c r="I11">
        <v>23.503498</v>
      </c>
      <c r="J11">
        <v>55.688893</v>
      </c>
      <c r="K11">
        <v>49.534987000000001</v>
      </c>
      <c r="L11">
        <v>110.514726</v>
      </c>
      <c r="M11">
        <v>-622.46938899999998</v>
      </c>
      <c r="N11">
        <v>1.254173</v>
      </c>
      <c r="O11">
        <v>6.1273260000000001</v>
      </c>
      <c r="P11">
        <f t="shared" si="0"/>
        <v>2.0902883333333333E-5</v>
      </c>
      <c r="Q11" cm="1">
        <f t="array" ref="Q11">[1]!PropsSI("D","T",J11+273.15,"P",101325,"Water")</f>
        <v>985.35805961061806</v>
      </c>
      <c r="R11" cm="1">
        <f t="array" ref="R11">[1]!PropsSI("D","T",K11+273.15,"P",101325,"Water")</f>
        <v>988.2446599668416</v>
      </c>
      <c r="S11">
        <f t="shared" si="1"/>
        <v>986.80135978872977</v>
      </c>
      <c r="T11" cm="1">
        <f t="array" ref="T11">[1]!PropsSI("H","T",J11+273.15,"P",101325,"Water")</f>
        <v>233210.77104952341</v>
      </c>
      <c r="U11" cm="1">
        <f t="array" ref="U11">[1]!PropsSI("H","T",K11+273.15,"P",101325,"Water")</f>
        <v>207474.14377791987</v>
      </c>
      <c r="V11">
        <f t="shared" si="2"/>
        <v>530.86924850924811</v>
      </c>
    </row>
    <row r="12" spans="1:23" x14ac:dyDescent="0.2">
      <c r="A12">
        <v>44660.6846730326</v>
      </c>
      <c r="B12">
        <v>20.629754999999999</v>
      </c>
      <c r="C12">
        <v>20.715921999999999</v>
      </c>
      <c r="D12">
        <v>20.324563999999999</v>
      </c>
      <c r="E12">
        <v>20.367211000000001</v>
      </c>
      <c r="F12">
        <v>30.522351</v>
      </c>
      <c r="G12">
        <v>27.965534000000002</v>
      </c>
      <c r="H12">
        <v>26.730212999999999</v>
      </c>
      <c r="I12">
        <v>23.230473</v>
      </c>
      <c r="J12">
        <v>55.686346</v>
      </c>
      <c r="K12">
        <v>49.529904000000002</v>
      </c>
      <c r="L12">
        <v>114.532484</v>
      </c>
      <c r="M12">
        <v>-622.46775700000001</v>
      </c>
      <c r="N12">
        <v>1.254923</v>
      </c>
      <c r="O12">
        <v>6.1063200000000002</v>
      </c>
      <c r="P12">
        <f t="shared" si="0"/>
        <v>2.0915383333333333E-5</v>
      </c>
      <c r="Q12" cm="1">
        <f t="array" ref="Q12">[1]!PropsSI("D","T",J12+273.15,"P",101325,"Water")</f>
        <v>985.35930368549714</v>
      </c>
      <c r="R12" cm="1">
        <f t="array" ref="R12">[1]!PropsSI("D","T",K12+273.15,"P",101325,"Water")</f>
        <v>988.24694336355856</v>
      </c>
      <c r="S12">
        <f t="shared" si="1"/>
        <v>986.80312352452779</v>
      </c>
      <c r="T12" cm="1">
        <f t="array" ref="T12">[1]!PropsSI("H","T",J12+273.15,"P",101325,"Water")</f>
        <v>233200.11641659538</v>
      </c>
      <c r="U12" cm="1">
        <f t="array" ref="U12">[1]!PropsSI("H","T",K12+273.15,"P",101325,"Water")</f>
        <v>207452.89067814124</v>
      </c>
      <c r="V12">
        <f t="shared" si="2"/>
        <v>531.40640528011579</v>
      </c>
    </row>
    <row r="13" spans="1:23" x14ac:dyDescent="0.2">
      <c r="A13">
        <v>44660.684730902998</v>
      </c>
      <c r="B13">
        <v>20.596782999999999</v>
      </c>
      <c r="C13">
        <v>20.735914000000001</v>
      </c>
      <c r="D13">
        <v>20.309045999999999</v>
      </c>
      <c r="E13">
        <v>20.415022</v>
      </c>
      <c r="F13">
        <v>30.47308</v>
      </c>
      <c r="G13">
        <v>28.068897</v>
      </c>
      <c r="H13">
        <v>26.756791</v>
      </c>
      <c r="I13">
        <v>23.427714999999999</v>
      </c>
      <c r="J13">
        <v>55.680776000000002</v>
      </c>
      <c r="K13">
        <v>49.520690999999999</v>
      </c>
      <c r="L13">
        <v>117.03276700000001</v>
      </c>
      <c r="M13">
        <v>-622.5</v>
      </c>
      <c r="N13">
        <v>1.2569600000000001</v>
      </c>
      <c r="O13">
        <v>6.0329579999999998</v>
      </c>
      <c r="P13">
        <f t="shared" si="0"/>
        <v>2.0949333333333336E-5</v>
      </c>
      <c r="Q13" cm="1">
        <f t="array" ref="Q13">[1]!PropsSI("D","T",J13+273.15,"P",101325,"Water")</f>
        <v>985.36202419672577</v>
      </c>
      <c r="R13" cm="1">
        <f t="array" ref="R13">[1]!PropsSI("D","T",K13+273.15,"P",101325,"Water")</f>
        <v>988.25108161383741</v>
      </c>
      <c r="S13">
        <f t="shared" si="1"/>
        <v>986.80655290528159</v>
      </c>
      <c r="T13" cm="1">
        <f t="array" ref="T13">[1]!PropsSI("H","T",J13+273.15,"P",101325,"Water")</f>
        <v>233176.81595174735</v>
      </c>
      <c r="U13" cm="1">
        <f t="array" ref="U13">[1]!PropsSI("H","T",K13+273.15,"P",101325,"Water")</f>
        <v>207414.3691916799</v>
      </c>
      <c r="V13">
        <f t="shared" si="2"/>
        <v>532.58550098426167</v>
      </c>
    </row>
    <row r="14" spans="1:23" x14ac:dyDescent="0.2">
      <c r="A14">
        <v>44660.684789352003</v>
      </c>
      <c r="B14">
        <v>20.638971999999999</v>
      </c>
      <c r="C14">
        <v>20.732952000000001</v>
      </c>
      <c r="D14">
        <v>20.352734999999999</v>
      </c>
      <c r="E14">
        <v>20.423345000000001</v>
      </c>
      <c r="F14">
        <v>30.542883</v>
      </c>
      <c r="G14">
        <v>28.018996999999999</v>
      </c>
      <c r="H14">
        <v>26.998930000000001</v>
      </c>
      <c r="I14">
        <v>23.386194</v>
      </c>
      <c r="J14">
        <v>55.680936000000003</v>
      </c>
      <c r="K14">
        <v>49.512590000000003</v>
      </c>
      <c r="L14">
        <v>111.475086</v>
      </c>
      <c r="M14">
        <v>-622.48897999999997</v>
      </c>
      <c r="N14">
        <v>1.2545660000000001</v>
      </c>
      <c r="O14">
        <v>5.9159819999999996</v>
      </c>
      <c r="P14">
        <f t="shared" si="0"/>
        <v>2.0909433333333337E-5</v>
      </c>
      <c r="Q14" cm="1">
        <f t="array" ref="Q14">[1]!PropsSI("D","T",J14+273.15,"P",101325,"Water")</f>
        <v>985.36194605184414</v>
      </c>
      <c r="R14" cm="1">
        <f t="array" ref="R14">[1]!PropsSI("D","T",K14+273.15,"P",101325,"Water")</f>
        <v>988.25471991882318</v>
      </c>
      <c r="S14">
        <f t="shared" si="1"/>
        <v>986.80833298533366</v>
      </c>
      <c r="T14" cm="1">
        <f t="array" ref="T14">[1]!PropsSI("H","T",J14+273.15,"P",101325,"Water")</f>
        <v>233177.48526475191</v>
      </c>
      <c r="U14" cm="1">
        <f t="array" ref="U14">[1]!PropsSI("H","T",K14+273.15,"P",101325,"Water")</f>
        <v>207380.49722985885</v>
      </c>
      <c r="V14">
        <f t="shared" si="2"/>
        <v>532.28481103201261</v>
      </c>
    </row>
    <row r="15" spans="1:23" x14ac:dyDescent="0.2">
      <c r="A15">
        <v>46122.684847222219</v>
      </c>
      <c r="B15">
        <v>20.748335999999998</v>
      </c>
      <c r="C15">
        <v>20.668951</v>
      </c>
      <c r="D15">
        <v>20.394335999999999</v>
      </c>
      <c r="E15">
        <v>20.350125999999999</v>
      </c>
      <c r="F15">
        <v>30.528400000000001</v>
      </c>
      <c r="G15">
        <v>27.861649</v>
      </c>
      <c r="H15">
        <v>26.680008999999998</v>
      </c>
      <c r="I15">
        <v>23.246303999999999</v>
      </c>
      <c r="J15">
        <v>55.676797999999998</v>
      </c>
      <c r="K15">
        <v>49.510841999999997</v>
      </c>
      <c r="L15">
        <v>114.05862999999999</v>
      </c>
      <c r="M15">
        <v>-622.46041000000002</v>
      </c>
      <c r="N15">
        <v>1.254116</v>
      </c>
      <c r="O15">
        <v>6.0861910000000004</v>
      </c>
      <c r="P15">
        <f t="shared" si="0"/>
        <v>2.0901933333333334E-5</v>
      </c>
      <c r="Q15" cm="1">
        <f t="array" ref="Q15">[1]!PropsSI("D","T",J15+273.15,"P",101325,"Water")</f>
        <v>985.36396702289164</v>
      </c>
      <c r="R15" cm="1">
        <f t="array" ref="R15">[1]!PropsSI("D","T",K15+273.15,"P",101325,"Water")</f>
        <v>988.25550492033733</v>
      </c>
      <c r="S15">
        <f t="shared" si="1"/>
        <v>986.80973597161449</v>
      </c>
      <c r="T15" cm="1">
        <f t="array" ref="T15">[1]!PropsSI("H","T",J15+273.15,"P",101325,"Water")</f>
        <v>233160.17516002129</v>
      </c>
      <c r="U15" cm="1">
        <f t="array" ref="U15">[1]!PropsSI("H","T",K15+273.15,"P",101325,"Water")</f>
        <v>207373.18848153201</v>
      </c>
      <c r="V15">
        <f t="shared" si="2"/>
        <v>531.8883521206011</v>
      </c>
    </row>
    <row r="16" spans="1:23" x14ac:dyDescent="0.2">
      <c r="A16">
        <v>46122.684905092596</v>
      </c>
      <c r="B16">
        <v>20.775838</v>
      </c>
      <c r="C16">
        <v>20.815747999999999</v>
      </c>
      <c r="D16">
        <v>20.316935000000001</v>
      </c>
      <c r="E16">
        <v>20.331634999999999</v>
      </c>
      <c r="F16">
        <v>30.470579000000001</v>
      </c>
      <c r="G16">
        <v>27.814537999999999</v>
      </c>
      <c r="H16">
        <v>26.463374999999999</v>
      </c>
      <c r="I16">
        <v>23.045142999999999</v>
      </c>
      <c r="J16">
        <v>55.680776000000002</v>
      </c>
      <c r="K16">
        <v>49.511637</v>
      </c>
      <c r="L16">
        <v>111.05021000000001</v>
      </c>
      <c r="M16">
        <v>-622.48693900000001</v>
      </c>
      <c r="N16">
        <v>1.2544930000000001</v>
      </c>
      <c r="O16">
        <v>6.1009070000000003</v>
      </c>
      <c r="P16">
        <f t="shared" si="0"/>
        <v>2.0908216666666671E-5</v>
      </c>
      <c r="Q16" cm="1">
        <f t="array" ref="Q16">[1]!PropsSI("D","T",J16+273.15,"P",101325,"Water")</f>
        <v>985.36202419672577</v>
      </c>
      <c r="R16" cm="1">
        <f t="array" ref="R16">[1]!PropsSI("D","T",K16+273.15,"P",101325,"Water")</f>
        <v>988.25514789983856</v>
      </c>
      <c r="S16">
        <f t="shared" si="1"/>
        <v>986.80858604828222</v>
      </c>
      <c r="T16" cm="1">
        <f t="array" ref="T16">[1]!PropsSI("H","T",J16+273.15,"P",101325,"Water")</f>
        <v>233176.81595174735</v>
      </c>
      <c r="U16" cm="1">
        <f t="array" ref="U16">[1]!PropsSI("H","T",K16+273.15,"P",101325,"Water")</f>
        <v>207376.5125403158</v>
      </c>
      <c r="V16">
        <f t="shared" si="2"/>
        <v>532.32237942947563</v>
      </c>
    </row>
    <row r="17" spans="1:22" x14ac:dyDescent="0.2">
      <c r="A17">
        <v>46122.684963541666</v>
      </c>
      <c r="B17">
        <v>20.670659000000001</v>
      </c>
      <c r="C17">
        <v>20.710757999999998</v>
      </c>
      <c r="D17">
        <v>20.369997000000001</v>
      </c>
      <c r="E17">
        <v>20.373125999999999</v>
      </c>
      <c r="F17">
        <v>30.402784</v>
      </c>
      <c r="G17">
        <v>28.048279999999998</v>
      </c>
      <c r="H17">
        <v>27.075427999999999</v>
      </c>
      <c r="I17">
        <v>23.436413999999999</v>
      </c>
      <c r="J17">
        <v>55.679662</v>
      </c>
      <c r="K17">
        <v>49.510841999999997</v>
      </c>
      <c r="L17">
        <v>115.692018</v>
      </c>
      <c r="M17">
        <v>-622.474695</v>
      </c>
      <c r="N17">
        <v>1.253919</v>
      </c>
      <c r="O17">
        <v>5.9657340000000003</v>
      </c>
      <c r="P17">
        <f t="shared" si="0"/>
        <v>2.089865E-5</v>
      </c>
      <c r="Q17" cm="1">
        <f t="array" ref="Q17">[1]!PropsSI("D","T",J17+273.15,"P",101325,"Water")</f>
        <v>985.36256827603154</v>
      </c>
      <c r="R17" cm="1">
        <f t="array" ref="R17">[1]!PropsSI("D","T",K17+273.15,"P",101325,"Water")</f>
        <v>988.25550492033733</v>
      </c>
      <c r="S17">
        <f t="shared" si="1"/>
        <v>986.80903659818443</v>
      </c>
      <c r="T17" cm="1">
        <f t="array" ref="T17">[1]!PropsSI("H","T",J17+273.15,"P",101325,"Water")</f>
        <v>233172.15586012934</v>
      </c>
      <c r="U17" cm="1">
        <f t="array" ref="U17">[1]!PropsSI("H","T",K17+273.15,"P",101325,"Water")</f>
        <v>207373.18848153201</v>
      </c>
      <c r="V17">
        <f t="shared" si="2"/>
        <v>532.05150242862931</v>
      </c>
    </row>
    <row r="18" spans="1:22" x14ac:dyDescent="0.2">
      <c r="A18">
        <v>46122.685021412035</v>
      </c>
      <c r="B18">
        <v>20.601859000000001</v>
      </c>
      <c r="C18">
        <v>20.626289</v>
      </c>
      <c r="D18">
        <v>20.36073</v>
      </c>
      <c r="E18">
        <v>20.349713000000001</v>
      </c>
      <c r="F18">
        <v>30.481415999999999</v>
      </c>
      <c r="G18">
        <v>27.984199</v>
      </c>
      <c r="H18">
        <v>26.733377000000001</v>
      </c>
      <c r="I18">
        <v>23.396042000000001</v>
      </c>
      <c r="J18">
        <v>55.679502999999997</v>
      </c>
      <c r="K18">
        <v>49.510207000000001</v>
      </c>
      <c r="L18">
        <v>109.700481</v>
      </c>
      <c r="M18">
        <v>-622.51877500000001</v>
      </c>
      <c r="N18">
        <v>1.2555210000000001</v>
      </c>
      <c r="O18">
        <v>5.7792329999999996</v>
      </c>
      <c r="P18">
        <f t="shared" si="0"/>
        <v>2.0925350000000001E-5</v>
      </c>
      <c r="Q18" cm="1">
        <f t="array" ref="Q18">[1]!PropsSI("D","T",J18+273.15,"P",101325,"Water")</f>
        <v>985.36264593123906</v>
      </c>
      <c r="R18" cm="1">
        <f t="array" ref="R18">[1]!PropsSI("D","T",K18+273.15,"P",101325,"Water")</f>
        <v>988.25579008464638</v>
      </c>
      <c r="S18">
        <f t="shared" si="1"/>
        <v>986.80921800794272</v>
      </c>
      <c r="T18" cm="1">
        <f t="array" ref="T18">[1]!PropsSI("H","T",J18+273.15,"P",101325,"Water")</f>
        <v>233171.49073043233</v>
      </c>
      <c r="U18" cm="1">
        <f t="array" ref="U18">[1]!PropsSI("H","T",K18+273.15,"P",101325,"Water")</f>
        <v>207370.53341583404</v>
      </c>
      <c r="V18">
        <f t="shared" si="2"/>
        <v>532.77243727049438</v>
      </c>
    </row>
    <row r="19" spans="1:22" x14ac:dyDescent="0.2">
      <c r="A19">
        <v>46122.685079282404</v>
      </c>
      <c r="B19">
        <v>20.552242</v>
      </c>
      <c r="C19">
        <v>20.580106000000001</v>
      </c>
      <c r="D19">
        <v>20.293198</v>
      </c>
      <c r="E19">
        <v>20.323533000000001</v>
      </c>
      <c r="F19">
        <v>30.469608999999998</v>
      </c>
      <c r="G19">
        <v>27.743974999999999</v>
      </c>
      <c r="H19">
        <v>26.534500000000001</v>
      </c>
      <c r="I19">
        <v>23.013708000000001</v>
      </c>
      <c r="J19">
        <v>55.677753000000003</v>
      </c>
      <c r="K19">
        <v>49.504964999999999</v>
      </c>
      <c r="L19">
        <v>120.095063</v>
      </c>
      <c r="M19">
        <v>-622.53714100000002</v>
      </c>
      <c r="N19">
        <v>1.2562549999999999</v>
      </c>
      <c r="O19">
        <v>6.0742079999999996</v>
      </c>
      <c r="P19">
        <f t="shared" si="0"/>
        <v>2.0937583333333334E-5</v>
      </c>
      <c r="Q19" cm="1">
        <f t="array" ref="Q19">[1]!PropsSI("D","T",J19+273.15,"P",101325,"Water")</f>
        <v>985.36350061672738</v>
      </c>
      <c r="R19" cm="1">
        <f t="array" ref="R19">[1]!PropsSI("D","T",K19+273.15,"P",101325,"Water")</f>
        <v>988.25814404813764</v>
      </c>
      <c r="S19">
        <f t="shared" si="1"/>
        <v>986.81082233243251</v>
      </c>
      <c r="T19" cm="1">
        <f t="array" ref="T19">[1]!PropsSI("H","T",J19+273.15,"P",101325,"Water")</f>
        <v>233164.17012082521</v>
      </c>
      <c r="U19" cm="1">
        <f t="array" ref="U19">[1]!PropsSI("H","T",K19+273.15,"P",101325,"Water")</f>
        <v>207348.61553925273</v>
      </c>
      <c r="V19">
        <f t="shared" si="2"/>
        <v>533.38637268983257</v>
      </c>
    </row>
    <row r="20" spans="1:22" x14ac:dyDescent="0.2">
      <c r="A20">
        <v>46122.685137152781</v>
      </c>
      <c r="B20">
        <v>20.543735000000002</v>
      </c>
      <c r="C20">
        <v>20.684245000000001</v>
      </c>
      <c r="D20">
        <v>20.265267000000001</v>
      </c>
      <c r="E20">
        <v>20.258901999999999</v>
      </c>
      <c r="F20">
        <v>30.330020000000001</v>
      </c>
      <c r="G20">
        <v>27.725645</v>
      </c>
      <c r="H20">
        <v>26.528700000000001</v>
      </c>
      <c r="I20">
        <v>23.120571999999999</v>
      </c>
      <c r="J20">
        <v>55.677593999999999</v>
      </c>
      <c r="K20">
        <v>49.499088</v>
      </c>
      <c r="L20">
        <v>107.494877</v>
      </c>
      <c r="M20">
        <v>-622.47510299999999</v>
      </c>
      <c r="N20">
        <v>1.2559880000000001</v>
      </c>
      <c r="O20">
        <v>5.8085500000000003</v>
      </c>
      <c r="P20">
        <f t="shared" si="0"/>
        <v>2.0933133333333338E-5</v>
      </c>
      <c r="Q20" cm="1">
        <f t="array" ref="Q20">[1]!PropsSI("D","T",J20+273.15,"P",101325,"Water")</f>
        <v>985.36357827010022</v>
      </c>
      <c r="R20" cm="1">
        <f t="array" ref="R20">[1]!PropsSI("D","T",K20+273.15,"P",101325,"Water")</f>
        <v>988.26078294808974</v>
      </c>
      <c r="S20">
        <f t="shared" si="1"/>
        <v>986.81218060909498</v>
      </c>
      <c r="T20" cm="1">
        <f t="array" ref="T20">[1]!PropsSI("H","T",J20+273.15,"P",101325,"Water")</f>
        <v>233163.50499117185</v>
      </c>
      <c r="U20" cm="1">
        <f t="array" ref="U20">[1]!PropsSI("H","T",K20+273.15,"P",101325,"Water")</f>
        <v>207324.04260647291</v>
      </c>
      <c r="V20">
        <f t="shared" si="2"/>
        <v>533.76760783315547</v>
      </c>
    </row>
    <row r="21" spans="1:22" x14ac:dyDescent="0.2">
      <c r="A21">
        <v>46122.685195601851</v>
      </c>
      <c r="B21">
        <v>20.536994</v>
      </c>
      <c r="C21">
        <v>20.650869</v>
      </c>
      <c r="D21">
        <v>20.288060999999999</v>
      </c>
      <c r="E21">
        <v>20.327176999999999</v>
      </c>
      <c r="F21">
        <v>30.300753</v>
      </c>
      <c r="G21">
        <v>27.980070000000001</v>
      </c>
      <c r="H21">
        <v>26.751660999999999</v>
      </c>
      <c r="I21">
        <v>23.418113999999999</v>
      </c>
      <c r="J21">
        <v>55.679980999999998</v>
      </c>
      <c r="K21">
        <v>49.495434000000003</v>
      </c>
      <c r="L21">
        <v>117.14663899999999</v>
      </c>
      <c r="M21">
        <v>-622.49836700000003</v>
      </c>
      <c r="N21">
        <v>1.255255</v>
      </c>
      <c r="O21">
        <v>6.1029650000000002</v>
      </c>
      <c r="P21">
        <f t="shared" si="0"/>
        <v>2.0920916666666668E-5</v>
      </c>
      <c r="Q21" cm="1">
        <f t="array" ref="Q21">[1]!PropsSI("D","T",J21+273.15,"P",101325,"Water")</f>
        <v>985.3624124767224</v>
      </c>
      <c r="R21" cm="1">
        <f t="array" ref="R21">[1]!PropsSI("D","T",K21+273.15,"P",101325,"Water")</f>
        <v>988.26242355812667</v>
      </c>
      <c r="S21">
        <f t="shared" si="1"/>
        <v>986.81241801742453</v>
      </c>
      <c r="T21" cm="1">
        <f t="array" ref="T21">[1]!PropsSI("H","T",J21+273.15,"P",101325,"Water")</f>
        <v>233173.49030284834</v>
      </c>
      <c r="U21" cm="1">
        <f t="array" ref="U21">[1]!PropsSI("H","T",K21+273.15,"P",101325,"Water")</f>
        <v>207308.76449382241</v>
      </c>
      <c r="V21">
        <f t="shared" si="2"/>
        <v>533.97779101008905</v>
      </c>
    </row>
    <row r="22" spans="1:22" x14ac:dyDescent="0.2">
      <c r="A22">
        <v>46122.68525347222</v>
      </c>
      <c r="B22">
        <v>20.577487000000001</v>
      </c>
      <c r="C22">
        <v>20.625565000000002</v>
      </c>
      <c r="D22">
        <v>20.379038000000001</v>
      </c>
      <c r="E22">
        <v>20.426407000000001</v>
      </c>
      <c r="F22">
        <v>30.406410000000001</v>
      </c>
      <c r="G22">
        <v>27.580103999999999</v>
      </c>
      <c r="H22">
        <v>26.572458999999998</v>
      </c>
      <c r="I22">
        <v>22.980397</v>
      </c>
      <c r="J22">
        <v>55.677433999999998</v>
      </c>
      <c r="K22">
        <v>49.492097999999999</v>
      </c>
      <c r="L22">
        <v>118.152711</v>
      </c>
      <c r="M22">
        <v>-622.49265300000002</v>
      </c>
      <c r="N22">
        <v>1.2528820000000001</v>
      </c>
      <c r="O22">
        <v>6.0242789999999999</v>
      </c>
      <c r="P22">
        <f t="shared" ref="P22:P85" si="3" xml:space="preserve"> N22*0.001/60</f>
        <v>2.088136666666667E-5</v>
      </c>
      <c r="Q22" cm="1">
        <f t="array" ref="Q22">[1]!PropsSI("D","T",J22+273.15,"P",101325,"Water")</f>
        <v>985.36365641165446</v>
      </c>
      <c r="R22" cm="1">
        <f t="array" ref="R22">[1]!PropsSI("D","T",K22+273.15,"P",101325,"Water")</f>
        <v>988.26392131241255</v>
      </c>
      <c r="S22">
        <f t="shared" ref="S22:S85" si="4">(Q22+R22)/2</f>
        <v>986.81378886203356</v>
      </c>
      <c r="T22" cm="1">
        <f t="array" ref="T22">[1]!PropsSI("H","T",J22+273.15,"P",101325,"Water")</f>
        <v>233162.83567834081</v>
      </c>
      <c r="U22" cm="1">
        <f t="array" ref="U22">[1]!PropsSI("H","T",K22+273.15,"P",101325,"Water")</f>
        <v>207294.81600650601</v>
      </c>
      <c r="V22">
        <f t="shared" ref="V22:V85" si="5">S22*P22*(T22-U22)</f>
        <v>533.03694512543325</v>
      </c>
    </row>
    <row r="23" spans="1:22" x14ac:dyDescent="0.2">
      <c r="A23">
        <v>46122.685311921297</v>
      </c>
      <c r="B23">
        <v>20.594830999999999</v>
      </c>
      <c r="C23">
        <v>20.678971000000001</v>
      </c>
      <c r="D23">
        <v>20.354226000000001</v>
      </c>
      <c r="E23">
        <v>20.387149000000001</v>
      </c>
      <c r="F23">
        <v>30.50572</v>
      </c>
      <c r="G23">
        <v>27.991949000000002</v>
      </c>
      <c r="H23">
        <v>26.846643</v>
      </c>
      <c r="I23">
        <v>23.276523000000001</v>
      </c>
      <c r="J23">
        <v>55.678389000000003</v>
      </c>
      <c r="K23">
        <v>49.494639999999997</v>
      </c>
      <c r="L23">
        <v>124.927066</v>
      </c>
      <c r="M23">
        <v>-622.47591999999997</v>
      </c>
      <c r="N23">
        <v>1.254505</v>
      </c>
      <c r="O23">
        <v>6.1244540000000001</v>
      </c>
      <c r="P23">
        <f t="shared" si="3"/>
        <v>2.0908416666666665E-5</v>
      </c>
      <c r="Q23" cm="1">
        <f t="array" ref="Q23">[1]!PropsSI("D","T",J23+273.15,"P",101325,"Water")</f>
        <v>985.36319000179719</v>
      </c>
      <c r="R23" cm="1">
        <f t="array" ref="R23">[1]!PropsSI("D","T",K23+273.15,"P",101325,"Water")</f>
        <v>988.26278004471044</v>
      </c>
      <c r="S23">
        <f t="shared" si="4"/>
        <v>986.81298502325376</v>
      </c>
      <c r="T23" cm="1">
        <f t="array" ref="T23">[1]!PropsSI("H","T",J23+273.15,"P",101325,"Water")</f>
        <v>233166.83063936085</v>
      </c>
      <c r="U23" cm="1">
        <f t="array" ref="U23">[1]!PropsSI("H","T",K23+273.15,"P",101325,"Water")</f>
        <v>207305.44461971379</v>
      </c>
      <c r="V23">
        <f t="shared" si="5"/>
        <v>533.59014337121437</v>
      </c>
    </row>
    <row r="24" spans="1:22" x14ac:dyDescent="0.2">
      <c r="A24">
        <v>46122.685370370367</v>
      </c>
      <c r="B24">
        <v>20.587325</v>
      </c>
      <c r="C24">
        <v>20.703327000000002</v>
      </c>
      <c r="D24">
        <v>20.289919999999999</v>
      </c>
      <c r="E24">
        <v>20.323734000000002</v>
      </c>
      <c r="F24">
        <v>30.522290000000002</v>
      </c>
      <c r="G24">
        <v>27.884032000000001</v>
      </c>
      <c r="H24">
        <v>26.876832</v>
      </c>
      <c r="I24">
        <v>23.214727</v>
      </c>
      <c r="J24">
        <v>55.679502999999997</v>
      </c>
      <c r="K24">
        <v>49.496546000000002</v>
      </c>
      <c r="L24">
        <v>115.329179</v>
      </c>
      <c r="M24">
        <v>-622.50040799999999</v>
      </c>
      <c r="N24">
        <v>1.257455</v>
      </c>
      <c r="O24">
        <v>5.9422499999999996</v>
      </c>
      <c r="P24">
        <f t="shared" si="3"/>
        <v>2.0957583333333334E-5</v>
      </c>
      <c r="Q24" cm="1">
        <f t="array" ref="Q24">[1]!PropsSI("D","T",J24+273.15,"P",101325,"Water")</f>
        <v>985.36264593123906</v>
      </c>
      <c r="R24" cm="1">
        <f t="array" ref="R24">[1]!PropsSI("D","T",K24+273.15,"P",101325,"Water")</f>
        <v>988.26192429041384</v>
      </c>
      <c r="S24">
        <f t="shared" si="4"/>
        <v>986.81228511082645</v>
      </c>
      <c r="T24" cm="1">
        <f t="array" ref="T24">[1]!PropsSI("H","T",J24+273.15,"P",101325,"Water")</f>
        <v>233171.49073043233</v>
      </c>
      <c r="U24" cm="1">
        <f t="array" ref="U24">[1]!PropsSI("H","T",K24+273.15,"P",101325,"Water")</f>
        <v>207313.41399014229</v>
      </c>
      <c r="V24">
        <f t="shared" si="5"/>
        <v>534.77607477074969</v>
      </c>
    </row>
    <row r="25" spans="1:22" x14ac:dyDescent="0.2">
      <c r="A25">
        <v>46122.685428819444</v>
      </c>
      <c r="B25">
        <v>20.563469000000001</v>
      </c>
      <c r="C25">
        <v>20.622342</v>
      </c>
      <c r="D25">
        <v>20.375814999999999</v>
      </c>
      <c r="E25">
        <v>20.394045999999999</v>
      </c>
      <c r="F25">
        <v>30.515039999999999</v>
      </c>
      <c r="G25">
        <v>27.850287000000002</v>
      </c>
      <c r="H25">
        <v>26.688979</v>
      </c>
      <c r="I25">
        <v>23.226866000000001</v>
      </c>
      <c r="J25">
        <v>55.675525</v>
      </c>
      <c r="K25">
        <v>49.497976000000001</v>
      </c>
      <c r="L25">
        <v>102.46329299999999</v>
      </c>
      <c r="M25">
        <v>-622.49265300000002</v>
      </c>
      <c r="N25">
        <v>1.2542880000000001</v>
      </c>
      <c r="O25">
        <v>5.7623069999999998</v>
      </c>
      <c r="P25">
        <f t="shared" si="3"/>
        <v>2.09048E-5</v>
      </c>
      <c r="Q25" cm="1">
        <f t="array" ref="Q25">[1]!PropsSI("D","T",J25+273.15,"P",101325,"Water")</f>
        <v>985.3645887261855</v>
      </c>
      <c r="R25" cm="1">
        <f t="array" ref="R25">[1]!PropsSI("D","T",K25+273.15,"P",101325,"Water")</f>
        <v>988.26128223449018</v>
      </c>
      <c r="S25">
        <f t="shared" si="4"/>
        <v>986.81293548033784</v>
      </c>
      <c r="T25" cm="1">
        <f t="array" ref="T25">[1]!PropsSI("H","T",J25+273.15,"P",101325,"Water")</f>
        <v>233154.84994060345</v>
      </c>
      <c r="U25" cm="1">
        <f t="array" ref="U25">[1]!PropsSI("H","T",K25+273.15,"P",101325,"Water")</f>
        <v>207319.3931092667</v>
      </c>
      <c r="V25">
        <f t="shared" si="5"/>
        <v>532.96292146220253</v>
      </c>
    </row>
    <row r="26" spans="1:22" x14ac:dyDescent="0.2">
      <c r="A26">
        <v>46122.685487268522</v>
      </c>
      <c r="B26">
        <v>20.571745</v>
      </c>
      <c r="C26">
        <v>20.705749999999998</v>
      </c>
      <c r="D26">
        <v>20.308357999999998</v>
      </c>
      <c r="E26">
        <v>20.334862000000001</v>
      </c>
      <c r="F26">
        <v>30.520800000000001</v>
      </c>
      <c r="G26">
        <v>27.760475</v>
      </c>
      <c r="H26">
        <v>26.812176999999998</v>
      </c>
      <c r="I26">
        <v>23.731788000000002</v>
      </c>
      <c r="J26">
        <v>55.673456000000002</v>
      </c>
      <c r="K26">
        <v>49.503217999999997</v>
      </c>
      <c r="L26">
        <v>113.340299</v>
      </c>
      <c r="M26">
        <v>-622.48612300000002</v>
      </c>
      <c r="N26">
        <v>1.25766</v>
      </c>
      <c r="O26">
        <v>6.1084680000000002</v>
      </c>
      <c r="P26">
        <f t="shared" si="3"/>
        <v>2.0961000000000001E-5</v>
      </c>
      <c r="Q26" cm="1">
        <f t="array" ref="Q26">[1]!PropsSI("D","T",J26+273.15,"P",101325,"Water")</f>
        <v>985.36559915586622</v>
      </c>
      <c r="R26" cm="1">
        <f t="array" ref="R26">[1]!PropsSI("D","T",K26+273.15,"P",101325,"Water")</f>
        <v>988.25892851267861</v>
      </c>
      <c r="S26">
        <f t="shared" si="4"/>
        <v>986.81226383427247</v>
      </c>
      <c r="T26" cm="1">
        <f t="array" ref="T26">[1]!PropsSI("H","T",J26+273.15,"P",101325,"Water")</f>
        <v>233146.19489160698</v>
      </c>
      <c r="U26" cm="1">
        <f t="array" ref="U26">[1]!PropsSI("H","T",K26+273.15,"P",101325,"Water")</f>
        <v>207341.31097578211</v>
      </c>
      <c r="V26">
        <f t="shared" si="5"/>
        <v>533.76297575338742</v>
      </c>
    </row>
    <row r="27" spans="1:22" x14ac:dyDescent="0.2">
      <c r="A27">
        <v>46122.685545717592</v>
      </c>
      <c r="B27">
        <v>20.570903999999999</v>
      </c>
      <c r="C27">
        <v>20.806106</v>
      </c>
      <c r="D27">
        <v>20.294294000000001</v>
      </c>
      <c r="E27">
        <v>20.352184000000001</v>
      </c>
      <c r="F27">
        <v>30.382978000000001</v>
      </c>
      <c r="G27">
        <v>27.778593000000001</v>
      </c>
      <c r="H27">
        <v>26.598752000000001</v>
      </c>
      <c r="I27">
        <v>23.0626</v>
      </c>
      <c r="J27">
        <v>55.676639000000002</v>
      </c>
      <c r="K27">
        <v>49.505758999999998</v>
      </c>
      <c r="L27">
        <v>115.739771</v>
      </c>
      <c r="M27">
        <v>-622.52816199999995</v>
      </c>
      <c r="N27">
        <v>1.257714</v>
      </c>
      <c r="O27">
        <v>5.8364310000000001</v>
      </c>
      <c r="P27">
        <f t="shared" si="3"/>
        <v>2.09619E-5</v>
      </c>
      <c r="Q27" cm="1">
        <f t="array" ref="Q27">[1]!PropsSI("D","T",J27+273.15,"P",101325,"Water")</f>
        <v>985.36404467527302</v>
      </c>
      <c r="R27" cm="1">
        <f t="array" ref="R27">[1]!PropsSI("D","T",K27+273.15,"P",101325,"Water")</f>
        <v>988.25778750753307</v>
      </c>
      <c r="S27">
        <f t="shared" si="4"/>
        <v>986.81091609140299</v>
      </c>
      <c r="T27" cm="1">
        <f t="array" ref="T27">[1]!PropsSI("H","T",J27+273.15,"P",101325,"Water")</f>
        <v>233159.51003046997</v>
      </c>
      <c r="U27" cm="1">
        <f t="array" ref="U27">[1]!PropsSI("H","T",K27+273.15,"P",101325,"Water")</f>
        <v>207351.93541554388</v>
      </c>
      <c r="V27">
        <f t="shared" si="5"/>
        <v>533.84082312404837</v>
      </c>
    </row>
    <row r="28" spans="1:22" x14ac:dyDescent="0.2">
      <c r="A28">
        <v>46122.685604166669</v>
      </c>
      <c r="B28">
        <v>20.590281000000001</v>
      </c>
      <c r="C28">
        <v>20.774260000000002</v>
      </c>
      <c r="D28">
        <v>20.360855000000001</v>
      </c>
      <c r="E28">
        <v>20.385441</v>
      </c>
      <c r="F28">
        <v>30.431325000000001</v>
      </c>
      <c r="G28">
        <v>28.035646</v>
      </c>
      <c r="H28">
        <v>26.893450000000001</v>
      </c>
      <c r="I28">
        <v>23.272855</v>
      </c>
      <c r="J28">
        <v>55.677433999999998</v>
      </c>
      <c r="K28">
        <v>49.50703</v>
      </c>
      <c r="L28">
        <v>117.871093</v>
      </c>
      <c r="M28">
        <v>-622.49795900000004</v>
      </c>
      <c r="N28">
        <v>1.256775</v>
      </c>
      <c r="O28">
        <v>6.1126360000000002</v>
      </c>
      <c r="P28">
        <f t="shared" si="3"/>
        <v>2.094625E-5</v>
      </c>
      <c r="Q28" cm="1">
        <f t="array" ref="Q28">[1]!PropsSI("D","T",J28+273.15,"P",101325,"Water")</f>
        <v>985.36365641165446</v>
      </c>
      <c r="R28" cm="1">
        <f t="array" ref="R28">[1]!PropsSI("D","T",K28+273.15,"P",101325,"Water")</f>
        <v>988.25721676441947</v>
      </c>
      <c r="S28">
        <f t="shared" si="4"/>
        <v>986.81043658803696</v>
      </c>
      <c r="T28" cm="1">
        <f t="array" ref="T28">[1]!PropsSI("H","T",J28+273.15,"P",101325,"Water")</f>
        <v>233162.83567834081</v>
      </c>
      <c r="U28" cm="1">
        <f t="array" ref="U28">[1]!PropsSI("H","T",K28+273.15,"P",101325,"Water")</f>
        <v>207357.24972670665</v>
      </c>
      <c r="V28">
        <f t="shared" si="5"/>
        <v>533.40089666844688</v>
      </c>
    </row>
    <row r="29" spans="1:22" x14ac:dyDescent="0.2">
      <c r="A29">
        <v>46122.685662037038</v>
      </c>
      <c r="B29">
        <v>20.495559</v>
      </c>
      <c r="C29">
        <v>20.687541</v>
      </c>
      <c r="D29">
        <v>20.331230000000001</v>
      </c>
      <c r="E29">
        <v>20.369444000000001</v>
      </c>
      <c r="F29">
        <v>30.307796</v>
      </c>
      <c r="G29">
        <v>28.225263999999999</v>
      </c>
      <c r="H29">
        <v>26.908404999999998</v>
      </c>
      <c r="I29">
        <v>23.357051999999999</v>
      </c>
      <c r="J29">
        <v>55.673774000000002</v>
      </c>
      <c r="K29">
        <v>49.512272000000003</v>
      </c>
      <c r="L29">
        <v>108.103827</v>
      </c>
      <c r="M29">
        <v>-622.50489800000003</v>
      </c>
      <c r="N29">
        <v>1.2580089999999999</v>
      </c>
      <c r="O29">
        <v>5.9255509999999996</v>
      </c>
      <c r="P29">
        <f t="shared" si="3"/>
        <v>2.0966816666666667E-5</v>
      </c>
      <c r="Q29" cm="1">
        <f t="array" ref="Q29">[1]!PropsSI("D","T",J29+273.15,"P",101325,"Water")</f>
        <v>985.36544385713353</v>
      </c>
      <c r="R29" cm="1">
        <f t="array" ref="R29">[1]!PropsSI("D","T",K29+273.15,"P",101325,"Water")</f>
        <v>988.25486272953924</v>
      </c>
      <c r="S29">
        <f t="shared" si="4"/>
        <v>986.81015329333638</v>
      </c>
      <c r="T29" cm="1">
        <f t="array" ref="T29">[1]!PropsSI("H","T",J29+273.15,"P",101325,"Water")</f>
        <v>233147.525150314</v>
      </c>
      <c r="U29" cm="1">
        <f t="array" ref="U29">[1]!PropsSI("H","T",K29+273.15,"P",101325,"Water")</f>
        <v>207379.16760623909</v>
      </c>
      <c r="V29">
        <f t="shared" si="5"/>
        <v>533.15421239816328</v>
      </c>
    </row>
    <row r="30" spans="1:22" x14ac:dyDescent="0.2">
      <c r="A30">
        <v>46122.685720486108</v>
      </c>
      <c r="B30">
        <v>20.488288000000001</v>
      </c>
      <c r="C30">
        <v>20.680332</v>
      </c>
      <c r="D30">
        <v>20.319379999999999</v>
      </c>
      <c r="E30">
        <v>20.341864999999999</v>
      </c>
      <c r="F30">
        <v>30.240745</v>
      </c>
      <c r="G30">
        <v>27.928044</v>
      </c>
      <c r="H30">
        <v>26.892833</v>
      </c>
      <c r="I30">
        <v>23.299063</v>
      </c>
      <c r="J30">
        <v>55.671227999999999</v>
      </c>
      <c r="K30">
        <v>49.507983000000003</v>
      </c>
      <c r="L30">
        <v>114.533709</v>
      </c>
      <c r="M30">
        <v>-622.54326300000002</v>
      </c>
      <c r="N30">
        <v>1.2619959999999999</v>
      </c>
      <c r="O30">
        <v>6.0582209999999996</v>
      </c>
      <c r="P30">
        <f t="shared" si="3"/>
        <v>2.1033266666666664E-5</v>
      </c>
      <c r="Q30" cm="1">
        <f t="array" ref="Q30">[1]!PropsSI("D","T",J30+273.15,"P",101325,"Water")</f>
        <v>985.36668720628575</v>
      </c>
      <c r="R30" cm="1">
        <f t="array" ref="R30">[1]!PropsSI("D","T",K30+273.15,"P",101325,"Water")</f>
        <v>988.25678881240913</v>
      </c>
      <c r="S30">
        <f t="shared" si="4"/>
        <v>986.81173800934744</v>
      </c>
      <c r="T30" cm="1">
        <f t="array" ref="T30">[1]!PropsSI("H","T",J30+273.15,"P",101325,"Water")</f>
        <v>233136.87471495086</v>
      </c>
      <c r="U30" cm="1">
        <f t="array" ref="U30">[1]!PropsSI("H","T",K30+273.15,"P",101325,"Water")</f>
        <v>207361.23441498706</v>
      </c>
      <c r="V30">
        <f t="shared" si="5"/>
        <v>534.99595355672886</v>
      </c>
    </row>
    <row r="31" spans="1:22" x14ac:dyDescent="0.2">
      <c r="A31">
        <v>46122.685778935185</v>
      </c>
      <c r="B31">
        <v>20.589521999999999</v>
      </c>
      <c r="C31">
        <v>20.620090999999999</v>
      </c>
      <c r="D31">
        <v>20.303007000000001</v>
      </c>
      <c r="E31">
        <v>20.307283000000002</v>
      </c>
      <c r="F31">
        <v>30.382873</v>
      </c>
      <c r="G31">
        <v>28.068436999999999</v>
      </c>
      <c r="H31">
        <v>26.64442</v>
      </c>
      <c r="I31">
        <v>23.541269</v>
      </c>
      <c r="J31">
        <v>55.671705000000003</v>
      </c>
      <c r="K31">
        <v>49.507188999999997</v>
      </c>
      <c r="L31">
        <v>115.916088</v>
      </c>
      <c r="M31">
        <v>-622.49959200000001</v>
      </c>
      <c r="N31">
        <v>1.2579020000000001</v>
      </c>
      <c r="O31">
        <v>5.9276989999999996</v>
      </c>
      <c r="P31">
        <f t="shared" si="3"/>
        <v>2.0965033333333337E-5</v>
      </c>
      <c r="Q31" cm="1">
        <f t="array" ref="Q31">[1]!PropsSI("D","T",J31+273.15,"P",101325,"Water")</f>
        <v>985.36645426448786</v>
      </c>
      <c r="R31" cm="1">
        <f t="array" ref="R31">[1]!PropsSI("D","T",K31+273.15,"P",101325,"Water")</f>
        <v>988.25714536467274</v>
      </c>
      <c r="S31">
        <f t="shared" si="4"/>
        <v>986.81179981458035</v>
      </c>
      <c r="T31" cm="1">
        <f t="array" ref="T31">[1]!PropsSI("H","T",J31+273.15,"P",101325,"Water")</f>
        <v>233138.87010270281</v>
      </c>
      <c r="U31" cm="1">
        <f t="array" ref="U31">[1]!PropsSI("H","T",K31+273.15,"P",101325,"Water")</f>
        <v>207357.91453822347</v>
      </c>
      <c r="V31">
        <f t="shared" si="5"/>
        <v>533.3703891330473</v>
      </c>
    </row>
    <row r="32" spans="1:22" x14ac:dyDescent="0.2">
      <c r="A32">
        <v>46122.685836805555</v>
      </c>
      <c r="B32">
        <v>20.503399000000002</v>
      </c>
      <c r="C32">
        <v>20.804164</v>
      </c>
      <c r="D32">
        <v>20.290495</v>
      </c>
      <c r="E32">
        <v>20.38288</v>
      </c>
      <c r="F32">
        <v>30.38653</v>
      </c>
      <c r="G32">
        <v>28.124797000000001</v>
      </c>
      <c r="H32">
        <v>26.729118</v>
      </c>
      <c r="I32">
        <v>23.463607</v>
      </c>
      <c r="J32">
        <v>55.673774000000002</v>
      </c>
      <c r="K32">
        <v>49.505124000000002</v>
      </c>
      <c r="L32">
        <v>120.531368</v>
      </c>
      <c r="M32">
        <v>-622.49918400000001</v>
      </c>
      <c r="N32">
        <v>1.259844</v>
      </c>
      <c r="O32">
        <v>5.7292540000000001</v>
      </c>
      <c r="P32">
        <f t="shared" si="3"/>
        <v>2.09974E-5</v>
      </c>
      <c r="Q32" cm="1">
        <f t="array" ref="Q32">[1]!PropsSI("D","T",J32+273.15,"P",101325,"Water")</f>
        <v>985.36544385713353</v>
      </c>
      <c r="R32" cm="1">
        <f t="array" ref="R32">[1]!PropsSI("D","T",K32+273.15,"P",101325,"Water")</f>
        <v>988.25807265053879</v>
      </c>
      <c r="S32">
        <f t="shared" si="4"/>
        <v>986.81175825383616</v>
      </c>
      <c r="T32" cm="1">
        <f t="array" ref="T32">[1]!PropsSI("H","T",J32+273.15,"P",101325,"Water")</f>
        <v>233147.525150314</v>
      </c>
      <c r="U32" cm="1">
        <f t="array" ref="U32">[1]!PropsSI("H","T",K32+273.15,"P",101325,"Water")</f>
        <v>207349.28035077645</v>
      </c>
      <c r="V32">
        <f t="shared" si="5"/>
        <v>534.55204669097805</v>
      </c>
    </row>
    <row r="33" spans="1:22" x14ac:dyDescent="0.2">
      <c r="A33">
        <v>46122.685894675924</v>
      </c>
      <c r="B33">
        <v>20.484014999999999</v>
      </c>
      <c r="C33">
        <v>20.759418</v>
      </c>
      <c r="D33">
        <v>20.248529999999999</v>
      </c>
      <c r="E33">
        <v>20.299997999999999</v>
      </c>
      <c r="F33">
        <v>30.315225000000002</v>
      </c>
      <c r="G33">
        <v>28.084925999999999</v>
      </c>
      <c r="H33">
        <v>26.701015000000002</v>
      </c>
      <c r="I33">
        <v>23.212274000000001</v>
      </c>
      <c r="J33">
        <v>55.671227999999999</v>
      </c>
      <c r="K33">
        <v>49.510841999999997</v>
      </c>
      <c r="L33">
        <v>115.829154</v>
      </c>
      <c r="M33">
        <v>-622.49061300000005</v>
      </c>
      <c r="N33">
        <v>1.258267</v>
      </c>
      <c r="O33">
        <v>5.9213579999999997</v>
      </c>
      <c r="P33">
        <f t="shared" si="3"/>
        <v>2.0971116666666667E-5</v>
      </c>
      <c r="Q33" cm="1">
        <f t="array" ref="Q33">[1]!PropsSI("D","T",J33+273.15,"P",101325,"Water")</f>
        <v>985.36668720628575</v>
      </c>
      <c r="R33" cm="1">
        <f t="array" ref="R33">[1]!PropsSI("D","T",K33+273.15,"P",101325,"Water")</f>
        <v>988.25550492033733</v>
      </c>
      <c r="S33">
        <f t="shared" si="4"/>
        <v>986.81109606331154</v>
      </c>
      <c r="T33" cm="1">
        <f t="array" ref="T33">[1]!PropsSI("H","T",J33+273.15,"P",101325,"Water")</f>
        <v>233136.87471495086</v>
      </c>
      <c r="U33" cm="1">
        <f t="array" ref="U33">[1]!PropsSI("H","T",K33+273.15,"P",101325,"Water")</f>
        <v>207373.18848153201</v>
      </c>
      <c r="V33">
        <f t="shared" si="5"/>
        <v>533.16739373185828</v>
      </c>
    </row>
    <row r="34" spans="1:22" x14ac:dyDescent="0.2">
      <c r="A34">
        <v>46122.685953125001</v>
      </c>
      <c r="B34">
        <v>20.485258999999999</v>
      </c>
      <c r="C34">
        <v>20.745798000000001</v>
      </c>
      <c r="D34">
        <v>20.242799999999999</v>
      </c>
      <c r="E34">
        <v>20.334299000000001</v>
      </c>
      <c r="F34">
        <v>30.468669999999999</v>
      </c>
      <c r="G34">
        <v>27.965015000000001</v>
      </c>
      <c r="H34">
        <v>26.543624999999999</v>
      </c>
      <c r="I34">
        <v>23.445672999999999</v>
      </c>
      <c r="J34">
        <v>55.680298999999998</v>
      </c>
      <c r="K34">
        <v>49.514336999999998</v>
      </c>
      <c r="L34">
        <v>103.07836399999999</v>
      </c>
      <c r="M34">
        <v>-622.47347100000002</v>
      </c>
      <c r="N34">
        <v>1.257144</v>
      </c>
      <c r="O34">
        <v>6.1598459999999999</v>
      </c>
      <c r="P34">
        <f t="shared" si="3"/>
        <v>2.0952399999999999E-5</v>
      </c>
      <c r="Q34" cm="1">
        <f t="array" ref="Q34">[1]!PropsSI("D","T",J34+273.15,"P",101325,"Water")</f>
        <v>985.36225716517811</v>
      </c>
      <c r="R34" cm="1">
        <f t="array" ref="R34">[1]!PropsSI("D","T",K34+273.15,"P",101325,"Water")</f>
        <v>988.25393534628461</v>
      </c>
      <c r="S34">
        <f t="shared" si="4"/>
        <v>986.80809625573136</v>
      </c>
      <c r="T34" cm="1">
        <f t="array" ref="T34">[1]!PropsSI("H","T",J34+273.15,"P",101325,"Water")</f>
        <v>233174.8205623923</v>
      </c>
      <c r="U34" cm="1">
        <f t="array" ref="U34">[1]!PropsSI("H","T",K34+273.15,"P",101325,"Water")</f>
        <v>207387.80179780832</v>
      </c>
      <c r="V34">
        <f t="shared" si="5"/>
        <v>533.17234726757761</v>
      </c>
    </row>
    <row r="35" spans="1:22" x14ac:dyDescent="0.2">
      <c r="A35">
        <v>46122.686011574071</v>
      </c>
      <c r="B35">
        <v>20.565033</v>
      </c>
      <c r="C35">
        <v>20.814675000000001</v>
      </c>
      <c r="D35">
        <v>20.258531999999999</v>
      </c>
      <c r="E35">
        <v>20.306452</v>
      </c>
      <c r="F35">
        <v>30.424087</v>
      </c>
      <c r="G35">
        <v>27.923445999999998</v>
      </c>
      <c r="H35">
        <v>26.910185999999999</v>
      </c>
      <c r="I35">
        <v>23.179503</v>
      </c>
      <c r="J35">
        <v>55.682527</v>
      </c>
      <c r="K35">
        <v>49.517037000000002</v>
      </c>
      <c r="L35">
        <v>112.29627000000001</v>
      </c>
      <c r="M35">
        <v>-622.455512</v>
      </c>
      <c r="N35">
        <v>1.2579720000000001</v>
      </c>
      <c r="O35">
        <v>6.137721</v>
      </c>
      <c r="P35">
        <f t="shared" si="3"/>
        <v>2.0966200000000003E-5</v>
      </c>
      <c r="Q35" cm="1">
        <f t="array" ref="Q35">[1]!PropsSI("D","T",J35+273.15,"P",101325,"Water")</f>
        <v>985.36116899020851</v>
      </c>
      <c r="R35" cm="1">
        <f t="array" ref="R35">[1]!PropsSI("D","T",K35+273.15,"P",101325,"Water")</f>
        <v>988.25272274463839</v>
      </c>
      <c r="S35">
        <f t="shared" si="4"/>
        <v>986.80694586742345</v>
      </c>
      <c r="T35" cm="1">
        <f t="array" ref="T35">[1]!PropsSI("H","T",J35+273.15,"P",101325,"Water")</f>
        <v>233184.14074651833</v>
      </c>
      <c r="U35" cm="1">
        <f t="array" ref="U35">[1]!PropsSI("H","T",K35+273.15,"P",101325,"Water")</f>
        <v>207399.09105729268</v>
      </c>
      <c r="V35">
        <f t="shared" si="5"/>
        <v>533.48215231486415</v>
      </c>
    </row>
    <row r="36" spans="1:22" x14ac:dyDescent="0.2">
      <c r="A36">
        <v>46122.686070023148</v>
      </c>
      <c r="B36">
        <v>20.506644000000001</v>
      </c>
      <c r="C36">
        <v>20.772335999999999</v>
      </c>
      <c r="D36">
        <v>20.304853000000001</v>
      </c>
      <c r="E36">
        <v>20.383078000000001</v>
      </c>
      <c r="F36">
        <v>30.426715000000002</v>
      </c>
      <c r="G36">
        <v>27.914906999999999</v>
      </c>
      <c r="H36">
        <v>26.727484</v>
      </c>
      <c r="I36">
        <v>23.235005000000001</v>
      </c>
      <c r="J36">
        <v>55.679822000000001</v>
      </c>
      <c r="K36">
        <v>49.519419999999997</v>
      </c>
      <c r="L36">
        <v>117.202146</v>
      </c>
      <c r="M36">
        <v>-622.49510199999997</v>
      </c>
      <c r="N36">
        <v>1.260467</v>
      </c>
      <c r="O36">
        <v>5.734667</v>
      </c>
      <c r="P36">
        <f t="shared" si="3"/>
        <v>2.1007783333333332E-5</v>
      </c>
      <c r="Q36" cm="1">
        <f t="array" ref="Q36">[1]!PropsSI("D","T",J36+273.15,"P",101325,"Water")</f>
        <v>985.36249013225813</v>
      </c>
      <c r="R36" cm="1">
        <f t="array" ref="R36">[1]!PropsSI("D","T",K36+273.15,"P",101325,"Water")</f>
        <v>988.25165247146072</v>
      </c>
      <c r="S36">
        <f t="shared" si="4"/>
        <v>986.80707130185942</v>
      </c>
      <c r="T36" cm="1">
        <f t="array" ref="T36">[1]!PropsSI("H","T",J36+273.15,"P",101325,"Water")</f>
        <v>233172.8251731082</v>
      </c>
      <c r="U36" cm="1">
        <f t="array" ref="U36">[1]!PropsSI("H","T",K36+273.15,"P",101325,"Water")</f>
        <v>207409.05487577774</v>
      </c>
      <c r="V36">
        <f t="shared" si="5"/>
        <v>534.09916742923383</v>
      </c>
    </row>
    <row r="37" spans="1:22" x14ac:dyDescent="0.2">
      <c r="A37">
        <v>46122.686128472225</v>
      </c>
      <c r="B37">
        <v>20.490216</v>
      </c>
      <c r="C37">
        <v>20.668782</v>
      </c>
      <c r="D37">
        <v>20.292047</v>
      </c>
      <c r="E37">
        <v>20.386942999999999</v>
      </c>
      <c r="F37">
        <v>30.416450999999999</v>
      </c>
      <c r="G37">
        <v>27.867415000000001</v>
      </c>
      <c r="H37">
        <v>26.923089999999998</v>
      </c>
      <c r="I37">
        <v>23.366123000000002</v>
      </c>
      <c r="J37">
        <v>55.673456000000002</v>
      </c>
      <c r="K37">
        <v>49.520214000000003</v>
      </c>
      <c r="L37">
        <v>114.976135</v>
      </c>
      <c r="M37">
        <v>-622.48612300000002</v>
      </c>
      <c r="N37">
        <v>1.257779</v>
      </c>
      <c r="O37">
        <v>6.3560290000000004</v>
      </c>
      <c r="P37">
        <f t="shared" si="3"/>
        <v>2.0962983333333336E-5</v>
      </c>
      <c r="Q37" cm="1">
        <f t="array" ref="Q37">[1]!PropsSI("D","T",J37+273.15,"P",101325,"Water")</f>
        <v>985.36559915586622</v>
      </c>
      <c r="R37" cm="1">
        <f t="array" ref="R37">[1]!PropsSI("D","T",K37+273.15,"P",101325,"Water")</f>
        <v>988.25129585513264</v>
      </c>
      <c r="S37">
        <f t="shared" si="4"/>
        <v>986.80844750549943</v>
      </c>
      <c r="T37" cm="1">
        <f t="array" ref="T37">[1]!PropsSI("H","T",J37+273.15,"P",101325,"Water")</f>
        <v>233146.19489160698</v>
      </c>
      <c r="U37" cm="1">
        <f t="array" ref="U37">[1]!PropsSI("H","T",K37+273.15,"P",101325,"Water")</f>
        <v>207412.37475520035</v>
      </c>
      <c r="V37">
        <f t="shared" si="5"/>
        <v>532.341358811276</v>
      </c>
    </row>
    <row r="38" spans="1:22" x14ac:dyDescent="0.2">
      <c r="A38">
        <v>44660.686186921499</v>
      </c>
      <c r="B38">
        <v>20.601862000000001</v>
      </c>
      <c r="C38">
        <v>20.713562</v>
      </c>
      <c r="D38">
        <v>20.352841999999999</v>
      </c>
      <c r="E38">
        <v>20.471226999999999</v>
      </c>
      <c r="F38">
        <v>30.433022999999999</v>
      </c>
      <c r="G38">
        <v>28.135202</v>
      </c>
      <c r="H38">
        <v>26.599954</v>
      </c>
      <c r="I38">
        <v>23.490124999999999</v>
      </c>
      <c r="J38">
        <v>55.673932999999998</v>
      </c>
      <c r="K38">
        <v>49.518625999999998</v>
      </c>
      <c r="L38">
        <v>108.956029</v>
      </c>
      <c r="M38">
        <v>-622.50938699999995</v>
      </c>
      <c r="N38">
        <v>1.2524519999999999</v>
      </c>
      <c r="O38">
        <v>6.1352690000000001</v>
      </c>
      <c r="P38">
        <f t="shared" si="3"/>
        <v>2.0874199999999997E-5</v>
      </c>
      <c r="Q38" cm="1">
        <f t="array" ref="Q38">[1]!PropsSI("D","T",J38+273.15,"P",101325,"Water")</f>
        <v>985.36536620750678</v>
      </c>
      <c r="R38" cm="1">
        <f t="array" ref="R38">[1]!PropsSI("D","T",K38+273.15,"P",101325,"Water")</f>
        <v>988.25200908366105</v>
      </c>
      <c r="S38">
        <f t="shared" si="4"/>
        <v>986.80868764558386</v>
      </c>
      <c r="T38" cm="1">
        <f t="array" ref="T38">[1]!PropsSI("H","T",J38+273.15,"P",101325,"Water")</f>
        <v>233148.19027974224</v>
      </c>
      <c r="U38" cm="1">
        <f t="array" ref="U38">[1]!PropsSI("H","T",K38+273.15,"P",101325,"Water")</f>
        <v>207405.73499652298</v>
      </c>
      <c r="V38">
        <f t="shared" si="5"/>
        <v>530.26476669382009</v>
      </c>
    </row>
    <row r="39" spans="1:22" x14ac:dyDescent="0.2">
      <c r="A39">
        <v>44660.686245370503</v>
      </c>
      <c r="B39">
        <v>20.689734000000001</v>
      </c>
      <c r="C39">
        <v>20.789783</v>
      </c>
      <c r="D39">
        <v>20.464335999999999</v>
      </c>
      <c r="E39">
        <v>20.554925999999998</v>
      </c>
      <c r="F39">
        <v>30.512183</v>
      </c>
      <c r="G39">
        <v>28.001404000000001</v>
      </c>
      <c r="H39">
        <v>26.930720000000001</v>
      </c>
      <c r="I39">
        <v>23.498775999999999</v>
      </c>
      <c r="J39">
        <v>55.674728999999999</v>
      </c>
      <c r="K39">
        <v>49.515925000000003</v>
      </c>
      <c r="L39">
        <v>109.60742500000001</v>
      </c>
      <c r="M39">
        <v>-622.48938799999996</v>
      </c>
      <c r="N39">
        <v>1.2584919999999999</v>
      </c>
      <c r="O39">
        <v>5.5010719999999997</v>
      </c>
      <c r="P39">
        <f t="shared" si="3"/>
        <v>2.0974866666666665E-5</v>
      </c>
      <c r="Q39" cm="1">
        <f t="array" ref="Q39">[1]!PropsSI("D","T",J39+273.15,"P",101325,"Water")</f>
        <v>985.36497746881059</v>
      </c>
      <c r="R39" cm="1">
        <f t="array" ref="R39">[1]!PropsSI("D","T",K39+273.15,"P",101325,"Water")</f>
        <v>988.25322216271161</v>
      </c>
      <c r="S39">
        <f t="shared" si="4"/>
        <v>986.8090998157611</v>
      </c>
      <c r="T39" cm="1">
        <f t="array" ref="T39">[1]!PropsSI("H","T",J39+273.15,"P",101325,"Water")</f>
        <v>233151.52011003502</v>
      </c>
      <c r="U39" cm="1">
        <f t="array" ref="U39">[1]!PropsSI("H","T",K39+273.15,"P",101325,"Water")</f>
        <v>207394.44155460928</v>
      </c>
      <c r="V39">
        <f t="shared" si="5"/>
        <v>533.12488760292115</v>
      </c>
    </row>
    <row r="40" spans="1:22" x14ac:dyDescent="0.2">
      <c r="A40">
        <v>44660.686303819602</v>
      </c>
      <c r="B40">
        <v>20.645247999999999</v>
      </c>
      <c r="C40">
        <v>20.879581000000002</v>
      </c>
      <c r="D40">
        <v>20.399805000000001</v>
      </c>
      <c r="E40">
        <v>20.501397999999998</v>
      </c>
      <c r="F40">
        <v>30.541478000000001</v>
      </c>
      <c r="G40">
        <v>28.186827999999998</v>
      </c>
      <c r="H40">
        <v>27.004149999999999</v>
      </c>
      <c r="I40">
        <v>23.428439999999998</v>
      </c>
      <c r="J40">
        <v>55.673614999999998</v>
      </c>
      <c r="K40">
        <v>49.513224999999998</v>
      </c>
      <c r="L40">
        <v>108.420137</v>
      </c>
      <c r="M40">
        <v>-622.51306099999999</v>
      </c>
      <c r="N40">
        <v>1.255628</v>
      </c>
      <c r="O40">
        <v>6.3989310000000001</v>
      </c>
      <c r="P40">
        <f t="shared" si="3"/>
        <v>2.0927133333333332E-5</v>
      </c>
      <c r="Q40" cm="1">
        <f t="array" ref="Q40">[1]!PropsSI("D","T",J40+273.15,"P",101325,"Water")</f>
        <v>985.36552150657712</v>
      </c>
      <c r="R40" cm="1">
        <f t="array" ref="R40">[1]!PropsSI("D","T",K40+273.15,"P",101325,"Water")</f>
        <v>988.25443474453118</v>
      </c>
      <c r="S40">
        <f t="shared" si="4"/>
        <v>986.80997812555415</v>
      </c>
      <c r="T40" cm="1">
        <f t="array" ref="T40">[1]!PropsSI("H","T",J40+273.15,"P",101325,"Water")</f>
        <v>233146.86002095297</v>
      </c>
      <c r="U40" cm="1">
        <f t="array" ref="U40">[1]!PropsSI("H","T",K40+273.15,"P",101325,"Water")</f>
        <v>207383.15229595956</v>
      </c>
      <c r="V40">
        <f t="shared" si="5"/>
        <v>532.0490073168661</v>
      </c>
    </row>
    <row r="41" spans="1:22" x14ac:dyDescent="0.2">
      <c r="A41">
        <v>44660.686361690001</v>
      </c>
      <c r="B41">
        <v>20.559906000000002</v>
      </c>
      <c r="C41">
        <v>20.747858000000001</v>
      </c>
      <c r="D41">
        <v>20.348378</v>
      </c>
      <c r="E41">
        <v>20.494371999999998</v>
      </c>
      <c r="F41">
        <v>30.480229000000001</v>
      </c>
      <c r="G41">
        <v>27.807801000000001</v>
      </c>
      <c r="H41">
        <v>27.153174</v>
      </c>
      <c r="I41">
        <v>23.489595000000001</v>
      </c>
      <c r="J41">
        <v>55.668841</v>
      </c>
      <c r="K41">
        <v>49.513860000000001</v>
      </c>
      <c r="L41">
        <v>122.24311899999999</v>
      </c>
      <c r="M41">
        <v>-622.51673400000004</v>
      </c>
      <c r="N41">
        <v>1.2571319999999999</v>
      </c>
      <c r="O41">
        <v>4.9656019999999996</v>
      </c>
      <c r="P41">
        <f t="shared" si="3"/>
        <v>2.0952199999999999E-5</v>
      </c>
      <c r="Q41" cm="1">
        <f t="array" ref="Q41">[1]!PropsSI("D","T",J41+273.15,"P",101325,"Water")</f>
        <v>985.36785287085445</v>
      </c>
      <c r="R41" cm="1">
        <f t="array" ref="R41">[1]!PropsSI("D","T",K41+273.15,"P",101325,"Water")</f>
        <v>988.25414956757061</v>
      </c>
      <c r="S41">
        <f t="shared" si="4"/>
        <v>986.81100121921259</v>
      </c>
      <c r="T41" cm="1">
        <f t="array" ref="T41">[1]!PropsSI("H","T",J41+273.15,"P",101325,"Water")</f>
        <v>233126.88941104119</v>
      </c>
      <c r="U41" cm="1">
        <f t="array" ref="U41">[1]!PropsSI("H","T",K41+273.15,"P",101325,"Water")</f>
        <v>207385.80736218934</v>
      </c>
      <c r="V41">
        <f t="shared" si="5"/>
        <v>532.21904626599462</v>
      </c>
    </row>
    <row r="42" spans="1:22" x14ac:dyDescent="0.2">
      <c r="A42">
        <v>46122.686420138889</v>
      </c>
      <c r="B42">
        <v>20.514046</v>
      </c>
      <c r="C42">
        <v>20.670127000000001</v>
      </c>
      <c r="D42">
        <v>20.34074</v>
      </c>
      <c r="E42">
        <v>20.484517</v>
      </c>
      <c r="F42">
        <v>30.297564999999999</v>
      </c>
      <c r="G42">
        <v>28.059215999999999</v>
      </c>
      <c r="H42">
        <v>26.780031000000001</v>
      </c>
      <c r="I42">
        <v>23.279350000000001</v>
      </c>
      <c r="J42">
        <v>55.667568000000003</v>
      </c>
      <c r="K42">
        <v>49.512748999999999</v>
      </c>
      <c r="L42">
        <v>110.875933</v>
      </c>
      <c r="M42">
        <v>-622.5</v>
      </c>
      <c r="N42">
        <v>1.25312</v>
      </c>
      <c r="O42">
        <v>5.2585170000000003</v>
      </c>
      <c r="P42">
        <f t="shared" si="3"/>
        <v>2.0885333333333335E-5</v>
      </c>
      <c r="Q42" cm="1">
        <f t="array" ref="Q42">[1]!PropsSI("D","T",J42+273.15,"P",101325,"Water")</f>
        <v>985.36847451170945</v>
      </c>
      <c r="R42" cm="1">
        <f t="array" ref="R42">[1]!PropsSI("D","T",K42+273.15,"P",101325,"Water")</f>
        <v>988.25464851322738</v>
      </c>
      <c r="S42">
        <f t="shared" si="4"/>
        <v>986.81156151246842</v>
      </c>
      <c r="T42" cm="1">
        <f t="array" ref="T42">[1]!PropsSI("H","T",J42+273.15,"P",101325,"Water")</f>
        <v>233121.56419541134</v>
      </c>
      <c r="U42" cm="1">
        <f t="array" ref="U42">[1]!PropsSI("H","T",K42+273.15,"P",101325,"Water")</f>
        <v>207381.16204166831</v>
      </c>
      <c r="V42">
        <f t="shared" si="5"/>
        <v>530.50681574367752</v>
      </c>
    </row>
    <row r="43" spans="1:22" x14ac:dyDescent="0.2">
      <c r="A43">
        <v>46122.686478009258</v>
      </c>
      <c r="B43">
        <v>20.544093</v>
      </c>
      <c r="C43">
        <v>20.668353</v>
      </c>
      <c r="D43">
        <v>20.391881999999999</v>
      </c>
      <c r="E43">
        <v>20.521118000000001</v>
      </c>
      <c r="F43">
        <v>30.382857000000001</v>
      </c>
      <c r="G43">
        <v>28.178128999999998</v>
      </c>
      <c r="H43">
        <v>26.767296999999999</v>
      </c>
      <c r="I43">
        <v>23.177969000000001</v>
      </c>
      <c r="J43">
        <v>55.672818999999997</v>
      </c>
      <c r="K43">
        <v>49.512590000000003</v>
      </c>
      <c r="L43">
        <v>112.913382</v>
      </c>
      <c r="M43">
        <v>-622.48244999999997</v>
      </c>
      <c r="N43">
        <v>1.25864</v>
      </c>
      <c r="O43">
        <v>6.0636219999999996</v>
      </c>
      <c r="P43">
        <f t="shared" si="3"/>
        <v>2.0977333333333337E-5</v>
      </c>
      <c r="Q43" cm="1">
        <f t="array" ref="Q43">[1]!PropsSI("D","T",J43+273.15,"P",101325,"Water")</f>
        <v>985.36591023981339</v>
      </c>
      <c r="R43" cm="1">
        <f t="array" ref="R43">[1]!PropsSI("D","T",K43+273.15,"P",101325,"Water")</f>
        <v>988.25471991882318</v>
      </c>
      <c r="S43">
        <f t="shared" si="4"/>
        <v>986.81031507931834</v>
      </c>
      <c r="T43" cm="1">
        <f t="array" ref="T43">[1]!PropsSI("H","T",J43+273.15,"P",101325,"Water")</f>
        <v>233143.530190975</v>
      </c>
      <c r="U43" cm="1">
        <f t="array" ref="U43">[1]!PropsSI("H","T",K43+273.15,"P",101325,"Water")</f>
        <v>207380.49722985885</v>
      </c>
      <c r="V43">
        <f t="shared" si="5"/>
        <v>533.3115003443105</v>
      </c>
    </row>
    <row r="44" spans="1:22" x14ac:dyDescent="0.2">
      <c r="A44">
        <v>46122.686536458335</v>
      </c>
      <c r="B44">
        <v>20.63165</v>
      </c>
      <c r="C44">
        <v>20.645385000000001</v>
      </c>
      <c r="D44">
        <v>20.451536999999998</v>
      </c>
      <c r="E44">
        <v>20.496552999999999</v>
      </c>
      <c r="F44">
        <v>30.542138000000001</v>
      </c>
      <c r="G44">
        <v>28.252717000000001</v>
      </c>
      <c r="H44">
        <v>26.314340999999999</v>
      </c>
      <c r="I44">
        <v>23.352626999999998</v>
      </c>
      <c r="J44">
        <v>55.669795999999998</v>
      </c>
      <c r="K44">
        <v>49.506394999999998</v>
      </c>
      <c r="L44">
        <v>111.288157</v>
      </c>
      <c r="M44">
        <v>-622.48530700000003</v>
      </c>
      <c r="N44">
        <v>1.25312</v>
      </c>
      <c r="O44">
        <v>6.1511279999999999</v>
      </c>
      <c r="P44">
        <f t="shared" si="3"/>
        <v>2.0885333333333335E-5</v>
      </c>
      <c r="Q44" cm="1">
        <f t="array" ref="Q44">[1]!PropsSI("D","T",J44+273.15,"P",101325,"Water")</f>
        <v>985.36738651156952</v>
      </c>
      <c r="R44" cm="1">
        <f t="array" ref="R44">[1]!PropsSI("D","T",K44+273.15,"P",101325,"Water")</f>
        <v>988.25750191278041</v>
      </c>
      <c r="S44">
        <f t="shared" si="4"/>
        <v>986.81244421217502</v>
      </c>
      <c r="T44" cm="1">
        <f t="array" ref="T44">[1]!PropsSI("H","T",J44+273.15,"P",101325,"Water")</f>
        <v>233130.88436898889</v>
      </c>
      <c r="U44" cm="1">
        <f t="array" ref="U44">[1]!PropsSI("H","T",K44+273.15,"P",101325,"Water")</f>
        <v>207354.59466166931</v>
      </c>
      <c r="V44">
        <f t="shared" si="5"/>
        <v>531.24692941602859</v>
      </c>
    </row>
    <row r="45" spans="1:22" x14ac:dyDescent="0.2">
      <c r="A45">
        <v>46122.686594907405</v>
      </c>
      <c r="B45">
        <v>20.585608000000001</v>
      </c>
      <c r="C45">
        <v>20.517325</v>
      </c>
      <c r="D45">
        <v>20.413314</v>
      </c>
      <c r="E45">
        <v>20.437362</v>
      </c>
      <c r="F45">
        <v>30.376118999999999</v>
      </c>
      <c r="G45">
        <v>27.877110999999999</v>
      </c>
      <c r="H45">
        <v>26.663708</v>
      </c>
      <c r="I45">
        <v>23.401879999999998</v>
      </c>
      <c r="J45">
        <v>55.671069000000003</v>
      </c>
      <c r="K45">
        <v>49.508617999999998</v>
      </c>
      <c r="L45">
        <v>124.95114599999999</v>
      </c>
      <c r="M45">
        <v>-622.46081800000002</v>
      </c>
      <c r="N45">
        <v>1.255349</v>
      </c>
      <c r="O45">
        <v>5.6012089999999999</v>
      </c>
      <c r="P45">
        <f t="shared" si="3"/>
        <v>2.0922483333333335E-5</v>
      </c>
      <c r="Q45" cm="1">
        <f t="array" ref="Q45">[1]!PropsSI("D","T",J45+273.15,"P",101325,"Water")</f>
        <v>985.36676485323176</v>
      </c>
      <c r="R45" cm="1">
        <f t="array" ref="R45">[1]!PropsSI("D","T",K45+273.15,"P",101325,"Water")</f>
        <v>988.2565036574174</v>
      </c>
      <c r="S45">
        <f t="shared" si="4"/>
        <v>986.81163425532463</v>
      </c>
      <c r="T45" cm="1">
        <f t="array" ref="T45">[1]!PropsSI("H","T",J45+273.15,"P",101325,"Water")</f>
        <v>233136.20958573083</v>
      </c>
      <c r="U45" cm="1">
        <f t="array" ref="U45">[1]!PropsSI("H","T",K45+273.15,"P",101325,"Water")</f>
        <v>207363.8894803091</v>
      </c>
      <c r="V45">
        <f t="shared" si="5"/>
        <v>532.10949492124075</v>
      </c>
    </row>
    <row r="46" spans="1:22" x14ac:dyDescent="0.2">
      <c r="A46">
        <v>46122.686653356483</v>
      </c>
      <c r="B46">
        <v>20.65924</v>
      </c>
      <c r="C46">
        <v>20.5669</v>
      </c>
      <c r="D46">
        <v>20.347999000000002</v>
      </c>
      <c r="E46">
        <v>20.430831999999999</v>
      </c>
      <c r="F46">
        <v>30.466453000000001</v>
      </c>
      <c r="G46">
        <v>28.005901999999999</v>
      </c>
      <c r="H46">
        <v>26.829978000000001</v>
      </c>
      <c r="I46">
        <v>23.666181999999999</v>
      </c>
      <c r="J46">
        <v>55.670113999999998</v>
      </c>
      <c r="K46">
        <v>49.511159999999997</v>
      </c>
      <c r="L46">
        <v>111.835476</v>
      </c>
      <c r="M46">
        <v>-622.53510000000006</v>
      </c>
      <c r="N46">
        <v>1.2572589999999999</v>
      </c>
      <c r="O46">
        <v>5.600676</v>
      </c>
      <c r="P46">
        <f t="shared" si="3"/>
        <v>2.0954316666666667E-5</v>
      </c>
      <c r="Q46" cm="1">
        <f t="array" ref="Q46">[1]!PropsSI("D","T",J46+273.15,"P",101325,"Water")</f>
        <v>985.36723122001024</v>
      </c>
      <c r="R46" cm="1">
        <f t="array" ref="R46">[1]!PropsSI("D","T",K46+273.15,"P",101325,"Water")</f>
        <v>988.25536211261817</v>
      </c>
      <c r="S46">
        <f t="shared" si="4"/>
        <v>986.81129666631421</v>
      </c>
      <c r="T46" cm="1">
        <f t="array" ref="T46">[1]!PropsSI("H","T",J46+273.15,"P",101325,"Water")</f>
        <v>233132.21462732329</v>
      </c>
      <c r="U46" cm="1">
        <f t="array" ref="U46">[1]!PropsSI("H","T",K46+273.15,"P",101325,"Water")</f>
        <v>207374.51810500954</v>
      </c>
      <c r="V46">
        <f t="shared" si="5"/>
        <v>532.61652566802968</v>
      </c>
    </row>
    <row r="47" spans="1:22" x14ac:dyDescent="0.2">
      <c r="A47">
        <v>46122.686711226852</v>
      </c>
      <c r="B47">
        <v>20.556812000000001</v>
      </c>
      <c r="C47">
        <v>20.541926</v>
      </c>
      <c r="D47">
        <v>20.365269000000001</v>
      </c>
      <c r="E47">
        <v>20.377175999999999</v>
      </c>
      <c r="F47">
        <v>30.432919999999999</v>
      </c>
      <c r="G47">
        <v>27.86205</v>
      </c>
      <c r="H47">
        <v>26.581769000000001</v>
      </c>
      <c r="I47">
        <v>23.221533999999998</v>
      </c>
      <c r="J47">
        <v>55.671545999999999</v>
      </c>
      <c r="K47">
        <v>49.504646999999999</v>
      </c>
      <c r="L47">
        <v>114.552075</v>
      </c>
      <c r="M47">
        <v>-622.49755100000004</v>
      </c>
      <c r="N47">
        <v>1.2554879999999999</v>
      </c>
      <c r="O47">
        <v>5.8336990000000002</v>
      </c>
      <c r="P47">
        <f t="shared" si="3"/>
        <v>2.09248E-5</v>
      </c>
      <c r="Q47" cm="1">
        <f t="array" ref="Q47">[1]!PropsSI("D","T",J47+273.15,"P",101325,"Water")</f>
        <v>985.3665319119151</v>
      </c>
      <c r="R47" cm="1">
        <f t="array" ref="R47">[1]!PropsSI("D","T",K47+273.15,"P",101325,"Water")</f>
        <v>988.25828684285295</v>
      </c>
      <c r="S47">
        <f t="shared" si="4"/>
        <v>986.81240937738403</v>
      </c>
      <c r="T47" cm="1">
        <f t="array" ref="T47">[1]!PropsSI("H","T",J47+273.15,"P",101325,"Water")</f>
        <v>233138.20497342118</v>
      </c>
      <c r="U47" cm="1">
        <f t="array" ref="U47">[1]!PropsSI("H","T",K47+273.15,"P",101325,"Water")</f>
        <v>207347.28591627514</v>
      </c>
      <c r="V47">
        <f t="shared" si="5"/>
        <v>532.5528783887188</v>
      </c>
    </row>
    <row r="48" spans="1:22" x14ac:dyDescent="0.2">
      <c r="A48">
        <v>46122.686769675929</v>
      </c>
      <c r="B48">
        <v>20.558793000000001</v>
      </c>
      <c r="C48">
        <v>20.538087999999998</v>
      </c>
      <c r="D48">
        <v>20.323136000000002</v>
      </c>
      <c r="E48">
        <v>20.383254999999998</v>
      </c>
      <c r="F48">
        <v>30.514364</v>
      </c>
      <c r="G48">
        <v>28.145468000000001</v>
      </c>
      <c r="H48">
        <v>26.506571999999998</v>
      </c>
      <c r="I48">
        <v>22.938836999999999</v>
      </c>
      <c r="J48">
        <v>55.674092000000002</v>
      </c>
      <c r="K48">
        <v>49.502741</v>
      </c>
      <c r="L48">
        <v>114.04107999999999</v>
      </c>
      <c r="M48">
        <v>-622.51510099999996</v>
      </c>
      <c r="N48">
        <v>1.2573570000000001</v>
      </c>
      <c r="O48">
        <v>6.1691859999999998</v>
      </c>
      <c r="P48">
        <f t="shared" si="3"/>
        <v>2.0955950000000004E-5</v>
      </c>
      <c r="Q48" cm="1">
        <f t="array" ref="Q48">[1]!PropsSI("D","T",J48+273.15,"P",101325,"Water")</f>
        <v>985.36528855778795</v>
      </c>
      <c r="R48" cm="1">
        <f t="array" ref="R48">[1]!PropsSI("D","T",K48+273.15,"P",101325,"Water")</f>
        <v>988.25914269898976</v>
      </c>
      <c r="S48">
        <f t="shared" si="4"/>
        <v>986.81221562838891</v>
      </c>
      <c r="T48" cm="1">
        <f t="array" ref="T48">[1]!PropsSI("H","T",J48+273.15,"P",101325,"Water")</f>
        <v>233148.85540914111</v>
      </c>
      <c r="U48" cm="1">
        <f t="array" ref="U48">[1]!PropsSI("H","T",K48+273.15,"P",101325,"Water")</f>
        <v>207339.31654161791</v>
      </c>
      <c r="V48">
        <f t="shared" si="5"/>
        <v>533.73061605764246</v>
      </c>
    </row>
    <row r="49" spans="1:22" x14ac:dyDescent="0.2">
      <c r="A49">
        <v>44660.686828125203</v>
      </c>
      <c r="B49">
        <v>20.530194999999999</v>
      </c>
      <c r="C49">
        <v>20.571242999999999</v>
      </c>
      <c r="D49">
        <v>20.382743999999999</v>
      </c>
      <c r="E49">
        <v>20.457868999999999</v>
      </c>
      <c r="F49">
        <v>30.380272999999999</v>
      </c>
      <c r="G49">
        <v>27.948122999999999</v>
      </c>
      <c r="H49">
        <v>26.547276</v>
      </c>
      <c r="I49">
        <v>23.33447</v>
      </c>
      <c r="J49">
        <v>55.676001999999997</v>
      </c>
      <c r="K49">
        <v>49.501469999999998</v>
      </c>
      <c r="L49">
        <v>113.218264</v>
      </c>
      <c r="M49">
        <v>-622.49550999999997</v>
      </c>
      <c r="N49">
        <v>1.2558199999999999</v>
      </c>
      <c r="O49">
        <v>6.7395009999999997</v>
      </c>
      <c r="P49">
        <f t="shared" si="3"/>
        <v>2.0930333333333332E-5</v>
      </c>
      <c r="Q49" cm="1">
        <f t="array" ref="Q49">[1]!PropsSI("D","T",J49+273.15,"P",101325,"Water")</f>
        <v>985.36435577175087</v>
      </c>
      <c r="R49" cm="1">
        <f t="array" ref="R49">[1]!PropsSI("D","T",K49+273.15,"P",101325,"Water")</f>
        <v>988.25971340611034</v>
      </c>
      <c r="S49">
        <f t="shared" si="4"/>
        <v>986.8120345889306</v>
      </c>
      <c r="T49" cm="1">
        <f t="array" ref="T49">[1]!PropsSI("H","T",J49+273.15,"P",101325,"Water")</f>
        <v>233156.84532910894</v>
      </c>
      <c r="U49" cm="1">
        <f t="array" ref="U49">[1]!PropsSI("H","T",K49+273.15,"P",101325,"Water")</f>
        <v>207334.00223200503</v>
      </c>
      <c r="V49">
        <f t="shared" si="5"/>
        <v>533.35287267995886</v>
      </c>
    </row>
    <row r="50" spans="1:22" x14ac:dyDescent="0.2">
      <c r="A50" t="s">
        <v>20</v>
      </c>
      <c r="B50">
        <v>20.605924000000002</v>
      </c>
      <c r="C50">
        <v>20.714573000000001</v>
      </c>
      <c r="D50">
        <v>20.392146</v>
      </c>
      <c r="E50">
        <v>20.443515999999999</v>
      </c>
      <c r="F50">
        <v>30.343578000000001</v>
      </c>
      <c r="G50">
        <v>28.117035999999999</v>
      </c>
      <c r="H50">
        <v>26.913316999999999</v>
      </c>
      <c r="I50">
        <v>23.391138999999999</v>
      </c>
      <c r="J50">
        <v>55.672342</v>
      </c>
      <c r="K50">
        <v>49.506712</v>
      </c>
      <c r="L50">
        <v>118.554732</v>
      </c>
      <c r="M50">
        <v>-622.50734699999998</v>
      </c>
      <c r="N50">
        <v>1.257951</v>
      </c>
      <c r="O50">
        <v>6.9188720000000004</v>
      </c>
      <c r="P50">
        <f t="shared" si="3"/>
        <v>2.0965849999999998E-5</v>
      </c>
      <c r="Q50" cm="1">
        <f t="array" ref="Q50">[1]!PropsSI("D","T",J50+273.15,"P",101325,"Water")</f>
        <v>985.3661431848999</v>
      </c>
      <c r="R50" cm="1">
        <f t="array" ref="R50">[1]!PropsSI("D","T",K50+273.15,"P",101325,"Water")</f>
        <v>988.25735956349524</v>
      </c>
      <c r="S50">
        <f t="shared" si="4"/>
        <v>986.81175137419757</v>
      </c>
      <c r="T50" cm="1">
        <f t="array" ref="T50">[1]!PropsSI("H","T",J50+273.15,"P",101325,"Water")</f>
        <v>233141.53480304766</v>
      </c>
      <c r="U50" cm="1">
        <f t="array" ref="U50">[1]!PropsSI("H","T",K50+273.15,"P",101325,"Water")</f>
        <v>207355.92010356422</v>
      </c>
      <c r="V50">
        <f t="shared" si="5"/>
        <v>533.4875341884042</v>
      </c>
    </row>
    <row r="51" spans="1:22" x14ac:dyDescent="0.2">
      <c r="A51">
        <v>46122.686943865738</v>
      </c>
      <c r="B51">
        <v>20.567273</v>
      </c>
      <c r="C51">
        <v>20.638649000000001</v>
      </c>
      <c r="D51">
        <v>20.374713</v>
      </c>
      <c r="E51">
        <v>20.453365999999999</v>
      </c>
      <c r="F51">
        <v>30.498965999999999</v>
      </c>
      <c r="G51">
        <v>28.241081000000001</v>
      </c>
      <c r="H51">
        <v>26.775769</v>
      </c>
      <c r="I51">
        <v>23.288706000000001</v>
      </c>
      <c r="J51">
        <v>55.670751000000003</v>
      </c>
      <c r="K51">
        <v>49.512748999999999</v>
      </c>
      <c r="L51">
        <v>123.05165</v>
      </c>
      <c r="M51">
        <v>-622.47102199999995</v>
      </c>
      <c r="N51">
        <v>1.260926</v>
      </c>
      <c r="O51">
        <v>5.6202709999999998</v>
      </c>
      <c r="P51">
        <f t="shared" si="3"/>
        <v>2.1015433333333336E-5</v>
      </c>
      <c r="Q51" cm="1">
        <f t="array" ref="Q51">[1]!PropsSI("D","T",J51+273.15,"P",101325,"Water")</f>
        <v>985.36692014666812</v>
      </c>
      <c r="R51" cm="1">
        <f t="array" ref="R51">[1]!PropsSI("D","T",K51+273.15,"P",101325,"Water")</f>
        <v>988.25464851322738</v>
      </c>
      <c r="S51">
        <f t="shared" si="4"/>
        <v>986.81078432994775</v>
      </c>
      <c r="T51" cm="1">
        <f t="array" ref="T51">[1]!PropsSI("H","T",J51+273.15,"P",101325,"Water")</f>
        <v>233134.87932725772</v>
      </c>
      <c r="U51" cm="1">
        <f t="array" ref="U51">[1]!PropsSI("H","T",K51+273.15,"P",101325,"Water")</f>
        <v>207381.16204166831</v>
      </c>
      <c r="V51">
        <f t="shared" si="5"/>
        <v>534.08718847664534</v>
      </c>
    </row>
    <row r="52" spans="1:22" x14ac:dyDescent="0.2">
      <c r="A52">
        <v>46122.687002314815</v>
      </c>
      <c r="B52">
        <v>20.566766999999999</v>
      </c>
      <c r="C52">
        <v>20.742359</v>
      </c>
      <c r="D52">
        <v>20.419699000000001</v>
      </c>
      <c r="E52">
        <v>20.452639999999999</v>
      </c>
      <c r="F52">
        <v>30.477571999999999</v>
      </c>
      <c r="G52">
        <v>27.927644999999998</v>
      </c>
      <c r="H52">
        <v>26.814405000000001</v>
      </c>
      <c r="I52">
        <v>23.516038000000002</v>
      </c>
      <c r="J52">
        <v>55.664861999999999</v>
      </c>
      <c r="K52">
        <v>49.513702000000002</v>
      </c>
      <c r="L52">
        <v>106.481459</v>
      </c>
      <c r="M52">
        <v>-622.49020499999995</v>
      </c>
      <c r="N52">
        <v>1.2582340000000001</v>
      </c>
      <c r="O52">
        <v>6.0368719999999998</v>
      </c>
      <c r="P52">
        <f t="shared" si="3"/>
        <v>2.0970566666666665E-5</v>
      </c>
      <c r="Q52" cm="1">
        <f t="array" ref="Q52">[1]!PropsSI("D","T",J52+273.15,"P",101325,"Water")</f>
        <v>985.36979589263342</v>
      </c>
      <c r="R52" cm="1">
        <f t="array" ref="R52">[1]!PropsSI("D","T",K52+273.15,"P",101325,"Water")</f>
        <v>988.25422052522129</v>
      </c>
      <c r="S52">
        <f t="shared" si="4"/>
        <v>986.81200820892741</v>
      </c>
      <c r="T52" cm="1">
        <f t="array" ref="T52">[1]!PropsSI("H","T",J52+273.15,"P",101325,"Water")</f>
        <v>233110.24445381181</v>
      </c>
      <c r="U52" cm="1">
        <f t="array" ref="U52">[1]!PropsSI("H","T",K52+273.15,"P",101325,"Water")</f>
        <v>207385.14673151606</v>
      </c>
      <c r="V52">
        <f t="shared" si="5"/>
        <v>532.35535248525525</v>
      </c>
    </row>
    <row r="53" spans="1:22" x14ac:dyDescent="0.2">
      <c r="A53">
        <v>46122.687060185184</v>
      </c>
      <c r="B53">
        <v>20.679611999999999</v>
      </c>
      <c r="C53">
        <v>20.723814000000001</v>
      </c>
      <c r="D53">
        <v>20.370982999999999</v>
      </c>
      <c r="E53">
        <v>20.379386</v>
      </c>
      <c r="F53">
        <v>30.586417000000001</v>
      </c>
      <c r="G53">
        <v>27.796029000000001</v>
      </c>
      <c r="H53">
        <v>26.575503000000001</v>
      </c>
      <c r="I53">
        <v>23.408439000000001</v>
      </c>
      <c r="J53">
        <v>55.667726999999999</v>
      </c>
      <c r="K53">
        <v>49.516243000000003</v>
      </c>
      <c r="L53">
        <v>114.237397</v>
      </c>
      <c r="M53">
        <v>-622.43673799999999</v>
      </c>
      <c r="N53">
        <v>1.2574799999999999</v>
      </c>
      <c r="O53">
        <v>5.9386910000000004</v>
      </c>
      <c r="P53">
        <f t="shared" si="3"/>
        <v>2.0958000000000002E-5</v>
      </c>
      <c r="Q53" cm="1">
        <f t="array" ref="Q53">[1]!PropsSI("D","T",J53+273.15,"P",101325,"Water")</f>
        <v>985.36839686819008</v>
      </c>
      <c r="R53" cm="1">
        <f t="array" ref="R53">[1]!PropsSI("D","T",K53+273.15,"P",101325,"Water")</f>
        <v>988.25307934435671</v>
      </c>
      <c r="S53">
        <f t="shared" si="4"/>
        <v>986.81073810627345</v>
      </c>
      <c r="T53" cm="1">
        <f t="array" ref="T53">[1]!PropsSI("H","T",J53+273.15,"P",101325,"Water")</f>
        <v>233122.22932442138</v>
      </c>
      <c r="U53" cm="1">
        <f t="array" ref="U53">[1]!PropsSI("H","T",K53+273.15,"P",101325,"Water")</f>
        <v>207395.77117853932</v>
      </c>
      <c r="V53">
        <f t="shared" si="5"/>
        <v>532.06378809138312</v>
      </c>
    </row>
    <row r="54" spans="1:22" x14ac:dyDescent="0.2">
      <c r="A54">
        <v>46122.687118634261</v>
      </c>
      <c r="B54">
        <v>20.676774999999999</v>
      </c>
      <c r="C54">
        <v>20.844235000000001</v>
      </c>
      <c r="D54">
        <v>20.348675</v>
      </c>
      <c r="E54">
        <v>20.392451999999999</v>
      </c>
      <c r="F54">
        <v>30.499376999999999</v>
      </c>
      <c r="G54">
        <v>28.048538000000001</v>
      </c>
      <c r="H54">
        <v>26.828585</v>
      </c>
      <c r="I54">
        <v>23.270126999999999</v>
      </c>
      <c r="J54">
        <v>55.667408999999999</v>
      </c>
      <c r="K54">
        <v>49.515608</v>
      </c>
      <c r="L54">
        <v>114.543504</v>
      </c>
      <c r="M54">
        <v>-622.49877600000002</v>
      </c>
      <c r="N54">
        <v>1.260578</v>
      </c>
      <c r="O54">
        <v>5.3134410000000001</v>
      </c>
      <c r="P54">
        <f t="shared" si="3"/>
        <v>2.1009633333333333E-5</v>
      </c>
      <c r="Q54" cm="1">
        <f t="array" ref="Q54">[1]!PropsSI("D","T",J54+273.15,"P",101325,"Water")</f>
        <v>985.36855215507683</v>
      </c>
      <c r="R54" cm="1">
        <f t="array" ref="R54">[1]!PropsSI("D","T",K54+273.15,"P",101325,"Water")</f>
        <v>988.25336453127625</v>
      </c>
      <c r="S54">
        <f t="shared" si="4"/>
        <v>986.81095834317648</v>
      </c>
      <c r="T54" cm="1">
        <f t="array" ref="T54">[1]!PropsSI("H","T",J54+273.15,"P",101325,"Water")</f>
        <v>233120.8990663843</v>
      </c>
      <c r="U54" cm="1">
        <f t="array" ref="U54">[1]!PropsSI("H","T",K54+273.15,"P",101325,"Water")</f>
        <v>207393.11611194967</v>
      </c>
      <c r="V54">
        <f t="shared" si="5"/>
        <v>533.40219669973862</v>
      </c>
    </row>
    <row r="55" spans="1:22" x14ac:dyDescent="0.2">
      <c r="A55">
        <v>46122.687177083331</v>
      </c>
      <c r="B55">
        <v>20.590302000000001</v>
      </c>
      <c r="C55">
        <v>20.705349999999999</v>
      </c>
      <c r="D55">
        <v>20.450690999999999</v>
      </c>
      <c r="E55">
        <v>20.569672000000001</v>
      </c>
      <c r="F55">
        <v>30.429072999999999</v>
      </c>
      <c r="G55">
        <v>27.901533000000001</v>
      </c>
      <c r="H55">
        <v>26.657083</v>
      </c>
      <c r="I55">
        <v>23.588383</v>
      </c>
      <c r="J55">
        <v>55.656745999999998</v>
      </c>
      <c r="K55">
        <v>49.521962000000002</v>
      </c>
      <c r="L55">
        <v>106.936538</v>
      </c>
      <c r="M55">
        <v>-622.48000100000002</v>
      </c>
      <c r="N55">
        <v>1.2616309999999999</v>
      </c>
      <c r="O55">
        <v>6.0940570000000003</v>
      </c>
      <c r="P55">
        <f t="shared" si="3"/>
        <v>2.1027183333333334E-5</v>
      </c>
      <c r="Q55" cm="1">
        <f t="array" ref="Q55">[1]!PropsSI("D","T",J55+273.15,"P",101325,"Water")</f>
        <v>985.37375878800094</v>
      </c>
      <c r="R55" cm="1">
        <f t="array" ref="R55">[1]!PropsSI("D","T",K55+273.15,"P",101325,"Water")</f>
        <v>988.25051074556188</v>
      </c>
      <c r="S55">
        <f t="shared" si="4"/>
        <v>986.81213476678136</v>
      </c>
      <c r="T55" cm="1">
        <f t="array" ref="T55">[1]!PropsSI("H","T",J55+273.15,"P",101325,"Water")</f>
        <v>233076.29361180498</v>
      </c>
      <c r="U55" cm="1">
        <f t="array" ref="U55">[1]!PropsSI("H","T",K55+273.15,"P",101325,"Water")</f>
        <v>207419.68350802609</v>
      </c>
      <c r="V55">
        <f t="shared" si="5"/>
        <v>532.37157247816322</v>
      </c>
    </row>
    <row r="56" spans="1:22" x14ac:dyDescent="0.2">
      <c r="A56">
        <v>46122.687235532409</v>
      </c>
      <c r="B56">
        <v>20.567112999999999</v>
      </c>
      <c r="C56">
        <v>20.665413999999998</v>
      </c>
      <c r="D56">
        <v>20.362950000000001</v>
      </c>
      <c r="E56">
        <v>20.455276000000001</v>
      </c>
      <c r="F56">
        <v>30.477681</v>
      </c>
      <c r="G56">
        <v>27.891708999999999</v>
      </c>
      <c r="H56">
        <v>26.287851</v>
      </c>
      <c r="I56">
        <v>23.338439999999999</v>
      </c>
      <c r="J56">
        <v>55.657383000000003</v>
      </c>
      <c r="K56">
        <v>49.494163</v>
      </c>
      <c r="L56">
        <v>122.192509</v>
      </c>
      <c r="M56">
        <v>-622.49183700000003</v>
      </c>
      <c r="N56">
        <v>1.2571239999999999</v>
      </c>
      <c r="O56">
        <v>6.0063219999999999</v>
      </c>
      <c r="P56">
        <f t="shared" si="3"/>
        <v>2.0952066666666665E-5</v>
      </c>
      <c r="Q56" cm="1">
        <f t="array" ref="Q56">[1]!PropsSI("D","T",J56+273.15,"P",101325,"Water")</f>
        <v>985.373447767176</v>
      </c>
      <c r="R56" cm="1">
        <f t="array" ref="R56">[1]!PropsSI("D","T",K56+273.15,"P",101325,"Water")</f>
        <v>988.26299420400221</v>
      </c>
      <c r="S56">
        <f t="shared" si="4"/>
        <v>986.81822098558905</v>
      </c>
      <c r="T56" cm="1">
        <f t="array" ref="T56">[1]!PropsSI("H","T",J56+273.15,"P",101325,"Water")</f>
        <v>233078.95830854549</v>
      </c>
      <c r="U56" cm="1">
        <f t="array" ref="U56">[1]!PropsSI("H","T",K56+273.15,"P",101325,"Water")</f>
        <v>207303.45018665423</v>
      </c>
      <c r="V56">
        <f t="shared" si="5"/>
        <v>532.93134261144996</v>
      </c>
    </row>
    <row r="57" spans="1:22" x14ac:dyDescent="0.2">
      <c r="A57">
        <v>46122.687293981478</v>
      </c>
      <c r="B57">
        <v>20.59563</v>
      </c>
      <c r="C57">
        <v>20.711096999999999</v>
      </c>
      <c r="D57">
        <v>20.323221</v>
      </c>
      <c r="E57">
        <v>20.396663</v>
      </c>
      <c r="F57">
        <v>30.378577</v>
      </c>
      <c r="G57">
        <v>27.733332000000001</v>
      </c>
      <c r="H57">
        <v>26.827058999999998</v>
      </c>
      <c r="I57">
        <v>23.192502999999999</v>
      </c>
      <c r="J57">
        <v>55.665976000000001</v>
      </c>
      <c r="K57">
        <v>49.482408999999997</v>
      </c>
      <c r="L57">
        <v>114.941035</v>
      </c>
      <c r="M57">
        <v>-622.49591899999996</v>
      </c>
      <c r="N57">
        <v>1.257582</v>
      </c>
      <c r="O57">
        <v>5.6277179999999998</v>
      </c>
      <c r="P57">
        <f t="shared" si="3"/>
        <v>2.0959699999999999E-5</v>
      </c>
      <c r="Q57" cm="1">
        <f t="array" ref="Q57">[1]!PropsSI("D","T",J57+273.15,"P",101325,"Water")</f>
        <v>985.36925191496482</v>
      </c>
      <c r="R57" cm="1">
        <f t="array" ref="R57">[1]!PropsSI("D","T",K57+273.15,"P",101325,"Water")</f>
        <v>988.26827093829206</v>
      </c>
      <c r="S57">
        <f t="shared" si="4"/>
        <v>986.8187614266285</v>
      </c>
      <c r="T57" cm="1">
        <f t="array" ref="T57">[1]!PropsSI("H","T",J57+273.15,"P",101325,"Water")</f>
        <v>233114.90453926212</v>
      </c>
      <c r="U57" cm="1">
        <f t="array" ref="U57">[1]!PropsSI("H","T",K57+273.15,"P",101325,"Water")</f>
        <v>207254.30436543643</v>
      </c>
      <c r="V57">
        <f t="shared" si="5"/>
        <v>534.88578916400093</v>
      </c>
    </row>
    <row r="58" spans="1:22" x14ac:dyDescent="0.2">
      <c r="A58">
        <v>46122.687351851855</v>
      </c>
      <c r="B58">
        <v>20.506292999999999</v>
      </c>
      <c r="C58">
        <v>20.707699000000002</v>
      </c>
      <c r="D58">
        <v>20.372275999999999</v>
      </c>
      <c r="E58">
        <v>20.521467999999999</v>
      </c>
      <c r="F58">
        <v>30.109137</v>
      </c>
      <c r="G58">
        <v>27.901105000000001</v>
      </c>
      <c r="H58">
        <v>26.699449999999999</v>
      </c>
      <c r="I58">
        <v>23.023146000000001</v>
      </c>
      <c r="J58">
        <v>55.668204000000003</v>
      </c>
      <c r="K58">
        <v>49.489238999999998</v>
      </c>
      <c r="L58">
        <v>107.05041</v>
      </c>
      <c r="M58">
        <v>-622.45265500000005</v>
      </c>
      <c r="N58">
        <v>1.2585</v>
      </c>
      <c r="O58">
        <v>6.011482</v>
      </c>
      <c r="P58">
        <f t="shared" si="3"/>
        <v>2.0975000000000002E-5</v>
      </c>
      <c r="Q58" cm="1">
        <f t="array" ref="Q58">[1]!PropsSI("D","T",J58+273.15,"P",101325,"Water")</f>
        <v>985.36816393669824</v>
      </c>
      <c r="R58" cm="1">
        <f t="array" ref="R58">[1]!PropsSI("D","T",K58+273.15,"P",101325,"Water")</f>
        <v>988.26520485091021</v>
      </c>
      <c r="S58">
        <f t="shared" si="4"/>
        <v>986.81668439380428</v>
      </c>
      <c r="T58" cm="1">
        <f t="array" ref="T58">[1]!PropsSI("H","T",J58+273.15,"P",101325,"Water")</f>
        <v>233124.22471154705</v>
      </c>
      <c r="U58" cm="1">
        <f t="array" ref="U58">[1]!PropsSI("H","T",K58+273.15,"P",101325,"Water")</f>
        <v>207282.86195475643</v>
      </c>
      <c r="V58">
        <f t="shared" si="5"/>
        <v>534.87692903545008</v>
      </c>
    </row>
    <row r="59" spans="1:22" x14ac:dyDescent="0.2">
      <c r="A59">
        <v>46122.687409722224</v>
      </c>
      <c r="B59">
        <v>20.535477</v>
      </c>
      <c r="C59">
        <v>20.756361999999999</v>
      </c>
      <c r="D59">
        <v>20.354561</v>
      </c>
      <c r="E59">
        <v>20.492222999999999</v>
      </c>
      <c r="F59">
        <v>30.545124999999999</v>
      </c>
      <c r="G59">
        <v>27.755927</v>
      </c>
      <c r="H59">
        <v>26.359932000000001</v>
      </c>
      <c r="I59">
        <v>23.313220000000001</v>
      </c>
      <c r="J59">
        <v>55.668044999999999</v>
      </c>
      <c r="K59">
        <v>49.494639999999997</v>
      </c>
      <c r="L59">
        <v>112.358716</v>
      </c>
      <c r="M59">
        <v>-622.52367200000003</v>
      </c>
      <c r="N59">
        <v>1.2564230000000001</v>
      </c>
      <c r="O59">
        <v>6.1141480000000001</v>
      </c>
      <c r="P59">
        <f t="shared" si="3"/>
        <v>2.0940383333333334E-5</v>
      </c>
      <c r="Q59" cm="1">
        <f t="array" ref="Q59">[1]!PropsSI("D","T",J59+273.15,"P",101325,"Water")</f>
        <v>985.36824158068225</v>
      </c>
      <c r="R59" cm="1">
        <f t="array" ref="R59">[1]!PropsSI("D","T",K59+273.15,"P",101325,"Water")</f>
        <v>988.26278004471044</v>
      </c>
      <c r="S59">
        <f t="shared" si="4"/>
        <v>986.8155108126964</v>
      </c>
      <c r="T59" cm="1">
        <f t="array" ref="T59">[1]!PropsSI("H","T",J59+273.15,"P",101325,"Water")</f>
        <v>233123.55958245142</v>
      </c>
      <c r="U59" cm="1">
        <f t="array" ref="U59">[1]!PropsSI("H","T",K59+273.15,"P",101325,"Water")</f>
        <v>207305.44461971379</v>
      </c>
      <c r="V59">
        <f t="shared" si="5"/>
        <v>533.51314588827836</v>
      </c>
    </row>
    <row r="60" spans="1:22" x14ac:dyDescent="0.2">
      <c r="A60">
        <v>46122.687468171294</v>
      </c>
      <c r="B60">
        <v>20.458866</v>
      </c>
      <c r="C60">
        <v>20.656732000000002</v>
      </c>
      <c r="D60">
        <v>20.340575000000001</v>
      </c>
      <c r="E60">
        <v>20.464829999999999</v>
      </c>
      <c r="F60">
        <v>30.424876000000001</v>
      </c>
      <c r="G60">
        <v>27.810168999999998</v>
      </c>
      <c r="H60">
        <v>26.606853999999998</v>
      </c>
      <c r="I60">
        <v>23.550263000000001</v>
      </c>
      <c r="J60">
        <v>55.665816999999997</v>
      </c>
      <c r="K60">
        <v>49.494957999999997</v>
      </c>
      <c r="L60">
        <v>107.382638</v>
      </c>
      <c r="M60">
        <v>-622.47143000000005</v>
      </c>
      <c r="N60">
        <v>1.254796</v>
      </c>
      <c r="O60">
        <v>5.8499400000000001</v>
      </c>
      <c r="P60">
        <f t="shared" si="3"/>
        <v>2.0913266666666668E-5</v>
      </c>
      <c r="Q60" cm="1">
        <f t="array" ref="Q60">[1]!PropsSI("D","T",J60+273.15,"P",101325,"Water")</f>
        <v>985.36932955678492</v>
      </c>
      <c r="R60" cm="1">
        <f t="array" ref="R60">[1]!PropsSI("D","T",K60+273.15,"P",101325,"Water")</f>
        <v>988.26263727097512</v>
      </c>
      <c r="S60">
        <f t="shared" si="4"/>
        <v>986.81598341388008</v>
      </c>
      <c r="T60" cm="1">
        <f t="array" ref="T60">[1]!PropsSI("H","T",J60+273.15,"P",101325,"Water")</f>
        <v>233114.23941036931</v>
      </c>
      <c r="U60" cm="1">
        <f t="array" ref="U60">[1]!PropsSI("H","T",K60+273.15,"P",101325,"Water")</f>
        <v>207306.77424179434</v>
      </c>
      <c r="V60">
        <f t="shared" si="5"/>
        <v>532.60274470969603</v>
      </c>
    </row>
    <row r="61" spans="1:22" x14ac:dyDescent="0.2">
      <c r="A61">
        <v>46122.687526620372</v>
      </c>
      <c r="B61">
        <v>20.553265</v>
      </c>
      <c r="C61">
        <v>20.763553999999999</v>
      </c>
      <c r="D61">
        <v>20.394245000000002</v>
      </c>
      <c r="E61">
        <v>20.502555999999998</v>
      </c>
      <c r="F61">
        <v>30.409483000000002</v>
      </c>
      <c r="G61">
        <v>28.069831000000001</v>
      </c>
      <c r="H61">
        <v>26.960460000000001</v>
      </c>
      <c r="I61">
        <v>23.223399000000001</v>
      </c>
      <c r="J61">
        <v>55.671864999999997</v>
      </c>
      <c r="K61">
        <v>49.499088</v>
      </c>
      <c r="L61">
        <v>115.988738</v>
      </c>
      <c r="M61">
        <v>-622.46694000000002</v>
      </c>
      <c r="N61">
        <v>1.2559020000000001</v>
      </c>
      <c r="O61">
        <v>6.288538</v>
      </c>
      <c r="P61">
        <f t="shared" si="3"/>
        <v>2.0931700000000002E-5</v>
      </c>
      <c r="Q61" cm="1">
        <f t="array" ref="Q61">[1]!PropsSI("D","T",J61+273.15,"P",101325,"Water")</f>
        <v>985.36637612856919</v>
      </c>
      <c r="R61" cm="1">
        <f t="array" ref="R61">[1]!PropsSI("D","T",K61+273.15,"P",101325,"Water")</f>
        <v>988.26078294808974</v>
      </c>
      <c r="S61">
        <f t="shared" si="4"/>
        <v>986.81357953832946</v>
      </c>
      <c r="T61" cm="1">
        <f t="array" ref="T61">[1]!PropsSI("H","T",J61+273.15,"P",101325,"Water")</f>
        <v>233139.53941517405</v>
      </c>
      <c r="U61" cm="1">
        <f t="array" ref="U61">[1]!PropsSI("H","T",K61+273.15,"P",101325,"Water")</f>
        <v>207324.04260647291</v>
      </c>
      <c r="V61">
        <f t="shared" si="5"/>
        <v>533.23679092429632</v>
      </c>
    </row>
    <row r="62" spans="1:22" x14ac:dyDescent="0.2">
      <c r="A62">
        <v>46122.687585069441</v>
      </c>
      <c r="B62">
        <v>20.668883999999998</v>
      </c>
      <c r="C62">
        <v>20.760985999999999</v>
      </c>
      <c r="D62">
        <v>20.393070000000002</v>
      </c>
      <c r="E62">
        <v>20.436160999999998</v>
      </c>
      <c r="F62">
        <v>30.699128999999999</v>
      </c>
      <c r="G62">
        <v>27.982451999999999</v>
      </c>
      <c r="H62">
        <v>26.792038000000002</v>
      </c>
      <c r="I62">
        <v>23.421544999999998</v>
      </c>
      <c r="J62">
        <v>55.671387000000003</v>
      </c>
      <c r="K62">
        <v>49.507506999999997</v>
      </c>
      <c r="L62">
        <v>115.217348</v>
      </c>
      <c r="M62">
        <v>-622.46245099999999</v>
      </c>
      <c r="N62">
        <v>1.2564679999999999</v>
      </c>
      <c r="O62">
        <v>5.7675679999999998</v>
      </c>
      <c r="P62">
        <f t="shared" si="3"/>
        <v>2.0941133333333332E-5</v>
      </c>
      <c r="Q62" cm="1">
        <f t="array" ref="Q62">[1]!PropsSI("D","T",J62+273.15,"P",101325,"Water")</f>
        <v>985.36660955918535</v>
      </c>
      <c r="R62" cm="1">
        <f t="array" ref="R62">[1]!PropsSI("D","T",K62+273.15,"P",101325,"Water")</f>
        <v>988.25700256463858</v>
      </c>
      <c r="S62">
        <f t="shared" si="4"/>
        <v>986.81180606191197</v>
      </c>
      <c r="T62" cm="1">
        <f t="array" ref="T62">[1]!PropsSI("H","T",J62+273.15,"P",101325,"Water")</f>
        <v>233137.53984417883</v>
      </c>
      <c r="U62" cm="1">
        <f t="array" ref="U62">[1]!PropsSI("H","T",K62+273.15,"P",101325,"Water")</f>
        <v>207359.2441614425</v>
      </c>
      <c r="V62">
        <f t="shared" si="5"/>
        <v>532.7073874296558</v>
      </c>
    </row>
    <row r="63" spans="1:22" x14ac:dyDescent="0.2">
      <c r="A63">
        <v>46122.687643518519</v>
      </c>
      <c r="B63">
        <v>20.660505000000001</v>
      </c>
      <c r="C63">
        <v>20.834137999999999</v>
      </c>
      <c r="D63">
        <v>20.352734000000002</v>
      </c>
      <c r="E63">
        <v>20.422196</v>
      </c>
      <c r="F63">
        <v>30.670325999999999</v>
      </c>
      <c r="G63">
        <v>28.096550000000001</v>
      </c>
      <c r="H63">
        <v>26.647682</v>
      </c>
      <c r="I63">
        <v>23.296143000000001</v>
      </c>
      <c r="J63">
        <v>55.673614999999998</v>
      </c>
      <c r="K63">
        <v>49.509889000000001</v>
      </c>
      <c r="L63">
        <v>113.99169500000001</v>
      </c>
      <c r="M63">
        <v>-622.49877600000002</v>
      </c>
      <c r="N63">
        <v>1.2593319999999999</v>
      </c>
      <c r="O63">
        <v>5.9464430000000004</v>
      </c>
      <c r="P63">
        <f t="shared" si="3"/>
        <v>2.0988866666666665E-5</v>
      </c>
      <c r="Q63" cm="1">
        <f t="array" ref="Q63">[1]!PropsSI("D","T",J63+273.15,"P",101325,"Water")</f>
        <v>985.36552150657712</v>
      </c>
      <c r="R63" cm="1">
        <f t="array" ref="R63">[1]!PropsSI("D","T",K63+273.15,"P",101325,"Water")</f>
        <v>988.25593289035464</v>
      </c>
      <c r="S63">
        <f t="shared" si="4"/>
        <v>986.81072719846588</v>
      </c>
      <c r="T63" cm="1">
        <f t="array" ref="T63">[1]!PropsSI("H","T",J63+273.15,"P",101325,"Water")</f>
        <v>233146.86002095297</v>
      </c>
      <c r="U63" cm="1">
        <f t="array" ref="U63">[1]!PropsSI("H","T",K63+273.15,"P",101325,"Water")</f>
        <v>207369.20379243835</v>
      </c>
      <c r="V63">
        <f t="shared" si="5"/>
        <v>533.90781542138723</v>
      </c>
    </row>
    <row r="64" spans="1:22" x14ac:dyDescent="0.2">
      <c r="A64">
        <v>46122.687701388888</v>
      </c>
      <c r="B64">
        <v>20.763265000000001</v>
      </c>
      <c r="C64">
        <v>20.946928</v>
      </c>
      <c r="D64">
        <v>20.328374</v>
      </c>
      <c r="E64">
        <v>20.418759999999999</v>
      </c>
      <c r="F64">
        <v>30.608319000000002</v>
      </c>
      <c r="G64">
        <v>28.08812</v>
      </c>
      <c r="H64">
        <v>26.471450999999998</v>
      </c>
      <c r="I64">
        <v>23.145737</v>
      </c>
      <c r="J64">
        <v>55.671387000000003</v>
      </c>
      <c r="K64">
        <v>49.515448999999997</v>
      </c>
      <c r="L64">
        <v>124.922984</v>
      </c>
      <c r="M64">
        <v>-622.474695</v>
      </c>
      <c r="N64">
        <v>1.2594259999999999</v>
      </c>
      <c r="O64">
        <v>6.2251510000000003</v>
      </c>
      <c r="P64">
        <f t="shared" si="3"/>
        <v>2.0990433333333332E-5</v>
      </c>
      <c r="Q64" cm="1">
        <f t="array" ref="Q64">[1]!PropsSI("D","T",J64+273.15,"P",101325,"Water")</f>
        <v>985.36660955918535</v>
      </c>
      <c r="R64" cm="1">
        <f t="array" ref="R64">[1]!PropsSI("D","T",K64+273.15,"P",101325,"Water")</f>
        <v>988.25343593988316</v>
      </c>
      <c r="S64">
        <f t="shared" si="4"/>
        <v>986.81002274953426</v>
      </c>
      <c r="T64" cm="1">
        <f t="array" ref="T64">[1]!PropsSI("H","T",J64+273.15,"P",101325,"Water")</f>
        <v>233137.53984417883</v>
      </c>
      <c r="U64" cm="1">
        <f t="array" ref="U64">[1]!PropsSI("H","T",K64+273.15,"P",101325,"Water")</f>
        <v>207392.4512999604</v>
      </c>
      <c r="V64">
        <f t="shared" si="5"/>
        <v>533.27269359301317</v>
      </c>
    </row>
    <row r="65" spans="1:22" x14ac:dyDescent="0.2">
      <c r="A65">
        <v>46122.687759837965</v>
      </c>
      <c r="B65">
        <v>20.579201000000001</v>
      </c>
      <c r="C65">
        <v>20.796461999999998</v>
      </c>
      <c r="D65">
        <v>20.328980999999999</v>
      </c>
      <c r="E65">
        <v>20.389728999999999</v>
      </c>
      <c r="F65">
        <v>30.442155</v>
      </c>
      <c r="G65">
        <v>28.042869</v>
      </c>
      <c r="H65">
        <v>26.251138000000001</v>
      </c>
      <c r="I65">
        <v>23.019690000000001</v>
      </c>
      <c r="J65">
        <v>55.674570000000003</v>
      </c>
      <c r="K65">
        <v>49.520532000000003</v>
      </c>
      <c r="L65">
        <v>113.935779</v>
      </c>
      <c r="M65">
        <v>-622.49061300000005</v>
      </c>
      <c r="N65">
        <v>1.261258</v>
      </c>
      <c r="O65">
        <v>5.9858250000000002</v>
      </c>
      <c r="P65">
        <f t="shared" si="3"/>
        <v>2.1020966666666664E-5</v>
      </c>
      <c r="Q65" cm="1">
        <f t="array" ref="Q65">[1]!PropsSI("D","T",J65+273.15,"P",101325,"Water")</f>
        <v>985.36505511918892</v>
      </c>
      <c r="R65" cm="1">
        <f t="array" ref="R65">[1]!PropsSI("D","T",K65+273.15,"P",101325,"Water")</f>
        <v>988.25115302778056</v>
      </c>
      <c r="S65">
        <f t="shared" si="4"/>
        <v>986.80810407348474</v>
      </c>
      <c r="T65" cm="1">
        <f t="array" ref="T65">[1]!PropsSI("H","T",J65+273.15,"P",101325,"Water")</f>
        <v>233150.85498062387</v>
      </c>
      <c r="U65" cm="1">
        <f t="array" ref="U65">[1]!PropsSI("H","T",K65+273.15,"P",101325,"Water")</f>
        <v>207413.70437949535</v>
      </c>
      <c r="V65">
        <f t="shared" si="5"/>
        <v>533.88270818496278</v>
      </c>
    </row>
    <row r="66" spans="1:22" x14ac:dyDescent="0.2">
      <c r="A66">
        <v>46122.687817708334</v>
      </c>
      <c r="B66">
        <v>20.538727000000002</v>
      </c>
      <c r="C66">
        <v>20.731966</v>
      </c>
      <c r="D66">
        <v>20.277477999999999</v>
      </c>
      <c r="E66">
        <v>20.392738000000001</v>
      </c>
      <c r="F66">
        <v>30.453993000000001</v>
      </c>
      <c r="G66">
        <v>28.14941</v>
      </c>
      <c r="H66">
        <v>26.302215</v>
      </c>
      <c r="I66">
        <v>23.305114</v>
      </c>
      <c r="J66">
        <v>55.663747999999998</v>
      </c>
      <c r="K66">
        <v>49.528950999999999</v>
      </c>
      <c r="L66">
        <v>121.250107</v>
      </c>
      <c r="M66">
        <v>-622.46734900000001</v>
      </c>
      <c r="N66">
        <v>1.2403470000000001</v>
      </c>
      <c r="O66">
        <v>6.2735430000000001</v>
      </c>
      <c r="P66">
        <f t="shared" si="3"/>
        <v>2.0672450000000002E-5</v>
      </c>
      <c r="Q66" cm="1">
        <f t="array" ref="Q66">[1]!PropsSI("D","T",J66+273.15,"P",101325,"Water")</f>
        <v>985.37033986263577</v>
      </c>
      <c r="R66" cm="1">
        <f t="array" ref="R66">[1]!PropsSI("D","T",K66+273.15,"P",101325,"Water")</f>
        <v>988.24737145339157</v>
      </c>
      <c r="S66">
        <f t="shared" si="4"/>
        <v>986.80885565801373</v>
      </c>
      <c r="T66" cm="1">
        <f t="array" ref="T66">[1]!PropsSI("H","T",J66+273.15,"P",101325,"Water")</f>
        <v>233105.58436881803</v>
      </c>
      <c r="U66" cm="1">
        <f t="array" ref="U66">[1]!PropsSI("H","T",K66+273.15,"P",101325,"Water")</f>
        <v>207448.90598408435</v>
      </c>
      <c r="V66">
        <f t="shared" si="5"/>
        <v>523.3899975008876</v>
      </c>
    </row>
    <row r="67" spans="1:22" x14ac:dyDescent="0.2">
      <c r="A67">
        <v>46122.687875578704</v>
      </c>
      <c r="B67">
        <v>20.658576</v>
      </c>
      <c r="C67">
        <v>20.673940999999999</v>
      </c>
      <c r="D67">
        <v>20.381224</v>
      </c>
      <c r="E67">
        <v>20.505977000000001</v>
      </c>
      <c r="F67">
        <v>30.836993</v>
      </c>
      <c r="G67">
        <v>28.307912000000002</v>
      </c>
      <c r="H67">
        <v>26.981484999999999</v>
      </c>
      <c r="I67">
        <v>23.219097000000001</v>
      </c>
      <c r="J67">
        <v>55.642423999999998</v>
      </c>
      <c r="K67">
        <v>49.440950000000001</v>
      </c>
      <c r="L67">
        <v>113.182348</v>
      </c>
      <c r="M67">
        <v>-622.48857199999998</v>
      </c>
      <c r="N67">
        <v>1.2435719999999999</v>
      </c>
      <c r="O67">
        <v>6.1981469999999996</v>
      </c>
      <c r="P67">
        <f t="shared" si="3"/>
        <v>2.0726199999999998E-5</v>
      </c>
      <c r="Q67" cm="1">
        <f t="array" ref="Q67">[1]!PropsSI("D","T",J67+273.15,"P",101325,"Water")</f>
        <v>985.38075096970579</v>
      </c>
      <c r="R67" cm="1">
        <f t="array" ref="R67">[1]!PropsSI("D","T",K67+273.15,"P",101325,"Water")</f>
        <v>988.28687588621301</v>
      </c>
      <c r="S67">
        <f t="shared" si="4"/>
        <v>986.8338134279594</v>
      </c>
      <c r="T67" cm="1">
        <f t="array" ref="T67">[1]!PropsSI("H","T",J67+273.15,"P",101325,"Water")</f>
        <v>233016.38189731244</v>
      </c>
      <c r="U67" cm="1">
        <f t="array" ref="U67">[1]!PropsSI("H","T",K67+273.15,"P",101325,"Water")</f>
        <v>207080.95630967268</v>
      </c>
      <c r="V67">
        <f t="shared" si="5"/>
        <v>530.46542878473258</v>
      </c>
    </row>
    <row r="68" spans="1:22" x14ac:dyDescent="0.2">
      <c r="A68">
        <v>46122.687933449073</v>
      </c>
      <c r="B68">
        <v>20.820107</v>
      </c>
      <c r="C68">
        <v>20.780971999999998</v>
      </c>
      <c r="D68">
        <v>20.53698</v>
      </c>
      <c r="E68">
        <v>20.590074000000001</v>
      </c>
      <c r="F68">
        <v>30.681892000000001</v>
      </c>
      <c r="G68">
        <v>28.175902000000001</v>
      </c>
      <c r="H68">
        <v>26.817693999999999</v>
      </c>
      <c r="I68">
        <v>23.295646999999999</v>
      </c>
      <c r="J68">
        <v>55.656587000000002</v>
      </c>
      <c r="K68">
        <v>49.380907999999998</v>
      </c>
      <c r="L68">
        <v>110.69879899999999</v>
      </c>
      <c r="M68">
        <v>-622.48979599999996</v>
      </c>
      <c r="N68">
        <v>1.2279059999999999</v>
      </c>
      <c r="O68">
        <v>6.8151250000000001</v>
      </c>
      <c r="P68">
        <f t="shared" si="3"/>
        <v>2.0465099999999998E-5</v>
      </c>
      <c r="Q68" cm="1">
        <f t="array" ref="Q68">[1]!PropsSI("D","T",J68+273.15,"P",101325,"Water")</f>
        <v>985.37383642075406</v>
      </c>
      <c r="R68" cm="1">
        <f t="array" ref="R68">[1]!PropsSI("D","T",K68+273.15,"P",101325,"Water")</f>
        <v>988.31379993542225</v>
      </c>
      <c r="S68">
        <f t="shared" si="4"/>
        <v>986.84381817808821</v>
      </c>
      <c r="T68" cm="1">
        <f t="array" ref="T68">[1]!PropsSI("H","T",J68+273.15,"P",101325,"Water")</f>
        <v>233075.62848340851</v>
      </c>
      <c r="U68" cm="1">
        <f t="array" ref="U68">[1]!PropsSI("H","T",K68+273.15,"P",101325,"Water")</f>
        <v>206829.90998900123</v>
      </c>
      <c r="V68">
        <f t="shared" si="5"/>
        <v>530.05478868764726</v>
      </c>
    </row>
    <row r="69" spans="1:22" x14ac:dyDescent="0.2">
      <c r="A69">
        <v>46122.68799189815</v>
      </c>
      <c r="B69">
        <v>21.028313000000001</v>
      </c>
      <c r="C69">
        <v>20.884409999999999</v>
      </c>
      <c r="D69">
        <v>20.555710000000001</v>
      </c>
      <c r="E69">
        <v>20.593223999999999</v>
      </c>
      <c r="F69">
        <v>30.800395999999999</v>
      </c>
      <c r="G69">
        <v>28.198187999999998</v>
      </c>
      <c r="H69">
        <v>26.696572</v>
      </c>
      <c r="I69">
        <v>23.101911999999999</v>
      </c>
      <c r="J69">
        <v>55.658338000000001</v>
      </c>
      <c r="K69">
        <v>49.415694000000002</v>
      </c>
      <c r="L69">
        <v>112.40075400000001</v>
      </c>
      <c r="M69">
        <v>-622.53224299999999</v>
      </c>
      <c r="N69">
        <v>1.2568280000000001</v>
      </c>
      <c r="O69">
        <v>6.145092</v>
      </c>
      <c r="P69">
        <f t="shared" si="3"/>
        <v>2.0947133333333331E-5</v>
      </c>
      <c r="Q69" cm="1">
        <f t="array" ref="Q69">[1]!PropsSI("D","T",J69+273.15,"P",101325,"Water")</f>
        <v>985.37298147534432</v>
      </c>
      <c r="R69" cm="1">
        <f t="array" ref="R69">[1]!PropsSI("D","T",K69+273.15,"P",101325,"Water")</f>
        <v>988.2982040894293</v>
      </c>
      <c r="S69">
        <f t="shared" si="4"/>
        <v>986.83559278238681</v>
      </c>
      <c r="T69" cm="1">
        <f t="array" ref="T69">[1]!PropsSI("H","T",J69+273.15,"P",101325,"Water")</f>
        <v>233082.95326243559</v>
      </c>
      <c r="U69" cm="1">
        <f t="array" ref="U69">[1]!PropsSI("H","T",K69+273.15,"P",101325,"Water")</f>
        <v>206975.35634492524</v>
      </c>
      <c r="V69">
        <f t="shared" si="5"/>
        <v>539.67997166031307</v>
      </c>
    </row>
    <row r="70" spans="1:22" x14ac:dyDescent="0.2">
      <c r="A70">
        <v>46122.68805034722</v>
      </c>
      <c r="B70">
        <v>21.128926</v>
      </c>
      <c r="C70">
        <v>20.879769</v>
      </c>
      <c r="D70">
        <v>20.519741</v>
      </c>
      <c r="E70">
        <v>20.529375999999999</v>
      </c>
      <c r="F70">
        <v>30.602091999999999</v>
      </c>
      <c r="G70">
        <v>28.217801999999999</v>
      </c>
      <c r="H70">
        <v>26.919910000000002</v>
      </c>
      <c r="I70">
        <v>23.513209</v>
      </c>
      <c r="J70">
        <v>55.660884000000003</v>
      </c>
      <c r="K70">
        <v>49.452863999999998</v>
      </c>
      <c r="L70">
        <v>111.797111</v>
      </c>
      <c r="M70">
        <v>-622.46734900000001</v>
      </c>
      <c r="N70">
        <v>1.2576769999999999</v>
      </c>
      <c r="O70">
        <v>6.1651829999999999</v>
      </c>
      <c r="P70">
        <f t="shared" si="3"/>
        <v>2.0961283333333332E-5</v>
      </c>
      <c r="Q70" cm="1">
        <f t="array" ref="Q70">[1]!PropsSI("D","T",J70+273.15,"P",101325,"Water")</f>
        <v>985.37173832851875</v>
      </c>
      <c r="R70" cm="1">
        <f t="array" ref="R70">[1]!PropsSI("D","T",K70+273.15,"P",101325,"Water")</f>
        <v>988.28153057672796</v>
      </c>
      <c r="S70">
        <f t="shared" si="4"/>
        <v>986.82663445262335</v>
      </c>
      <c r="T70" cm="1">
        <f t="array" ref="T70">[1]!PropsSI("H","T",J70+273.15,"P",101325,"Water")</f>
        <v>233093.60368563089</v>
      </c>
      <c r="U70" cm="1">
        <f t="array" ref="U70">[1]!PropsSI("H","T",K70+273.15,"P",101325,"Water")</f>
        <v>207130.77098772701</v>
      </c>
      <c r="V70">
        <f t="shared" si="5"/>
        <v>537.0451585078996</v>
      </c>
    </row>
    <row r="71" spans="1:22" x14ac:dyDescent="0.2">
      <c r="A71">
        <v>46122.688108796297</v>
      </c>
      <c r="B71">
        <v>20.897044999999999</v>
      </c>
      <c r="C71">
        <v>20.877458000000001</v>
      </c>
      <c r="D71">
        <v>20.534371</v>
      </c>
      <c r="E71">
        <v>20.548448</v>
      </c>
      <c r="F71">
        <v>30.695920000000001</v>
      </c>
      <c r="G71">
        <v>28.068874999999998</v>
      </c>
      <c r="H71">
        <v>26.909851</v>
      </c>
      <c r="I71">
        <v>23.234998000000001</v>
      </c>
      <c r="J71">
        <v>55.662315999999997</v>
      </c>
      <c r="K71">
        <v>49.490828</v>
      </c>
      <c r="L71">
        <v>117.40581</v>
      </c>
      <c r="M71">
        <v>-622.46449199999995</v>
      </c>
      <c r="N71">
        <v>1.255755</v>
      </c>
      <c r="O71">
        <v>6.1810679999999998</v>
      </c>
      <c r="P71">
        <f t="shared" si="3"/>
        <v>2.092925E-5</v>
      </c>
      <c r="Q71" cm="1">
        <f t="array" ref="Q71">[1]!PropsSI("D","T",J71+273.15,"P",101325,"Water")</f>
        <v>985.37103910189819</v>
      </c>
      <c r="R71" cm="1">
        <f t="array" ref="R71">[1]!PropsSI("D","T",K71+273.15,"P",101325,"Water")</f>
        <v>988.26449148132349</v>
      </c>
      <c r="S71">
        <f t="shared" si="4"/>
        <v>986.81776529161084</v>
      </c>
      <c r="T71" cm="1">
        <f t="array" ref="T71">[1]!PropsSI("H","T",J71+273.15,"P",101325,"Water")</f>
        <v>233099.59402683764</v>
      </c>
      <c r="U71" cm="1">
        <f t="array" ref="U71">[1]!PropsSI("H","T",K71+273.15,"P",101325,"Water")</f>
        <v>207289.50588180381</v>
      </c>
      <c r="V71">
        <f t="shared" si="5"/>
        <v>533.06493147500021</v>
      </c>
    </row>
    <row r="72" spans="1:22" x14ac:dyDescent="0.2">
      <c r="A72">
        <v>46122.688166666667</v>
      </c>
      <c r="B72">
        <v>20.987110999999999</v>
      </c>
      <c r="C72">
        <v>20.867218999999999</v>
      </c>
      <c r="D72">
        <v>20.488161999999999</v>
      </c>
      <c r="E72">
        <v>20.489391999999999</v>
      </c>
      <c r="F72">
        <v>30.819683999999999</v>
      </c>
      <c r="G72">
        <v>28.053108999999999</v>
      </c>
      <c r="H72">
        <v>26.500409000000001</v>
      </c>
      <c r="I72">
        <v>23.339755</v>
      </c>
      <c r="J72">
        <v>55.663429999999998</v>
      </c>
      <c r="K72">
        <v>49.511637</v>
      </c>
      <c r="L72">
        <v>109.099287</v>
      </c>
      <c r="M72">
        <v>-622.51999899999998</v>
      </c>
      <c r="N72">
        <v>1.2577830000000001</v>
      </c>
      <c r="O72">
        <v>6.1547499999999999</v>
      </c>
      <c r="P72">
        <f t="shared" si="3"/>
        <v>2.0963050000000003E-5</v>
      </c>
      <c r="Q72" cm="1">
        <f t="array" ref="Q72">[1]!PropsSI("D","T",J72+273.15,"P",101325,"Water")</f>
        <v>985.3704951417352</v>
      </c>
      <c r="R72" cm="1">
        <f t="array" ref="R72">[1]!PropsSI("D","T",K72+273.15,"P",101325,"Water")</f>
        <v>988.25514789983856</v>
      </c>
      <c r="S72">
        <f t="shared" si="4"/>
        <v>986.81282152078688</v>
      </c>
      <c r="T72" cm="1">
        <f t="array" ref="T72">[1]!PropsSI("H","T",J72+273.15,"P",101325,"Water")</f>
        <v>233104.25411123826</v>
      </c>
      <c r="U72" cm="1">
        <f t="array" ref="U72">[1]!PropsSI("H","T",K72+273.15,"P",101325,"Water")</f>
        <v>207376.5125403158</v>
      </c>
      <c r="V72">
        <f t="shared" si="5"/>
        <v>532.21966647912939</v>
      </c>
    </row>
    <row r="73" spans="1:22" x14ac:dyDescent="0.2">
      <c r="A73">
        <v>46122.688225115744</v>
      </c>
      <c r="B73">
        <v>20.820633999999998</v>
      </c>
      <c r="C73">
        <v>20.847867999999998</v>
      </c>
      <c r="D73">
        <v>20.434232999999999</v>
      </c>
      <c r="E73">
        <v>20.566476000000002</v>
      </c>
      <c r="F73">
        <v>30.612209</v>
      </c>
      <c r="G73">
        <v>28.188732000000002</v>
      </c>
      <c r="H73">
        <v>26.770612</v>
      </c>
      <c r="I73">
        <v>23.111070000000002</v>
      </c>
      <c r="J73">
        <v>55.666454000000002</v>
      </c>
      <c r="K73">
        <v>49.524026999999997</v>
      </c>
      <c r="L73">
        <v>117.97272</v>
      </c>
      <c r="M73">
        <v>-622.48612300000002</v>
      </c>
      <c r="N73">
        <v>1.2554639999999999</v>
      </c>
      <c r="O73">
        <v>6.1539999999999999</v>
      </c>
      <c r="P73">
        <f t="shared" si="3"/>
        <v>2.0924399999999999E-5</v>
      </c>
      <c r="Q73" cm="1">
        <f t="array" ref="Q73">[1]!PropsSI("D","T",J73+273.15,"P",101325,"Water")</f>
        <v>985.36901850031416</v>
      </c>
      <c r="R73" cm="1">
        <f t="array" ref="R73">[1]!PropsSI("D","T",K73+273.15,"P",101325,"Water")</f>
        <v>988.24958323032547</v>
      </c>
      <c r="S73">
        <f t="shared" si="4"/>
        <v>986.80930086531976</v>
      </c>
      <c r="T73" cm="1">
        <f t="array" ref="T73">[1]!PropsSI("H","T",J73+273.15,"P",101325,"Water")</f>
        <v>233116.90410927869</v>
      </c>
      <c r="U73" cm="1">
        <f t="array" ref="U73">[1]!PropsSI("H","T",K73+273.15,"P",101325,"Water")</f>
        <v>207428.3177051151</v>
      </c>
      <c r="V73">
        <f t="shared" si="5"/>
        <v>530.42801574310954</v>
      </c>
    </row>
    <row r="74" spans="1:22" x14ac:dyDescent="0.2">
      <c r="A74">
        <v>46122.688283564814</v>
      </c>
      <c r="B74">
        <v>20.698509999999999</v>
      </c>
      <c r="C74">
        <v>20.749746999999999</v>
      </c>
      <c r="D74">
        <v>20.455631</v>
      </c>
      <c r="E74">
        <v>20.532071999999999</v>
      </c>
      <c r="F74">
        <v>30.465947</v>
      </c>
      <c r="G74">
        <v>28.137689000000002</v>
      </c>
      <c r="H74">
        <v>26.878893000000001</v>
      </c>
      <c r="I74">
        <v>23.418593000000001</v>
      </c>
      <c r="J74">
        <v>55.665021000000003</v>
      </c>
      <c r="K74">
        <v>49.530538999999997</v>
      </c>
      <c r="L74">
        <v>108.238514</v>
      </c>
      <c r="M74">
        <v>-622.49918400000001</v>
      </c>
      <c r="N74">
        <v>1.255423</v>
      </c>
      <c r="O74">
        <v>6.141826</v>
      </c>
      <c r="P74">
        <f t="shared" si="3"/>
        <v>2.0923716666666668E-5</v>
      </c>
      <c r="Q74" cm="1">
        <f t="array" ref="Q74">[1]!PropsSI("D","T",J74+273.15,"P",101325,"Water")</f>
        <v>985.36971825176306</v>
      </c>
      <c r="R74" cm="1">
        <f t="array" ref="R74">[1]!PropsSI("D","T",K74+273.15,"P",101325,"Water")</f>
        <v>988.24665811674186</v>
      </c>
      <c r="S74">
        <f t="shared" si="4"/>
        <v>986.80818818425246</v>
      </c>
      <c r="T74" cm="1">
        <f t="array" ref="T74">[1]!PropsSI("H","T",J74+273.15,"P",101325,"Water")</f>
        <v>233110.90958267526</v>
      </c>
      <c r="U74" cm="1">
        <f t="array" ref="U74">[1]!PropsSI("H","T",K74+273.15,"P",101325,"Water")</f>
        <v>207455.54574733827</v>
      </c>
      <c r="V74">
        <f t="shared" si="5"/>
        <v>529.72412589060752</v>
      </c>
    </row>
    <row r="75" spans="1:22" x14ac:dyDescent="0.2">
      <c r="A75">
        <v>46122.688341435183</v>
      </c>
      <c r="B75">
        <v>20.732026000000001</v>
      </c>
      <c r="C75">
        <v>20.746079000000002</v>
      </c>
      <c r="D75">
        <v>20.477260000000001</v>
      </c>
      <c r="E75">
        <v>20.488018</v>
      </c>
      <c r="F75">
        <v>30.456448999999999</v>
      </c>
      <c r="G75">
        <v>28.082308999999999</v>
      </c>
      <c r="H75">
        <v>26.584643</v>
      </c>
      <c r="I75">
        <v>23.502979</v>
      </c>
      <c r="J75">
        <v>55.663907999999999</v>
      </c>
      <c r="K75">
        <v>49.529428000000003</v>
      </c>
      <c r="L75">
        <v>121.27826899999999</v>
      </c>
      <c r="M75">
        <v>-622.47061399999996</v>
      </c>
      <c r="N75">
        <v>1.251042</v>
      </c>
      <c r="O75">
        <v>6.2153660000000004</v>
      </c>
      <c r="P75">
        <f t="shared" si="3"/>
        <v>2.08507E-5</v>
      </c>
      <c r="Q75" cm="1">
        <f t="array" ref="Q75">[1]!PropsSI("D","T",J75+273.15,"P",101325,"Water")</f>
        <v>985.37026173456275</v>
      </c>
      <c r="R75" cm="1">
        <f t="array" ref="R75">[1]!PropsSI("D","T",K75+273.15,"P",101325,"Water")</f>
        <v>988.24715718461732</v>
      </c>
      <c r="S75">
        <f t="shared" si="4"/>
        <v>986.80870945959009</v>
      </c>
      <c r="T75" cm="1">
        <f t="array" ref="T75">[1]!PropsSI("H","T",J75+273.15,"P",101325,"Water")</f>
        <v>233106.25368082902</v>
      </c>
      <c r="U75" cm="1">
        <f t="array" ref="U75">[1]!PropsSI("H","T",K75+273.15,"P",101325,"Water")</f>
        <v>207450.90042172465</v>
      </c>
      <c r="V75">
        <f t="shared" si="5"/>
        <v>527.87562978945618</v>
      </c>
    </row>
    <row r="76" spans="1:22" x14ac:dyDescent="0.2">
      <c r="A76">
        <v>46122.688399305553</v>
      </c>
      <c r="B76">
        <v>20.660007</v>
      </c>
      <c r="C76">
        <v>20.681626999999999</v>
      </c>
      <c r="D76">
        <v>20.372198999999998</v>
      </c>
      <c r="E76">
        <v>20.390926</v>
      </c>
      <c r="F76">
        <v>30.428571000000002</v>
      </c>
      <c r="G76">
        <v>28.420814</v>
      </c>
      <c r="H76">
        <v>26.707612000000001</v>
      </c>
      <c r="I76">
        <v>23.087235</v>
      </c>
      <c r="J76">
        <v>55.665658000000001</v>
      </c>
      <c r="K76">
        <v>49.521644000000002</v>
      </c>
      <c r="L76">
        <v>112.887669</v>
      </c>
      <c r="M76">
        <v>-622.51632600000005</v>
      </c>
      <c r="N76">
        <v>1.256996</v>
      </c>
      <c r="O76">
        <v>6.1611799999999999</v>
      </c>
      <c r="P76">
        <f t="shared" si="3"/>
        <v>2.0949933333333334E-5</v>
      </c>
      <c r="Q76" cm="1">
        <f t="array" ref="Q76">[1]!PropsSI("D","T",J76+273.15,"P",101325,"Water")</f>
        <v>985.36940719842539</v>
      </c>
      <c r="R76" cm="1">
        <f t="array" ref="R76">[1]!PropsSI("D","T",K76+273.15,"P",101325,"Water")</f>
        <v>988.25065357592007</v>
      </c>
      <c r="S76">
        <f t="shared" si="4"/>
        <v>986.81003038717267</v>
      </c>
      <c r="T76" cm="1">
        <f t="array" ref="T76">[1]!PropsSI("H","T",J76+273.15,"P",101325,"Water")</f>
        <v>233113.57428140574</v>
      </c>
      <c r="U76" cm="1">
        <f t="array" ref="U76">[1]!PropsSI("H","T",K76+273.15,"P",101325,"Water")</f>
        <v>207418.35388362783</v>
      </c>
      <c r="V76">
        <f t="shared" si="5"/>
        <v>531.21282017110457</v>
      </c>
    </row>
    <row r="77" spans="1:22" x14ac:dyDescent="0.2">
      <c r="A77">
        <v>46122.68845775463</v>
      </c>
      <c r="B77">
        <v>20.699622999999999</v>
      </c>
      <c r="C77">
        <v>20.649656</v>
      </c>
      <c r="D77">
        <v>20.419371000000002</v>
      </c>
      <c r="E77">
        <v>20.408902000000001</v>
      </c>
      <c r="F77">
        <v>30.489066000000001</v>
      </c>
      <c r="G77">
        <v>28.064188999999999</v>
      </c>
      <c r="H77">
        <v>26.698288000000002</v>
      </c>
      <c r="I77">
        <v>23.208017000000002</v>
      </c>
      <c r="J77">
        <v>55.666612999999998</v>
      </c>
      <c r="K77">
        <v>49.518785000000001</v>
      </c>
      <c r="L77">
        <v>119.388159</v>
      </c>
      <c r="M77">
        <v>-622.43265599999995</v>
      </c>
      <c r="N77">
        <v>1.2567299999999999</v>
      </c>
      <c r="O77">
        <v>6.140479</v>
      </c>
      <c r="P77">
        <f t="shared" si="3"/>
        <v>2.0945499999999998E-5</v>
      </c>
      <c r="Q77" cm="1">
        <f t="array" ref="Q77">[1]!PropsSI("D","T",J77+273.15,"P",101325,"Water")</f>
        <v>985.3689408578814</v>
      </c>
      <c r="R77" cm="1">
        <f t="array" ref="R77">[1]!PropsSI("D","T",K77+273.15,"P",101325,"Water")</f>
        <v>988.25193767170765</v>
      </c>
      <c r="S77">
        <f t="shared" si="4"/>
        <v>986.81043926479447</v>
      </c>
      <c r="T77" cm="1">
        <f t="array" ref="T77">[1]!PropsSI("H","T",J77+273.15,"P",101325,"Water")</f>
        <v>233117.56923819805</v>
      </c>
      <c r="U77" cm="1">
        <f t="array" ref="U77">[1]!PropsSI("H","T",K77+273.15,"P",101325,"Water")</f>
        <v>207406.39980858559</v>
      </c>
      <c r="V77">
        <f t="shared" si="5"/>
        <v>531.43028162905875</v>
      </c>
    </row>
    <row r="78" spans="1:22" x14ac:dyDescent="0.2">
      <c r="A78">
        <v>46122.688516203707</v>
      </c>
      <c r="B78">
        <v>20.761914999999998</v>
      </c>
      <c r="C78">
        <v>20.74926</v>
      </c>
      <c r="D78">
        <v>20.437739000000001</v>
      </c>
      <c r="E78">
        <v>20.420190999999999</v>
      </c>
      <c r="F78">
        <v>30.387308999999998</v>
      </c>
      <c r="G78">
        <v>28.009706000000001</v>
      </c>
      <c r="H78">
        <v>26.771094000000002</v>
      </c>
      <c r="I78">
        <v>23.355608</v>
      </c>
      <c r="J78">
        <v>55.668204000000003</v>
      </c>
      <c r="K78">
        <v>49.520054999999999</v>
      </c>
      <c r="L78">
        <v>108.05158400000001</v>
      </c>
      <c r="M78">
        <v>-622.51306099999999</v>
      </c>
      <c r="N78">
        <v>1.2576069999999999</v>
      </c>
      <c r="O78">
        <v>5.9830670000000001</v>
      </c>
      <c r="P78">
        <f t="shared" si="3"/>
        <v>2.0960116666666666E-5</v>
      </c>
      <c r="Q78" cm="1">
        <f t="array" ref="Q78">[1]!PropsSI("D","T",J78+273.15,"P",101325,"Water")</f>
        <v>985.36816393669824</v>
      </c>
      <c r="R78" cm="1">
        <f t="array" ref="R78">[1]!PropsSI("D","T",K78+273.15,"P",101325,"Water")</f>
        <v>988.25136726856954</v>
      </c>
      <c r="S78">
        <f t="shared" si="4"/>
        <v>986.80976560263389</v>
      </c>
      <c r="T78" cm="1">
        <f t="array" ref="T78">[1]!PropsSI("H","T",J78+273.15,"P",101325,"Water")</f>
        <v>233124.22471154705</v>
      </c>
      <c r="U78" cm="1">
        <f t="array" ref="U78">[1]!PropsSI("H","T",K78+273.15,"P",101325,"Water")</f>
        <v>207411.70994306859</v>
      </c>
      <c r="V78">
        <f t="shared" si="5"/>
        <v>531.82859990500856</v>
      </c>
    </row>
    <row r="79" spans="1:22" x14ac:dyDescent="0.2">
      <c r="A79">
        <v>46122.688574074076</v>
      </c>
      <c r="B79">
        <v>20.635276000000001</v>
      </c>
      <c r="C79">
        <v>20.666853</v>
      </c>
      <c r="D79">
        <v>20.376688999999999</v>
      </c>
      <c r="E79">
        <v>20.444065999999999</v>
      </c>
      <c r="F79">
        <v>30.361619999999998</v>
      </c>
      <c r="G79">
        <v>27.890841999999999</v>
      </c>
      <c r="H79">
        <v>26.435095</v>
      </c>
      <c r="I79">
        <v>23.228711000000001</v>
      </c>
      <c r="J79">
        <v>55.668841</v>
      </c>
      <c r="K79">
        <v>49.524186</v>
      </c>
      <c r="L79">
        <v>118.701663</v>
      </c>
      <c r="M79">
        <v>-622.52040699999998</v>
      </c>
      <c r="N79">
        <v>1.2589060000000001</v>
      </c>
      <c r="O79">
        <v>6.1643569999999999</v>
      </c>
      <c r="P79">
        <f t="shared" si="3"/>
        <v>2.098176666666667E-5</v>
      </c>
      <c r="Q79" cm="1">
        <f t="array" ref="Q79">[1]!PropsSI("D","T",J79+273.15,"P",101325,"Water")</f>
        <v>985.36785287085445</v>
      </c>
      <c r="R79" cm="1">
        <f t="array" ref="R79">[1]!PropsSI("D","T",K79+273.15,"P",101325,"Water")</f>
        <v>988.24951181273445</v>
      </c>
      <c r="S79">
        <f t="shared" si="4"/>
        <v>986.80868234179445</v>
      </c>
      <c r="T79" cm="1">
        <f t="array" ref="T79">[1]!PropsSI("H","T",J79+273.15,"P",101325,"Water")</f>
        <v>233126.88941104119</v>
      </c>
      <c r="U79" cm="1">
        <f t="array" ref="U79">[1]!PropsSI("H","T",K79+273.15,"P",101325,"Water")</f>
        <v>207428.98251742541</v>
      </c>
      <c r="V79">
        <f t="shared" si="5"/>
        <v>532.07489285493921</v>
      </c>
    </row>
    <row r="80" spans="1:22" x14ac:dyDescent="0.2">
      <c r="A80">
        <v>46122.688631944446</v>
      </c>
      <c r="B80">
        <v>20.672440999999999</v>
      </c>
      <c r="C80">
        <v>20.754998000000001</v>
      </c>
      <c r="D80">
        <v>20.388473999999999</v>
      </c>
      <c r="E80">
        <v>20.510854999999999</v>
      </c>
      <c r="F80">
        <v>30.408377000000002</v>
      </c>
      <c r="G80">
        <v>27.685679</v>
      </c>
      <c r="H80">
        <v>26.421997000000001</v>
      </c>
      <c r="I80">
        <v>23.203945999999998</v>
      </c>
      <c r="J80">
        <v>55.671069000000003</v>
      </c>
      <c r="K80">
        <v>49.520850000000003</v>
      </c>
      <c r="L80">
        <v>114.73492299999999</v>
      </c>
      <c r="M80">
        <v>-622.53877399999999</v>
      </c>
      <c r="N80">
        <v>1.256054</v>
      </c>
      <c r="O80">
        <v>6.0961670000000003</v>
      </c>
      <c r="P80">
        <f t="shared" si="3"/>
        <v>2.0934233333333334E-5</v>
      </c>
      <c r="Q80" cm="1">
        <f t="array" ref="Q80">[1]!PropsSI("D","T",J80+273.15,"P",101325,"Water")</f>
        <v>985.36676485323176</v>
      </c>
      <c r="R80" cm="1">
        <f t="array" ref="R80">[1]!PropsSI("D","T",K80+273.15,"P",101325,"Water")</f>
        <v>988.25101019974989</v>
      </c>
      <c r="S80">
        <f t="shared" si="4"/>
        <v>986.80888752649082</v>
      </c>
      <c r="T80" cm="1">
        <f t="array" ref="T80">[1]!PropsSI("H","T",J80+273.15,"P",101325,"Water")</f>
        <v>233136.20958573083</v>
      </c>
      <c r="U80" cm="1">
        <f t="array" ref="U80">[1]!PropsSI("H","T",K80+273.15,"P",101325,"Water")</f>
        <v>207415.03400383965</v>
      </c>
      <c r="V80">
        <f t="shared" si="5"/>
        <v>531.35029595070409</v>
      </c>
    </row>
    <row r="81" spans="1:22" x14ac:dyDescent="0.2">
      <c r="A81">
        <v>46122.688689814815</v>
      </c>
      <c r="B81">
        <v>20.565455</v>
      </c>
      <c r="C81">
        <v>20.638703</v>
      </c>
      <c r="D81">
        <v>20.381498000000001</v>
      </c>
      <c r="E81">
        <v>20.508315</v>
      </c>
      <c r="F81">
        <v>30.447899</v>
      </c>
      <c r="G81">
        <v>27.831461999999998</v>
      </c>
      <c r="H81">
        <v>26.517436</v>
      </c>
      <c r="I81">
        <v>23.225556000000001</v>
      </c>
      <c r="J81">
        <v>55.67266</v>
      </c>
      <c r="K81">
        <v>49.520054999999999</v>
      </c>
      <c r="L81">
        <v>125.39194000000001</v>
      </c>
      <c r="M81">
        <v>-622.48571500000003</v>
      </c>
      <c r="N81">
        <v>1.257099</v>
      </c>
      <c r="O81">
        <v>6.1712949999999998</v>
      </c>
      <c r="P81">
        <f t="shared" si="3"/>
        <v>2.0951650000000001E-5</v>
      </c>
      <c r="Q81" cm="1">
        <f t="array" ref="Q81">[1]!PropsSI("D","T",J81+273.15,"P",101325,"Water")</f>
        <v>985.36598788833282</v>
      </c>
      <c r="R81" cm="1">
        <f t="array" ref="R81">[1]!PropsSI("D","T",K81+273.15,"P",101325,"Water")</f>
        <v>988.25136726856954</v>
      </c>
      <c r="S81">
        <f t="shared" si="4"/>
        <v>986.80867757845112</v>
      </c>
      <c r="T81" cm="1">
        <f t="array" ref="T81">[1]!PropsSI("H","T",J81+273.15,"P",101325,"Water")</f>
        <v>233142.86506172013</v>
      </c>
      <c r="U81" cm="1">
        <f t="array" ref="U81">[1]!PropsSI("H","T",K81+273.15,"P",101325,"Water")</f>
        <v>207411.70994306859</v>
      </c>
      <c r="V81">
        <f t="shared" si="5"/>
        <v>531.99858025129902</v>
      </c>
    </row>
    <row r="82" spans="1:22" x14ac:dyDescent="0.2">
      <c r="A82">
        <v>46122.688748263892</v>
      </c>
      <c r="B82">
        <v>20.550041</v>
      </c>
      <c r="C82">
        <v>20.569334999999999</v>
      </c>
      <c r="D82">
        <v>20.409846999999999</v>
      </c>
      <c r="E82">
        <v>20.520294</v>
      </c>
      <c r="F82">
        <v>30.256606999999999</v>
      </c>
      <c r="G82">
        <v>27.930050999999999</v>
      </c>
      <c r="H82">
        <v>27.030063999999999</v>
      </c>
      <c r="I82">
        <v>23.390965999999999</v>
      </c>
      <c r="J82">
        <v>55.676001999999997</v>
      </c>
      <c r="K82">
        <v>49.519897</v>
      </c>
      <c r="L82">
        <v>117.947007</v>
      </c>
      <c r="M82">
        <v>-622.46898099999999</v>
      </c>
      <c r="N82">
        <v>1.2591479999999999</v>
      </c>
      <c r="O82">
        <v>6.0596189999999996</v>
      </c>
      <c r="P82">
        <f t="shared" si="3"/>
        <v>2.0985799999999998E-5</v>
      </c>
      <c r="Q82" cm="1">
        <f t="array" ref="Q82">[1]!PropsSI("D","T",J82+273.15,"P",101325,"Water")</f>
        <v>985.36435577175087</v>
      </c>
      <c r="R82" cm="1">
        <f t="array" ref="R82">[1]!PropsSI("D","T",K82+273.15,"P",101325,"Water")</f>
        <v>988.25143823268093</v>
      </c>
      <c r="S82">
        <f t="shared" si="4"/>
        <v>986.8078970022159</v>
      </c>
      <c r="T82" cm="1">
        <f t="array" ref="T82">[1]!PropsSI("H","T",J82+273.15,"P",101325,"Water")</f>
        <v>233156.84532910894</v>
      </c>
      <c r="U82" cm="1">
        <f t="array" ref="U82">[1]!PropsSI("H","T",K82+273.15,"P",101325,"Water")</f>
        <v>207411.04931212589</v>
      </c>
      <c r="V82">
        <f t="shared" si="5"/>
        <v>533.1684839090052</v>
      </c>
    </row>
    <row r="83" spans="1:22" x14ac:dyDescent="0.2">
      <c r="A83">
        <v>46122.688806712962</v>
      </c>
      <c r="B83">
        <v>20.578264999999998</v>
      </c>
      <c r="C83">
        <v>20.793676999999999</v>
      </c>
      <c r="D83">
        <v>20.429938</v>
      </c>
      <c r="E83">
        <v>20.524329000000002</v>
      </c>
      <c r="F83">
        <v>30.527809999999999</v>
      </c>
      <c r="G83">
        <v>28.185651</v>
      </c>
      <c r="H83">
        <v>26.523323000000001</v>
      </c>
      <c r="I83">
        <v>23.196974999999998</v>
      </c>
      <c r="J83">
        <v>55.677433999999998</v>
      </c>
      <c r="K83">
        <v>49.522914999999998</v>
      </c>
      <c r="L83">
        <v>108.40830099999999</v>
      </c>
      <c r="M83">
        <v>-622.47877700000004</v>
      </c>
      <c r="N83">
        <v>1.256345</v>
      </c>
      <c r="O83">
        <v>5.9705750000000002</v>
      </c>
      <c r="P83">
        <f t="shared" si="3"/>
        <v>2.0939083333333334E-5</v>
      </c>
      <c r="Q83" cm="1">
        <f t="array" ref="Q83">[1]!PropsSI("D","T",J83+273.15,"P",101325,"Water")</f>
        <v>985.36365641165446</v>
      </c>
      <c r="R83" cm="1">
        <f t="array" ref="R83">[1]!PropsSI("D","T",K83+273.15,"P",101325,"Water")</f>
        <v>988.25008269967452</v>
      </c>
      <c r="S83">
        <f t="shared" si="4"/>
        <v>986.80686955566443</v>
      </c>
      <c r="T83" cm="1">
        <f t="array" ref="T83">[1]!PropsSI("H","T",J83+273.15,"P",101325,"Water")</f>
        <v>233162.83567834081</v>
      </c>
      <c r="U83" cm="1">
        <f t="array" ref="U83">[1]!PropsSI("H","T",K83+273.15,"P",101325,"Water")</f>
        <v>207423.66820027764</v>
      </c>
      <c r="V83">
        <f t="shared" si="5"/>
        <v>531.84407477187608</v>
      </c>
    </row>
    <row r="84" spans="1:22" x14ac:dyDescent="0.2">
      <c r="A84">
        <v>46122.688864583331</v>
      </c>
      <c r="B84">
        <v>20.697308</v>
      </c>
      <c r="C84">
        <v>20.794739</v>
      </c>
      <c r="D84">
        <v>20.501781000000001</v>
      </c>
      <c r="E84">
        <v>20.634243000000001</v>
      </c>
      <c r="F84">
        <v>30.447966000000001</v>
      </c>
      <c r="G84">
        <v>27.911377999999999</v>
      </c>
      <c r="H84">
        <v>26.550920999999999</v>
      </c>
      <c r="I84">
        <v>23.306653000000001</v>
      </c>
      <c r="J84">
        <v>55.680140000000002</v>
      </c>
      <c r="K84">
        <v>49.524503000000003</v>
      </c>
      <c r="L84">
        <v>115.289997</v>
      </c>
      <c r="M84">
        <v>-622.51224400000001</v>
      </c>
      <c r="N84">
        <v>1.2541279999999999</v>
      </c>
      <c r="O84">
        <v>5.9001229999999998</v>
      </c>
      <c r="P84">
        <f t="shared" si="3"/>
        <v>2.0902133333333334E-5</v>
      </c>
      <c r="Q84" cm="1">
        <f t="array" ref="Q84">[1]!PropsSI("D","T",J84+273.15,"P",101325,"Water")</f>
        <v>985.36233482101159</v>
      </c>
      <c r="R84" cm="1">
        <f t="array" ref="R84">[1]!PropsSI("D","T",K84+273.15,"P",101325,"Water")</f>
        <v>988.24936942622753</v>
      </c>
      <c r="S84">
        <f t="shared" si="4"/>
        <v>986.80585212361962</v>
      </c>
      <c r="T84" cm="1">
        <f t="array" ref="T84">[1]!PropsSI("H","T",J84+273.15,"P",101325,"Water")</f>
        <v>233174.15543262404</v>
      </c>
      <c r="U84" cm="1">
        <f t="array" ref="U84">[1]!PropsSI("H","T",K84+273.15,"P",101325,"Water")</f>
        <v>207430.30796086055</v>
      </c>
      <c r="V84">
        <f t="shared" si="5"/>
        <v>531.00154381605887</v>
      </c>
    </row>
    <row r="85" spans="1:22" x14ac:dyDescent="0.2">
      <c r="A85">
        <v>46122.688923032409</v>
      </c>
      <c r="B85">
        <v>20.772437</v>
      </c>
      <c r="C85">
        <v>20.709793999999999</v>
      </c>
      <c r="D85">
        <v>20.491800999999999</v>
      </c>
      <c r="E85">
        <v>20.563963999999999</v>
      </c>
      <c r="F85">
        <v>30.56906</v>
      </c>
      <c r="G85">
        <v>28.002853000000002</v>
      </c>
      <c r="H85">
        <v>26.704262</v>
      </c>
      <c r="I85">
        <v>23.411432000000001</v>
      </c>
      <c r="J85">
        <v>55.676001999999997</v>
      </c>
      <c r="K85">
        <v>49.527679999999997</v>
      </c>
      <c r="L85">
        <v>103.11264799999999</v>
      </c>
      <c r="M85">
        <v>-622.45469600000001</v>
      </c>
      <c r="N85">
        <v>1.251714</v>
      </c>
      <c r="O85">
        <v>5.999752</v>
      </c>
      <c r="P85">
        <f t="shared" si="3"/>
        <v>2.0861900000000001E-5</v>
      </c>
      <c r="Q85" cm="1">
        <f t="array" ref="Q85">[1]!PropsSI("D","T",J85+273.15,"P",101325,"Water")</f>
        <v>985.36435577175087</v>
      </c>
      <c r="R85" cm="1">
        <f t="array" ref="R85">[1]!PropsSI("D","T",K85+273.15,"P",101325,"Water")</f>
        <v>988.24794238025743</v>
      </c>
      <c r="S85">
        <f t="shared" si="4"/>
        <v>986.8061490760042</v>
      </c>
      <c r="T85" cm="1">
        <f t="array" ref="T85">[1]!PropsSI("H","T",J85+273.15,"P",101325,"Water")</f>
        <v>233156.84532910894</v>
      </c>
      <c r="U85" cm="1">
        <f t="array" ref="U85">[1]!PropsSI("H","T",K85+273.15,"P",101325,"Water")</f>
        <v>207443.59166531538</v>
      </c>
      <c r="V85">
        <f t="shared" si="5"/>
        <v>529.3497844298621</v>
      </c>
    </row>
    <row r="86" spans="1:22" x14ac:dyDescent="0.2">
      <c r="A86">
        <v>46122.688980902778</v>
      </c>
      <c r="B86">
        <v>20.681352</v>
      </c>
      <c r="C86">
        <v>20.885672</v>
      </c>
      <c r="D86">
        <v>20.487818000000001</v>
      </c>
      <c r="E86">
        <v>20.655792000000002</v>
      </c>
      <c r="F86">
        <v>30.403395</v>
      </c>
      <c r="G86">
        <v>28.128496999999999</v>
      </c>
      <c r="H86">
        <v>27.093886999999999</v>
      </c>
      <c r="I86">
        <v>23.272397000000002</v>
      </c>
      <c r="J86">
        <v>55.673138000000002</v>
      </c>
      <c r="K86">
        <v>49.528157</v>
      </c>
      <c r="L86">
        <v>111.15061300000001</v>
      </c>
      <c r="M86">
        <v>-622.50938699999995</v>
      </c>
      <c r="N86">
        <v>1.258005</v>
      </c>
      <c r="O86">
        <v>6.1673309999999999</v>
      </c>
      <c r="P86">
        <f t="shared" ref="P86:P92" si="6" xml:space="preserve"> N86*0.001/60</f>
        <v>2.096675E-5</v>
      </c>
      <c r="Q86" cm="1">
        <f t="array" ref="Q86">[1]!PropsSI("D","T",J86+273.15,"P",101325,"Water")</f>
        <v>985.36575445398171</v>
      </c>
      <c r="R86" cm="1">
        <f t="array" ref="R86">[1]!PropsSI("D","T",K86+273.15,"P",101325,"Water")</f>
        <v>988.24772811547928</v>
      </c>
      <c r="S86">
        <f t="shared" ref="S86:S92" si="7">(Q86+R86)/2</f>
        <v>986.80674128473049</v>
      </c>
      <c r="T86" cm="1">
        <f t="array" ref="T86">[1]!PropsSI("H","T",J86+273.15,"P",101325,"Water")</f>
        <v>233144.86463290438</v>
      </c>
      <c r="U86" cm="1">
        <f t="array" ref="U86">[1]!PropsSI("H","T",K86+273.15,"P",101325,"Water")</f>
        <v>207445.58610273726</v>
      </c>
      <c r="V86">
        <f t="shared" ref="V86:V92" si="8">S86*P86*(T86-U86)</f>
        <v>531.72141993596426</v>
      </c>
    </row>
    <row r="87" spans="1:22" x14ac:dyDescent="0.2">
      <c r="A87">
        <v>46122.689039351855</v>
      </c>
      <c r="B87">
        <v>20.694051000000002</v>
      </c>
      <c r="C87">
        <v>20.859044000000001</v>
      </c>
      <c r="D87">
        <v>20.49484</v>
      </c>
      <c r="E87">
        <v>20.591546000000001</v>
      </c>
      <c r="F87">
        <v>30.405042999999999</v>
      </c>
      <c r="G87">
        <v>28.053284999999999</v>
      </c>
      <c r="H87">
        <v>26.633565999999998</v>
      </c>
      <c r="I87">
        <v>23.614808</v>
      </c>
      <c r="J87">
        <v>55.671864999999997</v>
      </c>
      <c r="K87">
        <v>49.527839</v>
      </c>
      <c r="L87">
        <v>118.226585</v>
      </c>
      <c r="M87">
        <v>-622.48938799999996</v>
      </c>
      <c r="N87">
        <v>1.2551570000000001</v>
      </c>
      <c r="O87">
        <v>6.1278350000000001</v>
      </c>
      <c r="P87">
        <f t="shared" si="6"/>
        <v>2.0919283333333335E-5</v>
      </c>
      <c r="Q87" cm="1">
        <f t="array" ref="Q87">[1]!PropsSI("D","T",J87+273.15,"P",101325,"Water")</f>
        <v>985.36637612856919</v>
      </c>
      <c r="R87" cm="1">
        <f t="array" ref="R87">[1]!PropsSI("D","T",K87+273.15,"P",101325,"Water")</f>
        <v>988.24787095884665</v>
      </c>
      <c r="S87">
        <f t="shared" si="7"/>
        <v>986.80712354370792</v>
      </c>
      <c r="T87" cm="1">
        <f t="array" ref="T87">[1]!PropsSI("H","T",J87+273.15,"P",101325,"Water")</f>
        <v>233139.53941517405</v>
      </c>
      <c r="U87" cm="1">
        <f t="array" ref="U87">[1]!PropsSI("H","T",K87+273.15,"P",101325,"Water")</f>
        <v>207444.25647775261</v>
      </c>
      <c r="V87">
        <f t="shared" si="8"/>
        <v>530.43537806038546</v>
      </c>
    </row>
    <row r="88" spans="1:22" x14ac:dyDescent="0.2">
      <c r="A88">
        <v>46122.689097800925</v>
      </c>
      <c r="B88">
        <v>20.633438999999999</v>
      </c>
      <c r="C88">
        <v>20.820762999999999</v>
      </c>
      <c r="D88">
        <v>20.421284</v>
      </c>
      <c r="E88">
        <v>20.618887000000001</v>
      </c>
      <c r="F88">
        <v>30.414370000000002</v>
      </c>
      <c r="G88">
        <v>28.188777999999999</v>
      </c>
      <c r="H88">
        <v>27.069935000000001</v>
      </c>
      <c r="I88">
        <v>23.619807999999999</v>
      </c>
      <c r="J88">
        <v>55.670909999999999</v>
      </c>
      <c r="K88">
        <v>49.527361999999997</v>
      </c>
      <c r="L88">
        <v>108.407077</v>
      </c>
      <c r="M88">
        <v>-622.49714300000005</v>
      </c>
      <c r="N88">
        <v>1.2597050000000001</v>
      </c>
      <c r="O88">
        <v>5.6688530000000004</v>
      </c>
      <c r="P88">
        <f t="shared" si="6"/>
        <v>2.0995083333333335E-5</v>
      </c>
      <c r="Q88" cm="1">
        <f t="array" ref="Q88">[1]!PropsSI("D","T",J88+273.15,"P",101325,"Water")</f>
        <v>985.36684250002361</v>
      </c>
      <c r="R88" cm="1">
        <f t="array" ref="R88">[1]!PropsSI("D","T",K88+273.15,"P",101325,"Water")</f>
        <v>988.24808522262401</v>
      </c>
      <c r="S88">
        <f t="shared" si="7"/>
        <v>986.80746386132387</v>
      </c>
      <c r="T88" cm="1">
        <f t="array" ref="T88">[1]!PropsSI("H","T",J88+273.15,"P",101325,"Water")</f>
        <v>233135.54445650239</v>
      </c>
      <c r="U88" cm="1">
        <f t="array" ref="U88">[1]!PropsSI("H","T",K88+273.15,"P",101325,"Water")</f>
        <v>207442.26204036054</v>
      </c>
      <c r="V88">
        <f t="shared" si="8"/>
        <v>532.31612129220105</v>
      </c>
    </row>
    <row r="89" spans="1:22" x14ac:dyDescent="0.2">
      <c r="A89">
        <v>46122.689155671294</v>
      </c>
      <c r="B89">
        <v>20.632574999999999</v>
      </c>
      <c r="C89">
        <v>21.031307000000002</v>
      </c>
      <c r="D89">
        <v>20.403949999999998</v>
      </c>
      <c r="E89">
        <v>20.625159</v>
      </c>
      <c r="F89">
        <v>30.505322</v>
      </c>
      <c r="G89">
        <v>28.239021999999999</v>
      </c>
      <c r="H89">
        <v>26.970942999999998</v>
      </c>
      <c r="I89">
        <v>23.617743000000001</v>
      </c>
      <c r="J89">
        <v>55.674092000000002</v>
      </c>
      <c r="K89">
        <v>49.530222000000002</v>
      </c>
      <c r="L89">
        <v>111.179591</v>
      </c>
      <c r="M89">
        <v>-622.49061300000005</v>
      </c>
      <c r="N89">
        <v>1.2559020000000001</v>
      </c>
      <c r="O89">
        <v>5.9327439999999996</v>
      </c>
      <c r="P89">
        <f t="shared" si="6"/>
        <v>2.0931700000000002E-5</v>
      </c>
      <c r="Q89" cm="1">
        <f t="array" ref="Q89">[1]!PropsSI("D","T",J89+273.15,"P",101325,"Water")</f>
        <v>985.36528855778795</v>
      </c>
      <c r="R89" cm="1">
        <f t="array" ref="R89">[1]!PropsSI("D","T",K89+273.15,"P",101325,"Water")</f>
        <v>988.24680051588246</v>
      </c>
      <c r="S89">
        <f t="shared" si="7"/>
        <v>986.8060445368352</v>
      </c>
      <c r="T89" cm="1">
        <f t="array" ref="T89">[1]!PropsSI("H","T",J89+273.15,"P",101325,"Water")</f>
        <v>233148.85540914111</v>
      </c>
      <c r="U89" cm="1">
        <f t="array" ref="U89">[1]!PropsSI("H","T",K89+273.15,"P",101325,"Water")</f>
        <v>207454.22030335423</v>
      </c>
      <c r="V89">
        <f t="shared" si="8"/>
        <v>530.7362569954156</v>
      </c>
    </row>
    <row r="90" spans="1:22" x14ac:dyDescent="0.2">
      <c r="A90">
        <v>46122.689214120372</v>
      </c>
      <c r="B90">
        <v>20.659233</v>
      </c>
      <c r="C90">
        <v>20.905512999999999</v>
      </c>
      <c r="D90">
        <v>20.479348000000002</v>
      </c>
      <c r="E90">
        <v>20.628807999999999</v>
      </c>
      <c r="F90">
        <v>30.655235000000001</v>
      </c>
      <c r="G90">
        <v>28.195208999999998</v>
      </c>
      <c r="H90">
        <v>26.996770999999999</v>
      </c>
      <c r="I90">
        <v>23.452612999999999</v>
      </c>
      <c r="J90">
        <v>55.669795999999998</v>
      </c>
      <c r="K90">
        <v>49.534351999999998</v>
      </c>
      <c r="L90">
        <v>114.914098</v>
      </c>
      <c r="M90">
        <v>-622.50775499999997</v>
      </c>
      <c r="N90">
        <v>1.257476</v>
      </c>
      <c r="O90">
        <v>5.874949</v>
      </c>
      <c r="P90">
        <f t="shared" si="6"/>
        <v>2.0957933333333335E-5</v>
      </c>
      <c r="Q90" cm="1">
        <f t="array" ref="Q90">[1]!PropsSI("D","T",J90+273.15,"P",101325,"Water")</f>
        <v>985.36738651156952</v>
      </c>
      <c r="R90" cm="1">
        <f t="array" ref="R90">[1]!PropsSI("D","T",K90+273.15,"P",101325,"Water")</f>
        <v>988.24494523228611</v>
      </c>
      <c r="S90">
        <f t="shared" si="7"/>
        <v>986.80616587192776</v>
      </c>
      <c r="T90" cm="1">
        <f t="array" ref="T90">[1]!PropsSI("H","T",J90+273.15,"P",101325,"Water")</f>
        <v>233130.88436898889</v>
      </c>
      <c r="U90" cm="1">
        <f t="array" ref="U90">[1]!PropsSI("H","T",K90+273.15,"P",101325,"Water")</f>
        <v>207471.48870802269</v>
      </c>
      <c r="V90">
        <f t="shared" si="8"/>
        <v>530.67268311617568</v>
      </c>
    </row>
    <row r="91" spans="1:22" x14ac:dyDescent="0.2">
      <c r="A91">
        <v>46122.689271990741</v>
      </c>
      <c r="B91">
        <v>20.544086</v>
      </c>
      <c r="C91">
        <v>20.768378999999999</v>
      </c>
      <c r="D91">
        <v>20.371683999999998</v>
      </c>
      <c r="E91">
        <v>20.552807000000001</v>
      </c>
      <c r="F91">
        <v>30.440563000000001</v>
      </c>
      <c r="G91">
        <v>28.252700000000001</v>
      </c>
      <c r="H91">
        <v>26.643940000000001</v>
      </c>
      <c r="I91">
        <v>23.276575999999999</v>
      </c>
      <c r="J91">
        <v>55.670909999999999</v>
      </c>
      <c r="K91">
        <v>49.537528999999999</v>
      </c>
      <c r="L91">
        <v>113.955778</v>
      </c>
      <c r="M91">
        <v>-622.506122</v>
      </c>
      <c r="N91">
        <v>1.258173</v>
      </c>
      <c r="O91">
        <v>5.6135739999999998</v>
      </c>
      <c r="P91">
        <f t="shared" si="6"/>
        <v>2.096955E-5</v>
      </c>
      <c r="Q91" cm="1">
        <f t="array" ref="Q91">[1]!PropsSI("D","T",J91+273.15,"P",101325,"Water")</f>
        <v>985.36684250002361</v>
      </c>
      <c r="R91" cm="1">
        <f t="array" ref="R91">[1]!PropsSI("D","T",K91+273.15,"P",101325,"Water")</f>
        <v>988.24351797996815</v>
      </c>
      <c r="S91">
        <f t="shared" si="7"/>
        <v>986.80518023999593</v>
      </c>
      <c r="T91" cm="1">
        <f t="array" ref="T91">[1]!PropsSI("H","T",J91+273.15,"P",101325,"Water")</f>
        <v>233135.54445650239</v>
      </c>
      <c r="U91" cm="1">
        <f t="array" ref="U91">[1]!PropsSI("H","T",K91+273.15,"P",101325,"Water")</f>
        <v>207484.77242106813</v>
      </c>
      <c r="V91">
        <f t="shared" si="8"/>
        <v>530.78784917288033</v>
      </c>
    </row>
    <row r="92" spans="1:22" x14ac:dyDescent="0.2">
      <c r="A92">
        <v>46122.689330439818</v>
      </c>
      <c r="B92">
        <v>20.637604</v>
      </c>
      <c r="C92">
        <v>20.787527999999998</v>
      </c>
      <c r="D92">
        <v>20.406614999999999</v>
      </c>
      <c r="E92">
        <v>20.586687000000001</v>
      </c>
      <c r="F92">
        <v>30.581313000000002</v>
      </c>
      <c r="G92">
        <v>27.935086999999999</v>
      </c>
      <c r="H92">
        <v>26.525727</v>
      </c>
      <c r="I92">
        <v>23.007451</v>
      </c>
      <c r="J92">
        <v>55.671227999999999</v>
      </c>
      <c r="K92">
        <v>49.529428000000003</v>
      </c>
      <c r="L92">
        <v>110.647373</v>
      </c>
      <c r="M92">
        <v>-622.47673599999996</v>
      </c>
      <c r="N92">
        <v>1.2593449999999999</v>
      </c>
      <c r="O92">
        <v>5.9465190000000003</v>
      </c>
      <c r="P92">
        <f t="shared" si="6"/>
        <v>2.0989083333333335E-5</v>
      </c>
      <c r="Q92" cm="1">
        <f t="array" ref="Q92">[1]!PropsSI("D","T",J92+273.15,"P",101325,"Water")</f>
        <v>985.36668720628575</v>
      </c>
      <c r="R92" cm="1">
        <f t="array" ref="R92">[1]!PropsSI("D","T",K92+273.15,"P",101325,"Water")</f>
        <v>988.24715718461732</v>
      </c>
      <c r="S92">
        <f t="shared" si="7"/>
        <v>986.80692219545153</v>
      </c>
      <c r="T92" cm="1">
        <f t="array" ref="T92">[1]!PropsSI("H","T",J92+273.15,"P",101325,"Water")</f>
        <v>233136.87471495086</v>
      </c>
      <c r="U92" cm="1">
        <f t="array" ref="U92">[1]!PropsSI("H","T",K92+273.15,"P",101325,"Water")</f>
        <v>207450.90042172465</v>
      </c>
      <c r="V92">
        <f t="shared" si="8"/>
        <v>532.01233614219905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66CA-B6F8-7949-86F5-162CEA8C514C}">
  <dimension ref="A1:W103"/>
  <sheetViews>
    <sheetView topLeftCell="F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2">
      <c r="A2">
        <v>44660.676714699199</v>
      </c>
      <c r="B2">
        <v>20.501950000000001</v>
      </c>
      <c r="C2">
        <v>20.665096999999999</v>
      </c>
      <c r="D2">
        <v>20.333389</v>
      </c>
      <c r="E2">
        <v>20.401212999999998</v>
      </c>
      <c r="F2">
        <v>29.634281999999999</v>
      </c>
      <c r="G2">
        <v>26.163695000000001</v>
      </c>
      <c r="H2">
        <v>25.690752</v>
      </c>
      <c r="I2">
        <v>22.946484999999999</v>
      </c>
      <c r="J2">
        <v>55.652448999999997</v>
      </c>
      <c r="K2">
        <v>49.082619999999999</v>
      </c>
      <c r="L2">
        <v>157.97357400000001</v>
      </c>
      <c r="M2">
        <v>-622.45224700000006</v>
      </c>
      <c r="N2">
        <v>1.249153</v>
      </c>
      <c r="O2">
        <v>5.7049050000000001</v>
      </c>
      <c r="P2">
        <f t="shared" ref="P2:P13" si="0" xml:space="preserve"> N2*0.001/60</f>
        <v>2.0819216666666666E-5</v>
      </c>
      <c r="Q2" cm="1">
        <f t="array" ref="Q2">[1]!PropsSI("D","T",J2+273.15,"P",101325,"Water")</f>
        <v>985.37585677061168</v>
      </c>
      <c r="R2" cm="1">
        <f t="array" ref="R2">[1]!PropsSI("D","T",K2+273.15,"P",101325,"Water")</f>
        <v>988.44720490404018</v>
      </c>
      <c r="S2">
        <f t="shared" ref="S2:S13" si="1">(Q2+R2)/2</f>
        <v>986.91153083732593</v>
      </c>
      <c r="T2" cm="1">
        <f t="array" ref="T2">[1]!PropsSI("H","T",J2+273.15,"P",101325,"Water")</f>
        <v>233058.31841614255</v>
      </c>
      <c r="U2" cm="1">
        <f t="array" ref="U2">[1]!PropsSI("H","T",K2+273.15,"P",101325,"Water")</f>
        <v>205582.7291111013</v>
      </c>
      <c r="V2">
        <f t="shared" ref="V2:V13" si="2">S2*P2*(T2-U2)</f>
        <v>564.53337742551923</v>
      </c>
      <c r="W2" s="1">
        <f>AVERAGE(V4:V103)</f>
        <v>565.46470910515723</v>
      </c>
    </row>
    <row r="3" spans="1:23" x14ac:dyDescent="0.2">
      <c r="A3">
        <v>44660.676773148298</v>
      </c>
      <c r="B3">
        <v>20.493065000000001</v>
      </c>
      <c r="C3">
        <v>20.636558000000001</v>
      </c>
      <c r="D3">
        <v>20.350807</v>
      </c>
      <c r="E3">
        <v>20.389738000000001</v>
      </c>
      <c r="F3">
        <v>29.625827000000001</v>
      </c>
      <c r="G3">
        <v>26.202551</v>
      </c>
      <c r="H3">
        <v>25.429821</v>
      </c>
      <c r="I3">
        <v>22.823608</v>
      </c>
      <c r="J3">
        <v>55.650699000000003</v>
      </c>
      <c r="K3">
        <v>49.077379000000001</v>
      </c>
      <c r="L3">
        <v>159.326976</v>
      </c>
      <c r="M3">
        <v>-622.48693900000001</v>
      </c>
      <c r="N3">
        <v>1.251096</v>
      </c>
      <c r="O3">
        <v>6.2238300000000004</v>
      </c>
      <c r="P3">
        <f t="shared" si="0"/>
        <v>2.0851599999999999E-5</v>
      </c>
      <c r="Q3" cm="1">
        <f t="array" ref="Q3">[1]!PropsSI("D","T",J3+273.15,"P",101325,"Water")</f>
        <v>985.37671116421325</v>
      </c>
      <c r="R3" cm="1">
        <f t="array" ref="R3">[1]!PropsSI("D","T",K3+273.15,"P",101325,"Water")</f>
        <v>988.44954359761016</v>
      </c>
      <c r="S3">
        <f t="shared" si="1"/>
        <v>986.91312738091165</v>
      </c>
      <c r="T3" cm="1">
        <f t="array" ref="T3">[1]!PropsSI("H","T",J3+273.15,"P",101325,"Water")</f>
        <v>233050.99782412793</v>
      </c>
      <c r="U3" cm="1">
        <f t="array" ref="U3">[1]!PropsSI("H","T",K3+273.15,"P",101325,"Water")</f>
        <v>205560.81602350474</v>
      </c>
      <c r="V3">
        <f t="shared" si="2"/>
        <v>565.71269263568058</v>
      </c>
      <c r="W3" s="1"/>
    </row>
    <row r="4" spans="1:23" x14ac:dyDescent="0.2">
      <c r="A4">
        <v>44660.676831018704</v>
      </c>
      <c r="B4">
        <v>20.572775</v>
      </c>
      <c r="C4">
        <v>20.706538999999999</v>
      </c>
      <c r="D4">
        <v>20.353245000000001</v>
      </c>
      <c r="E4">
        <v>20.466802999999999</v>
      </c>
      <c r="F4">
        <v>29.641043</v>
      </c>
      <c r="G4">
        <v>26.445761000000001</v>
      </c>
      <c r="H4">
        <v>25.541285999999999</v>
      </c>
      <c r="I4">
        <v>23.063074</v>
      </c>
      <c r="J4">
        <v>55.654995999999997</v>
      </c>
      <c r="K4">
        <v>49.075791000000002</v>
      </c>
      <c r="L4">
        <v>164.60630399999999</v>
      </c>
      <c r="M4">
        <v>-622.48612300000002</v>
      </c>
      <c r="N4">
        <v>1.253784</v>
      </c>
      <c r="O4">
        <v>6.1051890000000002</v>
      </c>
      <c r="P4">
        <f t="shared" si="0"/>
        <v>2.0896399999999999E-5</v>
      </c>
      <c r="Q4" cm="1">
        <f t="array" ref="Q4">[1]!PropsSI("D","T",J4+273.15,"P",101325,"Water")</f>
        <v>985.37461322797913</v>
      </c>
      <c r="R4" cm="1">
        <f t="array" ref="R4">[1]!PropsSI("D","T",K4+273.15,"P",101325,"Water")</f>
        <v>988.45025217558145</v>
      </c>
      <c r="S4">
        <f t="shared" si="1"/>
        <v>986.91243270178029</v>
      </c>
      <c r="T4" cm="1">
        <f t="array" ref="T4">[1]!PropsSI("H","T",J4+273.15,"P",101325,"Water")</f>
        <v>233068.97301695737</v>
      </c>
      <c r="U4" cm="1">
        <f t="array" ref="U4">[1]!PropsSI("H","T",K4+273.15,"P",101325,"Water")</f>
        <v>205554.17645552894</v>
      </c>
      <c r="V4">
        <f t="shared" si="2"/>
        <v>567.43536462212376</v>
      </c>
      <c r="W4" s="1"/>
    </row>
    <row r="5" spans="1:23" x14ac:dyDescent="0.2">
      <c r="A5">
        <v>44660.676888889102</v>
      </c>
      <c r="B5">
        <v>20.477387</v>
      </c>
      <c r="C5">
        <v>20.734743999999999</v>
      </c>
      <c r="D5">
        <v>20.366596000000001</v>
      </c>
      <c r="E5">
        <v>20.453600999999999</v>
      </c>
      <c r="F5">
        <v>29.648941000000001</v>
      </c>
      <c r="G5">
        <v>26.489740999999999</v>
      </c>
      <c r="H5">
        <v>25.919125999999999</v>
      </c>
      <c r="I5">
        <v>23.118570999999999</v>
      </c>
      <c r="J5">
        <v>55.654677</v>
      </c>
      <c r="K5">
        <v>49.076901999999997</v>
      </c>
      <c r="L5">
        <v>165.80012099999999</v>
      </c>
      <c r="M5">
        <v>-622.49591899999996</v>
      </c>
      <c r="N5">
        <v>1.25221</v>
      </c>
      <c r="O5">
        <v>6.3148809999999997</v>
      </c>
      <c r="P5">
        <f t="shared" si="0"/>
        <v>2.0870166666666669E-5</v>
      </c>
      <c r="Q5" cm="1">
        <f t="array" ref="Q5">[1]!PropsSI("D","T",J5+273.15,"P",101325,"Water")</f>
        <v>985.37476897814634</v>
      </c>
      <c r="R5" cm="1">
        <f t="array" ref="R5">[1]!PropsSI("D","T",K5+273.15,"P",101325,"Water")</f>
        <v>988.44975644047349</v>
      </c>
      <c r="S5">
        <f t="shared" si="1"/>
        <v>986.91226270930997</v>
      </c>
      <c r="T5" cm="1">
        <f t="array" ref="T5">[1]!PropsSI("H","T",J5+273.15,"P",101325,"Water")</f>
        <v>233067.63857721747</v>
      </c>
      <c r="U5" cm="1">
        <f t="array" ref="U5">[1]!PropsSI("H","T",K5+273.15,"P",101325,"Water")</f>
        <v>205558.82164434329</v>
      </c>
      <c r="V5">
        <f t="shared" si="2"/>
        <v>566.59974629610883</v>
      </c>
      <c r="W5" s="1"/>
    </row>
    <row r="6" spans="1:23" x14ac:dyDescent="0.2">
      <c r="A6">
        <v>46122.676947337961</v>
      </c>
      <c r="B6">
        <v>20.60012</v>
      </c>
      <c r="C6">
        <v>20.815577999999999</v>
      </c>
      <c r="D6">
        <v>20.346008999999999</v>
      </c>
      <c r="E6">
        <v>20.524184000000002</v>
      </c>
      <c r="F6">
        <v>29.726285000000001</v>
      </c>
      <c r="G6">
        <v>26.441837</v>
      </c>
      <c r="H6">
        <v>25.455787000000001</v>
      </c>
      <c r="I6">
        <v>22.563606</v>
      </c>
      <c r="J6">
        <v>55.659292000000001</v>
      </c>
      <c r="K6">
        <v>49.076267000000001</v>
      </c>
      <c r="L6">
        <v>158.52048600000001</v>
      </c>
      <c r="M6">
        <v>-622.49020499999995</v>
      </c>
      <c r="N6">
        <v>1.247026</v>
      </c>
      <c r="O6">
        <v>5.9018769999999998</v>
      </c>
      <c r="P6">
        <f t="shared" si="0"/>
        <v>2.0783766666666666E-5</v>
      </c>
      <c r="Q6" cm="1">
        <f t="array" ref="Q6">[1]!PropsSI("D","T",J6+273.15,"P",101325,"Water")</f>
        <v>985.37251566615794</v>
      </c>
      <c r="R6" cm="1">
        <f t="array" ref="R6">[1]!PropsSI("D","T",K6+273.15,"P",101325,"Water")</f>
        <v>988.4500397824421</v>
      </c>
      <c r="S6">
        <f t="shared" si="1"/>
        <v>986.91127772430002</v>
      </c>
      <c r="T6" cm="1">
        <f t="array" ref="T6">[1]!PropsSI("H","T",J6+273.15,"P",101325,"Water")</f>
        <v>233086.94403344442</v>
      </c>
      <c r="U6" cm="1">
        <f t="array" ref="U6">[1]!PropsSI("H","T",K6+273.15,"P",101325,"Water")</f>
        <v>205556.16665338143</v>
      </c>
      <c r="V6">
        <f t="shared" si="2"/>
        <v>564.70397463975894</v>
      </c>
      <c r="W6" s="1"/>
    </row>
    <row r="7" spans="1:23" x14ac:dyDescent="0.2">
      <c r="A7">
        <v>46122.677005787038</v>
      </c>
      <c r="B7">
        <v>20.560262000000002</v>
      </c>
      <c r="C7">
        <v>20.790216999999998</v>
      </c>
      <c r="D7">
        <v>20.313219</v>
      </c>
      <c r="E7">
        <v>20.428570000000001</v>
      </c>
      <c r="F7">
        <v>29.658555</v>
      </c>
      <c r="G7">
        <v>26.237521999999998</v>
      </c>
      <c r="H7">
        <v>25.094801</v>
      </c>
      <c r="I7">
        <v>22.559736000000001</v>
      </c>
      <c r="J7">
        <v>55.655631999999997</v>
      </c>
      <c r="K7">
        <v>49.079442999999998</v>
      </c>
      <c r="L7">
        <v>162.947203</v>
      </c>
      <c r="M7">
        <v>-622.47796000000005</v>
      </c>
      <c r="N7">
        <v>1.2512350000000001</v>
      </c>
      <c r="O7">
        <v>5.7911789999999996</v>
      </c>
      <c r="P7">
        <f t="shared" si="0"/>
        <v>2.0853916666666667E-5</v>
      </c>
      <c r="Q7" cm="1">
        <f t="array" ref="Q7">[1]!PropsSI("D","T",J7+273.15,"P",101325,"Water")</f>
        <v>985.3743027022723</v>
      </c>
      <c r="R7" cm="1">
        <f t="array" ref="R7">[1]!PropsSI("D","T",K7+273.15,"P",101325,"Water")</f>
        <v>988.44862259981414</v>
      </c>
      <c r="S7">
        <f t="shared" si="1"/>
        <v>986.91146265104317</v>
      </c>
      <c r="T7" cm="1">
        <f t="array" ref="T7">[1]!PropsSI("H","T",J7+273.15,"P",101325,"Water")</f>
        <v>233071.63353013241</v>
      </c>
      <c r="U7" cm="1">
        <f t="array" ref="U7">[1]!PropsSI("H","T",K7+273.15,"P",101325,"Water")</f>
        <v>205569.44579036083</v>
      </c>
      <c r="V7">
        <f t="shared" si="2"/>
        <v>566.02168429162464</v>
      </c>
      <c r="W7" s="1"/>
    </row>
    <row r="8" spans="1:23" x14ac:dyDescent="0.2">
      <c r="A8">
        <v>46122.677063657407</v>
      </c>
      <c r="B8">
        <v>20.570350000000001</v>
      </c>
      <c r="C8">
        <v>20.687656</v>
      </c>
      <c r="D8">
        <v>20.394938</v>
      </c>
      <c r="E8">
        <v>20.548029</v>
      </c>
      <c r="F8">
        <v>29.681452</v>
      </c>
      <c r="G8">
        <v>26.275016000000001</v>
      </c>
      <c r="H8">
        <v>25.622990000000001</v>
      </c>
      <c r="I8">
        <v>22.752804999999999</v>
      </c>
      <c r="J8">
        <v>55.654518000000003</v>
      </c>
      <c r="K8">
        <v>49.080554999999997</v>
      </c>
      <c r="L8">
        <v>156.91893300000001</v>
      </c>
      <c r="M8">
        <v>-622.5</v>
      </c>
      <c r="N8">
        <v>1.2550870000000001</v>
      </c>
      <c r="O8">
        <v>5.9420339999999996</v>
      </c>
      <c r="P8">
        <f t="shared" si="0"/>
        <v>2.0918116666666666E-5</v>
      </c>
      <c r="Q8" cm="1">
        <f t="array" ref="Q8">[1]!PropsSI("D","T",J8+273.15,"P",101325,"Water")</f>
        <v>985.37484660887162</v>
      </c>
      <c r="R8" cm="1">
        <f t="array" ref="R8">[1]!PropsSI("D","T",K8+273.15,"P",101325,"Water")</f>
        <v>988.44812639156476</v>
      </c>
      <c r="S8">
        <f t="shared" si="1"/>
        <v>986.91148650021819</v>
      </c>
      <c r="T8" cm="1">
        <f t="array" ref="T8">[1]!PropsSI("H","T",J8+273.15,"P",101325,"Water")</f>
        <v>233066.97344897169</v>
      </c>
      <c r="U8" cm="1">
        <f t="array" ref="U8">[1]!PropsSI("H","T",K8+273.15,"P",101325,"Water")</f>
        <v>205574.09516139745</v>
      </c>
      <c r="V8">
        <f t="shared" si="2"/>
        <v>567.5720414141017</v>
      </c>
      <c r="W8" s="1"/>
    </row>
    <row r="9" spans="1:23" x14ac:dyDescent="0.2">
      <c r="A9">
        <v>46122.677121527777</v>
      </c>
      <c r="B9">
        <v>20.549437999999999</v>
      </c>
      <c r="C9">
        <v>20.646728</v>
      </c>
      <c r="D9">
        <v>20.377454</v>
      </c>
      <c r="E9">
        <v>20.507757999999999</v>
      </c>
      <c r="F9">
        <v>29.666965000000001</v>
      </c>
      <c r="G9">
        <v>26.098307999999999</v>
      </c>
      <c r="H9">
        <v>25.545480000000001</v>
      </c>
      <c r="I9">
        <v>22.679266999999999</v>
      </c>
      <c r="J9">
        <v>55.655631999999997</v>
      </c>
      <c r="K9">
        <v>49.082937999999999</v>
      </c>
      <c r="L9">
        <v>167.86205899999999</v>
      </c>
      <c r="M9">
        <v>-622.49142900000004</v>
      </c>
      <c r="N9">
        <v>1.253444</v>
      </c>
      <c r="O9">
        <v>5.9308509999999997</v>
      </c>
      <c r="P9">
        <f t="shared" si="0"/>
        <v>2.0890733333333333E-5</v>
      </c>
      <c r="Q9" cm="1">
        <f t="array" ref="Q9">[1]!PropsSI("D","T",J9+273.15,"P",101325,"Water")</f>
        <v>985.3743027022723</v>
      </c>
      <c r="R9" cm="1">
        <f t="array" ref="R9">[1]!PropsSI("D","T",K9+273.15,"P",101325,"Water")</f>
        <v>988.44706299689494</v>
      </c>
      <c r="S9">
        <f t="shared" si="1"/>
        <v>986.91068284958362</v>
      </c>
      <c r="T9" cm="1">
        <f t="array" ref="T9">[1]!PropsSI("H","T",J9+273.15,"P",101325,"Water")</f>
        <v>233071.63353013241</v>
      </c>
      <c r="U9" cm="1">
        <f t="array" ref="U9">[1]!PropsSI("H","T",K9+273.15,"P",101325,"Water")</f>
        <v>205584.0586976918</v>
      </c>
      <c r="V9">
        <f t="shared" si="2"/>
        <v>566.71924397201735</v>
      </c>
      <c r="W9" s="1"/>
    </row>
    <row r="10" spans="1:23" x14ac:dyDescent="0.2">
      <c r="A10">
        <v>44660.677179976999</v>
      </c>
      <c r="B10">
        <v>20.585332999999999</v>
      </c>
      <c r="C10">
        <v>20.908829000000001</v>
      </c>
      <c r="D10">
        <v>20.387512999999998</v>
      </c>
      <c r="E10">
        <v>20.478207999999999</v>
      </c>
      <c r="F10">
        <v>29.709875</v>
      </c>
      <c r="G10">
        <v>26.318657999999999</v>
      </c>
      <c r="H10">
        <v>25.675450000000001</v>
      </c>
      <c r="I10">
        <v>22.943918</v>
      </c>
      <c r="J10">
        <v>55.657541999999999</v>
      </c>
      <c r="K10">
        <v>49.086114000000002</v>
      </c>
      <c r="L10">
        <v>165.643394</v>
      </c>
      <c r="M10">
        <v>-622.46000200000003</v>
      </c>
      <c r="N10">
        <v>1.2541279999999999</v>
      </c>
      <c r="O10">
        <v>6.1779289999999998</v>
      </c>
      <c r="P10">
        <f t="shared" si="0"/>
        <v>2.0902133333333334E-5</v>
      </c>
      <c r="Q10" cm="1">
        <f t="array" ref="Q10">[1]!PropsSI("D","T",J10+273.15,"P",101325,"Water")</f>
        <v>985.37337013361582</v>
      </c>
      <c r="R10" cm="1">
        <f t="array" ref="R10">[1]!PropsSI("D","T",K10+273.15,"P",101325,"Water")</f>
        <v>988.44564567378904</v>
      </c>
      <c r="S10">
        <f t="shared" si="1"/>
        <v>986.90950790370243</v>
      </c>
      <c r="T10" cm="1">
        <f t="array" ref="T10">[1]!PropsSI("H","T",J10+273.15,"P",101325,"Water")</f>
        <v>233079.62343701665</v>
      </c>
      <c r="U10" cm="1">
        <f t="array" ref="U10">[1]!PropsSI("H","T",K10+273.15,"P",101325,"Water")</f>
        <v>205597.33784027337</v>
      </c>
      <c r="V10">
        <f t="shared" si="2"/>
        <v>566.91871654103693</v>
      </c>
    </row>
    <row r="11" spans="1:23" x14ac:dyDescent="0.2">
      <c r="A11">
        <v>44660.677238426098</v>
      </c>
      <c r="B11">
        <v>20.554136</v>
      </c>
      <c r="C11">
        <v>20.754436999999999</v>
      </c>
      <c r="D11">
        <v>20.357278000000001</v>
      </c>
      <c r="E11">
        <v>20.419342</v>
      </c>
      <c r="F11">
        <v>29.685483999999999</v>
      </c>
      <c r="G11">
        <v>26.613285000000001</v>
      </c>
      <c r="H11">
        <v>25.892983000000001</v>
      </c>
      <c r="I11">
        <v>22.980217</v>
      </c>
      <c r="J11">
        <v>55.663111999999998</v>
      </c>
      <c r="K11">
        <v>49.091355</v>
      </c>
      <c r="L11">
        <v>153.83255700000001</v>
      </c>
      <c r="M11">
        <v>-622.49183700000003</v>
      </c>
      <c r="N11">
        <v>1.248219</v>
      </c>
      <c r="O11">
        <v>5.6537059999999997</v>
      </c>
      <c r="P11">
        <f t="shared" si="0"/>
        <v>2.0803650000000002E-5</v>
      </c>
      <c r="Q11" cm="1">
        <f t="array" ref="Q11">[1]!PropsSI("D","T",J11+273.15,"P",101325,"Water")</f>
        <v>985.37065042018276</v>
      </c>
      <c r="R11" cm="1">
        <f t="array" ref="R11">[1]!PropsSI("D","T",K11+273.15,"P",101325,"Water")</f>
        <v>988.44330667666418</v>
      </c>
      <c r="S11">
        <f t="shared" si="1"/>
        <v>986.90697854842347</v>
      </c>
      <c r="T11" cm="1">
        <f t="array" ref="T11">[1]!PropsSI("H","T",J11+273.15,"P",101325,"Water")</f>
        <v>233102.92385370782</v>
      </c>
      <c r="U11" cm="1">
        <f t="array" ref="U11">[1]!PropsSI("H","T",K11+273.15,"P",101325,"Water")</f>
        <v>205619.250940236</v>
      </c>
      <c r="V11">
        <f t="shared" si="2"/>
        <v>564.2746367388803</v>
      </c>
    </row>
    <row r="12" spans="1:23" x14ac:dyDescent="0.2">
      <c r="A12">
        <v>44660.677296296497</v>
      </c>
      <c r="B12">
        <v>20.505749999999999</v>
      </c>
      <c r="C12">
        <v>20.626389</v>
      </c>
      <c r="D12">
        <v>20.351779000000001</v>
      </c>
      <c r="E12">
        <v>20.477754999999998</v>
      </c>
      <c r="F12">
        <v>29.500716000000001</v>
      </c>
      <c r="G12">
        <v>26.252405</v>
      </c>
      <c r="H12">
        <v>25.270382000000001</v>
      </c>
      <c r="I12">
        <v>22.615165999999999</v>
      </c>
      <c r="J12">
        <v>55.661997999999997</v>
      </c>
      <c r="K12">
        <v>49.090879000000001</v>
      </c>
      <c r="L12">
        <v>158.31927099999999</v>
      </c>
      <c r="M12">
        <v>-622.51836600000001</v>
      </c>
      <c r="N12">
        <v>1.2494069999999999</v>
      </c>
      <c r="O12">
        <v>5.9036179999999998</v>
      </c>
      <c r="P12">
        <f t="shared" si="0"/>
        <v>2.0823449999999998E-5</v>
      </c>
      <c r="Q12" cm="1">
        <f t="array" ref="Q12">[1]!PropsSI("D","T",J12+273.15,"P",101325,"Water")</f>
        <v>985.37119437816</v>
      </c>
      <c r="R12" cm="1">
        <f t="array" ref="R12">[1]!PropsSI("D","T",K12+273.15,"P",101325,"Water")</f>
        <v>988.44351911742592</v>
      </c>
      <c r="S12">
        <f t="shared" si="1"/>
        <v>986.90735674779296</v>
      </c>
      <c r="T12" cm="1">
        <f t="array" ref="T12">[1]!PropsSI("H","T",J12+273.15,"P",101325,"Water")</f>
        <v>233098.26376942618</v>
      </c>
      <c r="U12" cm="1">
        <f t="array" ref="U12">[1]!PropsSI("H","T",K12+273.15,"P",101325,"Water")</f>
        <v>205617.26074040876</v>
      </c>
      <c r="V12">
        <f t="shared" si="2"/>
        <v>564.75703668624033</v>
      </c>
    </row>
    <row r="13" spans="1:23" x14ac:dyDescent="0.2">
      <c r="A13">
        <v>44660.677354745501</v>
      </c>
      <c r="B13">
        <v>20.650721000000001</v>
      </c>
      <c r="C13">
        <v>20.842538000000001</v>
      </c>
      <c r="D13">
        <v>20.383880000000001</v>
      </c>
      <c r="E13">
        <v>20.458993</v>
      </c>
      <c r="F13">
        <v>29.754290000000001</v>
      </c>
      <c r="G13">
        <v>26.471574</v>
      </c>
      <c r="H13">
        <v>25.863581</v>
      </c>
      <c r="I13">
        <v>23.018630000000002</v>
      </c>
      <c r="J13">
        <v>55.658656000000001</v>
      </c>
      <c r="K13">
        <v>49.089131999999999</v>
      </c>
      <c r="L13">
        <v>160.94363000000001</v>
      </c>
      <c r="M13">
        <v>-622.48938799999996</v>
      </c>
      <c r="N13">
        <v>1.25505</v>
      </c>
      <c r="O13">
        <v>5.7768829999999998</v>
      </c>
      <c r="P13">
        <f t="shared" si="0"/>
        <v>2.0917500000000001E-5</v>
      </c>
      <c r="Q13" cm="1">
        <f t="array" ref="Q13">[1]!PropsSI("D","T",J13+273.15,"P",101325,"Water")</f>
        <v>985.37282620623398</v>
      </c>
      <c r="R13" cm="1">
        <f t="array" ref="R13">[1]!PropsSI("D","T",K13+273.15,"P",101325,"Water")</f>
        <v>988.44429879785173</v>
      </c>
      <c r="S13">
        <f t="shared" si="1"/>
        <v>986.90856250204286</v>
      </c>
      <c r="T13" cm="1">
        <f t="array" ref="T13">[1]!PropsSI("H","T",J13+273.15,"P",101325,"Water")</f>
        <v>233084.28351944039</v>
      </c>
      <c r="U13" cm="1">
        <f t="array" ref="U13">[1]!PropsSI("H","T",K13+273.15,"P",101325,"Water")</f>
        <v>205609.95637320113</v>
      </c>
      <c r="V13">
        <f t="shared" si="2"/>
        <v>567.17066438318022</v>
      </c>
    </row>
    <row r="14" spans="1:23" x14ac:dyDescent="0.2">
      <c r="A14">
        <v>44660.6774126159</v>
      </c>
      <c r="B14">
        <v>20.698985</v>
      </c>
      <c r="C14">
        <v>20.667128000000002</v>
      </c>
      <c r="D14">
        <v>20.388335999999999</v>
      </c>
      <c r="E14">
        <v>20.475577000000001</v>
      </c>
      <c r="F14">
        <v>29.759792000000001</v>
      </c>
      <c r="G14">
        <v>26.310786</v>
      </c>
      <c r="H14">
        <v>25.772238999999999</v>
      </c>
      <c r="I14">
        <v>22.928598999999998</v>
      </c>
      <c r="J14">
        <v>55.658019000000003</v>
      </c>
      <c r="K14">
        <v>49.08802</v>
      </c>
      <c r="L14">
        <v>160.98934199999999</v>
      </c>
      <c r="M14">
        <v>-622.51632600000005</v>
      </c>
      <c r="N14">
        <v>1.255722</v>
      </c>
      <c r="O14">
        <v>6.1412409999999999</v>
      </c>
      <c r="P14">
        <f t="shared" ref="P14:P77" si="3" xml:space="preserve"> N14*0.001/60</f>
        <v>2.0928700000000002E-5</v>
      </c>
      <c r="Q14" cm="1">
        <f t="array" ref="Q14">[1]!PropsSI("D","T",J14+273.15,"P",101325,"Water")</f>
        <v>985.37313723207762</v>
      </c>
      <c r="R14" cm="1">
        <f t="array" ref="R14">[1]!PropsSI("D","T",K14+273.15,"P",101325,"Water")</f>
        <v>988.44479506930679</v>
      </c>
      <c r="S14">
        <f t="shared" ref="S14:S77" si="4">(Q14+R14)/2</f>
        <v>986.90896615069221</v>
      </c>
      <c r="T14" cm="1">
        <f t="array" ref="T14">[1]!PropsSI("H","T",J14+273.15,"P",101325,"Water")</f>
        <v>233081.61882231742</v>
      </c>
      <c r="U14" cm="1">
        <f t="array" ref="U14">[1]!PropsSI("H","T",K14+273.15,"P",101325,"Water")</f>
        <v>205605.30699959103</v>
      </c>
      <c r="V14">
        <f t="shared" ref="V14:V77" si="5">S14*P14*(T14-U14)</f>
        <v>567.51557348795484</v>
      </c>
    </row>
    <row r="15" spans="1:23" x14ac:dyDescent="0.2">
      <c r="A15">
        <v>46122.677470486109</v>
      </c>
      <c r="B15">
        <v>20.655273000000001</v>
      </c>
      <c r="C15">
        <v>20.670666000000001</v>
      </c>
      <c r="D15">
        <v>20.354275999999999</v>
      </c>
      <c r="E15">
        <v>20.386970000000002</v>
      </c>
      <c r="F15">
        <v>29.734383999999999</v>
      </c>
      <c r="G15">
        <v>26.328206000000002</v>
      </c>
      <c r="H15">
        <v>25.964452999999999</v>
      </c>
      <c r="I15">
        <v>23.241408</v>
      </c>
      <c r="J15">
        <v>55.660566000000003</v>
      </c>
      <c r="K15">
        <v>49.093578999999998</v>
      </c>
      <c r="L15">
        <v>162.29784799999999</v>
      </c>
      <c r="M15">
        <v>-622.48489900000004</v>
      </c>
      <c r="N15">
        <v>1.2569920000000001</v>
      </c>
      <c r="O15">
        <v>6.0858860000000004</v>
      </c>
      <c r="P15">
        <f t="shared" si="3"/>
        <v>2.0949866666666671E-5</v>
      </c>
      <c r="Q15" cm="1">
        <f t="array" ref="Q15">[1]!PropsSI("D","T",J15+273.15,"P",101325,"Water")</f>
        <v>985.37189360198022</v>
      </c>
      <c r="R15" cm="1">
        <f t="array" ref="R15">[1]!PropsSI("D","T",K15+273.15,"P",101325,"Water")</f>
        <v>988.44231407638677</v>
      </c>
      <c r="S15">
        <f t="shared" si="4"/>
        <v>986.90710383918349</v>
      </c>
      <c r="T15" cm="1">
        <f t="array" ref="T15">[1]!PropsSI("H","T",J15+273.15,"P",101325,"Water")</f>
        <v>233092.27342844606</v>
      </c>
      <c r="U15" cm="1">
        <f t="array" ref="U15">[1]!PropsSI("H","T",K15+273.15,"P",101325,"Water")</f>
        <v>205628.5496896746</v>
      </c>
      <c r="V15">
        <f t="shared" si="5"/>
        <v>567.82820408042028</v>
      </c>
    </row>
    <row r="16" spans="1:23" x14ac:dyDescent="0.2">
      <c r="A16">
        <v>46122.677528935186</v>
      </c>
      <c r="B16">
        <v>20.538229999999999</v>
      </c>
      <c r="C16">
        <v>20.596388000000001</v>
      </c>
      <c r="D16">
        <v>20.364716999999999</v>
      </c>
      <c r="E16">
        <v>20.360320000000002</v>
      </c>
      <c r="F16">
        <v>29.708687999999999</v>
      </c>
      <c r="G16">
        <v>26.127586000000001</v>
      </c>
      <c r="H16">
        <v>25.584682999999998</v>
      </c>
      <c r="I16">
        <v>22.912728999999999</v>
      </c>
      <c r="J16">
        <v>55.658496999999997</v>
      </c>
      <c r="K16">
        <v>49.100090999999999</v>
      </c>
      <c r="L16">
        <v>154.89209600000001</v>
      </c>
      <c r="M16">
        <v>-622.48040900000001</v>
      </c>
      <c r="N16">
        <v>1.2557750000000001</v>
      </c>
      <c r="O16">
        <v>5.8559510000000001</v>
      </c>
      <c r="P16">
        <f t="shared" si="3"/>
        <v>2.0929583333333337E-5</v>
      </c>
      <c r="Q16" cm="1">
        <f t="array" ref="Q16">[1]!PropsSI("D","T",J16+273.15,"P",101325,"Water")</f>
        <v>985.37290384088078</v>
      </c>
      <c r="R16" cm="1">
        <f t="array" ref="R16">[1]!PropsSI("D","T",K16+273.15,"P",101325,"Water")</f>
        <v>988.43940749711862</v>
      </c>
      <c r="S16">
        <f t="shared" si="4"/>
        <v>986.90615566899965</v>
      </c>
      <c r="T16" cm="1">
        <f t="array" ref="T16">[1]!PropsSI("H","T",J16+273.15,"P",101325,"Water")</f>
        <v>233083.61839094895</v>
      </c>
      <c r="U16" cm="1">
        <f t="array" ref="U16">[1]!PropsSI("H","T",K16+273.15,"P",101325,"Water")</f>
        <v>205655.77697080132</v>
      </c>
      <c r="V16">
        <f t="shared" si="5"/>
        <v>566.53672820469001</v>
      </c>
    </row>
    <row r="17" spans="1:22" x14ac:dyDescent="0.2">
      <c r="A17">
        <v>46122.677587384256</v>
      </c>
      <c r="B17">
        <v>20.566255999999999</v>
      </c>
      <c r="C17">
        <v>20.586110000000001</v>
      </c>
      <c r="D17">
        <v>20.349799000000001</v>
      </c>
      <c r="E17">
        <v>20.379781999999999</v>
      </c>
      <c r="F17">
        <v>29.704305000000002</v>
      </c>
      <c r="G17">
        <v>26.433917000000001</v>
      </c>
      <c r="H17">
        <v>25.767189999999999</v>
      </c>
      <c r="I17">
        <v>22.844445</v>
      </c>
      <c r="J17">
        <v>55.659770000000002</v>
      </c>
      <c r="K17">
        <v>49.099614000000003</v>
      </c>
      <c r="L17">
        <v>172.68875600000001</v>
      </c>
      <c r="M17">
        <v>-622.49632699999995</v>
      </c>
      <c r="N17">
        <v>1.2595700000000001</v>
      </c>
      <c r="O17">
        <v>6.0922650000000003</v>
      </c>
      <c r="P17">
        <f t="shared" si="3"/>
        <v>2.0992833333333333E-5</v>
      </c>
      <c r="Q17" cm="1">
        <f t="array" ref="Q17">[1]!PropsSI("D","T",J17+273.15,"P",101325,"Water")</f>
        <v>985.37228227119533</v>
      </c>
      <c r="R17" cm="1">
        <f t="array" ref="R17">[1]!PropsSI("D","T",K17+273.15,"P",101325,"Water")</f>
        <v>988.43962041180328</v>
      </c>
      <c r="S17">
        <f t="shared" si="4"/>
        <v>986.9059513414993</v>
      </c>
      <c r="T17" cm="1">
        <f t="array" ref="T17">[1]!PropsSI("H","T",J17+273.15,"P",101325,"Water")</f>
        <v>233088.94360228407</v>
      </c>
      <c r="U17" cm="1">
        <f t="array" ref="U17">[1]!PropsSI("H","T",K17+273.15,"P",101325,"Water")</f>
        <v>205653.78258883639</v>
      </c>
      <c r="V17">
        <f t="shared" si="5"/>
        <v>568.40035316415174</v>
      </c>
    </row>
    <row r="18" spans="1:22" x14ac:dyDescent="0.2">
      <c r="A18">
        <v>46122.677645254633</v>
      </c>
      <c r="B18">
        <v>20.523551999999999</v>
      </c>
      <c r="C18">
        <v>20.622222000000001</v>
      </c>
      <c r="D18">
        <v>20.346219000000001</v>
      </c>
      <c r="E18">
        <v>20.449743000000002</v>
      </c>
      <c r="F18">
        <v>29.670950999999999</v>
      </c>
      <c r="G18">
        <v>26.114629000000001</v>
      </c>
      <c r="H18">
        <v>25.571006000000001</v>
      </c>
      <c r="I18">
        <v>22.851711999999999</v>
      </c>
      <c r="J18">
        <v>55.656427999999998</v>
      </c>
      <c r="K18">
        <v>49.102632</v>
      </c>
      <c r="L18">
        <v>163.51533800000001</v>
      </c>
      <c r="M18">
        <v>-622.46653200000003</v>
      </c>
      <c r="N18">
        <v>1.2597259999999999</v>
      </c>
      <c r="O18">
        <v>5.6408709999999997</v>
      </c>
      <c r="P18">
        <f t="shared" si="3"/>
        <v>2.0995433333333332E-5</v>
      </c>
      <c r="Q18" cm="1">
        <f t="array" ref="Q18">[1]!PropsSI("D","T",J18+273.15,"P",101325,"Water")</f>
        <v>985.37391405334904</v>
      </c>
      <c r="R18" cm="1">
        <f t="array" ref="R18">[1]!PropsSI("D","T",K18+273.15,"P",101325,"Water")</f>
        <v>988.43827326579787</v>
      </c>
      <c r="S18">
        <f t="shared" si="4"/>
        <v>986.90609365957346</v>
      </c>
      <c r="T18" cm="1">
        <f t="array" ref="T18">[1]!PropsSI("H","T",J18+273.15,"P",101325,"Water")</f>
        <v>233074.96335502833</v>
      </c>
      <c r="U18" cm="1">
        <f t="array" ref="U18">[1]!PropsSI("H","T",K18+273.15,"P",101325,"Water")</f>
        <v>205666.40113259514</v>
      </c>
      <c r="V18">
        <f t="shared" si="5"/>
        <v>567.91969173245877</v>
      </c>
    </row>
    <row r="19" spans="1:22" x14ac:dyDescent="0.2">
      <c r="A19">
        <v>46122.677703703703</v>
      </c>
      <c r="B19">
        <v>20.484172999999998</v>
      </c>
      <c r="C19">
        <v>20.675556</v>
      </c>
      <c r="D19">
        <v>20.326208999999999</v>
      </c>
      <c r="E19">
        <v>20.354825999999999</v>
      </c>
      <c r="F19">
        <v>29.617595000000001</v>
      </c>
      <c r="G19">
        <v>26.271559</v>
      </c>
      <c r="H19">
        <v>25.193801000000001</v>
      </c>
      <c r="I19">
        <v>22.985002999999999</v>
      </c>
      <c r="J19">
        <v>55.656269000000002</v>
      </c>
      <c r="K19">
        <v>49.102791000000003</v>
      </c>
      <c r="L19">
        <v>157.38911400000001</v>
      </c>
      <c r="M19">
        <v>-622.47877700000004</v>
      </c>
      <c r="N19">
        <v>1.260656</v>
      </c>
      <c r="O19">
        <v>5.2980640000000001</v>
      </c>
      <c r="P19">
        <f t="shared" si="3"/>
        <v>2.1010933333333332E-5</v>
      </c>
      <c r="Q19" cm="1">
        <f t="array" ref="Q19">[1]!PropsSI("D","T",J19+273.15,"P",101325,"Water")</f>
        <v>985.3739916857935</v>
      </c>
      <c r="R19" cm="1">
        <f t="array" ref="R19">[1]!PropsSI("D","T",K19+273.15,"P",101325,"Water")</f>
        <v>988.43820229121843</v>
      </c>
      <c r="S19">
        <f t="shared" si="4"/>
        <v>986.90609698850596</v>
      </c>
      <c r="T19" cm="1">
        <f t="array" ref="T19">[1]!PropsSI("H","T",J19+273.15,"P",101325,"Water")</f>
        <v>233074.29822664012</v>
      </c>
      <c r="U19" cm="1">
        <f t="array" ref="U19">[1]!PropsSI("H","T",K19+273.15,"P",101325,"Water")</f>
        <v>205667.06592673136</v>
      </c>
      <c r="V19">
        <f t="shared" si="5"/>
        <v>568.31138661249702</v>
      </c>
    </row>
    <row r="20" spans="1:22" x14ac:dyDescent="0.2">
      <c r="A20">
        <v>46122.67776215278</v>
      </c>
      <c r="B20">
        <v>20.634747999999998</v>
      </c>
      <c r="C20">
        <v>20.580912000000001</v>
      </c>
      <c r="D20">
        <v>20.366417999999999</v>
      </c>
      <c r="E20">
        <v>20.383137000000001</v>
      </c>
      <c r="F20">
        <v>29.767876999999999</v>
      </c>
      <c r="G20">
        <v>26.373286</v>
      </c>
      <c r="H20">
        <v>25.314855000000001</v>
      </c>
      <c r="I20">
        <v>23.014533</v>
      </c>
      <c r="J20">
        <v>55.649743999999998</v>
      </c>
      <c r="K20">
        <v>49.102314</v>
      </c>
      <c r="L20">
        <v>171.23699199999999</v>
      </c>
      <c r="M20">
        <v>-622.48285799999996</v>
      </c>
      <c r="N20">
        <v>1.2603610000000001</v>
      </c>
      <c r="O20">
        <v>5.9695710000000002</v>
      </c>
      <c r="P20">
        <f t="shared" si="3"/>
        <v>2.1006016666666665E-5</v>
      </c>
      <c r="Q20" cm="1">
        <f t="array" ref="Q20">[1]!PropsSI("D","T",J20+273.15,"P",101325,"Water")</f>
        <v>985.37717741106167</v>
      </c>
      <c r="R20" cm="1">
        <f t="array" ref="R20">[1]!PropsSI("D","T",K20+273.15,"P",101325,"Water")</f>
        <v>988.43841521444256</v>
      </c>
      <c r="S20">
        <f t="shared" si="4"/>
        <v>986.90779631275211</v>
      </c>
      <c r="T20" cm="1">
        <f t="array" ref="T20">[1]!PropsSI("H","T",J20+273.15,"P",101325,"Water")</f>
        <v>233047.00287295648</v>
      </c>
      <c r="U20" cm="1">
        <f t="array" ref="U20">[1]!PropsSI("H","T",K20+273.15,"P",101325,"Water")</f>
        <v>205665.07154436846</v>
      </c>
      <c r="V20">
        <f t="shared" si="5"/>
        <v>567.6548626716916</v>
      </c>
    </row>
    <row r="21" spans="1:22" x14ac:dyDescent="0.2">
      <c r="A21">
        <v>46122.677820023149</v>
      </c>
      <c r="B21">
        <v>20.814467</v>
      </c>
      <c r="C21">
        <v>20.849643</v>
      </c>
      <c r="D21">
        <v>20.354082999999999</v>
      </c>
      <c r="E21">
        <v>20.413423999999999</v>
      </c>
      <c r="F21">
        <v>29.833546999999999</v>
      </c>
      <c r="G21">
        <v>26.521512999999999</v>
      </c>
      <c r="H21">
        <v>25.299925999999999</v>
      </c>
      <c r="I21">
        <v>22.760404000000001</v>
      </c>
      <c r="J21">
        <v>55.650381000000003</v>
      </c>
      <c r="K21">
        <v>49.106762000000003</v>
      </c>
      <c r="L21">
        <v>149.64174700000001</v>
      </c>
      <c r="M21">
        <v>-622.44490099999996</v>
      </c>
      <c r="N21">
        <v>1.253104</v>
      </c>
      <c r="O21">
        <v>5.9214089999999997</v>
      </c>
      <c r="P21">
        <f t="shared" si="3"/>
        <v>2.0885066666666668E-5</v>
      </c>
      <c r="Q21" cm="1">
        <f t="array" ref="Q21">[1]!PropsSI("D","T",J21+273.15,"P",101325,"Water")</f>
        <v>985.37686641772393</v>
      </c>
      <c r="R21" cm="1">
        <f t="array" ref="R21">[1]!PropsSI("D","T",K21+273.15,"P",101325,"Water")</f>
        <v>988.43642965800188</v>
      </c>
      <c r="S21">
        <f t="shared" si="4"/>
        <v>986.90664803786285</v>
      </c>
      <c r="T21" cm="1">
        <f t="array" ref="T21">[1]!PropsSI("H","T",J21+273.15,"P",101325,"Water")</f>
        <v>233049.66756806496</v>
      </c>
      <c r="U21" cm="1">
        <f t="array" ref="U21">[1]!PropsSI("H","T",K21+273.15,"P",101325,"Water")</f>
        <v>205683.66905762904</v>
      </c>
      <c r="V21">
        <f t="shared" si="5"/>
        <v>564.0573197014869</v>
      </c>
    </row>
    <row r="22" spans="1:22" x14ac:dyDescent="0.2">
      <c r="A22">
        <v>46122.677878472219</v>
      </c>
      <c r="B22">
        <v>20.982358000000001</v>
      </c>
      <c r="C22">
        <v>20.899403</v>
      </c>
      <c r="D22">
        <v>20.421949999999999</v>
      </c>
      <c r="E22">
        <v>20.451881</v>
      </c>
      <c r="F22">
        <v>29.978905000000001</v>
      </c>
      <c r="G22">
        <v>26.279218</v>
      </c>
      <c r="H22">
        <v>25.085975000000001</v>
      </c>
      <c r="I22">
        <v>22.656141000000002</v>
      </c>
      <c r="J22">
        <v>55.654518000000003</v>
      </c>
      <c r="K22">
        <v>49.112797</v>
      </c>
      <c r="L22">
        <v>152.21590399999999</v>
      </c>
      <c r="M22">
        <v>-622.50122399999998</v>
      </c>
      <c r="N22">
        <v>1.2597750000000001</v>
      </c>
      <c r="O22">
        <v>5.9477770000000003</v>
      </c>
      <c r="P22">
        <f t="shared" si="3"/>
        <v>2.0996250000000001E-5</v>
      </c>
      <c r="Q22" cm="1">
        <f t="array" ref="Q22">[1]!PropsSI("D","T",J22+273.15,"P",101325,"Water")</f>
        <v>985.37484660887162</v>
      </c>
      <c r="R22" cm="1">
        <f t="array" ref="R22">[1]!PropsSI("D","T",K22+273.15,"P",101325,"Water")</f>
        <v>988.43373546606858</v>
      </c>
      <c r="S22">
        <f t="shared" si="4"/>
        <v>986.9042910374701</v>
      </c>
      <c r="T22" cm="1">
        <f t="array" ref="T22">[1]!PropsSI("H","T",J22+273.15,"P",101325,"Water")</f>
        <v>233066.97344897169</v>
      </c>
      <c r="U22" cm="1">
        <f t="array" ref="U22">[1]!PropsSI("H","T",K22+273.15,"P",101325,"Water")</f>
        <v>205708.90197808601</v>
      </c>
      <c r="V22">
        <f t="shared" si="5"/>
        <v>566.89451146868009</v>
      </c>
    </row>
    <row r="23" spans="1:22" x14ac:dyDescent="0.2">
      <c r="A23">
        <v>46122.677936921296</v>
      </c>
      <c r="B23">
        <v>20.977540000000001</v>
      </c>
      <c r="C23">
        <v>20.883717999999998</v>
      </c>
      <c r="D23">
        <v>20.478206</v>
      </c>
      <c r="E23">
        <v>20.505952000000001</v>
      </c>
      <c r="F23">
        <v>29.985817000000001</v>
      </c>
      <c r="G23">
        <v>26.625862999999999</v>
      </c>
      <c r="H23">
        <v>25.785122999999999</v>
      </c>
      <c r="I23">
        <v>22.793883000000001</v>
      </c>
      <c r="J23">
        <v>55.658974000000001</v>
      </c>
      <c r="K23">
        <v>49.119627000000001</v>
      </c>
      <c r="L23">
        <v>153.746847</v>
      </c>
      <c r="M23">
        <v>-622.49714300000005</v>
      </c>
      <c r="N23">
        <v>1.2583770000000001</v>
      </c>
      <c r="O23">
        <v>5.6047549999999999</v>
      </c>
      <c r="P23">
        <f t="shared" si="3"/>
        <v>2.0972950000000004E-5</v>
      </c>
      <c r="Q23" cm="1">
        <f t="array" ref="Q23">[1]!PropsSI("D","T",J23+273.15,"P",101325,"Water")</f>
        <v>985.37267093650235</v>
      </c>
      <c r="R23" cm="1">
        <f t="array" ref="R23">[1]!PropsSI("D","T",K23+273.15,"P",101325,"Water")</f>
        <v>988.43068607283237</v>
      </c>
      <c r="S23">
        <f t="shared" si="4"/>
        <v>986.90167850466742</v>
      </c>
      <c r="T23" cm="1">
        <f t="array" ref="T23">[1]!PropsSI("H","T",J23+273.15,"P",101325,"Water")</f>
        <v>233085.61377644312</v>
      </c>
      <c r="U23" cm="1">
        <f t="array" ref="U23">[1]!PropsSI("H","T",K23+273.15,"P",101325,"Water")</f>
        <v>205737.45888255298</v>
      </c>
      <c r="V23">
        <f t="shared" si="5"/>
        <v>566.0586614683466</v>
      </c>
    </row>
    <row r="24" spans="1:22" x14ac:dyDescent="0.2">
      <c r="A24">
        <v>46122.677995370374</v>
      </c>
      <c r="B24">
        <v>20.897604000000001</v>
      </c>
      <c r="C24">
        <v>20.884046000000001</v>
      </c>
      <c r="D24">
        <v>20.436297</v>
      </c>
      <c r="E24">
        <v>20.432774999999999</v>
      </c>
      <c r="F24">
        <v>29.939993000000001</v>
      </c>
      <c r="G24">
        <v>26.381761000000001</v>
      </c>
      <c r="H24">
        <v>25.565079000000001</v>
      </c>
      <c r="I24">
        <v>22.783759</v>
      </c>
      <c r="J24">
        <v>55.662315999999997</v>
      </c>
      <c r="K24">
        <v>49.134239000000001</v>
      </c>
      <c r="L24">
        <v>153.96969300000001</v>
      </c>
      <c r="M24">
        <v>-622.45714499999997</v>
      </c>
      <c r="N24">
        <v>1.2564230000000001</v>
      </c>
      <c r="O24">
        <v>5.8025520000000004</v>
      </c>
      <c r="P24">
        <f t="shared" si="3"/>
        <v>2.0940383333333334E-5</v>
      </c>
      <c r="Q24" cm="1">
        <f t="array" ref="Q24">[1]!PropsSI("D","T",J24+273.15,"P",101325,"Water")</f>
        <v>985.37103910189819</v>
      </c>
      <c r="R24" cm="1">
        <f t="array" ref="R24">[1]!PropsSI("D","T",K24+273.15,"P",101325,"Water")</f>
        <v>988.42416120837049</v>
      </c>
      <c r="S24">
        <f t="shared" si="4"/>
        <v>986.89760015513434</v>
      </c>
      <c r="T24" cm="1">
        <f t="array" ref="T24">[1]!PropsSI("H","T",J24+273.15,"P",101325,"Water")</f>
        <v>233099.59402683764</v>
      </c>
      <c r="U24" cm="1">
        <f t="array" ref="U24">[1]!PropsSI("H","T",K24+273.15,"P",101325,"Water")</f>
        <v>205798.55313931889</v>
      </c>
      <c r="V24">
        <f t="shared" si="5"/>
        <v>564.20369477936549</v>
      </c>
    </row>
    <row r="25" spans="1:22" x14ac:dyDescent="0.2">
      <c r="A25">
        <v>46122.678053819443</v>
      </c>
      <c r="B25">
        <v>20.691288</v>
      </c>
      <c r="C25">
        <v>20.652298999999999</v>
      </c>
      <c r="D25">
        <v>20.362137000000001</v>
      </c>
      <c r="E25">
        <v>20.379359000000001</v>
      </c>
      <c r="F25">
        <v>29.753225</v>
      </c>
      <c r="G25">
        <v>26.314696000000001</v>
      </c>
      <c r="H25">
        <v>25.447651</v>
      </c>
      <c r="I25">
        <v>22.513079000000001</v>
      </c>
      <c r="J25">
        <v>55.661839000000001</v>
      </c>
      <c r="K25">
        <v>49.132967999999998</v>
      </c>
      <c r="L25">
        <v>163.10229699999999</v>
      </c>
      <c r="M25">
        <v>-622.49918400000001</v>
      </c>
      <c r="N25">
        <v>1.262516</v>
      </c>
      <c r="O25">
        <v>6.0355759999999998</v>
      </c>
      <c r="P25">
        <f t="shared" si="3"/>
        <v>2.1041933333333333E-5</v>
      </c>
      <c r="Q25" cm="1">
        <f t="array" ref="Q25">[1]!PropsSI("D","T",J25+273.15,"P",101325,"Water")</f>
        <v>985.37127201609633</v>
      </c>
      <c r="R25" cm="1">
        <f t="array" ref="R25">[1]!PropsSI("D","T",K25+273.15,"P",101325,"Water")</f>
        <v>988.42472881879769</v>
      </c>
      <c r="S25">
        <f t="shared" si="4"/>
        <v>986.89800041744707</v>
      </c>
      <c r="T25" cm="1">
        <f t="array" ref="T25">[1]!PropsSI("H","T",J25+273.15,"P",101325,"Water")</f>
        <v>233097.5986407676</v>
      </c>
      <c r="U25" cm="1">
        <f t="array" ref="U25">[1]!PropsSI("H","T",K25+273.15,"P",101325,"Water")</f>
        <v>205793.23895690398</v>
      </c>
      <c r="V25">
        <f t="shared" si="5"/>
        <v>567.00893898209733</v>
      </c>
    </row>
    <row r="26" spans="1:22" x14ac:dyDescent="0.2">
      <c r="A26">
        <v>46122.678112268521</v>
      </c>
      <c r="B26">
        <v>20.645664</v>
      </c>
      <c r="C26">
        <v>20.815943000000001</v>
      </c>
      <c r="D26">
        <v>20.344981000000001</v>
      </c>
      <c r="E26">
        <v>20.379837999999999</v>
      </c>
      <c r="F26">
        <v>29.736646</v>
      </c>
      <c r="G26">
        <v>26.245028000000001</v>
      </c>
      <c r="H26">
        <v>25.445149000000001</v>
      </c>
      <c r="I26">
        <v>22.715423000000001</v>
      </c>
      <c r="J26">
        <v>55.660088000000002</v>
      </c>
      <c r="K26">
        <v>49.13138</v>
      </c>
      <c r="L26">
        <v>154.242333</v>
      </c>
      <c r="M26">
        <v>-622.45836899999995</v>
      </c>
      <c r="N26">
        <v>1.2541770000000001</v>
      </c>
      <c r="O26">
        <v>6.4490629999999998</v>
      </c>
      <c r="P26">
        <f t="shared" si="3"/>
        <v>2.0902950000000003E-5</v>
      </c>
      <c r="Q26" cm="1">
        <f t="array" ref="Q26">[1]!PropsSI("D","T",J26+273.15,"P",101325,"Water")</f>
        <v>985.3721269992883</v>
      </c>
      <c r="R26" cm="1">
        <f t="array" ref="R26">[1]!PropsSI("D","T",K26+273.15,"P",101325,"Water")</f>
        <v>988.42543798184829</v>
      </c>
      <c r="S26">
        <f t="shared" si="4"/>
        <v>986.89878249056824</v>
      </c>
      <c r="T26" cm="1">
        <f t="array" ref="T26">[1]!PropsSI("H","T",J26+273.15,"P",101325,"Water")</f>
        <v>233090.27385942335</v>
      </c>
      <c r="U26" cm="1">
        <f t="array" ref="U26">[1]!PropsSI("H","T",K26+273.15,"P",101325,"Water")</f>
        <v>205786.59936530422</v>
      </c>
      <c r="V26">
        <f t="shared" si="5"/>
        <v>563.25011971067909</v>
      </c>
    </row>
    <row r="27" spans="1:22" x14ac:dyDescent="0.2">
      <c r="A27">
        <v>46122.67817013889</v>
      </c>
      <c r="B27">
        <v>20.646176000000001</v>
      </c>
      <c r="C27">
        <v>20.703889</v>
      </c>
      <c r="D27">
        <v>20.353380000000001</v>
      </c>
      <c r="E27">
        <v>20.473597999999999</v>
      </c>
      <c r="F27">
        <v>29.710314</v>
      </c>
      <c r="G27">
        <v>26.376901</v>
      </c>
      <c r="H27">
        <v>25.765685000000001</v>
      </c>
      <c r="I27">
        <v>22.664591999999999</v>
      </c>
      <c r="J27">
        <v>55.661042999999999</v>
      </c>
      <c r="K27">
        <v>49.129950000000001</v>
      </c>
      <c r="L27">
        <v>154.280698</v>
      </c>
      <c r="M27">
        <v>-622.48979599999996</v>
      </c>
      <c r="N27">
        <v>1.256275</v>
      </c>
      <c r="O27">
        <v>6.2453950000000003</v>
      </c>
      <c r="P27">
        <f t="shared" si="3"/>
        <v>2.0937916666666668E-5</v>
      </c>
      <c r="Q27" cm="1">
        <f t="array" ref="Q27">[1]!PropsSI("D","T",J27+273.15,"P",101325,"Water")</f>
        <v>985.37166069155967</v>
      </c>
      <c r="R27" cm="1">
        <f t="array" ref="R27">[1]!PropsSI("D","T",K27+273.15,"P",101325,"Water")</f>
        <v>988.42607657158987</v>
      </c>
      <c r="S27">
        <f t="shared" si="4"/>
        <v>986.89886863157471</v>
      </c>
      <c r="T27" cm="1">
        <f t="array" ref="T27">[1]!PropsSI("H","T",J27+273.15,"P",101325,"Water")</f>
        <v>233094.26881426712</v>
      </c>
      <c r="U27" cm="1">
        <f t="array" ref="U27">[1]!PropsSI("H","T",K27+273.15,"P",101325,"Water")</f>
        <v>205780.62038855668</v>
      </c>
      <c r="V27">
        <f t="shared" si="5"/>
        <v>564.39847686159362</v>
      </c>
    </row>
    <row r="28" spans="1:22" x14ac:dyDescent="0.2">
      <c r="A28">
        <v>46122.67822858796</v>
      </c>
      <c r="B28">
        <v>20.635383000000001</v>
      </c>
      <c r="C28">
        <v>20.728000999999999</v>
      </c>
      <c r="D28">
        <v>20.420658</v>
      </c>
      <c r="E28">
        <v>20.572105000000001</v>
      </c>
      <c r="F28">
        <v>29.797595000000001</v>
      </c>
      <c r="G28">
        <v>26.427135</v>
      </c>
      <c r="H28">
        <v>25.528793</v>
      </c>
      <c r="I28">
        <v>22.881125999999998</v>
      </c>
      <c r="J28">
        <v>55.660724999999999</v>
      </c>
      <c r="K28">
        <v>49.130426999999997</v>
      </c>
      <c r="L28">
        <v>160.933018</v>
      </c>
      <c r="M28">
        <v>-622.49836700000003</v>
      </c>
      <c r="N28">
        <v>1.2593490000000001</v>
      </c>
      <c r="O28">
        <v>7.1454009999999997</v>
      </c>
      <c r="P28">
        <f t="shared" si="3"/>
        <v>2.0989150000000002E-5</v>
      </c>
      <c r="Q28" cm="1">
        <f t="array" ref="Q28">[1]!PropsSI("D","T",J28+273.15,"P",101325,"Water")</f>
        <v>985.37181596532264</v>
      </c>
      <c r="R28" cm="1">
        <f t="array" ref="R28">[1]!PropsSI("D","T",K28+273.15,"P",101325,"Water")</f>
        <v>988.42586356098707</v>
      </c>
      <c r="S28">
        <f t="shared" si="4"/>
        <v>986.89883976315491</v>
      </c>
      <c r="T28" cm="1">
        <f t="array" ref="T28">[1]!PropsSI("H","T",J28+273.15,"P",101325,"Water")</f>
        <v>233092.93855705901</v>
      </c>
      <c r="U28" cm="1">
        <f t="array" ref="U28">[1]!PropsSI("H","T",K28+273.15,"P",101325,"Water")</f>
        <v>205782.61477445299</v>
      </c>
      <c r="V28">
        <f t="shared" si="5"/>
        <v>565.71062903043708</v>
      </c>
    </row>
    <row r="29" spans="1:22" x14ac:dyDescent="0.2">
      <c r="A29">
        <v>46122.678287037037</v>
      </c>
      <c r="B29">
        <v>20.680886000000001</v>
      </c>
      <c r="C29">
        <v>20.781009999999998</v>
      </c>
      <c r="D29">
        <v>20.472272</v>
      </c>
      <c r="E29">
        <v>20.616523000000001</v>
      </c>
      <c r="F29">
        <v>29.745849</v>
      </c>
      <c r="G29">
        <v>26.290606</v>
      </c>
      <c r="H29">
        <v>25.282342</v>
      </c>
      <c r="I29">
        <v>22.60689</v>
      </c>
      <c r="J29">
        <v>55.665021000000003</v>
      </c>
      <c r="K29">
        <v>49.130108999999997</v>
      </c>
      <c r="L29">
        <v>161.46197100000001</v>
      </c>
      <c r="M29">
        <v>-622.45265500000005</v>
      </c>
      <c r="N29">
        <v>1.2578609999999999</v>
      </c>
      <c r="O29">
        <v>6.1758319999999998</v>
      </c>
      <c r="P29">
        <f t="shared" si="3"/>
        <v>2.0964349999999999E-5</v>
      </c>
      <c r="Q29" cm="1">
        <f t="array" ref="Q29">[1]!PropsSI("D","T",J29+273.15,"P",101325,"Water")</f>
        <v>985.36971825176306</v>
      </c>
      <c r="R29" cm="1">
        <f t="array" ref="R29">[1]!PropsSI("D","T",K29+273.15,"P",101325,"Water")</f>
        <v>988.42600556820446</v>
      </c>
      <c r="S29">
        <f t="shared" si="4"/>
        <v>986.8978619099837</v>
      </c>
      <c r="T29" cm="1">
        <f t="array" ref="T29">[1]!PropsSI("H","T",J29+273.15,"P",101325,"Water")</f>
        <v>233110.90958267526</v>
      </c>
      <c r="U29" cm="1">
        <f t="array" ref="U29">[1]!PropsSI("H","T",K29+273.15,"P",101325,"Water")</f>
        <v>205781.28518390947</v>
      </c>
      <c r="V29">
        <f t="shared" si="5"/>
        <v>565.44096992270863</v>
      </c>
    </row>
    <row r="30" spans="1:22" x14ac:dyDescent="0.2">
      <c r="A30">
        <v>46122.678344907406</v>
      </c>
      <c r="B30">
        <v>20.611833000000001</v>
      </c>
      <c r="C30">
        <v>20.752459999999999</v>
      </c>
      <c r="D30">
        <v>20.466930999999999</v>
      </c>
      <c r="E30">
        <v>20.624327999999998</v>
      </c>
      <c r="F30">
        <v>29.764717000000001</v>
      </c>
      <c r="G30">
        <v>26.429279999999999</v>
      </c>
      <c r="H30">
        <v>25.464731</v>
      </c>
      <c r="I30">
        <v>22.470884999999999</v>
      </c>
      <c r="J30">
        <v>55.665498999999997</v>
      </c>
      <c r="K30">
        <v>49.132967999999998</v>
      </c>
      <c r="L30">
        <v>157.90174099999999</v>
      </c>
      <c r="M30">
        <v>-622.47796000000005</v>
      </c>
      <c r="N30">
        <v>1.254316</v>
      </c>
      <c r="O30">
        <v>6.5247130000000002</v>
      </c>
      <c r="P30">
        <f t="shared" si="3"/>
        <v>2.0905266666666668E-5</v>
      </c>
      <c r="Q30" cm="1">
        <f t="array" ref="Q30">[1]!PropsSI("D","T",J30+273.15,"P",101325,"Water")</f>
        <v>985.36948483991819</v>
      </c>
      <c r="R30" cm="1">
        <f t="array" ref="R30">[1]!PropsSI("D","T",K30+273.15,"P",101325,"Water")</f>
        <v>988.42472881879769</v>
      </c>
      <c r="S30">
        <f t="shared" si="4"/>
        <v>986.89710682935788</v>
      </c>
      <c r="T30" cm="1">
        <f t="array" ref="T30">[1]!PropsSI("H","T",J30+273.15,"P",101325,"Water")</f>
        <v>233112.90915250964</v>
      </c>
      <c r="U30" cm="1">
        <f t="array" ref="U30">[1]!PropsSI("H","T",K30+273.15,"P",101325,"Water")</f>
        <v>205793.23895690398</v>
      </c>
      <c r="V30">
        <f t="shared" si="5"/>
        <v>563.64160094449869</v>
      </c>
    </row>
    <row r="31" spans="1:22" x14ac:dyDescent="0.2">
      <c r="A31">
        <v>46122.678403356484</v>
      </c>
      <c r="B31">
        <v>20.792916999999999</v>
      </c>
      <c r="C31">
        <v>20.947320999999999</v>
      </c>
      <c r="D31">
        <v>20.616298</v>
      </c>
      <c r="E31">
        <v>20.766404000000001</v>
      </c>
      <c r="F31">
        <v>29.891726999999999</v>
      </c>
      <c r="G31">
        <v>26.441770000000002</v>
      </c>
      <c r="H31">
        <v>25.874009999999998</v>
      </c>
      <c r="I31">
        <v>23.056069999999998</v>
      </c>
      <c r="J31">
        <v>55.668044999999999</v>
      </c>
      <c r="K31">
        <v>49.133603000000001</v>
      </c>
      <c r="L31">
        <v>161.944804</v>
      </c>
      <c r="M31">
        <v>-622.51959099999999</v>
      </c>
      <c r="N31">
        <v>1.252866</v>
      </c>
      <c r="O31">
        <v>5.8034670000000004</v>
      </c>
      <c r="P31">
        <f t="shared" si="3"/>
        <v>2.0881100000000002E-5</v>
      </c>
      <c r="Q31" cm="1">
        <f t="array" ref="Q31">[1]!PropsSI("D","T",J31+273.15,"P",101325,"Water")</f>
        <v>985.36824158068225</v>
      </c>
      <c r="R31" cm="1">
        <f t="array" ref="R31">[1]!PropsSI("D","T",K31+273.15,"P",101325,"Water")</f>
        <v>988.4244452382045</v>
      </c>
      <c r="S31">
        <f t="shared" si="4"/>
        <v>986.89634340944338</v>
      </c>
      <c r="T31" cm="1">
        <f t="array" ref="T31">[1]!PropsSI("H","T",J31+273.15,"P",101325,"Water")</f>
        <v>233123.55958245142</v>
      </c>
      <c r="U31" cm="1">
        <f t="array" ref="U31">[1]!PropsSI("H","T",K31+273.15,"P",101325,"Water")</f>
        <v>205795.89395755963</v>
      </c>
      <c r="V31">
        <f t="shared" si="5"/>
        <v>563.15435659866705</v>
      </c>
    </row>
    <row r="32" spans="1:22" x14ac:dyDescent="0.2">
      <c r="A32">
        <v>46122.678461805554</v>
      </c>
      <c r="B32">
        <v>21.054258000000001</v>
      </c>
      <c r="C32">
        <v>20.894129</v>
      </c>
      <c r="D32">
        <v>20.717642999999999</v>
      </c>
      <c r="E32">
        <v>20.781507999999999</v>
      </c>
      <c r="F32">
        <v>30.031020000000002</v>
      </c>
      <c r="G32">
        <v>26.246835999999998</v>
      </c>
      <c r="H32">
        <v>25.551437</v>
      </c>
      <c r="I32">
        <v>22.873956</v>
      </c>
      <c r="J32">
        <v>55.658019000000003</v>
      </c>
      <c r="K32">
        <v>49.135668000000003</v>
      </c>
      <c r="L32">
        <v>172.557334</v>
      </c>
      <c r="M32">
        <v>-622.46245099999999</v>
      </c>
      <c r="N32">
        <v>1.2572749999999999</v>
      </c>
      <c r="O32">
        <v>6.1082770000000002</v>
      </c>
      <c r="P32">
        <f t="shared" si="3"/>
        <v>2.0954583333333334E-5</v>
      </c>
      <c r="Q32" cm="1">
        <f t="array" ref="Q32">[1]!PropsSI("D","T",J32+273.15,"P",101325,"Water")</f>
        <v>985.37313723207762</v>
      </c>
      <c r="R32" cm="1">
        <f t="array" ref="R32">[1]!PropsSI("D","T",K32+273.15,"P",101325,"Water")</f>
        <v>988.42352302460313</v>
      </c>
      <c r="S32">
        <f t="shared" si="4"/>
        <v>986.89833012834038</v>
      </c>
      <c r="T32" cm="1">
        <f t="array" ref="T32">[1]!PropsSI("H","T",J32+273.15,"P",101325,"Water")</f>
        <v>233081.61882231742</v>
      </c>
      <c r="U32" cm="1">
        <f t="array" ref="U32">[1]!PropsSI("H","T",K32+273.15,"P",101325,"Water")</f>
        <v>205804.52793662448</v>
      </c>
      <c r="V32">
        <f t="shared" si="5"/>
        <v>564.09142061967054</v>
      </c>
    </row>
    <row r="33" spans="1:22" x14ac:dyDescent="0.2">
      <c r="A33">
        <v>46122.678520254631</v>
      </c>
      <c r="B33">
        <v>20.882272</v>
      </c>
      <c r="C33">
        <v>20.930337000000002</v>
      </c>
      <c r="D33">
        <v>20.5898</v>
      </c>
      <c r="E33">
        <v>20.601241999999999</v>
      </c>
      <c r="F33">
        <v>29.887591</v>
      </c>
      <c r="G33">
        <v>26.654160999999998</v>
      </c>
      <c r="H33">
        <v>26.019618999999999</v>
      </c>
      <c r="I33">
        <v>23.151083</v>
      </c>
      <c r="J33">
        <v>55.661042999999999</v>
      </c>
      <c r="K33">
        <v>49.149963</v>
      </c>
      <c r="L33">
        <v>152.56364099999999</v>
      </c>
      <c r="M33">
        <v>-622.512652</v>
      </c>
      <c r="N33">
        <v>1.259746</v>
      </c>
      <c r="O33">
        <v>5.6958450000000003</v>
      </c>
      <c r="P33">
        <f t="shared" si="3"/>
        <v>2.0995766666666666E-5</v>
      </c>
      <c r="Q33" cm="1">
        <f t="array" ref="Q33">[1]!PropsSI("D","T",J33+273.15,"P",101325,"Water")</f>
        <v>985.37166069155967</v>
      </c>
      <c r="R33" cm="1">
        <f t="array" ref="R33">[1]!PropsSI("D","T",K33+273.15,"P",101325,"Water")</f>
        <v>988.41713820945949</v>
      </c>
      <c r="S33">
        <f t="shared" si="4"/>
        <v>986.89439945050958</v>
      </c>
      <c r="T33" cm="1">
        <f t="array" ref="T33">[1]!PropsSI("H","T",J33+273.15,"P",101325,"Water")</f>
        <v>233094.26881426712</v>
      </c>
      <c r="U33" cm="1">
        <f t="array" ref="U33">[1]!PropsSI("H","T",K33+273.15,"P",101325,"Water")</f>
        <v>205864.29684517716</v>
      </c>
      <c r="V33">
        <f t="shared" si="5"/>
        <v>564.22148068434581</v>
      </c>
    </row>
    <row r="34" spans="1:22" x14ac:dyDescent="0.2">
      <c r="A34">
        <v>46122.678578125</v>
      </c>
      <c r="B34">
        <v>20.851091</v>
      </c>
      <c r="C34">
        <v>20.875979999999998</v>
      </c>
      <c r="D34">
        <v>20.481839999999998</v>
      </c>
      <c r="E34">
        <v>20.520802</v>
      </c>
      <c r="F34">
        <v>29.881171999999999</v>
      </c>
      <c r="G34">
        <v>26.563656000000002</v>
      </c>
      <c r="H34">
        <v>25.945136999999999</v>
      </c>
      <c r="I34">
        <v>22.912413000000001</v>
      </c>
      <c r="J34">
        <v>55.658974000000001</v>
      </c>
      <c r="K34">
        <v>49.154091999999999</v>
      </c>
      <c r="L34">
        <v>152.41385299999999</v>
      </c>
      <c r="M34">
        <v>-622.52326400000004</v>
      </c>
      <c r="N34">
        <v>1.2620450000000001</v>
      </c>
      <c r="O34">
        <v>6.1529579999999999</v>
      </c>
      <c r="P34">
        <f t="shared" si="3"/>
        <v>2.1034083333333336E-5</v>
      </c>
      <c r="Q34" cm="1">
        <f t="array" ref="Q34">[1]!PropsSI("D","T",J34+273.15,"P",101325,"Water")</f>
        <v>985.37267093650235</v>
      </c>
      <c r="R34" cm="1">
        <f t="array" ref="R34">[1]!PropsSI("D","T",K34+273.15,"P",101325,"Water")</f>
        <v>988.41529375307755</v>
      </c>
      <c r="S34">
        <f t="shared" si="4"/>
        <v>986.89398234478995</v>
      </c>
      <c r="T34" cm="1">
        <f t="array" ref="T34">[1]!PropsSI("H","T",J34+273.15,"P",101325,"Water")</f>
        <v>233085.61377644312</v>
      </c>
      <c r="U34" cm="1">
        <f t="array" ref="U34">[1]!PropsSI("H","T",K34+273.15,"P",101325,"Water")</f>
        <v>205881.56064160194</v>
      </c>
      <c r="V34">
        <f t="shared" si="5"/>
        <v>564.71289586580565</v>
      </c>
    </row>
    <row r="35" spans="1:22" x14ac:dyDescent="0.2">
      <c r="A35">
        <v>46122.678636574077</v>
      </c>
      <c r="B35">
        <v>20.914567000000002</v>
      </c>
      <c r="C35">
        <v>20.852829</v>
      </c>
      <c r="D35">
        <v>20.472380999999999</v>
      </c>
      <c r="E35">
        <v>20.555768</v>
      </c>
      <c r="F35">
        <v>29.936921000000002</v>
      </c>
      <c r="G35">
        <v>26.412027999999999</v>
      </c>
      <c r="H35">
        <v>25.555339</v>
      </c>
      <c r="I35">
        <v>22.861604</v>
      </c>
      <c r="J35">
        <v>55.657541999999999</v>
      </c>
      <c r="K35">
        <v>49.147897999999998</v>
      </c>
      <c r="L35">
        <v>149.14258799999999</v>
      </c>
      <c r="M35">
        <v>-622.53510000000006</v>
      </c>
      <c r="N35">
        <v>1.256062</v>
      </c>
      <c r="O35">
        <v>6.1670509999999998</v>
      </c>
      <c r="P35">
        <f t="shared" si="3"/>
        <v>2.0934366666666667E-5</v>
      </c>
      <c r="Q35" cm="1">
        <f t="array" ref="Q35">[1]!PropsSI("D","T",J35+273.15,"P",101325,"Water")</f>
        <v>985.37337013361582</v>
      </c>
      <c r="R35" cm="1">
        <f t="array" ref="R35">[1]!PropsSI("D","T",K35+273.15,"P",101325,"Water")</f>
        <v>988.41806061864202</v>
      </c>
      <c r="S35">
        <f t="shared" si="4"/>
        <v>986.89571537612892</v>
      </c>
      <c r="T35" cm="1">
        <f t="array" ref="T35">[1]!PropsSI("H","T",J35+273.15,"P",101325,"Water")</f>
        <v>233079.62343701665</v>
      </c>
      <c r="U35" cm="1">
        <f t="array" ref="U35">[1]!PropsSI("H","T",K35+273.15,"P",101325,"Water")</f>
        <v>205855.66285815678</v>
      </c>
      <c r="V35">
        <f t="shared" si="5"/>
        <v>562.44802651475061</v>
      </c>
    </row>
    <row r="36" spans="1:22" x14ac:dyDescent="0.2">
      <c r="A36">
        <v>46122.678694444447</v>
      </c>
      <c r="B36">
        <v>21.006491</v>
      </c>
      <c r="C36">
        <v>21.092490999999999</v>
      </c>
      <c r="D36">
        <v>20.487888999999999</v>
      </c>
      <c r="E36">
        <v>20.564226999999999</v>
      </c>
      <c r="F36">
        <v>29.996666000000001</v>
      </c>
      <c r="G36">
        <v>26.718071999999999</v>
      </c>
      <c r="H36">
        <v>25.686564000000001</v>
      </c>
      <c r="I36">
        <v>22.838743999999998</v>
      </c>
      <c r="J36">
        <v>55.664385000000003</v>
      </c>
      <c r="K36">
        <v>49.149963</v>
      </c>
      <c r="L36">
        <v>160.84812400000001</v>
      </c>
      <c r="M36">
        <v>-622.49632699999995</v>
      </c>
      <c r="N36">
        <v>1.25671</v>
      </c>
      <c r="O36">
        <v>5.7029480000000001</v>
      </c>
      <c r="P36">
        <f t="shared" si="3"/>
        <v>2.0945166666666667E-5</v>
      </c>
      <c r="Q36" cm="1">
        <f t="array" ref="Q36">[1]!PropsSI("D","T",J36+273.15,"P",101325,"Water")</f>
        <v>985.37002881431965</v>
      </c>
      <c r="R36" cm="1">
        <f t="array" ref="R36">[1]!PropsSI("D","T",K36+273.15,"P",101325,"Water")</f>
        <v>988.41713820945949</v>
      </c>
      <c r="S36">
        <f t="shared" si="4"/>
        <v>986.89358351188957</v>
      </c>
      <c r="T36" cm="1">
        <f t="array" ref="T36">[1]!PropsSI("H","T",J36+273.15,"P",101325,"Water")</f>
        <v>233108.24906722218</v>
      </c>
      <c r="U36" cm="1">
        <f t="array" ref="U36">[1]!PropsSI("H","T",K36+273.15,"P",101325,"Water")</f>
        <v>205864.29684517716</v>
      </c>
      <c r="V36">
        <f t="shared" si="5"/>
        <v>563.15021704313529</v>
      </c>
    </row>
    <row r="37" spans="1:22" x14ac:dyDescent="0.2">
      <c r="A37">
        <v>46122.678752893517</v>
      </c>
      <c r="B37">
        <v>21.035046000000001</v>
      </c>
      <c r="C37">
        <v>21.051662</v>
      </c>
      <c r="D37">
        <v>20.423845</v>
      </c>
      <c r="E37">
        <v>20.505666000000002</v>
      </c>
      <c r="F37">
        <v>30.026222000000001</v>
      </c>
      <c r="G37">
        <v>26.480758000000002</v>
      </c>
      <c r="H37">
        <v>25.616015999999998</v>
      </c>
      <c r="I37">
        <v>23.013211999999999</v>
      </c>
      <c r="J37">
        <v>55.666454000000002</v>
      </c>
      <c r="K37">
        <v>49.149804000000003</v>
      </c>
      <c r="L37">
        <v>157.209531</v>
      </c>
      <c r="M37">
        <v>-622.51836600000001</v>
      </c>
      <c r="N37">
        <v>1.2537959999999999</v>
      </c>
      <c r="O37">
        <v>6.1274660000000001</v>
      </c>
      <c r="P37">
        <f t="shared" si="3"/>
        <v>2.0896599999999999E-5</v>
      </c>
      <c r="Q37" cm="1">
        <f t="array" ref="Q37">[1]!PropsSI("D","T",J37+273.15,"P",101325,"Water")</f>
        <v>985.36901850031416</v>
      </c>
      <c r="R37" cm="1">
        <f t="array" ref="R37">[1]!PropsSI("D","T",K37+273.15,"P",101325,"Water")</f>
        <v>988.41720923372895</v>
      </c>
      <c r="S37">
        <f t="shared" si="4"/>
        <v>986.89311386702161</v>
      </c>
      <c r="T37" cm="1">
        <f t="array" ref="T37">[1]!PropsSI("H","T",J37+273.15,"P",101325,"Water")</f>
        <v>233116.90410927869</v>
      </c>
      <c r="U37" cm="1">
        <f t="array" ref="U37">[1]!PropsSI("H","T",K37+273.15,"P",101325,"Water")</f>
        <v>205863.63204907932</v>
      </c>
      <c r="V37">
        <f t="shared" si="5"/>
        <v>562.03634377881474</v>
      </c>
    </row>
    <row r="38" spans="1:22" x14ac:dyDescent="0.2">
      <c r="A38">
        <v>44660.678810764097</v>
      </c>
      <c r="B38">
        <v>20.825565000000001</v>
      </c>
      <c r="C38">
        <v>21.232589999999998</v>
      </c>
      <c r="D38">
        <v>20.539373999999999</v>
      </c>
      <c r="E38">
        <v>20.712094</v>
      </c>
      <c r="F38">
        <v>29.941851</v>
      </c>
      <c r="G38">
        <v>26.576888</v>
      </c>
      <c r="H38">
        <v>25.671185000000001</v>
      </c>
      <c r="I38">
        <v>22.548200999999999</v>
      </c>
      <c r="J38">
        <v>55.663271000000002</v>
      </c>
      <c r="K38">
        <v>49.150916000000002</v>
      </c>
      <c r="L38">
        <v>158.74006700000001</v>
      </c>
      <c r="M38">
        <v>-622.487348</v>
      </c>
      <c r="N38">
        <v>1.257074</v>
      </c>
      <c r="O38">
        <v>6.3276269999999997</v>
      </c>
      <c r="P38">
        <f t="shared" si="3"/>
        <v>2.0951233333333334E-5</v>
      </c>
      <c r="Q38" cm="1">
        <f t="array" ref="Q38">[1]!PropsSI("D","T",J38+273.15,"P",101325,"Water")</f>
        <v>985.37057278103714</v>
      </c>
      <c r="R38" cm="1">
        <f t="array" ref="R38">[1]!PropsSI("D","T",K38+273.15,"P",101325,"Water")</f>
        <v>988.4167125069647</v>
      </c>
      <c r="S38">
        <f t="shared" si="4"/>
        <v>986.89364264400092</v>
      </c>
      <c r="T38" cm="1">
        <f t="array" ref="T38">[1]!PropsSI("H","T",J38+273.15,"P",101325,"Water")</f>
        <v>233103.58898249714</v>
      </c>
      <c r="U38" cm="1">
        <f t="array" ref="U38">[1]!PropsSI("H","T",K38+273.15,"P",101325,"Water")</f>
        <v>205868.28144106962</v>
      </c>
      <c r="V38">
        <f t="shared" si="5"/>
        <v>563.13462160376935</v>
      </c>
    </row>
    <row r="39" spans="1:22" x14ac:dyDescent="0.2">
      <c r="A39">
        <v>44660.678869213101</v>
      </c>
      <c r="B39">
        <v>20.804697000000001</v>
      </c>
      <c r="C39">
        <v>21.204944000000001</v>
      </c>
      <c r="D39">
        <v>20.527501000000001</v>
      </c>
      <c r="E39">
        <v>20.684270000000001</v>
      </c>
      <c r="F39">
        <v>29.832695999999999</v>
      </c>
      <c r="G39">
        <v>26.712522</v>
      </c>
      <c r="H39">
        <v>25.680539</v>
      </c>
      <c r="I39">
        <v>23.122692000000001</v>
      </c>
      <c r="J39">
        <v>55.661997999999997</v>
      </c>
      <c r="K39">
        <v>49.149804000000003</v>
      </c>
      <c r="L39">
        <v>171.229645</v>
      </c>
      <c r="M39">
        <v>-622.50938699999995</v>
      </c>
      <c r="N39">
        <v>1.25959</v>
      </c>
      <c r="O39">
        <v>5.472378</v>
      </c>
      <c r="P39">
        <f t="shared" si="3"/>
        <v>2.0993166666666667E-5</v>
      </c>
      <c r="Q39" cm="1">
        <f t="array" ref="Q39">[1]!PropsSI("D","T",J39+273.15,"P",101325,"Water")</f>
        <v>985.37119437816</v>
      </c>
      <c r="R39" cm="1">
        <f t="array" ref="R39">[1]!PropsSI("D","T",K39+273.15,"P",101325,"Water")</f>
        <v>988.41720923372895</v>
      </c>
      <c r="S39">
        <f t="shared" si="4"/>
        <v>986.89420180594448</v>
      </c>
      <c r="T39" cm="1">
        <f t="array" ref="T39">[1]!PropsSI("H","T",J39+273.15,"P",101325,"Water")</f>
        <v>233098.26376942618</v>
      </c>
      <c r="U39" cm="1">
        <f t="array" ref="U39">[1]!PropsSI("H","T",K39+273.15,"P",101325,"Water")</f>
        <v>205863.63204907932</v>
      </c>
      <c r="V39">
        <f t="shared" si="5"/>
        <v>564.24803851149909</v>
      </c>
    </row>
    <row r="40" spans="1:22" x14ac:dyDescent="0.2">
      <c r="A40">
        <v>44660.6789276622</v>
      </c>
      <c r="B40">
        <v>20.753758000000001</v>
      </c>
      <c r="C40">
        <v>21.094125999999999</v>
      </c>
      <c r="D40">
        <v>20.481403</v>
      </c>
      <c r="E40">
        <v>20.703641000000001</v>
      </c>
      <c r="F40">
        <v>29.782758999999999</v>
      </c>
      <c r="G40">
        <v>26.449694000000001</v>
      </c>
      <c r="H40">
        <v>25.948370000000001</v>
      </c>
      <c r="I40">
        <v>22.982557</v>
      </c>
      <c r="J40">
        <v>55.658496999999997</v>
      </c>
      <c r="K40">
        <v>49.148691999999997</v>
      </c>
      <c r="L40">
        <v>160.604871</v>
      </c>
      <c r="M40">
        <v>-622.51224400000001</v>
      </c>
      <c r="N40">
        <v>1.2550870000000001</v>
      </c>
      <c r="O40">
        <v>6.0608769999999996</v>
      </c>
      <c r="P40">
        <f t="shared" si="3"/>
        <v>2.0918116666666666E-5</v>
      </c>
      <c r="Q40" cm="1">
        <f t="array" ref="Q40">[1]!PropsSI("D","T",J40+273.15,"P",101325,"Water")</f>
        <v>985.37290384088078</v>
      </c>
      <c r="R40" cm="1">
        <f t="array" ref="R40">[1]!PropsSI("D","T",K40+273.15,"P",101325,"Water")</f>
        <v>988.41770595230707</v>
      </c>
      <c r="S40">
        <f t="shared" si="4"/>
        <v>986.89530489659387</v>
      </c>
      <c r="T40" cm="1">
        <f t="array" ref="T40">[1]!PropsSI("H","T",J40+273.15,"P",101325,"Water")</f>
        <v>233083.61839094895</v>
      </c>
      <c r="U40" cm="1">
        <f t="array" ref="U40">[1]!PropsSI("H","T",K40+273.15,"P",101325,"Water")</f>
        <v>205858.98265740945</v>
      </c>
      <c r="V40">
        <f t="shared" si="5"/>
        <v>562.02513848122294</v>
      </c>
    </row>
    <row r="41" spans="1:22" x14ac:dyDescent="0.2">
      <c r="A41">
        <v>44660.678986111299</v>
      </c>
      <c r="B41">
        <v>20.846101999999998</v>
      </c>
      <c r="C41">
        <v>20.905146999999999</v>
      </c>
      <c r="D41">
        <v>20.588512000000001</v>
      </c>
      <c r="E41">
        <v>20.678509999999999</v>
      </c>
      <c r="F41">
        <v>29.904515</v>
      </c>
      <c r="G41">
        <v>26.424465999999999</v>
      </c>
      <c r="H41">
        <v>26.067122000000001</v>
      </c>
      <c r="I41">
        <v>23.108176</v>
      </c>
      <c r="J41">
        <v>55.656745999999998</v>
      </c>
      <c r="K41">
        <v>49.143768000000001</v>
      </c>
      <c r="L41">
        <v>155.070863</v>
      </c>
      <c r="M41">
        <v>-622.49510199999997</v>
      </c>
      <c r="N41">
        <v>1.251846</v>
      </c>
      <c r="O41">
        <v>6.1596929999999999</v>
      </c>
      <c r="P41">
        <f t="shared" si="3"/>
        <v>2.0864099999999999E-5</v>
      </c>
      <c r="Q41" cm="1">
        <f t="array" ref="Q41">[1]!PropsSI("D","T",J41+273.15,"P",101325,"Water")</f>
        <v>985.37375878800094</v>
      </c>
      <c r="R41" cm="1">
        <f t="array" ref="R41">[1]!PropsSI("D","T",K41+273.15,"P",101325,"Water")</f>
        <v>988.41990535222362</v>
      </c>
      <c r="S41">
        <f t="shared" si="4"/>
        <v>986.89683207011228</v>
      </c>
      <c r="T41" cm="1">
        <f t="array" ref="T41">[1]!PropsSI("H","T",J41+273.15,"P",101325,"Water")</f>
        <v>233076.29361180498</v>
      </c>
      <c r="U41" cm="1">
        <f t="array" ref="U41">[1]!PropsSI("H","T",K41+273.15,"P",101325,"Water")</f>
        <v>205838.39488753327</v>
      </c>
      <c r="V41">
        <f t="shared" si="5"/>
        <v>560.84778787643336</v>
      </c>
    </row>
    <row r="42" spans="1:22" x14ac:dyDescent="0.2">
      <c r="A42">
        <v>46122.679044560187</v>
      </c>
      <c r="B42">
        <v>20.787417000000001</v>
      </c>
      <c r="C42">
        <v>20.951846</v>
      </c>
      <c r="D42">
        <v>20.447942000000001</v>
      </c>
      <c r="E42">
        <v>20.590606999999999</v>
      </c>
      <c r="F42">
        <v>29.838190000000001</v>
      </c>
      <c r="G42">
        <v>26.477293</v>
      </c>
      <c r="H42">
        <v>25.604064999999999</v>
      </c>
      <c r="I42">
        <v>22.843703000000001</v>
      </c>
      <c r="J42">
        <v>55.658974000000001</v>
      </c>
      <c r="K42">
        <v>49.140751000000002</v>
      </c>
      <c r="L42">
        <v>158.511099</v>
      </c>
      <c r="M42">
        <v>-622.46530800000005</v>
      </c>
      <c r="N42">
        <v>1.2529600000000001</v>
      </c>
      <c r="O42">
        <v>6.0708149999999996</v>
      </c>
      <c r="P42">
        <f t="shared" si="3"/>
        <v>2.0882666666666666E-5</v>
      </c>
      <c r="Q42" cm="1">
        <f t="array" ref="Q42">[1]!PropsSI("D","T",J42+273.15,"P",101325,"Water")</f>
        <v>985.37267093650235</v>
      </c>
      <c r="R42" cm="1">
        <f t="array" ref="R42">[1]!PropsSI("D","T",K42+273.15,"P",101325,"Water")</f>
        <v>988.42125287433055</v>
      </c>
      <c r="S42">
        <f t="shared" si="4"/>
        <v>986.89696190541645</v>
      </c>
      <c r="T42" cm="1">
        <f t="array" ref="T42">[1]!PropsSI("H","T",J42+273.15,"P",101325,"Water")</f>
        <v>233085.61377644312</v>
      </c>
      <c r="U42" cm="1">
        <f t="array" ref="U42">[1]!PropsSI("H","T",K42+273.15,"P",101325,"Water")</f>
        <v>205825.78049155575</v>
      </c>
      <c r="V42">
        <f t="shared" si="5"/>
        <v>561.79900246193404</v>
      </c>
    </row>
    <row r="43" spans="1:22" x14ac:dyDescent="0.2">
      <c r="A43">
        <v>46122.679102430557</v>
      </c>
      <c r="B43">
        <v>20.854088999999998</v>
      </c>
      <c r="C43">
        <v>20.998228000000001</v>
      </c>
      <c r="D43">
        <v>20.625668000000001</v>
      </c>
      <c r="E43">
        <v>20.752254000000001</v>
      </c>
      <c r="F43">
        <v>29.924094</v>
      </c>
      <c r="G43">
        <v>26.504678999999999</v>
      </c>
      <c r="H43">
        <v>25.674593999999999</v>
      </c>
      <c r="I43">
        <v>23.157399000000002</v>
      </c>
      <c r="J43">
        <v>55.661042999999999</v>
      </c>
      <c r="K43">
        <v>49.135192000000004</v>
      </c>
      <c r="L43">
        <v>154.472117</v>
      </c>
      <c r="M43">
        <v>-622.50938699999995</v>
      </c>
      <c r="N43">
        <v>1.25648</v>
      </c>
      <c r="O43">
        <v>6.0684129999999996</v>
      </c>
      <c r="P43">
        <f t="shared" si="3"/>
        <v>2.0941333333333336E-5</v>
      </c>
      <c r="Q43" cm="1">
        <f t="array" ref="Q43">[1]!PropsSI("D","T",J43+273.15,"P",101325,"Water")</f>
        <v>985.37166069155967</v>
      </c>
      <c r="R43" cm="1">
        <f t="array" ref="R43">[1]!PropsSI("D","T",K43+273.15,"P",101325,"Water")</f>
        <v>988.42373560515421</v>
      </c>
      <c r="S43">
        <f t="shared" si="4"/>
        <v>986.89769814835699</v>
      </c>
      <c r="T43" cm="1">
        <f t="array" ref="T43">[1]!PropsSI("H","T",J43+273.15,"P",101325,"Water")</f>
        <v>233094.26881426712</v>
      </c>
      <c r="U43" cm="1">
        <f t="array" ref="U43">[1]!PropsSI("H","T",K43+273.15,"P",101325,"Water")</f>
        <v>205802.5377311855</v>
      </c>
      <c r="V43">
        <f t="shared" si="5"/>
        <v>564.03694167230492</v>
      </c>
    </row>
    <row r="44" spans="1:22" x14ac:dyDescent="0.2">
      <c r="A44">
        <v>46122.679160300926</v>
      </c>
      <c r="B44">
        <v>20.990341999999998</v>
      </c>
      <c r="C44">
        <v>20.846520000000002</v>
      </c>
      <c r="D44">
        <v>20.505521999999999</v>
      </c>
      <c r="E44">
        <v>20.501291999999999</v>
      </c>
      <c r="F44">
        <v>29.935969</v>
      </c>
      <c r="G44">
        <v>26.288841999999999</v>
      </c>
      <c r="H44">
        <v>25.061247999999999</v>
      </c>
      <c r="I44">
        <v>22.748172</v>
      </c>
      <c r="J44">
        <v>55.664543999999999</v>
      </c>
      <c r="K44">
        <v>49.142021</v>
      </c>
      <c r="L44">
        <v>161.48972499999999</v>
      </c>
      <c r="M44">
        <v>-622.47755199999995</v>
      </c>
      <c r="N44">
        <v>1.2559560000000001</v>
      </c>
      <c r="O44">
        <v>5.8966029999999998</v>
      </c>
      <c r="P44">
        <f t="shared" si="3"/>
        <v>2.0932600000000004E-5</v>
      </c>
      <c r="Q44" cm="1">
        <f t="array" ref="Q44">[1]!PropsSI("D","T",J44+273.15,"P",101325,"Water")</f>
        <v>985.36995117390347</v>
      </c>
      <c r="R44" cm="1">
        <f t="array" ref="R44">[1]!PropsSI("D","T",K44+273.15,"P",101325,"Water")</f>
        <v>988.42068564501028</v>
      </c>
      <c r="S44">
        <f t="shared" si="4"/>
        <v>986.89531840945688</v>
      </c>
      <c r="T44" cm="1">
        <f t="array" ref="T44">[1]!PropsSI("H","T",J44+273.15,"P",101325,"Water")</f>
        <v>233108.91419610003</v>
      </c>
      <c r="U44" cm="1">
        <f t="array" ref="U44">[1]!PropsSI("H","T",K44+273.15,"P",101325,"Water")</f>
        <v>205831.09049552013</v>
      </c>
      <c r="V44">
        <f t="shared" si="5"/>
        <v>563.51305460797937</v>
      </c>
    </row>
    <row r="45" spans="1:22" x14ac:dyDescent="0.2">
      <c r="A45">
        <v>46122.679218750003</v>
      </c>
      <c r="B45">
        <v>20.805796999999998</v>
      </c>
      <c r="C45">
        <v>20.800433000000002</v>
      </c>
      <c r="D45">
        <v>20.431356000000001</v>
      </c>
      <c r="E45">
        <v>20.498629999999999</v>
      </c>
      <c r="F45">
        <v>29.871047999999998</v>
      </c>
      <c r="G45">
        <v>26.198682000000002</v>
      </c>
      <c r="H45">
        <v>25.786066999999999</v>
      </c>
      <c r="I45">
        <v>22.816255999999999</v>
      </c>
      <c r="J45">
        <v>55.666454000000002</v>
      </c>
      <c r="K45">
        <v>49.144244999999998</v>
      </c>
      <c r="L45">
        <v>165.93725699999999</v>
      </c>
      <c r="M45">
        <v>-622.48285799999996</v>
      </c>
      <c r="N45">
        <v>1.253226</v>
      </c>
      <c r="O45">
        <v>5.9240269999999997</v>
      </c>
      <c r="P45">
        <f t="shared" si="3"/>
        <v>2.0887100000000002E-5</v>
      </c>
      <c r="Q45" cm="1">
        <f t="array" ref="Q45">[1]!PropsSI("D","T",J45+273.15,"P",101325,"Water")</f>
        <v>985.36901850031416</v>
      </c>
      <c r="R45" cm="1">
        <f t="array" ref="R45">[1]!PropsSI("D","T",K45+273.15,"P",101325,"Water")</f>
        <v>988.41969229798258</v>
      </c>
      <c r="S45">
        <f t="shared" si="4"/>
        <v>986.89435539914837</v>
      </c>
      <c r="T45" cm="1">
        <f t="array" ref="T45">[1]!PropsSI("H","T",J45+273.15,"P",101325,"Water")</f>
        <v>233116.90410927869</v>
      </c>
      <c r="U45" cm="1">
        <f t="array" ref="U45">[1]!PropsSI("H","T",K45+273.15,"P",101325,"Water")</f>
        <v>205840.38927519025</v>
      </c>
      <c r="V45">
        <f t="shared" si="5"/>
        <v>562.26064956974244</v>
      </c>
    </row>
    <row r="46" spans="1:22" x14ac:dyDescent="0.2">
      <c r="A46">
        <v>46122.679276620373</v>
      </c>
      <c r="B46">
        <v>20.682191</v>
      </c>
      <c r="C46">
        <v>20.753757</v>
      </c>
      <c r="D46">
        <v>20.405104000000001</v>
      </c>
      <c r="E46">
        <v>20.535810999999999</v>
      </c>
      <c r="F46">
        <v>29.744160999999998</v>
      </c>
      <c r="G46">
        <v>26.184944999999999</v>
      </c>
      <c r="H46">
        <v>25.218995</v>
      </c>
      <c r="I46">
        <v>22.771775000000002</v>
      </c>
      <c r="J46">
        <v>55.667886000000003</v>
      </c>
      <c r="K46">
        <v>49.140115000000002</v>
      </c>
      <c r="L46">
        <v>147.90958900000001</v>
      </c>
      <c r="M46">
        <v>-622.47265400000003</v>
      </c>
      <c r="N46">
        <v>1.252116</v>
      </c>
      <c r="O46">
        <v>6.0821249999999996</v>
      </c>
      <c r="P46">
        <f t="shared" si="3"/>
        <v>2.0868599999999999E-5</v>
      </c>
      <c r="Q46" cm="1">
        <f t="array" ref="Q46">[1]!PropsSI("D","T",J46+273.15,"P",101325,"Water")</f>
        <v>985.36831922451927</v>
      </c>
      <c r="R46" cm="1">
        <f t="array" ref="R46">[1]!PropsSI("D","T",K46+273.15,"P",101325,"Water")</f>
        <v>988.42153693162606</v>
      </c>
      <c r="S46">
        <f t="shared" si="4"/>
        <v>986.89492807807267</v>
      </c>
      <c r="T46" cm="1">
        <f t="array" ref="T46">[1]!PropsSI("H","T",J46+273.15,"P",101325,"Water")</f>
        <v>233122.89445344213</v>
      </c>
      <c r="U46" cm="1">
        <f t="array" ref="U46">[1]!PropsSI("H","T",K46+273.15,"P",101325,"Water")</f>
        <v>205823.12130865816</v>
      </c>
      <c r="V46">
        <f t="shared" si="5"/>
        <v>562.24198093388384</v>
      </c>
    </row>
    <row r="47" spans="1:22" x14ac:dyDescent="0.2">
      <c r="A47">
        <v>46122.679334490742</v>
      </c>
      <c r="B47">
        <v>20.6584</v>
      </c>
      <c r="C47">
        <v>20.972214000000001</v>
      </c>
      <c r="D47">
        <v>20.383139</v>
      </c>
      <c r="E47">
        <v>20.424724000000001</v>
      </c>
      <c r="F47">
        <v>29.826999000000001</v>
      </c>
      <c r="G47">
        <v>26.389517000000001</v>
      </c>
      <c r="H47">
        <v>25.938427999999998</v>
      </c>
      <c r="I47">
        <v>22.941578</v>
      </c>
      <c r="J47">
        <v>55.666612999999998</v>
      </c>
      <c r="K47">
        <v>49.138050999999997</v>
      </c>
      <c r="L47">
        <v>150.192331</v>
      </c>
      <c r="M47">
        <v>-622.506122</v>
      </c>
      <c r="N47">
        <v>1.2594350000000001</v>
      </c>
      <c r="O47">
        <v>5.9120299999999997</v>
      </c>
      <c r="P47">
        <f t="shared" si="3"/>
        <v>2.0990583333333335E-5</v>
      </c>
      <c r="Q47" cm="1">
        <f t="array" ref="Q47">[1]!PropsSI("D","T",J47+273.15,"P",101325,"Water")</f>
        <v>985.3689408578814</v>
      </c>
      <c r="R47" cm="1">
        <f t="array" ref="R47">[1]!PropsSI("D","T",K47+273.15,"P",101325,"Water")</f>
        <v>988.42245875945309</v>
      </c>
      <c r="S47">
        <f t="shared" si="4"/>
        <v>986.89569980866725</v>
      </c>
      <c r="T47" cm="1">
        <f t="array" ref="T47">[1]!PropsSI("H","T",J47+273.15,"P",101325,"Water")</f>
        <v>233117.56923819805</v>
      </c>
      <c r="U47" cm="1">
        <f t="array" ref="U47">[1]!PropsSI("H","T",K47+273.15,"P",101325,"Water")</f>
        <v>205814.491508151</v>
      </c>
      <c r="V47">
        <f t="shared" si="5"/>
        <v>565.59735525563178</v>
      </c>
    </row>
    <row r="48" spans="1:22" x14ac:dyDescent="0.2">
      <c r="A48">
        <v>46122.679392939812</v>
      </c>
      <c r="B48">
        <v>20.714524000000001</v>
      </c>
      <c r="C48">
        <v>20.842676000000001</v>
      </c>
      <c r="D48">
        <v>20.447838999999998</v>
      </c>
      <c r="E48">
        <v>20.497717000000002</v>
      </c>
      <c r="F48">
        <v>29.766701999999999</v>
      </c>
      <c r="G48">
        <v>26.068207000000001</v>
      </c>
      <c r="H48">
        <v>25.490787999999998</v>
      </c>
      <c r="I48">
        <v>22.663405000000001</v>
      </c>
      <c r="J48">
        <v>55.668681999999997</v>
      </c>
      <c r="K48">
        <v>49.130744</v>
      </c>
      <c r="L48">
        <v>146.85943700000001</v>
      </c>
      <c r="M48">
        <v>-622.48449100000005</v>
      </c>
      <c r="N48">
        <v>1.249452</v>
      </c>
      <c r="O48">
        <v>6.0284979999999999</v>
      </c>
      <c r="P48">
        <f t="shared" si="3"/>
        <v>2.08242E-5</v>
      </c>
      <c r="Q48" cm="1">
        <f t="array" ref="Q48">[1]!PropsSI("D","T",J48+273.15,"P",101325,"Water")</f>
        <v>985.36793051546886</v>
      </c>
      <c r="R48" cm="1">
        <f t="array" ref="R48">[1]!PropsSI("D","T",K48+273.15,"P",101325,"Water")</f>
        <v>988.42572199964616</v>
      </c>
      <c r="S48">
        <f t="shared" si="4"/>
        <v>986.89682625755745</v>
      </c>
      <c r="T48" cm="1">
        <f t="array" ref="T48">[1]!PropsSI("H","T",J48+273.15,"P",101325,"Water")</f>
        <v>233126.2242819657</v>
      </c>
      <c r="U48" cm="1">
        <f t="array" ref="U48">[1]!PropsSI("H","T",K48+273.15,"P",101325,"Water")</f>
        <v>205783.94018396054</v>
      </c>
      <c r="V48">
        <f t="shared" si="5"/>
        <v>561.92049182249309</v>
      </c>
    </row>
    <row r="49" spans="1:22" x14ac:dyDescent="0.2">
      <c r="A49">
        <v>44660.679450810399</v>
      </c>
      <c r="B49">
        <v>20.703987999999999</v>
      </c>
      <c r="C49">
        <v>20.954293</v>
      </c>
      <c r="D49">
        <v>20.407686000000002</v>
      </c>
      <c r="E49">
        <v>20.406755</v>
      </c>
      <c r="F49">
        <v>29.780795000000001</v>
      </c>
      <c r="G49">
        <v>26.483357000000002</v>
      </c>
      <c r="H49">
        <v>25.656877999999999</v>
      </c>
      <c r="I49">
        <v>22.940809999999999</v>
      </c>
      <c r="J49">
        <v>55.670431999999998</v>
      </c>
      <c r="K49">
        <v>49.119785</v>
      </c>
      <c r="L49">
        <v>154.489667</v>
      </c>
      <c r="M49">
        <v>-622.48285799999996</v>
      </c>
      <c r="N49">
        <v>1.252591</v>
      </c>
      <c r="O49">
        <v>6.15733</v>
      </c>
      <c r="P49">
        <f t="shared" si="3"/>
        <v>2.0876516666666666E-5</v>
      </c>
      <c r="Q49" cm="1">
        <f t="array" ref="Q49">[1]!PropsSI("D","T",J49+273.15,"P",101325,"Water")</f>
        <v>985.36707592783955</v>
      </c>
      <c r="R49" cm="1">
        <f t="array" ref="R49">[1]!PropsSI("D","T",K49+273.15,"P",101325,"Water")</f>
        <v>988.43061552686515</v>
      </c>
      <c r="S49">
        <f t="shared" si="4"/>
        <v>986.89884572735241</v>
      </c>
      <c r="T49" cm="1">
        <f t="array" ref="T49">[1]!PropsSI("H","T",J49+273.15,"P",101325,"Water")</f>
        <v>233133.54488569088</v>
      </c>
      <c r="U49" cm="1">
        <f t="array" ref="U49">[1]!PropsSI("H","T",K49+273.15,"P",101325,"Water")</f>
        <v>205738.11949626595</v>
      </c>
      <c r="V49">
        <f t="shared" si="5"/>
        <v>564.42822876292348</v>
      </c>
    </row>
    <row r="50" spans="1:22" x14ac:dyDescent="0.2">
      <c r="A50" t="s">
        <v>21</v>
      </c>
      <c r="B50">
        <v>20.846432</v>
      </c>
      <c r="C50">
        <v>21.164885000000002</v>
      </c>
      <c r="D50">
        <v>20.356075000000001</v>
      </c>
      <c r="E50">
        <v>20.366468999999999</v>
      </c>
      <c r="F50">
        <v>29.841864000000001</v>
      </c>
      <c r="G50">
        <v>26.389378000000001</v>
      </c>
      <c r="H50">
        <v>25.275998999999999</v>
      </c>
      <c r="I50">
        <v>22.867512000000001</v>
      </c>
      <c r="J50">
        <v>55.668841</v>
      </c>
      <c r="K50">
        <v>49.121690999999998</v>
      </c>
      <c r="L50">
        <v>167.895118</v>
      </c>
      <c r="M50">
        <v>-622.51346899999999</v>
      </c>
      <c r="N50">
        <v>1.254448</v>
      </c>
      <c r="O50">
        <v>6.3479219999999996</v>
      </c>
      <c r="P50">
        <f t="shared" si="3"/>
        <v>2.0907466666666666E-5</v>
      </c>
      <c r="Q50" cm="1">
        <f t="array" ref="Q50">[1]!PropsSI("D","T",J50+273.15,"P",101325,"Water")</f>
        <v>985.36785287085445</v>
      </c>
      <c r="R50" cm="1">
        <f t="array" ref="R50">[1]!PropsSI("D","T",K50+273.15,"P",101325,"Water")</f>
        <v>988.42976449697505</v>
      </c>
      <c r="S50">
        <f t="shared" si="4"/>
        <v>986.89880868391469</v>
      </c>
      <c r="T50" cm="1">
        <f t="array" ref="T50">[1]!PropsSI("H","T",J50+273.15,"P",101325,"Water")</f>
        <v>233126.88941104119</v>
      </c>
      <c r="U50" cm="1">
        <f t="array" ref="U50">[1]!PropsSI("H","T",K50+273.15,"P",101325,"Water")</f>
        <v>205746.08867280875</v>
      </c>
      <c r="V50">
        <f t="shared" si="5"/>
        <v>564.96322911513346</v>
      </c>
    </row>
    <row r="51" spans="1:22" x14ac:dyDescent="0.2">
      <c r="A51">
        <v>46122.679567129628</v>
      </c>
      <c r="B51">
        <v>20.550715</v>
      </c>
      <c r="C51">
        <v>20.841324</v>
      </c>
      <c r="D51">
        <v>20.297487</v>
      </c>
      <c r="E51">
        <v>20.358789000000002</v>
      </c>
      <c r="F51">
        <v>29.666841000000002</v>
      </c>
      <c r="G51">
        <v>26.193701000000001</v>
      </c>
      <c r="H51">
        <v>25.243818000000001</v>
      </c>
      <c r="I51">
        <v>22.720027000000002</v>
      </c>
      <c r="J51">
        <v>55.666612999999998</v>
      </c>
      <c r="K51">
        <v>49.117243999999999</v>
      </c>
      <c r="L51">
        <v>160.12816000000001</v>
      </c>
      <c r="M51">
        <v>-622.50734699999998</v>
      </c>
      <c r="N51">
        <v>1.2490669999999999</v>
      </c>
      <c r="O51">
        <v>5.881265</v>
      </c>
      <c r="P51">
        <f t="shared" si="3"/>
        <v>2.0817783333333332E-5</v>
      </c>
      <c r="Q51" cm="1">
        <f t="array" ref="Q51">[1]!PropsSI("D","T",J51+273.15,"P",101325,"Water")</f>
        <v>985.3689408578814</v>
      </c>
      <c r="R51" cm="1">
        <f t="array" ref="R51">[1]!PropsSI("D","T",K51+273.15,"P",101325,"Water")</f>
        <v>988.4317500470454</v>
      </c>
      <c r="S51">
        <f t="shared" si="4"/>
        <v>986.9003454524634</v>
      </c>
      <c r="T51" cm="1">
        <f t="array" ref="T51">[1]!PropsSI("H","T",J51+273.15,"P",101325,"Water")</f>
        <v>233117.56923819805</v>
      </c>
      <c r="U51" cm="1">
        <f t="array" ref="U51">[1]!PropsSI("H","T",K51+273.15,"P",101325,"Water")</f>
        <v>205727.49532281054</v>
      </c>
      <c r="V51">
        <f t="shared" si="5"/>
        <v>562.73119305399803</v>
      </c>
    </row>
    <row r="52" spans="1:22" x14ac:dyDescent="0.2">
      <c r="A52">
        <v>46122.679625578705</v>
      </c>
      <c r="B52">
        <v>20.520958</v>
      </c>
      <c r="C52">
        <v>20.818785999999999</v>
      </c>
      <c r="D52">
        <v>20.303262</v>
      </c>
      <c r="E52">
        <v>20.412282999999999</v>
      </c>
      <c r="F52">
        <v>29.610761</v>
      </c>
      <c r="G52">
        <v>26.325053</v>
      </c>
      <c r="H52">
        <v>25.978010000000001</v>
      </c>
      <c r="I52">
        <v>22.770872000000001</v>
      </c>
      <c r="J52">
        <v>55.66534</v>
      </c>
      <c r="K52">
        <v>49.107238000000002</v>
      </c>
      <c r="L52">
        <v>155.981021</v>
      </c>
      <c r="M52">
        <v>-622.49306200000001</v>
      </c>
      <c r="N52">
        <v>1.2467440000000001</v>
      </c>
      <c r="O52">
        <v>5.6430179999999996</v>
      </c>
      <c r="P52">
        <f t="shared" si="3"/>
        <v>2.0779066666666669E-5</v>
      </c>
      <c r="Q52" cm="1">
        <f t="array" ref="Q52">[1]!PropsSI("D","T",J52+273.15,"P",101325,"Water")</f>
        <v>985.36956248124318</v>
      </c>
      <c r="R52" cm="1">
        <f t="array" ref="R52">[1]!PropsSI("D","T",K52+273.15,"P",101325,"Water")</f>
        <v>988.43621716713699</v>
      </c>
      <c r="S52">
        <f t="shared" si="4"/>
        <v>986.90288982419008</v>
      </c>
      <c r="T52" cm="1">
        <f t="array" ref="T52">[1]!PropsSI("H","T",J52+273.15,"P",101325,"Water")</f>
        <v>233112.24402360833</v>
      </c>
      <c r="U52" cm="1">
        <f t="array" ref="U52">[1]!PropsSI("H","T",K52+273.15,"P",101325,"Water")</f>
        <v>205685.65925945429</v>
      </c>
      <c r="V52">
        <f t="shared" si="5"/>
        <v>562.43480544515671</v>
      </c>
    </row>
    <row r="53" spans="1:22" x14ac:dyDescent="0.2">
      <c r="A53">
        <v>46122.679683449074</v>
      </c>
      <c r="B53">
        <v>20.553132999999999</v>
      </c>
      <c r="C53">
        <v>20.812624</v>
      </c>
      <c r="D53">
        <v>20.278067</v>
      </c>
      <c r="E53">
        <v>20.354040999999999</v>
      </c>
      <c r="F53">
        <v>29.660509999999999</v>
      </c>
      <c r="G53">
        <v>26.444412</v>
      </c>
      <c r="H53">
        <v>25.606828</v>
      </c>
      <c r="I53">
        <v>22.956382999999999</v>
      </c>
      <c r="J53">
        <v>55.664385000000003</v>
      </c>
      <c r="K53">
        <v>49.103425999999999</v>
      </c>
      <c r="L53">
        <v>159.913477</v>
      </c>
      <c r="M53">
        <v>-622.49224500000003</v>
      </c>
      <c r="N53">
        <v>1.250432</v>
      </c>
      <c r="O53">
        <v>5.9394669999999996</v>
      </c>
      <c r="P53">
        <f t="shared" si="3"/>
        <v>2.0840533333333335E-5</v>
      </c>
      <c r="Q53" cm="1">
        <f t="array" ref="Q53">[1]!PropsSI("D","T",J53+273.15,"P",101325,"Water")</f>
        <v>985.37002881431965</v>
      </c>
      <c r="R53" cm="1">
        <f t="array" ref="R53">[1]!PropsSI("D","T",K53+273.15,"P",101325,"Water")</f>
        <v>988.43791883762583</v>
      </c>
      <c r="S53">
        <f t="shared" si="4"/>
        <v>986.9039738259728</v>
      </c>
      <c r="T53" cm="1">
        <f t="array" ref="T53">[1]!PropsSI("H","T",J53+273.15,"P",101325,"Water")</f>
        <v>233108.24906722218</v>
      </c>
      <c r="U53" cm="1">
        <f t="array" ref="U53">[1]!PropsSI("H","T",K53+273.15,"P",101325,"Water")</f>
        <v>205669.72092217536</v>
      </c>
      <c r="V53">
        <f t="shared" si="5"/>
        <v>564.3448131499473</v>
      </c>
    </row>
    <row r="54" spans="1:22" x14ac:dyDescent="0.2">
      <c r="A54">
        <v>46122.679741319444</v>
      </c>
      <c r="B54">
        <v>20.57883</v>
      </c>
      <c r="C54">
        <v>20.761513999999998</v>
      </c>
      <c r="D54">
        <v>20.306564000000002</v>
      </c>
      <c r="E54">
        <v>20.377420000000001</v>
      </c>
      <c r="F54">
        <v>29.678304000000001</v>
      </c>
      <c r="G54">
        <v>26.312539000000001</v>
      </c>
      <c r="H54">
        <v>25.218405000000001</v>
      </c>
      <c r="I54">
        <v>22.791606999999999</v>
      </c>
      <c r="J54">
        <v>55.663429999999998</v>
      </c>
      <c r="K54">
        <v>49.103425999999999</v>
      </c>
      <c r="L54">
        <v>152.92239900000001</v>
      </c>
      <c r="M54">
        <v>-622.49673499999994</v>
      </c>
      <c r="N54">
        <v>1.252616</v>
      </c>
      <c r="O54">
        <v>5.6240839999999999</v>
      </c>
      <c r="P54">
        <f t="shared" si="3"/>
        <v>2.0876933333333333E-5</v>
      </c>
      <c r="Q54" cm="1">
        <f t="array" ref="Q54">[1]!PropsSI("D","T",J54+273.15,"P",101325,"Water")</f>
        <v>985.3704951417352</v>
      </c>
      <c r="R54" cm="1">
        <f t="array" ref="R54">[1]!PropsSI("D","T",K54+273.15,"P",101325,"Water")</f>
        <v>988.43791883762583</v>
      </c>
      <c r="S54">
        <f t="shared" si="4"/>
        <v>986.90420698968046</v>
      </c>
      <c r="T54" cm="1">
        <f t="array" ref="T54">[1]!PropsSI("H","T",J54+273.15,"P",101325,"Water")</f>
        <v>233104.25411123826</v>
      </c>
      <c r="U54" cm="1">
        <f t="array" ref="U54">[1]!PropsSI("H","T",K54+273.15,"P",101325,"Water")</f>
        <v>205669.72092217536</v>
      </c>
      <c r="V54">
        <f t="shared" si="5"/>
        <v>565.2483191104933</v>
      </c>
    </row>
    <row r="55" spans="1:22" x14ac:dyDescent="0.2">
      <c r="A55">
        <v>46122.679799768521</v>
      </c>
      <c r="B55">
        <v>20.570682999999999</v>
      </c>
      <c r="C55">
        <v>20.830023000000001</v>
      </c>
      <c r="D55">
        <v>20.347458</v>
      </c>
      <c r="E55">
        <v>20.445226999999999</v>
      </c>
      <c r="F55">
        <v>29.731569</v>
      </c>
      <c r="G55">
        <v>26.367187999999999</v>
      </c>
      <c r="H55">
        <v>25.734643999999999</v>
      </c>
      <c r="I55">
        <v>22.912405</v>
      </c>
      <c r="J55">
        <v>55.662953000000002</v>
      </c>
      <c r="K55">
        <v>49.101520000000001</v>
      </c>
      <c r="L55">
        <v>147.80877699999999</v>
      </c>
      <c r="M55">
        <v>-622.50285699999995</v>
      </c>
      <c r="N55">
        <v>1.251833</v>
      </c>
      <c r="O55">
        <v>6.2006759999999996</v>
      </c>
      <c r="P55">
        <f t="shared" si="3"/>
        <v>2.0863883333333332E-5</v>
      </c>
      <c r="Q55" cm="1">
        <f t="array" ref="Q55">[1]!PropsSI("D","T",J55+273.15,"P",101325,"Water")</f>
        <v>985.37072805918433</v>
      </c>
      <c r="R55" cm="1">
        <f t="array" ref="R55">[1]!PropsSI("D","T",K55+273.15,"P",101325,"Water")</f>
        <v>988.43876963676792</v>
      </c>
      <c r="S55">
        <f t="shared" si="4"/>
        <v>986.90474884797618</v>
      </c>
      <c r="T55" cm="1">
        <f t="array" ref="T55">[1]!PropsSI("H","T",J55+273.15,"P",101325,"Water")</f>
        <v>233102.25872496382</v>
      </c>
      <c r="U55" cm="1">
        <f t="array" ref="U55">[1]!PropsSI("H","T",K55+273.15,"P",101325,"Water")</f>
        <v>205661.75175498496</v>
      </c>
      <c r="V55">
        <f t="shared" si="5"/>
        <v>565.01830129642167</v>
      </c>
    </row>
    <row r="56" spans="1:22" x14ac:dyDescent="0.2">
      <c r="A56">
        <v>46122.67985763889</v>
      </c>
      <c r="B56">
        <v>20.582730000000002</v>
      </c>
      <c r="C56">
        <v>20.746117000000002</v>
      </c>
      <c r="D56">
        <v>20.396072</v>
      </c>
      <c r="E56">
        <v>20.477260999999999</v>
      </c>
      <c r="F56">
        <v>29.733720999999999</v>
      </c>
      <c r="G56">
        <v>26.278417999999999</v>
      </c>
      <c r="H56">
        <v>25.970196999999999</v>
      </c>
      <c r="I56">
        <v>22.933668999999998</v>
      </c>
      <c r="J56">
        <v>55.662157000000001</v>
      </c>
      <c r="K56">
        <v>49.101202999999998</v>
      </c>
      <c r="L56">
        <v>153.649709</v>
      </c>
      <c r="M56">
        <v>-622.45388000000003</v>
      </c>
      <c r="N56">
        <v>1.2526809999999999</v>
      </c>
      <c r="O56">
        <v>5.9722270000000002</v>
      </c>
      <c r="P56">
        <f t="shared" si="3"/>
        <v>2.0878016666666669E-5</v>
      </c>
      <c r="Q56" cm="1">
        <f t="array" ref="Q56">[1]!PropsSI("D","T",J56+273.15,"P",101325,"Water")</f>
        <v>985.37111674011362</v>
      </c>
      <c r="R56" cm="1">
        <f t="array" ref="R56">[1]!PropsSI("D","T",K56+273.15,"P",101325,"Water")</f>
        <v>988.43891113669008</v>
      </c>
      <c r="S56">
        <f t="shared" si="4"/>
        <v>986.90501393840191</v>
      </c>
      <c r="T56" cm="1">
        <f t="array" ref="T56">[1]!PropsSI("H","T",J56+273.15,"P",101325,"Water")</f>
        <v>233098.92889818404</v>
      </c>
      <c r="U56" cm="1">
        <f t="array" ref="U56">[1]!PropsSI("H","T",K56+273.15,"P",101325,"Water")</f>
        <v>205660.42634797472</v>
      </c>
      <c r="V56">
        <f t="shared" si="5"/>
        <v>565.35990001646121</v>
      </c>
    </row>
    <row r="57" spans="1:22" x14ac:dyDescent="0.2">
      <c r="A57">
        <v>46122.679915509259</v>
      </c>
      <c r="B57">
        <v>20.540676999999999</v>
      </c>
      <c r="C57">
        <v>20.660323000000002</v>
      </c>
      <c r="D57">
        <v>20.323741999999999</v>
      </c>
      <c r="E57">
        <v>20.385691999999999</v>
      </c>
      <c r="F57">
        <v>29.687190999999999</v>
      </c>
      <c r="G57">
        <v>26.256563</v>
      </c>
      <c r="H57">
        <v>25.743306</v>
      </c>
      <c r="I57">
        <v>22.882887</v>
      </c>
      <c r="J57">
        <v>55.663271000000002</v>
      </c>
      <c r="K57">
        <v>49.105331999999997</v>
      </c>
      <c r="L57">
        <v>152.52201099999999</v>
      </c>
      <c r="M57">
        <v>-622.50489800000003</v>
      </c>
      <c r="N57">
        <v>1.2555460000000001</v>
      </c>
      <c r="O57">
        <v>6.0302389999999999</v>
      </c>
      <c r="P57">
        <f t="shared" si="3"/>
        <v>2.0925766666666669E-5</v>
      </c>
      <c r="Q57" cm="1">
        <f t="array" ref="Q57">[1]!PropsSI("D","T",J57+273.15,"P",101325,"Water")</f>
        <v>985.37057278103714</v>
      </c>
      <c r="R57" cm="1">
        <f t="array" ref="R57">[1]!PropsSI("D","T",K57+273.15,"P",101325,"Water")</f>
        <v>988.43706801441613</v>
      </c>
      <c r="S57">
        <f t="shared" si="4"/>
        <v>986.90382039772658</v>
      </c>
      <c r="T57" cm="1">
        <f t="array" ref="T57">[1]!PropsSI("H","T",J57+273.15,"P",101325,"Water")</f>
        <v>233103.58898249714</v>
      </c>
      <c r="U57" cm="1">
        <f t="array" ref="U57">[1]!PropsSI("H","T",K57+273.15,"P",101325,"Water")</f>
        <v>205677.69009036117</v>
      </c>
      <c r="V57">
        <f t="shared" si="5"/>
        <v>566.39195911008846</v>
      </c>
    </row>
    <row r="58" spans="1:22" x14ac:dyDescent="0.2">
      <c r="A58">
        <v>46122.679973379629</v>
      </c>
      <c r="B58">
        <v>20.531727</v>
      </c>
      <c r="C58">
        <v>20.755661</v>
      </c>
      <c r="D58">
        <v>20.361519000000001</v>
      </c>
      <c r="E58">
        <v>20.503243000000001</v>
      </c>
      <c r="F58">
        <v>29.624033000000001</v>
      </c>
      <c r="G58">
        <v>26.378972999999998</v>
      </c>
      <c r="H58">
        <v>25.433294</v>
      </c>
      <c r="I58">
        <v>22.651057999999999</v>
      </c>
      <c r="J58">
        <v>55.661839000000001</v>
      </c>
      <c r="K58">
        <v>49.102314</v>
      </c>
      <c r="L58">
        <v>172.511214</v>
      </c>
      <c r="M58">
        <v>-622.49102100000005</v>
      </c>
      <c r="N58">
        <v>1.2535050000000001</v>
      </c>
      <c r="O58">
        <v>6.1681059999999999</v>
      </c>
      <c r="P58">
        <f t="shared" si="3"/>
        <v>2.0891750000000002E-5</v>
      </c>
      <c r="Q58" cm="1">
        <f t="array" ref="Q58">[1]!PropsSI("D","T",J58+273.15,"P",101325,"Water")</f>
        <v>985.37127201609633</v>
      </c>
      <c r="R58" cm="1">
        <f t="array" ref="R58">[1]!PropsSI("D","T",K58+273.15,"P",101325,"Water")</f>
        <v>988.43841521444256</v>
      </c>
      <c r="S58">
        <f t="shared" si="4"/>
        <v>986.90484361526944</v>
      </c>
      <c r="T58" cm="1">
        <f t="array" ref="T58">[1]!PropsSI("H","T",J58+273.15,"P",101325,"Water")</f>
        <v>233097.5986407676</v>
      </c>
      <c r="U58" cm="1">
        <f t="array" ref="U58">[1]!PropsSI("H","T",K58+273.15,"P",101325,"Water")</f>
        <v>205665.07154436846</v>
      </c>
      <c r="V58">
        <f t="shared" si="5"/>
        <v>565.60848708412937</v>
      </c>
    </row>
    <row r="59" spans="1:22" x14ac:dyDescent="0.2">
      <c r="A59">
        <v>46122.680031249998</v>
      </c>
      <c r="B59">
        <v>20.555306000000002</v>
      </c>
      <c r="C59">
        <v>20.886718999999999</v>
      </c>
      <c r="D59">
        <v>20.299949999999999</v>
      </c>
      <c r="E59">
        <v>20.422557999999999</v>
      </c>
      <c r="F59">
        <v>29.68412</v>
      </c>
      <c r="G59">
        <v>26.192698</v>
      </c>
      <c r="H59">
        <v>25.14931</v>
      </c>
      <c r="I59">
        <v>22.797194000000001</v>
      </c>
      <c r="J59">
        <v>55.661997999999997</v>
      </c>
      <c r="K59">
        <v>49.098661</v>
      </c>
      <c r="L59">
        <v>164.39937499999999</v>
      </c>
      <c r="M59">
        <v>-622.47632799999997</v>
      </c>
      <c r="N59">
        <v>1.2590209999999999</v>
      </c>
      <c r="O59">
        <v>6.0331109999999999</v>
      </c>
      <c r="P59">
        <f t="shared" si="3"/>
        <v>2.0983683333333334E-5</v>
      </c>
      <c r="Q59" cm="1">
        <f t="array" ref="Q59">[1]!PropsSI("D","T",J59+273.15,"P",101325,"Water")</f>
        <v>985.37119437816</v>
      </c>
      <c r="R59" cm="1">
        <f t="array" ref="R59">[1]!PropsSI("D","T",K59+273.15,"P",101325,"Water")</f>
        <v>988.4400457902982</v>
      </c>
      <c r="S59">
        <f t="shared" si="4"/>
        <v>986.9056200842291</v>
      </c>
      <c r="T59" cm="1">
        <f t="array" ref="T59">[1]!PropsSI("H","T",J59+273.15,"P",101325,"Water")</f>
        <v>233098.26376942618</v>
      </c>
      <c r="U59" cm="1">
        <f t="array" ref="U59">[1]!PropsSI("H","T",K59+273.15,"P",101325,"Water")</f>
        <v>205649.79800609298</v>
      </c>
      <c r="V59">
        <f t="shared" si="5"/>
        <v>568.42794469536955</v>
      </c>
    </row>
    <row r="60" spans="1:22" x14ac:dyDescent="0.2">
      <c r="A60">
        <v>46122.680089699075</v>
      </c>
      <c r="B60">
        <v>20.577356000000002</v>
      </c>
      <c r="C60">
        <v>20.729648999999998</v>
      </c>
      <c r="D60">
        <v>20.353145999999999</v>
      </c>
      <c r="E60">
        <v>20.492889000000002</v>
      </c>
      <c r="F60">
        <v>29.721907999999999</v>
      </c>
      <c r="G60">
        <v>26.150241000000001</v>
      </c>
      <c r="H60">
        <v>25.494907999999999</v>
      </c>
      <c r="I60">
        <v>22.564972999999998</v>
      </c>
      <c r="J60">
        <v>55.662475000000001</v>
      </c>
      <c r="K60">
        <v>49.098503000000001</v>
      </c>
      <c r="L60">
        <v>162.548856</v>
      </c>
      <c r="M60">
        <v>-622.50326500000006</v>
      </c>
      <c r="N60">
        <v>1.2568569999999999</v>
      </c>
      <c r="O60">
        <v>5.8264300000000002</v>
      </c>
      <c r="P60">
        <f t="shared" si="3"/>
        <v>2.0947616666666666E-5</v>
      </c>
      <c r="Q60" cm="1">
        <f t="array" ref="Q60">[1]!PropsSI("D","T",J60+273.15,"P",101325,"Water")</f>
        <v>985.37096146354429</v>
      </c>
      <c r="R60" cm="1">
        <f t="array" ref="R60">[1]!PropsSI("D","T",K60+273.15,"P",101325,"Water")</f>
        <v>988.44011631416618</v>
      </c>
      <c r="S60">
        <f t="shared" si="4"/>
        <v>986.90553888885529</v>
      </c>
      <c r="T60" cm="1">
        <f t="array" ref="T60">[1]!PropsSI("H","T",J60+273.15,"P",101325,"Water")</f>
        <v>233100.25915552725</v>
      </c>
      <c r="U60" cm="1">
        <f t="array" ref="U60">[1]!PropsSI("H","T",K60+273.15,"P",101325,"Water")</f>
        <v>205649.13739325051</v>
      </c>
      <c r="V60">
        <f t="shared" si="5"/>
        <v>567.50579476203143</v>
      </c>
    </row>
    <row r="61" spans="1:22" x14ac:dyDescent="0.2">
      <c r="A61">
        <v>46122.680148148145</v>
      </c>
      <c r="B61">
        <v>20.555990000000001</v>
      </c>
      <c r="C61">
        <v>20.974879999999999</v>
      </c>
      <c r="D61">
        <v>20.321285</v>
      </c>
      <c r="E61">
        <v>20.391300000000001</v>
      </c>
      <c r="F61">
        <v>29.704338</v>
      </c>
      <c r="G61">
        <v>26.304411000000002</v>
      </c>
      <c r="H61">
        <v>25.779133999999999</v>
      </c>
      <c r="I61">
        <v>22.92577</v>
      </c>
      <c r="J61">
        <v>55.661520000000003</v>
      </c>
      <c r="K61">
        <v>49.101360999999997</v>
      </c>
      <c r="L61">
        <v>158.15397400000001</v>
      </c>
      <c r="M61">
        <v>-622.47796000000005</v>
      </c>
      <c r="N61">
        <v>1.25562</v>
      </c>
      <c r="O61">
        <v>5.8750629999999999</v>
      </c>
      <c r="P61">
        <f t="shared" si="3"/>
        <v>2.0927000000000001E-5</v>
      </c>
      <c r="Q61" cm="1">
        <f t="array" ref="Q61">[1]!PropsSI("D","T",J61+273.15,"P",101325,"Water")</f>
        <v>985.3714277797061</v>
      </c>
      <c r="R61" cm="1">
        <f t="array" ref="R61">[1]!PropsSI("D","T",K61+273.15,"P",101325,"Water")</f>
        <v>988.43884060999198</v>
      </c>
      <c r="S61">
        <f t="shared" si="4"/>
        <v>986.9051341948491</v>
      </c>
      <c r="T61" cm="1">
        <f t="array" ref="T61">[1]!PropsSI("H","T",J61+273.15,"P",101325,"Water")</f>
        <v>233096.26420021433</v>
      </c>
      <c r="U61" cm="1">
        <f t="array" ref="U61">[1]!PropsSI("H","T",K61+273.15,"P",101325,"Water")</f>
        <v>205661.08696095395</v>
      </c>
      <c r="V61">
        <f t="shared" si="5"/>
        <v>566.61772081333345</v>
      </c>
    </row>
    <row r="62" spans="1:22" x14ac:dyDescent="0.2">
      <c r="A62">
        <v>46122.680206018522</v>
      </c>
      <c r="B62">
        <v>20.648311</v>
      </c>
      <c r="C62">
        <v>20.90211</v>
      </c>
      <c r="D62">
        <v>20.338785999999999</v>
      </c>
      <c r="E62">
        <v>20.409998999999999</v>
      </c>
      <c r="F62">
        <v>29.711706</v>
      </c>
      <c r="G62">
        <v>26.232531000000002</v>
      </c>
      <c r="H62">
        <v>25.915731000000001</v>
      </c>
      <c r="I62">
        <v>22.784434999999998</v>
      </c>
      <c r="J62">
        <v>55.661202000000003</v>
      </c>
      <c r="K62">
        <v>49.10295</v>
      </c>
      <c r="L62">
        <v>160.101631</v>
      </c>
      <c r="M62">
        <v>-622.48897999999997</v>
      </c>
      <c r="N62">
        <v>1.252054</v>
      </c>
      <c r="O62">
        <v>5.6315939999999998</v>
      </c>
      <c r="P62">
        <f t="shared" si="3"/>
        <v>2.0867566666666666E-5</v>
      </c>
      <c r="Q62" cm="1">
        <f t="array" ref="Q62">[1]!PropsSI("D","T",J62+273.15,"P",101325,"Water")</f>
        <v>985.37158305442949</v>
      </c>
      <c r="R62" cm="1">
        <f t="array" ref="R62">[1]!PropsSI("D","T",K62+273.15,"P",101325,"Water")</f>
        <v>988.43813131649529</v>
      </c>
      <c r="S62">
        <f t="shared" si="4"/>
        <v>986.90485718546233</v>
      </c>
      <c r="T62" cm="1">
        <f t="array" ref="T62">[1]!PropsSI("H","T",J62+273.15,"P",101325,"Water")</f>
        <v>233094.93394289314</v>
      </c>
      <c r="U62" cm="1">
        <f t="array" ref="U62">[1]!PropsSI("H","T",K62+273.15,"P",101325,"Water")</f>
        <v>205667.73072081769</v>
      </c>
      <c r="V62">
        <f t="shared" si="5"/>
        <v>564.84413088201325</v>
      </c>
    </row>
    <row r="63" spans="1:22" x14ac:dyDescent="0.2">
      <c r="A63">
        <v>46122.680263888891</v>
      </c>
      <c r="B63">
        <v>20.622029000000001</v>
      </c>
      <c r="C63">
        <v>20.854008</v>
      </c>
      <c r="D63">
        <v>20.327812000000002</v>
      </c>
      <c r="E63">
        <v>20.486882000000001</v>
      </c>
      <c r="F63">
        <v>29.710049999999999</v>
      </c>
      <c r="G63">
        <v>26.402678999999999</v>
      </c>
      <c r="H63">
        <v>25.712047999999999</v>
      </c>
      <c r="I63">
        <v>22.644583000000001</v>
      </c>
      <c r="J63">
        <v>55.662315999999997</v>
      </c>
      <c r="K63">
        <v>49.105013999999997</v>
      </c>
      <c r="L63">
        <v>149.85969499999999</v>
      </c>
      <c r="M63">
        <v>-622.49347</v>
      </c>
      <c r="N63">
        <v>1.256402</v>
      </c>
      <c r="O63">
        <v>5.9212559999999996</v>
      </c>
      <c r="P63">
        <f t="shared" si="3"/>
        <v>2.0940033333333333E-5</v>
      </c>
      <c r="Q63" cm="1">
        <f t="array" ref="Q63">[1]!PropsSI("D","T",J63+273.15,"P",101325,"Water")</f>
        <v>985.37103910189819</v>
      </c>
      <c r="R63" cm="1">
        <f t="array" ref="R63">[1]!PropsSI("D","T",K63+273.15,"P",101325,"Water")</f>
        <v>988.43720996874231</v>
      </c>
      <c r="S63">
        <f t="shared" si="4"/>
        <v>986.90412453532031</v>
      </c>
      <c r="T63" cm="1">
        <f t="array" ref="T63">[1]!PropsSI("H","T",J63+273.15,"P",101325,"Water")</f>
        <v>233099.59402683764</v>
      </c>
      <c r="U63" cm="1">
        <f t="array" ref="U63">[1]!PropsSI("H","T",K63+273.15,"P",101325,"Water")</f>
        <v>205676.36050192252</v>
      </c>
      <c r="V63">
        <f t="shared" si="5"/>
        <v>566.72320375082654</v>
      </c>
    </row>
    <row r="64" spans="1:22" x14ac:dyDescent="0.2">
      <c r="A64">
        <v>46122.680322337961</v>
      </c>
      <c r="B64">
        <v>20.548819999999999</v>
      </c>
      <c r="C64">
        <v>20.873559</v>
      </c>
      <c r="D64">
        <v>20.342722999999999</v>
      </c>
      <c r="E64">
        <v>20.514042</v>
      </c>
      <c r="F64">
        <v>29.623806999999999</v>
      </c>
      <c r="G64">
        <v>26.277077999999999</v>
      </c>
      <c r="H64">
        <v>25.700422</v>
      </c>
      <c r="I64">
        <v>22.881171999999999</v>
      </c>
      <c r="J64">
        <v>55.659132999999997</v>
      </c>
      <c r="K64">
        <v>49.104219999999998</v>
      </c>
      <c r="L64">
        <v>153.550939</v>
      </c>
      <c r="M64">
        <v>-622.49306200000001</v>
      </c>
      <c r="N64">
        <v>1.253698</v>
      </c>
      <c r="O64">
        <v>6.0950610000000003</v>
      </c>
      <c r="P64">
        <f t="shared" si="3"/>
        <v>2.0894966666666666E-5</v>
      </c>
      <c r="Q64" cm="1">
        <f t="array" ref="Q64">[1]!PropsSI("D","T",J64+273.15,"P",101325,"Water")</f>
        <v>985.37259330141569</v>
      </c>
      <c r="R64" cm="1">
        <f t="array" ref="R64">[1]!PropsSI("D","T",K64+273.15,"P",101325,"Water")</f>
        <v>988.43756440528227</v>
      </c>
      <c r="S64">
        <f t="shared" si="4"/>
        <v>986.90507885334898</v>
      </c>
      <c r="T64" cm="1">
        <f t="array" ref="T64">[1]!PropsSI("H","T",J64+273.15,"P",101325,"Water")</f>
        <v>233086.27890496279</v>
      </c>
      <c r="U64" cm="1">
        <f t="array" ref="U64">[1]!PropsSI("H","T",K64+273.15,"P",101325,"Water")</f>
        <v>205673.04071197557</v>
      </c>
      <c r="V64">
        <f t="shared" si="5"/>
        <v>565.29794448113955</v>
      </c>
    </row>
    <row r="65" spans="1:22" x14ac:dyDescent="0.2">
      <c r="A65">
        <v>46122.68038020833</v>
      </c>
      <c r="B65">
        <v>20.573260999999999</v>
      </c>
      <c r="C65">
        <v>20.747405000000001</v>
      </c>
      <c r="D65">
        <v>20.401537000000001</v>
      </c>
      <c r="E65">
        <v>20.532050999999999</v>
      </c>
      <c r="F65">
        <v>29.721568000000001</v>
      </c>
      <c r="G65">
        <v>26.553142999999999</v>
      </c>
      <c r="H65">
        <v>25.880319</v>
      </c>
      <c r="I65">
        <v>22.880319</v>
      </c>
      <c r="J65">
        <v>55.663429999999998</v>
      </c>
      <c r="K65">
        <v>49.108826000000001</v>
      </c>
      <c r="L65">
        <v>163.409629</v>
      </c>
      <c r="M65">
        <v>-622.47551099999998</v>
      </c>
      <c r="N65">
        <v>1.251096</v>
      </c>
      <c r="O65">
        <v>6.0944890000000003</v>
      </c>
      <c r="P65">
        <f t="shared" si="3"/>
        <v>2.0851599999999999E-5</v>
      </c>
      <c r="Q65" cm="1">
        <f t="array" ref="Q65">[1]!PropsSI("D","T",J65+273.15,"P",101325,"Water")</f>
        <v>985.3704951417352</v>
      </c>
      <c r="R65" cm="1">
        <f t="array" ref="R65">[1]!PropsSI("D","T",K65+273.15,"P",101325,"Water")</f>
        <v>988.43550825810416</v>
      </c>
      <c r="S65">
        <f t="shared" si="4"/>
        <v>986.90300169991974</v>
      </c>
      <c r="T65" cm="1">
        <f t="array" ref="T65">[1]!PropsSI("H","T",J65+273.15,"P",101325,"Water")</f>
        <v>233104.25411123826</v>
      </c>
      <c r="U65" cm="1">
        <f t="array" ref="U65">[1]!PropsSI("H","T",K65+273.15,"P",101325,"Water")</f>
        <v>205692.29884081471</v>
      </c>
      <c r="V65">
        <f t="shared" si="5"/>
        <v>564.09710328041911</v>
      </c>
    </row>
    <row r="66" spans="1:22" x14ac:dyDescent="0.2">
      <c r="A66">
        <v>46122.680438657408</v>
      </c>
      <c r="B66">
        <v>20.601358999999999</v>
      </c>
      <c r="C66">
        <v>20.681498999999999</v>
      </c>
      <c r="D66">
        <v>20.384371999999999</v>
      </c>
      <c r="E66">
        <v>20.424106999999999</v>
      </c>
      <c r="F66">
        <v>29.745677000000001</v>
      </c>
      <c r="G66">
        <v>26.252275999999998</v>
      </c>
      <c r="H66">
        <v>25.534438999999999</v>
      </c>
      <c r="I66">
        <v>22.966370999999999</v>
      </c>
      <c r="J66">
        <v>55.665180999999997</v>
      </c>
      <c r="K66">
        <v>49.108666999999997</v>
      </c>
      <c r="L66">
        <v>156.31610599999999</v>
      </c>
      <c r="M66">
        <v>-622.51795800000002</v>
      </c>
      <c r="N66">
        <v>1.2539389999999999</v>
      </c>
      <c r="O66">
        <v>6.0419169999999998</v>
      </c>
      <c r="P66">
        <f t="shared" si="3"/>
        <v>2.0898983333333331E-5</v>
      </c>
      <c r="Q66" cm="1">
        <f t="array" ref="Q66">[1]!PropsSI("D","T",J66+273.15,"P",101325,"Water")</f>
        <v>985.36964012243152</v>
      </c>
      <c r="R66" cm="1">
        <f t="array" ref="R66">[1]!PropsSI("D","T",K66+273.15,"P",101325,"Water")</f>
        <v>988.43557923905837</v>
      </c>
      <c r="S66">
        <f t="shared" si="4"/>
        <v>986.90260968074494</v>
      </c>
      <c r="T66" cm="1">
        <f t="array" ref="T66">[1]!PropsSI("H","T",J66+273.15,"P",101325,"Water")</f>
        <v>233111.57889476334</v>
      </c>
      <c r="U66" cm="1">
        <f t="array" ref="U66">[1]!PropsSI("H","T",K66+273.15,"P",101325,"Water")</f>
        <v>205691.63404640657</v>
      </c>
      <c r="V66">
        <f t="shared" si="5"/>
        <v>565.543524349525</v>
      </c>
    </row>
    <row r="67" spans="1:22" x14ac:dyDescent="0.2">
      <c r="A67">
        <v>46122.680496527777</v>
      </c>
      <c r="B67">
        <v>20.691461</v>
      </c>
      <c r="C67">
        <v>20.790334000000001</v>
      </c>
      <c r="D67">
        <v>20.343045</v>
      </c>
      <c r="E67">
        <v>20.430982</v>
      </c>
      <c r="F67">
        <v>29.776356</v>
      </c>
      <c r="G67">
        <v>26.361471999999999</v>
      </c>
      <c r="H67">
        <v>25.483561999999999</v>
      </c>
      <c r="I67">
        <v>22.697274</v>
      </c>
      <c r="J67">
        <v>55.666454000000002</v>
      </c>
      <c r="K67">
        <v>49.107872999999998</v>
      </c>
      <c r="L67">
        <v>157.97479899999999</v>
      </c>
      <c r="M67">
        <v>-622.50081599999999</v>
      </c>
      <c r="N67">
        <v>1.251001</v>
      </c>
      <c r="O67">
        <v>6.0461109999999998</v>
      </c>
      <c r="P67">
        <f t="shared" si="3"/>
        <v>2.0850016666666669E-5</v>
      </c>
      <c r="Q67" cm="1">
        <f t="array" ref="Q67">[1]!PropsSI("D","T",J67+273.15,"P",101325,"Water")</f>
        <v>985.36901850031416</v>
      </c>
      <c r="R67" cm="1">
        <f t="array" ref="R67">[1]!PropsSI("D","T",K67+273.15,"P",101325,"Water")</f>
        <v>988.43593369480868</v>
      </c>
      <c r="S67">
        <f t="shared" si="4"/>
        <v>986.90247609756148</v>
      </c>
      <c r="T67" cm="1">
        <f t="array" ref="T67">[1]!PropsSI("H","T",J67+273.15,"P",101325,"Water")</f>
        <v>233116.90410927869</v>
      </c>
      <c r="U67" cm="1">
        <f t="array" ref="U67">[1]!PropsSI("H","T",K67+273.15,"P",101325,"Water")</f>
        <v>205688.31425570053</v>
      </c>
      <c r="V67">
        <f t="shared" si="5"/>
        <v>564.39625775894217</v>
      </c>
    </row>
    <row r="68" spans="1:22" x14ac:dyDescent="0.2">
      <c r="A68">
        <v>46122.680554398146</v>
      </c>
      <c r="B68">
        <v>20.581675000000001</v>
      </c>
      <c r="C68">
        <v>20.771993999999999</v>
      </c>
      <c r="D68">
        <v>20.340485000000001</v>
      </c>
      <c r="E68">
        <v>20.415357</v>
      </c>
      <c r="F68">
        <v>29.731331999999998</v>
      </c>
      <c r="G68">
        <v>26.239688000000001</v>
      </c>
      <c r="H68">
        <v>25.544727000000002</v>
      </c>
      <c r="I68">
        <v>22.624043</v>
      </c>
      <c r="J68">
        <v>55.664543999999999</v>
      </c>
      <c r="K68">
        <v>49.108826000000001</v>
      </c>
      <c r="L68">
        <v>163.08188999999999</v>
      </c>
      <c r="M68">
        <v>-622.44490099999996</v>
      </c>
      <c r="N68">
        <v>1.2545299999999999</v>
      </c>
      <c r="O68">
        <v>6.1074390000000003</v>
      </c>
      <c r="P68">
        <f t="shared" si="3"/>
        <v>2.0908833333333332E-5</v>
      </c>
      <c r="Q68" cm="1">
        <f t="array" ref="Q68">[1]!PropsSI("D","T",J68+273.15,"P",101325,"Water")</f>
        <v>985.36995117390347</v>
      </c>
      <c r="R68" cm="1">
        <f t="array" ref="R68">[1]!PropsSI("D","T",K68+273.15,"P",101325,"Water")</f>
        <v>988.43550825810416</v>
      </c>
      <c r="S68">
        <f t="shared" si="4"/>
        <v>986.90272971600382</v>
      </c>
      <c r="T68" cm="1">
        <f t="array" ref="T68">[1]!PropsSI("H","T",J68+273.15,"P",101325,"Water")</f>
        <v>233108.91419610003</v>
      </c>
      <c r="U68" cm="1">
        <f t="array" ref="U68">[1]!PropsSI("H","T",K68+273.15,"P",101325,"Water")</f>
        <v>205692.29884081471</v>
      </c>
      <c r="V68">
        <f t="shared" si="5"/>
        <v>565.74143815847776</v>
      </c>
    </row>
    <row r="69" spans="1:22" x14ac:dyDescent="0.2">
      <c r="A69">
        <v>46122.680612847224</v>
      </c>
      <c r="B69">
        <v>20.547778000000001</v>
      </c>
      <c r="C69">
        <v>20.797567999999998</v>
      </c>
      <c r="D69">
        <v>20.319410000000001</v>
      </c>
      <c r="E69">
        <v>20.386229</v>
      </c>
      <c r="F69">
        <v>29.683402000000001</v>
      </c>
      <c r="G69">
        <v>26.270578</v>
      </c>
      <c r="H69">
        <v>25.886306000000001</v>
      </c>
      <c r="I69">
        <v>23.082374999999999</v>
      </c>
      <c r="J69">
        <v>55.665498999999997</v>
      </c>
      <c r="K69">
        <v>49.105173000000001</v>
      </c>
      <c r="L69">
        <v>154.87576999999999</v>
      </c>
      <c r="M69">
        <v>-622.49673499999994</v>
      </c>
      <c r="N69">
        <v>1.2548330000000001</v>
      </c>
      <c r="O69">
        <v>6.1579519999999999</v>
      </c>
      <c r="P69">
        <f t="shared" si="3"/>
        <v>2.0913883333333336E-5</v>
      </c>
      <c r="Q69" cm="1">
        <f t="array" ref="Q69">[1]!PropsSI("D","T",J69+273.15,"P",101325,"Water")</f>
        <v>985.36948483991819</v>
      </c>
      <c r="R69" cm="1">
        <f t="array" ref="R69">[1]!PropsSI("D","T",K69+273.15,"P",101325,"Water")</f>
        <v>988.43713899168711</v>
      </c>
      <c r="S69">
        <f t="shared" si="4"/>
        <v>986.90331191580265</v>
      </c>
      <c r="T69" cm="1">
        <f t="array" ref="T69">[1]!PropsSI("H","T",J69+273.15,"P",101325,"Water")</f>
        <v>233112.90915250964</v>
      </c>
      <c r="U69" cm="1">
        <f t="array" ref="U69">[1]!PropsSI("H","T",K69+273.15,"P",101325,"Water")</f>
        <v>205677.02529614361</v>
      </c>
      <c r="V69">
        <f t="shared" si="5"/>
        <v>566.27611401502838</v>
      </c>
    </row>
    <row r="70" spans="1:22" x14ac:dyDescent="0.2">
      <c r="A70">
        <v>46122.680671296293</v>
      </c>
      <c r="B70">
        <v>20.606261</v>
      </c>
      <c r="C70">
        <v>20.729761</v>
      </c>
      <c r="D70">
        <v>20.298715000000001</v>
      </c>
      <c r="E70">
        <v>20.320723000000001</v>
      </c>
      <c r="F70">
        <v>29.690186000000001</v>
      </c>
      <c r="G70">
        <v>26.221644000000001</v>
      </c>
      <c r="H70">
        <v>25.759609000000001</v>
      </c>
      <c r="I70">
        <v>22.784519</v>
      </c>
      <c r="J70">
        <v>55.666612999999998</v>
      </c>
      <c r="K70">
        <v>49.104537999999998</v>
      </c>
      <c r="L70">
        <v>151.06126699999999</v>
      </c>
      <c r="M70">
        <v>-622.47347100000002</v>
      </c>
      <c r="N70">
        <v>1.2534970000000001</v>
      </c>
      <c r="O70">
        <v>5.9226919999999996</v>
      </c>
      <c r="P70">
        <f t="shared" si="3"/>
        <v>2.0891616666666668E-5</v>
      </c>
      <c r="Q70" cm="1">
        <f t="array" ref="Q70">[1]!PropsSI("D","T",J70+273.15,"P",101325,"Water")</f>
        <v>985.3689408578814</v>
      </c>
      <c r="R70" cm="1">
        <f t="array" ref="R70">[1]!PropsSI("D","T",K70+273.15,"P",101325,"Water")</f>
        <v>988.43742245260171</v>
      </c>
      <c r="S70">
        <f t="shared" si="4"/>
        <v>986.9031816552415</v>
      </c>
      <c r="T70" cm="1">
        <f t="array" ref="T70">[1]!PropsSI("H","T",J70+273.15,"P",101325,"Water")</f>
        <v>233117.56923819805</v>
      </c>
      <c r="U70" cm="1">
        <f t="array" ref="U70">[1]!PropsSI("H","T",K70+273.15,"P",101325,"Water")</f>
        <v>205674.37030034891</v>
      </c>
      <c r="V70">
        <f t="shared" si="5"/>
        <v>565.82395688455426</v>
      </c>
    </row>
    <row r="71" spans="1:22" x14ac:dyDescent="0.2">
      <c r="A71">
        <v>46122.68072916667</v>
      </c>
      <c r="B71">
        <v>20.543362999999999</v>
      </c>
      <c r="C71">
        <v>20.697337000000001</v>
      </c>
      <c r="D71">
        <v>20.307836999999999</v>
      </c>
      <c r="E71">
        <v>20.366965</v>
      </c>
      <c r="F71">
        <v>29.709807999999999</v>
      </c>
      <c r="G71">
        <v>26.471883999999999</v>
      </c>
      <c r="H71">
        <v>25.850836999999999</v>
      </c>
      <c r="I71">
        <v>22.966190000000001</v>
      </c>
      <c r="J71">
        <v>55.664543999999999</v>
      </c>
      <c r="K71">
        <v>49.102632</v>
      </c>
      <c r="L71">
        <v>162.25866600000001</v>
      </c>
      <c r="M71">
        <v>-622.44735000000003</v>
      </c>
      <c r="N71">
        <v>1.251768</v>
      </c>
      <c r="O71">
        <v>6.0987590000000003</v>
      </c>
      <c r="P71">
        <f t="shared" si="3"/>
        <v>2.0862800000000003E-5</v>
      </c>
      <c r="Q71" cm="1">
        <f t="array" ref="Q71">[1]!PropsSI("D","T",J71+273.15,"P",101325,"Water")</f>
        <v>985.36995117390347</v>
      </c>
      <c r="R71" cm="1">
        <f t="array" ref="R71">[1]!PropsSI("D","T",K71+273.15,"P",101325,"Water")</f>
        <v>988.43827326579787</v>
      </c>
      <c r="S71">
        <f t="shared" si="4"/>
        <v>986.90411221985073</v>
      </c>
      <c r="T71" cm="1">
        <f t="array" ref="T71">[1]!PropsSI("H","T",J71+273.15,"P",101325,"Water")</f>
        <v>233108.91419610003</v>
      </c>
      <c r="U71" cm="1">
        <f t="array" ref="U71">[1]!PropsSI("H","T",K71+273.15,"P",101325,"Water")</f>
        <v>205666.40113259514</v>
      </c>
      <c r="V71">
        <f t="shared" si="5"/>
        <v>565.02990353471375</v>
      </c>
    </row>
    <row r="72" spans="1:22" x14ac:dyDescent="0.2">
      <c r="A72">
        <v>46122.68078761574</v>
      </c>
      <c r="B72">
        <v>20.454304</v>
      </c>
      <c r="C72">
        <v>20.603698000000001</v>
      </c>
      <c r="D72">
        <v>20.275473999999999</v>
      </c>
      <c r="E72">
        <v>20.335854000000001</v>
      </c>
      <c r="F72">
        <v>29.514271999999998</v>
      </c>
      <c r="G72">
        <v>26.164717</v>
      </c>
      <c r="H72">
        <v>25.600833000000002</v>
      </c>
      <c r="I72">
        <v>22.807784000000002</v>
      </c>
      <c r="J72">
        <v>55.661202000000003</v>
      </c>
      <c r="K72">
        <v>49.100408000000002</v>
      </c>
      <c r="L72">
        <v>155.58308199999999</v>
      </c>
      <c r="M72">
        <v>-622.49673499999994</v>
      </c>
      <c r="N72">
        <v>1.2547630000000001</v>
      </c>
      <c r="O72">
        <v>6.1538979999999999</v>
      </c>
      <c r="P72">
        <f t="shared" si="3"/>
        <v>2.0912716666666667E-5</v>
      </c>
      <c r="Q72" cm="1">
        <f t="array" ref="Q72">[1]!PropsSI("D","T",J72+273.15,"P",101325,"Water")</f>
        <v>985.37158305442949</v>
      </c>
      <c r="R72" cm="1">
        <f t="array" ref="R72">[1]!PropsSI("D","T",K72+273.15,"P",101325,"Water")</f>
        <v>988.43926599954113</v>
      </c>
      <c r="S72">
        <f t="shared" si="4"/>
        <v>986.90542452698537</v>
      </c>
      <c r="T72" cm="1">
        <f t="array" ref="T72">[1]!PropsSI("H","T",J72+273.15,"P",101325,"Water")</f>
        <v>233094.93394289314</v>
      </c>
      <c r="U72" cm="1">
        <f t="array" ref="U72">[1]!PropsSI("H","T",K72+273.15,"P",101325,"Water")</f>
        <v>205657.10237775324</v>
      </c>
      <c r="V72">
        <f t="shared" si="5"/>
        <v>566.28593533404432</v>
      </c>
    </row>
    <row r="73" spans="1:22" x14ac:dyDescent="0.2">
      <c r="A73">
        <v>46122.680845486109</v>
      </c>
      <c r="B73">
        <v>20.421427999999999</v>
      </c>
      <c r="C73">
        <v>20.556477000000001</v>
      </c>
      <c r="D73">
        <v>20.265393</v>
      </c>
      <c r="E73">
        <v>20.369752999999999</v>
      </c>
      <c r="F73">
        <v>29.605236000000001</v>
      </c>
      <c r="G73">
        <v>26.343067000000001</v>
      </c>
      <c r="H73">
        <v>25.817886999999999</v>
      </c>
      <c r="I73">
        <v>23.091232999999999</v>
      </c>
      <c r="J73">
        <v>55.657541999999999</v>
      </c>
      <c r="K73">
        <v>49.096119999999999</v>
      </c>
      <c r="L73">
        <v>164.395702</v>
      </c>
      <c r="M73">
        <v>-622.49550999999997</v>
      </c>
      <c r="N73">
        <v>1.2580210000000001</v>
      </c>
      <c r="O73">
        <v>5.9954450000000001</v>
      </c>
      <c r="P73">
        <f t="shared" si="3"/>
        <v>2.0967016666666668E-5</v>
      </c>
      <c r="Q73" cm="1">
        <f t="array" ref="Q73">[1]!PropsSI("D","T",J73+273.15,"P",101325,"Water")</f>
        <v>985.37337013361582</v>
      </c>
      <c r="R73" cm="1">
        <f t="array" ref="R73">[1]!PropsSI("D","T",K73+273.15,"P",101325,"Water")</f>
        <v>988.44117995475324</v>
      </c>
      <c r="S73">
        <f t="shared" si="4"/>
        <v>986.90727504418453</v>
      </c>
      <c r="T73" cm="1">
        <f t="array" ref="T73">[1]!PropsSI("H","T",J73+273.15,"P",101325,"Water")</f>
        <v>233079.62343701665</v>
      </c>
      <c r="U73" cm="1">
        <f t="array" ref="U73">[1]!PropsSI("H","T",K73+273.15,"P",101325,"Water")</f>
        <v>205639.17384698763</v>
      </c>
      <c r="V73">
        <f t="shared" si="5"/>
        <v>567.81153838360956</v>
      </c>
    </row>
    <row r="74" spans="1:22" x14ac:dyDescent="0.2">
      <c r="A74">
        <v>46122.680903935187</v>
      </c>
      <c r="B74">
        <v>20.398026999999999</v>
      </c>
      <c r="C74">
        <v>20.571576</v>
      </c>
      <c r="D74">
        <v>20.283044</v>
      </c>
      <c r="E74">
        <v>20.421216999999999</v>
      </c>
      <c r="F74">
        <v>29.535920000000001</v>
      </c>
      <c r="G74">
        <v>26.399279</v>
      </c>
      <c r="H74">
        <v>25.680921999999999</v>
      </c>
      <c r="I74">
        <v>22.762051</v>
      </c>
      <c r="J74">
        <v>55.655791000000001</v>
      </c>
      <c r="K74">
        <v>49.089131999999999</v>
      </c>
      <c r="L74">
        <v>161.81787199999999</v>
      </c>
      <c r="M74">
        <v>-622.46449199999995</v>
      </c>
      <c r="N74">
        <v>1.2548699999999999</v>
      </c>
      <c r="O74">
        <v>6.1261320000000001</v>
      </c>
      <c r="P74">
        <f t="shared" si="3"/>
        <v>2.0914499999999998E-5</v>
      </c>
      <c r="Q74" cm="1">
        <f t="array" ref="Q74">[1]!PropsSI("D","T",J74+273.15,"P",101325,"Water")</f>
        <v>985.37422507043721</v>
      </c>
      <c r="R74" cm="1">
        <f t="array" ref="R74">[1]!PropsSI("D","T",K74+273.15,"P",101325,"Water")</f>
        <v>988.44429879785173</v>
      </c>
      <c r="S74">
        <f t="shared" si="4"/>
        <v>986.90926193414452</v>
      </c>
      <c r="T74" cm="1">
        <f t="array" ref="T74">[1]!PropsSI("H","T",J74+273.15,"P",101325,"Water")</f>
        <v>233072.29865847225</v>
      </c>
      <c r="U74" cm="1">
        <f t="array" ref="U74">[1]!PropsSI("H","T",K74+273.15,"P",101325,"Water")</f>
        <v>205609.95637320113</v>
      </c>
      <c r="V74">
        <f t="shared" si="5"/>
        <v>566.84234625431941</v>
      </c>
    </row>
    <row r="75" spans="1:22" x14ac:dyDescent="0.2">
      <c r="A75">
        <v>46122.680961805556</v>
      </c>
      <c r="B75">
        <v>20.454851999999999</v>
      </c>
      <c r="C75">
        <v>20.509069</v>
      </c>
      <c r="D75">
        <v>20.371409</v>
      </c>
      <c r="E75">
        <v>20.416329999999999</v>
      </c>
      <c r="F75">
        <v>29.597861999999999</v>
      </c>
      <c r="G75">
        <v>26.101268000000001</v>
      </c>
      <c r="H75">
        <v>25.556236999999999</v>
      </c>
      <c r="I75">
        <v>22.668320000000001</v>
      </c>
      <c r="J75">
        <v>55.659610999999998</v>
      </c>
      <c r="K75">
        <v>49.086272999999998</v>
      </c>
      <c r="L75">
        <v>157.67522199999999</v>
      </c>
      <c r="M75">
        <v>-622.51183600000002</v>
      </c>
      <c r="N75">
        <v>1.252337</v>
      </c>
      <c r="O75">
        <v>5.8436110000000001</v>
      </c>
      <c r="P75">
        <f t="shared" si="3"/>
        <v>2.0872283333333333E-5</v>
      </c>
      <c r="Q75" cm="1">
        <f t="array" ref="Q75">[1]!PropsSI("D","T",J75+273.15,"P",101325,"Water")</f>
        <v>985.37235990691124</v>
      </c>
      <c r="R75" cm="1">
        <f t="array" ref="R75">[1]!PropsSI("D","T",K75+273.15,"P",101325,"Water")</f>
        <v>988.44557471661665</v>
      </c>
      <c r="S75">
        <f t="shared" si="4"/>
        <v>986.90896731176394</v>
      </c>
      <c r="T75" cm="1">
        <f t="array" ref="T75">[1]!PropsSI("H","T",J75+273.15,"P",101325,"Water")</f>
        <v>233088.27847371189</v>
      </c>
      <c r="U75" cm="1">
        <f t="array" ref="U75">[1]!PropsSI("H","T",K75+273.15,"P",101325,"Water")</f>
        <v>205598.00263372716</v>
      </c>
      <c r="V75">
        <f t="shared" si="5"/>
        <v>566.27339032728003</v>
      </c>
    </row>
    <row r="76" spans="1:22" x14ac:dyDescent="0.2">
      <c r="A76">
        <v>46122.681019675925</v>
      </c>
      <c r="B76">
        <v>20.524215999999999</v>
      </c>
      <c r="C76">
        <v>20.696456999999999</v>
      </c>
      <c r="D76">
        <v>20.408612000000002</v>
      </c>
      <c r="E76">
        <v>20.564547000000001</v>
      </c>
      <c r="F76">
        <v>29.649636000000001</v>
      </c>
      <c r="G76">
        <v>26.380095000000001</v>
      </c>
      <c r="H76">
        <v>25.918448000000001</v>
      </c>
      <c r="I76">
        <v>22.970517000000001</v>
      </c>
      <c r="J76">
        <v>55.658019000000003</v>
      </c>
      <c r="K76">
        <v>49.082301999999999</v>
      </c>
      <c r="L76">
        <v>163.18392600000001</v>
      </c>
      <c r="M76">
        <v>-622.47183800000005</v>
      </c>
      <c r="N76">
        <v>1.2478579999999999</v>
      </c>
      <c r="O76">
        <v>5.8032130000000004</v>
      </c>
      <c r="P76">
        <f t="shared" si="3"/>
        <v>2.0797633333333332E-5</v>
      </c>
      <c r="Q76" cm="1">
        <f t="array" ref="Q76">[1]!PropsSI("D","T",J76+273.15,"P",101325,"Water")</f>
        <v>985.37313723207762</v>
      </c>
      <c r="R76" cm="1">
        <f t="array" ref="R76">[1]!PropsSI("D","T",K76+273.15,"P",101325,"Water")</f>
        <v>988.44734681049113</v>
      </c>
      <c r="S76">
        <f t="shared" si="4"/>
        <v>986.91024202128438</v>
      </c>
      <c r="T76" cm="1">
        <f t="array" ref="T76">[1]!PropsSI("H","T",J76+273.15,"P",101325,"Water")</f>
        <v>233081.61882231742</v>
      </c>
      <c r="U76" cm="1">
        <f t="array" ref="U76">[1]!PropsSI("H","T",K76+273.15,"P",101325,"Water")</f>
        <v>205581.39952461666</v>
      </c>
      <c r="V76">
        <f t="shared" si="5"/>
        <v>564.45292820036843</v>
      </c>
    </row>
    <row r="77" spans="1:22" x14ac:dyDescent="0.2">
      <c r="A77">
        <v>46122.681078125002</v>
      </c>
      <c r="B77">
        <v>20.672149000000001</v>
      </c>
      <c r="C77">
        <v>20.733355</v>
      </c>
      <c r="D77">
        <v>20.378668000000001</v>
      </c>
      <c r="E77">
        <v>20.385384999999999</v>
      </c>
      <c r="F77">
        <v>29.797384000000001</v>
      </c>
      <c r="G77">
        <v>26.272936999999999</v>
      </c>
      <c r="H77">
        <v>25.207100000000001</v>
      </c>
      <c r="I77">
        <v>22.694299999999998</v>
      </c>
      <c r="J77">
        <v>55.661679999999997</v>
      </c>
      <c r="K77">
        <v>49.089767000000002</v>
      </c>
      <c r="L77">
        <v>164.70262500000001</v>
      </c>
      <c r="M77">
        <v>-622.48285799999996</v>
      </c>
      <c r="N77">
        <v>1.2517720000000001</v>
      </c>
      <c r="O77">
        <v>5.9200109999999997</v>
      </c>
      <c r="P77">
        <f t="shared" si="3"/>
        <v>2.086286666666667E-5</v>
      </c>
      <c r="Q77" cm="1">
        <f t="array" ref="Q77">[1]!PropsSI("D","T",J77+273.15,"P",101325,"Water")</f>
        <v>985.37134965382688</v>
      </c>
      <c r="R77" cm="1">
        <f t="array" ref="R77">[1]!PropsSI("D","T",K77+273.15,"P",101325,"Water")</f>
        <v>988.44401540175409</v>
      </c>
      <c r="S77">
        <f t="shared" si="4"/>
        <v>986.90768252779048</v>
      </c>
      <c r="T77" cm="1">
        <f t="array" ref="T77">[1]!PropsSI("H","T",J77+273.15,"P",101325,"Water")</f>
        <v>233096.9335120825</v>
      </c>
      <c r="U77" cm="1">
        <f t="array" ref="U77">[1]!PropsSI("H","T",K77+273.15,"P",101325,"Water")</f>
        <v>205612.61136636301</v>
      </c>
      <c r="V77">
        <f t="shared" si="5"/>
        <v>565.89459062134335</v>
      </c>
    </row>
    <row r="78" spans="1:22" x14ac:dyDescent="0.2">
      <c r="A78">
        <v>46122.681136574072</v>
      </c>
      <c r="B78">
        <v>20.638231999999999</v>
      </c>
      <c r="C78">
        <v>20.599685999999998</v>
      </c>
      <c r="D78">
        <v>20.335290000000001</v>
      </c>
      <c r="E78">
        <v>20.349802</v>
      </c>
      <c r="F78">
        <v>29.744205000000001</v>
      </c>
      <c r="G78">
        <v>26.188873999999998</v>
      </c>
      <c r="H78">
        <v>25.411294999999999</v>
      </c>
      <c r="I78">
        <v>22.763026</v>
      </c>
      <c r="J78">
        <v>55.655313999999997</v>
      </c>
      <c r="K78">
        <v>49.091037999999998</v>
      </c>
      <c r="L78">
        <v>149.42624699999999</v>
      </c>
      <c r="M78">
        <v>-622.47755199999995</v>
      </c>
      <c r="N78">
        <v>1.257771</v>
      </c>
      <c r="O78">
        <v>6.0804090000000004</v>
      </c>
      <c r="P78">
        <f t="shared" ref="P78:P103" si="6" xml:space="preserve"> N78*0.001/60</f>
        <v>2.0962849999999999E-5</v>
      </c>
      <c r="Q78" cm="1">
        <f t="array" ref="Q78">[1]!PropsSI("D","T",J78+273.15,"P",101325,"Water")</f>
        <v>985.37445796543125</v>
      </c>
      <c r="R78" cm="1">
        <f t="array" ref="R78">[1]!PropsSI("D","T",K78+273.15,"P",101325,"Water")</f>
        <v>988.44344815522641</v>
      </c>
      <c r="S78">
        <f t="shared" ref="S78:S103" si="7">(Q78+R78)/2</f>
        <v>986.90895306032883</v>
      </c>
      <c r="T78" cm="1">
        <f t="array" ref="T78">[1]!PropsSI("H","T",J78+273.15,"P",101325,"Water")</f>
        <v>233070.30327354855</v>
      </c>
      <c r="U78" cm="1">
        <f t="array" ref="U78">[1]!PropsSI("H","T",K78+273.15,"P",101325,"Water")</f>
        <v>205617.92553404268</v>
      </c>
      <c r="V78">
        <f t="shared" ref="V78:V103" si="8">S78*P78*(T78-U78)</f>
        <v>567.94643999971993</v>
      </c>
    </row>
    <row r="79" spans="1:22" x14ac:dyDescent="0.2">
      <c r="A79">
        <v>46122.681194444442</v>
      </c>
      <c r="B79">
        <v>20.678191000000002</v>
      </c>
      <c r="C79">
        <v>20.704301000000001</v>
      </c>
      <c r="D79">
        <v>20.311319000000001</v>
      </c>
      <c r="E79">
        <v>20.406016000000001</v>
      </c>
      <c r="F79">
        <v>29.767558999999999</v>
      </c>
      <c r="G79">
        <v>26.399923999999999</v>
      </c>
      <c r="H79">
        <v>25.539992999999999</v>
      </c>
      <c r="I79">
        <v>22.960011000000002</v>
      </c>
      <c r="J79">
        <v>55.660088000000002</v>
      </c>
      <c r="K79">
        <v>49.089607999999998</v>
      </c>
      <c r="L79">
        <v>150.64904300000001</v>
      </c>
      <c r="M79">
        <v>-622.48938799999996</v>
      </c>
      <c r="N79">
        <v>1.2529399999999999</v>
      </c>
      <c r="O79">
        <v>6.0972980000000003</v>
      </c>
      <c r="P79">
        <f t="shared" si="6"/>
        <v>2.0882333333333332E-5</v>
      </c>
      <c r="Q79" cm="1">
        <f t="array" ref="Q79">[1]!PropsSI("D","T",J79+273.15,"P",101325,"Water")</f>
        <v>985.3721269992883</v>
      </c>
      <c r="R79" cm="1">
        <f t="array" ref="R79">[1]!PropsSI("D","T",K79+273.15,"P",101325,"Water")</f>
        <v>988.4440863626138</v>
      </c>
      <c r="S79">
        <f t="shared" si="7"/>
        <v>986.90810668095105</v>
      </c>
      <c r="T79" cm="1">
        <f t="array" ref="T79">[1]!PropsSI("H","T",J79+273.15,"P",101325,"Water")</f>
        <v>233090.27385942335</v>
      </c>
      <c r="U79" cm="1">
        <f t="array" ref="U79">[1]!PropsSI("H","T",K79+273.15,"P",101325,"Water")</f>
        <v>205611.94657274944</v>
      </c>
      <c r="V79">
        <f t="shared" si="8"/>
        <v>566.29930972329828</v>
      </c>
    </row>
    <row r="80" spans="1:22" x14ac:dyDescent="0.2">
      <c r="A80">
        <v>46122.681252893519</v>
      </c>
      <c r="B80">
        <v>20.65428</v>
      </c>
      <c r="C80">
        <v>20.610493999999999</v>
      </c>
      <c r="D80">
        <v>20.312442999999998</v>
      </c>
      <c r="E80">
        <v>20.339364</v>
      </c>
      <c r="F80">
        <v>29.74456</v>
      </c>
      <c r="G80">
        <v>26.404686000000002</v>
      </c>
      <c r="H80">
        <v>25.417152000000002</v>
      </c>
      <c r="I80">
        <v>22.834710000000001</v>
      </c>
      <c r="J80">
        <v>55.659610999999998</v>
      </c>
      <c r="K80">
        <v>49.086908000000001</v>
      </c>
      <c r="L80">
        <v>148.365892</v>
      </c>
      <c r="M80">
        <v>-622.48449100000005</v>
      </c>
      <c r="N80">
        <v>1.24699</v>
      </c>
      <c r="O80">
        <v>6.0571789999999996</v>
      </c>
      <c r="P80">
        <f t="shared" si="6"/>
        <v>2.0783166666666668E-5</v>
      </c>
      <c r="Q80" cm="1">
        <f t="array" ref="Q80">[1]!PropsSI("D","T",J80+273.15,"P",101325,"Water")</f>
        <v>985.37235990691124</v>
      </c>
      <c r="R80" cm="1">
        <f t="array" ref="R80">[1]!PropsSI("D","T",K80+273.15,"P",101325,"Water")</f>
        <v>988.44529133257936</v>
      </c>
      <c r="S80">
        <f t="shared" si="7"/>
        <v>986.90882561974536</v>
      </c>
      <c r="T80" cm="1">
        <f t="array" ref="T80">[1]!PropsSI("H","T",J80+273.15,"P",101325,"Water")</f>
        <v>233088.27847371189</v>
      </c>
      <c r="U80" cm="1">
        <f t="array" ref="U80">[1]!PropsSI("H","T",K80+273.15,"P",101325,"Water")</f>
        <v>205600.65762641432</v>
      </c>
      <c r="V80">
        <f t="shared" si="8"/>
        <v>563.80108178790897</v>
      </c>
    </row>
    <row r="81" spans="1:22" x14ac:dyDescent="0.2">
      <c r="A81">
        <v>46122.681310763888</v>
      </c>
      <c r="B81">
        <v>20.659402</v>
      </c>
      <c r="C81">
        <v>20.621376000000001</v>
      </c>
      <c r="D81">
        <v>20.324484999999999</v>
      </c>
      <c r="E81">
        <v>20.355187000000001</v>
      </c>
      <c r="F81">
        <v>29.791823000000001</v>
      </c>
      <c r="G81">
        <v>26.676029</v>
      </c>
      <c r="H81">
        <v>25.761906</v>
      </c>
      <c r="I81">
        <v>22.876042000000002</v>
      </c>
      <c r="J81">
        <v>55.661520000000003</v>
      </c>
      <c r="K81">
        <v>49.084049</v>
      </c>
      <c r="L81">
        <v>158.97882999999999</v>
      </c>
      <c r="M81">
        <v>-622.5</v>
      </c>
      <c r="N81">
        <v>1.252616</v>
      </c>
      <c r="O81">
        <v>5.9276859999999996</v>
      </c>
      <c r="P81">
        <f t="shared" si="6"/>
        <v>2.0876933333333333E-5</v>
      </c>
      <c r="Q81" cm="1">
        <f t="array" ref="Q81">[1]!PropsSI("D","T",J81+273.15,"P",101325,"Water")</f>
        <v>985.3714277797061</v>
      </c>
      <c r="R81" cm="1">
        <f t="array" ref="R81">[1]!PropsSI("D","T",K81+273.15,"P",101325,"Water")</f>
        <v>988.44656720915816</v>
      </c>
      <c r="S81">
        <f t="shared" si="7"/>
        <v>986.90899749443213</v>
      </c>
      <c r="T81" cm="1">
        <f t="array" ref="T81">[1]!PropsSI("H","T",J81+273.15,"P",101325,"Water")</f>
        <v>233096.26420021433</v>
      </c>
      <c r="U81" cm="1">
        <f t="array" ref="U81">[1]!PropsSI("H","T",K81+273.15,"P",101325,"Water")</f>
        <v>205588.70388860977</v>
      </c>
      <c r="V81">
        <f t="shared" si="8"/>
        <v>566.75568692413503</v>
      </c>
    </row>
    <row r="82" spans="1:22" x14ac:dyDescent="0.2">
      <c r="A82">
        <v>46122.681369212965</v>
      </c>
      <c r="B82">
        <v>20.626358</v>
      </c>
      <c r="C82">
        <v>20.742725</v>
      </c>
      <c r="D82">
        <v>20.362507999999998</v>
      </c>
      <c r="E82">
        <v>20.380186999999999</v>
      </c>
      <c r="F82">
        <v>29.735173</v>
      </c>
      <c r="G82">
        <v>26.658175</v>
      </c>
      <c r="H82">
        <v>25.696127000000001</v>
      </c>
      <c r="I82">
        <v>23.060914</v>
      </c>
      <c r="J82">
        <v>55.658814999999997</v>
      </c>
      <c r="K82">
        <v>49.084367</v>
      </c>
      <c r="L82">
        <v>150.77107799999999</v>
      </c>
      <c r="M82">
        <v>-622.50204099999996</v>
      </c>
      <c r="N82">
        <v>1.253239</v>
      </c>
      <c r="O82">
        <v>5.9779970000000002</v>
      </c>
      <c r="P82">
        <f t="shared" si="6"/>
        <v>2.0887316666666666E-5</v>
      </c>
      <c r="Q82" cm="1">
        <f t="array" ref="Q82">[1]!PropsSI("D","T",J82+273.15,"P",101325,"Water")</f>
        <v>985.37274857145326</v>
      </c>
      <c r="R82" cm="1">
        <f t="array" ref="R82">[1]!PropsSI("D","T",K82+273.15,"P",101325,"Water")</f>
        <v>988.44642529902865</v>
      </c>
      <c r="S82">
        <f t="shared" si="7"/>
        <v>986.9095869352409</v>
      </c>
      <c r="T82" cm="1">
        <f t="array" ref="T82">[1]!PropsSI("H","T",J82+273.15,"P",101325,"Water")</f>
        <v>233084.94864789332</v>
      </c>
      <c r="U82" cm="1">
        <f t="array" ref="U82">[1]!PropsSI("H","T",K82+273.15,"P",101325,"Water")</f>
        <v>205590.03347529014</v>
      </c>
      <c r="V82">
        <f t="shared" si="8"/>
        <v>566.77724116314801</v>
      </c>
    </row>
    <row r="83" spans="1:22" x14ac:dyDescent="0.2">
      <c r="A83">
        <v>46122.681427662035</v>
      </c>
      <c r="B83">
        <v>20.603131999999999</v>
      </c>
      <c r="C83">
        <v>20.69904</v>
      </c>
      <c r="D83">
        <v>20.323464999999999</v>
      </c>
      <c r="E83">
        <v>20.377148999999999</v>
      </c>
      <c r="F83">
        <v>29.747399000000001</v>
      </c>
      <c r="G83">
        <v>26.676167</v>
      </c>
      <c r="H83">
        <v>25.626207999999998</v>
      </c>
      <c r="I83">
        <v>22.909939000000001</v>
      </c>
      <c r="J83">
        <v>55.660884000000003</v>
      </c>
      <c r="K83">
        <v>49.086432000000002</v>
      </c>
      <c r="L83">
        <v>151.89632800000001</v>
      </c>
      <c r="M83">
        <v>-622.50285699999995</v>
      </c>
      <c r="N83">
        <v>1.2550619999999999</v>
      </c>
      <c r="O83">
        <v>5.5252800000000004</v>
      </c>
      <c r="P83">
        <f t="shared" si="6"/>
        <v>2.0917699999999998E-5</v>
      </c>
      <c r="Q83" cm="1">
        <f t="array" ref="Q83">[1]!PropsSI("D","T",J83+273.15,"P",101325,"Water")</f>
        <v>985.37173832851875</v>
      </c>
      <c r="R83" cm="1">
        <f t="array" ref="R83">[1]!PropsSI("D","T",K83+273.15,"P",101325,"Water")</f>
        <v>988.44550375928816</v>
      </c>
      <c r="S83">
        <f t="shared" si="7"/>
        <v>986.90862104390339</v>
      </c>
      <c r="T83" cm="1">
        <f t="array" ref="T83">[1]!PropsSI("H","T",J83+273.15,"P",101325,"Water")</f>
        <v>233093.60368563089</v>
      </c>
      <c r="U83" cm="1">
        <f t="array" ref="U83">[1]!PropsSI("H","T",K83+273.15,"P",101325,"Water")</f>
        <v>205598.66742712646</v>
      </c>
      <c r="V83">
        <f t="shared" si="8"/>
        <v>567.6015725535517</v>
      </c>
    </row>
    <row r="84" spans="1:22" x14ac:dyDescent="0.2">
      <c r="A84">
        <v>46122.681485532405</v>
      </c>
      <c r="B84">
        <v>20.679978999999999</v>
      </c>
      <c r="C84">
        <v>20.641085</v>
      </c>
      <c r="D84">
        <v>20.335605000000001</v>
      </c>
      <c r="E84">
        <v>20.379287000000001</v>
      </c>
      <c r="F84">
        <v>29.746331999999999</v>
      </c>
      <c r="G84">
        <v>26.707298999999999</v>
      </c>
      <c r="H84">
        <v>25.519290999999999</v>
      </c>
      <c r="I84">
        <v>22.509675000000001</v>
      </c>
      <c r="J84">
        <v>55.663111999999998</v>
      </c>
      <c r="K84">
        <v>49.088496999999997</v>
      </c>
      <c r="L84">
        <v>159.37921800000001</v>
      </c>
      <c r="M84">
        <v>-622.52122299999996</v>
      </c>
      <c r="N84">
        <v>1.250678</v>
      </c>
      <c r="O84">
        <v>6.140441</v>
      </c>
      <c r="P84">
        <f t="shared" si="6"/>
        <v>2.0844633333333334E-5</v>
      </c>
      <c r="Q84" cm="1">
        <f t="array" ref="Q84">[1]!PropsSI("D","T",J84+273.15,"P",101325,"Water")</f>
        <v>985.37065042018276</v>
      </c>
      <c r="R84" cm="1">
        <f t="array" ref="R84">[1]!PropsSI("D","T",K84+273.15,"P",101325,"Water")</f>
        <v>988.44458219128751</v>
      </c>
      <c r="S84">
        <f t="shared" si="7"/>
        <v>986.90761630573513</v>
      </c>
      <c r="T84" cm="1">
        <f t="array" ref="T84">[1]!PropsSI("H","T",J84+273.15,"P",101325,"Water")</f>
        <v>233102.92385370782</v>
      </c>
      <c r="U84" cm="1">
        <f t="array" ref="U84">[1]!PropsSI("H","T",K84+273.15,"P",101325,"Water")</f>
        <v>205607.30138013014</v>
      </c>
      <c r="V84">
        <f t="shared" si="8"/>
        <v>565.63245010336664</v>
      </c>
    </row>
    <row r="85" spans="1:22" x14ac:dyDescent="0.2">
      <c r="A85">
        <v>46122.681543981482</v>
      </c>
      <c r="B85">
        <v>20.679569000000001</v>
      </c>
      <c r="C85">
        <v>20.629536999999999</v>
      </c>
      <c r="D85">
        <v>20.335895000000001</v>
      </c>
      <c r="E85">
        <v>20.375668999999998</v>
      </c>
      <c r="F85">
        <v>29.778673999999999</v>
      </c>
      <c r="G85">
        <v>26.393502000000002</v>
      </c>
      <c r="H85">
        <v>25.000986999999999</v>
      </c>
      <c r="I85">
        <v>22.698509000000001</v>
      </c>
      <c r="J85">
        <v>55.661520000000003</v>
      </c>
      <c r="K85">
        <v>49.091991</v>
      </c>
      <c r="L85">
        <v>169.09505799999999</v>
      </c>
      <c r="M85">
        <v>-622.53101900000001</v>
      </c>
      <c r="N85">
        <v>1.2553160000000001</v>
      </c>
      <c r="O85">
        <v>5.732952</v>
      </c>
      <c r="P85">
        <f t="shared" si="6"/>
        <v>2.0921933333333334E-5</v>
      </c>
      <c r="Q85" cm="1">
        <f t="array" ref="Q85">[1]!PropsSI("D","T",J85+273.15,"P",101325,"Water")</f>
        <v>985.3714277797061</v>
      </c>
      <c r="R85" cm="1">
        <f t="array" ref="R85">[1]!PropsSI("D","T",K85+273.15,"P",101325,"Water")</f>
        <v>988.44302282490685</v>
      </c>
      <c r="S85">
        <f t="shared" si="7"/>
        <v>986.90722530230641</v>
      </c>
      <c r="T85" cm="1">
        <f t="array" ref="T85">[1]!PropsSI("H","T",J85+273.15,"P",101325,"Water")</f>
        <v>233096.26420021433</v>
      </c>
      <c r="U85" cm="1">
        <f t="array" ref="U85">[1]!PropsSI("H","T",K85+273.15,"P",101325,"Water")</f>
        <v>205621.91011483307</v>
      </c>
      <c r="V85">
        <f t="shared" si="8"/>
        <v>567.29066025486497</v>
      </c>
    </row>
    <row r="86" spans="1:22" x14ac:dyDescent="0.2">
      <c r="A86">
        <v>46122.681601851851</v>
      </c>
      <c r="B86">
        <v>20.527501000000001</v>
      </c>
      <c r="C86">
        <v>20.725942</v>
      </c>
      <c r="D86">
        <v>20.317640999999998</v>
      </c>
      <c r="E86">
        <v>20.384249000000001</v>
      </c>
      <c r="F86">
        <v>29.596336999999998</v>
      </c>
      <c r="G86">
        <v>26.743977999999998</v>
      </c>
      <c r="H86">
        <v>25.670628000000001</v>
      </c>
      <c r="I86">
        <v>23.013069000000002</v>
      </c>
      <c r="J86">
        <v>55.666772000000002</v>
      </c>
      <c r="K86">
        <v>49.093896999999998</v>
      </c>
      <c r="L86">
        <v>155.19126499999999</v>
      </c>
      <c r="M86">
        <v>-622.53346799999997</v>
      </c>
      <c r="N86">
        <v>1.2549760000000001</v>
      </c>
      <c r="O86">
        <v>5.580724</v>
      </c>
      <c r="P86">
        <f t="shared" si="6"/>
        <v>2.0916266666666668E-5</v>
      </c>
      <c r="Q86" cm="1">
        <f t="array" ref="Q86">[1]!PropsSI("D","T",J86+273.15,"P",101325,"Water")</f>
        <v>985.36886321527822</v>
      </c>
      <c r="R86" cm="1">
        <f t="array" ref="R86">[1]!PropsSI("D","T",K86+273.15,"P",101325,"Water")</f>
        <v>988.44217214617299</v>
      </c>
      <c r="S86">
        <f t="shared" si="7"/>
        <v>986.90551768072555</v>
      </c>
      <c r="T86" cm="1">
        <f t="array" ref="T86">[1]!PropsSI("H","T",J86+273.15,"P",101325,"Water")</f>
        <v>233118.23436722229</v>
      </c>
      <c r="U86" cm="1">
        <f t="array" ref="U86">[1]!PropsSI("H","T",K86+273.15,"P",101325,"Water")</f>
        <v>205629.87927710073</v>
      </c>
      <c r="V86">
        <f t="shared" si="8"/>
        <v>567.42504337897719</v>
      </c>
    </row>
    <row r="87" spans="1:22" x14ac:dyDescent="0.2">
      <c r="A87">
        <v>46122.681660300928</v>
      </c>
      <c r="B87">
        <v>20.658594999999998</v>
      </c>
      <c r="C87">
        <v>20.685797999999998</v>
      </c>
      <c r="D87">
        <v>20.336682</v>
      </c>
      <c r="E87">
        <v>20.470853999999999</v>
      </c>
      <c r="F87">
        <v>29.706916</v>
      </c>
      <c r="G87">
        <v>26.355437999999999</v>
      </c>
      <c r="H87">
        <v>25.433062</v>
      </c>
      <c r="I87">
        <v>22.512205000000002</v>
      </c>
      <c r="J87">
        <v>55.671387000000003</v>
      </c>
      <c r="K87">
        <v>49.099772999999999</v>
      </c>
      <c r="L87">
        <v>161.533804</v>
      </c>
      <c r="M87">
        <v>-622.512652</v>
      </c>
      <c r="N87">
        <v>1.2539720000000001</v>
      </c>
      <c r="O87">
        <v>6.1239840000000001</v>
      </c>
      <c r="P87">
        <f t="shared" si="6"/>
        <v>2.0899533333333335E-5</v>
      </c>
      <c r="Q87" cm="1">
        <f t="array" ref="Q87">[1]!PropsSI("D","T",J87+273.15,"P",101325,"Water")</f>
        <v>985.36660955918535</v>
      </c>
      <c r="R87" cm="1">
        <f t="array" ref="R87">[1]!PropsSI("D","T",K87+273.15,"P",101325,"Water")</f>
        <v>988.4395494404265</v>
      </c>
      <c r="S87">
        <f t="shared" si="7"/>
        <v>986.90307949980593</v>
      </c>
      <c r="T87" cm="1">
        <f t="array" ref="T87">[1]!PropsSI("H","T",J87+273.15,"P",101325,"Water")</f>
        <v>233137.53984417883</v>
      </c>
      <c r="U87" cm="1">
        <f t="array" ref="U87">[1]!PropsSI("H","T",K87+273.15,"P",101325,"Water")</f>
        <v>205654.44738279851</v>
      </c>
      <c r="V87">
        <f t="shared" si="8"/>
        <v>566.86114794282628</v>
      </c>
    </row>
    <row r="88" spans="1:22" x14ac:dyDescent="0.2">
      <c r="A88">
        <v>46122.681718749998</v>
      </c>
      <c r="B88">
        <v>20.746465000000001</v>
      </c>
      <c r="C88">
        <v>20.802403999999999</v>
      </c>
      <c r="D88">
        <v>20.387606999999999</v>
      </c>
      <c r="E88">
        <v>20.454642</v>
      </c>
      <c r="F88">
        <v>29.787952000000001</v>
      </c>
      <c r="G88">
        <v>26.618922000000001</v>
      </c>
      <c r="H88">
        <v>25.534654</v>
      </c>
      <c r="I88">
        <v>22.568892000000002</v>
      </c>
      <c r="J88">
        <v>55.668523</v>
      </c>
      <c r="K88">
        <v>49.107238000000002</v>
      </c>
      <c r="L88">
        <v>166.38172499999999</v>
      </c>
      <c r="M88">
        <v>-622.44204400000001</v>
      </c>
      <c r="N88">
        <v>1.2567470000000001</v>
      </c>
      <c r="O88">
        <v>5.9252589999999996</v>
      </c>
      <c r="P88">
        <f t="shared" si="6"/>
        <v>2.0945783333333335E-5</v>
      </c>
      <c r="Q88" cm="1">
        <f t="array" ref="Q88">[1]!PropsSI("D","T",J88+273.15,"P",101325,"Water")</f>
        <v>985.36800815993274</v>
      </c>
      <c r="R88" cm="1">
        <f t="array" ref="R88">[1]!PropsSI("D","T",K88+273.15,"P",101325,"Water")</f>
        <v>988.43621716713699</v>
      </c>
      <c r="S88">
        <f t="shared" si="7"/>
        <v>986.90211266353481</v>
      </c>
      <c r="T88" cm="1">
        <f t="array" ref="T88">[1]!PropsSI("H","T",J88+273.15,"P",101325,"Water")</f>
        <v>233125.55915287242</v>
      </c>
      <c r="U88" cm="1">
        <f t="array" ref="U88">[1]!PropsSI("H","T",K88+273.15,"P",101325,"Water")</f>
        <v>205685.65925945429</v>
      </c>
      <c r="V88">
        <f t="shared" si="8"/>
        <v>567.22218451776507</v>
      </c>
    </row>
    <row r="89" spans="1:22" x14ac:dyDescent="0.2">
      <c r="A89">
        <v>46122.681777199075</v>
      </c>
      <c r="B89">
        <v>20.695599999999999</v>
      </c>
      <c r="C89">
        <v>20.876823999999999</v>
      </c>
      <c r="D89">
        <v>20.332758999999999</v>
      </c>
      <c r="E89">
        <v>20.417358</v>
      </c>
      <c r="F89">
        <v>29.799928999999999</v>
      </c>
      <c r="G89">
        <v>26.664985999999999</v>
      </c>
      <c r="H89">
        <v>25.507088</v>
      </c>
      <c r="I89">
        <v>22.858132000000001</v>
      </c>
      <c r="J89">
        <v>55.669637000000002</v>
      </c>
      <c r="K89">
        <v>49.108032000000001</v>
      </c>
      <c r="L89">
        <v>161.21790200000001</v>
      </c>
      <c r="M89">
        <v>-622.49183700000003</v>
      </c>
      <c r="N89">
        <v>1.256697</v>
      </c>
      <c r="O89">
        <v>5.859064</v>
      </c>
      <c r="P89">
        <f t="shared" si="6"/>
        <v>2.094495E-5</v>
      </c>
      <c r="Q89" cm="1">
        <f t="array" ref="Q89">[1]!PropsSI("D","T",J89+273.15,"P",101325,"Water")</f>
        <v>985.36746415711445</v>
      </c>
      <c r="R89" cm="1">
        <f t="array" ref="R89">[1]!PropsSI("D","T",K89+273.15,"P",101325,"Water")</f>
        <v>988.43586271472316</v>
      </c>
      <c r="S89">
        <f t="shared" si="7"/>
        <v>986.90166343591886</v>
      </c>
      <c r="T89" cm="1">
        <f t="array" ref="T89">[1]!PropsSI("H","T",J89+273.15,"P",101325,"Water")</f>
        <v>233130.21923984872</v>
      </c>
      <c r="U89" cm="1">
        <f t="array" ref="U89">[1]!PropsSI("H","T",K89+273.15,"P",101325,"Water")</f>
        <v>205688.97905005922</v>
      </c>
      <c r="V89">
        <f t="shared" si="8"/>
        <v>567.22706399327274</v>
      </c>
    </row>
    <row r="90" spans="1:22" x14ac:dyDescent="0.2">
      <c r="A90">
        <v>46122.681835069445</v>
      </c>
      <c r="B90">
        <v>20.589500000000001</v>
      </c>
      <c r="C90">
        <v>20.793444999999998</v>
      </c>
      <c r="D90">
        <v>20.312038000000001</v>
      </c>
      <c r="E90">
        <v>20.386742999999999</v>
      </c>
      <c r="F90">
        <v>29.697324999999999</v>
      </c>
      <c r="G90">
        <v>26.824331999999998</v>
      </c>
      <c r="H90">
        <v>25.379861999999999</v>
      </c>
      <c r="I90">
        <v>22.98499</v>
      </c>
      <c r="J90">
        <v>55.666612999999998</v>
      </c>
      <c r="K90">
        <v>49.114068000000003</v>
      </c>
      <c r="L90">
        <v>156.04020199999999</v>
      </c>
      <c r="M90">
        <v>-622.48775599999999</v>
      </c>
      <c r="N90">
        <v>1.2538450000000001</v>
      </c>
      <c r="O90">
        <v>6.0235289999999999</v>
      </c>
      <c r="P90">
        <f t="shared" si="6"/>
        <v>2.0897416666666671E-5</v>
      </c>
      <c r="Q90" cm="1">
        <f t="array" ref="Q90">[1]!PropsSI("D","T",J90+273.15,"P",101325,"Water")</f>
        <v>985.3689408578814</v>
      </c>
      <c r="R90" cm="1">
        <f t="array" ref="R90">[1]!PropsSI("D","T",K90+273.15,"P",101325,"Water")</f>
        <v>988.43316802551044</v>
      </c>
      <c r="S90">
        <f t="shared" si="7"/>
        <v>986.90105444169592</v>
      </c>
      <c r="T90" cm="1">
        <f t="array" ref="T90">[1]!PropsSI("H","T",J90+273.15,"P",101325,"Water")</f>
        <v>233117.56923819805</v>
      </c>
      <c r="U90" cm="1">
        <f t="array" ref="U90">[1]!PropsSI("H","T",K90+273.15,"P",101325,"Water")</f>
        <v>205714.21615368707</v>
      </c>
      <c r="V90">
        <f t="shared" si="8"/>
        <v>565.1580546407738</v>
      </c>
    </row>
    <row r="91" spans="1:22" x14ac:dyDescent="0.2">
      <c r="A91">
        <v>46122.681892939814</v>
      </c>
      <c r="B91">
        <v>20.596260999999998</v>
      </c>
      <c r="C91">
        <v>20.682013999999999</v>
      </c>
      <c r="D91">
        <v>20.331042</v>
      </c>
      <c r="E91">
        <v>20.369717000000001</v>
      </c>
      <c r="F91">
        <v>29.760051000000001</v>
      </c>
      <c r="G91">
        <v>26.873631</v>
      </c>
      <c r="H91">
        <v>25.356921</v>
      </c>
      <c r="I91">
        <v>22.956202999999999</v>
      </c>
      <c r="J91">
        <v>55.667090000000002</v>
      </c>
      <c r="K91">
        <v>49.115496999999998</v>
      </c>
      <c r="L91">
        <v>161.11219299999999</v>
      </c>
      <c r="M91">
        <v>-622.51795800000002</v>
      </c>
      <c r="N91">
        <v>1.25403</v>
      </c>
      <c r="O91">
        <v>6.0237189999999998</v>
      </c>
      <c r="P91">
        <f t="shared" si="6"/>
        <v>2.0900499999999998E-5</v>
      </c>
      <c r="Q91" cm="1">
        <f t="array" ref="Q91">[1]!PropsSI("D","T",J91+273.15,"P",101325,"Water")</f>
        <v>985.36870792966249</v>
      </c>
      <c r="R91" cm="1">
        <f t="array" ref="R91">[1]!PropsSI("D","T",K91+273.15,"P",101325,"Water")</f>
        <v>988.43253003276118</v>
      </c>
      <c r="S91">
        <f t="shared" si="7"/>
        <v>986.90061898121189</v>
      </c>
      <c r="T91" cm="1">
        <f t="array" ref="T91">[1]!PropsSI("H","T",J91+273.15,"P",101325,"Water")</f>
        <v>233119.56462515576</v>
      </c>
      <c r="U91" cm="1">
        <f t="array" ref="U91">[1]!PropsSI("H","T",K91+273.15,"P",101325,"Water")</f>
        <v>205720.19094323818</v>
      </c>
      <c r="V91">
        <f t="shared" si="8"/>
        <v>565.15911011880678</v>
      </c>
    </row>
    <row r="92" spans="1:22" x14ac:dyDescent="0.2">
      <c r="A92">
        <v>46122.681951388891</v>
      </c>
      <c r="B92">
        <v>20.646809000000001</v>
      </c>
      <c r="C92">
        <v>20.738168999999999</v>
      </c>
      <c r="D92">
        <v>20.324763000000001</v>
      </c>
      <c r="E92">
        <v>20.369935000000002</v>
      </c>
      <c r="F92">
        <v>29.796416000000001</v>
      </c>
      <c r="G92">
        <v>26.891202</v>
      </c>
      <c r="H92">
        <v>25.244166</v>
      </c>
      <c r="I92">
        <v>22.655963</v>
      </c>
      <c r="J92">
        <v>55.666454000000002</v>
      </c>
      <c r="K92">
        <v>49.108984999999997</v>
      </c>
      <c r="L92">
        <v>157.57849200000001</v>
      </c>
      <c r="M92">
        <v>-622.48897999999997</v>
      </c>
      <c r="N92">
        <v>1.2502679999999999</v>
      </c>
      <c r="O92">
        <v>6.1655009999999999</v>
      </c>
      <c r="P92">
        <f t="shared" si="6"/>
        <v>2.0837799999999999E-5</v>
      </c>
      <c r="Q92" cm="1">
        <f t="array" ref="Q92">[1]!PropsSI("D","T",J92+273.15,"P",101325,"Water")</f>
        <v>985.36901850031416</v>
      </c>
      <c r="R92" cm="1">
        <f t="array" ref="R92">[1]!PropsSI("D","T",K92+273.15,"P",101325,"Water")</f>
        <v>988.43543727701501</v>
      </c>
      <c r="S92">
        <f t="shared" si="7"/>
        <v>986.90222788866458</v>
      </c>
      <c r="T92" cm="1">
        <f t="array" ref="T92">[1]!PropsSI("H","T",J92+273.15,"P",101325,"Water")</f>
        <v>233116.90410927869</v>
      </c>
      <c r="U92" cm="1">
        <f t="array" ref="U92">[1]!PropsSI("H","T",K92+273.15,"P",101325,"Water")</f>
        <v>205692.96363520387</v>
      </c>
      <c r="V92">
        <f t="shared" si="8"/>
        <v>563.96980486065286</v>
      </c>
    </row>
    <row r="93" spans="1:22" x14ac:dyDescent="0.2">
      <c r="A93">
        <v>46122.682009837961</v>
      </c>
      <c r="B93">
        <v>20.663131</v>
      </c>
      <c r="C93">
        <v>20.825369999999999</v>
      </c>
      <c r="D93">
        <v>20.349070999999999</v>
      </c>
      <c r="E93">
        <v>20.389627999999998</v>
      </c>
      <c r="F93">
        <v>29.758614000000001</v>
      </c>
      <c r="G93">
        <v>26.419263999999998</v>
      </c>
      <c r="H93">
        <v>25.032565999999999</v>
      </c>
      <c r="I93">
        <v>22.770959999999999</v>
      </c>
      <c r="J93">
        <v>55.670591000000002</v>
      </c>
      <c r="K93">
        <v>49.106603</v>
      </c>
      <c r="L93">
        <v>153.914186</v>
      </c>
      <c r="M93">
        <v>-622.51836600000001</v>
      </c>
      <c r="N93">
        <v>1.2531650000000001</v>
      </c>
      <c r="O93">
        <v>5.8509060000000002</v>
      </c>
      <c r="P93">
        <f t="shared" si="6"/>
        <v>2.0886083333333336E-5</v>
      </c>
      <c r="Q93" cm="1">
        <f t="array" ref="Q93">[1]!PropsSI("D","T",J93+273.15,"P",101325,"Water")</f>
        <v>985.36699828149665</v>
      </c>
      <c r="R93" cm="1">
        <f t="array" ref="R93">[1]!PropsSI("D","T",K93+273.15,"P",101325,"Water")</f>
        <v>988.43650063675727</v>
      </c>
      <c r="S93">
        <f t="shared" si="7"/>
        <v>986.9017494591269</v>
      </c>
      <c r="T93" cm="1">
        <f t="array" ref="T93">[1]!PropsSI("H","T",J93+273.15,"P",101325,"Water")</f>
        <v>233134.21001488715</v>
      </c>
      <c r="U93" cm="1">
        <f t="array" ref="U93">[1]!PropsSI("H","T",K93+273.15,"P",101325,"Water")</f>
        <v>205683.0042633483</v>
      </c>
      <c r="V93">
        <f t="shared" si="8"/>
        <v>565.83831293716526</v>
      </c>
    </row>
    <row r="94" spans="1:22" x14ac:dyDescent="0.2">
      <c r="A94">
        <v>46122.682067708331</v>
      </c>
      <c r="B94">
        <v>20.629902000000001</v>
      </c>
      <c r="C94">
        <v>20.88618</v>
      </c>
      <c r="D94">
        <v>20.337011</v>
      </c>
      <c r="E94">
        <v>20.345762000000001</v>
      </c>
      <c r="F94">
        <v>29.699736000000001</v>
      </c>
      <c r="G94">
        <v>26.437778000000002</v>
      </c>
      <c r="H94">
        <v>25.410703000000002</v>
      </c>
      <c r="I94">
        <v>22.897189999999998</v>
      </c>
      <c r="J94">
        <v>55.672500999999997</v>
      </c>
      <c r="K94">
        <v>49.106762000000003</v>
      </c>
      <c r="L94">
        <v>163.80716000000001</v>
      </c>
      <c r="M94">
        <v>-622.5</v>
      </c>
      <c r="N94">
        <v>1.2567140000000001</v>
      </c>
      <c r="O94">
        <v>6.1579899999999999</v>
      </c>
      <c r="P94">
        <f t="shared" si="6"/>
        <v>2.0945233333333334E-5</v>
      </c>
      <c r="Q94" cm="1">
        <f t="array" ref="Q94">[1]!PropsSI("D","T",J94+273.15,"P",101325,"Water")</f>
        <v>985.36606553669787</v>
      </c>
      <c r="R94" cm="1">
        <f t="array" ref="R94">[1]!PropsSI("D","T",K94+273.15,"P",101325,"Water")</f>
        <v>988.43642965800188</v>
      </c>
      <c r="S94">
        <f t="shared" si="7"/>
        <v>986.90124759734988</v>
      </c>
      <c r="T94" cm="1">
        <f t="array" ref="T94">[1]!PropsSI("H","T",J94+273.15,"P",101325,"Water")</f>
        <v>233142.19993234723</v>
      </c>
      <c r="U94" cm="1">
        <f t="array" ref="U94">[1]!PropsSI("H","T",K94+273.15,"P",101325,"Water")</f>
        <v>205683.66905762904</v>
      </c>
      <c r="V94">
        <f t="shared" si="8"/>
        <v>567.59191178263927</v>
      </c>
    </row>
    <row r="95" spans="1:22" x14ac:dyDescent="0.2">
      <c r="A95">
        <v>46122.682125578707</v>
      </c>
      <c r="B95">
        <v>20.680409999999998</v>
      </c>
      <c r="C95">
        <v>20.825329</v>
      </c>
      <c r="D95">
        <v>20.347173000000002</v>
      </c>
      <c r="E95">
        <v>20.366617000000002</v>
      </c>
      <c r="F95">
        <v>29.659994999999999</v>
      </c>
      <c r="G95">
        <v>26.388839000000001</v>
      </c>
      <c r="H95">
        <v>25.304333</v>
      </c>
      <c r="I95">
        <v>22.808001000000001</v>
      </c>
      <c r="J95">
        <v>55.673774000000002</v>
      </c>
      <c r="K95">
        <v>49.105967</v>
      </c>
      <c r="L95">
        <v>160.79098400000001</v>
      </c>
      <c r="M95">
        <v>-622.54611999999997</v>
      </c>
      <c r="N95">
        <v>1.251514</v>
      </c>
      <c r="O95">
        <v>6.0866990000000003</v>
      </c>
      <c r="P95">
        <f t="shared" si="6"/>
        <v>2.0858566666666667E-5</v>
      </c>
      <c r="Q95" cm="1">
        <f t="array" ref="Q95">[1]!PropsSI("D","T",J95+273.15,"P",101325,"Water")</f>
        <v>985.36544385713353</v>
      </c>
      <c r="R95" cm="1">
        <f t="array" ref="R95">[1]!PropsSI("D","T",K95+273.15,"P",101325,"Water")</f>
        <v>988.43678455012105</v>
      </c>
      <c r="S95">
        <f t="shared" si="7"/>
        <v>986.90111420362723</v>
      </c>
      <c r="T95" cm="1">
        <f t="array" ref="T95">[1]!PropsSI("H","T",J95+273.15,"P",101325,"Water")</f>
        <v>233147.525150314</v>
      </c>
      <c r="U95" cm="1">
        <f t="array" ref="U95">[1]!PropsSI("H","T",K95+273.15,"P",101325,"Water")</f>
        <v>205680.34508625636</v>
      </c>
      <c r="V95">
        <f t="shared" si="8"/>
        <v>565.42131418241809</v>
      </c>
    </row>
    <row r="96" spans="1:22" x14ac:dyDescent="0.2">
      <c r="A96">
        <v>46122.682184027777</v>
      </c>
      <c r="B96">
        <v>20.550730999999999</v>
      </c>
      <c r="C96">
        <v>20.702089999999998</v>
      </c>
      <c r="D96">
        <v>20.439077000000001</v>
      </c>
      <c r="E96">
        <v>20.413934999999999</v>
      </c>
      <c r="F96">
        <v>29.689226000000001</v>
      </c>
      <c r="G96">
        <v>26.810945</v>
      </c>
      <c r="H96">
        <v>25.851863000000002</v>
      </c>
      <c r="I96">
        <v>23.095829999999999</v>
      </c>
      <c r="J96">
        <v>55.676479999999998</v>
      </c>
      <c r="K96">
        <v>49.109938</v>
      </c>
      <c r="L96">
        <v>172.943029</v>
      </c>
      <c r="M96">
        <v>-622.46000200000003</v>
      </c>
      <c r="N96">
        <v>1.251268</v>
      </c>
      <c r="O96">
        <v>6.0424129999999998</v>
      </c>
      <c r="P96">
        <f t="shared" si="6"/>
        <v>2.0854466666666668E-5</v>
      </c>
      <c r="Q96" cm="1">
        <f t="array" ref="Q96">[1]!PropsSI("D","T",J96+273.15,"P",101325,"Water")</f>
        <v>985.36412232754435</v>
      </c>
      <c r="R96" cm="1">
        <f t="array" ref="R96">[1]!PropsSI("D","T",K96+273.15,"P",101325,"Water")</f>
        <v>988.43501183331023</v>
      </c>
      <c r="S96">
        <f t="shared" si="7"/>
        <v>986.89956708042723</v>
      </c>
      <c r="T96" cm="1">
        <f t="array" ref="T96">[1]!PropsSI("H","T",J96+273.15,"P",101325,"Water")</f>
        <v>233158.84490091656</v>
      </c>
      <c r="U96" cm="1">
        <f t="array" ref="U96">[1]!PropsSI("H","T",K96+273.15,"P",101325,"Water")</f>
        <v>205696.94822056315</v>
      </c>
      <c r="V96">
        <f t="shared" si="8"/>
        <v>565.20054895254304</v>
      </c>
    </row>
    <row r="97" spans="1:22" x14ac:dyDescent="0.2">
      <c r="A97">
        <v>46122.682242476854</v>
      </c>
      <c r="B97">
        <v>20.559871000000001</v>
      </c>
      <c r="C97">
        <v>20.810485</v>
      </c>
      <c r="D97">
        <v>20.352985</v>
      </c>
      <c r="E97">
        <v>20.387758999999999</v>
      </c>
      <c r="F97">
        <v>29.673501000000002</v>
      </c>
      <c r="G97">
        <v>26.950022000000001</v>
      </c>
      <c r="H97">
        <v>25.623730999999999</v>
      </c>
      <c r="I97">
        <v>23.027871000000001</v>
      </c>
      <c r="J97">
        <v>55.673138000000002</v>
      </c>
      <c r="K97">
        <v>49.109938</v>
      </c>
      <c r="L97">
        <v>163.887156</v>
      </c>
      <c r="M97">
        <v>-622.49265300000002</v>
      </c>
      <c r="N97">
        <v>1.2553080000000001</v>
      </c>
      <c r="O97">
        <v>6.1285080000000001</v>
      </c>
      <c r="P97">
        <f t="shared" si="6"/>
        <v>2.0921800000000004E-5</v>
      </c>
      <c r="Q97" cm="1">
        <f t="array" ref="Q97">[1]!PropsSI("D","T",J97+273.15,"P",101325,"Water")</f>
        <v>985.36575445398171</v>
      </c>
      <c r="R97" cm="1">
        <f t="array" ref="R97">[1]!PropsSI("D","T",K97+273.15,"P",101325,"Water")</f>
        <v>988.43501183331023</v>
      </c>
      <c r="S97">
        <f t="shared" si="7"/>
        <v>986.90038314364597</v>
      </c>
      <c r="T97" cm="1">
        <f t="array" ref="T97">[1]!PropsSI("H","T",J97+273.15,"P",101325,"Water")</f>
        <v>233144.86463290438</v>
      </c>
      <c r="U97" cm="1">
        <f t="array" ref="U97">[1]!PropsSI("H","T",K97+273.15,"P",101325,"Water")</f>
        <v>205696.94822056315</v>
      </c>
      <c r="V97">
        <f t="shared" si="8"/>
        <v>566.73723400921722</v>
      </c>
    </row>
    <row r="98" spans="1:22" x14ac:dyDescent="0.2">
      <c r="A98">
        <v>46122.682300925924</v>
      </c>
      <c r="B98">
        <v>20.717941</v>
      </c>
      <c r="C98">
        <v>20.757178</v>
      </c>
      <c r="D98">
        <v>20.372087000000001</v>
      </c>
      <c r="E98">
        <v>20.449159000000002</v>
      </c>
      <c r="F98">
        <v>29.830494999999999</v>
      </c>
      <c r="G98">
        <v>27.163338</v>
      </c>
      <c r="H98">
        <v>25.399964000000001</v>
      </c>
      <c r="I98">
        <v>22.678287000000001</v>
      </c>
      <c r="J98">
        <v>55.669637000000002</v>
      </c>
      <c r="K98">
        <v>49.109144000000001</v>
      </c>
      <c r="L98">
        <v>154.02315999999999</v>
      </c>
      <c r="M98">
        <v>-622.49061300000005</v>
      </c>
      <c r="N98">
        <v>1.259517</v>
      </c>
      <c r="O98">
        <v>6.1006650000000002</v>
      </c>
      <c r="P98">
        <f t="shared" si="6"/>
        <v>2.0991949999999998E-5</v>
      </c>
      <c r="Q98" cm="1">
        <f t="array" ref="Q98">[1]!PropsSI("D","T",J98+273.15,"P",101325,"Water")</f>
        <v>985.36746415711445</v>
      </c>
      <c r="R98" cm="1">
        <f t="array" ref="R98">[1]!PropsSI("D","T",K98+273.15,"P",101325,"Water")</f>
        <v>988.43536629575351</v>
      </c>
      <c r="S98">
        <f t="shared" si="7"/>
        <v>986.90141522643398</v>
      </c>
      <c r="T98" cm="1">
        <f t="array" ref="T98">[1]!PropsSI("H","T",J98+273.15,"P",101325,"Water")</f>
        <v>233130.21923984872</v>
      </c>
      <c r="U98" cm="1">
        <f t="array" ref="U98">[1]!PropsSI("H","T",K98+273.15,"P",101325,"Water")</f>
        <v>205693.6284295372</v>
      </c>
      <c r="V98">
        <f t="shared" si="8"/>
        <v>568.40344475047277</v>
      </c>
    </row>
    <row r="99" spans="1:22" x14ac:dyDescent="0.2">
      <c r="A99">
        <v>46122.682359375001</v>
      </c>
      <c r="B99">
        <v>20.604393000000002</v>
      </c>
      <c r="C99">
        <v>20.675454999999999</v>
      </c>
      <c r="D99">
        <v>20.387611</v>
      </c>
      <c r="E99">
        <v>20.511150000000001</v>
      </c>
      <c r="F99">
        <v>29.758855000000001</v>
      </c>
      <c r="G99">
        <v>26.966736000000001</v>
      </c>
      <c r="H99">
        <v>25.792366999999999</v>
      </c>
      <c r="I99">
        <v>23.211141999999999</v>
      </c>
      <c r="J99">
        <v>55.670273000000002</v>
      </c>
      <c r="K99">
        <v>49.111367999999999</v>
      </c>
      <c r="L99">
        <v>168.40039899999999</v>
      </c>
      <c r="M99">
        <v>-622.49061300000005</v>
      </c>
      <c r="N99">
        <v>1.255525</v>
      </c>
      <c r="O99">
        <v>5.6339319999999997</v>
      </c>
      <c r="P99">
        <f t="shared" si="6"/>
        <v>2.0925416666666665E-5</v>
      </c>
      <c r="Q99" cm="1">
        <f t="array" ref="Q99">[1]!PropsSI("D","T",J99+273.15,"P",101325,"Water")</f>
        <v>985.36715357399851</v>
      </c>
      <c r="R99" cm="1">
        <f t="array" ref="R99">[1]!PropsSI("D","T",K99+273.15,"P",101325,"Water")</f>
        <v>988.43437343323581</v>
      </c>
      <c r="S99">
        <f t="shared" si="7"/>
        <v>986.9007635036171</v>
      </c>
      <c r="T99" cm="1">
        <f t="array" ref="T99">[1]!PropsSI("H","T",J99+273.15,"P",101325,"Water")</f>
        <v>233132.8797564967</v>
      </c>
      <c r="U99" cm="1">
        <f t="array" ref="U99">[1]!PropsSI("H","T",K99+273.15,"P",101325,"Water")</f>
        <v>205702.92718961299</v>
      </c>
      <c r="V99">
        <f t="shared" si="8"/>
        <v>566.46444510260631</v>
      </c>
    </row>
    <row r="100" spans="1:22" x14ac:dyDescent="0.2">
      <c r="A100">
        <v>46122.682417245371</v>
      </c>
      <c r="B100">
        <v>20.584409000000001</v>
      </c>
      <c r="C100">
        <v>20.648907999999999</v>
      </c>
      <c r="D100">
        <v>20.457844000000001</v>
      </c>
      <c r="E100">
        <v>20.529439</v>
      </c>
      <c r="F100">
        <v>29.722165</v>
      </c>
      <c r="G100">
        <v>27.025102</v>
      </c>
      <c r="H100">
        <v>25.468819</v>
      </c>
      <c r="I100">
        <v>22.989089</v>
      </c>
      <c r="J100">
        <v>55.669159000000001</v>
      </c>
      <c r="K100">
        <v>49.112637999999997</v>
      </c>
      <c r="L100">
        <v>163.09454299999999</v>
      </c>
      <c r="M100">
        <v>-622.47347100000002</v>
      </c>
      <c r="N100">
        <v>1.2516080000000001</v>
      </c>
      <c r="O100">
        <v>5.6155819999999999</v>
      </c>
      <c r="P100">
        <f t="shared" si="6"/>
        <v>2.0860133333333334E-5</v>
      </c>
      <c r="Q100" cm="1">
        <f t="array" ref="Q100">[1]!PropsSI("D","T",J100+273.15,"P",101325,"Water")</f>
        <v>985.36769758116941</v>
      </c>
      <c r="R100" cm="1">
        <f t="array" ref="R100">[1]!PropsSI("D","T",K100+273.15,"P",101325,"Water")</f>
        <v>988.43380645117702</v>
      </c>
      <c r="S100">
        <f t="shared" si="7"/>
        <v>986.90075201617321</v>
      </c>
      <c r="T100" cm="1">
        <f t="array" ref="T100">[1]!PropsSI("H","T",J100+273.15,"P",101325,"Water")</f>
        <v>233128.21966926908</v>
      </c>
      <c r="U100" cm="1">
        <f t="array" ref="U100">[1]!PropsSI("H","T",K100+273.15,"P",101325,"Water")</f>
        <v>205708.23718361606</v>
      </c>
      <c r="V100">
        <f t="shared" si="8"/>
        <v>564.49192396248066</v>
      </c>
    </row>
    <row r="101" spans="1:22" x14ac:dyDescent="0.2">
      <c r="A101">
        <v>46122.68247511574</v>
      </c>
      <c r="B101">
        <v>20.626110000000001</v>
      </c>
      <c r="C101">
        <v>20.812104000000001</v>
      </c>
      <c r="D101">
        <v>20.428173999999999</v>
      </c>
      <c r="E101">
        <v>20.431395999999999</v>
      </c>
      <c r="F101">
        <v>29.741752000000002</v>
      </c>
      <c r="G101">
        <v>26.952071</v>
      </c>
      <c r="H101">
        <v>25.332979000000002</v>
      </c>
      <c r="I101">
        <v>22.734549999999999</v>
      </c>
      <c r="J101">
        <v>55.667408999999999</v>
      </c>
      <c r="K101">
        <v>49.111209000000002</v>
      </c>
      <c r="L101">
        <v>163.04719800000001</v>
      </c>
      <c r="M101">
        <v>-622.46367499999997</v>
      </c>
      <c r="N101">
        <v>1.254456</v>
      </c>
      <c r="O101">
        <v>6.1171090000000001</v>
      </c>
      <c r="P101">
        <f t="shared" si="6"/>
        <v>2.0907600000000003E-5</v>
      </c>
      <c r="Q101" cm="1">
        <f t="array" ref="Q101">[1]!PropsSI("D","T",J101+273.15,"P",101325,"Water")</f>
        <v>985.36855215507683</v>
      </c>
      <c r="R101" cm="1">
        <f t="array" ref="R101">[1]!PropsSI("D","T",K101+273.15,"P",101325,"Water")</f>
        <v>988.43444441686131</v>
      </c>
      <c r="S101">
        <f t="shared" si="7"/>
        <v>986.90149828596907</v>
      </c>
      <c r="T101" cm="1">
        <f t="array" ref="T101">[1]!PropsSI("H","T",J101+273.15,"P",101325,"Water")</f>
        <v>233120.8990663843</v>
      </c>
      <c r="U101" cm="1">
        <f t="array" ref="U101">[1]!PropsSI("H","T",K101+273.15,"P",101325,"Water")</f>
        <v>205702.26239512576</v>
      </c>
      <c r="V101">
        <f t="shared" si="8"/>
        <v>565.74906863856472</v>
      </c>
    </row>
    <row r="102" spans="1:22" x14ac:dyDescent="0.2">
      <c r="A102">
        <v>46122.682532986109</v>
      </c>
      <c r="B102">
        <v>20.676162000000001</v>
      </c>
      <c r="C102">
        <v>20.772379999999998</v>
      </c>
      <c r="D102">
        <v>20.46782</v>
      </c>
      <c r="E102">
        <v>20.549876999999999</v>
      </c>
      <c r="F102">
        <v>29.721706999999999</v>
      </c>
      <c r="G102">
        <v>27.176694000000001</v>
      </c>
      <c r="H102">
        <v>25.342794999999999</v>
      </c>
      <c r="I102">
        <v>23.234337</v>
      </c>
      <c r="J102">
        <v>55.670113999999998</v>
      </c>
      <c r="K102">
        <v>49.111843999999998</v>
      </c>
      <c r="L102">
        <v>161.98602700000001</v>
      </c>
      <c r="M102">
        <v>-622.50571400000001</v>
      </c>
      <c r="N102">
        <v>1.255349</v>
      </c>
      <c r="O102">
        <v>6.138242</v>
      </c>
      <c r="P102">
        <f t="shared" si="6"/>
        <v>2.0922483333333335E-5</v>
      </c>
      <c r="Q102" cm="1">
        <f t="array" ref="Q102">[1]!PropsSI("D","T",J102+273.15,"P",101325,"Water")</f>
        <v>985.36723122001024</v>
      </c>
      <c r="R102" cm="1">
        <f t="array" ref="R102">[1]!PropsSI("D","T",K102+273.15,"P",101325,"Water")</f>
        <v>988.43416092784003</v>
      </c>
      <c r="S102">
        <f t="shared" si="7"/>
        <v>986.90069607392513</v>
      </c>
      <c r="T102" cm="1">
        <f t="array" ref="T102">[1]!PropsSI("H","T",J102+273.15,"P",101325,"Water")</f>
        <v>233132.21462732329</v>
      </c>
      <c r="U102" cm="1">
        <f t="array" ref="U102">[1]!PropsSI("H","T",K102+273.15,"P",101325,"Water")</f>
        <v>205704.91739200757</v>
      </c>
      <c r="V102">
        <f t="shared" si="8"/>
        <v>566.33017080670027</v>
      </c>
    </row>
    <row r="103" spans="1:22" x14ac:dyDescent="0.2">
      <c r="A103">
        <v>46122.682590856479</v>
      </c>
      <c r="B103">
        <v>20.655263999999999</v>
      </c>
      <c r="C103">
        <v>20.781597999999999</v>
      </c>
      <c r="D103">
        <v>20.392562000000002</v>
      </c>
      <c r="E103">
        <v>20.480219000000002</v>
      </c>
      <c r="F103">
        <v>29.824179999999998</v>
      </c>
      <c r="G103">
        <v>27.198089</v>
      </c>
      <c r="H103">
        <v>25.633472999999999</v>
      </c>
      <c r="I103">
        <v>23.054852</v>
      </c>
      <c r="J103">
        <v>55.672024</v>
      </c>
      <c r="K103">
        <v>49.114862000000002</v>
      </c>
      <c r="L103">
        <v>158.66496799999999</v>
      </c>
      <c r="M103">
        <v>-622.48122499999999</v>
      </c>
      <c r="N103">
        <v>1.255398</v>
      </c>
      <c r="O103">
        <v>6.2491940000000001</v>
      </c>
      <c r="P103">
        <f t="shared" si="6"/>
        <v>2.09233E-5</v>
      </c>
      <c r="Q103" cm="1">
        <f t="array" ref="Q103">[1]!PropsSI("D","T",J103+273.15,"P",101325,"Water")</f>
        <v>985.36629848084067</v>
      </c>
      <c r="R103" cm="1">
        <f t="array" ref="R103">[1]!PropsSI("D","T",K103+273.15,"P",101325,"Water")</f>
        <v>988.43281353717759</v>
      </c>
      <c r="S103">
        <f t="shared" si="7"/>
        <v>986.89955600900907</v>
      </c>
      <c r="T103" cm="1">
        <f t="array" ref="T103">[1]!PropsSI("H","T",J103+273.15,"P",101325,"Water")</f>
        <v>233140.20454442195</v>
      </c>
      <c r="U103" cm="1">
        <f t="array" ref="U103">[1]!PropsSI("H","T",K103+273.15,"P",101325,"Water")</f>
        <v>205717.53594570549</v>
      </c>
      <c r="V103">
        <f t="shared" si="8"/>
        <v>566.25604448482591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C619-3B8C-C94E-B594-6B60FC5F2756}">
  <dimension ref="A1:W58"/>
  <sheetViews>
    <sheetView topLeftCell="F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2">
      <c r="A2">
        <v>44660.671916666797</v>
      </c>
      <c r="B2">
        <v>20.695377000000001</v>
      </c>
      <c r="C2">
        <v>20.700454000000001</v>
      </c>
      <c r="D2">
        <v>20.286815000000001</v>
      </c>
      <c r="E2">
        <v>20.350753999999998</v>
      </c>
      <c r="F2">
        <v>28.753627000000002</v>
      </c>
      <c r="G2">
        <v>25.614985999999998</v>
      </c>
      <c r="H2">
        <v>25.144361</v>
      </c>
      <c r="I2">
        <v>22.628979000000001</v>
      </c>
      <c r="J2">
        <v>55.489812999999998</v>
      </c>
      <c r="K2">
        <v>48.539484999999999</v>
      </c>
      <c r="L2">
        <v>206.006271</v>
      </c>
      <c r="M2">
        <v>-622.43510500000002</v>
      </c>
      <c r="N2">
        <v>1.2499439999999999</v>
      </c>
      <c r="O2">
        <v>5.8086650000000004</v>
      </c>
      <c r="P2">
        <f t="shared" ref="P2:P13" si="0" xml:space="preserve"> N2*0.001/60</f>
        <v>2.0832400000000001E-5</v>
      </c>
      <c r="Q2" cm="1">
        <f t="array" ref="Q2">[1]!PropsSI("D","T",J2+273.15,"P",101325,"Water")</f>
        <v>985.45517900435163</v>
      </c>
      <c r="R2" cm="1">
        <f t="array" ref="R2">[1]!PropsSI("D","T",K2+273.15,"P",101325,"Water")</f>
        <v>988.6885977018411</v>
      </c>
      <c r="S2">
        <f t="shared" ref="S2:S13" si="1">(Q2+R2)/2</f>
        <v>987.07188835309637</v>
      </c>
      <c r="T2" cm="1">
        <f t="array" ref="T2">[1]!PropsSI("H","T",J2+273.15,"P",101325,"Water")</f>
        <v>232377.98509417393</v>
      </c>
      <c r="U2" cm="1">
        <f t="array" ref="U2">[1]!PropsSI("H","T",K2+273.15,"P",101325,"Water")</f>
        <v>203311.87196477791</v>
      </c>
      <c r="V2">
        <f t="shared" ref="V2:V13" si="2">S2*P2*(T2-U2)</f>
        <v>597.68870513215575</v>
      </c>
      <c r="W2" s="1">
        <f>AVERAGE(V2:V58)</f>
        <v>594.85752849688924</v>
      </c>
    </row>
    <row r="3" spans="1:23" x14ac:dyDescent="0.2">
      <c r="A3">
        <v>44660.671974537203</v>
      </c>
      <c r="B3">
        <v>20.575458000000001</v>
      </c>
      <c r="C3">
        <v>20.472206</v>
      </c>
      <c r="D3">
        <v>20.262370000000001</v>
      </c>
      <c r="E3">
        <v>20.332533000000002</v>
      </c>
      <c r="F3">
        <v>28.649822</v>
      </c>
      <c r="G3">
        <v>25.444803</v>
      </c>
      <c r="H3">
        <v>24.536456000000001</v>
      </c>
      <c r="I3">
        <v>22.326212999999999</v>
      </c>
      <c r="J3">
        <v>55.486311999999998</v>
      </c>
      <c r="K3">
        <v>48.548853999999999</v>
      </c>
      <c r="L3">
        <v>215.65231900000001</v>
      </c>
      <c r="M3">
        <v>-622.51183600000002</v>
      </c>
      <c r="N3">
        <v>1.2480960000000001</v>
      </c>
      <c r="O3">
        <v>6.1694019999999998</v>
      </c>
      <c r="P3">
        <f t="shared" si="0"/>
        <v>2.0801600000000004E-5</v>
      </c>
      <c r="Q3" cm="1">
        <f t="array" ref="Q3">[1]!PropsSI("D","T",J3+273.15,"P",101325,"Water")</f>
        <v>985.45688474702717</v>
      </c>
      <c r="R3" cm="1">
        <f t="array" ref="R3">[1]!PropsSI("D","T",K3+273.15,"P",101325,"Water")</f>
        <v>988.6844503592547</v>
      </c>
      <c r="S3">
        <f t="shared" si="1"/>
        <v>987.07066755314099</v>
      </c>
      <c r="T3" cm="1">
        <f t="array" ref="T3">[1]!PropsSI("H","T",J3+273.15,"P",101325,"Water")</f>
        <v>232363.3399390007</v>
      </c>
      <c r="U3" cm="1">
        <f t="array" ref="U3">[1]!PropsSI("H","T",K3+273.15,"P",101325,"Water")</f>
        <v>203351.04326718074</v>
      </c>
      <c r="V3">
        <f t="shared" si="2"/>
        <v>595.69930999581356</v>
      </c>
      <c r="W3" s="1"/>
    </row>
    <row r="4" spans="1:23" x14ac:dyDescent="0.2">
      <c r="A4">
        <v>44660.672032986302</v>
      </c>
      <c r="B4">
        <v>20.564412999999998</v>
      </c>
      <c r="C4">
        <v>20.628385000000002</v>
      </c>
      <c r="D4">
        <v>20.346579999999999</v>
      </c>
      <c r="E4">
        <v>20.434711</v>
      </c>
      <c r="F4">
        <v>28.630545000000001</v>
      </c>
      <c r="G4">
        <v>25.582864000000001</v>
      </c>
      <c r="H4">
        <v>24.775195</v>
      </c>
      <c r="I4">
        <v>22.344004999999999</v>
      </c>
      <c r="J4">
        <v>55.495542</v>
      </c>
      <c r="K4">
        <v>48.557270000000003</v>
      </c>
      <c r="L4">
        <v>212.332077</v>
      </c>
      <c r="M4">
        <v>-622.47714399999995</v>
      </c>
      <c r="N4">
        <v>1.2474160000000001</v>
      </c>
      <c r="O4">
        <v>5.9309519999999996</v>
      </c>
      <c r="P4">
        <f t="shared" si="0"/>
        <v>2.079026666666667E-5</v>
      </c>
      <c r="Q4" cm="1">
        <f t="array" ref="Q4">[1]!PropsSI("D","T",J4+273.15,"P",101325,"Water")</f>
        <v>985.45238758145035</v>
      </c>
      <c r="R4" cm="1">
        <f t="array" ref="R4">[1]!PropsSI("D","T",K4+273.15,"P",101325,"Water")</f>
        <v>988.68072437854607</v>
      </c>
      <c r="S4">
        <f t="shared" si="1"/>
        <v>987.06655597999816</v>
      </c>
      <c r="T4" cm="1">
        <f t="array" ref="T4">[1]!PropsSI("H","T",J4+273.15,"P",101325,"Water")</f>
        <v>232401.95028363299</v>
      </c>
      <c r="U4" cm="1">
        <f t="array" ref="U4">[1]!PropsSI("H","T",K4+273.15,"P",101325,"Water")</f>
        <v>203386.23014542204</v>
      </c>
      <c r="V4">
        <f t="shared" si="2"/>
        <v>595.44252946200788</v>
      </c>
      <c r="W4" s="1"/>
    </row>
    <row r="5" spans="1:23" x14ac:dyDescent="0.2">
      <c r="A5">
        <v>44660.672091435401</v>
      </c>
      <c r="B5">
        <v>20.724278999999999</v>
      </c>
      <c r="C5">
        <v>20.659483999999999</v>
      </c>
      <c r="D5">
        <v>20.377444000000001</v>
      </c>
      <c r="E5">
        <v>20.454231</v>
      </c>
      <c r="F5">
        <v>28.753278999999999</v>
      </c>
      <c r="G5">
        <v>25.574400000000001</v>
      </c>
      <c r="H5">
        <v>24.768771999999998</v>
      </c>
      <c r="I5">
        <v>22.614115999999999</v>
      </c>
      <c r="J5">
        <v>55.505090000000003</v>
      </c>
      <c r="K5">
        <v>48.562828000000003</v>
      </c>
      <c r="L5">
        <v>216.171885</v>
      </c>
      <c r="M5">
        <v>-622.48122499999999</v>
      </c>
      <c r="N5">
        <v>1.2469239999999999</v>
      </c>
      <c r="O5">
        <v>6.1122420000000002</v>
      </c>
      <c r="P5">
        <f t="shared" si="0"/>
        <v>2.0782066666666665E-5</v>
      </c>
      <c r="Q5" cm="1">
        <f t="array" ref="Q5">[1]!PropsSI("D","T",J5+273.15,"P",101325,"Water")</f>
        <v>985.44773492191086</v>
      </c>
      <c r="R5" cm="1">
        <f t="array" ref="R5">[1]!PropsSI("D","T",K5+273.15,"P",101325,"Water")</f>
        <v>988.67826344918569</v>
      </c>
      <c r="S5">
        <f t="shared" si="1"/>
        <v>987.06299918554828</v>
      </c>
      <c r="T5" cm="1">
        <f t="array" ref="T5">[1]!PropsSI("H","T",J5+273.15,"P",101325,"Water")</f>
        <v>232441.8908986192</v>
      </c>
      <c r="U5" cm="1">
        <f t="array" ref="U5">[1]!PropsSI("H","T",K5+273.15,"P",101325,"Water")</f>
        <v>203409.46787758925</v>
      </c>
      <c r="V5">
        <f t="shared" si="2"/>
        <v>595.54816275347218</v>
      </c>
      <c r="W5" s="1"/>
    </row>
    <row r="6" spans="1:23" x14ac:dyDescent="0.2">
      <c r="A6">
        <v>46122.672149305552</v>
      </c>
      <c r="B6">
        <v>20.650607000000001</v>
      </c>
      <c r="C6">
        <v>20.910188000000002</v>
      </c>
      <c r="D6">
        <v>20.279323999999999</v>
      </c>
      <c r="E6">
        <v>20.356204000000002</v>
      </c>
      <c r="F6">
        <v>28.712806</v>
      </c>
      <c r="G6">
        <v>25.652646000000001</v>
      </c>
      <c r="H6">
        <v>24.580939999999998</v>
      </c>
      <c r="I6">
        <v>22.624872</v>
      </c>
      <c r="J6">
        <v>55.510818</v>
      </c>
      <c r="K6">
        <v>48.577914</v>
      </c>
      <c r="L6">
        <v>205.38344499999999</v>
      </c>
      <c r="M6">
        <v>-622.48000100000002</v>
      </c>
      <c r="N6">
        <v>1.249989</v>
      </c>
      <c r="O6">
        <v>6.1539239999999999</v>
      </c>
      <c r="P6">
        <f t="shared" si="0"/>
        <v>2.0833149999999999E-5</v>
      </c>
      <c r="Q6" cm="1">
        <f t="array" ref="Q6">[1]!PropsSI("D","T",J6+273.15,"P",101325,"Water")</f>
        <v>985.44494344584768</v>
      </c>
      <c r="R6" cm="1">
        <f t="array" ref="R6">[1]!PropsSI("D","T",K6+273.15,"P",101325,"Water")</f>
        <v>988.67158274516157</v>
      </c>
      <c r="S6">
        <f t="shared" si="1"/>
        <v>987.05826309550457</v>
      </c>
      <c r="T6" cm="1">
        <f t="array" ref="T6">[1]!PropsSI("H","T",J6+273.15,"P",101325,"Water")</f>
        <v>232465.8519372755</v>
      </c>
      <c r="U6" cm="1">
        <f t="array" ref="U6">[1]!PropsSI("H","T",K6+273.15,"P",101325,"Water")</f>
        <v>203472.54176237225</v>
      </c>
      <c r="V6">
        <f t="shared" si="2"/>
        <v>596.20488632227193</v>
      </c>
      <c r="W6" s="1"/>
    </row>
    <row r="7" spans="1:23" x14ac:dyDescent="0.2">
      <c r="A7">
        <v>46122.672207175929</v>
      </c>
      <c r="B7">
        <v>20.758516</v>
      </c>
      <c r="C7">
        <v>20.822707999999999</v>
      </c>
      <c r="D7">
        <v>20.312290999999998</v>
      </c>
      <c r="E7">
        <v>20.355753</v>
      </c>
      <c r="F7">
        <v>28.747160999999998</v>
      </c>
      <c r="G7">
        <v>25.628648999999999</v>
      </c>
      <c r="H7">
        <v>24.540161999999999</v>
      </c>
      <c r="I7">
        <v>22.502673000000001</v>
      </c>
      <c r="J7">
        <v>55.518456999999998</v>
      </c>
      <c r="K7">
        <v>48.588236000000002</v>
      </c>
      <c r="L7">
        <v>217.945674</v>
      </c>
      <c r="M7">
        <v>-622.50122399999998</v>
      </c>
      <c r="N7">
        <v>1.2482230000000001</v>
      </c>
      <c r="O7">
        <v>6.0213299999999998</v>
      </c>
      <c r="P7">
        <f t="shared" si="0"/>
        <v>2.0803716666666669E-5</v>
      </c>
      <c r="Q7" cm="1">
        <f t="array" ref="Q7">[1]!PropsSI("D","T",J7+273.15,"P",101325,"Water")</f>
        <v>985.44122035029341</v>
      </c>
      <c r="R7" cm="1">
        <f t="array" ref="R7">[1]!PropsSI("D","T",K7+273.15,"P",101325,"Water")</f>
        <v>988.66701086249759</v>
      </c>
      <c r="S7">
        <f t="shared" si="1"/>
        <v>987.0541156063955</v>
      </c>
      <c r="T7" cm="1">
        <f t="array" ref="T7">[1]!PropsSI("H","T",J7+273.15,"P",101325,"Water")</f>
        <v>232497.80697953823</v>
      </c>
      <c r="U7" cm="1">
        <f t="array" ref="U7">[1]!PropsSI("H","T",K7+273.15,"P",101325,"Water")</f>
        <v>203515.6976122637</v>
      </c>
      <c r="V7">
        <f t="shared" si="2"/>
        <v>595.13005721245793</v>
      </c>
      <c r="W7" s="1"/>
    </row>
    <row r="8" spans="1:23" x14ac:dyDescent="0.2">
      <c r="A8">
        <v>46122.672265624999</v>
      </c>
      <c r="B8">
        <v>21.013301999999999</v>
      </c>
      <c r="C8">
        <v>21.037758</v>
      </c>
      <c r="D8">
        <v>20.463315000000001</v>
      </c>
      <c r="E8">
        <v>20.520842999999999</v>
      </c>
      <c r="F8">
        <v>29.001463000000001</v>
      </c>
      <c r="G8">
        <v>25.804383000000001</v>
      </c>
      <c r="H8">
        <v>24.898071999999999</v>
      </c>
      <c r="I8">
        <v>22.530664999999999</v>
      </c>
      <c r="J8">
        <v>55.524662999999997</v>
      </c>
      <c r="K8">
        <v>48.597447000000003</v>
      </c>
      <c r="L8">
        <v>204.45002299999999</v>
      </c>
      <c r="M8">
        <v>-622.49795900000004</v>
      </c>
      <c r="N8">
        <v>1.2487969999999999</v>
      </c>
      <c r="O8">
        <v>6.2011839999999996</v>
      </c>
      <c r="P8">
        <f t="shared" si="0"/>
        <v>2.0813283333333333E-5</v>
      </c>
      <c r="Q8" cm="1">
        <f t="array" ref="Q8">[1]!PropsSI("D","T",J8+273.15,"P",101325,"Water")</f>
        <v>985.43819540493553</v>
      </c>
      <c r="R8" cm="1">
        <f t="array" ref="R8">[1]!PropsSI("D","T",K8+273.15,"P",101325,"Water")</f>
        <v>988.66293047076113</v>
      </c>
      <c r="S8">
        <f t="shared" si="1"/>
        <v>987.05056293784833</v>
      </c>
      <c r="T8" cm="1">
        <f t="array" ref="T8">[1]!PropsSI("H","T",J8+273.15,"P",101325,"Water")</f>
        <v>232523.76759139172</v>
      </c>
      <c r="U8" cm="1">
        <f t="array" ref="U8">[1]!PropsSI("H","T",K8+273.15,"P",101325,"Water")</f>
        <v>203554.20844099106</v>
      </c>
      <c r="V8">
        <f t="shared" si="2"/>
        <v>595.14375829117284</v>
      </c>
      <c r="W8" s="1"/>
    </row>
    <row r="9" spans="1:23" x14ac:dyDescent="0.2">
      <c r="A9">
        <v>46122.672323495368</v>
      </c>
      <c r="B9">
        <v>21.178082</v>
      </c>
      <c r="C9">
        <v>21.064266</v>
      </c>
      <c r="D9">
        <v>20.524405000000002</v>
      </c>
      <c r="E9">
        <v>20.677301</v>
      </c>
      <c r="F9">
        <v>29.117576</v>
      </c>
      <c r="G9">
        <v>25.764664</v>
      </c>
      <c r="H9">
        <v>25.136738000000001</v>
      </c>
      <c r="I9">
        <v>22.634623000000001</v>
      </c>
      <c r="J9">
        <v>55.528005</v>
      </c>
      <c r="K9">
        <v>48.613326999999998</v>
      </c>
      <c r="L9">
        <v>205.97810999999999</v>
      </c>
      <c r="M9">
        <v>-622.48979599999996</v>
      </c>
      <c r="N9">
        <v>1.249161</v>
      </c>
      <c r="O9">
        <v>6.0740420000000004</v>
      </c>
      <c r="P9">
        <f t="shared" si="0"/>
        <v>2.0819349999999999E-5</v>
      </c>
      <c r="Q9" cm="1">
        <f t="array" ref="Q9">[1]!PropsSI("D","T",J9+273.15,"P",101325,"Water")</f>
        <v>985.43656633974194</v>
      </c>
      <c r="R9" cm="1">
        <f t="array" ref="R9">[1]!PropsSI("D","T",K9+273.15,"P",101325,"Water")</f>
        <v>988.65589444248292</v>
      </c>
      <c r="S9">
        <f t="shared" si="1"/>
        <v>987.04623039111243</v>
      </c>
      <c r="T9" cm="1">
        <f t="array" ref="T9">[1]!PropsSI("H","T",J9+273.15,"P",101325,"Water")</f>
        <v>232537.74767533751</v>
      </c>
      <c r="U9" cm="1">
        <f t="array" ref="U9">[1]!PropsSI("H","T",K9+273.15,"P",101325,"Water")</f>
        <v>203620.60214805312</v>
      </c>
      <c r="V9">
        <f t="shared" si="2"/>
        <v>594.23753584270867</v>
      </c>
      <c r="W9" s="1"/>
    </row>
    <row r="10" spans="1:23" x14ac:dyDescent="0.2">
      <c r="A10">
        <v>44660.672381944598</v>
      </c>
      <c r="B10">
        <v>21.379639000000001</v>
      </c>
      <c r="C10">
        <v>21.182027999999999</v>
      </c>
      <c r="D10">
        <v>20.494136000000001</v>
      </c>
      <c r="E10">
        <v>20.561222999999998</v>
      </c>
      <c r="F10">
        <v>29.237870000000001</v>
      </c>
      <c r="G10">
        <v>25.957250999999999</v>
      </c>
      <c r="H10">
        <v>24.817105000000002</v>
      </c>
      <c r="I10">
        <v>22.694904999999999</v>
      </c>
      <c r="J10">
        <v>55.537075000000002</v>
      </c>
      <c r="K10">
        <v>48.633495000000003</v>
      </c>
      <c r="L10">
        <v>194.82397399999999</v>
      </c>
      <c r="M10">
        <v>-622.49142900000004</v>
      </c>
      <c r="N10">
        <v>1.247506</v>
      </c>
      <c r="O10">
        <v>6.2004729999999997</v>
      </c>
      <c r="P10">
        <f t="shared" si="0"/>
        <v>2.0791766666666666E-5</v>
      </c>
      <c r="Q10" cm="1">
        <f t="array" ref="Q10">[1]!PropsSI("D","T",J10+273.15,"P",101325,"Water")</f>
        <v>985.43214480089284</v>
      </c>
      <c r="R10" cm="1">
        <f t="array" ref="R10">[1]!PropsSI("D","T",K10+273.15,"P",101325,"Water")</f>
        <v>988.64695608590887</v>
      </c>
      <c r="S10">
        <f t="shared" si="1"/>
        <v>987.03955044340091</v>
      </c>
      <c r="T10" cm="1">
        <f t="array" ref="T10">[1]!PropsSI("H","T",J10+273.15,"P",101325,"Water")</f>
        <v>232575.688857751</v>
      </c>
      <c r="U10" cm="1">
        <f t="array" ref="U10">[1]!PropsSI("H","T",K10+273.15,"P",101325,"Water")</f>
        <v>203704.9239228839</v>
      </c>
      <c r="V10">
        <f t="shared" si="2"/>
        <v>592.49438442084636</v>
      </c>
    </row>
    <row r="11" spans="1:23" x14ac:dyDescent="0.2">
      <c r="A11">
        <v>44660.672439815004</v>
      </c>
      <c r="B11">
        <v>20.971613000000001</v>
      </c>
      <c r="C11">
        <v>21.011500999999999</v>
      </c>
      <c r="D11">
        <v>20.403867000000002</v>
      </c>
      <c r="E11">
        <v>20.444320000000001</v>
      </c>
      <c r="F11">
        <v>28.857424000000002</v>
      </c>
      <c r="G11">
        <v>25.692563</v>
      </c>
      <c r="H11">
        <v>24.630852000000001</v>
      </c>
      <c r="I11">
        <v>22.636666000000002</v>
      </c>
      <c r="J11">
        <v>55.545349999999999</v>
      </c>
      <c r="K11">
        <v>48.650962999999997</v>
      </c>
      <c r="L11">
        <v>216.42983100000001</v>
      </c>
      <c r="M11">
        <v>-622.49714300000005</v>
      </c>
      <c r="N11">
        <v>1.2448710000000001</v>
      </c>
      <c r="O11">
        <v>6.2940399999999999</v>
      </c>
      <c r="P11">
        <f t="shared" si="0"/>
        <v>2.0747850000000002E-5</v>
      </c>
      <c r="Q11" cm="1">
        <f t="array" ref="Q11">[1]!PropsSI("D","T",J11+273.15,"P",101325,"Water")</f>
        <v>985.42811037394631</v>
      </c>
      <c r="R11" cm="1">
        <f t="array" ref="R11">[1]!PropsSI("D","T",K11+273.15,"P",101325,"Water")</f>
        <v>988.63921216484425</v>
      </c>
      <c r="S11">
        <f t="shared" si="1"/>
        <v>987.03366126939522</v>
      </c>
      <c r="T11" cm="1">
        <f t="array" ref="T11">[1]!PropsSI("H","T",J11+273.15,"P",101325,"Water")</f>
        <v>232610.30446137101</v>
      </c>
      <c r="U11" cm="1">
        <f t="array" ref="U11">[1]!PropsSI("H","T",K11+273.15,"P",101325,"Water")</f>
        <v>203777.95716797636</v>
      </c>
      <c r="V11">
        <f t="shared" si="2"/>
        <v>590.45263345457295</v>
      </c>
    </row>
    <row r="12" spans="1:23" x14ac:dyDescent="0.2">
      <c r="A12">
        <v>44660.672497685402</v>
      </c>
      <c r="B12">
        <v>20.887042999999998</v>
      </c>
      <c r="C12">
        <v>21.012338</v>
      </c>
      <c r="D12">
        <v>20.358055</v>
      </c>
      <c r="E12">
        <v>20.585255</v>
      </c>
      <c r="F12">
        <v>28.899232000000001</v>
      </c>
      <c r="G12">
        <v>25.588224</v>
      </c>
      <c r="H12">
        <v>25.018747000000001</v>
      </c>
      <c r="I12">
        <v>22.482505</v>
      </c>
      <c r="J12">
        <v>55.552193000000003</v>
      </c>
      <c r="K12">
        <v>48.654933</v>
      </c>
      <c r="L12">
        <v>211.02724499999999</v>
      </c>
      <c r="M12">
        <v>-622.50163299999997</v>
      </c>
      <c r="N12">
        <v>1.2487429999999999</v>
      </c>
      <c r="O12">
        <v>6.0908800000000003</v>
      </c>
      <c r="P12">
        <f t="shared" si="0"/>
        <v>2.0812383333333331E-5</v>
      </c>
      <c r="Q12" cm="1">
        <f t="array" ref="Q12">[1]!PropsSI("D","T",J12+273.15,"P",101325,"Water")</f>
        <v>985.42477379079003</v>
      </c>
      <c r="R12" cm="1">
        <f t="array" ref="R12">[1]!PropsSI("D","T",K12+273.15,"P",101325,"Water")</f>
        <v>988.63745189918632</v>
      </c>
      <c r="S12">
        <f t="shared" si="1"/>
        <v>987.03111284498823</v>
      </c>
      <c r="T12" cm="1">
        <f t="array" ref="T12">[1]!PropsSI("H","T",J12+273.15,"P",101325,"Water")</f>
        <v>232638.92980682931</v>
      </c>
      <c r="U12" cm="1">
        <f t="array" ref="U12">[1]!PropsSI("H","T",K12+273.15,"P",101325,"Water")</f>
        <v>203794.5556438592</v>
      </c>
      <c r="V12">
        <f t="shared" si="2"/>
        <v>592.53468752111939</v>
      </c>
    </row>
    <row r="13" spans="1:23" x14ac:dyDescent="0.2">
      <c r="A13">
        <v>44660.672556134399</v>
      </c>
      <c r="B13">
        <v>20.773173</v>
      </c>
      <c r="C13">
        <v>20.981348000000001</v>
      </c>
      <c r="D13">
        <v>20.328683000000002</v>
      </c>
      <c r="E13">
        <v>20.433996</v>
      </c>
      <c r="F13">
        <v>28.723718999999999</v>
      </c>
      <c r="G13">
        <v>25.704006</v>
      </c>
      <c r="H13">
        <v>24.543531999999999</v>
      </c>
      <c r="I13">
        <v>22.235772999999998</v>
      </c>
      <c r="J13">
        <v>55.554102999999998</v>
      </c>
      <c r="K13">
        <v>48.656680000000001</v>
      </c>
      <c r="L13">
        <v>209.24488500000001</v>
      </c>
      <c r="M13">
        <v>-622.49918400000001</v>
      </c>
      <c r="N13">
        <v>1.2483249999999999</v>
      </c>
      <c r="O13">
        <v>6.1069680000000002</v>
      </c>
      <c r="P13">
        <f t="shared" si="0"/>
        <v>2.0805416666666666E-5</v>
      </c>
      <c r="Q13" cm="1">
        <f t="array" ref="Q13">[1]!PropsSI("D","T",J13+273.15,"P",101325,"Water")</f>
        <v>985.42384244092602</v>
      </c>
      <c r="R13" cm="1">
        <f t="array" ref="R13">[1]!PropsSI("D","T",K13+273.15,"P",101325,"Water")</f>
        <v>988.63667726032622</v>
      </c>
      <c r="S13">
        <f t="shared" si="1"/>
        <v>987.03025985062618</v>
      </c>
      <c r="T13" cm="1">
        <f t="array" ref="T13">[1]!PropsSI("H","T",J13+273.15,"P",101325,"Water")</f>
        <v>232646.9196404223</v>
      </c>
      <c r="U13" cm="1">
        <f t="array" ref="U13">[1]!PropsSI("H","T",K13+273.15,"P",101325,"Water")</f>
        <v>203801.85981073038</v>
      </c>
      <c r="V13">
        <f t="shared" si="2"/>
        <v>592.34991313047647</v>
      </c>
    </row>
    <row r="14" spans="1:23" x14ac:dyDescent="0.2">
      <c r="A14">
        <v>44660.672614583498</v>
      </c>
      <c r="B14">
        <v>20.667103999999998</v>
      </c>
      <c r="C14">
        <v>20.806566</v>
      </c>
      <c r="D14">
        <v>20.290112000000001</v>
      </c>
      <c r="E14">
        <v>20.401337000000002</v>
      </c>
      <c r="F14">
        <v>28.730089</v>
      </c>
      <c r="G14">
        <v>25.501401000000001</v>
      </c>
      <c r="H14">
        <v>24.871873000000001</v>
      </c>
      <c r="I14">
        <v>22.547003</v>
      </c>
      <c r="J14">
        <v>55.554580000000001</v>
      </c>
      <c r="K14">
        <v>48.653979999999997</v>
      </c>
      <c r="L14">
        <v>223.034807</v>
      </c>
      <c r="M14">
        <v>-622.43183999999997</v>
      </c>
      <c r="N14">
        <v>1.2504280000000001</v>
      </c>
      <c r="O14">
        <v>6.1201080000000001</v>
      </c>
      <c r="P14">
        <f t="shared" ref="P14:P58" si="3" xml:space="preserve"> N14*0.001/60</f>
        <v>2.0840466666666668E-5</v>
      </c>
      <c r="Q14" cm="1">
        <f t="array" ref="Q14">[1]!PropsSI("D","T",J14+273.15,"P",101325,"Water")</f>
        <v>985.42360984378047</v>
      </c>
      <c r="R14" cm="1">
        <f t="array" ref="R14">[1]!PropsSI("D","T",K14+273.15,"P",101325,"Water")</f>
        <v>988.63787446118943</v>
      </c>
      <c r="S14">
        <f t="shared" ref="S14:S58" si="4">(Q14+R14)/2</f>
        <v>987.03074215248489</v>
      </c>
      <c r="T14" cm="1">
        <f t="array" ref="T14">[1]!PropsSI("H","T",J14+273.15,"P",101325,"Water")</f>
        <v>232648.91500737795</v>
      </c>
      <c r="U14" cm="1">
        <f t="array" ref="U14">[1]!PropsSI("H","T",K14+273.15,"P",101325,"Water")</f>
        <v>203790.57117309264</v>
      </c>
      <c r="V14">
        <f t="shared" ref="V14:V58" si="5">S14*P14*(T14-U14)</f>
        <v>593.62136413502469</v>
      </c>
    </row>
    <row r="15" spans="1:23" x14ac:dyDescent="0.2">
      <c r="A15">
        <v>46122.672673032408</v>
      </c>
      <c r="B15">
        <v>20.71922</v>
      </c>
      <c r="C15">
        <v>20.919502999999999</v>
      </c>
      <c r="D15">
        <v>20.323224</v>
      </c>
      <c r="E15">
        <v>20.393219999999999</v>
      </c>
      <c r="F15">
        <v>28.786110999999998</v>
      </c>
      <c r="G15">
        <v>25.793953999999999</v>
      </c>
      <c r="H15">
        <v>24.879819000000001</v>
      </c>
      <c r="I15">
        <v>22.565467999999999</v>
      </c>
      <c r="J15">
        <v>55.559671999999999</v>
      </c>
      <c r="K15">
        <v>48.653661999999997</v>
      </c>
      <c r="L15">
        <v>218.38279499999999</v>
      </c>
      <c r="M15">
        <v>-622.53101900000001</v>
      </c>
      <c r="N15">
        <v>1.245846</v>
      </c>
      <c r="O15">
        <v>6.1292200000000001</v>
      </c>
      <c r="P15">
        <f t="shared" si="3"/>
        <v>2.0764100000000003E-5</v>
      </c>
      <c r="Q15" cm="1">
        <f t="array" ref="Q15">[1]!PropsSI("D","T",J15+273.15,"P",101325,"Water")</f>
        <v>985.42112676936301</v>
      </c>
      <c r="R15" cm="1">
        <f t="array" ref="R15">[1]!PropsSI("D","T",K15+273.15,"P",101325,"Water")</f>
        <v>988.63801546164359</v>
      </c>
      <c r="S15">
        <f t="shared" si="4"/>
        <v>987.02957111550336</v>
      </c>
      <c r="T15" cm="1">
        <f t="array" ref="T15">[1]!PropsSI("H","T",J15+273.15,"P",101325,"Water")</f>
        <v>232670.2156602132</v>
      </c>
      <c r="U15" cm="1">
        <f t="array" ref="U15">[1]!PropsSI("H","T",K15+273.15,"P",101325,"Water")</f>
        <v>203789.24162257413</v>
      </c>
      <c r="V15">
        <f t="shared" si="5"/>
        <v>591.90922981209485</v>
      </c>
    </row>
    <row r="16" spans="1:23" x14ac:dyDescent="0.2">
      <c r="A16">
        <v>46122.672730902777</v>
      </c>
      <c r="B16">
        <v>20.717690000000001</v>
      </c>
      <c r="C16">
        <v>20.954186</v>
      </c>
      <c r="D16">
        <v>20.253933</v>
      </c>
      <c r="E16">
        <v>20.303967</v>
      </c>
      <c r="F16">
        <v>28.720043</v>
      </c>
      <c r="G16">
        <v>25.702393000000001</v>
      </c>
      <c r="H16">
        <v>24.785931999999999</v>
      </c>
      <c r="I16">
        <v>22.432663000000002</v>
      </c>
      <c r="J16">
        <v>55.563809999999997</v>
      </c>
      <c r="K16">
        <v>48.652709999999999</v>
      </c>
      <c r="L16">
        <v>207.86291299999999</v>
      </c>
      <c r="M16">
        <v>-622.51183600000002</v>
      </c>
      <c r="N16">
        <v>1.2507189999999999</v>
      </c>
      <c r="O16">
        <v>6.1634289999999998</v>
      </c>
      <c r="P16">
        <f t="shared" si="3"/>
        <v>2.0845316666666665E-5</v>
      </c>
      <c r="Q16" cm="1">
        <f t="array" ref="Q16">[1]!PropsSI("D","T",J16+273.15,"P",101325,"Water")</f>
        <v>985.41910878777799</v>
      </c>
      <c r="R16" cm="1">
        <f t="array" ref="R16">[1]!PropsSI("D","T",K16+273.15,"P",101325,"Water")</f>
        <v>988.63843757219445</v>
      </c>
      <c r="S16">
        <f t="shared" si="4"/>
        <v>987.02877317998627</v>
      </c>
      <c r="T16" cm="1">
        <f t="array" ref="T16">[1]!PropsSI("H","T",J16+273.15,"P",101325,"Water")</f>
        <v>232687.52558502558</v>
      </c>
      <c r="U16" cm="1">
        <f t="array" ref="U16">[1]!PropsSI("H","T",K16+273.15,"P",101325,"Water")</f>
        <v>203785.26133310489</v>
      </c>
      <c r="V16">
        <f t="shared" si="5"/>
        <v>594.66198683053506</v>
      </c>
    </row>
    <row r="17" spans="1:22" x14ac:dyDescent="0.2">
      <c r="A17">
        <v>46122.672789351855</v>
      </c>
      <c r="B17">
        <v>20.599481000000001</v>
      </c>
      <c r="C17">
        <v>20.931208000000002</v>
      </c>
      <c r="D17">
        <v>20.278065999999999</v>
      </c>
      <c r="E17">
        <v>20.371957999999999</v>
      </c>
      <c r="F17">
        <v>28.679276999999999</v>
      </c>
      <c r="G17">
        <v>25.725019</v>
      </c>
      <c r="H17">
        <v>24.652044</v>
      </c>
      <c r="I17">
        <v>22.290690000000001</v>
      </c>
      <c r="J17">
        <v>55.57479</v>
      </c>
      <c r="K17">
        <v>48.656362000000001</v>
      </c>
      <c r="L17">
        <v>203.23253299999999</v>
      </c>
      <c r="M17">
        <v>-622.51755000000003</v>
      </c>
      <c r="N17">
        <v>1.247387</v>
      </c>
      <c r="O17">
        <v>5.7085530000000002</v>
      </c>
      <c r="P17">
        <f t="shared" si="3"/>
        <v>2.0789783333333332E-5</v>
      </c>
      <c r="Q17" cm="1">
        <f t="array" ref="Q17">[1]!PropsSI("D","T",J17+273.15,"P",101325,"Water")</f>
        <v>985.41375365072213</v>
      </c>
      <c r="R17" cm="1">
        <f t="array" ref="R17">[1]!PropsSI("D","T",K17+273.15,"P",101325,"Water")</f>
        <v>988.63681826652862</v>
      </c>
      <c r="S17">
        <f t="shared" si="4"/>
        <v>987.02528595862532</v>
      </c>
      <c r="T17" cm="1">
        <f t="array" ref="T17">[1]!PropsSI("H","T",J17+273.15,"P",101325,"Water")</f>
        <v>232733.45673574891</v>
      </c>
      <c r="U17" cm="1">
        <f t="array" ref="U17">[1]!PropsSI("H","T",K17+273.15,"P",101325,"Water")</f>
        <v>203800.53025999182</v>
      </c>
      <c r="V17">
        <f t="shared" si="5"/>
        <v>593.7048618246406</v>
      </c>
    </row>
    <row r="18" spans="1:22" x14ac:dyDescent="0.2">
      <c r="A18">
        <v>46122.672847800925</v>
      </c>
      <c r="B18">
        <v>20.844864999999999</v>
      </c>
      <c r="C18">
        <v>21.154283</v>
      </c>
      <c r="D18">
        <v>20.332705000000001</v>
      </c>
      <c r="E18">
        <v>20.623557000000002</v>
      </c>
      <c r="F18">
        <v>28.801646000000002</v>
      </c>
      <c r="G18">
        <v>25.742028999999999</v>
      </c>
      <c r="H18">
        <v>24.703254000000001</v>
      </c>
      <c r="I18">
        <v>22.277232000000001</v>
      </c>
      <c r="J18">
        <v>55.579087000000001</v>
      </c>
      <c r="K18">
        <v>48.660173</v>
      </c>
      <c r="L18">
        <v>202.41502299999999</v>
      </c>
      <c r="M18">
        <v>-622.54163100000005</v>
      </c>
      <c r="N18">
        <v>1.246256</v>
      </c>
      <c r="O18">
        <v>6.0770160000000004</v>
      </c>
      <c r="P18">
        <f t="shared" si="3"/>
        <v>2.0770933333333335E-5</v>
      </c>
      <c r="Q18" cm="1">
        <f t="array" ref="Q18">[1]!PropsSI("D","T",J18+273.15,"P",101325,"Water")</f>
        <v>985.41165772647469</v>
      </c>
      <c r="R18" cm="1">
        <f t="array" ref="R18">[1]!PropsSI("D","T",K18+273.15,"P",101325,"Water")</f>
        <v>988.63512836508403</v>
      </c>
      <c r="S18">
        <f t="shared" si="4"/>
        <v>987.02339304577936</v>
      </c>
      <c r="T18" cm="1">
        <f t="array" ref="T18">[1]!PropsSI("H","T",J18+273.15,"P",101325,"Water")</f>
        <v>232751.43180758459</v>
      </c>
      <c r="U18" cm="1">
        <f t="array" ref="U18">[1]!PropsSI("H","T",K18+273.15,"P",101325,"Water")</f>
        <v>203816.46396592306</v>
      </c>
      <c r="V18">
        <f t="shared" si="5"/>
        <v>593.20726566436872</v>
      </c>
    </row>
    <row r="19" spans="1:22" x14ac:dyDescent="0.2">
      <c r="A19">
        <v>46122.672906250002</v>
      </c>
      <c r="B19">
        <v>20.619644000000001</v>
      </c>
      <c r="C19">
        <v>20.872993999999998</v>
      </c>
      <c r="D19">
        <v>20.352602000000001</v>
      </c>
      <c r="E19">
        <v>20.492352</v>
      </c>
      <c r="F19">
        <v>28.640150999999999</v>
      </c>
      <c r="G19">
        <v>25.582395000000002</v>
      </c>
      <c r="H19">
        <v>24.539859</v>
      </c>
      <c r="I19">
        <v>22.245538</v>
      </c>
      <c r="J19">
        <v>55.575586000000001</v>
      </c>
      <c r="K19">
        <v>48.668272000000002</v>
      </c>
      <c r="L19">
        <v>236.425973</v>
      </c>
      <c r="M19">
        <v>-622.44163600000002</v>
      </c>
      <c r="N19">
        <v>1.2439039999999999</v>
      </c>
      <c r="O19">
        <v>5.9757220000000002</v>
      </c>
      <c r="P19">
        <f t="shared" si="3"/>
        <v>2.073173333333333E-5</v>
      </c>
      <c r="Q19" cm="1">
        <f t="array" ref="Q19">[1]!PropsSI("D","T",J19+273.15,"P",101325,"Water")</f>
        <v>985.41336539873612</v>
      </c>
      <c r="R19" cm="1">
        <f t="array" ref="R19">[1]!PropsSI("D","T",K19+273.15,"P",101325,"Water")</f>
        <v>988.63153672605188</v>
      </c>
      <c r="S19">
        <f t="shared" si="4"/>
        <v>987.022451062394</v>
      </c>
      <c r="T19" cm="1">
        <f t="array" ref="T19">[1]!PropsSI("H","T",J19+273.15,"P",101325,"Water")</f>
        <v>232736.78653680644</v>
      </c>
      <c r="U19" cm="1">
        <f t="array" ref="U19">[1]!PropsSI("H","T",K19+273.15,"P",101325,"Water")</f>
        <v>203850.32571665861</v>
      </c>
      <c r="V19">
        <f t="shared" si="5"/>
        <v>591.09458461938573</v>
      </c>
    </row>
    <row r="20" spans="1:22" x14ac:dyDescent="0.2">
      <c r="A20">
        <v>46122.672964120371</v>
      </c>
      <c r="B20">
        <v>20.671726</v>
      </c>
      <c r="C20">
        <v>20.934837999999999</v>
      </c>
      <c r="D20">
        <v>20.319994999999999</v>
      </c>
      <c r="E20">
        <v>20.398982</v>
      </c>
      <c r="F20">
        <v>28.734839999999998</v>
      </c>
      <c r="G20">
        <v>25.641953000000001</v>
      </c>
      <c r="H20">
        <v>24.894279999999998</v>
      </c>
      <c r="I20">
        <v>22.438517999999998</v>
      </c>
      <c r="J20">
        <v>55.583064999999998</v>
      </c>
      <c r="K20">
        <v>48.673037000000001</v>
      </c>
      <c r="L20">
        <v>210.80031700000001</v>
      </c>
      <c r="M20">
        <v>-622.53632500000003</v>
      </c>
      <c r="N20">
        <v>1.2444120000000001</v>
      </c>
      <c r="O20">
        <v>6.0541289999999996</v>
      </c>
      <c r="P20">
        <f t="shared" si="3"/>
        <v>2.0740200000000002E-5</v>
      </c>
      <c r="Q20" cm="1">
        <f t="array" ref="Q20">[1]!PropsSI("D","T",J20+273.15,"P",101325,"Water")</f>
        <v>985.4097172975878</v>
      </c>
      <c r="R20" cm="1">
        <f t="array" ref="R20">[1]!PropsSI("D","T",K20+273.15,"P",101325,"Water")</f>
        <v>988.62942340169968</v>
      </c>
      <c r="S20">
        <f t="shared" si="4"/>
        <v>987.0195703496438</v>
      </c>
      <c r="T20" cm="1">
        <f t="array" ref="T20">[1]!PropsSI("H","T",J20+273.15,"P",101325,"Water")</f>
        <v>232768.07245496189</v>
      </c>
      <c r="U20" cm="1">
        <f t="array" ref="U20">[1]!PropsSI("H","T",K20+273.15,"P",101325,"Water")</f>
        <v>203870.24809068066</v>
      </c>
      <c r="V20">
        <f t="shared" si="5"/>
        <v>591.56687976425781</v>
      </c>
    </row>
    <row r="21" spans="1:22" x14ac:dyDescent="0.2">
      <c r="A21">
        <v>46122.67302199074</v>
      </c>
      <c r="B21">
        <v>20.712126999999999</v>
      </c>
      <c r="C21">
        <v>20.894138000000002</v>
      </c>
      <c r="D21">
        <v>20.381408</v>
      </c>
      <c r="E21">
        <v>20.556228999999998</v>
      </c>
      <c r="F21">
        <v>28.739101000000002</v>
      </c>
      <c r="G21">
        <v>25.708618000000001</v>
      </c>
      <c r="H21">
        <v>24.963190000000001</v>
      </c>
      <c r="I21">
        <v>22.468385999999999</v>
      </c>
      <c r="J21">
        <v>55.589908000000001</v>
      </c>
      <c r="K21">
        <v>48.669702000000001</v>
      </c>
      <c r="L21">
        <v>209.20815200000001</v>
      </c>
      <c r="M21">
        <v>-622.46734900000001</v>
      </c>
      <c r="N21">
        <v>1.2449939999999999</v>
      </c>
      <c r="O21">
        <v>5.8339920000000003</v>
      </c>
      <c r="P21">
        <f t="shared" si="3"/>
        <v>2.0749899999999999E-5</v>
      </c>
      <c r="Q21" cm="1">
        <f t="array" ref="Q21">[1]!PropsSI("D","T",J21+273.15,"P",101325,"Water")</f>
        <v>985.40637912166721</v>
      </c>
      <c r="R21" cm="1">
        <f t="array" ref="R21">[1]!PropsSI("D","T",K21+273.15,"P",101325,"Water")</f>
        <v>988.63090252288214</v>
      </c>
      <c r="S21">
        <f t="shared" si="4"/>
        <v>987.01864082227462</v>
      </c>
      <c r="T21" cm="1">
        <f t="array" ref="T21">[1]!PropsSI("H","T",J21+273.15,"P",101325,"Water")</f>
        <v>232796.69789605404</v>
      </c>
      <c r="U21" cm="1">
        <f t="array" ref="U21">[1]!PropsSI("H","T",K21+273.15,"P",101325,"Water")</f>
        <v>203856.30451872176</v>
      </c>
      <c r="V21">
        <f t="shared" si="5"/>
        <v>592.71482905447306</v>
      </c>
    </row>
    <row r="22" spans="1:22" x14ac:dyDescent="0.2">
      <c r="A22">
        <v>46122.673080439818</v>
      </c>
      <c r="B22">
        <v>20.562639999999998</v>
      </c>
      <c r="C22">
        <v>20.734553999999999</v>
      </c>
      <c r="D22">
        <v>20.342268000000001</v>
      </c>
      <c r="E22">
        <v>20.475234</v>
      </c>
      <c r="F22">
        <v>28.667280999999999</v>
      </c>
      <c r="G22">
        <v>25.707557000000001</v>
      </c>
      <c r="H22">
        <v>24.902984</v>
      </c>
      <c r="I22">
        <v>22.597102</v>
      </c>
      <c r="J22">
        <v>55.592453999999996</v>
      </c>
      <c r="K22">
        <v>48.674624999999999</v>
      </c>
      <c r="L22">
        <v>203.02519599999999</v>
      </c>
      <c r="M22">
        <v>-622.49918400000001</v>
      </c>
      <c r="N22">
        <v>1.2441420000000001</v>
      </c>
      <c r="O22">
        <v>5.9114459999999998</v>
      </c>
      <c r="P22">
        <f t="shared" si="3"/>
        <v>2.0735700000000002E-5</v>
      </c>
      <c r="Q22" cm="1">
        <f t="array" ref="Q22">[1]!PropsSI("D","T",J22+273.15,"P",101325,"Water")</f>
        <v>985.40513704937769</v>
      </c>
      <c r="R22" cm="1">
        <f t="array" ref="R22">[1]!PropsSI("D","T",K22+273.15,"P",101325,"Water")</f>
        <v>988.62871907450017</v>
      </c>
      <c r="S22">
        <f t="shared" si="4"/>
        <v>987.01692806193887</v>
      </c>
      <c r="T22" cm="1">
        <f t="array" ref="T22">[1]!PropsSI("H","T",J22+273.15,"P",101325,"Water")</f>
        <v>232807.3482545749</v>
      </c>
      <c r="U22" cm="1">
        <f t="array" ref="U22">[1]!PropsSI("H","T",K22+273.15,"P",101325,"Water")</f>
        <v>203876.88748962508</v>
      </c>
      <c r="V22">
        <f t="shared" si="5"/>
        <v>592.10489669695608</v>
      </c>
    </row>
    <row r="23" spans="1:22" x14ac:dyDescent="0.2">
      <c r="A23">
        <v>46122.673138888887</v>
      </c>
      <c r="B23">
        <v>20.567271000000002</v>
      </c>
      <c r="C23">
        <v>20.650483999999999</v>
      </c>
      <c r="D23">
        <v>20.307403000000001</v>
      </c>
      <c r="E23">
        <v>20.478400000000001</v>
      </c>
      <c r="F23">
        <v>28.624179999999999</v>
      </c>
      <c r="G23">
        <v>25.548843999999999</v>
      </c>
      <c r="H23">
        <v>24.889868</v>
      </c>
      <c r="I23">
        <v>22.444403000000001</v>
      </c>
      <c r="J23">
        <v>55.596274000000001</v>
      </c>
      <c r="K23">
        <v>48.680342000000003</v>
      </c>
      <c r="L23">
        <v>211.93944400000001</v>
      </c>
      <c r="M23">
        <v>-622.49102100000005</v>
      </c>
      <c r="N23">
        <v>1.2505059999999999</v>
      </c>
      <c r="O23">
        <v>6.0626309999999997</v>
      </c>
      <c r="P23">
        <f t="shared" si="3"/>
        <v>2.0841766666666668E-5</v>
      </c>
      <c r="Q23" cm="1">
        <f t="array" ref="Q23">[1]!PropsSI("D","T",J23+273.15,"P",101325,"Water")</f>
        <v>985.40327337813346</v>
      </c>
      <c r="R23" cm="1">
        <f t="array" ref="R23">[1]!PropsSI("D","T",K23+273.15,"P",101325,"Water")</f>
        <v>988.62618326868949</v>
      </c>
      <c r="S23">
        <f t="shared" si="4"/>
        <v>987.01472832341142</v>
      </c>
      <c r="T23" cm="1">
        <f t="array" ref="T23">[1]!PropsSI("H","T",J23+273.15,"P",101325,"Water")</f>
        <v>232823.32798001557</v>
      </c>
      <c r="U23" cm="1">
        <f t="array" ref="U23">[1]!PropsSI("H","T",K23+273.15,"P",101325,"Water")</f>
        <v>203900.79016765463</v>
      </c>
      <c r="V23">
        <f t="shared" si="5"/>
        <v>594.96930448065405</v>
      </c>
    </row>
    <row r="24" spans="1:22" x14ac:dyDescent="0.2">
      <c r="A24">
        <v>46122.673197337965</v>
      </c>
      <c r="B24">
        <v>20.633485</v>
      </c>
      <c r="C24">
        <v>20.704533000000001</v>
      </c>
      <c r="D24">
        <v>20.427595</v>
      </c>
      <c r="E24">
        <v>20.559677000000001</v>
      </c>
      <c r="F24">
        <v>28.722847000000002</v>
      </c>
      <c r="G24">
        <v>25.621061999999998</v>
      </c>
      <c r="H24">
        <v>25.142658999999998</v>
      </c>
      <c r="I24">
        <v>22.574670999999999</v>
      </c>
      <c r="J24">
        <v>55.604708000000002</v>
      </c>
      <c r="K24">
        <v>48.685741</v>
      </c>
      <c r="L24">
        <v>212.91572099999999</v>
      </c>
      <c r="M24">
        <v>-622.49836700000003</v>
      </c>
      <c r="N24">
        <v>1.251649</v>
      </c>
      <c r="O24">
        <v>5.8348810000000002</v>
      </c>
      <c r="P24">
        <f t="shared" si="3"/>
        <v>2.0860816666666669E-5</v>
      </c>
      <c r="Q24" cm="1">
        <f t="array" ref="Q24">[1]!PropsSI("D","T",J24+273.15,"P",101325,"Water")</f>
        <v>985.39915834638157</v>
      </c>
      <c r="R24" cm="1">
        <f t="array" ref="R24">[1]!PropsSI("D","T",K24+273.15,"P",101325,"Water")</f>
        <v>988.62378831358285</v>
      </c>
      <c r="S24">
        <f t="shared" si="4"/>
        <v>987.01147332998221</v>
      </c>
      <c r="T24" cm="1">
        <f t="array" ref="T24">[1]!PropsSI("H","T",J24+273.15,"P",101325,"Water")</f>
        <v>232858.60889038988</v>
      </c>
      <c r="U24" cm="1">
        <f t="array" ref="U24">[1]!PropsSI("H","T",K24+273.15,"P",101325,"Water")</f>
        <v>203923.36330100746</v>
      </c>
      <c r="V24">
        <f t="shared" si="5"/>
        <v>595.772811799745</v>
      </c>
    </row>
    <row r="25" spans="1:22" x14ac:dyDescent="0.2">
      <c r="A25">
        <v>46122.673255787035</v>
      </c>
      <c r="B25">
        <v>20.606082000000001</v>
      </c>
      <c r="C25">
        <v>20.714497999999999</v>
      </c>
      <c r="D25">
        <v>20.363989</v>
      </c>
      <c r="E25">
        <v>20.502472000000001</v>
      </c>
      <c r="F25">
        <v>28.679323</v>
      </c>
      <c r="G25">
        <v>25.795470999999999</v>
      </c>
      <c r="H25">
        <v>24.832512000000001</v>
      </c>
      <c r="I25">
        <v>22.727997999999999</v>
      </c>
      <c r="J25">
        <v>55.613460000000003</v>
      </c>
      <c r="K25">
        <v>48.699874999999999</v>
      </c>
      <c r="L25">
        <v>204.81857600000001</v>
      </c>
      <c r="M25">
        <v>-622.50530600000002</v>
      </c>
      <c r="N25">
        <v>1.2536400000000001</v>
      </c>
      <c r="O25">
        <v>6.1644459999999999</v>
      </c>
      <c r="P25">
        <f t="shared" si="3"/>
        <v>2.0894E-5</v>
      </c>
      <c r="Q25" cm="1">
        <f t="array" ref="Q25">[1]!PropsSI("D","T",J25+273.15,"P",101325,"Water")</f>
        <v>985.39488769531772</v>
      </c>
      <c r="R25" cm="1">
        <f t="array" ref="R25">[1]!PropsSI("D","T",K25+273.15,"P",101325,"Water")</f>
        <v>988.61751765986685</v>
      </c>
      <c r="S25">
        <f t="shared" si="4"/>
        <v>987.00620267759223</v>
      </c>
      <c r="T25" cm="1">
        <f t="array" ref="T25">[1]!PropsSI("H","T",J25+273.15,"P",101325,"Water")</f>
        <v>232895.22007882371</v>
      </c>
      <c r="U25" cm="1">
        <f t="array" ref="U25">[1]!PropsSI("H","T",K25+273.15,"P",101325,"Water")</f>
        <v>203982.45736675302</v>
      </c>
      <c r="V25">
        <f t="shared" si="5"/>
        <v>596.25366873040662</v>
      </c>
    </row>
    <row r="26" spans="1:22" x14ac:dyDescent="0.2">
      <c r="A26">
        <v>46122.673313657404</v>
      </c>
      <c r="B26">
        <v>20.658733999999999</v>
      </c>
      <c r="C26">
        <v>20.625356</v>
      </c>
      <c r="D26">
        <v>20.450541000000001</v>
      </c>
      <c r="E26">
        <v>20.578939999999999</v>
      </c>
      <c r="F26">
        <v>28.679997</v>
      </c>
      <c r="G26">
        <v>25.549928999999999</v>
      </c>
      <c r="H26">
        <v>25.095417000000001</v>
      </c>
      <c r="I26">
        <v>22.665459999999999</v>
      </c>
      <c r="J26">
        <v>55.613142000000003</v>
      </c>
      <c r="K26">
        <v>48.704003999999998</v>
      </c>
      <c r="L26">
        <v>202.490937</v>
      </c>
      <c r="M26">
        <v>-622.46000200000003</v>
      </c>
      <c r="N26">
        <v>1.250149</v>
      </c>
      <c r="O26">
        <v>6.0925580000000004</v>
      </c>
      <c r="P26">
        <f t="shared" si="3"/>
        <v>2.0835816666666665E-5</v>
      </c>
      <c r="Q26" cm="1">
        <f t="array" ref="Q26">[1]!PropsSI("D","T",J26+273.15,"P",101325,"Water")</f>
        <v>985.39504287577142</v>
      </c>
      <c r="R26" cm="1">
        <f t="array" ref="R26">[1]!PropsSI("D","T",K26+273.15,"P",101325,"Water")</f>
        <v>988.61568554731912</v>
      </c>
      <c r="S26">
        <f t="shared" si="4"/>
        <v>987.00536421154527</v>
      </c>
      <c r="T26" cm="1">
        <f t="array" ref="T26">[1]!PropsSI("H","T",J26+273.15,"P",101325,"Water")</f>
        <v>232893.88982718781</v>
      </c>
      <c r="U26" cm="1">
        <f t="array" ref="U26">[1]!PropsSI("H","T",K26+273.15,"P",101325,"Water")</f>
        <v>203999.72067062801</v>
      </c>
      <c r="V26">
        <f t="shared" si="5"/>
        <v>594.2104037707204</v>
      </c>
    </row>
    <row r="27" spans="1:22" x14ac:dyDescent="0.2">
      <c r="A27">
        <v>46122.673371527781</v>
      </c>
      <c r="B27">
        <v>20.626612000000002</v>
      </c>
      <c r="C27">
        <v>20.693308999999999</v>
      </c>
      <c r="D27">
        <v>20.358118999999999</v>
      </c>
      <c r="E27">
        <v>20.564188000000001</v>
      </c>
      <c r="F27">
        <v>28.756882000000001</v>
      </c>
      <c r="G27">
        <v>25.56748</v>
      </c>
      <c r="H27">
        <v>24.612161</v>
      </c>
      <c r="I27">
        <v>22.441196000000001</v>
      </c>
      <c r="J27">
        <v>55.607413000000001</v>
      </c>
      <c r="K27">
        <v>48.701779999999999</v>
      </c>
      <c r="L27">
        <v>217.88282000000001</v>
      </c>
      <c r="M27">
        <v>-622.49755100000004</v>
      </c>
      <c r="N27">
        <v>1.2530790000000001</v>
      </c>
      <c r="O27">
        <v>6.1143770000000002</v>
      </c>
      <c r="P27">
        <f t="shared" si="3"/>
        <v>2.088465E-5</v>
      </c>
      <c r="Q27" cm="1">
        <f t="array" ref="Q27">[1]!PropsSI("D","T",J27+273.15,"P",101325,"Water")</f>
        <v>985.3978384572473</v>
      </c>
      <c r="R27" cm="1">
        <f t="array" ref="R27">[1]!PropsSI("D","T",K27+273.15,"P",101325,"Water")</f>
        <v>988.61667239076007</v>
      </c>
      <c r="S27">
        <f t="shared" si="4"/>
        <v>987.00725542400369</v>
      </c>
      <c r="T27" cm="1">
        <f t="array" ref="T27">[1]!PropsSI("H","T",J27+273.15,"P",101325,"Water")</f>
        <v>232869.92438835351</v>
      </c>
      <c r="U27" cm="1">
        <f t="array" ref="U27">[1]!PropsSI("H","T",K27+273.15,"P",101325,"Water")</f>
        <v>203990.42215035186</v>
      </c>
      <c r="V27">
        <f t="shared" si="5"/>
        <v>595.30187458556088</v>
      </c>
    </row>
    <row r="28" spans="1:22" x14ac:dyDescent="0.2">
      <c r="A28">
        <v>46122.67342997685</v>
      </c>
      <c r="B28">
        <v>20.576392999999999</v>
      </c>
      <c r="C28">
        <v>20.756544999999999</v>
      </c>
      <c r="D28">
        <v>20.359386000000001</v>
      </c>
      <c r="E28">
        <v>20.488728999999999</v>
      </c>
      <c r="F28">
        <v>28.669972999999999</v>
      </c>
      <c r="G28">
        <v>25.598908000000002</v>
      </c>
      <c r="H28">
        <v>24.531385</v>
      </c>
      <c r="I28">
        <v>22.383047000000001</v>
      </c>
      <c r="J28">
        <v>55.609959000000003</v>
      </c>
      <c r="K28">
        <v>48.703051000000002</v>
      </c>
      <c r="L28">
        <v>206.90581800000001</v>
      </c>
      <c r="M28">
        <v>-622.51550899999995</v>
      </c>
      <c r="N28">
        <v>1.254829</v>
      </c>
      <c r="O28">
        <v>6.1833299999999998</v>
      </c>
      <c r="P28">
        <f t="shared" si="3"/>
        <v>2.0913816666666666E-5</v>
      </c>
      <c r="Q28" cm="1">
        <f t="array" ref="Q28">[1]!PropsSI("D","T",J28+273.15,"P",101325,"Water")</f>
        <v>985.39659611002958</v>
      </c>
      <c r="R28" cm="1">
        <f t="array" ref="R28">[1]!PropsSI("D","T",K28+273.15,"P",101325,"Water")</f>
        <v>988.61610842084099</v>
      </c>
      <c r="S28">
        <f t="shared" si="4"/>
        <v>987.00635226543523</v>
      </c>
      <c r="T28" cm="1">
        <f t="array" ref="T28">[1]!PropsSI("H","T",J28+273.15,"P",101325,"Water")</f>
        <v>232880.5747634006</v>
      </c>
      <c r="U28" cm="1">
        <f t="array" ref="U28">[1]!PropsSI("H","T",K28+273.15,"P",101325,"Water")</f>
        <v>203995.73618768918</v>
      </c>
      <c r="V28">
        <f t="shared" si="5"/>
        <v>596.24285693336537</v>
      </c>
    </row>
    <row r="29" spans="1:22" x14ac:dyDescent="0.2">
      <c r="A29">
        <v>46122.67348784722</v>
      </c>
      <c r="B29">
        <v>20.506557999999998</v>
      </c>
      <c r="C29">
        <v>20.570088999999999</v>
      </c>
      <c r="D29">
        <v>20.283878000000001</v>
      </c>
      <c r="E29">
        <v>20.355198000000001</v>
      </c>
      <c r="F29">
        <v>28.6328</v>
      </c>
      <c r="G29">
        <v>25.498232000000002</v>
      </c>
      <c r="H29">
        <v>24.689150000000001</v>
      </c>
      <c r="I29">
        <v>22.645703999999999</v>
      </c>
      <c r="J29">
        <v>55.611550999999999</v>
      </c>
      <c r="K29">
        <v>48.708449999999999</v>
      </c>
      <c r="L29">
        <v>204.72143800000001</v>
      </c>
      <c r="M29">
        <v>-622.46367499999997</v>
      </c>
      <c r="N29">
        <v>1.253169</v>
      </c>
      <c r="O29">
        <v>6.0314709999999998</v>
      </c>
      <c r="P29">
        <f t="shared" si="3"/>
        <v>2.088615E-5</v>
      </c>
      <c r="Q29" cm="1">
        <f t="array" ref="Q29">[1]!PropsSI("D","T",J29+273.15,"P",101325,"Water")</f>
        <v>985.39581925672962</v>
      </c>
      <c r="R29" cm="1">
        <f t="array" ref="R29">[1]!PropsSI("D","T",K29+273.15,"P",101325,"Water")</f>
        <v>988.61371264916522</v>
      </c>
      <c r="S29">
        <f t="shared" si="4"/>
        <v>987.00476595294742</v>
      </c>
      <c r="T29" cm="1">
        <f t="array" ref="T29">[1]!PropsSI("H","T",J29+273.15,"P",101325,"Water")</f>
        <v>232887.23438642104</v>
      </c>
      <c r="U29" cm="1">
        <f t="array" ref="U29">[1]!PropsSI("H","T",K29+273.15,"P",101325,"Water")</f>
        <v>204018.30935301731</v>
      </c>
      <c r="V29">
        <f t="shared" si="5"/>
        <v>595.12508318712048</v>
      </c>
    </row>
    <row r="30" spans="1:22" x14ac:dyDescent="0.2">
      <c r="A30">
        <v>46122.673545717589</v>
      </c>
      <c r="B30">
        <v>20.487136</v>
      </c>
      <c r="C30">
        <v>20.821228000000001</v>
      </c>
      <c r="D30">
        <v>20.304544</v>
      </c>
      <c r="E30">
        <v>20.395175999999999</v>
      </c>
      <c r="F30">
        <v>28.585861999999999</v>
      </c>
      <c r="G30">
        <v>25.641365</v>
      </c>
      <c r="H30">
        <v>25.003261999999999</v>
      </c>
      <c r="I30">
        <v>22.519226</v>
      </c>
      <c r="J30">
        <v>55.617280000000001</v>
      </c>
      <c r="K30">
        <v>48.707814999999997</v>
      </c>
      <c r="L30">
        <v>200.24002999999999</v>
      </c>
      <c r="M30">
        <v>-622.48530700000003</v>
      </c>
      <c r="N30">
        <v>1.2487349999999999</v>
      </c>
      <c r="O30">
        <v>6.1583209999999999</v>
      </c>
      <c r="P30">
        <f t="shared" si="3"/>
        <v>2.0812250000000001E-5</v>
      </c>
      <c r="Q30" cm="1">
        <f t="array" ref="Q30">[1]!PropsSI("D","T",J30+273.15,"P",101325,"Water")</f>
        <v>985.39302352902826</v>
      </c>
      <c r="R30" cm="1">
        <f t="array" ref="R30">[1]!PropsSI("D","T",K30+273.15,"P",101325,"Water")</f>
        <v>988.61399443642506</v>
      </c>
      <c r="S30">
        <f t="shared" si="4"/>
        <v>987.00350898272666</v>
      </c>
      <c r="T30" cm="1">
        <f t="array" ref="T30">[1]!PropsSI("H","T",J30+273.15,"P",101325,"Water")</f>
        <v>232911.19983400989</v>
      </c>
      <c r="U30" cm="1">
        <f t="array" ref="U30">[1]!PropsSI("H","T",K30+273.15,"P",101325,"Water")</f>
        <v>204015.65442393167</v>
      </c>
      <c r="V30">
        <f t="shared" si="5"/>
        <v>593.56546810305508</v>
      </c>
    </row>
    <row r="31" spans="1:22" x14ac:dyDescent="0.2">
      <c r="A31">
        <v>46122.673604166666</v>
      </c>
      <c r="B31">
        <v>20.479469999999999</v>
      </c>
      <c r="C31">
        <v>20.834282999999999</v>
      </c>
      <c r="D31">
        <v>20.271180000000001</v>
      </c>
      <c r="E31">
        <v>20.327238999999999</v>
      </c>
      <c r="F31">
        <v>28.629888999999999</v>
      </c>
      <c r="G31">
        <v>25.659026999999998</v>
      </c>
      <c r="H31">
        <v>24.915527000000001</v>
      </c>
      <c r="I31">
        <v>22.849499999999999</v>
      </c>
      <c r="J31">
        <v>55.616802</v>
      </c>
      <c r="K31">
        <v>48.709879000000001</v>
      </c>
      <c r="L31">
        <v>211.519465</v>
      </c>
      <c r="M31">
        <v>-622.52734599999997</v>
      </c>
      <c r="N31">
        <v>1.2578530000000001</v>
      </c>
      <c r="O31">
        <v>6.024152</v>
      </c>
      <c r="P31">
        <f t="shared" si="3"/>
        <v>2.0964216666666668E-5</v>
      </c>
      <c r="Q31" cm="1">
        <f t="array" ref="Q31">[1]!PropsSI("D","T",J31+273.15,"P",101325,"Water")</f>
        <v>985.39325679874173</v>
      </c>
      <c r="R31" cm="1">
        <f t="array" ref="R31">[1]!PropsSI("D","T",K31+273.15,"P",101325,"Water")</f>
        <v>988.61307850705782</v>
      </c>
      <c r="S31">
        <f t="shared" si="4"/>
        <v>987.00316765289972</v>
      </c>
      <c r="T31" cm="1">
        <f t="array" ref="T31">[1]!PropsSI("H","T",J31+273.15,"P",101325,"Water")</f>
        <v>232909.20027275442</v>
      </c>
      <c r="U31" cm="1">
        <f t="array" ref="U31">[1]!PropsSI("H","T",K31+273.15,"P",101325,"Water")</f>
        <v>204024.28398909344</v>
      </c>
      <c r="V31">
        <f t="shared" si="5"/>
        <v>597.67941617648103</v>
      </c>
    </row>
    <row r="32" spans="1:22" x14ac:dyDescent="0.2">
      <c r="A32">
        <v>46122.673662037036</v>
      </c>
      <c r="B32">
        <v>20.563234999999999</v>
      </c>
      <c r="C32">
        <v>20.760442000000001</v>
      </c>
      <c r="D32">
        <v>20.291564999999999</v>
      </c>
      <c r="E32">
        <v>20.347643999999999</v>
      </c>
      <c r="F32">
        <v>28.725569</v>
      </c>
      <c r="G32">
        <v>25.611892000000001</v>
      </c>
      <c r="H32">
        <v>24.816911999999999</v>
      </c>
      <c r="I32">
        <v>22.39227</v>
      </c>
      <c r="J32">
        <v>55.626032000000002</v>
      </c>
      <c r="K32">
        <v>48.717820000000003</v>
      </c>
      <c r="L32">
        <v>210.56400199999999</v>
      </c>
      <c r="M32">
        <v>-622.47510299999999</v>
      </c>
      <c r="N32">
        <v>1.254505</v>
      </c>
      <c r="O32">
        <v>6.1598199999999999</v>
      </c>
      <c r="P32">
        <f t="shared" si="3"/>
        <v>2.0908416666666665E-5</v>
      </c>
      <c r="Q32" cm="1">
        <f t="array" ref="Q32">[1]!PropsSI("D","T",J32+273.15,"P",101325,"Water")</f>
        <v>985.38875219926797</v>
      </c>
      <c r="R32" cm="1">
        <f t="array" ref="R32">[1]!PropsSI("D","T",K32+273.15,"P",101325,"Water")</f>
        <v>988.60955431084494</v>
      </c>
      <c r="S32">
        <f t="shared" si="4"/>
        <v>986.9991532550564</v>
      </c>
      <c r="T32" cm="1">
        <f t="array" ref="T32">[1]!PropsSI("H","T",J32+273.15,"P",101325,"Water")</f>
        <v>232947.81106326578</v>
      </c>
      <c r="U32" cm="1">
        <f t="array" ref="U32">[1]!PropsSI("H","T",K32+273.15,"P",101325,"Water")</f>
        <v>204057.48524795848</v>
      </c>
      <c r="V32">
        <f t="shared" si="5"/>
        <v>596.19779569792831</v>
      </c>
    </row>
    <row r="33" spans="1:22" x14ac:dyDescent="0.2">
      <c r="A33">
        <v>46122.673720486113</v>
      </c>
      <c r="B33">
        <v>20.517116999999999</v>
      </c>
      <c r="C33">
        <v>20.739784</v>
      </c>
      <c r="D33">
        <v>20.238641999999999</v>
      </c>
      <c r="E33">
        <v>20.285617999999999</v>
      </c>
      <c r="F33">
        <v>28.636717999999998</v>
      </c>
      <c r="G33">
        <v>25.541927999999999</v>
      </c>
      <c r="H33">
        <v>24.639175000000002</v>
      </c>
      <c r="I33">
        <v>22.400116000000001</v>
      </c>
      <c r="J33">
        <v>55.630647000000003</v>
      </c>
      <c r="K33">
        <v>48.719724999999997</v>
      </c>
      <c r="L33">
        <v>220.44309999999999</v>
      </c>
      <c r="M33">
        <v>-622.48612300000002</v>
      </c>
      <c r="N33">
        <v>1.261684</v>
      </c>
      <c r="O33">
        <v>5.6786000000000003</v>
      </c>
      <c r="P33">
        <f t="shared" si="3"/>
        <v>2.1028066666666669E-5</v>
      </c>
      <c r="Q33" cm="1">
        <f t="array" ref="Q33">[1]!PropsSI("D","T",J33+273.15,"P",101325,"Water")</f>
        <v>985.38649970250174</v>
      </c>
      <c r="R33" cm="1">
        <f t="array" ref="R33">[1]!PropsSI("D","T",K33+273.15,"P",101325,"Water")</f>
        <v>988.60870881409505</v>
      </c>
      <c r="S33">
        <f t="shared" si="4"/>
        <v>986.99760425829845</v>
      </c>
      <c r="T33" cm="1">
        <f t="array" ref="T33">[1]!PropsSI("H","T",J33+273.15,"P",101325,"Water")</f>
        <v>232967.11647038368</v>
      </c>
      <c r="U33" cm="1">
        <f t="array" ref="U33">[1]!PropsSI("H","T",K33+273.15,"P",101325,"Water")</f>
        <v>204065.45004050829</v>
      </c>
      <c r="V33">
        <f t="shared" si="5"/>
        <v>599.84401227229466</v>
      </c>
    </row>
    <row r="34" spans="1:22" x14ac:dyDescent="0.2">
      <c r="A34">
        <v>46122.673778935183</v>
      </c>
      <c r="B34">
        <v>20.644701000000001</v>
      </c>
      <c r="C34">
        <v>20.812666</v>
      </c>
      <c r="D34">
        <v>20.302712</v>
      </c>
      <c r="E34">
        <v>20.344435000000001</v>
      </c>
      <c r="F34">
        <v>28.701073999999998</v>
      </c>
      <c r="G34">
        <v>25.583777000000001</v>
      </c>
      <c r="H34">
        <v>24.661995000000001</v>
      </c>
      <c r="I34">
        <v>22.225809000000002</v>
      </c>
      <c r="J34">
        <v>55.634943999999997</v>
      </c>
      <c r="K34">
        <v>48.721155000000003</v>
      </c>
      <c r="L34">
        <v>214.29279500000001</v>
      </c>
      <c r="M34">
        <v>-622.48938799999996</v>
      </c>
      <c r="N34">
        <v>1.257226</v>
      </c>
      <c r="O34">
        <v>6.3469810000000004</v>
      </c>
      <c r="P34">
        <f t="shared" si="3"/>
        <v>2.0953766666666666E-5</v>
      </c>
      <c r="Q34" cm="1">
        <f t="array" ref="Q34">[1]!PropsSI("D","T",J34+273.15,"P",101325,"Water")</f>
        <v>985.38440229758294</v>
      </c>
      <c r="R34" cm="1">
        <f t="array" ref="R34">[1]!PropsSI("D","T",K34+273.15,"P",101325,"Water")</f>
        <v>988.60807412086888</v>
      </c>
      <c r="S34">
        <f t="shared" si="4"/>
        <v>986.99623820922591</v>
      </c>
      <c r="T34" cm="1">
        <f t="array" ref="T34">[1]!PropsSI("H","T",J34+273.15,"P",101325,"Water")</f>
        <v>232985.091631199</v>
      </c>
      <c r="U34" cm="1">
        <f t="array" ref="U34">[1]!PropsSI("H","T",K34+273.15,"P",101325,"Water")</f>
        <v>204071.42886180527</v>
      </c>
      <c r="V34">
        <f t="shared" si="5"/>
        <v>597.97181220615312</v>
      </c>
    </row>
    <row r="35" spans="1:22" x14ac:dyDescent="0.2">
      <c r="A35">
        <v>46122.673836805552</v>
      </c>
      <c r="B35">
        <v>20.479768</v>
      </c>
      <c r="C35">
        <v>20.761472999999999</v>
      </c>
      <c r="D35">
        <v>20.251282</v>
      </c>
      <c r="E35">
        <v>20.299047000000002</v>
      </c>
      <c r="F35">
        <v>28.645752999999999</v>
      </c>
      <c r="G35">
        <v>25.753959999999999</v>
      </c>
      <c r="H35">
        <v>24.677529</v>
      </c>
      <c r="I35">
        <v>22.452061</v>
      </c>
      <c r="J35">
        <v>55.634943999999997</v>
      </c>
      <c r="K35">
        <v>48.729889</v>
      </c>
      <c r="L35">
        <v>212.091273</v>
      </c>
      <c r="M35">
        <v>-622.49224500000003</v>
      </c>
      <c r="N35">
        <v>1.256812</v>
      </c>
      <c r="O35">
        <v>6.1595659999999999</v>
      </c>
      <c r="P35">
        <f t="shared" si="3"/>
        <v>2.0946866666666671E-5</v>
      </c>
      <c r="Q35" cm="1">
        <f t="array" ref="Q35">[1]!PropsSI("D","T",J35+273.15,"P",101325,"Water")</f>
        <v>985.38440229758294</v>
      </c>
      <c r="R35" cm="1">
        <f t="array" ref="R35">[1]!PropsSI("D","T",K35+273.15,"P",101325,"Water")</f>
        <v>988.60419731439038</v>
      </c>
      <c r="S35">
        <f t="shared" si="4"/>
        <v>986.99429980598666</v>
      </c>
      <c r="T35" cm="1">
        <f t="array" ref="T35">[1]!PropsSI("H","T",J35+273.15,"P",101325,"Water")</f>
        <v>232985.091631199</v>
      </c>
      <c r="U35" cm="1">
        <f t="array" ref="U35">[1]!PropsSI("H","T",K35+273.15,"P",101325,"Water")</f>
        <v>204107.94567420232</v>
      </c>
      <c r="V35">
        <f t="shared" si="5"/>
        <v>597.01876367011141</v>
      </c>
    </row>
    <row r="36" spans="1:22" x14ac:dyDescent="0.2">
      <c r="A36">
        <v>46122.673895254629</v>
      </c>
      <c r="B36">
        <v>20.479951</v>
      </c>
      <c r="C36">
        <v>20.633537</v>
      </c>
      <c r="D36">
        <v>20.255177</v>
      </c>
      <c r="E36">
        <v>20.27074</v>
      </c>
      <c r="F36">
        <v>28.587078000000002</v>
      </c>
      <c r="G36">
        <v>25.471330999999999</v>
      </c>
      <c r="H36">
        <v>24.397956000000001</v>
      </c>
      <c r="I36">
        <v>22.463422999999999</v>
      </c>
      <c r="J36">
        <v>55.636057999999998</v>
      </c>
      <c r="K36">
        <v>48.732112000000001</v>
      </c>
      <c r="L36">
        <v>211.64925400000001</v>
      </c>
      <c r="M36">
        <v>-622.45673699999998</v>
      </c>
      <c r="N36">
        <v>1.259611</v>
      </c>
      <c r="O36">
        <v>6.135154</v>
      </c>
      <c r="P36">
        <f t="shared" si="3"/>
        <v>2.0993516666666668E-5</v>
      </c>
      <c r="Q36" cm="1">
        <f t="array" ref="Q36">[1]!PropsSI("D","T",J36+273.15,"P",101325,"Water")</f>
        <v>985.38385852543661</v>
      </c>
      <c r="R36" cm="1">
        <f t="array" ref="R36">[1]!PropsSI("D","T",K36+273.15,"P",101325,"Water")</f>
        <v>988.6032104986208</v>
      </c>
      <c r="S36">
        <f t="shared" si="4"/>
        <v>986.99353451202865</v>
      </c>
      <c r="T36" cm="1">
        <f t="array" ref="T36">[1]!PropsSI("H","T",J36+273.15,"P",101325,"Water")</f>
        <v>232989.75170431458</v>
      </c>
      <c r="U36" cm="1">
        <f t="array" ref="U36">[1]!PropsSI("H","T",K36+273.15,"P",101325,"Water")</f>
        <v>204117.24002973022</v>
      </c>
      <c r="V36">
        <f t="shared" si="5"/>
        <v>598.25187387113851</v>
      </c>
    </row>
    <row r="37" spans="1:22" x14ac:dyDescent="0.2">
      <c r="A37">
        <v>46122.673953124999</v>
      </c>
      <c r="B37">
        <v>20.452176999999999</v>
      </c>
      <c r="C37">
        <v>20.748277000000002</v>
      </c>
      <c r="D37">
        <v>20.221603999999999</v>
      </c>
      <c r="E37">
        <v>20.257497999999998</v>
      </c>
      <c r="F37">
        <v>28.638456999999999</v>
      </c>
      <c r="G37">
        <v>25.580932000000001</v>
      </c>
      <c r="H37">
        <v>24.770278000000001</v>
      </c>
      <c r="I37">
        <v>22.475397000000001</v>
      </c>
      <c r="J37">
        <v>55.639718000000002</v>
      </c>
      <c r="K37">
        <v>48.734811999999998</v>
      </c>
      <c r="L37">
        <v>205.99892500000001</v>
      </c>
      <c r="M37">
        <v>-622.47673599999996</v>
      </c>
      <c r="N37">
        <v>1.2579100000000001</v>
      </c>
      <c r="O37">
        <v>6.2910409999999999</v>
      </c>
      <c r="P37">
        <f t="shared" si="3"/>
        <v>2.0965166666666667E-5</v>
      </c>
      <c r="Q37" cm="1">
        <f t="array" ref="Q37">[1]!PropsSI("D","T",J37+273.15,"P",101325,"Water")</f>
        <v>985.38207193109702</v>
      </c>
      <c r="R37" cm="1">
        <f t="array" ref="R37">[1]!PropsSI("D","T",K37+273.15,"P",101325,"Water")</f>
        <v>988.60201189269003</v>
      </c>
      <c r="S37">
        <f t="shared" si="4"/>
        <v>986.99204191189347</v>
      </c>
      <c r="T37" cm="1">
        <f t="array" ref="T37">[1]!PropsSI("H","T",J37+273.15,"P",101325,"Water")</f>
        <v>233005.06218098965</v>
      </c>
      <c r="U37" cm="1">
        <f t="array" ref="U37">[1]!PropsSI("H","T",K37+273.15,"P",101325,"Water")</f>
        <v>204128.52872250514</v>
      </c>
      <c r="V37">
        <f t="shared" si="5"/>
        <v>597.52630149826166</v>
      </c>
    </row>
    <row r="38" spans="1:22" x14ac:dyDescent="0.2">
      <c r="A38">
        <v>44660.674011574301</v>
      </c>
      <c r="B38">
        <v>20.67755</v>
      </c>
      <c r="C38">
        <v>20.802534000000001</v>
      </c>
      <c r="D38">
        <v>20.352460000000001</v>
      </c>
      <c r="E38">
        <v>20.253312999999999</v>
      </c>
      <c r="F38">
        <v>28.788851000000001</v>
      </c>
      <c r="G38">
        <v>25.572423000000001</v>
      </c>
      <c r="H38">
        <v>24.772749999999998</v>
      </c>
      <c r="I38">
        <v>22.338615999999998</v>
      </c>
      <c r="J38">
        <v>55.639876999999998</v>
      </c>
      <c r="K38">
        <v>48.739418000000001</v>
      </c>
      <c r="L38">
        <v>217.81017</v>
      </c>
      <c r="M38">
        <v>-622.47224600000004</v>
      </c>
      <c r="N38">
        <v>1.2593490000000001</v>
      </c>
      <c r="O38">
        <v>6.2370840000000003</v>
      </c>
      <c r="P38">
        <f t="shared" si="3"/>
        <v>2.0989150000000002E-5</v>
      </c>
      <c r="Q38" cm="1">
        <f t="array" ref="Q38">[1]!PropsSI("D","T",J38+273.15,"P",101325,"Water")</f>
        <v>985.38199431488613</v>
      </c>
      <c r="R38" cm="1">
        <f t="array" ref="R38">[1]!PropsSI("D","T",K38+273.15,"P",101325,"Water")</f>
        <v>988.59996704778189</v>
      </c>
      <c r="S38">
        <f t="shared" si="4"/>
        <v>986.99098068133401</v>
      </c>
      <c r="T38" cm="1">
        <f t="array" ref="T38">[1]!PropsSI("H","T",J38+273.15,"P",101325,"Water")</f>
        <v>233005.72730836392</v>
      </c>
      <c r="U38" cm="1">
        <f t="array" ref="U38">[1]!PropsSI("H","T",K38+273.15,"P",101325,"Water")</f>
        <v>204147.786400568</v>
      </c>
      <c r="V38">
        <f t="shared" si="5"/>
        <v>597.82403991536125</v>
      </c>
    </row>
    <row r="39" spans="1:22" x14ac:dyDescent="0.2">
      <c r="A39">
        <v>44660.674069444598</v>
      </c>
      <c r="B39">
        <v>20.754505000000002</v>
      </c>
      <c r="C39">
        <v>20.730307</v>
      </c>
      <c r="D39">
        <v>20.305295999999998</v>
      </c>
      <c r="E39">
        <v>20.332979999999999</v>
      </c>
      <c r="F39">
        <v>28.76041</v>
      </c>
      <c r="G39">
        <v>25.543566999999999</v>
      </c>
      <c r="H39">
        <v>25.014089999999999</v>
      </c>
      <c r="I39">
        <v>22.568977</v>
      </c>
      <c r="J39">
        <v>55.640673</v>
      </c>
      <c r="K39">
        <v>48.751328000000001</v>
      </c>
      <c r="L39">
        <v>214.72256999999999</v>
      </c>
      <c r="M39">
        <v>-622.53469199999995</v>
      </c>
      <c r="N39">
        <v>1.261004</v>
      </c>
      <c r="O39">
        <v>5.7028470000000002</v>
      </c>
      <c r="P39">
        <f t="shared" si="3"/>
        <v>2.1016733333333335E-5</v>
      </c>
      <c r="Q39" cm="1">
        <f t="array" ref="Q39">[1]!PropsSI("D","T",J39+273.15,"P",101325,"Water")</f>
        <v>985.38160574331084</v>
      </c>
      <c r="R39" cm="1">
        <f t="array" ref="R39">[1]!PropsSI("D","T",K39+273.15,"P",101325,"Water")</f>
        <v>988.59467891957706</v>
      </c>
      <c r="S39">
        <f t="shared" si="4"/>
        <v>986.9881423314439</v>
      </c>
      <c r="T39" cm="1">
        <f t="array" ref="T39">[1]!PropsSI("H","T",J39+273.15,"P",101325,"Water")</f>
        <v>233009.05712860526</v>
      </c>
      <c r="U39" cm="1">
        <f t="array" ref="U39">[1]!PropsSI("H","T",K39+273.15,"P",101325,"Water")</f>
        <v>204197.5821156585</v>
      </c>
      <c r="V39">
        <f t="shared" si="5"/>
        <v>597.64410706029423</v>
      </c>
    </row>
    <row r="40" spans="1:22" x14ac:dyDescent="0.2">
      <c r="A40">
        <v>44660.674127893697</v>
      </c>
      <c r="B40">
        <v>20.668343</v>
      </c>
      <c r="C40">
        <v>20.871845</v>
      </c>
      <c r="D40">
        <v>20.300625</v>
      </c>
      <c r="E40">
        <v>20.460666</v>
      </c>
      <c r="F40">
        <v>28.707487</v>
      </c>
      <c r="G40">
        <v>25.667452999999998</v>
      </c>
      <c r="H40">
        <v>24.797433000000002</v>
      </c>
      <c r="I40">
        <v>22.39751</v>
      </c>
      <c r="J40">
        <v>55.639082000000002</v>
      </c>
      <c r="K40">
        <v>48.756728000000003</v>
      </c>
      <c r="L40">
        <v>221.64018300000001</v>
      </c>
      <c r="M40">
        <v>-622.48530700000003</v>
      </c>
      <c r="N40">
        <v>1.2602340000000001</v>
      </c>
      <c r="O40">
        <v>6.1936229999999997</v>
      </c>
      <c r="P40">
        <f t="shared" si="3"/>
        <v>2.1003900000000001E-5</v>
      </c>
      <c r="Q40" cm="1">
        <f t="array" ref="Q40">[1]!PropsSI("D","T",J40+273.15,"P",101325,"Water")</f>
        <v>985.38238239440284</v>
      </c>
      <c r="R40" cm="1">
        <f t="array" ref="R40">[1]!PropsSI("D","T",K40+273.15,"P",101325,"Water")</f>
        <v>988.5922809685095</v>
      </c>
      <c r="S40">
        <f t="shared" si="4"/>
        <v>986.98733168145623</v>
      </c>
      <c r="T40" cm="1">
        <f t="array" ref="T40">[1]!PropsSI("H","T",J40+273.15,"P",101325,"Water")</f>
        <v>233002.4016715255</v>
      </c>
      <c r="U40" cm="1">
        <f t="array" ref="U40">[1]!PropsSI("H","T",K40+273.15,"P",101325,"Water")</f>
        <v>204220.15953021951</v>
      </c>
      <c r="V40">
        <f t="shared" si="5"/>
        <v>596.67266585064681</v>
      </c>
    </row>
    <row r="41" spans="1:22" x14ac:dyDescent="0.2">
      <c r="A41">
        <v>44660.674186342803</v>
      </c>
      <c r="B41">
        <v>20.580328999999999</v>
      </c>
      <c r="C41">
        <v>20.717974999999999</v>
      </c>
      <c r="D41">
        <v>20.294588000000001</v>
      </c>
      <c r="E41">
        <v>20.456989</v>
      </c>
      <c r="F41">
        <v>28.678861000000001</v>
      </c>
      <c r="G41">
        <v>25.577603</v>
      </c>
      <c r="H41">
        <v>24.808665000000001</v>
      </c>
      <c r="I41">
        <v>22.521629000000001</v>
      </c>
      <c r="J41">
        <v>55.640514000000003</v>
      </c>
      <c r="K41">
        <v>48.761015</v>
      </c>
      <c r="L41">
        <v>213.30590599999999</v>
      </c>
      <c r="M41">
        <v>-622.51020400000004</v>
      </c>
      <c r="N41">
        <v>1.258545</v>
      </c>
      <c r="O41">
        <v>5.9315879999999996</v>
      </c>
      <c r="P41">
        <f t="shared" si="3"/>
        <v>2.097575E-5</v>
      </c>
      <c r="Q41" cm="1">
        <f t="array" ref="Q41">[1]!PropsSI("D","T",J41+273.15,"P",101325,"Water")</f>
        <v>985.38168336029685</v>
      </c>
      <c r="R41" cm="1">
        <f t="array" ref="R41">[1]!PropsSI("D","T",K41+273.15,"P",101325,"Water")</f>
        <v>988.59037712358759</v>
      </c>
      <c r="S41">
        <f t="shared" si="4"/>
        <v>986.98603024194222</v>
      </c>
      <c r="T41" cm="1">
        <f t="array" ref="T41">[1]!PropsSI("H","T",J41+273.15,"P",101325,"Water")</f>
        <v>233008.39200112887</v>
      </c>
      <c r="U41" cm="1">
        <f t="array" ref="U41">[1]!PropsSI("H","T",K41+273.15,"P",101325,"Water")</f>
        <v>204238.08349419126</v>
      </c>
      <c r="V41">
        <f t="shared" si="5"/>
        <v>595.62514382894915</v>
      </c>
    </row>
    <row r="42" spans="1:22" x14ac:dyDescent="0.2">
      <c r="A42">
        <v>46122.674244791669</v>
      </c>
      <c r="B42">
        <v>20.664712000000002</v>
      </c>
      <c r="C42">
        <v>20.894237</v>
      </c>
      <c r="D42">
        <v>20.400306</v>
      </c>
      <c r="E42">
        <v>20.520496999999999</v>
      </c>
      <c r="F42">
        <v>28.726147000000001</v>
      </c>
      <c r="G42">
        <v>25.682424999999999</v>
      </c>
      <c r="H42">
        <v>24.966038000000001</v>
      </c>
      <c r="I42">
        <v>22.701487</v>
      </c>
      <c r="J42">
        <v>55.641787000000001</v>
      </c>
      <c r="K42">
        <v>48.767049999999998</v>
      </c>
      <c r="L42">
        <v>218.41830300000001</v>
      </c>
      <c r="M42">
        <v>-622.48979599999996</v>
      </c>
      <c r="N42">
        <v>1.2565740000000001</v>
      </c>
      <c r="O42">
        <v>6.2253290000000003</v>
      </c>
      <c r="P42">
        <f t="shared" si="3"/>
        <v>2.0942900000000002E-5</v>
      </c>
      <c r="Q42" cm="1">
        <f t="array" ref="Q42">[1]!PropsSI("D","T",J42+273.15,"P",101325,"Water")</f>
        <v>985.38106193179249</v>
      </c>
      <c r="R42" cm="1">
        <f t="array" ref="R42">[1]!PropsSI("D","T",K42+273.15,"P",101325,"Water")</f>
        <v>988.58769678938665</v>
      </c>
      <c r="S42">
        <f t="shared" si="4"/>
        <v>986.98437936058963</v>
      </c>
      <c r="T42" cm="1">
        <f t="array" ref="T42">[1]!PropsSI("H","T",J42+273.15,"P",101325,"Water")</f>
        <v>233013.71720400688</v>
      </c>
      <c r="U42" cm="1">
        <f t="array" ref="U42">[1]!PropsSI("H","T",K42+273.15,"P",101325,"Water")</f>
        <v>204263.3158613322</v>
      </c>
      <c r="V42">
        <f t="shared" si="5"/>
        <v>594.27985668676047</v>
      </c>
    </row>
    <row r="43" spans="1:22" x14ac:dyDescent="0.2">
      <c r="A43">
        <v>46122.674302662039</v>
      </c>
      <c r="B43">
        <v>20.547744000000002</v>
      </c>
      <c r="C43">
        <v>20.735102999999999</v>
      </c>
      <c r="D43">
        <v>20.414995999999999</v>
      </c>
      <c r="E43">
        <v>20.533428000000001</v>
      </c>
      <c r="F43">
        <v>28.695989000000001</v>
      </c>
      <c r="G43">
        <v>25.661231999999998</v>
      </c>
      <c r="H43">
        <v>24.757952</v>
      </c>
      <c r="I43">
        <v>22.400551</v>
      </c>
      <c r="J43">
        <v>55.646560999999998</v>
      </c>
      <c r="K43">
        <v>48.774355</v>
      </c>
      <c r="L43">
        <v>230.11935</v>
      </c>
      <c r="M43">
        <v>-622.49877600000002</v>
      </c>
      <c r="N43">
        <v>1.2619339999999999</v>
      </c>
      <c r="O43">
        <v>5.9979610000000001</v>
      </c>
      <c r="P43">
        <f t="shared" si="3"/>
        <v>2.1032233333333332E-5</v>
      </c>
      <c r="Q43" cm="1">
        <f t="array" ref="Q43">[1]!PropsSI("D","T",J43+273.15,"P",101325,"Water")</f>
        <v>985.37873136385076</v>
      </c>
      <c r="R43" cm="1">
        <f t="array" ref="R43">[1]!PropsSI("D","T",K43+273.15,"P",101325,"Water")</f>
        <v>988.58445208383614</v>
      </c>
      <c r="S43">
        <f t="shared" si="4"/>
        <v>986.98159172384339</v>
      </c>
      <c r="T43" cm="1">
        <f t="array" ref="T43">[1]!PropsSI("H","T",J43+273.15,"P",101325,"Water")</f>
        <v>233033.68776591745</v>
      </c>
      <c r="U43" cm="1">
        <f t="array" ref="U43">[1]!PropsSI("H","T",K43+273.15,"P",101325,"Water")</f>
        <v>204293.85811796857</v>
      </c>
      <c r="V43">
        <f t="shared" si="5"/>
        <v>596.59365955719898</v>
      </c>
    </row>
    <row r="44" spans="1:22" x14ac:dyDescent="0.2">
      <c r="A44">
        <v>46122.674360532408</v>
      </c>
      <c r="B44">
        <v>20.623992999999999</v>
      </c>
      <c r="C44">
        <v>20.664484000000002</v>
      </c>
      <c r="D44">
        <v>20.425379</v>
      </c>
      <c r="E44">
        <v>20.538879999999999</v>
      </c>
      <c r="F44">
        <v>28.749969</v>
      </c>
      <c r="G44">
        <v>25.744157000000001</v>
      </c>
      <c r="H44">
        <v>25.010055999999999</v>
      </c>
      <c r="I44">
        <v>22.787313000000001</v>
      </c>
      <c r="J44">
        <v>55.646402000000002</v>
      </c>
      <c r="K44">
        <v>48.775944000000003</v>
      </c>
      <c r="L44">
        <v>219.852925</v>
      </c>
      <c r="M44">
        <v>-622.48489900000004</v>
      </c>
      <c r="N44">
        <v>1.2604390000000001</v>
      </c>
      <c r="O44">
        <v>5.9268859999999997</v>
      </c>
      <c r="P44">
        <f t="shared" si="3"/>
        <v>2.1007316666666668E-5</v>
      </c>
      <c r="Q44" cm="1">
        <f t="array" ref="Q44">[1]!PropsSI("D","T",J44+273.15,"P",101325,"Water")</f>
        <v>985.37880898661217</v>
      </c>
      <c r="R44" cm="1">
        <f t="array" ref="R44">[1]!PropsSI("D","T",K44+273.15,"P",101325,"Water")</f>
        <v>988.58374624117778</v>
      </c>
      <c r="S44">
        <f t="shared" si="4"/>
        <v>986.98127761389492</v>
      </c>
      <c r="T44" cm="1">
        <f t="array" ref="T44">[1]!PropsSI("H","T",J44+273.15,"P",101325,"Water")</f>
        <v>233033.02263816042</v>
      </c>
      <c r="U44" cm="1">
        <f t="array" ref="U44">[1]!PropsSI("H","T",K44+273.15,"P",101325,"Water")</f>
        <v>204300.5017400776</v>
      </c>
      <c r="V44">
        <f t="shared" si="5"/>
        <v>595.73515328656606</v>
      </c>
    </row>
    <row r="45" spans="1:22" x14ac:dyDescent="0.2">
      <c r="A45">
        <v>46122.674418402778</v>
      </c>
      <c r="B45">
        <v>20.594926999999998</v>
      </c>
      <c r="C45">
        <v>20.755426</v>
      </c>
      <c r="D45">
        <v>20.478715000000001</v>
      </c>
      <c r="E45">
        <v>20.609119</v>
      </c>
      <c r="F45">
        <v>28.684898</v>
      </c>
      <c r="G45">
        <v>25.660905</v>
      </c>
      <c r="H45">
        <v>24.904115000000001</v>
      </c>
      <c r="I45">
        <v>22.414002</v>
      </c>
      <c r="J45">
        <v>55.647993999999997</v>
      </c>
      <c r="K45">
        <v>48.776578999999998</v>
      </c>
      <c r="L45">
        <v>219.22112000000001</v>
      </c>
      <c r="M45">
        <v>-622.46612400000004</v>
      </c>
      <c r="N45">
        <v>1.2606520000000001</v>
      </c>
      <c r="O45">
        <v>6.1623619999999999</v>
      </c>
      <c r="P45">
        <f t="shared" si="3"/>
        <v>2.1010866666666669E-5</v>
      </c>
      <c r="Q45" cm="1">
        <f t="array" ref="Q45">[1]!PropsSI("D","T",J45+273.15,"P",101325,"Water")</f>
        <v>985.37803177549392</v>
      </c>
      <c r="R45" cm="1">
        <f t="array" ref="R45">[1]!PropsSI("D","T",K45+273.15,"P",101325,"Water")</f>
        <v>988.58346416592383</v>
      </c>
      <c r="S45">
        <f t="shared" si="4"/>
        <v>986.98074797070888</v>
      </c>
      <c r="T45" cm="1">
        <f t="array" ref="T45">[1]!PropsSI("H","T",J45+273.15,"P",101325,"Water")</f>
        <v>233039.68228271347</v>
      </c>
      <c r="U45" cm="1">
        <f t="array" ref="U45">[1]!PropsSI("H","T",K45+273.15,"P",101325,"Water")</f>
        <v>204303.15668047452</v>
      </c>
      <c r="V45">
        <f t="shared" si="5"/>
        <v>595.91855291238016</v>
      </c>
    </row>
    <row r="46" spans="1:22" x14ac:dyDescent="0.2">
      <c r="A46">
        <v>46122.674476851855</v>
      </c>
      <c r="B46">
        <v>20.624549999999999</v>
      </c>
      <c r="C46">
        <v>20.762979999999999</v>
      </c>
      <c r="D46">
        <v>20.405276000000001</v>
      </c>
      <c r="E46">
        <v>20.456969000000001</v>
      </c>
      <c r="F46">
        <v>28.737233</v>
      </c>
      <c r="G46">
        <v>25.686634999999999</v>
      </c>
      <c r="H46">
        <v>24.852891</v>
      </c>
      <c r="I46">
        <v>22.551566999999999</v>
      </c>
      <c r="J46">
        <v>55.647038999999999</v>
      </c>
      <c r="K46">
        <v>48.777214000000001</v>
      </c>
      <c r="L46">
        <v>217.87506500000001</v>
      </c>
      <c r="M46">
        <v>-622.48449100000005</v>
      </c>
      <c r="N46">
        <v>1.260148</v>
      </c>
      <c r="O46">
        <v>6.1255850000000001</v>
      </c>
      <c r="P46">
        <f t="shared" si="3"/>
        <v>2.1002466666666668E-5</v>
      </c>
      <c r="Q46" cm="1">
        <f t="array" ref="Q46">[1]!PropsSI("D","T",J46+273.15,"P",101325,"Water")</f>
        <v>985.37849800640026</v>
      </c>
      <c r="R46" cm="1">
        <f t="array" ref="R46">[1]!PropsSI("D","T",K46+273.15,"P",101325,"Water")</f>
        <v>988.58318208799585</v>
      </c>
      <c r="S46">
        <f t="shared" si="4"/>
        <v>986.98084004719806</v>
      </c>
      <c r="T46" cm="1">
        <f t="array" ref="T46">[1]!PropsSI("H","T",J46+273.15,"P",101325,"Water")</f>
        <v>233035.68733251179</v>
      </c>
      <c r="U46" cm="1">
        <f t="array" ref="U46">[1]!PropsSI("H","T",K46+273.15,"P",101325,"Water")</f>
        <v>204305.81162101449</v>
      </c>
      <c r="V46">
        <f t="shared" si="5"/>
        <v>595.5425185454875</v>
      </c>
    </row>
    <row r="47" spans="1:22" x14ac:dyDescent="0.2">
      <c r="A47">
        <v>46122.674534722224</v>
      </c>
      <c r="B47">
        <v>20.676448000000001</v>
      </c>
      <c r="C47">
        <v>20.727639</v>
      </c>
      <c r="D47">
        <v>20.463926000000001</v>
      </c>
      <c r="E47">
        <v>20.538214</v>
      </c>
      <c r="F47">
        <v>28.803571999999999</v>
      </c>
      <c r="G47">
        <v>25.692516000000001</v>
      </c>
      <c r="H47">
        <v>25.230331</v>
      </c>
      <c r="I47">
        <v>22.534858</v>
      </c>
      <c r="J47">
        <v>55.649267000000002</v>
      </c>
      <c r="K47">
        <v>48.780707999999997</v>
      </c>
      <c r="L47">
        <v>213.94383300000001</v>
      </c>
      <c r="M47">
        <v>-622.46857299999999</v>
      </c>
      <c r="N47">
        <v>1.258246</v>
      </c>
      <c r="O47">
        <v>6.1632259999999999</v>
      </c>
      <c r="P47">
        <f t="shared" si="3"/>
        <v>2.0970766666666666E-5</v>
      </c>
      <c r="Q47" cm="1">
        <f t="array" ref="Q47">[1]!PropsSI("D","T",J47+273.15,"P",101325,"Water")</f>
        <v>985.37741028826406</v>
      </c>
      <c r="R47" cm="1">
        <f t="array" ref="R47">[1]!PropsSI("D","T",K47+273.15,"P",101325,"Water")</f>
        <v>988.58162994510815</v>
      </c>
      <c r="S47">
        <f t="shared" si="4"/>
        <v>986.9795201166861</v>
      </c>
      <c r="T47" cm="1">
        <f t="array" ref="T47">[1]!PropsSI("H","T",J47+273.15,"P",101325,"Water")</f>
        <v>233045.00748909084</v>
      </c>
      <c r="U47" cm="1">
        <f t="array" ref="U47">[1]!PropsSI("H","T",K47+273.15,"P",101325,"Water")</f>
        <v>204320.42006728365</v>
      </c>
      <c r="V47">
        <f t="shared" si="5"/>
        <v>594.53338775064287</v>
      </c>
    </row>
    <row r="48" spans="1:22" x14ac:dyDescent="0.2">
      <c r="A48">
        <v>46122.674593171294</v>
      </c>
      <c r="B48">
        <v>20.570484</v>
      </c>
      <c r="C48">
        <v>21.033567000000001</v>
      </c>
      <c r="D48">
        <v>20.501823999999999</v>
      </c>
      <c r="E48">
        <v>20.691009999999999</v>
      </c>
      <c r="F48">
        <v>28.647933999999999</v>
      </c>
      <c r="G48">
        <v>25.827684000000001</v>
      </c>
      <c r="H48">
        <v>25.316793000000001</v>
      </c>
      <c r="I48">
        <v>22.629082</v>
      </c>
      <c r="J48">
        <v>55.649425999999998</v>
      </c>
      <c r="K48">
        <v>48.782614000000002</v>
      </c>
      <c r="L48">
        <v>216.51186799999999</v>
      </c>
      <c r="M48">
        <v>-622.50244899999996</v>
      </c>
      <c r="N48">
        <v>1.263082</v>
      </c>
      <c r="O48">
        <v>6.0553489999999996</v>
      </c>
      <c r="P48">
        <f t="shared" si="3"/>
        <v>2.1051366666666666E-5</v>
      </c>
      <c r="Q48" cm="1">
        <f t="array" ref="Q48">[1]!PropsSI("D","T",J48+273.15,"P",101325,"Water")</f>
        <v>985.37733266268413</v>
      </c>
      <c r="R48" cm="1">
        <f t="array" ref="R48">[1]!PropsSI("D","T",K48+273.15,"P",101325,"Water")</f>
        <v>988.58078320670313</v>
      </c>
      <c r="S48">
        <f t="shared" si="4"/>
        <v>986.97905793469363</v>
      </c>
      <c r="T48" cm="1">
        <f t="array" ref="T48">[1]!PropsSI("H","T",J48+273.15,"P",101325,"Water")</f>
        <v>233045.67261709587</v>
      </c>
      <c r="U48" cm="1">
        <f t="array" ref="U48">[1]!PropsSI("H","T",K48+273.15,"P",101325,"Water")</f>
        <v>204328.38907224478</v>
      </c>
      <c r="V48">
        <f t="shared" si="5"/>
        <v>596.6664104451911</v>
      </c>
    </row>
    <row r="49" spans="1:22" x14ac:dyDescent="0.2">
      <c r="A49">
        <v>44660.674651041802</v>
      </c>
      <c r="B49">
        <v>20.617540999999999</v>
      </c>
      <c r="C49">
        <v>20.870211999999999</v>
      </c>
      <c r="D49">
        <v>20.519698999999999</v>
      </c>
      <c r="E49">
        <v>20.735797000000002</v>
      </c>
      <c r="F49">
        <v>28.764952000000001</v>
      </c>
      <c r="G49">
        <v>25.698765000000002</v>
      </c>
      <c r="H49">
        <v>25.153863000000001</v>
      </c>
      <c r="I49">
        <v>22.590572999999999</v>
      </c>
      <c r="J49">
        <v>55.651494999999997</v>
      </c>
      <c r="K49">
        <v>48.783884</v>
      </c>
      <c r="L49">
        <v>201.62159299999999</v>
      </c>
      <c r="M49">
        <v>-622.47714399999995</v>
      </c>
      <c r="N49">
        <v>1.256345</v>
      </c>
      <c r="O49">
        <v>6.1516999999999999</v>
      </c>
      <c r="P49">
        <f t="shared" si="3"/>
        <v>2.0939083333333334E-5</v>
      </c>
      <c r="Q49" cm="1">
        <f t="array" ref="Q49">[1]!PropsSI("D","T",J49+273.15,"P",101325,"Water")</f>
        <v>985.37632253952495</v>
      </c>
      <c r="R49" cm="1">
        <f t="array" ref="R49">[1]!PropsSI("D","T",K49+273.15,"P",101325,"Water")</f>
        <v>988.58021899716789</v>
      </c>
      <c r="S49">
        <f t="shared" si="4"/>
        <v>986.97827076834642</v>
      </c>
      <c r="T49" cm="1">
        <f t="array" ref="T49">[1]!PropsSI("H","T",J49+273.15,"P",101325,"Water")</f>
        <v>233054.3276475434</v>
      </c>
      <c r="U49" cm="1">
        <f t="array" ref="U49">[1]!PropsSI("H","T",K49+273.15,"P",101325,"Water")</f>
        <v>204333.69895539753</v>
      </c>
      <c r="V49">
        <f t="shared" si="5"/>
        <v>593.55258267777594</v>
      </c>
    </row>
    <row r="50" spans="1:22" x14ac:dyDescent="0.2">
      <c r="A50" t="s">
        <v>22</v>
      </c>
      <c r="B50">
        <v>20.627123999999998</v>
      </c>
      <c r="C50">
        <v>21.012909000000001</v>
      </c>
      <c r="D50">
        <v>20.467471</v>
      </c>
      <c r="E50">
        <v>20.558948000000001</v>
      </c>
      <c r="F50">
        <v>28.794018000000001</v>
      </c>
      <c r="G50">
        <v>25.701723000000001</v>
      </c>
      <c r="H50">
        <v>24.737573000000001</v>
      </c>
      <c r="I50">
        <v>22.085460000000001</v>
      </c>
      <c r="J50">
        <v>55.649107999999998</v>
      </c>
      <c r="K50">
        <v>48.789918999999998</v>
      </c>
      <c r="L50">
        <v>209.73914600000001</v>
      </c>
      <c r="M50">
        <v>-622.50367300000005</v>
      </c>
      <c r="N50">
        <v>1.2584839999999999</v>
      </c>
      <c r="O50">
        <v>5.9437620000000004</v>
      </c>
      <c r="P50">
        <f t="shared" si="3"/>
        <v>2.0974733333333334E-5</v>
      </c>
      <c r="Q50" cm="1">
        <f t="array" ref="Q50">[1]!PropsSI("D","T",J50+273.15,"P",101325,"Water")</f>
        <v>985.37748791370495</v>
      </c>
      <c r="R50" cm="1">
        <f t="array" ref="R50">[1]!PropsSI("D","T",K50+273.15,"P",101325,"Water")</f>
        <v>988.5775377446115</v>
      </c>
      <c r="S50">
        <f t="shared" si="4"/>
        <v>986.97751282915829</v>
      </c>
      <c r="T50" cm="1">
        <f t="array" ref="T50">[1]!PropsSI("H","T",J50+273.15,"P",101325,"Water")</f>
        <v>233044.34236114236</v>
      </c>
      <c r="U50" cm="1">
        <f t="array" ref="U50">[1]!PropsSI("H","T",K50+273.15,"P",101325,"Water")</f>
        <v>204358.93135876767</v>
      </c>
      <c r="V50">
        <f t="shared" si="5"/>
        <v>593.8336214994232</v>
      </c>
    </row>
    <row r="51" spans="1:22" x14ac:dyDescent="0.2">
      <c r="A51">
        <v>46122.67476736111</v>
      </c>
      <c r="B51">
        <v>20.625233000000001</v>
      </c>
      <c r="C51">
        <v>20.962074000000001</v>
      </c>
      <c r="D51">
        <v>20.418254000000001</v>
      </c>
      <c r="E51">
        <v>20.482216999999999</v>
      </c>
      <c r="F51">
        <v>28.669435</v>
      </c>
      <c r="G51">
        <v>25.685703</v>
      </c>
      <c r="H51">
        <v>25.255126000000001</v>
      </c>
      <c r="I51">
        <v>22.496386999999999</v>
      </c>
      <c r="J51">
        <v>55.648947999999997</v>
      </c>
      <c r="K51">
        <v>48.784837000000003</v>
      </c>
      <c r="L51">
        <v>213.01775699999999</v>
      </c>
      <c r="M51">
        <v>-622.46245099999999</v>
      </c>
      <c r="N51">
        <v>1.2548569999999999</v>
      </c>
      <c r="O51">
        <v>5.861364</v>
      </c>
      <c r="P51">
        <f t="shared" si="3"/>
        <v>2.0914283333333331E-5</v>
      </c>
      <c r="Q51" cm="1">
        <f t="array" ref="Q51">[1]!PropsSI("D","T",J51+273.15,"P",101325,"Water")</f>
        <v>985.37756602717502</v>
      </c>
      <c r="R51" cm="1">
        <f t="array" ref="R51">[1]!PropsSI("D","T",K51+273.15,"P",101325,"Water")</f>
        <v>988.57979561086609</v>
      </c>
      <c r="S51">
        <f t="shared" si="4"/>
        <v>986.97868081902061</v>
      </c>
      <c r="T51" cm="1">
        <f t="array" ref="T51">[1]!PropsSI("H","T",J51+273.15,"P",101325,"Water")</f>
        <v>233043.67305004661</v>
      </c>
      <c r="U51" cm="1">
        <f t="array" ref="U51">[1]!PropsSI("H","T",K51+273.15,"P",101325,"Water")</f>
        <v>204337.68345854615</v>
      </c>
      <c r="V51">
        <f t="shared" si="5"/>
        <v>592.54765279016772</v>
      </c>
    </row>
    <row r="52" spans="1:22" x14ac:dyDescent="0.2">
      <c r="A52">
        <v>46122.674825810187</v>
      </c>
      <c r="B52">
        <v>20.644658</v>
      </c>
      <c r="C52">
        <v>20.822139</v>
      </c>
      <c r="D52">
        <v>20.522449000000002</v>
      </c>
      <c r="E52">
        <v>20.55686</v>
      </c>
      <c r="F52">
        <v>28.737439999999999</v>
      </c>
      <c r="G52">
        <v>25.664210000000001</v>
      </c>
      <c r="H52">
        <v>24.779049000000001</v>
      </c>
      <c r="I52">
        <v>22.285458999999999</v>
      </c>
      <c r="J52">
        <v>55.651654000000001</v>
      </c>
      <c r="K52">
        <v>48.77769</v>
      </c>
      <c r="L52">
        <v>221.56671700000001</v>
      </c>
      <c r="M52">
        <v>-622.49306200000001</v>
      </c>
      <c r="N52">
        <v>1.2528619999999999</v>
      </c>
      <c r="O52">
        <v>6.1600359999999998</v>
      </c>
      <c r="P52">
        <f t="shared" si="3"/>
        <v>2.0881033333333332E-5</v>
      </c>
      <c r="Q52" cm="1">
        <f t="array" ref="Q52">[1]!PropsSI("D","T",J52+273.15,"P",101325,"Water")</f>
        <v>985.37624491174699</v>
      </c>
      <c r="R52" cm="1">
        <f t="array" ref="R52">[1]!PropsSI("D","T",K52+273.15,"P",101325,"Water")</f>
        <v>988.5829706388663</v>
      </c>
      <c r="S52">
        <f t="shared" si="4"/>
        <v>986.9796077753067</v>
      </c>
      <c r="T52" cm="1">
        <f t="array" ref="T52">[1]!PropsSI("H","T",J52+273.15,"P",101325,"Water")</f>
        <v>233054.99277563576</v>
      </c>
      <c r="U52" cm="1">
        <f t="array" ref="U52">[1]!PropsSI("H","T",K52+273.15,"P",101325,"Water")</f>
        <v>204307.80178124324</v>
      </c>
      <c r="V52">
        <f t="shared" si="5"/>
        <v>592.4552888372956</v>
      </c>
    </row>
    <row r="53" spans="1:22" x14ac:dyDescent="0.2">
      <c r="A53">
        <v>46122.674883680556</v>
      </c>
      <c r="B53">
        <v>20.673148999999999</v>
      </c>
      <c r="C53">
        <v>20.870809000000001</v>
      </c>
      <c r="D53">
        <v>20.415168999999999</v>
      </c>
      <c r="E53">
        <v>20.602270999999998</v>
      </c>
      <c r="F53">
        <v>28.771951999999999</v>
      </c>
      <c r="G53">
        <v>25.806792000000002</v>
      </c>
      <c r="H53">
        <v>24.89086</v>
      </c>
      <c r="I53">
        <v>22.361015999999999</v>
      </c>
      <c r="J53">
        <v>55.652608999999998</v>
      </c>
      <c r="K53">
        <v>48.772291000000003</v>
      </c>
      <c r="L53">
        <v>198.70704499999999</v>
      </c>
      <c r="M53">
        <v>-622.49224500000003</v>
      </c>
      <c r="N53">
        <v>1.253145</v>
      </c>
      <c r="O53">
        <v>6.0196529999999999</v>
      </c>
      <c r="P53">
        <f t="shared" si="3"/>
        <v>2.0885749999999999E-5</v>
      </c>
      <c r="Q53" cm="1">
        <f t="array" ref="Q53">[1]!PropsSI("D","T",J53+273.15,"P",101325,"Water")</f>
        <v>985.37577865367302</v>
      </c>
      <c r="R53" cm="1">
        <f t="array" ref="R53">[1]!PropsSI("D","T",K53+273.15,"P",101325,"Water")</f>
        <v>988.58536889904667</v>
      </c>
      <c r="S53">
        <f t="shared" si="4"/>
        <v>986.98057377635985</v>
      </c>
      <c r="T53" cm="1">
        <f t="array" ref="T53">[1]!PropsSI("H","T",J53+273.15,"P",101325,"Water")</f>
        <v>233058.98772747707</v>
      </c>
      <c r="U53" cm="1">
        <f t="array" ref="U53">[1]!PropsSI("H","T",K53+273.15,"P",101325,"Water")</f>
        <v>204285.22851796792</v>
      </c>
      <c r="V53">
        <f t="shared" si="5"/>
        <v>593.13736695837315</v>
      </c>
    </row>
    <row r="54" spans="1:22" x14ac:dyDescent="0.2">
      <c r="A54">
        <v>46122.674942129626</v>
      </c>
      <c r="B54">
        <v>20.622561999999999</v>
      </c>
      <c r="C54">
        <v>20.762633999999998</v>
      </c>
      <c r="D54">
        <v>20.357119999999998</v>
      </c>
      <c r="E54">
        <v>20.46191</v>
      </c>
      <c r="F54">
        <v>28.722007999999999</v>
      </c>
      <c r="G54">
        <v>25.620453000000001</v>
      </c>
      <c r="H54">
        <v>24.883268000000001</v>
      </c>
      <c r="I54">
        <v>22.584261000000001</v>
      </c>
      <c r="J54">
        <v>55.651972000000001</v>
      </c>
      <c r="K54">
        <v>48.772291000000003</v>
      </c>
      <c r="L54">
        <v>216.987762</v>
      </c>
      <c r="M54">
        <v>-622.49959200000001</v>
      </c>
      <c r="N54">
        <v>1.253833</v>
      </c>
      <c r="O54">
        <v>6.1098020000000002</v>
      </c>
      <c r="P54">
        <f t="shared" si="3"/>
        <v>2.0897216666666667E-5</v>
      </c>
      <c r="Q54" cm="1">
        <f t="array" ref="Q54">[1]!PropsSI("D","T",J54+273.15,"P",101325,"Water")</f>
        <v>985.3760896557684</v>
      </c>
      <c r="R54" cm="1">
        <f t="array" ref="R54">[1]!PropsSI("D","T",K54+273.15,"P",101325,"Water")</f>
        <v>988.58536889904667</v>
      </c>
      <c r="S54">
        <f t="shared" si="4"/>
        <v>986.98072927740759</v>
      </c>
      <c r="T54" cm="1">
        <f t="array" ref="T54">[1]!PropsSI("H","T",J54+273.15,"P",101325,"Water")</f>
        <v>233056.32303177888</v>
      </c>
      <c r="U54" cm="1">
        <f t="array" ref="U54">[1]!PropsSI("H","T",K54+273.15,"P",101325,"Water")</f>
        <v>204285.22851796792</v>
      </c>
      <c r="V54">
        <f t="shared" si="5"/>
        <v>593.40814419871981</v>
      </c>
    </row>
    <row r="55" spans="1:22" x14ac:dyDescent="0.2">
      <c r="A55">
        <v>46122.675000578703</v>
      </c>
      <c r="B55">
        <v>20.564926</v>
      </c>
      <c r="C55">
        <v>20.631447000000001</v>
      </c>
      <c r="D55">
        <v>20.355675999999999</v>
      </c>
      <c r="E55">
        <v>20.448077000000001</v>
      </c>
      <c r="F55">
        <v>28.700890000000001</v>
      </c>
      <c r="G55">
        <v>25.595482000000001</v>
      </c>
      <c r="H55">
        <v>24.813296000000001</v>
      </c>
      <c r="I55">
        <v>22.439644000000001</v>
      </c>
      <c r="J55">
        <v>55.654995999999997</v>
      </c>
      <c r="K55">
        <v>48.763238999999999</v>
      </c>
      <c r="L55">
        <v>200.131055</v>
      </c>
      <c r="M55">
        <v>-622.53877399999999</v>
      </c>
      <c r="N55">
        <v>1.256464</v>
      </c>
      <c r="O55">
        <v>5.736065</v>
      </c>
      <c r="P55">
        <f t="shared" si="3"/>
        <v>2.0941066666666668E-5</v>
      </c>
      <c r="Q55" cm="1">
        <f t="array" ref="Q55">[1]!PropsSI("D","T",J55+273.15,"P",101325,"Water")</f>
        <v>985.37461322797913</v>
      </c>
      <c r="R55" cm="1">
        <f t="array" ref="R55">[1]!PropsSI("D","T",K55+273.15,"P",101325,"Water")</f>
        <v>988.58938940309827</v>
      </c>
      <c r="S55">
        <f t="shared" si="4"/>
        <v>986.9820013155387</v>
      </c>
      <c r="T55" cm="1">
        <f t="array" ref="T55">[1]!PropsSI("H","T",J55+273.15,"P",101325,"Water")</f>
        <v>233068.97301695737</v>
      </c>
      <c r="U55" cm="1">
        <f t="array" ref="U55">[1]!PropsSI("H","T",K55+273.15,"P",101325,"Water")</f>
        <v>204247.38204894599</v>
      </c>
      <c r="V55">
        <f t="shared" si="5"/>
        <v>595.69778155437507</v>
      </c>
    </row>
    <row r="56" spans="1:22" x14ac:dyDescent="0.2">
      <c r="A56">
        <v>46122.675058449073</v>
      </c>
      <c r="B56">
        <v>20.551186999999999</v>
      </c>
      <c r="C56">
        <v>20.752209000000001</v>
      </c>
      <c r="D56">
        <v>20.345302</v>
      </c>
      <c r="E56">
        <v>20.437351</v>
      </c>
      <c r="F56">
        <v>28.649894</v>
      </c>
      <c r="G56">
        <v>25.517358000000002</v>
      </c>
      <c r="H56">
        <v>24.587454000000001</v>
      </c>
      <c r="I56">
        <v>22.142209999999999</v>
      </c>
      <c r="J56">
        <v>55.656745999999998</v>
      </c>
      <c r="K56">
        <v>48.757838999999997</v>
      </c>
      <c r="L56">
        <v>209.237538</v>
      </c>
      <c r="M56">
        <v>-622.48449100000005</v>
      </c>
      <c r="N56">
        <v>1.2528779999999999</v>
      </c>
      <c r="O56">
        <v>6.0513589999999997</v>
      </c>
      <c r="P56">
        <f t="shared" si="3"/>
        <v>2.0881299999999999E-5</v>
      </c>
      <c r="Q56" cm="1">
        <f t="array" ref="Q56">[1]!PropsSI("D","T",J56+273.15,"P",101325,"Water")</f>
        <v>985.37375878800094</v>
      </c>
      <c r="R56" cm="1">
        <f t="array" ref="R56">[1]!PropsSI("D","T",K56+273.15,"P",101325,"Water")</f>
        <v>988.59178758819269</v>
      </c>
      <c r="S56">
        <f t="shared" si="4"/>
        <v>986.98277318809687</v>
      </c>
      <c r="T56" cm="1">
        <f t="array" ref="T56">[1]!PropsSI("H","T",J56+273.15,"P",101325,"Water")</f>
        <v>233076.29361180498</v>
      </c>
      <c r="U56" cm="1">
        <f t="array" ref="U56">[1]!PropsSI("H","T",K56+273.15,"P",101325,"Water")</f>
        <v>204224.80462514202</v>
      </c>
      <c r="V56">
        <f t="shared" si="5"/>
        <v>594.61428281002588</v>
      </c>
    </row>
    <row r="57" spans="1:22" x14ac:dyDescent="0.2">
      <c r="A57">
        <v>46122.675116319442</v>
      </c>
      <c r="B57">
        <v>20.770748999999999</v>
      </c>
      <c r="C57">
        <v>20.850850999999999</v>
      </c>
      <c r="D57">
        <v>20.461119</v>
      </c>
      <c r="E57">
        <v>20.545311999999999</v>
      </c>
      <c r="F57">
        <v>28.855523000000002</v>
      </c>
      <c r="G57">
        <v>25.675577000000001</v>
      </c>
      <c r="H57">
        <v>25.401025000000001</v>
      </c>
      <c r="I57">
        <v>22.749517000000001</v>
      </c>
      <c r="J57">
        <v>55.656427999999998</v>
      </c>
      <c r="K57">
        <v>48.754663000000001</v>
      </c>
      <c r="L57">
        <v>204.12759</v>
      </c>
      <c r="M57">
        <v>-622.54489599999999</v>
      </c>
      <c r="N57">
        <v>1.2489889999999999</v>
      </c>
      <c r="O57">
        <v>5.9356920000000004</v>
      </c>
      <c r="P57">
        <f t="shared" si="3"/>
        <v>2.081648333333333E-5</v>
      </c>
      <c r="Q57" cm="1">
        <f t="array" ref="Q57">[1]!PropsSI("D","T",J57+273.15,"P",101325,"Water")</f>
        <v>985.37391405334904</v>
      </c>
      <c r="R57" cm="1">
        <f t="array" ref="R57">[1]!PropsSI("D","T",K57+273.15,"P",101325,"Water")</f>
        <v>988.59319798565139</v>
      </c>
      <c r="S57">
        <f t="shared" si="4"/>
        <v>986.98355601950016</v>
      </c>
      <c r="T57" cm="1">
        <f t="array" ref="T57">[1]!PropsSI("H","T",J57+273.15,"P",101325,"Water")</f>
        <v>233074.96335502833</v>
      </c>
      <c r="U57" cm="1">
        <f t="array" ref="U57">[1]!PropsSI("H","T",K57+273.15,"P",101325,"Water")</f>
        <v>204211.52575877763</v>
      </c>
      <c r="V57">
        <f t="shared" si="5"/>
        <v>593.01452906198847</v>
      </c>
    </row>
    <row r="58" spans="1:22" x14ac:dyDescent="0.2">
      <c r="A58">
        <v>46122.675174768519</v>
      </c>
      <c r="B58">
        <v>20.798006000000001</v>
      </c>
      <c r="C58">
        <v>20.811274000000001</v>
      </c>
      <c r="D58">
        <v>20.510656000000001</v>
      </c>
      <c r="E58">
        <v>20.594338</v>
      </c>
      <c r="F58">
        <v>28.793810000000001</v>
      </c>
      <c r="G58">
        <v>25.679112</v>
      </c>
      <c r="H58">
        <v>24.852682000000001</v>
      </c>
      <c r="I58">
        <v>22.566566999999999</v>
      </c>
      <c r="J58">
        <v>55.657223999999999</v>
      </c>
      <c r="K58">
        <v>48.761173999999997</v>
      </c>
      <c r="L58">
        <v>207.66863699999999</v>
      </c>
      <c r="M58">
        <v>-622.50367300000005</v>
      </c>
      <c r="N58">
        <v>1.2523949999999999</v>
      </c>
      <c r="O58">
        <v>5.9324519999999996</v>
      </c>
      <c r="P58">
        <f t="shared" si="3"/>
        <v>2.0873249999999999E-5</v>
      </c>
      <c r="Q58" cm="1">
        <f t="array" ref="Q58">[1]!PropsSI("D","T",J58+273.15,"P",101325,"Water")</f>
        <v>985.37352540052791</v>
      </c>
      <c r="R58" cm="1">
        <f t="array" ref="R58">[1]!PropsSI("D","T",K58+273.15,"P",101325,"Water")</f>
        <v>988.59030650976865</v>
      </c>
      <c r="S58">
        <f t="shared" si="4"/>
        <v>986.98191595514822</v>
      </c>
      <c r="T58" cm="1">
        <f t="array" ref="T58">[1]!PropsSI("H","T",J58+273.15,"P",101325,"Water")</f>
        <v>233078.29318016372</v>
      </c>
      <c r="U58" cm="1">
        <f t="array" ref="U58">[1]!PropsSI("H","T",K58+273.15,"P",101325,"Water")</f>
        <v>204238.74827393255</v>
      </c>
      <c r="V58">
        <f t="shared" si="5"/>
        <v>594.13846917125272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16DE-78D9-9D44-A9BF-5F788FB462AC}">
  <dimension ref="A1:W57"/>
  <sheetViews>
    <sheetView topLeftCell="H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2">
      <c r="A2">
        <v>44660.667637731698</v>
      </c>
      <c r="B2">
        <v>20.360057999999999</v>
      </c>
      <c r="C2">
        <v>20.515823999999999</v>
      </c>
      <c r="D2">
        <v>20.210816999999999</v>
      </c>
      <c r="E2">
        <v>20.356169999999999</v>
      </c>
      <c r="F2">
        <v>27.335215999999999</v>
      </c>
      <c r="G2">
        <v>24.877782</v>
      </c>
      <c r="H2">
        <v>23.907381999999998</v>
      </c>
      <c r="I2">
        <v>21.871411999999999</v>
      </c>
      <c r="J2">
        <v>54.497152</v>
      </c>
      <c r="K2">
        <v>47.185077</v>
      </c>
      <c r="L2">
        <v>294.74754200000001</v>
      </c>
      <c r="M2">
        <v>-622.48244999999997</v>
      </c>
      <c r="N2">
        <v>1.2538940000000001</v>
      </c>
      <c r="O2">
        <v>6.3363189999999996</v>
      </c>
      <c r="P2">
        <f t="shared" ref="P2:P19" si="0" xml:space="preserve"> N2*0.001/60</f>
        <v>2.0898233333333336E-5</v>
      </c>
      <c r="Q2" cm="1">
        <f t="array" ref="Q2">[1]!PropsSI("D","T",J2+273.15,"P",101325,"Water")</f>
        <v>985.9357763431924</v>
      </c>
      <c r="R2" cm="1">
        <f t="array" ref="R2">[1]!PropsSI("D","T",K2+273.15,"P",101325,"Water")</f>
        <v>989.28195297317541</v>
      </c>
      <c r="S2">
        <f t="shared" ref="S2:S19" si="1">(Q2+R2)/2</f>
        <v>987.60886465818385</v>
      </c>
      <c r="T2" cm="1">
        <f t="array" ref="T2">[1]!PropsSI("H","T",J2+273.15,"P",101325,"Water")</f>
        <v>228225.729026999</v>
      </c>
      <c r="U2" cm="1">
        <f t="array" ref="U2">[1]!PropsSI("H","T",K2+273.15,"P",101325,"Water")</f>
        <v>197649.39407315795</v>
      </c>
      <c r="V2">
        <f t="shared" ref="V2:V19" si="2">S2*P2*(T2-U2)</f>
        <v>631.07355364265345</v>
      </c>
      <c r="W2" s="1">
        <f>AVERAGE(V2:V33)</f>
        <v>621.79760957890971</v>
      </c>
    </row>
    <row r="3" spans="1:23" x14ac:dyDescent="0.2">
      <c r="A3">
        <v>44660.667696180702</v>
      </c>
      <c r="B3">
        <v>20.440494999999999</v>
      </c>
      <c r="C3">
        <v>20.524082</v>
      </c>
      <c r="D3">
        <v>20.211414999999999</v>
      </c>
      <c r="E3">
        <v>20.227886000000002</v>
      </c>
      <c r="F3">
        <v>27.318151</v>
      </c>
      <c r="G3">
        <v>24.773126999999999</v>
      </c>
      <c r="H3">
        <v>24.224965999999998</v>
      </c>
      <c r="I3">
        <v>21.894386000000001</v>
      </c>
      <c r="J3">
        <v>54.532944999999998</v>
      </c>
      <c r="K3">
        <v>47.231267000000003</v>
      </c>
      <c r="L3">
        <v>266.17468700000001</v>
      </c>
      <c r="M3">
        <v>-622.47632799999997</v>
      </c>
      <c r="N3">
        <v>1.2519149999999999</v>
      </c>
      <c r="O3">
        <v>6.2100289999999996</v>
      </c>
      <c r="P3">
        <f t="shared" si="0"/>
        <v>2.0865249999999998E-5</v>
      </c>
      <c r="Q3" cm="1">
        <f t="array" ref="Q3">[1]!PropsSI("D","T",J3+273.15,"P",101325,"Water")</f>
        <v>985.91855363324703</v>
      </c>
      <c r="R3" cm="1">
        <f t="array" ref="R3">[1]!PropsSI("D","T",K3+273.15,"P",101325,"Water")</f>
        <v>989.26192127030299</v>
      </c>
      <c r="S3">
        <f t="shared" si="1"/>
        <v>987.59023745177501</v>
      </c>
      <c r="T3" cm="1">
        <f t="array" ref="T3">[1]!PropsSI("H","T",J3+273.15,"P",101325,"Water")</f>
        <v>228375.44337413966</v>
      </c>
      <c r="U3" cm="1">
        <f t="array" ref="U3">[1]!PropsSI("H","T",K3+273.15,"P",101325,"Water")</f>
        <v>197842.49681796841</v>
      </c>
      <c r="V3">
        <f t="shared" si="2"/>
        <v>629.17158184789275</v>
      </c>
      <c r="W3" s="1"/>
    </row>
    <row r="4" spans="1:23" x14ac:dyDescent="0.2">
      <c r="A4">
        <v>44660.667754629801</v>
      </c>
      <c r="B4">
        <v>20.604693999999999</v>
      </c>
      <c r="C4">
        <v>20.733546</v>
      </c>
      <c r="D4">
        <v>20.21987</v>
      </c>
      <c r="E4">
        <v>20.366506999999999</v>
      </c>
      <c r="F4">
        <v>27.620864999999998</v>
      </c>
      <c r="G4">
        <v>25.111799000000001</v>
      </c>
      <c r="H4">
        <v>24.179884000000001</v>
      </c>
      <c r="I4">
        <v>21.863323000000001</v>
      </c>
      <c r="J4">
        <v>54.569693000000001</v>
      </c>
      <c r="K4">
        <v>47.275236</v>
      </c>
      <c r="L4">
        <v>278.48713199999997</v>
      </c>
      <c r="M4">
        <v>-622.50530600000002</v>
      </c>
      <c r="N4">
        <v>1.25187</v>
      </c>
      <c r="O4">
        <v>5.9091079999999998</v>
      </c>
      <c r="P4">
        <f t="shared" si="0"/>
        <v>2.08645E-5</v>
      </c>
      <c r="Q4" cm="1">
        <f t="array" ref="Q4">[1]!PropsSI("D","T",J4+273.15,"P",101325,"Water")</f>
        <v>985.90086308557909</v>
      </c>
      <c r="R4" cm="1">
        <f t="array" ref="R4">[1]!PropsSI("D","T",K4+273.15,"P",101325,"Water")</f>
        <v>989.24283933579193</v>
      </c>
      <c r="S4">
        <f t="shared" si="1"/>
        <v>987.57185121068551</v>
      </c>
      <c r="T4" cm="1">
        <f t="array" ref="T4">[1]!PropsSI("H","T",J4+273.15,"P",101325,"Water")</f>
        <v>228529.15275162752</v>
      </c>
      <c r="U4" cm="1">
        <f t="array" ref="U4">[1]!PropsSI("H","T",K4+273.15,"P",101325,"Water")</f>
        <v>198026.31487767101</v>
      </c>
      <c r="V4">
        <f t="shared" si="2"/>
        <v>628.51685807262334</v>
      </c>
      <c r="W4" s="1"/>
    </row>
    <row r="5" spans="1:23" x14ac:dyDescent="0.2">
      <c r="A5">
        <v>44660.667813078901</v>
      </c>
      <c r="B5">
        <v>20.362497000000001</v>
      </c>
      <c r="C5">
        <v>20.585094999999999</v>
      </c>
      <c r="D5">
        <v>20.142437000000001</v>
      </c>
      <c r="E5">
        <v>20.240485</v>
      </c>
      <c r="F5">
        <v>27.351362000000002</v>
      </c>
      <c r="G5">
        <v>24.922488999999999</v>
      </c>
      <c r="H5">
        <v>24.048579</v>
      </c>
      <c r="I5">
        <v>21.859378</v>
      </c>
      <c r="J5">
        <v>54.593715000000003</v>
      </c>
      <c r="K5">
        <v>47.318728999999998</v>
      </c>
      <c r="L5">
        <v>271.37361099999998</v>
      </c>
      <c r="M5">
        <v>-622.47796000000005</v>
      </c>
      <c r="N5">
        <v>1.2503329999999999</v>
      </c>
      <c r="O5">
        <v>6.1993539999999996</v>
      </c>
      <c r="P5">
        <f t="shared" si="0"/>
        <v>2.0838883333333331E-5</v>
      </c>
      <c r="Q5" cm="1">
        <f t="array" ref="Q5">[1]!PropsSI("D","T",J5+273.15,"P",101325,"Water")</f>
        <v>985.88929430319456</v>
      </c>
      <c r="R5" cm="1">
        <f t="array" ref="R5">[1]!PropsSI("D","T",K5+273.15,"P",101325,"Water")</f>
        <v>989.22395109256661</v>
      </c>
      <c r="S5">
        <f t="shared" si="1"/>
        <v>987.55662269788058</v>
      </c>
      <c r="T5" cm="1">
        <f t="array" ref="T5">[1]!PropsSI("H","T",J5+273.15,"P",101325,"Water")</f>
        <v>228629.63212982411</v>
      </c>
      <c r="U5" cm="1">
        <f t="array" ref="U5">[1]!PropsSI("H","T",K5+273.15,"P",101325,"Water")</f>
        <v>198208.1434081984</v>
      </c>
      <c r="V5">
        <f t="shared" si="2"/>
        <v>626.0613770686416</v>
      </c>
      <c r="W5" s="1"/>
    </row>
    <row r="6" spans="1:23" x14ac:dyDescent="0.2">
      <c r="A6">
        <v>46122.667870949073</v>
      </c>
      <c r="B6">
        <v>20.346022999999999</v>
      </c>
      <c r="C6">
        <v>20.595455999999999</v>
      </c>
      <c r="D6">
        <v>20.130977999999999</v>
      </c>
      <c r="E6">
        <v>20.206859000000001</v>
      </c>
      <c r="F6">
        <v>27.274466</v>
      </c>
      <c r="G6">
        <v>25.129422999999999</v>
      </c>
      <c r="H6">
        <v>24.039733999999999</v>
      </c>
      <c r="I6">
        <v>21.832884</v>
      </c>
      <c r="J6">
        <v>54.63635</v>
      </c>
      <c r="K6">
        <v>47.356349999999999</v>
      </c>
      <c r="L6">
        <v>268.90842800000001</v>
      </c>
      <c r="M6">
        <v>-622.493878</v>
      </c>
      <c r="N6">
        <v>1.251546</v>
      </c>
      <c r="O6">
        <v>6.0786300000000004</v>
      </c>
      <c r="P6">
        <f t="shared" si="0"/>
        <v>2.0859100000000002E-5</v>
      </c>
      <c r="Q6" cm="1">
        <f t="array" ref="Q6">[1]!PropsSI("D","T",J6+273.15,"P",101325,"Water")</f>
        <v>985.86875280630193</v>
      </c>
      <c r="R6" cm="1">
        <f t="array" ref="R6">[1]!PropsSI("D","T",K6+273.15,"P",101325,"Water")</f>
        <v>989.20760262336296</v>
      </c>
      <c r="S6">
        <f t="shared" si="1"/>
        <v>987.5381777148325</v>
      </c>
      <c r="T6" cm="1">
        <f t="array" ref="T6">[1]!PropsSI("H","T",J6+273.15,"P",101325,"Water")</f>
        <v>228807.96659115091</v>
      </c>
      <c r="U6" cm="1">
        <f t="array" ref="U6">[1]!PropsSI("H","T",K6+273.15,"P",101325,"Water")</f>
        <v>198365.42358884259</v>
      </c>
      <c r="V6">
        <f t="shared" si="2"/>
        <v>627.09074113369661</v>
      </c>
      <c r="W6" s="1"/>
    </row>
    <row r="7" spans="1:23" x14ac:dyDescent="0.2">
      <c r="A7">
        <v>46122.667929398151</v>
      </c>
      <c r="B7">
        <v>20.48639</v>
      </c>
      <c r="C7">
        <v>20.566108</v>
      </c>
      <c r="D7">
        <v>20.203067999999998</v>
      </c>
      <c r="E7">
        <v>20.394673999999998</v>
      </c>
      <c r="F7">
        <v>27.602209999999999</v>
      </c>
      <c r="G7">
        <v>24.926881000000002</v>
      </c>
      <c r="H7">
        <v>24.577591999999999</v>
      </c>
      <c r="I7">
        <v>22.015478999999999</v>
      </c>
      <c r="J7">
        <v>54.661009</v>
      </c>
      <c r="K7">
        <v>47.393177000000001</v>
      </c>
      <c r="L7">
        <v>261.292891</v>
      </c>
      <c r="M7">
        <v>-622.45714499999997</v>
      </c>
      <c r="N7">
        <v>1.249854</v>
      </c>
      <c r="O7">
        <v>6.1160550000000002</v>
      </c>
      <c r="P7">
        <f t="shared" si="0"/>
        <v>2.0830900000000001E-5</v>
      </c>
      <c r="Q7" cm="1">
        <f t="array" ref="Q7">[1]!PropsSI("D","T",J7+273.15,"P",101325,"Water")</f>
        <v>985.85686695591028</v>
      </c>
      <c r="R7" cm="1">
        <f t="array" ref="R7">[1]!PropsSI("D","T",K7+273.15,"P",101325,"Water")</f>
        <v>989.19158991404447</v>
      </c>
      <c r="S7">
        <f t="shared" si="1"/>
        <v>987.52422843497743</v>
      </c>
      <c r="T7" cm="1">
        <f t="array" ref="T7">[1]!PropsSI("H","T",J7+273.15,"P",101325,"Water")</f>
        <v>228911.11100488305</v>
      </c>
      <c r="U7" cm="1">
        <f t="array" ref="U7">[1]!PropsSI("H","T",K7+273.15,"P",101325,"Water")</f>
        <v>198519.3846608907</v>
      </c>
      <c r="V7">
        <f t="shared" si="2"/>
        <v>625.18876335284426</v>
      </c>
      <c r="W7" s="1"/>
    </row>
    <row r="8" spans="1:23" x14ac:dyDescent="0.2">
      <c r="A8">
        <v>46122.66798726852</v>
      </c>
      <c r="B8">
        <v>20.417216</v>
      </c>
      <c r="C8">
        <v>20.719421000000001</v>
      </c>
      <c r="D8">
        <v>20.280251</v>
      </c>
      <c r="E8">
        <v>20.441882</v>
      </c>
      <c r="F8">
        <v>27.510864999999999</v>
      </c>
      <c r="G8">
        <v>25.080952</v>
      </c>
      <c r="H8">
        <v>24.227401</v>
      </c>
      <c r="I8">
        <v>22.031779</v>
      </c>
      <c r="J8">
        <v>54.693621999999998</v>
      </c>
      <c r="K8">
        <v>47.424925000000002</v>
      </c>
      <c r="L8">
        <v>277.68145800000002</v>
      </c>
      <c r="M8">
        <v>-622.48163399999999</v>
      </c>
      <c r="N8">
        <v>1.2441329999999999</v>
      </c>
      <c r="O8">
        <v>5.2924850000000001</v>
      </c>
      <c r="P8">
        <f t="shared" si="0"/>
        <v>2.0735549999999998E-5</v>
      </c>
      <c r="Q8" cm="1">
        <f t="array" ref="Q8">[1]!PropsSI("D","T",J8+273.15,"P",101325,"Water")</f>
        <v>985.84114139071903</v>
      </c>
      <c r="R8" cm="1">
        <f t="array" ref="R8">[1]!PropsSI("D","T",K8+273.15,"P",101325,"Water")</f>
        <v>989.17777823480776</v>
      </c>
      <c r="S8">
        <f t="shared" si="1"/>
        <v>987.50945981276345</v>
      </c>
      <c r="T8" cm="1">
        <f t="array" ref="T8">[1]!PropsSI("H","T",J8+273.15,"P",101325,"Water")</f>
        <v>229047.52598428546</v>
      </c>
      <c r="U8" cm="1">
        <f t="array" ref="U8">[1]!PropsSI("H","T",K8+273.15,"P",101325,"Water")</f>
        <v>198652.1124334824</v>
      </c>
      <c r="V8">
        <f t="shared" si="2"/>
        <v>622.39325942991968</v>
      </c>
      <c r="W8" s="1"/>
    </row>
    <row r="9" spans="1:23" x14ac:dyDescent="0.2">
      <c r="A9">
        <v>46122.668045138889</v>
      </c>
      <c r="B9">
        <v>20.443076999999999</v>
      </c>
      <c r="C9">
        <v>20.573996000000001</v>
      </c>
      <c r="D9">
        <v>20.213045999999999</v>
      </c>
      <c r="E9">
        <v>20.504693</v>
      </c>
      <c r="F9">
        <v>27.427063</v>
      </c>
      <c r="G9">
        <v>24.815918</v>
      </c>
      <c r="H9">
        <v>23.977841999999999</v>
      </c>
      <c r="I9">
        <v>21.956244000000002</v>
      </c>
      <c r="J9">
        <v>54.719712999999999</v>
      </c>
      <c r="K9">
        <v>47.454610000000002</v>
      </c>
      <c r="L9">
        <v>273.00087600000001</v>
      </c>
      <c r="M9">
        <v>-622.46571600000004</v>
      </c>
      <c r="N9">
        <v>1.2448710000000001</v>
      </c>
      <c r="O9">
        <v>5.8526590000000001</v>
      </c>
      <c r="P9">
        <f t="shared" si="0"/>
        <v>2.0747850000000002E-5</v>
      </c>
      <c r="Q9" cm="1">
        <f t="array" ref="Q9">[1]!PropsSI("D","T",J9+273.15,"P",101325,"Water")</f>
        <v>985.82855587956249</v>
      </c>
      <c r="R9" cm="1">
        <f t="array" ref="R9">[1]!PropsSI("D","T",K9+273.15,"P",101325,"Water")</f>
        <v>989.16485787858687</v>
      </c>
      <c r="S9">
        <f t="shared" si="1"/>
        <v>987.49670687907474</v>
      </c>
      <c r="T9" cm="1">
        <f t="array" ref="T9">[1]!PropsSI("H","T",J9+273.15,"P",101325,"Water")</f>
        <v>229156.66075097429</v>
      </c>
      <c r="U9" cm="1">
        <f t="array" ref="U9">[1]!PropsSI("H","T",K9+273.15,"P",101325,"Water")</f>
        <v>198776.21571096953</v>
      </c>
      <c r="V9">
        <f t="shared" si="2"/>
        <v>622.447729416127</v>
      </c>
      <c r="W9" s="1"/>
    </row>
    <row r="10" spans="1:23" x14ac:dyDescent="0.2">
      <c r="A10">
        <v>44660.668103009397</v>
      </c>
      <c r="B10">
        <v>20.315922</v>
      </c>
      <c r="C10">
        <v>20.564221</v>
      </c>
      <c r="D10">
        <v>20.133400000000002</v>
      </c>
      <c r="E10">
        <v>20.253826</v>
      </c>
      <c r="F10">
        <v>27.259432</v>
      </c>
      <c r="G10">
        <v>24.878350999999999</v>
      </c>
      <c r="H10">
        <v>24.165704000000002</v>
      </c>
      <c r="I10">
        <v>21.903881999999999</v>
      </c>
      <c r="J10">
        <v>54.751373000000001</v>
      </c>
      <c r="K10">
        <v>47.475245999999999</v>
      </c>
      <c r="L10">
        <v>297.72249599999998</v>
      </c>
      <c r="M10">
        <v>-622.48571500000003</v>
      </c>
      <c r="N10">
        <v>1.244297</v>
      </c>
      <c r="O10">
        <v>6.1105900000000002</v>
      </c>
      <c r="P10">
        <f t="shared" si="0"/>
        <v>2.0738283333333334E-5</v>
      </c>
      <c r="Q10" cm="1">
        <f t="array" ref="Q10">[1]!PropsSI("D","T",J10+273.15,"P",101325,"Water")</f>
        <v>985.81327835883064</v>
      </c>
      <c r="R10" cm="1">
        <f t="array" ref="R10">[1]!PropsSI("D","T",K10+273.15,"P",101325,"Water")</f>
        <v>989.15587257729055</v>
      </c>
      <c r="S10">
        <f t="shared" si="1"/>
        <v>987.4845754680606</v>
      </c>
      <c r="T10" cm="1">
        <f t="array" ref="T10">[1]!PropsSI("H","T",J10+273.15,"P",101325,"Water")</f>
        <v>229289.09014194083</v>
      </c>
      <c r="U10" cm="1">
        <f t="array" ref="U10">[1]!PropsSI("H","T",K10+273.15,"P",101325,"Water")</f>
        <v>198862.48820315953</v>
      </c>
      <c r="V10">
        <f t="shared" si="2"/>
        <v>623.09831541841538</v>
      </c>
    </row>
    <row r="11" spans="1:23" x14ac:dyDescent="0.2">
      <c r="A11">
        <v>44660.668160879803</v>
      </c>
      <c r="B11">
        <v>20.530577000000001</v>
      </c>
      <c r="C11">
        <v>20.497108999999998</v>
      </c>
      <c r="D11">
        <v>20.175156999999999</v>
      </c>
      <c r="E11">
        <v>20.303191999999999</v>
      </c>
      <c r="F11">
        <v>27.503582999999999</v>
      </c>
      <c r="G11">
        <v>24.839431999999999</v>
      </c>
      <c r="H11">
        <v>24.305363</v>
      </c>
      <c r="I11">
        <v>22.0913</v>
      </c>
      <c r="J11">
        <v>54.762667999999998</v>
      </c>
      <c r="K11">
        <v>47.491756000000002</v>
      </c>
      <c r="L11">
        <v>271.45278999999999</v>
      </c>
      <c r="M11">
        <v>-622.48285799999996</v>
      </c>
      <c r="N11">
        <v>1.242351</v>
      </c>
      <c r="O11">
        <v>6.0302129999999998</v>
      </c>
      <c r="P11">
        <f t="shared" si="0"/>
        <v>2.0705850000000001E-5</v>
      </c>
      <c r="Q11" cm="1">
        <f t="array" ref="Q11">[1]!PropsSI("D","T",J11+273.15,"P",101325,"Water")</f>
        <v>985.80782645091858</v>
      </c>
      <c r="R11" cm="1">
        <f t="array" ref="R11">[1]!PropsSI("D","T",K11+273.15,"P",101325,"Water")</f>
        <v>989.14868174127196</v>
      </c>
      <c r="S11">
        <f t="shared" si="1"/>
        <v>987.47825409609527</v>
      </c>
      <c r="T11" cm="1">
        <f t="array" ref="T11">[1]!PropsSI("H","T",J11+273.15,"P",101325,"Water")</f>
        <v>229336.33564793828</v>
      </c>
      <c r="U11" cm="1">
        <f t="array" ref="U11">[1]!PropsSI("H","T",K11+273.15,"P",101325,"Water")</f>
        <v>198931.51128730184</v>
      </c>
      <c r="V11">
        <f t="shared" si="2"/>
        <v>621.67457052963493</v>
      </c>
    </row>
    <row r="12" spans="1:23" x14ac:dyDescent="0.2">
      <c r="A12">
        <v>44660.668219328902</v>
      </c>
      <c r="B12">
        <v>20.597484999999999</v>
      </c>
      <c r="C12">
        <v>20.909735999999999</v>
      </c>
      <c r="D12">
        <v>20.265875000000001</v>
      </c>
      <c r="E12">
        <v>20.401239</v>
      </c>
      <c r="F12">
        <v>27.62114</v>
      </c>
      <c r="G12">
        <v>25.132660000000001</v>
      </c>
      <c r="H12">
        <v>24.110543</v>
      </c>
      <c r="I12">
        <v>21.809604</v>
      </c>
      <c r="J12">
        <v>54.772055000000002</v>
      </c>
      <c r="K12">
        <v>47.510010999999999</v>
      </c>
      <c r="L12">
        <v>273.711861</v>
      </c>
      <c r="M12">
        <v>-622.53020300000003</v>
      </c>
      <c r="N12">
        <v>1.2416210000000001</v>
      </c>
      <c r="O12">
        <v>6.3421139999999996</v>
      </c>
      <c r="P12">
        <f t="shared" si="0"/>
        <v>2.0693683333333335E-5</v>
      </c>
      <c r="Q12" cm="1">
        <f t="array" ref="Q12">[1]!PropsSI("D","T",J12+273.15,"P",101325,"Water")</f>
        <v>985.8032948986388</v>
      </c>
      <c r="R12" cm="1">
        <f t="array" ref="R12">[1]!PropsSI("D","T",K12+273.15,"P",101325,"Water")</f>
        <v>989.14072873631176</v>
      </c>
      <c r="S12">
        <f t="shared" si="1"/>
        <v>987.47201181747528</v>
      </c>
      <c r="T12" cm="1">
        <f t="array" ref="T12">[1]!PropsSI("H","T",J12+273.15,"P",101325,"Water")</f>
        <v>229375.60027452369</v>
      </c>
      <c r="U12" cm="1">
        <f t="array" ref="U12">[1]!PropsSI("H","T",K12+273.15,"P",101325,"Water")</f>
        <v>199007.82974044723</v>
      </c>
      <c r="V12">
        <f t="shared" si="2"/>
        <v>620.54817577196013</v>
      </c>
    </row>
    <row r="13" spans="1:23" x14ac:dyDescent="0.2">
      <c r="A13">
        <v>44660.668277199198</v>
      </c>
      <c r="B13">
        <v>20.487078</v>
      </c>
      <c r="C13">
        <v>20.736460999999998</v>
      </c>
      <c r="D13">
        <v>20.281973000000001</v>
      </c>
      <c r="E13">
        <v>20.621815999999999</v>
      </c>
      <c r="F13">
        <v>27.398854</v>
      </c>
      <c r="G13">
        <v>25.028894000000001</v>
      </c>
      <c r="H13">
        <v>24.429632000000002</v>
      </c>
      <c r="I13">
        <v>21.924833</v>
      </c>
      <c r="J13">
        <v>54.792419000000002</v>
      </c>
      <c r="K13">
        <v>47.535887000000002</v>
      </c>
      <c r="L13">
        <v>299.96523999999999</v>
      </c>
      <c r="M13">
        <v>-622.49836700000003</v>
      </c>
      <c r="N13">
        <v>1.2465759999999999</v>
      </c>
      <c r="O13">
        <v>6.0573949999999996</v>
      </c>
      <c r="P13">
        <f t="shared" si="0"/>
        <v>2.0776266666666666E-5</v>
      </c>
      <c r="Q13" cm="1">
        <f t="array" ref="Q13">[1]!PropsSI("D","T",J13+273.15,"P",101325,"Water")</f>
        <v>985.79346234024945</v>
      </c>
      <c r="R13" cm="1">
        <f t="array" ref="R13">[1]!PropsSI("D","T",K13+273.15,"P",101325,"Water")</f>
        <v>989.12945169611885</v>
      </c>
      <c r="S13">
        <f t="shared" si="1"/>
        <v>987.46145701818409</v>
      </c>
      <c r="T13" cm="1">
        <f t="array" ref="T13">[1]!PropsSI("H","T",J13+273.15,"P",101325,"Water")</f>
        <v>229460.78040394752</v>
      </c>
      <c r="U13" cm="1">
        <f t="array" ref="U13">[1]!PropsSI("H","T",K13+273.15,"P",101325,"Water")</f>
        <v>199116.00935165802</v>
      </c>
      <c r="V13">
        <f t="shared" si="2"/>
        <v>622.54611766623634</v>
      </c>
    </row>
    <row r="14" spans="1:23" x14ac:dyDescent="0.2">
      <c r="A14">
        <v>44660.668335069597</v>
      </c>
      <c r="B14">
        <v>20.485944</v>
      </c>
      <c r="C14">
        <v>20.77131</v>
      </c>
      <c r="D14">
        <v>20.228391999999999</v>
      </c>
      <c r="E14">
        <v>20.436271999999999</v>
      </c>
      <c r="F14">
        <v>27.510767000000001</v>
      </c>
      <c r="G14">
        <v>24.991415</v>
      </c>
      <c r="H14">
        <v>24.286771999999999</v>
      </c>
      <c r="I14">
        <v>21.890851000000001</v>
      </c>
      <c r="J14">
        <v>54.824078999999998</v>
      </c>
      <c r="K14">
        <v>47.564937999999998</v>
      </c>
      <c r="L14">
        <v>286.09491400000002</v>
      </c>
      <c r="M14">
        <v>-622.48979599999996</v>
      </c>
      <c r="N14">
        <v>1.2453179999999999</v>
      </c>
      <c r="O14">
        <v>6.5131490000000003</v>
      </c>
      <c r="P14">
        <f t="shared" si="0"/>
        <v>2.0755300000000001E-5</v>
      </c>
      <c r="Q14" cm="1">
        <f t="array" ref="Q14">[1]!PropsSI("D","T",J14+273.15,"P",101325,"Water")</f>
        <v>985.77817049514636</v>
      </c>
      <c r="R14" cm="1">
        <f t="array" ref="R14">[1]!PropsSI("D","T",K14+273.15,"P",101325,"Water")</f>
        <v>989.11678556842401</v>
      </c>
      <c r="S14">
        <f t="shared" si="1"/>
        <v>987.44747803178518</v>
      </c>
      <c r="T14" cm="1">
        <f t="array" ref="T14">[1]!PropsSI("H","T",J14+273.15,"P",101325,"Water")</f>
        <v>229593.2106196293</v>
      </c>
      <c r="U14" cm="1">
        <f t="array" ref="U14">[1]!PropsSI("H","T",K14+273.15,"P",101325,"Water")</f>
        <v>199237.46285547546</v>
      </c>
      <c r="V14">
        <f t="shared" si="2"/>
        <v>622.13402734460578</v>
      </c>
    </row>
    <row r="15" spans="1:23" x14ac:dyDescent="0.2">
      <c r="A15">
        <v>46122.668393518521</v>
      </c>
      <c r="B15">
        <v>20.568418000000001</v>
      </c>
      <c r="C15">
        <v>20.802481</v>
      </c>
      <c r="D15">
        <v>20.396039999999999</v>
      </c>
      <c r="E15">
        <v>20.506858000000001</v>
      </c>
      <c r="F15">
        <v>27.615141000000001</v>
      </c>
      <c r="G15">
        <v>25.110204</v>
      </c>
      <c r="H15">
        <v>24.301825999999998</v>
      </c>
      <c r="I15">
        <v>22.02533</v>
      </c>
      <c r="J15">
        <v>54.843330000000002</v>
      </c>
      <c r="K15">
        <v>47.593671000000001</v>
      </c>
      <c r="L15">
        <v>264.317229</v>
      </c>
      <c r="M15">
        <v>-622.49183700000003</v>
      </c>
      <c r="N15">
        <v>1.246113</v>
      </c>
      <c r="O15">
        <v>6.1849689999999997</v>
      </c>
      <c r="P15">
        <f t="shared" si="0"/>
        <v>2.0768550000000003E-5</v>
      </c>
      <c r="Q15" cm="1">
        <f t="array" ref="Q15">[1]!PropsSI("D","T",J15+273.15,"P",101325,"Water")</f>
        <v>985.76886917458933</v>
      </c>
      <c r="R15" cm="1">
        <f t="array" ref="R15">[1]!PropsSI("D","T",K15+273.15,"P",101325,"Water")</f>
        <v>989.1042524829694</v>
      </c>
      <c r="S15">
        <f t="shared" si="1"/>
        <v>987.43656082877942</v>
      </c>
      <c r="T15" cm="1">
        <f t="array" ref="T15">[1]!PropsSI("H","T",J15+273.15,"P",101325,"Water")</f>
        <v>229673.73556123587</v>
      </c>
      <c r="U15" cm="1">
        <f t="array" ref="U15">[1]!PropsSI("H","T",K15+273.15,"P",101325,"Water")</f>
        <v>199357.58709750953</v>
      </c>
      <c r="V15">
        <f t="shared" si="2"/>
        <v>621.71222188551576</v>
      </c>
    </row>
    <row r="16" spans="1:23" x14ac:dyDescent="0.2">
      <c r="A16">
        <v>46122.66845138889</v>
      </c>
      <c r="B16">
        <v>20.690612000000002</v>
      </c>
      <c r="C16">
        <v>20.842870000000001</v>
      </c>
      <c r="D16">
        <v>20.466598999999999</v>
      </c>
      <c r="E16">
        <v>20.608152</v>
      </c>
      <c r="F16">
        <v>27.625464000000001</v>
      </c>
      <c r="G16">
        <v>25.217025</v>
      </c>
      <c r="H16">
        <v>24.605577</v>
      </c>
      <c r="I16">
        <v>21.961348999999998</v>
      </c>
      <c r="J16">
        <v>54.859399000000003</v>
      </c>
      <c r="K16">
        <v>47.615578999999997</v>
      </c>
      <c r="L16">
        <v>278.70712099999997</v>
      </c>
      <c r="M16">
        <v>-622.50530600000002</v>
      </c>
      <c r="N16">
        <v>1.2438750000000001</v>
      </c>
      <c r="O16">
        <v>5.7898319999999996</v>
      </c>
      <c r="P16">
        <f t="shared" si="0"/>
        <v>2.0731250000000002E-5</v>
      </c>
      <c r="Q16" cm="1">
        <f t="array" ref="Q16">[1]!PropsSI("D","T",J16+273.15,"P",101325,"Water")</f>
        <v>985.76110350576516</v>
      </c>
      <c r="R16" cm="1">
        <f t="array" ref="R16">[1]!PropsSI("D","T",K16+273.15,"P",101325,"Water")</f>
        <v>989.09469265950349</v>
      </c>
      <c r="S16">
        <f t="shared" si="1"/>
        <v>987.42789808263433</v>
      </c>
      <c r="T16" cm="1">
        <f t="array" ref="T16">[1]!PropsSI("H","T",J16+273.15,"P",101325,"Water")</f>
        <v>229740.95062800936</v>
      </c>
      <c r="U16" cm="1">
        <f t="array" ref="U16">[1]!PropsSI("H","T",K16+273.15,"P",101325,"Water")</f>
        <v>199449.17815140227</v>
      </c>
      <c r="V16">
        <f t="shared" si="2"/>
        <v>620.09120028681764</v>
      </c>
    </row>
    <row r="17" spans="1:22" x14ac:dyDescent="0.2">
      <c r="A17">
        <v>46122.66850983796</v>
      </c>
      <c r="B17">
        <v>20.559735</v>
      </c>
      <c r="C17">
        <v>20.702662</v>
      </c>
      <c r="D17">
        <v>20.302253</v>
      </c>
      <c r="E17">
        <v>20.465723000000001</v>
      </c>
      <c r="F17">
        <v>27.549101</v>
      </c>
      <c r="G17">
        <v>25.173767999999999</v>
      </c>
      <c r="H17">
        <v>24.553008999999999</v>
      </c>
      <c r="I17">
        <v>22.148278999999999</v>
      </c>
      <c r="J17">
        <v>54.880082000000002</v>
      </c>
      <c r="K17">
        <v>47.642724999999999</v>
      </c>
      <c r="L17">
        <v>279.79482200000001</v>
      </c>
      <c r="M17">
        <v>-622.52367200000003</v>
      </c>
      <c r="N17">
        <v>1.244138</v>
      </c>
      <c r="O17">
        <v>6.1583839999999999</v>
      </c>
      <c r="P17">
        <f t="shared" si="0"/>
        <v>2.0735633333333332E-5</v>
      </c>
      <c r="Q17" cm="1">
        <f t="array" ref="Q17">[1]!PropsSI("D","T",J17+273.15,"P",101325,"Water")</f>
        <v>985.75110566528065</v>
      </c>
      <c r="R17" cm="1">
        <f t="array" ref="R17">[1]!PropsSI("D","T",K17+273.15,"P",101325,"Water")</f>
        <v>989.08284267855583</v>
      </c>
      <c r="S17">
        <f t="shared" si="1"/>
        <v>987.41697417191824</v>
      </c>
      <c r="T17" cm="1">
        <f t="array" ref="T17">[1]!PropsSI("H","T",J17+273.15,"P",101325,"Water")</f>
        <v>229827.46574546635</v>
      </c>
      <c r="U17" cm="1">
        <f t="array" ref="U17">[1]!PropsSI("H","T",K17+273.15,"P",101325,"Water")</f>
        <v>199562.66794003954</v>
      </c>
      <c r="V17">
        <f t="shared" si="2"/>
        <v>619.6631496553606</v>
      </c>
    </row>
    <row r="18" spans="1:22" x14ac:dyDescent="0.2">
      <c r="A18">
        <v>46122.668567708337</v>
      </c>
      <c r="B18">
        <v>20.477415000000001</v>
      </c>
      <c r="C18">
        <v>20.686727999999999</v>
      </c>
      <c r="D18">
        <v>20.302797999999999</v>
      </c>
      <c r="E18">
        <v>20.456385000000001</v>
      </c>
      <c r="F18">
        <v>27.488430999999999</v>
      </c>
      <c r="G18">
        <v>25.027000999999998</v>
      </c>
      <c r="H18">
        <v>24.483034</v>
      </c>
      <c r="I18">
        <v>22.080573999999999</v>
      </c>
      <c r="J18">
        <v>54.893605999999998</v>
      </c>
      <c r="K18">
        <v>47.659077000000003</v>
      </c>
      <c r="L18">
        <v>258.72975400000001</v>
      </c>
      <c r="M18">
        <v>-622.48897999999997</v>
      </c>
      <c r="N18">
        <v>1.2384459999999999</v>
      </c>
      <c r="O18">
        <v>5.8278920000000003</v>
      </c>
      <c r="P18">
        <f t="shared" si="0"/>
        <v>2.0640766666666667E-5</v>
      </c>
      <c r="Q18" cm="1">
        <f t="array" ref="Q18">[1]!PropsSI("D","T",J18+273.15,"P",101325,"Water")</f>
        <v>985.74456693626507</v>
      </c>
      <c r="R18" cm="1">
        <f t="array" ref="R18">[1]!PropsSI("D","T",K18+273.15,"P",101325,"Water")</f>
        <v>989.07570217880095</v>
      </c>
      <c r="S18">
        <f t="shared" si="1"/>
        <v>987.41013455753296</v>
      </c>
      <c r="T18" cm="1">
        <f t="array" ref="T18">[1]!PropsSI("H","T",J18+273.15,"P",101325,"Water")</f>
        <v>229884.03549691758</v>
      </c>
      <c r="U18" cm="1">
        <f t="array" ref="U18">[1]!PropsSI("H","T",K18+273.15,"P",101325,"Water")</f>
        <v>199631.03113792124</v>
      </c>
      <c r="V18">
        <f t="shared" si="2"/>
        <v>616.58352284589853</v>
      </c>
    </row>
    <row r="19" spans="1:22" x14ac:dyDescent="0.2">
      <c r="A19">
        <v>46122.668626157407</v>
      </c>
      <c r="B19">
        <v>20.524478999999999</v>
      </c>
      <c r="C19">
        <v>20.594125999999999</v>
      </c>
      <c r="D19">
        <v>20.359670999999999</v>
      </c>
      <c r="E19">
        <v>20.487632999999999</v>
      </c>
      <c r="F19">
        <v>27.554005</v>
      </c>
      <c r="G19">
        <v>25.035246000000001</v>
      </c>
      <c r="H19">
        <v>24.432804000000001</v>
      </c>
      <c r="I19">
        <v>22.100802000000002</v>
      </c>
      <c r="J19">
        <v>54.922403000000003</v>
      </c>
      <c r="K19">
        <v>47.672570999999998</v>
      </c>
      <c r="L19">
        <v>291.58566000000002</v>
      </c>
      <c r="M19">
        <v>-622.52979400000004</v>
      </c>
      <c r="N19">
        <v>1.245514</v>
      </c>
      <c r="O19">
        <v>6.1432370000000001</v>
      </c>
      <c r="P19">
        <f t="shared" si="0"/>
        <v>2.0758566666666668E-5</v>
      </c>
      <c r="Q19" cm="1">
        <f t="array" ref="Q19">[1]!PropsSI("D","T",J19+273.15,"P",101325,"Water")</f>
        <v>985.73064006590153</v>
      </c>
      <c r="R19" cm="1">
        <f t="array" ref="R19">[1]!PropsSI("D","T",K19+273.15,"P",101325,"Water")</f>
        <v>989.06980833646253</v>
      </c>
      <c r="S19">
        <f t="shared" si="1"/>
        <v>987.40022420118203</v>
      </c>
      <c r="T19" cm="1">
        <f t="array" ref="T19">[1]!PropsSI("H","T",J19+273.15,"P",101325,"Water")</f>
        <v>230004.49113888136</v>
      </c>
      <c r="U19" cm="1">
        <f t="array" ref="U19">[1]!PropsSI("H","T",K19+273.15,"P",101325,"Water")</f>
        <v>199687.44587580612</v>
      </c>
      <c r="V19">
        <f t="shared" si="2"/>
        <v>621.4088824224159</v>
      </c>
    </row>
    <row r="20" spans="1:22" x14ac:dyDescent="0.2">
      <c r="A20">
        <v>46122.668684606484</v>
      </c>
      <c r="B20">
        <v>20.498515000000001</v>
      </c>
      <c r="C20">
        <v>20.770312000000001</v>
      </c>
      <c r="D20">
        <v>20.219037</v>
      </c>
      <c r="E20">
        <v>20.390491999999998</v>
      </c>
      <c r="F20">
        <v>27.384834999999999</v>
      </c>
      <c r="G20">
        <v>25.037095999999998</v>
      </c>
      <c r="H20">
        <v>24.302375999999999</v>
      </c>
      <c r="I20">
        <v>21.950966000000001</v>
      </c>
      <c r="J20">
        <v>54.9407</v>
      </c>
      <c r="K20">
        <v>47.691938999999998</v>
      </c>
      <c r="L20">
        <v>283.877883</v>
      </c>
      <c r="M20">
        <v>-622.48326599999996</v>
      </c>
      <c r="N20">
        <v>1.2458009999999999</v>
      </c>
      <c r="O20">
        <v>5.8025650000000004</v>
      </c>
      <c r="P20">
        <f t="shared" ref="P20:P57" si="3" xml:space="preserve"> N20*0.001/60</f>
        <v>2.0763349999999998E-5</v>
      </c>
      <c r="Q20" cm="1">
        <f t="array" ref="Q20">[1]!PropsSI("D","T",J20+273.15,"P",101325,"Water")</f>
        <v>985.72178855237314</v>
      </c>
      <c r="R20" cm="1">
        <f t="array" ref="R20">[1]!PropsSI("D","T",K20+273.15,"P",101325,"Water")</f>
        <v>989.06134673198608</v>
      </c>
      <c r="S20">
        <f t="shared" ref="S20:S57" si="4">(Q20+R20)/2</f>
        <v>987.39156764217955</v>
      </c>
      <c r="T20" cm="1">
        <f t="array" ref="T20">[1]!PropsSI("H","T",J20+273.15,"P",101325,"Water")</f>
        <v>230081.02624163646</v>
      </c>
      <c r="U20" cm="1">
        <f t="array" ref="U20">[1]!PropsSI("H","T",K20+273.15,"P",101325,"Water")</f>
        <v>199768.41828488788</v>
      </c>
      <c r="V20">
        <f t="shared" ref="V20:V57" si="5">S20*P20*(T20-U20)</f>
        <v>621.45565093212599</v>
      </c>
    </row>
    <row r="21" spans="1:22" x14ac:dyDescent="0.2">
      <c r="A21">
        <v>46122.668742476853</v>
      </c>
      <c r="B21">
        <v>20.368136</v>
      </c>
      <c r="C21">
        <v>20.580007999999999</v>
      </c>
      <c r="D21">
        <v>20.197469999999999</v>
      </c>
      <c r="E21">
        <v>20.320678999999998</v>
      </c>
      <c r="F21">
        <v>27.374078999999998</v>
      </c>
      <c r="G21">
        <v>24.904205999999999</v>
      </c>
      <c r="H21">
        <v>24.578486999999999</v>
      </c>
      <c r="I21">
        <v>22.045423</v>
      </c>
      <c r="J21">
        <v>54.957087000000001</v>
      </c>
      <c r="K21">
        <v>47.717022</v>
      </c>
      <c r="L21">
        <v>263.33115600000002</v>
      </c>
      <c r="M21">
        <v>-622.50734699999998</v>
      </c>
      <c r="N21">
        <v>1.2435149999999999</v>
      </c>
      <c r="O21">
        <v>6.3933140000000002</v>
      </c>
      <c r="P21">
        <f t="shared" si="3"/>
        <v>2.0725249999999999E-5</v>
      </c>
      <c r="Q21" cm="1">
        <f t="array" ref="Q21">[1]!PropsSI("D","T",J21+273.15,"P",101325,"Water")</f>
        <v>985.71385927149902</v>
      </c>
      <c r="R21" cm="1">
        <f t="array" ref="R21">[1]!PropsSI("D","T",K21+273.15,"P",101325,"Water")</f>
        <v>989.05038456725401</v>
      </c>
      <c r="S21">
        <f t="shared" si="4"/>
        <v>987.38212191937646</v>
      </c>
      <c r="T21" cm="1">
        <f t="array" ref="T21">[1]!PropsSI("H","T",J21+273.15,"P",101325,"Water")</f>
        <v>230149.57204725145</v>
      </c>
      <c r="U21" cm="1">
        <f t="array" ref="U21">[1]!PropsSI("H","T",K21+273.15,"P",101325,"Water")</f>
        <v>199873.28371092328</v>
      </c>
      <c r="V21">
        <f t="shared" si="5"/>
        <v>619.56613271427773</v>
      </c>
    </row>
    <row r="22" spans="1:22" x14ac:dyDescent="0.2">
      <c r="A22">
        <v>46122.668800925923</v>
      </c>
      <c r="B22">
        <v>20.385579</v>
      </c>
      <c r="C22">
        <v>20.546699</v>
      </c>
      <c r="D22">
        <v>20.263276000000001</v>
      </c>
      <c r="E22">
        <v>20.415666000000002</v>
      </c>
      <c r="F22">
        <v>27.457877</v>
      </c>
      <c r="G22">
        <v>24.975467999999999</v>
      </c>
      <c r="H22">
        <v>24.429735000000001</v>
      </c>
      <c r="I22">
        <v>22.117376</v>
      </c>
      <c r="J22">
        <v>54.976497999999999</v>
      </c>
      <c r="K22">
        <v>47.733691</v>
      </c>
      <c r="L22">
        <v>262.98668400000003</v>
      </c>
      <c r="M22">
        <v>-622.48040900000001</v>
      </c>
      <c r="N22">
        <v>1.245584</v>
      </c>
      <c r="O22">
        <v>6.3018679999999998</v>
      </c>
      <c r="P22">
        <f t="shared" si="3"/>
        <v>2.0759733333333334E-5</v>
      </c>
      <c r="Q22" cm="1">
        <f t="array" ref="Q22">[1]!PropsSI("D","T",J22+273.15,"P",101325,"Water")</f>
        <v>985.70446459085406</v>
      </c>
      <c r="R22" cm="1">
        <f t="array" ref="R22">[1]!PropsSI("D","T",K22+273.15,"P",101325,"Water")</f>
        <v>989.04309727523059</v>
      </c>
      <c r="S22">
        <f t="shared" si="4"/>
        <v>987.37378093304233</v>
      </c>
      <c r="T22" cm="1">
        <f t="array" ref="T22">[1]!PropsSI("H","T",J22+273.15,"P",101325,"Water")</f>
        <v>230230.767182932</v>
      </c>
      <c r="U22" cm="1">
        <f t="array" ref="U22">[1]!PropsSI("H","T",K22+273.15,"P",101325,"Water")</f>
        <v>199942.97250097996</v>
      </c>
      <c r="V22">
        <f t="shared" si="5"/>
        <v>620.82759676530441</v>
      </c>
    </row>
    <row r="23" spans="1:22" x14ac:dyDescent="0.2">
      <c r="A23">
        <v>46122.6688587963</v>
      </c>
      <c r="B23">
        <v>20.410751999999999</v>
      </c>
      <c r="C23">
        <v>20.655915</v>
      </c>
      <c r="D23">
        <v>20.279876999999999</v>
      </c>
      <c r="E23">
        <v>20.466089</v>
      </c>
      <c r="F23">
        <v>27.496739999999999</v>
      </c>
      <c r="G23">
        <v>25.048787999999998</v>
      </c>
      <c r="H23">
        <v>24.269672</v>
      </c>
      <c r="I23">
        <v>22.056132999999999</v>
      </c>
      <c r="J23">
        <v>54.995908999999997</v>
      </c>
      <c r="K23">
        <v>47.752901000000001</v>
      </c>
      <c r="L23">
        <v>267.01995099999999</v>
      </c>
      <c r="M23">
        <v>-622.52285600000005</v>
      </c>
      <c r="N23">
        <v>1.2409939999999999</v>
      </c>
      <c r="O23">
        <v>5.6512909999999996</v>
      </c>
      <c r="P23">
        <f t="shared" si="3"/>
        <v>2.0683233333333336E-5</v>
      </c>
      <c r="Q23" cm="1">
        <f t="array" ref="Q23">[1]!PropsSI("D","T",J23+273.15,"P",101325,"Water")</f>
        <v>985.69506757052307</v>
      </c>
      <c r="R23" cm="1">
        <f t="array" ref="R23">[1]!PropsSI("D","T",K23+273.15,"P",101325,"Water")</f>
        <v>989.03469679640989</v>
      </c>
      <c r="S23">
        <f t="shared" si="4"/>
        <v>987.36488218346653</v>
      </c>
      <c r="T23" cm="1">
        <f t="array" ref="T23">[1]!PropsSI("H","T",J23+273.15,"P",101325,"Water")</f>
        <v>230311.96245474598</v>
      </c>
      <c r="U23" cm="1">
        <f t="array" ref="U23">[1]!PropsSI("H","T",K23+273.15,"P",101325,"Water")</f>
        <v>200023.28464087922</v>
      </c>
      <c r="V23">
        <f t="shared" si="5"/>
        <v>618.55229624009121</v>
      </c>
    </row>
    <row r="24" spans="1:22" x14ac:dyDescent="0.2">
      <c r="A24">
        <v>46122.668916666669</v>
      </c>
      <c r="B24">
        <v>20.458359999999999</v>
      </c>
      <c r="C24">
        <v>20.654373</v>
      </c>
      <c r="D24">
        <v>20.227502999999999</v>
      </c>
      <c r="E24">
        <v>20.315712999999999</v>
      </c>
      <c r="F24">
        <v>27.449825000000001</v>
      </c>
      <c r="G24">
        <v>24.962858000000001</v>
      </c>
      <c r="H24">
        <v>24.027476</v>
      </c>
      <c r="I24">
        <v>22.057645000000001</v>
      </c>
      <c r="J24">
        <v>55.006250999999999</v>
      </c>
      <c r="K24">
        <v>47.773539999999997</v>
      </c>
      <c r="L24">
        <v>278.62508400000002</v>
      </c>
      <c r="M24">
        <v>-622.50204099999996</v>
      </c>
      <c r="N24">
        <v>1.2438880000000001</v>
      </c>
      <c r="O24">
        <v>6.136069</v>
      </c>
      <c r="P24">
        <f t="shared" si="3"/>
        <v>2.0731466666666666E-5</v>
      </c>
      <c r="Q24" cm="1">
        <f t="array" ref="Q24">[1]!PropsSI("D","T",J24+273.15,"P",101325,"Water")</f>
        <v>985.69005997040836</v>
      </c>
      <c r="R24" cm="1">
        <f t="array" ref="R24">[1]!PropsSI("D","T",K24+273.15,"P",101325,"Water")</f>
        <v>989.02566864997686</v>
      </c>
      <c r="S24">
        <f t="shared" si="4"/>
        <v>987.35786431019255</v>
      </c>
      <c r="T24" cm="1">
        <f t="array" ref="T24">[1]!PropsSI("H","T",J24+273.15,"P",101325,"Water")</f>
        <v>230355.22259504593</v>
      </c>
      <c r="U24" cm="1">
        <f t="array" ref="U24">[1]!PropsSI("H","T",K24+273.15,"P",101325,"Water")</f>
        <v>200109.57116830643</v>
      </c>
      <c r="V24">
        <f t="shared" si="5"/>
        <v>619.10963113957473</v>
      </c>
    </row>
    <row r="25" spans="1:22" x14ac:dyDescent="0.2">
      <c r="A25">
        <v>46122.668975115739</v>
      </c>
      <c r="B25">
        <v>20.573421</v>
      </c>
      <c r="C25">
        <v>20.509649</v>
      </c>
      <c r="D25">
        <v>20.167269999999998</v>
      </c>
      <c r="E25">
        <v>20.227385999999999</v>
      </c>
      <c r="F25">
        <v>27.642731999999999</v>
      </c>
      <c r="G25">
        <v>24.840810000000001</v>
      </c>
      <c r="H25">
        <v>24.077161</v>
      </c>
      <c r="I25">
        <v>21.885304000000001</v>
      </c>
      <c r="J25">
        <v>55.024388999999999</v>
      </c>
      <c r="K25">
        <v>47.784970000000001</v>
      </c>
      <c r="L25">
        <v>249.94039799999999</v>
      </c>
      <c r="M25">
        <v>-622.51591800000006</v>
      </c>
      <c r="N25">
        <v>1.24583</v>
      </c>
      <c r="O25">
        <v>6.1264110000000001</v>
      </c>
      <c r="P25">
        <f t="shared" si="3"/>
        <v>2.0763833333333336E-5</v>
      </c>
      <c r="Q25" cm="1">
        <f t="array" ref="Q25">[1]!PropsSI("D","T",J25+273.15,"P",101325,"Water")</f>
        <v>985.68127594103032</v>
      </c>
      <c r="R25" cm="1">
        <f t="array" ref="R25">[1]!PropsSI("D","T",K25+273.15,"P",101325,"Water")</f>
        <v>989.02066757495538</v>
      </c>
      <c r="S25">
        <f t="shared" si="4"/>
        <v>987.35097175799285</v>
      </c>
      <c r="T25" cm="1">
        <f t="array" ref="T25">[1]!PropsSI("H","T",J25+273.15,"P",101325,"Water")</f>
        <v>230431.0931606477</v>
      </c>
      <c r="U25" cm="1">
        <f t="array" ref="U25">[1]!PropsSI("H","T",K25+273.15,"P",101325,"Water")</f>
        <v>200157.3572013886</v>
      </c>
      <c r="V25">
        <f t="shared" si="5"/>
        <v>620.64764376219409</v>
      </c>
    </row>
    <row r="26" spans="1:22" x14ac:dyDescent="0.2">
      <c r="A26">
        <v>46122.669033564816</v>
      </c>
      <c r="B26">
        <v>20.601396000000001</v>
      </c>
      <c r="C26">
        <v>20.692677</v>
      </c>
      <c r="D26">
        <v>20.283678999999999</v>
      </c>
      <c r="E26">
        <v>20.281261000000001</v>
      </c>
      <c r="F26">
        <v>27.647891999999999</v>
      </c>
      <c r="G26">
        <v>24.936557000000001</v>
      </c>
      <c r="H26">
        <v>24.333606</v>
      </c>
      <c r="I26">
        <v>22.101655000000001</v>
      </c>
      <c r="J26">
        <v>55.035527000000002</v>
      </c>
      <c r="K26">
        <v>47.795606999999997</v>
      </c>
      <c r="L26">
        <v>262.918116</v>
      </c>
      <c r="M26">
        <v>-622.49142900000004</v>
      </c>
      <c r="N26">
        <v>1.2448710000000001</v>
      </c>
      <c r="O26">
        <v>6.1708629999999998</v>
      </c>
      <c r="P26">
        <f t="shared" si="3"/>
        <v>2.0747850000000002E-5</v>
      </c>
      <c r="Q26" cm="1">
        <f t="array" ref="Q26">[1]!PropsSI("D","T",J26+273.15,"P",101325,"Water")</f>
        <v>985.67588092098549</v>
      </c>
      <c r="R26" cm="1">
        <f t="array" ref="R26">[1]!PropsSI("D","T",K26+273.15,"P",101325,"Water")</f>
        <v>989.01601267840488</v>
      </c>
      <c r="S26">
        <f t="shared" si="4"/>
        <v>987.34594679969518</v>
      </c>
      <c r="T26" cm="1">
        <f t="array" ref="T26">[1]!PropsSI("H","T",J26+273.15,"P",101325,"Water")</f>
        <v>230477.68305093257</v>
      </c>
      <c r="U26" cm="1">
        <f t="array" ref="U26">[1]!PropsSI("H","T",K26+273.15,"P",101325,"Water")</f>
        <v>200201.82792433896</v>
      </c>
      <c r="V26">
        <f t="shared" si="5"/>
        <v>620.21014463947517</v>
      </c>
    </row>
    <row r="27" spans="1:22" x14ac:dyDescent="0.2">
      <c r="A27">
        <v>46122.669091435186</v>
      </c>
      <c r="B27">
        <v>20.548159999999999</v>
      </c>
      <c r="C27">
        <v>20.641051000000001</v>
      </c>
      <c r="D27">
        <v>20.223928000000001</v>
      </c>
      <c r="E27">
        <v>20.286905999999998</v>
      </c>
      <c r="F27">
        <v>27.660402000000001</v>
      </c>
      <c r="G27">
        <v>24.987701999999999</v>
      </c>
      <c r="H27">
        <v>24.230477</v>
      </c>
      <c r="I27">
        <v>21.844643999999999</v>
      </c>
      <c r="J27">
        <v>55.050165</v>
      </c>
      <c r="K27">
        <v>47.813388000000003</v>
      </c>
      <c r="L27">
        <v>277.204339</v>
      </c>
      <c r="M27">
        <v>-622.48122499999999</v>
      </c>
      <c r="N27">
        <v>1.2428630000000001</v>
      </c>
      <c r="O27">
        <v>6.1349640000000001</v>
      </c>
      <c r="P27">
        <f t="shared" si="3"/>
        <v>2.0714383333333336E-5</v>
      </c>
      <c r="Q27" cm="1">
        <f t="array" ref="Q27">[1]!PropsSI("D","T",J27+273.15,"P",101325,"Water")</f>
        <v>985.66878940162826</v>
      </c>
      <c r="R27" cm="1">
        <f t="array" ref="R27">[1]!PropsSI("D","T",K27+273.15,"P",101325,"Water")</f>
        <v>989.00822976896359</v>
      </c>
      <c r="S27">
        <f t="shared" si="4"/>
        <v>987.33850958529592</v>
      </c>
      <c r="T27" cm="1">
        <f t="array" ref="T27">[1]!PropsSI("H","T",J27+273.15,"P",101325,"Water")</f>
        <v>230538.91339535409</v>
      </c>
      <c r="U27" cm="1">
        <f t="array" ref="U27">[1]!PropsSI("H","T",K27+273.15,"P",101325,"Water")</f>
        <v>200276.16604448913</v>
      </c>
      <c r="V27">
        <f t="shared" si="5"/>
        <v>618.93698831246911</v>
      </c>
    </row>
    <row r="28" spans="1:22" x14ac:dyDescent="0.2">
      <c r="A28">
        <v>46122.669149884263</v>
      </c>
      <c r="B28">
        <v>20.587074999999999</v>
      </c>
      <c r="C28">
        <v>20.558008999999998</v>
      </c>
      <c r="D28">
        <v>20.265069</v>
      </c>
      <c r="E28">
        <v>20.387349</v>
      </c>
      <c r="F28">
        <v>27.519252999999999</v>
      </c>
      <c r="G28">
        <v>24.985012999999999</v>
      </c>
      <c r="H28">
        <v>24.400863000000001</v>
      </c>
      <c r="I28">
        <v>22.042860999999998</v>
      </c>
      <c r="J28">
        <v>55.063212</v>
      </c>
      <c r="K28">
        <v>47.829898999999997</v>
      </c>
      <c r="L28">
        <v>269.06801200000001</v>
      </c>
      <c r="M28">
        <v>-622.52326400000004</v>
      </c>
      <c r="N28">
        <v>1.247506</v>
      </c>
      <c r="O28">
        <v>6.0093719999999999</v>
      </c>
      <c r="P28">
        <f t="shared" si="3"/>
        <v>2.0791766666666666E-5</v>
      </c>
      <c r="Q28" cm="1">
        <f t="array" ref="Q28">[1]!PropsSI("D","T",J28+273.15,"P",101325,"Water")</f>
        <v>985.66246753684891</v>
      </c>
      <c r="R28" cm="1">
        <f t="array" ref="R28">[1]!PropsSI("D","T",K28+273.15,"P",101325,"Water")</f>
        <v>989.00100084480778</v>
      </c>
      <c r="S28">
        <f t="shared" si="4"/>
        <v>987.33173419082834</v>
      </c>
      <c r="T28" cm="1">
        <f t="array" ref="T28">[1]!PropsSI("H","T",J28+273.15,"P",101325,"Water")</f>
        <v>230593.48869673116</v>
      </c>
      <c r="U28" cm="1">
        <f t="array" ref="U28">[1]!PropsSI("H","T",K28+273.15,"P",101325,"Water")</f>
        <v>200345.19466722207</v>
      </c>
      <c r="V28">
        <f t="shared" si="5"/>
        <v>620.94820316148412</v>
      </c>
    </row>
    <row r="29" spans="1:22" x14ac:dyDescent="0.2">
      <c r="A29">
        <v>46122.669207754632</v>
      </c>
      <c r="B29">
        <v>20.577278</v>
      </c>
      <c r="C29">
        <v>20.960944999999999</v>
      </c>
      <c r="D29">
        <v>20.255122</v>
      </c>
      <c r="E29">
        <v>20.427121</v>
      </c>
      <c r="F29">
        <v>27.686851000000001</v>
      </c>
      <c r="G29">
        <v>25.203488</v>
      </c>
      <c r="H29">
        <v>24.443994</v>
      </c>
      <c r="I29">
        <v>22.036473999999998</v>
      </c>
      <c r="J29">
        <v>55.071485000000003</v>
      </c>
      <c r="K29">
        <v>47.847363000000001</v>
      </c>
      <c r="L29">
        <v>270.247545</v>
      </c>
      <c r="M29">
        <v>-622.42449399999998</v>
      </c>
      <c r="N29">
        <v>1.246297</v>
      </c>
      <c r="O29">
        <v>6.2979419999999999</v>
      </c>
      <c r="P29">
        <f t="shared" si="3"/>
        <v>2.0771616666666666E-5</v>
      </c>
      <c r="Q29" cm="1">
        <f t="array" ref="Q29">[1]!PropsSI("D","T",J29+273.15,"P",101325,"Water")</f>
        <v>985.6584583450059</v>
      </c>
      <c r="R29" cm="1">
        <f t="array" ref="R29">[1]!PropsSI("D","T",K29+273.15,"P",101325,"Water")</f>
        <v>988.99335267725701</v>
      </c>
      <c r="S29">
        <f t="shared" si="4"/>
        <v>987.3259055111314</v>
      </c>
      <c r="T29" cm="1">
        <f t="array" ref="T29">[1]!PropsSI("H","T",J29+273.15,"P",101325,"Water")</f>
        <v>230628.09449776221</v>
      </c>
      <c r="U29" cm="1">
        <f t="array" ref="U29">[1]!PropsSI("H","T",K29+273.15,"P",101325,"Water")</f>
        <v>200418.20763283074</v>
      </c>
      <c r="V29">
        <f t="shared" si="5"/>
        <v>619.5550914154411</v>
      </c>
    </row>
    <row r="30" spans="1:22" x14ac:dyDescent="0.2">
      <c r="A30">
        <v>46122.669265625002</v>
      </c>
      <c r="B30">
        <v>20.52882</v>
      </c>
      <c r="C30">
        <v>20.708217000000001</v>
      </c>
      <c r="D30">
        <v>20.199877000000001</v>
      </c>
      <c r="E30">
        <v>20.312263999999999</v>
      </c>
      <c r="F30">
        <v>27.460138000000001</v>
      </c>
      <c r="G30">
        <v>25.061447000000001</v>
      </c>
      <c r="H30">
        <v>24.329909000000001</v>
      </c>
      <c r="I30">
        <v>22.124002999999998</v>
      </c>
      <c r="J30">
        <v>55.086441999999998</v>
      </c>
      <c r="K30">
        <v>47.858477000000001</v>
      </c>
      <c r="L30">
        <v>251.462771</v>
      </c>
      <c r="M30">
        <v>-622.51469299999997</v>
      </c>
      <c r="N30">
        <v>1.2462519999999999</v>
      </c>
      <c r="O30">
        <v>6.017709</v>
      </c>
      <c r="P30">
        <f t="shared" si="3"/>
        <v>2.0770866666666668E-5</v>
      </c>
      <c r="Q30" cm="1">
        <f t="array" ref="Q30">[1]!PropsSI("D","T",J30+273.15,"P",101325,"Water")</f>
        <v>985.6512089315363</v>
      </c>
      <c r="R30" cm="1">
        <f t="array" ref="R30">[1]!PropsSI("D","T",K30+273.15,"P",101325,"Water")</f>
        <v>988.98848435411026</v>
      </c>
      <c r="S30">
        <f t="shared" si="4"/>
        <v>987.31984664282322</v>
      </c>
      <c r="T30" cm="1">
        <f t="array" ref="T30">[1]!PropsSI("H","T",J30+273.15,"P",101325,"Water")</f>
        <v>230690.65940612147</v>
      </c>
      <c r="U30" cm="1">
        <f t="array" ref="U30">[1]!PropsSI("H","T",K30+273.15,"P",101325,"Water")</f>
        <v>200464.6727486591</v>
      </c>
      <c r="V30">
        <f t="shared" si="5"/>
        <v>619.85908562679936</v>
      </c>
    </row>
    <row r="31" spans="1:22" x14ac:dyDescent="0.2">
      <c r="A31">
        <v>46122.669323495371</v>
      </c>
      <c r="B31">
        <v>20.828271999999998</v>
      </c>
      <c r="C31">
        <v>20.630082999999999</v>
      </c>
      <c r="D31">
        <v>20.241743</v>
      </c>
      <c r="E31">
        <v>20.236308000000001</v>
      </c>
      <c r="F31">
        <v>27.638798000000001</v>
      </c>
      <c r="G31">
        <v>24.922903999999999</v>
      </c>
      <c r="H31">
        <v>24.239408999999998</v>
      </c>
      <c r="I31">
        <v>21.968527000000002</v>
      </c>
      <c r="J31">
        <v>55.092646999999999</v>
      </c>
      <c r="K31">
        <v>47.868955</v>
      </c>
      <c r="L31">
        <v>257.23146200000002</v>
      </c>
      <c r="M31">
        <v>-622.44735000000003</v>
      </c>
      <c r="N31">
        <v>1.2438959999999999</v>
      </c>
      <c r="O31">
        <v>6.2487500000000002</v>
      </c>
      <c r="P31">
        <f t="shared" si="3"/>
        <v>2.07316E-5</v>
      </c>
      <c r="Q31" cm="1">
        <f t="array" ref="Q31">[1]!PropsSI("D","T",J31+273.15,"P",101325,"Water")</f>
        <v>985.64820106219418</v>
      </c>
      <c r="R31" cm="1">
        <f t="array" ref="R31">[1]!PropsSI("D","T",K31+273.15,"P",101325,"Water")</f>
        <v>988.98389386037059</v>
      </c>
      <c r="S31">
        <f t="shared" si="4"/>
        <v>987.31604746128232</v>
      </c>
      <c r="T31" cm="1">
        <f t="array" ref="T31">[1]!PropsSI("H","T",J31+273.15,"P",101325,"Water")</f>
        <v>230716.61485261715</v>
      </c>
      <c r="U31" cm="1">
        <f t="array" ref="U31">[1]!PropsSI("H","T",K31+273.15,"P",101325,"Water")</f>
        <v>200508.47892049086</v>
      </c>
      <c r="V31">
        <f t="shared" si="5"/>
        <v>618.31950083725928</v>
      </c>
    </row>
    <row r="32" spans="1:22" x14ac:dyDescent="0.2">
      <c r="A32">
        <v>46122.669381944441</v>
      </c>
      <c r="B32">
        <v>20.486668999999999</v>
      </c>
      <c r="C32">
        <v>20.535743</v>
      </c>
      <c r="D32">
        <v>20.183613999999999</v>
      </c>
      <c r="E32">
        <v>20.355667</v>
      </c>
      <c r="F32">
        <v>27.408082</v>
      </c>
      <c r="G32">
        <v>24.877967000000002</v>
      </c>
      <c r="H32">
        <v>24.019158999999998</v>
      </c>
      <c r="I32">
        <v>22.050015999999999</v>
      </c>
      <c r="J32">
        <v>55.102989000000001</v>
      </c>
      <c r="K32">
        <v>47.881020999999997</v>
      </c>
      <c r="L32">
        <v>274.183266</v>
      </c>
      <c r="M32">
        <v>-622.50775499999997</v>
      </c>
      <c r="N32">
        <v>1.243736</v>
      </c>
      <c r="O32">
        <v>6.14194</v>
      </c>
      <c r="P32">
        <f t="shared" si="3"/>
        <v>2.0728933333333334E-5</v>
      </c>
      <c r="Q32" cm="1">
        <f t="array" ref="Q32">[1]!PropsSI("D","T",J32+273.15,"P",101325,"Water")</f>
        <v>985.6431872543958</v>
      </c>
      <c r="R32" cm="1">
        <f t="array" ref="R32">[1]!PropsSI("D","T",K32+273.15,"P",101325,"Water")</f>
        <v>988.97860673656919</v>
      </c>
      <c r="S32">
        <f t="shared" si="4"/>
        <v>987.31089699548249</v>
      </c>
      <c r="T32" cm="1">
        <f t="array" ref="T32">[1]!PropsSI("H","T",J32+273.15,"P",101325,"Water")</f>
        <v>230759.87535552401</v>
      </c>
      <c r="U32" cm="1">
        <f t="array" ref="U32">[1]!PropsSI("H","T",K32+273.15,"P",101325,"Water")</f>
        <v>200558.92419835806</v>
      </c>
      <c r="V32">
        <f t="shared" si="5"/>
        <v>618.08969953452504</v>
      </c>
    </row>
    <row r="33" spans="1:22" x14ac:dyDescent="0.2">
      <c r="A33">
        <v>46122.669439814817</v>
      </c>
      <c r="B33">
        <v>20.548997</v>
      </c>
      <c r="C33">
        <v>20.636541999999999</v>
      </c>
      <c r="D33">
        <v>20.201778999999998</v>
      </c>
      <c r="E33">
        <v>20.374790999999998</v>
      </c>
      <c r="F33">
        <v>27.561050000000002</v>
      </c>
      <c r="G33">
        <v>24.928584000000001</v>
      </c>
      <c r="H33">
        <v>24.357379999999999</v>
      </c>
      <c r="I33">
        <v>21.965392999999999</v>
      </c>
      <c r="J33">
        <v>55.117308999999999</v>
      </c>
      <c r="K33">
        <v>47.892611000000002</v>
      </c>
      <c r="L33">
        <v>282.55998899999997</v>
      </c>
      <c r="M33">
        <v>-622.48571500000003</v>
      </c>
      <c r="N33">
        <v>1.2471989999999999</v>
      </c>
      <c r="O33">
        <v>6.0091559999999999</v>
      </c>
      <c r="P33">
        <f t="shared" si="3"/>
        <v>2.0786650000000002E-5</v>
      </c>
      <c r="Q33" cm="1">
        <f t="array" ref="Q33">[1]!PropsSI("D","T",J33+273.15,"P",101325,"Water")</f>
        <v>985.63624381479917</v>
      </c>
      <c r="R33" cm="1">
        <f t="array" ref="R33">[1]!PropsSI("D","T",K33+273.15,"P",101325,"Water")</f>
        <v>988.97352726619783</v>
      </c>
      <c r="S33">
        <f t="shared" si="4"/>
        <v>987.3048855404985</v>
      </c>
      <c r="T33" cm="1">
        <f t="array" ref="T33">[1]!PropsSI("H","T",J33+273.15,"P",101325,"Water")</f>
        <v>230819.77586459418</v>
      </c>
      <c r="U33" cm="1">
        <f t="array" ref="U33">[1]!PropsSI("H","T",K33+273.15,"P",101325,"Water")</f>
        <v>200607.37945939376</v>
      </c>
      <c r="V33">
        <f t="shared" si="5"/>
        <v>620.04179365283096</v>
      </c>
    </row>
    <row r="34" spans="1:22" x14ac:dyDescent="0.2">
      <c r="A34">
        <v>46122.669498263887</v>
      </c>
      <c r="B34">
        <v>20.435679</v>
      </c>
      <c r="C34">
        <v>20.503056999999998</v>
      </c>
      <c r="D34">
        <v>20.178319999999999</v>
      </c>
      <c r="E34">
        <v>20.358696999999999</v>
      </c>
      <c r="F34">
        <v>27.521606999999999</v>
      </c>
      <c r="G34">
        <v>24.946871999999999</v>
      </c>
      <c r="H34">
        <v>24.268858999999999</v>
      </c>
      <c r="I34">
        <v>22.029367000000001</v>
      </c>
      <c r="J34">
        <v>55.124788000000002</v>
      </c>
      <c r="K34">
        <v>47.901024999999997</v>
      </c>
      <c r="L34">
        <v>283.69258600000001</v>
      </c>
      <c r="M34">
        <v>-622.47551099999998</v>
      </c>
      <c r="N34">
        <v>1.2467600000000001</v>
      </c>
      <c r="O34">
        <v>5.9402929999999996</v>
      </c>
      <c r="P34">
        <f t="shared" si="3"/>
        <v>2.0779333333333336E-5</v>
      </c>
      <c r="Q34" cm="1">
        <f t="array" ref="Q34">[1]!PropsSI("D","T",J34+273.15,"P",101325,"Water")</f>
        <v>985.63261691377033</v>
      </c>
      <c r="R34" cm="1">
        <f t="array" ref="R34">[1]!PropsSI("D","T",K34+273.15,"P",101325,"Water")</f>
        <v>988.96983915379542</v>
      </c>
      <c r="S34">
        <f t="shared" si="4"/>
        <v>987.30122803378288</v>
      </c>
      <c r="T34" cm="1">
        <f t="array" ref="T34">[1]!PropsSI("H","T",J34+273.15,"P",101325,"Water")</f>
        <v>230851.06052458752</v>
      </c>
      <c r="U34" cm="1">
        <f t="array" ref="U34">[1]!PropsSI("H","T",K34+273.15,"P",101325,"Water")</f>
        <v>200642.55657822371</v>
      </c>
      <c r="V34">
        <f t="shared" si="5"/>
        <v>619.74139417791901</v>
      </c>
    </row>
    <row r="35" spans="1:22" x14ac:dyDescent="0.2">
      <c r="A35">
        <v>46122.669556134257</v>
      </c>
      <c r="B35">
        <v>20.566796</v>
      </c>
      <c r="C35">
        <v>20.452473000000001</v>
      </c>
      <c r="D35">
        <v>20.215713999999998</v>
      </c>
      <c r="E35">
        <v>20.348151999999999</v>
      </c>
      <c r="F35">
        <v>27.604611999999999</v>
      </c>
      <c r="G35">
        <v>25.025815000000001</v>
      </c>
      <c r="H35">
        <v>24.158237</v>
      </c>
      <c r="I35">
        <v>22.081956999999999</v>
      </c>
      <c r="J35">
        <v>55.140698999999998</v>
      </c>
      <c r="K35">
        <v>47.911344999999997</v>
      </c>
      <c r="L35">
        <v>280.71069399999999</v>
      </c>
      <c r="M35">
        <v>-622.51346899999999</v>
      </c>
      <c r="N35">
        <v>1.2436659999999999</v>
      </c>
      <c r="O35">
        <v>6.00265</v>
      </c>
      <c r="P35">
        <f t="shared" si="3"/>
        <v>2.0727766666666668E-5</v>
      </c>
      <c r="Q35" cm="1">
        <f t="array" ref="Q35">[1]!PropsSI("D","T",J35+273.15,"P",101325,"Water")</f>
        <v>985.62489980578164</v>
      </c>
      <c r="R35" cm="1">
        <f t="array" ref="R35">[1]!PropsSI("D","T",K35+273.15,"P",101325,"Water")</f>
        <v>988.96531493356997</v>
      </c>
      <c r="S35">
        <f t="shared" si="4"/>
        <v>987.29510736967586</v>
      </c>
      <c r="T35" cm="1">
        <f t="array" ref="T35">[1]!PropsSI("H","T",J35+273.15,"P",101325,"Water")</f>
        <v>230917.61631174508</v>
      </c>
      <c r="U35" cm="1">
        <f t="array" ref="U35">[1]!PropsSI("H","T",K35+273.15,"P",101325,"Water")</f>
        <v>200685.70229581476</v>
      </c>
      <c r="V35">
        <f t="shared" si="5"/>
        <v>618.67866493374197</v>
      </c>
    </row>
    <row r="36" spans="1:22" x14ac:dyDescent="0.2">
      <c r="A36">
        <v>46122.669614583334</v>
      </c>
      <c r="B36">
        <v>20.442958000000001</v>
      </c>
      <c r="C36">
        <v>20.446204999999999</v>
      </c>
      <c r="D36">
        <v>20.234746999999999</v>
      </c>
      <c r="E36">
        <v>20.365151000000001</v>
      </c>
      <c r="F36">
        <v>27.505811000000001</v>
      </c>
      <c r="G36">
        <v>24.96611</v>
      </c>
      <c r="H36">
        <v>24.068331000000001</v>
      </c>
      <c r="I36">
        <v>22.002510000000001</v>
      </c>
      <c r="J36">
        <v>55.152313999999997</v>
      </c>
      <c r="K36">
        <v>47.927539000000003</v>
      </c>
      <c r="L36">
        <v>288.995994</v>
      </c>
      <c r="M36">
        <v>-622.48408199999994</v>
      </c>
      <c r="N36">
        <v>1.2455510000000001</v>
      </c>
      <c r="O36">
        <v>6.1118360000000003</v>
      </c>
      <c r="P36">
        <f t="shared" si="3"/>
        <v>2.0759183333333336E-5</v>
      </c>
      <c r="Q36" cm="1">
        <f t="array" ref="Q36">[1]!PropsSI("D","T",J36+273.15,"P",101325,"Water")</f>
        <v>985.61926534056931</v>
      </c>
      <c r="R36" cm="1">
        <f t="array" ref="R36">[1]!PropsSI("D","T",K36+273.15,"P",101325,"Water")</f>
        <v>988.95821414707962</v>
      </c>
      <c r="S36">
        <f t="shared" si="4"/>
        <v>987.28873974382441</v>
      </c>
      <c r="T36" cm="1">
        <f t="array" ref="T36">[1]!PropsSI("H","T",J36+273.15,"P",101325,"Water")</f>
        <v>230966.20196897408</v>
      </c>
      <c r="U36" cm="1">
        <f t="array" ref="U36">[1]!PropsSI("H","T",K36+273.15,"P",101325,"Water")</f>
        <v>200753.4060069971</v>
      </c>
      <c r="V36">
        <f t="shared" si="5"/>
        <v>619.22055730983675</v>
      </c>
    </row>
    <row r="37" spans="1:22" x14ac:dyDescent="0.2">
      <c r="A37">
        <v>46122.669672453703</v>
      </c>
      <c r="B37">
        <v>20.509060999999999</v>
      </c>
      <c r="C37">
        <v>20.546572999999999</v>
      </c>
      <c r="D37">
        <v>20.313051999999999</v>
      </c>
      <c r="E37">
        <v>20.406582</v>
      </c>
      <c r="F37">
        <v>27.486868000000001</v>
      </c>
      <c r="G37">
        <v>24.823893999999999</v>
      </c>
      <c r="H37">
        <v>24.277723999999999</v>
      </c>
      <c r="I37">
        <v>22.093699000000001</v>
      </c>
      <c r="J37">
        <v>55.161065000000001</v>
      </c>
      <c r="K37">
        <v>47.938811999999999</v>
      </c>
      <c r="L37">
        <v>263.19483700000001</v>
      </c>
      <c r="M37">
        <v>-622.51183600000002</v>
      </c>
      <c r="N37">
        <v>1.250842</v>
      </c>
      <c r="O37">
        <v>6.13415</v>
      </c>
      <c r="P37">
        <f t="shared" si="3"/>
        <v>2.0847366666666666E-5</v>
      </c>
      <c r="Q37" cm="1">
        <f t="array" ref="Q37">[1]!PropsSI("D","T",J37+273.15,"P",101325,"Water")</f>
        <v>985.61501965648927</v>
      </c>
      <c r="R37" cm="1">
        <f t="array" ref="R37">[1]!PropsSI("D","T",K37+273.15,"P",101325,"Water")</f>
        <v>988.95327009255766</v>
      </c>
      <c r="S37">
        <f t="shared" si="4"/>
        <v>987.28414487452346</v>
      </c>
      <c r="T37" cm="1">
        <f t="array" ref="T37">[1]!PropsSI("H","T",J37+273.15,"P",101325,"Water")</f>
        <v>231002.80751908672</v>
      </c>
      <c r="U37" cm="1">
        <f t="array" ref="U37">[1]!PropsSI("H","T",K37+273.15,"P",101325,"Water")</f>
        <v>200800.53608964634</v>
      </c>
      <c r="V37">
        <f t="shared" si="5"/>
        <v>621.63144327046018</v>
      </c>
    </row>
    <row r="38" spans="1:22" x14ac:dyDescent="0.2">
      <c r="A38">
        <v>44660.669730902999</v>
      </c>
      <c r="B38">
        <v>20.595268000000001</v>
      </c>
      <c r="C38">
        <v>20.657122999999999</v>
      </c>
      <c r="D38">
        <v>20.354427000000001</v>
      </c>
      <c r="E38">
        <v>20.432829999999999</v>
      </c>
      <c r="F38">
        <v>27.663667</v>
      </c>
      <c r="G38">
        <v>24.955503</v>
      </c>
      <c r="H38">
        <v>24.302448999999999</v>
      </c>
      <c r="I38">
        <v>22.030253999999999</v>
      </c>
      <c r="J38">
        <v>55.167112000000003</v>
      </c>
      <c r="K38">
        <v>47.952942</v>
      </c>
      <c r="L38">
        <v>267.656654</v>
      </c>
      <c r="M38">
        <v>-622.474287</v>
      </c>
      <c r="N38">
        <v>1.2440469999999999</v>
      </c>
      <c r="O38">
        <v>6.0394639999999997</v>
      </c>
      <c r="P38">
        <f t="shared" si="3"/>
        <v>2.0734116666666665E-5</v>
      </c>
      <c r="Q38" cm="1">
        <f t="array" ref="Q38">[1]!PropsSI("D","T",J38+273.15,"P",101325,"Water")</f>
        <v>985.61208558288524</v>
      </c>
      <c r="R38" cm="1">
        <f t="array" ref="R38">[1]!PropsSI("D","T",K38+273.15,"P",101325,"Water")</f>
        <v>988.94707182346633</v>
      </c>
      <c r="S38">
        <f t="shared" si="4"/>
        <v>987.27957870317573</v>
      </c>
      <c r="T38" cm="1">
        <f t="array" ref="T38">[1]!PropsSI("H","T",J38+273.15,"P",101325,"Water")</f>
        <v>231028.10221720443</v>
      </c>
      <c r="U38" cm="1">
        <f t="array" ref="U38">[1]!PropsSI("H","T",K38+273.15,"P",101325,"Water")</f>
        <v>200859.61074318129</v>
      </c>
      <c r="V38">
        <f t="shared" si="5"/>
        <v>617.56018183308947</v>
      </c>
    </row>
    <row r="39" spans="1:22" x14ac:dyDescent="0.2">
      <c r="A39">
        <v>44660.669789352003</v>
      </c>
      <c r="B39">
        <v>20.625181000000001</v>
      </c>
      <c r="C39">
        <v>20.95158</v>
      </c>
      <c r="D39">
        <v>20.359717</v>
      </c>
      <c r="E39">
        <v>20.452076999999999</v>
      </c>
      <c r="F39">
        <v>27.641843999999999</v>
      </c>
      <c r="G39">
        <v>25.160637000000001</v>
      </c>
      <c r="H39">
        <v>24.280735</v>
      </c>
      <c r="I39">
        <v>22.105606000000002</v>
      </c>
      <c r="J39">
        <v>55.174908000000002</v>
      </c>
      <c r="K39">
        <v>47.970405999999997</v>
      </c>
      <c r="L39">
        <v>277.70553899999999</v>
      </c>
      <c r="M39">
        <v>-622.48000100000002</v>
      </c>
      <c r="N39">
        <v>1.246699</v>
      </c>
      <c r="O39">
        <v>6.0564039999999997</v>
      </c>
      <c r="P39">
        <f t="shared" si="3"/>
        <v>2.0778316666666667E-5</v>
      </c>
      <c r="Q39" cm="1">
        <f t="array" ref="Q39">[1]!PropsSI("D","T",J39+273.15,"P",101325,"Water")</f>
        <v>985.60830254006169</v>
      </c>
      <c r="R39" cm="1">
        <f t="array" ref="R39">[1]!PropsSI("D","T",K39+273.15,"P",101325,"Water")</f>
        <v>988.93940920735565</v>
      </c>
      <c r="S39">
        <f t="shared" si="4"/>
        <v>987.27385587370873</v>
      </c>
      <c r="T39" cm="1">
        <f t="array" ref="T39">[1]!PropsSI("H","T",J39+273.15,"P",101325,"Water")</f>
        <v>231060.71303013311</v>
      </c>
      <c r="U39" cm="1">
        <f t="array" ref="U39">[1]!PropsSI("H","T",K39+273.15,"P",101325,"Water")</f>
        <v>200932.62424059503</v>
      </c>
      <c r="V39">
        <f t="shared" si="5"/>
        <v>618.04426360886066</v>
      </c>
    </row>
    <row r="40" spans="1:22" x14ac:dyDescent="0.2">
      <c r="A40">
        <v>44660.669847801102</v>
      </c>
      <c r="B40">
        <v>20.516331999999998</v>
      </c>
      <c r="C40">
        <v>20.607634999999998</v>
      </c>
      <c r="D40">
        <v>20.251557999999999</v>
      </c>
      <c r="E40">
        <v>20.361114000000001</v>
      </c>
      <c r="F40">
        <v>27.630841</v>
      </c>
      <c r="G40">
        <v>24.979246</v>
      </c>
      <c r="H40">
        <v>24.097016</v>
      </c>
      <c r="I40">
        <v>22.005942000000001</v>
      </c>
      <c r="J40">
        <v>55.185569000000001</v>
      </c>
      <c r="K40">
        <v>47.983266999999998</v>
      </c>
      <c r="L40">
        <v>262.91893199999998</v>
      </c>
      <c r="M40">
        <v>-622.48938799999996</v>
      </c>
      <c r="N40">
        <v>1.2456780000000001</v>
      </c>
      <c r="O40">
        <v>6.0136039999999999</v>
      </c>
      <c r="P40">
        <f t="shared" si="3"/>
        <v>2.0761300000000001E-5</v>
      </c>
      <c r="Q40" cm="1">
        <f t="array" ref="Q40">[1]!PropsSI("D","T",J40+273.15,"P",101325,"Water")</f>
        <v>985.60312863389527</v>
      </c>
      <c r="R40" cm="1">
        <f t="array" ref="R40">[1]!PropsSI("D","T",K40+273.15,"P",101325,"Water")</f>
        <v>988.93376492278844</v>
      </c>
      <c r="S40">
        <f t="shared" si="4"/>
        <v>987.26844677834185</v>
      </c>
      <c r="T40" cm="1">
        <f t="array" ref="T40">[1]!PropsSI("H","T",J40+273.15,"P",101325,"Water")</f>
        <v>231105.3082271686</v>
      </c>
      <c r="U40" cm="1">
        <f t="array" ref="U40">[1]!PropsSI("H","T",K40+273.15,"P",101325,"Water")</f>
        <v>200986.39356247717</v>
      </c>
      <c r="V40">
        <f t="shared" si="5"/>
        <v>617.34668319925731</v>
      </c>
    </row>
    <row r="41" spans="1:22" x14ac:dyDescent="0.2">
      <c r="A41">
        <v>44660.669905671501</v>
      </c>
      <c r="B41">
        <v>20.862593</v>
      </c>
      <c r="C41">
        <v>20.945632</v>
      </c>
      <c r="D41">
        <v>20.257909999999999</v>
      </c>
      <c r="E41">
        <v>20.550006</v>
      </c>
      <c r="F41">
        <v>27.780823999999999</v>
      </c>
      <c r="G41">
        <v>25.166668000000001</v>
      </c>
      <c r="H41">
        <v>24.510366000000001</v>
      </c>
      <c r="I41">
        <v>22.003888</v>
      </c>
      <c r="J41">
        <v>55.190820000000002</v>
      </c>
      <c r="K41">
        <v>47.987394999999999</v>
      </c>
      <c r="L41">
        <v>262.92954400000002</v>
      </c>
      <c r="M41">
        <v>-622.461635</v>
      </c>
      <c r="N41">
        <v>1.245822</v>
      </c>
      <c r="O41">
        <v>6.0807520000000004</v>
      </c>
      <c r="P41">
        <f t="shared" si="3"/>
        <v>2.0763699999999999E-5</v>
      </c>
      <c r="Q41" cm="1">
        <f t="array" ref="Q41">[1]!PropsSI("D","T",J41+273.15,"P",101325,"Water")</f>
        <v>985.60058000421509</v>
      </c>
      <c r="R41" cm="1">
        <f t="array" ref="R41">[1]!PropsSI("D","T",K41+273.15,"P",101325,"Water")</f>
        <v>988.93195303911489</v>
      </c>
      <c r="S41">
        <f t="shared" si="4"/>
        <v>987.26626652166499</v>
      </c>
      <c r="T41" cm="1">
        <f t="array" ref="T41">[1]!PropsSI("H","T",J41+273.15,"P",101325,"Water")</f>
        <v>231127.27329066466</v>
      </c>
      <c r="U41" cm="1">
        <f t="array" ref="U41">[1]!PropsSI("H","T",K41+273.15,"P",101325,"Water")</f>
        <v>201003.65193064179</v>
      </c>
      <c r="V41">
        <f t="shared" si="5"/>
        <v>617.51316876226849</v>
      </c>
    </row>
    <row r="42" spans="1:22" x14ac:dyDescent="0.2">
      <c r="A42">
        <v>46122.669963541666</v>
      </c>
      <c r="B42">
        <v>20.886834</v>
      </c>
      <c r="C42">
        <v>20.909566999999999</v>
      </c>
      <c r="D42">
        <v>20.521460000000001</v>
      </c>
      <c r="E42">
        <v>20.604112000000001</v>
      </c>
      <c r="F42">
        <v>27.785083</v>
      </c>
      <c r="G42">
        <v>25.098182999999999</v>
      </c>
      <c r="H42">
        <v>24.479621000000002</v>
      </c>
      <c r="I42">
        <v>22.130330000000001</v>
      </c>
      <c r="J42">
        <v>55.205458999999998</v>
      </c>
      <c r="K42">
        <v>48.006447000000001</v>
      </c>
      <c r="L42">
        <v>270.05122799999998</v>
      </c>
      <c r="M42">
        <v>-622.49428599999999</v>
      </c>
      <c r="N42">
        <v>1.2483010000000001</v>
      </c>
      <c r="O42">
        <v>6.156199</v>
      </c>
      <c r="P42">
        <f t="shared" si="3"/>
        <v>2.0805016666666668E-5</v>
      </c>
      <c r="Q42" cm="1">
        <f t="array" ref="Q42">[1]!PropsSI("D","T",J42+273.15,"P",101325,"Water")</f>
        <v>985.59347390518815</v>
      </c>
      <c r="R42" cm="1">
        <f t="array" ref="R42">[1]!PropsSI("D","T",K42+273.15,"P",101325,"Water")</f>
        <v>988.92358915098282</v>
      </c>
      <c r="S42">
        <f t="shared" si="4"/>
        <v>987.25853152808554</v>
      </c>
      <c r="T42" cm="1">
        <f t="array" ref="T42">[1]!PropsSI("H","T",J42+273.15,"P",101325,"Water")</f>
        <v>231188.5086446362</v>
      </c>
      <c r="U42" cm="1">
        <f t="array" ref="U42">[1]!PropsSI("H","T",K42+273.15,"P",101325,"Water")</f>
        <v>201083.30470611592</v>
      </c>
      <c r="V42">
        <f t="shared" si="5"/>
        <v>618.35878763678136</v>
      </c>
    </row>
    <row r="43" spans="1:22" x14ac:dyDescent="0.2">
      <c r="A43">
        <v>46122.670021990743</v>
      </c>
      <c r="B43">
        <v>20.710774000000001</v>
      </c>
      <c r="C43">
        <v>20.757497999999998</v>
      </c>
      <c r="D43">
        <v>20.328773999999999</v>
      </c>
      <c r="E43">
        <v>20.342434000000001</v>
      </c>
      <c r="F43">
        <v>27.669046000000002</v>
      </c>
      <c r="G43">
        <v>25.010283999999999</v>
      </c>
      <c r="H43">
        <v>24.205055999999999</v>
      </c>
      <c r="I43">
        <v>22.145250999999998</v>
      </c>
      <c r="J43">
        <v>55.216437999999997</v>
      </c>
      <c r="K43">
        <v>48.021529999999998</v>
      </c>
      <c r="L43">
        <v>272.17153000000002</v>
      </c>
      <c r="M43">
        <v>-622.49550999999997</v>
      </c>
      <c r="N43">
        <v>1.2416670000000001</v>
      </c>
      <c r="O43">
        <v>5.5812200000000001</v>
      </c>
      <c r="P43">
        <f t="shared" si="3"/>
        <v>2.0694450000000003E-5</v>
      </c>
      <c r="Q43" cm="1">
        <f t="array" ref="Q43">[1]!PropsSI("D","T",J43+273.15,"P",101325,"Water")</f>
        <v>985.58814358112431</v>
      </c>
      <c r="R43" cm="1">
        <f t="array" ref="R43">[1]!PropsSI("D","T",K43+273.15,"P",101325,"Water")</f>
        <v>988.91696593764482</v>
      </c>
      <c r="S43">
        <f t="shared" si="4"/>
        <v>987.25255475938457</v>
      </c>
      <c r="T43" cm="1">
        <f t="array" ref="T43">[1]!PropsSI("H","T",J43+273.15,"P",101325,"Water")</f>
        <v>231234.43416559402</v>
      </c>
      <c r="U43" cm="1">
        <f t="array" ref="U43">[1]!PropsSI("H","T",K43+273.15,"P",101325,"Water")</f>
        <v>201146.36391441306</v>
      </c>
      <c r="V43">
        <f t="shared" si="5"/>
        <v>614.71879131200672</v>
      </c>
    </row>
    <row r="44" spans="1:22" x14ac:dyDescent="0.2">
      <c r="A44">
        <v>46122.670079861113</v>
      </c>
      <c r="B44">
        <v>20.490369999999999</v>
      </c>
      <c r="C44">
        <v>20.609746000000001</v>
      </c>
      <c r="D44">
        <v>20.28895</v>
      </c>
      <c r="E44">
        <v>20.396971000000001</v>
      </c>
      <c r="F44">
        <v>27.514184</v>
      </c>
      <c r="G44">
        <v>25.075113999999999</v>
      </c>
      <c r="H44">
        <v>24.073754000000001</v>
      </c>
      <c r="I44">
        <v>22.009533000000001</v>
      </c>
      <c r="J44">
        <v>55.230122000000001</v>
      </c>
      <c r="K44">
        <v>48.031215000000003</v>
      </c>
      <c r="L44">
        <v>280.65967599999999</v>
      </c>
      <c r="M44">
        <v>-622.53101900000001</v>
      </c>
      <c r="N44">
        <v>1.247514</v>
      </c>
      <c r="O44">
        <v>6.1677119999999999</v>
      </c>
      <c r="P44">
        <f t="shared" si="3"/>
        <v>2.0791900000000003E-5</v>
      </c>
      <c r="Q44" cm="1">
        <f t="array" ref="Q44">[1]!PropsSI("D","T",J44+273.15,"P",101325,"Water")</f>
        <v>985.58149892951042</v>
      </c>
      <c r="R44" cm="1">
        <f t="array" ref="R44">[1]!PropsSI("D","T",K44+273.15,"P",101325,"Water")</f>
        <v>988.91271227674213</v>
      </c>
      <c r="S44">
        <f t="shared" si="4"/>
        <v>987.24710560312633</v>
      </c>
      <c r="T44" cm="1">
        <f t="array" ref="T44">[1]!PropsSI("H","T",J44+273.15,"P",101325,"Water")</f>
        <v>231291.67485288813</v>
      </c>
      <c r="U44" cm="1">
        <f t="array" ref="U44">[1]!PropsSI("H","T",K44+273.15,"P",101325,"Water")</f>
        <v>201186.85512193179</v>
      </c>
      <c r="V44">
        <f t="shared" si="5"/>
        <v>617.95390053831602</v>
      </c>
    </row>
    <row r="45" spans="1:22" x14ac:dyDescent="0.2">
      <c r="A45">
        <v>46122.670138310183</v>
      </c>
      <c r="B45">
        <v>20.530944000000002</v>
      </c>
      <c r="C45">
        <v>20.588001999999999</v>
      </c>
      <c r="D45">
        <v>20.29738</v>
      </c>
      <c r="E45">
        <v>20.463426999999999</v>
      </c>
      <c r="F45">
        <v>27.597011999999999</v>
      </c>
      <c r="G45">
        <v>25.075645000000002</v>
      </c>
      <c r="H45">
        <v>24.449770000000001</v>
      </c>
      <c r="I45">
        <v>22.173492</v>
      </c>
      <c r="J45">
        <v>55.239828000000003</v>
      </c>
      <c r="K45">
        <v>48.036614</v>
      </c>
      <c r="L45">
        <v>254.23120399999999</v>
      </c>
      <c r="M45">
        <v>-622.47796000000005</v>
      </c>
      <c r="N45">
        <v>1.2483169999999999</v>
      </c>
      <c r="O45">
        <v>6.1673309999999999</v>
      </c>
      <c r="P45">
        <f t="shared" si="3"/>
        <v>2.0805283333333332E-5</v>
      </c>
      <c r="Q45" cm="1">
        <f t="array" ref="Q45">[1]!PropsSI("D","T",J45+273.15,"P",101325,"Water")</f>
        <v>985.57678520487377</v>
      </c>
      <c r="R45" cm="1">
        <f t="array" ref="R45">[1]!PropsSI("D","T",K45+273.15,"P",101325,"Water")</f>
        <v>988.91034075760422</v>
      </c>
      <c r="S45">
        <f t="shared" si="4"/>
        <v>987.24356298123894</v>
      </c>
      <c r="T45" cm="1">
        <f t="array" ref="T45">[1]!PropsSI("H","T",J45+273.15,"P",101325,"Water")</f>
        <v>231332.27545781134</v>
      </c>
      <c r="U45" cm="1">
        <f t="array" ref="U45">[1]!PropsSI("H","T",K45+273.15,"P",101325,"Water")</f>
        <v>201209.42736026185</v>
      </c>
      <c r="V45">
        <f t="shared" si="5"/>
        <v>618.71974683837004</v>
      </c>
    </row>
    <row r="46" spans="1:22" x14ac:dyDescent="0.2">
      <c r="A46">
        <v>46122.67019675926</v>
      </c>
      <c r="B46">
        <v>20.529278999999999</v>
      </c>
      <c r="C46">
        <v>20.783404000000001</v>
      </c>
      <c r="D46">
        <v>20.380676000000001</v>
      </c>
      <c r="E46">
        <v>20.530010000000001</v>
      </c>
      <c r="F46">
        <v>27.758579000000001</v>
      </c>
      <c r="G46">
        <v>25.203706</v>
      </c>
      <c r="H46">
        <v>24.387979000000001</v>
      </c>
      <c r="I46">
        <v>22.22888</v>
      </c>
      <c r="J46">
        <v>55.250807000000002</v>
      </c>
      <c r="K46">
        <v>48.045028000000002</v>
      </c>
      <c r="L46">
        <v>270.050004</v>
      </c>
      <c r="M46">
        <v>-622.51142800000002</v>
      </c>
      <c r="N46">
        <v>1.243646</v>
      </c>
      <c r="O46">
        <v>6.0632029999999997</v>
      </c>
      <c r="P46">
        <f t="shared" si="3"/>
        <v>2.0727433333333338E-5</v>
      </c>
      <c r="Q46" cm="1">
        <f t="array" ref="Q46">[1]!PropsSI("D","T",J46+273.15,"P",101325,"Water")</f>
        <v>985.57145254380987</v>
      </c>
      <c r="R46" cm="1">
        <f t="array" ref="R46">[1]!PropsSI("D","T",K46+273.15,"P",101325,"Water")</f>
        <v>988.90664450496411</v>
      </c>
      <c r="S46">
        <f t="shared" si="4"/>
        <v>987.23904852438704</v>
      </c>
      <c r="T46" cm="1">
        <f t="array" ref="T46">[1]!PropsSI("H","T",J46+273.15,"P",101325,"Water")</f>
        <v>231378.20111661183</v>
      </c>
      <c r="U46" cm="1">
        <f t="array" ref="U46">[1]!PropsSI("H","T",K46+273.15,"P",101325,"Water")</f>
        <v>201244.60478040564</v>
      </c>
      <c r="V46">
        <f t="shared" si="5"/>
        <v>616.62171955534836</v>
      </c>
    </row>
    <row r="47" spans="1:22" x14ac:dyDescent="0.2">
      <c r="A47">
        <v>46122.670254629629</v>
      </c>
      <c r="B47">
        <v>20.624955</v>
      </c>
      <c r="C47">
        <v>20.637585999999999</v>
      </c>
      <c r="D47">
        <v>20.313538000000001</v>
      </c>
      <c r="E47">
        <v>20.465637000000001</v>
      </c>
      <c r="F47">
        <v>27.661563999999998</v>
      </c>
      <c r="G47">
        <v>24.957293</v>
      </c>
      <c r="H47">
        <v>24.276133000000002</v>
      </c>
      <c r="I47">
        <v>22.125594</v>
      </c>
      <c r="J47">
        <v>55.260672999999997</v>
      </c>
      <c r="K47">
        <v>48.056618999999998</v>
      </c>
      <c r="L47">
        <v>279.30423400000001</v>
      </c>
      <c r="M47">
        <v>-622.47102199999995</v>
      </c>
      <c r="N47">
        <v>1.2471449999999999</v>
      </c>
      <c r="O47">
        <v>6.0494659999999998</v>
      </c>
      <c r="P47">
        <f t="shared" si="3"/>
        <v>2.078575E-5</v>
      </c>
      <c r="Q47" cm="1">
        <f t="array" ref="Q47">[1]!PropsSI("D","T",J47+273.15,"P",101325,"Water")</f>
        <v>985.56665984649521</v>
      </c>
      <c r="R47" cm="1">
        <f t="array" ref="R47">[1]!PropsSI("D","T",K47+273.15,"P",101325,"Water")</f>
        <v>988.90155182460876</v>
      </c>
      <c r="S47">
        <f t="shared" si="4"/>
        <v>987.23410583555199</v>
      </c>
      <c r="T47" cm="1">
        <f t="array" ref="T47">[1]!PropsSI("H","T",J47+273.15,"P",101325,"Water")</f>
        <v>231419.47108321864</v>
      </c>
      <c r="U47" cm="1">
        <f t="array" ref="U47">[1]!PropsSI("H","T",K47+273.15,"P",101325,"Water")</f>
        <v>201293.06469500964</v>
      </c>
      <c r="V47">
        <f t="shared" si="5"/>
        <v>618.20594927601496</v>
      </c>
    </row>
    <row r="48" spans="1:22" x14ac:dyDescent="0.2">
      <c r="A48">
        <v>46122.670312499999</v>
      </c>
      <c r="B48">
        <v>20.591843000000001</v>
      </c>
      <c r="C48">
        <v>20.761651000000001</v>
      </c>
      <c r="D48">
        <v>20.441542999999999</v>
      </c>
      <c r="E48">
        <v>20.480231</v>
      </c>
      <c r="F48">
        <v>27.611718</v>
      </c>
      <c r="G48">
        <v>25.146816000000001</v>
      </c>
      <c r="H48">
        <v>24.341946</v>
      </c>
      <c r="I48">
        <v>21.983242000000001</v>
      </c>
      <c r="J48">
        <v>55.264651000000001</v>
      </c>
      <c r="K48">
        <v>48.066780000000001</v>
      </c>
      <c r="L48">
        <v>264.29070000000002</v>
      </c>
      <c r="M48">
        <v>-622.51020400000004</v>
      </c>
      <c r="N48">
        <v>1.2463340000000001</v>
      </c>
      <c r="O48">
        <v>6.0822770000000004</v>
      </c>
      <c r="P48">
        <f t="shared" si="3"/>
        <v>2.0772233333333334E-5</v>
      </c>
      <c r="Q48" cm="1">
        <f t="array" ref="Q48">[1]!PropsSI("D","T",J48+273.15,"P",101325,"Water")</f>
        <v>985.56472724647335</v>
      </c>
      <c r="R48" cm="1">
        <f t="array" ref="R48">[1]!PropsSI("D","T",K48+273.15,"P",101325,"Water")</f>
        <v>988.89708669462311</v>
      </c>
      <c r="S48">
        <f t="shared" si="4"/>
        <v>987.23090697054818</v>
      </c>
      <c r="T48" cm="1">
        <f t="array" ref="T48">[1]!PropsSI("H","T",J48+273.15,"P",101325,"Water")</f>
        <v>231436.11126422399</v>
      </c>
      <c r="U48" cm="1">
        <f t="array" ref="U48">[1]!PropsSI("H","T",K48+273.15,"P",101325,"Water")</f>
        <v>201335.54606092785</v>
      </c>
      <c r="V48">
        <f t="shared" si="5"/>
        <v>617.27201229823038</v>
      </c>
    </row>
    <row r="49" spans="1:22" x14ac:dyDescent="0.2">
      <c r="A49">
        <v>44660.670370370499</v>
      </c>
      <c r="B49">
        <v>20.580765</v>
      </c>
      <c r="C49">
        <v>20.826326000000002</v>
      </c>
      <c r="D49">
        <v>20.428704</v>
      </c>
      <c r="E49">
        <v>20.602115000000001</v>
      </c>
      <c r="F49">
        <v>27.608893999999999</v>
      </c>
      <c r="G49">
        <v>25.134848999999999</v>
      </c>
      <c r="H49">
        <v>24.615188</v>
      </c>
      <c r="I49">
        <v>22.134922</v>
      </c>
      <c r="J49">
        <v>55.277538999999997</v>
      </c>
      <c r="K49">
        <v>48.079006</v>
      </c>
      <c r="L49">
        <v>260.52395000000001</v>
      </c>
      <c r="M49">
        <v>-622.48530700000003</v>
      </c>
      <c r="N49">
        <v>1.2485550000000001</v>
      </c>
      <c r="O49">
        <v>6.1115310000000003</v>
      </c>
      <c r="P49">
        <f t="shared" si="3"/>
        <v>2.0809250000000004E-5</v>
      </c>
      <c r="Q49" cm="1">
        <f t="array" ref="Q49">[1]!PropsSI("D","T",J49+273.15,"P",101325,"Water")</f>
        <v>985.55846529932603</v>
      </c>
      <c r="R49" cm="1">
        <f t="array" ref="R49">[1]!PropsSI("D","T",K49+273.15,"P",101325,"Water")</f>
        <v>988.89171320674393</v>
      </c>
      <c r="S49">
        <f t="shared" si="4"/>
        <v>987.22508925303498</v>
      </c>
      <c r="T49" cm="1">
        <f t="array" ref="T49">[1]!PropsSI("H","T",J49+273.15,"P",101325,"Water")</f>
        <v>231490.02247877521</v>
      </c>
      <c r="U49" cm="1">
        <f t="array" ref="U49">[1]!PropsSI("H","T",K49+273.15,"P",101325,"Water")</f>
        <v>201386.66086535147</v>
      </c>
      <c r="V49">
        <f t="shared" si="5"/>
        <v>618.42581104024032</v>
      </c>
    </row>
    <row r="50" spans="1:22" x14ac:dyDescent="0.2">
      <c r="A50" t="s">
        <v>23</v>
      </c>
      <c r="B50">
        <v>20.513224000000001</v>
      </c>
      <c r="C50">
        <v>20.674417999999999</v>
      </c>
      <c r="D50">
        <v>20.393305000000002</v>
      </c>
      <c r="E50">
        <v>20.464416</v>
      </c>
      <c r="F50">
        <v>27.584244999999999</v>
      </c>
      <c r="G50">
        <v>25.098817</v>
      </c>
      <c r="H50">
        <v>24.353043</v>
      </c>
      <c r="I50">
        <v>22.15644</v>
      </c>
      <c r="J50">
        <v>55.283109000000003</v>
      </c>
      <c r="K50">
        <v>48.090597000000002</v>
      </c>
      <c r="L50">
        <v>260.94433700000002</v>
      </c>
      <c r="M50">
        <v>-622.47387900000001</v>
      </c>
      <c r="N50">
        <v>1.2464729999999999</v>
      </c>
      <c r="O50">
        <v>5.8415910000000002</v>
      </c>
      <c r="P50">
        <f t="shared" si="3"/>
        <v>2.0774549999999999E-5</v>
      </c>
      <c r="Q50" cm="1">
        <f t="array" ref="Q50">[1]!PropsSI("D","T",J50+273.15,"P",101325,"Water")</f>
        <v>985.55575866162326</v>
      </c>
      <c r="R50" cm="1">
        <f t="array" ref="R50">[1]!PropsSI("D","T",K50+273.15,"P",101325,"Water")</f>
        <v>988.88661788359411</v>
      </c>
      <c r="S50">
        <f t="shared" si="4"/>
        <v>987.22118827260874</v>
      </c>
      <c r="T50" cm="1">
        <f t="array" ref="T50">[1]!PropsSI("H","T",J50+273.15,"P",101325,"Water")</f>
        <v>231513.32211467536</v>
      </c>
      <c r="U50" cm="1">
        <f t="array" ref="U50">[1]!PropsSI("H","T",K50+273.15,"P",101325,"Water")</f>
        <v>201435.12087855613</v>
      </c>
      <c r="V50">
        <f t="shared" si="5"/>
        <v>616.87611319478492</v>
      </c>
    </row>
    <row r="51" spans="1:22" x14ac:dyDescent="0.2">
      <c r="A51">
        <v>46122.670487268515</v>
      </c>
      <c r="B51">
        <v>20.517693999999999</v>
      </c>
      <c r="C51">
        <v>20.719235000000001</v>
      </c>
      <c r="D51">
        <v>20.394952</v>
      </c>
      <c r="E51">
        <v>20.563661</v>
      </c>
      <c r="F51">
        <v>27.709419</v>
      </c>
      <c r="G51">
        <v>25.175234</v>
      </c>
      <c r="H51">
        <v>24.187569</v>
      </c>
      <c r="I51">
        <v>21.954279</v>
      </c>
      <c r="J51">
        <v>55.293770000000002</v>
      </c>
      <c r="K51">
        <v>48.100757999999999</v>
      </c>
      <c r="L51">
        <v>275.90195499999999</v>
      </c>
      <c r="M51">
        <v>-622.49428599999999</v>
      </c>
      <c r="N51">
        <v>1.245514</v>
      </c>
      <c r="O51">
        <v>6.1715239999999998</v>
      </c>
      <c r="P51">
        <f t="shared" si="3"/>
        <v>2.0758566666666668E-5</v>
      </c>
      <c r="Q51" cm="1">
        <f t="array" ref="Q51">[1]!PropsSI("D","T",J51+273.15,"P",101325,"Water")</f>
        <v>985.55057761183639</v>
      </c>
      <c r="R51" cm="1">
        <f t="array" ref="R51">[1]!PropsSI("D","T",K51+273.15,"P",101325,"Water")</f>
        <v>988.88215043713831</v>
      </c>
      <c r="S51">
        <f t="shared" si="4"/>
        <v>987.21636402448735</v>
      </c>
      <c r="T51" cm="1">
        <f t="array" ref="T51">[1]!PropsSI("H","T",J51+273.15,"P",101325,"Water")</f>
        <v>231557.91773311843</v>
      </c>
      <c r="U51" cm="1">
        <f t="array" ref="U51">[1]!PropsSI("H","T",K51+273.15,"P",101325,"Water")</f>
        <v>201477.60233099497</v>
      </c>
      <c r="V51">
        <f t="shared" si="5"/>
        <v>616.44182054511793</v>
      </c>
    </row>
    <row r="52" spans="1:22" x14ac:dyDescent="0.2">
      <c r="A52">
        <v>46122.670545138892</v>
      </c>
      <c r="B52">
        <v>20.537206999999999</v>
      </c>
      <c r="C52">
        <v>20.841393</v>
      </c>
      <c r="D52">
        <v>20.315660000000001</v>
      </c>
      <c r="E52">
        <v>20.421567</v>
      </c>
      <c r="F52">
        <v>27.651510999999999</v>
      </c>
      <c r="G52">
        <v>25.114246000000001</v>
      </c>
      <c r="H52">
        <v>24.377348000000001</v>
      </c>
      <c r="I52">
        <v>22.199833999999999</v>
      </c>
      <c r="J52">
        <v>55.302044000000002</v>
      </c>
      <c r="K52">
        <v>48.106315000000002</v>
      </c>
      <c r="L52">
        <v>256.19233000000003</v>
      </c>
      <c r="M52">
        <v>-622.46898099999999</v>
      </c>
      <c r="N52">
        <v>1.24651</v>
      </c>
      <c r="O52">
        <v>6.2148709999999996</v>
      </c>
      <c r="P52">
        <f t="shared" si="3"/>
        <v>2.0775166666666667E-5</v>
      </c>
      <c r="Q52" cm="1">
        <f t="array" ref="Q52">[1]!PropsSI("D","T",J52+273.15,"P",101325,"Water")</f>
        <v>985.54655611529927</v>
      </c>
      <c r="R52" cm="1">
        <f t="array" ref="R52">[1]!PropsSI("D","T",K52+273.15,"P",101325,"Water")</f>
        <v>988.87970692011424</v>
      </c>
      <c r="S52">
        <f t="shared" si="4"/>
        <v>987.21313151770676</v>
      </c>
      <c r="T52" cm="1">
        <f t="array" ref="T52">[1]!PropsSI("H","T",J52+273.15,"P",101325,"Water")</f>
        <v>231592.52841247595</v>
      </c>
      <c r="U52" cm="1">
        <f t="array" ref="U52">[1]!PropsSI("H","T",K52+273.15,"P",101325,"Water")</f>
        <v>201500.83523548627</v>
      </c>
      <c r="V52">
        <f t="shared" si="5"/>
        <v>617.16610308775478</v>
      </c>
    </row>
    <row r="53" spans="1:22" x14ac:dyDescent="0.2">
      <c r="A53">
        <v>46122.670603587962</v>
      </c>
      <c r="B53">
        <v>20.678034</v>
      </c>
      <c r="C53">
        <v>20.752652000000001</v>
      </c>
      <c r="D53">
        <v>20.386593000000001</v>
      </c>
      <c r="E53">
        <v>20.514506000000001</v>
      </c>
      <c r="F53">
        <v>27.735085999999999</v>
      </c>
      <c r="G53">
        <v>25.09449</v>
      </c>
      <c r="H53">
        <v>24.367350999999999</v>
      </c>
      <c r="I53">
        <v>22.059176999999998</v>
      </c>
      <c r="J53">
        <v>55.308250000000001</v>
      </c>
      <c r="K53">
        <v>48.116477000000003</v>
      </c>
      <c r="L53">
        <v>270.231627</v>
      </c>
      <c r="M53">
        <v>-622.49918400000001</v>
      </c>
      <c r="N53">
        <v>1.2486820000000001</v>
      </c>
      <c r="O53">
        <v>6.0629489999999997</v>
      </c>
      <c r="P53">
        <f t="shared" si="3"/>
        <v>2.0811366666666669E-5</v>
      </c>
      <c r="Q53" cm="1">
        <f t="array" ref="Q53">[1]!PropsSI("D","T",J53+273.15,"P",101325,"Water")</f>
        <v>985.54353947180869</v>
      </c>
      <c r="R53" cm="1">
        <f t="array" ref="R53">[1]!PropsSI("D","T",K53+273.15,"P",101325,"Water")</f>
        <v>988.87523796261223</v>
      </c>
      <c r="S53">
        <f t="shared" si="4"/>
        <v>987.20938871721046</v>
      </c>
      <c r="T53" cm="1">
        <f t="array" ref="T53">[1]!PropsSI("H","T",J53+273.15,"P",101325,"Water")</f>
        <v>231618.48852999636</v>
      </c>
      <c r="U53" cm="1">
        <f t="array" ref="U53">[1]!PropsSI("H","T",K53+273.15,"P",101325,"Water")</f>
        <v>201543.32090887689</v>
      </c>
      <c r="V53">
        <f t="shared" si="5"/>
        <v>617.89962900899036</v>
      </c>
    </row>
    <row r="54" spans="1:22" x14ac:dyDescent="0.2">
      <c r="A54">
        <v>46122.670661458331</v>
      </c>
      <c r="B54">
        <v>20.868075999999999</v>
      </c>
      <c r="C54">
        <v>20.878202999999999</v>
      </c>
      <c r="D54">
        <v>20.372665999999999</v>
      </c>
      <c r="E54">
        <v>20.496129</v>
      </c>
      <c r="F54">
        <v>27.793298</v>
      </c>
      <c r="G54">
        <v>25.127424999999999</v>
      </c>
      <c r="H54">
        <v>24.619691</v>
      </c>
      <c r="I54">
        <v>22.124110000000002</v>
      </c>
      <c r="J54">
        <v>55.312705000000001</v>
      </c>
      <c r="K54">
        <v>48.120604999999998</v>
      </c>
      <c r="L54">
        <v>270.82996400000002</v>
      </c>
      <c r="M54">
        <v>-622.44653300000004</v>
      </c>
      <c r="N54">
        <v>1.243851</v>
      </c>
      <c r="O54">
        <v>5.9895480000000001</v>
      </c>
      <c r="P54">
        <f t="shared" si="3"/>
        <v>2.0730850000000002E-5</v>
      </c>
      <c r="Q54" cm="1">
        <f t="array" ref="Q54">[1]!PropsSI("D","T",J54+273.15,"P",101325,"Water")</f>
        <v>985.5413738162207</v>
      </c>
      <c r="R54" cm="1">
        <f t="array" ref="R54">[1]!PropsSI("D","T",K54+273.15,"P",101325,"Water")</f>
        <v>988.87342238825408</v>
      </c>
      <c r="S54">
        <f t="shared" si="4"/>
        <v>987.20739810223745</v>
      </c>
      <c r="T54" cm="1">
        <f t="array" ref="T54">[1]!PropsSI("H","T",J54+273.15,"P",101325,"Water")</f>
        <v>231637.12410486222</v>
      </c>
      <c r="U54" cm="1">
        <f t="array" ref="U54">[1]!PropsSI("H","T",K54+273.15,"P",101325,"Water")</f>
        <v>201560.57941457973</v>
      </c>
      <c r="V54">
        <f t="shared" si="5"/>
        <v>615.53599139344999</v>
      </c>
    </row>
    <row r="55" spans="1:22" x14ac:dyDescent="0.2">
      <c r="A55">
        <v>46122.670719907408</v>
      </c>
      <c r="B55">
        <v>20.758949999999999</v>
      </c>
      <c r="C55">
        <v>20.912483000000002</v>
      </c>
      <c r="D55">
        <v>20.293689000000001</v>
      </c>
      <c r="E55">
        <v>20.455411000000002</v>
      </c>
      <c r="F55">
        <v>27.793005000000001</v>
      </c>
      <c r="G55">
        <v>25.061942999999999</v>
      </c>
      <c r="H55">
        <v>24.173898999999999</v>
      </c>
      <c r="I55">
        <v>22.024381000000002</v>
      </c>
      <c r="J55">
        <v>55.324638999999998</v>
      </c>
      <c r="K55">
        <v>48.130926000000002</v>
      </c>
      <c r="L55">
        <v>269.32963100000001</v>
      </c>
      <c r="M55">
        <v>-622.50816299999997</v>
      </c>
      <c r="N55">
        <v>1.2483949999999999</v>
      </c>
      <c r="O55">
        <v>6.1695289999999998</v>
      </c>
      <c r="P55">
        <f t="shared" si="3"/>
        <v>2.0806583333333335E-5</v>
      </c>
      <c r="Q55" cm="1">
        <f t="array" ref="Q55">[1]!PropsSI("D","T",J55+273.15,"P",101325,"Water")</f>
        <v>985.53557187911019</v>
      </c>
      <c r="R55" cm="1">
        <f t="array" ref="R55">[1]!PropsSI("D","T",K55+273.15,"P",101325,"Water")</f>
        <v>988.86888251246057</v>
      </c>
      <c r="S55">
        <f t="shared" si="4"/>
        <v>987.20222719578533</v>
      </c>
      <c r="T55" cm="1">
        <f t="array" ref="T55">[1]!PropsSI("H","T",J55+273.15,"P",101325,"Water")</f>
        <v>231687.0448927925</v>
      </c>
      <c r="U55" cm="1">
        <f t="array" ref="U55">[1]!PropsSI("H","T",K55+273.15,"P",101325,"Water")</f>
        <v>201603.72987844699</v>
      </c>
      <c r="V55">
        <f t="shared" si="5"/>
        <v>617.92047804968684</v>
      </c>
    </row>
    <row r="56" spans="1:22" x14ac:dyDescent="0.2">
      <c r="A56">
        <v>46122.670777777777</v>
      </c>
      <c r="B56">
        <v>20.611097000000001</v>
      </c>
      <c r="C56">
        <v>20.789328000000001</v>
      </c>
      <c r="D56">
        <v>20.313955</v>
      </c>
      <c r="E56">
        <v>20.438026000000001</v>
      </c>
      <c r="F56">
        <v>27.723172999999999</v>
      </c>
      <c r="G56">
        <v>25.16197</v>
      </c>
      <c r="H56">
        <v>24.476136</v>
      </c>
      <c r="I56">
        <v>22.127448000000001</v>
      </c>
      <c r="J56">
        <v>55.336255000000001</v>
      </c>
      <c r="K56">
        <v>48.143945000000002</v>
      </c>
      <c r="L56">
        <v>269.87409400000001</v>
      </c>
      <c r="M56">
        <v>-622.48408199999994</v>
      </c>
      <c r="N56">
        <v>1.2456210000000001</v>
      </c>
      <c r="O56">
        <v>6.147227</v>
      </c>
      <c r="P56">
        <f t="shared" si="3"/>
        <v>2.0760350000000002E-5</v>
      </c>
      <c r="Q56" cm="1">
        <f t="array" ref="Q56">[1]!PropsSI("D","T",J56+273.15,"P",101325,"Water")</f>
        <v>985.52992369741128</v>
      </c>
      <c r="R56" cm="1">
        <f t="array" ref="R56">[1]!PropsSI("D","T",K56+273.15,"P",101325,"Water")</f>
        <v>988.86315485456544</v>
      </c>
      <c r="S56">
        <f t="shared" si="4"/>
        <v>987.19653927598836</v>
      </c>
      <c r="T56" cm="1">
        <f t="array" ref="T56">[1]!PropsSI("H","T",J56+273.15,"P",101325,"Water")</f>
        <v>231735.63551375779</v>
      </c>
      <c r="U56" cm="1">
        <f t="array" ref="U56">[1]!PropsSI("H","T",K56+273.15,"P",101325,"Water")</f>
        <v>201658.1602905106</v>
      </c>
      <c r="V56">
        <f t="shared" si="5"/>
        <v>616.42418972620328</v>
      </c>
    </row>
    <row r="57" spans="1:22" x14ac:dyDescent="0.2">
      <c r="A57">
        <v>46122.670836226855</v>
      </c>
      <c r="B57">
        <v>20.479671</v>
      </c>
      <c r="C57">
        <v>20.749541000000001</v>
      </c>
      <c r="D57">
        <v>20.259542</v>
      </c>
      <c r="E57">
        <v>20.370853</v>
      </c>
      <c r="F57">
        <v>27.640559</v>
      </c>
      <c r="G57">
        <v>25.114982000000001</v>
      </c>
      <c r="H57">
        <v>24.368179000000001</v>
      </c>
      <c r="I57">
        <v>22.131388000000001</v>
      </c>
      <c r="J57">
        <v>55.341346999999999</v>
      </c>
      <c r="K57">
        <v>48.147280000000002</v>
      </c>
      <c r="L57">
        <v>248.73800900000001</v>
      </c>
      <c r="M57">
        <v>-622.50530600000002</v>
      </c>
      <c r="N57">
        <v>1.24701</v>
      </c>
      <c r="O57">
        <v>6.0304929999999999</v>
      </c>
      <c r="P57">
        <f t="shared" si="3"/>
        <v>2.0783499999999998E-5</v>
      </c>
      <c r="Q57" cm="1">
        <f t="array" ref="Q57">[1]!PropsSI("D","T",J57+273.15,"P",101325,"Water")</f>
        <v>985.5274474923383</v>
      </c>
      <c r="R57" cm="1">
        <f t="array" ref="R57">[1]!PropsSI("D","T",K57+273.15,"P",101325,"Water")</f>
        <v>988.8616874515933</v>
      </c>
      <c r="S57">
        <f t="shared" si="4"/>
        <v>987.1945674719658</v>
      </c>
      <c r="T57" cm="1">
        <f t="array" ref="T57">[1]!PropsSI("H","T",J57+273.15,"P",101325,"Water")</f>
        <v>231756.93575681763</v>
      </c>
      <c r="U57" cm="1">
        <f t="array" ref="U57">[1]!PropsSI("H","T",K57+273.15,"P",101325,"Water")</f>
        <v>201672.10341315184</v>
      </c>
      <c r="V57">
        <f t="shared" si="5"/>
        <v>617.26128438143849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C942F9-C35B-B74F-829B-6ED6A17957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  <vt:lpstr>8mps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2026-04-12T18:07:37Z</dcterms:created>
  <dcterms:modified xsi:type="dcterms:W3CDTF">2026-04-12T18:18:03Z</dcterms:modified>
</cp:coreProperties>
</file>